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1.xml" ContentType="application/vnd.openxmlformats-officedocument.drawing+xml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firmwide.corp.gs.com\root\Projects\Research\ln\EquityResearch\Aerospace\Aerospace &amp; Defence\Models\Client Models\"/>
    </mc:Choice>
  </mc:AlternateContent>
  <xr:revisionPtr revIDLastSave="0" documentId="13_ncr:1_{56E030B1-1996-40C0-A8EF-5B5196E4273F}" xr6:coauthVersionLast="47" xr6:coauthVersionMax="47" xr10:uidLastSave="{00000000-0000-0000-0000-000000000000}"/>
  <bookViews>
    <workbookView xWindow="-120" yWindow="-120" windowWidth="57840" windowHeight="23640" firstSheet="1" activeTab="1" xr2:uid="{903AA89A-931E-4BED-94AC-82382F3909E0}"/>
  </bookViews>
  <sheets>
    <sheet name="_QP_SAF.PA" sheetId="4" state="hidden" r:id="rId1"/>
    <sheet name="Cover Page" sheetId="101" r:id="rId2"/>
    <sheet name="DCF Valuation" sheetId="133" r:id="rId3"/>
    <sheet name="Sheet5" sheetId="58" state="hidden" r:id="rId4"/>
    <sheet name="Sheet4" sheetId="57" state="hidden" r:id="rId5"/>
    <sheet name="MigrationOutput_QP_SAF.PA" sheetId="56" state="hidden" r:id="rId6"/>
    <sheet name="QP_SAF.PA_migrated" sheetId="5" state="hidden" r:id="rId7"/>
    <sheet name="DCF" sheetId="129" state="hidden" r:id="rId8"/>
    <sheet name="DCF Feed" sheetId="128" r:id="rId9"/>
    <sheet name="Income Statement" sheetId="122" r:id="rId10"/>
    <sheet name="Balance Sheet" sheetId="123" r:id="rId11"/>
    <sheet name="Cashflow Statement" sheetId="124" r:id="rId12"/>
    <sheet name="Interim (New)" sheetId="131" r:id="rId13"/>
    <sheet name="Aerospace Propulsion Division" sheetId="125" r:id="rId14"/>
    <sheet name="Multiples" sheetId="116" state="hidden" r:id="rId15"/>
    <sheet name="Aircraft Interiors Division" sheetId="127" r:id="rId16"/>
    <sheet name="Equipment and Defense" sheetId="126" r:id="rId17"/>
    <sheet name="GSe vs Consensus" sheetId="115" state="hidden" r:id="rId18"/>
    <sheet name="Old vs New" sheetId="134" state="hidden" r:id="rId19"/>
    <sheet name="Results table" sheetId="119" state="hidden" r:id="rId20"/>
    <sheet name="Cons implied 4Q23" sheetId="120" state="hidden" r:id="rId21"/>
    <sheet name="Exhibit 3 Statements" sheetId="118" state="hidden" r:id="rId22"/>
    <sheet name="Regional Breakdown" sheetId="81" state="hidden" r:id="rId23"/>
    <sheet name="Sheet1" sheetId="132" state="hidden" r:id="rId24"/>
  </sheets>
  <definedNames>
    <definedName name="__DCF1" localSheetId="2" hidden="1">{"Back Page",#N/A,FALSE,"Front and Back"}</definedName>
    <definedName name="__DCF1" localSheetId="18" hidden="1">{"Back Page",#N/A,FALSE,"Front and Back"}</definedName>
    <definedName name="__DCF1" localSheetId="19" hidden="1">{"Back Page",#N/A,FALSE,"Front and Back"}</definedName>
    <definedName name="__DCF1" hidden="1">{"Back Page",#N/A,FALSE,"Front and Back"}</definedName>
    <definedName name="__FDS_HYPERLINK_TOGGLE_STATE__" hidden="1">"ON"</definedName>
    <definedName name="__W2" localSheetId="2" hidden="1">{"page1",#N/A,TRUE,"CSC";"page2",#N/A,TRUE,"CSC"}</definedName>
    <definedName name="__W2" localSheetId="18" hidden="1">{"page1",#N/A,TRUE,"CSC";"page2",#N/A,TRUE,"CSC"}</definedName>
    <definedName name="__W2" localSheetId="19" hidden="1">{"page1",#N/A,TRUE,"CSC";"page2",#N/A,TRUE,"CSC"}</definedName>
    <definedName name="__W2" hidden="1">{"page1",#N/A,TRUE,"CSC";"page2",#N/A,TRUE,"CSC"}</definedName>
    <definedName name="_bdm.FastTrackBookmark.2_21_2022_9_25_26_AM.edm" hidden="1">#REF!</definedName>
    <definedName name="_bdm.FastTrackBookmark.4_21_2022_4_18_32_PM.edm" hidden="1">'Aerospace Propulsion Division'!$N$135</definedName>
    <definedName name="_DCF1" localSheetId="1" hidden="1">{"Back Page",#N/A,FALSE,"Front and Back"}</definedName>
    <definedName name="_DCF1" localSheetId="2" hidden="1">{"Back Page",#N/A,FALSE,"Front and Back"}</definedName>
    <definedName name="_DCF1" localSheetId="18" hidden="1">{"Back Page",#N/A,FALSE,"Front and Back"}</definedName>
    <definedName name="_DCF1" localSheetId="19" hidden="1">{"Back Page",#N/A,FALSE,"Front and Back"}</definedName>
    <definedName name="_DCF1" hidden="1">{"Back Page",#N/A,FALSE,"Front and Back"}</definedName>
    <definedName name="_div08">#REF!</definedName>
    <definedName name="_div09">#REF!</definedName>
    <definedName name="_div10">#REF!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4" hidden="1">"CF3000012001092920010101"</definedName>
    <definedName name="_GSRATES_5" hidden="1">"CT30000120010929        "</definedName>
    <definedName name="_GSRATES_6" hidden="1">"CF3000012000093020000101"</definedName>
    <definedName name="_GSRATES_7" hidden="1">"CF3000012000093020000101"</definedName>
    <definedName name="_GSRATES_8" hidden="1">"CF3000012001092920010101"</definedName>
    <definedName name="_GSRATES_COUNT" hidden="1">1</definedName>
    <definedName name="_GSRATESR_1" localSheetId="1" hidden="1">#REF!</definedName>
    <definedName name="_GSRATESR_1" localSheetId="2" hidden="1">#REF!</definedName>
    <definedName name="_GSRATESR_1" localSheetId="17" hidden="1">#REF!</definedName>
    <definedName name="_GSRATESR_1" localSheetId="14" hidden="1">#REF!</definedName>
    <definedName name="_GSRATESR_1" localSheetId="18" hidden="1">#REF!</definedName>
    <definedName name="_GSRATESR_1" localSheetId="19" hidden="1">#REF!</definedName>
    <definedName name="_GSRATESR_1" hidden="1">#REF!</definedName>
    <definedName name="_GSRATESR_2" localSheetId="1" hidden="1">#REF!</definedName>
    <definedName name="_GSRATESR_2" localSheetId="17" hidden="1">#REF!</definedName>
    <definedName name="_GSRATESR_2" localSheetId="14" hidden="1">#REF!</definedName>
    <definedName name="_GSRATESR_2" localSheetId="18" hidden="1">#REF!</definedName>
    <definedName name="_GSRATESR_2" localSheetId="19" hidden="1">#REF!</definedName>
    <definedName name="_GSRATESR_2" hidden="1">#REF!</definedName>
    <definedName name="_GSRATESR_3" localSheetId="1" hidden="1">#REF!</definedName>
    <definedName name="_GSRATESR_3" localSheetId="17" hidden="1">#REF!</definedName>
    <definedName name="_GSRATESR_3" localSheetId="14" hidden="1">#REF!</definedName>
    <definedName name="_GSRATESR_3" localSheetId="18" hidden="1">#REF!</definedName>
    <definedName name="_GSRATESR_3" localSheetId="19" hidden="1">#REF!</definedName>
    <definedName name="_GSRATESR_3" hidden="1">#REF!</definedName>
    <definedName name="_GSRATESR_4" localSheetId="1" hidden="1">#REF!</definedName>
    <definedName name="_GSRATESR_4" localSheetId="17" hidden="1">#REF!</definedName>
    <definedName name="_GSRATESR_4" localSheetId="14" hidden="1">#REF!</definedName>
    <definedName name="_GSRATESR_4" localSheetId="18" hidden="1">#REF!</definedName>
    <definedName name="_GSRATESR_4" localSheetId="19" hidden="1">#REF!</definedName>
    <definedName name="_GSRATESR_4" hidden="1">#REF!</definedName>
    <definedName name="_GSRATESR_5" localSheetId="1" hidden="1">#REF!</definedName>
    <definedName name="_GSRATESR_5" localSheetId="17" hidden="1">#REF!</definedName>
    <definedName name="_GSRATESR_5" localSheetId="14" hidden="1">#REF!</definedName>
    <definedName name="_GSRATESR_5" localSheetId="18" hidden="1">#REF!</definedName>
    <definedName name="_GSRATESR_5" localSheetId="19" hidden="1">#REF!</definedName>
    <definedName name="_GSRATESR_5" hidden="1">#REF!</definedName>
    <definedName name="_GSRATESR_6" localSheetId="1" hidden="1">#REF!</definedName>
    <definedName name="_GSRATESR_6" localSheetId="17" hidden="1">#REF!</definedName>
    <definedName name="_GSRATESR_6" localSheetId="14" hidden="1">#REF!</definedName>
    <definedName name="_GSRATESR_6" localSheetId="18" hidden="1">#REF!</definedName>
    <definedName name="_GSRATESR_6" localSheetId="19" hidden="1">#REF!</definedName>
    <definedName name="_GSRATESR_6" hidden="1">#REF!</definedName>
    <definedName name="_GSRATESR_7" localSheetId="1" hidden="1">#REF!</definedName>
    <definedName name="_GSRATESR_7" localSheetId="17" hidden="1">#REF!</definedName>
    <definedName name="_GSRATESR_7" localSheetId="14" hidden="1">#REF!</definedName>
    <definedName name="_GSRATESR_7" localSheetId="18" hidden="1">#REF!</definedName>
    <definedName name="_GSRATESR_7" localSheetId="19" hidden="1">#REF!</definedName>
    <definedName name="_GSRATESR_7" hidden="1">#REF!</definedName>
    <definedName name="_GSRATESR_8" localSheetId="1" hidden="1">#REF!</definedName>
    <definedName name="_GSRATESR_8" localSheetId="17" hidden="1">#REF!</definedName>
    <definedName name="_GSRATESR_8" localSheetId="14" hidden="1">#REF!</definedName>
    <definedName name="_GSRATESR_8" localSheetId="18" hidden="1">#REF!</definedName>
    <definedName name="_GSRATESR_8" localSheetId="19" hidden="1">#REF!</definedName>
    <definedName name="_GSRATESR_8" hidden="1">#REF!</definedName>
    <definedName name="_Key1" localSheetId="1" hidden="1">#REF!</definedName>
    <definedName name="_Key1" localSheetId="17" hidden="1">#REF!</definedName>
    <definedName name="_Key1" localSheetId="14" hidden="1">#REF!</definedName>
    <definedName name="_Key1" localSheetId="18" hidden="1">#REF!</definedName>
    <definedName name="_Key1" localSheetId="19" hidden="1">#REF!</definedName>
    <definedName name="_Key1" hidden="1">#REF!</definedName>
    <definedName name="_Key2" localSheetId="1" hidden="1">#REF!</definedName>
    <definedName name="_Key2" localSheetId="17" hidden="1">#REF!</definedName>
    <definedName name="_Key2" localSheetId="14" hidden="1">#REF!</definedName>
    <definedName name="_Key2" localSheetId="18" hidden="1">#REF!</definedName>
    <definedName name="_Key2" localSheetId="19" hidden="1">#REF!</definedName>
    <definedName name="_Key2" hidden="1">#REF!</definedName>
    <definedName name="_Order1" hidden="1">255</definedName>
    <definedName name="_Order2" hidden="1">0</definedName>
    <definedName name="_Regression_Int" hidden="1">1</definedName>
    <definedName name="_ShH3">#REF!</definedName>
    <definedName name="_Sort" localSheetId="2" hidden="1">#REF!</definedName>
    <definedName name="_Sort" hidden="1">#REF!</definedName>
    <definedName name="_Table2_In1" localSheetId="1" hidden="1">#REF!</definedName>
    <definedName name="_Table2_In1" localSheetId="17" hidden="1">#REF!</definedName>
    <definedName name="_Table2_In1" localSheetId="14" hidden="1">#REF!</definedName>
    <definedName name="_Table2_In1" localSheetId="18" hidden="1">#REF!</definedName>
    <definedName name="_Table2_In1" localSheetId="19" hidden="1">#REF!</definedName>
    <definedName name="_Table2_In1" hidden="1">#REF!</definedName>
    <definedName name="_Table2_In2" localSheetId="1" hidden="1">#REF!</definedName>
    <definedName name="_Table2_In2" localSheetId="17" hidden="1">#REF!</definedName>
    <definedName name="_Table2_In2" localSheetId="14" hidden="1">#REF!</definedName>
    <definedName name="_Table2_In2" localSheetId="18" hidden="1">#REF!</definedName>
    <definedName name="_Table2_In2" localSheetId="19" hidden="1">#REF!</definedName>
    <definedName name="_Table2_In2" hidden="1">#REF!</definedName>
    <definedName name="_Table2_Out" localSheetId="1" hidden="1">#REF!</definedName>
    <definedName name="_Table2_Out" localSheetId="17" hidden="1">#REF!</definedName>
    <definedName name="_Table2_Out" localSheetId="14" hidden="1">#REF!</definedName>
    <definedName name="_Table2_Out" localSheetId="18" hidden="1">#REF!</definedName>
    <definedName name="_Table2_Out" localSheetId="19" hidden="1">#REF!</definedName>
    <definedName name="_Table2_Out" hidden="1">#REF!</definedName>
    <definedName name="_W2" localSheetId="1" hidden="1">{"page1",#N/A,TRUE,"CSC";"page2",#N/A,TRUE,"CSC"}</definedName>
    <definedName name="_W2" localSheetId="2" hidden="1">{"page1",#N/A,TRUE,"CSC";"page2",#N/A,TRUE,"CSC"}</definedName>
    <definedName name="_W2" localSheetId="18" hidden="1">{"page1",#N/A,TRUE,"CSC";"page2",#N/A,TRUE,"CSC"}</definedName>
    <definedName name="_W2" localSheetId="19" hidden="1">{"page1",#N/A,TRUE,"CSC";"page2",#N/A,TRUE,"CSC"}</definedName>
    <definedName name="_W2" hidden="1">{"page1",#N/A,TRUE,"CSC";"page2",#N/A,TRUE,"CSC"}</definedName>
    <definedName name="a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" localSheetId="18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" localSheetId="19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_ALL_AIR.PA" localSheetId="2">#REF!</definedName>
    <definedName name="A_ALL_AIR.PA">#REF!</definedName>
    <definedName name="A_ALL_AIR.PA_" localSheetId="17">#REF!</definedName>
    <definedName name="A_ALL_AIR.PA_" localSheetId="14">#REF!</definedName>
    <definedName name="A_ALL_AIR.PA_" localSheetId="18">#REF!</definedName>
    <definedName name="A_ALL_AIR.PA_" localSheetId="19">#REF!</definedName>
    <definedName name="A_ALL_AIR.PA_">#REF!</definedName>
    <definedName name="A_ALL_BAES.L_" localSheetId="17">#REF!</definedName>
    <definedName name="A_ALL_BAES.L_" localSheetId="14">#REF!</definedName>
    <definedName name="A_ALL_BAES.L_" localSheetId="18">#REF!</definedName>
    <definedName name="A_ALL_BAES.L_" localSheetId="19">#REF!</definedName>
    <definedName name="A_ALL_BAES.L_">#REF!</definedName>
    <definedName name="A_ALL_COB.L" localSheetId="2">#REF!</definedName>
    <definedName name="A_ALL_COB.L" localSheetId="14">#REF!</definedName>
    <definedName name="A_ALL_COB.L">#REF!</definedName>
    <definedName name="A_ALL_KEYWORDS_TYPE_ScalarContributed_EQTY_200000267">#REF!,#REF!</definedName>
    <definedName name="A_ALL_KEYWORDS_TYPE_ScalarContributed_EQTY_200003162" localSheetId="2">#REF!,#REF!</definedName>
    <definedName name="A_ALL_KEYWORDS_TYPE_ScalarContributed_EQTY_200003162" localSheetId="14">#REF!,#REF!</definedName>
    <definedName name="A_ALL_KEYWORDS_TYPE_ScalarContributed_EQTY_200003162">#REF!,#REF!</definedName>
    <definedName name="A_ALL_KEYWORDS_TYPE_ScalarContributed_EQTY_200003170" localSheetId="2">#REF!,#REF!</definedName>
    <definedName name="A_ALL_KEYWORDS_TYPE_ScalarContributed_EQTY_200003170" localSheetId="14">#REF!,#REF!</definedName>
    <definedName name="A_ALL_KEYWORDS_TYPE_ScalarContributed_EQTY_200003170">#REF!,#REF!</definedName>
    <definedName name="A_ALL_KEYWORDS_TYPE_ScalarContributed_EQTY_200003173" localSheetId="2">#REF!,#REF!</definedName>
    <definedName name="A_ALL_KEYWORDS_TYPE_ScalarContributed_EQTY_200003173" localSheetId="14">#REF!,#REF!</definedName>
    <definedName name="A_ALL_KEYWORDS_TYPE_ScalarContributed_EQTY_200003173">#REF!,#REF!</definedName>
    <definedName name="A_ALL_KEYWORDS_TYPE_ScalarContributed_EQTY_200003183" localSheetId="2">#REF!,#REF!</definedName>
    <definedName name="A_ALL_KEYWORDS_TYPE_ScalarContributed_EQTY_200003183" localSheetId="14">#REF!,#REF!</definedName>
    <definedName name="A_ALL_KEYWORDS_TYPE_ScalarContributed_EQTY_200003183">#REF!,#REF!</definedName>
    <definedName name="A_ALL_KEYWORDS_TYPE_ScalarContributed_EQTY_200003821" localSheetId="2">#REF!,#REF!</definedName>
    <definedName name="A_ALL_KEYWORDS_TYPE_ScalarContributed_EQTY_200003821" localSheetId="14">#REF!,#REF!</definedName>
    <definedName name="A_ALL_KEYWORDS_TYPE_ScalarContributed_EQTY_200003821">#REF!,#REF!</definedName>
    <definedName name="A_ALL_KEYWORDS_TYPE_ScalarContributed_EQTY_200004285" localSheetId="2">#REF!,#REF!</definedName>
    <definedName name="A_ALL_KEYWORDS_TYPE_ScalarContributed_EQTY_200004285">#REF!,#REF!</definedName>
    <definedName name="A_ALL_KEYWORDS_TYPE_ScalarContributed_EQTY_200005121" localSheetId="2">#REF!,#REF!</definedName>
    <definedName name="A_ALL_KEYWORDS_TYPE_ScalarContributed_EQTY_200005121" localSheetId="14">#REF!,#REF!</definedName>
    <definedName name="A_ALL_KEYWORDS_TYPE_ScalarContributed_EQTY_200005121">#REF!,#REF!</definedName>
    <definedName name="A_ALL_KEYWORDS_TYPE_ScalarContributed_EQTY_200007513" localSheetId="2">#REF!,#REF!</definedName>
    <definedName name="A_ALL_KEYWORDS_TYPE_ScalarContributed_EQTY_200007513" localSheetId="14">#REF!,#REF!</definedName>
    <definedName name="A_ALL_KEYWORDS_TYPE_ScalarContributed_EQTY_200007513">#REF!,#REF!</definedName>
    <definedName name="A_ALL_KEYWORDS_TYPE_ScalarContributed_EQTY_200008448" localSheetId="18">#REF!,#REF!,#REF!</definedName>
    <definedName name="A_ALL_KEYWORDS_TYPE_ScalarContributed_EQTY_200008448">#REF!,#REF!,#REF!</definedName>
    <definedName name="A_ALL_KEYWORDS_TYPE_ScalarContributed_EQTY_200009618" localSheetId="2">#REF!,#REF!</definedName>
    <definedName name="A_ALL_KEYWORDS_TYPE_ScalarContributed_EQTY_200009618" localSheetId="14">#REF!,#REF!</definedName>
    <definedName name="A_ALL_KEYWORDS_TYPE_ScalarContributed_EQTY_200009618">#REF!,#REF!</definedName>
    <definedName name="A_ALL_KEYWORDS_TYPE_ScalarContributed_EQTY_200009619" localSheetId="2">#REF!,#REF!</definedName>
    <definedName name="A_ALL_KEYWORDS_TYPE_ScalarContributed_EQTY_200009619" localSheetId="14">#REF!,#REF!</definedName>
    <definedName name="A_ALL_KEYWORDS_TYPE_ScalarContributed_EQTY_200009619">#REF!,#REF!</definedName>
    <definedName name="A_ALL_KEYWORDS_TYPE_ScalarContributed_EQTY_200009620" localSheetId="2">#REF!,#REF!</definedName>
    <definedName name="A_ALL_KEYWORDS_TYPE_ScalarContributed_EQTY_200009620" localSheetId="14">#REF!,#REF!</definedName>
    <definedName name="A_ALL_KEYWORDS_TYPE_ScalarContributed_EQTY_200009620">#REF!,#REF!</definedName>
    <definedName name="A_ALL_KEYWORDS_TYPE_ScalarContributed_EQTY_200011295" localSheetId="2">#REF!,#REF!</definedName>
    <definedName name="A_ALL_KEYWORDS_TYPE_ScalarContributed_EQTY_200011295">#REF!,#REF!</definedName>
    <definedName name="A_ALL_KEYWORDS_TYPE_ScalarContributed_ISSR_208000023">#REF!,#REF!,#REF!,#REF!,#REF!,#REF!,#REF!,#REF!,#REF!,#REF!</definedName>
    <definedName name="A_ALL_KEYWORDS_TYPE_ScalarContributed_ISSR_208001092" localSheetId="2">#REF!,#REF!</definedName>
    <definedName name="A_ALL_KEYWORDS_TYPE_ScalarContributed_ISSR_208001092">#REF!,#REF!</definedName>
    <definedName name="A_ALL_KEYWORDS_TYPE_ScalarContributed_ISSR_208001095" localSheetId="2">#REF!,#REF!</definedName>
    <definedName name="A_ALL_KEYWORDS_TYPE_ScalarContributed_ISSR_208001095">#REF!,#REF!</definedName>
    <definedName name="A_ALL_KEYWORDS_TYPE_ScalarContributed_ISSR_208001100" localSheetId="2">#REF!,#REF!</definedName>
    <definedName name="A_ALL_KEYWORDS_TYPE_ScalarContributed_ISSR_208001100">#REF!,#REF!</definedName>
    <definedName name="A_ALL_KEYWORDS_TYPE_ScalarContributed_ISSR_208001219" localSheetId="2">#REF!,#REF!,#REF!,#REF!,#REF!,#REF!,#REF!,#REF!</definedName>
    <definedName name="A_ALL_KEYWORDS_TYPE_ScalarContributed_ISSR_208001219">#REF!,#REF!,#REF!,#REF!,#REF!,#REF!,#REF!,#REF!</definedName>
    <definedName name="A_ALL_KEYWORDS_TYPE_ScalarContributed_ISSR_208001433" localSheetId="2">#REF!,#REF!</definedName>
    <definedName name="A_ALL_KEYWORDS_TYPE_ScalarContributed_ISSR_208001433" localSheetId="18">#REF!,#REF!</definedName>
    <definedName name="A_ALL_KEYWORDS_TYPE_ScalarContributed_ISSR_208001433">#REF!,#REF!</definedName>
    <definedName name="A_ALL_KEYWORDS_TYPE_ScalarContributed_ISSR_208006659" localSheetId="2">#REF!,#REF!,#REF!</definedName>
    <definedName name="A_ALL_KEYWORDS_TYPE_ScalarContributed_ISSR_208006659">#REF!,#REF!,#REF!</definedName>
    <definedName name="A_ALL_KEYWORDS_TYPE_ScalarContributed_ISSR_208007415" localSheetId="2">#REF!,#REF!</definedName>
    <definedName name="A_ALL_KEYWORDS_TYPE_ScalarContributed_ISSR_208007415">#REF!,#REF!</definedName>
    <definedName name="A_ALL_KEYWORDS_TYPE_ScalarContributed_ISSR_208008646" localSheetId="2">#REF!,#REF!</definedName>
    <definedName name="A_ALL_KEYWORDS_TYPE_ScalarContributed_ISSR_208008646">#REF!,#REF!</definedName>
    <definedName name="A_ALL_KEYWORDS_TYPE_ScalarReference_EQTY_200007513" localSheetId="17">#REF!</definedName>
    <definedName name="A_ALL_KEYWORDS_TYPE_ScalarReference_EQTY_200007513" localSheetId="14">#REF!</definedName>
    <definedName name="A_ALL_KEYWORDS_TYPE_ScalarReference_EQTY_200007513" localSheetId="18">#REF!</definedName>
    <definedName name="A_ALL_KEYWORDS_TYPE_ScalarReference_EQTY_200007513" localSheetId="19">#REF!</definedName>
    <definedName name="A_ALL_KEYWORDS_TYPE_ScalarReference_EQTY_200007513">#REF!</definedName>
    <definedName name="A_ALL_KEYWORDS_TYPE_ScalarReference_ISSR_208002861" localSheetId="17">#REF!</definedName>
    <definedName name="A_ALL_KEYWORDS_TYPE_ScalarReference_ISSR_208002861" localSheetId="14">#REF!</definedName>
    <definedName name="A_ALL_KEYWORDS_TYPE_ScalarReference_ISSR_208002861" localSheetId="18">#REF!</definedName>
    <definedName name="A_ALL_KEYWORDS_TYPE_ScalarReference_ISSR_208002861" localSheetId="19">#REF!</definedName>
    <definedName name="A_ALL_KEYWORDS_TYPE_ScalarReference_ISSR_208002861">#REF!</definedName>
    <definedName name="A_ALL_KEYWORDS_TYPE_Vector_EQTY_200000267">#REF!,#REF!,#REF!,#REF!,#REF!</definedName>
    <definedName name="A_ALL_KEYWORDS_TYPE_Vector_EQTY_200003162" localSheetId="2">#REF!,#REF!,#REF!,#REF!,#REF!</definedName>
    <definedName name="A_ALL_KEYWORDS_TYPE_Vector_EQTY_200003162" localSheetId="14">#REF!,#REF!,#REF!,#REF!,#REF!</definedName>
    <definedName name="A_ALL_KEYWORDS_TYPE_Vector_EQTY_200003162">#REF!,#REF!,#REF!,#REF!,#REF!</definedName>
    <definedName name="A_ALL_KEYWORDS_TYPE_Vector_EQTY_200003169" localSheetId="2">#REF!,#REF!,#REF!,#REF!,#REF!</definedName>
    <definedName name="A_ALL_KEYWORDS_TYPE_Vector_EQTY_200003169">#REF!,#REF!,#REF!,#REF!,#REF!</definedName>
    <definedName name="A_ALL_KEYWORDS_TYPE_Vector_EQTY_200003170" localSheetId="2">#REF!,#REF!,#REF!,#REF!,#REF!</definedName>
    <definedName name="A_ALL_KEYWORDS_TYPE_Vector_EQTY_200003170" localSheetId="14">#REF!,#REF!,#REF!,#REF!,#REF!</definedName>
    <definedName name="A_ALL_KEYWORDS_TYPE_Vector_EQTY_200003170">#REF!,#REF!,#REF!,#REF!,#REF!</definedName>
    <definedName name="A_ALL_KEYWORDS_TYPE_Vector_EQTY_200003173" localSheetId="2">#REF!,#REF!,#REF!,#REF!,#REF!</definedName>
    <definedName name="A_ALL_KEYWORDS_TYPE_Vector_EQTY_200003173" localSheetId="14">#REF!,#REF!,#REF!,#REF!,#REF!</definedName>
    <definedName name="A_ALL_KEYWORDS_TYPE_Vector_EQTY_200003173">#REF!,#REF!,#REF!,#REF!,#REF!</definedName>
    <definedName name="A_ALL_KEYWORDS_TYPE_Vector_EQTY_200003183" localSheetId="2">#REF!,#REF!,#REF!,#REF!,#REF!</definedName>
    <definedName name="A_ALL_KEYWORDS_TYPE_Vector_EQTY_200003183" localSheetId="14">#REF!,#REF!,#REF!,#REF!,#REF!</definedName>
    <definedName name="A_ALL_KEYWORDS_TYPE_Vector_EQTY_200003183">#REF!,#REF!,#REF!,#REF!,#REF!</definedName>
    <definedName name="A_ALL_KEYWORDS_TYPE_Vector_EQTY_200003821" localSheetId="2">#REF!,#REF!,#REF!,#REF!,#REF!</definedName>
    <definedName name="A_ALL_KEYWORDS_TYPE_Vector_EQTY_200003821" localSheetId="14">#REF!,#REF!,#REF!,#REF!,#REF!</definedName>
    <definedName name="A_ALL_KEYWORDS_TYPE_Vector_EQTY_200003821">#REF!,#REF!,#REF!,#REF!,#REF!</definedName>
    <definedName name="A_ALL_KEYWORDS_TYPE_Vector_EQTY_200004285" localSheetId="2">#REF!,#REF!,#REF!,#REF!,#REF!</definedName>
    <definedName name="A_ALL_KEYWORDS_TYPE_Vector_EQTY_200004285">#REF!,#REF!,#REF!,#REF!,#REF!</definedName>
    <definedName name="A_ALL_KEYWORDS_TYPE_Vector_EQTY_200005121" localSheetId="2">#REF!,#REF!,#REF!,#REF!,#REF!</definedName>
    <definedName name="A_ALL_KEYWORDS_TYPE_Vector_EQTY_200005121" localSheetId="14">#REF!,#REF!,#REF!,#REF!,#REF!</definedName>
    <definedName name="A_ALL_KEYWORDS_TYPE_Vector_EQTY_200005121" localSheetId="18">#REF!,#REF!,#REF!,#REF!,#REF!</definedName>
    <definedName name="A_ALL_KEYWORDS_TYPE_Vector_EQTY_200005121">#REF!,#REF!,#REF!,#REF!,#REF!</definedName>
    <definedName name="A_ALL_KEYWORDS_TYPE_Vector_EQTY_200007513" localSheetId="2">#REF!,#REF!,#REF!,#REF!,#REF!</definedName>
    <definedName name="A_ALL_KEYWORDS_TYPE_Vector_EQTY_200007513" localSheetId="14">#REF!,#REF!,#REF!,#REF!,#REF!</definedName>
    <definedName name="A_ALL_KEYWORDS_TYPE_Vector_EQTY_200007513">#REF!,#REF!,#REF!,#REF!,#REF!</definedName>
    <definedName name="A_ALL_KEYWORDS_TYPE_Vector_EQTY_200008448" localSheetId="2">#REF!,#REF!,#REF!,#REF!,#REF!</definedName>
    <definedName name="A_ALL_KEYWORDS_TYPE_Vector_EQTY_200008448" localSheetId="14">#REF!,#REF!,#REF!,#REF!,#REF!</definedName>
    <definedName name="A_ALL_KEYWORDS_TYPE_Vector_EQTY_200008448">#REF!,#REF!,#REF!,#REF!,#REF!</definedName>
    <definedName name="A_ALL_KEYWORDS_TYPE_Vector_EQTY_200009618" localSheetId="2">#REF!,#REF!,#REF!,#REF!,#REF!</definedName>
    <definedName name="A_ALL_KEYWORDS_TYPE_Vector_EQTY_200009618" localSheetId="14">#REF!,#REF!,#REF!,#REF!,#REF!</definedName>
    <definedName name="A_ALL_KEYWORDS_TYPE_Vector_EQTY_200009618">#REF!,#REF!,#REF!,#REF!,#REF!</definedName>
    <definedName name="A_ALL_KEYWORDS_TYPE_Vector_EQTY_200009619" localSheetId="2">#REF!,#REF!,#REF!,#REF!,#REF!</definedName>
    <definedName name="A_ALL_KEYWORDS_TYPE_Vector_EQTY_200009619" localSheetId="14">#REF!,#REF!,#REF!,#REF!,#REF!</definedName>
    <definedName name="A_ALL_KEYWORDS_TYPE_Vector_EQTY_200009619">#REF!,#REF!,#REF!,#REF!,#REF!</definedName>
    <definedName name="A_ALL_KEYWORDS_TYPE_Vector_EQTY_200009620" localSheetId="2">#REF!,#REF!,#REF!,#REF!,#REF!</definedName>
    <definedName name="A_ALL_KEYWORDS_TYPE_Vector_EQTY_200009620" localSheetId="14">#REF!,#REF!,#REF!,#REF!,#REF!</definedName>
    <definedName name="A_ALL_KEYWORDS_TYPE_Vector_EQTY_200009620">#REF!,#REF!,#REF!,#REF!,#REF!</definedName>
    <definedName name="A_ALL_KEYWORDS_TYPE_Vector_EQTY_200011295" localSheetId="2">#REF!,#REF!,#REF!,#REF!,#REF!</definedName>
    <definedName name="A_ALL_KEYWORDS_TYPE_Vector_EQTY_200011295" localSheetId="14">#REF!,#REF!,#REF!,#REF!,#REF!</definedName>
    <definedName name="A_ALL_KEYWORDS_TYPE_Vector_EQTY_200011295">#REF!,#REF!,#REF!,#REF!,#REF!</definedName>
    <definedName name="A_ALL_KEYWORDS_TYPE_Vector_ISSR_208000023">#REF!,#REF!,#REF!,#REF!,#REF!,#REF!,#REF!,#REF!,#REF!,#REF!,#REF!,#REF!,#REF!,#REF!,#REF!,#REF!,#REF!,#REF!,#REF!,#REF!,#REF!,#REF!,#REF!,#REF!,#REF!</definedName>
    <definedName name="A_ALL_KEYWORDS_TYPE_Vector_ISSR_208001092" localSheetId="2">#REF!,#REF!,#REF!,#REF!,#REF!,#REF!,#REF!,#REF!,#REF!,#REF!,#REF!,#REF!,#REF!,#REF!,#REF!,#REF!,#REF!,#REF!,#REF!,#REF!,#REF!,#REF!,#REF!,#REF!,#REF!,#REF!</definedName>
    <definedName name="A_ALL_KEYWORDS_TYPE_Vector_ISSR_208001092" localSheetId="14">#REF!,#REF!,#REF!,#REF!,#REF!,#REF!,#REF!,#REF!,#REF!,#REF!,#REF!,#REF!,#REF!,#REF!,#REF!,#REF!,#REF!,#REF!,#REF!,#REF!,#REF!,#REF!,#REF!,#REF!,#REF!,#REF!</definedName>
    <definedName name="A_ALL_KEYWORDS_TYPE_Vector_ISSR_208001092">#REF!,#REF!,#REF!,#REF!,#REF!,#REF!,#REF!,#REF!,#REF!,#REF!,#REF!,#REF!,#REF!,#REF!,#REF!,#REF!,#REF!,#REF!,#REF!,#REF!,#REF!,#REF!,#REF!,#REF!,#REF!,#REF!</definedName>
    <definedName name="A_ALL_KEYWORDS_TYPE_Vector_ISSR_208001095" localSheetId="2">#REF!,#REF!,#REF!,#REF!,#REF!,#REF!,#REF!,#REF!,#REF!,#REF!,#REF!,#REF!,#REF!,#REF!</definedName>
    <definedName name="A_ALL_KEYWORDS_TYPE_Vector_ISSR_208001095">#REF!,#REF!,#REF!,#REF!,#REF!,#REF!,#REF!,#REF!,#REF!,#REF!,#REF!,#REF!,#REF!,#REF!</definedName>
    <definedName name="A_ALL_KEYWORDS_TYPE_Vector_ISSR_208001096" localSheetId="2">#REF!,#REF!,#REF!,#REF!,#REF!,#REF!,#REF!,#REF!,#REF!,#REF!,#REF!,#REF!,#REF!,#REF!,#REF!,#REF!,#REF!,#REF!,#REF!,#REF!,#REF!,#REF!,#REF!,#REF!,#REF!,#REF!</definedName>
    <definedName name="A_ALL_KEYWORDS_TYPE_Vector_ISSR_208001096" localSheetId="14">#REF!,#REF!,#REF!,#REF!,#REF!,#REF!,#REF!,#REF!,#REF!,#REF!,#REF!,#REF!,#REF!,#REF!,#REF!,#REF!,#REF!,#REF!,#REF!,#REF!,#REF!,#REF!,#REF!,#REF!,#REF!,#REF!</definedName>
    <definedName name="A_ALL_KEYWORDS_TYPE_Vector_ISSR_208001096">#REF!,#REF!,#REF!,#REF!,#REF!,#REF!,#REF!,#REF!,#REF!,#REF!,#REF!,#REF!,#REF!,#REF!,#REF!,#REF!,#REF!,#REF!,#REF!,#REF!,#REF!,#REF!,#REF!,#REF!,#REF!,#REF!</definedName>
    <definedName name="A_ALL_KEYWORDS_TYPE_Vector_ISSR_208001098" localSheetId="2">#REF!,#REF!,#REF!,#REF!,#REF!,#REF!,#REF!,#REF!,#REF!,#REF!,#REF!,#REF!,#REF!,#REF!,#REF!,#REF!,#REF!,#REF!,#REF!,#REF!,#REF!,#REF!,#REF!,#REF!,#REF!,#REF!</definedName>
    <definedName name="A_ALL_KEYWORDS_TYPE_Vector_ISSR_208001098" localSheetId="14">#REF!,#REF!,#REF!,#REF!,#REF!,#REF!,#REF!,#REF!,#REF!,#REF!,#REF!,#REF!,#REF!,#REF!,#REF!,#REF!,#REF!,#REF!,#REF!,#REF!,#REF!,#REF!,#REF!,#REF!,#REF!,#REF!</definedName>
    <definedName name="A_ALL_KEYWORDS_TYPE_Vector_ISSR_208001098">#REF!,#REF!,#REF!,#REF!,#REF!,#REF!,#REF!,#REF!,#REF!,#REF!,#REF!,#REF!,#REF!,#REF!,#REF!,#REF!,#REF!,#REF!,#REF!,#REF!,#REF!,#REF!,#REF!,#REF!,#REF!,#REF!</definedName>
    <definedName name="A_ALL_KEYWORDS_TYPE_Vector_ISSR_208001100" localSheetId="2">#REF!,#REF!,#REF!,#REF!,#REF!,#REF!,#REF!,#REF!,#REF!,#REF!,#REF!,#REF!,#REF!,#REF!,#REF!,#REF!,#REF!,#REF!,#REF!,#REF!,#REF!,#REF!,#REF!,#REF!,#REF!,#REF!</definedName>
    <definedName name="A_ALL_KEYWORDS_TYPE_Vector_ISSR_208001100" localSheetId="14">#REF!,#REF!,#REF!,#REF!,#REF!,#REF!,#REF!,#REF!,#REF!,#REF!,#REF!,#REF!,#REF!,#REF!,#REF!,#REF!,#REF!,#REF!,#REF!,#REF!,#REF!,#REF!,#REF!,#REF!,#REF!,#REF!</definedName>
    <definedName name="A_ALL_KEYWORDS_TYPE_Vector_ISSR_208001100">#REF!,#REF!,#REF!,#REF!,#REF!,#REF!,#REF!,#REF!,#REF!,#REF!,#REF!,#REF!,#REF!,#REF!,#REF!,#REF!,#REF!,#REF!,#REF!,#REF!,#REF!,#REF!,#REF!,#REF!,#REF!,#REF!</definedName>
    <definedName name="A_ALL_KEYWORDS_TYPE_Vector_ISSR_208001129" localSheetId="2">#REF!,#REF!,#REF!,#REF!,#REF!,#REF!,#REF!,#REF!,#REF!,#REF!,#REF!,#REF!,#REF!,#REF!,#REF!,#REF!,#REF!,#REF!,#REF!,#REF!,#REF!,#REF!,#REF!,#REF!,#REF!,#REF!</definedName>
    <definedName name="A_ALL_KEYWORDS_TYPE_Vector_ISSR_208001129" localSheetId="14">#REF!,#REF!,#REF!,#REF!,#REF!,#REF!,#REF!,#REF!,#REF!,#REF!,#REF!,#REF!,#REF!,#REF!,#REF!,#REF!,#REF!,#REF!,#REF!,#REF!,#REF!,#REF!,#REF!,#REF!,#REF!,#REF!</definedName>
    <definedName name="A_ALL_KEYWORDS_TYPE_Vector_ISSR_208001129">#REF!,#REF!,#REF!,#REF!,#REF!,#REF!,#REF!,#REF!,#REF!,#REF!,#REF!,#REF!,#REF!,#REF!,#REF!,#REF!,#REF!,#REF!,#REF!,#REF!,#REF!,#REF!,#REF!,#REF!,#REF!,#REF!</definedName>
    <definedName name="A_ALL_KEYWORDS_TYPE_Vector_ISSR_208001219" localSheetId="2">#REF!,#REF!,#REF!,#REF!,#REF!,#REF!,#REF!,#REF!,#REF!,#REF!,#REF!,#REF!,#REF!,#REF!,#REF!,#REF!,#REF!,#REF!,#REF!</definedName>
    <definedName name="A_ALL_KEYWORDS_TYPE_Vector_ISSR_208001219">#REF!,#REF!,#REF!,#REF!,#REF!,#REF!,#REF!,#REF!,#REF!,#REF!,#REF!,#REF!,#REF!,#REF!,#REF!,#REF!,#REF!,#REF!,#REF!</definedName>
    <definedName name="A_ALL_KEYWORDS_TYPE_Vector_ISSR_208001433" localSheetId="2">#REF!,#REF!,#REF!,#REF!,#REF!,#REF!,#REF!,#REF!,#REF!,#REF!,#REF!,#REF!,#REF!,#REF!,#REF!,#REF!,#REF!,#REF!,#REF!,#REF!,#REF!,#REF!,#REF!,#REF!,#REF!,#REF!</definedName>
    <definedName name="A_ALL_KEYWORDS_TYPE_Vector_ISSR_208001433" localSheetId="14">#REF!,#REF!,#REF!,#REF!,#REF!,#REF!,#REF!,#REF!,#REF!,#REF!,#REF!,#REF!,#REF!,#REF!</definedName>
    <definedName name="A_ALL_KEYWORDS_TYPE_Vector_ISSR_208001433" localSheetId="18">#REF!,#REF!,#REF!,#REF!,#REF!,#REF!,#REF!,#REF!,#REF!,#REF!,#REF!,#REF!,#REF!,#REF!</definedName>
    <definedName name="A_ALL_KEYWORDS_TYPE_Vector_ISSR_208001433">#REF!,#REF!,#REF!,#REF!,#REF!,#REF!,#REF!,#REF!,#REF!,#REF!,#REF!,#REF!,#REF!,#REF!,#REF!,#REF!,#REF!,#REF!,#REF!,#REF!,#REF!,#REF!,#REF!,#REF!,#REF!,#REF!</definedName>
    <definedName name="A_ALL_KEYWORDS_TYPE_Vector_ISSR_208002861" localSheetId="2">#REF!,#REF!,#REF!,#REF!,#REF!,#REF!,#REF!,#REF!,#REF!,#REF!,#REF!,#REF!,#REF!,#REF!,#REF!,#REF!,#REF!,#REF!,#REF!,#REF!,#REF!,#REF!,#REF!,#REF!,#REF!,#REF!</definedName>
    <definedName name="A_ALL_KEYWORDS_TYPE_Vector_ISSR_208002861" localSheetId="14">#REF!,#REF!,#REF!,#REF!,#REF!,#REF!,#REF!,#REF!,#REF!,#REF!,#REF!,#REF!,#REF!,#REF!,#REF!,#REF!,#REF!,#REF!,#REF!,#REF!,#REF!,#REF!,#REF!,#REF!,#REF!,#REF!</definedName>
    <definedName name="A_ALL_KEYWORDS_TYPE_Vector_ISSR_208002861">#REF!,#REF!,#REF!,#REF!,#REF!,#REF!,#REF!,#REF!,#REF!,#REF!,#REF!,#REF!,#REF!,#REF!,#REF!,#REF!,#REF!,#REF!,#REF!,#REF!,#REF!,#REF!,#REF!,#REF!,#REF!,#REF!</definedName>
    <definedName name="A_ALL_KEYWORDS_TYPE_Vector_ISSR_208006659" localSheetId="2">#REF!,#REF!,#REF!,#REF!,#REF!,#REF!,#REF!,#REF!,#REF!,#REF!,#REF!,#REF!,#REF!,#REF!</definedName>
    <definedName name="A_ALL_KEYWORDS_TYPE_Vector_ISSR_208006659" localSheetId="14">#REF!,#REF!,#REF!,#REF!,#REF!,#REF!,#REF!,#REF!,#REF!,#REF!,#REF!,#REF!,#REF!,#REF!,#REF!,#REF!,#REF!,#REF!,#REF!,#REF!,#REF!,#REF!,#REF!,#REF!,#REF!,#REF!</definedName>
    <definedName name="A_ALL_KEYWORDS_TYPE_Vector_ISSR_208006659" localSheetId="18">#REF!,#REF!,#REF!,#REF!,#REF!,#REF!,#REF!,#REF!,#REF!,#REF!,#REF!,#REF!,#REF!,#REF!,#REF!,#REF!,#REF!,#REF!,#REF!,#REF!,#REF!,#REF!</definedName>
    <definedName name="A_ALL_KEYWORDS_TYPE_Vector_ISSR_208006659">#REF!,#REF!,#REF!,#REF!,#REF!,#REF!,#REF!,#REF!,#REF!,#REF!,#REF!,#REF!,#REF!,#REF!,#REF!,#REF!,#REF!,#REF!,#REF!,#REF!,#REF!,#REF!</definedName>
    <definedName name="A_ALL_KEYWORDS_TYPE_Vector_ISSR_208007413" localSheetId="2">#REF!,#REF!,#REF!,#REF!,#REF!,#REF!,#REF!,#REF!,#REF!,#REF!,#REF!,#REF!,#REF!,#REF!,#REF!,#REF!,#REF!,#REF!,#REF!,#REF!,#REF!,#REF!,#REF!,#REF!,#REF!,#REF!</definedName>
    <definedName name="A_ALL_KEYWORDS_TYPE_Vector_ISSR_208007413" localSheetId="14">#REF!,#REF!,#REF!,#REF!,#REF!,#REF!,#REF!,#REF!,#REF!,#REF!,#REF!,#REF!</definedName>
    <definedName name="A_ALL_KEYWORDS_TYPE_Vector_ISSR_208007413">#REF!,#REF!,#REF!,#REF!,#REF!,#REF!,#REF!,#REF!,#REF!,#REF!,#REF!,#REF!,#REF!,#REF!,#REF!,#REF!,#REF!,#REF!,#REF!,#REF!,#REF!,#REF!,#REF!,#REF!,#REF!,#REF!</definedName>
    <definedName name="A_ALL_KEYWORDS_TYPE_Vector_ISSR_208007414" localSheetId="2">#REF!,#REF!,#REF!,#REF!,#REF!,#REF!,#REF!,#REF!,#REF!</definedName>
    <definedName name="A_ALL_KEYWORDS_TYPE_Vector_ISSR_208007414" localSheetId="14">#REF!,#REF!,#REF!,#REF!,#REF!,#REF!,#REF!,#REF!,#REF!</definedName>
    <definedName name="A_ALL_KEYWORDS_TYPE_Vector_ISSR_208007414">#REF!,#REF!,#REF!,#REF!,#REF!,#REF!,#REF!,#REF!,#REF!</definedName>
    <definedName name="A_ALL_KEYWORDS_TYPE_Vector_ISSR_208007415" localSheetId="2">#REF!,#REF!,#REF!,#REF!,#REF!,#REF!,#REF!,#REF!,#REF!,#REF!,#REF!,#REF!,#REF!,#REF!,#REF!,#REF!,#REF!,#REF!,#REF!,#REF!,#REF!,#REF!,#REF!,#REF!,#REF!,#REF!</definedName>
    <definedName name="A_ALL_KEYWORDS_TYPE_Vector_ISSR_208007415" localSheetId="14">#REF!,#REF!,#REF!,#REF!,#REF!,#REF!,#REF!,#REF!,#REF!,#REF!,#REF!,#REF!,#REF!,#REF!</definedName>
    <definedName name="A_ALL_KEYWORDS_TYPE_Vector_ISSR_208007415">#REF!,#REF!,#REF!,#REF!,#REF!,#REF!,#REF!,#REF!,#REF!,#REF!,#REF!,#REF!,#REF!,#REF!,#REF!,#REF!,#REF!,#REF!,#REF!,#REF!,#REF!,#REF!,#REF!,#REF!,#REF!,#REF!</definedName>
    <definedName name="A_ALL_KEYWORDS_TYPE_Vector_ISSR_208008646" localSheetId="2">#REF!,#REF!,#REF!,#REF!,#REF!,#REF!,#REF!,#REF!,#REF!,#REF!,#REF!,#REF!,#REF!,#REF!</definedName>
    <definedName name="A_ALL_KEYWORDS_TYPE_Vector_ISSR_208008646" localSheetId="14">#REF!,#REF!,#REF!,#REF!,#REF!,#REF!,#REF!,#REF!,#REF!,#REF!,#REF!,#REF!,#REF!,#REF!,#REF!,#REF!,#REF!,#REF!,#REF!,#REF!,#REF!,#REF!,#REF!,#REF!,#REF!,#REF!</definedName>
    <definedName name="A_ALL_KEYWORDS_TYPE_Vector_ISSR_208008646">#REF!,#REF!,#REF!,#REF!,#REF!,#REF!,#REF!,#REF!,#REF!,#REF!,#REF!,#REF!,#REF!,#REF!</definedName>
    <definedName name="A_ALL_MTXGn.DE" localSheetId="17">#REF!</definedName>
    <definedName name="A_ALL_MTXGn.DE" localSheetId="14">#REF!</definedName>
    <definedName name="A_ALL_MTXGn.DE" localSheetId="18">#REF!</definedName>
    <definedName name="A_ALL_MTXGn.DE" localSheetId="19">#REF!</definedName>
    <definedName name="A_ALL_MTXGn.DE">#REF!</definedName>
    <definedName name="A_ALL_PERIODS_MTXGn.DE" localSheetId="17">#REF!</definedName>
    <definedName name="A_ALL_PERIODS_MTXGn.DE" localSheetId="14">#REF!</definedName>
    <definedName name="A_ALL_PERIODS_MTXGn.DE" localSheetId="18">#REF!</definedName>
    <definedName name="A_ALL_PERIODS_MTXGn.DE" localSheetId="19">#REF!</definedName>
    <definedName name="A_ALL_PERIODS_MTXGn.DE">#REF!</definedName>
    <definedName name="A_ALL_RR.L">#REF!</definedName>
    <definedName name="A_ALL_SAABb.ST_" localSheetId="17">#REF!</definedName>
    <definedName name="A_ALL_SAABb.ST_" localSheetId="14">#REF!</definedName>
    <definedName name="A_ALL_SAABb.ST_" localSheetId="18">#REF!</definedName>
    <definedName name="A_ALL_SAABb.ST_" localSheetId="19">#REF!</definedName>
    <definedName name="A_ALL_SAABb.ST_">#REF!</definedName>
    <definedName name="A_ALL_SAF.PA" localSheetId="21">#REF!</definedName>
    <definedName name="A_ALL_SAF.PA">#REF!</definedName>
    <definedName name="A_ALL_SAF.PA_" localSheetId="17">#REF!</definedName>
    <definedName name="A_ALL_SAF.PA_" localSheetId="14">#REF!</definedName>
    <definedName name="A_ALL_SAF.PA_" localSheetId="18">#REF!</definedName>
    <definedName name="A_ALL_SAF.PA_" localSheetId="19">#REF!</definedName>
    <definedName name="A_ALL_SAF.PA_">#REF!</definedName>
    <definedName name="A_ALL_SAND.ST">#REF!</definedName>
    <definedName name="A_ALL_SECTION_KEYWORDS_EQTY_200007513_1314" localSheetId="17">#REF!</definedName>
    <definedName name="A_ALL_SECTION_KEYWORDS_EQTY_200007513_1314" localSheetId="14">#REF!</definedName>
    <definedName name="A_ALL_SECTION_KEYWORDS_EQTY_200007513_1314" localSheetId="18">#REF!</definedName>
    <definedName name="A_ALL_SECTION_KEYWORDS_EQTY_200007513_1314" localSheetId="19">#REF!</definedName>
    <definedName name="A_ALL_SECTION_KEYWORDS_EQTY_200007513_1314">#REF!</definedName>
    <definedName name="A_ALL_SECTION_KEYWORDS_EQTY_200007513_131E" localSheetId="17">#REF!</definedName>
    <definedName name="A_ALL_SECTION_KEYWORDS_EQTY_200007513_131E" localSheetId="14">#REF!</definedName>
    <definedName name="A_ALL_SECTION_KEYWORDS_EQTY_200007513_131E" localSheetId="18">#REF!</definedName>
    <definedName name="A_ALL_SECTION_KEYWORDS_EQTY_200007513_131E" localSheetId="19">#REF!</definedName>
    <definedName name="A_ALL_SECTION_KEYWORDS_EQTY_200007513_131E">#REF!</definedName>
    <definedName name="A_ALL_SECTION_KEYWORDS_EQTY_200007513_131O" localSheetId="17">#REF!</definedName>
    <definedName name="A_ALL_SECTION_KEYWORDS_EQTY_200007513_131O" localSheetId="14">#REF!</definedName>
    <definedName name="A_ALL_SECTION_KEYWORDS_EQTY_200007513_131O" localSheetId="18">#REF!</definedName>
    <definedName name="A_ALL_SECTION_KEYWORDS_EQTY_200007513_131O" localSheetId="19">#REF!</definedName>
    <definedName name="A_ALL_SECTION_KEYWORDS_EQTY_200007513_131O">#REF!</definedName>
    <definedName name="A_ALL_SECTION_KEYWORDS_EQTY_200007513_13A" localSheetId="17">#REF!</definedName>
    <definedName name="A_ALL_SECTION_KEYWORDS_EQTY_200007513_13A" localSheetId="14">#REF!</definedName>
    <definedName name="A_ALL_SECTION_KEYWORDS_EQTY_200007513_13A" localSheetId="18">#REF!</definedName>
    <definedName name="A_ALL_SECTION_KEYWORDS_EQTY_200007513_13A" localSheetId="19">#REF!</definedName>
    <definedName name="A_ALL_SECTION_KEYWORDS_EQTY_200007513_13A">#REF!</definedName>
    <definedName name="A_ALL_SECTION_KEYWORDS_EQTY_200007513_13K" localSheetId="17">#REF!</definedName>
    <definedName name="A_ALL_SECTION_KEYWORDS_EQTY_200007513_13K" localSheetId="14">#REF!</definedName>
    <definedName name="A_ALL_SECTION_KEYWORDS_EQTY_200007513_13K" localSheetId="18">#REF!</definedName>
    <definedName name="A_ALL_SECTION_KEYWORDS_EQTY_200007513_13K" localSheetId="19">#REF!</definedName>
    <definedName name="A_ALL_SECTION_KEYWORDS_EQTY_200007513_13K">#REF!</definedName>
    <definedName name="A_ALL_SECTION_KEYWORDS_EQTY_200007513_13U" localSheetId="17">#REF!</definedName>
    <definedName name="A_ALL_SECTION_KEYWORDS_EQTY_200007513_13U" localSheetId="14">#REF!</definedName>
    <definedName name="A_ALL_SECTION_KEYWORDS_EQTY_200007513_13U" localSheetId="18">#REF!</definedName>
    <definedName name="A_ALL_SECTION_KEYWORDS_EQTY_200007513_13U" localSheetId="19">#REF!</definedName>
    <definedName name="A_ALL_SECTION_KEYWORDS_EQTY_200007513_13U">#REF!</definedName>
    <definedName name="A_ALL_SECTION_KEYWORDS_EQTY_200007513_13V" localSheetId="17">#REF!</definedName>
    <definedName name="A_ALL_SECTION_KEYWORDS_EQTY_200007513_13V" localSheetId="14">#REF!</definedName>
    <definedName name="A_ALL_SECTION_KEYWORDS_EQTY_200007513_13V" localSheetId="18">#REF!</definedName>
    <definedName name="A_ALL_SECTION_KEYWORDS_EQTY_200007513_13V" localSheetId="19">#REF!</definedName>
    <definedName name="A_ALL_SECTION_KEYWORDS_EQTY_200007513_13V">#REF!</definedName>
    <definedName name="A_ALL_SECTION_KEYWORDS_EQTY_200007513_Reference_Data" localSheetId="17">#REF!</definedName>
    <definedName name="A_ALL_SECTION_KEYWORDS_EQTY_200007513_Reference_Data" localSheetId="14">#REF!</definedName>
    <definedName name="A_ALL_SECTION_KEYWORDS_EQTY_200007513_Reference_Data" localSheetId="18">#REF!</definedName>
    <definedName name="A_ALL_SECTION_KEYWORDS_EQTY_200007513_Reference_Data" localSheetId="19">#REF!</definedName>
    <definedName name="A_ALL_SECTION_KEYWORDS_EQTY_200007513_Reference_Data">#REF!</definedName>
    <definedName name="A_ALL_SECTION_KEYWORDS_EQTY_200008448_13A">#REF!</definedName>
    <definedName name="A_ALL_SECTION_KEYWORDS_ISSR_208000023_13V">#REF!,#REF!</definedName>
    <definedName name="A_ALL_SECTION_KEYWORDS_ISSR_208001092_13V" localSheetId="2">#REF!,#REF!</definedName>
    <definedName name="A_ALL_SECTION_KEYWORDS_ISSR_208001092_13V">#REF!,#REF!</definedName>
    <definedName name="A_ALL_SECTION_KEYWORDS_ISSR_208001095_13V" localSheetId="2">#REF!,#REF!</definedName>
    <definedName name="A_ALL_SECTION_KEYWORDS_ISSR_208001095_13V">#REF!,#REF!</definedName>
    <definedName name="A_ALL_SECTION_KEYWORDS_ISSR_208001098_13173">#REF!,#REF!</definedName>
    <definedName name="A_ALL_SECTION_KEYWORDS_ISSR_208001098_13178">#REF!,#REF!</definedName>
    <definedName name="A_ALL_SECTION_KEYWORDS_ISSR_208001098_136J">#REF!,#REF!</definedName>
    <definedName name="A_ALL_SECTION_KEYWORDS_ISSR_208001100_13V" localSheetId="2">#REF!,#REF!</definedName>
    <definedName name="A_ALL_SECTION_KEYWORDS_ISSR_208001100_13V">#REF!,#REF!</definedName>
    <definedName name="A_ALL_SECTION_KEYWORDS_ISSR_208001219_136E" localSheetId="2">#REF!,#REF!</definedName>
    <definedName name="A_ALL_SECTION_KEYWORDS_ISSR_208001219_136E">#REF!,#REF!</definedName>
    <definedName name="A_ALL_SECTION_KEYWORDS_ISSR_208001433_13173" localSheetId="2">#REF!,#REF!</definedName>
    <definedName name="A_ALL_SECTION_KEYWORDS_ISSR_208001433_13173">#REF!,#REF!</definedName>
    <definedName name="A_ALL_SECTION_KEYWORDS_ISSR_208001433_13178">#REF!,#REF!</definedName>
    <definedName name="A_ALL_SECTION_KEYWORDS_ISSR_208001433_131O">#REF!,#REF!</definedName>
    <definedName name="A_ALL_SECTION_KEYWORDS_ISSR_208001433_136J" localSheetId="2">#REF!,#REF!</definedName>
    <definedName name="A_ALL_SECTION_KEYWORDS_ISSR_208001433_136J">#REF!,#REF!</definedName>
    <definedName name="A_ALL_SECTION_KEYWORDS_ISSR_208001433_13V" localSheetId="2">#REF!,#REF!</definedName>
    <definedName name="A_ALL_SECTION_KEYWORDS_ISSR_208001433_13V" localSheetId="18">#REF!,#REF!</definedName>
    <definedName name="A_ALL_SECTION_KEYWORDS_ISSR_208001433_13V">#REF!,#REF!</definedName>
    <definedName name="A_ALL_SECTION_KEYWORDS_ISSR_208002861_1314" localSheetId="17">#REF!</definedName>
    <definedName name="A_ALL_SECTION_KEYWORDS_ISSR_208002861_1314" localSheetId="14">#REF!</definedName>
    <definedName name="A_ALL_SECTION_KEYWORDS_ISSR_208002861_1314" localSheetId="18">#REF!</definedName>
    <definedName name="A_ALL_SECTION_KEYWORDS_ISSR_208002861_1314" localSheetId="19">#REF!</definedName>
    <definedName name="A_ALL_SECTION_KEYWORDS_ISSR_208002861_1314">#REF!</definedName>
    <definedName name="A_ALL_SECTION_KEYWORDS_ISSR_208002861_13168" localSheetId="17">#REF!</definedName>
    <definedName name="A_ALL_SECTION_KEYWORDS_ISSR_208002861_13168" localSheetId="14">#REF!</definedName>
    <definedName name="A_ALL_SECTION_KEYWORDS_ISSR_208002861_13168" localSheetId="18">#REF!</definedName>
    <definedName name="A_ALL_SECTION_KEYWORDS_ISSR_208002861_13168" localSheetId="19">#REF!</definedName>
    <definedName name="A_ALL_SECTION_KEYWORDS_ISSR_208002861_13168">#REF!</definedName>
    <definedName name="A_ALL_SECTION_KEYWORDS_ISSR_208002861_1316S" localSheetId="17">#REF!</definedName>
    <definedName name="A_ALL_SECTION_KEYWORDS_ISSR_208002861_1316S" localSheetId="14">#REF!</definedName>
    <definedName name="A_ALL_SECTION_KEYWORDS_ISSR_208002861_1316S" localSheetId="18">#REF!</definedName>
    <definedName name="A_ALL_SECTION_KEYWORDS_ISSR_208002861_1316S" localSheetId="19">#REF!</definedName>
    <definedName name="A_ALL_SECTION_KEYWORDS_ISSR_208002861_1316S">#REF!</definedName>
    <definedName name="A_ALL_SECTION_KEYWORDS_ISSR_208002861_1316T" localSheetId="17">#REF!</definedName>
    <definedName name="A_ALL_SECTION_KEYWORDS_ISSR_208002861_1316T" localSheetId="14">#REF!</definedName>
    <definedName name="A_ALL_SECTION_KEYWORDS_ISSR_208002861_1316T" localSheetId="18">#REF!</definedName>
    <definedName name="A_ALL_SECTION_KEYWORDS_ISSR_208002861_1316T" localSheetId="19">#REF!</definedName>
    <definedName name="A_ALL_SECTION_KEYWORDS_ISSR_208002861_1316T">#REF!</definedName>
    <definedName name="A_ALL_SECTION_KEYWORDS_ISSR_208002861_1316U" localSheetId="17">#REF!</definedName>
    <definedName name="A_ALL_SECTION_KEYWORDS_ISSR_208002861_1316U" localSheetId="14">#REF!</definedName>
    <definedName name="A_ALL_SECTION_KEYWORDS_ISSR_208002861_1316U" localSheetId="18">#REF!</definedName>
    <definedName name="A_ALL_SECTION_KEYWORDS_ISSR_208002861_1316U" localSheetId="19">#REF!</definedName>
    <definedName name="A_ALL_SECTION_KEYWORDS_ISSR_208002861_1316U">#REF!</definedName>
    <definedName name="A_ALL_SECTION_KEYWORDS_ISSR_208002861_1319" localSheetId="17">#REF!</definedName>
    <definedName name="A_ALL_SECTION_KEYWORDS_ISSR_208002861_1319" localSheetId="14">#REF!</definedName>
    <definedName name="A_ALL_SECTION_KEYWORDS_ISSR_208002861_1319" localSheetId="18">#REF!</definedName>
    <definedName name="A_ALL_SECTION_KEYWORDS_ISSR_208002861_1319" localSheetId="19">#REF!</definedName>
    <definedName name="A_ALL_SECTION_KEYWORDS_ISSR_208002861_1319">#REF!</definedName>
    <definedName name="A_ALL_SECTION_KEYWORDS_ISSR_208002861_131E" localSheetId="17">#REF!</definedName>
    <definedName name="A_ALL_SECTION_KEYWORDS_ISSR_208002861_131E" localSheetId="14">#REF!</definedName>
    <definedName name="A_ALL_SECTION_KEYWORDS_ISSR_208002861_131E" localSheetId="18">#REF!</definedName>
    <definedName name="A_ALL_SECTION_KEYWORDS_ISSR_208002861_131E" localSheetId="19">#REF!</definedName>
    <definedName name="A_ALL_SECTION_KEYWORDS_ISSR_208002861_131E">#REF!</definedName>
    <definedName name="A_ALL_SECTION_KEYWORDS_ISSR_208002861_131J" localSheetId="17">#REF!</definedName>
    <definedName name="A_ALL_SECTION_KEYWORDS_ISSR_208002861_131J" localSheetId="14">#REF!</definedName>
    <definedName name="A_ALL_SECTION_KEYWORDS_ISSR_208002861_131J" localSheetId="18">#REF!</definedName>
    <definedName name="A_ALL_SECTION_KEYWORDS_ISSR_208002861_131J" localSheetId="19">#REF!</definedName>
    <definedName name="A_ALL_SECTION_KEYWORDS_ISSR_208002861_131J">#REF!</definedName>
    <definedName name="A_ALL_SECTION_KEYWORDS_ISSR_208002861_131O" localSheetId="17">#REF!</definedName>
    <definedName name="A_ALL_SECTION_KEYWORDS_ISSR_208002861_131O" localSheetId="14">#REF!</definedName>
    <definedName name="A_ALL_SECTION_KEYWORDS_ISSR_208002861_131O" localSheetId="18">#REF!</definedName>
    <definedName name="A_ALL_SECTION_KEYWORDS_ISSR_208002861_131O" localSheetId="19">#REF!</definedName>
    <definedName name="A_ALL_SECTION_KEYWORDS_ISSR_208002861_131O">#REF!</definedName>
    <definedName name="A_ALL_SECTION_KEYWORDS_ISSR_208002861_13U" localSheetId="17">#REF!</definedName>
    <definedName name="A_ALL_SECTION_KEYWORDS_ISSR_208002861_13U" localSheetId="14">#REF!</definedName>
    <definedName name="A_ALL_SECTION_KEYWORDS_ISSR_208002861_13U" localSheetId="18">#REF!</definedName>
    <definedName name="A_ALL_SECTION_KEYWORDS_ISSR_208002861_13U" localSheetId="19">#REF!</definedName>
    <definedName name="A_ALL_SECTION_KEYWORDS_ISSR_208002861_13U">#REF!</definedName>
    <definedName name="A_ALL_SECTION_KEYWORDS_ISSR_208002861_13V" localSheetId="17">#REF!</definedName>
    <definedName name="A_ALL_SECTION_KEYWORDS_ISSR_208002861_13V" localSheetId="14">#REF!</definedName>
    <definedName name="A_ALL_SECTION_KEYWORDS_ISSR_208002861_13V" localSheetId="18">#REF!</definedName>
    <definedName name="A_ALL_SECTION_KEYWORDS_ISSR_208002861_13V" localSheetId="19">#REF!</definedName>
    <definedName name="A_ALL_SECTION_KEYWORDS_ISSR_208002861_13V">#REF!</definedName>
    <definedName name="A_ALL_SECTION_KEYWORDS_ISSR_208002861_Reference_Data" localSheetId="17">#REF!</definedName>
    <definedName name="A_ALL_SECTION_KEYWORDS_ISSR_208002861_Reference_Data" localSheetId="14">#REF!</definedName>
    <definedName name="A_ALL_SECTION_KEYWORDS_ISSR_208002861_Reference_Data" localSheetId="18">#REF!</definedName>
    <definedName name="A_ALL_SECTION_KEYWORDS_ISSR_208002861_Reference_Data" localSheetId="19">#REF!</definedName>
    <definedName name="A_ALL_SECTION_KEYWORDS_ISSR_208002861_Reference_Data">#REF!</definedName>
    <definedName name="A_ALL_SECTION_KEYWORDS_ISSR_208006659_13173" localSheetId="2">#REF!,#REF!</definedName>
    <definedName name="A_ALL_SECTION_KEYWORDS_ISSR_208006659_13173">#REF!,#REF!</definedName>
    <definedName name="A_ALL_SECTION_KEYWORDS_ISSR_208006659_13178" localSheetId="18">#REF!,#REF!</definedName>
    <definedName name="A_ALL_SECTION_KEYWORDS_ISSR_208006659_13178">#REF!,#REF!</definedName>
    <definedName name="A_ALL_SECTION_KEYWORDS_ISSR_208006659_1319" localSheetId="18">#REF!,#REF!</definedName>
    <definedName name="A_ALL_SECTION_KEYWORDS_ISSR_208006659_1319">#REF!,#REF!</definedName>
    <definedName name="A_ALL_SECTION_KEYWORDS_ISSR_208006659_131O" localSheetId="2">#REF!,#REF!</definedName>
    <definedName name="A_ALL_SECTION_KEYWORDS_ISSR_208006659_131O">#REF!,#REF!</definedName>
    <definedName name="A_ALL_SECTION_KEYWORDS_ISSR_208006659_136J" localSheetId="2">#REF!,#REF!</definedName>
    <definedName name="A_ALL_SECTION_KEYWORDS_ISSR_208006659_136J">#REF!</definedName>
    <definedName name="A_ALL_SECTION_KEYWORDS_ISSR_208007415_13V" localSheetId="2">#REF!,#REF!</definedName>
    <definedName name="A_ALL_SECTION_KEYWORDS_ISSR_208007415_13V">#REF!,#REF!</definedName>
    <definedName name="A_ALL_SECTION_KEYWORDS_ISSR_208008646_13V" localSheetId="2">#REF!,#REF!</definedName>
    <definedName name="A_ALL_SECTION_KEYWORDS_ISSR_208008646_13V">#REF!,#REF!</definedName>
    <definedName name="A_ALL_SECTIONS_EQTY_200003162" localSheetId="2">#REF!,#REF!,#REF!,#REF!,#REF!,#REF!,#REF!,#REF!</definedName>
    <definedName name="A_ALL_SECTIONS_EQTY_200003162" localSheetId="14">#REF!,#REF!,#REF!,#REF!,#REF!,#REF!,#REF!,#REF!</definedName>
    <definedName name="A_ALL_SECTIONS_EQTY_200003162">#REF!,#REF!,#REF!,#REF!,#REF!,#REF!,#REF!,#REF!</definedName>
    <definedName name="A_ALL_SECTIONS_EQTY_200003170" localSheetId="2">#REF!,#REF!,#REF!,#REF!,#REF!,#REF!,#REF!,#REF!</definedName>
    <definedName name="A_ALL_SECTIONS_EQTY_200003170" localSheetId="14">#REF!,#REF!,#REF!,#REF!,#REF!,#REF!,#REF!,#REF!</definedName>
    <definedName name="A_ALL_SECTIONS_EQTY_200003170">#REF!,#REF!,#REF!,#REF!,#REF!,#REF!,#REF!,#REF!</definedName>
    <definedName name="A_ALL_SECTIONS_EQTY_200003173" localSheetId="2">#REF!,#REF!,#REF!,#REF!,#REF!,#REF!,#REF!,#REF!</definedName>
    <definedName name="A_ALL_SECTIONS_EQTY_200003173" localSheetId="14">#REF!,#REF!,#REF!,#REF!,#REF!,#REF!,#REF!,#REF!</definedName>
    <definedName name="A_ALL_SECTIONS_EQTY_200003173">#REF!,#REF!,#REF!,#REF!,#REF!,#REF!,#REF!,#REF!</definedName>
    <definedName name="A_ALL_SECTIONS_EQTY_200003183" localSheetId="2">#REF!,#REF!,#REF!,#REF!,#REF!,#REF!,#REF!,#REF!</definedName>
    <definedName name="A_ALL_SECTIONS_EQTY_200003183" localSheetId="14">#REF!,#REF!,#REF!,#REF!,#REF!,#REF!,#REF!,#REF!</definedName>
    <definedName name="A_ALL_SECTIONS_EQTY_200003183">#REF!,#REF!,#REF!,#REF!,#REF!,#REF!,#REF!,#REF!</definedName>
    <definedName name="A_ALL_SECTIONS_EQTY_200003821" localSheetId="2">#REF!,#REF!,#REF!,#REF!,#REF!,#REF!,#REF!,#REF!</definedName>
    <definedName name="A_ALL_SECTIONS_EQTY_200003821" localSheetId="14">#REF!,#REF!,#REF!,#REF!,#REF!,#REF!,#REF!,#REF!</definedName>
    <definedName name="A_ALL_SECTIONS_EQTY_200003821">#REF!,#REF!,#REF!,#REF!,#REF!,#REF!,#REF!,#REF!</definedName>
    <definedName name="A_ALL_SECTIONS_EQTY_200004285" localSheetId="2">#REF!,#REF!,#REF!,#REF!,#REF!,#REF!,#REF!,#REF!</definedName>
    <definedName name="A_ALL_SECTIONS_EQTY_200004285">#REF!,#REF!,#REF!,#REF!,#REF!,#REF!,#REF!,#REF!</definedName>
    <definedName name="A_ALL_SECTIONS_EQTY_200005121" localSheetId="2">#REF!,#REF!,#REF!,#REF!,#REF!,#REF!,#REF!,#REF!</definedName>
    <definedName name="A_ALL_SECTIONS_EQTY_200005121" localSheetId="14">#REF!,#REF!,#REF!,#REF!,#REF!,#REF!,#REF!,#REF!</definedName>
    <definedName name="A_ALL_SECTIONS_EQTY_200005121">#REF!,#REF!,#REF!,#REF!,#REF!,#REF!,#REF!,#REF!</definedName>
    <definedName name="A_ALL_SECTIONS_EQTY_200007513" localSheetId="2">#REF!,#REF!,#REF!,#REF!,#REF!,#REF!,#REF!,#REF!</definedName>
    <definedName name="A_ALL_SECTIONS_EQTY_200007513" localSheetId="14">#REF!,#REF!,#REF!,#REF!,#REF!,#REF!,#REF!,#REF!</definedName>
    <definedName name="A_ALL_SECTIONS_EQTY_200007513">#REF!,#REF!,#REF!,#REF!,#REF!,#REF!,#REF!,#REF!</definedName>
    <definedName name="A_ALL_SECTIONS_EQTY_200009618" localSheetId="2">#REF!,#REF!,#REF!,#REF!,#REF!,#REF!,#REF!,#REF!</definedName>
    <definedName name="A_ALL_SECTIONS_EQTY_200009618" localSheetId="14">#REF!,#REF!,#REF!,#REF!,#REF!,#REF!,#REF!,#REF!</definedName>
    <definedName name="A_ALL_SECTIONS_EQTY_200009618">#REF!,#REF!,#REF!,#REF!,#REF!,#REF!,#REF!,#REF!</definedName>
    <definedName name="A_ALL_SECTIONS_EQTY_200009619" localSheetId="2">#REF!,#REF!,#REF!,#REF!,#REF!,#REF!,#REF!,#REF!</definedName>
    <definedName name="A_ALL_SECTIONS_EQTY_200009619" localSheetId="14">#REF!,#REF!,#REF!,#REF!,#REF!,#REF!,#REF!,#REF!</definedName>
    <definedName name="A_ALL_SECTIONS_EQTY_200009619">#REF!,#REF!,#REF!,#REF!,#REF!,#REF!,#REF!,#REF!</definedName>
    <definedName name="A_ALL_SECTIONS_EQTY_200009620" localSheetId="2">#REF!,#REF!,#REF!,#REF!,#REF!,#REF!,#REF!,#REF!</definedName>
    <definedName name="A_ALL_SECTIONS_EQTY_200009620" localSheetId="14">#REF!,#REF!,#REF!,#REF!,#REF!,#REF!,#REF!,#REF!</definedName>
    <definedName name="A_ALL_SECTIONS_EQTY_200009620">#REF!,#REF!,#REF!,#REF!,#REF!,#REF!,#REF!,#REF!</definedName>
    <definedName name="A_ALL_SECTIONS_EQTY_200011295" localSheetId="2">#REF!,#REF!,#REF!,#REF!,#REF!,#REF!,#REF!,#REF!</definedName>
    <definedName name="A_ALL_SECTIONS_EQTY_200011295">#REF!,#REF!,#REF!,#REF!,#REF!,#REF!,#REF!,#REF!</definedName>
    <definedName name="A_ALL_SECTIONS_ISSR_208001092" localSheetId="2">#REF!,#REF!,#REF!,#REF!,#REF!,#REF!,#REF!,#REF!,#REF!,#REF!</definedName>
    <definedName name="A_ALL_SECTIONS_ISSR_208001092" localSheetId="14">#REF!,#REF!,#REF!,#REF!,#REF!,#REF!,#REF!,#REF!,#REF!,#REF!</definedName>
    <definedName name="A_ALL_SECTIONS_ISSR_208001092">#REF!,#REF!,#REF!,#REF!,#REF!,#REF!,#REF!,#REF!,#REF!,#REF!</definedName>
    <definedName name="A_ALL_SECTIONS_ISSR_208001096" localSheetId="2">#REF!,#REF!,#REF!,#REF!,#REF!,#REF!,#REF!,#REF!,#REF!,#REF!</definedName>
    <definedName name="A_ALL_SECTIONS_ISSR_208001096" localSheetId="14">#REF!,#REF!,#REF!,#REF!,#REF!,#REF!,#REF!,#REF!,#REF!,#REF!</definedName>
    <definedName name="A_ALL_SECTIONS_ISSR_208001096">#REF!,#REF!,#REF!,#REF!,#REF!,#REF!,#REF!,#REF!,#REF!,#REF!</definedName>
    <definedName name="A_ALL_SECTIONS_ISSR_208001098" localSheetId="2">#REF!,#REF!,#REF!,#REF!,#REF!,#REF!,#REF!,#REF!,#REF!,#REF!</definedName>
    <definedName name="A_ALL_SECTIONS_ISSR_208001098" localSheetId="14">#REF!,#REF!,#REF!,#REF!,#REF!,#REF!,#REF!,#REF!,#REF!,#REF!</definedName>
    <definedName name="A_ALL_SECTIONS_ISSR_208001098">#REF!,#REF!,#REF!,#REF!,#REF!,#REF!,#REF!,#REF!,#REF!,#REF!</definedName>
    <definedName name="A_ALL_SECTIONS_ISSR_208001100" localSheetId="2">#REF!,#REF!,#REF!,#REF!,#REF!,#REF!,#REF!,#REF!,#REF!,#REF!</definedName>
    <definedName name="A_ALL_SECTIONS_ISSR_208001100" localSheetId="14">#REF!,#REF!,#REF!,#REF!,#REF!,#REF!,#REF!,#REF!,#REF!,#REF!</definedName>
    <definedName name="A_ALL_SECTIONS_ISSR_208001100">#REF!,#REF!,#REF!,#REF!,#REF!,#REF!,#REF!,#REF!,#REF!,#REF!</definedName>
    <definedName name="A_ALL_SECTIONS_ISSR_208001129" localSheetId="2">#REF!,#REF!,#REF!,#REF!,#REF!,#REF!,#REF!,#REF!,#REF!,#REF!</definedName>
    <definedName name="A_ALL_SECTIONS_ISSR_208001129" localSheetId="14">#REF!,#REF!,#REF!,#REF!,#REF!,#REF!,#REF!,#REF!,#REF!,#REF!</definedName>
    <definedName name="A_ALL_SECTIONS_ISSR_208001129">#REF!,#REF!,#REF!,#REF!,#REF!,#REF!,#REF!,#REF!,#REF!,#REF!</definedName>
    <definedName name="A_ALL_SECTIONS_ISSR_208001433" localSheetId="2">#REF!,#REF!,#REF!,#REF!,#REF!,#REF!,#REF!,#REF!,#REF!,#REF!</definedName>
    <definedName name="A_ALL_SECTIONS_ISSR_208001433" localSheetId="14">#REF!,#REF!,#REF!,#REF!,#REF!,#REF!,#REF!,#REF!,#REF!,#REF!</definedName>
    <definedName name="A_ALL_SECTIONS_ISSR_208001433">#REF!,#REF!,#REF!,#REF!,#REF!,#REF!,#REF!,#REF!,#REF!,#REF!</definedName>
    <definedName name="A_ALL_SECTIONS_ISSR_208002861" localSheetId="2">#REF!,#REF!,#REF!,#REF!,#REF!,#REF!,#REF!,#REF!,#REF!,#REF!</definedName>
    <definedName name="A_ALL_SECTIONS_ISSR_208002861" localSheetId="14">#REF!,#REF!,#REF!,#REF!,#REF!,#REF!,#REF!,#REF!,#REF!,#REF!</definedName>
    <definedName name="A_ALL_SECTIONS_ISSR_208002861">#REF!,#REF!,#REF!,#REF!,#REF!,#REF!,#REF!,#REF!,#REF!,#REF!</definedName>
    <definedName name="A_ALL_SECTIONS_ISSR_208007413" localSheetId="2">#REF!,#REF!,#REF!,#REF!,#REF!,#REF!,#REF!,#REF!,#REF!,#REF!</definedName>
    <definedName name="A_ALL_SECTIONS_ISSR_208007413" localSheetId="14">#REF!,#REF!,#REF!,#REF!,#REF!,#REF!,#REF!,#REF!,#REF!,#REF!,#REF!,#REF!</definedName>
    <definedName name="A_ALL_SECTIONS_ISSR_208007413">#REF!,#REF!,#REF!,#REF!,#REF!,#REF!,#REF!,#REF!,#REF!,#REF!</definedName>
    <definedName name="A_ALL_SECTIONS_ISSR_208007414" localSheetId="2">#REF!,#REF!,#REF!,#REF!,#REF!,#REF!,#REF!,#REF!,#REF!</definedName>
    <definedName name="A_ALL_SECTIONS_ISSR_208007414" localSheetId="14">#REF!,#REF!,#REF!,#REF!,#REF!,#REF!,#REF!,#REF!,#REF!</definedName>
    <definedName name="A_ALL_SECTIONS_ISSR_208007414">#REF!,#REF!,#REF!,#REF!,#REF!,#REF!,#REF!,#REF!,#REF!</definedName>
    <definedName name="A_ALL_SECTIONS_ISSR_208007415" localSheetId="2">#REF!,#REF!,#REF!,#REF!,#REF!,#REF!,#REF!,#REF!,#REF!,#REF!</definedName>
    <definedName name="A_ALL_SECTIONS_ISSR_208007415" localSheetId="14">#REF!,#REF!,#REF!,#REF!,#REF!,#REF!,#REF!,#REF!,#REF!,#REF!</definedName>
    <definedName name="A_ALL_SECTIONS_ISSR_208007415">#REF!,#REF!,#REF!,#REF!,#REF!,#REF!,#REF!,#REF!,#REF!,#REF!</definedName>
    <definedName name="A_ALL_SECTIONS_ISSR_208008646" localSheetId="2">#REF!,#REF!,#REF!,#REF!,#REF!,#REF!,#REF!,#REF!,#REF!,#REF!</definedName>
    <definedName name="A_ALL_SECTIONS_ISSR_208008646">#REF!,#REF!,#REF!,#REF!,#REF!,#REF!,#REF!,#REF!,#REF!,#REF!</definedName>
    <definedName name="A_ALL_ULE.L" localSheetId="2">#REF!</definedName>
    <definedName name="A_ALL_ULE.L">#REF!</definedName>
    <definedName name="A_CURRENCY_EQTY_200007513_PRI" localSheetId="17">#REF!</definedName>
    <definedName name="A_CURRENCY_EQTY_200007513_PRI" localSheetId="14">#REF!</definedName>
    <definedName name="A_CURRENCY_EQTY_200007513_PRI" localSheetId="18">#REF!</definedName>
    <definedName name="A_CURRENCY_EQTY_200007513_PRI" localSheetId="19">#REF!</definedName>
    <definedName name="A_CURRENCY_EQTY_200007513_PRI">#REF!</definedName>
    <definedName name="A_CURRENCY_EQTY_200007513_PUB" localSheetId="17">#REF!</definedName>
    <definedName name="A_CURRENCY_EQTY_200007513_PUB" localSheetId="14">#REF!</definedName>
    <definedName name="A_CURRENCY_EQTY_200007513_PUB" localSheetId="18">#REF!</definedName>
    <definedName name="A_CURRENCY_EQTY_200007513_PUB" localSheetId="19">#REF!</definedName>
    <definedName name="A_CURRENCY_EQTY_200007513_PUB">#REF!</definedName>
    <definedName name="A_CURRENCY_EQTY_200007513_REP" localSheetId="17">#REF!</definedName>
    <definedName name="A_CURRENCY_EQTY_200007513_REP" localSheetId="14">#REF!</definedName>
    <definedName name="A_CURRENCY_EQTY_200007513_REP" localSheetId="18">#REF!</definedName>
    <definedName name="A_CURRENCY_EQTY_200007513_REP" localSheetId="19">#REF!</definedName>
    <definedName name="A_CURRENCY_EQTY_200007513_REP">#REF!</definedName>
    <definedName name="A_CURRENCY_ISSR_208002861_REP" localSheetId="17">#REF!</definedName>
    <definedName name="A_CURRENCY_ISSR_208002861_REP" localSheetId="14">#REF!</definedName>
    <definedName name="A_CURRENCY_ISSR_208002861_REP" localSheetId="18">#REF!</definedName>
    <definedName name="A_CURRENCY_ISSR_208002861_REP" localSheetId="19">#REF!</definedName>
    <definedName name="A_CURRENCY_ISSR_208002861_REP">#REF!</definedName>
    <definedName name="A_ENTITY_DATA_ISSR_208002861" localSheetId="17">#REF!</definedName>
    <definedName name="A_ENTITY_DATA_ISSR_208002861" localSheetId="14">#REF!</definedName>
    <definedName name="A_ENTITY_DATA_ISSR_208002861" localSheetId="18">#REF!</definedName>
    <definedName name="A_ENTITY_DATA_ISSR_208002861" localSheetId="19">#REF!</definedName>
    <definedName name="A_ENTITY_DATA_ISSR_208002861">#REF!</definedName>
    <definedName name="A_KEYWORD_EQTY_200007513_BETA_ANALYST" localSheetId="17">#REF!</definedName>
    <definedName name="A_KEYWORD_EQTY_200007513_BETA_ANALYST" localSheetId="14">#REF!</definedName>
    <definedName name="A_KEYWORD_EQTY_200007513_BETA_ANALYST" localSheetId="18">#REF!</definedName>
    <definedName name="A_KEYWORD_EQTY_200007513_BETA_ANALYST" localSheetId="19">#REF!</definedName>
    <definedName name="A_KEYWORD_EQTY_200007513_BETA_ANALYST">#REF!</definedName>
    <definedName name="A_KEYWORD_EQTY_200007513_BVPS" localSheetId="17">#REF!</definedName>
    <definedName name="A_KEYWORD_EQTY_200007513_BVPS" localSheetId="14">#REF!</definedName>
    <definedName name="A_KEYWORD_EQTY_200007513_BVPS" localSheetId="18">#REF!</definedName>
    <definedName name="A_KEYWORD_EQTY_200007513_BVPS" localSheetId="19">#REF!</definedName>
    <definedName name="A_KEYWORD_EQTY_200007513_BVPS">#REF!</definedName>
    <definedName name="A_KEYWORD_EQTY_200007513_BVPS_PUB" localSheetId="17">#REF!</definedName>
    <definedName name="A_KEYWORD_EQTY_200007513_BVPS_PUB" localSheetId="14">#REF!</definedName>
    <definedName name="A_KEYWORD_EQTY_200007513_BVPS_PUB" localSheetId="18">#REF!</definedName>
    <definedName name="A_KEYWORD_EQTY_200007513_BVPS_PUB" localSheetId="19">#REF!</definedName>
    <definedName name="A_KEYWORD_EQTY_200007513_BVPS_PUB">#REF!</definedName>
    <definedName name="A_KEYWORD_EQTY_200007513_CF_NI_PRE_PREF" localSheetId="17">#REF!</definedName>
    <definedName name="A_KEYWORD_EQTY_200007513_CF_NI_PRE_PREF" localSheetId="14">#REF!</definedName>
    <definedName name="A_KEYWORD_EQTY_200007513_CF_NI_PRE_PREF" localSheetId="18">#REF!</definedName>
    <definedName name="A_KEYWORD_EQTY_200007513_CF_NI_PRE_PREF" localSheetId="19">#REF!</definedName>
    <definedName name="A_KEYWORD_EQTY_200007513_CF_NI_PRE_PREF">#REF!</definedName>
    <definedName name="A_KEYWORD_EQTY_200007513_COMMON_DIV_PAID" localSheetId="17">#REF!</definedName>
    <definedName name="A_KEYWORD_EQTY_200007513_COMMON_DIV_PAID" localSheetId="14">#REF!</definedName>
    <definedName name="A_KEYWORD_EQTY_200007513_COMMON_DIV_PAID" localSheetId="18">#REF!</definedName>
    <definedName name="A_KEYWORD_EQTY_200007513_COMMON_DIV_PAID" localSheetId="19">#REF!</definedName>
    <definedName name="A_KEYWORD_EQTY_200007513_COMMON_DIV_PAID">#REF!</definedName>
    <definedName name="A_KEYWORD_EQTY_200007513_CURRENCY_ISO" localSheetId="17">#REF!</definedName>
    <definedName name="A_KEYWORD_EQTY_200007513_CURRENCY_ISO" localSheetId="14">#REF!</definedName>
    <definedName name="A_KEYWORD_EQTY_200007513_CURRENCY_ISO" localSheetId="18">#REF!</definedName>
    <definedName name="A_KEYWORD_EQTY_200007513_CURRENCY_ISO" localSheetId="19">#REF!</definedName>
    <definedName name="A_KEYWORD_EQTY_200007513_CURRENCY_ISO">#REF!</definedName>
    <definedName name="A_KEYWORD_EQTY_200007513_DILUTE_SHARES" localSheetId="17">#REF!</definedName>
    <definedName name="A_KEYWORD_EQTY_200007513_DILUTE_SHARES" localSheetId="14">#REF!</definedName>
    <definedName name="A_KEYWORD_EQTY_200007513_DILUTE_SHARES" localSheetId="18">#REF!</definedName>
    <definedName name="A_KEYWORD_EQTY_200007513_DILUTE_SHARES" localSheetId="19">#REF!</definedName>
    <definedName name="A_KEYWORD_EQTY_200007513_DILUTE_SHARES">#REF!</definedName>
    <definedName name="A_KEYWORD_EQTY_200007513_DPS" localSheetId="17">#REF!</definedName>
    <definedName name="A_KEYWORD_EQTY_200007513_DPS" localSheetId="14">#REF!</definedName>
    <definedName name="A_KEYWORD_EQTY_200007513_DPS" localSheetId="18">#REF!</definedName>
    <definedName name="A_KEYWORD_EQTY_200007513_DPS" localSheetId="19">#REF!</definedName>
    <definedName name="A_KEYWORD_EQTY_200007513_DPS">#REF!</definedName>
    <definedName name="A_KEYWORD_EQTY_200007513_DPS_PUB" localSheetId="17">#REF!</definedName>
    <definedName name="A_KEYWORD_EQTY_200007513_DPS_PUB" localSheetId="14">#REF!</definedName>
    <definedName name="A_KEYWORD_EQTY_200007513_DPS_PUB" localSheetId="18">#REF!</definedName>
    <definedName name="A_KEYWORD_EQTY_200007513_DPS_PUB" localSheetId="19">#REF!</definedName>
    <definedName name="A_KEYWORD_EQTY_200007513_DPS_PUB">#REF!</definedName>
    <definedName name="A_KEYWORD_EQTY_200007513_EBIT_PUB" localSheetId="17">#REF!</definedName>
    <definedName name="A_KEYWORD_EQTY_200007513_EBIT_PUB" localSheetId="14">#REF!</definedName>
    <definedName name="A_KEYWORD_EQTY_200007513_EBIT_PUB" localSheetId="18">#REF!</definedName>
    <definedName name="A_KEYWORD_EQTY_200007513_EBIT_PUB" localSheetId="19">#REF!</definedName>
    <definedName name="A_KEYWORD_EQTY_200007513_EBIT_PUB">#REF!</definedName>
    <definedName name="A_KEYWORD_EQTY_200007513_EBITDA_PUB" localSheetId="17">#REF!</definedName>
    <definedName name="A_KEYWORD_EQTY_200007513_EBITDA_PUB" localSheetId="14">#REF!</definedName>
    <definedName name="A_KEYWORD_EQTY_200007513_EBITDA_PUB" localSheetId="18">#REF!</definedName>
    <definedName name="A_KEYWORD_EQTY_200007513_EBITDA_PUB" localSheetId="19">#REF!</definedName>
    <definedName name="A_KEYWORD_EQTY_200007513_EBITDA_PUB">#REF!</definedName>
    <definedName name="A_KEYWORD_EQTY_200007513_EPS" localSheetId="17">#REF!</definedName>
    <definedName name="A_KEYWORD_EQTY_200007513_EPS" localSheetId="14">#REF!</definedName>
    <definedName name="A_KEYWORD_EQTY_200007513_EPS" localSheetId="18">#REF!</definedName>
    <definedName name="A_KEYWORD_EQTY_200007513_EPS" localSheetId="19">#REF!</definedName>
    <definedName name="A_KEYWORD_EQTY_200007513_EPS">#REF!</definedName>
    <definedName name="A_KEYWORD_EQTY_200007513_EPS_FUL_DIL" localSheetId="17">#REF!</definedName>
    <definedName name="A_KEYWORD_EQTY_200007513_EPS_FUL_DIL" localSheetId="14">#REF!</definedName>
    <definedName name="A_KEYWORD_EQTY_200007513_EPS_FUL_DIL" localSheetId="18">#REF!</definedName>
    <definedName name="A_KEYWORD_EQTY_200007513_EPS_FUL_DIL" localSheetId="19">#REF!</definedName>
    <definedName name="A_KEYWORD_EQTY_200007513_EPS_FUL_DIL">#REF!</definedName>
    <definedName name="A_KEYWORD_EQTY_200007513_EPS_POST_BASIC" localSheetId="17">#REF!</definedName>
    <definedName name="A_KEYWORD_EQTY_200007513_EPS_POST_BASIC" localSheetId="14">#REF!</definedName>
    <definedName name="A_KEYWORD_EQTY_200007513_EPS_POST_BASIC" localSheetId="18">#REF!</definedName>
    <definedName name="A_KEYWORD_EQTY_200007513_EPS_POST_BASIC" localSheetId="19">#REF!</definedName>
    <definedName name="A_KEYWORD_EQTY_200007513_EPS_POST_BASIC">#REF!</definedName>
    <definedName name="A_KEYWORD_EQTY_200007513_EPS_PUB" localSheetId="17">#REF!</definedName>
    <definedName name="A_KEYWORD_EQTY_200007513_EPS_PUB" localSheetId="14">#REF!</definedName>
    <definedName name="A_KEYWORD_EQTY_200007513_EPS_PUB" localSheetId="18">#REF!</definedName>
    <definedName name="A_KEYWORD_EQTY_200007513_EPS_PUB" localSheetId="19">#REF!</definedName>
    <definedName name="A_KEYWORD_EQTY_200007513_EPS_PUB">#REF!</definedName>
    <definedName name="A_KEYWORD_EQTY_200007513_EQ_PUB" localSheetId="17">#REF!</definedName>
    <definedName name="A_KEYWORD_EQTY_200007513_EQ_PUB" localSheetId="14">#REF!</definedName>
    <definedName name="A_KEYWORD_EQTY_200007513_EQ_PUB" localSheetId="18">#REF!</definedName>
    <definedName name="A_KEYWORD_EQTY_200007513_EQ_PUB" localSheetId="19">#REF!</definedName>
    <definedName name="A_KEYWORD_EQTY_200007513_EQ_PUB">#REF!</definedName>
    <definedName name="A_KEYWORD_EQTY_200007513_EURO_CONVICTION" localSheetId="17">#REF!</definedName>
    <definedName name="A_KEYWORD_EQTY_200007513_EURO_CONVICTION" localSheetId="14">#REF!</definedName>
    <definedName name="A_KEYWORD_EQTY_200007513_EURO_CONVICTION" localSheetId="18">#REF!</definedName>
    <definedName name="A_KEYWORD_EQTY_200007513_EURO_CONVICTION" localSheetId="19">#REF!</definedName>
    <definedName name="A_KEYWORD_EQTY_200007513_EURO_CONVICTION">#REF!</definedName>
    <definedName name="A_KEYWORD_EQTY_200007513_EURO_LIST" localSheetId="17">#REF!</definedName>
    <definedName name="A_KEYWORD_EQTY_200007513_EURO_LIST" localSheetId="14">#REF!</definedName>
    <definedName name="A_KEYWORD_EQTY_200007513_EURO_LIST" localSheetId="18">#REF!</definedName>
    <definedName name="A_KEYWORD_EQTY_200007513_EURO_LIST" localSheetId="19">#REF!</definedName>
    <definedName name="A_KEYWORD_EQTY_200007513_EURO_LIST">#REF!</definedName>
    <definedName name="A_KEYWORD_EQTY_200007513_EV_ADJ_PUB" localSheetId="17">#REF!</definedName>
    <definedName name="A_KEYWORD_EQTY_200007513_EV_ADJ_PUB" localSheetId="14">#REF!</definedName>
    <definedName name="A_KEYWORD_EQTY_200007513_EV_ADJ_PUB" localSheetId="18">#REF!</definedName>
    <definedName name="A_KEYWORD_EQTY_200007513_EV_ADJ_PUB" localSheetId="19">#REF!</definedName>
    <definedName name="A_KEYWORD_EQTY_200007513_EV_ADJ_PUB">#REF!</definedName>
    <definedName name="A_KEYWORD_EQTY_200007513_FREE_FLOAT" localSheetId="17">#REF!</definedName>
    <definedName name="A_KEYWORD_EQTY_200007513_FREE_FLOAT" localSheetId="14">#REF!</definedName>
    <definedName name="A_KEYWORD_EQTY_200007513_FREE_FLOAT" localSheetId="18">#REF!</definedName>
    <definedName name="A_KEYWORD_EQTY_200007513_FREE_FLOAT" localSheetId="19">#REF!</definedName>
    <definedName name="A_KEYWORD_EQTY_200007513_FREE_FLOAT">#REF!</definedName>
    <definedName name="A_KEYWORD_EQTY_200007513_FULLY_DIL_EPS" localSheetId="17">#REF!</definedName>
    <definedName name="A_KEYWORD_EQTY_200007513_FULLY_DIL_EPS" localSheetId="14">#REF!</definedName>
    <definedName name="A_KEYWORD_EQTY_200007513_FULLY_DIL_EPS" localSheetId="18">#REF!</definedName>
    <definedName name="A_KEYWORD_EQTY_200007513_FULLY_DIL_EPS" localSheetId="19">#REF!</definedName>
    <definedName name="A_KEYWORD_EQTY_200007513_FULLY_DIL_EPS">#REF!</definedName>
    <definedName name="A_KEYWORD_EQTY_200007513_INC_MINORITY" localSheetId="17">#REF!</definedName>
    <definedName name="A_KEYWORD_EQTY_200007513_INC_MINORITY" localSheetId="14">#REF!</definedName>
    <definedName name="A_KEYWORD_EQTY_200007513_INC_MINORITY" localSheetId="18">#REF!</definedName>
    <definedName name="A_KEYWORD_EQTY_200007513_INC_MINORITY" localSheetId="19">#REF!</definedName>
    <definedName name="A_KEYWORD_EQTY_200007513_INC_MINORITY">#REF!</definedName>
    <definedName name="A_KEYWORD_EQTY_200007513_Interim_Type" localSheetId="17">#REF!</definedName>
    <definedName name="A_KEYWORD_EQTY_200007513_Interim_Type" localSheetId="14">#REF!</definedName>
    <definedName name="A_KEYWORD_EQTY_200007513_Interim_Type" localSheetId="18">#REF!</definedName>
    <definedName name="A_KEYWORD_EQTY_200007513_Interim_Type" localSheetId="19">#REF!</definedName>
    <definedName name="A_KEYWORD_EQTY_200007513_Interim_Type">#REF!</definedName>
    <definedName name="A_KEYWORD_EQTY_200007513_LEGAL_RATING" localSheetId="17">#REF!</definedName>
    <definedName name="A_KEYWORD_EQTY_200007513_LEGAL_RATING" localSheetId="14">#REF!</definedName>
    <definedName name="A_KEYWORD_EQTY_200007513_LEGAL_RATING" localSheetId="18">#REF!</definedName>
    <definedName name="A_KEYWORD_EQTY_200007513_LEGAL_RATING" localSheetId="19">#REF!</definedName>
    <definedName name="A_KEYWORD_EQTY_200007513_LEGAL_RATING">#REF!</definedName>
    <definedName name="A_KEYWORD_EQTY_200007513_MARGIN_TAX_RATE" localSheetId="17">#REF!</definedName>
    <definedName name="A_KEYWORD_EQTY_200007513_MARGIN_TAX_RATE" localSheetId="14">#REF!</definedName>
    <definedName name="A_KEYWORD_EQTY_200007513_MARGIN_TAX_RATE" localSheetId="18">#REF!</definedName>
    <definedName name="A_KEYWORD_EQTY_200007513_MARGIN_TAX_RATE" localSheetId="19">#REF!</definedName>
    <definedName name="A_KEYWORD_EQTY_200007513_MARGIN_TAX_RATE">#REF!</definedName>
    <definedName name="A_KEYWORD_EQTY_200007513_MKT_EQ_RISK_PREM" localSheetId="17">#REF!</definedName>
    <definedName name="A_KEYWORD_EQTY_200007513_MKT_EQ_RISK_PREM" localSheetId="14">#REF!</definedName>
    <definedName name="A_KEYWORD_EQTY_200007513_MKT_EQ_RISK_PREM" localSheetId="18">#REF!</definedName>
    <definedName name="A_KEYWORD_EQTY_200007513_MKT_EQ_RISK_PREM" localSheetId="19">#REF!</definedName>
    <definedName name="A_KEYWORD_EQTY_200007513_MKT_EQ_RISK_PREM">#REF!</definedName>
    <definedName name="A_KEYWORD_EQTY_200007513_NET_DEBT_PUB" localSheetId="17">#REF!</definedName>
    <definedName name="A_KEYWORD_EQTY_200007513_NET_DEBT_PUB" localSheetId="14">#REF!</definedName>
    <definedName name="A_KEYWORD_EQTY_200007513_NET_DEBT_PUB" localSheetId="18">#REF!</definedName>
    <definedName name="A_KEYWORD_EQTY_200007513_NET_DEBT_PUB" localSheetId="19">#REF!</definedName>
    <definedName name="A_KEYWORD_EQTY_200007513_NET_DEBT_PUB">#REF!</definedName>
    <definedName name="A_KEYWORD_EQTY_200007513_NET_EARNING" localSheetId="17">#REF!</definedName>
    <definedName name="A_KEYWORD_EQTY_200007513_NET_EARNING" localSheetId="14">#REF!</definedName>
    <definedName name="A_KEYWORD_EQTY_200007513_NET_EARNING" localSheetId="18">#REF!</definedName>
    <definedName name="A_KEYWORD_EQTY_200007513_NET_EARNING" localSheetId="19">#REF!</definedName>
    <definedName name="A_KEYWORD_EQTY_200007513_NET_EARNING">#REF!</definedName>
    <definedName name="A_KEYWORD_EQTY_200007513_NET_INC" localSheetId="17">#REF!</definedName>
    <definedName name="A_KEYWORD_EQTY_200007513_NET_INC" localSheetId="14">#REF!</definedName>
    <definedName name="A_KEYWORD_EQTY_200007513_NET_INC" localSheetId="18">#REF!</definedName>
    <definedName name="A_KEYWORD_EQTY_200007513_NET_INC" localSheetId="19">#REF!</definedName>
    <definedName name="A_KEYWORD_EQTY_200007513_NET_INC">#REF!</definedName>
    <definedName name="A_KEYWORD_EQTY_200007513_NI_PRE_PREF" localSheetId="17">#REF!</definedName>
    <definedName name="A_KEYWORD_EQTY_200007513_NI_PRE_PREF" localSheetId="14">#REF!</definedName>
    <definedName name="A_KEYWORD_EQTY_200007513_NI_PRE_PREF" localSheetId="18">#REF!</definedName>
    <definedName name="A_KEYWORD_EQTY_200007513_NI_PRE_PREF" localSheetId="19">#REF!</definedName>
    <definedName name="A_KEYWORD_EQTY_200007513_NI_PRE_PREF">#REF!</definedName>
    <definedName name="A_KEYWORD_EQTY_200007513_NI_PUB" localSheetId="17">#REF!</definedName>
    <definedName name="A_KEYWORD_EQTY_200007513_NI_PUB" localSheetId="14">#REF!</definedName>
    <definedName name="A_KEYWORD_EQTY_200007513_NI_PUB" localSheetId="18">#REF!</definedName>
    <definedName name="A_KEYWORD_EQTY_200007513_NI_PUB" localSheetId="19">#REF!</definedName>
    <definedName name="A_KEYWORD_EQTY_200007513_NI_PUB">#REF!</definedName>
    <definedName name="A_KEYWORD_EQTY_200007513_NON_OP_ADD" localSheetId="17">#REF!</definedName>
    <definedName name="A_KEYWORD_EQTY_200007513_NON_OP_ADD" localSheetId="14">#REF!</definedName>
    <definedName name="A_KEYWORD_EQTY_200007513_NON_OP_ADD" localSheetId="18">#REF!</definedName>
    <definedName name="A_KEYWORD_EQTY_200007513_NON_OP_ADD" localSheetId="19">#REF!</definedName>
    <definedName name="A_KEYWORD_EQTY_200007513_NON_OP_ADD">#REF!</definedName>
    <definedName name="A_KEYWORD_EQTY_200007513_NUM_SH" localSheetId="17">#REF!</definedName>
    <definedName name="A_KEYWORD_EQTY_200007513_NUM_SH" localSheetId="14">#REF!</definedName>
    <definedName name="A_KEYWORD_EQTY_200007513_NUM_SH" localSheetId="18">#REF!</definedName>
    <definedName name="A_KEYWORD_EQTY_200007513_NUM_SH" localSheetId="19">#REF!</definedName>
    <definedName name="A_KEYWORD_EQTY_200007513_NUM_SH">#REF!</definedName>
    <definedName name="A_KEYWORD_EQTY_200007513_ORG_EPS" localSheetId="17">#REF!</definedName>
    <definedName name="A_KEYWORD_EQTY_200007513_ORG_EPS" localSheetId="14">#REF!</definedName>
    <definedName name="A_KEYWORD_EQTY_200007513_ORG_EPS" localSheetId="18">#REF!</definedName>
    <definedName name="A_KEYWORD_EQTY_200007513_ORG_EPS" localSheetId="19">#REF!</definedName>
    <definedName name="A_KEYWORD_EQTY_200007513_ORG_EPS">#REF!</definedName>
    <definedName name="A_KEYWORD_EQTY_200007513_ORG_NI" localSheetId="17">#REF!</definedName>
    <definedName name="A_KEYWORD_EQTY_200007513_ORG_NI" localSheetId="14">#REF!</definedName>
    <definedName name="A_KEYWORD_EQTY_200007513_ORG_NI" localSheetId="18">#REF!</definedName>
    <definedName name="A_KEYWORD_EQTY_200007513_ORG_NI" localSheetId="19">#REF!</definedName>
    <definedName name="A_KEYWORD_EQTY_200007513_ORG_NI">#REF!</definedName>
    <definedName name="A_KEYWORD_EQTY_200007513_PREF_DIV" localSheetId="17">#REF!</definedName>
    <definedName name="A_KEYWORD_EQTY_200007513_PREF_DIV" localSheetId="14">#REF!</definedName>
    <definedName name="A_KEYWORD_EQTY_200007513_PREF_DIV" localSheetId="18">#REF!</definedName>
    <definedName name="A_KEYWORD_EQTY_200007513_PREF_DIV" localSheetId="19">#REF!</definedName>
    <definedName name="A_KEYWORD_EQTY_200007513_PREF_DIV">#REF!</definedName>
    <definedName name="A_KEYWORD_EQTY_200007513_PRICE_CURRENCY_ISO" localSheetId="17">#REF!</definedName>
    <definedName name="A_KEYWORD_EQTY_200007513_PRICE_CURRENCY_ISO" localSheetId="14">#REF!</definedName>
    <definedName name="A_KEYWORD_EQTY_200007513_PRICE_CURRENCY_ISO" localSheetId="18">#REF!</definedName>
    <definedName name="A_KEYWORD_EQTY_200007513_PRICE_CURRENCY_ISO" localSheetId="19">#REF!</definedName>
    <definedName name="A_KEYWORD_EQTY_200007513_PRICE_CURRENCY_ISO">#REF!</definedName>
    <definedName name="A_KEYWORD_EQTY_200007513_PROV_INC_TAX" localSheetId="17">#REF!</definedName>
    <definedName name="A_KEYWORD_EQTY_200007513_PROV_INC_TAX" localSheetId="14">#REF!</definedName>
    <definedName name="A_KEYWORD_EQTY_200007513_PROV_INC_TAX" localSheetId="18">#REF!</definedName>
    <definedName name="A_KEYWORD_EQTY_200007513_PROV_INC_TAX" localSheetId="19">#REF!</definedName>
    <definedName name="A_KEYWORD_EQTY_200007513_PROV_INC_TAX">#REF!</definedName>
    <definedName name="A_KEYWORD_EQTY_200007513_PTP_PUB" localSheetId="17">#REF!</definedName>
    <definedName name="A_KEYWORD_EQTY_200007513_PTP_PUB" localSheetId="14">#REF!</definedName>
    <definedName name="A_KEYWORD_EQTY_200007513_PTP_PUB" localSheetId="18">#REF!</definedName>
    <definedName name="A_KEYWORD_EQTY_200007513_PTP_PUB" localSheetId="19">#REF!</definedName>
    <definedName name="A_KEYWORD_EQTY_200007513_PTP_PUB">#REF!</definedName>
    <definedName name="A_KEYWORD_EQTY_200007513_PUB_CURRENCY_ISO" localSheetId="17">#REF!</definedName>
    <definedName name="A_KEYWORD_EQTY_200007513_PUB_CURRENCY_ISO" localSheetId="14">#REF!</definedName>
    <definedName name="A_KEYWORD_EQTY_200007513_PUB_CURRENCY_ISO" localSheetId="18">#REF!</definedName>
    <definedName name="A_KEYWORD_EQTY_200007513_PUB_CURRENCY_ISO" localSheetId="19">#REF!</definedName>
    <definedName name="A_KEYWORD_EQTY_200007513_PUB_CURRENCY_ISO">#REF!</definedName>
    <definedName name="A_KEYWORD_EQTY_200007513_REVS_PUB" localSheetId="17">#REF!</definedName>
    <definedName name="A_KEYWORD_EQTY_200007513_REVS_PUB" localSheetId="14">#REF!</definedName>
    <definedName name="A_KEYWORD_EQTY_200007513_REVS_PUB" localSheetId="18">#REF!</definedName>
    <definedName name="A_KEYWORD_EQTY_200007513_REVS_PUB" localSheetId="19">#REF!</definedName>
    <definedName name="A_KEYWORD_EQTY_200007513_REVS_PUB">#REF!</definedName>
    <definedName name="A_KEYWORD_EQTY_200007513_RISK_FR_RATE" localSheetId="17">#REF!</definedName>
    <definedName name="A_KEYWORD_EQTY_200007513_RISK_FR_RATE" localSheetId="14">#REF!</definedName>
    <definedName name="A_KEYWORD_EQTY_200007513_RISK_FR_RATE" localSheetId="18">#REF!</definedName>
    <definedName name="A_KEYWORD_EQTY_200007513_RISK_FR_RATE" localSheetId="19">#REF!</definedName>
    <definedName name="A_KEYWORD_EQTY_200007513_RISK_FR_RATE">#REF!</definedName>
    <definedName name="A_KEYWORD_EQTY_200007513_Security_Name" localSheetId="17">#REF!</definedName>
    <definedName name="A_KEYWORD_EQTY_200007513_Security_Name" localSheetId="14">#REF!</definedName>
    <definedName name="A_KEYWORD_EQTY_200007513_Security_Name" localSheetId="18">#REF!</definedName>
    <definedName name="A_KEYWORD_EQTY_200007513_Security_Name" localSheetId="19">#REF!</definedName>
    <definedName name="A_KEYWORD_EQTY_200007513_Security_Name">#REF!</definedName>
    <definedName name="A_KEYWORD_EQTY_200007513_SH" localSheetId="17">#REF!</definedName>
    <definedName name="A_KEYWORD_EQTY_200007513_SH" localSheetId="14">#REF!</definedName>
    <definedName name="A_KEYWORD_EQTY_200007513_SH" localSheetId="18">#REF!</definedName>
    <definedName name="A_KEYWORD_EQTY_200007513_SH" localSheetId="19">#REF!</definedName>
    <definedName name="A_KEYWORD_EQTY_200007513_SH">#REF!</definedName>
    <definedName name="A_KEYWORD_EQTY_200007513_TARGET_PRICE" localSheetId="17">#REF!</definedName>
    <definedName name="A_KEYWORD_EQTY_200007513_TARGET_PRICE" localSheetId="14">#REF!</definedName>
    <definedName name="A_KEYWORD_EQTY_200007513_TARGET_PRICE" localSheetId="18">#REF!</definedName>
    <definedName name="A_KEYWORD_EQTY_200007513_TARGET_PRICE" localSheetId="19">#REF!</definedName>
    <definedName name="A_KEYWORD_EQTY_200007513_TARGET_PRICE">#REF!</definedName>
    <definedName name="A_KEYWORD_EQTY_200007513_TAX_EXC" localSheetId="17">#REF!</definedName>
    <definedName name="A_KEYWORD_EQTY_200007513_TAX_EXC" localSheetId="14">#REF!</definedName>
    <definedName name="A_KEYWORD_EQTY_200007513_TAX_EXC" localSheetId="18">#REF!</definedName>
    <definedName name="A_KEYWORD_EQTY_200007513_TAX_EXC" localSheetId="19">#REF!</definedName>
    <definedName name="A_KEYWORD_EQTY_200007513_TAX_EXC">#REF!</definedName>
    <definedName name="A_KEYWORD_EQTY_200007513_Ticker" localSheetId="17">#REF!</definedName>
    <definedName name="A_KEYWORD_EQTY_200007513_Ticker" localSheetId="14">#REF!</definedName>
    <definedName name="A_KEYWORD_EQTY_200007513_Ticker" localSheetId="18">#REF!</definedName>
    <definedName name="A_KEYWORD_EQTY_200007513_Ticker" localSheetId="19">#REF!</definedName>
    <definedName name="A_KEYWORD_EQTY_200007513_Ticker">#REF!</definedName>
    <definedName name="A_KEYWORD_EQTY_200007513_TP_PERIOD" localSheetId="17">#REF!</definedName>
    <definedName name="A_KEYWORD_EQTY_200007513_TP_PERIOD" localSheetId="14">#REF!</definedName>
    <definedName name="A_KEYWORD_EQTY_200007513_TP_PERIOD" localSheetId="18">#REF!</definedName>
    <definedName name="A_KEYWORD_EQTY_200007513_TP_PERIOD" localSheetId="19">#REF!</definedName>
    <definedName name="A_KEYWORD_EQTY_200007513_TP_PERIOD">#REF!</definedName>
    <definedName name="A_KEYWORD_ISSR_208002861_ACC_AMORT" localSheetId="17">#REF!</definedName>
    <definedName name="A_KEYWORD_ISSR_208002861_ACC_AMORT" localSheetId="14">#REF!</definedName>
    <definedName name="A_KEYWORD_ISSR_208002861_ACC_AMORT" localSheetId="18">#REF!</definedName>
    <definedName name="A_KEYWORD_ISSR_208002861_ACC_AMORT" localSheetId="19">#REF!</definedName>
    <definedName name="A_KEYWORD_ISSR_208002861_ACC_AMORT">#REF!</definedName>
    <definedName name="A_KEYWORD_ISSR_208002861_ACC_DDA" localSheetId="17">#REF!</definedName>
    <definedName name="A_KEYWORD_ISSR_208002861_ACC_DDA" localSheetId="14">#REF!</definedName>
    <definedName name="A_KEYWORD_ISSR_208002861_ACC_DDA" localSheetId="18">#REF!</definedName>
    <definedName name="A_KEYWORD_ISSR_208002861_ACC_DDA" localSheetId="19">#REF!</definedName>
    <definedName name="A_KEYWORD_ISSR_208002861_ACC_DDA">#REF!</definedName>
    <definedName name="A_KEYWORD_ISSR_208002861_ACC_END_DATE" localSheetId="17">#REF!</definedName>
    <definedName name="A_KEYWORD_ISSR_208002861_ACC_END_DATE" localSheetId="14">#REF!</definedName>
    <definedName name="A_KEYWORD_ISSR_208002861_ACC_END_DATE" localSheetId="18">#REF!</definedName>
    <definedName name="A_KEYWORD_ISSR_208002861_ACC_END_DATE" localSheetId="19">#REF!</definedName>
    <definedName name="A_KEYWORD_ISSR_208002861_ACC_END_DATE">#REF!</definedName>
    <definedName name="A_KEYWORD_ISSR_208002861_ACC_PAY_GQ" localSheetId="17">#REF!</definedName>
    <definedName name="A_KEYWORD_ISSR_208002861_ACC_PAY_GQ" localSheetId="14">#REF!</definedName>
    <definedName name="A_KEYWORD_ISSR_208002861_ACC_PAY_GQ" localSheetId="18">#REF!</definedName>
    <definedName name="A_KEYWORD_ISSR_208002861_ACC_PAY_GQ" localSheetId="19">#REF!</definedName>
    <definedName name="A_KEYWORD_ISSR_208002861_ACC_PAY_GQ">#REF!</definedName>
    <definedName name="A_KEYWORD_ISSR_208002861_ACQ" localSheetId="17">#REF!</definedName>
    <definedName name="A_KEYWORD_ISSR_208002861_ACQ" localSheetId="14">#REF!</definedName>
    <definedName name="A_KEYWORD_ISSR_208002861_ACQ" localSheetId="18">#REF!</definedName>
    <definedName name="A_KEYWORD_ISSR_208002861_ACQ" localSheetId="19">#REF!</definedName>
    <definedName name="A_KEYWORD_ISSR_208002861_ACQ">#REF!</definedName>
    <definedName name="A_KEYWORD_ISSR_208002861_ADJ_UNF_PENS_GOOD" localSheetId="17">#REF!</definedName>
    <definedName name="A_KEYWORD_ISSR_208002861_ADJ_UNF_PENS_GOOD" localSheetId="14">#REF!</definedName>
    <definedName name="A_KEYWORD_ISSR_208002861_ADJ_UNF_PENS_GOOD" localSheetId="18">#REF!</definedName>
    <definedName name="A_KEYWORD_ISSR_208002861_ADJ_UNF_PENS_GOOD" localSheetId="19">#REF!</definedName>
    <definedName name="A_KEYWORD_ISSR_208002861_ADJ_UNF_PENS_GOOD">#REF!</definedName>
    <definedName name="A_KEYWORD_ISSR_208002861_ASSOC_JV_ADDBK" localSheetId="17">#REF!</definedName>
    <definedName name="A_KEYWORD_ISSR_208002861_ASSOC_JV_ADDBK" localSheetId="14">#REF!</definedName>
    <definedName name="A_KEYWORD_ISSR_208002861_ASSOC_JV_ADDBK" localSheetId="18">#REF!</definedName>
    <definedName name="A_KEYWORD_ISSR_208002861_ASSOC_JV_ADDBK" localSheetId="19">#REF!</definedName>
    <definedName name="A_KEYWORD_ISSR_208002861_ASSOC_JV_ADDBK">#REF!</definedName>
    <definedName name="A_KEYWORD_ISSR_208002861_ASSOCIATE" localSheetId="17">#REF!</definedName>
    <definedName name="A_KEYWORD_ISSR_208002861_ASSOCIATE" localSheetId="14">#REF!</definedName>
    <definedName name="A_KEYWORD_ISSR_208002861_ASSOCIATE" localSheetId="18">#REF!</definedName>
    <definedName name="A_KEYWORD_ISSR_208002861_ASSOCIATE" localSheetId="19">#REF!</definedName>
    <definedName name="A_KEYWORD_ISSR_208002861_ASSOCIATE">#REF!</definedName>
    <definedName name="A_KEYWORD_ISSR_208002861_ASSOCIATE_OP" localSheetId="17">#REF!</definedName>
    <definedName name="A_KEYWORD_ISSR_208002861_ASSOCIATE_OP" localSheetId="14">#REF!</definedName>
    <definedName name="A_KEYWORD_ISSR_208002861_ASSOCIATE_OP" localSheetId="18">#REF!</definedName>
    <definedName name="A_KEYWORD_ISSR_208002861_ASSOCIATE_OP" localSheetId="19">#REF!</definedName>
    <definedName name="A_KEYWORD_ISSR_208002861_ASSOCIATE_OP">#REF!</definedName>
    <definedName name="A_KEYWORD_ISSR_208002861_BAL_MINO_INT" localSheetId="17">#REF!</definedName>
    <definedName name="A_KEYWORD_ISSR_208002861_BAL_MINO_INT" localSheetId="14">#REF!</definedName>
    <definedName name="A_KEYWORD_ISSR_208002861_BAL_MINO_INT" localSheetId="18">#REF!</definedName>
    <definedName name="A_KEYWORD_ISSR_208002861_BAL_MINO_INT" localSheetId="19">#REF!</definedName>
    <definedName name="A_KEYWORD_ISSR_208002861_BAL_MINO_INT">#REF!</definedName>
    <definedName name="A_KEYWORD_ISSR_208002861_CAP_LEASES" localSheetId="17">#REF!</definedName>
    <definedName name="A_KEYWORD_ISSR_208002861_CAP_LEASES" localSheetId="14">#REF!</definedName>
    <definedName name="A_KEYWORD_ISSR_208002861_CAP_LEASES" localSheetId="18">#REF!</definedName>
    <definedName name="A_KEYWORD_ISSR_208002861_CAP_LEASES" localSheetId="19">#REF!</definedName>
    <definedName name="A_KEYWORD_ISSR_208002861_CAP_LEASES">#REF!</definedName>
    <definedName name="A_KEYWORD_ISSR_208002861_CAPEX" localSheetId="17">#REF!</definedName>
    <definedName name="A_KEYWORD_ISSR_208002861_CAPEX" localSheetId="14">#REF!</definedName>
    <definedName name="A_KEYWORD_ISSR_208002861_CAPEX" localSheetId="18">#REF!</definedName>
    <definedName name="A_KEYWORD_ISSR_208002861_CAPEX" localSheetId="19">#REF!</definedName>
    <definedName name="A_KEYWORD_ISSR_208002861_CAPEX">#REF!</definedName>
    <definedName name="A_KEYWORD_ISSR_208002861_CAPEX_EXPANSION" localSheetId="17">#REF!</definedName>
    <definedName name="A_KEYWORD_ISSR_208002861_CAPEX_EXPANSION" localSheetId="14">#REF!</definedName>
    <definedName name="A_KEYWORD_ISSR_208002861_CAPEX_EXPANSION" localSheetId="18">#REF!</definedName>
    <definedName name="A_KEYWORD_ISSR_208002861_CAPEX_EXPANSION" localSheetId="19">#REF!</definedName>
    <definedName name="A_KEYWORD_ISSR_208002861_CAPEX_EXPANSION">#REF!</definedName>
    <definedName name="A_KEYWORD_ISSR_208002861_CAPEX_MAINTENANCE" localSheetId="17">#REF!</definedName>
    <definedName name="A_KEYWORD_ISSR_208002861_CAPEX_MAINTENANCE" localSheetId="14">#REF!</definedName>
    <definedName name="A_KEYWORD_ISSR_208002861_CAPEX_MAINTENANCE" localSheetId="18">#REF!</definedName>
    <definedName name="A_KEYWORD_ISSR_208002861_CAPEX_MAINTENANCE" localSheetId="19">#REF!</definedName>
    <definedName name="A_KEYWORD_ISSR_208002861_CAPEX_MAINTENANCE">#REF!</definedName>
    <definedName name="A_KEYWORD_ISSR_208002861_CASH_EQ" localSheetId="17">#REF!</definedName>
    <definedName name="A_KEYWORD_ISSR_208002861_CASH_EQ" localSheetId="14">#REF!</definedName>
    <definedName name="A_KEYWORD_ISSR_208002861_CASH_EQ" localSheetId="18">#REF!</definedName>
    <definedName name="A_KEYWORD_ISSR_208002861_CASH_EQ" localSheetId="19">#REF!</definedName>
    <definedName name="A_KEYWORD_ISSR_208002861_CASH_EQ">#REF!</definedName>
    <definedName name="A_KEYWORD_ISSR_208002861_CASH_INT_EXP" localSheetId="17">#REF!</definedName>
    <definedName name="A_KEYWORD_ISSR_208002861_CASH_INT_EXP" localSheetId="14">#REF!</definedName>
    <definedName name="A_KEYWORD_ISSR_208002861_CASH_INT_EXP" localSheetId="18">#REF!</definedName>
    <definedName name="A_KEYWORD_ISSR_208002861_CASH_INT_EXP" localSheetId="19">#REF!</definedName>
    <definedName name="A_KEYWORD_ISSR_208002861_CASH_INT_EXP">#REF!</definedName>
    <definedName name="A_KEYWORD_ISSR_208002861_CASH_INT_INC_EXP" localSheetId="17">#REF!</definedName>
    <definedName name="A_KEYWORD_ISSR_208002861_CASH_INT_INC_EXP" localSheetId="14">#REF!</definedName>
    <definedName name="A_KEYWORD_ISSR_208002861_CASH_INT_INC_EXP" localSheetId="18">#REF!</definedName>
    <definedName name="A_KEYWORD_ISSR_208002861_CASH_INT_INC_EXP" localSheetId="19">#REF!</definedName>
    <definedName name="A_KEYWORD_ISSR_208002861_CASH_INT_INC_EXP">#REF!</definedName>
    <definedName name="A_KEYWORD_ISSR_208002861_CASH_TAX_EXP" localSheetId="17">#REF!</definedName>
    <definedName name="A_KEYWORD_ISSR_208002861_CASH_TAX_EXP" localSheetId="14">#REF!</definedName>
    <definedName name="A_KEYWORD_ISSR_208002861_CASH_TAX_EXP" localSheetId="18">#REF!</definedName>
    <definedName name="A_KEYWORD_ISSR_208002861_CASH_TAX_EXP" localSheetId="19">#REF!</definedName>
    <definedName name="A_KEYWORD_ISSR_208002861_CASH_TAX_EXP">#REF!</definedName>
    <definedName name="A_KEYWORD_ISSR_208002861_CASH_TAX_PD" localSheetId="17">#REF!</definedName>
    <definedName name="A_KEYWORD_ISSR_208002861_CASH_TAX_PD" localSheetId="14">#REF!</definedName>
    <definedName name="A_KEYWORD_ISSR_208002861_CASH_TAX_PD" localSheetId="18">#REF!</definedName>
    <definedName name="A_KEYWORD_ISSR_208002861_CASH_TAX_PD" localSheetId="19">#REF!</definedName>
    <definedName name="A_KEYWORD_ISSR_208002861_CASH_TAX_PD">#REF!</definedName>
    <definedName name="A_KEYWORD_ISSR_208002861_CF_FIN" localSheetId="17">#REF!</definedName>
    <definedName name="A_KEYWORD_ISSR_208002861_CF_FIN" localSheetId="14">#REF!</definedName>
    <definedName name="A_KEYWORD_ISSR_208002861_CF_FIN" localSheetId="18">#REF!</definedName>
    <definedName name="A_KEYWORD_ISSR_208002861_CF_FIN" localSheetId="19">#REF!</definedName>
    <definedName name="A_KEYWORD_ISSR_208002861_CF_FIN">#REF!</definedName>
    <definedName name="A_KEYWORD_ISSR_208002861_CF_INC_MINORITY" localSheetId="17">#REF!</definedName>
    <definedName name="A_KEYWORD_ISSR_208002861_CF_INC_MINORITY" localSheetId="14">#REF!</definedName>
    <definedName name="A_KEYWORD_ISSR_208002861_CF_INC_MINORITY" localSheetId="18">#REF!</definedName>
    <definedName name="A_KEYWORD_ISSR_208002861_CF_INC_MINORITY" localSheetId="19">#REF!</definedName>
    <definedName name="A_KEYWORD_ISSR_208002861_CF_INC_MINORITY">#REF!</definedName>
    <definedName name="A_KEYWORD_ISSR_208002861_CF_INV" localSheetId="17">#REF!</definedName>
    <definedName name="A_KEYWORD_ISSR_208002861_CF_INV" localSheetId="14">#REF!</definedName>
    <definedName name="A_KEYWORD_ISSR_208002861_CF_INV" localSheetId="18">#REF!</definedName>
    <definedName name="A_KEYWORD_ISSR_208002861_CF_INV" localSheetId="19">#REF!</definedName>
    <definedName name="A_KEYWORD_ISSR_208002861_CF_INV">#REF!</definedName>
    <definedName name="A_KEYWORD_ISSR_208002861_CF_OPS" localSheetId="17">#REF!</definedName>
    <definedName name="A_KEYWORD_ISSR_208002861_CF_OPS" localSheetId="14">#REF!</definedName>
    <definedName name="A_KEYWORD_ISSR_208002861_CF_OPS" localSheetId="18">#REF!</definedName>
    <definedName name="A_KEYWORD_ISSR_208002861_CF_OPS" localSheetId="19">#REF!</definedName>
    <definedName name="A_KEYWORD_ISSR_208002861_CF_OPS">#REF!</definedName>
    <definedName name="A_KEYWORD_ISSR_208002861_CHG_LT_DEBT" localSheetId="17">#REF!</definedName>
    <definedName name="A_KEYWORD_ISSR_208002861_CHG_LT_DEBT" localSheetId="14">#REF!</definedName>
    <definedName name="A_KEYWORD_ISSR_208002861_CHG_LT_DEBT" localSheetId="18">#REF!</definedName>
    <definedName name="A_KEYWORD_ISSR_208002861_CHG_LT_DEBT" localSheetId="19">#REF!</definedName>
    <definedName name="A_KEYWORD_ISSR_208002861_CHG_LT_DEBT">#REF!</definedName>
    <definedName name="A_KEYWORD_ISSR_208002861_CO_BOR_MARGIN" localSheetId="17">#REF!</definedName>
    <definedName name="A_KEYWORD_ISSR_208002861_CO_BOR_MARGIN" localSheetId="14">#REF!</definedName>
    <definedName name="A_KEYWORD_ISSR_208002861_CO_BOR_MARGIN" localSheetId="18">#REF!</definedName>
    <definedName name="A_KEYWORD_ISSR_208002861_CO_BOR_MARGIN" localSheetId="19">#REF!</definedName>
    <definedName name="A_KEYWORD_ISSR_208002861_CO_BOR_MARGIN">#REF!</definedName>
    <definedName name="A_KEYWORD_ISSR_208002861_COST_GD_SD" localSheetId="17">#REF!</definedName>
    <definedName name="A_KEYWORD_ISSR_208002861_COST_GD_SD" localSheetId="14">#REF!</definedName>
    <definedName name="A_KEYWORD_ISSR_208002861_COST_GD_SD" localSheetId="18">#REF!</definedName>
    <definedName name="A_KEYWORD_ISSR_208002861_COST_GD_SD" localSheetId="19">#REF!</definedName>
    <definedName name="A_KEYWORD_ISSR_208002861_COST_GD_SD">#REF!</definedName>
    <definedName name="A_KEYWORD_ISSR_208002861_CUR_ASS" localSheetId="17">#REF!</definedName>
    <definedName name="A_KEYWORD_ISSR_208002861_CUR_ASS" localSheetId="14">#REF!</definedName>
    <definedName name="A_KEYWORD_ISSR_208002861_CUR_ASS" localSheetId="18">#REF!</definedName>
    <definedName name="A_KEYWORD_ISSR_208002861_CUR_ASS" localSheetId="19">#REF!</definedName>
    <definedName name="A_KEYWORD_ISSR_208002861_CUR_ASS">#REF!</definedName>
    <definedName name="A_KEYWORD_ISSR_208002861_CURRENCY_ISO" localSheetId="17">#REF!</definedName>
    <definedName name="A_KEYWORD_ISSR_208002861_CURRENCY_ISO" localSheetId="14">#REF!</definedName>
    <definedName name="A_KEYWORD_ISSR_208002861_CURRENCY_ISO" localSheetId="18">#REF!</definedName>
    <definedName name="A_KEYWORD_ISSR_208002861_CURRENCY_ISO" localSheetId="19">#REF!</definedName>
    <definedName name="A_KEYWORD_ISSR_208002861_CURRENCY_ISO">#REF!</definedName>
    <definedName name="A_KEYWORD_ISSR_208002861_DEBTORS" localSheetId="17">#REF!</definedName>
    <definedName name="A_KEYWORD_ISSR_208002861_DEBTORS" localSheetId="14">#REF!</definedName>
    <definedName name="A_KEYWORD_ISSR_208002861_DEBTORS" localSheetId="18">#REF!</definedName>
    <definedName name="A_KEYWORD_ISSR_208002861_DEBTORS" localSheetId="19">#REF!</definedName>
    <definedName name="A_KEYWORD_ISSR_208002861_DEBTORS">#REF!</definedName>
    <definedName name="A_KEYWORD_ISSR_208002861_DEF_INC_TAX" localSheetId="17">#REF!</definedName>
    <definedName name="A_KEYWORD_ISSR_208002861_DEF_INC_TAX" localSheetId="14">#REF!</definedName>
    <definedName name="A_KEYWORD_ISSR_208002861_DEF_INC_TAX" localSheetId="18">#REF!</definedName>
    <definedName name="A_KEYWORD_ISSR_208002861_DEF_INC_TAX" localSheetId="19">#REF!</definedName>
    <definedName name="A_KEYWORD_ISSR_208002861_DEF_INC_TAX">#REF!</definedName>
    <definedName name="A_KEYWORD_ISSR_208002861_DEPR_AMORT" localSheetId="17">#REF!</definedName>
    <definedName name="A_KEYWORD_ISSR_208002861_DEPR_AMORT" localSheetId="14">#REF!</definedName>
    <definedName name="A_KEYWORD_ISSR_208002861_DEPR_AMORT" localSheetId="18">#REF!</definedName>
    <definedName name="A_KEYWORD_ISSR_208002861_DEPR_AMORT" localSheetId="19">#REF!</definedName>
    <definedName name="A_KEYWORD_ISSR_208002861_DEPR_AMORT">#REF!</definedName>
    <definedName name="A_KEYWORD_ISSR_208002861_DEPREC" localSheetId="17">#REF!</definedName>
    <definedName name="A_KEYWORD_ISSR_208002861_DEPREC" localSheetId="14">#REF!</definedName>
    <definedName name="A_KEYWORD_ISSR_208002861_DEPREC" localSheetId="18">#REF!</definedName>
    <definedName name="A_KEYWORD_ISSR_208002861_DEPREC" localSheetId="19">#REF!</definedName>
    <definedName name="A_KEYWORD_ISSR_208002861_DEPREC">#REF!</definedName>
    <definedName name="A_KEYWORD_ISSR_208002861_DIV_PAID" localSheetId="17">#REF!</definedName>
    <definedName name="A_KEYWORD_ISSR_208002861_DIV_PAID" localSheetId="14">#REF!</definedName>
    <definedName name="A_KEYWORD_ISSR_208002861_DIV_PAID" localSheetId="18">#REF!</definedName>
    <definedName name="A_KEYWORD_ISSR_208002861_DIV_PAID" localSheetId="19">#REF!</definedName>
    <definedName name="A_KEYWORD_ISSR_208002861_DIV_PAID">#REF!</definedName>
    <definedName name="A_KEYWORD_ISSR_208002861_DIVDS_ASSOC_JV" localSheetId="17">#REF!</definedName>
    <definedName name="A_KEYWORD_ISSR_208002861_DIVDS_ASSOC_JV" localSheetId="14">#REF!</definedName>
    <definedName name="A_KEYWORD_ISSR_208002861_DIVDS_ASSOC_JV" localSheetId="18">#REF!</definedName>
    <definedName name="A_KEYWORD_ISSR_208002861_DIVDS_ASSOC_JV" localSheetId="19">#REF!</definedName>
    <definedName name="A_KEYWORD_ISSR_208002861_DIVDS_ASSOC_JV">#REF!</definedName>
    <definedName name="A_KEYWORD_ISSR_208002861_DIVDS_PD_MINORITIES" localSheetId="17">#REF!</definedName>
    <definedName name="A_KEYWORD_ISSR_208002861_DIVDS_PD_MINORITIES" localSheetId="14">#REF!</definedName>
    <definedName name="A_KEYWORD_ISSR_208002861_DIVDS_PD_MINORITIES" localSheetId="18">#REF!</definedName>
    <definedName name="A_KEYWORD_ISSR_208002861_DIVDS_PD_MINORITIES" localSheetId="19">#REF!</definedName>
    <definedName name="A_KEYWORD_ISSR_208002861_DIVDS_PD_MINORITIES">#REF!</definedName>
    <definedName name="A_KEYWORD_ISSR_208002861_DIVEST" localSheetId="17">#REF!</definedName>
    <definedName name="A_KEYWORD_ISSR_208002861_DIVEST" localSheetId="14">#REF!</definedName>
    <definedName name="A_KEYWORD_ISSR_208002861_DIVEST" localSheetId="18">#REF!</definedName>
    <definedName name="A_KEYWORD_ISSR_208002861_DIVEST" localSheetId="19">#REF!</definedName>
    <definedName name="A_KEYWORD_ISSR_208002861_DIVEST">#REF!</definedName>
    <definedName name="A_KEYWORD_ISSR_208002861_EBIT" localSheetId="17">#REF!</definedName>
    <definedName name="A_KEYWORD_ISSR_208002861_EBIT" localSheetId="14">#REF!</definedName>
    <definedName name="A_KEYWORD_ISSR_208002861_EBIT" localSheetId="18">#REF!</definedName>
    <definedName name="A_KEYWORD_ISSR_208002861_EBIT" localSheetId="19">#REF!</definedName>
    <definedName name="A_KEYWORD_ISSR_208002861_EBIT">#REF!</definedName>
    <definedName name="A_KEYWORD_ISSR_208002861_EBITDA_CALC" localSheetId="17">#REF!</definedName>
    <definedName name="A_KEYWORD_ISSR_208002861_EBITDA_CALC" localSheetId="14">#REF!</definedName>
    <definedName name="A_KEYWORD_ISSR_208002861_EBITDA_CALC" localSheetId="18">#REF!</definedName>
    <definedName name="A_KEYWORD_ISSR_208002861_EBITDA_CALC" localSheetId="19">#REF!</definedName>
    <definedName name="A_KEYWORD_ISSR_208002861_EBITDA_CALC">#REF!</definedName>
    <definedName name="A_KEYWORD_ISSR_208002861_EMPLOYEES" localSheetId="17">#REF!</definedName>
    <definedName name="A_KEYWORD_ISSR_208002861_EMPLOYEES" localSheetId="14">#REF!</definedName>
    <definedName name="A_KEYWORD_ISSR_208002861_EMPLOYEES" localSheetId="18">#REF!</definedName>
    <definedName name="A_KEYWORD_ISSR_208002861_EMPLOYEES" localSheetId="19">#REF!</definedName>
    <definedName name="A_KEYWORD_ISSR_208002861_EMPLOYEES">#REF!</definedName>
    <definedName name="A_KEYWORD_ISSR_208002861_EQ" localSheetId="17">#REF!</definedName>
    <definedName name="A_KEYWORD_ISSR_208002861_EQ" localSheetId="14">#REF!</definedName>
    <definedName name="A_KEYWORD_ISSR_208002861_EQ" localSheetId="18">#REF!</definedName>
    <definedName name="A_KEYWORD_ISSR_208002861_EQ" localSheetId="19">#REF!</definedName>
    <definedName name="A_KEYWORD_ISSR_208002861_EQ">#REF!</definedName>
    <definedName name="A_KEYWORD_ISSR_208002861_EXP_ALUMINIUM" localSheetId="17">#REF!</definedName>
    <definedName name="A_KEYWORD_ISSR_208002861_EXP_ALUMINIUM" localSheetId="14">#REF!</definedName>
    <definedName name="A_KEYWORD_ISSR_208002861_EXP_ALUMINIUM" localSheetId="18">#REF!</definedName>
    <definedName name="A_KEYWORD_ISSR_208002861_EXP_ALUMINIUM" localSheetId="19">#REF!</definedName>
    <definedName name="A_KEYWORD_ISSR_208002861_EXP_ALUMINIUM">#REF!</definedName>
    <definedName name="A_KEYWORD_ISSR_208002861_EXP_COPPER" localSheetId="17">#REF!</definedName>
    <definedName name="A_KEYWORD_ISSR_208002861_EXP_COPPER" localSheetId="14">#REF!</definedName>
    <definedName name="A_KEYWORD_ISSR_208002861_EXP_COPPER" localSheetId="18">#REF!</definedName>
    <definedName name="A_KEYWORD_ISSR_208002861_EXP_COPPER" localSheetId="19">#REF!</definedName>
    <definedName name="A_KEYWORD_ISSR_208002861_EXP_COPPER">#REF!</definedName>
    <definedName name="A_KEYWORD_ISSR_208002861_EXP_GLASS" localSheetId="17">#REF!</definedName>
    <definedName name="A_KEYWORD_ISSR_208002861_EXP_GLASS" localSheetId="14">#REF!</definedName>
    <definedName name="A_KEYWORD_ISSR_208002861_EXP_GLASS" localSheetId="18">#REF!</definedName>
    <definedName name="A_KEYWORD_ISSR_208002861_EXP_GLASS" localSheetId="19">#REF!</definedName>
    <definedName name="A_KEYWORD_ISSR_208002861_EXP_GLASS">#REF!</definedName>
    <definedName name="A_KEYWORD_ISSR_208002861_EXP_GOLD" localSheetId="17">#REF!</definedName>
    <definedName name="A_KEYWORD_ISSR_208002861_EXP_GOLD" localSheetId="14">#REF!</definedName>
    <definedName name="A_KEYWORD_ISSR_208002861_EXP_GOLD" localSheetId="18">#REF!</definedName>
    <definedName name="A_KEYWORD_ISSR_208002861_EXP_GOLD" localSheetId="19">#REF!</definedName>
    <definedName name="A_KEYWORD_ISSR_208002861_EXP_GOLD">#REF!</definedName>
    <definedName name="A_KEYWORD_ISSR_208002861_EXP_NAT_GAS" localSheetId="17">#REF!</definedName>
    <definedName name="A_KEYWORD_ISSR_208002861_EXP_NAT_GAS" localSheetId="14">#REF!</definedName>
    <definedName name="A_KEYWORD_ISSR_208002861_EXP_NAT_GAS" localSheetId="18">#REF!</definedName>
    <definedName name="A_KEYWORD_ISSR_208002861_EXP_NAT_GAS" localSheetId="19">#REF!</definedName>
    <definedName name="A_KEYWORD_ISSR_208002861_EXP_NAT_GAS">#REF!</definedName>
    <definedName name="A_KEYWORD_ISSR_208002861_EXP_NICKEL" localSheetId="17">#REF!</definedName>
    <definedName name="A_KEYWORD_ISSR_208002861_EXP_NICKEL" localSheetId="14">#REF!</definedName>
    <definedName name="A_KEYWORD_ISSR_208002861_EXP_NICKEL" localSheetId="18">#REF!</definedName>
    <definedName name="A_KEYWORD_ISSR_208002861_EXP_NICKEL" localSheetId="19">#REF!</definedName>
    <definedName name="A_KEYWORD_ISSR_208002861_EXP_NICKEL">#REF!</definedName>
    <definedName name="A_KEYWORD_ISSR_208002861_EXP_OIL_DERIV_NGLS_PLASTICS" localSheetId="17">#REF!</definedName>
    <definedName name="A_KEYWORD_ISSR_208002861_EXP_OIL_DERIV_NGLS_PLASTICS" localSheetId="14">#REF!</definedName>
    <definedName name="A_KEYWORD_ISSR_208002861_EXP_OIL_DERIV_NGLS_PLASTICS" localSheetId="18">#REF!</definedName>
    <definedName name="A_KEYWORD_ISSR_208002861_EXP_OIL_DERIV_NGLS_PLASTICS" localSheetId="19">#REF!</definedName>
    <definedName name="A_KEYWORD_ISSR_208002861_EXP_OIL_DERIV_NGLS_PLASTICS">#REF!</definedName>
    <definedName name="A_KEYWORD_ISSR_208002861_EXP_OIL_PETRO_FUEL" localSheetId="17">#REF!</definedName>
    <definedName name="A_KEYWORD_ISSR_208002861_EXP_OIL_PETRO_FUEL" localSheetId="14">#REF!</definedName>
    <definedName name="A_KEYWORD_ISSR_208002861_EXP_OIL_PETRO_FUEL" localSheetId="18">#REF!</definedName>
    <definedName name="A_KEYWORD_ISSR_208002861_EXP_OIL_PETRO_FUEL" localSheetId="19">#REF!</definedName>
    <definedName name="A_KEYWORD_ISSR_208002861_EXP_OIL_PETRO_FUEL">#REF!</definedName>
    <definedName name="A_KEYWORD_ISSR_208002861_EXP_OTH_COMMODITY" localSheetId="17">#REF!</definedName>
    <definedName name="A_KEYWORD_ISSR_208002861_EXP_OTH_COMMODITY" localSheetId="14">#REF!</definedName>
    <definedName name="A_KEYWORD_ISSR_208002861_EXP_OTH_COMMODITY" localSheetId="18">#REF!</definedName>
    <definedName name="A_KEYWORD_ISSR_208002861_EXP_OTH_COMMODITY" localSheetId="19">#REF!</definedName>
    <definedName name="A_KEYWORD_ISSR_208002861_EXP_OTH_COMMODITY">#REF!</definedName>
    <definedName name="A_KEYWORD_ISSR_208002861_EXP_OTH_COST" localSheetId="17">#REF!</definedName>
    <definedName name="A_KEYWORD_ISSR_208002861_EXP_OTH_COST" localSheetId="14">#REF!</definedName>
    <definedName name="A_KEYWORD_ISSR_208002861_EXP_OTH_COST" localSheetId="18">#REF!</definedName>
    <definedName name="A_KEYWORD_ISSR_208002861_EXP_OTH_COST" localSheetId="19">#REF!</definedName>
    <definedName name="A_KEYWORD_ISSR_208002861_EXP_OTH_COST">#REF!</definedName>
    <definedName name="A_KEYWORD_ISSR_208002861_EXP_PALLADIUM" localSheetId="17">#REF!</definedName>
    <definedName name="A_KEYWORD_ISSR_208002861_EXP_PALLADIUM" localSheetId="14">#REF!</definedName>
    <definedName name="A_KEYWORD_ISSR_208002861_EXP_PALLADIUM" localSheetId="18">#REF!</definedName>
    <definedName name="A_KEYWORD_ISSR_208002861_EXP_PALLADIUM" localSheetId="19">#REF!</definedName>
    <definedName name="A_KEYWORD_ISSR_208002861_EXP_PALLADIUM">#REF!</definedName>
    <definedName name="A_KEYWORD_ISSR_208002861_EXP_PLATINUM" localSheetId="17">#REF!</definedName>
    <definedName name="A_KEYWORD_ISSR_208002861_EXP_PLATINUM" localSheetId="14">#REF!</definedName>
    <definedName name="A_KEYWORD_ISSR_208002861_EXP_PLATINUM" localSheetId="18">#REF!</definedName>
    <definedName name="A_KEYWORD_ISSR_208002861_EXP_PLATINUM" localSheetId="19">#REF!</definedName>
    <definedName name="A_KEYWORD_ISSR_208002861_EXP_PLATINUM">#REF!</definedName>
    <definedName name="A_KEYWORD_ISSR_208002861_EXP_RUBBER" localSheetId="17">#REF!</definedName>
    <definedName name="A_KEYWORD_ISSR_208002861_EXP_RUBBER" localSheetId="14">#REF!</definedName>
    <definedName name="A_KEYWORD_ISSR_208002861_EXP_RUBBER" localSheetId="18">#REF!</definedName>
    <definedName name="A_KEYWORD_ISSR_208002861_EXP_RUBBER" localSheetId="19">#REF!</definedName>
    <definedName name="A_KEYWORD_ISSR_208002861_EXP_RUBBER">#REF!</definedName>
    <definedName name="A_KEYWORD_ISSR_208002861_EXP_SILVER" localSheetId="17">#REF!</definedName>
    <definedName name="A_KEYWORD_ISSR_208002861_EXP_SILVER" localSheetId="14">#REF!</definedName>
    <definedName name="A_KEYWORD_ISSR_208002861_EXP_SILVER" localSheetId="18">#REF!</definedName>
    <definedName name="A_KEYWORD_ISSR_208002861_EXP_SILVER" localSheetId="19">#REF!</definedName>
    <definedName name="A_KEYWORD_ISSR_208002861_EXP_SILVER">#REF!</definedName>
    <definedName name="A_KEYWORD_ISSR_208002861_EXP_STEEL" localSheetId="17">#REF!</definedName>
    <definedName name="A_KEYWORD_ISSR_208002861_EXP_STEEL" localSheetId="14">#REF!</definedName>
    <definedName name="A_KEYWORD_ISSR_208002861_EXP_STEEL" localSheetId="18">#REF!</definedName>
    <definedName name="A_KEYWORD_ISSR_208002861_EXP_STEEL" localSheetId="19">#REF!</definedName>
    <definedName name="A_KEYWORD_ISSR_208002861_EXP_STEEL">#REF!</definedName>
    <definedName name="A_KEYWORD_ISSR_208002861_EXP_WATER" localSheetId="17">#REF!</definedName>
    <definedName name="A_KEYWORD_ISSR_208002861_EXP_WATER" localSheetId="14">#REF!</definedName>
    <definedName name="A_KEYWORD_ISSR_208002861_EXP_WATER" localSheetId="18">#REF!</definedName>
    <definedName name="A_KEYWORD_ISSR_208002861_EXP_WATER" localSheetId="19">#REF!</definedName>
    <definedName name="A_KEYWORD_ISSR_208002861_EXP_WATER">#REF!</definedName>
    <definedName name="A_KEYWORD_ISSR_208002861_EXP_ZINC" localSheetId="17">#REF!</definedName>
    <definedName name="A_KEYWORD_ISSR_208002861_EXP_ZINC" localSheetId="14">#REF!</definedName>
    <definedName name="A_KEYWORD_ISSR_208002861_EXP_ZINC" localSheetId="18">#REF!</definedName>
    <definedName name="A_KEYWORD_ISSR_208002861_EXP_ZINC" localSheetId="19">#REF!</definedName>
    <definedName name="A_KEYWORD_ISSR_208002861_EXP_ZINC">#REF!</definedName>
    <definedName name="A_KEYWORD_ISSR_208002861_FIX_ASS_INV" localSheetId="17">#REF!</definedName>
    <definedName name="A_KEYWORD_ISSR_208002861_FIX_ASS_INV" localSheetId="14">#REF!</definedName>
    <definedName name="A_KEYWORD_ISSR_208002861_FIX_ASS_INV" localSheetId="18">#REF!</definedName>
    <definedName name="A_KEYWORD_ISSR_208002861_FIX_ASS_INV" localSheetId="19">#REF!</definedName>
    <definedName name="A_KEYWORD_ISSR_208002861_FIX_ASS_INV">#REF!</definedName>
    <definedName name="A_KEYWORD_ISSR_208002861_GCI_INFL" localSheetId="17">#REF!</definedName>
    <definedName name="A_KEYWORD_ISSR_208002861_GCI_INFL" localSheetId="14">#REF!</definedName>
    <definedName name="A_KEYWORD_ISSR_208002861_GCI_INFL" localSheetId="18">#REF!</definedName>
    <definedName name="A_KEYWORD_ISSR_208002861_GCI_INFL" localSheetId="19">#REF!</definedName>
    <definedName name="A_KEYWORD_ISSR_208002861_GCI_INFL">#REF!</definedName>
    <definedName name="A_KEYWORD_ISSR_208002861_GOODWILL_AMORT" localSheetId="17">#REF!</definedName>
    <definedName name="A_KEYWORD_ISSR_208002861_GOODWILL_AMORT" localSheetId="14">#REF!</definedName>
    <definedName name="A_KEYWORD_ISSR_208002861_GOODWILL_AMORT" localSheetId="18">#REF!</definedName>
    <definedName name="A_KEYWORD_ISSR_208002861_GOODWILL_AMORT" localSheetId="19">#REF!</definedName>
    <definedName name="A_KEYWORD_ISSR_208002861_GOODWILL_AMORT">#REF!</definedName>
    <definedName name="A_KEYWORD_ISSR_208002861_GR_FIX_ASS" localSheetId="17">#REF!</definedName>
    <definedName name="A_KEYWORD_ISSR_208002861_GR_FIX_ASS" localSheetId="14">#REF!</definedName>
    <definedName name="A_KEYWORD_ISSR_208002861_GR_FIX_ASS" localSheetId="18">#REF!</definedName>
    <definedName name="A_KEYWORD_ISSR_208002861_GR_FIX_ASS" localSheetId="19">#REF!</definedName>
    <definedName name="A_KEYWORD_ISSR_208002861_GR_FIX_ASS">#REF!</definedName>
    <definedName name="A_KEYWORD_ISSR_208002861_GR_INTANG" localSheetId="17">#REF!</definedName>
    <definedName name="A_KEYWORD_ISSR_208002861_GR_INTANG" localSheetId="14">#REF!</definedName>
    <definedName name="A_KEYWORD_ISSR_208002861_GR_INTANG" localSheetId="18">#REF!</definedName>
    <definedName name="A_KEYWORD_ISSR_208002861_GR_INTANG" localSheetId="19">#REF!</definedName>
    <definedName name="A_KEYWORD_ISSR_208002861_GR_INTANG">#REF!</definedName>
    <definedName name="A_KEYWORD_ISSR_208002861_GW_AMORT" localSheetId="17">#REF!</definedName>
    <definedName name="A_KEYWORD_ISSR_208002861_GW_AMORT" localSheetId="14">#REF!</definedName>
    <definedName name="A_KEYWORD_ISSR_208002861_GW_AMORT" localSheetId="18">#REF!</definedName>
    <definedName name="A_KEYWORD_ISSR_208002861_GW_AMORT" localSheetId="19">#REF!</definedName>
    <definedName name="A_KEYWORD_ISSR_208002861_GW_AMORT">#REF!</definedName>
    <definedName name="A_KEYWORD_ISSR_208002861_IND_SALES_BRAZIL" localSheetId="17">#REF!</definedName>
    <definedName name="A_KEYWORD_ISSR_208002861_IND_SALES_BRAZIL" localSheetId="14">#REF!</definedName>
    <definedName name="A_KEYWORD_ISSR_208002861_IND_SALES_BRAZIL" localSheetId="18">#REF!</definedName>
    <definedName name="A_KEYWORD_ISSR_208002861_IND_SALES_BRAZIL" localSheetId="19">#REF!</definedName>
    <definedName name="A_KEYWORD_ISSR_208002861_IND_SALES_BRAZIL">#REF!</definedName>
    <definedName name="A_KEYWORD_ISSR_208002861_IND_SALES_CEE" localSheetId="17">#REF!</definedName>
    <definedName name="A_KEYWORD_ISSR_208002861_IND_SALES_CEE" localSheetId="14">#REF!</definedName>
    <definedName name="A_KEYWORD_ISSR_208002861_IND_SALES_CEE" localSheetId="18">#REF!</definedName>
    <definedName name="A_KEYWORD_ISSR_208002861_IND_SALES_CEE" localSheetId="19">#REF!</definedName>
    <definedName name="A_KEYWORD_ISSR_208002861_IND_SALES_CEE">#REF!</definedName>
    <definedName name="A_KEYWORD_ISSR_208002861_IND_SALES_CHINA" localSheetId="17">#REF!</definedName>
    <definedName name="A_KEYWORD_ISSR_208002861_IND_SALES_CHINA" localSheetId="14">#REF!</definedName>
    <definedName name="A_KEYWORD_ISSR_208002861_IND_SALES_CHINA" localSheetId="18">#REF!</definedName>
    <definedName name="A_KEYWORD_ISSR_208002861_IND_SALES_CHINA" localSheetId="19">#REF!</definedName>
    <definedName name="A_KEYWORD_ISSR_208002861_IND_SALES_CHINA">#REF!</definedName>
    <definedName name="A_KEYWORD_ISSR_208002861_IND_SALES_CONS" localSheetId="17">#REF!</definedName>
    <definedName name="A_KEYWORD_ISSR_208002861_IND_SALES_CONS" localSheetId="14">#REF!</definedName>
    <definedName name="A_KEYWORD_ISSR_208002861_IND_SALES_CONS" localSheetId="18">#REF!</definedName>
    <definedName name="A_KEYWORD_ISSR_208002861_IND_SALES_CONS" localSheetId="19">#REF!</definedName>
    <definedName name="A_KEYWORD_ISSR_208002861_IND_SALES_CONS">#REF!</definedName>
    <definedName name="A_KEYWORD_ISSR_208002861_IND_SALES_EU_EX_UK" localSheetId="17">#REF!</definedName>
    <definedName name="A_KEYWORD_ISSR_208002861_IND_SALES_EU_EX_UK" localSheetId="14">#REF!</definedName>
    <definedName name="A_KEYWORD_ISSR_208002861_IND_SALES_EU_EX_UK" localSheetId="18">#REF!</definedName>
    <definedName name="A_KEYWORD_ISSR_208002861_IND_SALES_EU_EX_UK" localSheetId="19">#REF!</definedName>
    <definedName name="A_KEYWORD_ISSR_208002861_IND_SALES_EU_EX_UK">#REF!</definedName>
    <definedName name="A_KEYWORD_ISSR_208002861_IND_SALES_FINAN" localSheetId="17">#REF!</definedName>
    <definedName name="A_KEYWORD_ISSR_208002861_IND_SALES_FINAN" localSheetId="14">#REF!</definedName>
    <definedName name="A_KEYWORD_ISSR_208002861_IND_SALES_FINAN" localSheetId="18">#REF!</definedName>
    <definedName name="A_KEYWORD_ISSR_208002861_IND_SALES_FINAN" localSheetId="19">#REF!</definedName>
    <definedName name="A_KEYWORD_ISSR_208002861_IND_SALES_FINAN">#REF!</definedName>
    <definedName name="A_KEYWORD_ISSR_208002861_IND_SALES_FRA" localSheetId="17">#REF!</definedName>
    <definedName name="A_KEYWORD_ISSR_208002861_IND_SALES_FRA" localSheetId="14">#REF!</definedName>
    <definedName name="A_KEYWORD_ISSR_208002861_IND_SALES_FRA" localSheetId="18">#REF!</definedName>
    <definedName name="A_KEYWORD_ISSR_208002861_IND_SALES_FRA" localSheetId="19">#REF!</definedName>
    <definedName name="A_KEYWORD_ISSR_208002861_IND_SALES_FRA">#REF!</definedName>
    <definedName name="A_KEYWORD_ISSR_208002861_IND_SALES_GER" localSheetId="17">#REF!</definedName>
    <definedName name="A_KEYWORD_ISSR_208002861_IND_SALES_GER" localSheetId="14">#REF!</definedName>
    <definedName name="A_KEYWORD_ISSR_208002861_IND_SALES_GER" localSheetId="18">#REF!</definedName>
    <definedName name="A_KEYWORD_ISSR_208002861_IND_SALES_GER" localSheetId="19">#REF!</definedName>
    <definedName name="A_KEYWORD_ISSR_208002861_IND_SALES_GER">#REF!</definedName>
    <definedName name="A_KEYWORD_ISSR_208002861_IND_SALES_GOV" localSheetId="17">#REF!</definedName>
    <definedName name="A_KEYWORD_ISSR_208002861_IND_SALES_GOV" localSheetId="14">#REF!</definedName>
    <definedName name="A_KEYWORD_ISSR_208002861_IND_SALES_GOV" localSheetId="18">#REF!</definedName>
    <definedName name="A_KEYWORD_ISSR_208002861_IND_SALES_GOV" localSheetId="19">#REF!</definedName>
    <definedName name="A_KEYWORD_ISSR_208002861_IND_SALES_GOV">#REF!</definedName>
    <definedName name="A_KEYWORD_ISSR_208002861_IND_SALES_IND" localSheetId="17">#REF!</definedName>
    <definedName name="A_KEYWORD_ISSR_208002861_IND_SALES_IND" localSheetId="14">#REF!</definedName>
    <definedName name="A_KEYWORD_ISSR_208002861_IND_SALES_IND" localSheetId="18">#REF!</definedName>
    <definedName name="A_KEYWORD_ISSR_208002861_IND_SALES_IND" localSheetId="19">#REF!</definedName>
    <definedName name="A_KEYWORD_ISSR_208002861_IND_SALES_IND">#REF!</definedName>
    <definedName name="A_KEYWORD_ISSR_208002861_IND_SALES_INDIA" localSheetId="17">#REF!</definedName>
    <definedName name="A_KEYWORD_ISSR_208002861_IND_SALES_INDIA" localSheetId="14">#REF!</definedName>
    <definedName name="A_KEYWORD_ISSR_208002861_IND_SALES_INDIA" localSheetId="18">#REF!</definedName>
    <definedName name="A_KEYWORD_ISSR_208002861_IND_SALES_INDIA" localSheetId="19">#REF!</definedName>
    <definedName name="A_KEYWORD_ISSR_208002861_IND_SALES_INDIA">#REF!</definedName>
    <definedName name="A_KEYWORD_ISSR_208002861_IND_SALES_ITA" localSheetId="17">#REF!</definedName>
    <definedName name="A_KEYWORD_ISSR_208002861_IND_SALES_ITA" localSheetId="14">#REF!</definedName>
    <definedName name="A_KEYWORD_ISSR_208002861_IND_SALES_ITA" localSheetId="18">#REF!</definedName>
    <definedName name="A_KEYWORD_ISSR_208002861_IND_SALES_ITA" localSheetId="19">#REF!</definedName>
    <definedName name="A_KEYWORD_ISSR_208002861_IND_SALES_ITA">#REF!</definedName>
    <definedName name="A_KEYWORD_ISSR_208002861_IND_SALES_JAPAN" localSheetId="17">#REF!</definedName>
    <definedName name="A_KEYWORD_ISSR_208002861_IND_SALES_JAPAN" localSheetId="14">#REF!</definedName>
    <definedName name="A_KEYWORD_ISSR_208002861_IND_SALES_JAPAN" localSheetId="18">#REF!</definedName>
    <definedName name="A_KEYWORD_ISSR_208002861_IND_SALES_JAPAN" localSheetId="19">#REF!</definedName>
    <definedName name="A_KEYWORD_ISSR_208002861_IND_SALES_JAPAN">#REF!</definedName>
    <definedName name="A_KEYWORD_ISSR_208002861_IND_SALES_ME" localSheetId="17">#REF!</definedName>
    <definedName name="A_KEYWORD_ISSR_208002861_IND_SALES_ME" localSheetId="14">#REF!</definedName>
    <definedName name="A_KEYWORD_ISSR_208002861_IND_SALES_ME" localSheetId="18">#REF!</definedName>
    <definedName name="A_KEYWORD_ISSR_208002861_IND_SALES_ME" localSheetId="19">#REF!</definedName>
    <definedName name="A_KEYWORD_ISSR_208002861_IND_SALES_ME">#REF!</definedName>
    <definedName name="A_KEYWORD_ISSR_208002861_IND_SALES_NIGERIA" localSheetId="17">#REF!</definedName>
    <definedName name="A_KEYWORD_ISSR_208002861_IND_SALES_NIGERIA" localSheetId="14">#REF!</definedName>
    <definedName name="A_KEYWORD_ISSR_208002861_IND_SALES_NIGERIA" localSheetId="18">#REF!</definedName>
    <definedName name="A_KEYWORD_ISSR_208002861_IND_SALES_NIGERIA" localSheetId="19">#REF!</definedName>
    <definedName name="A_KEYWORD_ISSR_208002861_IND_SALES_NIGERIA">#REF!</definedName>
    <definedName name="A_KEYWORD_ISSR_208002861_IND_SALES_OTH_AEJ" localSheetId="17">#REF!</definedName>
    <definedName name="A_KEYWORD_ISSR_208002861_IND_SALES_OTH_AEJ" localSheetId="14">#REF!</definedName>
    <definedName name="A_KEYWORD_ISSR_208002861_IND_SALES_OTH_AEJ" localSheetId="18">#REF!</definedName>
    <definedName name="A_KEYWORD_ISSR_208002861_IND_SALES_OTH_AEJ" localSheetId="19">#REF!</definedName>
    <definedName name="A_KEYWORD_ISSR_208002861_IND_SALES_OTH_AEJ">#REF!</definedName>
    <definedName name="A_KEYWORD_ISSR_208002861_IND_SALES_OTH_AFRICA" localSheetId="17">#REF!</definedName>
    <definedName name="A_KEYWORD_ISSR_208002861_IND_SALES_OTH_AFRICA" localSheetId="14">#REF!</definedName>
    <definedName name="A_KEYWORD_ISSR_208002861_IND_SALES_OTH_AFRICA" localSheetId="18">#REF!</definedName>
    <definedName name="A_KEYWORD_ISSR_208002861_IND_SALES_OTH_AFRICA" localSheetId="19">#REF!</definedName>
    <definedName name="A_KEYWORD_ISSR_208002861_IND_SALES_OTH_AFRICA">#REF!</definedName>
    <definedName name="A_KEYWORD_ISSR_208002861_IND_SALES_OTH_AM" localSheetId="17">#REF!</definedName>
    <definedName name="A_KEYWORD_ISSR_208002861_IND_SALES_OTH_AM" localSheetId="14">#REF!</definedName>
    <definedName name="A_KEYWORD_ISSR_208002861_IND_SALES_OTH_AM" localSheetId="18">#REF!</definedName>
    <definedName name="A_KEYWORD_ISSR_208002861_IND_SALES_OTH_AM" localSheetId="19">#REF!</definedName>
    <definedName name="A_KEYWORD_ISSR_208002861_IND_SALES_OTH_AM">#REF!</definedName>
    <definedName name="A_KEYWORD_ISSR_208002861_IND_SALES_OTH_EMEA" localSheetId="17">#REF!</definedName>
    <definedName name="A_KEYWORD_ISSR_208002861_IND_SALES_OTH_EMEA" localSheetId="14">#REF!</definedName>
    <definedName name="A_KEYWORD_ISSR_208002861_IND_SALES_OTH_EMEA" localSheetId="18">#REF!</definedName>
    <definedName name="A_KEYWORD_ISSR_208002861_IND_SALES_OTH_EMEA" localSheetId="19">#REF!</definedName>
    <definedName name="A_KEYWORD_ISSR_208002861_IND_SALES_OTH_EMEA">#REF!</definedName>
    <definedName name="A_KEYWORD_ISSR_208002861_IND_SALES_OTH_EU_EX_UK" localSheetId="17">#REF!</definedName>
    <definedName name="A_KEYWORD_ISSR_208002861_IND_SALES_OTH_EU_EX_UK" localSheetId="14">#REF!</definedName>
    <definedName name="A_KEYWORD_ISSR_208002861_IND_SALES_OTH_EU_EX_UK" localSheetId="18">#REF!</definedName>
    <definedName name="A_KEYWORD_ISSR_208002861_IND_SALES_OTH_EU_EX_UK" localSheetId="19">#REF!</definedName>
    <definedName name="A_KEYWORD_ISSR_208002861_IND_SALES_OTH_EU_EX_UK">#REF!</definedName>
    <definedName name="A_KEYWORD_ISSR_208002861_IND_SALES_OTHER" localSheetId="17">#REF!</definedName>
    <definedName name="A_KEYWORD_ISSR_208002861_IND_SALES_OTHER" localSheetId="14">#REF!</definedName>
    <definedName name="A_KEYWORD_ISSR_208002861_IND_SALES_OTHER" localSheetId="18">#REF!</definedName>
    <definedName name="A_KEYWORD_ISSR_208002861_IND_SALES_OTHER" localSheetId="19">#REF!</definedName>
    <definedName name="A_KEYWORD_ISSR_208002861_IND_SALES_OTHER">#REF!</definedName>
    <definedName name="A_KEYWORD_ISSR_208002861_IND_SALES_RUSSIA" localSheetId="17">#REF!</definedName>
    <definedName name="A_KEYWORD_ISSR_208002861_IND_SALES_RUSSIA" localSheetId="14">#REF!</definedName>
    <definedName name="A_KEYWORD_ISSR_208002861_IND_SALES_RUSSIA" localSheetId="18">#REF!</definedName>
    <definedName name="A_KEYWORD_ISSR_208002861_IND_SALES_RUSSIA" localSheetId="19">#REF!</definedName>
    <definedName name="A_KEYWORD_ISSR_208002861_IND_SALES_RUSSIA">#REF!</definedName>
    <definedName name="A_KEYWORD_ISSR_208002861_IND_SALES_SO_AFRICA" localSheetId="17">#REF!</definedName>
    <definedName name="A_KEYWORD_ISSR_208002861_IND_SALES_SO_AFRICA" localSheetId="14">#REF!</definedName>
    <definedName name="A_KEYWORD_ISSR_208002861_IND_SALES_SO_AFRICA" localSheetId="18">#REF!</definedName>
    <definedName name="A_KEYWORD_ISSR_208002861_IND_SALES_SO_AFRICA" localSheetId="19">#REF!</definedName>
    <definedName name="A_KEYWORD_ISSR_208002861_IND_SALES_SO_AFRICA">#REF!</definedName>
    <definedName name="A_KEYWORD_ISSR_208002861_IND_SALES_SPA" localSheetId="17">#REF!</definedName>
    <definedName name="A_KEYWORD_ISSR_208002861_IND_SALES_SPA" localSheetId="14">#REF!</definedName>
    <definedName name="A_KEYWORD_ISSR_208002861_IND_SALES_SPA" localSheetId="18">#REF!</definedName>
    <definedName name="A_KEYWORD_ISSR_208002861_IND_SALES_SPA" localSheetId="19">#REF!</definedName>
    <definedName name="A_KEYWORD_ISSR_208002861_IND_SALES_SPA">#REF!</definedName>
    <definedName name="A_KEYWORD_ISSR_208002861_IND_SALES_TOT_AFRICA" localSheetId="17">#REF!</definedName>
    <definedName name="A_KEYWORD_ISSR_208002861_IND_SALES_TOT_AFRICA" localSheetId="14">#REF!</definedName>
    <definedName name="A_KEYWORD_ISSR_208002861_IND_SALES_TOT_AFRICA" localSheetId="18">#REF!</definedName>
    <definedName name="A_KEYWORD_ISSR_208002861_IND_SALES_TOT_AFRICA" localSheetId="19">#REF!</definedName>
    <definedName name="A_KEYWORD_ISSR_208002861_IND_SALES_TOT_AFRICA">#REF!</definedName>
    <definedName name="A_KEYWORD_ISSR_208002861_IND_SALES_TOT_AM" localSheetId="17">#REF!</definedName>
    <definedName name="A_KEYWORD_ISSR_208002861_IND_SALES_TOT_AM" localSheetId="14">#REF!</definedName>
    <definedName name="A_KEYWORD_ISSR_208002861_IND_SALES_TOT_AM" localSheetId="18">#REF!</definedName>
    <definedName name="A_KEYWORD_ISSR_208002861_IND_SALES_TOT_AM" localSheetId="19">#REF!</definedName>
    <definedName name="A_KEYWORD_ISSR_208002861_IND_SALES_TOT_AM">#REF!</definedName>
    <definedName name="A_KEYWORD_ISSR_208002861_IND_SALES_TOT_ASIA" localSheetId="17">#REF!</definedName>
    <definedName name="A_KEYWORD_ISSR_208002861_IND_SALES_TOT_ASIA" localSheetId="14">#REF!</definedName>
    <definedName name="A_KEYWORD_ISSR_208002861_IND_SALES_TOT_ASIA" localSheetId="18">#REF!</definedName>
    <definedName name="A_KEYWORD_ISSR_208002861_IND_SALES_TOT_ASIA" localSheetId="19">#REF!</definedName>
    <definedName name="A_KEYWORD_ISSR_208002861_IND_SALES_TOT_ASIA">#REF!</definedName>
    <definedName name="A_KEYWORD_ISSR_208002861_IND_SALES_TOT_EMEA" localSheetId="17">#REF!</definedName>
    <definedName name="A_KEYWORD_ISSR_208002861_IND_SALES_TOT_EMEA" localSheetId="14">#REF!</definedName>
    <definedName name="A_KEYWORD_ISSR_208002861_IND_SALES_TOT_EMEA" localSheetId="18">#REF!</definedName>
    <definedName name="A_KEYWORD_ISSR_208002861_IND_SALES_TOT_EMEA" localSheetId="19">#REF!</definedName>
    <definedName name="A_KEYWORD_ISSR_208002861_IND_SALES_TOT_EMEA">#REF!</definedName>
    <definedName name="A_KEYWORD_ISSR_208002861_IND_SALES_UK" localSheetId="17">#REF!</definedName>
    <definedName name="A_KEYWORD_ISSR_208002861_IND_SALES_UK" localSheetId="14">#REF!</definedName>
    <definedName name="A_KEYWORD_ISSR_208002861_IND_SALES_UK" localSheetId="18">#REF!</definedName>
    <definedName name="A_KEYWORD_ISSR_208002861_IND_SALES_UK" localSheetId="19">#REF!</definedName>
    <definedName name="A_KEYWORD_ISSR_208002861_IND_SALES_UK">#REF!</definedName>
    <definedName name="A_KEYWORD_ISSR_208002861_IND_SALES_US" localSheetId="17">#REF!</definedName>
    <definedName name="A_KEYWORD_ISSR_208002861_IND_SALES_US" localSheetId="14">#REF!</definedName>
    <definedName name="A_KEYWORD_ISSR_208002861_IND_SALES_US" localSheetId="18">#REF!</definedName>
    <definedName name="A_KEYWORD_ISSR_208002861_IND_SALES_US" localSheetId="19">#REF!</definedName>
    <definedName name="A_KEYWORD_ISSR_208002861_IND_SALES_US">#REF!</definedName>
    <definedName name="A_KEYWORD_ISSR_208002861_INT_EXP_IND" localSheetId="17">#REF!</definedName>
    <definedName name="A_KEYWORD_ISSR_208002861_INT_EXP_IND" localSheetId="14">#REF!</definedName>
    <definedName name="A_KEYWORD_ISSR_208002861_INT_EXP_IND" localSheetId="18">#REF!</definedName>
    <definedName name="A_KEYWORD_ISSR_208002861_INT_EXP_IND" localSheetId="19">#REF!</definedName>
    <definedName name="A_KEYWORD_ISSR_208002861_INT_EXP_IND">#REF!</definedName>
    <definedName name="A_KEYWORD_ISSR_208002861_INT_INC_IND" localSheetId="17">#REF!</definedName>
    <definedName name="A_KEYWORD_ISSR_208002861_INT_INC_IND" localSheetId="14">#REF!</definedName>
    <definedName name="A_KEYWORD_ISSR_208002861_INT_INC_IND" localSheetId="18">#REF!</definedName>
    <definedName name="A_KEYWORD_ISSR_208002861_INT_INC_IND" localSheetId="19">#REF!</definedName>
    <definedName name="A_KEYWORD_ISSR_208002861_INT_INC_IND">#REF!</definedName>
    <definedName name="A_KEYWORD_ISSR_208002861_INV_SECUR" localSheetId="17">#REF!</definedName>
    <definedName name="A_KEYWORD_ISSR_208002861_INV_SECUR" localSheetId="14">#REF!</definedName>
    <definedName name="A_KEYWORD_ISSR_208002861_INV_SECUR" localSheetId="18">#REF!</definedName>
    <definedName name="A_KEYWORD_ISSR_208002861_INV_SECUR" localSheetId="19">#REF!</definedName>
    <definedName name="A_KEYWORD_ISSR_208002861_INV_SECUR">#REF!</definedName>
    <definedName name="A_KEYWORD_ISSR_208002861_Issuer_Name" localSheetId="17">#REF!</definedName>
    <definedName name="A_KEYWORD_ISSR_208002861_Issuer_Name" localSheetId="14">#REF!</definedName>
    <definedName name="A_KEYWORD_ISSR_208002861_Issuer_Name" localSheetId="18">#REF!</definedName>
    <definedName name="A_KEYWORD_ISSR_208002861_Issuer_Name" localSheetId="19">#REF!</definedName>
    <definedName name="A_KEYWORD_ISSR_208002861_Issuer_Name">#REF!</definedName>
    <definedName name="A_KEYWORD_ISSR_208002861_LEASE_DEEM_DEPR" localSheetId="17">#REF!</definedName>
    <definedName name="A_KEYWORD_ISSR_208002861_LEASE_DEEM_DEPR" localSheetId="14">#REF!</definedName>
    <definedName name="A_KEYWORD_ISSR_208002861_LEASE_DEEM_DEPR" localSheetId="18">#REF!</definedName>
    <definedName name="A_KEYWORD_ISSR_208002861_LEASE_DEEM_DEPR" localSheetId="19">#REF!</definedName>
    <definedName name="A_KEYWORD_ISSR_208002861_LEASE_DEEM_DEPR">#REF!</definedName>
    <definedName name="A_KEYWORD_ISSR_208002861_LEASE_DEEM_INT" localSheetId="17">#REF!</definedName>
    <definedName name="A_KEYWORD_ISSR_208002861_LEASE_DEEM_INT" localSheetId="14">#REF!</definedName>
    <definedName name="A_KEYWORD_ISSR_208002861_LEASE_DEEM_INT" localSheetId="18">#REF!</definedName>
    <definedName name="A_KEYWORD_ISSR_208002861_LEASE_DEEM_INT" localSheetId="19">#REF!</definedName>
    <definedName name="A_KEYWORD_ISSR_208002861_LEASE_DEEM_INT">#REF!</definedName>
    <definedName name="A_KEYWORD_ISSR_208002861_LEASE_PAY" localSheetId="17">#REF!</definedName>
    <definedName name="A_KEYWORD_ISSR_208002861_LEASE_PAY" localSheetId="14">#REF!</definedName>
    <definedName name="A_KEYWORD_ISSR_208002861_LEASE_PAY" localSheetId="18">#REF!</definedName>
    <definedName name="A_KEYWORD_ISSR_208002861_LEASE_PAY" localSheetId="19">#REF!</definedName>
    <definedName name="A_KEYWORD_ISSR_208002861_LEASE_PAY">#REF!</definedName>
    <definedName name="A_KEYWORD_ISSR_208002861_LT_DEBT" localSheetId="17">#REF!</definedName>
    <definedName name="A_KEYWORD_ISSR_208002861_LT_DEBT" localSheetId="14">#REF!</definedName>
    <definedName name="A_KEYWORD_ISSR_208002861_LT_DEBT" localSheetId="18">#REF!</definedName>
    <definedName name="A_KEYWORD_ISSR_208002861_LT_DEBT" localSheetId="19">#REF!</definedName>
    <definedName name="A_KEYWORD_ISSR_208002861_LT_DEBT">#REF!</definedName>
    <definedName name="A_KEYWORD_ISSR_208002861_MINORITIES" localSheetId="17">#REF!</definedName>
    <definedName name="A_KEYWORD_ISSR_208002861_MINORITIES" localSheetId="14">#REF!</definedName>
    <definedName name="A_KEYWORD_ISSR_208002861_MINORITIES" localSheetId="18">#REF!</definedName>
    <definedName name="A_KEYWORD_ISSR_208002861_MINORITIES" localSheetId="19">#REF!</definedName>
    <definedName name="A_KEYWORD_ISSR_208002861_MINORITIES">#REF!</definedName>
    <definedName name="A_KEYWORD_ISSR_208002861_MV_ASSOCIATES" localSheetId="17">#REF!</definedName>
    <definedName name="A_KEYWORD_ISSR_208002861_MV_ASSOCIATES" localSheetId="14">#REF!</definedName>
    <definedName name="A_KEYWORD_ISSR_208002861_MV_ASSOCIATES" localSheetId="18">#REF!</definedName>
    <definedName name="A_KEYWORD_ISSR_208002861_MV_ASSOCIATES" localSheetId="19">#REF!</definedName>
    <definedName name="A_KEYWORD_ISSR_208002861_MV_ASSOCIATES">#REF!</definedName>
    <definedName name="A_KEYWORD_ISSR_208002861_NET_DEBT" localSheetId="17">#REF!</definedName>
    <definedName name="A_KEYWORD_ISSR_208002861_NET_DEBT" localSheetId="14">#REF!</definedName>
    <definedName name="A_KEYWORD_ISSR_208002861_NET_DEBT" localSheetId="18">#REF!</definedName>
    <definedName name="A_KEYWORD_ISSR_208002861_NET_DEBT" localSheetId="19">#REF!</definedName>
    <definedName name="A_KEYWORD_ISSR_208002861_NET_DEBT">#REF!</definedName>
    <definedName name="A_KEYWORD_ISSR_208002861_NET_DEBT_ADJ" localSheetId="17">#REF!</definedName>
    <definedName name="A_KEYWORD_ISSR_208002861_NET_DEBT_ADJ" localSheetId="14">#REF!</definedName>
    <definedName name="A_KEYWORD_ISSR_208002861_NET_DEBT_ADJ" localSheetId="18">#REF!</definedName>
    <definedName name="A_KEYWORD_ISSR_208002861_NET_DEBT_ADJ" localSheetId="19">#REF!</definedName>
    <definedName name="A_KEYWORD_ISSR_208002861_NET_DEBT_ADJ">#REF!</definedName>
    <definedName name="A_KEYWORD_ISSR_208002861_NET_FIX_ASS" localSheetId="17">#REF!</definedName>
    <definedName name="A_KEYWORD_ISSR_208002861_NET_FIX_ASS" localSheetId="14">#REF!</definedName>
    <definedName name="A_KEYWORD_ISSR_208002861_NET_FIX_ASS" localSheetId="18">#REF!</definedName>
    <definedName name="A_KEYWORD_ISSR_208002861_NET_FIX_ASS" localSheetId="19">#REF!</definedName>
    <definedName name="A_KEYWORD_ISSR_208002861_NET_FIX_ASS">#REF!</definedName>
    <definedName name="A_KEYWORD_ISSR_208002861_NET_INT_CH" localSheetId="17">#REF!</definedName>
    <definedName name="A_KEYWORD_ISSR_208002861_NET_INT_CH" localSheetId="14">#REF!</definedName>
    <definedName name="A_KEYWORD_ISSR_208002861_NET_INT_CH" localSheetId="18">#REF!</definedName>
    <definedName name="A_KEYWORD_ISSR_208002861_NET_INT_CH" localSheetId="19">#REF!</definedName>
    <definedName name="A_KEYWORD_ISSR_208002861_NET_INT_CH">#REF!</definedName>
    <definedName name="A_KEYWORD_ISSR_208002861_NET_INT_EXP" localSheetId="17">#REF!</definedName>
    <definedName name="A_KEYWORD_ISSR_208002861_NET_INT_EXP" localSheetId="14">#REF!</definedName>
    <definedName name="A_KEYWORD_ISSR_208002861_NET_INT_EXP" localSheetId="18">#REF!</definedName>
    <definedName name="A_KEYWORD_ISSR_208002861_NET_INT_EXP" localSheetId="19">#REF!</definedName>
    <definedName name="A_KEYWORD_ISSR_208002861_NET_INT_EXP">#REF!</definedName>
    <definedName name="A_KEYWORD_ISSR_208002861_NET_INTANG" localSheetId="17">#REF!</definedName>
    <definedName name="A_KEYWORD_ISSR_208002861_NET_INTANG" localSheetId="14">#REF!</definedName>
    <definedName name="A_KEYWORD_ISSR_208002861_NET_INTANG" localSheetId="18">#REF!</definedName>
    <definedName name="A_KEYWORD_ISSR_208002861_NET_INTANG" localSheetId="19">#REF!</definedName>
    <definedName name="A_KEYWORD_ISSR_208002861_NET_INTANG">#REF!</definedName>
    <definedName name="A_KEYWORD_ISSR_208002861_NONPPE_CAPEX" localSheetId="17">#REF!</definedName>
    <definedName name="A_KEYWORD_ISSR_208002861_NONPPE_CAPEX" localSheetId="14">#REF!</definedName>
    <definedName name="A_KEYWORD_ISSR_208002861_NONPPE_CAPEX" localSheetId="18">#REF!</definedName>
    <definedName name="A_KEYWORD_ISSR_208002861_NONPPE_CAPEX" localSheetId="19">#REF!</definedName>
    <definedName name="A_KEYWORD_ISSR_208002861_NONPPE_CAPEX">#REF!</definedName>
    <definedName name="A_KEYWORD_ISSR_208002861_OP_COST" localSheetId="17">#REF!</definedName>
    <definedName name="A_KEYWORD_ISSR_208002861_OP_COST" localSheetId="14">#REF!</definedName>
    <definedName name="A_KEYWORD_ISSR_208002861_OP_COST" localSheetId="18">#REF!</definedName>
    <definedName name="A_KEYWORD_ISSR_208002861_OP_COST" localSheetId="19">#REF!</definedName>
    <definedName name="A_KEYWORD_ISSR_208002861_OP_COST">#REF!</definedName>
    <definedName name="A_KEYWORD_ISSR_208002861_ORD_SH_FUND" localSheetId="17">#REF!</definedName>
    <definedName name="A_KEYWORD_ISSR_208002861_ORD_SH_FUND" localSheetId="14">#REF!</definedName>
    <definedName name="A_KEYWORD_ISSR_208002861_ORD_SH_FUND" localSheetId="18">#REF!</definedName>
    <definedName name="A_KEYWORD_ISSR_208002861_ORD_SH_FUND" localSheetId="19">#REF!</definedName>
    <definedName name="A_KEYWORD_ISSR_208002861_ORD_SH_FUND">#REF!</definedName>
    <definedName name="A_KEYWORD_ISSR_208002861_ORG_REV" localSheetId="17">#REF!</definedName>
    <definedName name="A_KEYWORD_ISSR_208002861_ORG_REV" localSheetId="14">#REF!</definedName>
    <definedName name="A_KEYWORD_ISSR_208002861_ORG_REV" localSheetId="18">#REF!</definedName>
    <definedName name="A_KEYWORD_ISSR_208002861_ORG_REV" localSheetId="19">#REF!</definedName>
    <definedName name="A_KEYWORD_ISSR_208002861_ORG_REV">#REF!</definedName>
    <definedName name="A_KEYWORD_ISSR_208002861_ORG_REV_GRTH" localSheetId="17">#REF!</definedName>
    <definedName name="A_KEYWORD_ISSR_208002861_ORG_REV_GRTH" localSheetId="14">#REF!</definedName>
    <definedName name="A_KEYWORD_ISSR_208002861_ORG_REV_GRTH" localSheetId="18">#REF!</definedName>
    <definedName name="A_KEYWORD_ISSR_208002861_ORG_REV_GRTH" localSheetId="19">#REF!</definedName>
    <definedName name="A_KEYWORD_ISSR_208002861_ORG_REV_GRTH">#REF!</definedName>
    <definedName name="A_KEYWORD_ISSR_208002861_OTH_COST_INC" localSheetId="17">#REF!</definedName>
    <definedName name="A_KEYWORD_ISSR_208002861_OTH_COST_INC" localSheetId="14">#REF!</definedName>
    <definedName name="A_KEYWORD_ISSR_208002861_OTH_COST_INC" localSheetId="18">#REF!</definedName>
    <definedName name="A_KEYWORD_ISSR_208002861_OTH_COST_INC" localSheetId="19">#REF!</definedName>
    <definedName name="A_KEYWORD_ISSR_208002861_OTH_COST_INC">#REF!</definedName>
    <definedName name="A_KEYWORD_ISSR_208002861_OTH_CUR_ASS" localSheetId="17">#REF!</definedName>
    <definedName name="A_KEYWORD_ISSR_208002861_OTH_CUR_ASS" localSheetId="14">#REF!</definedName>
    <definedName name="A_KEYWORD_ISSR_208002861_OTH_CUR_ASS" localSheetId="18">#REF!</definedName>
    <definedName name="A_KEYWORD_ISSR_208002861_OTH_CUR_ASS" localSheetId="19">#REF!</definedName>
    <definedName name="A_KEYWORD_ISSR_208002861_OTH_CUR_ASS">#REF!</definedName>
    <definedName name="A_KEYWORD_ISSR_208002861_OTH_CUR_LIABS" localSheetId="17">#REF!</definedName>
    <definedName name="A_KEYWORD_ISSR_208002861_OTH_CUR_LIABS" localSheetId="14">#REF!</definedName>
    <definedName name="A_KEYWORD_ISSR_208002861_OTH_CUR_LIABS" localSheetId="18">#REF!</definedName>
    <definedName name="A_KEYWORD_ISSR_208002861_OTH_CUR_LIABS" localSheetId="19">#REF!</definedName>
    <definedName name="A_KEYWORD_ISSR_208002861_OTH_CUR_LIABS">#REF!</definedName>
    <definedName name="A_KEYWORD_ISSR_208002861_OTH_DACF_ADJ" localSheetId="17">#REF!</definedName>
    <definedName name="A_KEYWORD_ISSR_208002861_OTH_DACF_ADJ" localSheetId="14">#REF!</definedName>
    <definedName name="A_KEYWORD_ISSR_208002861_OTH_DACF_ADJ" localSheetId="18">#REF!</definedName>
    <definedName name="A_KEYWORD_ISSR_208002861_OTH_DACF_ADJ" localSheetId="19">#REF!</definedName>
    <definedName name="A_KEYWORD_ISSR_208002861_OTH_DACF_ADJ">#REF!</definedName>
    <definedName name="A_KEYWORD_ISSR_208002861_OTH_FIN_CF" localSheetId="17">#REF!</definedName>
    <definedName name="A_KEYWORD_ISSR_208002861_OTH_FIN_CF" localSheetId="14">#REF!</definedName>
    <definedName name="A_KEYWORD_ISSR_208002861_OTH_FIN_CF" localSheetId="18">#REF!</definedName>
    <definedName name="A_KEYWORD_ISSR_208002861_OTH_FIN_CF" localSheetId="19">#REF!</definedName>
    <definedName name="A_KEYWORD_ISSR_208002861_OTH_FIN_CF">#REF!</definedName>
    <definedName name="A_KEYWORD_ISSR_208002861_OTH_GCI_ADJ" localSheetId="17">#REF!</definedName>
    <definedName name="A_KEYWORD_ISSR_208002861_OTH_GCI_ADJ" localSheetId="14">#REF!</definedName>
    <definedName name="A_KEYWORD_ISSR_208002861_OTH_GCI_ADJ" localSheetId="18">#REF!</definedName>
    <definedName name="A_KEYWORD_ISSR_208002861_OTH_GCI_ADJ" localSheetId="19">#REF!</definedName>
    <definedName name="A_KEYWORD_ISSR_208002861_OTH_GCI_ADJ">#REF!</definedName>
    <definedName name="A_KEYWORD_ISSR_208002861_OTH_INT_AMORT" localSheetId="17">#REF!</definedName>
    <definedName name="A_KEYWORD_ISSR_208002861_OTH_INT_AMORT" localSheetId="14">#REF!</definedName>
    <definedName name="A_KEYWORD_ISSR_208002861_OTH_INT_AMORT" localSheetId="18">#REF!</definedName>
    <definedName name="A_KEYWORD_ISSR_208002861_OTH_INT_AMORT" localSheetId="19">#REF!</definedName>
    <definedName name="A_KEYWORD_ISSR_208002861_OTH_INT_AMORT">#REF!</definedName>
    <definedName name="A_KEYWORD_ISSR_208002861_OTH_INV_CF" localSheetId="17">#REF!</definedName>
    <definedName name="A_KEYWORD_ISSR_208002861_OTH_INV_CF" localSheetId="14">#REF!</definedName>
    <definedName name="A_KEYWORD_ISSR_208002861_OTH_INV_CF" localSheetId="18">#REF!</definedName>
    <definedName name="A_KEYWORD_ISSR_208002861_OTH_INV_CF" localSheetId="19">#REF!</definedName>
    <definedName name="A_KEYWORD_ISSR_208002861_OTH_INV_CF">#REF!</definedName>
    <definedName name="A_KEYWORD_ISSR_208002861_OTH_ITEM_NCF" localSheetId="17">#REF!</definedName>
    <definedName name="A_KEYWORD_ISSR_208002861_OTH_ITEM_NCF" localSheetId="14">#REF!</definedName>
    <definedName name="A_KEYWORD_ISSR_208002861_OTH_ITEM_NCF" localSheetId="18">#REF!</definedName>
    <definedName name="A_KEYWORD_ISSR_208002861_OTH_ITEM_NCF" localSheetId="19">#REF!</definedName>
    <definedName name="A_KEYWORD_ISSR_208002861_OTH_ITEM_NCF">#REF!</definedName>
    <definedName name="A_KEYWORD_ISSR_208002861_OTH_LT_ASS" localSheetId="17">#REF!</definedName>
    <definedName name="A_KEYWORD_ISSR_208002861_OTH_LT_ASS" localSheetId="14">#REF!</definedName>
    <definedName name="A_KEYWORD_ISSR_208002861_OTH_LT_ASS" localSheetId="18">#REF!</definedName>
    <definedName name="A_KEYWORD_ISSR_208002861_OTH_LT_ASS" localSheetId="19">#REF!</definedName>
    <definedName name="A_KEYWORD_ISSR_208002861_OTH_LT_ASS">#REF!</definedName>
    <definedName name="A_KEYWORD_ISSR_208002861_OTH_LT_CRED_GQ" localSheetId="17">#REF!</definedName>
    <definedName name="A_KEYWORD_ISSR_208002861_OTH_LT_CRED_GQ" localSheetId="14">#REF!</definedName>
    <definedName name="A_KEYWORD_ISSR_208002861_OTH_LT_CRED_GQ" localSheetId="18">#REF!</definedName>
    <definedName name="A_KEYWORD_ISSR_208002861_OTH_LT_CRED_GQ" localSheetId="19">#REF!</definedName>
    <definedName name="A_KEYWORD_ISSR_208002861_OTH_LT_CRED_GQ">#REF!</definedName>
    <definedName name="A_KEYWORD_ISSR_208002861_OTH_NONCASH_ADJ" localSheetId="17">#REF!</definedName>
    <definedName name="A_KEYWORD_ISSR_208002861_OTH_NONCASH_ADJ" localSheetId="14">#REF!</definedName>
    <definedName name="A_KEYWORD_ISSR_208002861_OTH_NONCASH_ADJ" localSheetId="18">#REF!</definedName>
    <definedName name="A_KEYWORD_ISSR_208002861_OTH_NONCASH_ADJ" localSheetId="19">#REF!</definedName>
    <definedName name="A_KEYWORD_ISSR_208002861_OTH_NONCASH_ADJ">#REF!</definedName>
    <definedName name="A_KEYWORD_ISSR_208002861_OTH_OP_CF" localSheetId="17">#REF!</definedName>
    <definedName name="A_KEYWORD_ISSR_208002861_OTH_OP_CF" localSheetId="14">#REF!</definedName>
    <definedName name="A_KEYWORD_ISSR_208002861_OTH_OP_CF" localSheetId="18">#REF!</definedName>
    <definedName name="A_KEYWORD_ISSR_208002861_OTH_OP_CF" localSheetId="19">#REF!</definedName>
    <definedName name="A_KEYWORD_ISSR_208002861_OTH_OP_CF">#REF!</definedName>
    <definedName name="A_KEYWORD_ISSR_208002861_OTH_OP_INC_EXP" localSheetId="17">#REF!</definedName>
    <definedName name="A_KEYWORD_ISSR_208002861_OTH_OP_INC_EXP" localSheetId="14">#REF!</definedName>
    <definedName name="A_KEYWORD_ISSR_208002861_OTH_OP_INC_EXP" localSheetId="18">#REF!</definedName>
    <definedName name="A_KEYWORD_ISSR_208002861_OTH_OP_INC_EXP" localSheetId="19">#REF!</definedName>
    <definedName name="A_KEYWORD_ISSR_208002861_OTH_OP_INC_EXP">#REF!</definedName>
    <definedName name="A_KEYWORD_ISSR_208002861_PERIOD_MILESTONE" localSheetId="17">#REF!</definedName>
    <definedName name="A_KEYWORD_ISSR_208002861_PERIOD_MILESTONE" localSheetId="14">#REF!</definedName>
    <definedName name="A_KEYWORD_ISSR_208002861_PERIOD_MILESTONE" localSheetId="18">#REF!</definedName>
    <definedName name="A_KEYWORD_ISSR_208002861_PERIOD_MILESTONE" localSheetId="19">#REF!</definedName>
    <definedName name="A_KEYWORD_ISSR_208002861_PERIOD_MILESTONE">#REF!</definedName>
    <definedName name="A_KEYWORD_ISSR_208002861_PL_SALE_ASSETS" localSheetId="17">#REF!</definedName>
    <definedName name="A_KEYWORD_ISSR_208002861_PL_SALE_ASSETS" localSheetId="14">#REF!</definedName>
    <definedName name="A_KEYWORD_ISSR_208002861_PL_SALE_ASSETS" localSheetId="18">#REF!</definedName>
    <definedName name="A_KEYWORD_ISSR_208002861_PL_SALE_ASSETS" localSheetId="19">#REF!</definedName>
    <definedName name="A_KEYWORD_ISSR_208002861_PL_SALE_ASSETS">#REF!</definedName>
    <definedName name="A_KEYWORD_ISSR_208002861_PREF_SH" localSheetId="17">#REF!</definedName>
    <definedName name="A_KEYWORD_ISSR_208002861_PREF_SH" localSheetId="14">#REF!</definedName>
    <definedName name="A_KEYWORD_ISSR_208002861_PREF_SH" localSheetId="18">#REF!</definedName>
    <definedName name="A_KEYWORD_ISSR_208002861_PREF_SH" localSheetId="19">#REF!</definedName>
    <definedName name="A_KEYWORD_ISSR_208002861_PREF_SH">#REF!</definedName>
    <definedName name="A_KEYWORD_ISSR_208002861_PROFIT_ON_DISP" localSheetId="17">#REF!</definedName>
    <definedName name="A_KEYWORD_ISSR_208002861_PROFIT_ON_DISP" localSheetId="14">#REF!</definedName>
    <definedName name="A_KEYWORD_ISSR_208002861_PROFIT_ON_DISP" localSheetId="18">#REF!</definedName>
    <definedName name="A_KEYWORD_ISSR_208002861_PROFIT_ON_DISP" localSheetId="19">#REF!</definedName>
    <definedName name="A_KEYWORD_ISSR_208002861_PROFIT_ON_DISP">#REF!</definedName>
    <definedName name="A_KEYWORD_ISSR_208002861_PT_PROF" localSheetId="17">#REF!</definedName>
    <definedName name="A_KEYWORD_ISSR_208002861_PT_PROF" localSheetId="14">#REF!</definedName>
    <definedName name="A_KEYWORD_ISSR_208002861_PT_PROF" localSheetId="18">#REF!</definedName>
    <definedName name="A_KEYWORD_ISSR_208002861_PT_PROF" localSheetId="19">#REF!</definedName>
    <definedName name="A_KEYWORD_ISSR_208002861_PT_PROF">#REF!</definedName>
    <definedName name="A_KEYWORD_ISSR_208002861_RD_EXP" localSheetId="17">#REF!</definedName>
    <definedName name="A_KEYWORD_ISSR_208002861_RD_EXP" localSheetId="14">#REF!</definedName>
    <definedName name="A_KEYWORD_ISSR_208002861_RD_EXP" localSheetId="18">#REF!</definedName>
    <definedName name="A_KEYWORD_ISSR_208002861_RD_EXP" localSheetId="19">#REF!</definedName>
    <definedName name="A_KEYWORD_ISSR_208002861_RD_EXP">#REF!</definedName>
    <definedName name="A_KEYWORD_ISSR_208002861_SALES" localSheetId="17">#REF!</definedName>
    <definedName name="A_KEYWORD_ISSR_208002861_SALES" localSheetId="14">#REF!</definedName>
    <definedName name="A_KEYWORD_ISSR_208002861_SALES" localSheetId="18">#REF!</definedName>
    <definedName name="A_KEYWORD_ISSR_208002861_SALES" localSheetId="19">#REF!</definedName>
    <definedName name="A_KEYWORD_ISSR_208002861_SALES">#REF!</definedName>
    <definedName name="A_KEYWORD_ISSR_208002861_SALES_BRAZIL" localSheetId="17">#REF!</definedName>
    <definedName name="A_KEYWORD_ISSR_208002861_SALES_BRAZIL" localSheetId="14">#REF!</definedName>
    <definedName name="A_KEYWORD_ISSR_208002861_SALES_BRAZIL" localSheetId="18">#REF!</definedName>
    <definedName name="A_KEYWORD_ISSR_208002861_SALES_BRAZIL" localSheetId="19">#REF!</definedName>
    <definedName name="A_KEYWORD_ISSR_208002861_SALES_BRAZIL">#REF!</definedName>
    <definedName name="A_KEYWORD_ISSR_208002861_SALES_CEE" localSheetId="17">#REF!</definedName>
    <definedName name="A_KEYWORD_ISSR_208002861_SALES_CEE" localSheetId="14">#REF!</definedName>
    <definedName name="A_KEYWORD_ISSR_208002861_SALES_CEE" localSheetId="18">#REF!</definedName>
    <definedName name="A_KEYWORD_ISSR_208002861_SALES_CEE" localSheetId="19">#REF!</definedName>
    <definedName name="A_KEYWORD_ISSR_208002861_SALES_CEE">#REF!</definedName>
    <definedName name="A_KEYWORD_ISSR_208002861_SALES_CHINA" localSheetId="17">#REF!</definedName>
    <definedName name="A_KEYWORD_ISSR_208002861_SALES_CHINA" localSheetId="14">#REF!</definedName>
    <definedName name="A_KEYWORD_ISSR_208002861_SALES_CHINA" localSheetId="18">#REF!</definedName>
    <definedName name="A_KEYWORD_ISSR_208002861_SALES_CHINA" localSheetId="19">#REF!</definedName>
    <definedName name="A_KEYWORD_ISSR_208002861_SALES_CHINA">#REF!</definedName>
    <definedName name="A_KEYWORD_ISSR_208002861_SALES_CONS" localSheetId="17">#REF!</definedName>
    <definedName name="A_KEYWORD_ISSR_208002861_SALES_CONS" localSheetId="14">#REF!</definedName>
    <definedName name="A_KEYWORD_ISSR_208002861_SALES_CONS" localSheetId="18">#REF!</definedName>
    <definedName name="A_KEYWORD_ISSR_208002861_SALES_CONS" localSheetId="19">#REF!</definedName>
    <definedName name="A_KEYWORD_ISSR_208002861_SALES_CONS">#REF!</definedName>
    <definedName name="A_KEYWORD_ISSR_208002861_SALES_EU_EX_UK" localSheetId="17">#REF!</definedName>
    <definedName name="A_KEYWORD_ISSR_208002861_SALES_EU_EX_UK" localSheetId="14">#REF!</definedName>
    <definedName name="A_KEYWORD_ISSR_208002861_SALES_EU_EX_UK" localSheetId="18">#REF!</definedName>
    <definedName name="A_KEYWORD_ISSR_208002861_SALES_EU_EX_UK" localSheetId="19">#REF!</definedName>
    <definedName name="A_KEYWORD_ISSR_208002861_SALES_EU_EX_UK">#REF!</definedName>
    <definedName name="A_KEYWORD_ISSR_208002861_SALES_FINAN" localSheetId="17">#REF!</definedName>
    <definedName name="A_KEYWORD_ISSR_208002861_SALES_FINAN" localSheetId="14">#REF!</definedName>
    <definedName name="A_KEYWORD_ISSR_208002861_SALES_FINAN" localSheetId="18">#REF!</definedName>
    <definedName name="A_KEYWORD_ISSR_208002861_SALES_FINAN" localSheetId="19">#REF!</definedName>
    <definedName name="A_KEYWORD_ISSR_208002861_SALES_FINAN">#REF!</definedName>
    <definedName name="A_KEYWORD_ISSR_208002861_SALES_FRA" localSheetId="17">#REF!</definedName>
    <definedName name="A_KEYWORD_ISSR_208002861_SALES_FRA" localSheetId="14">#REF!</definedName>
    <definedName name="A_KEYWORD_ISSR_208002861_SALES_FRA" localSheetId="18">#REF!</definedName>
    <definedName name="A_KEYWORD_ISSR_208002861_SALES_FRA" localSheetId="19">#REF!</definedName>
    <definedName name="A_KEYWORD_ISSR_208002861_SALES_FRA">#REF!</definedName>
    <definedName name="A_KEYWORD_ISSR_208002861_SALES_FX_AED" localSheetId="17">#REF!</definedName>
    <definedName name="A_KEYWORD_ISSR_208002861_SALES_FX_AED" localSheetId="14">#REF!</definedName>
    <definedName name="A_KEYWORD_ISSR_208002861_SALES_FX_AED" localSheetId="18">#REF!</definedName>
    <definedName name="A_KEYWORD_ISSR_208002861_SALES_FX_AED" localSheetId="19">#REF!</definedName>
    <definedName name="A_KEYWORD_ISSR_208002861_SALES_FX_AED">#REF!</definedName>
    <definedName name="A_KEYWORD_ISSR_208002861_SALES_FX_BRL" localSheetId="17">#REF!</definedName>
    <definedName name="A_KEYWORD_ISSR_208002861_SALES_FX_BRL" localSheetId="14">#REF!</definedName>
    <definedName name="A_KEYWORD_ISSR_208002861_SALES_FX_BRL" localSheetId="18">#REF!</definedName>
    <definedName name="A_KEYWORD_ISSR_208002861_SALES_FX_BRL" localSheetId="19">#REF!</definedName>
    <definedName name="A_KEYWORD_ISSR_208002861_SALES_FX_BRL">#REF!</definedName>
    <definedName name="A_KEYWORD_ISSR_208002861_SALES_FX_CHF" localSheetId="17">#REF!</definedName>
    <definedName name="A_KEYWORD_ISSR_208002861_SALES_FX_CHF" localSheetId="14">#REF!</definedName>
    <definedName name="A_KEYWORD_ISSR_208002861_SALES_FX_CHF" localSheetId="18">#REF!</definedName>
    <definedName name="A_KEYWORD_ISSR_208002861_SALES_FX_CHF" localSheetId="19">#REF!</definedName>
    <definedName name="A_KEYWORD_ISSR_208002861_SALES_FX_CHF">#REF!</definedName>
    <definedName name="A_KEYWORD_ISSR_208002861_SALES_FX_CNY" localSheetId="17">#REF!</definedName>
    <definedName name="A_KEYWORD_ISSR_208002861_SALES_FX_CNY" localSheetId="14">#REF!</definedName>
    <definedName name="A_KEYWORD_ISSR_208002861_SALES_FX_CNY" localSheetId="18">#REF!</definedName>
    <definedName name="A_KEYWORD_ISSR_208002861_SALES_FX_CNY" localSheetId="19">#REF!</definedName>
    <definedName name="A_KEYWORD_ISSR_208002861_SALES_FX_CNY">#REF!</definedName>
    <definedName name="A_KEYWORD_ISSR_208002861_SALES_FX_EUR" localSheetId="17">#REF!</definedName>
    <definedName name="A_KEYWORD_ISSR_208002861_SALES_FX_EUR" localSheetId="14">#REF!</definedName>
    <definedName name="A_KEYWORD_ISSR_208002861_SALES_FX_EUR" localSheetId="18">#REF!</definedName>
    <definedName name="A_KEYWORD_ISSR_208002861_SALES_FX_EUR" localSheetId="19">#REF!</definedName>
    <definedName name="A_KEYWORD_ISSR_208002861_SALES_FX_EUR">#REF!</definedName>
    <definedName name="A_KEYWORD_ISSR_208002861_SALES_FX_GPB" localSheetId="17">#REF!</definedName>
    <definedName name="A_KEYWORD_ISSR_208002861_SALES_FX_GPB" localSheetId="14">#REF!</definedName>
    <definedName name="A_KEYWORD_ISSR_208002861_SALES_FX_GPB" localSheetId="18">#REF!</definedName>
    <definedName name="A_KEYWORD_ISSR_208002861_SALES_FX_GPB" localSheetId="19">#REF!</definedName>
    <definedName name="A_KEYWORD_ISSR_208002861_SALES_FX_GPB">#REF!</definedName>
    <definedName name="A_KEYWORD_ISSR_208002861_SALES_FX_INR" localSheetId="17">#REF!</definedName>
    <definedName name="A_KEYWORD_ISSR_208002861_SALES_FX_INR" localSheetId="14">#REF!</definedName>
    <definedName name="A_KEYWORD_ISSR_208002861_SALES_FX_INR" localSheetId="18">#REF!</definedName>
    <definedName name="A_KEYWORD_ISSR_208002861_SALES_FX_INR" localSheetId="19">#REF!</definedName>
    <definedName name="A_KEYWORD_ISSR_208002861_SALES_FX_INR">#REF!</definedName>
    <definedName name="A_KEYWORD_ISSR_208002861_SALES_FX_NGN" localSheetId="17">#REF!</definedName>
    <definedName name="A_KEYWORD_ISSR_208002861_SALES_FX_NGN" localSheetId="14">#REF!</definedName>
    <definedName name="A_KEYWORD_ISSR_208002861_SALES_FX_NGN" localSheetId="18">#REF!</definedName>
    <definedName name="A_KEYWORD_ISSR_208002861_SALES_FX_NGN" localSheetId="19">#REF!</definedName>
    <definedName name="A_KEYWORD_ISSR_208002861_SALES_FX_NGN">#REF!</definedName>
    <definedName name="A_KEYWORD_ISSR_208002861_SALES_FX_OTH" localSheetId="17">#REF!</definedName>
    <definedName name="A_KEYWORD_ISSR_208002861_SALES_FX_OTH" localSheetId="14">#REF!</definedName>
    <definedName name="A_KEYWORD_ISSR_208002861_SALES_FX_OTH" localSheetId="18">#REF!</definedName>
    <definedName name="A_KEYWORD_ISSR_208002861_SALES_FX_OTH" localSheetId="19">#REF!</definedName>
    <definedName name="A_KEYWORD_ISSR_208002861_SALES_FX_OTH">#REF!</definedName>
    <definedName name="A_KEYWORD_ISSR_208002861_SALES_FX_RUB" localSheetId="17">#REF!</definedName>
    <definedName name="A_KEYWORD_ISSR_208002861_SALES_FX_RUB" localSheetId="14">#REF!</definedName>
    <definedName name="A_KEYWORD_ISSR_208002861_SALES_FX_RUB" localSheetId="18">#REF!</definedName>
    <definedName name="A_KEYWORD_ISSR_208002861_SALES_FX_RUB" localSheetId="19">#REF!</definedName>
    <definedName name="A_KEYWORD_ISSR_208002861_SALES_FX_RUB">#REF!</definedName>
    <definedName name="A_KEYWORD_ISSR_208002861_SALES_FX_TRY" localSheetId="17">#REF!</definedName>
    <definedName name="A_KEYWORD_ISSR_208002861_SALES_FX_TRY" localSheetId="14">#REF!</definedName>
    <definedName name="A_KEYWORD_ISSR_208002861_SALES_FX_TRY" localSheetId="18">#REF!</definedName>
    <definedName name="A_KEYWORD_ISSR_208002861_SALES_FX_TRY" localSheetId="19">#REF!</definedName>
    <definedName name="A_KEYWORD_ISSR_208002861_SALES_FX_TRY">#REF!</definedName>
    <definedName name="A_KEYWORD_ISSR_208002861_SALES_FX_USD" localSheetId="17">#REF!</definedName>
    <definedName name="A_KEYWORD_ISSR_208002861_SALES_FX_USD" localSheetId="14">#REF!</definedName>
    <definedName name="A_KEYWORD_ISSR_208002861_SALES_FX_USD" localSheetId="18">#REF!</definedName>
    <definedName name="A_KEYWORD_ISSR_208002861_SALES_FX_USD" localSheetId="19">#REF!</definedName>
    <definedName name="A_KEYWORD_ISSR_208002861_SALES_FX_USD">#REF!</definedName>
    <definedName name="A_KEYWORD_ISSR_208002861_SALES_FX_YEN" localSheetId="17">#REF!</definedName>
    <definedName name="A_KEYWORD_ISSR_208002861_SALES_FX_YEN" localSheetId="14">#REF!</definedName>
    <definedName name="A_KEYWORD_ISSR_208002861_SALES_FX_YEN" localSheetId="18">#REF!</definedName>
    <definedName name="A_KEYWORD_ISSR_208002861_SALES_FX_YEN" localSheetId="19">#REF!</definedName>
    <definedName name="A_KEYWORD_ISSR_208002861_SALES_FX_YEN">#REF!</definedName>
    <definedName name="A_KEYWORD_ISSR_208002861_SALES_FX_ZAR" localSheetId="17">#REF!</definedName>
    <definedName name="A_KEYWORD_ISSR_208002861_SALES_FX_ZAR" localSheetId="14">#REF!</definedName>
    <definedName name="A_KEYWORD_ISSR_208002861_SALES_FX_ZAR" localSheetId="18">#REF!</definedName>
    <definedName name="A_KEYWORD_ISSR_208002861_SALES_FX_ZAR" localSheetId="19">#REF!</definedName>
    <definedName name="A_KEYWORD_ISSR_208002861_SALES_FX_ZAR">#REF!</definedName>
    <definedName name="A_KEYWORD_ISSR_208002861_SALES_GER" localSheetId="17">#REF!</definedName>
    <definedName name="A_KEYWORD_ISSR_208002861_SALES_GER" localSheetId="14">#REF!</definedName>
    <definedName name="A_KEYWORD_ISSR_208002861_SALES_GER" localSheetId="18">#REF!</definedName>
    <definedName name="A_KEYWORD_ISSR_208002861_SALES_GER" localSheetId="19">#REF!</definedName>
    <definedName name="A_KEYWORD_ISSR_208002861_SALES_GER">#REF!</definedName>
    <definedName name="A_KEYWORD_ISSR_208002861_SALES_GOV" localSheetId="17">#REF!</definedName>
    <definedName name="A_KEYWORD_ISSR_208002861_SALES_GOV" localSheetId="14">#REF!</definedName>
    <definedName name="A_KEYWORD_ISSR_208002861_SALES_GOV" localSheetId="18">#REF!</definedName>
    <definedName name="A_KEYWORD_ISSR_208002861_SALES_GOV" localSheetId="19">#REF!</definedName>
    <definedName name="A_KEYWORD_ISSR_208002861_SALES_GOV">#REF!</definedName>
    <definedName name="A_KEYWORD_ISSR_208002861_SALES_IND" localSheetId="17">#REF!</definedName>
    <definedName name="A_KEYWORD_ISSR_208002861_SALES_IND" localSheetId="14">#REF!</definedName>
    <definedName name="A_KEYWORD_ISSR_208002861_SALES_IND" localSheetId="18">#REF!</definedName>
    <definedName name="A_KEYWORD_ISSR_208002861_SALES_IND" localSheetId="19">#REF!</definedName>
    <definedName name="A_KEYWORD_ISSR_208002861_SALES_IND">#REF!</definedName>
    <definedName name="A_KEYWORD_ISSR_208002861_SALES_INDIA" localSheetId="17">#REF!</definedName>
    <definedName name="A_KEYWORD_ISSR_208002861_SALES_INDIA" localSheetId="14">#REF!</definedName>
    <definedName name="A_KEYWORD_ISSR_208002861_SALES_INDIA" localSheetId="18">#REF!</definedName>
    <definedName name="A_KEYWORD_ISSR_208002861_SALES_INDIA" localSheetId="19">#REF!</definedName>
    <definedName name="A_KEYWORD_ISSR_208002861_SALES_INDIA">#REF!</definedName>
    <definedName name="A_KEYWORD_ISSR_208002861_SALES_ITA" localSheetId="17">#REF!</definedName>
    <definedName name="A_KEYWORD_ISSR_208002861_SALES_ITA" localSheetId="14">#REF!</definedName>
    <definedName name="A_KEYWORD_ISSR_208002861_SALES_ITA" localSheetId="18">#REF!</definedName>
    <definedName name="A_KEYWORD_ISSR_208002861_SALES_ITA" localSheetId="19">#REF!</definedName>
    <definedName name="A_KEYWORD_ISSR_208002861_SALES_ITA">#REF!</definedName>
    <definedName name="A_KEYWORD_ISSR_208002861_SALES_JAPAN" localSheetId="17">#REF!</definedName>
    <definedName name="A_KEYWORD_ISSR_208002861_SALES_JAPAN" localSheetId="14">#REF!</definedName>
    <definedName name="A_KEYWORD_ISSR_208002861_SALES_JAPAN" localSheetId="18">#REF!</definedName>
    <definedName name="A_KEYWORD_ISSR_208002861_SALES_JAPAN" localSheetId="19">#REF!</definedName>
    <definedName name="A_KEYWORD_ISSR_208002861_SALES_JAPAN">#REF!</definedName>
    <definedName name="A_KEYWORD_ISSR_208002861_SALES_ME" localSheetId="17">#REF!</definedName>
    <definedName name="A_KEYWORD_ISSR_208002861_SALES_ME" localSheetId="14">#REF!</definedName>
    <definedName name="A_KEYWORD_ISSR_208002861_SALES_ME" localSheetId="18">#REF!</definedName>
    <definedName name="A_KEYWORD_ISSR_208002861_SALES_ME" localSheetId="19">#REF!</definedName>
    <definedName name="A_KEYWORD_ISSR_208002861_SALES_ME">#REF!</definedName>
    <definedName name="A_KEYWORD_ISSR_208002861_SALES_NIGERIA" localSheetId="17">#REF!</definedName>
    <definedName name="A_KEYWORD_ISSR_208002861_SALES_NIGERIA" localSheetId="14">#REF!</definedName>
    <definedName name="A_KEYWORD_ISSR_208002861_SALES_NIGERIA" localSheetId="18">#REF!</definedName>
    <definedName name="A_KEYWORD_ISSR_208002861_SALES_NIGERIA" localSheetId="19">#REF!</definedName>
    <definedName name="A_KEYWORD_ISSR_208002861_SALES_NIGERIA">#REF!</definedName>
    <definedName name="A_KEYWORD_ISSR_208002861_SALES_OTH_AEJ" localSheetId="17">#REF!</definedName>
    <definedName name="A_KEYWORD_ISSR_208002861_SALES_OTH_AEJ" localSheetId="14">#REF!</definedName>
    <definedName name="A_KEYWORD_ISSR_208002861_SALES_OTH_AEJ" localSheetId="18">#REF!</definedName>
    <definedName name="A_KEYWORD_ISSR_208002861_SALES_OTH_AEJ" localSheetId="19">#REF!</definedName>
    <definedName name="A_KEYWORD_ISSR_208002861_SALES_OTH_AEJ">#REF!</definedName>
    <definedName name="A_KEYWORD_ISSR_208002861_SALES_OTH_AFRICA" localSheetId="17">#REF!</definedName>
    <definedName name="A_KEYWORD_ISSR_208002861_SALES_OTH_AFRICA" localSheetId="14">#REF!</definedName>
    <definedName name="A_KEYWORD_ISSR_208002861_SALES_OTH_AFRICA" localSheetId="18">#REF!</definedName>
    <definedName name="A_KEYWORD_ISSR_208002861_SALES_OTH_AFRICA" localSheetId="19">#REF!</definedName>
    <definedName name="A_KEYWORD_ISSR_208002861_SALES_OTH_AFRICA">#REF!</definedName>
    <definedName name="A_KEYWORD_ISSR_208002861_SALES_OTH_AM" localSheetId="17">#REF!</definedName>
    <definedName name="A_KEYWORD_ISSR_208002861_SALES_OTH_AM" localSheetId="14">#REF!</definedName>
    <definedName name="A_KEYWORD_ISSR_208002861_SALES_OTH_AM" localSheetId="18">#REF!</definedName>
    <definedName name="A_KEYWORD_ISSR_208002861_SALES_OTH_AM" localSheetId="19">#REF!</definedName>
    <definedName name="A_KEYWORD_ISSR_208002861_SALES_OTH_AM">#REF!</definedName>
    <definedName name="A_KEYWORD_ISSR_208002861_SALES_OTH_COMMODITY" localSheetId="17">#REF!</definedName>
    <definedName name="A_KEYWORD_ISSR_208002861_SALES_OTH_COMMODITY" localSheetId="14">#REF!</definedName>
    <definedName name="A_KEYWORD_ISSR_208002861_SALES_OTH_COMMODITY" localSheetId="18">#REF!</definedName>
    <definedName name="A_KEYWORD_ISSR_208002861_SALES_OTH_COMMODITY" localSheetId="19">#REF!</definedName>
    <definedName name="A_KEYWORD_ISSR_208002861_SALES_OTH_COMMODITY">#REF!</definedName>
    <definedName name="A_KEYWORD_ISSR_208002861_SALES_OTH_EMEA" localSheetId="17">#REF!</definedName>
    <definedName name="A_KEYWORD_ISSR_208002861_SALES_OTH_EMEA" localSheetId="14">#REF!</definedName>
    <definedName name="A_KEYWORD_ISSR_208002861_SALES_OTH_EMEA" localSheetId="18">#REF!</definedName>
    <definedName name="A_KEYWORD_ISSR_208002861_SALES_OTH_EMEA" localSheetId="19">#REF!</definedName>
    <definedName name="A_KEYWORD_ISSR_208002861_SALES_OTH_EMEA">#REF!</definedName>
    <definedName name="A_KEYWORD_ISSR_208002861_SALES_OTH_EU_EX_UK" localSheetId="17">#REF!</definedName>
    <definedName name="A_KEYWORD_ISSR_208002861_SALES_OTH_EU_EX_UK" localSheetId="14">#REF!</definedName>
    <definedName name="A_KEYWORD_ISSR_208002861_SALES_OTH_EU_EX_UK" localSheetId="18">#REF!</definedName>
    <definedName name="A_KEYWORD_ISSR_208002861_SALES_OTH_EU_EX_UK" localSheetId="19">#REF!</definedName>
    <definedName name="A_KEYWORD_ISSR_208002861_SALES_OTH_EU_EX_UK">#REF!</definedName>
    <definedName name="A_KEYWORD_ISSR_208002861_SALES_OTH_SALES_SOURCES" localSheetId="17">#REF!</definedName>
    <definedName name="A_KEYWORD_ISSR_208002861_SALES_OTH_SALES_SOURCES" localSheetId="14">#REF!</definedName>
    <definedName name="A_KEYWORD_ISSR_208002861_SALES_OTH_SALES_SOURCES" localSheetId="18">#REF!</definedName>
    <definedName name="A_KEYWORD_ISSR_208002861_SALES_OTH_SALES_SOURCES" localSheetId="19">#REF!</definedName>
    <definedName name="A_KEYWORD_ISSR_208002861_SALES_OTH_SALES_SOURCES">#REF!</definedName>
    <definedName name="A_KEYWORD_ISSR_208002861_SALES_OTHER" localSheetId="17">#REF!</definedName>
    <definedName name="A_KEYWORD_ISSR_208002861_SALES_OTHER" localSheetId="14">#REF!</definedName>
    <definedName name="A_KEYWORD_ISSR_208002861_SALES_OTHER" localSheetId="18">#REF!</definedName>
    <definedName name="A_KEYWORD_ISSR_208002861_SALES_OTHER" localSheetId="19">#REF!</definedName>
    <definedName name="A_KEYWORD_ISSR_208002861_SALES_OTHER">#REF!</definedName>
    <definedName name="A_KEYWORD_ISSR_208002861_SALES_RUSSIA" localSheetId="17">#REF!</definedName>
    <definedName name="A_KEYWORD_ISSR_208002861_SALES_RUSSIA" localSheetId="14">#REF!</definedName>
    <definedName name="A_KEYWORD_ISSR_208002861_SALES_RUSSIA" localSheetId="18">#REF!</definedName>
    <definedName name="A_KEYWORD_ISSR_208002861_SALES_RUSSIA" localSheetId="19">#REF!</definedName>
    <definedName name="A_KEYWORD_ISSR_208002861_SALES_RUSSIA">#REF!</definedName>
    <definedName name="A_KEYWORD_ISSR_208002861_SALES_SO_AFRICA" localSheetId="17">#REF!</definedName>
    <definedName name="A_KEYWORD_ISSR_208002861_SALES_SO_AFRICA" localSheetId="14">#REF!</definedName>
    <definedName name="A_KEYWORD_ISSR_208002861_SALES_SO_AFRICA" localSheetId="18">#REF!</definedName>
    <definedName name="A_KEYWORD_ISSR_208002861_SALES_SO_AFRICA" localSheetId="19">#REF!</definedName>
    <definedName name="A_KEYWORD_ISSR_208002861_SALES_SO_AFRICA">#REF!</definedName>
    <definedName name="A_KEYWORD_ISSR_208002861_SALES_SPA" localSheetId="17">#REF!</definedName>
    <definedName name="A_KEYWORD_ISSR_208002861_SALES_SPA" localSheetId="14">#REF!</definedName>
    <definedName name="A_KEYWORD_ISSR_208002861_SALES_SPA" localSheetId="18">#REF!</definedName>
    <definedName name="A_KEYWORD_ISSR_208002861_SALES_SPA" localSheetId="19">#REF!</definedName>
    <definedName name="A_KEYWORD_ISSR_208002861_SALES_SPA">#REF!</definedName>
    <definedName name="A_KEYWORD_ISSR_208002861_SALES_TOT_AFRICA" localSheetId="17">#REF!</definedName>
    <definedName name="A_KEYWORD_ISSR_208002861_SALES_TOT_AFRICA" localSheetId="14">#REF!</definedName>
    <definedName name="A_KEYWORD_ISSR_208002861_SALES_TOT_AFRICA" localSheetId="18">#REF!</definedName>
    <definedName name="A_KEYWORD_ISSR_208002861_SALES_TOT_AFRICA" localSheetId="19">#REF!</definedName>
    <definedName name="A_KEYWORD_ISSR_208002861_SALES_TOT_AFRICA">#REF!</definedName>
    <definedName name="A_KEYWORD_ISSR_208002861_SALES_TOT_AM" localSheetId="17">#REF!</definedName>
    <definedName name="A_KEYWORD_ISSR_208002861_SALES_TOT_AM" localSheetId="14">#REF!</definedName>
    <definedName name="A_KEYWORD_ISSR_208002861_SALES_TOT_AM" localSheetId="18">#REF!</definedName>
    <definedName name="A_KEYWORD_ISSR_208002861_SALES_TOT_AM" localSheetId="19">#REF!</definedName>
    <definedName name="A_KEYWORD_ISSR_208002861_SALES_TOT_AM">#REF!</definedName>
    <definedName name="A_KEYWORD_ISSR_208002861_SALES_TOT_ASIA" localSheetId="17">#REF!</definedName>
    <definedName name="A_KEYWORD_ISSR_208002861_SALES_TOT_ASIA" localSheetId="14">#REF!</definedName>
    <definedName name="A_KEYWORD_ISSR_208002861_SALES_TOT_ASIA" localSheetId="18">#REF!</definedName>
    <definedName name="A_KEYWORD_ISSR_208002861_SALES_TOT_ASIA" localSheetId="19">#REF!</definedName>
    <definedName name="A_KEYWORD_ISSR_208002861_SALES_TOT_ASIA">#REF!</definedName>
    <definedName name="A_KEYWORD_ISSR_208002861_SALES_TOT_EMEA" localSheetId="17">#REF!</definedName>
    <definedName name="A_KEYWORD_ISSR_208002861_SALES_TOT_EMEA" localSheetId="14">#REF!</definedName>
    <definedName name="A_KEYWORD_ISSR_208002861_SALES_TOT_EMEA" localSheetId="18">#REF!</definedName>
    <definedName name="A_KEYWORD_ISSR_208002861_SALES_TOT_EMEA" localSheetId="19">#REF!</definedName>
    <definedName name="A_KEYWORD_ISSR_208002861_SALES_TOT_EMEA">#REF!</definedName>
    <definedName name="A_KEYWORD_ISSR_208002861_SALES_UK" localSheetId="17">#REF!</definedName>
    <definedName name="A_KEYWORD_ISSR_208002861_SALES_UK" localSheetId="14">#REF!</definedName>
    <definedName name="A_KEYWORD_ISSR_208002861_SALES_UK" localSheetId="18">#REF!</definedName>
    <definedName name="A_KEYWORD_ISSR_208002861_SALES_UK" localSheetId="19">#REF!</definedName>
    <definedName name="A_KEYWORD_ISSR_208002861_SALES_UK">#REF!</definedName>
    <definedName name="A_KEYWORD_ISSR_208002861_SALES_US" localSheetId="17">#REF!</definedName>
    <definedName name="A_KEYWORD_ISSR_208002861_SALES_US" localSheetId="14">#REF!</definedName>
    <definedName name="A_KEYWORD_ISSR_208002861_SALES_US" localSheetId="18">#REF!</definedName>
    <definedName name="A_KEYWORD_ISSR_208002861_SALES_US" localSheetId="19">#REF!</definedName>
    <definedName name="A_KEYWORD_ISSR_208002861_SALES_US">#REF!</definedName>
    <definedName name="A_KEYWORD_ISSR_208002861_SEL_GL_AD" localSheetId="17">#REF!</definedName>
    <definedName name="A_KEYWORD_ISSR_208002861_SEL_GL_AD" localSheetId="14">#REF!</definedName>
    <definedName name="A_KEYWORD_ISSR_208002861_SEL_GL_AD" localSheetId="18">#REF!</definedName>
    <definedName name="A_KEYWORD_ISSR_208002861_SEL_GL_AD" localSheetId="19">#REF!</definedName>
    <definedName name="A_KEYWORD_ISSR_208002861_SEL_GL_AD">#REF!</definedName>
    <definedName name="A_KEYWORD_ISSR_208002861_SH_REPUR" localSheetId="17">#REF!</definedName>
    <definedName name="A_KEYWORD_ISSR_208002861_SH_REPUR" localSheetId="14">#REF!</definedName>
    <definedName name="A_KEYWORD_ISSR_208002861_SH_REPUR" localSheetId="18">#REF!</definedName>
    <definedName name="A_KEYWORD_ISSR_208002861_SH_REPUR" localSheetId="19">#REF!</definedName>
    <definedName name="A_KEYWORD_ISSR_208002861_SH_REPUR">#REF!</definedName>
    <definedName name="A_KEYWORD_ISSR_208002861_SHORT_T_DEBT" localSheetId="17">#REF!</definedName>
    <definedName name="A_KEYWORD_ISSR_208002861_SHORT_T_DEBT" localSheetId="14">#REF!</definedName>
    <definedName name="A_KEYWORD_ISSR_208002861_SHORT_T_DEBT" localSheetId="18">#REF!</definedName>
    <definedName name="A_KEYWORD_ISSR_208002861_SHORT_T_DEBT" localSheetId="19">#REF!</definedName>
    <definedName name="A_KEYWORD_ISSR_208002861_SHORT_T_DEBT">#REF!</definedName>
    <definedName name="A_KEYWORD_ISSR_208002861_SHORT_TERM_LIABS" localSheetId="17">#REF!</definedName>
    <definedName name="A_KEYWORD_ISSR_208002861_SHORT_TERM_LIABS" localSheetId="14">#REF!</definedName>
    <definedName name="A_KEYWORD_ISSR_208002861_SHORT_TERM_LIABS" localSheetId="18">#REF!</definedName>
    <definedName name="A_KEYWORD_ISSR_208002861_SHORT_TERM_LIABS" localSheetId="19">#REF!</definedName>
    <definedName name="A_KEYWORD_ISSR_208002861_SHORT_TERM_LIABS">#REF!</definedName>
    <definedName name="A_KEYWORD_ISSR_208002861_STOCKS" localSheetId="17">#REF!</definedName>
    <definedName name="A_KEYWORD_ISSR_208002861_STOCKS" localSheetId="14">#REF!</definedName>
    <definedName name="A_KEYWORD_ISSR_208002861_STOCKS" localSheetId="18">#REF!</definedName>
    <definedName name="A_KEYWORD_ISSR_208002861_STOCKS" localSheetId="19">#REF!</definedName>
    <definedName name="A_KEYWORD_ISSR_208002861_STOCKS">#REF!</definedName>
    <definedName name="A_KEYWORD_ISSR_208002861_TOT_ASSET" localSheetId="17">#REF!</definedName>
    <definedName name="A_KEYWORD_ISSR_208002861_TOT_ASSET" localSheetId="14">#REF!</definedName>
    <definedName name="A_KEYWORD_ISSR_208002861_TOT_ASSET" localSheetId="18">#REF!</definedName>
    <definedName name="A_KEYWORD_ISSR_208002861_TOT_ASSET" localSheetId="19">#REF!</definedName>
    <definedName name="A_KEYWORD_ISSR_208002861_TOT_ASSET">#REF!</definedName>
    <definedName name="A_KEYWORD_ISSR_208002861_TOT_CF" localSheetId="17">#REF!</definedName>
    <definedName name="A_KEYWORD_ISSR_208002861_TOT_CF" localSheetId="14">#REF!</definedName>
    <definedName name="A_KEYWORD_ISSR_208002861_TOT_CF" localSheetId="18">#REF!</definedName>
    <definedName name="A_KEYWORD_ISSR_208002861_TOT_CF" localSheetId="19">#REF!</definedName>
    <definedName name="A_KEYWORD_ISSR_208002861_TOT_CF">#REF!</definedName>
    <definedName name="A_KEYWORD_ISSR_208002861_TOT_LIAB" localSheetId="17">#REF!</definedName>
    <definedName name="A_KEYWORD_ISSR_208002861_TOT_LIAB" localSheetId="14">#REF!</definedName>
    <definedName name="A_KEYWORD_ISSR_208002861_TOT_LIAB" localSheetId="18">#REF!</definedName>
    <definedName name="A_KEYWORD_ISSR_208002861_TOT_LIAB" localSheetId="19">#REF!</definedName>
    <definedName name="A_KEYWORD_ISSR_208002861_TOT_LIAB">#REF!</definedName>
    <definedName name="A_KEYWORD_ISSR_208002861_TOT_LIAB_EQ" localSheetId="17">#REF!</definedName>
    <definedName name="A_KEYWORD_ISSR_208002861_TOT_LIAB_EQ" localSheetId="14">#REF!</definedName>
    <definedName name="A_KEYWORD_ISSR_208002861_TOT_LIAB_EQ" localSheetId="18">#REF!</definedName>
    <definedName name="A_KEYWORD_ISSR_208002861_TOT_LIAB_EQ" localSheetId="19">#REF!</definedName>
    <definedName name="A_KEYWORD_ISSR_208002861_TOT_LIAB_EQ">#REF!</definedName>
    <definedName name="A_KEYWORD_ISSR_208002861_TOT_LT_LIAB" localSheetId="17">#REF!</definedName>
    <definedName name="A_KEYWORD_ISSR_208002861_TOT_LT_LIAB" localSheetId="14">#REF!</definedName>
    <definedName name="A_KEYWORD_ISSR_208002861_TOT_LT_LIAB" localSheetId="18">#REF!</definedName>
    <definedName name="A_KEYWORD_ISSR_208002861_TOT_LT_LIAB" localSheetId="19">#REF!</definedName>
    <definedName name="A_KEYWORD_ISSR_208002861_TOT_LT_LIAB">#REF!</definedName>
    <definedName name="A_KEYWORD_ISSR_208002861_TOT_OPS_EXP" localSheetId="17">#REF!</definedName>
    <definedName name="A_KEYWORD_ISSR_208002861_TOT_OPS_EXP" localSheetId="14">#REF!</definedName>
    <definedName name="A_KEYWORD_ISSR_208002861_TOT_OPS_EXP" localSheetId="18">#REF!</definedName>
    <definedName name="A_KEYWORD_ISSR_208002861_TOT_OPS_EXP" localSheetId="19">#REF!</definedName>
    <definedName name="A_KEYWORD_ISSR_208002861_TOT_OPS_EXP">#REF!</definedName>
    <definedName name="A_KEYWORD_ISSR_208002861_TOT_OPS_EXP_DDA" localSheetId="17">#REF!</definedName>
    <definedName name="A_KEYWORD_ISSR_208002861_TOT_OPS_EXP_DDA" localSheetId="14">#REF!</definedName>
    <definedName name="A_KEYWORD_ISSR_208002861_TOT_OPS_EXP_DDA" localSheetId="18">#REF!</definedName>
    <definedName name="A_KEYWORD_ISSR_208002861_TOT_OPS_EXP_DDA" localSheetId="19">#REF!</definedName>
    <definedName name="A_KEYWORD_ISSR_208002861_TOT_OPS_EXP_DDA">#REF!</definedName>
    <definedName name="A_KEYWORD_ISSR_208002861_UNF_PENS" localSheetId="17">#REF!</definedName>
    <definedName name="A_KEYWORD_ISSR_208002861_UNF_PENS" localSheetId="14">#REF!</definedName>
    <definedName name="A_KEYWORD_ISSR_208002861_UNF_PENS" localSheetId="18">#REF!</definedName>
    <definedName name="A_KEYWORD_ISSR_208002861_UNF_PENS" localSheetId="19">#REF!</definedName>
    <definedName name="A_KEYWORD_ISSR_208002861_UNF_PENS">#REF!</definedName>
    <definedName name="A_KEYWORD_ISSR_208002861_UNF_PENS_LIAB_OTH" localSheetId="17">#REF!</definedName>
    <definedName name="A_KEYWORD_ISSR_208002861_UNF_PENS_LIAB_OTH" localSheetId="14">#REF!</definedName>
    <definedName name="A_KEYWORD_ISSR_208002861_UNF_PENS_LIAB_OTH" localSheetId="18">#REF!</definedName>
    <definedName name="A_KEYWORD_ISSR_208002861_UNF_PENS_LIAB_OTH" localSheetId="19">#REF!</definedName>
    <definedName name="A_KEYWORD_ISSR_208002861_UNF_PENS_LIAB_OTH">#REF!</definedName>
    <definedName name="A_KEYWORD_ISSR_208002861_UNF_PENS_OFF" localSheetId="17">#REF!</definedName>
    <definedName name="A_KEYWORD_ISSR_208002861_UNF_PENS_OFF" localSheetId="14">#REF!</definedName>
    <definedName name="A_KEYWORD_ISSR_208002861_UNF_PENS_OFF" localSheetId="18">#REF!</definedName>
    <definedName name="A_KEYWORD_ISSR_208002861_UNF_PENS_OFF" localSheetId="19">#REF!</definedName>
    <definedName name="A_KEYWORD_ISSR_208002861_UNF_PENS_OFF">#REF!</definedName>
    <definedName name="A_KEYWORD_ISSR_208002861_WORK_CAP" localSheetId="17">#REF!</definedName>
    <definedName name="A_KEYWORD_ISSR_208002861_WORK_CAP" localSheetId="14">#REF!</definedName>
    <definedName name="A_KEYWORD_ISSR_208002861_WORK_CAP" localSheetId="18">#REF!</definedName>
    <definedName name="A_KEYWORD_ISSR_208002861_WORK_CAP" localSheetId="19">#REF!</definedName>
    <definedName name="A_KEYWORD_ISSR_208002861_WORK_CAP">#REF!</definedName>
    <definedName name="A_LIVEDATA_EQTY_200007513" localSheetId="17">#REF!</definedName>
    <definedName name="A_LIVEDATA_EQTY_200007513" localSheetId="14">#REF!</definedName>
    <definedName name="A_LIVEDATA_EQTY_200007513" localSheetId="18">#REF!</definedName>
    <definedName name="A_LIVEDATA_EQTY_200007513" localSheetId="19">#REF!</definedName>
    <definedName name="A_LIVEDATA_EQTY_200007513">#REF!</definedName>
    <definedName name="A_LIVEDATA_ISSR_208002861" localSheetId="17">#REF!</definedName>
    <definedName name="A_LIVEDATA_ISSR_208002861" localSheetId="14">#REF!</definedName>
    <definedName name="A_LIVEDATA_ISSR_208002861" localSheetId="18">#REF!</definedName>
    <definedName name="A_LIVEDATA_ISSR_208002861" localSheetId="19">#REF!</definedName>
    <definedName name="A_LIVEDATA_ISSR_208002861">#REF!</definedName>
    <definedName name="A_PERIOD_2002" localSheetId="14">#REF!</definedName>
    <definedName name="A_PERIOD_2003" localSheetId="14">#REF!</definedName>
    <definedName name="A_PERIOD_2004" localSheetId="14">#REF!</definedName>
    <definedName name="A_PERIOD_2005" localSheetId="14">#REF!</definedName>
    <definedName name="A_PERIOD_2006_Q1" localSheetId="17">#REF!</definedName>
    <definedName name="A_PERIOD_2006_Q1" localSheetId="14">#REF!</definedName>
    <definedName name="A_PERIOD_2006_Q1" localSheetId="18">#REF!</definedName>
    <definedName name="A_PERIOD_2006_Q1" localSheetId="19">#REF!</definedName>
    <definedName name="A_PERIOD_2006_Q1">#REF!</definedName>
    <definedName name="A_PERIOD_2006_Q2" localSheetId="17">#REF!</definedName>
    <definedName name="A_PERIOD_2006_Q2" localSheetId="14">#REF!</definedName>
    <definedName name="A_PERIOD_2006_Q2" localSheetId="18">#REF!</definedName>
    <definedName name="A_PERIOD_2006_Q2" localSheetId="19">#REF!</definedName>
    <definedName name="A_PERIOD_2006_Q2">#REF!</definedName>
    <definedName name="A_PERIOD_2006_Q3" localSheetId="17">#REF!</definedName>
    <definedName name="A_PERIOD_2006_Q3" localSheetId="14">#REF!</definedName>
    <definedName name="A_PERIOD_2006_Q3" localSheetId="18">#REF!</definedName>
    <definedName name="A_PERIOD_2006_Q3" localSheetId="19">#REF!</definedName>
    <definedName name="A_PERIOD_2006_Q3">#REF!</definedName>
    <definedName name="A_PERIOD_2006_Q4" localSheetId="17">#REF!</definedName>
    <definedName name="A_PERIOD_2006_Q4" localSheetId="14">#REF!</definedName>
    <definedName name="A_PERIOD_2006_Q4" localSheetId="18">#REF!</definedName>
    <definedName name="A_PERIOD_2006_Q4" localSheetId="19">#REF!</definedName>
    <definedName name="A_PERIOD_2006_Q4">#REF!</definedName>
    <definedName name="A_PERIOD_2007_Q1" localSheetId="17">#REF!</definedName>
    <definedName name="A_PERIOD_2007_Q1" localSheetId="14">#REF!</definedName>
    <definedName name="A_PERIOD_2007_Q1" localSheetId="18">#REF!</definedName>
    <definedName name="A_PERIOD_2007_Q1" localSheetId="19">#REF!</definedName>
    <definedName name="A_PERIOD_2007_Q1">#REF!</definedName>
    <definedName name="A_PERIOD_2007_Q2" localSheetId="17">#REF!</definedName>
    <definedName name="A_PERIOD_2007_Q2" localSheetId="14">#REF!</definedName>
    <definedName name="A_PERIOD_2007_Q2" localSheetId="18">#REF!</definedName>
    <definedName name="A_PERIOD_2007_Q2" localSheetId="19">#REF!</definedName>
    <definedName name="A_PERIOD_2007_Q2">#REF!</definedName>
    <definedName name="A_PERIOD_2007_Q3" localSheetId="17">#REF!</definedName>
    <definedName name="A_PERIOD_2007_Q3" localSheetId="14">#REF!</definedName>
    <definedName name="A_PERIOD_2007_Q3" localSheetId="18">#REF!</definedName>
    <definedName name="A_PERIOD_2007_Q3" localSheetId="19">#REF!</definedName>
    <definedName name="A_PERIOD_2007_Q3">#REF!</definedName>
    <definedName name="A_PERIOD_2007_Q4" localSheetId="17">#REF!</definedName>
    <definedName name="A_PERIOD_2007_Q4" localSheetId="14">#REF!</definedName>
    <definedName name="A_PERIOD_2007_Q4" localSheetId="18">#REF!</definedName>
    <definedName name="A_PERIOD_2007_Q4" localSheetId="19">#REF!</definedName>
    <definedName name="A_PERIOD_2007_Q4">#REF!</definedName>
    <definedName name="A_PERIOD_2008_Q1" localSheetId="17">#REF!</definedName>
    <definedName name="A_PERIOD_2008_Q1" localSheetId="14">#REF!</definedName>
    <definedName name="A_PERIOD_2008_Q1" localSheetId="18">#REF!</definedName>
    <definedName name="A_PERIOD_2008_Q1" localSheetId="19">#REF!</definedName>
    <definedName name="A_PERIOD_2008_Q1">#REF!</definedName>
    <definedName name="A_PERIOD_2008_Q2" localSheetId="17">#REF!</definedName>
    <definedName name="A_PERIOD_2008_Q2" localSheetId="14">#REF!</definedName>
    <definedName name="A_PERIOD_2008_Q2" localSheetId="18">#REF!</definedName>
    <definedName name="A_PERIOD_2008_Q2" localSheetId="19">#REF!</definedName>
    <definedName name="A_PERIOD_2008_Q2">#REF!</definedName>
    <definedName name="A_PERIOD_2008_Q3" localSheetId="17">#REF!</definedName>
    <definedName name="A_PERIOD_2008_Q3" localSheetId="14">#REF!</definedName>
    <definedName name="A_PERIOD_2008_Q3" localSheetId="18">#REF!</definedName>
    <definedName name="A_PERIOD_2008_Q3" localSheetId="19">#REF!</definedName>
    <definedName name="A_PERIOD_2008_Q3">#REF!</definedName>
    <definedName name="A_PERIOD_2008_Q4" localSheetId="17">#REF!</definedName>
    <definedName name="A_PERIOD_2008_Q4" localSheetId="14">#REF!</definedName>
    <definedName name="A_PERIOD_2008_Q4" localSheetId="18">#REF!</definedName>
    <definedName name="A_PERIOD_2008_Q4" localSheetId="19">#REF!</definedName>
    <definedName name="A_PERIOD_2008_Q4">#REF!</definedName>
    <definedName name="A_PERIOD_2009_Q1" localSheetId="17">#REF!</definedName>
    <definedName name="A_PERIOD_2009_Q1" localSheetId="14">#REF!</definedName>
    <definedName name="A_PERIOD_2009_Q1" localSheetId="18">#REF!</definedName>
    <definedName name="A_PERIOD_2009_Q1" localSheetId="19">#REF!</definedName>
    <definedName name="A_PERIOD_2009_Q1">#REF!</definedName>
    <definedName name="A_PERIOD_2009_Q2" localSheetId="17">#REF!</definedName>
    <definedName name="A_PERIOD_2009_Q2" localSheetId="14">#REF!</definedName>
    <definedName name="A_PERIOD_2009_Q2" localSheetId="18">#REF!</definedName>
    <definedName name="A_PERIOD_2009_Q2" localSheetId="19">#REF!</definedName>
    <definedName name="A_PERIOD_2009_Q2">#REF!</definedName>
    <definedName name="A_PERIOD_2009_Q3" localSheetId="17">#REF!</definedName>
    <definedName name="A_PERIOD_2009_Q3" localSheetId="14">#REF!</definedName>
    <definedName name="A_PERIOD_2009_Q3" localSheetId="18">#REF!</definedName>
    <definedName name="A_PERIOD_2009_Q3" localSheetId="19">#REF!</definedName>
    <definedName name="A_PERIOD_2009_Q3">#REF!</definedName>
    <definedName name="A_PERIOD_2009_Q4" localSheetId="17">#REF!</definedName>
    <definedName name="A_PERIOD_2009_Q4" localSheetId="14">#REF!</definedName>
    <definedName name="A_PERIOD_2009_Q4" localSheetId="18">#REF!</definedName>
    <definedName name="A_PERIOD_2009_Q4" localSheetId="19">#REF!</definedName>
    <definedName name="A_PERIOD_2009_Q4">#REF!</definedName>
    <definedName name="A_PERIOD_2010_Q1" localSheetId="17">#REF!</definedName>
    <definedName name="A_PERIOD_2010_Q1" localSheetId="14">#REF!</definedName>
    <definedName name="A_PERIOD_2010_Q1" localSheetId="18">#REF!</definedName>
    <definedName name="A_PERIOD_2010_Q1" localSheetId="19">#REF!</definedName>
    <definedName name="A_PERIOD_2010_Q1">#REF!</definedName>
    <definedName name="A_PERIOD_2010_Q2" localSheetId="17">#REF!</definedName>
    <definedName name="A_PERIOD_2010_Q2" localSheetId="14">#REF!</definedName>
    <definedName name="A_PERIOD_2010_Q2" localSheetId="18">#REF!</definedName>
    <definedName name="A_PERIOD_2010_Q2" localSheetId="19">#REF!</definedName>
    <definedName name="A_PERIOD_2010_Q2">#REF!</definedName>
    <definedName name="A_PERIOD_2010_Q3" localSheetId="17">#REF!</definedName>
    <definedName name="A_PERIOD_2010_Q3" localSheetId="14">#REF!</definedName>
    <definedName name="A_PERIOD_2010_Q3" localSheetId="18">#REF!</definedName>
    <definedName name="A_PERIOD_2010_Q3" localSheetId="19">#REF!</definedName>
    <definedName name="A_PERIOD_2010_Q3">#REF!</definedName>
    <definedName name="A_PERIOD_2010_Q4" localSheetId="17">#REF!</definedName>
    <definedName name="A_PERIOD_2010_Q4" localSheetId="14">#REF!</definedName>
    <definedName name="A_PERIOD_2010_Q4" localSheetId="18">#REF!</definedName>
    <definedName name="A_PERIOD_2010_Q4" localSheetId="19">#REF!</definedName>
    <definedName name="A_PERIOD_2010_Q4">#REF!</definedName>
    <definedName name="A_PERIOD_2011_Q1" localSheetId="17">#REF!</definedName>
    <definedName name="A_PERIOD_2011_Q1" localSheetId="14">#REF!</definedName>
    <definedName name="A_PERIOD_2011_Q1" localSheetId="18">#REF!</definedName>
    <definedName name="A_PERIOD_2011_Q1" localSheetId="19">#REF!</definedName>
    <definedName name="A_PERIOD_2011_Q1">#REF!</definedName>
    <definedName name="A_PERIOD_2011_Q2" localSheetId="17">#REF!</definedName>
    <definedName name="A_PERIOD_2011_Q2" localSheetId="14">#REF!</definedName>
    <definedName name="A_PERIOD_2011_Q2" localSheetId="18">#REF!</definedName>
    <definedName name="A_PERIOD_2011_Q2" localSheetId="19">#REF!</definedName>
    <definedName name="A_PERIOD_2011_Q2">#REF!</definedName>
    <definedName name="A_PERIOD_2011_Q3" localSheetId="17">#REF!</definedName>
    <definedName name="A_PERIOD_2011_Q3" localSheetId="14">#REF!</definedName>
    <definedName name="A_PERIOD_2011_Q3" localSheetId="18">#REF!</definedName>
    <definedName name="A_PERIOD_2011_Q3" localSheetId="19">#REF!</definedName>
    <definedName name="A_PERIOD_2011_Q3">#REF!</definedName>
    <definedName name="A_PERIOD_2011_Q4" localSheetId="17">#REF!</definedName>
    <definedName name="A_PERIOD_2011_Q4" localSheetId="14">#REF!</definedName>
    <definedName name="A_PERIOD_2011_Q4" localSheetId="18">#REF!</definedName>
    <definedName name="A_PERIOD_2011_Q4" localSheetId="19">#REF!</definedName>
    <definedName name="A_PERIOD_2011_Q4">#REF!</definedName>
    <definedName name="A_PERIOD_2012_Q1" localSheetId="17">#REF!</definedName>
    <definedName name="A_PERIOD_2012_Q1" localSheetId="14">#REF!</definedName>
    <definedName name="A_PERIOD_2012_Q1" localSheetId="18">#REF!</definedName>
    <definedName name="A_PERIOD_2012_Q1" localSheetId="19">#REF!</definedName>
    <definedName name="A_PERIOD_2012_Q1">#REF!</definedName>
    <definedName name="A_PERIOD_2012_Q2" localSheetId="17">#REF!</definedName>
    <definedName name="A_PERIOD_2012_Q2" localSheetId="14">#REF!</definedName>
    <definedName name="A_PERIOD_2012_Q2" localSheetId="18">#REF!</definedName>
    <definedName name="A_PERIOD_2012_Q2" localSheetId="19">#REF!</definedName>
    <definedName name="A_PERIOD_2012_Q2">#REF!</definedName>
    <definedName name="A_PERIOD_2012_Q3" localSheetId="17">#REF!</definedName>
    <definedName name="A_PERIOD_2012_Q3" localSheetId="14">#REF!</definedName>
    <definedName name="A_PERIOD_2012_Q3" localSheetId="18">#REF!</definedName>
    <definedName name="A_PERIOD_2012_Q3" localSheetId="19">#REF!</definedName>
    <definedName name="A_PERIOD_2012_Q3">#REF!</definedName>
    <definedName name="A_PERIOD_2012_Q4" localSheetId="17">#REF!</definedName>
    <definedName name="A_PERIOD_2012_Q4" localSheetId="14">#REF!</definedName>
    <definedName name="A_PERIOD_2012_Q4" localSheetId="18">#REF!</definedName>
    <definedName name="A_PERIOD_2012_Q4" localSheetId="19">#REF!</definedName>
    <definedName name="A_PERIOD_2012_Q4">#REF!</definedName>
    <definedName name="A_PERIOD_2020_H1" localSheetId="14">#REF!</definedName>
    <definedName name="A_PERIOD_2020_H1" localSheetId="19">#REF!</definedName>
    <definedName name="A_PERIOD_2020_H1">#REF!</definedName>
    <definedName name="A_PERIOD_2020_H2" localSheetId="14">#REF!</definedName>
    <definedName name="A_PERIOD_2020_H2" localSheetId="19">#REF!</definedName>
    <definedName name="A_PERIOD_2020_H2">#REF!</definedName>
    <definedName name="A_PERIOD_2021_Q1" localSheetId="17">#REF!</definedName>
    <definedName name="A_PERIOD_2021_Q1" localSheetId="14">#REF!</definedName>
    <definedName name="A_PERIOD_2021_Q1" localSheetId="18">#REF!</definedName>
    <definedName name="A_PERIOD_2021_Q1" localSheetId="19">#REF!</definedName>
    <definedName name="A_PERIOD_2021_Q1">#REF!</definedName>
    <definedName name="A_PERIOD_2021_Q2" localSheetId="17">#REF!</definedName>
    <definedName name="A_PERIOD_2021_Q2" localSheetId="14">#REF!</definedName>
    <definedName name="A_PERIOD_2021_Q2" localSheetId="18">#REF!</definedName>
    <definedName name="A_PERIOD_2021_Q2" localSheetId="19">#REF!</definedName>
    <definedName name="A_PERIOD_2021_Q2">#REF!</definedName>
    <definedName name="A_PERIOD_2021_Q3" localSheetId="17">#REF!</definedName>
    <definedName name="A_PERIOD_2021_Q3" localSheetId="14">#REF!</definedName>
    <definedName name="A_PERIOD_2021_Q3" localSheetId="18">#REF!</definedName>
    <definedName name="A_PERIOD_2021_Q3" localSheetId="19">#REF!</definedName>
    <definedName name="A_PERIOD_2021_Q3">#REF!</definedName>
    <definedName name="A_PERIOD_2021_Q4" localSheetId="17">#REF!</definedName>
    <definedName name="A_PERIOD_2021_Q4" localSheetId="14">#REF!</definedName>
    <definedName name="A_PERIOD_2021_Q4" localSheetId="18">#REF!</definedName>
    <definedName name="A_PERIOD_2021_Q4" localSheetId="19">#REF!</definedName>
    <definedName name="A_PERIOD_2021_Q4">#REF!</definedName>
    <definedName name="A_SECTION_EQTY_200007513_1314" localSheetId="17">#REF!</definedName>
    <definedName name="A_SECTION_EQTY_200007513_1314" localSheetId="14">#REF!</definedName>
    <definedName name="A_SECTION_EQTY_200007513_1314" localSheetId="18">#REF!</definedName>
    <definedName name="A_SECTION_EQTY_200007513_1314" localSheetId="19">#REF!</definedName>
    <definedName name="A_SECTION_EQTY_200007513_1314">#REF!</definedName>
    <definedName name="A_SECTION_EQTY_200007513_131E" localSheetId="17">#REF!</definedName>
    <definedName name="A_SECTION_EQTY_200007513_131E" localSheetId="14">#REF!</definedName>
    <definedName name="A_SECTION_EQTY_200007513_131E" localSheetId="18">#REF!</definedName>
    <definedName name="A_SECTION_EQTY_200007513_131E" localSheetId="19">#REF!</definedName>
    <definedName name="A_SECTION_EQTY_200007513_131E">#REF!</definedName>
    <definedName name="A_SECTION_EQTY_200007513_131O" localSheetId="17">#REF!</definedName>
    <definedName name="A_SECTION_EQTY_200007513_131O" localSheetId="14">#REF!</definedName>
    <definedName name="A_SECTION_EQTY_200007513_131O" localSheetId="18">#REF!</definedName>
    <definedName name="A_SECTION_EQTY_200007513_131O" localSheetId="19">#REF!</definedName>
    <definedName name="A_SECTION_EQTY_200007513_131O">#REF!</definedName>
    <definedName name="A_SECTION_EQTY_200007513_13A" localSheetId="17">#REF!</definedName>
    <definedName name="A_SECTION_EQTY_200007513_13A" localSheetId="14">#REF!</definedName>
    <definedName name="A_SECTION_EQTY_200007513_13A" localSheetId="18">#REF!</definedName>
    <definedName name="A_SECTION_EQTY_200007513_13A" localSheetId="19">#REF!</definedName>
    <definedName name="A_SECTION_EQTY_200007513_13A">#REF!</definedName>
    <definedName name="A_SECTION_EQTY_200007513_13K" localSheetId="17">#REF!</definedName>
    <definedName name="A_SECTION_EQTY_200007513_13K" localSheetId="14">#REF!</definedName>
    <definedName name="A_SECTION_EQTY_200007513_13K" localSheetId="18">#REF!</definedName>
    <definedName name="A_SECTION_EQTY_200007513_13K" localSheetId="19">#REF!</definedName>
    <definedName name="A_SECTION_EQTY_200007513_13K">#REF!</definedName>
    <definedName name="A_SECTION_EQTY_200007513_13U" localSheetId="17">#REF!</definedName>
    <definedName name="A_SECTION_EQTY_200007513_13U" localSheetId="14">#REF!</definedName>
    <definedName name="A_SECTION_EQTY_200007513_13U" localSheetId="18">#REF!</definedName>
    <definedName name="A_SECTION_EQTY_200007513_13U" localSheetId="19">#REF!</definedName>
    <definedName name="A_SECTION_EQTY_200007513_13U">#REF!</definedName>
    <definedName name="A_SECTION_EQTY_200007513_13V" localSheetId="17">#REF!</definedName>
    <definedName name="A_SECTION_EQTY_200007513_13V" localSheetId="14">#REF!</definedName>
    <definedName name="A_SECTION_EQTY_200007513_13V" localSheetId="18">#REF!</definedName>
    <definedName name="A_SECTION_EQTY_200007513_13V" localSheetId="19">#REF!</definedName>
    <definedName name="A_SECTION_EQTY_200007513_13V">#REF!</definedName>
    <definedName name="A_SECTION_EQTY_200007513_Reference_Data" localSheetId="17">#REF!</definedName>
    <definedName name="A_SECTION_EQTY_200007513_Reference_Data" localSheetId="14">#REF!</definedName>
    <definedName name="A_SECTION_EQTY_200007513_Reference_Data" localSheetId="18">#REF!</definedName>
    <definedName name="A_SECTION_EQTY_200007513_Reference_Data" localSheetId="19">#REF!</definedName>
    <definedName name="A_SECTION_EQTY_200007513_Reference_Data">#REF!</definedName>
    <definedName name="A_SECTION_ISSR_208002861_1314" localSheetId="17">#REF!</definedName>
    <definedName name="A_SECTION_ISSR_208002861_1314" localSheetId="14">#REF!</definedName>
    <definedName name="A_SECTION_ISSR_208002861_1314" localSheetId="18">#REF!</definedName>
    <definedName name="A_SECTION_ISSR_208002861_1314" localSheetId="19">#REF!</definedName>
    <definedName name="A_SECTION_ISSR_208002861_1314">#REF!</definedName>
    <definedName name="A_SECTION_ISSR_208002861_13168" localSheetId="17">#REF!</definedName>
    <definedName name="A_SECTION_ISSR_208002861_13168" localSheetId="14">#REF!</definedName>
    <definedName name="A_SECTION_ISSR_208002861_13168" localSheetId="18">#REF!</definedName>
    <definedName name="A_SECTION_ISSR_208002861_13168" localSheetId="19">#REF!</definedName>
    <definedName name="A_SECTION_ISSR_208002861_13168">#REF!</definedName>
    <definedName name="A_SECTION_ISSR_208002861_1316S" localSheetId="17">#REF!</definedName>
    <definedName name="A_SECTION_ISSR_208002861_1316S" localSheetId="14">#REF!</definedName>
    <definedName name="A_SECTION_ISSR_208002861_1316S" localSheetId="18">#REF!</definedName>
    <definedName name="A_SECTION_ISSR_208002861_1316S" localSheetId="19">#REF!</definedName>
    <definedName name="A_SECTION_ISSR_208002861_1316S">#REF!</definedName>
    <definedName name="A_SECTION_ISSR_208002861_1316T" localSheetId="17">#REF!</definedName>
    <definedName name="A_SECTION_ISSR_208002861_1316T" localSheetId="14">#REF!</definedName>
    <definedName name="A_SECTION_ISSR_208002861_1316T" localSheetId="18">#REF!</definedName>
    <definedName name="A_SECTION_ISSR_208002861_1316T" localSheetId="19">#REF!</definedName>
    <definedName name="A_SECTION_ISSR_208002861_1316T">#REF!</definedName>
    <definedName name="A_SECTION_ISSR_208002861_1316U" localSheetId="17">#REF!</definedName>
    <definedName name="A_SECTION_ISSR_208002861_1316U" localSheetId="14">#REF!</definedName>
    <definedName name="A_SECTION_ISSR_208002861_1316U" localSheetId="18">#REF!</definedName>
    <definedName name="A_SECTION_ISSR_208002861_1316U" localSheetId="19">#REF!</definedName>
    <definedName name="A_SECTION_ISSR_208002861_1316U">#REF!</definedName>
    <definedName name="A_SECTION_ISSR_208002861_1319" localSheetId="17">#REF!</definedName>
    <definedName name="A_SECTION_ISSR_208002861_1319" localSheetId="14">#REF!</definedName>
    <definedName name="A_SECTION_ISSR_208002861_1319" localSheetId="18">#REF!</definedName>
    <definedName name="A_SECTION_ISSR_208002861_1319" localSheetId="19">#REF!</definedName>
    <definedName name="A_SECTION_ISSR_208002861_1319">#REF!</definedName>
    <definedName name="A_SECTION_ISSR_208002861_131E" localSheetId="17">#REF!</definedName>
    <definedName name="A_SECTION_ISSR_208002861_131E" localSheetId="14">#REF!</definedName>
    <definedName name="A_SECTION_ISSR_208002861_131E" localSheetId="18">#REF!</definedName>
    <definedName name="A_SECTION_ISSR_208002861_131E" localSheetId="19">#REF!</definedName>
    <definedName name="A_SECTION_ISSR_208002861_131E">#REF!</definedName>
    <definedName name="A_SECTION_ISSR_208002861_131J" localSheetId="17">#REF!</definedName>
    <definedName name="A_SECTION_ISSR_208002861_131J" localSheetId="14">#REF!</definedName>
    <definedName name="A_SECTION_ISSR_208002861_131J" localSheetId="18">#REF!</definedName>
    <definedName name="A_SECTION_ISSR_208002861_131J" localSheetId="19">#REF!</definedName>
    <definedName name="A_SECTION_ISSR_208002861_131J">#REF!</definedName>
    <definedName name="A_SECTION_ISSR_208002861_131O" localSheetId="17">#REF!</definedName>
    <definedName name="A_SECTION_ISSR_208002861_131O" localSheetId="14">#REF!</definedName>
    <definedName name="A_SECTION_ISSR_208002861_131O" localSheetId="18">#REF!</definedName>
    <definedName name="A_SECTION_ISSR_208002861_131O" localSheetId="19">#REF!</definedName>
    <definedName name="A_SECTION_ISSR_208002861_131O">#REF!</definedName>
    <definedName name="A_SECTION_ISSR_208002861_13U" localSheetId="17">#REF!</definedName>
    <definedName name="A_SECTION_ISSR_208002861_13U" localSheetId="14">#REF!</definedName>
    <definedName name="A_SECTION_ISSR_208002861_13U" localSheetId="18">#REF!</definedName>
    <definedName name="A_SECTION_ISSR_208002861_13U" localSheetId="19">#REF!</definedName>
    <definedName name="A_SECTION_ISSR_208002861_13U">#REF!</definedName>
    <definedName name="A_SECTION_ISSR_208002861_13V" localSheetId="17">#REF!</definedName>
    <definedName name="A_SECTION_ISSR_208002861_13V" localSheetId="14">#REF!</definedName>
    <definedName name="A_SECTION_ISSR_208002861_13V" localSheetId="18">#REF!</definedName>
    <definedName name="A_SECTION_ISSR_208002861_13V" localSheetId="19">#REF!</definedName>
    <definedName name="A_SECTION_ISSR_208002861_13V">#REF!</definedName>
    <definedName name="A_SECTION_ISSR_208002861_Reference_Data" localSheetId="17">#REF!</definedName>
    <definedName name="A_SECTION_ISSR_208002861_Reference_Data" localSheetId="14">#REF!</definedName>
    <definedName name="A_SECTION_ISSR_208002861_Reference_Data" localSheetId="18">#REF!</definedName>
    <definedName name="A_SECTION_ISSR_208002861_Reference_Data" localSheetId="19">#REF!</definedName>
    <definedName name="A_SECTION_ISSR_208002861_Reference_Data">#REF!</definedName>
    <definedName name="aa" localSheetId="1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" localSheetId="2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" localSheetId="18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" localSheetId="19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localSheetId="1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localSheetId="2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localSheetId="18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localSheetId="19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_DOCTOPS" hidden="1">"AAA_SET"</definedName>
    <definedName name="AAA_duser" hidden="1">"OFF"</definedName>
    <definedName name="aaaaaaaaaaaaaaaaaaaaaaaaa" localSheetId="1" hidden="1">{"Front Page",#N/A,FALSE,"Front and Back"}</definedName>
    <definedName name="aaaaaaaaaaaaaaaaaaaaaaaaa" localSheetId="2" hidden="1">{"Front Page",#N/A,FALSE,"Front and Back"}</definedName>
    <definedName name="aaaaaaaaaaaaaaaaaaaaaaaaa" localSheetId="18" hidden="1">{"Front Page",#N/A,FALSE,"Front and Back"}</definedName>
    <definedName name="aaaaaaaaaaaaaaaaaaaaaaaaa" localSheetId="19" hidden="1">{"Front Page",#N/A,FALSE,"Front and Back"}</definedName>
    <definedName name="aaaaaaaaaaaaaaaaaaaaaaaaa" hidden="1">{"Front Page",#N/A,FALSE,"Front and Back"}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ppppppppppppppp" localSheetId="1" hidden="1">{"EUUTIGRP","COMPANIES",TRUE}</definedName>
    <definedName name="aappppppppppppppp" localSheetId="2" hidden="1">{"EUUTIGRP","COMPANIES",TRUE}</definedName>
    <definedName name="aappppppppppppppp" localSheetId="18" hidden="1">{"EUUTIGRP","COMPANIES",TRUE}</definedName>
    <definedName name="aappppppppppppppp" localSheetId="19" hidden="1">{"EUUTIGRP","COMPANIES",TRUE}</definedName>
    <definedName name="aappppppppppppppp" hidden="1">{"EUUTIGRP","COMPANIES",TRUE}</definedName>
    <definedName name="Ab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b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b" localSheetId="18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b" localSheetId="19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b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bsPerf12m">#REF!</definedName>
    <definedName name="AbsPerf1m">#REF!</definedName>
    <definedName name="AbsPerf3m">#REF!</definedName>
    <definedName name="aclskn" localSheetId="1" hidden="1">{#N/A,#N/A,FALSE,"FY97";#N/A,#N/A,FALSE,"FY98";#N/A,#N/A,FALSE,"FY99";#N/A,#N/A,FALSE,"FY00";#N/A,#N/A,FALSE,"FY01"}</definedName>
    <definedName name="aclskn" localSheetId="2" hidden="1">{#N/A,#N/A,FALSE,"FY97";#N/A,#N/A,FALSE,"FY98";#N/A,#N/A,FALSE,"FY99";#N/A,#N/A,FALSE,"FY00";#N/A,#N/A,FALSE,"FY01"}</definedName>
    <definedName name="aclskn" localSheetId="18" hidden="1">{#N/A,#N/A,FALSE,"FY97";#N/A,#N/A,FALSE,"FY98";#N/A,#N/A,FALSE,"FY99";#N/A,#N/A,FALSE,"FY00";#N/A,#N/A,FALSE,"FY01"}</definedName>
    <definedName name="aclskn" localSheetId="19" hidden="1">{#N/A,#N/A,FALSE,"FY97";#N/A,#N/A,FALSE,"FY98";#N/A,#N/A,FALSE,"FY99";#N/A,#N/A,FALSE,"FY00";#N/A,#N/A,FALSE,"FY01"}</definedName>
    <definedName name="aclskn" hidden="1">{#N/A,#N/A,FALSE,"FY97";#N/A,#N/A,FALSE,"FY98";#N/A,#N/A,FALSE,"FY99";#N/A,#N/A,FALSE,"FY00";#N/A,#N/A,FALSE,"FY01"}</definedName>
    <definedName name="AcqCostPerNewAccount">#REF!</definedName>
    <definedName name="AcquiredDebt">#REF!</definedName>
    <definedName name="Acquisitions">#REF!</definedName>
    <definedName name="ActivatedRD">#REF!</definedName>
    <definedName name="ActivatedRD_CF">#REF!</definedName>
    <definedName name="ActivatedRDAmortisation">#REF!</definedName>
    <definedName name="AdjChangeInWorkingCapital">#REF!</definedName>
    <definedName name="AdjDividendBlended">#REF!</definedName>
    <definedName name="AdjDividendFrontpage">#REF!</definedName>
    <definedName name="AdjDividendPrefs">#REF!</definedName>
    <definedName name="AdjEps">#REF!</definedName>
    <definedName name="AdjEPSExGoodwill">#REF!</definedName>
    <definedName name="AdjFullydilShareAvg">#REF!</definedName>
    <definedName name="AdjFullydilShareYe">#REF!</definedName>
    <definedName name="AdjOutstandingConvertibleNomAvg">#REF!</definedName>
    <definedName name="AdjOutstandingConvertibleNomYe">#REF!</definedName>
    <definedName name="AdjOutstandingPrefShareAvg">#REF!</definedName>
    <definedName name="AdjOutstandingPrefSharesYe">#REF!</definedName>
    <definedName name="AdjOutstandingShareNomAvg">#REF!</definedName>
    <definedName name="AdjOutstandingShareNomYe">#REF!</definedName>
    <definedName name="AdjRoE">#REF!</definedName>
    <definedName name="AdjustedAfterTaxProfit">#REF!</definedName>
    <definedName name="AfterTaxProfit">#REF!</definedName>
    <definedName name="AllTimeHigh">#REF!</definedName>
    <definedName name="AnalystCountry">#REF!</definedName>
    <definedName name="AnalystEmail">#REF!</definedName>
    <definedName name="AnalystName">#REF!</definedName>
    <definedName name="AnalystPhone">#REF!</definedName>
    <definedName name="AnalystTitle">#REF!</definedName>
    <definedName name="AnalystUserName">#REF!</definedName>
    <definedName name="as" localSheetId="1" hidden="1">{#N/A,#N/A,FALSE,"Annual Earnings Model";#N/A,#N/A,FALSE,"Quarterly Earnings Model";#N/A,#N/A,FALSE,"Header";#N/A,#N/A,FALSE,"Notes"}</definedName>
    <definedName name="as" localSheetId="2" hidden="1">{#N/A,#N/A,FALSE,"Annual Earnings Model";#N/A,#N/A,FALSE,"Quarterly Earnings Model";#N/A,#N/A,FALSE,"Header";#N/A,#N/A,FALSE,"Notes"}</definedName>
    <definedName name="as" localSheetId="18" hidden="1">{#N/A,#N/A,FALSE,"Annual Earnings Model";#N/A,#N/A,FALSE,"Quarterly Earnings Model";#N/A,#N/A,FALSE,"Header";#N/A,#N/A,FALSE,"Notes"}</definedName>
    <definedName name="as" localSheetId="19" hidden="1">{#N/A,#N/A,FALSE,"Annual Earnings Model";#N/A,#N/A,FALSE,"Quarterly Earnings Model";#N/A,#N/A,FALSE,"Header";#N/A,#N/A,FALSE,"Notes"}</definedName>
    <definedName name="as" hidden="1">{#N/A,#N/A,FALSE,"Annual Earnings Model";#N/A,#N/A,FALSE,"Quarterly Earnings Model";#N/A,#N/A,FALSE,"Header";#N/A,#N/A,FALSE,"Notes"}</definedName>
    <definedName name="asas" localSheetId="1" hidden="1">{#N/A,#N/A,FALSE,"Annual Earnings Model";#N/A,#N/A,FALSE,"Quarterly Earnings Model";#N/A,#N/A,FALSE,"Header";#N/A,#N/A,FALSE,"Notes"}</definedName>
    <definedName name="asas" localSheetId="2" hidden="1">{#N/A,#N/A,FALSE,"Annual Earnings Model";#N/A,#N/A,FALSE,"Quarterly Earnings Model";#N/A,#N/A,FALSE,"Header";#N/A,#N/A,FALSE,"Notes"}</definedName>
    <definedName name="asas" localSheetId="18" hidden="1">{#N/A,#N/A,FALSE,"Annual Earnings Model";#N/A,#N/A,FALSE,"Quarterly Earnings Model";#N/A,#N/A,FALSE,"Header";#N/A,#N/A,FALSE,"Notes"}</definedName>
    <definedName name="asas" localSheetId="19" hidden="1">{#N/A,#N/A,FALSE,"Annual Earnings Model";#N/A,#N/A,FALSE,"Quarterly Earnings Model";#N/A,#N/A,FALSE,"Header";#N/A,#N/A,FALSE,"Notes"}</definedName>
    <definedName name="asas" hidden="1">{#N/A,#N/A,FALSE,"Annual Earnings Model";#N/A,#N/A,FALSE,"Quarterly Earnings Model";#N/A,#N/A,FALSE,"Header";#N/A,#N/A,FALSE,"Notes"}</definedName>
    <definedName name="AssetDisposals">#REF!</definedName>
    <definedName name="AssetsEmployed">#REF!</definedName>
    <definedName name="AssocCompaniesRAT">#REF!</definedName>
    <definedName name="AssociatedCompanies">#REF!</definedName>
    <definedName name="Avantderniercours" localSheetId="2">#REF!</definedName>
    <definedName name="Avantderniercours">#REF!</definedName>
    <definedName name="b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b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b" localSheetId="18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b" localSheetId="19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b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bas" localSheetId="2">#REF!</definedName>
    <definedName name="bas">#REF!</definedName>
    <definedName name="BLPH1" localSheetId="1" hidden="1">#REF!</definedName>
    <definedName name="BLPH1" localSheetId="2" hidden="1">#REF!</definedName>
    <definedName name="BLPH1" localSheetId="17" hidden="1">#REF!</definedName>
    <definedName name="BLPH1" localSheetId="14" hidden="1">#REF!</definedName>
    <definedName name="BLPH1" localSheetId="18" hidden="1">#REF!</definedName>
    <definedName name="BLPH1" localSheetId="19" hidden="1">#REF!</definedName>
    <definedName name="BLPH1" hidden="1">#REF!</definedName>
    <definedName name="BLPH2" localSheetId="1" hidden="1">#REF!</definedName>
    <definedName name="BLPH2" localSheetId="2" hidden="1">#REF!</definedName>
    <definedName name="BLPH2" localSheetId="17" hidden="1">#REF!</definedName>
    <definedName name="BLPH2" localSheetId="14" hidden="1">#REF!</definedName>
    <definedName name="BLPH2" localSheetId="18" hidden="1">#REF!</definedName>
    <definedName name="BLPH2" localSheetId="19" hidden="1">#REF!</definedName>
    <definedName name="BLPH2" hidden="1">#REF!</definedName>
    <definedName name="bn" localSheetId="1" hidden="1">{"EUUTIGRP","COMPANIES",TRUE}</definedName>
    <definedName name="bn" localSheetId="2" hidden="1">{"EUUTIGRP","COMPANIES",TRUE}</definedName>
    <definedName name="bn" localSheetId="18" hidden="1">{"EUUTIGRP","COMPANIES",TRUE}</definedName>
    <definedName name="bn" localSheetId="19" hidden="1">{"EUUTIGRP","COMPANIES",TRUE}</definedName>
    <definedName name="bn" hidden="1">{"EUUTIGRP","COMPANIES",TRUE}</definedName>
    <definedName name="BookCurrencyShort">#REF!</definedName>
    <definedName name="BookValuePerShare">#REF!</definedName>
    <definedName name="CapitalEmployed">#REF!</definedName>
    <definedName name="CapitalExpenditureDepreciationRatio">#REF!</definedName>
    <definedName name="CapitalExpenditureExpansion">#REF!</definedName>
    <definedName name="CapitalExpenditureMaintenance">#REF!</definedName>
    <definedName name="CapitalExpenditureSalesRatio">#REF!</definedName>
    <definedName name="CapitalExpenditureSalesRatioChart">#REF!</definedName>
    <definedName name="CashDebtCover">#REF!</definedName>
    <definedName name="CashEarningPerShare">#REF!</definedName>
    <definedName name="CashEarnings">#REF!</definedName>
    <definedName name="CashFlowBeforeChangeWorkingCapital">#REF!</definedName>
    <definedName name="CashInterestCover">#REF!</definedName>
    <definedName name="CashLiquidAssets">#REF!</definedName>
    <definedName name="CashMinorities">#REF!</definedName>
    <definedName name="CEM_Today">#REF!</definedName>
    <definedName name="CEM_Ye">#REF!</definedName>
    <definedName name="CEO">#REF!</definedName>
    <definedName name="CFO">#REF!</definedName>
    <definedName name="CFormats" localSheetId="2">#REF!</definedName>
    <definedName name="CFormats">#REF!</definedName>
    <definedName name="ChangeGroupCreditors">#REF!</definedName>
    <definedName name="ChangeGroupDebtors">#REF!</definedName>
    <definedName name="ChangeGroupFixedTangibleAssets">#REF!</definedName>
    <definedName name="ChangeGroupIntangibles">#REF!</definedName>
    <definedName name="ChangeGroupInterestBearingFixedAssets">#REF!</definedName>
    <definedName name="ChangeGroupInventories">#REF!</definedName>
    <definedName name="ChangeGroupOtherFinancialAssets">#REF!</definedName>
    <definedName name="ChangeGroupOtherFixedAssets">#REF!</definedName>
    <definedName name="ChangeGroupOtherTradeFinancing">#REF!</definedName>
    <definedName name="ChangeGroupTotal">#REF!</definedName>
    <definedName name="ChangeInWorkingCapital">#REF!</definedName>
    <definedName name="ChangeNetDebt">#REF!</definedName>
    <definedName name="ChangeProvisions">#REF!</definedName>
    <definedName name="ClientAccounts">#REF!</definedName>
    <definedName name="ClientAccountsAvg">#REF!</definedName>
    <definedName name="COB">#REF!</definedName>
    <definedName name="codeDestination" localSheetId="2">#REF!</definedName>
    <definedName name="codeDestination">#REF!</definedName>
    <definedName name="CODELK_Path" localSheetId="2">#REF!</definedName>
    <definedName name="CODELK_Path">#REF!</definedName>
    <definedName name="ColumnHeading" localSheetId="2">#REF!</definedName>
    <definedName name="ColumnHeading">#REF!</definedName>
    <definedName name="CommissionIncomeRevenues">#REF!</definedName>
    <definedName name="CompanyFileName">#REF!</definedName>
    <definedName name="CompanyGroupFactor">#REF!</definedName>
    <definedName name="CompanyHide">#REF!</definedName>
    <definedName name="CompanyId">#REF!</definedName>
    <definedName name="CompanyName">#REF!</definedName>
    <definedName name="CompYield">#REF!</definedName>
    <definedName name="ConvertibleDebt">#REF!</definedName>
    <definedName name="CostIncomeRatioExMarketing">#REF!</definedName>
    <definedName name="CostProductSold">#REF!</definedName>
    <definedName name="CountryName">#REF!</definedName>
    <definedName name="CountryShort">#REF!</definedName>
    <definedName name="Creditors">#REF!</definedName>
    <definedName name="CreditorsSalesRatio">#REF!</definedName>
    <definedName name="CTopics" localSheetId="2">#REF!</definedName>
    <definedName name="CTopics">#REF!</definedName>
    <definedName name="cu107.DPSSymbol" hidden="1">"€"</definedName>
    <definedName name="cu107.EPSSymbol" hidden="1">"€"</definedName>
    <definedName name="cu71.ScalingFactor" hidden="1">1000000</definedName>
    <definedName name="Currency">#REF!</definedName>
    <definedName name="CurrencyRateEUR">#REF!</definedName>
    <definedName name="CurrencyRateUSD">#REF!</definedName>
    <definedName name="CurrentAssets">#REF!</definedName>
    <definedName name="CurrentLiabilities">#REF!</definedName>
    <definedName name="CurrentRatio">#REF!</definedName>
    <definedName name="CurrentRecommendation">#REF!</definedName>
    <definedName name="CurrentRecommendationDate">#REF!</definedName>
    <definedName name="d" localSheetId="1" hidden="1">{"CSC_1",#N/A,FALSE,"CSC Outputs";"CSC_2",#N/A,FALSE,"CSC Outputs"}</definedName>
    <definedName name="d" localSheetId="2" hidden="1">{"CSC_1",#N/A,FALSE,"CSC Outputs";"CSC_2",#N/A,FALSE,"CSC Outputs"}</definedName>
    <definedName name="d" localSheetId="18" hidden="1">{"CSC_1",#N/A,FALSE,"CSC Outputs";"CSC_2",#N/A,FALSE,"CSC Outputs"}</definedName>
    <definedName name="d" localSheetId="19" hidden="1">{"CSC_1",#N/A,FALSE,"CSC Outputs";"CSC_2",#N/A,FALSE,"CSC Outputs"}</definedName>
    <definedName name="d" hidden="1">{"CSC_1",#N/A,FALSE,"CSC Outputs";"CSC_2",#N/A,FALSE,"CSC Outputs"}</definedName>
    <definedName name="Datederniercours" localSheetId="2">#REF!</definedName>
    <definedName name="Datederniercours">#REF!</definedName>
    <definedName name="DateFiveYear">#REF!</definedName>
    <definedName name="DateFiveYearPeer1">#REF!</definedName>
    <definedName name="DateYear">#REF!</definedName>
    <definedName name="DateYearPeer1">#REF!</definedName>
    <definedName name="DateYearPeer2">#REF!</definedName>
    <definedName name="ddddddddddddddddddd" localSheetId="1" hidden="1">{"P and L Detail Page 1",#N/A,FALSE,"Data";"P and L Detail Page 2",#N/A,FALSE,"Data"}</definedName>
    <definedName name="ddddddddddddddddddd" localSheetId="2" hidden="1">{"P and L Detail Page 1",#N/A,FALSE,"Data";"P and L Detail Page 2",#N/A,FALSE,"Data"}</definedName>
    <definedName name="ddddddddddddddddddd" localSheetId="18" hidden="1">{"P and L Detail Page 1",#N/A,FALSE,"Data";"P and L Detail Page 2",#N/A,FALSE,"Data"}</definedName>
    <definedName name="ddddddddddddddddddd" localSheetId="19" hidden="1">{"P and L Detail Page 1",#N/A,FALSE,"Data";"P and L Detail Page 2",#N/A,FALSE,"Data"}</definedName>
    <definedName name="ddddddddddddddddddd" hidden="1">{"P and L Detail Page 1",#N/A,FALSE,"Data";"P and L Detail Page 2",#N/A,FALSE,"Data"}</definedName>
    <definedName name="DebtEquityRatio">#REF!</definedName>
    <definedName name="Debtors">#REF!</definedName>
    <definedName name="DebtorsSalesDays">#REF!</definedName>
    <definedName name="defaultmargin">50</definedName>
    <definedName name="defaultmonth">6</definedName>
    <definedName name="defaultrate">4.75</definedName>
    <definedName name="DeferredTax">#REF!</definedName>
    <definedName name="Depreciation">#REF!</definedName>
    <definedName name="Derniercours" localSheetId="2">#REF!</definedName>
    <definedName name="Derniercours">#REF!</definedName>
    <definedName name="Derniervolume" localSheetId="2">#REF!</definedName>
    <definedName name="Derniervolume">#REF!</definedName>
    <definedName name="Description">#REF!</definedName>
    <definedName name="DetailColumns" localSheetId="2">#REF!</definedName>
    <definedName name="DetailColumns">#REF!</definedName>
    <definedName name="dfgd" localSheetId="1" hidden="1">{"subs",#N/A,FALSE,"database ";"proportional",#N/A,FALSE,"database "}</definedName>
    <definedName name="dfgd" localSheetId="2" hidden="1">{"subs",#N/A,FALSE,"database ";"proportional",#N/A,FALSE,"database "}</definedName>
    <definedName name="dfgd" localSheetId="18" hidden="1">{"subs",#N/A,FALSE,"database ";"proportional",#N/A,FALSE,"database "}</definedName>
    <definedName name="dfgd" localSheetId="19" hidden="1">{"subs",#N/A,FALSE,"database ";"proportional",#N/A,FALSE,"database "}</definedName>
    <definedName name="dfgd" hidden="1">{"subs",#N/A,FALSE,"database ";"proportional",#N/A,FALSE,"database "}</definedName>
    <definedName name="DividendAssocCompanies">#REF!</definedName>
    <definedName name="DividendPaid">#REF!</definedName>
    <definedName name="down" localSheetId="1" hidden="1">{#N/A,#N/A,FALSE,"Umsatz";#N/A,#N/A,FALSE,"Base V.02";#N/A,#N/A,FALSE,"Charts"}</definedName>
    <definedName name="down" localSheetId="2" hidden="1">{#N/A,#N/A,FALSE,"Umsatz";#N/A,#N/A,FALSE,"Base V.02";#N/A,#N/A,FALSE,"Charts"}</definedName>
    <definedName name="down" localSheetId="18" hidden="1">{#N/A,#N/A,FALSE,"Umsatz";#N/A,#N/A,FALSE,"Base V.02";#N/A,#N/A,FALSE,"Charts"}</definedName>
    <definedName name="down" localSheetId="19" hidden="1">{#N/A,#N/A,FALSE,"Umsatz";#N/A,#N/A,FALSE,"Base V.02";#N/A,#N/A,FALSE,"Charts"}</definedName>
    <definedName name="down" hidden="1">{#N/A,#N/A,FALSE,"Umsatz";#N/A,#N/A,FALSE,"Base V.02";#N/A,#N/A,FALSE,"Charts"}</definedName>
    <definedName name="draka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localSheetId="1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localSheetId="19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SDDE_Path" localSheetId="2">#REF!</definedName>
    <definedName name="DSDDE_Path">#REF!</definedName>
    <definedName name="e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e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e" localSheetId="1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e" localSheetId="19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e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E_ALL_ABBN.S" localSheetId="2">#REF!</definedName>
    <definedName name="E_ALL_ABBN.S">#REF!</definedName>
    <definedName name="E_ALL_AIR.PA" localSheetId="2">#REF!</definedName>
    <definedName name="E_ALL_AIR.PA" localSheetId="14">#REF!</definedName>
    <definedName name="E_ALL_AIR.PA" localSheetId="18">#REF!</definedName>
    <definedName name="E_ALL_AIR.PA">#REF!</definedName>
    <definedName name="E_ALL_ATCOa.ST">#REF!</definedName>
    <definedName name="E_ALL_AVMD.PA" localSheetId="2">#REF!</definedName>
    <definedName name="E_ALL_AVMD.PA">#REF!</definedName>
    <definedName name="E_ALL_BAES.L" localSheetId="2">#REF!</definedName>
    <definedName name="E_ALL_BAES.L" localSheetId="14">#REF!</definedName>
    <definedName name="E_ALL_BAES.L" localSheetId="18">#REF!</definedName>
    <definedName name="E_ALL_BAES.L">#REF!</definedName>
    <definedName name="E_ALL_COB.L" localSheetId="2">#REF!</definedName>
    <definedName name="E_ALL_COB.L" localSheetId="14">#REF!</definedName>
    <definedName name="E_ALL_COB.L" localSheetId="18">#REF!</definedName>
    <definedName name="E_ALL_COB.L">#REF!</definedName>
    <definedName name="E_ALL_DTGGe.DE">#REF!</definedName>
    <definedName name="E_ALL_EAD.PA" localSheetId="2">#REF!</definedName>
    <definedName name="E_ALL_EAD.PA" localSheetId="14">#REF!</definedName>
    <definedName name="E_ALL_EAD.PA">#REF!</definedName>
    <definedName name="E_ALL_KEYWORDS_TYPE_ScalarContributed_EQTY_200000267">#REF!,#REF!</definedName>
    <definedName name="E_ALL_KEYWORDS_TYPE_ScalarContributed_EQTY_200003162" localSheetId="2">#REF!,#REF!</definedName>
    <definedName name="E_ALL_KEYWORDS_TYPE_ScalarContributed_EQTY_200003162" localSheetId="14">#REF!,#REF!</definedName>
    <definedName name="E_ALL_KEYWORDS_TYPE_ScalarContributed_EQTY_200003162">#REF!,#REF!</definedName>
    <definedName name="E_ALL_KEYWORDS_TYPE_ScalarContributed_EQTY_200003170" localSheetId="2">#REF!,#REF!</definedName>
    <definedName name="E_ALL_KEYWORDS_TYPE_ScalarContributed_EQTY_200003170" localSheetId="14">#REF!,#REF!</definedName>
    <definedName name="E_ALL_KEYWORDS_TYPE_ScalarContributed_EQTY_200003170">#REF!,#REF!</definedName>
    <definedName name="E_ALL_KEYWORDS_TYPE_ScalarContributed_EQTY_200003173" localSheetId="2">#REF!,#REF!</definedName>
    <definedName name="E_ALL_KEYWORDS_TYPE_ScalarContributed_EQTY_200003173" localSheetId="14">#REF!,#REF!</definedName>
    <definedName name="E_ALL_KEYWORDS_TYPE_ScalarContributed_EQTY_200003173">#REF!,#REF!</definedName>
    <definedName name="E_ALL_KEYWORDS_TYPE_ScalarContributed_EQTY_200003183" localSheetId="2">#REF!,#REF!</definedName>
    <definedName name="E_ALL_KEYWORDS_TYPE_ScalarContributed_EQTY_200003183" localSheetId="14">#REF!,#REF!</definedName>
    <definedName name="E_ALL_KEYWORDS_TYPE_ScalarContributed_EQTY_200003183">#REF!,#REF!</definedName>
    <definedName name="E_ALL_KEYWORDS_TYPE_ScalarContributed_EQTY_200003821" localSheetId="2">#REF!,#REF!</definedName>
    <definedName name="E_ALL_KEYWORDS_TYPE_ScalarContributed_EQTY_200003821" localSheetId="14">#REF!,#REF!</definedName>
    <definedName name="E_ALL_KEYWORDS_TYPE_ScalarContributed_EQTY_200003821">#REF!,#REF!</definedName>
    <definedName name="E_ALL_KEYWORDS_TYPE_ScalarContributed_EQTY_200004285" localSheetId="2">#REF!,#REF!</definedName>
    <definedName name="E_ALL_KEYWORDS_TYPE_ScalarContributed_EQTY_200004285">#REF!,#REF!</definedName>
    <definedName name="E_ALL_KEYWORDS_TYPE_ScalarContributed_EQTY_200005121" localSheetId="2">#REF!,#REF!</definedName>
    <definedName name="E_ALL_KEYWORDS_TYPE_ScalarContributed_EQTY_200005121" localSheetId="14">#REF!,#REF!</definedName>
    <definedName name="E_ALL_KEYWORDS_TYPE_ScalarContributed_EQTY_200005121">#REF!,#REF!</definedName>
    <definedName name="E_ALL_KEYWORDS_TYPE_ScalarContributed_EQTY_200007513" localSheetId="2">#REF!,#REF!</definedName>
    <definedName name="E_ALL_KEYWORDS_TYPE_ScalarContributed_EQTY_200007513" localSheetId="14">#REF!,#REF!</definedName>
    <definedName name="E_ALL_KEYWORDS_TYPE_ScalarContributed_EQTY_200007513">#REF!,#REF!</definedName>
    <definedName name="E_ALL_KEYWORDS_TYPE_ScalarContributed_EQTY_200008448" localSheetId="18">#REF!,#REF!,#REF!</definedName>
    <definedName name="E_ALL_KEYWORDS_TYPE_ScalarContributed_EQTY_200008448">#REF!,#REF!,#REF!</definedName>
    <definedName name="E_ALL_KEYWORDS_TYPE_ScalarContributed_EQTY_200009618" localSheetId="2">#REF!,#REF!</definedName>
    <definedName name="E_ALL_KEYWORDS_TYPE_ScalarContributed_EQTY_200009618" localSheetId="14">#REF!,#REF!</definedName>
    <definedName name="E_ALL_KEYWORDS_TYPE_ScalarContributed_EQTY_200009618">#REF!,#REF!</definedName>
    <definedName name="E_ALL_KEYWORDS_TYPE_ScalarContributed_EQTY_200009619" localSheetId="2">#REF!,#REF!</definedName>
    <definedName name="E_ALL_KEYWORDS_TYPE_ScalarContributed_EQTY_200009619" localSheetId="14">#REF!,#REF!</definedName>
    <definedName name="E_ALL_KEYWORDS_TYPE_ScalarContributed_EQTY_200009619">#REF!,#REF!</definedName>
    <definedName name="E_ALL_KEYWORDS_TYPE_ScalarContributed_EQTY_200009620" localSheetId="2">#REF!,#REF!</definedName>
    <definedName name="E_ALL_KEYWORDS_TYPE_ScalarContributed_EQTY_200009620" localSheetId="14">#REF!,#REF!</definedName>
    <definedName name="E_ALL_KEYWORDS_TYPE_ScalarContributed_EQTY_200009620">#REF!,#REF!</definedName>
    <definedName name="E_ALL_KEYWORDS_TYPE_ScalarContributed_EQTY_200011295" localSheetId="2">#REF!,#REF!</definedName>
    <definedName name="E_ALL_KEYWORDS_TYPE_ScalarContributed_EQTY_200011295">#REF!,#REF!</definedName>
    <definedName name="E_ALL_KEYWORDS_TYPE_ScalarContributed_ISSR_208001092" localSheetId="2">#REF!,#REF!</definedName>
    <definedName name="E_ALL_KEYWORDS_TYPE_ScalarContributed_ISSR_208001092">#REF!,#REF!</definedName>
    <definedName name="E_ALL_KEYWORDS_TYPE_ScalarContributed_ISSR_208001095" localSheetId="2">#REF!,#REF!</definedName>
    <definedName name="E_ALL_KEYWORDS_TYPE_ScalarContributed_ISSR_208001095">#REF!,#REF!</definedName>
    <definedName name="E_ALL_KEYWORDS_TYPE_ScalarContributed_ISSR_208001219" localSheetId="2">#REF!,#REF!,#REF!,#REF!,#REF!,#REF!,#REF!,#REF!</definedName>
    <definedName name="E_ALL_KEYWORDS_TYPE_ScalarContributed_ISSR_208001219">#REF!,#REF!,#REF!,#REF!,#REF!,#REF!,#REF!,#REF!</definedName>
    <definedName name="E_ALL_KEYWORDS_TYPE_ScalarContributed_ISSR_208007415" localSheetId="2">#REF!,#REF!</definedName>
    <definedName name="E_ALL_KEYWORDS_TYPE_ScalarContributed_ISSR_208007415">#REF!,#REF!</definedName>
    <definedName name="E_ALL_KEYWORDS_TYPE_ScalarContributed_ISSR_208008646" localSheetId="2">#REF!,#REF!</definedName>
    <definedName name="E_ALL_KEYWORDS_TYPE_ScalarContributed_ISSR_208008646">#REF!,#REF!</definedName>
    <definedName name="E_ALL_KEYWORDS_TYPE_ScalarReference_EQTY_200007513" localSheetId="17">#REF!</definedName>
    <definedName name="E_ALL_KEYWORDS_TYPE_ScalarReference_EQTY_200007513" localSheetId="14">#REF!</definedName>
    <definedName name="E_ALL_KEYWORDS_TYPE_ScalarReference_EQTY_200007513" localSheetId="18">#REF!</definedName>
    <definedName name="E_ALL_KEYWORDS_TYPE_ScalarReference_EQTY_200007513" localSheetId="19">#REF!</definedName>
    <definedName name="E_ALL_KEYWORDS_TYPE_ScalarReference_EQTY_200007513">#REF!</definedName>
    <definedName name="E_ALL_KEYWORDS_TYPE_ScalarReference_ISSR_208002861" localSheetId="17">#REF!</definedName>
    <definedName name="E_ALL_KEYWORDS_TYPE_ScalarReference_ISSR_208002861" localSheetId="14">#REF!</definedName>
    <definedName name="E_ALL_KEYWORDS_TYPE_ScalarReference_ISSR_208002861" localSheetId="18">#REF!</definedName>
    <definedName name="E_ALL_KEYWORDS_TYPE_ScalarReference_ISSR_208002861" localSheetId="19">#REF!</definedName>
    <definedName name="E_ALL_KEYWORDS_TYPE_ScalarReference_ISSR_208002861">#REF!</definedName>
    <definedName name="E_ALL_KEYWORDS_TYPE_Vector_EQTY_200003162" localSheetId="2">#REF!,#REF!,#REF!,#REF!,#REF!</definedName>
    <definedName name="E_ALL_KEYWORDS_TYPE_Vector_EQTY_200003162" localSheetId="14">#REF!,#REF!,#REF!,#REF!,#REF!</definedName>
    <definedName name="E_ALL_KEYWORDS_TYPE_Vector_EQTY_200003162">#REF!,#REF!,#REF!,#REF!,#REF!</definedName>
    <definedName name="E_ALL_KEYWORDS_TYPE_Vector_EQTY_200003169" localSheetId="2">#REF!,#REF!,#REF!,#REF!,#REF!</definedName>
    <definedName name="E_ALL_KEYWORDS_TYPE_Vector_EQTY_200003169">#REF!,#REF!,#REF!,#REF!,#REF!</definedName>
    <definedName name="E_ALL_KEYWORDS_TYPE_Vector_EQTY_200003170" localSheetId="2">#REF!,#REF!,#REF!,#REF!,#REF!</definedName>
    <definedName name="E_ALL_KEYWORDS_TYPE_Vector_EQTY_200003170" localSheetId="14">#REF!,#REF!,#REF!,#REF!,#REF!</definedName>
    <definedName name="E_ALL_KEYWORDS_TYPE_Vector_EQTY_200003170">#REF!,#REF!,#REF!,#REF!,#REF!</definedName>
    <definedName name="E_ALL_KEYWORDS_TYPE_Vector_EQTY_200003173" localSheetId="2">#REF!,#REF!,#REF!,#REF!,#REF!</definedName>
    <definedName name="E_ALL_KEYWORDS_TYPE_Vector_EQTY_200003173" localSheetId="14">#REF!,#REF!,#REF!,#REF!,#REF!</definedName>
    <definedName name="E_ALL_KEYWORDS_TYPE_Vector_EQTY_200003173">#REF!,#REF!,#REF!,#REF!,#REF!</definedName>
    <definedName name="E_ALL_KEYWORDS_TYPE_Vector_EQTY_200003183" localSheetId="2">#REF!,#REF!,#REF!,#REF!,#REF!</definedName>
    <definedName name="E_ALL_KEYWORDS_TYPE_Vector_EQTY_200003183" localSheetId="14">#REF!,#REF!,#REF!,#REF!,#REF!</definedName>
    <definedName name="E_ALL_KEYWORDS_TYPE_Vector_EQTY_200003183">#REF!,#REF!,#REF!,#REF!,#REF!</definedName>
    <definedName name="E_ALL_KEYWORDS_TYPE_Vector_EQTY_200003821" localSheetId="2">#REF!,#REF!,#REF!,#REF!,#REF!</definedName>
    <definedName name="E_ALL_KEYWORDS_TYPE_Vector_EQTY_200003821" localSheetId="14">#REF!,#REF!,#REF!,#REF!,#REF!</definedName>
    <definedName name="E_ALL_KEYWORDS_TYPE_Vector_EQTY_200003821">#REF!,#REF!,#REF!,#REF!,#REF!</definedName>
    <definedName name="E_ALL_KEYWORDS_TYPE_Vector_EQTY_200004285" localSheetId="2">#REF!,#REF!,#REF!,#REF!,#REF!</definedName>
    <definedName name="E_ALL_KEYWORDS_TYPE_Vector_EQTY_200004285">#REF!,#REF!,#REF!,#REF!,#REF!</definedName>
    <definedName name="E_ALL_KEYWORDS_TYPE_Vector_EQTY_200005121" localSheetId="2">#REF!,#REF!,#REF!,#REF!,#REF!</definedName>
    <definedName name="E_ALL_KEYWORDS_TYPE_Vector_EQTY_200005121" localSheetId="14">#REF!,#REF!,#REF!,#REF!,#REF!</definedName>
    <definedName name="E_ALL_KEYWORDS_TYPE_Vector_EQTY_200005121">#REF!,#REF!,#REF!,#REF!,#REF!</definedName>
    <definedName name="E_ALL_KEYWORDS_TYPE_Vector_EQTY_200007513" localSheetId="2">#REF!,#REF!,#REF!,#REF!,#REF!</definedName>
    <definedName name="E_ALL_KEYWORDS_TYPE_Vector_EQTY_200007513" localSheetId="14">#REF!,#REF!,#REF!,#REF!,#REF!</definedName>
    <definedName name="E_ALL_KEYWORDS_TYPE_Vector_EQTY_200007513">#REF!,#REF!,#REF!,#REF!,#REF!</definedName>
    <definedName name="E_ALL_KEYWORDS_TYPE_Vector_EQTY_200008448" localSheetId="14">#REF!,#REF!,#REF!,#REF!,#REF!</definedName>
    <definedName name="E_ALL_KEYWORDS_TYPE_Vector_EQTY_200009618" localSheetId="2">#REF!,#REF!,#REF!,#REF!,#REF!</definedName>
    <definedName name="E_ALL_KEYWORDS_TYPE_Vector_EQTY_200009618" localSheetId="14">#REF!,#REF!,#REF!,#REF!,#REF!</definedName>
    <definedName name="E_ALL_KEYWORDS_TYPE_Vector_EQTY_200009618">#REF!,#REF!,#REF!,#REF!,#REF!</definedName>
    <definedName name="E_ALL_KEYWORDS_TYPE_Vector_EQTY_200009619" localSheetId="2">#REF!,#REF!,#REF!,#REF!,#REF!</definedName>
    <definedName name="E_ALL_KEYWORDS_TYPE_Vector_EQTY_200009619" localSheetId="14">#REF!,#REF!,#REF!,#REF!,#REF!</definedName>
    <definedName name="E_ALL_KEYWORDS_TYPE_Vector_EQTY_200009619">#REF!,#REF!,#REF!,#REF!,#REF!</definedName>
    <definedName name="E_ALL_KEYWORDS_TYPE_Vector_EQTY_200009620" localSheetId="2">#REF!,#REF!,#REF!,#REF!,#REF!</definedName>
    <definedName name="E_ALL_KEYWORDS_TYPE_Vector_EQTY_200009620" localSheetId="14">#REF!,#REF!,#REF!,#REF!,#REF!</definedName>
    <definedName name="E_ALL_KEYWORDS_TYPE_Vector_EQTY_200009620">#REF!,#REF!,#REF!,#REF!,#REF!</definedName>
    <definedName name="E_ALL_KEYWORDS_TYPE_Vector_EQTY_200011295" localSheetId="2">#REF!,#REF!,#REF!,#REF!,#REF!</definedName>
    <definedName name="E_ALL_KEYWORDS_TYPE_Vector_EQTY_200011295" localSheetId="14">#REF!,#REF!,#REF!,#REF!,#REF!</definedName>
    <definedName name="E_ALL_KEYWORDS_TYPE_Vector_EQTY_200011295">#REF!,#REF!,#REF!,#REF!,#REF!</definedName>
    <definedName name="E_ALL_KEYWORDS_TYPE_Vector_ISSR_208001092" localSheetId="2">#REF!,#REF!,#REF!,#REF!,#REF!,#REF!,#REF!,#REF!,#REF!,#REF!,#REF!,#REF!,#REF!,#REF!,#REF!,#REF!,#REF!,#REF!,#REF!,#REF!,#REF!,#REF!,#REF!,#REF!,#REF!,#REF!</definedName>
    <definedName name="E_ALL_KEYWORDS_TYPE_Vector_ISSR_208001092" localSheetId="14">#REF!,#REF!,#REF!,#REF!,#REF!,#REF!,#REF!,#REF!,#REF!,#REF!,#REF!,#REF!,#REF!,#REF!,#REF!,#REF!,#REF!,#REF!,#REF!,#REF!,#REF!,#REF!,#REF!,#REF!,#REF!,#REF!</definedName>
    <definedName name="E_ALL_KEYWORDS_TYPE_Vector_ISSR_208001092">#REF!,#REF!,#REF!,#REF!,#REF!,#REF!,#REF!,#REF!,#REF!,#REF!,#REF!,#REF!,#REF!,#REF!,#REF!,#REF!,#REF!,#REF!,#REF!,#REF!,#REF!,#REF!,#REF!,#REF!,#REF!,#REF!</definedName>
    <definedName name="E_ALL_KEYWORDS_TYPE_Vector_ISSR_208001095" localSheetId="2">#REF!,#REF!,#REF!,#REF!,#REF!,#REF!,#REF!,#REF!,#REF!,#REF!,#REF!,#REF!,#REF!,#REF!</definedName>
    <definedName name="E_ALL_KEYWORDS_TYPE_Vector_ISSR_208001095">#REF!,#REF!,#REF!,#REF!,#REF!,#REF!,#REF!,#REF!,#REF!,#REF!,#REF!,#REF!,#REF!,#REF!</definedName>
    <definedName name="E_ALL_KEYWORDS_TYPE_Vector_ISSR_208001096" localSheetId="2">#REF!,#REF!,#REF!,#REF!,#REF!,#REF!,#REF!,#REF!,#REF!,#REF!,#REF!,#REF!,#REF!,#REF!,#REF!,#REF!,#REF!,#REF!,#REF!,#REF!,#REF!,#REF!,#REF!,#REF!,#REF!,#REF!</definedName>
    <definedName name="E_ALL_KEYWORDS_TYPE_Vector_ISSR_208001096" localSheetId="14">#REF!,#REF!,#REF!,#REF!,#REF!,#REF!,#REF!,#REF!,#REF!,#REF!,#REF!,#REF!,#REF!,#REF!,#REF!,#REF!,#REF!,#REF!,#REF!,#REF!,#REF!,#REF!,#REF!,#REF!,#REF!,#REF!</definedName>
    <definedName name="E_ALL_KEYWORDS_TYPE_Vector_ISSR_208001096">#REF!,#REF!,#REF!,#REF!,#REF!,#REF!,#REF!,#REF!,#REF!,#REF!,#REF!,#REF!,#REF!,#REF!,#REF!,#REF!,#REF!,#REF!,#REF!,#REF!,#REF!,#REF!,#REF!,#REF!,#REF!,#REF!</definedName>
    <definedName name="E_ALL_KEYWORDS_TYPE_Vector_ISSR_208001098" localSheetId="2">#REF!,#REF!,#REF!,#REF!,#REF!,#REF!,#REF!,#REF!,#REF!,#REF!,#REF!,#REF!,#REF!,#REF!,#REF!,#REF!,#REF!,#REF!,#REF!,#REF!,#REF!,#REF!,#REF!,#REF!,#REF!,#REF!</definedName>
    <definedName name="E_ALL_KEYWORDS_TYPE_Vector_ISSR_208001098" localSheetId="14">#REF!,#REF!,#REF!,#REF!,#REF!,#REF!,#REF!,#REF!,#REF!,#REF!,#REF!,#REF!,#REF!,#REF!,#REF!,#REF!,#REF!,#REF!,#REF!,#REF!,#REF!,#REF!,#REF!,#REF!,#REF!,#REF!</definedName>
    <definedName name="E_ALL_KEYWORDS_TYPE_Vector_ISSR_208001098">#REF!,#REF!,#REF!,#REF!,#REF!,#REF!,#REF!,#REF!,#REF!,#REF!,#REF!,#REF!,#REF!,#REF!,#REF!,#REF!,#REF!,#REF!,#REF!,#REF!,#REF!,#REF!,#REF!,#REF!,#REF!,#REF!</definedName>
    <definedName name="E_ALL_KEYWORDS_TYPE_Vector_ISSR_208001100" localSheetId="2">#REF!,#REF!,#REF!,#REF!,#REF!,#REF!,#REF!,#REF!,#REF!,#REF!,#REF!,#REF!,#REF!,#REF!,#REF!,#REF!,#REF!,#REF!,#REF!,#REF!,#REF!,#REF!,#REF!,#REF!,#REF!,#REF!</definedName>
    <definedName name="E_ALL_KEYWORDS_TYPE_Vector_ISSR_208001100" localSheetId="14">#REF!,#REF!,#REF!,#REF!,#REF!,#REF!,#REF!,#REF!,#REF!,#REF!,#REF!,#REF!,#REF!,#REF!,#REF!,#REF!,#REF!,#REF!,#REF!,#REF!,#REF!,#REF!,#REF!,#REF!,#REF!,#REF!</definedName>
    <definedName name="E_ALL_KEYWORDS_TYPE_Vector_ISSR_208001100">#REF!,#REF!,#REF!,#REF!,#REF!,#REF!,#REF!,#REF!,#REF!,#REF!,#REF!,#REF!,#REF!,#REF!,#REF!,#REF!,#REF!,#REF!,#REF!,#REF!,#REF!,#REF!,#REF!,#REF!,#REF!,#REF!</definedName>
    <definedName name="E_ALL_KEYWORDS_TYPE_Vector_ISSR_208001129" localSheetId="2">#REF!,#REF!,#REF!,#REF!,#REF!,#REF!,#REF!,#REF!,#REF!,#REF!,#REF!,#REF!,#REF!,#REF!,#REF!,#REF!,#REF!,#REF!,#REF!,#REF!,#REF!,#REF!,#REF!,#REF!,#REF!,#REF!</definedName>
    <definedName name="E_ALL_KEYWORDS_TYPE_Vector_ISSR_208001129" localSheetId="14">#REF!,#REF!,#REF!,#REF!,#REF!,#REF!,#REF!,#REF!,#REF!,#REF!,#REF!,#REF!,#REF!,#REF!,#REF!,#REF!,#REF!,#REF!,#REF!,#REF!,#REF!,#REF!,#REF!,#REF!,#REF!,#REF!</definedName>
    <definedName name="E_ALL_KEYWORDS_TYPE_Vector_ISSR_208001129">#REF!,#REF!,#REF!,#REF!,#REF!,#REF!,#REF!,#REF!,#REF!,#REF!,#REF!,#REF!,#REF!,#REF!,#REF!,#REF!,#REF!,#REF!,#REF!,#REF!,#REF!,#REF!,#REF!,#REF!,#REF!,#REF!</definedName>
    <definedName name="E_ALL_KEYWORDS_TYPE_Vector_ISSR_208001219" localSheetId="2">#REF!,#REF!,#REF!,#REF!,#REF!,#REF!,#REF!,#REF!,#REF!,#REF!,#REF!,#REF!,#REF!,#REF!,#REF!,#REF!,#REF!,#REF!,#REF!</definedName>
    <definedName name="E_ALL_KEYWORDS_TYPE_Vector_ISSR_208001219">#REF!,#REF!,#REF!,#REF!,#REF!,#REF!,#REF!,#REF!,#REF!,#REF!,#REF!,#REF!,#REF!,#REF!,#REF!,#REF!,#REF!,#REF!,#REF!</definedName>
    <definedName name="E_ALL_KEYWORDS_TYPE_Vector_ISSR_208001433" localSheetId="2">#REF!,#REF!,#REF!,#REF!,#REF!,#REF!,#REF!,#REF!,#REF!,#REF!,#REF!,#REF!,#REF!,#REF!,#REF!,#REF!,#REF!,#REF!,#REF!,#REF!,#REF!,#REF!,#REF!,#REF!,#REF!,#REF!</definedName>
    <definedName name="E_ALL_KEYWORDS_TYPE_Vector_ISSR_208001433" localSheetId="14">#REF!,#REF!,#REF!,#REF!,#REF!,#REF!,#REF!,#REF!,#REF!,#REF!,#REF!,#REF!,#REF!,#REF!,#REF!,#REF!,#REF!,#REF!,#REF!,#REF!,#REF!,#REF!,#REF!,#REF!,#REF!,#REF!</definedName>
    <definedName name="E_ALL_KEYWORDS_TYPE_Vector_ISSR_208001433">#REF!,#REF!,#REF!,#REF!,#REF!,#REF!,#REF!,#REF!,#REF!,#REF!,#REF!,#REF!,#REF!,#REF!,#REF!,#REF!,#REF!,#REF!,#REF!,#REF!,#REF!,#REF!,#REF!,#REF!,#REF!,#REF!</definedName>
    <definedName name="E_ALL_KEYWORDS_TYPE_Vector_ISSR_208002861" localSheetId="2">#REF!,#REF!,#REF!,#REF!,#REF!,#REF!,#REF!,#REF!,#REF!,#REF!,#REF!,#REF!,#REF!,#REF!,#REF!,#REF!,#REF!,#REF!,#REF!,#REF!,#REF!,#REF!,#REF!,#REF!,#REF!,#REF!</definedName>
    <definedName name="E_ALL_KEYWORDS_TYPE_Vector_ISSR_208002861" localSheetId="14">#REF!,#REF!,#REF!,#REF!,#REF!,#REF!,#REF!,#REF!,#REF!,#REF!,#REF!,#REF!,#REF!,#REF!,#REF!,#REF!,#REF!,#REF!,#REF!,#REF!,#REF!,#REF!,#REF!,#REF!,#REF!,#REF!</definedName>
    <definedName name="E_ALL_KEYWORDS_TYPE_Vector_ISSR_208002861">#REF!,#REF!,#REF!,#REF!,#REF!,#REF!,#REF!,#REF!,#REF!,#REF!,#REF!,#REF!,#REF!,#REF!,#REF!,#REF!,#REF!,#REF!,#REF!,#REF!,#REF!,#REF!,#REF!,#REF!,#REF!,#REF!</definedName>
    <definedName name="E_ALL_KEYWORDS_TYPE_Vector_ISSR_208006659" localSheetId="14">#REF!,#REF!,#REF!,#REF!,#REF!,#REF!,#REF!,#REF!,#REF!,#REF!,#REF!,#REF!,#REF!,#REF!,#REF!,#REF!,#REF!,#REF!,#REF!,#REF!,#REF!,#REF!,#REF!,#REF!,#REF!,#REF!</definedName>
    <definedName name="E_ALL_KEYWORDS_TYPE_Vector_ISSR_208006659" localSheetId="18">#REF!,#REF!,#REF!,#REF!,#REF!,#REF!,#REF!,#REF!,#REF!,#REF!,#REF!,#REF!,#REF!,#REF!,#REF!,#REF!,#REF!,#REF!,#REF!,#REF!,#REF!,#REF!</definedName>
    <definedName name="E_ALL_KEYWORDS_TYPE_Vector_ISSR_208006659">#REF!,#REF!,#REF!,#REF!,#REF!,#REF!,#REF!,#REF!,#REF!,#REF!,#REF!,#REF!,#REF!,#REF!,#REF!,#REF!,#REF!,#REF!,#REF!,#REF!,#REF!,#REF!</definedName>
    <definedName name="E_ALL_KEYWORDS_TYPE_Vector_ISSR_208007413" localSheetId="2">#REF!,#REF!,#REF!,#REF!,#REF!,#REF!,#REF!,#REF!,#REF!,#REF!,#REF!,#REF!,#REF!,#REF!,#REF!,#REF!,#REF!,#REF!,#REF!,#REF!,#REF!,#REF!,#REF!,#REF!,#REF!,#REF!</definedName>
    <definedName name="E_ALL_KEYWORDS_TYPE_Vector_ISSR_208007413" localSheetId="14">#REF!,#REF!,#REF!,#REF!,#REF!,#REF!,#REF!,#REF!,#REF!,#REF!,#REF!,#REF!</definedName>
    <definedName name="E_ALL_KEYWORDS_TYPE_Vector_ISSR_208007413">#REF!,#REF!,#REF!,#REF!,#REF!,#REF!,#REF!,#REF!,#REF!,#REF!,#REF!,#REF!,#REF!,#REF!,#REF!,#REF!,#REF!,#REF!,#REF!,#REF!,#REF!,#REF!,#REF!,#REF!,#REF!,#REF!</definedName>
    <definedName name="E_ALL_KEYWORDS_TYPE_Vector_ISSR_208007414" localSheetId="2">#REF!,#REF!,#REF!,#REF!,#REF!,#REF!,#REF!,#REF!,#REF!</definedName>
    <definedName name="E_ALL_KEYWORDS_TYPE_Vector_ISSR_208007414" localSheetId="14">#REF!,#REF!,#REF!,#REF!,#REF!,#REF!,#REF!,#REF!,#REF!</definedName>
    <definedName name="E_ALL_KEYWORDS_TYPE_Vector_ISSR_208007414">#REF!,#REF!,#REF!,#REF!,#REF!,#REF!,#REF!,#REF!,#REF!</definedName>
    <definedName name="E_ALL_KEYWORDS_TYPE_Vector_ISSR_208007415" localSheetId="2">#REF!,#REF!,#REF!,#REF!,#REF!,#REF!,#REF!,#REF!,#REF!,#REF!,#REF!,#REF!,#REF!,#REF!,#REF!,#REF!,#REF!,#REF!,#REF!,#REF!,#REF!,#REF!,#REF!,#REF!,#REF!,#REF!</definedName>
    <definedName name="E_ALL_KEYWORDS_TYPE_Vector_ISSR_208007415" localSheetId="14">#REF!,#REF!,#REF!,#REF!,#REF!,#REF!,#REF!,#REF!,#REF!,#REF!,#REF!,#REF!,#REF!,#REF!</definedName>
    <definedName name="E_ALL_KEYWORDS_TYPE_Vector_ISSR_208007415">#REF!,#REF!,#REF!,#REF!,#REF!,#REF!,#REF!,#REF!,#REF!,#REF!,#REF!,#REF!,#REF!,#REF!,#REF!,#REF!,#REF!,#REF!,#REF!,#REF!,#REF!,#REF!,#REF!,#REF!,#REF!,#REF!</definedName>
    <definedName name="E_ALL_KEYWORDS_TYPE_Vector_ISSR_208008646" localSheetId="2">#REF!,#REF!,#REF!,#REF!,#REF!,#REF!,#REF!,#REF!,#REF!,#REF!,#REF!,#REF!,#REF!,#REF!</definedName>
    <definedName name="E_ALL_KEYWORDS_TYPE_Vector_ISSR_208008646" localSheetId="14">#REF!,#REF!,#REF!,#REF!,#REF!,#REF!,#REF!,#REF!,#REF!,#REF!,#REF!,#REF!,#REF!,#REF!,#REF!,#REF!,#REF!,#REF!,#REF!,#REF!,#REF!,#REF!,#REF!,#REF!,#REF!,#REF!</definedName>
    <definedName name="E_ALL_KEYWORDS_TYPE_Vector_ISSR_208008646">#REF!,#REF!,#REF!,#REF!,#REF!,#REF!,#REF!,#REF!,#REF!,#REF!,#REF!,#REF!,#REF!,#REF!</definedName>
    <definedName name="E_ALL_MGGT.L" localSheetId="2">#REF!</definedName>
    <definedName name="E_ALL_MGGT.L" localSheetId="14">#REF!</definedName>
    <definedName name="E_ALL_MGGT.L">#REF!</definedName>
    <definedName name="E_ALL_MTXGn.DE" localSheetId="2">#REF!</definedName>
    <definedName name="E_ALL_MTXGn.DE" localSheetId="14">#REF!</definedName>
    <definedName name="E_ALL_MTXGn.DE">#REF!</definedName>
    <definedName name="E_ALL_PERIODS_MTXGn.DE" localSheetId="17">#REF!</definedName>
    <definedName name="E_ALL_PERIODS_MTXGn.DE" localSheetId="14">#REF!</definedName>
    <definedName name="E_ALL_PERIODS_MTXGn.DE" localSheetId="18">#REF!</definedName>
    <definedName name="E_ALL_PERIODS_MTXGn.DE" localSheetId="19">#REF!</definedName>
    <definedName name="E_ALL_PERIODS_MTXGn.DE">#REF!</definedName>
    <definedName name="E_ALL_QQ.L" localSheetId="2">#REF!</definedName>
    <definedName name="E_ALL_QQ.L" localSheetId="14">#REF!</definedName>
    <definedName name="E_ALL_QQ.L">#REF!</definedName>
    <definedName name="E_ALL_RR.L" localSheetId="2">#REF!</definedName>
    <definedName name="E_ALL_RR.L" localSheetId="14">#REF!</definedName>
    <definedName name="E_ALL_RR.L">#REF!</definedName>
    <definedName name="E_ALL_SAABb.ST" localSheetId="2">#REF!</definedName>
    <definedName name="E_ALL_SAABb.ST" localSheetId="14">#REF!</definedName>
    <definedName name="E_ALL_SAABb.ST">#REF!</definedName>
    <definedName name="E_ALL_SAF.PA" localSheetId="2">#REF!</definedName>
    <definedName name="E_ALL_SAF.PA" localSheetId="21">#REF!</definedName>
    <definedName name="E_ALL_SAF.PA" localSheetId="14">#REF!</definedName>
    <definedName name="E_ALL_SAF.PA" localSheetId="18">#REF!</definedName>
    <definedName name="E_ALL_SAF.PA">#REF!</definedName>
    <definedName name="E_ALL_SAND.ST">#REF!</definedName>
    <definedName name="E_ALL_SECTION_KEYWORDS_EQTY_200007513_1314" localSheetId="17">#REF!</definedName>
    <definedName name="E_ALL_SECTION_KEYWORDS_EQTY_200007513_1314" localSheetId="14">#REF!</definedName>
    <definedName name="E_ALL_SECTION_KEYWORDS_EQTY_200007513_1314" localSheetId="18">#REF!</definedName>
    <definedName name="E_ALL_SECTION_KEYWORDS_EQTY_200007513_1314" localSheetId="19">#REF!</definedName>
    <definedName name="E_ALL_SECTION_KEYWORDS_EQTY_200007513_1314">#REF!</definedName>
    <definedName name="E_ALL_SECTION_KEYWORDS_EQTY_200007513_131E" localSheetId="17">#REF!</definedName>
    <definedName name="E_ALL_SECTION_KEYWORDS_EQTY_200007513_131E" localSheetId="14">#REF!</definedName>
    <definedName name="E_ALL_SECTION_KEYWORDS_EQTY_200007513_131E" localSheetId="18">#REF!</definedName>
    <definedName name="E_ALL_SECTION_KEYWORDS_EQTY_200007513_131E" localSheetId="19">#REF!</definedName>
    <definedName name="E_ALL_SECTION_KEYWORDS_EQTY_200007513_131E">#REF!</definedName>
    <definedName name="E_ALL_SECTION_KEYWORDS_EQTY_200007513_131O" localSheetId="17">#REF!</definedName>
    <definedName name="E_ALL_SECTION_KEYWORDS_EQTY_200007513_131O" localSheetId="14">#REF!</definedName>
    <definedName name="E_ALL_SECTION_KEYWORDS_EQTY_200007513_131O" localSheetId="18">#REF!</definedName>
    <definedName name="E_ALL_SECTION_KEYWORDS_EQTY_200007513_131O" localSheetId="19">#REF!</definedName>
    <definedName name="E_ALL_SECTION_KEYWORDS_EQTY_200007513_131O">#REF!</definedName>
    <definedName name="E_ALL_SECTION_KEYWORDS_EQTY_200007513_13A" localSheetId="17">#REF!</definedName>
    <definedName name="E_ALL_SECTION_KEYWORDS_EQTY_200007513_13A" localSheetId="14">#REF!</definedName>
    <definedName name="E_ALL_SECTION_KEYWORDS_EQTY_200007513_13A" localSheetId="18">#REF!</definedName>
    <definedName name="E_ALL_SECTION_KEYWORDS_EQTY_200007513_13A" localSheetId="19">#REF!</definedName>
    <definedName name="E_ALL_SECTION_KEYWORDS_EQTY_200007513_13A">#REF!</definedName>
    <definedName name="E_ALL_SECTION_KEYWORDS_EQTY_200007513_13K" localSheetId="17">#REF!</definedName>
    <definedName name="E_ALL_SECTION_KEYWORDS_EQTY_200007513_13K" localSheetId="14">#REF!</definedName>
    <definedName name="E_ALL_SECTION_KEYWORDS_EQTY_200007513_13K" localSheetId="18">#REF!</definedName>
    <definedName name="E_ALL_SECTION_KEYWORDS_EQTY_200007513_13K" localSheetId="19">#REF!</definedName>
    <definedName name="E_ALL_SECTION_KEYWORDS_EQTY_200007513_13K">#REF!</definedName>
    <definedName name="E_ALL_SECTION_KEYWORDS_EQTY_200007513_13U" localSheetId="17">#REF!</definedName>
    <definedName name="E_ALL_SECTION_KEYWORDS_EQTY_200007513_13U" localSheetId="14">#REF!</definedName>
    <definedName name="E_ALL_SECTION_KEYWORDS_EQTY_200007513_13U" localSheetId="18">#REF!</definedName>
    <definedName name="E_ALL_SECTION_KEYWORDS_EQTY_200007513_13U" localSheetId="19">#REF!</definedName>
    <definedName name="E_ALL_SECTION_KEYWORDS_EQTY_200007513_13U">#REF!</definedName>
    <definedName name="E_ALL_SECTION_KEYWORDS_EQTY_200007513_13V" localSheetId="17">#REF!</definedName>
    <definedName name="E_ALL_SECTION_KEYWORDS_EQTY_200007513_13V" localSheetId="14">#REF!</definedName>
    <definedName name="E_ALL_SECTION_KEYWORDS_EQTY_200007513_13V" localSheetId="18">#REF!</definedName>
    <definedName name="E_ALL_SECTION_KEYWORDS_EQTY_200007513_13V" localSheetId="19">#REF!</definedName>
    <definedName name="E_ALL_SECTION_KEYWORDS_EQTY_200007513_13V">#REF!</definedName>
    <definedName name="E_ALL_SECTION_KEYWORDS_EQTY_200007513_Reference_Data" localSheetId="17">#REF!</definedName>
    <definedName name="E_ALL_SECTION_KEYWORDS_EQTY_200007513_Reference_Data" localSheetId="14">#REF!</definedName>
    <definedName name="E_ALL_SECTION_KEYWORDS_EQTY_200007513_Reference_Data" localSheetId="18">#REF!</definedName>
    <definedName name="E_ALL_SECTION_KEYWORDS_EQTY_200007513_Reference_Data" localSheetId="19">#REF!</definedName>
    <definedName name="E_ALL_SECTION_KEYWORDS_EQTY_200007513_Reference_Data">#REF!</definedName>
    <definedName name="E_ALL_SECTION_KEYWORDS_EQTY_200008448_13A">#REF!</definedName>
    <definedName name="E_ALL_SECTION_KEYWORDS_ISSR_208001092_13V" localSheetId="2">#REF!,#REF!</definedName>
    <definedName name="E_ALL_SECTION_KEYWORDS_ISSR_208001092_13V">#REF!,#REF!</definedName>
    <definedName name="E_ALL_SECTION_KEYWORDS_ISSR_208001095_13V" localSheetId="2">#REF!,#REF!</definedName>
    <definedName name="E_ALL_SECTION_KEYWORDS_ISSR_208001095_13V">#REF!,#REF!</definedName>
    <definedName name="E_ALL_SECTION_KEYWORDS_ISSR_208001098_13173">#REF!,#REF!</definedName>
    <definedName name="E_ALL_SECTION_KEYWORDS_ISSR_208001098_13178">#REF!,#REF!</definedName>
    <definedName name="E_ALL_SECTION_KEYWORDS_ISSR_208001098_136J">#REF!,#REF!</definedName>
    <definedName name="E_ALL_SECTION_KEYWORDS_ISSR_208002861_1314" localSheetId="17">#REF!</definedName>
    <definedName name="E_ALL_SECTION_KEYWORDS_ISSR_208002861_1314" localSheetId="14">#REF!</definedName>
    <definedName name="E_ALL_SECTION_KEYWORDS_ISSR_208002861_1314" localSheetId="18">#REF!</definedName>
    <definedName name="E_ALL_SECTION_KEYWORDS_ISSR_208002861_1314" localSheetId="19">#REF!</definedName>
    <definedName name="E_ALL_SECTION_KEYWORDS_ISSR_208002861_1314">#REF!</definedName>
    <definedName name="E_ALL_SECTION_KEYWORDS_ISSR_208002861_13168" localSheetId="17">#REF!</definedName>
    <definedName name="E_ALL_SECTION_KEYWORDS_ISSR_208002861_13168" localSheetId="14">#REF!</definedName>
    <definedName name="E_ALL_SECTION_KEYWORDS_ISSR_208002861_13168" localSheetId="18">#REF!</definedName>
    <definedName name="E_ALL_SECTION_KEYWORDS_ISSR_208002861_13168" localSheetId="19">#REF!</definedName>
    <definedName name="E_ALL_SECTION_KEYWORDS_ISSR_208002861_13168">#REF!</definedName>
    <definedName name="E_ALL_SECTION_KEYWORDS_ISSR_208002861_1316S" localSheetId="17">#REF!</definedName>
    <definedName name="E_ALL_SECTION_KEYWORDS_ISSR_208002861_1316S" localSheetId="14">#REF!</definedName>
    <definedName name="E_ALL_SECTION_KEYWORDS_ISSR_208002861_1316S" localSheetId="18">#REF!</definedName>
    <definedName name="E_ALL_SECTION_KEYWORDS_ISSR_208002861_1316S" localSheetId="19">#REF!</definedName>
    <definedName name="E_ALL_SECTION_KEYWORDS_ISSR_208002861_1316S">#REF!</definedName>
    <definedName name="E_ALL_SECTION_KEYWORDS_ISSR_208002861_1316T" localSheetId="17">#REF!</definedName>
    <definedName name="E_ALL_SECTION_KEYWORDS_ISSR_208002861_1316T" localSheetId="14">#REF!</definedName>
    <definedName name="E_ALL_SECTION_KEYWORDS_ISSR_208002861_1316T" localSheetId="18">#REF!</definedName>
    <definedName name="E_ALL_SECTION_KEYWORDS_ISSR_208002861_1316T" localSheetId="19">#REF!</definedName>
    <definedName name="E_ALL_SECTION_KEYWORDS_ISSR_208002861_1316T">#REF!</definedName>
    <definedName name="E_ALL_SECTION_KEYWORDS_ISSR_208002861_1316U" localSheetId="17">#REF!</definedName>
    <definedName name="E_ALL_SECTION_KEYWORDS_ISSR_208002861_1316U" localSheetId="14">#REF!</definedName>
    <definedName name="E_ALL_SECTION_KEYWORDS_ISSR_208002861_1316U" localSheetId="18">#REF!</definedName>
    <definedName name="E_ALL_SECTION_KEYWORDS_ISSR_208002861_1316U" localSheetId="19">#REF!</definedName>
    <definedName name="E_ALL_SECTION_KEYWORDS_ISSR_208002861_1316U">#REF!</definedName>
    <definedName name="E_ALL_SECTION_KEYWORDS_ISSR_208002861_1319" localSheetId="17">#REF!</definedName>
    <definedName name="E_ALL_SECTION_KEYWORDS_ISSR_208002861_1319" localSheetId="14">#REF!</definedName>
    <definedName name="E_ALL_SECTION_KEYWORDS_ISSR_208002861_1319" localSheetId="18">#REF!</definedName>
    <definedName name="E_ALL_SECTION_KEYWORDS_ISSR_208002861_1319" localSheetId="19">#REF!</definedName>
    <definedName name="E_ALL_SECTION_KEYWORDS_ISSR_208002861_1319">#REF!</definedName>
    <definedName name="E_ALL_SECTION_KEYWORDS_ISSR_208002861_131E" localSheetId="17">#REF!</definedName>
    <definedName name="E_ALL_SECTION_KEYWORDS_ISSR_208002861_131E" localSheetId="14">#REF!</definedName>
    <definedName name="E_ALL_SECTION_KEYWORDS_ISSR_208002861_131E" localSheetId="18">#REF!</definedName>
    <definedName name="E_ALL_SECTION_KEYWORDS_ISSR_208002861_131E" localSheetId="19">#REF!</definedName>
    <definedName name="E_ALL_SECTION_KEYWORDS_ISSR_208002861_131E">#REF!</definedName>
    <definedName name="E_ALL_SECTION_KEYWORDS_ISSR_208002861_131J" localSheetId="17">#REF!</definedName>
    <definedName name="E_ALL_SECTION_KEYWORDS_ISSR_208002861_131J" localSheetId="14">#REF!</definedName>
    <definedName name="E_ALL_SECTION_KEYWORDS_ISSR_208002861_131J" localSheetId="18">#REF!</definedName>
    <definedName name="E_ALL_SECTION_KEYWORDS_ISSR_208002861_131J" localSheetId="19">#REF!</definedName>
    <definedName name="E_ALL_SECTION_KEYWORDS_ISSR_208002861_131J">#REF!</definedName>
    <definedName name="E_ALL_SECTION_KEYWORDS_ISSR_208002861_131O" localSheetId="17">#REF!</definedName>
    <definedName name="E_ALL_SECTION_KEYWORDS_ISSR_208002861_131O" localSheetId="14">#REF!</definedName>
    <definedName name="E_ALL_SECTION_KEYWORDS_ISSR_208002861_131O" localSheetId="18">#REF!</definedName>
    <definedName name="E_ALL_SECTION_KEYWORDS_ISSR_208002861_131O" localSheetId="19">#REF!</definedName>
    <definedName name="E_ALL_SECTION_KEYWORDS_ISSR_208002861_131O">#REF!</definedName>
    <definedName name="E_ALL_SECTION_KEYWORDS_ISSR_208002861_13U" localSheetId="17">#REF!</definedName>
    <definedName name="E_ALL_SECTION_KEYWORDS_ISSR_208002861_13U" localSheetId="14">#REF!</definedName>
    <definedName name="E_ALL_SECTION_KEYWORDS_ISSR_208002861_13U" localSheetId="18">#REF!</definedName>
    <definedName name="E_ALL_SECTION_KEYWORDS_ISSR_208002861_13U" localSheetId="19">#REF!</definedName>
    <definedName name="E_ALL_SECTION_KEYWORDS_ISSR_208002861_13U">#REF!</definedName>
    <definedName name="E_ALL_SECTION_KEYWORDS_ISSR_208002861_13V" localSheetId="17">#REF!</definedName>
    <definedName name="E_ALL_SECTION_KEYWORDS_ISSR_208002861_13V" localSheetId="14">#REF!</definedName>
    <definedName name="E_ALL_SECTION_KEYWORDS_ISSR_208002861_13V" localSheetId="18">#REF!</definedName>
    <definedName name="E_ALL_SECTION_KEYWORDS_ISSR_208002861_13V" localSheetId="19">#REF!</definedName>
    <definedName name="E_ALL_SECTION_KEYWORDS_ISSR_208002861_13V">#REF!</definedName>
    <definedName name="E_ALL_SECTION_KEYWORDS_ISSR_208002861_Reference_Data" localSheetId="17">#REF!</definedName>
    <definedName name="E_ALL_SECTION_KEYWORDS_ISSR_208002861_Reference_Data" localSheetId="14">#REF!</definedName>
    <definedName name="E_ALL_SECTION_KEYWORDS_ISSR_208002861_Reference_Data" localSheetId="18">#REF!</definedName>
    <definedName name="E_ALL_SECTION_KEYWORDS_ISSR_208002861_Reference_Data" localSheetId="19">#REF!</definedName>
    <definedName name="E_ALL_SECTION_KEYWORDS_ISSR_208002861_Reference_Data">#REF!</definedName>
    <definedName name="E_ALL_SECTION_KEYWORDS_ISSR_208006659_13178" localSheetId="18">#REF!,#REF!</definedName>
    <definedName name="E_ALL_SECTION_KEYWORDS_ISSR_208006659_13178">#REF!,#REF!</definedName>
    <definedName name="E_ALL_SECTION_KEYWORDS_ISSR_208006659_1319" localSheetId="18">#REF!,#REF!</definedName>
    <definedName name="E_ALL_SECTION_KEYWORDS_ISSR_208006659_1319">#REF!,#REF!</definedName>
    <definedName name="E_ALL_SECTION_KEYWORDS_ISSR_208006659_136J">#REF!</definedName>
    <definedName name="E_ALL_SECTION_KEYWORDS_ISSR_208007415_13V" localSheetId="2">#REF!,#REF!</definedName>
    <definedName name="E_ALL_SECTION_KEYWORDS_ISSR_208007415_13V">#REF!,#REF!</definedName>
    <definedName name="E_ALL_SECTION_KEYWORDS_ISSR_208008646_13V" localSheetId="2">#REF!,#REF!</definedName>
    <definedName name="E_ALL_SECTION_KEYWORDS_ISSR_208008646_13V">#REF!,#REF!</definedName>
    <definedName name="E_ALL_SECTIONS_EQTY_200003162" localSheetId="2">#REF!,#REF!,#REF!,#REF!,#REF!,#REF!,#REF!,#REF!</definedName>
    <definedName name="E_ALL_SECTIONS_EQTY_200003162" localSheetId="14">#REF!,#REF!,#REF!,#REF!,#REF!,#REF!,#REF!,#REF!</definedName>
    <definedName name="E_ALL_SECTIONS_EQTY_200003162">#REF!,#REF!,#REF!,#REF!,#REF!,#REF!,#REF!,#REF!</definedName>
    <definedName name="E_ALL_SECTIONS_EQTY_200003170" localSheetId="2">#REF!,#REF!,#REF!,#REF!,#REF!,#REF!,#REF!,#REF!</definedName>
    <definedName name="E_ALL_SECTIONS_EQTY_200003170" localSheetId="14">#REF!,#REF!,#REF!,#REF!,#REF!,#REF!,#REF!,#REF!</definedName>
    <definedName name="E_ALL_SECTIONS_EQTY_200003170">#REF!,#REF!,#REF!,#REF!,#REF!,#REF!,#REF!,#REF!</definedName>
    <definedName name="E_ALL_SECTIONS_EQTY_200003173" localSheetId="2">#REF!,#REF!,#REF!,#REF!,#REF!,#REF!,#REF!,#REF!</definedName>
    <definedName name="E_ALL_SECTIONS_EQTY_200003173" localSheetId="14">#REF!,#REF!,#REF!,#REF!,#REF!,#REF!,#REF!,#REF!</definedName>
    <definedName name="E_ALL_SECTIONS_EQTY_200003173">#REF!,#REF!,#REF!,#REF!,#REF!,#REF!,#REF!,#REF!</definedName>
    <definedName name="E_ALL_SECTIONS_EQTY_200003183" localSheetId="2">#REF!,#REF!,#REF!,#REF!,#REF!,#REF!,#REF!,#REF!</definedName>
    <definedName name="E_ALL_SECTIONS_EQTY_200003183" localSheetId="14">#REF!,#REF!,#REF!,#REF!,#REF!,#REF!,#REF!,#REF!</definedName>
    <definedName name="E_ALL_SECTIONS_EQTY_200003183">#REF!,#REF!,#REF!,#REF!,#REF!,#REF!,#REF!,#REF!</definedName>
    <definedName name="E_ALL_SECTIONS_EQTY_200003821" localSheetId="2">#REF!,#REF!,#REF!,#REF!,#REF!,#REF!,#REF!,#REF!</definedName>
    <definedName name="E_ALL_SECTIONS_EQTY_200003821" localSheetId="14">#REF!,#REF!,#REF!,#REF!,#REF!,#REF!,#REF!,#REF!</definedName>
    <definedName name="E_ALL_SECTIONS_EQTY_200003821">#REF!,#REF!,#REF!,#REF!,#REF!,#REF!,#REF!,#REF!</definedName>
    <definedName name="E_ALL_SECTIONS_EQTY_200004285" localSheetId="2">#REF!,#REF!,#REF!,#REF!,#REF!,#REF!,#REF!,#REF!</definedName>
    <definedName name="E_ALL_SECTIONS_EQTY_200004285">#REF!,#REF!,#REF!,#REF!,#REF!,#REF!,#REF!,#REF!</definedName>
    <definedName name="E_ALL_SECTIONS_EQTY_200005121" localSheetId="2">#REF!,#REF!,#REF!,#REF!,#REF!,#REF!,#REF!,#REF!</definedName>
    <definedName name="E_ALL_SECTIONS_EQTY_200005121" localSheetId="14">#REF!,#REF!,#REF!,#REF!,#REF!,#REF!,#REF!,#REF!</definedName>
    <definedName name="E_ALL_SECTIONS_EQTY_200005121">#REF!,#REF!,#REF!,#REF!,#REF!,#REF!,#REF!,#REF!</definedName>
    <definedName name="E_ALL_SECTIONS_EQTY_200007513" localSheetId="2">#REF!,#REF!,#REF!,#REF!,#REF!,#REF!,#REF!,#REF!</definedName>
    <definedName name="E_ALL_SECTIONS_EQTY_200007513" localSheetId="14">#REF!,#REF!,#REF!,#REF!,#REF!,#REF!,#REF!,#REF!</definedName>
    <definedName name="E_ALL_SECTIONS_EQTY_200007513">#REF!,#REF!,#REF!,#REF!,#REF!,#REF!,#REF!,#REF!</definedName>
    <definedName name="E_ALL_SECTIONS_EQTY_200009618" localSheetId="2">#REF!,#REF!,#REF!,#REF!,#REF!,#REF!,#REF!,#REF!</definedName>
    <definedName name="E_ALL_SECTIONS_EQTY_200009618" localSheetId="14">#REF!,#REF!,#REF!,#REF!,#REF!,#REF!,#REF!,#REF!</definedName>
    <definedName name="E_ALL_SECTIONS_EQTY_200009618">#REF!,#REF!,#REF!,#REF!,#REF!,#REF!,#REF!,#REF!</definedName>
    <definedName name="E_ALL_SECTIONS_EQTY_200009619" localSheetId="2">#REF!,#REF!,#REF!,#REF!,#REF!,#REF!,#REF!,#REF!</definedName>
    <definedName name="E_ALL_SECTIONS_EQTY_200009619" localSheetId="14">#REF!,#REF!,#REF!,#REF!,#REF!,#REF!,#REF!,#REF!</definedName>
    <definedName name="E_ALL_SECTIONS_EQTY_200009619">#REF!,#REF!,#REF!,#REF!,#REF!,#REF!,#REF!,#REF!</definedName>
    <definedName name="E_ALL_SECTIONS_EQTY_200009620" localSheetId="2">#REF!,#REF!,#REF!,#REF!,#REF!,#REF!,#REF!,#REF!</definedName>
    <definedName name="E_ALL_SECTIONS_EQTY_200009620" localSheetId="14">#REF!,#REF!,#REF!,#REF!,#REF!,#REF!,#REF!,#REF!</definedName>
    <definedName name="E_ALL_SECTIONS_EQTY_200009620">#REF!,#REF!,#REF!,#REF!,#REF!,#REF!,#REF!,#REF!</definedName>
    <definedName name="E_ALL_SECTIONS_EQTY_200011295" localSheetId="2">#REF!,#REF!,#REF!,#REF!,#REF!,#REF!,#REF!,#REF!</definedName>
    <definedName name="E_ALL_SECTIONS_EQTY_200011295">#REF!,#REF!,#REF!,#REF!,#REF!,#REF!,#REF!,#REF!</definedName>
    <definedName name="E_ALL_SECTIONS_ISSR_208001092" localSheetId="2">#REF!,#REF!,#REF!,#REF!,#REF!,#REF!,#REF!,#REF!,#REF!,#REF!</definedName>
    <definedName name="E_ALL_SECTIONS_ISSR_208001092" localSheetId="14">#REF!,#REF!,#REF!,#REF!,#REF!,#REF!,#REF!,#REF!,#REF!,#REF!</definedName>
    <definedName name="E_ALL_SECTIONS_ISSR_208001092">#REF!,#REF!,#REF!,#REF!,#REF!,#REF!,#REF!,#REF!,#REF!,#REF!</definedName>
    <definedName name="E_ALL_SECTIONS_ISSR_208001096" localSheetId="2">#REF!,#REF!,#REF!,#REF!,#REF!,#REF!,#REF!,#REF!,#REF!,#REF!</definedName>
    <definedName name="E_ALL_SECTIONS_ISSR_208001096" localSheetId="14">#REF!,#REF!,#REF!,#REF!,#REF!,#REF!,#REF!,#REF!,#REF!,#REF!</definedName>
    <definedName name="E_ALL_SECTIONS_ISSR_208001096">#REF!,#REF!,#REF!,#REF!,#REF!,#REF!,#REF!,#REF!,#REF!,#REF!</definedName>
    <definedName name="E_ALL_SECTIONS_ISSR_208001098" localSheetId="2">#REF!,#REF!,#REF!,#REF!,#REF!,#REF!,#REF!,#REF!,#REF!,#REF!</definedName>
    <definedName name="E_ALL_SECTIONS_ISSR_208001098" localSheetId="14">#REF!,#REF!,#REF!,#REF!,#REF!,#REF!,#REF!,#REF!,#REF!,#REF!</definedName>
    <definedName name="E_ALL_SECTIONS_ISSR_208001098">#REF!,#REF!,#REF!,#REF!,#REF!,#REF!,#REF!,#REF!,#REF!,#REF!</definedName>
    <definedName name="E_ALL_SECTIONS_ISSR_208001100" localSheetId="2">#REF!,#REF!,#REF!,#REF!,#REF!,#REF!,#REF!,#REF!,#REF!,#REF!</definedName>
    <definedName name="E_ALL_SECTIONS_ISSR_208001100" localSheetId="14">#REF!,#REF!,#REF!,#REF!,#REF!,#REF!,#REF!,#REF!,#REF!,#REF!</definedName>
    <definedName name="E_ALL_SECTIONS_ISSR_208001100">#REF!,#REF!,#REF!,#REF!,#REF!,#REF!,#REF!,#REF!,#REF!,#REF!</definedName>
    <definedName name="E_ALL_SECTIONS_ISSR_208001129" localSheetId="2">#REF!,#REF!,#REF!,#REF!,#REF!,#REF!,#REF!,#REF!,#REF!,#REF!</definedName>
    <definedName name="E_ALL_SECTIONS_ISSR_208001129" localSheetId="14">#REF!,#REF!,#REF!,#REF!,#REF!,#REF!,#REF!,#REF!,#REF!,#REF!</definedName>
    <definedName name="E_ALL_SECTIONS_ISSR_208001129">#REF!,#REF!,#REF!,#REF!,#REF!,#REF!,#REF!,#REF!,#REF!,#REF!</definedName>
    <definedName name="E_ALL_SECTIONS_ISSR_208001433" localSheetId="2">#REF!,#REF!,#REF!,#REF!,#REF!,#REF!,#REF!,#REF!,#REF!,#REF!</definedName>
    <definedName name="E_ALL_SECTIONS_ISSR_208001433" localSheetId="14">#REF!,#REF!,#REF!,#REF!,#REF!,#REF!,#REF!,#REF!,#REF!,#REF!</definedName>
    <definedName name="E_ALL_SECTIONS_ISSR_208001433">#REF!,#REF!,#REF!,#REF!,#REF!,#REF!,#REF!,#REF!,#REF!,#REF!</definedName>
    <definedName name="E_ALL_SECTIONS_ISSR_208002861" localSheetId="2">#REF!,#REF!,#REF!,#REF!,#REF!,#REF!,#REF!,#REF!,#REF!,#REF!</definedName>
    <definedName name="E_ALL_SECTIONS_ISSR_208002861" localSheetId="14">#REF!,#REF!,#REF!,#REF!,#REF!,#REF!,#REF!,#REF!,#REF!,#REF!</definedName>
    <definedName name="E_ALL_SECTIONS_ISSR_208002861">#REF!,#REF!,#REF!,#REF!,#REF!,#REF!,#REF!,#REF!,#REF!,#REF!</definedName>
    <definedName name="E_ALL_SECTIONS_ISSR_208007413" localSheetId="2">#REF!,#REF!,#REF!,#REF!,#REF!,#REF!,#REF!,#REF!,#REF!,#REF!</definedName>
    <definedName name="E_ALL_SECTIONS_ISSR_208007413" localSheetId="14">#REF!,#REF!,#REF!,#REF!,#REF!,#REF!,#REF!,#REF!,#REF!,#REF!,#REF!,#REF!</definedName>
    <definedName name="E_ALL_SECTIONS_ISSR_208007413">#REF!,#REF!,#REF!,#REF!,#REF!,#REF!,#REF!,#REF!,#REF!,#REF!</definedName>
    <definedName name="E_ALL_SECTIONS_ISSR_208007414" localSheetId="2">#REF!,#REF!,#REF!,#REF!,#REF!,#REF!,#REF!,#REF!,#REF!</definedName>
    <definedName name="E_ALL_SECTIONS_ISSR_208007414" localSheetId="14">#REF!,#REF!,#REF!,#REF!,#REF!,#REF!,#REF!,#REF!,#REF!</definedName>
    <definedName name="E_ALL_SECTIONS_ISSR_208007414">#REF!,#REF!,#REF!,#REF!,#REF!,#REF!,#REF!,#REF!,#REF!</definedName>
    <definedName name="E_ALL_SECTIONS_ISSR_208007415" localSheetId="2">#REF!,#REF!,#REF!,#REF!,#REF!,#REF!,#REF!,#REF!,#REF!,#REF!</definedName>
    <definedName name="E_ALL_SECTIONS_ISSR_208007415" localSheetId="14">#REF!,#REF!,#REF!,#REF!,#REF!,#REF!,#REF!,#REF!,#REF!,#REF!</definedName>
    <definedName name="E_ALL_SECTIONS_ISSR_208007415">#REF!,#REF!,#REF!,#REF!,#REF!,#REF!,#REF!,#REF!,#REF!,#REF!</definedName>
    <definedName name="E_ALL_SECTIONS_ISSR_208008646" localSheetId="2">#REF!,#REF!,#REF!,#REF!,#REF!,#REF!,#REF!,#REF!,#REF!,#REF!</definedName>
    <definedName name="E_ALL_SECTIONS_ISSR_208008646">#REF!,#REF!,#REF!,#REF!,#REF!,#REF!,#REF!,#REF!,#REF!,#REF!</definedName>
    <definedName name="E_ALL_SIFI.MI" localSheetId="2">#REF!</definedName>
    <definedName name="E_ALL_SIFI.MI" localSheetId="14">#REF!</definedName>
    <definedName name="E_ALL_SIFI.MI">#REF!</definedName>
    <definedName name="E_ALL_SKFb.ST">#REF!</definedName>
    <definedName name="E_ALL_TCFP.PA" localSheetId="2">#REF!</definedName>
    <definedName name="E_ALL_TCFP.PA" localSheetId="14">#REF!</definedName>
    <definedName name="E_ALL_TCFP.PA">#REF!</definedName>
    <definedName name="E_ALL_ULE.L" localSheetId="2">#REF!</definedName>
    <definedName name="E_ALL_ULE.L" localSheetId="14">#REF!</definedName>
    <definedName name="E_ALL_ULE.L" localSheetId="18">#REF!</definedName>
    <definedName name="E_ALL_ULE.L">#REF!</definedName>
    <definedName name="E_ALL_VOLVb.ST">#REF!</definedName>
    <definedName name="E_CURRENCY_EQTY_200003162_PRI" localSheetId="2">#REF!</definedName>
    <definedName name="E_CURRENCY_EQTY_200003162_PRI" localSheetId="14">#REF!</definedName>
    <definedName name="E_CURRENCY_EQTY_200003162_PRI">#REF!</definedName>
    <definedName name="E_CURRENCY_EQTY_200003162_PUB" localSheetId="2">#REF!</definedName>
    <definedName name="E_CURRENCY_EQTY_200003162_PUB" localSheetId="14">#REF!</definedName>
    <definedName name="E_CURRENCY_EQTY_200003162_PUB">#REF!</definedName>
    <definedName name="E_CURRENCY_EQTY_200003162_REP" localSheetId="2">#REF!</definedName>
    <definedName name="E_CURRENCY_EQTY_200003162_REP" localSheetId="14">#REF!</definedName>
    <definedName name="E_CURRENCY_EQTY_200003162_REP">#REF!</definedName>
    <definedName name="E_CURRENCY_EQTY_200003170_PRI" localSheetId="2">#REF!</definedName>
    <definedName name="E_CURRENCY_EQTY_200003170_PRI" localSheetId="14">#REF!</definedName>
    <definedName name="E_CURRENCY_EQTY_200003170_PRI">#REF!</definedName>
    <definedName name="E_CURRENCY_EQTY_200003170_PUB" localSheetId="2">#REF!</definedName>
    <definedName name="E_CURRENCY_EQTY_200003170_PUB" localSheetId="14">#REF!</definedName>
    <definedName name="E_CURRENCY_EQTY_200003170_PUB">#REF!</definedName>
    <definedName name="E_CURRENCY_EQTY_200003170_REP" localSheetId="2">#REF!</definedName>
    <definedName name="E_CURRENCY_EQTY_200003170_REP" localSheetId="14">#REF!</definedName>
    <definedName name="E_CURRENCY_EQTY_200003170_REP">#REF!</definedName>
    <definedName name="E_CURRENCY_EQTY_200003173_PRI" localSheetId="2">#REF!</definedName>
    <definedName name="E_CURRENCY_EQTY_200003173_PRI" localSheetId="14">#REF!</definedName>
    <definedName name="E_CURRENCY_EQTY_200003173_PRI">#REF!</definedName>
    <definedName name="E_CURRENCY_EQTY_200003173_PUB" localSheetId="2">#REF!</definedName>
    <definedName name="E_CURRENCY_EQTY_200003173_PUB" localSheetId="14">#REF!</definedName>
    <definedName name="E_CURRENCY_EQTY_200003173_PUB">#REF!</definedName>
    <definedName name="E_CURRENCY_EQTY_200003173_REP" localSheetId="2">#REF!</definedName>
    <definedName name="E_CURRENCY_EQTY_200003173_REP" localSheetId="14">#REF!</definedName>
    <definedName name="E_CURRENCY_EQTY_200003173_REP">#REF!</definedName>
    <definedName name="E_CURRENCY_EQTY_200003183_PRI" localSheetId="2">#REF!</definedName>
    <definedName name="E_CURRENCY_EQTY_200003183_PRI" localSheetId="14">#REF!</definedName>
    <definedName name="E_CURRENCY_EQTY_200003183_PRI">#REF!</definedName>
    <definedName name="E_CURRENCY_EQTY_200003183_PUB" localSheetId="2">#REF!</definedName>
    <definedName name="E_CURRENCY_EQTY_200003183_PUB" localSheetId="14">#REF!</definedName>
    <definedName name="E_CURRENCY_EQTY_200003183_PUB">#REF!</definedName>
    <definedName name="E_CURRENCY_EQTY_200003183_REP" localSheetId="2">#REF!</definedName>
    <definedName name="E_CURRENCY_EQTY_200003183_REP" localSheetId="14">#REF!</definedName>
    <definedName name="E_CURRENCY_EQTY_200003183_REP">#REF!</definedName>
    <definedName name="E_CURRENCY_EQTY_200003821_PRI" localSheetId="2">#REF!</definedName>
    <definedName name="E_CURRENCY_EQTY_200003821_PRI" localSheetId="14">#REF!</definedName>
    <definedName name="E_CURRENCY_EQTY_200003821_PRI">#REF!</definedName>
    <definedName name="E_CURRENCY_EQTY_200003821_PUB" localSheetId="2">#REF!</definedName>
    <definedName name="E_CURRENCY_EQTY_200003821_PUB" localSheetId="14">#REF!</definedName>
    <definedName name="E_CURRENCY_EQTY_200003821_PUB">#REF!</definedName>
    <definedName name="E_CURRENCY_EQTY_200003821_REP" localSheetId="2">#REF!</definedName>
    <definedName name="E_CURRENCY_EQTY_200003821_REP" localSheetId="14">#REF!</definedName>
    <definedName name="E_CURRENCY_EQTY_200003821_REP">#REF!</definedName>
    <definedName name="E_CURRENCY_EQTY_200004285_PRI" localSheetId="2">#REF!</definedName>
    <definedName name="E_CURRENCY_EQTY_200004285_PRI">#REF!</definedName>
    <definedName name="E_CURRENCY_EQTY_200004285_PUB" localSheetId="2">#REF!</definedName>
    <definedName name="E_CURRENCY_EQTY_200004285_PUB">#REF!</definedName>
    <definedName name="E_CURRENCY_EQTY_200004285_REP" localSheetId="2">#REF!</definedName>
    <definedName name="E_CURRENCY_EQTY_200004285_REP">#REF!</definedName>
    <definedName name="E_CURRENCY_EQTY_200005121_PRI" localSheetId="2">#REF!</definedName>
    <definedName name="E_CURRENCY_EQTY_200005121_PRI">#REF!</definedName>
    <definedName name="E_CURRENCY_EQTY_200005121_PUB" localSheetId="2">#REF!</definedName>
    <definedName name="E_CURRENCY_EQTY_200005121_PUB">#REF!</definedName>
    <definedName name="E_CURRENCY_EQTY_200005121_REP" localSheetId="2">#REF!</definedName>
    <definedName name="E_CURRENCY_EQTY_200005121_REP">#REF!</definedName>
    <definedName name="E_CURRENCY_EQTY_200007513_PRI" localSheetId="2">#REF!</definedName>
    <definedName name="E_CURRENCY_EQTY_200007513_PRI" localSheetId="14">#REF!</definedName>
    <definedName name="E_CURRENCY_EQTY_200007513_PRI">#REF!</definedName>
    <definedName name="E_CURRENCY_EQTY_200007513_PUB" localSheetId="2">#REF!</definedName>
    <definedName name="E_CURRENCY_EQTY_200007513_PUB" localSheetId="14">#REF!</definedName>
    <definedName name="E_CURRENCY_EQTY_200007513_PUB">#REF!</definedName>
    <definedName name="E_CURRENCY_EQTY_200007513_REP" localSheetId="2">#REF!</definedName>
    <definedName name="E_CURRENCY_EQTY_200007513_REP" localSheetId="14">#REF!</definedName>
    <definedName name="E_CURRENCY_EQTY_200007513_REP">#REF!</definedName>
    <definedName name="E_CURRENCY_EQTY_200009618_PRI" localSheetId="2">#REF!</definedName>
    <definedName name="E_CURRENCY_EQTY_200009618_PRI" localSheetId="14">#REF!</definedName>
    <definedName name="E_CURRENCY_EQTY_200009618_PRI">#REF!</definedName>
    <definedName name="E_CURRENCY_EQTY_200009618_PUB" localSheetId="2">#REF!</definedName>
    <definedName name="E_CURRENCY_EQTY_200009618_PUB" localSheetId="14">#REF!</definedName>
    <definedName name="E_CURRENCY_EQTY_200009618_PUB">#REF!</definedName>
    <definedName name="E_CURRENCY_EQTY_200009618_REP" localSheetId="2">#REF!</definedName>
    <definedName name="E_CURRENCY_EQTY_200009618_REP" localSheetId="14">#REF!</definedName>
    <definedName name="E_CURRENCY_EQTY_200009618_REP">#REF!</definedName>
    <definedName name="E_CURRENCY_EQTY_200009619_PRI" localSheetId="2">#REF!</definedName>
    <definedName name="E_CURRENCY_EQTY_200009619_PRI" localSheetId="14">#REF!</definedName>
    <definedName name="E_CURRENCY_EQTY_200009619_PRI">#REF!</definedName>
    <definedName name="E_CURRENCY_EQTY_200009619_PUB" localSheetId="2">#REF!</definedName>
    <definedName name="E_CURRENCY_EQTY_200009619_PUB" localSheetId="14">#REF!</definedName>
    <definedName name="E_CURRENCY_EQTY_200009619_PUB">#REF!</definedName>
    <definedName name="E_CURRENCY_EQTY_200009619_REP" localSheetId="2">#REF!</definedName>
    <definedName name="E_CURRENCY_EQTY_200009619_REP" localSheetId="14">#REF!</definedName>
    <definedName name="E_CURRENCY_EQTY_200009619_REP">#REF!</definedName>
    <definedName name="E_CURRENCY_EQTY_200009620_PRI" localSheetId="2">#REF!</definedName>
    <definedName name="E_CURRENCY_EQTY_200009620_PRI" localSheetId="14">#REF!</definedName>
    <definedName name="E_CURRENCY_EQTY_200009620_PRI">#REF!</definedName>
    <definedName name="E_CURRENCY_EQTY_200009620_PUB" localSheetId="2">#REF!</definedName>
    <definedName name="E_CURRENCY_EQTY_200009620_PUB" localSheetId="14">#REF!</definedName>
    <definedName name="E_CURRENCY_EQTY_200009620_PUB">#REF!</definedName>
    <definedName name="E_CURRENCY_EQTY_200009620_REP" localSheetId="2">#REF!</definedName>
    <definedName name="E_CURRENCY_EQTY_200009620_REP" localSheetId="14">#REF!</definedName>
    <definedName name="E_CURRENCY_EQTY_200009620_REP">#REF!</definedName>
    <definedName name="E_CURRENCY_EQTY_200011295_PRI" localSheetId="2">#REF!</definedName>
    <definedName name="E_CURRENCY_EQTY_200011295_PRI">#REF!</definedName>
    <definedName name="E_CURRENCY_EQTY_200011295_PUB" localSheetId="2">#REF!</definedName>
    <definedName name="E_CURRENCY_EQTY_200011295_PUB">#REF!</definedName>
    <definedName name="E_CURRENCY_EQTY_200011295_REP" localSheetId="2">#REF!</definedName>
    <definedName name="E_CURRENCY_EQTY_200011295_REP">#REF!</definedName>
    <definedName name="E_CURRENCY_ISSR_208001092_REP" localSheetId="2">#REF!</definedName>
    <definedName name="E_CURRENCY_ISSR_208001092_REP" localSheetId="14">#REF!</definedName>
    <definedName name="E_CURRENCY_ISSR_208001092_REP">#REF!</definedName>
    <definedName name="E_CURRENCY_ISSR_208001096_REP" localSheetId="2">#REF!</definedName>
    <definedName name="E_CURRENCY_ISSR_208001096_REP" localSheetId="14">#REF!</definedName>
    <definedName name="E_CURRENCY_ISSR_208001096_REP">#REF!</definedName>
    <definedName name="E_CURRENCY_ISSR_208001098_REP" localSheetId="2">#REF!</definedName>
    <definedName name="E_CURRENCY_ISSR_208001098_REP" localSheetId="14">#REF!</definedName>
    <definedName name="E_CURRENCY_ISSR_208001098_REP">#REF!</definedName>
    <definedName name="E_CURRENCY_ISSR_208001100_REP" localSheetId="2">#REF!</definedName>
    <definedName name="E_CURRENCY_ISSR_208001100_REP" localSheetId="14">#REF!</definedName>
    <definedName name="E_CURRENCY_ISSR_208001100_REP">#REF!</definedName>
    <definedName name="E_CURRENCY_ISSR_208001129_REP" localSheetId="2">#REF!</definedName>
    <definedName name="E_CURRENCY_ISSR_208001129_REP" localSheetId="14">#REF!</definedName>
    <definedName name="E_CURRENCY_ISSR_208001129_REP">#REF!</definedName>
    <definedName name="E_CURRENCY_ISSR_208001219_REP" localSheetId="2">#REF!</definedName>
    <definedName name="E_CURRENCY_ISSR_208001219_REP">#REF!</definedName>
    <definedName name="E_CURRENCY_ISSR_208001433_REP" localSheetId="2">#REF!</definedName>
    <definedName name="E_CURRENCY_ISSR_208001433_REP">#REF!</definedName>
    <definedName name="E_CURRENCY_ISSR_208002861_REP" localSheetId="2">#REF!</definedName>
    <definedName name="E_CURRENCY_ISSR_208002861_REP" localSheetId="14">#REF!</definedName>
    <definedName name="E_CURRENCY_ISSR_208002861_REP">#REF!</definedName>
    <definedName name="E_CURRENCY_ISSR_208007413_REP" localSheetId="2">#REF!</definedName>
    <definedName name="E_CURRENCY_ISSR_208007413_REP" localSheetId="14">#REF!</definedName>
    <definedName name="E_CURRENCY_ISSR_208007413_REP">#REF!</definedName>
    <definedName name="E_CURRENCY_ISSR_208007414_REP" localSheetId="2">#REF!</definedName>
    <definedName name="E_CURRENCY_ISSR_208007414_REP" localSheetId="14">#REF!</definedName>
    <definedName name="E_CURRENCY_ISSR_208007414_REP">#REF!</definedName>
    <definedName name="E_CURRENCY_ISSR_208007415_REP" localSheetId="2">#REF!</definedName>
    <definedName name="E_CURRENCY_ISSR_208007415_REP" localSheetId="14">#REF!</definedName>
    <definedName name="E_CURRENCY_ISSR_208007415_REP">#REF!</definedName>
    <definedName name="E_CURRENCY_ISSR_208008646_REP" localSheetId="2">#REF!</definedName>
    <definedName name="E_CURRENCY_ISSR_208008646_REP">#REF!</definedName>
    <definedName name="E_ENTITY_DATA_EQTY_200007513" localSheetId="17">#REF!</definedName>
    <definedName name="E_ENTITY_DATA_EQTY_200007513" localSheetId="14">#REF!</definedName>
    <definedName name="E_ENTITY_DATA_EQTY_200007513" localSheetId="18">#REF!</definedName>
    <definedName name="E_ENTITY_DATA_EQTY_200007513" localSheetId="19">#REF!</definedName>
    <definedName name="E_ENTITY_DATA_EQTY_200007513">#REF!</definedName>
    <definedName name="E_ENTITY_DATA_ISSR_208002861" localSheetId="17">#REF!</definedName>
    <definedName name="E_ENTITY_DATA_ISSR_208002861" localSheetId="14">#REF!</definedName>
    <definedName name="E_ENTITY_DATA_ISSR_208002861" localSheetId="18">#REF!</definedName>
    <definedName name="E_ENTITY_DATA_ISSR_208002861" localSheetId="19">#REF!</definedName>
    <definedName name="E_ENTITY_DATA_ISSR_208002861">#REF!</definedName>
    <definedName name="E_KEYWORD_EQTY_200007513_BETA_ANALYST" localSheetId="17">#REF!</definedName>
    <definedName name="E_KEYWORD_EQTY_200007513_BETA_ANALYST" localSheetId="14">#REF!</definedName>
    <definedName name="E_KEYWORD_EQTY_200007513_BETA_ANALYST" localSheetId="18">#REF!</definedName>
    <definedName name="E_KEYWORD_EQTY_200007513_BETA_ANALYST" localSheetId="19">#REF!</definedName>
    <definedName name="E_KEYWORD_EQTY_200007513_BETA_ANALYST">#REF!</definedName>
    <definedName name="E_KEYWORD_EQTY_200007513_BVPS" localSheetId="17">#REF!</definedName>
    <definedName name="E_KEYWORD_EQTY_200007513_BVPS" localSheetId="14">#REF!</definedName>
    <definedName name="E_KEYWORD_EQTY_200007513_BVPS" localSheetId="18">#REF!</definedName>
    <definedName name="E_KEYWORD_EQTY_200007513_BVPS" localSheetId="19">#REF!</definedName>
    <definedName name="E_KEYWORD_EQTY_200007513_BVPS">#REF!</definedName>
    <definedName name="E_KEYWORD_EQTY_200007513_BVPS_PUB" localSheetId="17">#REF!</definedName>
    <definedName name="E_KEYWORD_EQTY_200007513_BVPS_PUB" localSheetId="14">#REF!</definedName>
    <definedName name="E_KEYWORD_EQTY_200007513_BVPS_PUB" localSheetId="18">#REF!</definedName>
    <definedName name="E_KEYWORD_EQTY_200007513_BVPS_PUB" localSheetId="19">#REF!</definedName>
    <definedName name="E_KEYWORD_EQTY_200007513_BVPS_PUB">#REF!</definedName>
    <definedName name="E_KEYWORD_EQTY_200007513_CF_NI_PRE_PREF" localSheetId="17">#REF!</definedName>
    <definedName name="E_KEYWORD_EQTY_200007513_CF_NI_PRE_PREF" localSheetId="14">#REF!</definedName>
    <definedName name="E_KEYWORD_EQTY_200007513_CF_NI_PRE_PREF" localSheetId="18">#REF!</definedName>
    <definedName name="E_KEYWORD_EQTY_200007513_CF_NI_PRE_PREF" localSheetId="19">#REF!</definedName>
    <definedName name="E_KEYWORD_EQTY_200007513_CF_NI_PRE_PREF">#REF!</definedName>
    <definedName name="E_KEYWORD_EQTY_200007513_COMMON_DIV_PAID" localSheetId="17">#REF!</definedName>
    <definedName name="E_KEYWORD_EQTY_200007513_COMMON_DIV_PAID" localSheetId="14">#REF!</definedName>
    <definedName name="E_KEYWORD_EQTY_200007513_COMMON_DIV_PAID" localSheetId="18">#REF!</definedName>
    <definedName name="E_KEYWORD_EQTY_200007513_COMMON_DIV_PAID" localSheetId="19">#REF!</definedName>
    <definedName name="E_KEYWORD_EQTY_200007513_COMMON_DIV_PAID">#REF!</definedName>
    <definedName name="E_KEYWORD_EQTY_200007513_CURRENCY_ISO" localSheetId="17">#REF!</definedName>
    <definedName name="E_KEYWORD_EQTY_200007513_CURRENCY_ISO" localSheetId="14">#REF!</definedName>
    <definedName name="E_KEYWORD_EQTY_200007513_CURRENCY_ISO" localSheetId="18">#REF!</definedName>
    <definedName name="E_KEYWORD_EQTY_200007513_CURRENCY_ISO" localSheetId="19">#REF!</definedName>
    <definedName name="E_KEYWORD_EQTY_200007513_CURRENCY_ISO">#REF!</definedName>
    <definedName name="E_KEYWORD_EQTY_200007513_DILUTE_SHARES" localSheetId="17">#REF!</definedName>
    <definedName name="E_KEYWORD_EQTY_200007513_DILUTE_SHARES" localSheetId="14">#REF!</definedName>
    <definedName name="E_KEYWORD_EQTY_200007513_DILUTE_SHARES" localSheetId="18">#REF!</definedName>
    <definedName name="E_KEYWORD_EQTY_200007513_DILUTE_SHARES" localSheetId="19">#REF!</definedName>
    <definedName name="E_KEYWORD_EQTY_200007513_DILUTE_SHARES">#REF!</definedName>
    <definedName name="E_KEYWORD_EQTY_200007513_DPS" localSheetId="17">#REF!</definedName>
    <definedName name="E_KEYWORD_EQTY_200007513_DPS" localSheetId="14">#REF!</definedName>
    <definedName name="E_KEYWORD_EQTY_200007513_DPS" localSheetId="18">#REF!</definedName>
    <definedName name="E_KEYWORD_EQTY_200007513_DPS" localSheetId="19">#REF!</definedName>
    <definedName name="E_KEYWORD_EQTY_200007513_DPS">#REF!</definedName>
    <definedName name="E_KEYWORD_EQTY_200007513_DPS_PUB" localSheetId="17">#REF!</definedName>
    <definedName name="E_KEYWORD_EQTY_200007513_DPS_PUB" localSheetId="14">#REF!</definedName>
    <definedName name="E_KEYWORD_EQTY_200007513_DPS_PUB" localSheetId="18">#REF!</definedName>
    <definedName name="E_KEYWORD_EQTY_200007513_DPS_PUB" localSheetId="19">#REF!</definedName>
    <definedName name="E_KEYWORD_EQTY_200007513_DPS_PUB">#REF!</definedName>
    <definedName name="E_KEYWORD_EQTY_200007513_EBIT_PUB" localSheetId="17">#REF!</definedName>
    <definedName name="E_KEYWORD_EQTY_200007513_EBIT_PUB" localSheetId="14">#REF!</definedName>
    <definedName name="E_KEYWORD_EQTY_200007513_EBIT_PUB" localSheetId="18">#REF!</definedName>
    <definedName name="E_KEYWORD_EQTY_200007513_EBIT_PUB" localSheetId="19">#REF!</definedName>
    <definedName name="E_KEYWORD_EQTY_200007513_EBIT_PUB">#REF!</definedName>
    <definedName name="E_KEYWORD_EQTY_200007513_EBITDA_PUB" localSheetId="17">#REF!</definedName>
    <definedName name="E_KEYWORD_EQTY_200007513_EBITDA_PUB" localSheetId="14">#REF!</definedName>
    <definedName name="E_KEYWORD_EQTY_200007513_EBITDA_PUB" localSheetId="18">#REF!</definedName>
    <definedName name="E_KEYWORD_EQTY_200007513_EBITDA_PUB" localSheetId="19">#REF!</definedName>
    <definedName name="E_KEYWORD_EQTY_200007513_EBITDA_PUB">#REF!</definedName>
    <definedName name="E_KEYWORD_EQTY_200007513_EPS" localSheetId="17">#REF!</definedName>
    <definedName name="E_KEYWORD_EQTY_200007513_EPS" localSheetId="14">#REF!</definedName>
    <definedName name="E_KEYWORD_EQTY_200007513_EPS" localSheetId="18">#REF!</definedName>
    <definedName name="E_KEYWORD_EQTY_200007513_EPS" localSheetId="19">#REF!</definedName>
    <definedName name="E_KEYWORD_EQTY_200007513_EPS">#REF!</definedName>
    <definedName name="E_KEYWORD_EQTY_200007513_EPS_FUL_DIL" localSheetId="17">#REF!</definedName>
    <definedName name="E_KEYWORD_EQTY_200007513_EPS_FUL_DIL" localSheetId="14">#REF!</definedName>
    <definedName name="E_KEYWORD_EQTY_200007513_EPS_FUL_DIL" localSheetId="18">#REF!</definedName>
    <definedName name="E_KEYWORD_EQTY_200007513_EPS_FUL_DIL" localSheetId="19">#REF!</definedName>
    <definedName name="E_KEYWORD_EQTY_200007513_EPS_FUL_DIL">#REF!</definedName>
    <definedName name="E_KEYWORD_EQTY_200007513_EPS_POST_BASIC" localSheetId="17">#REF!</definedName>
    <definedName name="E_KEYWORD_EQTY_200007513_EPS_POST_BASIC" localSheetId="14">#REF!</definedName>
    <definedName name="E_KEYWORD_EQTY_200007513_EPS_POST_BASIC" localSheetId="18">#REF!</definedName>
    <definedName name="E_KEYWORD_EQTY_200007513_EPS_POST_BASIC" localSheetId="19">#REF!</definedName>
    <definedName name="E_KEYWORD_EQTY_200007513_EPS_POST_BASIC">#REF!</definedName>
    <definedName name="E_KEYWORD_EQTY_200007513_EPS_PUB" localSheetId="17">#REF!</definedName>
    <definedName name="E_KEYWORD_EQTY_200007513_EPS_PUB" localSheetId="14">#REF!</definedName>
    <definedName name="E_KEYWORD_EQTY_200007513_EPS_PUB" localSheetId="18">#REF!</definedName>
    <definedName name="E_KEYWORD_EQTY_200007513_EPS_PUB" localSheetId="19">#REF!</definedName>
    <definedName name="E_KEYWORD_EQTY_200007513_EPS_PUB">#REF!</definedName>
    <definedName name="E_KEYWORD_EQTY_200007513_EQ_PUB" localSheetId="17">#REF!</definedName>
    <definedName name="E_KEYWORD_EQTY_200007513_EQ_PUB" localSheetId="14">#REF!</definedName>
    <definedName name="E_KEYWORD_EQTY_200007513_EQ_PUB" localSheetId="18">#REF!</definedName>
    <definedName name="E_KEYWORD_EQTY_200007513_EQ_PUB" localSheetId="19">#REF!</definedName>
    <definedName name="E_KEYWORD_EQTY_200007513_EQ_PUB">#REF!</definedName>
    <definedName name="E_KEYWORD_EQTY_200007513_EURO_CONVICTION" localSheetId="17">#REF!</definedName>
    <definedName name="E_KEYWORD_EQTY_200007513_EURO_CONVICTION" localSheetId="14">#REF!</definedName>
    <definedName name="E_KEYWORD_EQTY_200007513_EURO_CONVICTION" localSheetId="18">#REF!</definedName>
    <definedName name="E_KEYWORD_EQTY_200007513_EURO_CONVICTION" localSheetId="19">#REF!</definedName>
    <definedName name="E_KEYWORD_EQTY_200007513_EURO_CONVICTION">#REF!</definedName>
    <definedName name="E_KEYWORD_EQTY_200007513_EURO_LIST" localSheetId="17">#REF!</definedName>
    <definedName name="E_KEYWORD_EQTY_200007513_EURO_LIST" localSheetId="14">#REF!</definedName>
    <definedName name="E_KEYWORD_EQTY_200007513_EURO_LIST" localSheetId="18">#REF!</definedName>
    <definedName name="E_KEYWORD_EQTY_200007513_EURO_LIST" localSheetId="19">#REF!</definedName>
    <definedName name="E_KEYWORD_EQTY_200007513_EURO_LIST">#REF!</definedName>
    <definedName name="E_KEYWORD_EQTY_200007513_EV_ADJ_PUB" localSheetId="17">#REF!</definedName>
    <definedName name="E_KEYWORD_EQTY_200007513_EV_ADJ_PUB" localSheetId="14">#REF!</definedName>
    <definedName name="E_KEYWORD_EQTY_200007513_EV_ADJ_PUB" localSheetId="18">#REF!</definedName>
    <definedName name="E_KEYWORD_EQTY_200007513_EV_ADJ_PUB" localSheetId="19">#REF!</definedName>
    <definedName name="E_KEYWORD_EQTY_200007513_EV_ADJ_PUB">#REF!</definedName>
    <definedName name="E_KEYWORD_EQTY_200007513_FREE_FLOAT" localSheetId="17">#REF!</definedName>
    <definedName name="E_KEYWORD_EQTY_200007513_FREE_FLOAT" localSheetId="14">#REF!</definedName>
    <definedName name="E_KEYWORD_EQTY_200007513_FREE_FLOAT" localSheetId="18">#REF!</definedName>
    <definedName name="E_KEYWORD_EQTY_200007513_FREE_FLOAT" localSheetId="19">#REF!</definedName>
    <definedName name="E_KEYWORD_EQTY_200007513_FREE_FLOAT">#REF!</definedName>
    <definedName name="E_KEYWORD_EQTY_200007513_FULLY_DIL_EPS" localSheetId="17">#REF!</definedName>
    <definedName name="E_KEYWORD_EQTY_200007513_FULLY_DIL_EPS" localSheetId="14">#REF!</definedName>
    <definedName name="E_KEYWORD_EQTY_200007513_FULLY_DIL_EPS" localSheetId="18">#REF!</definedName>
    <definedName name="E_KEYWORD_EQTY_200007513_FULLY_DIL_EPS" localSheetId="19">#REF!</definedName>
    <definedName name="E_KEYWORD_EQTY_200007513_FULLY_DIL_EPS">#REF!</definedName>
    <definedName name="E_KEYWORD_EQTY_200007513_INC_MINORITY" localSheetId="17">#REF!</definedName>
    <definedName name="E_KEYWORD_EQTY_200007513_INC_MINORITY" localSheetId="14">#REF!</definedName>
    <definedName name="E_KEYWORD_EQTY_200007513_INC_MINORITY" localSheetId="18">#REF!</definedName>
    <definedName name="E_KEYWORD_EQTY_200007513_INC_MINORITY" localSheetId="19">#REF!</definedName>
    <definedName name="E_KEYWORD_EQTY_200007513_INC_MINORITY">#REF!</definedName>
    <definedName name="E_KEYWORD_EQTY_200007513_Interim_Type" localSheetId="17">#REF!</definedName>
    <definedName name="E_KEYWORD_EQTY_200007513_Interim_Type" localSheetId="14">#REF!</definedName>
    <definedName name="E_KEYWORD_EQTY_200007513_Interim_Type" localSheetId="18">#REF!</definedName>
    <definedName name="E_KEYWORD_EQTY_200007513_Interim_Type" localSheetId="19">#REF!</definedName>
    <definedName name="E_KEYWORD_EQTY_200007513_Interim_Type">#REF!</definedName>
    <definedName name="E_KEYWORD_EQTY_200007513_LEGAL_RATING" localSheetId="17">#REF!</definedName>
    <definedName name="E_KEYWORD_EQTY_200007513_LEGAL_RATING" localSheetId="14">#REF!</definedName>
    <definedName name="E_KEYWORD_EQTY_200007513_LEGAL_RATING" localSheetId="18">#REF!</definedName>
    <definedName name="E_KEYWORD_EQTY_200007513_LEGAL_RATING" localSheetId="19">#REF!</definedName>
    <definedName name="E_KEYWORD_EQTY_200007513_LEGAL_RATING">#REF!</definedName>
    <definedName name="E_KEYWORD_EQTY_200007513_MARGIN_TAX_RATE" localSheetId="17">#REF!</definedName>
    <definedName name="E_KEYWORD_EQTY_200007513_MARGIN_TAX_RATE" localSheetId="14">#REF!</definedName>
    <definedName name="E_KEYWORD_EQTY_200007513_MARGIN_TAX_RATE" localSheetId="18">#REF!</definedName>
    <definedName name="E_KEYWORD_EQTY_200007513_MARGIN_TAX_RATE" localSheetId="19">#REF!</definedName>
    <definedName name="E_KEYWORD_EQTY_200007513_MARGIN_TAX_RATE">#REF!</definedName>
    <definedName name="E_KEYWORD_EQTY_200007513_MKT_EQ_RISK_PREM" localSheetId="17">#REF!</definedName>
    <definedName name="E_KEYWORD_EQTY_200007513_MKT_EQ_RISK_PREM" localSheetId="14">#REF!</definedName>
    <definedName name="E_KEYWORD_EQTY_200007513_MKT_EQ_RISK_PREM" localSheetId="18">#REF!</definedName>
    <definedName name="E_KEYWORD_EQTY_200007513_MKT_EQ_RISK_PREM" localSheetId="19">#REF!</definedName>
    <definedName name="E_KEYWORD_EQTY_200007513_MKT_EQ_RISK_PREM">#REF!</definedName>
    <definedName name="E_KEYWORD_EQTY_200007513_NET_DEBT_PUB" localSheetId="17">#REF!</definedName>
    <definedName name="E_KEYWORD_EQTY_200007513_NET_DEBT_PUB" localSheetId="14">#REF!</definedName>
    <definedName name="E_KEYWORD_EQTY_200007513_NET_DEBT_PUB" localSheetId="18">#REF!</definedName>
    <definedName name="E_KEYWORD_EQTY_200007513_NET_DEBT_PUB" localSheetId="19">#REF!</definedName>
    <definedName name="E_KEYWORD_EQTY_200007513_NET_DEBT_PUB">#REF!</definedName>
    <definedName name="E_KEYWORD_EQTY_200007513_NET_EARNING" localSheetId="17">#REF!</definedName>
    <definedName name="E_KEYWORD_EQTY_200007513_NET_EARNING" localSheetId="14">#REF!</definedName>
    <definedName name="E_KEYWORD_EQTY_200007513_NET_EARNING" localSheetId="18">#REF!</definedName>
    <definedName name="E_KEYWORD_EQTY_200007513_NET_EARNING" localSheetId="19">#REF!</definedName>
    <definedName name="E_KEYWORD_EQTY_200007513_NET_EARNING">#REF!</definedName>
    <definedName name="E_KEYWORD_EQTY_200007513_NET_INC" localSheetId="17">#REF!</definedName>
    <definedName name="E_KEYWORD_EQTY_200007513_NET_INC" localSheetId="14">#REF!</definedName>
    <definedName name="E_KEYWORD_EQTY_200007513_NET_INC" localSheetId="18">#REF!</definedName>
    <definedName name="E_KEYWORD_EQTY_200007513_NET_INC" localSheetId="19">#REF!</definedName>
    <definedName name="E_KEYWORD_EQTY_200007513_NET_INC">#REF!</definedName>
    <definedName name="E_KEYWORD_EQTY_200007513_NI_PRE_PREF" localSheetId="17">#REF!</definedName>
    <definedName name="E_KEYWORD_EQTY_200007513_NI_PRE_PREF" localSheetId="14">#REF!</definedName>
    <definedName name="E_KEYWORD_EQTY_200007513_NI_PRE_PREF" localSheetId="18">#REF!</definedName>
    <definedName name="E_KEYWORD_EQTY_200007513_NI_PRE_PREF" localSheetId="19">#REF!</definedName>
    <definedName name="E_KEYWORD_EQTY_200007513_NI_PRE_PREF">#REF!</definedName>
    <definedName name="E_KEYWORD_EQTY_200007513_NI_PUB" localSheetId="17">#REF!</definedName>
    <definedName name="E_KEYWORD_EQTY_200007513_NI_PUB" localSheetId="14">#REF!</definedName>
    <definedName name="E_KEYWORD_EQTY_200007513_NI_PUB" localSheetId="18">#REF!</definedName>
    <definedName name="E_KEYWORD_EQTY_200007513_NI_PUB" localSheetId="19">#REF!</definedName>
    <definedName name="E_KEYWORD_EQTY_200007513_NI_PUB">#REF!</definedName>
    <definedName name="E_KEYWORD_EQTY_200007513_NON_OP_ADD" localSheetId="17">#REF!</definedName>
    <definedName name="E_KEYWORD_EQTY_200007513_NON_OP_ADD" localSheetId="14">#REF!</definedName>
    <definedName name="E_KEYWORD_EQTY_200007513_NON_OP_ADD" localSheetId="18">#REF!</definedName>
    <definedName name="E_KEYWORD_EQTY_200007513_NON_OP_ADD" localSheetId="19">#REF!</definedName>
    <definedName name="E_KEYWORD_EQTY_200007513_NON_OP_ADD">#REF!</definedName>
    <definedName name="E_KEYWORD_EQTY_200007513_NUM_SH" localSheetId="17">#REF!</definedName>
    <definedName name="E_KEYWORD_EQTY_200007513_NUM_SH" localSheetId="14">#REF!</definedName>
    <definedName name="E_KEYWORD_EQTY_200007513_NUM_SH" localSheetId="18">#REF!</definedName>
    <definedName name="E_KEYWORD_EQTY_200007513_NUM_SH" localSheetId="19">#REF!</definedName>
    <definedName name="E_KEYWORD_EQTY_200007513_NUM_SH">#REF!</definedName>
    <definedName name="E_KEYWORD_EQTY_200007513_ORG_EPS" localSheetId="17">#REF!</definedName>
    <definedName name="E_KEYWORD_EQTY_200007513_ORG_EPS" localSheetId="14">#REF!</definedName>
    <definedName name="E_KEYWORD_EQTY_200007513_ORG_EPS" localSheetId="18">#REF!</definedName>
    <definedName name="E_KEYWORD_EQTY_200007513_ORG_EPS" localSheetId="19">#REF!</definedName>
    <definedName name="E_KEYWORD_EQTY_200007513_ORG_EPS">#REF!</definedName>
    <definedName name="E_KEYWORD_EQTY_200007513_ORG_NI" localSheetId="17">#REF!</definedName>
    <definedName name="E_KEYWORD_EQTY_200007513_ORG_NI" localSheetId="14">#REF!</definedName>
    <definedName name="E_KEYWORD_EQTY_200007513_ORG_NI" localSheetId="18">#REF!</definedName>
    <definedName name="E_KEYWORD_EQTY_200007513_ORG_NI" localSheetId="19">#REF!</definedName>
    <definedName name="E_KEYWORD_EQTY_200007513_ORG_NI">#REF!</definedName>
    <definedName name="E_KEYWORD_EQTY_200007513_PREF_DIV" localSheetId="17">#REF!</definedName>
    <definedName name="E_KEYWORD_EQTY_200007513_PREF_DIV" localSheetId="14">#REF!</definedName>
    <definedName name="E_KEYWORD_EQTY_200007513_PREF_DIV" localSheetId="18">#REF!</definedName>
    <definedName name="E_KEYWORD_EQTY_200007513_PREF_DIV" localSheetId="19">#REF!</definedName>
    <definedName name="E_KEYWORD_EQTY_200007513_PREF_DIV">#REF!</definedName>
    <definedName name="E_KEYWORD_EQTY_200007513_PRICE_CURRENCY_ISO" localSheetId="17">#REF!</definedName>
    <definedName name="E_KEYWORD_EQTY_200007513_PRICE_CURRENCY_ISO" localSheetId="14">#REF!</definedName>
    <definedName name="E_KEYWORD_EQTY_200007513_PRICE_CURRENCY_ISO" localSheetId="18">#REF!</definedName>
    <definedName name="E_KEYWORD_EQTY_200007513_PRICE_CURRENCY_ISO" localSheetId="19">#REF!</definedName>
    <definedName name="E_KEYWORD_EQTY_200007513_PRICE_CURRENCY_ISO">#REF!</definedName>
    <definedName name="E_KEYWORD_EQTY_200007513_PROV_INC_TAX" localSheetId="17">#REF!</definedName>
    <definedName name="E_KEYWORD_EQTY_200007513_PROV_INC_TAX" localSheetId="14">#REF!</definedName>
    <definedName name="E_KEYWORD_EQTY_200007513_PROV_INC_TAX" localSheetId="18">#REF!</definedName>
    <definedName name="E_KEYWORD_EQTY_200007513_PROV_INC_TAX" localSheetId="19">#REF!</definedName>
    <definedName name="E_KEYWORD_EQTY_200007513_PROV_INC_TAX">#REF!</definedName>
    <definedName name="E_KEYWORD_EQTY_200007513_PTP_PUB" localSheetId="17">#REF!</definedName>
    <definedName name="E_KEYWORD_EQTY_200007513_PTP_PUB" localSheetId="14">#REF!</definedName>
    <definedName name="E_KEYWORD_EQTY_200007513_PTP_PUB" localSheetId="18">#REF!</definedName>
    <definedName name="E_KEYWORD_EQTY_200007513_PTP_PUB" localSheetId="19">#REF!</definedName>
    <definedName name="E_KEYWORD_EQTY_200007513_PTP_PUB">#REF!</definedName>
    <definedName name="E_KEYWORD_EQTY_200007513_PUB_CURRENCY_ISO" localSheetId="17">#REF!</definedName>
    <definedName name="E_KEYWORD_EQTY_200007513_PUB_CURRENCY_ISO" localSheetId="14">#REF!</definedName>
    <definedName name="E_KEYWORD_EQTY_200007513_PUB_CURRENCY_ISO" localSheetId="18">#REF!</definedName>
    <definedName name="E_KEYWORD_EQTY_200007513_PUB_CURRENCY_ISO" localSheetId="19">#REF!</definedName>
    <definedName name="E_KEYWORD_EQTY_200007513_PUB_CURRENCY_ISO">#REF!</definedName>
    <definedName name="E_KEYWORD_EQTY_200007513_REVS_PUB" localSheetId="17">#REF!</definedName>
    <definedName name="E_KEYWORD_EQTY_200007513_REVS_PUB" localSheetId="14">#REF!</definedName>
    <definedName name="E_KEYWORD_EQTY_200007513_REVS_PUB" localSheetId="18">#REF!</definedName>
    <definedName name="E_KEYWORD_EQTY_200007513_REVS_PUB" localSheetId="19">#REF!</definedName>
    <definedName name="E_KEYWORD_EQTY_200007513_REVS_PUB">#REF!</definedName>
    <definedName name="E_KEYWORD_EQTY_200007513_RISK_FR_RATE" localSheetId="17">#REF!</definedName>
    <definedName name="E_KEYWORD_EQTY_200007513_RISK_FR_RATE" localSheetId="14">#REF!</definedName>
    <definedName name="E_KEYWORD_EQTY_200007513_RISK_FR_RATE" localSheetId="18">#REF!</definedName>
    <definedName name="E_KEYWORD_EQTY_200007513_RISK_FR_RATE" localSheetId="19">#REF!</definedName>
    <definedName name="E_KEYWORD_EQTY_200007513_RISK_FR_RATE">#REF!</definedName>
    <definedName name="E_KEYWORD_EQTY_200007513_Security_Name" localSheetId="17">#REF!</definedName>
    <definedName name="E_KEYWORD_EQTY_200007513_Security_Name" localSheetId="14">#REF!</definedName>
    <definedName name="E_KEYWORD_EQTY_200007513_Security_Name" localSheetId="18">#REF!</definedName>
    <definedName name="E_KEYWORD_EQTY_200007513_Security_Name" localSheetId="19">#REF!</definedName>
    <definedName name="E_KEYWORD_EQTY_200007513_Security_Name">#REF!</definedName>
    <definedName name="E_KEYWORD_EQTY_200007513_SH" localSheetId="17">#REF!</definedName>
    <definedName name="E_KEYWORD_EQTY_200007513_SH" localSheetId="14">#REF!</definedName>
    <definedName name="E_KEYWORD_EQTY_200007513_SH" localSheetId="18">#REF!</definedName>
    <definedName name="E_KEYWORD_EQTY_200007513_SH" localSheetId="19">#REF!</definedName>
    <definedName name="E_KEYWORD_EQTY_200007513_SH">#REF!</definedName>
    <definedName name="E_KEYWORD_EQTY_200007513_TARGET_PRICE" localSheetId="17">#REF!</definedName>
    <definedName name="E_KEYWORD_EQTY_200007513_TARGET_PRICE" localSheetId="14">#REF!</definedName>
    <definedName name="E_KEYWORD_EQTY_200007513_TARGET_PRICE" localSheetId="18">#REF!</definedName>
    <definedName name="E_KEYWORD_EQTY_200007513_TARGET_PRICE" localSheetId="19">#REF!</definedName>
    <definedName name="E_KEYWORD_EQTY_200007513_TARGET_PRICE">#REF!</definedName>
    <definedName name="E_KEYWORD_EQTY_200007513_TAX_EXC" localSheetId="17">#REF!</definedName>
    <definedName name="E_KEYWORD_EQTY_200007513_TAX_EXC" localSheetId="14">#REF!</definedName>
    <definedName name="E_KEYWORD_EQTY_200007513_TAX_EXC" localSheetId="18">#REF!</definedName>
    <definedName name="E_KEYWORD_EQTY_200007513_TAX_EXC" localSheetId="19">#REF!</definedName>
    <definedName name="E_KEYWORD_EQTY_200007513_TAX_EXC">#REF!</definedName>
    <definedName name="E_KEYWORD_EQTY_200007513_Ticker" localSheetId="17">#REF!</definedName>
    <definedName name="E_KEYWORD_EQTY_200007513_Ticker" localSheetId="14">#REF!</definedName>
    <definedName name="E_KEYWORD_EQTY_200007513_Ticker" localSheetId="18">#REF!</definedName>
    <definedName name="E_KEYWORD_EQTY_200007513_Ticker" localSheetId="19">#REF!</definedName>
    <definedName name="E_KEYWORD_EQTY_200007513_Ticker">#REF!</definedName>
    <definedName name="E_KEYWORD_EQTY_200007513_TP_PERIOD" localSheetId="17">#REF!</definedName>
    <definedName name="E_KEYWORD_EQTY_200007513_TP_PERIOD" localSheetId="14">#REF!</definedName>
    <definedName name="E_KEYWORD_EQTY_200007513_TP_PERIOD" localSheetId="18">#REF!</definedName>
    <definedName name="E_KEYWORD_EQTY_200007513_TP_PERIOD" localSheetId="19">#REF!</definedName>
    <definedName name="E_KEYWORD_EQTY_200007513_TP_PERIOD">#REF!</definedName>
    <definedName name="E_KEYWORD_ISSR_208002861_ACC_AMORT" localSheetId="17">#REF!</definedName>
    <definedName name="E_KEYWORD_ISSR_208002861_ACC_AMORT" localSheetId="14">#REF!</definedName>
    <definedName name="E_KEYWORD_ISSR_208002861_ACC_AMORT" localSheetId="18">#REF!</definedName>
    <definedName name="E_KEYWORD_ISSR_208002861_ACC_AMORT" localSheetId="19">#REF!</definedName>
    <definedName name="E_KEYWORD_ISSR_208002861_ACC_AMORT">#REF!</definedName>
    <definedName name="E_KEYWORD_ISSR_208002861_ACC_DDA" localSheetId="17">#REF!</definedName>
    <definedName name="E_KEYWORD_ISSR_208002861_ACC_DDA" localSheetId="14">#REF!</definedName>
    <definedName name="E_KEYWORD_ISSR_208002861_ACC_DDA" localSheetId="18">#REF!</definedName>
    <definedName name="E_KEYWORD_ISSR_208002861_ACC_DDA" localSheetId="19">#REF!</definedName>
    <definedName name="E_KEYWORD_ISSR_208002861_ACC_DDA">#REF!</definedName>
    <definedName name="E_KEYWORD_ISSR_208002861_ACC_END_DATE" localSheetId="17">#REF!</definedName>
    <definedName name="E_KEYWORD_ISSR_208002861_ACC_END_DATE" localSheetId="14">#REF!</definedName>
    <definedName name="E_KEYWORD_ISSR_208002861_ACC_END_DATE" localSheetId="18">#REF!</definedName>
    <definedName name="E_KEYWORD_ISSR_208002861_ACC_END_DATE" localSheetId="19">#REF!</definedName>
    <definedName name="E_KEYWORD_ISSR_208002861_ACC_END_DATE">#REF!</definedName>
    <definedName name="E_KEYWORD_ISSR_208002861_ACC_PAY_GQ" localSheetId="17">#REF!</definedName>
    <definedName name="E_KEYWORD_ISSR_208002861_ACC_PAY_GQ" localSheetId="14">#REF!</definedName>
    <definedName name="E_KEYWORD_ISSR_208002861_ACC_PAY_GQ" localSheetId="18">#REF!</definedName>
    <definedName name="E_KEYWORD_ISSR_208002861_ACC_PAY_GQ" localSheetId="19">#REF!</definedName>
    <definedName name="E_KEYWORD_ISSR_208002861_ACC_PAY_GQ">#REF!</definedName>
    <definedName name="E_KEYWORD_ISSR_208002861_ACQ" localSheetId="17">#REF!</definedName>
    <definedName name="E_KEYWORD_ISSR_208002861_ACQ" localSheetId="14">#REF!</definedName>
    <definedName name="E_KEYWORD_ISSR_208002861_ACQ" localSheetId="18">#REF!</definedName>
    <definedName name="E_KEYWORD_ISSR_208002861_ACQ" localSheetId="19">#REF!</definedName>
    <definedName name="E_KEYWORD_ISSR_208002861_ACQ">#REF!</definedName>
    <definedName name="E_KEYWORD_ISSR_208002861_ADJ_UNF_PENS_GOOD" localSheetId="17">#REF!</definedName>
    <definedName name="E_KEYWORD_ISSR_208002861_ADJ_UNF_PENS_GOOD" localSheetId="14">#REF!</definedName>
    <definedName name="E_KEYWORD_ISSR_208002861_ADJ_UNF_PENS_GOOD" localSheetId="18">#REF!</definedName>
    <definedName name="E_KEYWORD_ISSR_208002861_ADJ_UNF_PENS_GOOD" localSheetId="19">#REF!</definedName>
    <definedName name="E_KEYWORD_ISSR_208002861_ADJ_UNF_PENS_GOOD">#REF!</definedName>
    <definedName name="E_KEYWORD_ISSR_208002861_ASSOC_JV_ADDBK" localSheetId="17">#REF!</definedName>
    <definedName name="E_KEYWORD_ISSR_208002861_ASSOC_JV_ADDBK" localSheetId="14">#REF!</definedName>
    <definedName name="E_KEYWORD_ISSR_208002861_ASSOC_JV_ADDBK" localSheetId="18">#REF!</definedName>
    <definedName name="E_KEYWORD_ISSR_208002861_ASSOC_JV_ADDBK" localSheetId="19">#REF!</definedName>
    <definedName name="E_KEYWORD_ISSR_208002861_ASSOC_JV_ADDBK">#REF!</definedName>
    <definedName name="E_KEYWORD_ISSR_208002861_ASSOCIATE" localSheetId="17">#REF!</definedName>
    <definedName name="E_KEYWORD_ISSR_208002861_ASSOCIATE" localSheetId="14">#REF!</definedName>
    <definedName name="E_KEYWORD_ISSR_208002861_ASSOCIATE" localSheetId="18">#REF!</definedName>
    <definedName name="E_KEYWORD_ISSR_208002861_ASSOCIATE" localSheetId="19">#REF!</definedName>
    <definedName name="E_KEYWORD_ISSR_208002861_ASSOCIATE">#REF!</definedName>
    <definedName name="E_KEYWORD_ISSR_208002861_ASSOCIATE_OP" localSheetId="17">#REF!</definedName>
    <definedName name="E_KEYWORD_ISSR_208002861_ASSOCIATE_OP" localSheetId="14">#REF!</definedName>
    <definedName name="E_KEYWORD_ISSR_208002861_ASSOCIATE_OP" localSheetId="18">#REF!</definedName>
    <definedName name="E_KEYWORD_ISSR_208002861_ASSOCIATE_OP" localSheetId="19">#REF!</definedName>
    <definedName name="E_KEYWORD_ISSR_208002861_ASSOCIATE_OP">#REF!</definedName>
    <definedName name="E_KEYWORD_ISSR_208002861_BAL_MINO_INT" localSheetId="17">#REF!</definedName>
    <definedName name="E_KEYWORD_ISSR_208002861_BAL_MINO_INT" localSheetId="14">#REF!</definedName>
    <definedName name="E_KEYWORD_ISSR_208002861_BAL_MINO_INT" localSheetId="18">#REF!</definedName>
    <definedName name="E_KEYWORD_ISSR_208002861_BAL_MINO_INT" localSheetId="19">#REF!</definedName>
    <definedName name="E_KEYWORD_ISSR_208002861_BAL_MINO_INT">#REF!</definedName>
    <definedName name="E_KEYWORD_ISSR_208002861_CAP_LEASES" localSheetId="17">#REF!</definedName>
    <definedName name="E_KEYWORD_ISSR_208002861_CAP_LEASES" localSheetId="14">#REF!</definedName>
    <definedName name="E_KEYWORD_ISSR_208002861_CAP_LEASES" localSheetId="18">#REF!</definedName>
    <definedName name="E_KEYWORD_ISSR_208002861_CAP_LEASES" localSheetId="19">#REF!</definedName>
    <definedName name="E_KEYWORD_ISSR_208002861_CAP_LEASES">#REF!</definedName>
    <definedName name="E_KEYWORD_ISSR_208002861_CAPEX" localSheetId="17">#REF!</definedName>
    <definedName name="E_KEYWORD_ISSR_208002861_CAPEX" localSheetId="14">#REF!</definedName>
    <definedName name="E_KEYWORD_ISSR_208002861_CAPEX" localSheetId="18">#REF!</definedName>
    <definedName name="E_KEYWORD_ISSR_208002861_CAPEX" localSheetId="19">#REF!</definedName>
    <definedName name="E_KEYWORD_ISSR_208002861_CAPEX">#REF!</definedName>
    <definedName name="E_KEYWORD_ISSR_208002861_CAPEX_EXPANSION" localSheetId="17">#REF!</definedName>
    <definedName name="E_KEYWORD_ISSR_208002861_CAPEX_EXPANSION" localSheetId="14">#REF!</definedName>
    <definedName name="E_KEYWORD_ISSR_208002861_CAPEX_EXPANSION" localSheetId="18">#REF!</definedName>
    <definedName name="E_KEYWORD_ISSR_208002861_CAPEX_EXPANSION" localSheetId="19">#REF!</definedName>
    <definedName name="E_KEYWORD_ISSR_208002861_CAPEX_EXPANSION">#REF!</definedName>
    <definedName name="E_KEYWORD_ISSR_208002861_CAPEX_MAINTENANCE" localSheetId="17">#REF!</definedName>
    <definedName name="E_KEYWORD_ISSR_208002861_CAPEX_MAINTENANCE" localSheetId="14">#REF!</definedName>
    <definedName name="E_KEYWORD_ISSR_208002861_CAPEX_MAINTENANCE" localSheetId="18">#REF!</definedName>
    <definedName name="E_KEYWORD_ISSR_208002861_CAPEX_MAINTENANCE" localSheetId="19">#REF!</definedName>
    <definedName name="E_KEYWORD_ISSR_208002861_CAPEX_MAINTENANCE">#REF!</definedName>
    <definedName name="E_KEYWORD_ISSR_208002861_CASH_EQ" localSheetId="17">#REF!</definedName>
    <definedName name="E_KEYWORD_ISSR_208002861_CASH_EQ" localSheetId="14">#REF!</definedName>
    <definedName name="E_KEYWORD_ISSR_208002861_CASH_EQ" localSheetId="18">#REF!</definedName>
    <definedName name="E_KEYWORD_ISSR_208002861_CASH_EQ" localSheetId="19">#REF!</definedName>
    <definedName name="E_KEYWORD_ISSR_208002861_CASH_EQ">#REF!</definedName>
    <definedName name="E_KEYWORD_ISSR_208002861_CASH_INT_EXP" localSheetId="17">#REF!</definedName>
    <definedName name="E_KEYWORD_ISSR_208002861_CASH_INT_EXP" localSheetId="14">#REF!</definedName>
    <definedName name="E_KEYWORD_ISSR_208002861_CASH_INT_EXP" localSheetId="18">#REF!</definedName>
    <definedName name="E_KEYWORD_ISSR_208002861_CASH_INT_EXP" localSheetId="19">#REF!</definedName>
    <definedName name="E_KEYWORD_ISSR_208002861_CASH_INT_EXP">#REF!</definedName>
    <definedName name="E_KEYWORD_ISSR_208002861_CASH_INT_INC_EXP" localSheetId="17">#REF!</definedName>
    <definedName name="E_KEYWORD_ISSR_208002861_CASH_INT_INC_EXP" localSheetId="14">#REF!</definedName>
    <definedName name="E_KEYWORD_ISSR_208002861_CASH_INT_INC_EXP" localSheetId="18">#REF!</definedName>
    <definedName name="E_KEYWORD_ISSR_208002861_CASH_INT_INC_EXP" localSheetId="19">#REF!</definedName>
    <definedName name="E_KEYWORD_ISSR_208002861_CASH_INT_INC_EXP">#REF!</definedName>
    <definedName name="E_KEYWORD_ISSR_208002861_CASH_TAX_EXP" localSheetId="17">#REF!</definedName>
    <definedName name="E_KEYWORD_ISSR_208002861_CASH_TAX_EXP" localSheetId="14">#REF!</definedName>
    <definedName name="E_KEYWORD_ISSR_208002861_CASH_TAX_EXP" localSheetId="18">#REF!</definedName>
    <definedName name="E_KEYWORD_ISSR_208002861_CASH_TAX_EXP" localSheetId="19">#REF!</definedName>
    <definedName name="E_KEYWORD_ISSR_208002861_CASH_TAX_EXP">#REF!</definedName>
    <definedName name="E_KEYWORD_ISSR_208002861_CASH_TAX_PD" localSheetId="17">#REF!</definedName>
    <definedName name="E_KEYWORD_ISSR_208002861_CASH_TAX_PD" localSheetId="14">#REF!</definedName>
    <definedName name="E_KEYWORD_ISSR_208002861_CASH_TAX_PD" localSheetId="18">#REF!</definedName>
    <definedName name="E_KEYWORD_ISSR_208002861_CASH_TAX_PD" localSheetId="19">#REF!</definedName>
    <definedName name="E_KEYWORD_ISSR_208002861_CASH_TAX_PD">#REF!</definedName>
    <definedName name="E_KEYWORD_ISSR_208002861_CF_FIN" localSheetId="17">#REF!</definedName>
    <definedName name="E_KEYWORD_ISSR_208002861_CF_FIN" localSheetId="14">#REF!</definedName>
    <definedName name="E_KEYWORD_ISSR_208002861_CF_FIN" localSheetId="18">#REF!</definedName>
    <definedName name="E_KEYWORD_ISSR_208002861_CF_FIN" localSheetId="19">#REF!</definedName>
    <definedName name="E_KEYWORD_ISSR_208002861_CF_FIN">#REF!</definedName>
    <definedName name="E_KEYWORD_ISSR_208002861_CF_INC_MINORITY" localSheetId="17">#REF!</definedName>
    <definedName name="E_KEYWORD_ISSR_208002861_CF_INC_MINORITY" localSheetId="14">#REF!</definedName>
    <definedName name="E_KEYWORD_ISSR_208002861_CF_INC_MINORITY" localSheetId="18">#REF!</definedName>
    <definedName name="E_KEYWORD_ISSR_208002861_CF_INC_MINORITY" localSheetId="19">#REF!</definedName>
    <definedName name="E_KEYWORD_ISSR_208002861_CF_INC_MINORITY">#REF!</definedName>
    <definedName name="E_KEYWORD_ISSR_208002861_CF_INV" localSheetId="17">#REF!</definedName>
    <definedName name="E_KEYWORD_ISSR_208002861_CF_INV" localSheetId="14">#REF!</definedName>
    <definedName name="E_KEYWORD_ISSR_208002861_CF_INV" localSheetId="18">#REF!</definedName>
    <definedName name="E_KEYWORD_ISSR_208002861_CF_INV" localSheetId="19">#REF!</definedName>
    <definedName name="E_KEYWORD_ISSR_208002861_CF_INV">#REF!</definedName>
    <definedName name="E_KEYWORD_ISSR_208002861_CF_OPS" localSheetId="17">#REF!</definedName>
    <definedName name="E_KEYWORD_ISSR_208002861_CF_OPS" localSheetId="14">#REF!</definedName>
    <definedName name="E_KEYWORD_ISSR_208002861_CF_OPS" localSheetId="18">#REF!</definedName>
    <definedName name="E_KEYWORD_ISSR_208002861_CF_OPS" localSheetId="19">#REF!</definedName>
    <definedName name="E_KEYWORD_ISSR_208002861_CF_OPS">#REF!</definedName>
    <definedName name="E_KEYWORD_ISSR_208002861_CHG_LT_DEBT" localSheetId="17">#REF!</definedName>
    <definedName name="E_KEYWORD_ISSR_208002861_CHG_LT_DEBT" localSheetId="14">#REF!</definedName>
    <definedName name="E_KEYWORD_ISSR_208002861_CHG_LT_DEBT" localSheetId="18">#REF!</definedName>
    <definedName name="E_KEYWORD_ISSR_208002861_CHG_LT_DEBT" localSheetId="19">#REF!</definedName>
    <definedName name="E_KEYWORD_ISSR_208002861_CHG_LT_DEBT">#REF!</definedName>
    <definedName name="E_KEYWORD_ISSR_208002861_CO_BOR_MARGIN" localSheetId="17">#REF!</definedName>
    <definedName name="E_KEYWORD_ISSR_208002861_CO_BOR_MARGIN" localSheetId="14">#REF!</definedName>
    <definedName name="E_KEYWORD_ISSR_208002861_CO_BOR_MARGIN" localSheetId="18">#REF!</definedName>
    <definedName name="E_KEYWORD_ISSR_208002861_CO_BOR_MARGIN" localSheetId="19">#REF!</definedName>
    <definedName name="E_KEYWORD_ISSR_208002861_CO_BOR_MARGIN">#REF!</definedName>
    <definedName name="E_KEYWORD_ISSR_208002861_COST_GD_SD" localSheetId="17">#REF!</definedName>
    <definedName name="E_KEYWORD_ISSR_208002861_COST_GD_SD" localSheetId="14">#REF!</definedName>
    <definedName name="E_KEYWORD_ISSR_208002861_COST_GD_SD" localSheetId="18">#REF!</definedName>
    <definedName name="E_KEYWORD_ISSR_208002861_COST_GD_SD" localSheetId="19">#REF!</definedName>
    <definedName name="E_KEYWORD_ISSR_208002861_COST_GD_SD">#REF!</definedName>
    <definedName name="E_KEYWORD_ISSR_208002861_CUR_ASS" localSheetId="17">#REF!</definedName>
    <definedName name="E_KEYWORD_ISSR_208002861_CUR_ASS" localSheetId="14">#REF!</definedName>
    <definedName name="E_KEYWORD_ISSR_208002861_CUR_ASS" localSheetId="18">#REF!</definedName>
    <definedName name="E_KEYWORD_ISSR_208002861_CUR_ASS" localSheetId="19">#REF!</definedName>
    <definedName name="E_KEYWORD_ISSR_208002861_CUR_ASS">#REF!</definedName>
    <definedName name="E_KEYWORD_ISSR_208002861_CURRENCY_ISO" localSheetId="17">#REF!</definedName>
    <definedName name="E_KEYWORD_ISSR_208002861_CURRENCY_ISO" localSheetId="14">#REF!</definedName>
    <definedName name="E_KEYWORD_ISSR_208002861_CURRENCY_ISO" localSheetId="18">#REF!</definedName>
    <definedName name="E_KEYWORD_ISSR_208002861_CURRENCY_ISO" localSheetId="19">#REF!</definedName>
    <definedName name="E_KEYWORD_ISSR_208002861_CURRENCY_ISO">#REF!</definedName>
    <definedName name="E_KEYWORD_ISSR_208002861_DEBTORS" localSheetId="17">#REF!</definedName>
    <definedName name="E_KEYWORD_ISSR_208002861_DEBTORS" localSheetId="14">#REF!</definedName>
    <definedName name="E_KEYWORD_ISSR_208002861_DEBTORS" localSheetId="18">#REF!</definedName>
    <definedName name="E_KEYWORD_ISSR_208002861_DEBTORS" localSheetId="19">#REF!</definedName>
    <definedName name="E_KEYWORD_ISSR_208002861_DEBTORS">#REF!</definedName>
    <definedName name="E_KEYWORD_ISSR_208002861_DEF_INC_TAX" localSheetId="17">#REF!</definedName>
    <definedName name="E_KEYWORD_ISSR_208002861_DEF_INC_TAX" localSheetId="14">#REF!</definedName>
    <definedName name="E_KEYWORD_ISSR_208002861_DEF_INC_TAX" localSheetId="18">#REF!</definedName>
    <definedName name="E_KEYWORD_ISSR_208002861_DEF_INC_TAX" localSheetId="19">#REF!</definedName>
    <definedName name="E_KEYWORD_ISSR_208002861_DEF_INC_TAX">#REF!</definedName>
    <definedName name="E_KEYWORD_ISSR_208002861_DEPR_AMORT" localSheetId="17">#REF!</definedName>
    <definedName name="E_KEYWORD_ISSR_208002861_DEPR_AMORT" localSheetId="14">#REF!</definedName>
    <definedName name="E_KEYWORD_ISSR_208002861_DEPR_AMORT" localSheetId="18">#REF!</definedName>
    <definedName name="E_KEYWORD_ISSR_208002861_DEPR_AMORT" localSheetId="19">#REF!</definedName>
    <definedName name="E_KEYWORD_ISSR_208002861_DEPR_AMORT">#REF!</definedName>
    <definedName name="E_KEYWORD_ISSR_208002861_DEPREC" localSheetId="17">#REF!</definedName>
    <definedName name="E_KEYWORD_ISSR_208002861_DEPREC" localSheetId="14">#REF!</definedName>
    <definedName name="E_KEYWORD_ISSR_208002861_DEPREC" localSheetId="18">#REF!</definedName>
    <definedName name="E_KEYWORD_ISSR_208002861_DEPREC" localSheetId="19">#REF!</definedName>
    <definedName name="E_KEYWORD_ISSR_208002861_DEPREC">#REF!</definedName>
    <definedName name="E_KEYWORD_ISSR_208002861_DIV_PAID" localSheetId="17">#REF!</definedName>
    <definedName name="E_KEYWORD_ISSR_208002861_DIV_PAID" localSheetId="14">#REF!</definedName>
    <definedName name="E_KEYWORD_ISSR_208002861_DIV_PAID" localSheetId="18">#REF!</definedName>
    <definedName name="E_KEYWORD_ISSR_208002861_DIV_PAID" localSheetId="19">#REF!</definedName>
    <definedName name="E_KEYWORD_ISSR_208002861_DIV_PAID">#REF!</definedName>
    <definedName name="E_KEYWORD_ISSR_208002861_DIVDS_ASSOC_JV" localSheetId="17">#REF!</definedName>
    <definedName name="E_KEYWORD_ISSR_208002861_DIVDS_ASSOC_JV" localSheetId="14">#REF!</definedName>
    <definedName name="E_KEYWORD_ISSR_208002861_DIVDS_ASSOC_JV" localSheetId="18">#REF!</definedName>
    <definedName name="E_KEYWORD_ISSR_208002861_DIVDS_ASSOC_JV" localSheetId="19">#REF!</definedName>
    <definedName name="E_KEYWORD_ISSR_208002861_DIVDS_ASSOC_JV">#REF!</definedName>
    <definedName name="E_KEYWORD_ISSR_208002861_DIVDS_PD_MINORITIES" localSheetId="17">#REF!</definedName>
    <definedName name="E_KEYWORD_ISSR_208002861_DIVDS_PD_MINORITIES" localSheetId="14">#REF!</definedName>
    <definedName name="E_KEYWORD_ISSR_208002861_DIVDS_PD_MINORITIES" localSheetId="18">#REF!</definedName>
    <definedName name="E_KEYWORD_ISSR_208002861_DIVDS_PD_MINORITIES" localSheetId="19">#REF!</definedName>
    <definedName name="E_KEYWORD_ISSR_208002861_DIVDS_PD_MINORITIES">#REF!</definedName>
    <definedName name="E_KEYWORD_ISSR_208002861_DIVEST" localSheetId="17">#REF!</definedName>
    <definedName name="E_KEYWORD_ISSR_208002861_DIVEST" localSheetId="14">#REF!</definedName>
    <definedName name="E_KEYWORD_ISSR_208002861_DIVEST" localSheetId="18">#REF!</definedName>
    <definedName name="E_KEYWORD_ISSR_208002861_DIVEST" localSheetId="19">#REF!</definedName>
    <definedName name="E_KEYWORD_ISSR_208002861_DIVEST">#REF!</definedName>
    <definedName name="E_KEYWORD_ISSR_208002861_EBIT" localSheetId="17">#REF!</definedName>
    <definedName name="E_KEYWORD_ISSR_208002861_EBIT" localSheetId="14">#REF!</definedName>
    <definedName name="E_KEYWORD_ISSR_208002861_EBIT" localSheetId="18">#REF!</definedName>
    <definedName name="E_KEYWORD_ISSR_208002861_EBIT" localSheetId="19">#REF!</definedName>
    <definedName name="E_KEYWORD_ISSR_208002861_EBIT">#REF!</definedName>
    <definedName name="E_KEYWORD_ISSR_208002861_EBITDA_CALC" localSheetId="17">#REF!</definedName>
    <definedName name="E_KEYWORD_ISSR_208002861_EBITDA_CALC" localSheetId="14">#REF!</definedName>
    <definedName name="E_KEYWORD_ISSR_208002861_EBITDA_CALC" localSheetId="18">#REF!</definedName>
    <definedName name="E_KEYWORD_ISSR_208002861_EBITDA_CALC" localSheetId="19">#REF!</definedName>
    <definedName name="E_KEYWORD_ISSR_208002861_EBITDA_CALC">#REF!</definedName>
    <definedName name="E_KEYWORD_ISSR_208002861_EMPLOYEES" localSheetId="17">#REF!</definedName>
    <definedName name="E_KEYWORD_ISSR_208002861_EMPLOYEES" localSheetId="14">#REF!</definedName>
    <definedName name="E_KEYWORD_ISSR_208002861_EMPLOYEES" localSheetId="18">#REF!</definedName>
    <definedName name="E_KEYWORD_ISSR_208002861_EMPLOYEES" localSheetId="19">#REF!</definedName>
    <definedName name="E_KEYWORD_ISSR_208002861_EMPLOYEES">#REF!</definedName>
    <definedName name="E_KEYWORD_ISSR_208002861_EQ" localSheetId="17">#REF!</definedName>
    <definedName name="E_KEYWORD_ISSR_208002861_EQ" localSheetId="14">#REF!</definedName>
    <definedName name="E_KEYWORD_ISSR_208002861_EQ" localSheetId="18">#REF!</definedName>
    <definedName name="E_KEYWORD_ISSR_208002861_EQ" localSheetId="19">#REF!</definedName>
    <definedName name="E_KEYWORD_ISSR_208002861_EQ">#REF!</definedName>
    <definedName name="E_KEYWORD_ISSR_208002861_EXP_ALUMINIUM" localSheetId="17">#REF!</definedName>
    <definedName name="E_KEYWORD_ISSR_208002861_EXP_ALUMINIUM" localSheetId="14">#REF!</definedName>
    <definedName name="E_KEYWORD_ISSR_208002861_EXP_ALUMINIUM" localSheetId="18">#REF!</definedName>
    <definedName name="E_KEYWORD_ISSR_208002861_EXP_ALUMINIUM" localSheetId="19">#REF!</definedName>
    <definedName name="E_KEYWORD_ISSR_208002861_EXP_ALUMINIUM">#REF!</definedName>
    <definedName name="E_KEYWORD_ISSR_208002861_EXP_COPPER" localSheetId="17">#REF!</definedName>
    <definedName name="E_KEYWORD_ISSR_208002861_EXP_COPPER" localSheetId="14">#REF!</definedName>
    <definedName name="E_KEYWORD_ISSR_208002861_EXP_COPPER" localSheetId="18">#REF!</definedName>
    <definedName name="E_KEYWORD_ISSR_208002861_EXP_COPPER" localSheetId="19">#REF!</definedName>
    <definedName name="E_KEYWORD_ISSR_208002861_EXP_COPPER">#REF!</definedName>
    <definedName name="E_KEYWORD_ISSR_208002861_EXP_GLASS" localSheetId="17">#REF!</definedName>
    <definedName name="E_KEYWORD_ISSR_208002861_EXP_GLASS" localSheetId="14">#REF!</definedName>
    <definedName name="E_KEYWORD_ISSR_208002861_EXP_GLASS" localSheetId="18">#REF!</definedName>
    <definedName name="E_KEYWORD_ISSR_208002861_EXP_GLASS" localSheetId="19">#REF!</definedName>
    <definedName name="E_KEYWORD_ISSR_208002861_EXP_GLASS">#REF!</definedName>
    <definedName name="E_KEYWORD_ISSR_208002861_EXP_GOLD" localSheetId="17">#REF!</definedName>
    <definedName name="E_KEYWORD_ISSR_208002861_EXP_GOLD" localSheetId="14">#REF!</definedName>
    <definedName name="E_KEYWORD_ISSR_208002861_EXP_GOLD" localSheetId="18">#REF!</definedName>
    <definedName name="E_KEYWORD_ISSR_208002861_EXP_GOLD" localSheetId="19">#REF!</definedName>
    <definedName name="E_KEYWORD_ISSR_208002861_EXP_GOLD">#REF!</definedName>
    <definedName name="E_KEYWORD_ISSR_208002861_EXP_NAT_GAS" localSheetId="17">#REF!</definedName>
    <definedName name="E_KEYWORD_ISSR_208002861_EXP_NAT_GAS" localSheetId="14">#REF!</definedName>
    <definedName name="E_KEYWORD_ISSR_208002861_EXP_NAT_GAS" localSheetId="18">#REF!</definedName>
    <definedName name="E_KEYWORD_ISSR_208002861_EXP_NAT_GAS" localSheetId="19">#REF!</definedName>
    <definedName name="E_KEYWORD_ISSR_208002861_EXP_NAT_GAS">#REF!</definedName>
    <definedName name="E_KEYWORD_ISSR_208002861_EXP_NICKEL" localSheetId="17">#REF!</definedName>
    <definedName name="E_KEYWORD_ISSR_208002861_EXP_NICKEL" localSheetId="14">#REF!</definedName>
    <definedName name="E_KEYWORD_ISSR_208002861_EXP_NICKEL" localSheetId="18">#REF!</definedName>
    <definedName name="E_KEYWORD_ISSR_208002861_EXP_NICKEL" localSheetId="19">#REF!</definedName>
    <definedName name="E_KEYWORD_ISSR_208002861_EXP_NICKEL">#REF!</definedName>
    <definedName name="E_KEYWORD_ISSR_208002861_EXP_OIL_DERIV_NGLS_PLASTICS" localSheetId="17">#REF!</definedName>
    <definedName name="E_KEYWORD_ISSR_208002861_EXP_OIL_DERIV_NGLS_PLASTICS" localSheetId="14">#REF!</definedName>
    <definedName name="E_KEYWORD_ISSR_208002861_EXP_OIL_DERIV_NGLS_PLASTICS" localSheetId="18">#REF!</definedName>
    <definedName name="E_KEYWORD_ISSR_208002861_EXP_OIL_DERIV_NGLS_PLASTICS" localSheetId="19">#REF!</definedName>
    <definedName name="E_KEYWORD_ISSR_208002861_EXP_OIL_DERIV_NGLS_PLASTICS">#REF!</definedName>
    <definedName name="E_KEYWORD_ISSR_208002861_EXP_OIL_PETRO_FUEL" localSheetId="17">#REF!</definedName>
    <definedName name="E_KEYWORD_ISSR_208002861_EXP_OIL_PETRO_FUEL" localSheetId="14">#REF!</definedName>
    <definedName name="E_KEYWORD_ISSR_208002861_EXP_OIL_PETRO_FUEL" localSheetId="18">#REF!</definedName>
    <definedName name="E_KEYWORD_ISSR_208002861_EXP_OIL_PETRO_FUEL" localSheetId="19">#REF!</definedName>
    <definedName name="E_KEYWORD_ISSR_208002861_EXP_OIL_PETRO_FUEL">#REF!</definedName>
    <definedName name="E_KEYWORD_ISSR_208002861_EXP_OTH_COMMODITY" localSheetId="17">#REF!</definedName>
    <definedName name="E_KEYWORD_ISSR_208002861_EXP_OTH_COMMODITY" localSheetId="14">#REF!</definedName>
    <definedName name="E_KEYWORD_ISSR_208002861_EXP_OTH_COMMODITY" localSheetId="18">#REF!</definedName>
    <definedName name="E_KEYWORD_ISSR_208002861_EXP_OTH_COMMODITY" localSheetId="19">#REF!</definedName>
    <definedName name="E_KEYWORD_ISSR_208002861_EXP_OTH_COMMODITY">#REF!</definedName>
    <definedName name="E_KEYWORD_ISSR_208002861_EXP_OTH_COST" localSheetId="17">#REF!</definedName>
    <definedName name="E_KEYWORD_ISSR_208002861_EXP_OTH_COST" localSheetId="14">#REF!</definedName>
    <definedName name="E_KEYWORD_ISSR_208002861_EXP_OTH_COST" localSheetId="18">#REF!</definedName>
    <definedName name="E_KEYWORD_ISSR_208002861_EXP_OTH_COST" localSheetId="19">#REF!</definedName>
    <definedName name="E_KEYWORD_ISSR_208002861_EXP_OTH_COST">#REF!</definedName>
    <definedName name="E_KEYWORD_ISSR_208002861_EXP_PALLADIUM" localSheetId="17">#REF!</definedName>
    <definedName name="E_KEYWORD_ISSR_208002861_EXP_PALLADIUM" localSheetId="14">#REF!</definedName>
    <definedName name="E_KEYWORD_ISSR_208002861_EXP_PALLADIUM" localSheetId="18">#REF!</definedName>
    <definedName name="E_KEYWORD_ISSR_208002861_EXP_PALLADIUM" localSheetId="19">#REF!</definedName>
    <definedName name="E_KEYWORD_ISSR_208002861_EXP_PALLADIUM">#REF!</definedName>
    <definedName name="E_KEYWORD_ISSR_208002861_EXP_PLATINUM" localSheetId="17">#REF!</definedName>
    <definedName name="E_KEYWORD_ISSR_208002861_EXP_PLATINUM" localSheetId="14">#REF!</definedName>
    <definedName name="E_KEYWORD_ISSR_208002861_EXP_PLATINUM" localSheetId="18">#REF!</definedName>
    <definedName name="E_KEYWORD_ISSR_208002861_EXP_PLATINUM" localSheetId="19">#REF!</definedName>
    <definedName name="E_KEYWORD_ISSR_208002861_EXP_PLATINUM">#REF!</definedName>
    <definedName name="E_KEYWORD_ISSR_208002861_EXP_RUBBER" localSheetId="17">#REF!</definedName>
    <definedName name="E_KEYWORD_ISSR_208002861_EXP_RUBBER" localSheetId="14">#REF!</definedName>
    <definedName name="E_KEYWORD_ISSR_208002861_EXP_RUBBER" localSheetId="18">#REF!</definedName>
    <definedName name="E_KEYWORD_ISSR_208002861_EXP_RUBBER" localSheetId="19">#REF!</definedName>
    <definedName name="E_KEYWORD_ISSR_208002861_EXP_RUBBER">#REF!</definedName>
    <definedName name="E_KEYWORD_ISSR_208002861_EXP_SILVER" localSheetId="17">#REF!</definedName>
    <definedName name="E_KEYWORD_ISSR_208002861_EXP_SILVER" localSheetId="14">#REF!</definedName>
    <definedName name="E_KEYWORD_ISSR_208002861_EXP_SILVER" localSheetId="18">#REF!</definedName>
    <definedName name="E_KEYWORD_ISSR_208002861_EXP_SILVER" localSheetId="19">#REF!</definedName>
    <definedName name="E_KEYWORD_ISSR_208002861_EXP_SILVER">#REF!</definedName>
    <definedName name="E_KEYWORD_ISSR_208002861_EXP_STEEL" localSheetId="17">#REF!</definedName>
    <definedName name="E_KEYWORD_ISSR_208002861_EXP_STEEL" localSheetId="14">#REF!</definedName>
    <definedName name="E_KEYWORD_ISSR_208002861_EXP_STEEL" localSheetId="18">#REF!</definedName>
    <definedName name="E_KEYWORD_ISSR_208002861_EXP_STEEL" localSheetId="19">#REF!</definedName>
    <definedName name="E_KEYWORD_ISSR_208002861_EXP_STEEL">#REF!</definedName>
    <definedName name="E_KEYWORD_ISSR_208002861_EXP_WATER" localSheetId="17">#REF!</definedName>
    <definedName name="E_KEYWORD_ISSR_208002861_EXP_WATER" localSheetId="14">#REF!</definedName>
    <definedName name="E_KEYWORD_ISSR_208002861_EXP_WATER" localSheetId="18">#REF!</definedName>
    <definedName name="E_KEYWORD_ISSR_208002861_EXP_WATER" localSheetId="19">#REF!</definedName>
    <definedName name="E_KEYWORD_ISSR_208002861_EXP_WATER">#REF!</definedName>
    <definedName name="E_KEYWORD_ISSR_208002861_EXP_ZINC" localSheetId="17">#REF!</definedName>
    <definedName name="E_KEYWORD_ISSR_208002861_EXP_ZINC" localSheetId="14">#REF!</definedName>
    <definedName name="E_KEYWORD_ISSR_208002861_EXP_ZINC" localSheetId="18">#REF!</definedName>
    <definedName name="E_KEYWORD_ISSR_208002861_EXP_ZINC" localSheetId="19">#REF!</definedName>
    <definedName name="E_KEYWORD_ISSR_208002861_EXP_ZINC">#REF!</definedName>
    <definedName name="E_KEYWORD_ISSR_208002861_FIX_ASS_INV" localSheetId="17">#REF!</definedName>
    <definedName name="E_KEYWORD_ISSR_208002861_FIX_ASS_INV" localSheetId="14">#REF!</definedName>
    <definedName name="E_KEYWORD_ISSR_208002861_FIX_ASS_INV" localSheetId="18">#REF!</definedName>
    <definedName name="E_KEYWORD_ISSR_208002861_FIX_ASS_INV" localSheetId="19">#REF!</definedName>
    <definedName name="E_KEYWORD_ISSR_208002861_FIX_ASS_INV">#REF!</definedName>
    <definedName name="E_KEYWORD_ISSR_208002861_GCI_INFL" localSheetId="17">#REF!</definedName>
    <definedName name="E_KEYWORD_ISSR_208002861_GCI_INFL" localSheetId="14">#REF!</definedName>
    <definedName name="E_KEYWORD_ISSR_208002861_GCI_INFL" localSheetId="18">#REF!</definedName>
    <definedName name="E_KEYWORD_ISSR_208002861_GCI_INFL" localSheetId="19">#REF!</definedName>
    <definedName name="E_KEYWORD_ISSR_208002861_GCI_INFL">#REF!</definedName>
    <definedName name="E_KEYWORD_ISSR_208002861_GOODWILL_AMORT" localSheetId="17">#REF!</definedName>
    <definedName name="E_KEYWORD_ISSR_208002861_GOODWILL_AMORT" localSheetId="14">#REF!</definedName>
    <definedName name="E_KEYWORD_ISSR_208002861_GOODWILL_AMORT" localSheetId="18">#REF!</definedName>
    <definedName name="E_KEYWORD_ISSR_208002861_GOODWILL_AMORT" localSheetId="19">#REF!</definedName>
    <definedName name="E_KEYWORD_ISSR_208002861_GOODWILL_AMORT">#REF!</definedName>
    <definedName name="E_KEYWORD_ISSR_208002861_GR_FIX_ASS" localSheetId="17">#REF!</definedName>
    <definedName name="E_KEYWORD_ISSR_208002861_GR_FIX_ASS" localSheetId="14">#REF!</definedName>
    <definedName name="E_KEYWORD_ISSR_208002861_GR_FIX_ASS" localSheetId="18">#REF!</definedName>
    <definedName name="E_KEYWORD_ISSR_208002861_GR_FIX_ASS" localSheetId="19">#REF!</definedName>
    <definedName name="E_KEYWORD_ISSR_208002861_GR_FIX_ASS">#REF!</definedName>
    <definedName name="E_KEYWORD_ISSR_208002861_GR_INTANG" localSheetId="17">#REF!</definedName>
    <definedName name="E_KEYWORD_ISSR_208002861_GR_INTANG" localSheetId="14">#REF!</definedName>
    <definedName name="E_KEYWORD_ISSR_208002861_GR_INTANG" localSheetId="18">#REF!</definedName>
    <definedName name="E_KEYWORD_ISSR_208002861_GR_INTANG" localSheetId="19">#REF!</definedName>
    <definedName name="E_KEYWORD_ISSR_208002861_GR_INTANG">#REF!</definedName>
    <definedName name="E_KEYWORD_ISSR_208002861_GW_AMORT" localSheetId="17">#REF!</definedName>
    <definedName name="E_KEYWORD_ISSR_208002861_GW_AMORT" localSheetId="14">#REF!</definedName>
    <definedName name="E_KEYWORD_ISSR_208002861_GW_AMORT" localSheetId="18">#REF!</definedName>
    <definedName name="E_KEYWORD_ISSR_208002861_GW_AMORT" localSheetId="19">#REF!</definedName>
    <definedName name="E_KEYWORD_ISSR_208002861_GW_AMORT">#REF!</definedName>
    <definedName name="E_KEYWORD_ISSR_208002861_IND_SALES_BRAZIL" localSheetId="17">#REF!</definedName>
    <definedName name="E_KEYWORD_ISSR_208002861_IND_SALES_BRAZIL" localSheetId="14">#REF!</definedName>
    <definedName name="E_KEYWORD_ISSR_208002861_IND_SALES_BRAZIL" localSheetId="18">#REF!</definedName>
    <definedName name="E_KEYWORD_ISSR_208002861_IND_SALES_BRAZIL" localSheetId="19">#REF!</definedName>
    <definedName name="E_KEYWORD_ISSR_208002861_IND_SALES_BRAZIL">#REF!</definedName>
    <definedName name="E_KEYWORD_ISSR_208002861_IND_SALES_CEE" localSheetId="17">#REF!</definedName>
    <definedName name="E_KEYWORD_ISSR_208002861_IND_SALES_CEE" localSheetId="14">#REF!</definedName>
    <definedName name="E_KEYWORD_ISSR_208002861_IND_SALES_CEE" localSheetId="18">#REF!</definedName>
    <definedName name="E_KEYWORD_ISSR_208002861_IND_SALES_CEE" localSheetId="19">#REF!</definedName>
    <definedName name="E_KEYWORD_ISSR_208002861_IND_SALES_CEE">#REF!</definedName>
    <definedName name="E_KEYWORD_ISSR_208002861_IND_SALES_CHINA" localSheetId="17">#REF!</definedName>
    <definedName name="E_KEYWORD_ISSR_208002861_IND_SALES_CHINA" localSheetId="14">#REF!</definedName>
    <definedName name="E_KEYWORD_ISSR_208002861_IND_SALES_CHINA" localSheetId="18">#REF!</definedName>
    <definedName name="E_KEYWORD_ISSR_208002861_IND_SALES_CHINA" localSheetId="19">#REF!</definedName>
    <definedName name="E_KEYWORD_ISSR_208002861_IND_SALES_CHINA">#REF!</definedName>
    <definedName name="E_KEYWORD_ISSR_208002861_IND_SALES_CONS" localSheetId="17">#REF!</definedName>
    <definedName name="E_KEYWORD_ISSR_208002861_IND_SALES_CONS" localSheetId="14">#REF!</definedName>
    <definedName name="E_KEYWORD_ISSR_208002861_IND_SALES_CONS" localSheetId="18">#REF!</definedName>
    <definedName name="E_KEYWORD_ISSR_208002861_IND_SALES_CONS" localSheetId="19">#REF!</definedName>
    <definedName name="E_KEYWORD_ISSR_208002861_IND_SALES_CONS">#REF!</definedName>
    <definedName name="E_KEYWORD_ISSR_208002861_IND_SALES_EU_EX_UK" localSheetId="17">#REF!</definedName>
    <definedName name="E_KEYWORD_ISSR_208002861_IND_SALES_EU_EX_UK" localSheetId="14">#REF!</definedName>
    <definedName name="E_KEYWORD_ISSR_208002861_IND_SALES_EU_EX_UK" localSheetId="18">#REF!</definedName>
    <definedName name="E_KEYWORD_ISSR_208002861_IND_SALES_EU_EX_UK" localSheetId="19">#REF!</definedName>
    <definedName name="E_KEYWORD_ISSR_208002861_IND_SALES_EU_EX_UK">#REF!</definedName>
    <definedName name="E_KEYWORD_ISSR_208002861_IND_SALES_FINAN" localSheetId="17">#REF!</definedName>
    <definedName name="E_KEYWORD_ISSR_208002861_IND_SALES_FINAN" localSheetId="14">#REF!</definedName>
    <definedName name="E_KEYWORD_ISSR_208002861_IND_SALES_FINAN" localSheetId="18">#REF!</definedName>
    <definedName name="E_KEYWORD_ISSR_208002861_IND_SALES_FINAN" localSheetId="19">#REF!</definedName>
    <definedName name="E_KEYWORD_ISSR_208002861_IND_SALES_FINAN">#REF!</definedName>
    <definedName name="E_KEYWORD_ISSR_208002861_IND_SALES_FRA" localSheetId="17">#REF!</definedName>
    <definedName name="E_KEYWORD_ISSR_208002861_IND_SALES_FRA" localSheetId="14">#REF!</definedName>
    <definedName name="E_KEYWORD_ISSR_208002861_IND_SALES_FRA" localSheetId="18">#REF!</definedName>
    <definedName name="E_KEYWORD_ISSR_208002861_IND_SALES_FRA" localSheetId="19">#REF!</definedName>
    <definedName name="E_KEYWORD_ISSR_208002861_IND_SALES_FRA">#REF!</definedName>
    <definedName name="E_KEYWORD_ISSR_208002861_IND_SALES_GER" localSheetId="17">#REF!</definedName>
    <definedName name="E_KEYWORD_ISSR_208002861_IND_SALES_GER" localSheetId="14">#REF!</definedName>
    <definedName name="E_KEYWORD_ISSR_208002861_IND_SALES_GER" localSheetId="18">#REF!</definedName>
    <definedName name="E_KEYWORD_ISSR_208002861_IND_SALES_GER" localSheetId="19">#REF!</definedName>
    <definedName name="E_KEYWORD_ISSR_208002861_IND_SALES_GER">#REF!</definedName>
    <definedName name="E_KEYWORD_ISSR_208002861_IND_SALES_GOV" localSheetId="17">#REF!</definedName>
    <definedName name="E_KEYWORD_ISSR_208002861_IND_SALES_GOV" localSheetId="14">#REF!</definedName>
    <definedName name="E_KEYWORD_ISSR_208002861_IND_SALES_GOV" localSheetId="18">#REF!</definedName>
    <definedName name="E_KEYWORD_ISSR_208002861_IND_SALES_GOV" localSheetId="19">#REF!</definedName>
    <definedName name="E_KEYWORD_ISSR_208002861_IND_SALES_GOV">#REF!</definedName>
    <definedName name="E_KEYWORD_ISSR_208002861_IND_SALES_IND" localSheetId="17">#REF!</definedName>
    <definedName name="E_KEYWORD_ISSR_208002861_IND_SALES_IND" localSheetId="14">#REF!</definedName>
    <definedName name="E_KEYWORD_ISSR_208002861_IND_SALES_IND" localSheetId="18">#REF!</definedName>
    <definedName name="E_KEYWORD_ISSR_208002861_IND_SALES_IND" localSheetId="19">#REF!</definedName>
    <definedName name="E_KEYWORD_ISSR_208002861_IND_SALES_IND">#REF!</definedName>
    <definedName name="E_KEYWORD_ISSR_208002861_IND_SALES_INDIA" localSheetId="17">#REF!</definedName>
    <definedName name="E_KEYWORD_ISSR_208002861_IND_SALES_INDIA" localSheetId="14">#REF!</definedName>
    <definedName name="E_KEYWORD_ISSR_208002861_IND_SALES_INDIA" localSheetId="18">#REF!</definedName>
    <definedName name="E_KEYWORD_ISSR_208002861_IND_SALES_INDIA" localSheetId="19">#REF!</definedName>
    <definedName name="E_KEYWORD_ISSR_208002861_IND_SALES_INDIA">#REF!</definedName>
    <definedName name="E_KEYWORD_ISSR_208002861_IND_SALES_ITA" localSheetId="17">#REF!</definedName>
    <definedName name="E_KEYWORD_ISSR_208002861_IND_SALES_ITA" localSheetId="14">#REF!</definedName>
    <definedName name="E_KEYWORD_ISSR_208002861_IND_SALES_ITA" localSheetId="18">#REF!</definedName>
    <definedName name="E_KEYWORD_ISSR_208002861_IND_SALES_ITA" localSheetId="19">#REF!</definedName>
    <definedName name="E_KEYWORD_ISSR_208002861_IND_SALES_ITA">#REF!</definedName>
    <definedName name="E_KEYWORD_ISSR_208002861_IND_SALES_JAPAN" localSheetId="17">#REF!</definedName>
    <definedName name="E_KEYWORD_ISSR_208002861_IND_SALES_JAPAN" localSheetId="14">#REF!</definedName>
    <definedName name="E_KEYWORD_ISSR_208002861_IND_SALES_JAPAN" localSheetId="18">#REF!</definedName>
    <definedName name="E_KEYWORD_ISSR_208002861_IND_SALES_JAPAN" localSheetId="19">#REF!</definedName>
    <definedName name="E_KEYWORD_ISSR_208002861_IND_SALES_JAPAN">#REF!</definedName>
    <definedName name="E_KEYWORD_ISSR_208002861_IND_SALES_ME" localSheetId="17">#REF!</definedName>
    <definedName name="E_KEYWORD_ISSR_208002861_IND_SALES_ME" localSheetId="14">#REF!</definedName>
    <definedName name="E_KEYWORD_ISSR_208002861_IND_SALES_ME" localSheetId="18">#REF!</definedName>
    <definedName name="E_KEYWORD_ISSR_208002861_IND_SALES_ME" localSheetId="19">#REF!</definedName>
    <definedName name="E_KEYWORD_ISSR_208002861_IND_SALES_ME">#REF!</definedName>
    <definedName name="E_KEYWORD_ISSR_208002861_IND_SALES_NIGERIA" localSheetId="17">#REF!</definedName>
    <definedName name="E_KEYWORD_ISSR_208002861_IND_SALES_NIGERIA" localSheetId="14">#REF!</definedName>
    <definedName name="E_KEYWORD_ISSR_208002861_IND_SALES_NIGERIA" localSheetId="18">#REF!</definedName>
    <definedName name="E_KEYWORD_ISSR_208002861_IND_SALES_NIGERIA" localSheetId="19">#REF!</definedName>
    <definedName name="E_KEYWORD_ISSR_208002861_IND_SALES_NIGERIA">#REF!</definedName>
    <definedName name="E_KEYWORD_ISSR_208002861_IND_SALES_OTH_AEJ" localSheetId="17">#REF!</definedName>
    <definedName name="E_KEYWORD_ISSR_208002861_IND_SALES_OTH_AEJ" localSheetId="14">#REF!</definedName>
    <definedName name="E_KEYWORD_ISSR_208002861_IND_SALES_OTH_AEJ" localSheetId="18">#REF!</definedName>
    <definedName name="E_KEYWORD_ISSR_208002861_IND_SALES_OTH_AEJ" localSheetId="19">#REF!</definedName>
    <definedName name="E_KEYWORD_ISSR_208002861_IND_SALES_OTH_AEJ">#REF!</definedName>
    <definedName name="E_KEYWORD_ISSR_208002861_IND_SALES_OTH_AFRICA" localSheetId="17">#REF!</definedName>
    <definedName name="E_KEYWORD_ISSR_208002861_IND_SALES_OTH_AFRICA" localSheetId="14">#REF!</definedName>
    <definedName name="E_KEYWORD_ISSR_208002861_IND_SALES_OTH_AFRICA" localSheetId="18">#REF!</definedName>
    <definedName name="E_KEYWORD_ISSR_208002861_IND_SALES_OTH_AFRICA" localSheetId="19">#REF!</definedName>
    <definedName name="E_KEYWORD_ISSR_208002861_IND_SALES_OTH_AFRICA">#REF!</definedName>
    <definedName name="E_KEYWORD_ISSR_208002861_IND_SALES_OTH_AM" localSheetId="17">#REF!</definedName>
    <definedName name="E_KEYWORD_ISSR_208002861_IND_SALES_OTH_AM" localSheetId="14">#REF!</definedName>
    <definedName name="E_KEYWORD_ISSR_208002861_IND_SALES_OTH_AM" localSheetId="18">#REF!</definedName>
    <definedName name="E_KEYWORD_ISSR_208002861_IND_SALES_OTH_AM" localSheetId="19">#REF!</definedName>
    <definedName name="E_KEYWORD_ISSR_208002861_IND_SALES_OTH_AM">#REF!</definedName>
    <definedName name="E_KEYWORD_ISSR_208002861_IND_SALES_OTH_EMEA" localSheetId="17">#REF!</definedName>
    <definedName name="E_KEYWORD_ISSR_208002861_IND_SALES_OTH_EMEA" localSheetId="14">#REF!</definedName>
    <definedName name="E_KEYWORD_ISSR_208002861_IND_SALES_OTH_EMEA" localSheetId="18">#REF!</definedName>
    <definedName name="E_KEYWORD_ISSR_208002861_IND_SALES_OTH_EMEA" localSheetId="19">#REF!</definedName>
    <definedName name="E_KEYWORD_ISSR_208002861_IND_SALES_OTH_EMEA">#REF!</definedName>
    <definedName name="E_KEYWORD_ISSR_208002861_IND_SALES_OTH_EU_EX_UK" localSheetId="17">#REF!</definedName>
    <definedName name="E_KEYWORD_ISSR_208002861_IND_SALES_OTH_EU_EX_UK" localSheetId="14">#REF!</definedName>
    <definedName name="E_KEYWORD_ISSR_208002861_IND_SALES_OTH_EU_EX_UK" localSheetId="18">#REF!</definedName>
    <definedName name="E_KEYWORD_ISSR_208002861_IND_SALES_OTH_EU_EX_UK" localSheetId="19">#REF!</definedName>
    <definedName name="E_KEYWORD_ISSR_208002861_IND_SALES_OTH_EU_EX_UK">#REF!</definedName>
    <definedName name="E_KEYWORD_ISSR_208002861_IND_SALES_OTHER" localSheetId="17">#REF!</definedName>
    <definedName name="E_KEYWORD_ISSR_208002861_IND_SALES_OTHER" localSheetId="14">#REF!</definedName>
    <definedName name="E_KEYWORD_ISSR_208002861_IND_SALES_OTHER" localSheetId="18">#REF!</definedName>
    <definedName name="E_KEYWORD_ISSR_208002861_IND_SALES_OTHER" localSheetId="19">#REF!</definedName>
    <definedName name="E_KEYWORD_ISSR_208002861_IND_SALES_OTHER">#REF!</definedName>
    <definedName name="E_KEYWORD_ISSR_208002861_IND_SALES_RUSSIA" localSheetId="17">#REF!</definedName>
    <definedName name="E_KEYWORD_ISSR_208002861_IND_SALES_RUSSIA" localSheetId="14">#REF!</definedName>
    <definedName name="E_KEYWORD_ISSR_208002861_IND_SALES_RUSSIA" localSheetId="18">#REF!</definedName>
    <definedName name="E_KEYWORD_ISSR_208002861_IND_SALES_RUSSIA" localSheetId="19">#REF!</definedName>
    <definedName name="E_KEYWORD_ISSR_208002861_IND_SALES_RUSSIA">#REF!</definedName>
    <definedName name="E_KEYWORD_ISSR_208002861_IND_SALES_SO_AFRICA" localSheetId="17">#REF!</definedName>
    <definedName name="E_KEYWORD_ISSR_208002861_IND_SALES_SO_AFRICA" localSheetId="14">#REF!</definedName>
    <definedName name="E_KEYWORD_ISSR_208002861_IND_SALES_SO_AFRICA" localSheetId="18">#REF!</definedName>
    <definedName name="E_KEYWORD_ISSR_208002861_IND_SALES_SO_AFRICA" localSheetId="19">#REF!</definedName>
    <definedName name="E_KEYWORD_ISSR_208002861_IND_SALES_SO_AFRICA">#REF!</definedName>
    <definedName name="E_KEYWORD_ISSR_208002861_IND_SALES_SPA" localSheetId="17">#REF!</definedName>
    <definedName name="E_KEYWORD_ISSR_208002861_IND_SALES_SPA" localSheetId="14">#REF!</definedName>
    <definedName name="E_KEYWORD_ISSR_208002861_IND_SALES_SPA" localSheetId="18">#REF!</definedName>
    <definedName name="E_KEYWORD_ISSR_208002861_IND_SALES_SPA" localSheetId="19">#REF!</definedName>
    <definedName name="E_KEYWORD_ISSR_208002861_IND_SALES_SPA">#REF!</definedName>
    <definedName name="E_KEYWORD_ISSR_208002861_IND_SALES_TOT_AFRICA" localSheetId="17">#REF!</definedName>
    <definedName name="E_KEYWORD_ISSR_208002861_IND_SALES_TOT_AFRICA" localSheetId="14">#REF!</definedName>
    <definedName name="E_KEYWORD_ISSR_208002861_IND_SALES_TOT_AFRICA" localSheetId="18">#REF!</definedName>
    <definedName name="E_KEYWORD_ISSR_208002861_IND_SALES_TOT_AFRICA" localSheetId="19">#REF!</definedName>
    <definedName name="E_KEYWORD_ISSR_208002861_IND_SALES_TOT_AFRICA">#REF!</definedName>
    <definedName name="E_KEYWORD_ISSR_208002861_IND_SALES_TOT_AM" localSheetId="17">#REF!</definedName>
    <definedName name="E_KEYWORD_ISSR_208002861_IND_SALES_TOT_AM" localSheetId="14">#REF!</definedName>
    <definedName name="E_KEYWORD_ISSR_208002861_IND_SALES_TOT_AM" localSheetId="18">#REF!</definedName>
    <definedName name="E_KEYWORD_ISSR_208002861_IND_SALES_TOT_AM" localSheetId="19">#REF!</definedName>
    <definedName name="E_KEYWORD_ISSR_208002861_IND_SALES_TOT_AM">#REF!</definedName>
    <definedName name="E_KEYWORD_ISSR_208002861_IND_SALES_TOT_ASIA" localSheetId="17">#REF!</definedName>
    <definedName name="E_KEYWORD_ISSR_208002861_IND_SALES_TOT_ASIA" localSheetId="14">#REF!</definedName>
    <definedName name="E_KEYWORD_ISSR_208002861_IND_SALES_TOT_ASIA" localSheetId="18">#REF!</definedName>
    <definedName name="E_KEYWORD_ISSR_208002861_IND_SALES_TOT_ASIA" localSheetId="19">#REF!</definedName>
    <definedName name="E_KEYWORD_ISSR_208002861_IND_SALES_TOT_ASIA">#REF!</definedName>
    <definedName name="E_KEYWORD_ISSR_208002861_IND_SALES_TOT_EMEA" localSheetId="17">#REF!</definedName>
    <definedName name="E_KEYWORD_ISSR_208002861_IND_SALES_TOT_EMEA" localSheetId="14">#REF!</definedName>
    <definedName name="E_KEYWORD_ISSR_208002861_IND_SALES_TOT_EMEA" localSheetId="18">#REF!</definedName>
    <definedName name="E_KEYWORD_ISSR_208002861_IND_SALES_TOT_EMEA" localSheetId="19">#REF!</definedName>
    <definedName name="E_KEYWORD_ISSR_208002861_IND_SALES_TOT_EMEA">#REF!</definedName>
    <definedName name="E_KEYWORD_ISSR_208002861_IND_SALES_UK" localSheetId="17">#REF!</definedName>
    <definedName name="E_KEYWORD_ISSR_208002861_IND_SALES_UK" localSheetId="14">#REF!</definedName>
    <definedName name="E_KEYWORD_ISSR_208002861_IND_SALES_UK" localSheetId="18">#REF!</definedName>
    <definedName name="E_KEYWORD_ISSR_208002861_IND_SALES_UK" localSheetId="19">#REF!</definedName>
    <definedName name="E_KEYWORD_ISSR_208002861_IND_SALES_UK">#REF!</definedName>
    <definedName name="E_KEYWORD_ISSR_208002861_IND_SALES_US" localSheetId="17">#REF!</definedName>
    <definedName name="E_KEYWORD_ISSR_208002861_IND_SALES_US" localSheetId="14">#REF!</definedName>
    <definedName name="E_KEYWORD_ISSR_208002861_IND_SALES_US" localSheetId="18">#REF!</definedName>
    <definedName name="E_KEYWORD_ISSR_208002861_IND_SALES_US" localSheetId="19">#REF!</definedName>
    <definedName name="E_KEYWORD_ISSR_208002861_IND_SALES_US">#REF!</definedName>
    <definedName name="E_KEYWORD_ISSR_208002861_INT_EXP_IND" localSheetId="17">#REF!</definedName>
    <definedName name="E_KEYWORD_ISSR_208002861_INT_EXP_IND" localSheetId="14">#REF!</definedName>
    <definedName name="E_KEYWORD_ISSR_208002861_INT_EXP_IND" localSheetId="18">#REF!</definedName>
    <definedName name="E_KEYWORD_ISSR_208002861_INT_EXP_IND" localSheetId="19">#REF!</definedName>
    <definedName name="E_KEYWORD_ISSR_208002861_INT_EXP_IND">#REF!</definedName>
    <definedName name="E_KEYWORD_ISSR_208002861_INT_INC_IND" localSheetId="17">#REF!</definedName>
    <definedName name="E_KEYWORD_ISSR_208002861_INT_INC_IND" localSheetId="14">#REF!</definedName>
    <definedName name="E_KEYWORD_ISSR_208002861_INT_INC_IND" localSheetId="18">#REF!</definedName>
    <definedName name="E_KEYWORD_ISSR_208002861_INT_INC_IND" localSheetId="19">#REF!</definedName>
    <definedName name="E_KEYWORD_ISSR_208002861_INT_INC_IND">#REF!</definedName>
    <definedName name="E_KEYWORD_ISSR_208002861_INV_SECUR" localSheetId="17">#REF!</definedName>
    <definedName name="E_KEYWORD_ISSR_208002861_INV_SECUR" localSheetId="14">#REF!</definedName>
    <definedName name="E_KEYWORD_ISSR_208002861_INV_SECUR" localSheetId="18">#REF!</definedName>
    <definedName name="E_KEYWORD_ISSR_208002861_INV_SECUR" localSheetId="19">#REF!</definedName>
    <definedName name="E_KEYWORD_ISSR_208002861_INV_SECUR">#REF!</definedName>
    <definedName name="E_KEYWORD_ISSR_208002861_Issuer_Name" localSheetId="17">#REF!</definedName>
    <definedName name="E_KEYWORD_ISSR_208002861_Issuer_Name" localSheetId="14">#REF!</definedName>
    <definedName name="E_KEYWORD_ISSR_208002861_Issuer_Name" localSheetId="18">#REF!</definedName>
    <definedName name="E_KEYWORD_ISSR_208002861_Issuer_Name" localSheetId="19">#REF!</definedName>
    <definedName name="E_KEYWORD_ISSR_208002861_Issuer_Name">#REF!</definedName>
    <definedName name="E_KEYWORD_ISSR_208002861_LEASE_DEEM_DEPR" localSheetId="17">#REF!</definedName>
    <definedName name="E_KEYWORD_ISSR_208002861_LEASE_DEEM_DEPR" localSheetId="14">#REF!</definedName>
    <definedName name="E_KEYWORD_ISSR_208002861_LEASE_DEEM_DEPR" localSheetId="18">#REF!</definedName>
    <definedName name="E_KEYWORD_ISSR_208002861_LEASE_DEEM_DEPR" localSheetId="19">#REF!</definedName>
    <definedName name="E_KEYWORD_ISSR_208002861_LEASE_DEEM_DEPR">#REF!</definedName>
    <definedName name="E_KEYWORD_ISSR_208002861_LEASE_DEEM_INT" localSheetId="17">#REF!</definedName>
    <definedName name="E_KEYWORD_ISSR_208002861_LEASE_DEEM_INT" localSheetId="14">#REF!</definedName>
    <definedName name="E_KEYWORD_ISSR_208002861_LEASE_DEEM_INT" localSheetId="18">#REF!</definedName>
    <definedName name="E_KEYWORD_ISSR_208002861_LEASE_DEEM_INT" localSheetId="19">#REF!</definedName>
    <definedName name="E_KEYWORD_ISSR_208002861_LEASE_DEEM_INT">#REF!</definedName>
    <definedName name="E_KEYWORD_ISSR_208002861_LEASE_PAY" localSheetId="17">#REF!</definedName>
    <definedName name="E_KEYWORD_ISSR_208002861_LEASE_PAY" localSheetId="14">#REF!</definedName>
    <definedName name="E_KEYWORD_ISSR_208002861_LEASE_PAY" localSheetId="18">#REF!</definedName>
    <definedName name="E_KEYWORD_ISSR_208002861_LEASE_PAY" localSheetId="19">#REF!</definedName>
    <definedName name="E_KEYWORD_ISSR_208002861_LEASE_PAY">#REF!</definedName>
    <definedName name="E_KEYWORD_ISSR_208002861_LT_DEBT" localSheetId="17">#REF!</definedName>
    <definedName name="E_KEYWORD_ISSR_208002861_LT_DEBT" localSheetId="14">#REF!</definedName>
    <definedName name="E_KEYWORD_ISSR_208002861_LT_DEBT" localSheetId="18">#REF!</definedName>
    <definedName name="E_KEYWORD_ISSR_208002861_LT_DEBT" localSheetId="19">#REF!</definedName>
    <definedName name="E_KEYWORD_ISSR_208002861_LT_DEBT">#REF!</definedName>
    <definedName name="E_KEYWORD_ISSR_208002861_MINORITIES" localSheetId="17">#REF!</definedName>
    <definedName name="E_KEYWORD_ISSR_208002861_MINORITIES" localSheetId="14">#REF!</definedName>
    <definedName name="E_KEYWORD_ISSR_208002861_MINORITIES" localSheetId="18">#REF!</definedName>
    <definedName name="E_KEYWORD_ISSR_208002861_MINORITIES" localSheetId="19">#REF!</definedName>
    <definedName name="E_KEYWORD_ISSR_208002861_MINORITIES">#REF!</definedName>
    <definedName name="E_KEYWORD_ISSR_208002861_MV_ASSOCIATES" localSheetId="17">#REF!</definedName>
    <definedName name="E_KEYWORD_ISSR_208002861_MV_ASSOCIATES" localSheetId="14">#REF!</definedName>
    <definedName name="E_KEYWORD_ISSR_208002861_MV_ASSOCIATES" localSheetId="18">#REF!</definedName>
    <definedName name="E_KEYWORD_ISSR_208002861_MV_ASSOCIATES" localSheetId="19">#REF!</definedName>
    <definedName name="E_KEYWORD_ISSR_208002861_MV_ASSOCIATES">#REF!</definedName>
    <definedName name="E_KEYWORD_ISSR_208002861_NET_DEBT" localSheetId="17">#REF!</definedName>
    <definedName name="E_KEYWORD_ISSR_208002861_NET_DEBT" localSheetId="14">#REF!</definedName>
    <definedName name="E_KEYWORD_ISSR_208002861_NET_DEBT" localSheetId="18">#REF!</definedName>
    <definedName name="E_KEYWORD_ISSR_208002861_NET_DEBT" localSheetId="19">#REF!</definedName>
    <definedName name="E_KEYWORD_ISSR_208002861_NET_DEBT">#REF!</definedName>
    <definedName name="E_KEYWORD_ISSR_208002861_NET_DEBT_ADJ" localSheetId="17">#REF!</definedName>
    <definedName name="E_KEYWORD_ISSR_208002861_NET_DEBT_ADJ" localSheetId="14">#REF!</definedName>
    <definedName name="E_KEYWORD_ISSR_208002861_NET_DEBT_ADJ" localSheetId="18">#REF!</definedName>
    <definedName name="E_KEYWORD_ISSR_208002861_NET_DEBT_ADJ" localSheetId="19">#REF!</definedName>
    <definedName name="E_KEYWORD_ISSR_208002861_NET_DEBT_ADJ">#REF!</definedName>
    <definedName name="E_KEYWORD_ISSR_208002861_NET_FIX_ASS" localSheetId="17">#REF!</definedName>
    <definedName name="E_KEYWORD_ISSR_208002861_NET_FIX_ASS" localSheetId="14">#REF!</definedName>
    <definedName name="E_KEYWORD_ISSR_208002861_NET_FIX_ASS" localSheetId="18">#REF!</definedName>
    <definedName name="E_KEYWORD_ISSR_208002861_NET_FIX_ASS" localSheetId="19">#REF!</definedName>
    <definedName name="E_KEYWORD_ISSR_208002861_NET_FIX_ASS">#REF!</definedName>
    <definedName name="E_KEYWORD_ISSR_208002861_NET_INT_CH" localSheetId="17">#REF!</definedName>
    <definedName name="E_KEYWORD_ISSR_208002861_NET_INT_CH" localSheetId="14">#REF!</definedName>
    <definedName name="E_KEYWORD_ISSR_208002861_NET_INT_CH" localSheetId="18">#REF!</definedName>
    <definedName name="E_KEYWORD_ISSR_208002861_NET_INT_CH" localSheetId="19">#REF!</definedName>
    <definedName name="E_KEYWORD_ISSR_208002861_NET_INT_CH">#REF!</definedName>
    <definedName name="E_KEYWORD_ISSR_208002861_NET_INT_EXP" localSheetId="17">#REF!</definedName>
    <definedName name="E_KEYWORD_ISSR_208002861_NET_INT_EXP" localSheetId="14">#REF!</definedName>
    <definedName name="E_KEYWORD_ISSR_208002861_NET_INT_EXP" localSheetId="18">#REF!</definedName>
    <definedName name="E_KEYWORD_ISSR_208002861_NET_INT_EXP" localSheetId="19">#REF!</definedName>
    <definedName name="E_KEYWORD_ISSR_208002861_NET_INT_EXP">#REF!</definedName>
    <definedName name="E_KEYWORD_ISSR_208002861_NET_INTANG" localSheetId="17">#REF!</definedName>
    <definedName name="E_KEYWORD_ISSR_208002861_NET_INTANG" localSheetId="14">#REF!</definedName>
    <definedName name="E_KEYWORD_ISSR_208002861_NET_INTANG" localSheetId="18">#REF!</definedName>
    <definedName name="E_KEYWORD_ISSR_208002861_NET_INTANG" localSheetId="19">#REF!</definedName>
    <definedName name="E_KEYWORD_ISSR_208002861_NET_INTANG">#REF!</definedName>
    <definedName name="E_KEYWORD_ISSR_208002861_NONPPE_CAPEX" localSheetId="17">#REF!</definedName>
    <definedName name="E_KEYWORD_ISSR_208002861_NONPPE_CAPEX" localSheetId="14">#REF!</definedName>
    <definedName name="E_KEYWORD_ISSR_208002861_NONPPE_CAPEX" localSheetId="18">#REF!</definedName>
    <definedName name="E_KEYWORD_ISSR_208002861_NONPPE_CAPEX" localSheetId="19">#REF!</definedName>
    <definedName name="E_KEYWORD_ISSR_208002861_NONPPE_CAPEX">#REF!</definedName>
    <definedName name="E_KEYWORD_ISSR_208002861_OP_COST" localSheetId="17">#REF!</definedName>
    <definedName name="E_KEYWORD_ISSR_208002861_OP_COST" localSheetId="14">#REF!</definedName>
    <definedName name="E_KEYWORD_ISSR_208002861_OP_COST" localSheetId="18">#REF!</definedName>
    <definedName name="E_KEYWORD_ISSR_208002861_OP_COST" localSheetId="19">#REF!</definedName>
    <definedName name="E_KEYWORD_ISSR_208002861_OP_COST">#REF!</definedName>
    <definedName name="E_KEYWORD_ISSR_208002861_ORD_SH_FUND" localSheetId="17">#REF!</definedName>
    <definedName name="E_KEYWORD_ISSR_208002861_ORD_SH_FUND" localSheetId="14">#REF!</definedName>
    <definedName name="E_KEYWORD_ISSR_208002861_ORD_SH_FUND" localSheetId="18">#REF!</definedName>
    <definedName name="E_KEYWORD_ISSR_208002861_ORD_SH_FUND" localSheetId="19">#REF!</definedName>
    <definedName name="E_KEYWORD_ISSR_208002861_ORD_SH_FUND">#REF!</definedName>
    <definedName name="E_KEYWORD_ISSR_208002861_ORG_REV" localSheetId="17">#REF!</definedName>
    <definedName name="E_KEYWORD_ISSR_208002861_ORG_REV" localSheetId="14">#REF!</definedName>
    <definedName name="E_KEYWORD_ISSR_208002861_ORG_REV" localSheetId="18">#REF!</definedName>
    <definedName name="E_KEYWORD_ISSR_208002861_ORG_REV" localSheetId="19">#REF!</definedName>
    <definedName name="E_KEYWORD_ISSR_208002861_ORG_REV">#REF!</definedName>
    <definedName name="E_KEYWORD_ISSR_208002861_ORG_REV_GRTH" localSheetId="17">#REF!</definedName>
    <definedName name="E_KEYWORD_ISSR_208002861_ORG_REV_GRTH" localSheetId="14">#REF!</definedName>
    <definedName name="E_KEYWORD_ISSR_208002861_ORG_REV_GRTH" localSheetId="18">#REF!</definedName>
    <definedName name="E_KEYWORD_ISSR_208002861_ORG_REV_GRTH" localSheetId="19">#REF!</definedName>
    <definedName name="E_KEYWORD_ISSR_208002861_ORG_REV_GRTH">#REF!</definedName>
    <definedName name="E_KEYWORD_ISSR_208002861_OTH_COST_INC" localSheetId="17">#REF!</definedName>
    <definedName name="E_KEYWORD_ISSR_208002861_OTH_COST_INC" localSheetId="14">#REF!</definedName>
    <definedName name="E_KEYWORD_ISSR_208002861_OTH_COST_INC" localSheetId="18">#REF!</definedName>
    <definedName name="E_KEYWORD_ISSR_208002861_OTH_COST_INC" localSheetId="19">#REF!</definedName>
    <definedName name="E_KEYWORD_ISSR_208002861_OTH_COST_INC">#REF!</definedName>
    <definedName name="E_KEYWORD_ISSR_208002861_OTH_CUR_ASS" localSheetId="17">#REF!</definedName>
    <definedName name="E_KEYWORD_ISSR_208002861_OTH_CUR_ASS" localSheetId="14">#REF!</definedName>
    <definedName name="E_KEYWORD_ISSR_208002861_OTH_CUR_ASS" localSheetId="18">#REF!</definedName>
    <definedName name="E_KEYWORD_ISSR_208002861_OTH_CUR_ASS" localSheetId="19">#REF!</definedName>
    <definedName name="E_KEYWORD_ISSR_208002861_OTH_CUR_ASS">#REF!</definedName>
    <definedName name="E_KEYWORD_ISSR_208002861_OTH_CUR_LIABS" localSheetId="17">#REF!</definedName>
    <definedName name="E_KEYWORD_ISSR_208002861_OTH_CUR_LIABS" localSheetId="14">#REF!</definedName>
    <definedName name="E_KEYWORD_ISSR_208002861_OTH_CUR_LIABS" localSheetId="18">#REF!</definedName>
    <definedName name="E_KEYWORD_ISSR_208002861_OTH_CUR_LIABS" localSheetId="19">#REF!</definedName>
    <definedName name="E_KEYWORD_ISSR_208002861_OTH_CUR_LIABS">#REF!</definedName>
    <definedName name="E_KEYWORD_ISSR_208002861_OTH_DACF_ADJ" localSheetId="17">#REF!</definedName>
    <definedName name="E_KEYWORD_ISSR_208002861_OTH_DACF_ADJ" localSheetId="14">#REF!</definedName>
    <definedName name="E_KEYWORD_ISSR_208002861_OTH_DACF_ADJ" localSheetId="18">#REF!</definedName>
    <definedName name="E_KEYWORD_ISSR_208002861_OTH_DACF_ADJ" localSheetId="19">#REF!</definedName>
    <definedName name="E_KEYWORD_ISSR_208002861_OTH_DACF_ADJ">#REF!</definedName>
    <definedName name="E_KEYWORD_ISSR_208002861_OTH_FIN_CF" localSheetId="17">#REF!</definedName>
    <definedName name="E_KEYWORD_ISSR_208002861_OTH_FIN_CF" localSheetId="14">#REF!</definedName>
    <definedName name="E_KEYWORD_ISSR_208002861_OTH_FIN_CF" localSheetId="18">#REF!</definedName>
    <definedName name="E_KEYWORD_ISSR_208002861_OTH_FIN_CF" localSheetId="19">#REF!</definedName>
    <definedName name="E_KEYWORD_ISSR_208002861_OTH_FIN_CF">#REF!</definedName>
    <definedName name="E_KEYWORD_ISSR_208002861_OTH_GCI_ADJ" localSheetId="17">#REF!</definedName>
    <definedName name="E_KEYWORD_ISSR_208002861_OTH_GCI_ADJ" localSheetId="14">#REF!</definedName>
    <definedName name="E_KEYWORD_ISSR_208002861_OTH_GCI_ADJ" localSheetId="18">#REF!</definedName>
    <definedName name="E_KEYWORD_ISSR_208002861_OTH_GCI_ADJ" localSheetId="19">#REF!</definedName>
    <definedName name="E_KEYWORD_ISSR_208002861_OTH_GCI_ADJ">#REF!</definedName>
    <definedName name="E_KEYWORD_ISSR_208002861_OTH_INT_AMORT" localSheetId="17">#REF!</definedName>
    <definedName name="E_KEYWORD_ISSR_208002861_OTH_INT_AMORT" localSheetId="14">#REF!</definedName>
    <definedName name="E_KEYWORD_ISSR_208002861_OTH_INT_AMORT" localSheetId="18">#REF!</definedName>
    <definedName name="E_KEYWORD_ISSR_208002861_OTH_INT_AMORT" localSheetId="19">#REF!</definedName>
    <definedName name="E_KEYWORD_ISSR_208002861_OTH_INT_AMORT">#REF!</definedName>
    <definedName name="E_KEYWORD_ISSR_208002861_OTH_INV_CF" localSheetId="17">#REF!</definedName>
    <definedName name="E_KEYWORD_ISSR_208002861_OTH_INV_CF" localSheetId="14">#REF!</definedName>
    <definedName name="E_KEYWORD_ISSR_208002861_OTH_INV_CF" localSheetId="18">#REF!</definedName>
    <definedName name="E_KEYWORD_ISSR_208002861_OTH_INV_CF" localSheetId="19">#REF!</definedName>
    <definedName name="E_KEYWORD_ISSR_208002861_OTH_INV_CF">#REF!</definedName>
    <definedName name="E_KEYWORD_ISSR_208002861_OTH_ITEM_NCF" localSheetId="17">#REF!</definedName>
    <definedName name="E_KEYWORD_ISSR_208002861_OTH_ITEM_NCF" localSheetId="14">#REF!</definedName>
    <definedName name="E_KEYWORD_ISSR_208002861_OTH_ITEM_NCF" localSheetId="18">#REF!</definedName>
    <definedName name="E_KEYWORD_ISSR_208002861_OTH_ITEM_NCF" localSheetId="19">#REF!</definedName>
    <definedName name="E_KEYWORD_ISSR_208002861_OTH_ITEM_NCF">#REF!</definedName>
    <definedName name="E_KEYWORD_ISSR_208002861_OTH_LT_ASS" localSheetId="17">#REF!</definedName>
    <definedName name="E_KEYWORD_ISSR_208002861_OTH_LT_ASS" localSheetId="14">#REF!</definedName>
    <definedName name="E_KEYWORD_ISSR_208002861_OTH_LT_ASS" localSheetId="18">#REF!</definedName>
    <definedName name="E_KEYWORD_ISSR_208002861_OTH_LT_ASS" localSheetId="19">#REF!</definedName>
    <definedName name="E_KEYWORD_ISSR_208002861_OTH_LT_ASS">#REF!</definedName>
    <definedName name="E_KEYWORD_ISSR_208002861_OTH_LT_CRED_GQ" localSheetId="17">#REF!</definedName>
    <definedName name="E_KEYWORD_ISSR_208002861_OTH_LT_CRED_GQ" localSheetId="14">#REF!</definedName>
    <definedName name="E_KEYWORD_ISSR_208002861_OTH_LT_CRED_GQ" localSheetId="18">#REF!</definedName>
    <definedName name="E_KEYWORD_ISSR_208002861_OTH_LT_CRED_GQ" localSheetId="19">#REF!</definedName>
    <definedName name="E_KEYWORD_ISSR_208002861_OTH_LT_CRED_GQ">#REF!</definedName>
    <definedName name="E_KEYWORD_ISSR_208002861_OTH_NONCASH_ADJ" localSheetId="17">#REF!</definedName>
    <definedName name="E_KEYWORD_ISSR_208002861_OTH_NONCASH_ADJ" localSheetId="14">#REF!</definedName>
    <definedName name="E_KEYWORD_ISSR_208002861_OTH_NONCASH_ADJ" localSheetId="18">#REF!</definedName>
    <definedName name="E_KEYWORD_ISSR_208002861_OTH_NONCASH_ADJ" localSheetId="19">#REF!</definedName>
    <definedName name="E_KEYWORD_ISSR_208002861_OTH_NONCASH_ADJ">#REF!</definedName>
    <definedName name="E_KEYWORD_ISSR_208002861_OTH_OP_CF" localSheetId="17">#REF!</definedName>
    <definedName name="E_KEYWORD_ISSR_208002861_OTH_OP_CF" localSheetId="14">#REF!</definedName>
    <definedName name="E_KEYWORD_ISSR_208002861_OTH_OP_CF" localSheetId="18">#REF!</definedName>
    <definedName name="E_KEYWORD_ISSR_208002861_OTH_OP_CF" localSheetId="19">#REF!</definedName>
    <definedName name="E_KEYWORD_ISSR_208002861_OTH_OP_CF">#REF!</definedName>
    <definedName name="E_KEYWORD_ISSR_208002861_OTH_OP_INC_EXP" localSheetId="17">#REF!</definedName>
    <definedName name="E_KEYWORD_ISSR_208002861_OTH_OP_INC_EXP" localSheetId="14">#REF!</definedName>
    <definedName name="E_KEYWORD_ISSR_208002861_OTH_OP_INC_EXP" localSheetId="18">#REF!</definedName>
    <definedName name="E_KEYWORD_ISSR_208002861_OTH_OP_INC_EXP" localSheetId="19">#REF!</definedName>
    <definedName name="E_KEYWORD_ISSR_208002861_OTH_OP_INC_EXP">#REF!</definedName>
    <definedName name="E_KEYWORD_ISSR_208002861_PERIOD_MILESTONE" localSheetId="17">#REF!</definedName>
    <definedName name="E_KEYWORD_ISSR_208002861_PERIOD_MILESTONE" localSheetId="14">#REF!</definedName>
    <definedName name="E_KEYWORD_ISSR_208002861_PERIOD_MILESTONE" localSheetId="18">#REF!</definedName>
    <definedName name="E_KEYWORD_ISSR_208002861_PERIOD_MILESTONE" localSheetId="19">#REF!</definedName>
    <definedName name="E_KEYWORD_ISSR_208002861_PERIOD_MILESTONE">#REF!</definedName>
    <definedName name="E_KEYWORD_ISSR_208002861_PL_SALE_ASSETS" localSheetId="17">#REF!</definedName>
    <definedName name="E_KEYWORD_ISSR_208002861_PL_SALE_ASSETS" localSheetId="14">#REF!</definedName>
    <definedName name="E_KEYWORD_ISSR_208002861_PL_SALE_ASSETS" localSheetId="18">#REF!</definedName>
    <definedName name="E_KEYWORD_ISSR_208002861_PL_SALE_ASSETS" localSheetId="19">#REF!</definedName>
    <definedName name="E_KEYWORD_ISSR_208002861_PL_SALE_ASSETS">#REF!</definedName>
    <definedName name="E_KEYWORD_ISSR_208002861_PREF_SH" localSheetId="17">#REF!</definedName>
    <definedName name="E_KEYWORD_ISSR_208002861_PREF_SH" localSheetId="14">#REF!</definedName>
    <definedName name="E_KEYWORD_ISSR_208002861_PREF_SH" localSheetId="18">#REF!</definedName>
    <definedName name="E_KEYWORD_ISSR_208002861_PREF_SH" localSheetId="19">#REF!</definedName>
    <definedName name="E_KEYWORD_ISSR_208002861_PREF_SH">#REF!</definedName>
    <definedName name="E_KEYWORD_ISSR_208002861_PROFIT_ON_DISP" localSheetId="17">#REF!</definedName>
    <definedName name="E_KEYWORD_ISSR_208002861_PROFIT_ON_DISP" localSheetId="14">#REF!</definedName>
    <definedName name="E_KEYWORD_ISSR_208002861_PROFIT_ON_DISP" localSheetId="18">#REF!</definedName>
    <definedName name="E_KEYWORD_ISSR_208002861_PROFIT_ON_DISP" localSheetId="19">#REF!</definedName>
    <definedName name="E_KEYWORD_ISSR_208002861_PROFIT_ON_DISP">#REF!</definedName>
    <definedName name="E_KEYWORD_ISSR_208002861_PT_PROF" localSheetId="17">#REF!</definedName>
    <definedName name="E_KEYWORD_ISSR_208002861_PT_PROF" localSheetId="14">#REF!</definedName>
    <definedName name="E_KEYWORD_ISSR_208002861_PT_PROF" localSheetId="18">#REF!</definedName>
    <definedName name="E_KEYWORD_ISSR_208002861_PT_PROF" localSheetId="19">#REF!</definedName>
    <definedName name="E_KEYWORD_ISSR_208002861_PT_PROF">#REF!</definedName>
    <definedName name="E_KEYWORD_ISSR_208002861_RD_EXP" localSheetId="17">#REF!</definedName>
    <definedName name="E_KEYWORD_ISSR_208002861_RD_EXP" localSheetId="14">#REF!</definedName>
    <definedName name="E_KEYWORD_ISSR_208002861_RD_EXP" localSheetId="18">#REF!</definedName>
    <definedName name="E_KEYWORD_ISSR_208002861_RD_EXP" localSheetId="19">#REF!</definedName>
    <definedName name="E_KEYWORD_ISSR_208002861_RD_EXP">#REF!</definedName>
    <definedName name="E_KEYWORD_ISSR_208002861_SALES" localSheetId="17">#REF!</definedName>
    <definedName name="E_KEYWORD_ISSR_208002861_SALES" localSheetId="14">#REF!</definedName>
    <definedName name="E_KEYWORD_ISSR_208002861_SALES" localSheetId="18">#REF!</definedName>
    <definedName name="E_KEYWORD_ISSR_208002861_SALES" localSheetId="19">#REF!</definedName>
    <definedName name="E_KEYWORD_ISSR_208002861_SALES">#REF!</definedName>
    <definedName name="E_KEYWORD_ISSR_208002861_SALES_BRAZIL" localSheetId="17">#REF!</definedName>
    <definedName name="E_KEYWORD_ISSR_208002861_SALES_BRAZIL" localSheetId="14">#REF!</definedName>
    <definedName name="E_KEYWORD_ISSR_208002861_SALES_BRAZIL" localSheetId="18">#REF!</definedName>
    <definedName name="E_KEYWORD_ISSR_208002861_SALES_BRAZIL" localSheetId="19">#REF!</definedName>
    <definedName name="E_KEYWORD_ISSR_208002861_SALES_BRAZIL">#REF!</definedName>
    <definedName name="E_KEYWORD_ISSR_208002861_SALES_CEE" localSheetId="17">#REF!</definedName>
    <definedName name="E_KEYWORD_ISSR_208002861_SALES_CEE" localSheetId="14">#REF!</definedName>
    <definedName name="E_KEYWORD_ISSR_208002861_SALES_CEE" localSheetId="18">#REF!</definedName>
    <definedName name="E_KEYWORD_ISSR_208002861_SALES_CEE" localSheetId="19">#REF!</definedName>
    <definedName name="E_KEYWORD_ISSR_208002861_SALES_CEE">#REF!</definedName>
    <definedName name="E_KEYWORD_ISSR_208002861_SALES_CHINA" localSheetId="17">#REF!</definedName>
    <definedName name="E_KEYWORD_ISSR_208002861_SALES_CHINA" localSheetId="14">#REF!</definedName>
    <definedName name="E_KEYWORD_ISSR_208002861_SALES_CHINA" localSheetId="18">#REF!</definedName>
    <definedName name="E_KEYWORD_ISSR_208002861_SALES_CHINA" localSheetId="19">#REF!</definedName>
    <definedName name="E_KEYWORD_ISSR_208002861_SALES_CHINA">#REF!</definedName>
    <definedName name="E_KEYWORD_ISSR_208002861_SALES_CONS" localSheetId="17">#REF!</definedName>
    <definedName name="E_KEYWORD_ISSR_208002861_SALES_CONS" localSheetId="14">#REF!</definedName>
    <definedName name="E_KEYWORD_ISSR_208002861_SALES_CONS" localSheetId="18">#REF!</definedName>
    <definedName name="E_KEYWORD_ISSR_208002861_SALES_CONS" localSheetId="19">#REF!</definedName>
    <definedName name="E_KEYWORD_ISSR_208002861_SALES_CONS">#REF!</definedName>
    <definedName name="E_KEYWORD_ISSR_208002861_SALES_EU_EX_UK" localSheetId="17">#REF!</definedName>
    <definedName name="E_KEYWORD_ISSR_208002861_SALES_EU_EX_UK" localSheetId="14">#REF!</definedName>
    <definedName name="E_KEYWORD_ISSR_208002861_SALES_EU_EX_UK" localSheetId="18">#REF!</definedName>
    <definedName name="E_KEYWORD_ISSR_208002861_SALES_EU_EX_UK" localSheetId="19">#REF!</definedName>
    <definedName name="E_KEYWORD_ISSR_208002861_SALES_EU_EX_UK">#REF!</definedName>
    <definedName name="E_KEYWORD_ISSR_208002861_SALES_FINAN" localSheetId="17">#REF!</definedName>
    <definedName name="E_KEYWORD_ISSR_208002861_SALES_FINAN" localSheetId="14">#REF!</definedName>
    <definedName name="E_KEYWORD_ISSR_208002861_SALES_FINAN" localSheetId="18">#REF!</definedName>
    <definedName name="E_KEYWORD_ISSR_208002861_SALES_FINAN" localSheetId="19">#REF!</definedName>
    <definedName name="E_KEYWORD_ISSR_208002861_SALES_FINAN">#REF!</definedName>
    <definedName name="E_KEYWORD_ISSR_208002861_SALES_FRA" localSheetId="17">#REF!</definedName>
    <definedName name="E_KEYWORD_ISSR_208002861_SALES_FRA" localSheetId="14">#REF!</definedName>
    <definedName name="E_KEYWORD_ISSR_208002861_SALES_FRA" localSheetId="18">#REF!</definedName>
    <definedName name="E_KEYWORD_ISSR_208002861_SALES_FRA" localSheetId="19">#REF!</definedName>
    <definedName name="E_KEYWORD_ISSR_208002861_SALES_FRA">#REF!</definedName>
    <definedName name="E_KEYWORD_ISSR_208002861_SALES_FX_AED" localSheetId="17">#REF!</definedName>
    <definedName name="E_KEYWORD_ISSR_208002861_SALES_FX_AED" localSheetId="14">#REF!</definedName>
    <definedName name="E_KEYWORD_ISSR_208002861_SALES_FX_AED" localSheetId="18">#REF!</definedName>
    <definedName name="E_KEYWORD_ISSR_208002861_SALES_FX_AED" localSheetId="19">#REF!</definedName>
    <definedName name="E_KEYWORD_ISSR_208002861_SALES_FX_AED">#REF!</definedName>
    <definedName name="E_KEYWORD_ISSR_208002861_SALES_FX_BRL" localSheetId="17">#REF!</definedName>
    <definedName name="E_KEYWORD_ISSR_208002861_SALES_FX_BRL" localSheetId="14">#REF!</definedName>
    <definedName name="E_KEYWORD_ISSR_208002861_SALES_FX_BRL" localSheetId="18">#REF!</definedName>
    <definedName name="E_KEYWORD_ISSR_208002861_SALES_FX_BRL" localSheetId="19">#REF!</definedName>
    <definedName name="E_KEYWORD_ISSR_208002861_SALES_FX_BRL">#REF!</definedName>
    <definedName name="E_KEYWORD_ISSR_208002861_SALES_FX_CHF" localSheetId="17">#REF!</definedName>
    <definedName name="E_KEYWORD_ISSR_208002861_SALES_FX_CHF" localSheetId="14">#REF!</definedName>
    <definedName name="E_KEYWORD_ISSR_208002861_SALES_FX_CHF" localSheetId="18">#REF!</definedName>
    <definedName name="E_KEYWORD_ISSR_208002861_SALES_FX_CHF" localSheetId="19">#REF!</definedName>
    <definedName name="E_KEYWORD_ISSR_208002861_SALES_FX_CHF">#REF!</definedName>
    <definedName name="E_KEYWORD_ISSR_208002861_SALES_FX_CNY" localSheetId="17">#REF!</definedName>
    <definedName name="E_KEYWORD_ISSR_208002861_SALES_FX_CNY" localSheetId="14">#REF!</definedName>
    <definedName name="E_KEYWORD_ISSR_208002861_SALES_FX_CNY" localSheetId="18">#REF!</definedName>
    <definedName name="E_KEYWORD_ISSR_208002861_SALES_FX_CNY" localSheetId="19">#REF!</definedName>
    <definedName name="E_KEYWORD_ISSR_208002861_SALES_FX_CNY">#REF!</definedName>
    <definedName name="E_KEYWORD_ISSR_208002861_SALES_FX_EUR" localSheetId="17">#REF!</definedName>
    <definedName name="E_KEYWORD_ISSR_208002861_SALES_FX_EUR" localSheetId="14">#REF!</definedName>
    <definedName name="E_KEYWORD_ISSR_208002861_SALES_FX_EUR" localSheetId="18">#REF!</definedName>
    <definedName name="E_KEYWORD_ISSR_208002861_SALES_FX_EUR" localSheetId="19">#REF!</definedName>
    <definedName name="E_KEYWORD_ISSR_208002861_SALES_FX_EUR">#REF!</definedName>
    <definedName name="E_KEYWORD_ISSR_208002861_SALES_FX_GPB" localSheetId="17">#REF!</definedName>
    <definedName name="E_KEYWORD_ISSR_208002861_SALES_FX_GPB" localSheetId="14">#REF!</definedName>
    <definedName name="E_KEYWORD_ISSR_208002861_SALES_FX_GPB" localSheetId="18">#REF!</definedName>
    <definedName name="E_KEYWORD_ISSR_208002861_SALES_FX_GPB" localSheetId="19">#REF!</definedName>
    <definedName name="E_KEYWORD_ISSR_208002861_SALES_FX_GPB">#REF!</definedName>
    <definedName name="E_KEYWORD_ISSR_208002861_SALES_FX_INR" localSheetId="17">#REF!</definedName>
    <definedName name="E_KEYWORD_ISSR_208002861_SALES_FX_INR" localSheetId="14">#REF!</definedName>
    <definedName name="E_KEYWORD_ISSR_208002861_SALES_FX_INR" localSheetId="18">#REF!</definedName>
    <definedName name="E_KEYWORD_ISSR_208002861_SALES_FX_INR" localSheetId="19">#REF!</definedName>
    <definedName name="E_KEYWORD_ISSR_208002861_SALES_FX_INR">#REF!</definedName>
    <definedName name="E_KEYWORD_ISSR_208002861_SALES_FX_NGN" localSheetId="17">#REF!</definedName>
    <definedName name="E_KEYWORD_ISSR_208002861_SALES_FX_NGN" localSheetId="14">#REF!</definedName>
    <definedName name="E_KEYWORD_ISSR_208002861_SALES_FX_NGN" localSheetId="18">#REF!</definedName>
    <definedName name="E_KEYWORD_ISSR_208002861_SALES_FX_NGN" localSheetId="19">#REF!</definedName>
    <definedName name="E_KEYWORD_ISSR_208002861_SALES_FX_NGN">#REF!</definedName>
    <definedName name="E_KEYWORD_ISSR_208002861_SALES_FX_OTH" localSheetId="17">#REF!</definedName>
    <definedName name="E_KEYWORD_ISSR_208002861_SALES_FX_OTH" localSheetId="14">#REF!</definedName>
    <definedName name="E_KEYWORD_ISSR_208002861_SALES_FX_OTH" localSheetId="18">#REF!</definedName>
    <definedName name="E_KEYWORD_ISSR_208002861_SALES_FX_OTH" localSheetId="19">#REF!</definedName>
    <definedName name="E_KEYWORD_ISSR_208002861_SALES_FX_OTH">#REF!</definedName>
    <definedName name="E_KEYWORD_ISSR_208002861_SALES_FX_RUB" localSheetId="17">#REF!</definedName>
    <definedName name="E_KEYWORD_ISSR_208002861_SALES_FX_RUB" localSheetId="14">#REF!</definedName>
    <definedName name="E_KEYWORD_ISSR_208002861_SALES_FX_RUB" localSheetId="18">#REF!</definedName>
    <definedName name="E_KEYWORD_ISSR_208002861_SALES_FX_RUB" localSheetId="19">#REF!</definedName>
    <definedName name="E_KEYWORD_ISSR_208002861_SALES_FX_RUB">#REF!</definedName>
    <definedName name="E_KEYWORD_ISSR_208002861_SALES_FX_TRY" localSheetId="17">#REF!</definedName>
    <definedName name="E_KEYWORD_ISSR_208002861_SALES_FX_TRY" localSheetId="14">#REF!</definedName>
    <definedName name="E_KEYWORD_ISSR_208002861_SALES_FX_TRY" localSheetId="18">#REF!</definedName>
    <definedName name="E_KEYWORD_ISSR_208002861_SALES_FX_TRY" localSheetId="19">#REF!</definedName>
    <definedName name="E_KEYWORD_ISSR_208002861_SALES_FX_TRY">#REF!</definedName>
    <definedName name="E_KEYWORD_ISSR_208002861_SALES_FX_USD" localSheetId="17">#REF!</definedName>
    <definedName name="E_KEYWORD_ISSR_208002861_SALES_FX_USD" localSheetId="14">#REF!</definedName>
    <definedName name="E_KEYWORD_ISSR_208002861_SALES_FX_USD" localSheetId="18">#REF!</definedName>
    <definedName name="E_KEYWORD_ISSR_208002861_SALES_FX_USD" localSheetId="19">#REF!</definedName>
    <definedName name="E_KEYWORD_ISSR_208002861_SALES_FX_USD">#REF!</definedName>
    <definedName name="E_KEYWORD_ISSR_208002861_SALES_FX_YEN" localSheetId="17">#REF!</definedName>
    <definedName name="E_KEYWORD_ISSR_208002861_SALES_FX_YEN" localSheetId="14">#REF!</definedName>
    <definedName name="E_KEYWORD_ISSR_208002861_SALES_FX_YEN" localSheetId="18">#REF!</definedName>
    <definedName name="E_KEYWORD_ISSR_208002861_SALES_FX_YEN" localSheetId="19">#REF!</definedName>
    <definedName name="E_KEYWORD_ISSR_208002861_SALES_FX_YEN">#REF!</definedName>
    <definedName name="E_KEYWORD_ISSR_208002861_SALES_FX_ZAR" localSheetId="17">#REF!</definedName>
    <definedName name="E_KEYWORD_ISSR_208002861_SALES_FX_ZAR" localSheetId="14">#REF!</definedName>
    <definedName name="E_KEYWORD_ISSR_208002861_SALES_FX_ZAR" localSheetId="18">#REF!</definedName>
    <definedName name="E_KEYWORD_ISSR_208002861_SALES_FX_ZAR" localSheetId="19">#REF!</definedName>
    <definedName name="E_KEYWORD_ISSR_208002861_SALES_FX_ZAR">#REF!</definedName>
    <definedName name="E_KEYWORD_ISSR_208002861_SALES_GER" localSheetId="17">#REF!</definedName>
    <definedName name="E_KEYWORD_ISSR_208002861_SALES_GER" localSheetId="14">#REF!</definedName>
    <definedName name="E_KEYWORD_ISSR_208002861_SALES_GER" localSheetId="18">#REF!</definedName>
    <definedName name="E_KEYWORD_ISSR_208002861_SALES_GER" localSheetId="19">#REF!</definedName>
    <definedName name="E_KEYWORD_ISSR_208002861_SALES_GER">#REF!</definedName>
    <definedName name="E_KEYWORD_ISSR_208002861_SALES_GOV" localSheetId="17">#REF!</definedName>
    <definedName name="E_KEYWORD_ISSR_208002861_SALES_GOV" localSheetId="14">#REF!</definedName>
    <definedName name="E_KEYWORD_ISSR_208002861_SALES_GOV" localSheetId="18">#REF!</definedName>
    <definedName name="E_KEYWORD_ISSR_208002861_SALES_GOV" localSheetId="19">#REF!</definedName>
    <definedName name="E_KEYWORD_ISSR_208002861_SALES_GOV">#REF!</definedName>
    <definedName name="E_KEYWORD_ISSR_208002861_SALES_IND" localSheetId="17">#REF!</definedName>
    <definedName name="E_KEYWORD_ISSR_208002861_SALES_IND" localSheetId="14">#REF!</definedName>
    <definedName name="E_KEYWORD_ISSR_208002861_SALES_IND" localSheetId="18">#REF!</definedName>
    <definedName name="E_KEYWORD_ISSR_208002861_SALES_IND" localSheetId="19">#REF!</definedName>
    <definedName name="E_KEYWORD_ISSR_208002861_SALES_IND">#REF!</definedName>
    <definedName name="E_KEYWORD_ISSR_208002861_SALES_INDIA" localSheetId="17">#REF!</definedName>
    <definedName name="E_KEYWORD_ISSR_208002861_SALES_INDIA" localSheetId="14">#REF!</definedName>
    <definedName name="E_KEYWORD_ISSR_208002861_SALES_INDIA" localSheetId="18">#REF!</definedName>
    <definedName name="E_KEYWORD_ISSR_208002861_SALES_INDIA" localSheetId="19">#REF!</definedName>
    <definedName name="E_KEYWORD_ISSR_208002861_SALES_INDIA">#REF!</definedName>
    <definedName name="E_KEYWORD_ISSR_208002861_SALES_ITA" localSheetId="17">#REF!</definedName>
    <definedName name="E_KEYWORD_ISSR_208002861_SALES_ITA" localSheetId="14">#REF!</definedName>
    <definedName name="E_KEYWORD_ISSR_208002861_SALES_ITA" localSheetId="18">#REF!</definedName>
    <definedName name="E_KEYWORD_ISSR_208002861_SALES_ITA" localSheetId="19">#REF!</definedName>
    <definedName name="E_KEYWORD_ISSR_208002861_SALES_ITA">#REF!</definedName>
    <definedName name="E_KEYWORD_ISSR_208002861_SALES_JAPAN" localSheetId="17">#REF!</definedName>
    <definedName name="E_KEYWORD_ISSR_208002861_SALES_JAPAN" localSheetId="14">#REF!</definedName>
    <definedName name="E_KEYWORD_ISSR_208002861_SALES_JAPAN" localSheetId="18">#REF!</definedName>
    <definedName name="E_KEYWORD_ISSR_208002861_SALES_JAPAN" localSheetId="19">#REF!</definedName>
    <definedName name="E_KEYWORD_ISSR_208002861_SALES_JAPAN">#REF!</definedName>
    <definedName name="E_KEYWORD_ISSR_208002861_SALES_ME" localSheetId="17">#REF!</definedName>
    <definedName name="E_KEYWORD_ISSR_208002861_SALES_ME" localSheetId="14">#REF!</definedName>
    <definedName name="E_KEYWORD_ISSR_208002861_SALES_ME" localSheetId="18">#REF!</definedName>
    <definedName name="E_KEYWORD_ISSR_208002861_SALES_ME" localSheetId="19">#REF!</definedName>
    <definedName name="E_KEYWORD_ISSR_208002861_SALES_ME">#REF!</definedName>
    <definedName name="E_KEYWORD_ISSR_208002861_SALES_NIGERIA" localSheetId="17">#REF!</definedName>
    <definedName name="E_KEYWORD_ISSR_208002861_SALES_NIGERIA" localSheetId="14">#REF!</definedName>
    <definedName name="E_KEYWORD_ISSR_208002861_SALES_NIGERIA" localSheetId="18">#REF!</definedName>
    <definedName name="E_KEYWORD_ISSR_208002861_SALES_NIGERIA" localSheetId="19">#REF!</definedName>
    <definedName name="E_KEYWORD_ISSR_208002861_SALES_NIGERIA">#REF!</definedName>
    <definedName name="E_KEYWORD_ISSR_208002861_SALES_OTH_AEJ" localSheetId="17">#REF!</definedName>
    <definedName name="E_KEYWORD_ISSR_208002861_SALES_OTH_AEJ" localSheetId="14">#REF!</definedName>
    <definedName name="E_KEYWORD_ISSR_208002861_SALES_OTH_AEJ" localSheetId="18">#REF!</definedName>
    <definedName name="E_KEYWORD_ISSR_208002861_SALES_OTH_AEJ" localSheetId="19">#REF!</definedName>
    <definedName name="E_KEYWORD_ISSR_208002861_SALES_OTH_AEJ">#REF!</definedName>
    <definedName name="E_KEYWORD_ISSR_208002861_SALES_OTH_AFRICA" localSheetId="17">#REF!</definedName>
    <definedName name="E_KEYWORD_ISSR_208002861_SALES_OTH_AFRICA" localSheetId="14">#REF!</definedName>
    <definedName name="E_KEYWORD_ISSR_208002861_SALES_OTH_AFRICA" localSheetId="18">#REF!</definedName>
    <definedName name="E_KEYWORD_ISSR_208002861_SALES_OTH_AFRICA" localSheetId="19">#REF!</definedName>
    <definedName name="E_KEYWORD_ISSR_208002861_SALES_OTH_AFRICA">#REF!</definedName>
    <definedName name="E_KEYWORD_ISSR_208002861_SALES_OTH_AM" localSheetId="17">#REF!</definedName>
    <definedName name="E_KEYWORD_ISSR_208002861_SALES_OTH_AM" localSheetId="14">#REF!</definedName>
    <definedName name="E_KEYWORD_ISSR_208002861_SALES_OTH_AM" localSheetId="18">#REF!</definedName>
    <definedName name="E_KEYWORD_ISSR_208002861_SALES_OTH_AM" localSheetId="19">#REF!</definedName>
    <definedName name="E_KEYWORD_ISSR_208002861_SALES_OTH_AM">#REF!</definedName>
    <definedName name="E_KEYWORD_ISSR_208002861_SALES_OTH_COMMODITY" localSheetId="17">#REF!</definedName>
    <definedName name="E_KEYWORD_ISSR_208002861_SALES_OTH_COMMODITY" localSheetId="14">#REF!</definedName>
    <definedName name="E_KEYWORD_ISSR_208002861_SALES_OTH_COMMODITY" localSheetId="18">#REF!</definedName>
    <definedName name="E_KEYWORD_ISSR_208002861_SALES_OTH_COMMODITY" localSheetId="19">#REF!</definedName>
    <definedName name="E_KEYWORD_ISSR_208002861_SALES_OTH_COMMODITY">#REF!</definedName>
    <definedName name="E_KEYWORD_ISSR_208002861_SALES_OTH_EMEA" localSheetId="17">#REF!</definedName>
    <definedName name="E_KEYWORD_ISSR_208002861_SALES_OTH_EMEA" localSheetId="14">#REF!</definedName>
    <definedName name="E_KEYWORD_ISSR_208002861_SALES_OTH_EMEA" localSheetId="18">#REF!</definedName>
    <definedName name="E_KEYWORD_ISSR_208002861_SALES_OTH_EMEA" localSheetId="19">#REF!</definedName>
    <definedName name="E_KEYWORD_ISSR_208002861_SALES_OTH_EMEA">#REF!</definedName>
    <definedName name="E_KEYWORD_ISSR_208002861_SALES_OTH_EU_EX_UK" localSheetId="17">#REF!</definedName>
    <definedName name="E_KEYWORD_ISSR_208002861_SALES_OTH_EU_EX_UK" localSheetId="14">#REF!</definedName>
    <definedName name="E_KEYWORD_ISSR_208002861_SALES_OTH_EU_EX_UK" localSheetId="18">#REF!</definedName>
    <definedName name="E_KEYWORD_ISSR_208002861_SALES_OTH_EU_EX_UK" localSheetId="19">#REF!</definedName>
    <definedName name="E_KEYWORD_ISSR_208002861_SALES_OTH_EU_EX_UK">#REF!</definedName>
    <definedName name="E_KEYWORD_ISSR_208002861_SALES_OTH_SALES_SOURCES" localSheetId="17">#REF!</definedName>
    <definedName name="E_KEYWORD_ISSR_208002861_SALES_OTH_SALES_SOURCES" localSheetId="14">#REF!</definedName>
    <definedName name="E_KEYWORD_ISSR_208002861_SALES_OTH_SALES_SOURCES" localSheetId="18">#REF!</definedName>
    <definedName name="E_KEYWORD_ISSR_208002861_SALES_OTH_SALES_SOURCES" localSheetId="19">#REF!</definedName>
    <definedName name="E_KEYWORD_ISSR_208002861_SALES_OTH_SALES_SOURCES">#REF!</definedName>
    <definedName name="E_KEYWORD_ISSR_208002861_SALES_OTHER" localSheetId="17">#REF!</definedName>
    <definedName name="E_KEYWORD_ISSR_208002861_SALES_OTHER" localSheetId="14">#REF!</definedName>
    <definedName name="E_KEYWORD_ISSR_208002861_SALES_OTHER" localSheetId="18">#REF!</definedName>
    <definedName name="E_KEYWORD_ISSR_208002861_SALES_OTHER" localSheetId="19">#REF!</definedName>
    <definedName name="E_KEYWORD_ISSR_208002861_SALES_OTHER">#REF!</definedName>
    <definedName name="E_KEYWORD_ISSR_208002861_SALES_RUSSIA" localSheetId="17">#REF!</definedName>
    <definedName name="E_KEYWORD_ISSR_208002861_SALES_RUSSIA" localSheetId="14">#REF!</definedName>
    <definedName name="E_KEYWORD_ISSR_208002861_SALES_RUSSIA" localSheetId="18">#REF!</definedName>
    <definedName name="E_KEYWORD_ISSR_208002861_SALES_RUSSIA" localSheetId="19">#REF!</definedName>
    <definedName name="E_KEYWORD_ISSR_208002861_SALES_RUSSIA">#REF!</definedName>
    <definedName name="E_KEYWORD_ISSR_208002861_SALES_SO_AFRICA" localSheetId="17">#REF!</definedName>
    <definedName name="E_KEYWORD_ISSR_208002861_SALES_SO_AFRICA" localSheetId="14">#REF!</definedName>
    <definedName name="E_KEYWORD_ISSR_208002861_SALES_SO_AFRICA" localSheetId="18">#REF!</definedName>
    <definedName name="E_KEYWORD_ISSR_208002861_SALES_SO_AFRICA" localSheetId="19">#REF!</definedName>
    <definedName name="E_KEYWORD_ISSR_208002861_SALES_SO_AFRICA">#REF!</definedName>
    <definedName name="E_KEYWORD_ISSR_208002861_SALES_SPA" localSheetId="17">#REF!</definedName>
    <definedName name="E_KEYWORD_ISSR_208002861_SALES_SPA" localSheetId="14">#REF!</definedName>
    <definedName name="E_KEYWORD_ISSR_208002861_SALES_SPA" localSheetId="18">#REF!</definedName>
    <definedName name="E_KEYWORD_ISSR_208002861_SALES_SPA" localSheetId="19">#REF!</definedName>
    <definedName name="E_KEYWORD_ISSR_208002861_SALES_SPA">#REF!</definedName>
    <definedName name="E_KEYWORD_ISSR_208002861_SALES_TOT_AFRICA" localSheetId="17">#REF!</definedName>
    <definedName name="E_KEYWORD_ISSR_208002861_SALES_TOT_AFRICA" localSheetId="14">#REF!</definedName>
    <definedName name="E_KEYWORD_ISSR_208002861_SALES_TOT_AFRICA" localSheetId="18">#REF!</definedName>
    <definedName name="E_KEYWORD_ISSR_208002861_SALES_TOT_AFRICA" localSheetId="19">#REF!</definedName>
    <definedName name="E_KEYWORD_ISSR_208002861_SALES_TOT_AFRICA">#REF!</definedName>
    <definedName name="E_KEYWORD_ISSR_208002861_SALES_TOT_AM" localSheetId="17">#REF!</definedName>
    <definedName name="E_KEYWORD_ISSR_208002861_SALES_TOT_AM" localSheetId="14">#REF!</definedName>
    <definedName name="E_KEYWORD_ISSR_208002861_SALES_TOT_AM" localSheetId="18">#REF!</definedName>
    <definedName name="E_KEYWORD_ISSR_208002861_SALES_TOT_AM" localSheetId="19">#REF!</definedName>
    <definedName name="E_KEYWORD_ISSR_208002861_SALES_TOT_AM">#REF!</definedName>
    <definedName name="E_KEYWORD_ISSR_208002861_SALES_TOT_ASIA" localSheetId="17">#REF!</definedName>
    <definedName name="E_KEYWORD_ISSR_208002861_SALES_TOT_ASIA" localSheetId="14">#REF!</definedName>
    <definedName name="E_KEYWORD_ISSR_208002861_SALES_TOT_ASIA" localSheetId="18">#REF!</definedName>
    <definedName name="E_KEYWORD_ISSR_208002861_SALES_TOT_ASIA" localSheetId="19">#REF!</definedName>
    <definedName name="E_KEYWORD_ISSR_208002861_SALES_TOT_ASIA">#REF!</definedName>
    <definedName name="E_KEYWORD_ISSR_208002861_SALES_TOT_EMEA" localSheetId="17">#REF!</definedName>
    <definedName name="E_KEYWORD_ISSR_208002861_SALES_TOT_EMEA" localSheetId="14">#REF!</definedName>
    <definedName name="E_KEYWORD_ISSR_208002861_SALES_TOT_EMEA" localSheetId="18">#REF!</definedName>
    <definedName name="E_KEYWORD_ISSR_208002861_SALES_TOT_EMEA" localSheetId="19">#REF!</definedName>
    <definedName name="E_KEYWORD_ISSR_208002861_SALES_TOT_EMEA">#REF!</definedName>
    <definedName name="E_KEYWORD_ISSR_208002861_SALES_UK" localSheetId="17">#REF!</definedName>
    <definedName name="E_KEYWORD_ISSR_208002861_SALES_UK" localSheetId="14">#REF!</definedName>
    <definedName name="E_KEYWORD_ISSR_208002861_SALES_UK" localSheetId="18">#REF!</definedName>
    <definedName name="E_KEYWORD_ISSR_208002861_SALES_UK" localSheetId="19">#REF!</definedName>
    <definedName name="E_KEYWORD_ISSR_208002861_SALES_UK">#REF!</definedName>
    <definedName name="E_KEYWORD_ISSR_208002861_SALES_US" localSheetId="17">#REF!</definedName>
    <definedName name="E_KEYWORD_ISSR_208002861_SALES_US" localSheetId="14">#REF!</definedName>
    <definedName name="E_KEYWORD_ISSR_208002861_SALES_US" localSheetId="18">#REF!</definedName>
    <definedName name="E_KEYWORD_ISSR_208002861_SALES_US" localSheetId="19">#REF!</definedName>
    <definedName name="E_KEYWORD_ISSR_208002861_SALES_US">#REF!</definedName>
    <definedName name="E_KEYWORD_ISSR_208002861_SEL_GL_AD" localSheetId="17">#REF!</definedName>
    <definedName name="E_KEYWORD_ISSR_208002861_SEL_GL_AD" localSheetId="14">#REF!</definedName>
    <definedName name="E_KEYWORD_ISSR_208002861_SEL_GL_AD" localSheetId="18">#REF!</definedName>
    <definedName name="E_KEYWORD_ISSR_208002861_SEL_GL_AD" localSheetId="19">#REF!</definedName>
    <definedName name="E_KEYWORD_ISSR_208002861_SEL_GL_AD">#REF!</definedName>
    <definedName name="E_KEYWORD_ISSR_208002861_SH_REPUR" localSheetId="17">#REF!</definedName>
    <definedName name="E_KEYWORD_ISSR_208002861_SH_REPUR" localSheetId="14">#REF!</definedName>
    <definedName name="E_KEYWORD_ISSR_208002861_SH_REPUR" localSheetId="18">#REF!</definedName>
    <definedName name="E_KEYWORD_ISSR_208002861_SH_REPUR" localSheetId="19">#REF!</definedName>
    <definedName name="E_KEYWORD_ISSR_208002861_SH_REPUR">#REF!</definedName>
    <definedName name="E_KEYWORD_ISSR_208002861_SHORT_T_DEBT" localSheetId="17">#REF!</definedName>
    <definedName name="E_KEYWORD_ISSR_208002861_SHORT_T_DEBT" localSheetId="14">#REF!</definedName>
    <definedName name="E_KEYWORD_ISSR_208002861_SHORT_T_DEBT" localSheetId="18">#REF!</definedName>
    <definedName name="E_KEYWORD_ISSR_208002861_SHORT_T_DEBT" localSheetId="19">#REF!</definedName>
    <definedName name="E_KEYWORD_ISSR_208002861_SHORT_T_DEBT">#REF!</definedName>
    <definedName name="E_KEYWORD_ISSR_208002861_SHORT_TERM_LIABS" localSheetId="17">#REF!</definedName>
    <definedName name="E_KEYWORD_ISSR_208002861_SHORT_TERM_LIABS" localSheetId="14">#REF!</definedName>
    <definedName name="E_KEYWORD_ISSR_208002861_SHORT_TERM_LIABS" localSheetId="18">#REF!</definedName>
    <definedName name="E_KEYWORD_ISSR_208002861_SHORT_TERM_LIABS" localSheetId="19">#REF!</definedName>
    <definedName name="E_KEYWORD_ISSR_208002861_SHORT_TERM_LIABS">#REF!</definedName>
    <definedName name="E_KEYWORD_ISSR_208002861_STOCKS" localSheetId="17">#REF!</definedName>
    <definedName name="E_KEYWORD_ISSR_208002861_STOCKS" localSheetId="14">#REF!</definedName>
    <definedName name="E_KEYWORD_ISSR_208002861_STOCKS" localSheetId="18">#REF!</definedName>
    <definedName name="E_KEYWORD_ISSR_208002861_STOCKS" localSheetId="19">#REF!</definedName>
    <definedName name="E_KEYWORD_ISSR_208002861_STOCKS">#REF!</definedName>
    <definedName name="E_KEYWORD_ISSR_208002861_TOT_ASSET" localSheetId="17">#REF!</definedName>
    <definedName name="E_KEYWORD_ISSR_208002861_TOT_ASSET" localSheetId="14">#REF!</definedName>
    <definedName name="E_KEYWORD_ISSR_208002861_TOT_ASSET" localSheetId="18">#REF!</definedName>
    <definedName name="E_KEYWORD_ISSR_208002861_TOT_ASSET" localSheetId="19">#REF!</definedName>
    <definedName name="E_KEYWORD_ISSR_208002861_TOT_ASSET">#REF!</definedName>
    <definedName name="E_KEYWORD_ISSR_208002861_TOT_CF" localSheetId="17">#REF!</definedName>
    <definedName name="E_KEYWORD_ISSR_208002861_TOT_CF" localSheetId="14">#REF!</definedName>
    <definedName name="E_KEYWORD_ISSR_208002861_TOT_CF" localSheetId="18">#REF!</definedName>
    <definedName name="E_KEYWORD_ISSR_208002861_TOT_CF" localSheetId="19">#REF!</definedName>
    <definedName name="E_KEYWORD_ISSR_208002861_TOT_CF">#REF!</definedName>
    <definedName name="E_KEYWORD_ISSR_208002861_TOT_LIAB" localSheetId="17">#REF!</definedName>
    <definedName name="E_KEYWORD_ISSR_208002861_TOT_LIAB" localSheetId="14">#REF!</definedName>
    <definedName name="E_KEYWORD_ISSR_208002861_TOT_LIAB" localSheetId="18">#REF!</definedName>
    <definedName name="E_KEYWORD_ISSR_208002861_TOT_LIAB" localSheetId="19">#REF!</definedName>
    <definedName name="E_KEYWORD_ISSR_208002861_TOT_LIAB">#REF!</definedName>
    <definedName name="E_KEYWORD_ISSR_208002861_TOT_LIAB_EQ" localSheetId="17">#REF!</definedName>
    <definedName name="E_KEYWORD_ISSR_208002861_TOT_LIAB_EQ" localSheetId="14">#REF!</definedName>
    <definedName name="E_KEYWORD_ISSR_208002861_TOT_LIAB_EQ" localSheetId="18">#REF!</definedName>
    <definedName name="E_KEYWORD_ISSR_208002861_TOT_LIAB_EQ" localSheetId="19">#REF!</definedName>
    <definedName name="E_KEYWORD_ISSR_208002861_TOT_LIAB_EQ">#REF!</definedName>
    <definedName name="E_KEYWORD_ISSR_208002861_TOT_LT_LIAB" localSheetId="17">#REF!</definedName>
    <definedName name="E_KEYWORD_ISSR_208002861_TOT_LT_LIAB" localSheetId="14">#REF!</definedName>
    <definedName name="E_KEYWORD_ISSR_208002861_TOT_LT_LIAB" localSheetId="18">#REF!</definedName>
    <definedName name="E_KEYWORD_ISSR_208002861_TOT_LT_LIAB" localSheetId="19">#REF!</definedName>
    <definedName name="E_KEYWORD_ISSR_208002861_TOT_LT_LIAB">#REF!</definedName>
    <definedName name="E_KEYWORD_ISSR_208002861_TOT_OPS_EXP" localSheetId="17">#REF!</definedName>
    <definedName name="E_KEYWORD_ISSR_208002861_TOT_OPS_EXP" localSheetId="14">#REF!</definedName>
    <definedName name="E_KEYWORD_ISSR_208002861_TOT_OPS_EXP" localSheetId="18">#REF!</definedName>
    <definedName name="E_KEYWORD_ISSR_208002861_TOT_OPS_EXP" localSheetId="19">#REF!</definedName>
    <definedName name="E_KEYWORD_ISSR_208002861_TOT_OPS_EXP">#REF!</definedName>
    <definedName name="E_KEYWORD_ISSR_208002861_TOT_OPS_EXP_DDA" localSheetId="17">#REF!</definedName>
    <definedName name="E_KEYWORD_ISSR_208002861_TOT_OPS_EXP_DDA" localSheetId="14">#REF!</definedName>
    <definedName name="E_KEYWORD_ISSR_208002861_TOT_OPS_EXP_DDA" localSheetId="18">#REF!</definedName>
    <definedName name="E_KEYWORD_ISSR_208002861_TOT_OPS_EXP_DDA" localSheetId="19">#REF!</definedName>
    <definedName name="E_KEYWORD_ISSR_208002861_TOT_OPS_EXP_DDA">#REF!</definedName>
    <definedName name="E_KEYWORD_ISSR_208002861_UNF_PENS" localSheetId="17">#REF!</definedName>
    <definedName name="E_KEYWORD_ISSR_208002861_UNF_PENS" localSheetId="14">#REF!</definedName>
    <definedName name="E_KEYWORD_ISSR_208002861_UNF_PENS" localSheetId="18">#REF!</definedName>
    <definedName name="E_KEYWORD_ISSR_208002861_UNF_PENS" localSheetId="19">#REF!</definedName>
    <definedName name="E_KEYWORD_ISSR_208002861_UNF_PENS">#REF!</definedName>
    <definedName name="E_KEYWORD_ISSR_208002861_UNF_PENS_LIAB_OTH" localSheetId="17">#REF!</definedName>
    <definedName name="E_KEYWORD_ISSR_208002861_UNF_PENS_LIAB_OTH" localSheetId="14">#REF!</definedName>
    <definedName name="E_KEYWORD_ISSR_208002861_UNF_PENS_LIAB_OTH" localSheetId="18">#REF!</definedName>
    <definedName name="E_KEYWORD_ISSR_208002861_UNF_PENS_LIAB_OTH" localSheetId="19">#REF!</definedName>
    <definedName name="E_KEYWORD_ISSR_208002861_UNF_PENS_LIAB_OTH">#REF!</definedName>
    <definedName name="E_KEYWORD_ISSR_208002861_UNF_PENS_OFF" localSheetId="17">#REF!</definedName>
    <definedName name="E_KEYWORD_ISSR_208002861_UNF_PENS_OFF" localSheetId="14">#REF!</definedName>
    <definedName name="E_KEYWORD_ISSR_208002861_UNF_PENS_OFF" localSheetId="18">#REF!</definedName>
    <definedName name="E_KEYWORD_ISSR_208002861_UNF_PENS_OFF" localSheetId="19">#REF!</definedName>
    <definedName name="E_KEYWORD_ISSR_208002861_UNF_PENS_OFF">#REF!</definedName>
    <definedName name="E_KEYWORD_ISSR_208002861_WORK_CAP" localSheetId="17">#REF!</definedName>
    <definedName name="E_KEYWORD_ISSR_208002861_WORK_CAP" localSheetId="14">#REF!</definedName>
    <definedName name="E_KEYWORD_ISSR_208002861_WORK_CAP" localSheetId="18">#REF!</definedName>
    <definedName name="E_KEYWORD_ISSR_208002861_WORK_CAP" localSheetId="19">#REF!</definedName>
    <definedName name="E_KEYWORD_ISSR_208002861_WORK_CAP">#REF!</definedName>
    <definedName name="E_LIVEDATA_EQTY_200007513" localSheetId="17">#REF!</definedName>
    <definedName name="E_LIVEDATA_EQTY_200007513" localSheetId="14">#REF!</definedName>
    <definedName name="E_LIVEDATA_EQTY_200007513" localSheetId="18">#REF!</definedName>
    <definedName name="E_LIVEDATA_EQTY_200007513" localSheetId="19">#REF!</definedName>
    <definedName name="E_LIVEDATA_EQTY_200007513">#REF!</definedName>
    <definedName name="E_LIVEDATA_ISSR_208002861" localSheetId="17">#REF!</definedName>
    <definedName name="E_LIVEDATA_ISSR_208002861" localSheetId="14">#REF!</definedName>
    <definedName name="E_LIVEDATA_ISSR_208002861" localSheetId="18">#REF!</definedName>
    <definedName name="E_LIVEDATA_ISSR_208002861" localSheetId="19">#REF!</definedName>
    <definedName name="E_LIVEDATA_ISSR_208002861">#REF!</definedName>
    <definedName name="E_PERIOD_2002" localSheetId="14">#REF!</definedName>
    <definedName name="E_PERIOD_2003" localSheetId="14">#REF!</definedName>
    <definedName name="E_PERIOD_2004" localSheetId="14">#REF!</definedName>
    <definedName name="E_PERIOD_2005" localSheetId="14">#REF!</definedName>
    <definedName name="E_PERIOD_2006_Q1" localSheetId="17">#REF!</definedName>
    <definedName name="E_PERIOD_2006_Q1" localSheetId="14">#REF!</definedName>
    <definedName name="E_PERIOD_2006_Q1" localSheetId="18">#REF!</definedName>
    <definedName name="E_PERIOD_2006_Q1" localSheetId="19">#REF!</definedName>
    <definedName name="E_PERIOD_2006_Q1">#REF!</definedName>
    <definedName name="E_PERIOD_2006_Q2" localSheetId="17">#REF!</definedName>
    <definedName name="E_PERIOD_2006_Q2" localSheetId="14">#REF!</definedName>
    <definedName name="E_PERIOD_2006_Q2" localSheetId="18">#REF!</definedName>
    <definedName name="E_PERIOD_2006_Q2" localSheetId="19">#REF!</definedName>
    <definedName name="E_PERIOD_2006_Q2">#REF!</definedName>
    <definedName name="E_PERIOD_2006_Q3" localSheetId="17">#REF!</definedName>
    <definedName name="E_PERIOD_2006_Q3" localSheetId="14">#REF!</definedName>
    <definedName name="E_PERIOD_2006_Q3" localSheetId="18">#REF!</definedName>
    <definedName name="E_PERIOD_2006_Q3" localSheetId="19">#REF!</definedName>
    <definedName name="E_PERIOD_2006_Q3">#REF!</definedName>
    <definedName name="E_PERIOD_2006_Q4" localSheetId="17">#REF!</definedName>
    <definedName name="E_PERIOD_2006_Q4" localSheetId="14">#REF!</definedName>
    <definedName name="E_PERIOD_2006_Q4" localSheetId="18">#REF!</definedName>
    <definedName name="E_PERIOD_2006_Q4" localSheetId="19">#REF!</definedName>
    <definedName name="E_PERIOD_2006_Q4">#REF!</definedName>
    <definedName name="E_PERIOD_2007_Q1" localSheetId="17">#REF!</definedName>
    <definedName name="E_PERIOD_2007_Q1" localSheetId="14">#REF!</definedName>
    <definedName name="E_PERIOD_2007_Q1" localSheetId="18">#REF!</definedName>
    <definedName name="E_PERIOD_2007_Q1" localSheetId="19">#REF!</definedName>
    <definedName name="E_PERIOD_2007_Q1">#REF!</definedName>
    <definedName name="E_PERIOD_2007_Q2" localSheetId="17">#REF!</definedName>
    <definedName name="E_PERIOD_2007_Q2" localSheetId="14">#REF!</definedName>
    <definedName name="E_PERIOD_2007_Q2" localSheetId="18">#REF!</definedName>
    <definedName name="E_PERIOD_2007_Q2" localSheetId="19">#REF!</definedName>
    <definedName name="E_PERIOD_2007_Q2">#REF!</definedName>
    <definedName name="E_PERIOD_2007_Q3" localSheetId="17">#REF!</definedName>
    <definedName name="E_PERIOD_2007_Q3" localSheetId="14">#REF!</definedName>
    <definedName name="E_PERIOD_2007_Q3" localSheetId="18">#REF!</definedName>
    <definedName name="E_PERIOD_2007_Q3" localSheetId="19">#REF!</definedName>
    <definedName name="E_PERIOD_2007_Q3">#REF!</definedName>
    <definedName name="E_PERIOD_2007_Q4" localSheetId="17">#REF!</definedName>
    <definedName name="E_PERIOD_2007_Q4" localSheetId="14">#REF!</definedName>
    <definedName name="E_PERIOD_2007_Q4" localSheetId="18">#REF!</definedName>
    <definedName name="E_PERIOD_2007_Q4" localSheetId="19">#REF!</definedName>
    <definedName name="E_PERIOD_2007_Q4">#REF!</definedName>
    <definedName name="E_PERIOD_2008_Q1" localSheetId="17">#REF!</definedName>
    <definedName name="E_PERIOD_2008_Q1" localSheetId="14">#REF!</definedName>
    <definedName name="E_PERIOD_2008_Q1" localSheetId="18">#REF!</definedName>
    <definedName name="E_PERIOD_2008_Q1" localSheetId="19">#REF!</definedName>
    <definedName name="E_PERIOD_2008_Q1">#REF!</definedName>
    <definedName name="E_PERIOD_2008_Q2" localSheetId="17">#REF!</definedName>
    <definedName name="E_PERIOD_2008_Q2" localSheetId="14">#REF!</definedName>
    <definedName name="E_PERIOD_2008_Q2" localSheetId="18">#REF!</definedName>
    <definedName name="E_PERIOD_2008_Q2" localSheetId="19">#REF!</definedName>
    <definedName name="E_PERIOD_2008_Q2">#REF!</definedName>
    <definedName name="E_PERIOD_2008_Q3" localSheetId="17">#REF!</definedName>
    <definedName name="E_PERIOD_2008_Q3" localSheetId="14">#REF!</definedName>
    <definedName name="E_PERIOD_2008_Q3" localSheetId="18">#REF!</definedName>
    <definedName name="E_PERIOD_2008_Q3" localSheetId="19">#REF!</definedName>
    <definedName name="E_PERIOD_2008_Q3">#REF!</definedName>
    <definedName name="E_PERIOD_2008_Q4" localSheetId="17">#REF!</definedName>
    <definedName name="E_PERIOD_2008_Q4" localSheetId="14">#REF!</definedName>
    <definedName name="E_PERIOD_2008_Q4" localSheetId="18">#REF!</definedName>
    <definedName name="E_PERIOD_2008_Q4" localSheetId="19">#REF!</definedName>
    <definedName name="E_PERIOD_2008_Q4">#REF!</definedName>
    <definedName name="E_PERIOD_2009_Q1" localSheetId="17">#REF!</definedName>
    <definedName name="E_PERIOD_2009_Q1" localSheetId="14">#REF!</definedName>
    <definedName name="E_PERIOD_2009_Q1" localSheetId="18">#REF!</definedName>
    <definedName name="E_PERIOD_2009_Q1" localSheetId="19">#REF!</definedName>
    <definedName name="E_PERIOD_2009_Q1">#REF!</definedName>
    <definedName name="E_PERIOD_2009_Q2" localSheetId="17">#REF!</definedName>
    <definedName name="E_PERIOD_2009_Q2" localSheetId="14">#REF!</definedName>
    <definedName name="E_PERIOD_2009_Q2" localSheetId="18">#REF!</definedName>
    <definedName name="E_PERIOD_2009_Q2" localSheetId="19">#REF!</definedName>
    <definedName name="E_PERIOD_2009_Q2">#REF!</definedName>
    <definedName name="E_PERIOD_2009_Q3" localSheetId="17">#REF!</definedName>
    <definedName name="E_PERIOD_2009_Q3" localSheetId="14">#REF!</definedName>
    <definedName name="E_PERIOD_2009_Q3" localSheetId="18">#REF!</definedName>
    <definedName name="E_PERIOD_2009_Q3" localSheetId="19">#REF!</definedName>
    <definedName name="E_PERIOD_2009_Q3">#REF!</definedName>
    <definedName name="E_PERIOD_2009_Q4" localSheetId="17">#REF!</definedName>
    <definedName name="E_PERIOD_2009_Q4" localSheetId="14">#REF!</definedName>
    <definedName name="E_PERIOD_2009_Q4" localSheetId="18">#REF!</definedName>
    <definedName name="E_PERIOD_2009_Q4" localSheetId="19">#REF!</definedName>
    <definedName name="E_PERIOD_2009_Q4">#REF!</definedName>
    <definedName name="E_PERIOD_2010_Q1" localSheetId="17">#REF!</definedName>
    <definedName name="E_PERIOD_2010_Q1" localSheetId="14">#REF!</definedName>
    <definedName name="E_PERIOD_2010_Q1" localSheetId="18">#REF!</definedName>
    <definedName name="E_PERIOD_2010_Q1" localSheetId="19">#REF!</definedName>
    <definedName name="E_PERIOD_2010_Q1">#REF!</definedName>
    <definedName name="E_PERIOD_2010_Q2" localSheetId="17">#REF!</definedName>
    <definedName name="E_PERIOD_2010_Q2" localSheetId="14">#REF!</definedName>
    <definedName name="E_PERIOD_2010_Q2" localSheetId="18">#REF!</definedName>
    <definedName name="E_PERIOD_2010_Q2" localSheetId="19">#REF!</definedName>
    <definedName name="E_PERIOD_2010_Q2">#REF!</definedName>
    <definedName name="E_PERIOD_2010_Q3" localSheetId="17">#REF!</definedName>
    <definedName name="E_PERIOD_2010_Q3" localSheetId="14">#REF!</definedName>
    <definedName name="E_PERIOD_2010_Q3" localSheetId="18">#REF!</definedName>
    <definedName name="E_PERIOD_2010_Q3" localSheetId="19">#REF!</definedName>
    <definedName name="E_PERIOD_2010_Q3">#REF!</definedName>
    <definedName name="E_PERIOD_2010_Q4" localSheetId="17">#REF!</definedName>
    <definedName name="E_PERIOD_2010_Q4" localSheetId="14">#REF!</definedName>
    <definedName name="E_PERIOD_2010_Q4" localSheetId="18">#REF!</definedName>
    <definedName name="E_PERIOD_2010_Q4" localSheetId="19">#REF!</definedName>
    <definedName name="E_PERIOD_2010_Q4">#REF!</definedName>
    <definedName name="E_PERIOD_2011_Q1" localSheetId="17">#REF!</definedName>
    <definedName name="E_PERIOD_2011_Q1" localSheetId="14">#REF!</definedName>
    <definedName name="E_PERIOD_2011_Q1" localSheetId="18">#REF!</definedName>
    <definedName name="E_PERIOD_2011_Q1" localSheetId="19">#REF!</definedName>
    <definedName name="E_PERIOD_2011_Q1">#REF!</definedName>
    <definedName name="E_PERIOD_2011_Q2" localSheetId="17">#REF!</definedName>
    <definedName name="E_PERIOD_2011_Q2" localSheetId="14">#REF!</definedName>
    <definedName name="E_PERIOD_2011_Q2" localSheetId="18">#REF!</definedName>
    <definedName name="E_PERIOD_2011_Q2" localSheetId="19">#REF!</definedName>
    <definedName name="E_PERIOD_2011_Q2">#REF!</definedName>
    <definedName name="E_PERIOD_2011_Q3" localSheetId="17">#REF!</definedName>
    <definedName name="E_PERIOD_2011_Q3" localSheetId="14">#REF!</definedName>
    <definedName name="E_PERIOD_2011_Q3" localSheetId="18">#REF!</definedName>
    <definedName name="E_PERIOD_2011_Q3" localSheetId="19">#REF!</definedName>
    <definedName name="E_PERIOD_2011_Q3">#REF!</definedName>
    <definedName name="E_PERIOD_2011_Q4" localSheetId="17">#REF!</definedName>
    <definedName name="E_PERIOD_2011_Q4" localSheetId="14">#REF!</definedName>
    <definedName name="E_PERIOD_2011_Q4" localSheetId="18">#REF!</definedName>
    <definedName name="E_PERIOD_2011_Q4" localSheetId="19">#REF!</definedName>
    <definedName name="E_PERIOD_2011_Q4">#REF!</definedName>
    <definedName name="E_PERIOD_2012_Q1" localSheetId="17">#REF!</definedName>
    <definedName name="E_PERIOD_2012_Q1" localSheetId="14">#REF!</definedName>
    <definedName name="E_PERIOD_2012_Q1" localSheetId="18">#REF!</definedName>
    <definedName name="E_PERIOD_2012_Q1" localSheetId="19">#REF!</definedName>
    <definedName name="E_PERIOD_2012_Q1">#REF!</definedName>
    <definedName name="E_PERIOD_2012_Q2" localSheetId="17">#REF!</definedName>
    <definedName name="E_PERIOD_2012_Q2" localSheetId="14">#REF!</definedName>
    <definedName name="E_PERIOD_2012_Q2" localSheetId="18">#REF!</definedName>
    <definedName name="E_PERIOD_2012_Q2" localSheetId="19">#REF!</definedName>
    <definedName name="E_PERIOD_2012_Q2">#REF!</definedName>
    <definedName name="E_PERIOD_2012_Q3" localSheetId="17">#REF!</definedName>
    <definedName name="E_PERIOD_2012_Q3" localSheetId="14">#REF!</definedName>
    <definedName name="E_PERIOD_2012_Q3" localSheetId="18">#REF!</definedName>
    <definedName name="E_PERIOD_2012_Q3" localSheetId="19">#REF!</definedName>
    <definedName name="E_PERIOD_2012_Q3">#REF!</definedName>
    <definedName name="E_PERIOD_2012_Q4" localSheetId="17">#REF!</definedName>
    <definedName name="E_PERIOD_2012_Q4" localSheetId="14">#REF!</definedName>
    <definedName name="E_PERIOD_2012_Q4" localSheetId="18">#REF!</definedName>
    <definedName name="E_PERIOD_2012_Q4" localSheetId="19">#REF!</definedName>
    <definedName name="E_PERIOD_2012_Q4">#REF!</definedName>
    <definedName name="E_PERIOD_2020_H1" localSheetId="14">#REF!</definedName>
    <definedName name="E_PERIOD_2020_H1" localSheetId="19">#REF!</definedName>
    <definedName name="E_PERIOD_2020_H1">#REF!</definedName>
    <definedName name="E_PERIOD_2020_H2" localSheetId="14">#REF!</definedName>
    <definedName name="E_PERIOD_2020_H2" localSheetId="19">#REF!</definedName>
    <definedName name="E_PERIOD_2020_H2">#REF!</definedName>
    <definedName name="E_PERIOD_2021_Q1" localSheetId="17">#REF!</definedName>
    <definedName name="E_PERIOD_2021_Q1" localSheetId="14">#REF!</definedName>
    <definedName name="E_PERIOD_2021_Q1" localSheetId="18">#REF!</definedName>
    <definedName name="E_PERIOD_2021_Q1" localSheetId="19">#REF!</definedName>
    <definedName name="E_PERIOD_2021_Q1">#REF!</definedName>
    <definedName name="E_PERIOD_2021_Q2" localSheetId="17">#REF!</definedName>
    <definedName name="E_PERIOD_2021_Q2" localSheetId="14">#REF!</definedName>
    <definedName name="E_PERIOD_2021_Q2" localSheetId="18">#REF!</definedName>
    <definedName name="E_PERIOD_2021_Q2" localSheetId="19">#REF!</definedName>
    <definedName name="E_PERIOD_2021_Q2">#REF!</definedName>
    <definedName name="E_PERIOD_2021_Q3" localSheetId="17">#REF!</definedName>
    <definedName name="E_PERIOD_2021_Q3" localSheetId="14">#REF!</definedName>
    <definedName name="E_PERIOD_2021_Q3" localSheetId="18">#REF!</definedName>
    <definedName name="E_PERIOD_2021_Q3" localSheetId="19">#REF!</definedName>
    <definedName name="E_PERIOD_2021_Q3">#REF!</definedName>
    <definedName name="E_PERIOD_2021_Q4" localSheetId="17">#REF!</definedName>
    <definedName name="E_PERIOD_2021_Q4" localSheetId="14">#REF!</definedName>
    <definedName name="E_PERIOD_2021_Q4" localSheetId="18">#REF!</definedName>
    <definedName name="E_PERIOD_2021_Q4" localSheetId="19">#REF!</definedName>
    <definedName name="E_PERIOD_2021_Q4">#REF!</definedName>
    <definedName name="E_SECTION_EQTY_200007513_1314" localSheetId="17">#REF!</definedName>
    <definedName name="E_SECTION_EQTY_200007513_1314" localSheetId="14">#REF!</definedName>
    <definedName name="E_SECTION_EQTY_200007513_1314" localSheetId="18">#REF!</definedName>
    <definedName name="E_SECTION_EQTY_200007513_1314" localSheetId="19">#REF!</definedName>
    <definedName name="E_SECTION_EQTY_200007513_1314">#REF!</definedName>
    <definedName name="E_SECTION_EQTY_200007513_131E" localSheetId="17">#REF!</definedName>
    <definedName name="E_SECTION_EQTY_200007513_131E" localSheetId="14">#REF!</definedName>
    <definedName name="E_SECTION_EQTY_200007513_131E" localSheetId="18">#REF!</definedName>
    <definedName name="E_SECTION_EQTY_200007513_131E" localSheetId="19">#REF!</definedName>
    <definedName name="E_SECTION_EQTY_200007513_131E">#REF!</definedName>
    <definedName name="E_SECTION_EQTY_200007513_131O" localSheetId="17">#REF!</definedName>
    <definedName name="E_SECTION_EQTY_200007513_131O" localSheetId="14">#REF!</definedName>
    <definedName name="E_SECTION_EQTY_200007513_131O" localSheetId="18">#REF!</definedName>
    <definedName name="E_SECTION_EQTY_200007513_131O" localSheetId="19">#REF!</definedName>
    <definedName name="E_SECTION_EQTY_200007513_131O">#REF!</definedName>
    <definedName name="E_SECTION_EQTY_200007513_13A" localSheetId="17">#REF!</definedName>
    <definedName name="E_SECTION_EQTY_200007513_13A" localSheetId="14">#REF!</definedName>
    <definedName name="E_SECTION_EQTY_200007513_13A" localSheetId="18">#REF!</definedName>
    <definedName name="E_SECTION_EQTY_200007513_13A" localSheetId="19">#REF!</definedName>
    <definedName name="E_SECTION_EQTY_200007513_13A">#REF!</definedName>
    <definedName name="E_SECTION_EQTY_200007513_13K" localSheetId="17">#REF!</definedName>
    <definedName name="E_SECTION_EQTY_200007513_13K" localSheetId="14">#REF!</definedName>
    <definedName name="E_SECTION_EQTY_200007513_13K" localSheetId="18">#REF!</definedName>
    <definedName name="E_SECTION_EQTY_200007513_13K" localSheetId="19">#REF!</definedName>
    <definedName name="E_SECTION_EQTY_200007513_13K">#REF!</definedName>
    <definedName name="E_SECTION_EQTY_200007513_13U" localSheetId="17">#REF!</definedName>
    <definedName name="E_SECTION_EQTY_200007513_13U" localSheetId="14">#REF!</definedName>
    <definedName name="E_SECTION_EQTY_200007513_13U" localSheetId="18">#REF!</definedName>
    <definedName name="E_SECTION_EQTY_200007513_13U" localSheetId="19">#REF!</definedName>
    <definedName name="E_SECTION_EQTY_200007513_13U">#REF!</definedName>
    <definedName name="E_SECTION_EQTY_200007513_13V" localSheetId="17">#REF!</definedName>
    <definedName name="E_SECTION_EQTY_200007513_13V" localSheetId="14">#REF!</definedName>
    <definedName name="E_SECTION_EQTY_200007513_13V" localSheetId="18">#REF!</definedName>
    <definedName name="E_SECTION_EQTY_200007513_13V" localSheetId="19">#REF!</definedName>
    <definedName name="E_SECTION_EQTY_200007513_13V">#REF!</definedName>
    <definedName name="E_SECTION_EQTY_200007513_Reference_Data" localSheetId="17">#REF!</definedName>
    <definedName name="E_SECTION_EQTY_200007513_Reference_Data" localSheetId="14">#REF!</definedName>
    <definedName name="E_SECTION_EQTY_200007513_Reference_Data" localSheetId="18">#REF!</definedName>
    <definedName name="E_SECTION_EQTY_200007513_Reference_Data" localSheetId="19">#REF!</definedName>
    <definedName name="E_SECTION_EQTY_200007513_Reference_Data">#REF!</definedName>
    <definedName name="E_SECTION_ISSR_208002861_1314" localSheetId="17">#REF!</definedName>
    <definedName name="E_SECTION_ISSR_208002861_1314" localSheetId="14">#REF!</definedName>
    <definedName name="E_SECTION_ISSR_208002861_1314" localSheetId="18">#REF!</definedName>
    <definedName name="E_SECTION_ISSR_208002861_1314" localSheetId="19">#REF!</definedName>
    <definedName name="E_SECTION_ISSR_208002861_1314">#REF!</definedName>
    <definedName name="E_SECTION_ISSR_208002861_13168" localSheetId="17">#REF!</definedName>
    <definedName name="E_SECTION_ISSR_208002861_13168" localSheetId="14">#REF!</definedName>
    <definedName name="E_SECTION_ISSR_208002861_13168" localSheetId="18">#REF!</definedName>
    <definedName name="E_SECTION_ISSR_208002861_13168" localSheetId="19">#REF!</definedName>
    <definedName name="E_SECTION_ISSR_208002861_13168">#REF!</definedName>
    <definedName name="E_SECTION_ISSR_208002861_1316S" localSheetId="17">#REF!</definedName>
    <definedName name="E_SECTION_ISSR_208002861_1316S" localSheetId="14">#REF!</definedName>
    <definedName name="E_SECTION_ISSR_208002861_1316S" localSheetId="18">#REF!</definedName>
    <definedName name="E_SECTION_ISSR_208002861_1316S" localSheetId="19">#REF!</definedName>
    <definedName name="E_SECTION_ISSR_208002861_1316S">#REF!</definedName>
    <definedName name="E_SECTION_ISSR_208002861_1316T" localSheetId="17">#REF!</definedName>
    <definedName name="E_SECTION_ISSR_208002861_1316T" localSheetId="14">#REF!</definedName>
    <definedName name="E_SECTION_ISSR_208002861_1316T" localSheetId="18">#REF!</definedName>
    <definedName name="E_SECTION_ISSR_208002861_1316T" localSheetId="19">#REF!</definedName>
    <definedName name="E_SECTION_ISSR_208002861_1316T">#REF!</definedName>
    <definedName name="E_SECTION_ISSR_208002861_1316U" localSheetId="17">#REF!</definedName>
    <definedName name="E_SECTION_ISSR_208002861_1316U" localSheetId="14">#REF!</definedName>
    <definedName name="E_SECTION_ISSR_208002861_1316U" localSheetId="18">#REF!</definedName>
    <definedName name="E_SECTION_ISSR_208002861_1316U" localSheetId="19">#REF!</definedName>
    <definedName name="E_SECTION_ISSR_208002861_1316U">#REF!</definedName>
    <definedName name="E_SECTION_ISSR_208002861_1319" localSheetId="17">#REF!</definedName>
    <definedName name="E_SECTION_ISSR_208002861_1319" localSheetId="14">#REF!</definedName>
    <definedName name="E_SECTION_ISSR_208002861_1319" localSheetId="18">#REF!</definedName>
    <definedName name="E_SECTION_ISSR_208002861_1319" localSheetId="19">#REF!</definedName>
    <definedName name="E_SECTION_ISSR_208002861_1319">#REF!</definedName>
    <definedName name="E_SECTION_ISSR_208002861_131E" localSheetId="17">#REF!</definedName>
    <definedName name="E_SECTION_ISSR_208002861_131E" localSheetId="14">#REF!</definedName>
    <definedName name="E_SECTION_ISSR_208002861_131E" localSheetId="18">#REF!</definedName>
    <definedName name="E_SECTION_ISSR_208002861_131E" localSheetId="19">#REF!</definedName>
    <definedName name="E_SECTION_ISSR_208002861_131E">#REF!</definedName>
    <definedName name="E_SECTION_ISSR_208002861_131J" localSheetId="17">#REF!</definedName>
    <definedName name="E_SECTION_ISSR_208002861_131J" localSheetId="14">#REF!</definedName>
    <definedName name="E_SECTION_ISSR_208002861_131J" localSheetId="18">#REF!</definedName>
    <definedName name="E_SECTION_ISSR_208002861_131J" localSheetId="19">#REF!</definedName>
    <definedName name="E_SECTION_ISSR_208002861_131J">#REF!</definedName>
    <definedName name="E_SECTION_ISSR_208002861_131O" localSheetId="17">#REF!</definedName>
    <definedName name="E_SECTION_ISSR_208002861_131O" localSheetId="14">#REF!</definedName>
    <definedName name="E_SECTION_ISSR_208002861_131O" localSheetId="18">#REF!</definedName>
    <definedName name="E_SECTION_ISSR_208002861_131O" localSheetId="19">#REF!</definedName>
    <definedName name="E_SECTION_ISSR_208002861_131O">#REF!</definedName>
    <definedName name="E_SECTION_ISSR_208002861_13U" localSheetId="17">#REF!</definedName>
    <definedName name="E_SECTION_ISSR_208002861_13U" localSheetId="14">#REF!</definedName>
    <definedName name="E_SECTION_ISSR_208002861_13U" localSheetId="18">#REF!</definedName>
    <definedName name="E_SECTION_ISSR_208002861_13U" localSheetId="19">#REF!</definedName>
    <definedName name="E_SECTION_ISSR_208002861_13U">#REF!</definedName>
    <definedName name="E_SECTION_ISSR_208002861_13V" localSheetId="17">#REF!</definedName>
    <definedName name="E_SECTION_ISSR_208002861_13V" localSheetId="14">#REF!</definedName>
    <definedName name="E_SECTION_ISSR_208002861_13V" localSheetId="18">#REF!</definedName>
    <definedName name="E_SECTION_ISSR_208002861_13V" localSheetId="19">#REF!</definedName>
    <definedName name="E_SECTION_ISSR_208002861_13V">#REF!</definedName>
    <definedName name="E_SECTION_ISSR_208002861_Reference_Data" localSheetId="17">#REF!</definedName>
    <definedName name="E_SECTION_ISSR_208002861_Reference_Data" localSheetId="14">#REF!</definedName>
    <definedName name="E_SECTION_ISSR_208002861_Reference_Data" localSheetId="18">#REF!</definedName>
    <definedName name="E_SECTION_ISSR_208002861_Reference_Data" localSheetId="19">#REF!</definedName>
    <definedName name="E_SECTION_ISSR_208002861_Reference_Data">#REF!</definedName>
    <definedName name="EBDIT">#REF!</definedName>
    <definedName name="EBIT">#REF!</definedName>
    <definedName name="EBITChart">#REF!</definedName>
    <definedName name="ebitda08">#REF!</definedName>
    <definedName name="ebitda09">#REF!</definedName>
    <definedName name="ebitda10">#REF!</definedName>
    <definedName name="EBITDAMargin">#REF!</definedName>
    <definedName name="EBITDAMarginChart">#REF!</definedName>
    <definedName name="EBITMax">#REF!</definedName>
    <definedName name="EmployeesAvg">#REF!</definedName>
    <definedName name="EmployeesYe">#REF!</definedName>
    <definedName name="enr" localSheetId="1" hidden="1">{"FTSE100","COMPANIES",TRUE}</definedName>
    <definedName name="enr" localSheetId="2" hidden="1">{"FTSE100","COMPANIES",TRUE}</definedName>
    <definedName name="enr" localSheetId="18" hidden="1">{"FTSE100","COMPANIES",TRUE}</definedName>
    <definedName name="enr" localSheetId="19" hidden="1">{"FTSE100","COMPANIES",TRUE}</definedName>
    <definedName name="enr" hidden="1">{"FTSE100","COMPANIES",TRUE}</definedName>
    <definedName name="EquityR">#REF!</definedName>
    <definedName name="EquityRatio">#REF!</definedName>
    <definedName name="EquityRatioChart">#REF!</definedName>
    <definedName name="EquityRatioMax">#REF!</definedName>
    <definedName name="esnrc100c1_values" localSheetId="1" hidden="1">{"FTSE100","COMPANIES",TRUE}</definedName>
    <definedName name="esnrc100c1_values" localSheetId="2" hidden="1">{"FTSE100","COMPANIES",TRUE}</definedName>
    <definedName name="esnrc100c1_values" localSheetId="18" hidden="1">{"FTSE100","COMPANIES",TRUE}</definedName>
    <definedName name="esnrc100c1_values" localSheetId="19" hidden="1">{"FTSE100","COMPANIES",TRUE}</definedName>
    <definedName name="esnrc100c1_values" hidden="1">{"FTSE100","COMPANIES",TRUE}</definedName>
    <definedName name="esnrc33c1_values" localSheetId="1" hidden="1">{"EUMOT","COMPANIES",TRUE}</definedName>
    <definedName name="esnrc33c1_values" localSheetId="2" hidden="1">{"EUMOT","COMPANIES",TRUE}</definedName>
    <definedName name="esnrc33c1_values" localSheetId="18" hidden="1">{"EUMOT","COMPANIES",TRUE}</definedName>
    <definedName name="esnrc33c1_values" localSheetId="19" hidden="1">{"EUMOT","COMPANIES",TRUE}</definedName>
    <definedName name="esnrc33c1_values" hidden="1">{"EUMOT","COMPANIES",TRUE}</definedName>
    <definedName name="esnrc56c1_values" localSheetId="1" hidden="1">{"ASCONGRP","COMPANIES",TRUE}</definedName>
    <definedName name="esnrc56c1_values" localSheetId="2" hidden="1">{"ASCONGRP","COMPANIES",TRUE}</definedName>
    <definedName name="esnrc56c1_values" localSheetId="18" hidden="1">{"ASCONGRP","COMPANIES",TRUE}</definedName>
    <definedName name="esnrc56c1_values" localSheetId="19" hidden="1">{"ASCONGRP","COMPANIES",TRUE}</definedName>
    <definedName name="esnrc56c1_values" hidden="1">{"ASCONGRP","COMPANIES",TRUE}</definedName>
    <definedName name="esnrc63c1_values" localSheetId="1" hidden="1">{"EUUTIGRP","COMPANIES",TRUE}</definedName>
    <definedName name="esnrc63c1_values" localSheetId="2" hidden="1">{"EUUTIGRP","COMPANIES",TRUE}</definedName>
    <definedName name="esnrc63c1_values" localSheetId="18" hidden="1">{"EUUTIGRP","COMPANIES",TRUE}</definedName>
    <definedName name="esnrc63c1_values" localSheetId="19" hidden="1">{"EUUTIGRP","COMPANIES",TRUE}</definedName>
    <definedName name="esnrc63c1_values" hidden="1">{"EUUTIGRP","COMPANIES",TRUE}</definedName>
    <definedName name="esnrc91c1_values" localSheetId="1" hidden="1">{"EUUTI","COMPANIES",TRUE}</definedName>
    <definedName name="esnrc91c1_values" localSheetId="2" hidden="1">{"EUUTI","COMPANIES",TRUE}</definedName>
    <definedName name="esnrc91c1_values" localSheetId="18" hidden="1">{"EUUTI","COMPANIES",TRUE}</definedName>
    <definedName name="esnrc91c1_values" localSheetId="19" hidden="1">{"EUUTI","COMPANIES",TRUE}</definedName>
    <definedName name="esnrc91c1_values" hidden="1">{"EUUTI","COMPANIES",TRUE}</definedName>
    <definedName name="EstDate">#REF!</definedName>
    <definedName name="EstYear">#REF!</definedName>
    <definedName name="EstYearType">#REF!</definedName>
    <definedName name="ev.Calculation" hidden="1">-4105</definedName>
    <definedName name="ev.Initialized" hidden="1">FALSE</definedName>
    <definedName name="EvEbit_Today">#REF!</definedName>
    <definedName name="EvEbit_Ye">#REF!</definedName>
    <definedName name="EvEbitda_Today">#REF!</definedName>
    <definedName name="EvEbitda_Ye">#REF!</definedName>
    <definedName name="EvSales_Today">#REF!</definedName>
    <definedName name="EvSales_Ye">#REF!</definedName>
    <definedName name="Excel_Version" localSheetId="2">#REF!</definedName>
    <definedName name="Excel_Version">#REF!</definedName>
    <definedName name="ExchangeSheetLink" localSheetId="5">MigrationOutput_QP_SAF.PA!$F$2</definedName>
    <definedName name="ExtFiles" localSheetId="2">#REF!</definedName>
    <definedName name="ExtFiles">#REF!</definedName>
    <definedName name="ExtraOrdinaryItems">#REF!</definedName>
    <definedName name="FaxNo">#REF!</definedName>
    <definedName name="FCFM_Today">#REF!</definedName>
    <definedName name="fggddf" localSheetId="1" hidden="1">{"Employee Efficiency",#N/A,FALSE,"Benchmarking"}</definedName>
    <definedName name="fggddf" localSheetId="2" hidden="1">{"Employee Efficiency",#N/A,FALSE,"Benchmarking"}</definedName>
    <definedName name="fggddf" localSheetId="18" hidden="1">{"Employee Efficiency",#N/A,FALSE,"Benchmarking"}</definedName>
    <definedName name="fggddf" localSheetId="19" hidden="1">{"Employee Efficiency",#N/A,FALSE,"Benchmarking"}</definedName>
    <definedName name="fggddf" hidden="1">{"Employee Efficiency",#N/A,FALSE,"Benchmarking"}</definedName>
    <definedName name="FiscalDate">#REF!</definedName>
    <definedName name="FiscalYearEndDate">#REF!</definedName>
    <definedName name="FiscalYearEndMonth">#REF!</definedName>
    <definedName name="FixedAssets">#REF!</definedName>
    <definedName name="FixedTangibleAssets">#REF!</definedName>
    <definedName name="Float">#REF!</definedName>
    <definedName name="ForExchangeItems">#REF!</definedName>
    <definedName name="Formats" localSheetId="2">#REF!</definedName>
    <definedName name="Formats">#REF!</definedName>
    <definedName name="FP_Analyst">#REF!</definedName>
    <definedName name="FP_email">#REF!</definedName>
    <definedName name="FP_FiguresChart">#REF!</definedName>
    <definedName name="FP_Price">#REF!</definedName>
    <definedName name="FP_Tel">#REF!</definedName>
    <definedName name="FreeCashFlow">#REF!</definedName>
    <definedName name="FreeCashFlowPerShare">#REF!</definedName>
    <definedName name="FreeFloat">#REF!</definedName>
    <definedName name="FREQS" localSheetId="2">#REF!</definedName>
    <definedName name="FREQS">#REF!</definedName>
    <definedName name="Frontpage">#REF!</definedName>
    <definedName name="FullBS">#REF!</definedName>
    <definedName name="FullCF">#REF!</definedName>
    <definedName name="FullTaxRate">#REF!</definedName>
    <definedName name="FullydilShareNomAvg">#REF!</definedName>
    <definedName name="FullydilShareNomYe">#REF!</definedName>
    <definedName name="GainSaleFixedAssets">#REF!</definedName>
    <definedName name="GainSaleFixedAssetsBeforeTax">#REF!</definedName>
    <definedName name="gdff" localSheetId="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localSheetId="2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localSheetId="18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localSheetId="19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ff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f" localSheetId="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f" localSheetId="1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f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h" localSheetId="1" hidden="1">{"CSC_1",#N/A,FALSE,"CSC Outputs";"CSC_2",#N/A,FALSE,"CSC Outputs"}</definedName>
    <definedName name="gh" localSheetId="2" hidden="1">{"CSC_1",#N/A,FALSE,"CSC Outputs";"CSC_2",#N/A,FALSE,"CSC Outputs"}</definedName>
    <definedName name="gh" localSheetId="18" hidden="1">{"CSC_1",#N/A,FALSE,"CSC Outputs";"CSC_2",#N/A,FALSE,"CSC Outputs"}</definedName>
    <definedName name="gh" localSheetId="19" hidden="1">{"CSC_1",#N/A,FALSE,"CSC Outputs";"CSC_2",#N/A,FALSE,"CSC Outputs"}</definedName>
    <definedName name="gh" hidden="1">{"CSC_1",#N/A,FALSE,"CSC Outputs";"CSC_2",#N/A,FALSE,"CSC Outputs"}</definedName>
    <definedName name="GoodwillAmortisation">#REF!</definedName>
    <definedName name="GoodWillGross">#REF!</definedName>
    <definedName name="GoodWillNet">#REF!</definedName>
    <definedName name="GoodWillWrittenOff">#REF!</definedName>
    <definedName name="GrossCommissionPerTrade">#REF!</definedName>
    <definedName name="GrossMarginMax">#REF!</definedName>
    <definedName name="GroupFactor">#REF!</definedName>
    <definedName name="GrowthAdjDps">#REF!</definedName>
    <definedName name="GrowthAdjEps">#REF!</definedName>
    <definedName name="GrowthAfterTaxProfit">#REF!</definedName>
    <definedName name="GrowthCashEarningPerShare">#REF!</definedName>
    <definedName name="GrowthFreeCashFlowPerShare">#REF!</definedName>
    <definedName name="GrowthOperatingProfit">#REF!</definedName>
    <definedName name="GrowthOperCashFlowPerShare">#REF!</definedName>
    <definedName name="GrowthPretaxProfit">#REF!</definedName>
    <definedName name="GrowthProfitBeforeDepreciation">#REF!</definedName>
    <definedName name="GrowthRepEps">#REF!</definedName>
    <definedName name="GrowthTotalExpenses">#REF!</definedName>
    <definedName name="GrowthTotalRevenue">#REF!</definedName>
    <definedName name="Guarantees">#REF!</definedName>
    <definedName name="haut" localSheetId="2">#REF!</definedName>
    <definedName name="haut">#REF!</definedName>
    <definedName name="HiddenSheetLink" localSheetId="5">MigrationOutput_QP_SAF.PA!$F$3</definedName>
    <definedName name="High">#REF!</definedName>
    <definedName name="hkjj" localSheetId="1" hidden="1">{"Line Efficiency",#N/A,FALSE,"Benchmarking"}</definedName>
    <definedName name="hkjj" localSheetId="2" hidden="1">{"Line Efficiency",#N/A,FALSE,"Benchmarking"}</definedName>
    <definedName name="hkjj" localSheetId="18" hidden="1">{"Line Efficiency",#N/A,FALSE,"Benchmarking"}</definedName>
    <definedName name="hkjj" localSheetId="19" hidden="1">{"Line Efficiency",#N/A,FALSE,"Benchmarking"}</definedName>
    <definedName name="hkjj" hidden="1">{"Line Efficiency",#N/A,FALSE,"Benchmarking"}</definedName>
    <definedName name="hn.ModelVersion" hidden="1">1</definedName>
    <definedName name="hn.NoUpload" hidden="1">0</definedName>
    <definedName name="HTML_CodePage" hidden="1">1252</definedName>
    <definedName name="HTML_Control" localSheetId="1" hidden="1">{"'Valuation'!$A$1:$AV$62"}</definedName>
    <definedName name="HTML_Control" localSheetId="2" hidden="1">{"'Valuation'!$A$1:$AV$62"}</definedName>
    <definedName name="HTML_Control" localSheetId="18" hidden="1">{"'Valuation'!$A$1:$AV$62"}</definedName>
    <definedName name="HTML_Control" localSheetId="19" hidden="1">{"'Valuation'!$A$1:$AV$62"}</definedName>
    <definedName name="HTML_Control" hidden="1">{"'Valuation'!$A$1:$AV$62"}</definedName>
    <definedName name="HTML_Description" hidden="1">""</definedName>
    <definedName name="HTML_Email" hidden="1">""</definedName>
    <definedName name="HTML_Header" hidden="1">"Valuation"</definedName>
    <definedName name="HTML_LastUpdate" hidden="1">"19/11/99"</definedName>
    <definedName name="HTML_LineAfter" hidden="1">FALSE</definedName>
    <definedName name="HTML_LineBefore" hidden="1">FALSE</definedName>
    <definedName name="HTML_Name" hidden="1">"Francis Woollen"</definedName>
    <definedName name="HTML_OBDlg2" hidden="1">TRUE</definedName>
    <definedName name="HTML_OBDlg4" hidden="1">TRUE</definedName>
    <definedName name="HTML_OS" hidden="1">0</definedName>
    <definedName name="HTML_PathFile" hidden="1">"N:\Telecoms\MODELS\FINLAND\New Sonera\MyHTML.htm"</definedName>
    <definedName name="HTML_Title" hidden="1">"New Sonera"</definedName>
    <definedName name="ii" localSheetId="1" hidden="1">{"Tariff Comparison",#N/A,FALSE,"Benchmarking";"Tariff Comparison 2",#N/A,FALSE,"Benchmarking";"Tariff Comparison 3",#N/A,FALSE,"Benchmarking"}</definedName>
    <definedName name="ii" localSheetId="2" hidden="1">{"Tariff Comparison",#N/A,FALSE,"Benchmarking";"Tariff Comparison 2",#N/A,FALSE,"Benchmarking";"Tariff Comparison 3",#N/A,FALSE,"Benchmarking"}</definedName>
    <definedName name="ii" localSheetId="18" hidden="1">{"Tariff Comparison",#N/A,FALSE,"Benchmarking";"Tariff Comparison 2",#N/A,FALSE,"Benchmarking";"Tariff Comparison 3",#N/A,FALSE,"Benchmarking"}</definedName>
    <definedName name="ii" localSheetId="19" hidden="1">{"Tariff Comparison",#N/A,FALSE,"Benchmarking";"Tariff Comparison 2",#N/A,FALSE,"Benchmarking";"Tariff Comparison 3",#N/A,FALSE,"Benchmarking"}</definedName>
    <definedName name="ii" hidden="1">{"Tariff Comparison",#N/A,FALSE,"Benchmarking";"Tariff Comparison 2",#N/A,FALSE,"Benchmarking";"Tariff Comparison 3",#N/A,FALSE,"Benchmarking"}</definedName>
    <definedName name="index">#REF!</definedName>
    <definedName name="Industry">#REF!</definedName>
    <definedName name="InsuranceEmbeddedValue">#REF!</definedName>
    <definedName name="InsuranceGrowth">#REF!</definedName>
    <definedName name="InsurancePremiumProfit">#REF!</definedName>
    <definedName name="InsuranceRevenues">#REF!</definedName>
    <definedName name="InsuranceTypeFinanceServices">#REF!</definedName>
    <definedName name="InsuranceTypeLife">#REF!</definedName>
    <definedName name="InsuranceTypeNonLife">#REF!</definedName>
    <definedName name="InsuranceTypeReinsurance">#REF!</definedName>
    <definedName name="Intangibles">#REF!</definedName>
    <definedName name="InterestBearingFixedAssets">#REF!</definedName>
    <definedName name="InterestConvertibleDebt">#REF!</definedName>
    <definedName name="InterestCover">#REF!</definedName>
    <definedName name="InterestExpenses">#REF!</definedName>
    <definedName name="InterestExpensesPct">#REF!</definedName>
    <definedName name="InterestIncome">#REF!</definedName>
    <definedName name="InterestIncomePct">#REF!</definedName>
    <definedName name="InternetAddress">#REF!</definedName>
    <definedName name="Inventories">#REF!</definedName>
    <definedName name="InventorySalesDays">#REF!</definedName>
    <definedName name="InvestmentCover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_CIQ" hidden="1">"c12026"</definedName>
    <definedName name="IQ_EPS_EST_CIQ" hidden="1">"c4994"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REV" hidden="1">"c2113"</definedName>
    <definedName name="IQ_EST_ACT_REV_CIQ" hidden="1">"c3666"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OOTNOTE" hidden="1">"c4540"</definedName>
    <definedName name="IQ_EST_FOOTNOTE_CIQ" hidden="1">"c12022"</definedName>
    <definedName name="IQ_EST_NEXT_EARNINGS_DATE" hidden="1">"c13591"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40687.6617939815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OPERATING_INC_AVG_ASSETS_FFIEC" hidden="1">"c13365"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"c1126"</definedName>
    <definedName name="IQ_REVENUE_EST_BOTTOM_UP_CIQ" hidden="1">"c12025"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39993.5884953704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>#REF!</definedName>
    <definedName name="IssueMultiplier">#REF!</definedName>
    <definedName name="jhk" localSheetId="1" hidden="1">{"print 1",#N/A,FALSE,"PrimeCo PCS";"print 2",#N/A,FALSE,"PrimeCo PCS";"valuation",#N/A,FALSE,"PrimeCo PCS"}</definedName>
    <definedName name="jhk" localSheetId="2" hidden="1">{"print 1",#N/A,FALSE,"PrimeCo PCS";"print 2",#N/A,FALSE,"PrimeCo PCS";"valuation",#N/A,FALSE,"PrimeCo PCS"}</definedName>
    <definedName name="jhk" localSheetId="18" hidden="1">{"print 1",#N/A,FALSE,"PrimeCo PCS";"print 2",#N/A,FALSE,"PrimeCo PCS";"valuation",#N/A,FALSE,"PrimeCo PCS"}</definedName>
    <definedName name="jhk" localSheetId="19" hidden="1">{"print 1",#N/A,FALSE,"PrimeCo PCS";"print 2",#N/A,FALSE,"PrimeCo PCS";"valuation",#N/A,FALSE,"PrimeCo PCS"}</definedName>
    <definedName name="jhk" hidden="1">{"print 1",#N/A,FALSE,"PrimeCo PCS";"print 2",#N/A,FALSE,"PrimeCo PCS";"valuation",#N/A,FALSE,"PrimeCo PCS"}</definedName>
    <definedName name="KeyData">#REF!</definedName>
    <definedName name="Keydriver1">#REF!</definedName>
    <definedName name="Keydriver2">#REF!</definedName>
    <definedName name="Keydriver3">#REF!</definedName>
    <definedName name="Keydriver4">#REF!</definedName>
    <definedName name="kk" localSheetId="1" hidden="1">{"Tarifica91",#N/A,FALSE,"Tariffs";"Tarifica92",#N/A,FALSE,"Tariffs";"Tarifica93",#N/A,FALSE,"Tariffs";"Tarifica94",#N/A,FALSE,"Tariffs";"Tarifica95",#N/A,FALSE,"Tariffs";"Tarifica96",#N/A,FALSE,"Tariffs"}</definedName>
    <definedName name="kk" localSheetId="2" hidden="1">{"Tarifica91",#N/A,FALSE,"Tariffs";"Tarifica92",#N/A,FALSE,"Tariffs";"Tarifica93",#N/A,FALSE,"Tariffs";"Tarifica94",#N/A,FALSE,"Tariffs";"Tarifica95",#N/A,FALSE,"Tariffs";"Tarifica96",#N/A,FALSE,"Tariffs"}</definedName>
    <definedName name="kk" localSheetId="18" hidden="1">{"Tarifica91",#N/A,FALSE,"Tariffs";"Tarifica92",#N/A,FALSE,"Tariffs";"Tarifica93",#N/A,FALSE,"Tariffs";"Tarifica94",#N/A,FALSE,"Tariffs";"Tarifica95",#N/A,FALSE,"Tariffs";"Tarifica96",#N/A,FALSE,"Tariffs"}</definedName>
    <definedName name="kk" localSheetId="19" hidden="1">{"Tarifica91",#N/A,FALSE,"Tariffs";"Tarifica92",#N/A,FALSE,"Tariffs";"Tarifica93",#N/A,FALSE,"Tariffs";"Tarifica94",#N/A,FALSE,"Tariffs";"Tarifica95",#N/A,FALSE,"Tariffs";"Tarifica96",#N/A,FALSE,"Tariffs"}</definedName>
    <definedName name="kk" hidden="1">{"Tarifica91",#N/A,FALSE,"Tariffs";"Tarifica92",#N/A,FALSE,"Tariffs";"Tarifica93",#N/A,FALSE,"Tariffs";"Tarifica94",#N/A,FALSE,"Tariffs";"Tarifica95",#N/A,FALSE,"Tariffs";"Tarifica96",#N/A,FALSE,"Tariffs"}</definedName>
    <definedName name="L_ALL_ABBN.S" localSheetId="2">#REF!</definedName>
    <definedName name="L_ALL_ABBN.S">#REF!</definedName>
    <definedName name="L_ALL_AIR.PA" localSheetId="2">#REF!</definedName>
    <definedName name="L_ALL_AIR.PA" localSheetId="14">#REF!</definedName>
    <definedName name="L_ALL_AIR.PA" localSheetId="18">#REF!</definedName>
    <definedName name="L_ALL_AIR.PA">#REF!</definedName>
    <definedName name="L_ALL_AIR.PA_" localSheetId="17">#REF!</definedName>
    <definedName name="L_ALL_AIR.PA_" localSheetId="14">#REF!</definedName>
    <definedName name="L_ALL_AIR.PA_" localSheetId="18">#REF!</definedName>
    <definedName name="L_ALL_AIR.PA_" localSheetId="19">#REF!</definedName>
    <definedName name="L_ALL_AIR.PA_">#REF!</definedName>
    <definedName name="L_ALL_ATCOa.ST">#REF!</definedName>
    <definedName name="L_ALL_AVMD.PA" localSheetId="2">#REF!</definedName>
    <definedName name="L_ALL_AVMD.PA">#REF!</definedName>
    <definedName name="L_ALL_BAES.L" localSheetId="2">#REF!</definedName>
    <definedName name="L_ALL_BAES.L" localSheetId="14">#REF!</definedName>
    <definedName name="L_ALL_BAES.L" localSheetId="18">#REF!</definedName>
    <definedName name="L_ALL_BAES.L">#REF!</definedName>
    <definedName name="L_ALL_BAES.L_" localSheetId="17">#REF!</definedName>
    <definedName name="L_ALL_BAES.L_" localSheetId="14">#REF!</definedName>
    <definedName name="L_ALL_BAES.L_" localSheetId="18">#REF!</definedName>
    <definedName name="L_ALL_BAES.L_" localSheetId="19">#REF!</definedName>
    <definedName name="L_ALL_BAES.L_">#REF!</definedName>
    <definedName name="L_ALL_COB.L" localSheetId="2">#REF!</definedName>
    <definedName name="L_ALL_COB.L" localSheetId="14">#REF!</definedName>
    <definedName name="L_ALL_COB.L" localSheetId="18">#REF!</definedName>
    <definedName name="L_ALL_COB.L">#REF!</definedName>
    <definedName name="L_ALL_DTGGe.DE">#REF!</definedName>
    <definedName name="L_ALL_EAD.PA" localSheetId="2">#REF!</definedName>
    <definedName name="L_ALL_EAD.PA" localSheetId="14">#REF!</definedName>
    <definedName name="L_ALL_EAD.PA">#REF!</definedName>
    <definedName name="L_ALL_KEYWORDS_TYPE_ScalarContributed_EQTY_200000267">#REF!,#REF!</definedName>
    <definedName name="L_ALL_KEYWORDS_TYPE_ScalarContributed_EQTY_200003162" localSheetId="2">#REF!,#REF!</definedName>
    <definedName name="L_ALL_KEYWORDS_TYPE_ScalarContributed_EQTY_200003162" localSheetId="14">#REF!,#REF!</definedName>
    <definedName name="L_ALL_KEYWORDS_TYPE_ScalarContributed_EQTY_200003162">#REF!,#REF!</definedName>
    <definedName name="L_ALL_KEYWORDS_TYPE_ScalarContributed_EQTY_200003170" localSheetId="2">#REF!,#REF!</definedName>
    <definedName name="L_ALL_KEYWORDS_TYPE_ScalarContributed_EQTY_200003170" localSheetId="14">#REF!,#REF!</definedName>
    <definedName name="L_ALL_KEYWORDS_TYPE_ScalarContributed_EQTY_200003170">#REF!,#REF!</definedName>
    <definedName name="L_ALL_KEYWORDS_TYPE_ScalarContributed_EQTY_200003173" localSheetId="2">#REF!,#REF!</definedName>
    <definedName name="L_ALL_KEYWORDS_TYPE_ScalarContributed_EQTY_200003173" localSheetId="14">#REF!,#REF!</definedName>
    <definedName name="L_ALL_KEYWORDS_TYPE_ScalarContributed_EQTY_200003173">#REF!,#REF!</definedName>
    <definedName name="L_ALL_KEYWORDS_TYPE_ScalarContributed_EQTY_200003183" localSheetId="2">#REF!,#REF!</definedName>
    <definedName name="L_ALL_KEYWORDS_TYPE_ScalarContributed_EQTY_200003183" localSheetId="14">#REF!,#REF!</definedName>
    <definedName name="L_ALL_KEYWORDS_TYPE_ScalarContributed_EQTY_200003183">#REF!,#REF!</definedName>
    <definedName name="L_ALL_KEYWORDS_TYPE_ScalarContributed_EQTY_200003821" localSheetId="2">#REF!,#REF!</definedName>
    <definedName name="L_ALL_KEYWORDS_TYPE_ScalarContributed_EQTY_200003821" localSheetId="14">#REF!,#REF!</definedName>
    <definedName name="L_ALL_KEYWORDS_TYPE_ScalarContributed_EQTY_200003821">#REF!,#REF!</definedName>
    <definedName name="L_ALL_KEYWORDS_TYPE_ScalarContributed_EQTY_200004285" localSheetId="2">#REF!,#REF!</definedName>
    <definedName name="L_ALL_KEYWORDS_TYPE_ScalarContributed_EQTY_200004285">#REF!,#REF!</definedName>
    <definedName name="L_ALL_KEYWORDS_TYPE_ScalarContributed_EQTY_200005121" localSheetId="2">#REF!,#REF!</definedName>
    <definedName name="L_ALL_KEYWORDS_TYPE_ScalarContributed_EQTY_200005121" localSheetId="14">#REF!,#REF!</definedName>
    <definedName name="L_ALL_KEYWORDS_TYPE_ScalarContributed_EQTY_200005121">#REF!,#REF!</definedName>
    <definedName name="L_ALL_KEYWORDS_TYPE_ScalarContributed_EQTY_200007513" localSheetId="2">#REF!,#REF!</definedName>
    <definedName name="L_ALL_KEYWORDS_TYPE_ScalarContributed_EQTY_200007513" localSheetId="14">#REF!,#REF!</definedName>
    <definedName name="L_ALL_KEYWORDS_TYPE_ScalarContributed_EQTY_200007513">#REF!,#REF!</definedName>
    <definedName name="L_ALL_KEYWORDS_TYPE_ScalarContributed_EQTY_200008448" localSheetId="18">#REF!,#REF!,#REF!</definedName>
    <definedName name="L_ALL_KEYWORDS_TYPE_ScalarContributed_EQTY_200008448">#REF!,#REF!,#REF!</definedName>
    <definedName name="L_ALL_KEYWORDS_TYPE_ScalarContributed_EQTY_200009618" localSheetId="2">#REF!,#REF!</definedName>
    <definedName name="L_ALL_KEYWORDS_TYPE_ScalarContributed_EQTY_200009618" localSheetId="14">#REF!,#REF!</definedName>
    <definedName name="L_ALL_KEYWORDS_TYPE_ScalarContributed_EQTY_200009618">#REF!,#REF!</definedName>
    <definedName name="L_ALL_KEYWORDS_TYPE_ScalarContributed_EQTY_200009619" localSheetId="2">#REF!,#REF!</definedName>
    <definedName name="L_ALL_KEYWORDS_TYPE_ScalarContributed_EQTY_200009619" localSheetId="14">#REF!,#REF!</definedName>
    <definedName name="L_ALL_KEYWORDS_TYPE_ScalarContributed_EQTY_200009619">#REF!,#REF!</definedName>
    <definedName name="L_ALL_KEYWORDS_TYPE_ScalarContributed_EQTY_200009620" localSheetId="2">#REF!,#REF!</definedName>
    <definedName name="L_ALL_KEYWORDS_TYPE_ScalarContributed_EQTY_200009620" localSheetId="14">#REF!,#REF!</definedName>
    <definedName name="L_ALL_KEYWORDS_TYPE_ScalarContributed_EQTY_200009620">#REF!,#REF!</definedName>
    <definedName name="L_ALL_KEYWORDS_TYPE_ScalarContributed_EQTY_200011295" localSheetId="2">#REF!,#REF!</definedName>
    <definedName name="L_ALL_KEYWORDS_TYPE_ScalarContributed_EQTY_200011295">#REF!,#REF!</definedName>
    <definedName name="L_ALL_KEYWORDS_TYPE_ScalarContributed_ISSR_208000023">#REF!,#REF!,#REF!,#REF!,#REF!,#REF!,#REF!,#REF!,#REF!,#REF!</definedName>
    <definedName name="L_ALL_KEYWORDS_TYPE_ScalarContributed_ISSR_208001092" localSheetId="2">#REF!,#REF!</definedName>
    <definedName name="L_ALL_KEYWORDS_TYPE_ScalarContributed_ISSR_208001092">#REF!,#REF!</definedName>
    <definedName name="L_ALL_KEYWORDS_TYPE_ScalarContributed_ISSR_208001095" localSheetId="2">#REF!,#REF!</definedName>
    <definedName name="L_ALL_KEYWORDS_TYPE_ScalarContributed_ISSR_208001095">#REF!,#REF!</definedName>
    <definedName name="L_ALL_KEYWORDS_TYPE_ScalarContributed_ISSR_208001100" localSheetId="2">#REF!,#REF!</definedName>
    <definedName name="L_ALL_KEYWORDS_TYPE_ScalarContributed_ISSR_208001100">#REF!,#REF!</definedName>
    <definedName name="L_ALL_KEYWORDS_TYPE_ScalarContributed_ISSR_208001219" localSheetId="2">#REF!,#REF!,#REF!,#REF!,#REF!,#REF!,#REF!,#REF!</definedName>
    <definedName name="L_ALL_KEYWORDS_TYPE_ScalarContributed_ISSR_208001219">#REF!,#REF!,#REF!,#REF!,#REF!,#REF!,#REF!,#REF!</definedName>
    <definedName name="L_ALL_KEYWORDS_TYPE_ScalarContributed_ISSR_208001433" localSheetId="2">#REF!,#REF!</definedName>
    <definedName name="L_ALL_KEYWORDS_TYPE_ScalarContributed_ISSR_208001433" localSheetId="18">#REF!,#REF!</definedName>
    <definedName name="L_ALL_KEYWORDS_TYPE_ScalarContributed_ISSR_208001433">#REF!,#REF!</definedName>
    <definedName name="L_ALL_KEYWORDS_TYPE_ScalarContributed_ISSR_208006659" localSheetId="2">#REF!,#REF!,#REF!</definedName>
    <definedName name="L_ALL_KEYWORDS_TYPE_ScalarContributed_ISSR_208006659">#REF!,#REF!,#REF!</definedName>
    <definedName name="L_ALL_KEYWORDS_TYPE_ScalarContributed_ISSR_208007415" localSheetId="2">#REF!,#REF!</definedName>
    <definedName name="L_ALL_KEYWORDS_TYPE_ScalarContributed_ISSR_208007415">#REF!,#REF!</definedName>
    <definedName name="L_ALL_KEYWORDS_TYPE_ScalarContributed_ISSR_208008646" localSheetId="2">#REF!,#REF!</definedName>
    <definedName name="L_ALL_KEYWORDS_TYPE_ScalarContributed_ISSR_208008646">#REF!,#REF!</definedName>
    <definedName name="L_ALL_KEYWORDS_TYPE_ScalarReference_EQTY_200007513" localSheetId="17">#REF!</definedName>
    <definedName name="L_ALL_KEYWORDS_TYPE_ScalarReference_EQTY_200007513" localSheetId="14">#REF!</definedName>
    <definedName name="L_ALL_KEYWORDS_TYPE_ScalarReference_EQTY_200007513" localSheetId="18">#REF!</definedName>
    <definedName name="L_ALL_KEYWORDS_TYPE_ScalarReference_EQTY_200007513" localSheetId="19">#REF!</definedName>
    <definedName name="L_ALL_KEYWORDS_TYPE_ScalarReference_EQTY_200007513">#REF!</definedName>
    <definedName name="L_ALL_KEYWORDS_TYPE_ScalarReference_ISSR_208002861" localSheetId="17">#REF!</definedName>
    <definedName name="L_ALL_KEYWORDS_TYPE_ScalarReference_ISSR_208002861" localSheetId="14">#REF!</definedName>
    <definedName name="L_ALL_KEYWORDS_TYPE_ScalarReference_ISSR_208002861" localSheetId="18">#REF!</definedName>
    <definedName name="L_ALL_KEYWORDS_TYPE_ScalarReference_ISSR_208002861" localSheetId="19">#REF!</definedName>
    <definedName name="L_ALL_KEYWORDS_TYPE_ScalarReference_ISSR_208002861">#REF!</definedName>
    <definedName name="L_ALL_KEYWORDS_TYPE_Vector_EQTY_200000267">#REF!,#REF!,#REF!,#REF!,#REF!</definedName>
    <definedName name="L_ALL_KEYWORDS_TYPE_Vector_EQTY_200003162" localSheetId="2">#REF!,#REF!,#REF!,#REF!,#REF!</definedName>
    <definedName name="L_ALL_KEYWORDS_TYPE_Vector_EQTY_200003162" localSheetId="14">#REF!,#REF!,#REF!,#REF!,#REF!</definedName>
    <definedName name="L_ALL_KEYWORDS_TYPE_Vector_EQTY_200003162">#REF!,#REF!,#REF!,#REF!,#REF!</definedName>
    <definedName name="L_ALL_KEYWORDS_TYPE_Vector_EQTY_200003169" localSheetId="2">#REF!,#REF!,#REF!,#REF!,#REF!</definedName>
    <definedName name="L_ALL_KEYWORDS_TYPE_Vector_EQTY_200003169">#REF!,#REF!,#REF!,#REF!,#REF!</definedName>
    <definedName name="L_ALL_KEYWORDS_TYPE_Vector_EQTY_200003170" localSheetId="2">#REF!,#REF!,#REF!,#REF!,#REF!</definedName>
    <definedName name="L_ALL_KEYWORDS_TYPE_Vector_EQTY_200003170" localSheetId="14">#REF!,#REF!,#REF!,#REF!,#REF!</definedName>
    <definedName name="L_ALL_KEYWORDS_TYPE_Vector_EQTY_200003170">#REF!,#REF!,#REF!,#REF!,#REF!</definedName>
    <definedName name="L_ALL_KEYWORDS_TYPE_Vector_EQTY_200003173" localSheetId="2">#REF!,#REF!,#REF!,#REF!,#REF!</definedName>
    <definedName name="L_ALL_KEYWORDS_TYPE_Vector_EQTY_200003173" localSheetId="14">#REF!,#REF!,#REF!,#REF!,#REF!</definedName>
    <definedName name="L_ALL_KEYWORDS_TYPE_Vector_EQTY_200003173">#REF!,#REF!,#REF!,#REF!,#REF!</definedName>
    <definedName name="L_ALL_KEYWORDS_TYPE_Vector_EQTY_200003183" localSheetId="2">#REF!,#REF!,#REF!,#REF!,#REF!</definedName>
    <definedName name="L_ALL_KEYWORDS_TYPE_Vector_EQTY_200003183" localSheetId="14">#REF!,#REF!,#REF!,#REF!,#REF!</definedName>
    <definedName name="L_ALL_KEYWORDS_TYPE_Vector_EQTY_200003183">#REF!,#REF!,#REF!,#REF!,#REF!</definedName>
    <definedName name="L_ALL_KEYWORDS_TYPE_Vector_EQTY_200003821" localSheetId="2">#REF!,#REF!,#REF!,#REF!,#REF!</definedName>
    <definedName name="L_ALL_KEYWORDS_TYPE_Vector_EQTY_200003821" localSheetId="14">#REF!,#REF!,#REF!,#REF!,#REF!</definedName>
    <definedName name="L_ALL_KEYWORDS_TYPE_Vector_EQTY_200003821">#REF!,#REF!,#REF!,#REF!,#REF!</definedName>
    <definedName name="L_ALL_KEYWORDS_TYPE_Vector_EQTY_200004285" localSheetId="2">#REF!,#REF!,#REF!,#REF!,#REF!</definedName>
    <definedName name="L_ALL_KEYWORDS_TYPE_Vector_EQTY_200004285">#REF!,#REF!,#REF!,#REF!,#REF!</definedName>
    <definedName name="L_ALL_KEYWORDS_TYPE_Vector_EQTY_200005121" localSheetId="2">#REF!,#REF!,#REF!,#REF!,#REF!</definedName>
    <definedName name="L_ALL_KEYWORDS_TYPE_Vector_EQTY_200005121" localSheetId="14">#REF!,#REF!,#REF!,#REF!,#REF!</definedName>
    <definedName name="L_ALL_KEYWORDS_TYPE_Vector_EQTY_200005121" localSheetId="18">#REF!,#REF!,#REF!,#REF!,#REF!</definedName>
    <definedName name="L_ALL_KEYWORDS_TYPE_Vector_EQTY_200005121">#REF!,#REF!,#REF!,#REF!,#REF!</definedName>
    <definedName name="L_ALL_KEYWORDS_TYPE_Vector_EQTY_200007513" localSheetId="2">#REF!,#REF!,#REF!,#REF!,#REF!</definedName>
    <definedName name="L_ALL_KEYWORDS_TYPE_Vector_EQTY_200007513" localSheetId="14">#REF!,#REF!,#REF!,#REF!,#REF!</definedName>
    <definedName name="L_ALL_KEYWORDS_TYPE_Vector_EQTY_200007513">#REF!,#REF!,#REF!,#REF!,#REF!</definedName>
    <definedName name="L_ALL_KEYWORDS_TYPE_Vector_EQTY_200008448" localSheetId="2">#REF!,#REF!,#REF!,#REF!,#REF!</definedName>
    <definedName name="L_ALL_KEYWORDS_TYPE_Vector_EQTY_200008448" localSheetId="14">#REF!,#REF!,#REF!,#REF!,#REF!</definedName>
    <definedName name="L_ALL_KEYWORDS_TYPE_Vector_EQTY_200008448">#REF!,#REF!,#REF!,#REF!,#REF!</definedName>
    <definedName name="L_ALL_KEYWORDS_TYPE_Vector_EQTY_200009618" localSheetId="2">#REF!,#REF!,#REF!,#REF!,#REF!</definedName>
    <definedName name="L_ALL_KEYWORDS_TYPE_Vector_EQTY_200009618" localSheetId="14">#REF!,#REF!,#REF!,#REF!,#REF!</definedName>
    <definedName name="L_ALL_KEYWORDS_TYPE_Vector_EQTY_200009618">#REF!,#REF!,#REF!,#REF!,#REF!</definedName>
    <definedName name="L_ALL_KEYWORDS_TYPE_Vector_EQTY_200009619" localSheetId="2">#REF!,#REF!,#REF!,#REF!,#REF!</definedName>
    <definedName name="L_ALL_KEYWORDS_TYPE_Vector_EQTY_200009619" localSheetId="14">#REF!,#REF!,#REF!,#REF!,#REF!</definedName>
    <definedName name="L_ALL_KEYWORDS_TYPE_Vector_EQTY_200009619">#REF!,#REF!,#REF!,#REF!,#REF!</definedName>
    <definedName name="L_ALL_KEYWORDS_TYPE_Vector_EQTY_200009620" localSheetId="2">#REF!,#REF!,#REF!,#REF!,#REF!</definedName>
    <definedName name="L_ALL_KEYWORDS_TYPE_Vector_EQTY_200009620" localSheetId="14">#REF!,#REF!,#REF!,#REF!,#REF!</definedName>
    <definedName name="L_ALL_KEYWORDS_TYPE_Vector_EQTY_200009620">#REF!,#REF!,#REF!,#REF!,#REF!</definedName>
    <definedName name="L_ALL_KEYWORDS_TYPE_Vector_EQTY_200011295" localSheetId="2">#REF!,#REF!,#REF!,#REF!,#REF!</definedName>
    <definedName name="L_ALL_KEYWORDS_TYPE_Vector_EQTY_200011295" localSheetId="14">#REF!,#REF!,#REF!,#REF!,#REF!</definedName>
    <definedName name="L_ALL_KEYWORDS_TYPE_Vector_EQTY_200011295">#REF!,#REF!,#REF!,#REF!,#REF!</definedName>
    <definedName name="L_ALL_KEYWORDS_TYPE_Vector_ISSR_208000023">#REF!,#REF!,#REF!,#REF!,#REF!,#REF!,#REF!,#REF!,#REF!,#REF!,#REF!,#REF!,#REF!,#REF!,#REF!,#REF!,#REF!,#REF!,#REF!,#REF!,#REF!,#REF!,#REF!,#REF!,#REF!</definedName>
    <definedName name="L_ALL_KEYWORDS_TYPE_Vector_ISSR_208001092" localSheetId="2">#REF!,#REF!,#REF!,#REF!,#REF!,#REF!,#REF!,#REF!,#REF!,#REF!,#REF!,#REF!,#REF!,#REF!,#REF!,#REF!,#REF!,#REF!,#REF!,#REF!,#REF!,#REF!,#REF!,#REF!,#REF!,#REF!</definedName>
    <definedName name="L_ALL_KEYWORDS_TYPE_Vector_ISSR_208001092" localSheetId="14">#REF!,#REF!,#REF!,#REF!,#REF!,#REF!,#REF!,#REF!,#REF!,#REF!,#REF!,#REF!,#REF!,#REF!,#REF!,#REF!,#REF!,#REF!,#REF!,#REF!,#REF!,#REF!,#REF!,#REF!,#REF!,#REF!</definedName>
    <definedName name="L_ALL_KEYWORDS_TYPE_Vector_ISSR_208001092">#REF!,#REF!,#REF!,#REF!,#REF!,#REF!,#REF!,#REF!,#REF!,#REF!,#REF!,#REF!,#REF!,#REF!,#REF!,#REF!,#REF!,#REF!,#REF!,#REF!,#REF!,#REF!,#REF!,#REF!,#REF!,#REF!</definedName>
    <definedName name="L_ALL_KEYWORDS_TYPE_Vector_ISSR_208001095" localSheetId="2">#REF!,#REF!,#REF!,#REF!,#REF!,#REF!,#REF!,#REF!,#REF!,#REF!,#REF!,#REF!,#REF!,#REF!</definedName>
    <definedName name="L_ALL_KEYWORDS_TYPE_Vector_ISSR_208001095">#REF!,#REF!,#REF!,#REF!,#REF!,#REF!,#REF!,#REF!,#REF!,#REF!,#REF!,#REF!,#REF!,#REF!</definedName>
    <definedName name="L_ALL_KEYWORDS_TYPE_Vector_ISSR_208001096" localSheetId="2">#REF!,#REF!,#REF!,#REF!,#REF!,#REF!,#REF!,#REF!,#REF!,#REF!,#REF!,#REF!,#REF!,#REF!,#REF!,#REF!,#REF!,#REF!,#REF!,#REF!,#REF!,#REF!,#REF!,#REF!,#REF!,#REF!</definedName>
    <definedName name="L_ALL_KEYWORDS_TYPE_Vector_ISSR_208001096" localSheetId="14">#REF!,#REF!,#REF!,#REF!,#REF!,#REF!,#REF!,#REF!,#REF!,#REF!,#REF!,#REF!,#REF!,#REF!,#REF!,#REF!,#REF!,#REF!,#REF!,#REF!,#REF!,#REF!,#REF!,#REF!,#REF!,#REF!</definedName>
    <definedName name="L_ALL_KEYWORDS_TYPE_Vector_ISSR_208001096">#REF!,#REF!,#REF!,#REF!,#REF!,#REF!,#REF!,#REF!,#REF!,#REF!,#REF!,#REF!,#REF!,#REF!,#REF!,#REF!,#REF!,#REF!,#REF!,#REF!,#REF!,#REF!,#REF!,#REF!,#REF!,#REF!</definedName>
    <definedName name="L_ALL_KEYWORDS_TYPE_Vector_ISSR_208001098" localSheetId="2">#REF!,#REF!,#REF!,#REF!,#REF!,#REF!,#REF!,#REF!,#REF!,#REF!,#REF!,#REF!,#REF!,#REF!,#REF!,#REF!,#REF!,#REF!,#REF!,#REF!,#REF!,#REF!,#REF!,#REF!,#REF!,#REF!</definedName>
    <definedName name="L_ALL_KEYWORDS_TYPE_Vector_ISSR_208001098" localSheetId="14">#REF!,#REF!,#REF!,#REF!,#REF!,#REF!,#REF!,#REF!,#REF!,#REF!,#REF!,#REF!,#REF!,#REF!,#REF!,#REF!,#REF!,#REF!,#REF!,#REF!,#REF!,#REF!,#REF!,#REF!,#REF!,#REF!</definedName>
    <definedName name="L_ALL_KEYWORDS_TYPE_Vector_ISSR_208001098">#REF!,#REF!,#REF!,#REF!,#REF!,#REF!,#REF!,#REF!,#REF!,#REF!,#REF!,#REF!,#REF!,#REF!,#REF!,#REF!,#REF!,#REF!,#REF!,#REF!,#REF!,#REF!,#REF!,#REF!,#REF!,#REF!</definedName>
    <definedName name="L_ALL_KEYWORDS_TYPE_Vector_ISSR_208001100" localSheetId="2">#REF!,#REF!,#REF!,#REF!,#REF!,#REF!,#REF!,#REF!,#REF!,#REF!,#REF!,#REF!,#REF!,#REF!,#REF!,#REF!,#REF!,#REF!,#REF!,#REF!,#REF!,#REF!,#REF!,#REF!,#REF!,#REF!</definedName>
    <definedName name="L_ALL_KEYWORDS_TYPE_Vector_ISSR_208001100" localSheetId="14">#REF!,#REF!,#REF!,#REF!,#REF!,#REF!,#REF!,#REF!,#REF!,#REF!,#REF!,#REF!,#REF!,#REF!,#REF!,#REF!,#REF!,#REF!,#REF!,#REF!,#REF!,#REF!,#REF!,#REF!,#REF!,#REF!</definedName>
    <definedName name="L_ALL_KEYWORDS_TYPE_Vector_ISSR_208001100">#REF!,#REF!,#REF!,#REF!,#REF!,#REF!,#REF!,#REF!,#REF!,#REF!,#REF!,#REF!,#REF!,#REF!,#REF!,#REF!,#REF!,#REF!,#REF!,#REF!,#REF!,#REF!,#REF!,#REF!,#REF!,#REF!</definedName>
    <definedName name="L_ALL_KEYWORDS_TYPE_Vector_ISSR_208001129" localSheetId="2">#REF!,#REF!,#REF!,#REF!,#REF!,#REF!,#REF!,#REF!,#REF!,#REF!,#REF!,#REF!,#REF!,#REF!,#REF!,#REF!,#REF!,#REF!,#REF!,#REF!,#REF!,#REF!,#REF!,#REF!,#REF!,#REF!</definedName>
    <definedName name="L_ALL_KEYWORDS_TYPE_Vector_ISSR_208001129" localSheetId="14">#REF!,#REF!,#REF!,#REF!,#REF!,#REF!,#REF!,#REF!,#REF!,#REF!,#REF!,#REF!,#REF!,#REF!,#REF!,#REF!,#REF!,#REF!,#REF!,#REF!,#REF!,#REF!,#REF!,#REF!,#REF!,#REF!</definedName>
    <definedName name="L_ALL_KEYWORDS_TYPE_Vector_ISSR_208001129">#REF!,#REF!,#REF!,#REF!,#REF!,#REF!,#REF!,#REF!,#REF!,#REF!,#REF!,#REF!,#REF!,#REF!,#REF!,#REF!,#REF!,#REF!,#REF!,#REF!,#REF!,#REF!,#REF!,#REF!,#REF!,#REF!</definedName>
    <definedName name="L_ALL_KEYWORDS_TYPE_Vector_ISSR_208001219" localSheetId="2">#REF!,#REF!,#REF!,#REF!,#REF!,#REF!,#REF!,#REF!,#REF!,#REF!,#REF!,#REF!,#REF!,#REF!,#REF!,#REF!,#REF!,#REF!,#REF!</definedName>
    <definedName name="L_ALL_KEYWORDS_TYPE_Vector_ISSR_208001219">#REF!,#REF!,#REF!,#REF!,#REF!,#REF!,#REF!,#REF!,#REF!,#REF!,#REF!,#REF!,#REF!,#REF!,#REF!,#REF!,#REF!,#REF!,#REF!</definedName>
    <definedName name="L_ALL_KEYWORDS_TYPE_Vector_ISSR_208001433" localSheetId="2">#REF!,#REF!,#REF!,#REF!,#REF!,#REF!,#REF!,#REF!,#REF!,#REF!,#REF!,#REF!,#REF!,#REF!,#REF!,#REF!,#REF!,#REF!,#REF!,#REF!,#REF!,#REF!,#REF!,#REF!,#REF!,#REF!</definedName>
    <definedName name="L_ALL_KEYWORDS_TYPE_Vector_ISSR_208001433" localSheetId="14">#REF!,#REF!,#REF!,#REF!,#REF!,#REF!,#REF!,#REF!,#REF!,#REF!,#REF!,#REF!,#REF!,#REF!</definedName>
    <definedName name="L_ALL_KEYWORDS_TYPE_Vector_ISSR_208001433" localSheetId="18">#REF!,#REF!,#REF!,#REF!,#REF!,#REF!,#REF!,#REF!,#REF!,#REF!,#REF!,#REF!,#REF!,#REF!</definedName>
    <definedName name="L_ALL_KEYWORDS_TYPE_Vector_ISSR_208001433">#REF!,#REF!,#REF!,#REF!,#REF!,#REF!,#REF!,#REF!,#REF!,#REF!,#REF!,#REF!,#REF!,#REF!,#REF!,#REF!,#REF!,#REF!,#REF!,#REF!,#REF!,#REF!,#REF!,#REF!,#REF!,#REF!</definedName>
    <definedName name="L_ALL_KEYWORDS_TYPE_Vector_ISSR_208002861" localSheetId="2">#REF!,#REF!,#REF!,#REF!,#REF!,#REF!,#REF!,#REF!,#REF!,#REF!,#REF!,#REF!,#REF!,#REF!,#REF!,#REF!,#REF!,#REF!,#REF!,#REF!,#REF!,#REF!,#REF!,#REF!,#REF!,#REF!</definedName>
    <definedName name="L_ALL_KEYWORDS_TYPE_Vector_ISSR_208002861" localSheetId="14">#REF!,#REF!,#REF!,#REF!,#REF!,#REF!,#REF!,#REF!,#REF!,#REF!,#REF!,#REF!,#REF!,#REF!,#REF!,#REF!,#REF!,#REF!,#REF!,#REF!,#REF!,#REF!,#REF!,#REF!,#REF!,#REF!</definedName>
    <definedName name="L_ALL_KEYWORDS_TYPE_Vector_ISSR_208002861">#REF!,#REF!,#REF!,#REF!,#REF!,#REF!,#REF!,#REF!,#REF!,#REF!,#REF!,#REF!,#REF!,#REF!,#REF!,#REF!,#REF!,#REF!,#REF!,#REF!,#REF!,#REF!,#REF!,#REF!,#REF!,#REF!</definedName>
    <definedName name="L_ALL_KEYWORDS_TYPE_Vector_ISSR_208006659" localSheetId="2">#REF!,#REF!,#REF!,#REF!,#REF!,#REF!,#REF!,#REF!,#REF!,#REF!,#REF!,#REF!,#REF!,#REF!</definedName>
    <definedName name="L_ALL_KEYWORDS_TYPE_Vector_ISSR_208006659" localSheetId="14">#REF!,#REF!,#REF!,#REF!,#REF!,#REF!,#REF!,#REF!,#REF!,#REF!,#REF!,#REF!,#REF!,#REF!,#REF!,#REF!,#REF!,#REF!,#REF!,#REF!,#REF!,#REF!,#REF!,#REF!,#REF!,#REF!</definedName>
    <definedName name="L_ALL_KEYWORDS_TYPE_Vector_ISSR_208006659" localSheetId="18">#REF!,#REF!,#REF!,#REF!,#REF!,#REF!,#REF!,#REF!,#REF!,#REF!,#REF!,#REF!,#REF!,#REF!,#REF!,#REF!,#REF!,#REF!,#REF!,#REF!,#REF!,#REF!</definedName>
    <definedName name="L_ALL_KEYWORDS_TYPE_Vector_ISSR_208006659">#REF!,#REF!,#REF!,#REF!,#REF!,#REF!,#REF!,#REF!,#REF!,#REF!,#REF!,#REF!,#REF!,#REF!,#REF!,#REF!,#REF!,#REF!,#REF!,#REF!,#REF!,#REF!</definedName>
    <definedName name="L_ALL_KEYWORDS_TYPE_Vector_ISSR_208007413" localSheetId="2">#REF!,#REF!,#REF!,#REF!,#REF!,#REF!,#REF!,#REF!,#REF!,#REF!,#REF!,#REF!,#REF!,#REF!,#REF!,#REF!,#REF!,#REF!,#REF!,#REF!,#REF!,#REF!,#REF!,#REF!,#REF!,#REF!</definedName>
    <definedName name="L_ALL_KEYWORDS_TYPE_Vector_ISSR_208007413" localSheetId="14">#REF!,#REF!,#REF!,#REF!,#REF!,#REF!,#REF!,#REF!,#REF!,#REF!,#REF!,#REF!</definedName>
    <definedName name="L_ALL_KEYWORDS_TYPE_Vector_ISSR_208007413">#REF!,#REF!,#REF!,#REF!,#REF!,#REF!,#REF!,#REF!,#REF!,#REF!,#REF!,#REF!,#REF!,#REF!,#REF!,#REF!,#REF!,#REF!,#REF!,#REF!,#REF!,#REF!,#REF!,#REF!,#REF!,#REF!</definedName>
    <definedName name="L_ALL_KEYWORDS_TYPE_Vector_ISSR_208007414" localSheetId="2">#REF!,#REF!,#REF!,#REF!,#REF!,#REF!,#REF!,#REF!,#REF!</definedName>
    <definedName name="L_ALL_KEYWORDS_TYPE_Vector_ISSR_208007414" localSheetId="14">#REF!,#REF!,#REF!,#REF!,#REF!,#REF!,#REF!,#REF!,#REF!</definedName>
    <definedName name="L_ALL_KEYWORDS_TYPE_Vector_ISSR_208007414">#REF!,#REF!,#REF!,#REF!,#REF!,#REF!,#REF!,#REF!,#REF!</definedName>
    <definedName name="L_ALL_KEYWORDS_TYPE_Vector_ISSR_208007415" localSheetId="2">#REF!,#REF!,#REF!,#REF!,#REF!,#REF!,#REF!,#REF!,#REF!,#REF!,#REF!,#REF!,#REF!,#REF!,#REF!,#REF!,#REF!,#REF!,#REF!,#REF!,#REF!,#REF!,#REF!,#REF!,#REF!,#REF!</definedName>
    <definedName name="L_ALL_KEYWORDS_TYPE_Vector_ISSR_208007415" localSheetId="14">#REF!,#REF!,#REF!,#REF!,#REF!,#REF!,#REF!,#REF!,#REF!,#REF!,#REF!,#REF!,#REF!,#REF!</definedName>
    <definedName name="L_ALL_KEYWORDS_TYPE_Vector_ISSR_208007415">#REF!,#REF!,#REF!,#REF!,#REF!,#REF!,#REF!,#REF!,#REF!,#REF!,#REF!,#REF!,#REF!,#REF!,#REF!,#REF!,#REF!,#REF!,#REF!,#REF!,#REF!,#REF!,#REF!,#REF!,#REF!,#REF!</definedName>
    <definedName name="L_ALL_KEYWORDS_TYPE_Vector_ISSR_208008646" localSheetId="2">#REF!,#REF!,#REF!,#REF!,#REF!,#REF!,#REF!,#REF!,#REF!,#REF!,#REF!,#REF!,#REF!,#REF!</definedName>
    <definedName name="L_ALL_KEYWORDS_TYPE_Vector_ISSR_208008646" localSheetId="14">#REF!,#REF!,#REF!,#REF!,#REF!,#REF!,#REF!,#REF!,#REF!,#REF!,#REF!,#REF!,#REF!,#REF!,#REF!,#REF!,#REF!,#REF!,#REF!,#REF!,#REF!,#REF!,#REF!,#REF!,#REF!,#REF!</definedName>
    <definedName name="L_ALL_KEYWORDS_TYPE_Vector_ISSR_208008646">#REF!,#REF!,#REF!,#REF!,#REF!,#REF!,#REF!,#REF!,#REF!,#REF!,#REF!,#REF!,#REF!,#REF!</definedName>
    <definedName name="L_ALL_MGGT.L" localSheetId="2">#REF!</definedName>
    <definedName name="L_ALL_MGGT.L" localSheetId="14">#REF!</definedName>
    <definedName name="L_ALL_MGGT.L">#REF!</definedName>
    <definedName name="L_ALL_MTXGn.DE" localSheetId="2">#REF!</definedName>
    <definedName name="L_ALL_MTXGn.DE" localSheetId="14">#REF!</definedName>
    <definedName name="L_ALL_MTXGn.DE">#REF!</definedName>
    <definedName name="L_ALL_PERIODS_MTXGn.DE" localSheetId="17">#REF!</definedName>
    <definedName name="L_ALL_PERIODS_MTXGn.DE" localSheetId="14">#REF!</definedName>
    <definedName name="L_ALL_PERIODS_MTXGn.DE" localSheetId="18">#REF!</definedName>
    <definedName name="L_ALL_PERIODS_MTXGn.DE" localSheetId="19">#REF!</definedName>
    <definedName name="L_ALL_PERIODS_MTXGn.DE">#REF!</definedName>
    <definedName name="L_ALL_QQ.L" localSheetId="2">#REF!</definedName>
    <definedName name="L_ALL_QQ.L" localSheetId="14">#REF!</definedName>
    <definedName name="L_ALL_QQ.L">#REF!</definedName>
    <definedName name="L_ALL_RR.L" localSheetId="2">#REF!</definedName>
    <definedName name="L_ALL_RR.L" localSheetId="14">#REF!</definedName>
    <definedName name="L_ALL_RR.L">#REF!</definedName>
    <definedName name="L_ALL_SAABb.ST" localSheetId="2">#REF!</definedName>
    <definedName name="L_ALL_SAABb.ST" localSheetId="14">#REF!</definedName>
    <definedName name="L_ALL_SAABb.ST">#REF!</definedName>
    <definedName name="L_ALL_SAABb.ST_" localSheetId="17">#REF!</definedName>
    <definedName name="L_ALL_SAABb.ST_" localSheetId="14">#REF!</definedName>
    <definedName name="L_ALL_SAABb.ST_" localSheetId="18">#REF!</definedName>
    <definedName name="L_ALL_SAABb.ST_" localSheetId="19">#REF!</definedName>
    <definedName name="L_ALL_SAABb.ST_">#REF!</definedName>
    <definedName name="L_ALL_SAF.PA" localSheetId="21">#REF!</definedName>
    <definedName name="L_ALL_SAF.PA" localSheetId="14">#REF!</definedName>
    <definedName name="L_ALL_SAF.PA" localSheetId="18">#REF!</definedName>
    <definedName name="L_ALL_SAF.PA">#REF!</definedName>
    <definedName name="L_ALL_SAF.PA_" localSheetId="17">#REF!</definedName>
    <definedName name="L_ALL_SAF.PA_" localSheetId="14">#REF!</definedName>
    <definedName name="L_ALL_SAF.PA_" localSheetId="18">#REF!</definedName>
    <definedName name="L_ALL_SAF.PA_" localSheetId="19">#REF!</definedName>
    <definedName name="L_ALL_SAF.PA_">#REF!</definedName>
    <definedName name="L_ALL_SAND.ST">#REF!</definedName>
    <definedName name="L_ALL_SECTION_KEYWORDS_EQTY_200007513_1314" localSheetId="17">#REF!</definedName>
    <definedName name="L_ALL_SECTION_KEYWORDS_EQTY_200007513_1314" localSheetId="14">#REF!</definedName>
    <definedName name="L_ALL_SECTION_KEYWORDS_EQTY_200007513_1314" localSheetId="18">#REF!</definedName>
    <definedName name="L_ALL_SECTION_KEYWORDS_EQTY_200007513_1314" localSheetId="19">#REF!</definedName>
    <definedName name="L_ALL_SECTION_KEYWORDS_EQTY_200007513_1314">#REF!</definedName>
    <definedName name="L_ALL_SECTION_KEYWORDS_EQTY_200007513_131E" localSheetId="17">#REF!</definedName>
    <definedName name="L_ALL_SECTION_KEYWORDS_EQTY_200007513_131E" localSheetId="14">#REF!</definedName>
    <definedName name="L_ALL_SECTION_KEYWORDS_EQTY_200007513_131E" localSheetId="18">#REF!</definedName>
    <definedName name="L_ALL_SECTION_KEYWORDS_EQTY_200007513_131E" localSheetId="19">#REF!</definedName>
    <definedName name="L_ALL_SECTION_KEYWORDS_EQTY_200007513_131E">#REF!</definedName>
    <definedName name="L_ALL_SECTION_KEYWORDS_EQTY_200007513_131O" localSheetId="17">#REF!</definedName>
    <definedName name="L_ALL_SECTION_KEYWORDS_EQTY_200007513_131O" localSheetId="14">#REF!</definedName>
    <definedName name="L_ALL_SECTION_KEYWORDS_EQTY_200007513_131O" localSheetId="18">#REF!</definedName>
    <definedName name="L_ALL_SECTION_KEYWORDS_EQTY_200007513_131O" localSheetId="19">#REF!</definedName>
    <definedName name="L_ALL_SECTION_KEYWORDS_EQTY_200007513_131O">#REF!</definedName>
    <definedName name="L_ALL_SECTION_KEYWORDS_EQTY_200007513_13A" localSheetId="17">#REF!</definedName>
    <definedName name="L_ALL_SECTION_KEYWORDS_EQTY_200007513_13A" localSheetId="14">#REF!</definedName>
    <definedName name="L_ALL_SECTION_KEYWORDS_EQTY_200007513_13A" localSheetId="18">#REF!</definedName>
    <definedName name="L_ALL_SECTION_KEYWORDS_EQTY_200007513_13A" localSheetId="19">#REF!</definedName>
    <definedName name="L_ALL_SECTION_KEYWORDS_EQTY_200007513_13A">#REF!</definedName>
    <definedName name="L_ALL_SECTION_KEYWORDS_EQTY_200007513_13K" localSheetId="17">#REF!</definedName>
    <definedName name="L_ALL_SECTION_KEYWORDS_EQTY_200007513_13K" localSheetId="14">#REF!</definedName>
    <definedName name="L_ALL_SECTION_KEYWORDS_EQTY_200007513_13K" localSheetId="18">#REF!</definedName>
    <definedName name="L_ALL_SECTION_KEYWORDS_EQTY_200007513_13K" localSheetId="19">#REF!</definedName>
    <definedName name="L_ALL_SECTION_KEYWORDS_EQTY_200007513_13K">#REF!</definedName>
    <definedName name="L_ALL_SECTION_KEYWORDS_EQTY_200007513_13U" localSheetId="17">#REF!</definedName>
    <definedName name="L_ALL_SECTION_KEYWORDS_EQTY_200007513_13U" localSheetId="14">#REF!</definedName>
    <definedName name="L_ALL_SECTION_KEYWORDS_EQTY_200007513_13U" localSheetId="18">#REF!</definedName>
    <definedName name="L_ALL_SECTION_KEYWORDS_EQTY_200007513_13U" localSheetId="19">#REF!</definedName>
    <definedName name="L_ALL_SECTION_KEYWORDS_EQTY_200007513_13U">#REF!</definedName>
    <definedName name="L_ALL_SECTION_KEYWORDS_EQTY_200007513_13V" localSheetId="17">#REF!</definedName>
    <definedName name="L_ALL_SECTION_KEYWORDS_EQTY_200007513_13V" localSheetId="14">#REF!</definedName>
    <definedName name="L_ALL_SECTION_KEYWORDS_EQTY_200007513_13V" localSheetId="18">#REF!</definedName>
    <definedName name="L_ALL_SECTION_KEYWORDS_EQTY_200007513_13V" localSheetId="19">#REF!</definedName>
    <definedName name="L_ALL_SECTION_KEYWORDS_EQTY_200007513_13V">#REF!</definedName>
    <definedName name="L_ALL_SECTION_KEYWORDS_EQTY_200007513_Reference_Data" localSheetId="17">#REF!</definedName>
    <definedName name="L_ALL_SECTION_KEYWORDS_EQTY_200007513_Reference_Data" localSheetId="14">#REF!</definedName>
    <definedName name="L_ALL_SECTION_KEYWORDS_EQTY_200007513_Reference_Data" localSheetId="18">#REF!</definedName>
    <definedName name="L_ALL_SECTION_KEYWORDS_EQTY_200007513_Reference_Data" localSheetId="19">#REF!</definedName>
    <definedName name="L_ALL_SECTION_KEYWORDS_EQTY_200007513_Reference_Data">#REF!</definedName>
    <definedName name="L_ALL_SECTION_KEYWORDS_EQTY_200008448_13A">#REF!</definedName>
    <definedName name="L_ALL_SECTION_KEYWORDS_ISSR_208000023_13V">#REF!,#REF!</definedName>
    <definedName name="L_ALL_SECTION_KEYWORDS_ISSR_208001092_13V" localSheetId="2">#REF!,#REF!</definedName>
    <definedName name="L_ALL_SECTION_KEYWORDS_ISSR_208001092_13V">#REF!,#REF!</definedName>
    <definedName name="L_ALL_SECTION_KEYWORDS_ISSR_208001095_13V" localSheetId="2">#REF!,#REF!</definedName>
    <definedName name="L_ALL_SECTION_KEYWORDS_ISSR_208001095_13V">#REF!,#REF!</definedName>
    <definedName name="L_ALL_SECTION_KEYWORDS_ISSR_208001098_13173">#REF!,#REF!</definedName>
    <definedName name="L_ALL_SECTION_KEYWORDS_ISSR_208001098_13178">#REF!,#REF!</definedName>
    <definedName name="L_ALL_SECTION_KEYWORDS_ISSR_208001098_136J">#REF!,#REF!</definedName>
    <definedName name="L_ALL_SECTION_KEYWORDS_ISSR_208001100_13V" localSheetId="2">#REF!,#REF!</definedName>
    <definedName name="L_ALL_SECTION_KEYWORDS_ISSR_208001100_13V">#REF!,#REF!</definedName>
    <definedName name="L_ALL_SECTION_KEYWORDS_ISSR_208001219_136E" localSheetId="2">#REF!,#REF!</definedName>
    <definedName name="L_ALL_SECTION_KEYWORDS_ISSR_208001219_136E">#REF!,#REF!</definedName>
    <definedName name="L_ALL_SECTION_KEYWORDS_ISSR_208001433_13173" localSheetId="2">#REF!,#REF!</definedName>
    <definedName name="L_ALL_SECTION_KEYWORDS_ISSR_208001433_13173">#REF!,#REF!</definedName>
    <definedName name="L_ALL_SECTION_KEYWORDS_ISSR_208001433_13178">#REF!,#REF!</definedName>
    <definedName name="L_ALL_SECTION_KEYWORDS_ISSR_208001433_131O">#REF!,#REF!</definedName>
    <definedName name="L_ALL_SECTION_KEYWORDS_ISSR_208001433_136J" localSheetId="2">#REF!,#REF!</definedName>
    <definedName name="L_ALL_SECTION_KEYWORDS_ISSR_208001433_136J">#REF!,#REF!</definedName>
    <definedName name="L_ALL_SECTION_KEYWORDS_ISSR_208001433_13V" localSheetId="2">#REF!,#REF!</definedName>
    <definedName name="L_ALL_SECTION_KEYWORDS_ISSR_208001433_13V" localSheetId="18">#REF!,#REF!</definedName>
    <definedName name="L_ALL_SECTION_KEYWORDS_ISSR_208001433_13V">#REF!,#REF!</definedName>
    <definedName name="L_ALL_SECTION_KEYWORDS_ISSR_208002861_1314" localSheetId="17">#REF!</definedName>
    <definedName name="L_ALL_SECTION_KEYWORDS_ISSR_208002861_1314" localSheetId="14">#REF!</definedName>
    <definedName name="L_ALL_SECTION_KEYWORDS_ISSR_208002861_1314" localSheetId="18">#REF!</definedName>
    <definedName name="L_ALL_SECTION_KEYWORDS_ISSR_208002861_1314" localSheetId="19">#REF!</definedName>
    <definedName name="L_ALL_SECTION_KEYWORDS_ISSR_208002861_1314">#REF!</definedName>
    <definedName name="L_ALL_SECTION_KEYWORDS_ISSR_208002861_13168" localSheetId="17">#REF!</definedName>
    <definedName name="L_ALL_SECTION_KEYWORDS_ISSR_208002861_13168" localSheetId="14">#REF!</definedName>
    <definedName name="L_ALL_SECTION_KEYWORDS_ISSR_208002861_13168" localSheetId="18">#REF!</definedName>
    <definedName name="L_ALL_SECTION_KEYWORDS_ISSR_208002861_13168" localSheetId="19">#REF!</definedName>
    <definedName name="L_ALL_SECTION_KEYWORDS_ISSR_208002861_13168">#REF!</definedName>
    <definedName name="L_ALL_SECTION_KEYWORDS_ISSR_208002861_1316S" localSheetId="17">#REF!</definedName>
    <definedName name="L_ALL_SECTION_KEYWORDS_ISSR_208002861_1316S" localSheetId="14">#REF!</definedName>
    <definedName name="L_ALL_SECTION_KEYWORDS_ISSR_208002861_1316S" localSheetId="18">#REF!</definedName>
    <definedName name="L_ALL_SECTION_KEYWORDS_ISSR_208002861_1316S" localSheetId="19">#REF!</definedName>
    <definedName name="L_ALL_SECTION_KEYWORDS_ISSR_208002861_1316S">#REF!</definedName>
    <definedName name="L_ALL_SECTION_KEYWORDS_ISSR_208002861_1316T" localSheetId="17">#REF!</definedName>
    <definedName name="L_ALL_SECTION_KEYWORDS_ISSR_208002861_1316T" localSheetId="14">#REF!</definedName>
    <definedName name="L_ALL_SECTION_KEYWORDS_ISSR_208002861_1316T" localSheetId="18">#REF!</definedName>
    <definedName name="L_ALL_SECTION_KEYWORDS_ISSR_208002861_1316T" localSheetId="19">#REF!</definedName>
    <definedName name="L_ALL_SECTION_KEYWORDS_ISSR_208002861_1316T">#REF!</definedName>
    <definedName name="L_ALL_SECTION_KEYWORDS_ISSR_208002861_1316U" localSheetId="17">#REF!</definedName>
    <definedName name="L_ALL_SECTION_KEYWORDS_ISSR_208002861_1316U" localSheetId="14">#REF!</definedName>
    <definedName name="L_ALL_SECTION_KEYWORDS_ISSR_208002861_1316U" localSheetId="18">#REF!</definedName>
    <definedName name="L_ALL_SECTION_KEYWORDS_ISSR_208002861_1316U" localSheetId="19">#REF!</definedName>
    <definedName name="L_ALL_SECTION_KEYWORDS_ISSR_208002861_1316U">#REF!</definedName>
    <definedName name="L_ALL_SECTION_KEYWORDS_ISSR_208002861_1319" localSheetId="17">#REF!</definedName>
    <definedName name="L_ALL_SECTION_KEYWORDS_ISSR_208002861_1319" localSheetId="14">#REF!</definedName>
    <definedName name="L_ALL_SECTION_KEYWORDS_ISSR_208002861_1319" localSheetId="18">#REF!</definedName>
    <definedName name="L_ALL_SECTION_KEYWORDS_ISSR_208002861_1319" localSheetId="19">#REF!</definedName>
    <definedName name="L_ALL_SECTION_KEYWORDS_ISSR_208002861_1319">#REF!</definedName>
    <definedName name="L_ALL_SECTION_KEYWORDS_ISSR_208002861_131E" localSheetId="17">#REF!</definedName>
    <definedName name="L_ALL_SECTION_KEYWORDS_ISSR_208002861_131E" localSheetId="14">#REF!</definedName>
    <definedName name="L_ALL_SECTION_KEYWORDS_ISSR_208002861_131E" localSheetId="18">#REF!</definedName>
    <definedName name="L_ALL_SECTION_KEYWORDS_ISSR_208002861_131E" localSheetId="19">#REF!</definedName>
    <definedName name="L_ALL_SECTION_KEYWORDS_ISSR_208002861_131E">#REF!</definedName>
    <definedName name="L_ALL_SECTION_KEYWORDS_ISSR_208002861_131J" localSheetId="17">#REF!</definedName>
    <definedName name="L_ALL_SECTION_KEYWORDS_ISSR_208002861_131J" localSheetId="14">#REF!</definedName>
    <definedName name="L_ALL_SECTION_KEYWORDS_ISSR_208002861_131J" localSheetId="18">#REF!</definedName>
    <definedName name="L_ALL_SECTION_KEYWORDS_ISSR_208002861_131J" localSheetId="19">#REF!</definedName>
    <definedName name="L_ALL_SECTION_KEYWORDS_ISSR_208002861_131J">#REF!</definedName>
    <definedName name="L_ALL_SECTION_KEYWORDS_ISSR_208002861_131O" localSheetId="17">#REF!</definedName>
    <definedName name="L_ALL_SECTION_KEYWORDS_ISSR_208002861_131O" localSheetId="14">#REF!</definedName>
    <definedName name="L_ALL_SECTION_KEYWORDS_ISSR_208002861_131O" localSheetId="18">#REF!</definedName>
    <definedName name="L_ALL_SECTION_KEYWORDS_ISSR_208002861_131O" localSheetId="19">#REF!</definedName>
    <definedName name="L_ALL_SECTION_KEYWORDS_ISSR_208002861_131O">#REF!</definedName>
    <definedName name="L_ALL_SECTION_KEYWORDS_ISSR_208002861_13U" localSheetId="17">#REF!</definedName>
    <definedName name="L_ALL_SECTION_KEYWORDS_ISSR_208002861_13U" localSheetId="14">#REF!</definedName>
    <definedName name="L_ALL_SECTION_KEYWORDS_ISSR_208002861_13U" localSheetId="18">#REF!</definedName>
    <definedName name="L_ALL_SECTION_KEYWORDS_ISSR_208002861_13U" localSheetId="19">#REF!</definedName>
    <definedName name="L_ALL_SECTION_KEYWORDS_ISSR_208002861_13U">#REF!</definedName>
    <definedName name="L_ALL_SECTION_KEYWORDS_ISSR_208002861_13V" localSheetId="17">#REF!</definedName>
    <definedName name="L_ALL_SECTION_KEYWORDS_ISSR_208002861_13V" localSheetId="14">#REF!</definedName>
    <definedName name="L_ALL_SECTION_KEYWORDS_ISSR_208002861_13V" localSheetId="18">#REF!</definedName>
    <definedName name="L_ALL_SECTION_KEYWORDS_ISSR_208002861_13V" localSheetId="19">#REF!</definedName>
    <definedName name="L_ALL_SECTION_KEYWORDS_ISSR_208002861_13V">#REF!</definedName>
    <definedName name="L_ALL_SECTION_KEYWORDS_ISSR_208002861_Reference_Data" localSheetId="17">#REF!</definedName>
    <definedName name="L_ALL_SECTION_KEYWORDS_ISSR_208002861_Reference_Data" localSheetId="14">#REF!</definedName>
    <definedName name="L_ALL_SECTION_KEYWORDS_ISSR_208002861_Reference_Data" localSheetId="18">#REF!</definedName>
    <definedName name="L_ALL_SECTION_KEYWORDS_ISSR_208002861_Reference_Data" localSheetId="19">#REF!</definedName>
    <definedName name="L_ALL_SECTION_KEYWORDS_ISSR_208002861_Reference_Data">#REF!</definedName>
    <definedName name="L_ALL_SECTION_KEYWORDS_ISSR_208006659_13173" localSheetId="2">#REF!,#REF!</definedName>
    <definedName name="L_ALL_SECTION_KEYWORDS_ISSR_208006659_13173">#REF!,#REF!</definedName>
    <definedName name="L_ALL_SECTION_KEYWORDS_ISSR_208006659_13178" localSheetId="18">#REF!,#REF!</definedName>
    <definedName name="L_ALL_SECTION_KEYWORDS_ISSR_208006659_13178">#REF!,#REF!</definedName>
    <definedName name="L_ALL_SECTION_KEYWORDS_ISSR_208006659_1319" localSheetId="18">#REF!,#REF!</definedName>
    <definedName name="L_ALL_SECTION_KEYWORDS_ISSR_208006659_1319">#REF!,#REF!</definedName>
    <definedName name="L_ALL_SECTION_KEYWORDS_ISSR_208006659_131O" localSheetId="2">#REF!,#REF!</definedName>
    <definedName name="L_ALL_SECTION_KEYWORDS_ISSR_208006659_131O">#REF!,#REF!</definedName>
    <definedName name="L_ALL_SECTION_KEYWORDS_ISSR_208006659_136J" localSheetId="2">#REF!,#REF!</definedName>
    <definedName name="L_ALL_SECTION_KEYWORDS_ISSR_208006659_136J">#REF!</definedName>
    <definedName name="L_ALL_SECTION_KEYWORDS_ISSR_208007415_13V" localSheetId="2">#REF!,#REF!</definedName>
    <definedName name="L_ALL_SECTION_KEYWORDS_ISSR_208007415_13V">#REF!,#REF!</definedName>
    <definedName name="L_ALL_SECTION_KEYWORDS_ISSR_208008646_13V" localSheetId="2">#REF!,#REF!</definedName>
    <definedName name="L_ALL_SECTION_KEYWORDS_ISSR_208008646_13V">#REF!,#REF!</definedName>
    <definedName name="L_ALL_SECTIONS_EQTY_200003162" localSheetId="2">#REF!,#REF!,#REF!,#REF!,#REF!,#REF!,#REF!,#REF!</definedName>
    <definedName name="L_ALL_SECTIONS_EQTY_200003162" localSheetId="14">#REF!,#REF!,#REF!,#REF!,#REF!,#REF!,#REF!,#REF!</definedName>
    <definedName name="L_ALL_SECTIONS_EQTY_200003162">#REF!,#REF!,#REF!,#REF!,#REF!,#REF!,#REF!,#REF!</definedName>
    <definedName name="L_ALL_SECTIONS_EQTY_200003170" localSheetId="2">#REF!,#REF!,#REF!,#REF!,#REF!,#REF!,#REF!,#REF!</definedName>
    <definedName name="L_ALL_SECTIONS_EQTY_200003170" localSheetId="14">#REF!,#REF!,#REF!,#REF!,#REF!,#REF!,#REF!,#REF!</definedName>
    <definedName name="L_ALL_SECTIONS_EQTY_200003170">#REF!,#REF!,#REF!,#REF!,#REF!,#REF!,#REF!,#REF!</definedName>
    <definedName name="L_ALL_SECTIONS_EQTY_200003173" localSheetId="2">#REF!,#REF!,#REF!,#REF!,#REF!,#REF!,#REF!,#REF!</definedName>
    <definedName name="L_ALL_SECTIONS_EQTY_200003173" localSheetId="14">#REF!,#REF!,#REF!,#REF!,#REF!,#REF!,#REF!,#REF!</definedName>
    <definedName name="L_ALL_SECTIONS_EQTY_200003173">#REF!,#REF!,#REF!,#REF!,#REF!,#REF!,#REF!,#REF!</definedName>
    <definedName name="L_ALL_SECTIONS_EQTY_200003183" localSheetId="2">#REF!,#REF!,#REF!,#REF!,#REF!,#REF!,#REF!,#REF!</definedName>
    <definedName name="L_ALL_SECTIONS_EQTY_200003183" localSheetId="14">#REF!,#REF!,#REF!,#REF!,#REF!,#REF!,#REF!,#REF!</definedName>
    <definedName name="L_ALL_SECTIONS_EQTY_200003183">#REF!,#REF!,#REF!,#REF!,#REF!,#REF!,#REF!,#REF!</definedName>
    <definedName name="L_ALL_SECTIONS_EQTY_200003821" localSheetId="2">#REF!,#REF!,#REF!,#REF!,#REF!,#REF!,#REF!,#REF!</definedName>
    <definedName name="L_ALL_SECTIONS_EQTY_200003821" localSheetId="14">#REF!,#REF!,#REF!,#REF!,#REF!,#REF!,#REF!,#REF!</definedName>
    <definedName name="L_ALL_SECTIONS_EQTY_200003821">#REF!,#REF!,#REF!,#REF!,#REF!,#REF!,#REF!,#REF!</definedName>
    <definedName name="L_ALL_SECTIONS_EQTY_200004285" localSheetId="2">#REF!,#REF!,#REF!,#REF!,#REF!,#REF!,#REF!,#REF!</definedName>
    <definedName name="L_ALL_SECTIONS_EQTY_200004285">#REF!,#REF!,#REF!,#REF!,#REF!,#REF!,#REF!,#REF!</definedName>
    <definedName name="L_ALL_SECTIONS_EQTY_200005121" localSheetId="2">#REF!,#REF!,#REF!,#REF!,#REF!,#REF!,#REF!,#REF!</definedName>
    <definedName name="L_ALL_SECTIONS_EQTY_200005121" localSheetId="14">#REF!,#REF!,#REF!,#REF!,#REF!,#REF!,#REF!,#REF!</definedName>
    <definedName name="L_ALL_SECTIONS_EQTY_200005121">#REF!,#REF!,#REF!,#REF!,#REF!,#REF!,#REF!,#REF!</definedName>
    <definedName name="L_ALL_SECTIONS_EQTY_200007513" localSheetId="2">#REF!,#REF!,#REF!,#REF!,#REF!,#REF!,#REF!,#REF!</definedName>
    <definedName name="L_ALL_SECTIONS_EQTY_200007513" localSheetId="14">#REF!,#REF!,#REF!,#REF!,#REF!,#REF!,#REF!,#REF!</definedName>
    <definedName name="L_ALL_SECTIONS_EQTY_200007513">#REF!,#REF!,#REF!,#REF!,#REF!,#REF!,#REF!,#REF!</definedName>
    <definedName name="L_ALL_SECTIONS_EQTY_200009618" localSheetId="2">#REF!,#REF!,#REF!,#REF!,#REF!,#REF!,#REF!,#REF!</definedName>
    <definedName name="L_ALL_SECTIONS_EQTY_200009618" localSheetId="14">#REF!,#REF!,#REF!,#REF!,#REF!,#REF!,#REF!,#REF!</definedName>
    <definedName name="L_ALL_SECTIONS_EQTY_200009618">#REF!,#REF!,#REF!,#REF!,#REF!,#REF!,#REF!,#REF!</definedName>
    <definedName name="L_ALL_SECTIONS_EQTY_200009619" localSheetId="2">#REF!,#REF!,#REF!,#REF!,#REF!,#REF!,#REF!,#REF!</definedName>
    <definedName name="L_ALL_SECTIONS_EQTY_200009619" localSheetId="14">#REF!,#REF!,#REF!,#REF!,#REF!,#REF!,#REF!,#REF!</definedName>
    <definedName name="L_ALL_SECTIONS_EQTY_200009619">#REF!,#REF!,#REF!,#REF!,#REF!,#REF!,#REF!,#REF!</definedName>
    <definedName name="L_ALL_SECTIONS_EQTY_200009620" localSheetId="2">#REF!,#REF!,#REF!,#REF!,#REF!,#REF!,#REF!,#REF!</definedName>
    <definedName name="L_ALL_SECTIONS_EQTY_200009620" localSheetId="14">#REF!,#REF!,#REF!,#REF!,#REF!,#REF!,#REF!,#REF!</definedName>
    <definedName name="L_ALL_SECTIONS_EQTY_200009620">#REF!,#REF!,#REF!,#REF!,#REF!,#REF!,#REF!,#REF!</definedName>
    <definedName name="L_ALL_SECTIONS_EQTY_200011295" localSheetId="2">#REF!,#REF!,#REF!,#REF!,#REF!,#REF!,#REF!,#REF!</definedName>
    <definedName name="L_ALL_SECTIONS_EQTY_200011295">#REF!,#REF!,#REF!,#REF!,#REF!,#REF!,#REF!,#REF!</definedName>
    <definedName name="L_ALL_SECTIONS_ISSR_208001092" localSheetId="2">#REF!,#REF!,#REF!,#REF!,#REF!,#REF!,#REF!,#REF!,#REF!,#REF!</definedName>
    <definedName name="L_ALL_SECTIONS_ISSR_208001092" localSheetId="14">#REF!,#REF!,#REF!,#REF!,#REF!,#REF!,#REF!,#REF!,#REF!,#REF!</definedName>
    <definedName name="L_ALL_SECTIONS_ISSR_208001092">#REF!,#REF!,#REF!,#REF!,#REF!,#REF!,#REF!,#REF!,#REF!,#REF!</definedName>
    <definedName name="L_ALL_SECTIONS_ISSR_208001096" localSheetId="2">#REF!,#REF!,#REF!,#REF!,#REF!,#REF!,#REF!,#REF!,#REF!,#REF!</definedName>
    <definedName name="L_ALL_SECTIONS_ISSR_208001096" localSheetId="14">#REF!,#REF!,#REF!,#REF!,#REF!,#REF!,#REF!,#REF!,#REF!,#REF!</definedName>
    <definedName name="L_ALL_SECTIONS_ISSR_208001096">#REF!,#REF!,#REF!,#REF!,#REF!,#REF!,#REF!,#REF!,#REF!,#REF!</definedName>
    <definedName name="L_ALL_SECTIONS_ISSR_208001098" localSheetId="2">#REF!,#REF!,#REF!,#REF!,#REF!,#REF!,#REF!,#REF!,#REF!,#REF!</definedName>
    <definedName name="L_ALL_SECTIONS_ISSR_208001098" localSheetId="14">#REF!,#REF!,#REF!,#REF!,#REF!,#REF!,#REF!,#REF!,#REF!,#REF!</definedName>
    <definedName name="L_ALL_SECTIONS_ISSR_208001098">#REF!,#REF!,#REF!,#REF!,#REF!,#REF!,#REF!,#REF!,#REF!,#REF!</definedName>
    <definedName name="L_ALL_SECTIONS_ISSR_208001100" localSheetId="2">#REF!,#REF!,#REF!,#REF!,#REF!,#REF!,#REF!,#REF!,#REF!,#REF!</definedName>
    <definedName name="L_ALL_SECTIONS_ISSR_208001100" localSheetId="14">#REF!,#REF!,#REF!,#REF!,#REF!,#REF!,#REF!,#REF!,#REF!,#REF!</definedName>
    <definedName name="L_ALL_SECTIONS_ISSR_208001100">#REF!,#REF!,#REF!,#REF!,#REF!,#REF!,#REF!,#REF!,#REF!,#REF!</definedName>
    <definedName name="L_ALL_SECTIONS_ISSR_208001129" localSheetId="2">#REF!,#REF!,#REF!,#REF!,#REF!,#REF!,#REF!,#REF!,#REF!,#REF!</definedName>
    <definedName name="L_ALL_SECTIONS_ISSR_208001129" localSheetId="14">#REF!,#REF!,#REF!,#REF!,#REF!,#REF!,#REF!,#REF!,#REF!,#REF!</definedName>
    <definedName name="L_ALL_SECTIONS_ISSR_208001129">#REF!,#REF!,#REF!,#REF!,#REF!,#REF!,#REF!,#REF!,#REF!,#REF!</definedName>
    <definedName name="L_ALL_SECTIONS_ISSR_208001433" localSheetId="2">#REF!,#REF!,#REF!,#REF!,#REF!,#REF!,#REF!,#REF!,#REF!,#REF!</definedName>
    <definedName name="L_ALL_SECTIONS_ISSR_208001433" localSheetId="14">#REF!,#REF!,#REF!,#REF!,#REF!,#REF!,#REF!,#REF!,#REF!,#REF!</definedName>
    <definedName name="L_ALL_SECTIONS_ISSR_208001433">#REF!,#REF!,#REF!,#REF!,#REF!,#REF!,#REF!,#REF!,#REF!,#REF!</definedName>
    <definedName name="L_ALL_SECTIONS_ISSR_208002861" localSheetId="2">#REF!,#REF!,#REF!,#REF!,#REF!,#REF!,#REF!,#REF!,#REF!,#REF!</definedName>
    <definedName name="L_ALL_SECTIONS_ISSR_208002861" localSheetId="14">#REF!,#REF!,#REF!,#REF!,#REF!,#REF!,#REF!,#REF!,#REF!,#REF!</definedName>
    <definedName name="L_ALL_SECTIONS_ISSR_208002861">#REF!,#REF!,#REF!,#REF!,#REF!,#REF!,#REF!,#REF!,#REF!,#REF!</definedName>
    <definedName name="L_ALL_SECTIONS_ISSR_208007413" localSheetId="2">#REF!,#REF!,#REF!,#REF!,#REF!,#REF!,#REF!,#REF!,#REF!,#REF!</definedName>
    <definedName name="L_ALL_SECTIONS_ISSR_208007413" localSheetId="14">#REF!,#REF!,#REF!,#REF!,#REF!,#REF!,#REF!,#REF!,#REF!,#REF!,#REF!,#REF!</definedName>
    <definedName name="L_ALL_SECTIONS_ISSR_208007413">#REF!,#REF!,#REF!,#REF!,#REF!,#REF!,#REF!,#REF!,#REF!,#REF!</definedName>
    <definedName name="L_ALL_SECTIONS_ISSR_208007414" localSheetId="2">#REF!,#REF!,#REF!,#REF!,#REF!,#REF!,#REF!,#REF!,#REF!</definedName>
    <definedName name="L_ALL_SECTIONS_ISSR_208007414" localSheetId="14">#REF!,#REF!,#REF!,#REF!,#REF!,#REF!,#REF!,#REF!,#REF!</definedName>
    <definedName name="L_ALL_SECTIONS_ISSR_208007414">#REF!,#REF!,#REF!,#REF!,#REF!,#REF!,#REF!,#REF!,#REF!</definedName>
    <definedName name="L_ALL_SECTIONS_ISSR_208007415" localSheetId="2">#REF!,#REF!,#REF!,#REF!,#REF!,#REF!,#REF!,#REF!,#REF!,#REF!</definedName>
    <definedName name="L_ALL_SECTIONS_ISSR_208007415" localSheetId="14">#REF!,#REF!,#REF!,#REF!,#REF!,#REF!,#REF!,#REF!,#REF!,#REF!</definedName>
    <definedName name="L_ALL_SECTIONS_ISSR_208007415">#REF!,#REF!,#REF!,#REF!,#REF!,#REF!,#REF!,#REF!,#REF!,#REF!</definedName>
    <definedName name="L_ALL_SECTIONS_ISSR_208008646" localSheetId="2">#REF!,#REF!,#REF!,#REF!,#REF!,#REF!,#REF!,#REF!,#REF!,#REF!</definedName>
    <definedName name="L_ALL_SECTIONS_ISSR_208008646">#REF!,#REF!,#REF!,#REF!,#REF!,#REF!,#REF!,#REF!,#REF!,#REF!</definedName>
    <definedName name="L_ALL_SIFI.MI" localSheetId="2">#REF!</definedName>
    <definedName name="L_ALL_SIFI.MI" localSheetId="14">#REF!</definedName>
    <definedName name="L_ALL_SIFI.MI">#REF!</definedName>
    <definedName name="L_ALL_SKFb.ST">#REF!</definedName>
    <definedName name="L_ALL_TCFP.PA" localSheetId="2">#REF!</definedName>
    <definedName name="L_ALL_TCFP.PA" localSheetId="14">#REF!</definedName>
    <definedName name="L_ALL_TCFP.PA">#REF!</definedName>
    <definedName name="L_ALL_ULE.L" localSheetId="2">#REF!</definedName>
    <definedName name="L_ALL_ULE.L" localSheetId="14">#REF!</definedName>
    <definedName name="L_ALL_ULE.L" localSheetId="18">#REF!</definedName>
    <definedName name="L_ALL_ULE.L">#REF!</definedName>
    <definedName name="L_ALL_VOLVb.ST">#REF!</definedName>
    <definedName name="L_CURRENCY_EQTY_200003162_PRI" localSheetId="2">#REF!</definedName>
    <definedName name="L_CURRENCY_EQTY_200003162_PRI" localSheetId="14">#REF!</definedName>
    <definedName name="L_CURRENCY_EQTY_200003162_PRI">#REF!</definedName>
    <definedName name="L_CURRENCY_EQTY_200003162_PUB" localSheetId="2">#REF!</definedName>
    <definedName name="L_CURRENCY_EQTY_200003162_PUB" localSheetId="14">#REF!</definedName>
    <definedName name="L_CURRENCY_EQTY_200003162_PUB">#REF!</definedName>
    <definedName name="L_CURRENCY_EQTY_200003162_REP" localSheetId="2">#REF!</definedName>
    <definedName name="L_CURRENCY_EQTY_200003162_REP" localSheetId="14">#REF!</definedName>
    <definedName name="L_CURRENCY_EQTY_200003162_REP">#REF!</definedName>
    <definedName name="L_CURRENCY_EQTY_200003170_PRI" localSheetId="2">#REF!</definedName>
    <definedName name="L_CURRENCY_EQTY_200003170_PRI" localSheetId="14">#REF!</definedName>
    <definedName name="L_CURRENCY_EQTY_200003170_PRI">#REF!</definedName>
    <definedName name="L_CURRENCY_EQTY_200003170_PUB" localSheetId="2">#REF!</definedName>
    <definedName name="L_CURRENCY_EQTY_200003170_PUB" localSheetId="14">#REF!</definedName>
    <definedName name="L_CURRENCY_EQTY_200003170_PUB">#REF!</definedName>
    <definedName name="L_CURRENCY_EQTY_200003170_REP" localSheetId="2">#REF!</definedName>
    <definedName name="L_CURRENCY_EQTY_200003170_REP" localSheetId="14">#REF!</definedName>
    <definedName name="L_CURRENCY_EQTY_200003170_REP">#REF!</definedName>
    <definedName name="L_CURRENCY_EQTY_200003173_PRI" localSheetId="2">#REF!</definedName>
    <definedName name="L_CURRENCY_EQTY_200003173_PRI" localSheetId="14">#REF!</definedName>
    <definedName name="L_CURRENCY_EQTY_200003173_PRI">#REF!</definedName>
    <definedName name="L_CURRENCY_EQTY_200003173_PUB" localSheetId="2">#REF!</definedName>
    <definedName name="L_CURRENCY_EQTY_200003173_PUB" localSheetId="14">#REF!</definedName>
    <definedName name="L_CURRENCY_EQTY_200003173_PUB">#REF!</definedName>
    <definedName name="L_CURRENCY_EQTY_200003173_REP" localSheetId="2">#REF!</definedName>
    <definedName name="L_CURRENCY_EQTY_200003173_REP" localSheetId="14">#REF!</definedName>
    <definedName name="L_CURRENCY_EQTY_200003173_REP">#REF!</definedName>
    <definedName name="L_CURRENCY_EQTY_200003183_PRI" localSheetId="2">#REF!</definedName>
    <definedName name="L_CURRENCY_EQTY_200003183_PRI" localSheetId="14">#REF!</definedName>
    <definedName name="L_CURRENCY_EQTY_200003183_PRI">#REF!</definedName>
    <definedName name="L_CURRENCY_EQTY_200003183_PUB" localSheetId="2">#REF!</definedName>
    <definedName name="L_CURRENCY_EQTY_200003183_PUB" localSheetId="14">#REF!</definedName>
    <definedName name="L_CURRENCY_EQTY_200003183_PUB">#REF!</definedName>
    <definedName name="L_CURRENCY_EQTY_200003183_REP" localSheetId="2">#REF!</definedName>
    <definedName name="L_CURRENCY_EQTY_200003183_REP" localSheetId="14">#REF!</definedName>
    <definedName name="L_CURRENCY_EQTY_200003183_REP">#REF!</definedName>
    <definedName name="L_CURRENCY_EQTY_200003821_PRI" localSheetId="2">#REF!</definedName>
    <definedName name="L_CURRENCY_EQTY_200003821_PRI" localSheetId="14">#REF!</definedName>
    <definedName name="L_CURRENCY_EQTY_200003821_PRI">#REF!</definedName>
    <definedName name="L_CURRENCY_EQTY_200003821_PUB" localSheetId="2">#REF!</definedName>
    <definedName name="L_CURRENCY_EQTY_200003821_PUB" localSheetId="14">#REF!</definedName>
    <definedName name="L_CURRENCY_EQTY_200003821_PUB">#REF!</definedName>
    <definedName name="L_CURRENCY_EQTY_200003821_REP" localSheetId="2">#REF!</definedName>
    <definedName name="L_CURRENCY_EQTY_200003821_REP" localSheetId="14">#REF!</definedName>
    <definedName name="L_CURRENCY_EQTY_200003821_REP">#REF!</definedName>
    <definedName name="L_CURRENCY_EQTY_200004285_PRI" localSheetId="2">#REF!</definedName>
    <definedName name="L_CURRENCY_EQTY_200004285_PRI">#REF!</definedName>
    <definedName name="L_CURRENCY_EQTY_200004285_PUB" localSheetId="2">#REF!</definedName>
    <definedName name="L_CURRENCY_EQTY_200004285_PUB">#REF!</definedName>
    <definedName name="L_CURRENCY_EQTY_200004285_REP" localSheetId="2">#REF!</definedName>
    <definedName name="L_CURRENCY_EQTY_200004285_REP">#REF!</definedName>
    <definedName name="L_CURRENCY_EQTY_200005121_PRI" localSheetId="2">#REF!</definedName>
    <definedName name="L_CURRENCY_EQTY_200005121_PRI" localSheetId="14">#REF!</definedName>
    <definedName name="L_CURRENCY_EQTY_200005121_PRI">#REF!</definedName>
    <definedName name="L_CURRENCY_EQTY_200005121_PUB" localSheetId="2">#REF!</definedName>
    <definedName name="L_CURRENCY_EQTY_200005121_PUB" localSheetId="14">#REF!</definedName>
    <definedName name="L_CURRENCY_EQTY_200005121_PUB">#REF!</definedName>
    <definedName name="L_CURRENCY_EQTY_200005121_REP" localSheetId="2">#REF!</definedName>
    <definedName name="L_CURRENCY_EQTY_200005121_REP" localSheetId="14">#REF!</definedName>
    <definedName name="L_CURRENCY_EQTY_200005121_REP">#REF!</definedName>
    <definedName name="L_CURRENCY_EQTY_200007513_PRI" localSheetId="2">#REF!</definedName>
    <definedName name="L_CURRENCY_EQTY_200007513_PRI" localSheetId="14">#REF!</definedName>
    <definedName name="L_CURRENCY_EQTY_200007513_PRI">#REF!</definedName>
    <definedName name="L_CURRENCY_EQTY_200007513_PUB" localSheetId="2">#REF!</definedName>
    <definedName name="L_CURRENCY_EQTY_200007513_PUB" localSheetId="14">#REF!</definedName>
    <definedName name="L_CURRENCY_EQTY_200007513_PUB">#REF!</definedName>
    <definedName name="L_CURRENCY_EQTY_200007513_REP" localSheetId="2">#REF!</definedName>
    <definedName name="L_CURRENCY_EQTY_200007513_REP" localSheetId="14">#REF!</definedName>
    <definedName name="L_CURRENCY_EQTY_200007513_REP">#REF!</definedName>
    <definedName name="L_CURRENCY_EQTY_200009618_PRI" localSheetId="2">#REF!</definedName>
    <definedName name="L_CURRENCY_EQTY_200009618_PRI" localSheetId="14">#REF!</definedName>
    <definedName name="L_CURRENCY_EQTY_200009618_PRI">#REF!</definedName>
    <definedName name="L_CURRENCY_EQTY_200009618_PUB" localSheetId="2">#REF!</definedName>
    <definedName name="L_CURRENCY_EQTY_200009618_PUB" localSheetId="14">#REF!</definedName>
    <definedName name="L_CURRENCY_EQTY_200009618_PUB">#REF!</definedName>
    <definedName name="L_CURRENCY_EQTY_200009618_REP" localSheetId="2">#REF!</definedName>
    <definedName name="L_CURRENCY_EQTY_200009618_REP" localSheetId="14">#REF!</definedName>
    <definedName name="L_CURRENCY_EQTY_200009618_REP">#REF!</definedName>
    <definedName name="L_CURRENCY_EQTY_200009619_PRI" localSheetId="2">#REF!</definedName>
    <definedName name="L_CURRENCY_EQTY_200009619_PRI" localSheetId="14">#REF!</definedName>
    <definedName name="L_CURRENCY_EQTY_200009619_PRI">#REF!</definedName>
    <definedName name="L_CURRENCY_EQTY_200009619_PUB" localSheetId="2">#REF!</definedName>
    <definedName name="L_CURRENCY_EQTY_200009619_PUB" localSheetId="14">#REF!</definedName>
    <definedName name="L_CURRENCY_EQTY_200009619_PUB">#REF!</definedName>
    <definedName name="L_CURRENCY_EQTY_200009619_REP" localSheetId="2">#REF!</definedName>
    <definedName name="L_CURRENCY_EQTY_200009619_REP" localSheetId="14">#REF!</definedName>
    <definedName name="L_CURRENCY_EQTY_200009619_REP">#REF!</definedName>
    <definedName name="L_CURRENCY_EQTY_200009620_PRI" localSheetId="2">#REF!</definedName>
    <definedName name="L_CURRENCY_EQTY_200009620_PRI" localSheetId="14">#REF!</definedName>
    <definedName name="L_CURRENCY_EQTY_200009620_PRI">#REF!</definedName>
    <definedName name="L_CURRENCY_EQTY_200009620_PUB" localSheetId="2">#REF!</definedName>
    <definedName name="L_CURRENCY_EQTY_200009620_PUB" localSheetId="14">#REF!</definedName>
    <definedName name="L_CURRENCY_EQTY_200009620_PUB">#REF!</definedName>
    <definedName name="L_CURRENCY_EQTY_200009620_REP" localSheetId="2">#REF!</definedName>
    <definedName name="L_CURRENCY_EQTY_200009620_REP" localSheetId="14">#REF!</definedName>
    <definedName name="L_CURRENCY_EQTY_200009620_REP">#REF!</definedName>
    <definedName name="L_CURRENCY_EQTY_200011295_PRI" localSheetId="2">#REF!</definedName>
    <definedName name="L_CURRENCY_EQTY_200011295_PRI">#REF!</definedName>
    <definedName name="L_CURRENCY_EQTY_200011295_PUB" localSheetId="2">#REF!</definedName>
    <definedName name="L_CURRENCY_EQTY_200011295_PUB">#REF!</definedName>
    <definedName name="L_CURRENCY_EQTY_200011295_REP" localSheetId="2">#REF!</definedName>
    <definedName name="L_CURRENCY_EQTY_200011295_REP">#REF!</definedName>
    <definedName name="L_CURRENCY_ISSR_208001092_REP" localSheetId="2">#REF!</definedName>
    <definedName name="L_CURRENCY_ISSR_208001092_REP" localSheetId="14">#REF!</definedName>
    <definedName name="L_CURRENCY_ISSR_208001092_REP">#REF!</definedName>
    <definedName name="L_CURRENCY_ISSR_208001096_REP" localSheetId="2">#REF!</definedName>
    <definedName name="L_CURRENCY_ISSR_208001096_REP" localSheetId="14">#REF!</definedName>
    <definedName name="L_CURRENCY_ISSR_208001096_REP">#REF!</definedName>
    <definedName name="L_CURRENCY_ISSR_208001098_REP" localSheetId="2">#REF!</definedName>
    <definedName name="L_CURRENCY_ISSR_208001098_REP" localSheetId="14">#REF!</definedName>
    <definedName name="L_CURRENCY_ISSR_208001098_REP">#REF!</definedName>
    <definedName name="L_CURRENCY_ISSR_208001100_REP" localSheetId="2">#REF!</definedName>
    <definedName name="L_CURRENCY_ISSR_208001100_REP" localSheetId="14">#REF!</definedName>
    <definedName name="L_CURRENCY_ISSR_208001100_REP">#REF!</definedName>
    <definedName name="L_CURRENCY_ISSR_208001129_REP" localSheetId="2">#REF!</definedName>
    <definedName name="L_CURRENCY_ISSR_208001129_REP" localSheetId="14">#REF!</definedName>
    <definedName name="L_CURRENCY_ISSR_208001129_REP">#REF!</definedName>
    <definedName name="L_CURRENCY_ISSR_208001219_REP" localSheetId="2">#REF!</definedName>
    <definedName name="L_CURRENCY_ISSR_208001219_REP">#REF!</definedName>
    <definedName name="L_CURRENCY_ISSR_208001433_REP" localSheetId="2">#REF!</definedName>
    <definedName name="L_CURRENCY_ISSR_208001433_REP" localSheetId="14">#REF!</definedName>
    <definedName name="L_CURRENCY_ISSR_208001433_REP">#REF!</definedName>
    <definedName name="L_CURRENCY_ISSR_208002861_REP" localSheetId="2">#REF!</definedName>
    <definedName name="L_CURRENCY_ISSR_208002861_REP" localSheetId="14">#REF!</definedName>
    <definedName name="L_CURRENCY_ISSR_208002861_REP">#REF!</definedName>
    <definedName name="L_CURRENCY_ISSR_208007413_REP" localSheetId="2">#REF!</definedName>
    <definedName name="L_CURRENCY_ISSR_208007413_REP" localSheetId="14">#REF!</definedName>
    <definedName name="L_CURRENCY_ISSR_208007413_REP">#REF!</definedName>
    <definedName name="L_CURRENCY_ISSR_208007414_REP" localSheetId="2">#REF!</definedName>
    <definedName name="L_CURRENCY_ISSR_208007414_REP" localSheetId="14">#REF!</definedName>
    <definedName name="L_CURRENCY_ISSR_208007414_REP">#REF!</definedName>
    <definedName name="L_CURRENCY_ISSR_208007415_REP" localSheetId="2">#REF!</definedName>
    <definedName name="L_CURRENCY_ISSR_208007415_REP" localSheetId="14">#REF!</definedName>
    <definedName name="L_CURRENCY_ISSR_208007415_REP">#REF!</definedName>
    <definedName name="L_CURRENCY_ISSR_208008646_REP" localSheetId="2">#REF!</definedName>
    <definedName name="L_CURRENCY_ISSR_208008646_REP">#REF!</definedName>
    <definedName name="L_ENTITY_DATA_EQTY_200007513" localSheetId="17">#REF!</definedName>
    <definedName name="L_ENTITY_DATA_EQTY_200007513" localSheetId="14">#REF!</definedName>
    <definedName name="L_ENTITY_DATA_EQTY_200007513" localSheetId="18">#REF!</definedName>
    <definedName name="L_ENTITY_DATA_EQTY_200007513" localSheetId="19">#REF!</definedName>
    <definedName name="L_ENTITY_DATA_EQTY_200007513">#REF!</definedName>
    <definedName name="L_ENTITY_DATA_ISSR_208002861" localSheetId="17">#REF!</definedName>
    <definedName name="L_ENTITY_DATA_ISSR_208002861" localSheetId="14">#REF!</definedName>
    <definedName name="L_ENTITY_DATA_ISSR_208002861" localSheetId="18">#REF!</definedName>
    <definedName name="L_ENTITY_DATA_ISSR_208002861" localSheetId="19">#REF!</definedName>
    <definedName name="L_ENTITY_DATA_ISSR_208002861">#REF!</definedName>
    <definedName name="L_KEYWORD_EQTY_200007513_BETA_ANALYST" localSheetId="17">#REF!</definedName>
    <definedName name="L_KEYWORD_EQTY_200007513_BETA_ANALYST" localSheetId="14">#REF!</definedName>
    <definedName name="L_KEYWORD_EQTY_200007513_BETA_ANALYST" localSheetId="18">#REF!</definedName>
    <definedName name="L_KEYWORD_EQTY_200007513_BETA_ANALYST" localSheetId="19">#REF!</definedName>
    <definedName name="L_KEYWORD_EQTY_200007513_BETA_ANALYST">#REF!</definedName>
    <definedName name="L_KEYWORD_EQTY_200007513_BVPS" localSheetId="17">#REF!</definedName>
    <definedName name="L_KEYWORD_EQTY_200007513_BVPS" localSheetId="14">#REF!</definedName>
    <definedName name="L_KEYWORD_EQTY_200007513_BVPS" localSheetId="18">#REF!</definedName>
    <definedName name="L_KEYWORD_EQTY_200007513_BVPS" localSheetId="19">#REF!</definedName>
    <definedName name="L_KEYWORD_EQTY_200007513_BVPS">#REF!</definedName>
    <definedName name="L_KEYWORD_EQTY_200007513_BVPS_PUB" localSheetId="17">#REF!</definedName>
    <definedName name="L_KEYWORD_EQTY_200007513_BVPS_PUB" localSheetId="14">#REF!</definedName>
    <definedName name="L_KEYWORD_EQTY_200007513_BVPS_PUB" localSheetId="18">#REF!</definedName>
    <definedName name="L_KEYWORD_EQTY_200007513_BVPS_PUB" localSheetId="19">#REF!</definedName>
    <definedName name="L_KEYWORD_EQTY_200007513_BVPS_PUB">#REF!</definedName>
    <definedName name="L_KEYWORD_EQTY_200007513_CF_NI_PRE_PREF" localSheetId="17">#REF!</definedName>
    <definedName name="L_KEYWORD_EQTY_200007513_CF_NI_PRE_PREF" localSheetId="14">#REF!</definedName>
    <definedName name="L_KEYWORD_EQTY_200007513_CF_NI_PRE_PREF" localSheetId="18">#REF!</definedName>
    <definedName name="L_KEYWORD_EQTY_200007513_CF_NI_PRE_PREF" localSheetId="19">#REF!</definedName>
    <definedName name="L_KEYWORD_EQTY_200007513_CF_NI_PRE_PREF">#REF!</definedName>
    <definedName name="L_KEYWORD_EQTY_200007513_COMMON_DIV_PAID" localSheetId="17">#REF!</definedName>
    <definedName name="L_KEYWORD_EQTY_200007513_COMMON_DIV_PAID" localSheetId="14">#REF!</definedName>
    <definedName name="L_KEYWORD_EQTY_200007513_COMMON_DIV_PAID" localSheetId="18">#REF!</definedName>
    <definedName name="L_KEYWORD_EQTY_200007513_COMMON_DIV_PAID" localSheetId="19">#REF!</definedName>
    <definedName name="L_KEYWORD_EQTY_200007513_COMMON_DIV_PAID">#REF!</definedName>
    <definedName name="L_KEYWORD_EQTY_200007513_CURRENCY_ISO" localSheetId="17">#REF!</definedName>
    <definedName name="L_KEYWORD_EQTY_200007513_CURRENCY_ISO" localSheetId="14">#REF!</definedName>
    <definedName name="L_KEYWORD_EQTY_200007513_CURRENCY_ISO" localSheetId="18">#REF!</definedName>
    <definedName name="L_KEYWORD_EQTY_200007513_CURRENCY_ISO" localSheetId="19">#REF!</definedName>
    <definedName name="L_KEYWORD_EQTY_200007513_CURRENCY_ISO">#REF!</definedName>
    <definedName name="L_KEYWORD_EQTY_200007513_DILUTE_SHARES" localSheetId="17">#REF!</definedName>
    <definedName name="L_KEYWORD_EQTY_200007513_DILUTE_SHARES" localSheetId="14">#REF!</definedName>
    <definedName name="L_KEYWORD_EQTY_200007513_DILUTE_SHARES" localSheetId="18">#REF!</definedName>
    <definedName name="L_KEYWORD_EQTY_200007513_DILUTE_SHARES" localSheetId="19">#REF!</definedName>
    <definedName name="L_KEYWORD_EQTY_200007513_DILUTE_SHARES">#REF!</definedName>
    <definedName name="L_KEYWORD_EQTY_200007513_DPS" localSheetId="17">#REF!</definedName>
    <definedName name="L_KEYWORD_EQTY_200007513_DPS" localSheetId="14">#REF!</definedName>
    <definedName name="L_KEYWORD_EQTY_200007513_DPS" localSheetId="18">#REF!</definedName>
    <definedName name="L_KEYWORD_EQTY_200007513_DPS" localSheetId="19">#REF!</definedName>
    <definedName name="L_KEYWORD_EQTY_200007513_DPS">#REF!</definedName>
    <definedName name="L_KEYWORD_EQTY_200007513_DPS_PUB" localSheetId="17">#REF!</definedName>
    <definedName name="L_KEYWORD_EQTY_200007513_DPS_PUB" localSheetId="14">#REF!</definedName>
    <definedName name="L_KEYWORD_EQTY_200007513_DPS_PUB" localSheetId="18">#REF!</definedName>
    <definedName name="L_KEYWORD_EQTY_200007513_DPS_PUB" localSheetId="19">#REF!</definedName>
    <definedName name="L_KEYWORD_EQTY_200007513_DPS_PUB">#REF!</definedName>
    <definedName name="L_KEYWORD_EQTY_200007513_EBIT_PUB" localSheetId="17">#REF!</definedName>
    <definedName name="L_KEYWORD_EQTY_200007513_EBIT_PUB" localSheetId="14">#REF!</definedName>
    <definedName name="L_KEYWORD_EQTY_200007513_EBIT_PUB" localSheetId="18">#REF!</definedName>
    <definedName name="L_KEYWORD_EQTY_200007513_EBIT_PUB" localSheetId="19">#REF!</definedName>
    <definedName name="L_KEYWORD_EQTY_200007513_EBIT_PUB">#REF!</definedName>
    <definedName name="L_KEYWORD_EQTY_200007513_EBITDA_PUB" localSheetId="17">#REF!</definedName>
    <definedName name="L_KEYWORD_EQTY_200007513_EBITDA_PUB" localSheetId="14">#REF!</definedName>
    <definedName name="L_KEYWORD_EQTY_200007513_EBITDA_PUB" localSheetId="18">#REF!</definedName>
    <definedName name="L_KEYWORD_EQTY_200007513_EBITDA_PUB" localSheetId="19">#REF!</definedName>
    <definedName name="L_KEYWORD_EQTY_200007513_EBITDA_PUB">#REF!</definedName>
    <definedName name="L_KEYWORD_EQTY_200007513_EPS" localSheetId="17">#REF!</definedName>
    <definedName name="L_KEYWORD_EQTY_200007513_EPS" localSheetId="14">#REF!</definedName>
    <definedName name="L_KEYWORD_EQTY_200007513_EPS" localSheetId="18">#REF!</definedName>
    <definedName name="L_KEYWORD_EQTY_200007513_EPS" localSheetId="19">#REF!</definedName>
    <definedName name="L_KEYWORD_EQTY_200007513_EPS">#REF!</definedName>
    <definedName name="L_KEYWORD_EQTY_200007513_EPS_FUL_DIL" localSheetId="17">#REF!</definedName>
    <definedName name="L_KEYWORD_EQTY_200007513_EPS_FUL_DIL" localSheetId="14">#REF!</definedName>
    <definedName name="L_KEYWORD_EQTY_200007513_EPS_FUL_DIL" localSheetId="18">#REF!</definedName>
    <definedName name="L_KEYWORD_EQTY_200007513_EPS_FUL_DIL" localSheetId="19">#REF!</definedName>
    <definedName name="L_KEYWORD_EQTY_200007513_EPS_FUL_DIL">#REF!</definedName>
    <definedName name="L_KEYWORD_EQTY_200007513_EPS_POST_BASIC" localSheetId="17">#REF!</definedName>
    <definedName name="L_KEYWORD_EQTY_200007513_EPS_POST_BASIC" localSheetId="14">#REF!</definedName>
    <definedName name="L_KEYWORD_EQTY_200007513_EPS_POST_BASIC" localSheetId="18">#REF!</definedName>
    <definedName name="L_KEYWORD_EQTY_200007513_EPS_POST_BASIC" localSheetId="19">#REF!</definedName>
    <definedName name="L_KEYWORD_EQTY_200007513_EPS_POST_BASIC">#REF!</definedName>
    <definedName name="L_KEYWORD_EQTY_200007513_EPS_PUB" localSheetId="17">#REF!</definedName>
    <definedName name="L_KEYWORD_EQTY_200007513_EPS_PUB" localSheetId="14">#REF!</definedName>
    <definedName name="L_KEYWORD_EQTY_200007513_EPS_PUB" localSheetId="18">#REF!</definedName>
    <definedName name="L_KEYWORD_EQTY_200007513_EPS_PUB" localSheetId="19">#REF!</definedName>
    <definedName name="L_KEYWORD_EQTY_200007513_EPS_PUB">#REF!</definedName>
    <definedName name="L_KEYWORD_EQTY_200007513_EQ_PUB" localSheetId="17">#REF!</definedName>
    <definedName name="L_KEYWORD_EQTY_200007513_EQ_PUB" localSheetId="14">#REF!</definedName>
    <definedName name="L_KEYWORD_EQTY_200007513_EQ_PUB" localSheetId="18">#REF!</definedName>
    <definedName name="L_KEYWORD_EQTY_200007513_EQ_PUB" localSheetId="19">#REF!</definedName>
    <definedName name="L_KEYWORD_EQTY_200007513_EQ_PUB">#REF!</definedName>
    <definedName name="L_KEYWORD_EQTY_200007513_EURO_CONVICTION" localSheetId="17">#REF!</definedName>
    <definedName name="L_KEYWORD_EQTY_200007513_EURO_CONVICTION" localSheetId="14">#REF!</definedName>
    <definedName name="L_KEYWORD_EQTY_200007513_EURO_CONVICTION" localSheetId="18">#REF!</definedName>
    <definedName name="L_KEYWORD_EQTY_200007513_EURO_CONVICTION" localSheetId="19">#REF!</definedName>
    <definedName name="L_KEYWORD_EQTY_200007513_EURO_CONVICTION">#REF!</definedName>
    <definedName name="L_KEYWORD_EQTY_200007513_EURO_LIST" localSheetId="17">#REF!</definedName>
    <definedName name="L_KEYWORD_EQTY_200007513_EURO_LIST" localSheetId="14">#REF!</definedName>
    <definedName name="L_KEYWORD_EQTY_200007513_EURO_LIST" localSheetId="18">#REF!</definedName>
    <definedName name="L_KEYWORD_EQTY_200007513_EURO_LIST" localSheetId="19">#REF!</definedName>
    <definedName name="L_KEYWORD_EQTY_200007513_EURO_LIST">#REF!</definedName>
    <definedName name="L_KEYWORD_EQTY_200007513_EV_ADJ_PUB" localSheetId="17">#REF!</definedName>
    <definedName name="L_KEYWORD_EQTY_200007513_EV_ADJ_PUB" localSheetId="14">#REF!</definedName>
    <definedName name="L_KEYWORD_EQTY_200007513_EV_ADJ_PUB" localSheetId="18">#REF!</definedName>
    <definedName name="L_KEYWORD_EQTY_200007513_EV_ADJ_PUB" localSheetId="19">#REF!</definedName>
    <definedName name="L_KEYWORD_EQTY_200007513_EV_ADJ_PUB">#REF!</definedName>
    <definedName name="L_KEYWORD_EQTY_200007513_FREE_FLOAT" localSheetId="17">#REF!</definedName>
    <definedName name="L_KEYWORD_EQTY_200007513_FREE_FLOAT" localSheetId="14">#REF!</definedName>
    <definedName name="L_KEYWORD_EQTY_200007513_FREE_FLOAT" localSheetId="18">#REF!</definedName>
    <definedName name="L_KEYWORD_EQTY_200007513_FREE_FLOAT" localSheetId="19">#REF!</definedName>
    <definedName name="L_KEYWORD_EQTY_200007513_FREE_FLOAT">#REF!</definedName>
    <definedName name="L_KEYWORD_EQTY_200007513_FULLY_DIL_EPS" localSheetId="17">#REF!</definedName>
    <definedName name="L_KEYWORD_EQTY_200007513_FULLY_DIL_EPS" localSheetId="14">#REF!</definedName>
    <definedName name="L_KEYWORD_EQTY_200007513_FULLY_DIL_EPS" localSheetId="18">#REF!</definedName>
    <definedName name="L_KEYWORD_EQTY_200007513_FULLY_DIL_EPS" localSheetId="19">#REF!</definedName>
    <definedName name="L_KEYWORD_EQTY_200007513_FULLY_DIL_EPS">#REF!</definedName>
    <definedName name="L_KEYWORD_EQTY_200007513_INC_MINORITY" localSheetId="17">#REF!</definedName>
    <definedName name="L_KEYWORD_EQTY_200007513_INC_MINORITY" localSheetId="14">#REF!</definedName>
    <definedName name="L_KEYWORD_EQTY_200007513_INC_MINORITY" localSheetId="18">#REF!</definedName>
    <definedName name="L_KEYWORD_EQTY_200007513_INC_MINORITY" localSheetId="19">#REF!</definedName>
    <definedName name="L_KEYWORD_EQTY_200007513_INC_MINORITY">#REF!</definedName>
    <definedName name="L_KEYWORD_EQTY_200007513_Interim_Type" localSheetId="17">#REF!</definedName>
    <definedName name="L_KEYWORD_EQTY_200007513_Interim_Type" localSheetId="14">#REF!</definedName>
    <definedName name="L_KEYWORD_EQTY_200007513_Interim_Type" localSheetId="18">#REF!</definedName>
    <definedName name="L_KEYWORD_EQTY_200007513_Interim_Type" localSheetId="19">#REF!</definedName>
    <definedName name="L_KEYWORD_EQTY_200007513_Interim_Type">#REF!</definedName>
    <definedName name="L_KEYWORD_EQTY_200007513_LEGAL_RATING" localSheetId="17">#REF!</definedName>
    <definedName name="L_KEYWORD_EQTY_200007513_LEGAL_RATING" localSheetId="14">#REF!</definedName>
    <definedName name="L_KEYWORD_EQTY_200007513_LEGAL_RATING" localSheetId="18">#REF!</definedName>
    <definedName name="L_KEYWORD_EQTY_200007513_LEGAL_RATING" localSheetId="19">#REF!</definedName>
    <definedName name="L_KEYWORD_EQTY_200007513_LEGAL_RATING">#REF!</definedName>
    <definedName name="L_KEYWORD_EQTY_200007513_MARGIN_TAX_RATE" localSheetId="17">#REF!</definedName>
    <definedName name="L_KEYWORD_EQTY_200007513_MARGIN_TAX_RATE" localSheetId="14">#REF!</definedName>
    <definedName name="L_KEYWORD_EQTY_200007513_MARGIN_TAX_RATE" localSheetId="18">#REF!</definedName>
    <definedName name="L_KEYWORD_EQTY_200007513_MARGIN_TAX_RATE" localSheetId="19">#REF!</definedName>
    <definedName name="L_KEYWORD_EQTY_200007513_MARGIN_TAX_RATE">#REF!</definedName>
    <definedName name="L_KEYWORD_EQTY_200007513_MKT_EQ_RISK_PREM" localSheetId="17">#REF!</definedName>
    <definedName name="L_KEYWORD_EQTY_200007513_MKT_EQ_RISK_PREM" localSheetId="14">#REF!</definedName>
    <definedName name="L_KEYWORD_EQTY_200007513_MKT_EQ_RISK_PREM" localSheetId="18">#REF!</definedName>
    <definedName name="L_KEYWORD_EQTY_200007513_MKT_EQ_RISK_PREM" localSheetId="19">#REF!</definedName>
    <definedName name="L_KEYWORD_EQTY_200007513_MKT_EQ_RISK_PREM">#REF!</definedName>
    <definedName name="L_KEYWORD_EQTY_200007513_NET_DEBT_PUB" localSheetId="17">#REF!</definedName>
    <definedName name="L_KEYWORD_EQTY_200007513_NET_DEBT_PUB" localSheetId="14">#REF!</definedName>
    <definedName name="L_KEYWORD_EQTY_200007513_NET_DEBT_PUB" localSheetId="18">#REF!</definedName>
    <definedName name="L_KEYWORD_EQTY_200007513_NET_DEBT_PUB" localSheetId="19">#REF!</definedName>
    <definedName name="L_KEYWORD_EQTY_200007513_NET_DEBT_PUB">#REF!</definedName>
    <definedName name="L_KEYWORD_EQTY_200007513_NET_EARNING" localSheetId="17">#REF!</definedName>
    <definedName name="L_KEYWORD_EQTY_200007513_NET_EARNING" localSheetId="14">#REF!</definedName>
    <definedName name="L_KEYWORD_EQTY_200007513_NET_EARNING" localSheetId="18">#REF!</definedName>
    <definedName name="L_KEYWORD_EQTY_200007513_NET_EARNING" localSheetId="19">#REF!</definedName>
    <definedName name="L_KEYWORD_EQTY_200007513_NET_EARNING">#REF!</definedName>
    <definedName name="L_KEYWORD_EQTY_200007513_NET_INC" localSheetId="17">#REF!</definedName>
    <definedName name="L_KEYWORD_EQTY_200007513_NET_INC" localSheetId="14">#REF!</definedName>
    <definedName name="L_KEYWORD_EQTY_200007513_NET_INC" localSheetId="18">#REF!</definedName>
    <definedName name="L_KEYWORD_EQTY_200007513_NET_INC" localSheetId="19">#REF!</definedName>
    <definedName name="L_KEYWORD_EQTY_200007513_NET_INC">#REF!</definedName>
    <definedName name="L_KEYWORD_EQTY_200007513_NI_PRE_PREF" localSheetId="17">#REF!</definedName>
    <definedName name="L_KEYWORD_EQTY_200007513_NI_PRE_PREF" localSheetId="14">#REF!</definedName>
    <definedName name="L_KEYWORD_EQTY_200007513_NI_PRE_PREF" localSheetId="18">#REF!</definedName>
    <definedName name="L_KEYWORD_EQTY_200007513_NI_PRE_PREF" localSheetId="19">#REF!</definedName>
    <definedName name="L_KEYWORD_EQTY_200007513_NI_PRE_PREF">#REF!</definedName>
    <definedName name="L_KEYWORD_EQTY_200007513_NI_PUB" localSheetId="17">#REF!</definedName>
    <definedName name="L_KEYWORD_EQTY_200007513_NI_PUB" localSheetId="14">#REF!</definedName>
    <definedName name="L_KEYWORD_EQTY_200007513_NI_PUB" localSheetId="18">#REF!</definedName>
    <definedName name="L_KEYWORD_EQTY_200007513_NI_PUB" localSheetId="19">#REF!</definedName>
    <definedName name="L_KEYWORD_EQTY_200007513_NI_PUB">#REF!</definedName>
    <definedName name="L_KEYWORD_EQTY_200007513_NON_OP_ADD" localSheetId="17">#REF!</definedName>
    <definedName name="L_KEYWORD_EQTY_200007513_NON_OP_ADD" localSheetId="14">#REF!</definedName>
    <definedName name="L_KEYWORD_EQTY_200007513_NON_OP_ADD" localSheetId="18">#REF!</definedName>
    <definedName name="L_KEYWORD_EQTY_200007513_NON_OP_ADD" localSheetId="19">#REF!</definedName>
    <definedName name="L_KEYWORD_EQTY_200007513_NON_OP_ADD">#REF!</definedName>
    <definedName name="L_KEYWORD_EQTY_200007513_NUM_SH" localSheetId="17">#REF!</definedName>
    <definedName name="L_KEYWORD_EQTY_200007513_NUM_SH" localSheetId="14">#REF!</definedName>
    <definedName name="L_KEYWORD_EQTY_200007513_NUM_SH" localSheetId="18">#REF!</definedName>
    <definedName name="L_KEYWORD_EQTY_200007513_NUM_SH" localSheetId="19">#REF!</definedName>
    <definedName name="L_KEYWORD_EQTY_200007513_NUM_SH">#REF!</definedName>
    <definedName name="L_KEYWORD_EQTY_200007513_ORG_EPS" localSheetId="17">#REF!</definedName>
    <definedName name="L_KEYWORD_EQTY_200007513_ORG_EPS" localSheetId="14">#REF!</definedName>
    <definedName name="L_KEYWORD_EQTY_200007513_ORG_EPS" localSheetId="18">#REF!</definedName>
    <definedName name="L_KEYWORD_EQTY_200007513_ORG_EPS" localSheetId="19">#REF!</definedName>
    <definedName name="L_KEYWORD_EQTY_200007513_ORG_EPS">#REF!</definedName>
    <definedName name="L_KEYWORD_EQTY_200007513_ORG_NI" localSheetId="17">#REF!</definedName>
    <definedName name="L_KEYWORD_EQTY_200007513_ORG_NI" localSheetId="14">#REF!</definedName>
    <definedName name="L_KEYWORD_EQTY_200007513_ORG_NI" localSheetId="18">#REF!</definedName>
    <definedName name="L_KEYWORD_EQTY_200007513_ORG_NI" localSheetId="19">#REF!</definedName>
    <definedName name="L_KEYWORD_EQTY_200007513_ORG_NI">#REF!</definedName>
    <definedName name="L_KEYWORD_EQTY_200007513_PREF_DIV" localSheetId="17">#REF!</definedName>
    <definedName name="L_KEYWORD_EQTY_200007513_PREF_DIV" localSheetId="14">#REF!</definedName>
    <definedName name="L_KEYWORD_EQTY_200007513_PREF_DIV" localSheetId="18">#REF!</definedName>
    <definedName name="L_KEYWORD_EQTY_200007513_PREF_DIV" localSheetId="19">#REF!</definedName>
    <definedName name="L_KEYWORD_EQTY_200007513_PREF_DIV">#REF!</definedName>
    <definedName name="L_KEYWORD_EQTY_200007513_PRICE_CURRENCY_ISO" localSheetId="17">#REF!</definedName>
    <definedName name="L_KEYWORD_EQTY_200007513_PRICE_CURRENCY_ISO" localSheetId="14">#REF!</definedName>
    <definedName name="L_KEYWORD_EQTY_200007513_PRICE_CURRENCY_ISO" localSheetId="18">#REF!</definedName>
    <definedName name="L_KEYWORD_EQTY_200007513_PRICE_CURRENCY_ISO" localSheetId="19">#REF!</definedName>
    <definedName name="L_KEYWORD_EQTY_200007513_PRICE_CURRENCY_ISO">#REF!</definedName>
    <definedName name="L_KEYWORD_EQTY_200007513_PROV_INC_TAX" localSheetId="17">#REF!</definedName>
    <definedName name="L_KEYWORD_EQTY_200007513_PROV_INC_TAX" localSheetId="14">#REF!</definedName>
    <definedName name="L_KEYWORD_EQTY_200007513_PROV_INC_TAX" localSheetId="18">#REF!</definedName>
    <definedName name="L_KEYWORD_EQTY_200007513_PROV_INC_TAX" localSheetId="19">#REF!</definedName>
    <definedName name="L_KEYWORD_EQTY_200007513_PROV_INC_TAX">#REF!</definedName>
    <definedName name="L_KEYWORD_EQTY_200007513_PTP_PUB" localSheetId="17">#REF!</definedName>
    <definedName name="L_KEYWORD_EQTY_200007513_PTP_PUB" localSheetId="14">#REF!</definedName>
    <definedName name="L_KEYWORD_EQTY_200007513_PTP_PUB" localSheetId="18">#REF!</definedName>
    <definedName name="L_KEYWORD_EQTY_200007513_PTP_PUB" localSheetId="19">#REF!</definedName>
    <definedName name="L_KEYWORD_EQTY_200007513_PTP_PUB">#REF!</definedName>
    <definedName name="L_KEYWORD_EQTY_200007513_PUB_CURRENCY_ISO" localSheetId="17">#REF!</definedName>
    <definedName name="L_KEYWORD_EQTY_200007513_PUB_CURRENCY_ISO" localSheetId="14">#REF!</definedName>
    <definedName name="L_KEYWORD_EQTY_200007513_PUB_CURRENCY_ISO" localSheetId="18">#REF!</definedName>
    <definedName name="L_KEYWORD_EQTY_200007513_PUB_CURRENCY_ISO" localSheetId="19">#REF!</definedName>
    <definedName name="L_KEYWORD_EQTY_200007513_PUB_CURRENCY_ISO">#REF!</definedName>
    <definedName name="L_KEYWORD_EQTY_200007513_REVS_PUB" localSheetId="17">#REF!</definedName>
    <definedName name="L_KEYWORD_EQTY_200007513_REVS_PUB" localSheetId="14">#REF!</definedName>
    <definedName name="L_KEYWORD_EQTY_200007513_REVS_PUB" localSheetId="18">#REF!</definedName>
    <definedName name="L_KEYWORD_EQTY_200007513_REVS_PUB" localSheetId="19">#REF!</definedName>
    <definedName name="L_KEYWORD_EQTY_200007513_REVS_PUB">#REF!</definedName>
    <definedName name="L_KEYWORD_EQTY_200007513_RISK_FR_RATE" localSheetId="17">#REF!</definedName>
    <definedName name="L_KEYWORD_EQTY_200007513_RISK_FR_RATE" localSheetId="14">#REF!</definedName>
    <definedName name="L_KEYWORD_EQTY_200007513_RISK_FR_RATE" localSheetId="18">#REF!</definedName>
    <definedName name="L_KEYWORD_EQTY_200007513_RISK_FR_RATE" localSheetId="19">#REF!</definedName>
    <definedName name="L_KEYWORD_EQTY_200007513_RISK_FR_RATE">#REF!</definedName>
    <definedName name="L_KEYWORD_EQTY_200007513_Security_Name" localSheetId="17">#REF!</definedName>
    <definedName name="L_KEYWORD_EQTY_200007513_Security_Name" localSheetId="14">#REF!</definedName>
    <definedName name="L_KEYWORD_EQTY_200007513_Security_Name" localSheetId="18">#REF!</definedName>
    <definedName name="L_KEYWORD_EQTY_200007513_Security_Name" localSheetId="19">#REF!</definedName>
    <definedName name="L_KEYWORD_EQTY_200007513_Security_Name">#REF!</definedName>
    <definedName name="L_KEYWORD_EQTY_200007513_SH" localSheetId="17">#REF!</definedName>
    <definedName name="L_KEYWORD_EQTY_200007513_SH" localSheetId="14">#REF!</definedName>
    <definedName name="L_KEYWORD_EQTY_200007513_SH" localSheetId="18">#REF!</definedName>
    <definedName name="L_KEYWORD_EQTY_200007513_SH" localSheetId="19">#REF!</definedName>
    <definedName name="L_KEYWORD_EQTY_200007513_SH">#REF!</definedName>
    <definedName name="L_KEYWORD_EQTY_200007513_TARGET_PRICE" localSheetId="17">#REF!</definedName>
    <definedName name="L_KEYWORD_EQTY_200007513_TARGET_PRICE" localSheetId="14">#REF!</definedName>
    <definedName name="L_KEYWORD_EQTY_200007513_TARGET_PRICE" localSheetId="18">#REF!</definedName>
    <definedName name="L_KEYWORD_EQTY_200007513_TARGET_PRICE" localSheetId="19">#REF!</definedName>
    <definedName name="L_KEYWORD_EQTY_200007513_TARGET_PRICE">#REF!</definedName>
    <definedName name="L_KEYWORD_EQTY_200007513_TAX_EXC" localSheetId="17">#REF!</definedName>
    <definedName name="L_KEYWORD_EQTY_200007513_TAX_EXC" localSheetId="14">#REF!</definedName>
    <definedName name="L_KEYWORD_EQTY_200007513_TAX_EXC" localSheetId="18">#REF!</definedName>
    <definedName name="L_KEYWORD_EQTY_200007513_TAX_EXC" localSheetId="19">#REF!</definedName>
    <definedName name="L_KEYWORD_EQTY_200007513_TAX_EXC">#REF!</definedName>
    <definedName name="L_KEYWORD_EQTY_200007513_Ticker" localSheetId="17">#REF!</definedName>
    <definedName name="L_KEYWORD_EQTY_200007513_Ticker" localSheetId="14">#REF!</definedName>
    <definedName name="L_KEYWORD_EQTY_200007513_Ticker" localSheetId="18">#REF!</definedName>
    <definedName name="L_KEYWORD_EQTY_200007513_Ticker" localSheetId="19">#REF!</definedName>
    <definedName name="L_KEYWORD_EQTY_200007513_Ticker">#REF!</definedName>
    <definedName name="L_KEYWORD_EQTY_200007513_TP_PERIOD" localSheetId="17">#REF!</definedName>
    <definedName name="L_KEYWORD_EQTY_200007513_TP_PERIOD" localSheetId="14">#REF!</definedName>
    <definedName name="L_KEYWORD_EQTY_200007513_TP_PERIOD" localSheetId="18">#REF!</definedName>
    <definedName name="L_KEYWORD_EQTY_200007513_TP_PERIOD" localSheetId="19">#REF!</definedName>
    <definedName name="L_KEYWORD_EQTY_200007513_TP_PERIOD">#REF!</definedName>
    <definedName name="L_KEYWORD_ISSR_208002861_ACC_AMORT" localSheetId="17">#REF!</definedName>
    <definedName name="L_KEYWORD_ISSR_208002861_ACC_AMORT" localSheetId="14">#REF!</definedName>
    <definedName name="L_KEYWORD_ISSR_208002861_ACC_AMORT" localSheetId="18">#REF!</definedName>
    <definedName name="L_KEYWORD_ISSR_208002861_ACC_AMORT" localSheetId="19">#REF!</definedName>
    <definedName name="L_KEYWORD_ISSR_208002861_ACC_AMORT">#REF!</definedName>
    <definedName name="L_KEYWORD_ISSR_208002861_ACC_DDA" localSheetId="17">#REF!</definedName>
    <definedName name="L_KEYWORD_ISSR_208002861_ACC_DDA" localSheetId="14">#REF!</definedName>
    <definedName name="L_KEYWORD_ISSR_208002861_ACC_DDA" localSheetId="18">#REF!</definedName>
    <definedName name="L_KEYWORD_ISSR_208002861_ACC_DDA" localSheetId="19">#REF!</definedName>
    <definedName name="L_KEYWORD_ISSR_208002861_ACC_DDA">#REF!</definedName>
    <definedName name="L_KEYWORD_ISSR_208002861_ACC_END_DATE" localSheetId="17">#REF!</definedName>
    <definedName name="L_KEYWORD_ISSR_208002861_ACC_END_DATE" localSheetId="14">#REF!</definedName>
    <definedName name="L_KEYWORD_ISSR_208002861_ACC_END_DATE" localSheetId="18">#REF!</definedName>
    <definedName name="L_KEYWORD_ISSR_208002861_ACC_END_DATE" localSheetId="19">#REF!</definedName>
    <definedName name="L_KEYWORD_ISSR_208002861_ACC_END_DATE">#REF!</definedName>
    <definedName name="L_KEYWORD_ISSR_208002861_ACC_PAY_GQ" localSheetId="17">#REF!</definedName>
    <definedName name="L_KEYWORD_ISSR_208002861_ACC_PAY_GQ" localSheetId="14">#REF!</definedName>
    <definedName name="L_KEYWORD_ISSR_208002861_ACC_PAY_GQ" localSheetId="18">#REF!</definedName>
    <definedName name="L_KEYWORD_ISSR_208002861_ACC_PAY_GQ" localSheetId="19">#REF!</definedName>
    <definedName name="L_KEYWORD_ISSR_208002861_ACC_PAY_GQ">#REF!</definedName>
    <definedName name="L_KEYWORD_ISSR_208002861_ACQ" localSheetId="17">#REF!</definedName>
    <definedName name="L_KEYWORD_ISSR_208002861_ACQ" localSheetId="14">#REF!</definedName>
    <definedName name="L_KEYWORD_ISSR_208002861_ACQ" localSheetId="18">#REF!</definedName>
    <definedName name="L_KEYWORD_ISSR_208002861_ACQ" localSheetId="19">#REF!</definedName>
    <definedName name="L_KEYWORD_ISSR_208002861_ACQ">#REF!</definedName>
    <definedName name="L_KEYWORD_ISSR_208002861_ADJ_UNF_PENS_GOOD" localSheetId="17">#REF!</definedName>
    <definedName name="L_KEYWORD_ISSR_208002861_ADJ_UNF_PENS_GOOD" localSheetId="14">#REF!</definedName>
    <definedName name="L_KEYWORD_ISSR_208002861_ADJ_UNF_PENS_GOOD" localSheetId="18">#REF!</definedName>
    <definedName name="L_KEYWORD_ISSR_208002861_ADJ_UNF_PENS_GOOD" localSheetId="19">#REF!</definedName>
    <definedName name="L_KEYWORD_ISSR_208002861_ADJ_UNF_PENS_GOOD">#REF!</definedName>
    <definedName name="L_KEYWORD_ISSR_208002861_ASSOC_JV_ADDBK" localSheetId="17">#REF!</definedName>
    <definedName name="L_KEYWORD_ISSR_208002861_ASSOC_JV_ADDBK" localSheetId="14">#REF!</definedName>
    <definedName name="L_KEYWORD_ISSR_208002861_ASSOC_JV_ADDBK" localSheetId="18">#REF!</definedName>
    <definedName name="L_KEYWORD_ISSR_208002861_ASSOC_JV_ADDBK" localSheetId="19">#REF!</definedName>
    <definedName name="L_KEYWORD_ISSR_208002861_ASSOC_JV_ADDBK">#REF!</definedName>
    <definedName name="L_KEYWORD_ISSR_208002861_ASSOCIATE" localSheetId="17">#REF!</definedName>
    <definedName name="L_KEYWORD_ISSR_208002861_ASSOCIATE" localSheetId="14">#REF!</definedName>
    <definedName name="L_KEYWORD_ISSR_208002861_ASSOCIATE" localSheetId="18">#REF!</definedName>
    <definedName name="L_KEYWORD_ISSR_208002861_ASSOCIATE" localSheetId="19">#REF!</definedName>
    <definedName name="L_KEYWORD_ISSR_208002861_ASSOCIATE">#REF!</definedName>
    <definedName name="L_KEYWORD_ISSR_208002861_ASSOCIATE_OP" localSheetId="17">#REF!</definedName>
    <definedName name="L_KEYWORD_ISSR_208002861_ASSOCIATE_OP" localSheetId="14">#REF!</definedName>
    <definedName name="L_KEYWORD_ISSR_208002861_ASSOCIATE_OP" localSheetId="18">#REF!</definedName>
    <definedName name="L_KEYWORD_ISSR_208002861_ASSOCIATE_OP" localSheetId="19">#REF!</definedName>
    <definedName name="L_KEYWORD_ISSR_208002861_ASSOCIATE_OP">#REF!</definedName>
    <definedName name="L_KEYWORD_ISSR_208002861_BAL_MINO_INT" localSheetId="17">#REF!</definedName>
    <definedName name="L_KEYWORD_ISSR_208002861_BAL_MINO_INT" localSheetId="14">#REF!</definedName>
    <definedName name="L_KEYWORD_ISSR_208002861_BAL_MINO_INT" localSheetId="18">#REF!</definedName>
    <definedName name="L_KEYWORD_ISSR_208002861_BAL_MINO_INT" localSheetId="19">#REF!</definedName>
    <definedName name="L_KEYWORD_ISSR_208002861_BAL_MINO_INT">#REF!</definedName>
    <definedName name="L_KEYWORD_ISSR_208002861_CAP_LEASES" localSheetId="17">#REF!</definedName>
    <definedName name="L_KEYWORD_ISSR_208002861_CAP_LEASES" localSheetId="14">#REF!</definedName>
    <definedName name="L_KEYWORD_ISSR_208002861_CAP_LEASES" localSheetId="18">#REF!</definedName>
    <definedName name="L_KEYWORD_ISSR_208002861_CAP_LEASES" localSheetId="19">#REF!</definedName>
    <definedName name="L_KEYWORD_ISSR_208002861_CAP_LEASES">#REF!</definedName>
    <definedName name="L_KEYWORD_ISSR_208002861_CAPEX" localSheetId="17">#REF!</definedName>
    <definedName name="L_KEYWORD_ISSR_208002861_CAPEX" localSheetId="14">#REF!</definedName>
    <definedName name="L_KEYWORD_ISSR_208002861_CAPEX" localSheetId="18">#REF!</definedName>
    <definedName name="L_KEYWORD_ISSR_208002861_CAPEX" localSheetId="19">#REF!</definedName>
    <definedName name="L_KEYWORD_ISSR_208002861_CAPEX">#REF!</definedName>
    <definedName name="L_KEYWORD_ISSR_208002861_CAPEX_EXPANSION" localSheetId="17">#REF!</definedName>
    <definedName name="L_KEYWORD_ISSR_208002861_CAPEX_EXPANSION" localSheetId="14">#REF!</definedName>
    <definedName name="L_KEYWORD_ISSR_208002861_CAPEX_EXPANSION" localSheetId="18">#REF!</definedName>
    <definedName name="L_KEYWORD_ISSR_208002861_CAPEX_EXPANSION" localSheetId="19">#REF!</definedName>
    <definedName name="L_KEYWORD_ISSR_208002861_CAPEX_EXPANSION">#REF!</definedName>
    <definedName name="L_KEYWORD_ISSR_208002861_CAPEX_MAINTENANCE" localSheetId="17">#REF!</definedName>
    <definedName name="L_KEYWORD_ISSR_208002861_CAPEX_MAINTENANCE" localSheetId="14">#REF!</definedName>
    <definedName name="L_KEYWORD_ISSR_208002861_CAPEX_MAINTENANCE" localSheetId="18">#REF!</definedName>
    <definedName name="L_KEYWORD_ISSR_208002861_CAPEX_MAINTENANCE" localSheetId="19">#REF!</definedName>
    <definedName name="L_KEYWORD_ISSR_208002861_CAPEX_MAINTENANCE">#REF!</definedName>
    <definedName name="L_KEYWORD_ISSR_208002861_CASH_EQ" localSheetId="17">#REF!</definedName>
    <definedName name="L_KEYWORD_ISSR_208002861_CASH_EQ" localSheetId="14">#REF!</definedName>
    <definedName name="L_KEYWORD_ISSR_208002861_CASH_EQ" localSheetId="18">#REF!</definedName>
    <definedName name="L_KEYWORD_ISSR_208002861_CASH_EQ" localSheetId="19">#REF!</definedName>
    <definedName name="L_KEYWORD_ISSR_208002861_CASH_EQ">#REF!</definedName>
    <definedName name="L_KEYWORD_ISSR_208002861_CASH_INT_EXP" localSheetId="17">#REF!</definedName>
    <definedName name="L_KEYWORD_ISSR_208002861_CASH_INT_EXP" localSheetId="14">#REF!</definedName>
    <definedName name="L_KEYWORD_ISSR_208002861_CASH_INT_EXP" localSheetId="18">#REF!</definedName>
    <definedName name="L_KEYWORD_ISSR_208002861_CASH_INT_EXP" localSheetId="19">#REF!</definedName>
    <definedName name="L_KEYWORD_ISSR_208002861_CASH_INT_EXP">#REF!</definedName>
    <definedName name="L_KEYWORD_ISSR_208002861_CASH_INT_INC_EXP" localSheetId="17">#REF!</definedName>
    <definedName name="L_KEYWORD_ISSR_208002861_CASH_INT_INC_EXP" localSheetId="14">#REF!</definedName>
    <definedName name="L_KEYWORD_ISSR_208002861_CASH_INT_INC_EXP" localSheetId="18">#REF!</definedName>
    <definedName name="L_KEYWORD_ISSR_208002861_CASH_INT_INC_EXP" localSheetId="19">#REF!</definedName>
    <definedName name="L_KEYWORD_ISSR_208002861_CASH_INT_INC_EXP">#REF!</definedName>
    <definedName name="L_KEYWORD_ISSR_208002861_CASH_TAX_EXP" localSheetId="17">#REF!</definedName>
    <definedName name="L_KEYWORD_ISSR_208002861_CASH_TAX_EXP" localSheetId="14">#REF!</definedName>
    <definedName name="L_KEYWORD_ISSR_208002861_CASH_TAX_EXP" localSheetId="18">#REF!</definedName>
    <definedName name="L_KEYWORD_ISSR_208002861_CASH_TAX_EXP" localSheetId="19">#REF!</definedName>
    <definedName name="L_KEYWORD_ISSR_208002861_CASH_TAX_EXP">#REF!</definedName>
    <definedName name="L_KEYWORD_ISSR_208002861_CASH_TAX_PD" localSheetId="17">#REF!</definedName>
    <definedName name="L_KEYWORD_ISSR_208002861_CASH_TAX_PD" localSheetId="14">#REF!</definedName>
    <definedName name="L_KEYWORD_ISSR_208002861_CASH_TAX_PD" localSheetId="18">#REF!</definedName>
    <definedName name="L_KEYWORD_ISSR_208002861_CASH_TAX_PD" localSheetId="19">#REF!</definedName>
    <definedName name="L_KEYWORD_ISSR_208002861_CASH_TAX_PD">#REF!</definedName>
    <definedName name="L_KEYWORD_ISSR_208002861_CF_FIN" localSheetId="17">#REF!</definedName>
    <definedName name="L_KEYWORD_ISSR_208002861_CF_FIN" localSheetId="14">#REF!</definedName>
    <definedName name="L_KEYWORD_ISSR_208002861_CF_FIN" localSheetId="18">#REF!</definedName>
    <definedName name="L_KEYWORD_ISSR_208002861_CF_FIN" localSheetId="19">#REF!</definedName>
    <definedName name="L_KEYWORD_ISSR_208002861_CF_FIN">#REF!</definedName>
    <definedName name="L_KEYWORD_ISSR_208002861_CF_INC_MINORITY" localSheetId="17">#REF!</definedName>
    <definedName name="L_KEYWORD_ISSR_208002861_CF_INC_MINORITY" localSheetId="14">#REF!</definedName>
    <definedName name="L_KEYWORD_ISSR_208002861_CF_INC_MINORITY" localSheetId="18">#REF!</definedName>
    <definedName name="L_KEYWORD_ISSR_208002861_CF_INC_MINORITY" localSheetId="19">#REF!</definedName>
    <definedName name="L_KEYWORD_ISSR_208002861_CF_INC_MINORITY">#REF!</definedName>
    <definedName name="L_KEYWORD_ISSR_208002861_CF_INV" localSheetId="17">#REF!</definedName>
    <definedName name="L_KEYWORD_ISSR_208002861_CF_INV" localSheetId="14">#REF!</definedName>
    <definedName name="L_KEYWORD_ISSR_208002861_CF_INV" localSheetId="18">#REF!</definedName>
    <definedName name="L_KEYWORD_ISSR_208002861_CF_INV" localSheetId="19">#REF!</definedName>
    <definedName name="L_KEYWORD_ISSR_208002861_CF_INV">#REF!</definedName>
    <definedName name="L_KEYWORD_ISSR_208002861_CF_OPS" localSheetId="17">#REF!</definedName>
    <definedName name="L_KEYWORD_ISSR_208002861_CF_OPS" localSheetId="14">#REF!</definedName>
    <definedName name="L_KEYWORD_ISSR_208002861_CF_OPS" localSheetId="18">#REF!</definedName>
    <definedName name="L_KEYWORD_ISSR_208002861_CF_OPS" localSheetId="19">#REF!</definedName>
    <definedName name="L_KEYWORD_ISSR_208002861_CF_OPS">#REF!</definedName>
    <definedName name="L_KEYWORD_ISSR_208002861_CHG_LT_DEBT" localSheetId="17">#REF!</definedName>
    <definedName name="L_KEYWORD_ISSR_208002861_CHG_LT_DEBT" localSheetId="14">#REF!</definedName>
    <definedName name="L_KEYWORD_ISSR_208002861_CHG_LT_DEBT" localSheetId="18">#REF!</definedName>
    <definedName name="L_KEYWORD_ISSR_208002861_CHG_LT_DEBT" localSheetId="19">#REF!</definedName>
    <definedName name="L_KEYWORD_ISSR_208002861_CHG_LT_DEBT">#REF!</definedName>
    <definedName name="L_KEYWORD_ISSR_208002861_CO_BOR_MARGIN" localSheetId="17">#REF!</definedName>
    <definedName name="L_KEYWORD_ISSR_208002861_CO_BOR_MARGIN" localSheetId="14">#REF!</definedName>
    <definedName name="L_KEYWORD_ISSR_208002861_CO_BOR_MARGIN" localSheetId="18">#REF!</definedName>
    <definedName name="L_KEYWORD_ISSR_208002861_CO_BOR_MARGIN" localSheetId="19">#REF!</definedName>
    <definedName name="L_KEYWORD_ISSR_208002861_CO_BOR_MARGIN">#REF!</definedName>
    <definedName name="L_KEYWORD_ISSR_208002861_COST_GD_SD" localSheetId="17">#REF!</definedName>
    <definedName name="L_KEYWORD_ISSR_208002861_COST_GD_SD" localSheetId="14">#REF!</definedName>
    <definedName name="L_KEYWORD_ISSR_208002861_COST_GD_SD" localSheetId="18">#REF!</definedName>
    <definedName name="L_KEYWORD_ISSR_208002861_COST_GD_SD" localSheetId="19">#REF!</definedName>
    <definedName name="L_KEYWORD_ISSR_208002861_COST_GD_SD">#REF!</definedName>
    <definedName name="L_KEYWORD_ISSR_208002861_CUR_ASS" localSheetId="17">#REF!</definedName>
    <definedName name="L_KEYWORD_ISSR_208002861_CUR_ASS" localSheetId="14">#REF!</definedName>
    <definedName name="L_KEYWORD_ISSR_208002861_CUR_ASS" localSheetId="18">#REF!</definedName>
    <definedName name="L_KEYWORD_ISSR_208002861_CUR_ASS" localSheetId="19">#REF!</definedName>
    <definedName name="L_KEYWORD_ISSR_208002861_CUR_ASS">#REF!</definedName>
    <definedName name="L_KEYWORD_ISSR_208002861_CURRENCY_ISO" localSheetId="17">#REF!</definedName>
    <definedName name="L_KEYWORD_ISSR_208002861_CURRENCY_ISO" localSheetId="14">#REF!</definedName>
    <definedName name="L_KEYWORD_ISSR_208002861_CURRENCY_ISO" localSheetId="18">#REF!</definedName>
    <definedName name="L_KEYWORD_ISSR_208002861_CURRENCY_ISO" localSheetId="19">#REF!</definedName>
    <definedName name="L_KEYWORD_ISSR_208002861_CURRENCY_ISO">#REF!</definedName>
    <definedName name="L_KEYWORD_ISSR_208002861_DEBTORS" localSheetId="17">#REF!</definedName>
    <definedName name="L_KEYWORD_ISSR_208002861_DEBTORS" localSheetId="14">#REF!</definedName>
    <definedName name="L_KEYWORD_ISSR_208002861_DEBTORS" localSheetId="18">#REF!</definedName>
    <definedName name="L_KEYWORD_ISSR_208002861_DEBTORS" localSheetId="19">#REF!</definedName>
    <definedName name="L_KEYWORD_ISSR_208002861_DEBTORS">#REF!</definedName>
    <definedName name="L_KEYWORD_ISSR_208002861_DEF_INC_TAX" localSheetId="17">#REF!</definedName>
    <definedName name="L_KEYWORD_ISSR_208002861_DEF_INC_TAX" localSheetId="14">#REF!</definedName>
    <definedName name="L_KEYWORD_ISSR_208002861_DEF_INC_TAX" localSheetId="18">#REF!</definedName>
    <definedName name="L_KEYWORD_ISSR_208002861_DEF_INC_TAX" localSheetId="19">#REF!</definedName>
    <definedName name="L_KEYWORD_ISSR_208002861_DEF_INC_TAX">#REF!</definedName>
    <definedName name="L_KEYWORD_ISSR_208002861_DEPR_AMORT" localSheetId="17">#REF!</definedName>
    <definedName name="L_KEYWORD_ISSR_208002861_DEPR_AMORT" localSheetId="14">#REF!</definedName>
    <definedName name="L_KEYWORD_ISSR_208002861_DEPR_AMORT" localSheetId="18">#REF!</definedName>
    <definedName name="L_KEYWORD_ISSR_208002861_DEPR_AMORT" localSheetId="19">#REF!</definedName>
    <definedName name="L_KEYWORD_ISSR_208002861_DEPR_AMORT">#REF!</definedName>
    <definedName name="L_KEYWORD_ISSR_208002861_DEPREC" localSheetId="17">#REF!</definedName>
    <definedName name="L_KEYWORD_ISSR_208002861_DEPREC" localSheetId="14">#REF!</definedName>
    <definedName name="L_KEYWORD_ISSR_208002861_DEPREC" localSheetId="18">#REF!</definedName>
    <definedName name="L_KEYWORD_ISSR_208002861_DEPREC" localSheetId="19">#REF!</definedName>
    <definedName name="L_KEYWORD_ISSR_208002861_DEPREC">#REF!</definedName>
    <definedName name="L_KEYWORD_ISSR_208002861_DIV_PAID" localSheetId="17">#REF!</definedName>
    <definedName name="L_KEYWORD_ISSR_208002861_DIV_PAID" localSheetId="14">#REF!</definedName>
    <definedName name="L_KEYWORD_ISSR_208002861_DIV_PAID" localSheetId="18">#REF!</definedName>
    <definedName name="L_KEYWORD_ISSR_208002861_DIV_PAID" localSheetId="19">#REF!</definedName>
    <definedName name="L_KEYWORD_ISSR_208002861_DIV_PAID">#REF!</definedName>
    <definedName name="L_KEYWORD_ISSR_208002861_DIVDS_ASSOC_JV" localSheetId="17">#REF!</definedName>
    <definedName name="L_KEYWORD_ISSR_208002861_DIVDS_ASSOC_JV" localSheetId="14">#REF!</definedName>
    <definedName name="L_KEYWORD_ISSR_208002861_DIVDS_ASSOC_JV" localSheetId="18">#REF!</definedName>
    <definedName name="L_KEYWORD_ISSR_208002861_DIVDS_ASSOC_JV" localSheetId="19">#REF!</definedName>
    <definedName name="L_KEYWORD_ISSR_208002861_DIVDS_ASSOC_JV">#REF!</definedName>
    <definedName name="L_KEYWORD_ISSR_208002861_DIVDS_PD_MINORITIES" localSheetId="17">#REF!</definedName>
    <definedName name="L_KEYWORD_ISSR_208002861_DIVDS_PD_MINORITIES" localSheetId="14">#REF!</definedName>
    <definedName name="L_KEYWORD_ISSR_208002861_DIVDS_PD_MINORITIES" localSheetId="18">#REF!</definedName>
    <definedName name="L_KEYWORD_ISSR_208002861_DIVDS_PD_MINORITIES" localSheetId="19">#REF!</definedName>
    <definedName name="L_KEYWORD_ISSR_208002861_DIVDS_PD_MINORITIES">#REF!</definedName>
    <definedName name="L_KEYWORD_ISSR_208002861_DIVEST" localSheetId="17">#REF!</definedName>
    <definedName name="L_KEYWORD_ISSR_208002861_DIVEST" localSheetId="14">#REF!</definedName>
    <definedName name="L_KEYWORD_ISSR_208002861_DIVEST" localSheetId="18">#REF!</definedName>
    <definedName name="L_KEYWORD_ISSR_208002861_DIVEST" localSheetId="19">#REF!</definedName>
    <definedName name="L_KEYWORD_ISSR_208002861_DIVEST">#REF!</definedName>
    <definedName name="L_KEYWORD_ISSR_208002861_EBIT" localSheetId="17">#REF!</definedName>
    <definedName name="L_KEYWORD_ISSR_208002861_EBIT" localSheetId="14">#REF!</definedName>
    <definedName name="L_KEYWORD_ISSR_208002861_EBIT" localSheetId="18">#REF!</definedName>
    <definedName name="L_KEYWORD_ISSR_208002861_EBIT" localSheetId="19">#REF!</definedName>
    <definedName name="L_KEYWORD_ISSR_208002861_EBIT">#REF!</definedName>
    <definedName name="L_KEYWORD_ISSR_208002861_EBITDA_CALC" localSheetId="17">#REF!</definedName>
    <definedName name="L_KEYWORD_ISSR_208002861_EBITDA_CALC" localSheetId="14">#REF!</definedName>
    <definedName name="L_KEYWORD_ISSR_208002861_EBITDA_CALC" localSheetId="18">#REF!</definedName>
    <definedName name="L_KEYWORD_ISSR_208002861_EBITDA_CALC" localSheetId="19">#REF!</definedName>
    <definedName name="L_KEYWORD_ISSR_208002861_EBITDA_CALC">#REF!</definedName>
    <definedName name="L_KEYWORD_ISSR_208002861_EMPLOYEES" localSheetId="17">#REF!</definedName>
    <definedName name="L_KEYWORD_ISSR_208002861_EMPLOYEES" localSheetId="14">#REF!</definedName>
    <definedName name="L_KEYWORD_ISSR_208002861_EMPLOYEES" localSheetId="18">#REF!</definedName>
    <definedName name="L_KEYWORD_ISSR_208002861_EMPLOYEES" localSheetId="19">#REF!</definedName>
    <definedName name="L_KEYWORD_ISSR_208002861_EMPLOYEES">#REF!</definedName>
    <definedName name="L_KEYWORD_ISSR_208002861_EQ" localSheetId="17">#REF!</definedName>
    <definedName name="L_KEYWORD_ISSR_208002861_EQ" localSheetId="14">#REF!</definedName>
    <definedName name="L_KEYWORD_ISSR_208002861_EQ" localSheetId="18">#REF!</definedName>
    <definedName name="L_KEYWORD_ISSR_208002861_EQ" localSheetId="19">#REF!</definedName>
    <definedName name="L_KEYWORD_ISSR_208002861_EQ">#REF!</definedName>
    <definedName name="L_KEYWORD_ISSR_208002861_EXP_ALUMINIUM" localSheetId="17">#REF!</definedName>
    <definedName name="L_KEYWORD_ISSR_208002861_EXP_ALUMINIUM" localSheetId="14">#REF!</definedName>
    <definedName name="L_KEYWORD_ISSR_208002861_EXP_ALUMINIUM" localSheetId="18">#REF!</definedName>
    <definedName name="L_KEYWORD_ISSR_208002861_EXP_ALUMINIUM" localSheetId="19">#REF!</definedName>
    <definedName name="L_KEYWORD_ISSR_208002861_EXP_ALUMINIUM">#REF!</definedName>
    <definedName name="L_KEYWORD_ISSR_208002861_EXP_COPPER" localSheetId="17">#REF!</definedName>
    <definedName name="L_KEYWORD_ISSR_208002861_EXP_COPPER" localSheetId="14">#REF!</definedName>
    <definedName name="L_KEYWORD_ISSR_208002861_EXP_COPPER" localSheetId="18">#REF!</definedName>
    <definedName name="L_KEYWORD_ISSR_208002861_EXP_COPPER" localSheetId="19">#REF!</definedName>
    <definedName name="L_KEYWORD_ISSR_208002861_EXP_COPPER">#REF!</definedName>
    <definedName name="L_KEYWORD_ISSR_208002861_EXP_GLASS" localSheetId="17">#REF!</definedName>
    <definedName name="L_KEYWORD_ISSR_208002861_EXP_GLASS" localSheetId="14">#REF!</definedName>
    <definedName name="L_KEYWORD_ISSR_208002861_EXP_GLASS" localSheetId="18">#REF!</definedName>
    <definedName name="L_KEYWORD_ISSR_208002861_EXP_GLASS" localSheetId="19">#REF!</definedName>
    <definedName name="L_KEYWORD_ISSR_208002861_EXP_GLASS">#REF!</definedName>
    <definedName name="L_KEYWORD_ISSR_208002861_EXP_GOLD" localSheetId="17">#REF!</definedName>
    <definedName name="L_KEYWORD_ISSR_208002861_EXP_GOLD" localSheetId="14">#REF!</definedName>
    <definedName name="L_KEYWORD_ISSR_208002861_EXP_GOLD" localSheetId="18">#REF!</definedName>
    <definedName name="L_KEYWORD_ISSR_208002861_EXP_GOLD" localSheetId="19">#REF!</definedName>
    <definedName name="L_KEYWORD_ISSR_208002861_EXP_GOLD">#REF!</definedName>
    <definedName name="L_KEYWORD_ISSR_208002861_EXP_NAT_GAS" localSheetId="17">#REF!</definedName>
    <definedName name="L_KEYWORD_ISSR_208002861_EXP_NAT_GAS" localSheetId="14">#REF!</definedName>
    <definedName name="L_KEYWORD_ISSR_208002861_EXP_NAT_GAS" localSheetId="18">#REF!</definedName>
    <definedName name="L_KEYWORD_ISSR_208002861_EXP_NAT_GAS" localSheetId="19">#REF!</definedName>
    <definedName name="L_KEYWORD_ISSR_208002861_EXP_NAT_GAS">#REF!</definedName>
    <definedName name="L_KEYWORD_ISSR_208002861_EXP_NICKEL" localSheetId="17">#REF!</definedName>
    <definedName name="L_KEYWORD_ISSR_208002861_EXP_NICKEL" localSheetId="14">#REF!</definedName>
    <definedName name="L_KEYWORD_ISSR_208002861_EXP_NICKEL" localSheetId="18">#REF!</definedName>
    <definedName name="L_KEYWORD_ISSR_208002861_EXP_NICKEL" localSheetId="19">#REF!</definedName>
    <definedName name="L_KEYWORD_ISSR_208002861_EXP_NICKEL">#REF!</definedName>
    <definedName name="L_KEYWORD_ISSR_208002861_EXP_OIL_DERIV_NGLS_PLASTICS" localSheetId="17">#REF!</definedName>
    <definedName name="L_KEYWORD_ISSR_208002861_EXP_OIL_DERIV_NGLS_PLASTICS" localSheetId="14">#REF!</definedName>
    <definedName name="L_KEYWORD_ISSR_208002861_EXP_OIL_DERIV_NGLS_PLASTICS" localSheetId="18">#REF!</definedName>
    <definedName name="L_KEYWORD_ISSR_208002861_EXP_OIL_DERIV_NGLS_PLASTICS" localSheetId="19">#REF!</definedName>
    <definedName name="L_KEYWORD_ISSR_208002861_EXP_OIL_DERIV_NGLS_PLASTICS">#REF!</definedName>
    <definedName name="L_KEYWORD_ISSR_208002861_EXP_OIL_PETRO_FUEL" localSheetId="17">#REF!</definedName>
    <definedName name="L_KEYWORD_ISSR_208002861_EXP_OIL_PETRO_FUEL" localSheetId="14">#REF!</definedName>
    <definedName name="L_KEYWORD_ISSR_208002861_EXP_OIL_PETRO_FUEL" localSheetId="18">#REF!</definedName>
    <definedName name="L_KEYWORD_ISSR_208002861_EXP_OIL_PETRO_FUEL" localSheetId="19">#REF!</definedName>
    <definedName name="L_KEYWORD_ISSR_208002861_EXP_OIL_PETRO_FUEL">#REF!</definedName>
    <definedName name="L_KEYWORD_ISSR_208002861_EXP_OTH_COMMODITY" localSheetId="17">#REF!</definedName>
    <definedName name="L_KEYWORD_ISSR_208002861_EXP_OTH_COMMODITY" localSheetId="14">#REF!</definedName>
    <definedName name="L_KEYWORD_ISSR_208002861_EXP_OTH_COMMODITY" localSheetId="18">#REF!</definedName>
    <definedName name="L_KEYWORD_ISSR_208002861_EXP_OTH_COMMODITY" localSheetId="19">#REF!</definedName>
    <definedName name="L_KEYWORD_ISSR_208002861_EXP_OTH_COMMODITY">#REF!</definedName>
    <definedName name="L_KEYWORD_ISSR_208002861_EXP_OTH_COST" localSheetId="17">#REF!</definedName>
    <definedName name="L_KEYWORD_ISSR_208002861_EXP_OTH_COST" localSheetId="14">#REF!</definedName>
    <definedName name="L_KEYWORD_ISSR_208002861_EXP_OTH_COST" localSheetId="18">#REF!</definedName>
    <definedName name="L_KEYWORD_ISSR_208002861_EXP_OTH_COST" localSheetId="19">#REF!</definedName>
    <definedName name="L_KEYWORD_ISSR_208002861_EXP_OTH_COST">#REF!</definedName>
    <definedName name="L_KEYWORD_ISSR_208002861_EXP_PALLADIUM" localSheetId="17">#REF!</definedName>
    <definedName name="L_KEYWORD_ISSR_208002861_EXP_PALLADIUM" localSheetId="14">#REF!</definedName>
    <definedName name="L_KEYWORD_ISSR_208002861_EXP_PALLADIUM" localSheetId="18">#REF!</definedName>
    <definedName name="L_KEYWORD_ISSR_208002861_EXP_PALLADIUM" localSheetId="19">#REF!</definedName>
    <definedName name="L_KEYWORD_ISSR_208002861_EXP_PALLADIUM">#REF!</definedName>
    <definedName name="L_KEYWORD_ISSR_208002861_EXP_PLATINUM" localSheetId="17">#REF!</definedName>
    <definedName name="L_KEYWORD_ISSR_208002861_EXP_PLATINUM" localSheetId="14">#REF!</definedName>
    <definedName name="L_KEYWORD_ISSR_208002861_EXP_PLATINUM" localSheetId="18">#REF!</definedName>
    <definedName name="L_KEYWORD_ISSR_208002861_EXP_PLATINUM" localSheetId="19">#REF!</definedName>
    <definedName name="L_KEYWORD_ISSR_208002861_EXP_PLATINUM">#REF!</definedName>
    <definedName name="L_KEYWORD_ISSR_208002861_EXP_RUBBER" localSheetId="17">#REF!</definedName>
    <definedName name="L_KEYWORD_ISSR_208002861_EXP_RUBBER" localSheetId="14">#REF!</definedName>
    <definedName name="L_KEYWORD_ISSR_208002861_EXP_RUBBER" localSheetId="18">#REF!</definedName>
    <definedName name="L_KEYWORD_ISSR_208002861_EXP_RUBBER" localSheetId="19">#REF!</definedName>
    <definedName name="L_KEYWORD_ISSR_208002861_EXP_RUBBER">#REF!</definedName>
    <definedName name="L_KEYWORD_ISSR_208002861_EXP_SILVER" localSheetId="17">#REF!</definedName>
    <definedName name="L_KEYWORD_ISSR_208002861_EXP_SILVER" localSheetId="14">#REF!</definedName>
    <definedName name="L_KEYWORD_ISSR_208002861_EXP_SILVER" localSheetId="18">#REF!</definedName>
    <definedName name="L_KEYWORD_ISSR_208002861_EXP_SILVER" localSheetId="19">#REF!</definedName>
    <definedName name="L_KEYWORD_ISSR_208002861_EXP_SILVER">#REF!</definedName>
    <definedName name="L_KEYWORD_ISSR_208002861_EXP_STEEL" localSheetId="17">#REF!</definedName>
    <definedName name="L_KEYWORD_ISSR_208002861_EXP_STEEL" localSheetId="14">#REF!</definedName>
    <definedName name="L_KEYWORD_ISSR_208002861_EXP_STEEL" localSheetId="18">#REF!</definedName>
    <definedName name="L_KEYWORD_ISSR_208002861_EXP_STEEL" localSheetId="19">#REF!</definedName>
    <definedName name="L_KEYWORD_ISSR_208002861_EXP_STEEL">#REF!</definedName>
    <definedName name="L_KEYWORD_ISSR_208002861_EXP_WATER" localSheetId="17">#REF!</definedName>
    <definedName name="L_KEYWORD_ISSR_208002861_EXP_WATER" localSheetId="14">#REF!</definedName>
    <definedName name="L_KEYWORD_ISSR_208002861_EXP_WATER" localSheetId="18">#REF!</definedName>
    <definedName name="L_KEYWORD_ISSR_208002861_EXP_WATER" localSheetId="19">#REF!</definedName>
    <definedName name="L_KEYWORD_ISSR_208002861_EXP_WATER">#REF!</definedName>
    <definedName name="L_KEYWORD_ISSR_208002861_EXP_ZINC" localSheetId="17">#REF!</definedName>
    <definedName name="L_KEYWORD_ISSR_208002861_EXP_ZINC" localSheetId="14">#REF!</definedName>
    <definedName name="L_KEYWORD_ISSR_208002861_EXP_ZINC" localSheetId="18">#REF!</definedName>
    <definedName name="L_KEYWORD_ISSR_208002861_EXP_ZINC" localSheetId="19">#REF!</definedName>
    <definedName name="L_KEYWORD_ISSR_208002861_EXP_ZINC">#REF!</definedName>
    <definedName name="L_KEYWORD_ISSR_208002861_FIX_ASS_INV" localSheetId="17">#REF!</definedName>
    <definedName name="L_KEYWORD_ISSR_208002861_FIX_ASS_INV" localSheetId="14">#REF!</definedName>
    <definedName name="L_KEYWORD_ISSR_208002861_FIX_ASS_INV" localSheetId="18">#REF!</definedName>
    <definedName name="L_KEYWORD_ISSR_208002861_FIX_ASS_INV" localSheetId="19">#REF!</definedName>
    <definedName name="L_KEYWORD_ISSR_208002861_FIX_ASS_INV">#REF!</definedName>
    <definedName name="L_KEYWORD_ISSR_208002861_GCI_INFL" localSheetId="17">#REF!</definedName>
    <definedName name="L_KEYWORD_ISSR_208002861_GCI_INFL" localSheetId="14">#REF!</definedName>
    <definedName name="L_KEYWORD_ISSR_208002861_GCI_INFL" localSheetId="18">#REF!</definedName>
    <definedName name="L_KEYWORD_ISSR_208002861_GCI_INFL" localSheetId="19">#REF!</definedName>
    <definedName name="L_KEYWORD_ISSR_208002861_GCI_INFL">#REF!</definedName>
    <definedName name="L_KEYWORD_ISSR_208002861_GOODWILL_AMORT" localSheetId="17">#REF!</definedName>
    <definedName name="L_KEYWORD_ISSR_208002861_GOODWILL_AMORT" localSheetId="14">#REF!</definedName>
    <definedName name="L_KEYWORD_ISSR_208002861_GOODWILL_AMORT" localSheetId="18">#REF!</definedName>
    <definedName name="L_KEYWORD_ISSR_208002861_GOODWILL_AMORT" localSheetId="19">#REF!</definedName>
    <definedName name="L_KEYWORD_ISSR_208002861_GOODWILL_AMORT">#REF!</definedName>
    <definedName name="L_KEYWORD_ISSR_208002861_GR_FIX_ASS" localSheetId="17">#REF!</definedName>
    <definedName name="L_KEYWORD_ISSR_208002861_GR_FIX_ASS" localSheetId="14">#REF!</definedName>
    <definedName name="L_KEYWORD_ISSR_208002861_GR_FIX_ASS" localSheetId="18">#REF!</definedName>
    <definedName name="L_KEYWORD_ISSR_208002861_GR_FIX_ASS" localSheetId="19">#REF!</definedName>
    <definedName name="L_KEYWORD_ISSR_208002861_GR_FIX_ASS">#REF!</definedName>
    <definedName name="L_KEYWORD_ISSR_208002861_GR_INTANG" localSheetId="17">#REF!</definedName>
    <definedName name="L_KEYWORD_ISSR_208002861_GR_INTANG" localSheetId="14">#REF!</definedName>
    <definedName name="L_KEYWORD_ISSR_208002861_GR_INTANG" localSheetId="18">#REF!</definedName>
    <definedName name="L_KEYWORD_ISSR_208002861_GR_INTANG" localSheetId="19">#REF!</definedName>
    <definedName name="L_KEYWORD_ISSR_208002861_GR_INTANG">#REF!</definedName>
    <definedName name="L_KEYWORD_ISSR_208002861_GW_AMORT" localSheetId="17">#REF!</definedName>
    <definedName name="L_KEYWORD_ISSR_208002861_GW_AMORT" localSheetId="14">#REF!</definedName>
    <definedName name="L_KEYWORD_ISSR_208002861_GW_AMORT" localSheetId="18">#REF!</definedName>
    <definedName name="L_KEYWORD_ISSR_208002861_GW_AMORT" localSheetId="19">#REF!</definedName>
    <definedName name="L_KEYWORD_ISSR_208002861_GW_AMORT">#REF!</definedName>
    <definedName name="L_KEYWORD_ISSR_208002861_IND_SALES_BRAZIL" localSheetId="17">#REF!</definedName>
    <definedName name="L_KEYWORD_ISSR_208002861_IND_SALES_BRAZIL" localSheetId="14">#REF!</definedName>
    <definedName name="L_KEYWORD_ISSR_208002861_IND_SALES_BRAZIL" localSheetId="18">#REF!</definedName>
    <definedName name="L_KEYWORD_ISSR_208002861_IND_SALES_BRAZIL" localSheetId="19">#REF!</definedName>
    <definedName name="L_KEYWORD_ISSR_208002861_IND_SALES_BRAZIL">#REF!</definedName>
    <definedName name="L_KEYWORD_ISSR_208002861_IND_SALES_CEE" localSheetId="17">#REF!</definedName>
    <definedName name="L_KEYWORD_ISSR_208002861_IND_SALES_CEE" localSheetId="14">#REF!</definedName>
    <definedName name="L_KEYWORD_ISSR_208002861_IND_SALES_CEE" localSheetId="18">#REF!</definedName>
    <definedName name="L_KEYWORD_ISSR_208002861_IND_SALES_CEE" localSheetId="19">#REF!</definedName>
    <definedName name="L_KEYWORD_ISSR_208002861_IND_SALES_CEE">#REF!</definedName>
    <definedName name="L_KEYWORD_ISSR_208002861_IND_SALES_CHINA" localSheetId="17">#REF!</definedName>
    <definedName name="L_KEYWORD_ISSR_208002861_IND_SALES_CHINA" localSheetId="14">#REF!</definedName>
    <definedName name="L_KEYWORD_ISSR_208002861_IND_SALES_CHINA" localSheetId="18">#REF!</definedName>
    <definedName name="L_KEYWORD_ISSR_208002861_IND_SALES_CHINA" localSheetId="19">#REF!</definedName>
    <definedName name="L_KEYWORD_ISSR_208002861_IND_SALES_CHINA">#REF!</definedName>
    <definedName name="L_KEYWORD_ISSR_208002861_IND_SALES_CONS" localSheetId="17">#REF!</definedName>
    <definedName name="L_KEYWORD_ISSR_208002861_IND_SALES_CONS" localSheetId="14">#REF!</definedName>
    <definedName name="L_KEYWORD_ISSR_208002861_IND_SALES_CONS" localSheetId="18">#REF!</definedName>
    <definedName name="L_KEYWORD_ISSR_208002861_IND_SALES_CONS" localSheetId="19">#REF!</definedName>
    <definedName name="L_KEYWORD_ISSR_208002861_IND_SALES_CONS">#REF!</definedName>
    <definedName name="L_KEYWORD_ISSR_208002861_IND_SALES_EU_EX_UK" localSheetId="17">#REF!</definedName>
    <definedName name="L_KEYWORD_ISSR_208002861_IND_SALES_EU_EX_UK" localSheetId="14">#REF!</definedName>
    <definedName name="L_KEYWORD_ISSR_208002861_IND_SALES_EU_EX_UK" localSheetId="18">#REF!</definedName>
    <definedName name="L_KEYWORD_ISSR_208002861_IND_SALES_EU_EX_UK" localSheetId="19">#REF!</definedName>
    <definedName name="L_KEYWORD_ISSR_208002861_IND_SALES_EU_EX_UK">#REF!</definedName>
    <definedName name="L_KEYWORD_ISSR_208002861_IND_SALES_FINAN" localSheetId="17">#REF!</definedName>
    <definedName name="L_KEYWORD_ISSR_208002861_IND_SALES_FINAN" localSheetId="14">#REF!</definedName>
    <definedName name="L_KEYWORD_ISSR_208002861_IND_SALES_FINAN" localSheetId="18">#REF!</definedName>
    <definedName name="L_KEYWORD_ISSR_208002861_IND_SALES_FINAN" localSheetId="19">#REF!</definedName>
    <definedName name="L_KEYWORD_ISSR_208002861_IND_SALES_FINAN">#REF!</definedName>
    <definedName name="L_KEYWORD_ISSR_208002861_IND_SALES_FRA" localSheetId="17">#REF!</definedName>
    <definedName name="L_KEYWORD_ISSR_208002861_IND_SALES_FRA" localSheetId="14">#REF!</definedName>
    <definedName name="L_KEYWORD_ISSR_208002861_IND_SALES_FRA" localSheetId="18">#REF!</definedName>
    <definedName name="L_KEYWORD_ISSR_208002861_IND_SALES_FRA" localSheetId="19">#REF!</definedName>
    <definedName name="L_KEYWORD_ISSR_208002861_IND_SALES_FRA">#REF!</definedName>
    <definedName name="L_KEYWORD_ISSR_208002861_IND_SALES_GER" localSheetId="17">#REF!</definedName>
    <definedName name="L_KEYWORD_ISSR_208002861_IND_SALES_GER" localSheetId="14">#REF!</definedName>
    <definedName name="L_KEYWORD_ISSR_208002861_IND_SALES_GER" localSheetId="18">#REF!</definedName>
    <definedName name="L_KEYWORD_ISSR_208002861_IND_SALES_GER" localSheetId="19">#REF!</definedName>
    <definedName name="L_KEYWORD_ISSR_208002861_IND_SALES_GER">#REF!</definedName>
    <definedName name="L_KEYWORD_ISSR_208002861_IND_SALES_GOV" localSheetId="17">#REF!</definedName>
    <definedName name="L_KEYWORD_ISSR_208002861_IND_SALES_GOV" localSheetId="14">#REF!</definedName>
    <definedName name="L_KEYWORD_ISSR_208002861_IND_SALES_GOV" localSheetId="18">#REF!</definedName>
    <definedName name="L_KEYWORD_ISSR_208002861_IND_SALES_GOV" localSheetId="19">#REF!</definedName>
    <definedName name="L_KEYWORD_ISSR_208002861_IND_SALES_GOV">#REF!</definedName>
    <definedName name="L_KEYWORD_ISSR_208002861_IND_SALES_IND" localSheetId="17">#REF!</definedName>
    <definedName name="L_KEYWORD_ISSR_208002861_IND_SALES_IND" localSheetId="14">#REF!</definedName>
    <definedName name="L_KEYWORD_ISSR_208002861_IND_SALES_IND" localSheetId="18">#REF!</definedName>
    <definedName name="L_KEYWORD_ISSR_208002861_IND_SALES_IND" localSheetId="19">#REF!</definedName>
    <definedName name="L_KEYWORD_ISSR_208002861_IND_SALES_IND">#REF!</definedName>
    <definedName name="L_KEYWORD_ISSR_208002861_IND_SALES_INDIA" localSheetId="17">#REF!</definedName>
    <definedName name="L_KEYWORD_ISSR_208002861_IND_SALES_INDIA" localSheetId="14">#REF!</definedName>
    <definedName name="L_KEYWORD_ISSR_208002861_IND_SALES_INDIA" localSheetId="18">#REF!</definedName>
    <definedName name="L_KEYWORD_ISSR_208002861_IND_SALES_INDIA" localSheetId="19">#REF!</definedName>
    <definedName name="L_KEYWORD_ISSR_208002861_IND_SALES_INDIA">#REF!</definedName>
    <definedName name="L_KEYWORD_ISSR_208002861_IND_SALES_ITA" localSheetId="17">#REF!</definedName>
    <definedName name="L_KEYWORD_ISSR_208002861_IND_SALES_ITA" localSheetId="14">#REF!</definedName>
    <definedName name="L_KEYWORD_ISSR_208002861_IND_SALES_ITA" localSheetId="18">#REF!</definedName>
    <definedName name="L_KEYWORD_ISSR_208002861_IND_SALES_ITA" localSheetId="19">#REF!</definedName>
    <definedName name="L_KEYWORD_ISSR_208002861_IND_SALES_ITA">#REF!</definedName>
    <definedName name="L_KEYWORD_ISSR_208002861_IND_SALES_JAPAN" localSheetId="17">#REF!</definedName>
    <definedName name="L_KEYWORD_ISSR_208002861_IND_SALES_JAPAN" localSheetId="14">#REF!</definedName>
    <definedName name="L_KEYWORD_ISSR_208002861_IND_SALES_JAPAN" localSheetId="18">#REF!</definedName>
    <definedName name="L_KEYWORD_ISSR_208002861_IND_SALES_JAPAN" localSheetId="19">#REF!</definedName>
    <definedName name="L_KEYWORD_ISSR_208002861_IND_SALES_JAPAN">#REF!</definedName>
    <definedName name="L_KEYWORD_ISSR_208002861_IND_SALES_ME" localSheetId="17">#REF!</definedName>
    <definedName name="L_KEYWORD_ISSR_208002861_IND_SALES_ME" localSheetId="14">#REF!</definedName>
    <definedName name="L_KEYWORD_ISSR_208002861_IND_SALES_ME" localSheetId="18">#REF!</definedName>
    <definedName name="L_KEYWORD_ISSR_208002861_IND_SALES_ME" localSheetId="19">#REF!</definedName>
    <definedName name="L_KEYWORD_ISSR_208002861_IND_SALES_ME">#REF!</definedName>
    <definedName name="L_KEYWORD_ISSR_208002861_IND_SALES_NIGERIA" localSheetId="17">#REF!</definedName>
    <definedName name="L_KEYWORD_ISSR_208002861_IND_SALES_NIGERIA" localSheetId="14">#REF!</definedName>
    <definedName name="L_KEYWORD_ISSR_208002861_IND_SALES_NIGERIA" localSheetId="18">#REF!</definedName>
    <definedName name="L_KEYWORD_ISSR_208002861_IND_SALES_NIGERIA" localSheetId="19">#REF!</definedName>
    <definedName name="L_KEYWORD_ISSR_208002861_IND_SALES_NIGERIA">#REF!</definedName>
    <definedName name="L_KEYWORD_ISSR_208002861_IND_SALES_OTH_AEJ" localSheetId="17">#REF!</definedName>
    <definedName name="L_KEYWORD_ISSR_208002861_IND_SALES_OTH_AEJ" localSheetId="14">#REF!</definedName>
    <definedName name="L_KEYWORD_ISSR_208002861_IND_SALES_OTH_AEJ" localSheetId="18">#REF!</definedName>
    <definedName name="L_KEYWORD_ISSR_208002861_IND_SALES_OTH_AEJ" localSheetId="19">#REF!</definedName>
    <definedName name="L_KEYWORD_ISSR_208002861_IND_SALES_OTH_AEJ">#REF!</definedName>
    <definedName name="L_KEYWORD_ISSR_208002861_IND_SALES_OTH_AFRICA" localSheetId="17">#REF!</definedName>
    <definedName name="L_KEYWORD_ISSR_208002861_IND_SALES_OTH_AFRICA" localSheetId="14">#REF!</definedName>
    <definedName name="L_KEYWORD_ISSR_208002861_IND_SALES_OTH_AFRICA" localSheetId="18">#REF!</definedName>
    <definedName name="L_KEYWORD_ISSR_208002861_IND_SALES_OTH_AFRICA" localSheetId="19">#REF!</definedName>
    <definedName name="L_KEYWORD_ISSR_208002861_IND_SALES_OTH_AFRICA">#REF!</definedName>
    <definedName name="L_KEYWORD_ISSR_208002861_IND_SALES_OTH_AM" localSheetId="17">#REF!</definedName>
    <definedName name="L_KEYWORD_ISSR_208002861_IND_SALES_OTH_AM" localSheetId="14">#REF!</definedName>
    <definedName name="L_KEYWORD_ISSR_208002861_IND_SALES_OTH_AM" localSheetId="18">#REF!</definedName>
    <definedName name="L_KEYWORD_ISSR_208002861_IND_SALES_OTH_AM" localSheetId="19">#REF!</definedName>
    <definedName name="L_KEYWORD_ISSR_208002861_IND_SALES_OTH_AM">#REF!</definedName>
    <definedName name="L_KEYWORD_ISSR_208002861_IND_SALES_OTH_EMEA" localSheetId="17">#REF!</definedName>
    <definedName name="L_KEYWORD_ISSR_208002861_IND_SALES_OTH_EMEA" localSheetId="14">#REF!</definedName>
    <definedName name="L_KEYWORD_ISSR_208002861_IND_SALES_OTH_EMEA" localSheetId="18">#REF!</definedName>
    <definedName name="L_KEYWORD_ISSR_208002861_IND_SALES_OTH_EMEA" localSheetId="19">#REF!</definedName>
    <definedName name="L_KEYWORD_ISSR_208002861_IND_SALES_OTH_EMEA">#REF!</definedName>
    <definedName name="L_KEYWORD_ISSR_208002861_IND_SALES_OTH_EU_EX_UK" localSheetId="17">#REF!</definedName>
    <definedName name="L_KEYWORD_ISSR_208002861_IND_SALES_OTH_EU_EX_UK" localSheetId="14">#REF!</definedName>
    <definedName name="L_KEYWORD_ISSR_208002861_IND_SALES_OTH_EU_EX_UK" localSheetId="18">#REF!</definedName>
    <definedName name="L_KEYWORD_ISSR_208002861_IND_SALES_OTH_EU_EX_UK" localSheetId="19">#REF!</definedName>
    <definedName name="L_KEYWORD_ISSR_208002861_IND_SALES_OTH_EU_EX_UK">#REF!</definedName>
    <definedName name="L_KEYWORD_ISSR_208002861_IND_SALES_OTHER" localSheetId="17">#REF!</definedName>
    <definedName name="L_KEYWORD_ISSR_208002861_IND_SALES_OTHER" localSheetId="14">#REF!</definedName>
    <definedName name="L_KEYWORD_ISSR_208002861_IND_SALES_OTHER" localSheetId="18">#REF!</definedName>
    <definedName name="L_KEYWORD_ISSR_208002861_IND_SALES_OTHER" localSheetId="19">#REF!</definedName>
    <definedName name="L_KEYWORD_ISSR_208002861_IND_SALES_OTHER">#REF!</definedName>
    <definedName name="L_KEYWORD_ISSR_208002861_IND_SALES_RUSSIA" localSheetId="17">#REF!</definedName>
    <definedName name="L_KEYWORD_ISSR_208002861_IND_SALES_RUSSIA" localSheetId="14">#REF!</definedName>
    <definedName name="L_KEYWORD_ISSR_208002861_IND_SALES_RUSSIA" localSheetId="18">#REF!</definedName>
    <definedName name="L_KEYWORD_ISSR_208002861_IND_SALES_RUSSIA" localSheetId="19">#REF!</definedName>
    <definedName name="L_KEYWORD_ISSR_208002861_IND_SALES_RUSSIA">#REF!</definedName>
    <definedName name="L_KEYWORD_ISSR_208002861_IND_SALES_SO_AFRICA" localSheetId="17">#REF!</definedName>
    <definedName name="L_KEYWORD_ISSR_208002861_IND_SALES_SO_AFRICA" localSheetId="14">#REF!</definedName>
    <definedName name="L_KEYWORD_ISSR_208002861_IND_SALES_SO_AFRICA" localSheetId="18">#REF!</definedName>
    <definedName name="L_KEYWORD_ISSR_208002861_IND_SALES_SO_AFRICA" localSheetId="19">#REF!</definedName>
    <definedName name="L_KEYWORD_ISSR_208002861_IND_SALES_SO_AFRICA">#REF!</definedName>
    <definedName name="L_KEYWORD_ISSR_208002861_IND_SALES_SPA" localSheetId="17">#REF!</definedName>
    <definedName name="L_KEYWORD_ISSR_208002861_IND_SALES_SPA" localSheetId="14">#REF!</definedName>
    <definedName name="L_KEYWORD_ISSR_208002861_IND_SALES_SPA" localSheetId="18">#REF!</definedName>
    <definedName name="L_KEYWORD_ISSR_208002861_IND_SALES_SPA" localSheetId="19">#REF!</definedName>
    <definedName name="L_KEYWORD_ISSR_208002861_IND_SALES_SPA">#REF!</definedName>
    <definedName name="L_KEYWORD_ISSR_208002861_IND_SALES_TOT_AFRICA" localSheetId="17">#REF!</definedName>
    <definedName name="L_KEYWORD_ISSR_208002861_IND_SALES_TOT_AFRICA" localSheetId="14">#REF!</definedName>
    <definedName name="L_KEYWORD_ISSR_208002861_IND_SALES_TOT_AFRICA" localSheetId="18">#REF!</definedName>
    <definedName name="L_KEYWORD_ISSR_208002861_IND_SALES_TOT_AFRICA" localSheetId="19">#REF!</definedName>
    <definedName name="L_KEYWORD_ISSR_208002861_IND_SALES_TOT_AFRICA">#REF!</definedName>
    <definedName name="L_KEYWORD_ISSR_208002861_IND_SALES_TOT_AM" localSheetId="17">#REF!</definedName>
    <definedName name="L_KEYWORD_ISSR_208002861_IND_SALES_TOT_AM" localSheetId="14">#REF!</definedName>
    <definedName name="L_KEYWORD_ISSR_208002861_IND_SALES_TOT_AM" localSheetId="18">#REF!</definedName>
    <definedName name="L_KEYWORD_ISSR_208002861_IND_SALES_TOT_AM" localSheetId="19">#REF!</definedName>
    <definedName name="L_KEYWORD_ISSR_208002861_IND_SALES_TOT_AM">#REF!</definedName>
    <definedName name="L_KEYWORD_ISSR_208002861_IND_SALES_TOT_ASIA" localSheetId="17">#REF!</definedName>
    <definedName name="L_KEYWORD_ISSR_208002861_IND_SALES_TOT_ASIA" localSheetId="14">#REF!</definedName>
    <definedName name="L_KEYWORD_ISSR_208002861_IND_SALES_TOT_ASIA" localSheetId="18">#REF!</definedName>
    <definedName name="L_KEYWORD_ISSR_208002861_IND_SALES_TOT_ASIA" localSheetId="19">#REF!</definedName>
    <definedName name="L_KEYWORD_ISSR_208002861_IND_SALES_TOT_ASIA">#REF!</definedName>
    <definedName name="L_KEYWORD_ISSR_208002861_IND_SALES_TOT_EMEA" localSheetId="17">#REF!</definedName>
    <definedName name="L_KEYWORD_ISSR_208002861_IND_SALES_TOT_EMEA" localSheetId="14">#REF!</definedName>
    <definedName name="L_KEYWORD_ISSR_208002861_IND_SALES_TOT_EMEA" localSheetId="18">#REF!</definedName>
    <definedName name="L_KEYWORD_ISSR_208002861_IND_SALES_TOT_EMEA" localSheetId="19">#REF!</definedName>
    <definedName name="L_KEYWORD_ISSR_208002861_IND_SALES_TOT_EMEA">#REF!</definedName>
    <definedName name="L_KEYWORD_ISSR_208002861_IND_SALES_UK" localSheetId="17">#REF!</definedName>
    <definedName name="L_KEYWORD_ISSR_208002861_IND_SALES_UK" localSheetId="14">#REF!</definedName>
    <definedName name="L_KEYWORD_ISSR_208002861_IND_SALES_UK" localSheetId="18">#REF!</definedName>
    <definedName name="L_KEYWORD_ISSR_208002861_IND_SALES_UK" localSheetId="19">#REF!</definedName>
    <definedName name="L_KEYWORD_ISSR_208002861_IND_SALES_UK">#REF!</definedName>
    <definedName name="L_KEYWORD_ISSR_208002861_IND_SALES_US" localSheetId="17">#REF!</definedName>
    <definedName name="L_KEYWORD_ISSR_208002861_IND_SALES_US" localSheetId="14">#REF!</definedName>
    <definedName name="L_KEYWORD_ISSR_208002861_IND_SALES_US" localSheetId="18">#REF!</definedName>
    <definedName name="L_KEYWORD_ISSR_208002861_IND_SALES_US" localSheetId="19">#REF!</definedName>
    <definedName name="L_KEYWORD_ISSR_208002861_IND_SALES_US">#REF!</definedName>
    <definedName name="L_KEYWORD_ISSR_208002861_INT_EXP_IND" localSheetId="17">#REF!</definedName>
    <definedName name="L_KEYWORD_ISSR_208002861_INT_EXP_IND" localSheetId="14">#REF!</definedName>
    <definedName name="L_KEYWORD_ISSR_208002861_INT_EXP_IND" localSheetId="18">#REF!</definedName>
    <definedName name="L_KEYWORD_ISSR_208002861_INT_EXP_IND" localSheetId="19">#REF!</definedName>
    <definedName name="L_KEYWORD_ISSR_208002861_INT_EXP_IND">#REF!</definedName>
    <definedName name="L_KEYWORD_ISSR_208002861_INT_INC_IND" localSheetId="17">#REF!</definedName>
    <definedName name="L_KEYWORD_ISSR_208002861_INT_INC_IND" localSheetId="14">#REF!</definedName>
    <definedName name="L_KEYWORD_ISSR_208002861_INT_INC_IND" localSheetId="18">#REF!</definedName>
    <definedName name="L_KEYWORD_ISSR_208002861_INT_INC_IND" localSheetId="19">#REF!</definedName>
    <definedName name="L_KEYWORD_ISSR_208002861_INT_INC_IND">#REF!</definedName>
    <definedName name="L_KEYWORD_ISSR_208002861_INV_SECUR" localSheetId="17">#REF!</definedName>
    <definedName name="L_KEYWORD_ISSR_208002861_INV_SECUR" localSheetId="14">#REF!</definedName>
    <definedName name="L_KEYWORD_ISSR_208002861_INV_SECUR" localSheetId="18">#REF!</definedName>
    <definedName name="L_KEYWORD_ISSR_208002861_INV_SECUR" localSheetId="19">#REF!</definedName>
    <definedName name="L_KEYWORD_ISSR_208002861_INV_SECUR">#REF!</definedName>
    <definedName name="L_KEYWORD_ISSR_208002861_Issuer_Name" localSheetId="17">#REF!</definedName>
    <definedName name="L_KEYWORD_ISSR_208002861_Issuer_Name" localSheetId="14">#REF!</definedName>
    <definedName name="L_KEYWORD_ISSR_208002861_Issuer_Name" localSheetId="18">#REF!</definedName>
    <definedName name="L_KEYWORD_ISSR_208002861_Issuer_Name" localSheetId="19">#REF!</definedName>
    <definedName name="L_KEYWORD_ISSR_208002861_Issuer_Name">#REF!</definedName>
    <definedName name="L_KEYWORD_ISSR_208002861_LEASE_DEEM_DEPR" localSheetId="17">#REF!</definedName>
    <definedName name="L_KEYWORD_ISSR_208002861_LEASE_DEEM_DEPR" localSheetId="14">#REF!</definedName>
    <definedName name="L_KEYWORD_ISSR_208002861_LEASE_DEEM_DEPR" localSheetId="18">#REF!</definedName>
    <definedName name="L_KEYWORD_ISSR_208002861_LEASE_DEEM_DEPR" localSheetId="19">#REF!</definedName>
    <definedName name="L_KEYWORD_ISSR_208002861_LEASE_DEEM_DEPR">#REF!</definedName>
    <definedName name="L_KEYWORD_ISSR_208002861_LEASE_DEEM_INT" localSheetId="17">#REF!</definedName>
    <definedName name="L_KEYWORD_ISSR_208002861_LEASE_DEEM_INT" localSheetId="14">#REF!</definedName>
    <definedName name="L_KEYWORD_ISSR_208002861_LEASE_DEEM_INT" localSheetId="18">#REF!</definedName>
    <definedName name="L_KEYWORD_ISSR_208002861_LEASE_DEEM_INT" localSheetId="19">#REF!</definedName>
    <definedName name="L_KEYWORD_ISSR_208002861_LEASE_DEEM_INT">#REF!</definedName>
    <definedName name="L_KEYWORD_ISSR_208002861_LEASE_PAY" localSheetId="17">#REF!</definedName>
    <definedName name="L_KEYWORD_ISSR_208002861_LEASE_PAY" localSheetId="14">#REF!</definedName>
    <definedName name="L_KEYWORD_ISSR_208002861_LEASE_PAY" localSheetId="18">#REF!</definedName>
    <definedName name="L_KEYWORD_ISSR_208002861_LEASE_PAY" localSheetId="19">#REF!</definedName>
    <definedName name="L_KEYWORD_ISSR_208002861_LEASE_PAY">#REF!</definedName>
    <definedName name="L_KEYWORD_ISSR_208002861_LT_DEBT" localSheetId="17">#REF!</definedName>
    <definedName name="L_KEYWORD_ISSR_208002861_LT_DEBT" localSheetId="14">#REF!</definedName>
    <definedName name="L_KEYWORD_ISSR_208002861_LT_DEBT" localSheetId="18">#REF!</definedName>
    <definedName name="L_KEYWORD_ISSR_208002861_LT_DEBT" localSheetId="19">#REF!</definedName>
    <definedName name="L_KEYWORD_ISSR_208002861_LT_DEBT">#REF!</definedName>
    <definedName name="L_KEYWORD_ISSR_208002861_MINORITIES" localSheetId="17">#REF!</definedName>
    <definedName name="L_KEYWORD_ISSR_208002861_MINORITIES" localSheetId="14">#REF!</definedName>
    <definedName name="L_KEYWORD_ISSR_208002861_MINORITIES" localSheetId="18">#REF!</definedName>
    <definedName name="L_KEYWORD_ISSR_208002861_MINORITIES" localSheetId="19">#REF!</definedName>
    <definedName name="L_KEYWORD_ISSR_208002861_MINORITIES">#REF!</definedName>
    <definedName name="L_KEYWORD_ISSR_208002861_MV_ASSOCIATES" localSheetId="17">#REF!</definedName>
    <definedName name="L_KEYWORD_ISSR_208002861_MV_ASSOCIATES" localSheetId="14">#REF!</definedName>
    <definedName name="L_KEYWORD_ISSR_208002861_MV_ASSOCIATES" localSheetId="18">#REF!</definedName>
    <definedName name="L_KEYWORD_ISSR_208002861_MV_ASSOCIATES" localSheetId="19">#REF!</definedName>
    <definedName name="L_KEYWORD_ISSR_208002861_MV_ASSOCIATES">#REF!</definedName>
    <definedName name="L_KEYWORD_ISSR_208002861_NET_DEBT" localSheetId="17">#REF!</definedName>
    <definedName name="L_KEYWORD_ISSR_208002861_NET_DEBT" localSheetId="14">#REF!</definedName>
    <definedName name="L_KEYWORD_ISSR_208002861_NET_DEBT" localSheetId="18">#REF!</definedName>
    <definedName name="L_KEYWORD_ISSR_208002861_NET_DEBT" localSheetId="19">#REF!</definedName>
    <definedName name="L_KEYWORD_ISSR_208002861_NET_DEBT">#REF!</definedName>
    <definedName name="L_KEYWORD_ISSR_208002861_NET_DEBT_ADJ" localSheetId="17">#REF!</definedName>
    <definedName name="L_KEYWORD_ISSR_208002861_NET_DEBT_ADJ" localSheetId="14">#REF!</definedName>
    <definedName name="L_KEYWORD_ISSR_208002861_NET_DEBT_ADJ" localSheetId="18">#REF!</definedName>
    <definedName name="L_KEYWORD_ISSR_208002861_NET_DEBT_ADJ" localSheetId="19">#REF!</definedName>
    <definedName name="L_KEYWORD_ISSR_208002861_NET_DEBT_ADJ">#REF!</definedName>
    <definedName name="L_KEYWORD_ISSR_208002861_NET_FIX_ASS" localSheetId="17">#REF!</definedName>
    <definedName name="L_KEYWORD_ISSR_208002861_NET_FIX_ASS" localSheetId="14">#REF!</definedName>
    <definedName name="L_KEYWORD_ISSR_208002861_NET_FIX_ASS" localSheetId="18">#REF!</definedName>
    <definedName name="L_KEYWORD_ISSR_208002861_NET_FIX_ASS" localSheetId="19">#REF!</definedName>
    <definedName name="L_KEYWORD_ISSR_208002861_NET_FIX_ASS">#REF!</definedName>
    <definedName name="L_KEYWORD_ISSR_208002861_NET_INT_CH" localSheetId="17">#REF!</definedName>
    <definedName name="L_KEYWORD_ISSR_208002861_NET_INT_CH" localSheetId="14">#REF!</definedName>
    <definedName name="L_KEYWORD_ISSR_208002861_NET_INT_CH" localSheetId="18">#REF!</definedName>
    <definedName name="L_KEYWORD_ISSR_208002861_NET_INT_CH" localSheetId="19">#REF!</definedName>
    <definedName name="L_KEYWORD_ISSR_208002861_NET_INT_CH">#REF!</definedName>
    <definedName name="L_KEYWORD_ISSR_208002861_NET_INT_EXP" localSheetId="17">#REF!</definedName>
    <definedName name="L_KEYWORD_ISSR_208002861_NET_INT_EXP" localSheetId="14">#REF!</definedName>
    <definedName name="L_KEYWORD_ISSR_208002861_NET_INT_EXP" localSheetId="18">#REF!</definedName>
    <definedName name="L_KEYWORD_ISSR_208002861_NET_INT_EXP" localSheetId="19">#REF!</definedName>
    <definedName name="L_KEYWORD_ISSR_208002861_NET_INT_EXP">#REF!</definedName>
    <definedName name="L_KEYWORD_ISSR_208002861_NET_INTANG" localSheetId="17">#REF!</definedName>
    <definedName name="L_KEYWORD_ISSR_208002861_NET_INTANG" localSheetId="14">#REF!</definedName>
    <definedName name="L_KEYWORD_ISSR_208002861_NET_INTANG" localSheetId="18">#REF!</definedName>
    <definedName name="L_KEYWORD_ISSR_208002861_NET_INTANG" localSheetId="19">#REF!</definedName>
    <definedName name="L_KEYWORD_ISSR_208002861_NET_INTANG">#REF!</definedName>
    <definedName name="L_KEYWORD_ISSR_208002861_NONPPE_CAPEX" localSheetId="17">#REF!</definedName>
    <definedName name="L_KEYWORD_ISSR_208002861_NONPPE_CAPEX" localSheetId="14">#REF!</definedName>
    <definedName name="L_KEYWORD_ISSR_208002861_NONPPE_CAPEX" localSheetId="18">#REF!</definedName>
    <definedName name="L_KEYWORD_ISSR_208002861_NONPPE_CAPEX" localSheetId="19">#REF!</definedName>
    <definedName name="L_KEYWORD_ISSR_208002861_NONPPE_CAPEX">#REF!</definedName>
    <definedName name="L_KEYWORD_ISSR_208002861_OP_COST" localSheetId="17">#REF!</definedName>
    <definedName name="L_KEYWORD_ISSR_208002861_OP_COST" localSheetId="14">#REF!</definedName>
    <definedName name="L_KEYWORD_ISSR_208002861_OP_COST" localSheetId="18">#REF!</definedName>
    <definedName name="L_KEYWORD_ISSR_208002861_OP_COST" localSheetId="19">#REF!</definedName>
    <definedName name="L_KEYWORD_ISSR_208002861_OP_COST">#REF!</definedName>
    <definedName name="L_KEYWORD_ISSR_208002861_ORD_SH_FUND" localSheetId="17">#REF!</definedName>
    <definedName name="L_KEYWORD_ISSR_208002861_ORD_SH_FUND" localSheetId="14">#REF!</definedName>
    <definedName name="L_KEYWORD_ISSR_208002861_ORD_SH_FUND" localSheetId="18">#REF!</definedName>
    <definedName name="L_KEYWORD_ISSR_208002861_ORD_SH_FUND" localSheetId="19">#REF!</definedName>
    <definedName name="L_KEYWORD_ISSR_208002861_ORD_SH_FUND">#REF!</definedName>
    <definedName name="L_KEYWORD_ISSR_208002861_ORG_REV" localSheetId="17">#REF!</definedName>
    <definedName name="L_KEYWORD_ISSR_208002861_ORG_REV" localSheetId="14">#REF!</definedName>
    <definedName name="L_KEYWORD_ISSR_208002861_ORG_REV" localSheetId="18">#REF!</definedName>
    <definedName name="L_KEYWORD_ISSR_208002861_ORG_REV" localSheetId="19">#REF!</definedName>
    <definedName name="L_KEYWORD_ISSR_208002861_ORG_REV">#REF!</definedName>
    <definedName name="L_KEYWORD_ISSR_208002861_ORG_REV_GRTH" localSheetId="17">#REF!</definedName>
    <definedName name="L_KEYWORD_ISSR_208002861_ORG_REV_GRTH" localSheetId="14">#REF!</definedName>
    <definedName name="L_KEYWORD_ISSR_208002861_ORG_REV_GRTH" localSheetId="18">#REF!</definedName>
    <definedName name="L_KEYWORD_ISSR_208002861_ORG_REV_GRTH" localSheetId="19">#REF!</definedName>
    <definedName name="L_KEYWORD_ISSR_208002861_ORG_REV_GRTH">#REF!</definedName>
    <definedName name="L_KEYWORD_ISSR_208002861_OTH_COST_INC" localSheetId="17">#REF!</definedName>
    <definedName name="L_KEYWORD_ISSR_208002861_OTH_COST_INC" localSheetId="14">#REF!</definedName>
    <definedName name="L_KEYWORD_ISSR_208002861_OTH_COST_INC" localSheetId="18">#REF!</definedName>
    <definedName name="L_KEYWORD_ISSR_208002861_OTH_COST_INC" localSheetId="19">#REF!</definedName>
    <definedName name="L_KEYWORD_ISSR_208002861_OTH_COST_INC">#REF!</definedName>
    <definedName name="L_KEYWORD_ISSR_208002861_OTH_CUR_ASS" localSheetId="17">#REF!</definedName>
    <definedName name="L_KEYWORD_ISSR_208002861_OTH_CUR_ASS" localSheetId="14">#REF!</definedName>
    <definedName name="L_KEYWORD_ISSR_208002861_OTH_CUR_ASS" localSheetId="18">#REF!</definedName>
    <definedName name="L_KEYWORD_ISSR_208002861_OTH_CUR_ASS" localSheetId="19">#REF!</definedName>
    <definedName name="L_KEYWORD_ISSR_208002861_OTH_CUR_ASS">#REF!</definedName>
    <definedName name="L_KEYWORD_ISSR_208002861_OTH_CUR_LIABS" localSheetId="17">#REF!</definedName>
    <definedName name="L_KEYWORD_ISSR_208002861_OTH_CUR_LIABS" localSheetId="14">#REF!</definedName>
    <definedName name="L_KEYWORD_ISSR_208002861_OTH_CUR_LIABS" localSheetId="18">#REF!</definedName>
    <definedName name="L_KEYWORD_ISSR_208002861_OTH_CUR_LIABS" localSheetId="19">#REF!</definedName>
    <definedName name="L_KEYWORD_ISSR_208002861_OTH_CUR_LIABS">#REF!</definedName>
    <definedName name="L_KEYWORD_ISSR_208002861_OTH_DACF_ADJ" localSheetId="17">#REF!</definedName>
    <definedName name="L_KEYWORD_ISSR_208002861_OTH_DACF_ADJ" localSheetId="14">#REF!</definedName>
    <definedName name="L_KEYWORD_ISSR_208002861_OTH_DACF_ADJ" localSheetId="18">#REF!</definedName>
    <definedName name="L_KEYWORD_ISSR_208002861_OTH_DACF_ADJ" localSheetId="19">#REF!</definedName>
    <definedName name="L_KEYWORD_ISSR_208002861_OTH_DACF_ADJ">#REF!</definedName>
    <definedName name="L_KEYWORD_ISSR_208002861_OTH_FIN_CF" localSheetId="17">#REF!</definedName>
    <definedName name="L_KEYWORD_ISSR_208002861_OTH_FIN_CF" localSheetId="14">#REF!</definedName>
    <definedName name="L_KEYWORD_ISSR_208002861_OTH_FIN_CF" localSheetId="18">#REF!</definedName>
    <definedName name="L_KEYWORD_ISSR_208002861_OTH_FIN_CF" localSheetId="19">#REF!</definedName>
    <definedName name="L_KEYWORD_ISSR_208002861_OTH_FIN_CF">#REF!</definedName>
    <definedName name="L_KEYWORD_ISSR_208002861_OTH_GCI_ADJ" localSheetId="17">#REF!</definedName>
    <definedName name="L_KEYWORD_ISSR_208002861_OTH_GCI_ADJ" localSheetId="14">#REF!</definedName>
    <definedName name="L_KEYWORD_ISSR_208002861_OTH_GCI_ADJ" localSheetId="18">#REF!</definedName>
    <definedName name="L_KEYWORD_ISSR_208002861_OTH_GCI_ADJ" localSheetId="19">#REF!</definedName>
    <definedName name="L_KEYWORD_ISSR_208002861_OTH_GCI_ADJ">#REF!</definedName>
    <definedName name="L_KEYWORD_ISSR_208002861_OTH_INT_AMORT" localSheetId="17">#REF!</definedName>
    <definedName name="L_KEYWORD_ISSR_208002861_OTH_INT_AMORT" localSheetId="14">#REF!</definedName>
    <definedName name="L_KEYWORD_ISSR_208002861_OTH_INT_AMORT" localSheetId="18">#REF!</definedName>
    <definedName name="L_KEYWORD_ISSR_208002861_OTH_INT_AMORT" localSheetId="19">#REF!</definedName>
    <definedName name="L_KEYWORD_ISSR_208002861_OTH_INT_AMORT">#REF!</definedName>
    <definedName name="L_KEYWORD_ISSR_208002861_OTH_INV_CF" localSheetId="17">#REF!</definedName>
    <definedName name="L_KEYWORD_ISSR_208002861_OTH_INV_CF" localSheetId="14">#REF!</definedName>
    <definedName name="L_KEYWORD_ISSR_208002861_OTH_INV_CF" localSheetId="18">#REF!</definedName>
    <definedName name="L_KEYWORD_ISSR_208002861_OTH_INV_CF" localSheetId="19">#REF!</definedName>
    <definedName name="L_KEYWORD_ISSR_208002861_OTH_INV_CF">#REF!</definedName>
    <definedName name="L_KEYWORD_ISSR_208002861_OTH_ITEM_NCF" localSheetId="17">#REF!</definedName>
    <definedName name="L_KEYWORD_ISSR_208002861_OTH_ITEM_NCF" localSheetId="14">#REF!</definedName>
    <definedName name="L_KEYWORD_ISSR_208002861_OTH_ITEM_NCF" localSheetId="18">#REF!</definedName>
    <definedName name="L_KEYWORD_ISSR_208002861_OTH_ITEM_NCF" localSheetId="19">#REF!</definedName>
    <definedName name="L_KEYWORD_ISSR_208002861_OTH_ITEM_NCF">#REF!</definedName>
    <definedName name="L_KEYWORD_ISSR_208002861_OTH_LT_ASS" localSheetId="17">#REF!</definedName>
    <definedName name="L_KEYWORD_ISSR_208002861_OTH_LT_ASS" localSheetId="14">#REF!</definedName>
    <definedName name="L_KEYWORD_ISSR_208002861_OTH_LT_ASS" localSheetId="18">#REF!</definedName>
    <definedName name="L_KEYWORD_ISSR_208002861_OTH_LT_ASS" localSheetId="19">#REF!</definedName>
    <definedName name="L_KEYWORD_ISSR_208002861_OTH_LT_ASS">#REF!</definedName>
    <definedName name="L_KEYWORD_ISSR_208002861_OTH_LT_CRED_GQ" localSheetId="17">#REF!</definedName>
    <definedName name="L_KEYWORD_ISSR_208002861_OTH_LT_CRED_GQ" localSheetId="14">#REF!</definedName>
    <definedName name="L_KEYWORD_ISSR_208002861_OTH_LT_CRED_GQ" localSheetId="18">#REF!</definedName>
    <definedName name="L_KEYWORD_ISSR_208002861_OTH_LT_CRED_GQ" localSheetId="19">#REF!</definedName>
    <definedName name="L_KEYWORD_ISSR_208002861_OTH_LT_CRED_GQ">#REF!</definedName>
    <definedName name="L_KEYWORD_ISSR_208002861_OTH_NONCASH_ADJ" localSheetId="17">#REF!</definedName>
    <definedName name="L_KEYWORD_ISSR_208002861_OTH_NONCASH_ADJ" localSheetId="14">#REF!</definedName>
    <definedName name="L_KEYWORD_ISSR_208002861_OTH_NONCASH_ADJ" localSheetId="18">#REF!</definedName>
    <definedName name="L_KEYWORD_ISSR_208002861_OTH_NONCASH_ADJ" localSheetId="19">#REF!</definedName>
    <definedName name="L_KEYWORD_ISSR_208002861_OTH_NONCASH_ADJ">#REF!</definedName>
    <definedName name="L_KEYWORD_ISSR_208002861_OTH_OP_CF" localSheetId="17">#REF!</definedName>
    <definedName name="L_KEYWORD_ISSR_208002861_OTH_OP_CF" localSheetId="14">#REF!</definedName>
    <definedName name="L_KEYWORD_ISSR_208002861_OTH_OP_CF" localSheetId="18">#REF!</definedName>
    <definedName name="L_KEYWORD_ISSR_208002861_OTH_OP_CF" localSheetId="19">#REF!</definedName>
    <definedName name="L_KEYWORD_ISSR_208002861_OTH_OP_CF">#REF!</definedName>
    <definedName name="L_KEYWORD_ISSR_208002861_OTH_OP_INC_EXP" localSheetId="17">#REF!</definedName>
    <definedName name="L_KEYWORD_ISSR_208002861_OTH_OP_INC_EXP" localSheetId="14">#REF!</definedName>
    <definedName name="L_KEYWORD_ISSR_208002861_OTH_OP_INC_EXP" localSheetId="18">#REF!</definedName>
    <definedName name="L_KEYWORD_ISSR_208002861_OTH_OP_INC_EXP" localSheetId="19">#REF!</definedName>
    <definedName name="L_KEYWORD_ISSR_208002861_OTH_OP_INC_EXP">#REF!</definedName>
    <definedName name="L_KEYWORD_ISSR_208002861_PERIOD_MILESTONE" localSheetId="17">#REF!</definedName>
    <definedName name="L_KEYWORD_ISSR_208002861_PERIOD_MILESTONE" localSheetId="14">#REF!</definedName>
    <definedName name="L_KEYWORD_ISSR_208002861_PERIOD_MILESTONE" localSheetId="18">#REF!</definedName>
    <definedName name="L_KEYWORD_ISSR_208002861_PERIOD_MILESTONE" localSheetId="19">#REF!</definedName>
    <definedName name="L_KEYWORD_ISSR_208002861_PERIOD_MILESTONE">#REF!</definedName>
    <definedName name="L_KEYWORD_ISSR_208002861_PL_SALE_ASSETS" localSheetId="17">#REF!</definedName>
    <definedName name="L_KEYWORD_ISSR_208002861_PL_SALE_ASSETS" localSheetId="14">#REF!</definedName>
    <definedName name="L_KEYWORD_ISSR_208002861_PL_SALE_ASSETS" localSheetId="18">#REF!</definedName>
    <definedName name="L_KEYWORD_ISSR_208002861_PL_SALE_ASSETS" localSheetId="19">#REF!</definedName>
    <definedName name="L_KEYWORD_ISSR_208002861_PL_SALE_ASSETS">#REF!</definedName>
    <definedName name="L_KEYWORD_ISSR_208002861_PREF_SH" localSheetId="17">#REF!</definedName>
    <definedName name="L_KEYWORD_ISSR_208002861_PREF_SH" localSheetId="14">#REF!</definedName>
    <definedName name="L_KEYWORD_ISSR_208002861_PREF_SH" localSheetId="18">#REF!</definedName>
    <definedName name="L_KEYWORD_ISSR_208002861_PREF_SH" localSheetId="19">#REF!</definedName>
    <definedName name="L_KEYWORD_ISSR_208002861_PREF_SH">#REF!</definedName>
    <definedName name="L_KEYWORD_ISSR_208002861_PROFIT_ON_DISP" localSheetId="17">#REF!</definedName>
    <definedName name="L_KEYWORD_ISSR_208002861_PROFIT_ON_DISP" localSheetId="14">#REF!</definedName>
    <definedName name="L_KEYWORD_ISSR_208002861_PROFIT_ON_DISP" localSheetId="18">#REF!</definedName>
    <definedName name="L_KEYWORD_ISSR_208002861_PROFIT_ON_DISP" localSheetId="19">#REF!</definedName>
    <definedName name="L_KEYWORD_ISSR_208002861_PROFIT_ON_DISP">#REF!</definedName>
    <definedName name="L_KEYWORD_ISSR_208002861_PT_PROF" localSheetId="17">#REF!</definedName>
    <definedName name="L_KEYWORD_ISSR_208002861_PT_PROF" localSheetId="14">#REF!</definedName>
    <definedName name="L_KEYWORD_ISSR_208002861_PT_PROF" localSheetId="18">#REF!</definedName>
    <definedName name="L_KEYWORD_ISSR_208002861_PT_PROF" localSheetId="19">#REF!</definedName>
    <definedName name="L_KEYWORD_ISSR_208002861_PT_PROF">#REF!</definedName>
    <definedName name="L_KEYWORD_ISSR_208002861_RD_EXP" localSheetId="17">#REF!</definedName>
    <definedName name="L_KEYWORD_ISSR_208002861_RD_EXP" localSheetId="14">#REF!</definedName>
    <definedName name="L_KEYWORD_ISSR_208002861_RD_EXP" localSheetId="18">#REF!</definedName>
    <definedName name="L_KEYWORD_ISSR_208002861_RD_EXP" localSheetId="19">#REF!</definedName>
    <definedName name="L_KEYWORD_ISSR_208002861_RD_EXP">#REF!</definedName>
    <definedName name="L_KEYWORD_ISSR_208002861_SALES" localSheetId="17">#REF!</definedName>
    <definedName name="L_KEYWORD_ISSR_208002861_SALES" localSheetId="14">#REF!</definedName>
    <definedName name="L_KEYWORD_ISSR_208002861_SALES" localSheetId="18">#REF!</definedName>
    <definedName name="L_KEYWORD_ISSR_208002861_SALES" localSheetId="19">#REF!</definedName>
    <definedName name="L_KEYWORD_ISSR_208002861_SALES">#REF!</definedName>
    <definedName name="L_KEYWORD_ISSR_208002861_SALES_BRAZIL" localSheetId="17">#REF!</definedName>
    <definedName name="L_KEYWORD_ISSR_208002861_SALES_BRAZIL" localSheetId="14">#REF!</definedName>
    <definedName name="L_KEYWORD_ISSR_208002861_SALES_BRAZIL" localSheetId="18">#REF!</definedName>
    <definedName name="L_KEYWORD_ISSR_208002861_SALES_BRAZIL" localSheetId="19">#REF!</definedName>
    <definedName name="L_KEYWORD_ISSR_208002861_SALES_BRAZIL">#REF!</definedName>
    <definedName name="L_KEYWORD_ISSR_208002861_SALES_CEE" localSheetId="17">#REF!</definedName>
    <definedName name="L_KEYWORD_ISSR_208002861_SALES_CEE" localSheetId="14">#REF!</definedName>
    <definedName name="L_KEYWORD_ISSR_208002861_SALES_CEE" localSheetId="18">#REF!</definedName>
    <definedName name="L_KEYWORD_ISSR_208002861_SALES_CEE" localSheetId="19">#REF!</definedName>
    <definedName name="L_KEYWORD_ISSR_208002861_SALES_CEE">#REF!</definedName>
    <definedName name="L_KEYWORD_ISSR_208002861_SALES_CHINA" localSheetId="17">#REF!</definedName>
    <definedName name="L_KEYWORD_ISSR_208002861_SALES_CHINA" localSheetId="14">#REF!</definedName>
    <definedName name="L_KEYWORD_ISSR_208002861_SALES_CHINA" localSheetId="18">#REF!</definedName>
    <definedName name="L_KEYWORD_ISSR_208002861_SALES_CHINA" localSheetId="19">#REF!</definedName>
    <definedName name="L_KEYWORD_ISSR_208002861_SALES_CHINA">#REF!</definedName>
    <definedName name="L_KEYWORD_ISSR_208002861_SALES_CONS" localSheetId="17">#REF!</definedName>
    <definedName name="L_KEYWORD_ISSR_208002861_SALES_CONS" localSheetId="14">#REF!</definedName>
    <definedName name="L_KEYWORD_ISSR_208002861_SALES_CONS" localSheetId="18">#REF!</definedName>
    <definedName name="L_KEYWORD_ISSR_208002861_SALES_CONS" localSheetId="19">#REF!</definedName>
    <definedName name="L_KEYWORD_ISSR_208002861_SALES_CONS">#REF!</definedName>
    <definedName name="L_KEYWORD_ISSR_208002861_SALES_EU_EX_UK" localSheetId="17">#REF!</definedName>
    <definedName name="L_KEYWORD_ISSR_208002861_SALES_EU_EX_UK" localSheetId="14">#REF!</definedName>
    <definedName name="L_KEYWORD_ISSR_208002861_SALES_EU_EX_UK" localSheetId="18">#REF!</definedName>
    <definedName name="L_KEYWORD_ISSR_208002861_SALES_EU_EX_UK" localSheetId="19">#REF!</definedName>
    <definedName name="L_KEYWORD_ISSR_208002861_SALES_EU_EX_UK">#REF!</definedName>
    <definedName name="L_KEYWORD_ISSR_208002861_SALES_FINAN" localSheetId="17">#REF!</definedName>
    <definedName name="L_KEYWORD_ISSR_208002861_SALES_FINAN" localSheetId="14">#REF!</definedName>
    <definedName name="L_KEYWORD_ISSR_208002861_SALES_FINAN" localSheetId="18">#REF!</definedName>
    <definedName name="L_KEYWORD_ISSR_208002861_SALES_FINAN" localSheetId="19">#REF!</definedName>
    <definedName name="L_KEYWORD_ISSR_208002861_SALES_FINAN">#REF!</definedName>
    <definedName name="L_KEYWORD_ISSR_208002861_SALES_FRA" localSheetId="17">#REF!</definedName>
    <definedName name="L_KEYWORD_ISSR_208002861_SALES_FRA" localSheetId="14">#REF!</definedName>
    <definedName name="L_KEYWORD_ISSR_208002861_SALES_FRA" localSheetId="18">#REF!</definedName>
    <definedName name="L_KEYWORD_ISSR_208002861_SALES_FRA" localSheetId="19">#REF!</definedName>
    <definedName name="L_KEYWORD_ISSR_208002861_SALES_FRA">#REF!</definedName>
    <definedName name="L_KEYWORD_ISSR_208002861_SALES_FX_AED" localSheetId="17">#REF!</definedName>
    <definedName name="L_KEYWORD_ISSR_208002861_SALES_FX_AED" localSheetId="14">#REF!</definedName>
    <definedName name="L_KEYWORD_ISSR_208002861_SALES_FX_AED" localSheetId="18">#REF!</definedName>
    <definedName name="L_KEYWORD_ISSR_208002861_SALES_FX_AED" localSheetId="19">#REF!</definedName>
    <definedName name="L_KEYWORD_ISSR_208002861_SALES_FX_AED">#REF!</definedName>
    <definedName name="L_KEYWORD_ISSR_208002861_SALES_FX_BRL" localSheetId="17">#REF!</definedName>
    <definedName name="L_KEYWORD_ISSR_208002861_SALES_FX_BRL" localSheetId="14">#REF!</definedName>
    <definedName name="L_KEYWORD_ISSR_208002861_SALES_FX_BRL" localSheetId="18">#REF!</definedName>
    <definedName name="L_KEYWORD_ISSR_208002861_SALES_FX_BRL" localSheetId="19">#REF!</definedName>
    <definedName name="L_KEYWORD_ISSR_208002861_SALES_FX_BRL">#REF!</definedName>
    <definedName name="L_KEYWORD_ISSR_208002861_SALES_FX_CHF" localSheetId="17">#REF!</definedName>
    <definedName name="L_KEYWORD_ISSR_208002861_SALES_FX_CHF" localSheetId="14">#REF!</definedName>
    <definedName name="L_KEYWORD_ISSR_208002861_SALES_FX_CHF" localSheetId="18">#REF!</definedName>
    <definedName name="L_KEYWORD_ISSR_208002861_SALES_FX_CHF" localSheetId="19">#REF!</definedName>
    <definedName name="L_KEYWORD_ISSR_208002861_SALES_FX_CHF">#REF!</definedName>
    <definedName name="L_KEYWORD_ISSR_208002861_SALES_FX_CNY" localSheetId="17">#REF!</definedName>
    <definedName name="L_KEYWORD_ISSR_208002861_SALES_FX_CNY" localSheetId="14">#REF!</definedName>
    <definedName name="L_KEYWORD_ISSR_208002861_SALES_FX_CNY" localSheetId="18">#REF!</definedName>
    <definedName name="L_KEYWORD_ISSR_208002861_SALES_FX_CNY" localSheetId="19">#REF!</definedName>
    <definedName name="L_KEYWORD_ISSR_208002861_SALES_FX_CNY">#REF!</definedName>
    <definedName name="L_KEYWORD_ISSR_208002861_SALES_FX_EUR" localSheetId="17">#REF!</definedName>
    <definedName name="L_KEYWORD_ISSR_208002861_SALES_FX_EUR" localSheetId="14">#REF!</definedName>
    <definedName name="L_KEYWORD_ISSR_208002861_SALES_FX_EUR" localSheetId="18">#REF!</definedName>
    <definedName name="L_KEYWORD_ISSR_208002861_SALES_FX_EUR" localSheetId="19">#REF!</definedName>
    <definedName name="L_KEYWORD_ISSR_208002861_SALES_FX_EUR">#REF!</definedName>
    <definedName name="L_KEYWORD_ISSR_208002861_SALES_FX_GPB" localSheetId="17">#REF!</definedName>
    <definedName name="L_KEYWORD_ISSR_208002861_SALES_FX_GPB" localSheetId="14">#REF!</definedName>
    <definedName name="L_KEYWORD_ISSR_208002861_SALES_FX_GPB" localSheetId="18">#REF!</definedName>
    <definedName name="L_KEYWORD_ISSR_208002861_SALES_FX_GPB" localSheetId="19">#REF!</definedName>
    <definedName name="L_KEYWORD_ISSR_208002861_SALES_FX_GPB">#REF!</definedName>
    <definedName name="L_KEYWORD_ISSR_208002861_SALES_FX_INR" localSheetId="17">#REF!</definedName>
    <definedName name="L_KEYWORD_ISSR_208002861_SALES_FX_INR" localSheetId="14">#REF!</definedName>
    <definedName name="L_KEYWORD_ISSR_208002861_SALES_FX_INR" localSheetId="18">#REF!</definedName>
    <definedName name="L_KEYWORD_ISSR_208002861_SALES_FX_INR" localSheetId="19">#REF!</definedName>
    <definedName name="L_KEYWORD_ISSR_208002861_SALES_FX_INR">#REF!</definedName>
    <definedName name="L_KEYWORD_ISSR_208002861_SALES_FX_NGN" localSheetId="17">#REF!</definedName>
    <definedName name="L_KEYWORD_ISSR_208002861_SALES_FX_NGN" localSheetId="14">#REF!</definedName>
    <definedName name="L_KEYWORD_ISSR_208002861_SALES_FX_NGN" localSheetId="18">#REF!</definedName>
    <definedName name="L_KEYWORD_ISSR_208002861_SALES_FX_NGN" localSheetId="19">#REF!</definedName>
    <definedName name="L_KEYWORD_ISSR_208002861_SALES_FX_NGN">#REF!</definedName>
    <definedName name="L_KEYWORD_ISSR_208002861_SALES_FX_OTH" localSheetId="17">#REF!</definedName>
    <definedName name="L_KEYWORD_ISSR_208002861_SALES_FX_OTH" localSheetId="14">#REF!</definedName>
    <definedName name="L_KEYWORD_ISSR_208002861_SALES_FX_OTH" localSheetId="18">#REF!</definedName>
    <definedName name="L_KEYWORD_ISSR_208002861_SALES_FX_OTH" localSheetId="19">#REF!</definedName>
    <definedName name="L_KEYWORD_ISSR_208002861_SALES_FX_OTH">#REF!</definedName>
    <definedName name="L_KEYWORD_ISSR_208002861_SALES_FX_RUB" localSheetId="17">#REF!</definedName>
    <definedName name="L_KEYWORD_ISSR_208002861_SALES_FX_RUB" localSheetId="14">#REF!</definedName>
    <definedName name="L_KEYWORD_ISSR_208002861_SALES_FX_RUB" localSheetId="18">#REF!</definedName>
    <definedName name="L_KEYWORD_ISSR_208002861_SALES_FX_RUB" localSheetId="19">#REF!</definedName>
    <definedName name="L_KEYWORD_ISSR_208002861_SALES_FX_RUB">#REF!</definedName>
    <definedName name="L_KEYWORD_ISSR_208002861_SALES_FX_TRY" localSheetId="17">#REF!</definedName>
    <definedName name="L_KEYWORD_ISSR_208002861_SALES_FX_TRY" localSheetId="14">#REF!</definedName>
    <definedName name="L_KEYWORD_ISSR_208002861_SALES_FX_TRY" localSheetId="18">#REF!</definedName>
    <definedName name="L_KEYWORD_ISSR_208002861_SALES_FX_TRY" localSheetId="19">#REF!</definedName>
    <definedName name="L_KEYWORD_ISSR_208002861_SALES_FX_TRY">#REF!</definedName>
    <definedName name="L_KEYWORD_ISSR_208002861_SALES_FX_USD" localSheetId="17">#REF!</definedName>
    <definedName name="L_KEYWORD_ISSR_208002861_SALES_FX_USD" localSheetId="14">#REF!</definedName>
    <definedName name="L_KEYWORD_ISSR_208002861_SALES_FX_USD" localSheetId="18">#REF!</definedName>
    <definedName name="L_KEYWORD_ISSR_208002861_SALES_FX_USD" localSheetId="19">#REF!</definedName>
    <definedName name="L_KEYWORD_ISSR_208002861_SALES_FX_USD">#REF!</definedName>
    <definedName name="L_KEYWORD_ISSR_208002861_SALES_FX_YEN" localSheetId="17">#REF!</definedName>
    <definedName name="L_KEYWORD_ISSR_208002861_SALES_FX_YEN" localSheetId="14">#REF!</definedName>
    <definedName name="L_KEYWORD_ISSR_208002861_SALES_FX_YEN" localSheetId="18">#REF!</definedName>
    <definedName name="L_KEYWORD_ISSR_208002861_SALES_FX_YEN" localSheetId="19">#REF!</definedName>
    <definedName name="L_KEYWORD_ISSR_208002861_SALES_FX_YEN">#REF!</definedName>
    <definedName name="L_KEYWORD_ISSR_208002861_SALES_FX_ZAR" localSheetId="17">#REF!</definedName>
    <definedName name="L_KEYWORD_ISSR_208002861_SALES_FX_ZAR" localSheetId="14">#REF!</definedName>
    <definedName name="L_KEYWORD_ISSR_208002861_SALES_FX_ZAR" localSheetId="18">#REF!</definedName>
    <definedName name="L_KEYWORD_ISSR_208002861_SALES_FX_ZAR" localSheetId="19">#REF!</definedName>
    <definedName name="L_KEYWORD_ISSR_208002861_SALES_FX_ZAR">#REF!</definedName>
    <definedName name="L_KEYWORD_ISSR_208002861_SALES_GER" localSheetId="17">#REF!</definedName>
    <definedName name="L_KEYWORD_ISSR_208002861_SALES_GER" localSheetId="14">#REF!</definedName>
    <definedName name="L_KEYWORD_ISSR_208002861_SALES_GER" localSheetId="18">#REF!</definedName>
    <definedName name="L_KEYWORD_ISSR_208002861_SALES_GER" localSheetId="19">#REF!</definedName>
    <definedName name="L_KEYWORD_ISSR_208002861_SALES_GER">#REF!</definedName>
    <definedName name="L_KEYWORD_ISSR_208002861_SALES_GOV" localSheetId="17">#REF!</definedName>
    <definedName name="L_KEYWORD_ISSR_208002861_SALES_GOV" localSheetId="14">#REF!</definedName>
    <definedName name="L_KEYWORD_ISSR_208002861_SALES_GOV" localSheetId="18">#REF!</definedName>
    <definedName name="L_KEYWORD_ISSR_208002861_SALES_GOV" localSheetId="19">#REF!</definedName>
    <definedName name="L_KEYWORD_ISSR_208002861_SALES_GOV">#REF!</definedName>
    <definedName name="L_KEYWORD_ISSR_208002861_SALES_IND" localSheetId="17">#REF!</definedName>
    <definedName name="L_KEYWORD_ISSR_208002861_SALES_IND" localSheetId="14">#REF!</definedName>
    <definedName name="L_KEYWORD_ISSR_208002861_SALES_IND" localSheetId="18">#REF!</definedName>
    <definedName name="L_KEYWORD_ISSR_208002861_SALES_IND" localSheetId="19">#REF!</definedName>
    <definedName name="L_KEYWORD_ISSR_208002861_SALES_IND">#REF!</definedName>
    <definedName name="L_KEYWORD_ISSR_208002861_SALES_INDIA" localSheetId="17">#REF!</definedName>
    <definedName name="L_KEYWORD_ISSR_208002861_SALES_INDIA" localSheetId="14">#REF!</definedName>
    <definedName name="L_KEYWORD_ISSR_208002861_SALES_INDIA" localSheetId="18">#REF!</definedName>
    <definedName name="L_KEYWORD_ISSR_208002861_SALES_INDIA" localSheetId="19">#REF!</definedName>
    <definedName name="L_KEYWORD_ISSR_208002861_SALES_INDIA">#REF!</definedName>
    <definedName name="L_KEYWORD_ISSR_208002861_SALES_ITA" localSheetId="17">#REF!</definedName>
    <definedName name="L_KEYWORD_ISSR_208002861_SALES_ITA" localSheetId="14">#REF!</definedName>
    <definedName name="L_KEYWORD_ISSR_208002861_SALES_ITA" localSheetId="18">#REF!</definedName>
    <definedName name="L_KEYWORD_ISSR_208002861_SALES_ITA" localSheetId="19">#REF!</definedName>
    <definedName name="L_KEYWORD_ISSR_208002861_SALES_ITA">#REF!</definedName>
    <definedName name="L_KEYWORD_ISSR_208002861_SALES_JAPAN" localSheetId="17">#REF!</definedName>
    <definedName name="L_KEYWORD_ISSR_208002861_SALES_JAPAN" localSheetId="14">#REF!</definedName>
    <definedName name="L_KEYWORD_ISSR_208002861_SALES_JAPAN" localSheetId="18">#REF!</definedName>
    <definedName name="L_KEYWORD_ISSR_208002861_SALES_JAPAN" localSheetId="19">#REF!</definedName>
    <definedName name="L_KEYWORD_ISSR_208002861_SALES_JAPAN">#REF!</definedName>
    <definedName name="L_KEYWORD_ISSR_208002861_SALES_ME" localSheetId="17">#REF!</definedName>
    <definedName name="L_KEYWORD_ISSR_208002861_SALES_ME" localSheetId="14">#REF!</definedName>
    <definedName name="L_KEYWORD_ISSR_208002861_SALES_ME" localSheetId="18">#REF!</definedName>
    <definedName name="L_KEYWORD_ISSR_208002861_SALES_ME" localSheetId="19">#REF!</definedName>
    <definedName name="L_KEYWORD_ISSR_208002861_SALES_ME">#REF!</definedName>
    <definedName name="L_KEYWORD_ISSR_208002861_SALES_NIGERIA" localSheetId="17">#REF!</definedName>
    <definedName name="L_KEYWORD_ISSR_208002861_SALES_NIGERIA" localSheetId="14">#REF!</definedName>
    <definedName name="L_KEYWORD_ISSR_208002861_SALES_NIGERIA" localSheetId="18">#REF!</definedName>
    <definedName name="L_KEYWORD_ISSR_208002861_SALES_NIGERIA" localSheetId="19">#REF!</definedName>
    <definedName name="L_KEYWORD_ISSR_208002861_SALES_NIGERIA">#REF!</definedName>
    <definedName name="L_KEYWORD_ISSR_208002861_SALES_OTH_AEJ" localSheetId="17">#REF!</definedName>
    <definedName name="L_KEYWORD_ISSR_208002861_SALES_OTH_AEJ" localSheetId="14">#REF!</definedName>
    <definedName name="L_KEYWORD_ISSR_208002861_SALES_OTH_AEJ" localSheetId="18">#REF!</definedName>
    <definedName name="L_KEYWORD_ISSR_208002861_SALES_OTH_AEJ" localSheetId="19">#REF!</definedName>
    <definedName name="L_KEYWORD_ISSR_208002861_SALES_OTH_AEJ">#REF!</definedName>
    <definedName name="L_KEYWORD_ISSR_208002861_SALES_OTH_AFRICA" localSheetId="17">#REF!</definedName>
    <definedName name="L_KEYWORD_ISSR_208002861_SALES_OTH_AFRICA" localSheetId="14">#REF!</definedName>
    <definedName name="L_KEYWORD_ISSR_208002861_SALES_OTH_AFRICA" localSheetId="18">#REF!</definedName>
    <definedName name="L_KEYWORD_ISSR_208002861_SALES_OTH_AFRICA" localSheetId="19">#REF!</definedName>
    <definedName name="L_KEYWORD_ISSR_208002861_SALES_OTH_AFRICA">#REF!</definedName>
    <definedName name="L_KEYWORD_ISSR_208002861_SALES_OTH_AM" localSheetId="17">#REF!</definedName>
    <definedName name="L_KEYWORD_ISSR_208002861_SALES_OTH_AM" localSheetId="14">#REF!</definedName>
    <definedName name="L_KEYWORD_ISSR_208002861_SALES_OTH_AM" localSheetId="18">#REF!</definedName>
    <definedName name="L_KEYWORD_ISSR_208002861_SALES_OTH_AM" localSheetId="19">#REF!</definedName>
    <definedName name="L_KEYWORD_ISSR_208002861_SALES_OTH_AM">#REF!</definedName>
    <definedName name="L_KEYWORD_ISSR_208002861_SALES_OTH_COMMODITY" localSheetId="17">#REF!</definedName>
    <definedName name="L_KEYWORD_ISSR_208002861_SALES_OTH_COMMODITY" localSheetId="14">#REF!</definedName>
    <definedName name="L_KEYWORD_ISSR_208002861_SALES_OTH_COMMODITY" localSheetId="18">#REF!</definedName>
    <definedName name="L_KEYWORD_ISSR_208002861_SALES_OTH_COMMODITY" localSheetId="19">#REF!</definedName>
    <definedName name="L_KEYWORD_ISSR_208002861_SALES_OTH_COMMODITY">#REF!</definedName>
    <definedName name="L_KEYWORD_ISSR_208002861_SALES_OTH_EMEA" localSheetId="17">#REF!</definedName>
    <definedName name="L_KEYWORD_ISSR_208002861_SALES_OTH_EMEA" localSheetId="14">#REF!</definedName>
    <definedName name="L_KEYWORD_ISSR_208002861_SALES_OTH_EMEA" localSheetId="18">#REF!</definedName>
    <definedName name="L_KEYWORD_ISSR_208002861_SALES_OTH_EMEA" localSheetId="19">#REF!</definedName>
    <definedName name="L_KEYWORD_ISSR_208002861_SALES_OTH_EMEA">#REF!</definedName>
    <definedName name="L_KEYWORD_ISSR_208002861_SALES_OTH_EU_EX_UK" localSheetId="17">#REF!</definedName>
    <definedName name="L_KEYWORD_ISSR_208002861_SALES_OTH_EU_EX_UK" localSheetId="14">#REF!</definedName>
    <definedName name="L_KEYWORD_ISSR_208002861_SALES_OTH_EU_EX_UK" localSheetId="18">#REF!</definedName>
    <definedName name="L_KEYWORD_ISSR_208002861_SALES_OTH_EU_EX_UK" localSheetId="19">#REF!</definedName>
    <definedName name="L_KEYWORD_ISSR_208002861_SALES_OTH_EU_EX_UK">#REF!</definedName>
    <definedName name="L_KEYWORD_ISSR_208002861_SALES_OTH_SALES_SOURCES" localSheetId="17">#REF!</definedName>
    <definedName name="L_KEYWORD_ISSR_208002861_SALES_OTH_SALES_SOURCES" localSheetId="14">#REF!</definedName>
    <definedName name="L_KEYWORD_ISSR_208002861_SALES_OTH_SALES_SOURCES" localSheetId="18">#REF!</definedName>
    <definedName name="L_KEYWORD_ISSR_208002861_SALES_OTH_SALES_SOURCES" localSheetId="19">#REF!</definedName>
    <definedName name="L_KEYWORD_ISSR_208002861_SALES_OTH_SALES_SOURCES">#REF!</definedName>
    <definedName name="L_KEYWORD_ISSR_208002861_SALES_OTHER" localSheetId="17">#REF!</definedName>
    <definedName name="L_KEYWORD_ISSR_208002861_SALES_OTHER" localSheetId="14">#REF!</definedName>
    <definedName name="L_KEYWORD_ISSR_208002861_SALES_OTHER" localSheetId="18">#REF!</definedName>
    <definedName name="L_KEYWORD_ISSR_208002861_SALES_OTHER" localSheetId="19">#REF!</definedName>
    <definedName name="L_KEYWORD_ISSR_208002861_SALES_OTHER">#REF!</definedName>
    <definedName name="L_KEYWORD_ISSR_208002861_SALES_RUSSIA" localSheetId="17">#REF!</definedName>
    <definedName name="L_KEYWORD_ISSR_208002861_SALES_RUSSIA" localSheetId="14">#REF!</definedName>
    <definedName name="L_KEYWORD_ISSR_208002861_SALES_RUSSIA" localSheetId="18">#REF!</definedName>
    <definedName name="L_KEYWORD_ISSR_208002861_SALES_RUSSIA" localSheetId="19">#REF!</definedName>
    <definedName name="L_KEYWORD_ISSR_208002861_SALES_RUSSIA">#REF!</definedName>
    <definedName name="L_KEYWORD_ISSR_208002861_SALES_SO_AFRICA" localSheetId="17">#REF!</definedName>
    <definedName name="L_KEYWORD_ISSR_208002861_SALES_SO_AFRICA" localSheetId="14">#REF!</definedName>
    <definedName name="L_KEYWORD_ISSR_208002861_SALES_SO_AFRICA" localSheetId="18">#REF!</definedName>
    <definedName name="L_KEYWORD_ISSR_208002861_SALES_SO_AFRICA" localSheetId="19">#REF!</definedName>
    <definedName name="L_KEYWORD_ISSR_208002861_SALES_SO_AFRICA">#REF!</definedName>
    <definedName name="L_KEYWORD_ISSR_208002861_SALES_SPA" localSheetId="17">#REF!</definedName>
    <definedName name="L_KEYWORD_ISSR_208002861_SALES_SPA" localSheetId="14">#REF!</definedName>
    <definedName name="L_KEYWORD_ISSR_208002861_SALES_SPA" localSheetId="18">#REF!</definedName>
    <definedName name="L_KEYWORD_ISSR_208002861_SALES_SPA" localSheetId="19">#REF!</definedName>
    <definedName name="L_KEYWORD_ISSR_208002861_SALES_SPA">#REF!</definedName>
    <definedName name="L_KEYWORD_ISSR_208002861_SALES_TOT_AFRICA" localSheetId="17">#REF!</definedName>
    <definedName name="L_KEYWORD_ISSR_208002861_SALES_TOT_AFRICA" localSheetId="14">#REF!</definedName>
    <definedName name="L_KEYWORD_ISSR_208002861_SALES_TOT_AFRICA" localSheetId="18">#REF!</definedName>
    <definedName name="L_KEYWORD_ISSR_208002861_SALES_TOT_AFRICA" localSheetId="19">#REF!</definedName>
    <definedName name="L_KEYWORD_ISSR_208002861_SALES_TOT_AFRICA">#REF!</definedName>
    <definedName name="L_KEYWORD_ISSR_208002861_SALES_TOT_AM" localSheetId="17">#REF!</definedName>
    <definedName name="L_KEYWORD_ISSR_208002861_SALES_TOT_AM" localSheetId="14">#REF!</definedName>
    <definedName name="L_KEYWORD_ISSR_208002861_SALES_TOT_AM" localSheetId="18">#REF!</definedName>
    <definedName name="L_KEYWORD_ISSR_208002861_SALES_TOT_AM" localSheetId="19">#REF!</definedName>
    <definedName name="L_KEYWORD_ISSR_208002861_SALES_TOT_AM">#REF!</definedName>
    <definedName name="L_KEYWORD_ISSR_208002861_SALES_TOT_ASIA" localSheetId="17">#REF!</definedName>
    <definedName name="L_KEYWORD_ISSR_208002861_SALES_TOT_ASIA" localSheetId="14">#REF!</definedName>
    <definedName name="L_KEYWORD_ISSR_208002861_SALES_TOT_ASIA" localSheetId="18">#REF!</definedName>
    <definedName name="L_KEYWORD_ISSR_208002861_SALES_TOT_ASIA" localSheetId="19">#REF!</definedName>
    <definedName name="L_KEYWORD_ISSR_208002861_SALES_TOT_ASIA">#REF!</definedName>
    <definedName name="L_KEYWORD_ISSR_208002861_SALES_TOT_EMEA" localSheetId="17">#REF!</definedName>
    <definedName name="L_KEYWORD_ISSR_208002861_SALES_TOT_EMEA" localSheetId="14">#REF!</definedName>
    <definedName name="L_KEYWORD_ISSR_208002861_SALES_TOT_EMEA" localSheetId="18">#REF!</definedName>
    <definedName name="L_KEYWORD_ISSR_208002861_SALES_TOT_EMEA" localSheetId="19">#REF!</definedName>
    <definedName name="L_KEYWORD_ISSR_208002861_SALES_TOT_EMEA">#REF!</definedName>
    <definedName name="L_KEYWORD_ISSR_208002861_SALES_UK" localSheetId="17">#REF!</definedName>
    <definedName name="L_KEYWORD_ISSR_208002861_SALES_UK" localSheetId="14">#REF!</definedName>
    <definedName name="L_KEYWORD_ISSR_208002861_SALES_UK" localSheetId="18">#REF!</definedName>
    <definedName name="L_KEYWORD_ISSR_208002861_SALES_UK" localSheetId="19">#REF!</definedName>
    <definedName name="L_KEYWORD_ISSR_208002861_SALES_UK">#REF!</definedName>
    <definedName name="L_KEYWORD_ISSR_208002861_SALES_US" localSheetId="17">#REF!</definedName>
    <definedName name="L_KEYWORD_ISSR_208002861_SALES_US" localSheetId="14">#REF!</definedName>
    <definedName name="L_KEYWORD_ISSR_208002861_SALES_US" localSheetId="18">#REF!</definedName>
    <definedName name="L_KEYWORD_ISSR_208002861_SALES_US" localSheetId="19">#REF!</definedName>
    <definedName name="L_KEYWORD_ISSR_208002861_SALES_US">#REF!</definedName>
    <definedName name="L_KEYWORD_ISSR_208002861_SEL_GL_AD" localSheetId="17">#REF!</definedName>
    <definedName name="L_KEYWORD_ISSR_208002861_SEL_GL_AD" localSheetId="14">#REF!</definedName>
    <definedName name="L_KEYWORD_ISSR_208002861_SEL_GL_AD" localSheetId="18">#REF!</definedName>
    <definedName name="L_KEYWORD_ISSR_208002861_SEL_GL_AD" localSheetId="19">#REF!</definedName>
    <definedName name="L_KEYWORD_ISSR_208002861_SEL_GL_AD">#REF!</definedName>
    <definedName name="L_KEYWORD_ISSR_208002861_SH_REPUR" localSheetId="17">#REF!</definedName>
    <definedName name="L_KEYWORD_ISSR_208002861_SH_REPUR" localSheetId="14">#REF!</definedName>
    <definedName name="L_KEYWORD_ISSR_208002861_SH_REPUR" localSheetId="18">#REF!</definedName>
    <definedName name="L_KEYWORD_ISSR_208002861_SH_REPUR" localSheetId="19">#REF!</definedName>
    <definedName name="L_KEYWORD_ISSR_208002861_SH_REPUR">#REF!</definedName>
    <definedName name="L_KEYWORD_ISSR_208002861_SHORT_T_DEBT" localSheetId="17">#REF!</definedName>
    <definedName name="L_KEYWORD_ISSR_208002861_SHORT_T_DEBT" localSheetId="14">#REF!</definedName>
    <definedName name="L_KEYWORD_ISSR_208002861_SHORT_T_DEBT" localSheetId="18">#REF!</definedName>
    <definedName name="L_KEYWORD_ISSR_208002861_SHORT_T_DEBT" localSheetId="19">#REF!</definedName>
    <definedName name="L_KEYWORD_ISSR_208002861_SHORT_T_DEBT">#REF!</definedName>
    <definedName name="L_KEYWORD_ISSR_208002861_SHORT_TERM_LIABS" localSheetId="17">#REF!</definedName>
    <definedName name="L_KEYWORD_ISSR_208002861_SHORT_TERM_LIABS" localSheetId="14">#REF!</definedName>
    <definedName name="L_KEYWORD_ISSR_208002861_SHORT_TERM_LIABS" localSheetId="18">#REF!</definedName>
    <definedName name="L_KEYWORD_ISSR_208002861_SHORT_TERM_LIABS" localSheetId="19">#REF!</definedName>
    <definedName name="L_KEYWORD_ISSR_208002861_SHORT_TERM_LIABS">#REF!</definedName>
    <definedName name="L_KEYWORD_ISSR_208002861_STOCKS" localSheetId="17">#REF!</definedName>
    <definedName name="L_KEYWORD_ISSR_208002861_STOCKS" localSheetId="14">#REF!</definedName>
    <definedName name="L_KEYWORD_ISSR_208002861_STOCKS" localSheetId="18">#REF!</definedName>
    <definedName name="L_KEYWORD_ISSR_208002861_STOCKS" localSheetId="19">#REF!</definedName>
    <definedName name="L_KEYWORD_ISSR_208002861_STOCKS">#REF!</definedName>
    <definedName name="L_KEYWORD_ISSR_208002861_TOT_ASSET" localSheetId="17">#REF!</definedName>
    <definedName name="L_KEYWORD_ISSR_208002861_TOT_ASSET" localSheetId="14">#REF!</definedName>
    <definedName name="L_KEYWORD_ISSR_208002861_TOT_ASSET" localSheetId="18">#REF!</definedName>
    <definedName name="L_KEYWORD_ISSR_208002861_TOT_ASSET" localSheetId="19">#REF!</definedName>
    <definedName name="L_KEYWORD_ISSR_208002861_TOT_ASSET">#REF!</definedName>
    <definedName name="L_KEYWORD_ISSR_208002861_TOT_CF" localSheetId="17">#REF!</definedName>
    <definedName name="L_KEYWORD_ISSR_208002861_TOT_CF" localSheetId="14">#REF!</definedName>
    <definedName name="L_KEYWORD_ISSR_208002861_TOT_CF" localSheetId="18">#REF!</definedName>
    <definedName name="L_KEYWORD_ISSR_208002861_TOT_CF" localSheetId="19">#REF!</definedName>
    <definedName name="L_KEYWORD_ISSR_208002861_TOT_CF">#REF!</definedName>
    <definedName name="L_KEYWORD_ISSR_208002861_TOT_LIAB" localSheetId="17">#REF!</definedName>
    <definedName name="L_KEYWORD_ISSR_208002861_TOT_LIAB" localSheetId="14">#REF!</definedName>
    <definedName name="L_KEYWORD_ISSR_208002861_TOT_LIAB" localSheetId="18">#REF!</definedName>
    <definedName name="L_KEYWORD_ISSR_208002861_TOT_LIAB" localSheetId="19">#REF!</definedName>
    <definedName name="L_KEYWORD_ISSR_208002861_TOT_LIAB">#REF!</definedName>
    <definedName name="L_KEYWORD_ISSR_208002861_TOT_LIAB_EQ" localSheetId="17">#REF!</definedName>
    <definedName name="L_KEYWORD_ISSR_208002861_TOT_LIAB_EQ" localSheetId="14">#REF!</definedName>
    <definedName name="L_KEYWORD_ISSR_208002861_TOT_LIAB_EQ" localSheetId="18">#REF!</definedName>
    <definedName name="L_KEYWORD_ISSR_208002861_TOT_LIAB_EQ" localSheetId="19">#REF!</definedName>
    <definedName name="L_KEYWORD_ISSR_208002861_TOT_LIAB_EQ">#REF!</definedName>
    <definedName name="L_KEYWORD_ISSR_208002861_TOT_LT_LIAB" localSheetId="17">#REF!</definedName>
    <definedName name="L_KEYWORD_ISSR_208002861_TOT_LT_LIAB" localSheetId="14">#REF!</definedName>
    <definedName name="L_KEYWORD_ISSR_208002861_TOT_LT_LIAB" localSheetId="18">#REF!</definedName>
    <definedName name="L_KEYWORD_ISSR_208002861_TOT_LT_LIAB" localSheetId="19">#REF!</definedName>
    <definedName name="L_KEYWORD_ISSR_208002861_TOT_LT_LIAB">#REF!</definedName>
    <definedName name="L_KEYWORD_ISSR_208002861_TOT_OPS_EXP" localSheetId="17">#REF!</definedName>
    <definedName name="L_KEYWORD_ISSR_208002861_TOT_OPS_EXP" localSheetId="14">#REF!</definedName>
    <definedName name="L_KEYWORD_ISSR_208002861_TOT_OPS_EXP" localSheetId="18">#REF!</definedName>
    <definedName name="L_KEYWORD_ISSR_208002861_TOT_OPS_EXP" localSheetId="19">#REF!</definedName>
    <definedName name="L_KEYWORD_ISSR_208002861_TOT_OPS_EXP">#REF!</definedName>
    <definedName name="L_KEYWORD_ISSR_208002861_TOT_OPS_EXP_DDA" localSheetId="17">#REF!</definedName>
    <definedName name="L_KEYWORD_ISSR_208002861_TOT_OPS_EXP_DDA" localSheetId="14">#REF!</definedName>
    <definedName name="L_KEYWORD_ISSR_208002861_TOT_OPS_EXP_DDA" localSheetId="18">#REF!</definedName>
    <definedName name="L_KEYWORD_ISSR_208002861_TOT_OPS_EXP_DDA" localSheetId="19">#REF!</definedName>
    <definedName name="L_KEYWORD_ISSR_208002861_TOT_OPS_EXP_DDA">#REF!</definedName>
    <definedName name="L_KEYWORD_ISSR_208002861_UNF_PENS" localSheetId="17">#REF!</definedName>
    <definedName name="L_KEYWORD_ISSR_208002861_UNF_PENS" localSheetId="14">#REF!</definedName>
    <definedName name="L_KEYWORD_ISSR_208002861_UNF_PENS" localSheetId="18">#REF!</definedName>
    <definedName name="L_KEYWORD_ISSR_208002861_UNF_PENS" localSheetId="19">#REF!</definedName>
    <definedName name="L_KEYWORD_ISSR_208002861_UNF_PENS">#REF!</definedName>
    <definedName name="L_KEYWORD_ISSR_208002861_UNF_PENS_LIAB_OTH" localSheetId="17">#REF!</definedName>
    <definedName name="L_KEYWORD_ISSR_208002861_UNF_PENS_LIAB_OTH" localSheetId="14">#REF!</definedName>
    <definedName name="L_KEYWORD_ISSR_208002861_UNF_PENS_LIAB_OTH" localSheetId="18">#REF!</definedName>
    <definedName name="L_KEYWORD_ISSR_208002861_UNF_PENS_LIAB_OTH" localSheetId="19">#REF!</definedName>
    <definedName name="L_KEYWORD_ISSR_208002861_UNF_PENS_LIAB_OTH">#REF!</definedName>
    <definedName name="L_KEYWORD_ISSR_208002861_UNF_PENS_OFF" localSheetId="17">#REF!</definedName>
    <definedName name="L_KEYWORD_ISSR_208002861_UNF_PENS_OFF" localSheetId="14">#REF!</definedName>
    <definedName name="L_KEYWORD_ISSR_208002861_UNF_PENS_OFF" localSheetId="18">#REF!</definedName>
    <definedName name="L_KEYWORD_ISSR_208002861_UNF_PENS_OFF" localSheetId="19">#REF!</definedName>
    <definedName name="L_KEYWORD_ISSR_208002861_UNF_PENS_OFF">#REF!</definedName>
    <definedName name="L_KEYWORD_ISSR_208002861_WORK_CAP" localSheetId="17">#REF!</definedName>
    <definedName name="L_KEYWORD_ISSR_208002861_WORK_CAP" localSheetId="14">#REF!</definedName>
    <definedName name="L_KEYWORD_ISSR_208002861_WORK_CAP" localSheetId="18">#REF!</definedName>
    <definedName name="L_KEYWORD_ISSR_208002861_WORK_CAP" localSheetId="19">#REF!</definedName>
    <definedName name="L_KEYWORD_ISSR_208002861_WORK_CAP">#REF!</definedName>
    <definedName name="L_LIVEDATA_EQTY_200007513" localSheetId="17">#REF!</definedName>
    <definedName name="L_LIVEDATA_EQTY_200007513" localSheetId="14">#REF!</definedName>
    <definedName name="L_LIVEDATA_EQTY_200007513" localSheetId="18">#REF!</definedName>
    <definedName name="L_LIVEDATA_EQTY_200007513" localSheetId="19">#REF!</definedName>
    <definedName name="L_LIVEDATA_EQTY_200007513">#REF!</definedName>
    <definedName name="L_LIVEDATA_ISSR_208002861" localSheetId="17">#REF!</definedName>
    <definedName name="L_LIVEDATA_ISSR_208002861" localSheetId="14">#REF!</definedName>
    <definedName name="L_LIVEDATA_ISSR_208002861" localSheetId="18">#REF!</definedName>
    <definedName name="L_LIVEDATA_ISSR_208002861" localSheetId="19">#REF!</definedName>
    <definedName name="L_LIVEDATA_ISSR_208002861">#REF!</definedName>
    <definedName name="L_PERIOD_2002" localSheetId="14">#REF!</definedName>
    <definedName name="L_PERIOD_2003" localSheetId="14">#REF!</definedName>
    <definedName name="L_PERIOD_2004" localSheetId="14">#REF!</definedName>
    <definedName name="L_PERIOD_2005" localSheetId="14">#REF!</definedName>
    <definedName name="L_PERIOD_2006_Q1" localSheetId="17">#REF!</definedName>
    <definedName name="L_PERIOD_2006_Q1" localSheetId="14">#REF!</definedName>
    <definedName name="L_PERIOD_2006_Q1" localSheetId="18">#REF!</definedName>
    <definedName name="L_PERIOD_2006_Q1" localSheetId="19">#REF!</definedName>
    <definedName name="L_PERIOD_2006_Q1">#REF!</definedName>
    <definedName name="L_PERIOD_2006_Q2" localSheetId="17">#REF!</definedName>
    <definedName name="L_PERIOD_2006_Q2" localSheetId="14">#REF!</definedName>
    <definedName name="L_PERIOD_2006_Q2" localSheetId="18">#REF!</definedName>
    <definedName name="L_PERIOD_2006_Q2" localSheetId="19">#REF!</definedName>
    <definedName name="L_PERIOD_2006_Q2">#REF!</definedName>
    <definedName name="L_PERIOD_2006_Q3" localSheetId="17">#REF!</definedName>
    <definedName name="L_PERIOD_2006_Q3" localSheetId="14">#REF!</definedName>
    <definedName name="L_PERIOD_2006_Q3" localSheetId="18">#REF!</definedName>
    <definedName name="L_PERIOD_2006_Q3" localSheetId="19">#REF!</definedName>
    <definedName name="L_PERIOD_2006_Q3">#REF!</definedName>
    <definedName name="L_PERIOD_2006_Q4" localSheetId="17">#REF!</definedName>
    <definedName name="L_PERIOD_2006_Q4" localSheetId="14">#REF!</definedName>
    <definedName name="L_PERIOD_2006_Q4" localSheetId="18">#REF!</definedName>
    <definedName name="L_PERIOD_2006_Q4" localSheetId="19">#REF!</definedName>
    <definedName name="L_PERIOD_2006_Q4">#REF!</definedName>
    <definedName name="L_PERIOD_2007_Q1" localSheetId="17">#REF!</definedName>
    <definedName name="L_PERIOD_2007_Q1" localSheetId="14">#REF!</definedName>
    <definedName name="L_PERIOD_2007_Q1" localSheetId="18">#REF!</definedName>
    <definedName name="L_PERIOD_2007_Q1" localSheetId="19">#REF!</definedName>
    <definedName name="L_PERIOD_2007_Q1">#REF!</definedName>
    <definedName name="L_PERIOD_2007_Q2" localSheetId="17">#REF!</definedName>
    <definedName name="L_PERIOD_2007_Q2" localSheetId="14">#REF!</definedName>
    <definedName name="L_PERIOD_2007_Q2" localSheetId="18">#REF!</definedName>
    <definedName name="L_PERIOD_2007_Q2" localSheetId="19">#REF!</definedName>
    <definedName name="L_PERIOD_2007_Q2">#REF!</definedName>
    <definedName name="L_PERIOD_2007_Q3" localSheetId="17">#REF!</definedName>
    <definedName name="L_PERIOD_2007_Q3" localSheetId="14">#REF!</definedName>
    <definedName name="L_PERIOD_2007_Q3" localSheetId="18">#REF!</definedName>
    <definedName name="L_PERIOD_2007_Q3" localSheetId="19">#REF!</definedName>
    <definedName name="L_PERIOD_2007_Q3">#REF!</definedName>
    <definedName name="L_PERIOD_2007_Q4" localSheetId="17">#REF!</definedName>
    <definedName name="L_PERIOD_2007_Q4" localSheetId="14">#REF!</definedName>
    <definedName name="L_PERIOD_2007_Q4" localSheetId="18">#REF!</definedName>
    <definedName name="L_PERIOD_2007_Q4" localSheetId="19">#REF!</definedName>
    <definedName name="L_PERIOD_2007_Q4">#REF!</definedName>
    <definedName name="L_PERIOD_2008_Q1" localSheetId="17">#REF!</definedName>
    <definedName name="L_PERIOD_2008_Q1" localSheetId="14">#REF!</definedName>
    <definedName name="L_PERIOD_2008_Q1" localSheetId="18">#REF!</definedName>
    <definedName name="L_PERIOD_2008_Q1" localSheetId="19">#REF!</definedName>
    <definedName name="L_PERIOD_2008_Q1">#REF!</definedName>
    <definedName name="L_PERIOD_2008_Q2" localSheetId="17">#REF!</definedName>
    <definedName name="L_PERIOD_2008_Q2" localSheetId="14">#REF!</definedName>
    <definedName name="L_PERIOD_2008_Q2" localSheetId="18">#REF!</definedName>
    <definedName name="L_PERIOD_2008_Q2" localSheetId="19">#REF!</definedName>
    <definedName name="L_PERIOD_2008_Q2">#REF!</definedName>
    <definedName name="L_PERIOD_2008_Q3" localSheetId="17">#REF!</definedName>
    <definedName name="L_PERIOD_2008_Q3" localSheetId="14">#REF!</definedName>
    <definedName name="L_PERIOD_2008_Q3" localSheetId="18">#REF!</definedName>
    <definedName name="L_PERIOD_2008_Q3" localSheetId="19">#REF!</definedName>
    <definedName name="L_PERIOD_2008_Q3">#REF!</definedName>
    <definedName name="L_PERIOD_2008_Q4" localSheetId="17">#REF!</definedName>
    <definedName name="L_PERIOD_2008_Q4" localSheetId="14">#REF!</definedName>
    <definedName name="L_PERIOD_2008_Q4" localSheetId="18">#REF!</definedName>
    <definedName name="L_PERIOD_2008_Q4" localSheetId="19">#REF!</definedName>
    <definedName name="L_PERIOD_2008_Q4">#REF!</definedName>
    <definedName name="L_PERIOD_2009_Q1" localSheetId="17">#REF!</definedName>
    <definedName name="L_PERIOD_2009_Q1" localSheetId="14">#REF!</definedName>
    <definedName name="L_PERIOD_2009_Q1" localSheetId="18">#REF!</definedName>
    <definedName name="L_PERIOD_2009_Q1" localSheetId="19">#REF!</definedName>
    <definedName name="L_PERIOD_2009_Q1">#REF!</definedName>
    <definedName name="L_PERIOD_2009_Q2" localSheetId="17">#REF!</definedName>
    <definedName name="L_PERIOD_2009_Q2" localSheetId="14">#REF!</definedName>
    <definedName name="L_PERIOD_2009_Q2" localSheetId="18">#REF!</definedName>
    <definedName name="L_PERIOD_2009_Q2" localSheetId="19">#REF!</definedName>
    <definedName name="L_PERIOD_2009_Q2">#REF!</definedName>
    <definedName name="L_PERIOD_2009_Q3" localSheetId="17">#REF!</definedName>
    <definedName name="L_PERIOD_2009_Q3" localSheetId="14">#REF!</definedName>
    <definedName name="L_PERIOD_2009_Q3" localSheetId="18">#REF!</definedName>
    <definedName name="L_PERIOD_2009_Q3" localSheetId="19">#REF!</definedName>
    <definedName name="L_PERIOD_2009_Q3">#REF!</definedName>
    <definedName name="L_PERIOD_2009_Q4" localSheetId="17">#REF!</definedName>
    <definedName name="L_PERIOD_2009_Q4" localSheetId="14">#REF!</definedName>
    <definedName name="L_PERIOD_2009_Q4" localSheetId="18">#REF!</definedName>
    <definedName name="L_PERIOD_2009_Q4" localSheetId="19">#REF!</definedName>
    <definedName name="L_PERIOD_2009_Q4">#REF!</definedName>
    <definedName name="L_PERIOD_2010_Q1" localSheetId="17">#REF!</definedName>
    <definedName name="L_PERIOD_2010_Q1" localSheetId="14">#REF!</definedName>
    <definedName name="L_PERIOD_2010_Q1" localSheetId="18">#REF!</definedName>
    <definedName name="L_PERIOD_2010_Q1" localSheetId="19">#REF!</definedName>
    <definedName name="L_PERIOD_2010_Q1">#REF!</definedName>
    <definedName name="L_PERIOD_2010_Q2" localSheetId="17">#REF!</definedName>
    <definedName name="L_PERIOD_2010_Q2" localSheetId="14">#REF!</definedName>
    <definedName name="L_PERIOD_2010_Q2" localSheetId="18">#REF!</definedName>
    <definedName name="L_PERIOD_2010_Q2" localSheetId="19">#REF!</definedName>
    <definedName name="L_PERIOD_2010_Q2">#REF!</definedName>
    <definedName name="L_PERIOD_2010_Q3" localSheetId="17">#REF!</definedName>
    <definedName name="L_PERIOD_2010_Q3" localSheetId="14">#REF!</definedName>
    <definedName name="L_PERIOD_2010_Q3" localSheetId="18">#REF!</definedName>
    <definedName name="L_PERIOD_2010_Q3" localSheetId="19">#REF!</definedName>
    <definedName name="L_PERIOD_2010_Q3">#REF!</definedName>
    <definedName name="L_PERIOD_2010_Q4" localSheetId="17">#REF!</definedName>
    <definedName name="L_PERIOD_2010_Q4" localSheetId="14">#REF!</definedName>
    <definedName name="L_PERIOD_2010_Q4" localSheetId="18">#REF!</definedName>
    <definedName name="L_PERIOD_2010_Q4" localSheetId="19">#REF!</definedName>
    <definedName name="L_PERIOD_2010_Q4">#REF!</definedName>
    <definedName name="L_PERIOD_2011_Q1" localSheetId="17">#REF!</definedName>
    <definedName name="L_PERIOD_2011_Q1" localSheetId="14">#REF!</definedName>
    <definedName name="L_PERIOD_2011_Q1" localSheetId="18">#REF!</definedName>
    <definedName name="L_PERIOD_2011_Q1" localSheetId="19">#REF!</definedName>
    <definedName name="L_PERIOD_2011_Q1">#REF!</definedName>
    <definedName name="L_PERIOD_2011_Q2" localSheetId="17">#REF!</definedName>
    <definedName name="L_PERIOD_2011_Q2" localSheetId="14">#REF!</definedName>
    <definedName name="L_PERIOD_2011_Q2" localSheetId="18">#REF!</definedName>
    <definedName name="L_PERIOD_2011_Q2" localSheetId="19">#REF!</definedName>
    <definedName name="L_PERIOD_2011_Q2">#REF!</definedName>
    <definedName name="L_PERIOD_2011_Q3" localSheetId="17">#REF!</definedName>
    <definedName name="L_PERIOD_2011_Q3" localSheetId="14">#REF!</definedName>
    <definedName name="L_PERIOD_2011_Q3" localSheetId="18">#REF!</definedName>
    <definedName name="L_PERIOD_2011_Q3" localSheetId="19">#REF!</definedName>
    <definedName name="L_PERIOD_2011_Q3">#REF!</definedName>
    <definedName name="L_PERIOD_2011_Q4" localSheetId="17">#REF!</definedName>
    <definedName name="L_PERIOD_2011_Q4" localSheetId="14">#REF!</definedName>
    <definedName name="L_PERIOD_2011_Q4" localSheetId="18">#REF!</definedName>
    <definedName name="L_PERIOD_2011_Q4" localSheetId="19">#REF!</definedName>
    <definedName name="L_PERIOD_2011_Q4">#REF!</definedName>
    <definedName name="L_PERIOD_2012_Q1" localSheetId="17">#REF!</definedName>
    <definedName name="L_PERIOD_2012_Q1" localSheetId="14">#REF!</definedName>
    <definedName name="L_PERIOD_2012_Q1" localSheetId="18">#REF!</definedName>
    <definedName name="L_PERIOD_2012_Q1" localSheetId="19">#REF!</definedName>
    <definedName name="L_PERIOD_2012_Q1">#REF!</definedName>
    <definedName name="L_PERIOD_2012_Q2" localSheetId="17">#REF!</definedName>
    <definedName name="L_PERIOD_2012_Q2" localSheetId="14">#REF!</definedName>
    <definedName name="L_PERIOD_2012_Q2" localSheetId="18">#REF!</definedName>
    <definedName name="L_PERIOD_2012_Q2" localSheetId="19">#REF!</definedName>
    <definedName name="L_PERIOD_2012_Q2">#REF!</definedName>
    <definedName name="L_PERIOD_2012_Q3" localSheetId="17">#REF!</definedName>
    <definedName name="L_PERIOD_2012_Q3" localSheetId="14">#REF!</definedName>
    <definedName name="L_PERIOD_2012_Q3" localSheetId="18">#REF!</definedName>
    <definedName name="L_PERIOD_2012_Q3" localSheetId="19">#REF!</definedName>
    <definedName name="L_PERIOD_2012_Q3">#REF!</definedName>
    <definedName name="L_PERIOD_2012_Q4" localSheetId="17">#REF!</definedName>
    <definedName name="L_PERIOD_2012_Q4" localSheetId="14">#REF!</definedName>
    <definedName name="L_PERIOD_2012_Q4" localSheetId="18">#REF!</definedName>
    <definedName name="L_PERIOD_2012_Q4" localSheetId="19">#REF!</definedName>
    <definedName name="L_PERIOD_2012_Q4">#REF!</definedName>
    <definedName name="L_PERIOD_2020_H1" localSheetId="14">#REF!</definedName>
    <definedName name="L_PERIOD_2020_H1" localSheetId="19">#REF!</definedName>
    <definedName name="L_PERIOD_2020_H1">#REF!</definedName>
    <definedName name="L_PERIOD_2020_H2" localSheetId="14">#REF!</definedName>
    <definedName name="L_PERIOD_2020_H2" localSheetId="19">#REF!</definedName>
    <definedName name="L_PERIOD_2020_H2">#REF!</definedName>
    <definedName name="L_PERIOD_2021_Q1" localSheetId="17">#REF!</definedName>
    <definedName name="L_PERIOD_2021_Q1" localSheetId="14">#REF!</definedName>
    <definedName name="L_PERIOD_2021_Q1" localSheetId="18">#REF!</definedName>
    <definedName name="L_PERIOD_2021_Q1" localSheetId="19">#REF!</definedName>
    <definedName name="L_PERIOD_2021_Q1">#REF!</definedName>
    <definedName name="L_PERIOD_2021_Q2" localSheetId="17">#REF!</definedName>
    <definedName name="L_PERIOD_2021_Q2" localSheetId="14">#REF!</definedName>
    <definedName name="L_PERIOD_2021_Q2" localSheetId="18">#REF!</definedName>
    <definedName name="L_PERIOD_2021_Q2" localSheetId="19">#REF!</definedName>
    <definedName name="L_PERIOD_2021_Q2">#REF!</definedName>
    <definedName name="L_PERIOD_2021_Q3" localSheetId="17">#REF!</definedName>
    <definedName name="L_PERIOD_2021_Q3" localSheetId="14">#REF!</definedName>
    <definedName name="L_PERIOD_2021_Q3" localSheetId="18">#REF!</definedName>
    <definedName name="L_PERIOD_2021_Q3" localSheetId="19">#REF!</definedName>
    <definedName name="L_PERIOD_2021_Q3">#REF!</definedName>
    <definedName name="L_PERIOD_2021_Q4" localSheetId="17">#REF!</definedName>
    <definedName name="L_PERIOD_2021_Q4" localSheetId="14">#REF!</definedName>
    <definedName name="L_PERIOD_2021_Q4" localSheetId="18">#REF!</definedName>
    <definedName name="L_PERIOD_2021_Q4" localSheetId="19">#REF!</definedName>
    <definedName name="L_PERIOD_2021_Q4">#REF!</definedName>
    <definedName name="L_SECTION_EQTY_200007513_1314" localSheetId="17">#REF!</definedName>
    <definedName name="L_SECTION_EQTY_200007513_1314" localSheetId="14">#REF!</definedName>
    <definedName name="L_SECTION_EQTY_200007513_1314" localSheetId="18">#REF!</definedName>
    <definedName name="L_SECTION_EQTY_200007513_1314" localSheetId="19">#REF!</definedName>
    <definedName name="L_SECTION_EQTY_200007513_1314">#REF!</definedName>
    <definedName name="L_SECTION_EQTY_200007513_131E" localSheetId="17">#REF!</definedName>
    <definedName name="L_SECTION_EQTY_200007513_131E" localSheetId="14">#REF!</definedName>
    <definedName name="L_SECTION_EQTY_200007513_131E" localSheetId="18">#REF!</definedName>
    <definedName name="L_SECTION_EQTY_200007513_131E" localSheetId="19">#REF!</definedName>
    <definedName name="L_SECTION_EQTY_200007513_131E">#REF!</definedName>
    <definedName name="L_SECTION_EQTY_200007513_131O" localSheetId="17">#REF!</definedName>
    <definedName name="L_SECTION_EQTY_200007513_131O" localSheetId="14">#REF!</definedName>
    <definedName name="L_SECTION_EQTY_200007513_131O" localSheetId="18">#REF!</definedName>
    <definedName name="L_SECTION_EQTY_200007513_131O" localSheetId="19">#REF!</definedName>
    <definedName name="L_SECTION_EQTY_200007513_131O">#REF!</definedName>
    <definedName name="L_SECTION_EQTY_200007513_13A" localSheetId="17">#REF!</definedName>
    <definedName name="L_SECTION_EQTY_200007513_13A" localSheetId="14">#REF!</definedName>
    <definedName name="L_SECTION_EQTY_200007513_13A" localSheetId="18">#REF!</definedName>
    <definedName name="L_SECTION_EQTY_200007513_13A" localSheetId="19">#REF!</definedName>
    <definedName name="L_SECTION_EQTY_200007513_13A">#REF!</definedName>
    <definedName name="L_SECTION_EQTY_200007513_13K" localSheetId="17">#REF!</definedName>
    <definedName name="L_SECTION_EQTY_200007513_13K" localSheetId="14">#REF!</definedName>
    <definedName name="L_SECTION_EQTY_200007513_13K" localSheetId="18">#REF!</definedName>
    <definedName name="L_SECTION_EQTY_200007513_13K" localSheetId="19">#REF!</definedName>
    <definedName name="L_SECTION_EQTY_200007513_13K">#REF!</definedName>
    <definedName name="L_SECTION_EQTY_200007513_13U" localSheetId="17">#REF!</definedName>
    <definedName name="L_SECTION_EQTY_200007513_13U" localSheetId="14">#REF!</definedName>
    <definedName name="L_SECTION_EQTY_200007513_13U" localSheetId="18">#REF!</definedName>
    <definedName name="L_SECTION_EQTY_200007513_13U" localSheetId="19">#REF!</definedName>
    <definedName name="L_SECTION_EQTY_200007513_13U">#REF!</definedName>
    <definedName name="L_SECTION_EQTY_200007513_13V" localSheetId="17">#REF!</definedName>
    <definedName name="L_SECTION_EQTY_200007513_13V" localSheetId="14">#REF!</definedName>
    <definedName name="L_SECTION_EQTY_200007513_13V" localSheetId="18">#REF!</definedName>
    <definedName name="L_SECTION_EQTY_200007513_13V" localSheetId="19">#REF!</definedName>
    <definedName name="L_SECTION_EQTY_200007513_13V">#REF!</definedName>
    <definedName name="L_SECTION_EQTY_200007513_Reference_Data" localSheetId="17">#REF!</definedName>
    <definedName name="L_SECTION_EQTY_200007513_Reference_Data" localSheetId="14">#REF!</definedName>
    <definedName name="L_SECTION_EQTY_200007513_Reference_Data" localSheetId="18">#REF!</definedName>
    <definedName name="L_SECTION_EQTY_200007513_Reference_Data" localSheetId="19">#REF!</definedName>
    <definedName name="L_SECTION_EQTY_200007513_Reference_Data">#REF!</definedName>
    <definedName name="L_SECTION_ISSR_208002861_1314" localSheetId="17">#REF!</definedName>
    <definedName name="L_SECTION_ISSR_208002861_1314" localSheetId="14">#REF!</definedName>
    <definedName name="L_SECTION_ISSR_208002861_1314" localSheetId="18">#REF!</definedName>
    <definedName name="L_SECTION_ISSR_208002861_1314" localSheetId="19">#REF!</definedName>
    <definedName name="L_SECTION_ISSR_208002861_1314">#REF!</definedName>
    <definedName name="L_SECTION_ISSR_208002861_13168" localSheetId="17">#REF!</definedName>
    <definedName name="L_SECTION_ISSR_208002861_13168" localSheetId="14">#REF!</definedName>
    <definedName name="L_SECTION_ISSR_208002861_13168" localSheetId="18">#REF!</definedName>
    <definedName name="L_SECTION_ISSR_208002861_13168" localSheetId="19">#REF!</definedName>
    <definedName name="L_SECTION_ISSR_208002861_13168">#REF!</definedName>
    <definedName name="L_SECTION_ISSR_208002861_1316S" localSheetId="17">#REF!</definedName>
    <definedName name="L_SECTION_ISSR_208002861_1316S" localSheetId="14">#REF!</definedName>
    <definedName name="L_SECTION_ISSR_208002861_1316S" localSheetId="18">#REF!</definedName>
    <definedName name="L_SECTION_ISSR_208002861_1316S" localSheetId="19">#REF!</definedName>
    <definedName name="L_SECTION_ISSR_208002861_1316S">#REF!</definedName>
    <definedName name="L_SECTION_ISSR_208002861_1316T" localSheetId="17">#REF!</definedName>
    <definedName name="L_SECTION_ISSR_208002861_1316T" localSheetId="14">#REF!</definedName>
    <definedName name="L_SECTION_ISSR_208002861_1316T" localSheetId="18">#REF!</definedName>
    <definedName name="L_SECTION_ISSR_208002861_1316T" localSheetId="19">#REF!</definedName>
    <definedName name="L_SECTION_ISSR_208002861_1316T">#REF!</definedName>
    <definedName name="L_SECTION_ISSR_208002861_1316U" localSheetId="17">#REF!</definedName>
    <definedName name="L_SECTION_ISSR_208002861_1316U" localSheetId="14">#REF!</definedName>
    <definedName name="L_SECTION_ISSR_208002861_1316U" localSheetId="18">#REF!</definedName>
    <definedName name="L_SECTION_ISSR_208002861_1316U" localSheetId="19">#REF!</definedName>
    <definedName name="L_SECTION_ISSR_208002861_1316U">#REF!</definedName>
    <definedName name="L_SECTION_ISSR_208002861_1319" localSheetId="17">#REF!</definedName>
    <definedName name="L_SECTION_ISSR_208002861_1319" localSheetId="14">#REF!</definedName>
    <definedName name="L_SECTION_ISSR_208002861_1319" localSheetId="18">#REF!</definedName>
    <definedName name="L_SECTION_ISSR_208002861_1319" localSheetId="19">#REF!</definedName>
    <definedName name="L_SECTION_ISSR_208002861_1319">#REF!</definedName>
    <definedName name="L_SECTION_ISSR_208002861_131E" localSheetId="17">#REF!</definedName>
    <definedName name="L_SECTION_ISSR_208002861_131E" localSheetId="14">#REF!</definedName>
    <definedName name="L_SECTION_ISSR_208002861_131E" localSheetId="18">#REF!</definedName>
    <definedName name="L_SECTION_ISSR_208002861_131E" localSheetId="19">#REF!</definedName>
    <definedName name="L_SECTION_ISSR_208002861_131E">#REF!</definedName>
    <definedName name="L_SECTION_ISSR_208002861_131J" localSheetId="17">#REF!</definedName>
    <definedName name="L_SECTION_ISSR_208002861_131J" localSheetId="14">#REF!</definedName>
    <definedName name="L_SECTION_ISSR_208002861_131J" localSheetId="18">#REF!</definedName>
    <definedName name="L_SECTION_ISSR_208002861_131J" localSheetId="19">#REF!</definedName>
    <definedName name="L_SECTION_ISSR_208002861_131J">#REF!</definedName>
    <definedName name="L_SECTION_ISSR_208002861_131O" localSheetId="17">#REF!</definedName>
    <definedName name="L_SECTION_ISSR_208002861_131O" localSheetId="14">#REF!</definedName>
    <definedName name="L_SECTION_ISSR_208002861_131O" localSheetId="18">#REF!</definedName>
    <definedName name="L_SECTION_ISSR_208002861_131O" localSheetId="19">#REF!</definedName>
    <definedName name="L_SECTION_ISSR_208002861_131O">#REF!</definedName>
    <definedName name="L_SECTION_ISSR_208002861_13U" localSheetId="17">#REF!</definedName>
    <definedName name="L_SECTION_ISSR_208002861_13U" localSheetId="14">#REF!</definedName>
    <definedName name="L_SECTION_ISSR_208002861_13U" localSheetId="18">#REF!</definedName>
    <definedName name="L_SECTION_ISSR_208002861_13U" localSheetId="19">#REF!</definedName>
    <definedName name="L_SECTION_ISSR_208002861_13U">#REF!</definedName>
    <definedName name="L_SECTION_ISSR_208002861_13V" localSheetId="17">#REF!</definedName>
    <definedName name="L_SECTION_ISSR_208002861_13V" localSheetId="14">#REF!</definedName>
    <definedName name="L_SECTION_ISSR_208002861_13V" localSheetId="18">#REF!</definedName>
    <definedName name="L_SECTION_ISSR_208002861_13V" localSheetId="19">#REF!</definedName>
    <definedName name="L_SECTION_ISSR_208002861_13V">#REF!</definedName>
    <definedName name="L_SECTION_ISSR_208002861_Reference_Data" localSheetId="17">#REF!</definedName>
    <definedName name="L_SECTION_ISSR_208002861_Reference_Data" localSheetId="14">#REF!</definedName>
    <definedName name="L_SECTION_ISSR_208002861_Reference_Data" localSheetId="18">#REF!</definedName>
    <definedName name="L_SECTION_ISSR_208002861_Reference_Data" localSheetId="19">#REF!</definedName>
    <definedName name="L_SECTION_ISSR_208002861_Reference_Data">#REF!</definedName>
    <definedName name="Last_Update" localSheetId="2">#REF!</definedName>
    <definedName name="Last_Update">#REF!</definedName>
    <definedName name="LastHistoricYear">#REF!</definedName>
    <definedName name="LastProblemKeyword" localSheetId="5">MigrationOutput_QP_SAF.PA!$B$7:$F$7</definedName>
    <definedName name="LatestPaid">#REF!</definedName>
    <definedName name="LatestPaidDate">#REF!</definedName>
    <definedName name="lbo" localSheetId="1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localSheetId="2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localSheetId="18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localSheetId="19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easeObligation">#REF!</definedName>
    <definedName name="Links" localSheetId="2">#REF!</definedName>
    <definedName name="Links">#REF!</definedName>
    <definedName name="LiveReqs" localSheetId="2">#REF!</definedName>
    <definedName name="LiveReqs">#REF!</definedName>
    <definedName name="lkjlklkjlkjlkj" localSheetId="1" hidden="1">{"page1",#N/A,TRUE,"CSC";"page2",#N/A,TRUE,"CSC"}</definedName>
    <definedName name="lkjlklkjlkjlkj" localSheetId="2" hidden="1">{"page1",#N/A,TRUE,"CSC";"page2",#N/A,TRUE,"CSC"}</definedName>
    <definedName name="lkjlklkjlkjlkj" localSheetId="18" hidden="1">{"page1",#N/A,TRUE,"CSC";"page2",#N/A,TRUE,"CSC"}</definedName>
    <definedName name="lkjlklkjlkjlkj" localSheetId="19" hidden="1">{"page1",#N/A,TRUE,"CSC";"page2",#N/A,TRUE,"CSC"}</definedName>
    <definedName name="lkjlklkjlkjlkj" hidden="1">{"page1",#N/A,TRUE,"CSC";"page2",#N/A,TRUE,"CSC"}</definedName>
    <definedName name="ll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ll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ll" localSheetId="18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ll" localSheetId="19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l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lllllllllllllllllllllllllllllllll" localSheetId="1" hidden="1">{"Geographic P1",#N/A,FALSE,"Division &amp; Geog"}</definedName>
    <definedName name="lllllllllllllllllllllllllllllllll" localSheetId="2" hidden="1">{"Geographic P1",#N/A,FALSE,"Division &amp; Geog"}</definedName>
    <definedName name="lllllllllllllllllllllllllllllllll" localSheetId="18" hidden="1">{"Geographic P1",#N/A,FALSE,"Division &amp; Geog"}</definedName>
    <definedName name="lllllllllllllllllllllllllllllllll" localSheetId="19" hidden="1">{"Geographic P1",#N/A,FALSE,"Division &amp; Geog"}</definedName>
    <definedName name="lllllllllllllllllllllllllllllllll" hidden="1">{"Geographic P1",#N/A,FALSE,"Division &amp; Geog"}</definedName>
    <definedName name="LoanProceeds">#REF!</definedName>
    <definedName name="LoanRepayments">#REF!</definedName>
    <definedName name="LocalIndexFiveYear">#REF!</definedName>
    <definedName name="LocalIndexFiveYearRebased">#REF!</definedName>
    <definedName name="LocalIndexLabel">#REF!</definedName>
    <definedName name="LocalIndexName">#REF!</definedName>
    <definedName name="LocalIndexYear">#REF!</definedName>
    <definedName name="LocalIndexYearRebased">#REF!</definedName>
    <definedName name="LongBondYield">#REF!</definedName>
    <definedName name="LongTermFinancialInvestments">#REF!</definedName>
    <definedName name="LongTermInterestBearingDebt">#REF!</definedName>
    <definedName name="LongTermLiabilities">#REF!</definedName>
    <definedName name="Main" localSheetId="2">#REF!</definedName>
    <definedName name="Main" localSheetId="14">#REF!</definedName>
    <definedName name="Main" localSheetId="18">#REF!</definedName>
    <definedName name="Main">#REF!</definedName>
    <definedName name="Main1" localSheetId="17">#REF!</definedName>
    <definedName name="Main1" localSheetId="14">#REF!</definedName>
    <definedName name="Main1" localSheetId="18">#REF!</definedName>
    <definedName name="Main1" localSheetId="19">#REF!</definedName>
    <definedName name="Main1">#REF!</definedName>
    <definedName name="Main2" localSheetId="17">#REF!</definedName>
    <definedName name="Main2" localSheetId="14">#REF!</definedName>
    <definedName name="Main2" localSheetId="18">#REF!</definedName>
    <definedName name="Main2" localSheetId="19">#REF!</definedName>
    <definedName name="Main2">#REF!</definedName>
    <definedName name="MarketableAssets">#REF!</definedName>
    <definedName name="MarketCap_Avg">#REF!</definedName>
    <definedName name="MarketCap_High">#REF!</definedName>
    <definedName name="MarketCap_Low">#REF!</definedName>
    <definedName name="MarketCap_Today">#REF!</definedName>
    <definedName name="MarketCap_Ye">#REF!</definedName>
    <definedName name="MarketingAdmin">#REF!</definedName>
    <definedName name="MaterialsGoodsServices">#REF!</definedName>
    <definedName name="Mcap1">#REF!</definedName>
    <definedName name="Mcap2">#REF!</definedName>
    <definedName name="MemFree" localSheetId="2">#REF!</definedName>
    <definedName name="MemFree">#REF!</definedName>
    <definedName name="MemTotal" localSheetId="2">#REF!</definedName>
    <definedName name="MemTotal">#REF!</definedName>
    <definedName name="MinInterestRAT">#REF!</definedName>
    <definedName name="MinorityInterestBS">#REF!</definedName>
    <definedName name="MinorityInterestPL">#REF!</definedName>
    <definedName name="mon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localSheetId="18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localSheetId="19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stTradedInstrumentId">#REF!</definedName>
    <definedName name="n" localSheetId="1" hidden="1">{#N/A,#N/A,FALSE,"Annual Earnings Model";#N/A,#N/A,FALSE,"Quarterly Earnings Model";#N/A,#N/A,FALSE,"Header";#N/A,#N/A,FALSE,"Notes"}</definedName>
    <definedName name="n" localSheetId="2" hidden="1">{#N/A,#N/A,FALSE,"Annual Earnings Model";#N/A,#N/A,FALSE,"Quarterly Earnings Model";#N/A,#N/A,FALSE,"Header";#N/A,#N/A,FALSE,"Notes"}</definedName>
    <definedName name="n" localSheetId="18" hidden="1">{#N/A,#N/A,FALSE,"Annual Earnings Model";#N/A,#N/A,FALSE,"Quarterly Earnings Model";#N/A,#N/A,FALSE,"Header";#N/A,#N/A,FALSE,"Notes"}</definedName>
    <definedName name="n" localSheetId="19" hidden="1">{#N/A,#N/A,FALSE,"Annual Earnings Model";#N/A,#N/A,FALSE,"Quarterly Earnings Model";#N/A,#N/A,FALSE,"Header";#N/A,#N/A,FALSE,"Notes"}</definedName>
    <definedName name="n" hidden="1">{#N/A,#N/A,FALSE,"Annual Earnings Model";#N/A,#N/A,FALSE,"Quarterly Earnings Model";#N/A,#N/A,FALSE,"Header";#N/A,#N/A,FALSE,"Notes"}</definedName>
    <definedName name="Ndebt">#REF!</definedName>
    <definedName name="Nequity">#REF!</definedName>
    <definedName name="NetAssetPerShare">#REF!</definedName>
    <definedName name="NetChangeInCash">#REF!</definedName>
    <definedName name="NetDebt">#REF!</definedName>
    <definedName name="NetDebtAdj">#REF!</definedName>
    <definedName name="NetDebtEquityMax">#REF!</definedName>
    <definedName name="NetDebtPerShare">#REF!</definedName>
    <definedName name="NetGearing">#REF!</definedName>
    <definedName name="NetGearingChart">#REF!</definedName>
    <definedName name="NetMargin">#REF!</definedName>
    <definedName name="NetOtherLiabilities">#REF!</definedName>
    <definedName name="NetProfit">#REF!</definedName>
    <definedName name="NetRevenuePerAccountAvg">#REF!</definedName>
    <definedName name="NetRevenuePerTrade">#REF!</definedName>
    <definedName name="NetSales">#REF!</definedName>
    <definedName name="NetSalesChart">#REF!</definedName>
    <definedName name="NetSalesNormalized">#REF!</definedName>
    <definedName name="NetSalesPerEmpAvg">#REF!</definedName>
    <definedName name="NetWorkingCapital">#REF!</definedName>
    <definedName name="New" localSheetId="1" hidden="1">{"CSC_1",#N/A,FALSE,"CSC Outputs";"CSC_2",#N/A,FALSE,"CSC Outputs"}</definedName>
    <definedName name="New" localSheetId="2" hidden="1">{"CSC_1",#N/A,FALSE,"CSC Outputs";"CSC_2",#N/A,FALSE,"CSC Outputs"}</definedName>
    <definedName name="New" localSheetId="18" hidden="1">{"CSC_1",#N/A,FALSE,"CSC Outputs";"CSC_2",#N/A,FALSE,"CSC Outputs"}</definedName>
    <definedName name="New" localSheetId="19" hidden="1">{"CSC_1",#N/A,FALSE,"CSC Outputs";"CSC_2",#N/A,FALSE,"CSC Outputs"}</definedName>
    <definedName name="New" hidden="1">{"CSC_1",#N/A,FALSE,"CSC Outputs";"CSC_2",#N/A,FALSE,"CSC Outputs"}</definedName>
    <definedName name="NewConvMonth">#REF!</definedName>
    <definedName name="NewConvNo">#REF!</definedName>
    <definedName name="NewConvPrice">#REF!</definedName>
    <definedName name="NewIssueMonthClass1">#REF!</definedName>
    <definedName name="NewIssueMonthClass2">#REF!</definedName>
    <definedName name="NewIssuePricePerShareClass1">#REF!</definedName>
    <definedName name="NewIssuePricePerShareClass2">#REF!</definedName>
    <definedName name="NewIssueShareNoClass1">#REF!</definedName>
    <definedName name="NewIssueShareNoClass2">#REF!</definedName>
    <definedName name="NO" hidden="1">{"'Sheet1'!$A$1:$J$121"}</definedName>
    <definedName name="NomDividendBlended">#REF!</definedName>
    <definedName name="NomDividendFrontpage">#REF!</definedName>
    <definedName name="NomDividendPrefs">#REF!</definedName>
    <definedName name="NonInterestBearingFixedAssets">#REF!</definedName>
    <definedName name="NonRecurringExpenses">#REF!</definedName>
    <definedName name="NumberOfTrades">#REF!</definedName>
    <definedName name="okdkd" hidden="1">{"'TABLE82'!$A$1:$D$102"}</definedName>
    <definedName name="old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localSheetId="1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localSheetId="19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perating_Sys" localSheetId="2">#REF!</definedName>
    <definedName name="Operating_Sys">#REF!</definedName>
    <definedName name="OperatingCashFlow">#REF!</definedName>
    <definedName name="OperatingMargin">#REF!</definedName>
    <definedName name="OperatingMarginChart">#REF!</definedName>
    <definedName name="OperatingMarginMax">#REF!</definedName>
    <definedName name="OperatingProfit">#REF!</definedName>
    <definedName name="OperatingProfitPerEmpAvg">#REF!</definedName>
    <definedName name="OperCashFlowPerShare">#REF!</definedName>
    <definedName name="opopo" hidden="1">{"'TABLE82'!$A$1:$D$102"}</definedName>
    <definedName name="OtherAdjAfterTax">#REF!</definedName>
    <definedName name="OtherBeforeChangeCash">#REF!</definedName>
    <definedName name="OtherBeforeChangeNetDebt">#REF!</definedName>
    <definedName name="OtherBeforeChangeWorkingCapital">#REF!</definedName>
    <definedName name="OtherCurrentAssets">#REF!</definedName>
    <definedName name="OtherCurrentLiabilities">#REF!</definedName>
    <definedName name="OtherFinancialAssets">#REF!</definedName>
    <definedName name="OtherFinItems">#REF!</definedName>
    <definedName name="OtherFixedAssets">#REF!</definedName>
    <definedName name="OtherLongTermLiabilities">#REF!</definedName>
    <definedName name="OtherOperatingExpenses">#REF!</definedName>
    <definedName name="OtherProvisions">#REF!</definedName>
    <definedName name="OtherRevenue">#REF!</definedName>
    <definedName name="OtherTradeFinancing">#REF!</definedName>
    <definedName name="OtherTradeFinancingSalesDays">#REF!</definedName>
    <definedName name="OthNonCashAdjustments">#REF!</definedName>
    <definedName name="OutputProfitType">#REF!</definedName>
    <definedName name="OutstandandingShareNomAvg">#REF!</definedName>
    <definedName name="OutstandandingShareNomAvgClass1">#REF!</definedName>
    <definedName name="OutstandandingShareNomAvgClass2">#REF!</definedName>
    <definedName name="OutstandingConvertibleNomAvg">#REF!</definedName>
    <definedName name="OutstandingConvertibleNomYe">#REF!</definedName>
    <definedName name="OutstandingPrefShareNomAvg">#REF!</definedName>
    <definedName name="OutstandingPrefSharesNomYe">#REF!</definedName>
    <definedName name="OutstandingShareNomYe">#REF!</definedName>
    <definedName name="OutstandingShareNomYeClass1">#REF!</definedName>
    <definedName name="OutstandingShareNomYeClass2">#REF!</definedName>
    <definedName name="PayOutRatio">#REF!</definedName>
    <definedName name="PBTME">#REF!</definedName>
    <definedName name="PBV_Today">#REF!</definedName>
    <definedName name="PBV_Ye">#REF!</definedName>
    <definedName name="PBVForward">#REF!</definedName>
    <definedName name="Peer1FiveYear">#REF!</definedName>
    <definedName name="Peer1FiveYearRebased">#REF!</definedName>
    <definedName name="Peer1Label">#REF!</definedName>
    <definedName name="Peer1Name">#REF!</definedName>
    <definedName name="Peer1Year">#REF!</definedName>
    <definedName name="Peer1YearRebased">#REF!</definedName>
    <definedName name="Peer2Label">#REF!</definedName>
    <definedName name="Peer2Name">#REF!</definedName>
    <definedName name="Peer2Year">#REF!</definedName>
    <definedName name="Peer2YearRebased">#REF!</definedName>
    <definedName name="PEForward">#REF!</definedName>
    <definedName name="PensionProvisions">#REF!</definedName>
    <definedName name="PER_Today">#REF!</definedName>
    <definedName name="PER_Ye">#REF!</definedName>
    <definedName name="PercentOfShares1">#REF!</definedName>
    <definedName name="PercentOfShares2">#REF!</definedName>
    <definedName name="PercentOfShares3">#REF!</definedName>
    <definedName name="PercentOfVotes1">#REF!</definedName>
    <definedName name="PercentOfVotes2">#REF!</definedName>
    <definedName name="PercentOfVotes3">#REF!</definedName>
    <definedName name="Perfdata">#REF!</definedName>
    <definedName name="PERrelative_Today">#REF!</definedName>
    <definedName name="PERrelative_Ye">#REF!</definedName>
    <definedName name="PeTrail">#REF!</definedName>
    <definedName name="PhoneNo">#REF!</definedName>
    <definedName name="PNAV_Today">#REF!</definedName>
    <definedName name="PNAV_Ye">#REF!</definedName>
    <definedName name="ppp" localSheetId="1" hidden="1">{"Geographic P1",#N/A,FALSE,"Division &amp; Geog"}</definedName>
    <definedName name="ppp" localSheetId="2" hidden="1">{"Geographic P1",#N/A,FALSE,"Division &amp; Geog"}</definedName>
    <definedName name="ppp" localSheetId="18" hidden="1">{"Geographic P1",#N/A,FALSE,"Division &amp; Geog"}</definedName>
    <definedName name="ppp" localSheetId="19" hidden="1">{"Geographic P1",#N/A,FALSE,"Division &amp; Geog"}</definedName>
    <definedName name="ppp" hidden="1">{"Geographic P1",#N/A,FALSE,"Division &amp; Geog"}</definedName>
    <definedName name="pppp" localSheetId="1" hidden="1">{"Five Year Record",#N/A,FALSE,"Front and Back"}</definedName>
    <definedName name="pppp" localSheetId="2" hidden="1">{"Five Year Record",#N/A,FALSE,"Front and Back"}</definedName>
    <definedName name="pppp" localSheetId="18" hidden="1">{"Five Year Record",#N/A,FALSE,"Front and Back"}</definedName>
    <definedName name="pppp" localSheetId="19" hidden="1">{"Five Year Record",#N/A,FALSE,"Front and Back"}</definedName>
    <definedName name="pppp" hidden="1">{"Five Year Record",#N/A,FALSE,"Front and Back"}</definedName>
    <definedName name="ppppppppppppppppppppppppppppp" localSheetId="1" hidden="1">{"FTSE100","COMPANIES",TRUE}</definedName>
    <definedName name="ppppppppppppppppppppppppppppp" localSheetId="2" hidden="1">{"FTSE100","COMPANIES",TRUE}</definedName>
    <definedName name="ppppppppppppppppppppppppppppp" localSheetId="18" hidden="1">{"FTSE100","COMPANIES",TRUE}</definedName>
    <definedName name="ppppppppppppppppppppppppppppp" localSheetId="19" hidden="1">{"FTSE100","COMPANIES",TRUE}</definedName>
    <definedName name="ppppppppppppppppppppppppppppp" hidden="1">{"FTSE100","COMPANIES",TRUE}</definedName>
    <definedName name="PrefNewIssueMonth">#REF!</definedName>
    <definedName name="PrefNewIssuePricePerShare">#REF!</definedName>
    <definedName name="PrefsIssueSplitNoNewShare">#REF!</definedName>
    <definedName name="PremiumFund">#REF!</definedName>
    <definedName name="PretaxMargin">#REF!</definedName>
    <definedName name="PretaxProfit">#REF!</definedName>
    <definedName name="Price_Avg">#REF!</definedName>
    <definedName name="Price_High">#REF!</definedName>
    <definedName name="Price_Low">#REF!</definedName>
    <definedName name="Price_Today">#REF!</definedName>
    <definedName name="Price_Ye">#REF!</definedName>
    <definedName name="PriceCurrencyShort">#REF!</definedName>
    <definedName name="PriceDate">#REF!</definedName>
    <definedName name="PriceFiveYear">#REF!</definedName>
    <definedName name="PriceFiveYearPeer1">#REF!</definedName>
    <definedName name="PriceYear">#REF!</definedName>
    <definedName name="PriceYearPeer1">#REF!</definedName>
    <definedName name="PriceYearPeer2">#REF!</definedName>
    <definedName name="Print_CSC_Report_2" localSheetId="1" hidden="1">{"CSC_1",#N/A,FALSE,"CSC Outputs";"CSC_2",#N/A,FALSE,"CSC Outputs"}</definedName>
    <definedName name="Print_CSC_Report_2" localSheetId="2" hidden="1">{"CSC_1",#N/A,FALSE,"CSC Outputs";"CSC_2",#N/A,FALSE,"CSC Outputs"}</definedName>
    <definedName name="Print_CSC_Report_2" localSheetId="18" hidden="1">{"CSC_1",#N/A,FALSE,"CSC Outputs";"CSC_2",#N/A,FALSE,"CSC Outputs"}</definedName>
    <definedName name="Print_CSC_Report_2" localSheetId="19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1" hidden="1">{"CSC_1",#N/A,FALSE,"CSC Outputs";"CSC_2",#N/A,FALSE,"CSC Outputs"}</definedName>
    <definedName name="Print_CSC_Report_3" localSheetId="2" hidden="1">{"CSC_1",#N/A,FALSE,"CSC Outputs";"CSC_2",#N/A,FALSE,"CSC Outputs"}</definedName>
    <definedName name="Print_CSC_Report_3" localSheetId="18" hidden="1">{"CSC_1",#N/A,FALSE,"CSC Outputs";"CSC_2",#N/A,FALSE,"CSC Outputs"}</definedName>
    <definedName name="Print_CSC_Report_3" localSheetId="19" hidden="1">{"CSC_1",#N/A,FALSE,"CSC Outputs";"CSC_2",#N/A,FALSE,"CSC Outputs"}</definedName>
    <definedName name="Print_CSC_Report_3" hidden="1">{"CSC_1",#N/A,FALSE,"CSC Outputs";"CSC_2",#N/A,FALSE,"CSC Outputs"}</definedName>
    <definedName name="ProfitBeforeDepreciation">#REF!</definedName>
    <definedName name="PropertyBookValue">#REF!</definedName>
    <definedName name="PropertyDomestic">#REF!</definedName>
    <definedName name="PropertyMarketValue">#REF!</definedName>
    <definedName name="PropertyOccupancy">#REF!</definedName>
    <definedName name="PropertyRentalArea">#REF!</definedName>
    <definedName name="PropertyYieldRequirement">#REF!</definedName>
    <definedName name="Q2Div">#REF!</definedName>
    <definedName name="Q2Group">#REF!</definedName>
    <definedName name="Q3Div">#REF!</definedName>
    <definedName name="Q3Group">#REF!</definedName>
    <definedName name="qq" localSheetId="1" hidden="1">{"Back Page",#N/A,FALSE,"Front and Back"}</definedName>
    <definedName name="qq" localSheetId="2" hidden="1">{"Back Page",#N/A,FALSE,"Front and Back"}</definedName>
    <definedName name="qq" localSheetId="18" hidden="1">{"Back Page",#N/A,FALSE,"Front and Back"}</definedName>
    <definedName name="qq" localSheetId="19" hidden="1">{"Back Page",#N/A,FALSE,"Front and Back"}</definedName>
    <definedName name="qq" hidden="1">{"Back Page",#N/A,FALSE,"Front and Back"}</definedName>
    <definedName name="qqqqqqqqqqqqqqqqqqqqqqq" localSheetId="1" hidden="1">{"Five Year Record",#N/A,FALSE,"Front and Back"}</definedName>
    <definedName name="qqqqqqqqqqqqqqqqqqqqqqq" localSheetId="2" hidden="1">{"Five Year Record",#N/A,FALSE,"Front and Back"}</definedName>
    <definedName name="qqqqqqqqqqqqqqqqqqqqqqq" localSheetId="18" hidden="1">{"Five Year Record",#N/A,FALSE,"Front and Back"}</definedName>
    <definedName name="qqqqqqqqqqqqqqqqqqqqqqq" localSheetId="19" hidden="1">{"Five Year Record",#N/A,FALSE,"Front and Back"}</definedName>
    <definedName name="qqqqqqqqqqqqqqqqqqqqqqq" hidden="1">{"Five Year Record",#N/A,FALSE,"Front and Back"}</definedName>
    <definedName name="qqqqqqqqqqqqqqqqqqqqqqqqqqq" localSheetId="1" hidden="1">{"Front Page",#N/A,FALSE,"Front and Back"}</definedName>
    <definedName name="qqqqqqqqqqqqqqqqqqqqqqqqqqq" localSheetId="2" hidden="1">{"Front Page",#N/A,FALSE,"Front and Back"}</definedName>
    <definedName name="qqqqqqqqqqqqqqqqqqqqqqqqqqq" localSheetId="18" hidden="1">{"Front Page",#N/A,FALSE,"Front and Back"}</definedName>
    <definedName name="qqqqqqqqqqqqqqqqqqqqqqqqqqq" localSheetId="19" hidden="1">{"Front Page",#N/A,FALSE,"Front and Back"}</definedName>
    <definedName name="qqqqqqqqqqqqqqqqqqqqqqqqqqq" hidden="1">{"Front Page",#N/A,FALSE,"Front and Back"}</definedName>
    <definedName name="qqqqqqqqqqqqqqqqqqqqqqqqqqqqqqqqq" localSheetId="1" hidden="1">{"Five Year Record",#N/A,FALSE,"Front and Back"}</definedName>
    <definedName name="qqqqqqqqqqqqqqqqqqqqqqqqqqqqqqqqq" localSheetId="2" hidden="1">{"Five Year Record",#N/A,FALSE,"Front and Back"}</definedName>
    <definedName name="qqqqqqqqqqqqqqqqqqqqqqqqqqqqqqqqq" localSheetId="18" hidden="1">{"Five Year Record",#N/A,FALSE,"Front and Back"}</definedName>
    <definedName name="qqqqqqqqqqqqqqqqqqqqqqqqqqqqqqqqq" localSheetId="19" hidden="1">{"Five Year Record",#N/A,FALSE,"Front and Back"}</definedName>
    <definedName name="qqqqqqqqqqqqqqqqqqqqqqqqqqqqqqqqq" hidden="1">{"Five Year Record",#N/A,FALSE,"Front and Back"}</definedName>
    <definedName name="qqqqqqqqqqqqqqqqqqqqqqqqqqqqqqqqqqq" localSheetId="1" hidden="1">{"Geographic P1",#N/A,FALSE,"Division &amp; Geog"}</definedName>
    <definedName name="qqqqqqqqqqqqqqqqqqqqqqqqqqqqqqqqqqq" localSheetId="2" hidden="1">{"Geographic P1",#N/A,FALSE,"Division &amp; Geog"}</definedName>
    <definedName name="qqqqqqqqqqqqqqqqqqqqqqqqqqqqqqqqqqq" localSheetId="18" hidden="1">{"Geographic P1",#N/A,FALSE,"Division &amp; Geog"}</definedName>
    <definedName name="qqqqqqqqqqqqqqqqqqqqqqqqqqqqqqqqqqq" localSheetId="19" hidden="1">{"Geographic P1",#N/A,FALSE,"Division &amp; Geog"}</definedName>
    <definedName name="qqqqqqqqqqqqqqqqqqqqqqqqqqqqqqqqqqq" hidden="1">{"Geographic P1",#N/A,FALSE,"Division &amp; Geog"}</definedName>
    <definedName name="qqqqqqqqqqqqqqqqqqqqqqqqqqqqqqqqqqqq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localSheetId="1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localSheetId="19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uickRatio">#REF!</definedName>
    <definedName name="Quicky">#REF!</definedName>
    <definedName name="Recommendation">#REF!</definedName>
    <definedName name="RecommendationDate">#REF!</definedName>
    <definedName name="RecommendationText">#REF!</definedName>
    <definedName name="RelLocalMarket12m">#REF!</definedName>
    <definedName name="RelLocalMarket1m">#REF!</definedName>
    <definedName name="RelLocalMarket3m">#REF!</definedName>
    <definedName name="RelLocalMarketId">#REF!</definedName>
    <definedName name="RelLocalMarketName">#REF!</definedName>
    <definedName name="RelRegionalMarket12m">#REF!</definedName>
    <definedName name="RelRegionalMarket1m">#REF!</definedName>
    <definedName name="RelRegionalMarket3m">#REF!</definedName>
    <definedName name="RelRegionalMarketId">#REF!</definedName>
    <definedName name="RelSector12m">#REF!</definedName>
    <definedName name="RelSector1m">#REF!</definedName>
    <definedName name="RelSector3m">#REF!</definedName>
    <definedName name="RelSectorMarketId">#REF!</definedName>
    <definedName name="rename_of_wrn.CSC" localSheetId="1" hidden="1">{"page1",#N/A,TRUE,"CSC";"page2",#N/A,TRUE,"CSC"}</definedName>
    <definedName name="rename_of_wrn.CSC" localSheetId="2" hidden="1">{"page1",#N/A,TRUE,"CSC";"page2",#N/A,TRUE,"CSC"}</definedName>
    <definedName name="rename_of_wrn.CSC" localSheetId="18" hidden="1">{"page1",#N/A,TRUE,"CSC";"page2",#N/A,TRUE,"CSC"}</definedName>
    <definedName name="rename_of_wrn.CSC" localSheetId="19" hidden="1">{"page1",#N/A,TRUE,"CSC";"page2",#N/A,TRUE,"CSC"}</definedName>
    <definedName name="rename_of_wrn.CSC" hidden="1">{"page1",#N/A,TRUE,"CSC";"page2",#N/A,TRUE,"CSC"}</definedName>
    <definedName name="RepEps">#REF!</definedName>
    <definedName name="reqdetails" localSheetId="2">#REF!</definedName>
    <definedName name="reqdetails">#REF!</definedName>
    <definedName name="ResearchDevelopment">#REF!</definedName>
    <definedName name="ResearchDevelopmentMarketing">#REF!</definedName>
    <definedName name="RetainedEarnings">#REF!</definedName>
    <definedName name="ReuterCode">#REF!</definedName>
    <definedName name="RoA">#REF!</definedName>
    <definedName name="RoCE">#REF!</definedName>
    <definedName name="RoE">#REF!</definedName>
    <definedName name="rrrrrrrrrrrrrrrrrrrrrr" localSheetId="1" hidden="1">{"Back Page",#N/A,FALSE,"Front and Back"}</definedName>
    <definedName name="rrrrrrrrrrrrrrrrrrrrrr" localSheetId="2" hidden="1">{"Back Page",#N/A,FALSE,"Front and Back"}</definedName>
    <definedName name="rrrrrrrrrrrrrrrrrrrrrr" localSheetId="18" hidden="1">{"Back Page",#N/A,FALSE,"Front and Back"}</definedName>
    <definedName name="rrrrrrrrrrrrrrrrrrrrrr" localSheetId="19" hidden="1">{"Back Page",#N/A,FALSE,"Front and Back"}</definedName>
    <definedName name="rrrrrrrrrrrrrrrrrrrrrr" hidden="1">{"Back Page",#N/A,FALSE,"Front and Back"}</definedName>
    <definedName name="s" localSheetId="2">#REF!</definedName>
    <definedName name="s" localSheetId="14">#REF!</definedName>
    <definedName name="s" localSheetId="18">#REF!</definedName>
    <definedName name="s">#REF!</definedName>
    <definedName name="sales08">#REF!</definedName>
    <definedName name="sales09">#REF!</definedName>
    <definedName name="sales10">#REF!</definedName>
    <definedName name="SalesAssetsRatio">#REF!</definedName>
    <definedName name="Schedule" localSheetId="2">#REF!</definedName>
    <definedName name="Schedule">#REF!</definedName>
    <definedName name="SecondaryInstrumentId">#REF!</definedName>
    <definedName name="SectorIndexLabel">#REF!</definedName>
    <definedName name="SectorIndexName">#REF!</definedName>
    <definedName name="SectorIndexYear">#REF!</definedName>
    <definedName name="SectorIndexYearRebased">#REF!</definedName>
    <definedName name="SecuritiesPerAccountAvg">#REF!</definedName>
    <definedName name="SelCompanyID">#REF!</definedName>
    <definedName name="SelCurrency">#REF!</definedName>
    <definedName name="SelCurrencyM">#REF!</definedName>
    <definedName name="Setup" localSheetId="2">#REF!</definedName>
    <definedName name="Setup">#REF!</definedName>
    <definedName name="sFormat" localSheetId="2">#REF!</definedName>
    <definedName name="sFormat">#REF!</definedName>
    <definedName name="sFreq" localSheetId="2">#REF!</definedName>
    <definedName name="sFreq">#REF!</definedName>
    <definedName name="sgdzhet" localSheetId="1" hidden="1">{"subs",#N/A,FALSE,"database ";"proportional",#N/A,FALSE,"database "}</definedName>
    <definedName name="sgdzhet" localSheetId="2" hidden="1">{"subs",#N/A,FALSE,"database ";"proportional",#N/A,FALSE,"database "}</definedName>
    <definedName name="sgdzhet" localSheetId="18" hidden="1">{"subs",#N/A,FALSE,"database ";"proportional",#N/A,FALSE,"database "}</definedName>
    <definedName name="sgdzhet" localSheetId="19" hidden="1">{"subs",#N/A,FALSE,"database ";"proportional",#N/A,FALSE,"database "}</definedName>
    <definedName name="sgdzhet" hidden="1">{"subs",#N/A,FALSE,"database ";"proportional",#N/A,FALSE,"database "}</definedName>
    <definedName name="ShareCapital">#REF!</definedName>
    <definedName name="ShareHolder1">#REF!</definedName>
    <definedName name="ShareHolder2">#REF!</definedName>
    <definedName name="ShareHolder3">#REF!</definedName>
    <definedName name="ShareholderForeignShares">#REF!</definedName>
    <definedName name="ShareholderForeignVotes">#REF!</definedName>
    <definedName name="ShareholdersEquity">#REF!</definedName>
    <definedName name="ShareIssue">#REF!</definedName>
    <definedName name="sheet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sheet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sheet" localSheetId="18" hidden="1">{"Assumptions1",#N/A,FALSE,"Assumptions";"MergerPlans1","20yearamort",FALSE,"MergerPlans";"MergerPlans1","40yearamort",FALSE,"MergerPlans";"MergerPlans2",#N/A,FALSE,"MergerPlans";"inputs",#N/A,FALSE,"MergerPlans"}</definedName>
    <definedName name="sheet" localSheetId="19" hidden="1">{"Assumptions1",#N/A,FALSE,"Assumptions";"MergerPlans1","20yearamort",FALSE,"MergerPlans";"MergerPlans1","40yearamort",FALSE,"MergerPlans";"MergerPlans2",#N/A,FALSE,"MergerPlans";"inputs",#N/A,FALSE,"MergerPlans"}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ortTermInterestBearingDebt">#REF!</definedName>
    <definedName name="ShOut">#REF!</definedName>
    <definedName name="ShowDetails" localSheetId="2">#REF!</definedName>
    <definedName name="ShowDetails">#REF!</definedName>
    <definedName name="SmallCap">#REF!</definedName>
    <definedName name="SmallCapCase">#REF!</definedName>
    <definedName name="SmallCapConcern">#REF!</definedName>
    <definedName name="SmallCapValuation">#REF!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Source">#REF!</definedName>
    <definedName name="srn" localSheetId="1" hidden="1">{"ANNUAL",#N/A,FALSE,"DDCLINK";"DDC94",#N/A,FALSE,"DDCLINK"}</definedName>
    <definedName name="srn" localSheetId="2" hidden="1">{"ANNUAL",#N/A,FALSE,"DDCLINK";"DDC94",#N/A,FALSE,"DDCLINK"}</definedName>
    <definedName name="srn" localSheetId="18" hidden="1">{"ANNUAL",#N/A,FALSE,"DDCLINK";"DDC94",#N/A,FALSE,"DDCLINK"}</definedName>
    <definedName name="srn" localSheetId="19" hidden="1">{"ANNUAL",#N/A,FALSE,"DDCLINK";"DDC94",#N/A,FALSE,"DDCLINK"}</definedName>
    <definedName name="srn" hidden="1">{"ANNUAL",#N/A,FALSE,"DDCLINK";"DDC94",#N/A,FALSE,"DDCLINK"}</definedName>
    <definedName name="ss" localSheetId="1" hidden="1">{"P and L",#N/A,FALSE,"Financial Output";"Cashflow",#N/A,FALSE,"Financial Output";"Balance Sheet",#N/A,FALSE,"Financial Output"}</definedName>
    <definedName name="ss" localSheetId="2" hidden="1">{"P and L",#N/A,FALSE,"Financial Output";"Cashflow",#N/A,FALSE,"Financial Output";"Balance Sheet",#N/A,FALSE,"Financial Output"}</definedName>
    <definedName name="ss" localSheetId="18" hidden="1">{"P and L",#N/A,FALSE,"Financial Output";"Cashflow",#N/A,FALSE,"Financial Output";"Balance Sheet",#N/A,FALSE,"Financial Output"}</definedName>
    <definedName name="ss" localSheetId="19" hidden="1">{"P and L",#N/A,FALSE,"Financial Output";"Cashflow",#N/A,FALSE,"Financial Output";"Balance Sheet",#N/A,FALSE,"Financial Output"}</definedName>
    <definedName name="ss" hidden="1">{"P and L",#N/A,FALSE,"Financial Output";"Cashflow",#N/A,FALSE,"Financial Output";"Balance Sheet",#N/A,FALSE,"Financial Output"}</definedName>
    <definedName name="ssss" localSheetId="1" hidden="1">{"P and L Detail Page 1",#N/A,FALSE,"Data";"P and L Detail Page 2",#N/A,FALSE,"Data"}</definedName>
    <definedName name="ssss" localSheetId="2" hidden="1">{"P and L Detail Page 1",#N/A,FALSE,"Data";"P and L Detail Page 2",#N/A,FALSE,"Data"}</definedName>
    <definedName name="ssss" localSheetId="18" hidden="1">{"P and L Detail Page 1",#N/A,FALSE,"Data";"P and L Detail Page 2",#N/A,FALSE,"Data"}</definedName>
    <definedName name="ssss" localSheetId="19" hidden="1">{"P and L Detail Page 1",#N/A,FALSE,"Data";"P and L Detail Page 2",#N/A,FALSE,"Data"}</definedName>
    <definedName name="ssss" hidden="1">{"P and L Detail Page 1",#N/A,FALSE,"Data";"P and L Detail Page 2",#N/A,FALSE,"Data"}</definedName>
    <definedName name="sssss" localSheetId="1" hidden="1">{"Five Year Record",#N/A,FALSE,"Front and Back"}</definedName>
    <definedName name="sssss" localSheetId="2" hidden="1">{"Five Year Record",#N/A,FALSE,"Front and Back"}</definedName>
    <definedName name="sssss" localSheetId="18" hidden="1">{"Five Year Record",#N/A,FALSE,"Front and Back"}</definedName>
    <definedName name="sssss" localSheetId="19" hidden="1">{"Five Year Record",#N/A,FALSE,"Front and Back"}</definedName>
    <definedName name="sssss" hidden="1">{"Five Year Record",#N/A,FALSE,"Front and Back"}</definedName>
    <definedName name="sTopic" localSheetId="2">#REF!</definedName>
    <definedName name="sTopic">#REF!</definedName>
    <definedName name="sYesNo" localSheetId="2">#REF!</definedName>
    <definedName name="sYesNo">#REF!</definedName>
    <definedName name="Table" localSheetId="2">#REF!</definedName>
    <definedName name="Table">#REF!</definedName>
    <definedName name="TableName" localSheetId="2">#REF!</definedName>
    <definedName name="TableName">#REF!</definedName>
    <definedName name="TaxDeferred">#REF!</definedName>
    <definedName name="TaxesOnExtraOrdinaryItems">#REF!</definedName>
    <definedName name="TaxGainsSaleFixedAssets">#REF!</definedName>
    <definedName name="TaxPaidPretaxPct">#REF!</definedName>
    <definedName name="TaxPaidPretaxProfit">#REF!</definedName>
    <definedName name="test" localSheetId="1" hidden="1">{#N/A,#N/A,FALSE,"F_Plan";#N/A,#N/A,FALSE,"Parameter"}</definedName>
    <definedName name="test" localSheetId="2" hidden="1">{#N/A,#N/A,FALSE,"F_Plan";#N/A,#N/A,FALSE,"Parameter"}</definedName>
    <definedName name="test" localSheetId="18" hidden="1">{#N/A,#N/A,FALSE,"F_Plan";#N/A,#N/A,FALSE,"Parameter"}</definedName>
    <definedName name="test" localSheetId="19" hidden="1">{#N/A,#N/A,FALSE,"F_Plan";#N/A,#N/A,FALSE,"Parameter"}</definedName>
    <definedName name="test" hidden="1">{#N/A,#N/A,FALSE,"F_Plan";#N/A,#N/A,FALSE,"Parameter"}</definedName>
    <definedName name="test1" localSheetId="1" hidden="1">{#N/A,#N/A,FALSE,"Umsatz";#N/A,#N/A,FALSE,"Base V.02";#N/A,#N/A,FALSE,"Charts"}</definedName>
    <definedName name="test1" localSheetId="2" hidden="1">{#N/A,#N/A,FALSE,"Umsatz";#N/A,#N/A,FALSE,"Base V.02";#N/A,#N/A,FALSE,"Charts"}</definedName>
    <definedName name="test1" localSheetId="18" hidden="1">{#N/A,#N/A,FALSE,"Umsatz";#N/A,#N/A,FALSE,"Base V.02";#N/A,#N/A,FALSE,"Charts"}</definedName>
    <definedName name="test1" localSheetId="19" hidden="1">{#N/A,#N/A,FALSE,"Umsatz";#N/A,#N/A,FALSE,"Base V.02";#N/A,#N/A,FALSE,"Charts"}</definedName>
    <definedName name="test1" hidden="1">{#N/A,#N/A,FALSE,"Umsatz";#N/A,#N/A,FALSE,"Base V.02";#N/A,#N/A,FALSE,"Charts"}</definedName>
    <definedName name="test2" localSheetId="1" hidden="1">{#N/A,#N/A,FALSE,"F_Plan";#N/A,#N/A,FALSE,"Parameter"}</definedName>
    <definedName name="test2" localSheetId="2" hidden="1">{#N/A,#N/A,FALSE,"F_Plan";#N/A,#N/A,FALSE,"Parameter"}</definedName>
    <definedName name="test2" localSheetId="18" hidden="1">{#N/A,#N/A,FALSE,"F_Plan";#N/A,#N/A,FALSE,"Parameter"}</definedName>
    <definedName name="test2" localSheetId="19" hidden="1">{#N/A,#N/A,FALSE,"F_Plan";#N/A,#N/A,FALSE,"Parameter"}</definedName>
    <definedName name="test2" hidden="1">{#N/A,#N/A,FALSE,"F_Plan";#N/A,#N/A,FALSE,"Parameter"}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18" hidden="1">{#N/A,#N/A,FALSE,"F_Plan";#N/A,#N/A,FALSE,"Parameter"}</definedName>
    <definedName name="tests" localSheetId="19" hidden="1">{#N/A,#N/A,FALSE,"F_Plan";#N/A,#N/A,FALSE,"Parameter"}</definedName>
    <definedName name="tests" hidden="1">{#N/A,#N/A,FALSE,"F_Plan";#N/A,#N/A,FALSE,"Parameter"}</definedName>
    <definedName name="Ticker">#REF!</definedName>
    <definedName name="Tigr_Exhibit028fd485_1b37_4ed8_94ed_7f18a8c0d292" hidden="1">#REF!</definedName>
    <definedName name="Tigr_Exhibit0302f456_530f_4ef8_8984_f86b24b9b0b7" localSheetId="17" hidden="1">#REF!</definedName>
    <definedName name="Tigr_Exhibit0302f456_530f_4ef8_8984_f86b24b9b0b7" localSheetId="14" hidden="1">#REF!</definedName>
    <definedName name="Tigr_Exhibit0302f456_530f_4ef8_8984_f86b24b9b0b7" localSheetId="18" hidden="1">#REF!</definedName>
    <definedName name="Tigr_Exhibit0302f456_530f_4ef8_8984_f86b24b9b0b7" localSheetId="19" hidden="1">#REF!</definedName>
    <definedName name="Tigr_Exhibit0302f456_530f_4ef8_8984_f86b24b9b0b7" hidden="1">#REF!</definedName>
    <definedName name="Tigr_Exhibit03e85314_b577_47f1_b03b_8d0a2ccbf72b" hidden="1">#REF!</definedName>
    <definedName name="Tigr_Exhibit04805e19_8560_4010_a0ca_6abb08205f64" hidden="1">#REF!</definedName>
    <definedName name="Tigr_Exhibit050fd584_e8ca_47ab_ae23_57a1f658e02c" localSheetId="1" hidden="1">#REF!</definedName>
    <definedName name="Tigr_Exhibit050fd584_e8ca_47ab_ae23_57a1f658e02c" localSheetId="17" hidden="1">#REF!</definedName>
    <definedName name="Tigr_Exhibit050fd584_e8ca_47ab_ae23_57a1f658e02c" localSheetId="14" hidden="1">#REF!</definedName>
    <definedName name="Tigr_Exhibit050fd584_e8ca_47ab_ae23_57a1f658e02c" localSheetId="18" hidden="1">#REF!</definedName>
    <definedName name="Tigr_Exhibit050fd584_e8ca_47ab_ae23_57a1f658e02c" localSheetId="19" hidden="1">#REF!</definedName>
    <definedName name="Tigr_Exhibit050fd584_e8ca_47ab_ae23_57a1f658e02c" hidden="1">#REF!</definedName>
    <definedName name="Tigr_Exhibit063f96a7_334f_4945_97c7_03923e8395ce" localSheetId="17" hidden="1">#REF!</definedName>
    <definedName name="Tigr_Exhibit063f96a7_334f_4945_97c7_03923e8395ce" localSheetId="14" hidden="1">#REF!</definedName>
    <definedName name="Tigr_Exhibit063f96a7_334f_4945_97c7_03923e8395ce" localSheetId="18" hidden="1">#REF!</definedName>
    <definedName name="Tigr_Exhibit063f96a7_334f_4945_97c7_03923e8395ce" localSheetId="19" hidden="1">#REF!</definedName>
    <definedName name="Tigr_Exhibit063f96a7_334f_4945_97c7_03923e8395ce" hidden="1">#REF!</definedName>
    <definedName name="Tigr_Exhibit09597f33_8561_499d_8acb_c72ef56920f4" hidden="1">#REF!</definedName>
    <definedName name="Tigr_Exhibit097fdbb8_5c7c_490d_b9d7_e070d19008a8" hidden="1">#REF!</definedName>
    <definedName name="Tigr_Exhibit09f1f5bc_aee1_4228_9933_527dd7fd7ce3" hidden="1">#REF!</definedName>
    <definedName name="Tigr_Exhibit0b694bdd_badd_4799_8184_81f693e5888a" hidden="1">#REF!</definedName>
    <definedName name="Tigr_Exhibit0e9d861a_b6b6_495d_ae68_c705d6ee5a03" localSheetId="1" hidden="1">#REF!</definedName>
    <definedName name="Tigr_Exhibit0e9d861a_b6b6_495d_ae68_c705d6ee5a03" localSheetId="17" hidden="1">#REF!</definedName>
    <definedName name="Tigr_Exhibit0e9d861a_b6b6_495d_ae68_c705d6ee5a03" localSheetId="14" hidden="1">#REF!</definedName>
    <definedName name="Tigr_Exhibit0e9d861a_b6b6_495d_ae68_c705d6ee5a03" localSheetId="18" hidden="1">#REF!</definedName>
    <definedName name="Tigr_Exhibit0e9d861a_b6b6_495d_ae68_c705d6ee5a03" localSheetId="19" hidden="1">#REF!</definedName>
    <definedName name="Tigr_Exhibit0e9d861a_b6b6_495d_ae68_c705d6ee5a03" hidden="1">#REF!</definedName>
    <definedName name="Tigr_Exhibit0ed84a30_2dca_4d40_9efa_69cf4f557e31" hidden="1">#REF!</definedName>
    <definedName name="Tigr_Exhibit1592cba0_95d7_4860_977f_015d79f5d963" localSheetId="1" hidden="1">#REF!</definedName>
    <definedName name="Tigr_Exhibit1592cba0_95d7_4860_977f_015d79f5d963" localSheetId="17" hidden="1">#REF!</definedName>
    <definedName name="Tigr_Exhibit1592cba0_95d7_4860_977f_015d79f5d963" localSheetId="14" hidden="1">#REF!</definedName>
    <definedName name="Tigr_Exhibit1592cba0_95d7_4860_977f_015d79f5d963" localSheetId="18" hidden="1">#REF!</definedName>
    <definedName name="Tigr_Exhibit1592cba0_95d7_4860_977f_015d79f5d963" localSheetId="19" hidden="1">#REF!</definedName>
    <definedName name="Tigr_Exhibit1592cba0_95d7_4860_977f_015d79f5d963" hidden="1">#REF!</definedName>
    <definedName name="Tigr_Exhibit15e41a17_7e94_4a1a_9745_5dc864514687" hidden="1">#REF!</definedName>
    <definedName name="Tigr_Exhibit17d573a6_1102_4560_8af9_6700e9d29bb8" localSheetId="17" hidden="1">#REF!</definedName>
    <definedName name="Tigr_Exhibit17d573a6_1102_4560_8af9_6700e9d29bb8" localSheetId="14" hidden="1">#REF!</definedName>
    <definedName name="Tigr_Exhibit17d573a6_1102_4560_8af9_6700e9d29bb8" localSheetId="18" hidden="1">#REF!</definedName>
    <definedName name="Tigr_Exhibit17d573a6_1102_4560_8af9_6700e9d29bb8" hidden="1">#REF!</definedName>
    <definedName name="Tigr_Exhibit17e90fe5_1003_4e49_b175_9de4cf2aa39a" hidden="1">#REF!</definedName>
    <definedName name="Tigr_Exhibit1a517a42_ff67_4be2_b8ac_e1bc4a03d9bc" hidden="1">#REF!</definedName>
    <definedName name="Tigr_Exhibit1a6b11e0_120d_490f_b3c8_0450ecc77ebd" localSheetId="1" hidden="1">#REF!</definedName>
    <definedName name="Tigr_Exhibit1a6b11e0_120d_490f_b3c8_0450ecc77ebd" localSheetId="17" hidden="1">#REF!</definedName>
    <definedName name="Tigr_Exhibit1a6b11e0_120d_490f_b3c8_0450ecc77ebd" localSheetId="14" hidden="1">#REF!</definedName>
    <definedName name="Tigr_Exhibit1a6b11e0_120d_490f_b3c8_0450ecc77ebd" localSheetId="18" hidden="1">#REF!</definedName>
    <definedName name="Tigr_Exhibit1a6b11e0_120d_490f_b3c8_0450ecc77ebd" localSheetId="19" hidden="1">#REF!</definedName>
    <definedName name="Tigr_Exhibit1a6b11e0_120d_490f_b3c8_0450ecc77ebd" hidden="1">#REF!</definedName>
    <definedName name="Tigr_Exhibit1fa97c00_6612_442e_afee_cec6ea87b26a" localSheetId="17" hidden="1">#REF!</definedName>
    <definedName name="Tigr_Exhibit1fa97c00_6612_442e_afee_cec6ea87b26a" localSheetId="14" hidden="1">#REF!</definedName>
    <definedName name="Tigr_Exhibit1fa97c00_6612_442e_afee_cec6ea87b26a" localSheetId="18" hidden="1">#REF!</definedName>
    <definedName name="Tigr_Exhibit1fa97c00_6612_442e_afee_cec6ea87b26a" localSheetId="19" hidden="1">#REF!</definedName>
    <definedName name="Tigr_Exhibit1fa97c00_6612_442e_afee_cec6ea87b26a" hidden="1">#REF!</definedName>
    <definedName name="Tigr_Exhibit1ffcbdf4_472a_4079_ad6e_d7e2f6a085e7" hidden="1">#REF!</definedName>
    <definedName name="Tigr_Exhibit209e2849_c935_48b0_b81d_228692de2793" hidden="1">#REF!</definedName>
    <definedName name="Tigr_Exhibit23bf0673_f652_43ad_a270_062203b1d569" localSheetId="17" hidden="1">#REF!</definedName>
    <definedName name="Tigr_Exhibit23bf0673_f652_43ad_a270_062203b1d569" localSheetId="14" hidden="1">#REF!</definedName>
    <definedName name="Tigr_Exhibit23bf0673_f652_43ad_a270_062203b1d569" localSheetId="18" hidden="1">#REF!</definedName>
    <definedName name="Tigr_Exhibit23bf0673_f652_43ad_a270_062203b1d569" localSheetId="19" hidden="1">#REF!</definedName>
    <definedName name="Tigr_Exhibit23bf0673_f652_43ad_a270_062203b1d569" hidden="1">#REF!</definedName>
    <definedName name="Tigr_Exhibit24935a98_a1a9_4463_80cb_47718b8b4da7" hidden="1">#REF!</definedName>
    <definedName name="Tigr_Exhibit293adbe7_ad59_42a2_9185_897e9fece8e4" localSheetId="2" hidden="1">#REF!</definedName>
    <definedName name="Tigr_Exhibit293adbe7_ad59_42a2_9185_897e9fece8e4" localSheetId="17" hidden="1">'GSe vs Consensus'!$A$1:$D$7</definedName>
    <definedName name="Tigr_Exhibit293adbe7_ad59_42a2_9185_897e9fece8e4" localSheetId="14" hidden="1">#REF!</definedName>
    <definedName name="Tigr_Exhibit293adbe7_ad59_42a2_9185_897e9fece8e4" localSheetId="18" hidden="1">#REF!</definedName>
    <definedName name="Tigr_Exhibit293adbe7_ad59_42a2_9185_897e9fece8e4" localSheetId="19" hidden="1">'Results table'!#REF!</definedName>
    <definedName name="Tigr_Exhibit293adbe7_ad59_42a2_9185_897e9fece8e4" hidden="1">#REF!</definedName>
    <definedName name="Tigr_Exhibit2a337612_4ae2_4738_96ce_fd04dc659b23" localSheetId="2" hidden="1">#REF!</definedName>
    <definedName name="Tigr_Exhibit2a337612_4ae2_4738_96ce_fd04dc659b23" localSheetId="17" hidden="1">'GSe vs Consensus'!$A$1:$A$7</definedName>
    <definedName name="Tigr_Exhibit2a337612_4ae2_4738_96ce_fd04dc659b23" localSheetId="14" hidden="1">#REF!</definedName>
    <definedName name="Tigr_Exhibit2a337612_4ae2_4738_96ce_fd04dc659b23" localSheetId="18" hidden="1">#REF!</definedName>
    <definedName name="Tigr_Exhibit2a337612_4ae2_4738_96ce_fd04dc659b23" localSheetId="19" hidden="1">'Results table'!#REF!</definedName>
    <definedName name="Tigr_Exhibit2a337612_4ae2_4738_96ce_fd04dc659b23" hidden="1">#REF!</definedName>
    <definedName name="Tigr_Exhibit2cb3c787_24d1_4df9_91db_fd0c414feb51" hidden="1">#REF!</definedName>
    <definedName name="Tigr_Exhibit2ec3c61e_440f_48f6_9c44_eb4d9f40ec75" localSheetId="1" hidden="1">#REF!</definedName>
    <definedName name="Tigr_Exhibit2ec3c61e_440f_48f6_9c44_eb4d9f40ec75" localSheetId="2" hidden="1">#REF!</definedName>
    <definedName name="Tigr_Exhibit2ec3c61e_440f_48f6_9c44_eb4d9f40ec75" localSheetId="17" hidden="1">#REF!</definedName>
    <definedName name="Tigr_Exhibit2ec3c61e_440f_48f6_9c44_eb4d9f40ec75" localSheetId="14" hidden="1">#REF!</definedName>
    <definedName name="Tigr_Exhibit2ec3c61e_440f_48f6_9c44_eb4d9f40ec75" localSheetId="18" hidden="1">#REF!</definedName>
    <definedName name="Tigr_Exhibit2ec3c61e_440f_48f6_9c44_eb4d9f40ec75" localSheetId="19" hidden="1">#REF!</definedName>
    <definedName name="Tigr_Exhibit2ec3c61e_440f_48f6_9c44_eb4d9f40ec75" hidden="1">#REF!</definedName>
    <definedName name="Tigr_Exhibit30ad66da_7ea6_4eb2_88b1_6d3332ad88ac" localSheetId="2" hidden="1">#REF!</definedName>
    <definedName name="Tigr_Exhibit30ad66da_7ea6_4eb2_88b1_6d3332ad88ac" hidden="1">#REF!</definedName>
    <definedName name="Tigr_Exhibit317c15d1_f414_4140_ae9a_4e7a6a024be2" hidden="1">#REF!</definedName>
    <definedName name="Tigr_Exhibit34dc2f38_4c33_4260_979b_b424762e3ebc" localSheetId="17" hidden="1">#REF!</definedName>
    <definedName name="Tigr_Exhibit34dc2f38_4c33_4260_979b_b424762e3ebc" localSheetId="14" hidden="1">#REF!</definedName>
    <definedName name="Tigr_Exhibit34dc2f38_4c33_4260_979b_b424762e3ebc" localSheetId="18" hidden="1">#REF!</definedName>
    <definedName name="Tigr_Exhibit34dc2f38_4c33_4260_979b_b424762e3ebc" localSheetId="19" hidden="1">#REF!</definedName>
    <definedName name="Tigr_Exhibit34dc2f38_4c33_4260_979b_b424762e3ebc" hidden="1">#REF!</definedName>
    <definedName name="Tigr_Exhibit3626858b_350d_4365_b976_97db8ae79acc" hidden="1">#REF!</definedName>
    <definedName name="Tigr_Exhibit377f7527_e4e0_4a67_915c_b4a232665db7" hidden="1">#REF!</definedName>
    <definedName name="Tigr_Exhibit396bf6ab_47f1_4aad_bea0_f3874c070d33" localSheetId="1" hidden="1">#REF!</definedName>
    <definedName name="Tigr_Exhibit396bf6ab_47f1_4aad_bea0_f3874c070d33" localSheetId="17" hidden="1">#REF!</definedName>
    <definedName name="Tigr_Exhibit396bf6ab_47f1_4aad_bea0_f3874c070d33" localSheetId="14" hidden="1">#REF!</definedName>
    <definedName name="Tigr_Exhibit396bf6ab_47f1_4aad_bea0_f3874c070d33" localSheetId="18" hidden="1">#REF!</definedName>
    <definedName name="Tigr_Exhibit396bf6ab_47f1_4aad_bea0_f3874c070d33" localSheetId="19" hidden="1">#REF!</definedName>
    <definedName name="Tigr_Exhibit396bf6ab_47f1_4aad_bea0_f3874c070d33" hidden="1">#REF!</definedName>
    <definedName name="Tigr_Exhibit3df4d20f_aeaf_4a27_a74e_9b3bc585b3fb" localSheetId="1" hidden="1">#REF!</definedName>
    <definedName name="Tigr_Exhibit3df4d20f_aeaf_4a27_a74e_9b3bc585b3fb" localSheetId="2" hidden="1">#REF!</definedName>
    <definedName name="Tigr_Exhibit3df4d20f_aeaf_4a27_a74e_9b3bc585b3fb" hidden="1">#REF!</definedName>
    <definedName name="Tigr_Exhibit405e0256_a402_4a56_9006_0d232e8d32ac" localSheetId="2" hidden="1">#REF!</definedName>
    <definedName name="Tigr_Exhibit405e0256_a402_4a56_9006_0d232e8d32ac" localSheetId="14" hidden="1">#REF!</definedName>
    <definedName name="Tigr_Exhibit405e0256_a402_4a56_9006_0d232e8d32ac" hidden="1">#REF!</definedName>
    <definedName name="Tigr_Exhibit4304deff_e9a9_4cb3_824d_9fc446610131" localSheetId="1" hidden="1">#REF!</definedName>
    <definedName name="Tigr_Exhibit4304deff_e9a9_4cb3_824d_9fc446610131" localSheetId="2" hidden="1">#REF!</definedName>
    <definedName name="Tigr_Exhibit4304deff_e9a9_4cb3_824d_9fc446610131" hidden="1">#REF!</definedName>
    <definedName name="Tigr_Exhibit46b4e7f3_ddac_4671_80f7_f21a5559b2b7" localSheetId="1" hidden="1">#REF!</definedName>
    <definedName name="Tigr_Exhibit46b4e7f3_ddac_4671_80f7_f21a5559b2b7" localSheetId="17" hidden="1">#REF!</definedName>
    <definedName name="Tigr_Exhibit46b4e7f3_ddac_4671_80f7_f21a5559b2b7" localSheetId="14" hidden="1">#REF!</definedName>
    <definedName name="Tigr_Exhibit46b4e7f3_ddac_4671_80f7_f21a5559b2b7" localSheetId="18" hidden="1">#REF!</definedName>
    <definedName name="Tigr_Exhibit46b4e7f3_ddac_4671_80f7_f21a5559b2b7" localSheetId="19" hidden="1">#REF!</definedName>
    <definedName name="Tigr_Exhibit46b4e7f3_ddac_4671_80f7_f21a5559b2b7" hidden="1">#REF!</definedName>
    <definedName name="Tigr_Exhibit477da07b_1624_4d5b_97be_a963c1717028" localSheetId="17" hidden="1">#REF!</definedName>
    <definedName name="Tigr_Exhibit477da07b_1624_4d5b_97be_a963c1717028" localSheetId="14" hidden="1">#REF!</definedName>
    <definedName name="Tigr_Exhibit477da07b_1624_4d5b_97be_a963c1717028" localSheetId="18" hidden="1">#REF!</definedName>
    <definedName name="Tigr_Exhibit477da07b_1624_4d5b_97be_a963c1717028" hidden="1">#REF!</definedName>
    <definedName name="Tigr_Exhibit48d7dc8b_e86c_4e9d_ad75_444680fa39b3" hidden="1">#REF!</definedName>
    <definedName name="Tigr_Exhibit4abe3947_f481_48e8_8305_81f5646672a5" hidden="1">#REF!</definedName>
    <definedName name="Tigr_Exhibit4c7545b8_bd03_450b_9c5d_8db7865f67ea" hidden="1">#REF!</definedName>
    <definedName name="Tigr_Exhibit4cae116d_a5d7_44d6_a808_8a2e3b3d17fe" hidden="1">#REF!</definedName>
    <definedName name="Tigr_Exhibit4db33ac6_9516_4942_af8f_de768bc47d36" hidden="1">#REF!</definedName>
    <definedName name="Tigr_Exhibit535b6e57_627d_42ca_ac0f_76ad78be5728" hidden="1">#REF!</definedName>
    <definedName name="Tigr_Exhibit546d557d_2ce9_4f5a_8d3a_a8e77a0e5240" localSheetId="2" hidden="1">#REF!</definedName>
    <definedName name="Tigr_Exhibit546d557d_2ce9_4f5a_8d3a_a8e77a0e5240" localSheetId="17" hidden="1">'GSe vs Consensus'!$A$1:$A$7</definedName>
    <definedName name="Tigr_Exhibit546d557d_2ce9_4f5a_8d3a_a8e77a0e5240" localSheetId="14" hidden="1">#REF!</definedName>
    <definedName name="Tigr_Exhibit546d557d_2ce9_4f5a_8d3a_a8e77a0e5240" localSheetId="18" hidden="1">#REF!</definedName>
    <definedName name="Tigr_Exhibit546d557d_2ce9_4f5a_8d3a_a8e77a0e5240" localSheetId="19" hidden="1">'Results table'!#REF!</definedName>
    <definedName name="Tigr_Exhibit546d557d_2ce9_4f5a_8d3a_a8e77a0e5240" hidden="1">#REF!</definedName>
    <definedName name="Tigr_Exhibit550877ef_218d_47e5_a2a8_afcf5d19760d" localSheetId="17" hidden="1">#REF!</definedName>
    <definedName name="Tigr_Exhibit550877ef_218d_47e5_a2a8_afcf5d19760d" localSheetId="14" hidden="1">#REF!</definedName>
    <definedName name="Tigr_Exhibit550877ef_218d_47e5_a2a8_afcf5d19760d" localSheetId="18" hidden="1">#REF!</definedName>
    <definedName name="Tigr_Exhibit550877ef_218d_47e5_a2a8_afcf5d19760d" localSheetId="19" hidden="1">#REF!</definedName>
    <definedName name="Tigr_Exhibit550877ef_218d_47e5_a2a8_afcf5d19760d" hidden="1">#REF!</definedName>
    <definedName name="Tigr_Exhibit5659d6d2_194d_46ed_be3d_52213b9857cc" localSheetId="1" hidden="1">#REF!</definedName>
    <definedName name="Tigr_Exhibit5659d6d2_194d_46ed_be3d_52213b9857cc" localSheetId="17" hidden="1">#REF!</definedName>
    <definedName name="Tigr_Exhibit5659d6d2_194d_46ed_be3d_52213b9857cc" localSheetId="14" hidden="1">#REF!</definedName>
    <definedName name="Tigr_Exhibit5659d6d2_194d_46ed_be3d_52213b9857cc" localSheetId="18" hidden="1">#REF!</definedName>
    <definedName name="Tigr_Exhibit5659d6d2_194d_46ed_be3d_52213b9857cc" localSheetId="19" hidden="1">#REF!</definedName>
    <definedName name="Tigr_Exhibit5659d6d2_194d_46ed_be3d_52213b9857cc" hidden="1">#REF!</definedName>
    <definedName name="Tigr_Exhibit57c26769_cd60_499e_ae76_ecbd4a1c0ac0" hidden="1">#REF!</definedName>
    <definedName name="Tigr_Exhibit595de645_fe0f_416e_aee1_1e83532a9046" hidden="1">#REF!</definedName>
    <definedName name="Tigr_Exhibit5b67c3e2_bfd9_4b00_bccc_a33be4bd5375" hidden="1">#REF!</definedName>
    <definedName name="Tigr_Exhibit5d670e05_6d1b_483a_9d66_a982bec79a8d" hidden="1">#REF!</definedName>
    <definedName name="Tigr_Exhibit5df8f6b8_68a3_42ea_91bf_e7fd67339081" localSheetId="17" hidden="1">#REF!</definedName>
    <definedName name="Tigr_Exhibit5df8f6b8_68a3_42ea_91bf_e7fd67339081" localSheetId="14" hidden="1">#REF!</definedName>
    <definedName name="Tigr_Exhibit5df8f6b8_68a3_42ea_91bf_e7fd67339081" localSheetId="18" hidden="1">#REF!</definedName>
    <definedName name="Tigr_Exhibit5df8f6b8_68a3_42ea_91bf_e7fd67339081" hidden="1">#REF!</definedName>
    <definedName name="Tigr_Exhibit6437d798_a4e1_433f_a04f_859606582a71" localSheetId="17" hidden="1">#REF!</definedName>
    <definedName name="Tigr_Exhibit6437d798_a4e1_433f_a04f_859606582a71" localSheetId="14" hidden="1">#REF!</definedName>
    <definedName name="Tigr_Exhibit6437d798_a4e1_433f_a04f_859606582a71" localSheetId="18" hidden="1">#REF!</definedName>
    <definedName name="Tigr_Exhibit6437d798_a4e1_433f_a04f_859606582a71" localSheetId="19" hidden="1">#REF!</definedName>
    <definedName name="Tigr_Exhibit6437d798_a4e1_433f_a04f_859606582a71" hidden="1">#REF!</definedName>
    <definedName name="Tigr_Exhibit6602a83c_d49b_464a_96c0_75ec4b57dfd4" localSheetId="17" hidden="1">#REF!</definedName>
    <definedName name="Tigr_Exhibit6602a83c_d49b_464a_96c0_75ec4b57dfd4" localSheetId="14" hidden="1">#REF!</definedName>
    <definedName name="Tigr_Exhibit6602a83c_d49b_464a_96c0_75ec4b57dfd4" localSheetId="18" hidden="1">#REF!</definedName>
    <definedName name="Tigr_Exhibit6602a83c_d49b_464a_96c0_75ec4b57dfd4" localSheetId="19" hidden="1">#REF!</definedName>
    <definedName name="Tigr_Exhibit6602a83c_d49b_464a_96c0_75ec4b57dfd4" hidden="1">#REF!</definedName>
    <definedName name="Tigr_Exhibit6ada990e_00f4_4290_bbc2_ef95cd7730de" localSheetId="2" hidden="1">#REF!</definedName>
    <definedName name="Tigr_Exhibit6ada990e_00f4_4290_bbc2_ef95cd7730de" localSheetId="17" hidden="1">'GSe vs Consensus'!$A$1:$A$7</definedName>
    <definedName name="Tigr_Exhibit6ada990e_00f4_4290_bbc2_ef95cd7730de" localSheetId="14" hidden="1">#REF!</definedName>
    <definedName name="Tigr_Exhibit6ada990e_00f4_4290_bbc2_ef95cd7730de" localSheetId="18" hidden="1">#REF!</definedName>
    <definedName name="Tigr_Exhibit6ada990e_00f4_4290_bbc2_ef95cd7730de" localSheetId="19" hidden="1">'Results table'!#REF!</definedName>
    <definedName name="Tigr_Exhibit6ada990e_00f4_4290_bbc2_ef95cd7730de" hidden="1">#REF!</definedName>
    <definedName name="Tigr_Exhibit6cd3de4b_b469_4b55_b723_45ba1e0164e3" localSheetId="17" hidden="1">#REF!</definedName>
    <definedName name="Tigr_Exhibit6cd3de4b_b469_4b55_b723_45ba1e0164e3" localSheetId="14" hidden="1">#REF!</definedName>
    <definedName name="Tigr_Exhibit6cd3de4b_b469_4b55_b723_45ba1e0164e3" localSheetId="18" hidden="1">#REF!</definedName>
    <definedName name="Tigr_Exhibit6cd3de4b_b469_4b55_b723_45ba1e0164e3" localSheetId="19" hidden="1">#REF!</definedName>
    <definedName name="Tigr_Exhibit6cd3de4b_b469_4b55_b723_45ba1e0164e3" hidden="1">#REF!</definedName>
    <definedName name="Tigr_Exhibit6d4464e8_ca77_471a_abe8_ac475a62d563" localSheetId="17" hidden="1">#REF!</definedName>
    <definedName name="Tigr_Exhibit6d4464e8_ca77_471a_abe8_ac475a62d563" localSheetId="14" hidden="1">#REF!</definedName>
    <definedName name="Tigr_Exhibit6d4464e8_ca77_471a_abe8_ac475a62d563" localSheetId="18" hidden="1">#REF!</definedName>
    <definedName name="Tigr_Exhibit6d4464e8_ca77_471a_abe8_ac475a62d563" localSheetId="19" hidden="1">#REF!</definedName>
    <definedName name="Tigr_Exhibit6d4464e8_ca77_471a_abe8_ac475a62d563" hidden="1">#REF!</definedName>
    <definedName name="Tigr_Exhibit6f81e85d_c595_44ce_8fa0_410f55673137" hidden="1">#REF!</definedName>
    <definedName name="Tigr_Exhibit7186ff81_b55e_4959_a429_5e5aaff48371" localSheetId="1" hidden="1">#REF!</definedName>
    <definedName name="Tigr_Exhibit7186ff81_b55e_4959_a429_5e5aaff48371" localSheetId="17" hidden="1">#REF!</definedName>
    <definedName name="Tigr_Exhibit7186ff81_b55e_4959_a429_5e5aaff48371" localSheetId="14" hidden="1">#REF!</definedName>
    <definedName name="Tigr_Exhibit7186ff81_b55e_4959_a429_5e5aaff48371" localSheetId="18" hidden="1">#REF!</definedName>
    <definedName name="Tigr_Exhibit7186ff81_b55e_4959_a429_5e5aaff48371" localSheetId="19" hidden="1">#REF!</definedName>
    <definedName name="Tigr_Exhibit7186ff81_b55e_4959_a429_5e5aaff48371" hidden="1">#REF!</definedName>
    <definedName name="Tigr_Exhibit730381d1_af67_4f3d_8c70_e3fc04144df1" localSheetId="2" hidden="1">#REF!</definedName>
    <definedName name="Tigr_Exhibit730381d1_af67_4f3d_8c70_e3fc04144df1" localSheetId="17" hidden="1">'GSe vs Consensus'!$A$1:$D$7</definedName>
    <definedName name="Tigr_Exhibit730381d1_af67_4f3d_8c70_e3fc04144df1" localSheetId="14" hidden="1">#REF!</definedName>
    <definedName name="Tigr_Exhibit730381d1_af67_4f3d_8c70_e3fc04144df1" localSheetId="18" hidden="1">#REF!</definedName>
    <definedName name="Tigr_Exhibit730381d1_af67_4f3d_8c70_e3fc04144df1" localSheetId="19" hidden="1">'Results table'!#REF!</definedName>
    <definedName name="Tigr_Exhibit730381d1_af67_4f3d_8c70_e3fc04144df1" hidden="1">#REF!</definedName>
    <definedName name="Tigr_Exhibit7375ce11_d828_40b2_bcc9_dc8bd0a4fcb9" hidden="1">#REF!</definedName>
    <definedName name="Tigr_Exhibit7483c271_a804_404c_b9bf_8a2e94a69e12" localSheetId="1" hidden="1">#REF!</definedName>
    <definedName name="Tigr_Exhibit7483c271_a804_404c_b9bf_8a2e94a69e12" localSheetId="2" hidden="1">#REF!</definedName>
    <definedName name="Tigr_Exhibit7483c271_a804_404c_b9bf_8a2e94a69e12" hidden="1">#REF!</definedName>
    <definedName name="Tigr_Exhibit7606bc5c_f844_40e5_b2b5_a5bd50765b2c" localSheetId="17" hidden="1">#REF!</definedName>
    <definedName name="Tigr_Exhibit7606bc5c_f844_40e5_b2b5_a5bd50765b2c" localSheetId="14" hidden="1">#REF!</definedName>
    <definedName name="Tigr_Exhibit7606bc5c_f844_40e5_b2b5_a5bd50765b2c" localSheetId="18" hidden="1">#REF!</definedName>
    <definedName name="Tigr_Exhibit7606bc5c_f844_40e5_b2b5_a5bd50765b2c" localSheetId="19" hidden="1">#REF!</definedName>
    <definedName name="Tigr_Exhibit7606bc5c_f844_40e5_b2b5_a5bd50765b2c" hidden="1">#REF!</definedName>
    <definedName name="Tigr_Exhibit77e97a30_fb34_4e07_9622_bb28c086f806" localSheetId="1" hidden="1">#REF!</definedName>
    <definedName name="Tigr_Exhibit77e97a30_fb34_4e07_9622_bb28c086f806" localSheetId="2" hidden="1">#REF!</definedName>
    <definedName name="Tigr_Exhibit77e97a30_fb34_4e07_9622_bb28c086f806" hidden="1">#REF!</definedName>
    <definedName name="Tigr_Exhibit7a26ff5a_c113_4611_8089_040b40c50b28" localSheetId="1" hidden="1">#REF!</definedName>
    <definedName name="Tigr_Exhibit7a26ff5a_c113_4611_8089_040b40c50b28" localSheetId="17" hidden="1">#REF!</definedName>
    <definedName name="Tigr_Exhibit7a26ff5a_c113_4611_8089_040b40c50b28" localSheetId="14" hidden="1">#REF!</definedName>
    <definedName name="Tigr_Exhibit7a26ff5a_c113_4611_8089_040b40c50b28" localSheetId="18" hidden="1">#REF!</definedName>
    <definedName name="Tigr_Exhibit7a26ff5a_c113_4611_8089_040b40c50b28" localSheetId="19" hidden="1">#REF!</definedName>
    <definedName name="Tigr_Exhibit7a26ff5a_c113_4611_8089_040b40c50b28" hidden="1">#REF!</definedName>
    <definedName name="Tigr_Exhibit7b162cd5_4b8a_4b24_8d1f_d91b69b197af" localSheetId="2" hidden="1">#REF!</definedName>
    <definedName name="Tigr_Exhibit7b162cd5_4b8a_4b24_8d1f_d91b69b197af" localSheetId="21" hidden="1">#REF!</definedName>
    <definedName name="Tigr_Exhibit7b162cd5_4b8a_4b24_8d1f_d91b69b197af" localSheetId="14" hidden="1">#REF!</definedName>
    <definedName name="Tigr_Exhibit7b162cd5_4b8a_4b24_8d1f_d91b69b197af" hidden="1">#REF!</definedName>
    <definedName name="Tigr_Exhibit7d6b0d1a_38cc_45ae_9c8f_7ec1d6a16fbb" hidden="1">#REF!</definedName>
    <definedName name="Tigr_Exhibit7e10dee4_f9fa_4032_b4e5_0d1d3c9074b7" hidden="1">#REF!</definedName>
    <definedName name="Tigr_Exhibit80a44168_00e4_4334_b458_4478fc4d0c78" hidden="1">#REF!</definedName>
    <definedName name="Tigr_Exhibit81b70657_cecc_426e_95a9_1b9fae2b8222" hidden="1">#REF!</definedName>
    <definedName name="Tigr_Exhibit81fcb1ae_e306_4ac9_9ddf_7b0001b6c816" localSheetId="2" hidden="1">#REF!</definedName>
    <definedName name="Tigr_Exhibit81fcb1ae_e306_4ac9_9ddf_7b0001b6c816" localSheetId="17" hidden="1">'GSe vs Consensus'!$A$1:$A$7</definedName>
    <definedName name="Tigr_Exhibit81fcb1ae_e306_4ac9_9ddf_7b0001b6c816" localSheetId="14" hidden="1">#REF!</definedName>
    <definedName name="Tigr_Exhibit81fcb1ae_e306_4ac9_9ddf_7b0001b6c816" localSheetId="18" hidden="1">#REF!</definedName>
    <definedName name="Tigr_Exhibit81fcb1ae_e306_4ac9_9ddf_7b0001b6c816" localSheetId="19" hidden="1">'Results table'!#REF!</definedName>
    <definedName name="Tigr_Exhibit81fcb1ae_e306_4ac9_9ddf_7b0001b6c816" hidden="1">#REF!</definedName>
    <definedName name="Tigr_Exhibit826be858_e7ae_45ab_976c_ab73d7fb29b6" localSheetId="1" hidden="1">#REF!</definedName>
    <definedName name="Tigr_Exhibit826be858_e7ae_45ab_976c_ab73d7fb29b6" localSheetId="17" hidden="1">#REF!</definedName>
    <definedName name="Tigr_Exhibit826be858_e7ae_45ab_976c_ab73d7fb29b6" localSheetId="14" hidden="1">#REF!</definedName>
    <definedName name="Tigr_Exhibit826be858_e7ae_45ab_976c_ab73d7fb29b6" localSheetId="18" hidden="1">#REF!</definedName>
    <definedName name="Tigr_Exhibit826be858_e7ae_45ab_976c_ab73d7fb29b6" localSheetId="19" hidden="1">#REF!</definedName>
    <definedName name="Tigr_Exhibit826be858_e7ae_45ab_976c_ab73d7fb29b6" hidden="1">#REF!</definedName>
    <definedName name="Tigr_Exhibit83522e8d_af05_4922_a66f_8044892b68e8" localSheetId="17" hidden="1">#REF!</definedName>
    <definedName name="Tigr_Exhibit83522e8d_af05_4922_a66f_8044892b68e8" localSheetId="14" hidden="1">#REF!</definedName>
    <definedName name="Tigr_Exhibit83522e8d_af05_4922_a66f_8044892b68e8" localSheetId="18" hidden="1">#REF!</definedName>
    <definedName name="Tigr_Exhibit83522e8d_af05_4922_a66f_8044892b68e8" hidden="1">#REF!</definedName>
    <definedName name="Tigr_Exhibit845f680a_56f9_4e5d_97ef_68d1a9534548" localSheetId="1" hidden="1">#REF!</definedName>
    <definedName name="Tigr_Exhibit845f680a_56f9_4e5d_97ef_68d1a9534548" localSheetId="2" hidden="1">#REF!</definedName>
    <definedName name="Tigr_Exhibit845f680a_56f9_4e5d_97ef_68d1a9534548" localSheetId="17" hidden="1">'GSe vs Consensus'!#REF!</definedName>
    <definedName name="Tigr_Exhibit845f680a_56f9_4e5d_97ef_68d1a9534548" localSheetId="14" hidden="1">#REF!</definedName>
    <definedName name="Tigr_Exhibit845f680a_56f9_4e5d_97ef_68d1a9534548" localSheetId="18" hidden="1">#REF!</definedName>
    <definedName name="Tigr_Exhibit845f680a_56f9_4e5d_97ef_68d1a9534548" localSheetId="19" hidden="1">'Results table'!#REF!</definedName>
    <definedName name="Tigr_Exhibit845f680a_56f9_4e5d_97ef_68d1a9534548" hidden="1">#REF!</definedName>
    <definedName name="Tigr_Exhibit864312ca_808a_4470_aa00_c6a80c8883bf" localSheetId="17" hidden="1">#REF!</definedName>
    <definedName name="Tigr_Exhibit864312ca_808a_4470_aa00_c6a80c8883bf" localSheetId="14" hidden="1">#REF!</definedName>
    <definedName name="Tigr_Exhibit864312ca_808a_4470_aa00_c6a80c8883bf" localSheetId="18" hidden="1">#REF!</definedName>
    <definedName name="Tigr_Exhibit864312ca_808a_4470_aa00_c6a80c8883bf" localSheetId="19" hidden="1">#REF!</definedName>
    <definedName name="Tigr_Exhibit864312ca_808a_4470_aa00_c6a80c8883bf" hidden="1">#REF!</definedName>
    <definedName name="Tigr_Exhibit8767106c_834c_4952_82a7_49f882aa1abf" hidden="1">#REF!</definedName>
    <definedName name="Tigr_Exhibit87d6fb12_7a68_4ac2_b664_bb639cb8fb71" hidden="1">#REF!</definedName>
    <definedName name="Tigr_Exhibit8888518c_1cee_4634_9eb5_b3e21660b026" localSheetId="1" hidden="1">#REF!</definedName>
    <definedName name="Tigr_Exhibit8888518c_1cee_4634_9eb5_b3e21660b026" localSheetId="17" hidden="1">#REF!</definedName>
    <definedName name="Tigr_Exhibit8888518c_1cee_4634_9eb5_b3e21660b026" localSheetId="14" hidden="1">#REF!</definedName>
    <definedName name="Tigr_Exhibit8888518c_1cee_4634_9eb5_b3e21660b026" localSheetId="18" hidden="1">#REF!</definedName>
    <definedName name="Tigr_Exhibit8888518c_1cee_4634_9eb5_b3e21660b026" localSheetId="19" hidden="1">#REF!</definedName>
    <definedName name="Tigr_Exhibit8888518c_1cee_4634_9eb5_b3e21660b026" hidden="1">#REF!</definedName>
    <definedName name="Tigr_Exhibit88ac60a1_294f_416f_bb40_92abf0c43c09" localSheetId="1" hidden="1">#REF!</definedName>
    <definedName name="Tigr_Exhibit88ac60a1_294f_416f_bb40_92abf0c43c09" localSheetId="2" hidden="1">#REF!</definedName>
    <definedName name="Tigr_Exhibit88ac60a1_294f_416f_bb40_92abf0c43c09" localSheetId="17" hidden="1">'GSe vs Consensus'!#REF!</definedName>
    <definedName name="Tigr_Exhibit88ac60a1_294f_416f_bb40_92abf0c43c09" localSheetId="14" hidden="1">#REF!</definedName>
    <definedName name="Tigr_Exhibit88ac60a1_294f_416f_bb40_92abf0c43c09" localSheetId="18" hidden="1">#REF!</definedName>
    <definedName name="Tigr_Exhibit88ac60a1_294f_416f_bb40_92abf0c43c09" localSheetId="19" hidden="1">'Results table'!#REF!</definedName>
    <definedName name="Tigr_Exhibit88ac60a1_294f_416f_bb40_92abf0c43c09" hidden="1">#REF!</definedName>
    <definedName name="Tigr_Exhibit88ffb718_cf89_45b4_bfcd_b3b4165d0721" localSheetId="17" hidden="1">#REF!</definedName>
    <definedName name="Tigr_Exhibit88ffb718_cf89_45b4_bfcd_b3b4165d0721" localSheetId="14" hidden="1">#REF!</definedName>
    <definedName name="Tigr_Exhibit88ffb718_cf89_45b4_bfcd_b3b4165d0721" localSheetId="18" hidden="1">#REF!</definedName>
    <definedName name="Tigr_Exhibit88ffb718_cf89_45b4_bfcd_b3b4165d0721" localSheetId="19" hidden="1">#REF!</definedName>
    <definedName name="Tigr_Exhibit88ffb718_cf89_45b4_bfcd_b3b4165d0721" hidden="1">#REF!</definedName>
    <definedName name="Tigr_Exhibit8d200884_3d6c_4b3f_a787_0fc230c30cc4" localSheetId="1" hidden="1">#REF!</definedName>
    <definedName name="Tigr_Exhibit8d200884_3d6c_4b3f_a787_0fc230c30cc4" localSheetId="17" hidden="1">#REF!</definedName>
    <definedName name="Tigr_Exhibit8d200884_3d6c_4b3f_a787_0fc230c30cc4" localSheetId="14" hidden="1">#REF!</definedName>
    <definedName name="Tigr_Exhibit8d200884_3d6c_4b3f_a787_0fc230c30cc4" localSheetId="18" hidden="1">#REF!</definedName>
    <definedName name="Tigr_Exhibit8d200884_3d6c_4b3f_a787_0fc230c30cc4" localSheetId="19" hidden="1">#REF!</definedName>
    <definedName name="Tigr_Exhibit8d200884_3d6c_4b3f_a787_0fc230c30cc4" hidden="1">#REF!</definedName>
    <definedName name="Tigr_Exhibit909712c0_3869_45ea_8a74_3a034af09051" hidden="1">#REF!</definedName>
    <definedName name="Tigr_Exhibit92ecc90c_50ac_43a7_958d_28a95332a4c1" localSheetId="17" hidden="1">#REF!</definedName>
    <definedName name="Tigr_Exhibit92ecc90c_50ac_43a7_958d_28a95332a4c1" localSheetId="14" hidden="1">#REF!</definedName>
    <definedName name="Tigr_Exhibit92ecc90c_50ac_43a7_958d_28a95332a4c1" localSheetId="18" hidden="1">#REF!</definedName>
    <definedName name="Tigr_Exhibit92ecc90c_50ac_43a7_958d_28a95332a4c1" hidden="1">#REF!</definedName>
    <definedName name="Tigr_Exhibit948f35a2_f2ef_4e15_a8dd_e33204c6c04a" hidden="1">#REF!</definedName>
    <definedName name="Tigr_Exhibit953bc95e_954b_4426_b262_13e0b6a97564" localSheetId="17" hidden="1">#REF!</definedName>
    <definedName name="Tigr_Exhibit953bc95e_954b_4426_b262_13e0b6a97564" localSheetId="14" hidden="1">#REF!</definedName>
    <definedName name="Tigr_Exhibit953bc95e_954b_4426_b262_13e0b6a97564" localSheetId="18" hidden="1">#REF!</definedName>
    <definedName name="Tigr_Exhibit953bc95e_954b_4426_b262_13e0b6a97564" localSheetId="19" hidden="1">#REF!</definedName>
    <definedName name="Tigr_Exhibit953bc95e_954b_4426_b262_13e0b6a97564" hidden="1">#REF!</definedName>
    <definedName name="Tigr_Exhibit9585a1e6_8a4d_40e0_8bd1_da18e7ecc622" localSheetId="17" hidden="1">#REF!</definedName>
    <definedName name="Tigr_Exhibit9585a1e6_8a4d_40e0_8bd1_da18e7ecc622" localSheetId="14" hidden="1">#REF!</definedName>
    <definedName name="Tigr_Exhibit9585a1e6_8a4d_40e0_8bd1_da18e7ecc622" localSheetId="18" hidden="1">#REF!</definedName>
    <definedName name="Tigr_Exhibit9585a1e6_8a4d_40e0_8bd1_da18e7ecc622" localSheetId="19" hidden="1">#REF!</definedName>
    <definedName name="Tigr_Exhibit9585a1e6_8a4d_40e0_8bd1_da18e7ecc622" hidden="1">#REF!</definedName>
    <definedName name="Tigr_Exhibit9621e706_8db2_40c7_9601_34be2acee308" hidden="1">#REF!</definedName>
    <definedName name="Tigr_Exhibit966c588b_791d_4af5_96d7_3ebd599e1020" hidden="1">#REF!</definedName>
    <definedName name="Tigr_Exhibit97b24daa_3a43_48f5_9108_841ee1edb1e7" localSheetId="17" hidden="1">#REF!</definedName>
    <definedName name="Tigr_Exhibit97b24daa_3a43_48f5_9108_841ee1edb1e7" localSheetId="14" hidden="1">#REF!</definedName>
    <definedName name="Tigr_Exhibit97b24daa_3a43_48f5_9108_841ee1edb1e7" localSheetId="18" hidden="1">#REF!</definedName>
    <definedName name="Tigr_Exhibit97b24daa_3a43_48f5_9108_841ee1edb1e7" localSheetId="19" hidden="1">#REF!</definedName>
    <definedName name="Tigr_Exhibit97b24daa_3a43_48f5_9108_841ee1edb1e7" hidden="1">#REF!</definedName>
    <definedName name="Tigr_Exhibit97f1cb9a_74ed_46c9_8ad0_8547a3020bbe" hidden="1">#REF!</definedName>
    <definedName name="Tigr_Exhibit98fb9a33_716b_4842_a273_13baec8e3ef4" localSheetId="2" hidden="1">#REF!</definedName>
    <definedName name="Tigr_Exhibit98fb9a33_716b_4842_a273_13baec8e3ef4" localSheetId="17" hidden="1">'GSe vs Consensus'!$A$3:$A$7</definedName>
    <definedName name="Tigr_Exhibit98fb9a33_716b_4842_a273_13baec8e3ef4" localSheetId="14" hidden="1">#REF!</definedName>
    <definedName name="Tigr_Exhibit98fb9a33_716b_4842_a273_13baec8e3ef4" localSheetId="18" hidden="1">#REF!</definedName>
    <definedName name="Tigr_Exhibit98fb9a33_716b_4842_a273_13baec8e3ef4" localSheetId="19" hidden="1">'Results table'!#REF!</definedName>
    <definedName name="Tigr_Exhibit98fb9a33_716b_4842_a273_13baec8e3ef4" hidden="1">#REF!</definedName>
    <definedName name="Tigr_Exhibit99103715_4c54_4b13_9280_af00030a072e" hidden="1">#REF!</definedName>
    <definedName name="Tigr_Exhibit99e0cdfa_2761_49b4_b511_14ff70828e26" localSheetId="2" hidden="1">#REF!</definedName>
    <definedName name="Tigr_Exhibit99e0cdfa_2761_49b4_b511_14ff70828e26" localSheetId="17" hidden="1">'GSe vs Consensus'!$A$1:$D$7</definedName>
    <definedName name="Tigr_Exhibit99e0cdfa_2761_49b4_b511_14ff70828e26" localSheetId="14" hidden="1">#REF!</definedName>
    <definedName name="Tigr_Exhibit99e0cdfa_2761_49b4_b511_14ff70828e26" localSheetId="18" hidden="1">#REF!</definedName>
    <definedName name="Tigr_Exhibit99e0cdfa_2761_49b4_b511_14ff70828e26" localSheetId="19" hidden="1">'Results table'!#REF!</definedName>
    <definedName name="Tigr_Exhibit99e0cdfa_2761_49b4_b511_14ff70828e26" hidden="1">#REF!</definedName>
    <definedName name="Tigr_Exhibit9ba3a61c_7534_45b0_b622_3507e2ddf6dc" localSheetId="1" hidden="1">#REF!</definedName>
    <definedName name="Tigr_Exhibit9ba3a61c_7534_45b0_b622_3507e2ddf6dc" localSheetId="17" hidden="1">#REF!</definedName>
    <definedName name="Tigr_Exhibit9ba3a61c_7534_45b0_b622_3507e2ddf6dc" localSheetId="14" hidden="1">#REF!</definedName>
    <definedName name="Tigr_Exhibit9ba3a61c_7534_45b0_b622_3507e2ddf6dc" localSheetId="18" hidden="1">#REF!</definedName>
    <definedName name="Tigr_Exhibit9ba3a61c_7534_45b0_b622_3507e2ddf6dc" localSheetId="19" hidden="1">#REF!</definedName>
    <definedName name="Tigr_Exhibit9ba3a61c_7534_45b0_b622_3507e2ddf6dc" hidden="1">#REF!</definedName>
    <definedName name="Tigr_Exhibit9c19ba11_f436_4fa0_aab1_65af2b36c3bb" localSheetId="17" hidden="1">#REF!</definedName>
    <definedName name="Tigr_Exhibit9c19ba11_f436_4fa0_aab1_65af2b36c3bb" localSheetId="14" hidden="1">#REF!</definedName>
    <definedName name="Tigr_Exhibit9c19ba11_f436_4fa0_aab1_65af2b36c3bb" localSheetId="18" hidden="1">#REF!</definedName>
    <definedName name="Tigr_Exhibit9c19ba11_f436_4fa0_aab1_65af2b36c3bb" hidden="1">#REF!</definedName>
    <definedName name="Tigr_Exhibit9e3a0dd0_c07f_451d_ba62_def0598a4db5" localSheetId="1" hidden="1">#REF!</definedName>
    <definedName name="Tigr_Exhibit9e3a0dd0_c07f_451d_ba62_def0598a4db5" localSheetId="17" hidden="1">#REF!</definedName>
    <definedName name="Tigr_Exhibit9e3a0dd0_c07f_451d_ba62_def0598a4db5" localSheetId="14" hidden="1">#REF!</definedName>
    <definedName name="Tigr_Exhibit9e3a0dd0_c07f_451d_ba62_def0598a4db5" localSheetId="18" hidden="1">#REF!</definedName>
    <definedName name="Tigr_Exhibit9e3a0dd0_c07f_451d_ba62_def0598a4db5" localSheetId="19" hidden="1">#REF!</definedName>
    <definedName name="Tigr_Exhibit9e3a0dd0_c07f_451d_ba62_def0598a4db5" hidden="1">#REF!</definedName>
    <definedName name="Tigr_Exhibita166f9eb_fe2b_4e6b_a8a8_0f9b8669d4b8" hidden="1">#REF!</definedName>
    <definedName name="Tigr_Exhibita412f06d_75b1_45d3_a0e6_b6feb5f14d8c" localSheetId="2" hidden="1">#REF!</definedName>
    <definedName name="Tigr_Exhibita412f06d_75b1_45d3_a0e6_b6feb5f14d8c" localSheetId="17" hidden="1">'GSe vs Consensus'!$A$1:$A$7</definedName>
    <definedName name="Tigr_Exhibita412f06d_75b1_45d3_a0e6_b6feb5f14d8c" localSheetId="14" hidden="1">#REF!</definedName>
    <definedName name="Tigr_Exhibita412f06d_75b1_45d3_a0e6_b6feb5f14d8c" localSheetId="18" hidden="1">#REF!</definedName>
    <definedName name="Tigr_Exhibita412f06d_75b1_45d3_a0e6_b6feb5f14d8c" localSheetId="19" hidden="1">'Results table'!#REF!</definedName>
    <definedName name="Tigr_Exhibita412f06d_75b1_45d3_a0e6_b6feb5f14d8c" hidden="1">#REF!</definedName>
    <definedName name="Tigr_Exhibita643194c_c9a4_41ec_807c_9bc723b88bd6" localSheetId="17" hidden="1">#REF!</definedName>
    <definedName name="Tigr_Exhibita643194c_c9a4_41ec_807c_9bc723b88bd6" localSheetId="14" hidden="1">#REF!</definedName>
    <definedName name="Tigr_Exhibita643194c_c9a4_41ec_807c_9bc723b88bd6" localSheetId="18" hidden="1">#REF!</definedName>
    <definedName name="Tigr_Exhibita643194c_c9a4_41ec_807c_9bc723b88bd6" localSheetId="19" hidden="1">#REF!</definedName>
    <definedName name="Tigr_Exhibita643194c_c9a4_41ec_807c_9bc723b88bd6" hidden="1">#REF!</definedName>
    <definedName name="Tigr_Exhibitae890284_7c6e_4c38_af79_d0d0795b6d9a" localSheetId="17" hidden="1">#REF!</definedName>
    <definedName name="Tigr_Exhibitae890284_7c6e_4c38_af79_d0d0795b6d9a" localSheetId="14" hidden="1">#REF!</definedName>
    <definedName name="Tigr_Exhibitae890284_7c6e_4c38_af79_d0d0795b6d9a" localSheetId="18" hidden="1">#REF!</definedName>
    <definedName name="Tigr_Exhibitae890284_7c6e_4c38_af79_d0d0795b6d9a" localSheetId="19" hidden="1">#REF!</definedName>
    <definedName name="Tigr_Exhibitae890284_7c6e_4c38_af79_d0d0795b6d9a" hidden="1">#REF!</definedName>
    <definedName name="Tigr_Exhibitb13feb4b_5fd3_41d9_ae81_d5d5dd27af58" hidden="1">#REF!</definedName>
    <definedName name="Tigr_Exhibitb1af0451_a8a6_49ea_b09c_c48cdddb1511" hidden="1">#REF!</definedName>
    <definedName name="Tigr_Exhibitb28b5db8_e44d_4f71_adfd_5b46e045cd90" hidden="1">#REF!</definedName>
    <definedName name="Tigr_Exhibitb2a8ace8_6d4a_4d18_b2d4_85d87250719e" localSheetId="17" hidden="1">#REF!</definedName>
    <definedName name="Tigr_Exhibitb2a8ace8_6d4a_4d18_b2d4_85d87250719e" localSheetId="14" hidden="1">#REF!</definedName>
    <definedName name="Tigr_Exhibitb2a8ace8_6d4a_4d18_b2d4_85d87250719e" localSheetId="18" hidden="1">#REF!</definedName>
    <definedName name="Tigr_Exhibitb2a8ace8_6d4a_4d18_b2d4_85d87250719e" hidden="1">#REF!</definedName>
    <definedName name="Tigr_Exhibitb2c24187_6779_4c09_8c14_c335ce944433" localSheetId="17" hidden="1">#REF!</definedName>
    <definedName name="Tigr_Exhibitb2c24187_6779_4c09_8c14_c335ce944433" localSheetId="14" hidden="1">#REF!</definedName>
    <definedName name="Tigr_Exhibitb2c24187_6779_4c09_8c14_c335ce944433" localSheetId="18" hidden="1">#REF!</definedName>
    <definedName name="Tigr_Exhibitb2c24187_6779_4c09_8c14_c335ce944433" hidden="1">#REF!</definedName>
    <definedName name="Tigr_Exhibitb413f982_2cc1_4dfd_9317_c11834ea9d6b" hidden="1">#REF!</definedName>
    <definedName name="Tigr_Exhibitb53b83e6_4a7f_4e5f_81fa_06e13743d0e0" localSheetId="17" hidden="1">#REF!</definedName>
    <definedName name="Tigr_Exhibitb53b83e6_4a7f_4e5f_81fa_06e13743d0e0" localSheetId="14" hidden="1">#REF!</definedName>
    <definedName name="Tigr_Exhibitb53b83e6_4a7f_4e5f_81fa_06e13743d0e0" localSheetId="18" hidden="1">#REF!</definedName>
    <definedName name="Tigr_Exhibitb53b83e6_4a7f_4e5f_81fa_06e13743d0e0" hidden="1">#REF!</definedName>
    <definedName name="Tigr_Exhibitb58a29f6_500c_4c45_96b4_e7e9dce5727b" hidden="1">#REF!</definedName>
    <definedName name="Tigr_Exhibitb6193ffb_d638_428b_9c98_b3b93607751c" hidden="1">#REF!</definedName>
    <definedName name="Tigr_Exhibitb7669c64_a551_4a0b_9d28_a6747292afbf" localSheetId="1" hidden="1">#REF!</definedName>
    <definedName name="Tigr_Exhibitb7669c64_a551_4a0b_9d28_a6747292afbf" localSheetId="17" hidden="1">#REF!</definedName>
    <definedName name="Tigr_Exhibitb7669c64_a551_4a0b_9d28_a6747292afbf" localSheetId="14" hidden="1">#REF!</definedName>
    <definedName name="Tigr_Exhibitb7669c64_a551_4a0b_9d28_a6747292afbf" localSheetId="18" hidden="1">#REF!</definedName>
    <definedName name="Tigr_Exhibitb7669c64_a551_4a0b_9d28_a6747292afbf" localSheetId="19" hidden="1">#REF!</definedName>
    <definedName name="Tigr_Exhibitb7669c64_a551_4a0b_9d28_a6747292afbf" hidden="1">#REF!</definedName>
    <definedName name="Tigr_Exhibitb914deb6_6fef_4080_a95c_53e821f3167c" localSheetId="1" hidden="1">#REF!</definedName>
    <definedName name="Tigr_Exhibitb914deb6_6fef_4080_a95c_53e821f3167c" localSheetId="2" hidden="1">#REF!</definedName>
    <definedName name="Tigr_Exhibitb914deb6_6fef_4080_a95c_53e821f3167c" localSheetId="17" hidden="1" xml:space="preserve"> 'GSe vs Consensus'!#REF!</definedName>
    <definedName name="Tigr_Exhibitb914deb6_6fef_4080_a95c_53e821f3167c" localSheetId="14" hidden="1">#REF!</definedName>
    <definedName name="Tigr_Exhibitb914deb6_6fef_4080_a95c_53e821f3167c" localSheetId="18" hidden="1">#REF!</definedName>
    <definedName name="Tigr_Exhibitb914deb6_6fef_4080_a95c_53e821f3167c" localSheetId="19" hidden="1" xml:space="preserve"> 'Results table'!#REF!</definedName>
    <definedName name="Tigr_Exhibitb914deb6_6fef_4080_a95c_53e821f3167c" hidden="1">#REF!</definedName>
    <definedName name="Tigr_Exhibitb92285c2_0fcf_4c57_bba2_77edb7256d80" localSheetId="1" hidden="1">#REF!</definedName>
    <definedName name="Tigr_Exhibitb92285c2_0fcf_4c57_bba2_77edb7256d80" localSheetId="17" hidden="1">#REF!</definedName>
    <definedName name="Tigr_Exhibitb92285c2_0fcf_4c57_bba2_77edb7256d80" localSheetId="14" hidden="1">#REF!</definedName>
    <definedName name="Tigr_Exhibitb92285c2_0fcf_4c57_bba2_77edb7256d80" localSheetId="18" hidden="1">#REF!</definedName>
    <definedName name="Tigr_Exhibitb92285c2_0fcf_4c57_bba2_77edb7256d80" localSheetId="19" hidden="1">#REF!</definedName>
    <definedName name="Tigr_Exhibitb92285c2_0fcf_4c57_bba2_77edb7256d80" hidden="1">#REF!</definedName>
    <definedName name="Tigr_Exhibitbda7e524_d557_47ac_86b5_5507ff0e0fab" localSheetId="17" hidden="1">#REF!</definedName>
    <definedName name="Tigr_Exhibitbda7e524_d557_47ac_86b5_5507ff0e0fab" localSheetId="14" hidden="1">#REF!</definedName>
    <definedName name="Tigr_Exhibitbda7e524_d557_47ac_86b5_5507ff0e0fab" localSheetId="18" hidden="1">#REF!</definedName>
    <definedName name="Tigr_Exhibitbda7e524_d557_47ac_86b5_5507ff0e0fab" hidden="1">#REF!</definedName>
    <definedName name="Tigr_Exhibitbeeaaf63_65ef_4179_9c08_62c89ebbd821" localSheetId="1" hidden="1">#REF!</definedName>
    <definedName name="Tigr_Exhibitbeeaaf63_65ef_4179_9c08_62c89ebbd821" localSheetId="2" hidden="1">#REF!</definedName>
    <definedName name="Tigr_Exhibitbeeaaf63_65ef_4179_9c08_62c89ebbd821" localSheetId="17" hidden="1">'GSe vs Consensus'!#REF!</definedName>
    <definedName name="Tigr_Exhibitbeeaaf63_65ef_4179_9c08_62c89ebbd821" localSheetId="14" hidden="1">#REF!</definedName>
    <definedName name="Tigr_Exhibitbeeaaf63_65ef_4179_9c08_62c89ebbd821" localSheetId="18" hidden="1">#REF!</definedName>
    <definedName name="Tigr_Exhibitbeeaaf63_65ef_4179_9c08_62c89ebbd821" localSheetId="19" hidden="1">'Results table'!#REF!</definedName>
    <definedName name="Tigr_Exhibitbeeaaf63_65ef_4179_9c08_62c89ebbd821" hidden="1">#REF!</definedName>
    <definedName name="Tigr_Exhibitbf851bf9_3826_4ac4_9282_566526fda96e" localSheetId="2" hidden="1">#REF!</definedName>
    <definedName name="Tigr_Exhibitbf851bf9_3826_4ac4_9282_566526fda96e" localSheetId="17" hidden="1">'GSe vs Consensus'!$A$1:$A$7</definedName>
    <definedName name="Tigr_Exhibitbf851bf9_3826_4ac4_9282_566526fda96e" localSheetId="14" hidden="1">#REF!</definedName>
    <definedName name="Tigr_Exhibitbf851bf9_3826_4ac4_9282_566526fda96e" localSheetId="18" hidden="1">#REF!</definedName>
    <definedName name="Tigr_Exhibitbf851bf9_3826_4ac4_9282_566526fda96e" localSheetId="19" hidden="1">'Results table'!#REF!</definedName>
    <definedName name="Tigr_Exhibitbf851bf9_3826_4ac4_9282_566526fda96e" hidden="1">#REF!</definedName>
    <definedName name="Tigr_Exhibitbfd8e340_356d_41f7_adc0_0ce4fb9b4c04" localSheetId="1" hidden="1">#REF!</definedName>
    <definedName name="Tigr_Exhibitbfd8e340_356d_41f7_adc0_0ce4fb9b4c04" localSheetId="17" hidden="1">#REF!</definedName>
    <definedName name="Tigr_Exhibitbfd8e340_356d_41f7_adc0_0ce4fb9b4c04" localSheetId="14" hidden="1">#REF!</definedName>
    <definedName name="Tigr_Exhibitbfd8e340_356d_41f7_adc0_0ce4fb9b4c04" localSheetId="18" hidden="1">#REF!</definedName>
    <definedName name="Tigr_Exhibitbfd8e340_356d_41f7_adc0_0ce4fb9b4c04" localSheetId="19" hidden="1">#REF!</definedName>
    <definedName name="Tigr_Exhibitbfd8e340_356d_41f7_adc0_0ce4fb9b4c04" hidden="1">#REF!</definedName>
    <definedName name="Tigr_Exhibitc13167f1_b29a_46f1_8dc1_af607cbad642" hidden="1">#REF!</definedName>
    <definedName name="Tigr_Exhibitc72cef6a_7b00_4e55_9cfa_4f9ab806053d" localSheetId="1" hidden="1">#REF!</definedName>
    <definedName name="Tigr_Exhibitc72cef6a_7b00_4e55_9cfa_4f9ab806053d" localSheetId="2" hidden="1">#REF!</definedName>
    <definedName name="Tigr_Exhibitc72cef6a_7b00_4e55_9cfa_4f9ab806053d" localSheetId="17" hidden="1">'GSe vs Consensus'!#REF!</definedName>
    <definedName name="Tigr_Exhibitc72cef6a_7b00_4e55_9cfa_4f9ab806053d" localSheetId="14" hidden="1">#REF!</definedName>
    <definedName name="Tigr_Exhibitc72cef6a_7b00_4e55_9cfa_4f9ab806053d" localSheetId="18" hidden="1">#REF!</definedName>
    <definedName name="Tigr_Exhibitc72cef6a_7b00_4e55_9cfa_4f9ab806053d" localSheetId="19" hidden="1">'Results table'!#REF!</definedName>
    <definedName name="Tigr_Exhibitc72cef6a_7b00_4e55_9cfa_4f9ab806053d" hidden="1">#REF!</definedName>
    <definedName name="Tigr_Exhibitc8326494_9a9c_476f_8361_05f49cf3e489" localSheetId="2" hidden="1">#REF!</definedName>
    <definedName name="Tigr_Exhibitc8326494_9a9c_476f_8361_05f49cf3e489" hidden="1">#REF!</definedName>
    <definedName name="Tigr_Exhibitc84fa021_16f3_4b54_9f8f_3e05f457e620" localSheetId="1" hidden="1">#REF!</definedName>
    <definedName name="Tigr_Exhibitc84fa021_16f3_4b54_9f8f_3e05f457e620" localSheetId="2" hidden="1">#REF!</definedName>
    <definedName name="Tigr_Exhibitc84fa021_16f3_4b54_9f8f_3e05f457e620" localSheetId="17" hidden="1">'GSe vs Consensus'!#REF!</definedName>
    <definedName name="Tigr_Exhibitc84fa021_16f3_4b54_9f8f_3e05f457e620" localSheetId="14" hidden="1">#REF!</definedName>
    <definedName name="Tigr_Exhibitc84fa021_16f3_4b54_9f8f_3e05f457e620" localSheetId="18" hidden="1">#REF!</definedName>
    <definedName name="Tigr_Exhibitc84fa021_16f3_4b54_9f8f_3e05f457e620" localSheetId="19" hidden="1">'Results table'!#REF!</definedName>
    <definedName name="Tigr_Exhibitc84fa021_16f3_4b54_9f8f_3e05f457e620" hidden="1">#REF!</definedName>
    <definedName name="Tigr_Exhibitc857747e_a216_4aec_bd2b_abcdedc37cb8" hidden="1">#REF!</definedName>
    <definedName name="Tigr_Exhibitc8e3ab28_8767_4af5_b4a6_86c2d495f527" hidden="1">#REF!</definedName>
    <definedName name="Tigr_Exhibitca1ffdd1_a745_41b6_9d0e_c6f33ee55743" hidden="1">#REF!</definedName>
    <definedName name="Tigr_Exhibitca522c88_9825_4832_9849_38abacd2d50d" hidden="1">#REF!</definedName>
    <definedName name="Tigr_Exhibitcb1b6d22_b0e0_4752_9e8e_af4d3771a889" localSheetId="1" hidden="1">#REF!</definedName>
    <definedName name="Tigr_Exhibitcb1b6d22_b0e0_4752_9e8e_af4d3771a889" localSheetId="2" hidden="1">#REF!</definedName>
    <definedName name="Tigr_Exhibitcb1b6d22_b0e0_4752_9e8e_af4d3771a889" localSheetId="17" hidden="1">'GSe vs Consensus'!#REF!</definedName>
    <definedName name="Tigr_Exhibitcb1b6d22_b0e0_4752_9e8e_af4d3771a889" localSheetId="14" hidden="1">#REF!</definedName>
    <definedName name="Tigr_Exhibitcb1b6d22_b0e0_4752_9e8e_af4d3771a889" localSheetId="18" hidden="1">#REF!</definedName>
    <definedName name="Tigr_Exhibitcb1b6d22_b0e0_4752_9e8e_af4d3771a889" localSheetId="19" hidden="1">'Results table'!#REF!</definedName>
    <definedName name="Tigr_Exhibitcb1b6d22_b0e0_4752_9e8e_af4d3771a889" hidden="1">#REF!</definedName>
    <definedName name="Tigr_Exhibitcbc59270_f71d_49a9_87b5_91f2c98ffd7b" localSheetId="1" hidden="1">#REF!</definedName>
    <definedName name="Tigr_Exhibitcbc59270_f71d_49a9_87b5_91f2c98ffd7b" localSheetId="2" hidden="1">#REF!</definedName>
    <definedName name="Tigr_Exhibitcbc59270_f71d_49a9_87b5_91f2c98ffd7b" localSheetId="18" hidden="1">#REF!</definedName>
    <definedName name="Tigr_Exhibitcbc59270_f71d_49a9_87b5_91f2c98ffd7b" hidden="1">#REF!</definedName>
    <definedName name="Tigr_Exhibitcbcc151e_d789_47e2_b6f0_661c319e111a" localSheetId="2" hidden="1">#REF!</definedName>
    <definedName name="Tigr_Exhibitcbcc151e_d789_47e2_b6f0_661c319e111a" localSheetId="17" hidden="1">'GSe vs Consensus'!$A$1:$D$7</definedName>
    <definedName name="Tigr_Exhibitcbcc151e_d789_47e2_b6f0_661c319e111a" localSheetId="14" hidden="1">#REF!</definedName>
    <definedName name="Tigr_Exhibitcbcc151e_d789_47e2_b6f0_661c319e111a" localSheetId="18" hidden="1">#REF!</definedName>
    <definedName name="Tigr_Exhibitcbcc151e_d789_47e2_b6f0_661c319e111a" localSheetId="19" hidden="1">'Results table'!#REF!</definedName>
    <definedName name="Tigr_Exhibitcbcc151e_d789_47e2_b6f0_661c319e111a" hidden="1">#REF!</definedName>
    <definedName name="Tigr_Exhibitcdae728d_4886_44bb_98fc_a8f48a072806" hidden="1">#REF!</definedName>
    <definedName name="Tigr_Exhibitd0c69ba7_acc3_430d_90e6_91a5fd3dce25" localSheetId="1" hidden="1">#REF!</definedName>
    <definedName name="Tigr_Exhibitd0c69ba7_acc3_430d_90e6_91a5fd3dce25" localSheetId="17" hidden="1">#REF!</definedName>
    <definedName name="Tigr_Exhibitd0c69ba7_acc3_430d_90e6_91a5fd3dce25" localSheetId="14" hidden="1">#REF!</definedName>
    <definedName name="Tigr_Exhibitd0c69ba7_acc3_430d_90e6_91a5fd3dce25" localSheetId="18" hidden="1">#REF!</definedName>
    <definedName name="Tigr_Exhibitd0c69ba7_acc3_430d_90e6_91a5fd3dce25" localSheetId="19" hidden="1">#REF!</definedName>
    <definedName name="Tigr_Exhibitd0c69ba7_acc3_430d_90e6_91a5fd3dce25" hidden="1">#REF!</definedName>
    <definedName name="Tigr_Exhibitd16c07d6_bdf1_4332_9e8c_1259e9df26ec" localSheetId="17" hidden="1">#REF!</definedName>
    <definedName name="Tigr_Exhibitd16c07d6_bdf1_4332_9e8c_1259e9df26ec" localSheetId="14" hidden="1">#REF!</definedName>
    <definedName name="Tigr_Exhibitd16c07d6_bdf1_4332_9e8c_1259e9df26ec" localSheetId="18" hidden="1">#REF!</definedName>
    <definedName name="Tigr_Exhibitd16c07d6_bdf1_4332_9e8c_1259e9df26ec" hidden="1">#REF!</definedName>
    <definedName name="Tigr_Exhibitd1824f5f_6929_4a41_8ede_08d78ff3a77d" localSheetId="17" hidden="1">#REF!</definedName>
    <definedName name="Tigr_Exhibitd1824f5f_6929_4a41_8ede_08d78ff3a77d" localSheetId="14" hidden="1">#REF!</definedName>
    <definedName name="Tigr_Exhibitd1824f5f_6929_4a41_8ede_08d78ff3a77d" localSheetId="18" hidden="1">#REF!</definedName>
    <definedName name="Tigr_Exhibitd1824f5f_6929_4a41_8ede_08d78ff3a77d" hidden="1">#REF!</definedName>
    <definedName name="Tigr_Exhibitd235b590_b8bd_45a9_a31f_9377260c2b04" localSheetId="1" hidden="1">#REF!</definedName>
    <definedName name="Tigr_Exhibitd235b590_b8bd_45a9_a31f_9377260c2b04" localSheetId="2" hidden="1">#REF!</definedName>
    <definedName name="Tigr_Exhibitd235b590_b8bd_45a9_a31f_9377260c2b04" localSheetId="17" hidden="1">#REF!</definedName>
    <definedName name="Tigr_Exhibitd235b590_b8bd_45a9_a31f_9377260c2b04" localSheetId="14" hidden="1">#REF!</definedName>
    <definedName name="Tigr_Exhibitd235b590_b8bd_45a9_a31f_9377260c2b04" localSheetId="18" hidden="1">#REF!</definedName>
    <definedName name="Tigr_Exhibitd235b590_b8bd_45a9_a31f_9377260c2b04" localSheetId="19" hidden="1">#REF!</definedName>
    <definedName name="Tigr_Exhibitd235b590_b8bd_45a9_a31f_9377260c2b04" hidden="1">#REF!</definedName>
    <definedName name="Tigr_Exhibitd2ae655c_4a9f_4164_8a3a_91b7ba439025" localSheetId="17" hidden="1">#REF!</definedName>
    <definedName name="Tigr_Exhibitd2ae655c_4a9f_4164_8a3a_91b7ba439025" localSheetId="14" hidden="1">#REF!</definedName>
    <definedName name="Tigr_Exhibitd2ae655c_4a9f_4164_8a3a_91b7ba439025" localSheetId="18" hidden="1">#REF!</definedName>
    <definedName name="Tigr_Exhibitd2ae655c_4a9f_4164_8a3a_91b7ba439025" localSheetId="19" hidden="1">#REF!</definedName>
    <definedName name="Tigr_Exhibitd2ae655c_4a9f_4164_8a3a_91b7ba439025" hidden="1">#REF!</definedName>
    <definedName name="Tigr_Exhibitd662044d_637e_41c3_8d32_be9503f112b0" hidden="1">#REF!</definedName>
    <definedName name="Tigr_Exhibitd7f211d5_676e_4eae_b0cc_ba67682342c2" localSheetId="1" hidden="1">#REF!</definedName>
    <definedName name="Tigr_Exhibitd7f211d5_676e_4eae_b0cc_ba67682342c2" localSheetId="2" hidden="1">#REF!</definedName>
    <definedName name="Tigr_Exhibitd7f211d5_676e_4eae_b0cc_ba67682342c2" hidden="1">#REF!</definedName>
    <definedName name="Tigr_Exhibitdb12008d_0ec9_4d77_97bb_aac6265bc376" localSheetId="17" hidden="1">#REF!</definedName>
    <definedName name="Tigr_Exhibitdb12008d_0ec9_4d77_97bb_aac6265bc376" localSheetId="14" hidden="1">#REF!</definedName>
    <definedName name="Tigr_Exhibitdb12008d_0ec9_4d77_97bb_aac6265bc376" localSheetId="18" hidden="1">#REF!</definedName>
    <definedName name="Tigr_Exhibitdb12008d_0ec9_4d77_97bb_aac6265bc376" localSheetId="19" hidden="1">#REF!</definedName>
    <definedName name="Tigr_Exhibitdb12008d_0ec9_4d77_97bb_aac6265bc376" hidden="1">#REF!</definedName>
    <definedName name="Tigr_Exhibitdc4ec690_8b00_428f_acbb_2a87bbd7025c" localSheetId="17" hidden="1">#REF!</definedName>
    <definedName name="Tigr_Exhibitdc4ec690_8b00_428f_acbb_2a87bbd7025c" localSheetId="14" hidden="1">#REF!</definedName>
    <definedName name="Tigr_Exhibitdc4ec690_8b00_428f_acbb_2a87bbd7025c" localSheetId="18" hidden="1">#REF!</definedName>
    <definedName name="Tigr_Exhibitdc4ec690_8b00_428f_acbb_2a87bbd7025c" localSheetId="19" hidden="1">#REF!</definedName>
    <definedName name="Tigr_Exhibitdc4ec690_8b00_428f_acbb_2a87bbd7025c" hidden="1">#REF!</definedName>
    <definedName name="Tigr_Exhibitdc74ee1a_a27b_49e8_a666_290c00ae7886" hidden="1">#REF!</definedName>
    <definedName name="Tigr_Exhibitdd3e6400_d47f_4bcb_b35a_a2c893fa8f28" localSheetId="2" hidden="1">#REF!</definedName>
    <definedName name="Tigr_Exhibitdd3e6400_d47f_4bcb_b35a_a2c893fa8f28" localSheetId="17" hidden="1">'GSe vs Consensus'!$A$1:$D$7</definedName>
    <definedName name="Tigr_Exhibitdd3e6400_d47f_4bcb_b35a_a2c893fa8f28" localSheetId="14" hidden="1">#REF!</definedName>
    <definedName name="Tigr_Exhibitdd3e6400_d47f_4bcb_b35a_a2c893fa8f28" localSheetId="18" hidden="1">#REF!</definedName>
    <definedName name="Tigr_Exhibitdd3e6400_d47f_4bcb_b35a_a2c893fa8f28" localSheetId="19" hidden="1">'Results table'!#REF!</definedName>
    <definedName name="Tigr_Exhibitdd3e6400_d47f_4bcb_b35a_a2c893fa8f28" hidden="1">#REF!</definedName>
    <definedName name="Tigr_Exhibite0365b8a_1e88_49c0_92c6_67e15d2bb714" localSheetId="17" hidden="1">#REF!</definedName>
    <definedName name="Tigr_Exhibite0365b8a_1e88_49c0_92c6_67e15d2bb714" localSheetId="14" hidden="1">#REF!</definedName>
    <definedName name="Tigr_Exhibite0365b8a_1e88_49c0_92c6_67e15d2bb714" localSheetId="18" hidden="1">#REF!</definedName>
    <definedName name="Tigr_Exhibite0365b8a_1e88_49c0_92c6_67e15d2bb714" localSheetId="19" hidden="1">#REF!</definedName>
    <definedName name="Tigr_Exhibite0365b8a_1e88_49c0_92c6_67e15d2bb714" hidden="1">#REF!</definedName>
    <definedName name="Tigr_Exhibite24162b9_c6a8_4659_8ecc_4f5c707cfd8a" localSheetId="17" hidden="1">#REF!</definedName>
    <definedName name="Tigr_Exhibite24162b9_c6a8_4659_8ecc_4f5c707cfd8a" localSheetId="14" hidden="1">#REF!</definedName>
    <definedName name="Tigr_Exhibite24162b9_c6a8_4659_8ecc_4f5c707cfd8a" localSheetId="18" hidden="1">#REF!</definedName>
    <definedName name="Tigr_Exhibite24162b9_c6a8_4659_8ecc_4f5c707cfd8a" localSheetId="19" hidden="1">#REF!</definedName>
    <definedName name="Tigr_Exhibite24162b9_c6a8_4659_8ecc_4f5c707cfd8a" hidden="1">#REF!</definedName>
    <definedName name="Tigr_Exhibite5506369_8705_4cff_845a_26e3de73cc57" hidden="1">#REF!</definedName>
    <definedName name="Tigr_Exhibite93e6b73_24a9_4f77_9793_568bceddf471" hidden="1">#REF!</definedName>
    <definedName name="Tigr_Exhibite95ea148_a38e_4c74_a7f8_7b4ff44988ac" localSheetId="1" hidden="1">#REF!</definedName>
    <definedName name="Tigr_Exhibite95ea148_a38e_4c74_a7f8_7b4ff44988ac" localSheetId="2" hidden="1">#REF!</definedName>
    <definedName name="Tigr_Exhibite95ea148_a38e_4c74_a7f8_7b4ff44988ac" localSheetId="14" hidden="1">#REF!</definedName>
    <definedName name="Tigr_Exhibite95ea148_a38e_4c74_a7f8_7b4ff44988ac" hidden="1">#REF!</definedName>
    <definedName name="Tigr_Exhibitecffe75f_45b0_4dee_a6ac_3721264c4cd6" localSheetId="1" hidden="1">#REF!</definedName>
    <definedName name="Tigr_Exhibitecffe75f_45b0_4dee_a6ac_3721264c4cd6" localSheetId="17" hidden="1">#REF!</definedName>
    <definedName name="Tigr_Exhibitecffe75f_45b0_4dee_a6ac_3721264c4cd6" localSheetId="14" hidden="1">#REF!</definedName>
    <definedName name="Tigr_Exhibitecffe75f_45b0_4dee_a6ac_3721264c4cd6" localSheetId="18" hidden="1">#REF!</definedName>
    <definedName name="Tigr_Exhibitecffe75f_45b0_4dee_a6ac_3721264c4cd6" localSheetId="19" hidden="1">#REF!</definedName>
    <definedName name="Tigr_Exhibitecffe75f_45b0_4dee_a6ac_3721264c4cd6" hidden="1">#REF!</definedName>
    <definedName name="Tigr_Exhibitf3977d61_caab_4935_9b9e_1021ecdcdb6f" hidden="1">#REF!</definedName>
    <definedName name="Tigr_Exhibitf60817f5_c088_47d5_8c0b_a8b756b5cc9e" localSheetId="1" hidden="1">#REF!</definedName>
    <definedName name="Tigr_Exhibitf60817f5_c088_47d5_8c0b_a8b756b5cc9e" localSheetId="17" hidden="1">#REF!</definedName>
    <definedName name="Tigr_Exhibitf60817f5_c088_47d5_8c0b_a8b756b5cc9e" localSheetId="14" hidden="1">#REF!</definedName>
    <definedName name="Tigr_Exhibitf60817f5_c088_47d5_8c0b_a8b756b5cc9e" localSheetId="18" hidden="1">#REF!</definedName>
    <definedName name="Tigr_Exhibitf60817f5_c088_47d5_8c0b_a8b756b5cc9e" localSheetId="19" hidden="1">#REF!</definedName>
    <definedName name="Tigr_Exhibitf60817f5_c088_47d5_8c0b_a8b756b5cc9e" hidden="1">#REF!</definedName>
    <definedName name="Tigr_Exhibitfae0efaa_0267_4758_8c3f_d4ba0225f3bc" hidden="1">#REF!</definedName>
    <definedName name="Tigr_Exhibitfbde01df_6136_42c7_a4a1_973ae647e993" hidden="1">#REF!</definedName>
    <definedName name="Tigr_Exhibitfd0d12a2_cadf_4121_a421_ef9cb79c9cd1" localSheetId="2" hidden="1">#REF!</definedName>
    <definedName name="Tigr_Exhibitfd0d12a2_cadf_4121_a421_ef9cb79c9cd1" hidden="1">#REF!</definedName>
    <definedName name="Tigr_Exhibitff6f4354_cb6c_44a4_a232_7c5f7d291dc2" hidden="1">#REF!</definedName>
    <definedName name="Title" localSheetId="2">#REF!</definedName>
    <definedName name="Title">#REF!</definedName>
    <definedName name="TotalAssets">#REF!</definedName>
    <definedName name="TotalCashDeposits">#REF!</definedName>
    <definedName name="TotalDerivativesAnalyst">#REF!</definedName>
    <definedName name="TotalExpenses">#REF!</definedName>
    <definedName name="TotalFinancialItems">#REF!</definedName>
    <definedName name="TotalLiabilitiesEquity">#REF!</definedName>
    <definedName name="TotalReqs" localSheetId="2">#REF!</definedName>
    <definedName name="TotalReqs">#REF!</definedName>
    <definedName name="TotalRevenue">#REF!</definedName>
    <definedName name="TotalRevenueMax">#REF!</definedName>
    <definedName name="TotalSecurities">#REF!</definedName>
    <definedName name="TotalSharesAnalyst">#REF!</definedName>
    <definedName name="TotalSharesEmployees">#REF!</definedName>
    <definedName name="TotalSharesES">#REF!</definedName>
    <definedName name="TotalTime" localSheetId="2">#REF!</definedName>
    <definedName name="TotalTime">#REF!</definedName>
    <definedName name="TradesPerAccountAvg">#REF!</definedName>
    <definedName name="TRNR_20c5f071bf82430d96420b80475ec343_473_4" hidden="1">#REF!</definedName>
    <definedName name="TRNR_49b44b0e22464e52a1c45e34419fc423_5463_6" hidden="1">#REF!</definedName>
    <definedName name="TRNR_71251922ba344f8196f28099e2190926_5428_17" hidden="1">#REF!</definedName>
    <definedName name="TRNR_80d1c101faa3415a81489c48b9cdfd9a_2949_2" hidden="1">#REF!</definedName>
    <definedName name="TRNR_cce82653f88c4340b3960d39375277c1_5428_17" hidden="1">#REF!</definedName>
    <definedName name="ttttttttttttttttttttttttttttttt" localSheetId="1" hidden="1">{"Geographic P1",#N/A,FALSE,"Division &amp; Geog"}</definedName>
    <definedName name="ttttttttttttttttttttttttttttttt" localSheetId="2" hidden="1">{"Geographic P1",#N/A,FALSE,"Division &amp; Geog"}</definedName>
    <definedName name="ttttttttttttttttttttttttttttttt" localSheetId="18" hidden="1">{"Geographic P1",#N/A,FALSE,"Division &amp; Geog"}</definedName>
    <definedName name="ttttttttttttttttttttttttttttttt" localSheetId="19" hidden="1">{"Geographic P1",#N/A,FALSE,"Division &amp; Geog"}</definedName>
    <definedName name="ttttttttttttttttttttttttttttttt" hidden="1">{"Geographic P1",#N/A,FALSE,"Division &amp; Geog"}</definedName>
    <definedName name="UnderlayingChangeInWorkingCapital">#REF!</definedName>
    <definedName name="UndisResBooked">#REF!</definedName>
    <definedName name="UndisResDeferred">#REF!</definedName>
    <definedName name="UndisResMarketValuePerShare">#REF!</definedName>
    <definedName name="undisrestot">#REF!</definedName>
    <definedName name="UndisResTotal">#REF!</definedName>
    <definedName name="UndisResTotalPerShare">#REF!</definedName>
    <definedName name="UnrealizedForExchangeLoss">#REF!</definedName>
    <definedName name="usus" hidden="1">{"'TABLE82'!$A$1:$D$102"}</definedName>
    <definedName name="uu" localSheetId="1" hidden="1">{"Financials",#N/A,FALSE,"Financials";"AVP",#N/A,FALSE,"AVP";"DCF",#N/A,FALSE,"DCF";"CSC",#N/A,FALSE,"CSC";"Deal_Comp",#N/A,FALSE,"DealComp"}</definedName>
    <definedName name="uu" localSheetId="2" hidden="1">{"Financials",#N/A,FALSE,"Financials";"AVP",#N/A,FALSE,"AVP";"DCF",#N/A,FALSE,"DCF";"CSC",#N/A,FALSE,"CSC";"Deal_Comp",#N/A,FALSE,"DealComp"}</definedName>
    <definedName name="uu" localSheetId="18" hidden="1">{"Financials",#N/A,FALSE,"Financials";"AVP",#N/A,FALSE,"AVP";"DCF",#N/A,FALSE,"DCF";"CSC",#N/A,FALSE,"CSC";"Deal_Comp",#N/A,FALSE,"DealComp"}</definedName>
    <definedName name="uu" localSheetId="19" hidden="1">{"Financials",#N/A,FALSE,"Financials";"AVP",#N/A,FALSE,"AVP";"DCF",#N/A,FALSE,"DCF";"CSC",#N/A,FALSE,"CSC";"Deal_Comp",#N/A,FALSE,"DealComp"}</definedName>
    <definedName name="uu" hidden="1">{"Financials",#N/A,FALSE,"Financials";"AVP",#N/A,FALSE,"AVP";"DCF",#N/A,FALSE,"DCF";"CSC",#N/A,FALSE,"CSC";"Deal_Comp",#N/A,FALSE,"DealComp"}</definedName>
    <definedName name="V_ALL_ABBN.S" localSheetId="2">#REF!</definedName>
    <definedName name="V_ALL_ABBN.S">#REF!</definedName>
    <definedName name="V_ALL_AIR.PA" localSheetId="2">#REF!</definedName>
    <definedName name="V_ALL_AIR.PA" localSheetId="14">#REF!</definedName>
    <definedName name="V_ALL_AIR.PA" localSheetId="18">#REF!</definedName>
    <definedName name="V_ALL_AIR.PA">#REF!</definedName>
    <definedName name="V_ALL_AIR.PA_" localSheetId="17">#REF!</definedName>
    <definedName name="V_ALL_AIR.PA_" localSheetId="14">#REF!</definedName>
    <definedName name="V_ALL_AIR.PA_" localSheetId="18">#REF!</definedName>
    <definedName name="V_ALL_AIR.PA_" localSheetId="19">#REF!</definedName>
    <definedName name="V_ALL_AIR.PA_">#REF!</definedName>
    <definedName name="V_ALL_ATCOa.ST">#REF!</definedName>
    <definedName name="V_ALL_AVMD.PA" localSheetId="2">#REF!</definedName>
    <definedName name="V_ALL_AVMD.PA">#REF!</definedName>
    <definedName name="V_ALL_BAES.L" localSheetId="2">#REF!</definedName>
    <definedName name="V_ALL_BAES.L" localSheetId="14">#REF!</definedName>
    <definedName name="V_ALL_BAES.L" localSheetId="18">#REF!</definedName>
    <definedName name="V_ALL_BAES.L">#REF!</definedName>
    <definedName name="V_ALL_BAES.L_" localSheetId="17">#REF!</definedName>
    <definedName name="V_ALL_BAES.L_" localSheetId="14">#REF!</definedName>
    <definedName name="V_ALL_BAES.L_" localSheetId="18">#REF!</definedName>
    <definedName name="V_ALL_BAES.L_" localSheetId="19">#REF!</definedName>
    <definedName name="V_ALL_BAES.L_">#REF!</definedName>
    <definedName name="V_ALL_COB.L" localSheetId="2">#REF!</definedName>
    <definedName name="V_ALL_COB.L" localSheetId="14">#REF!</definedName>
    <definedName name="V_ALL_COB.L" localSheetId="18">#REF!</definedName>
    <definedName name="V_ALL_COB.L">#REF!</definedName>
    <definedName name="V_ALL_DTGGe.DE">#REF!</definedName>
    <definedName name="V_ALL_EAD.PA" localSheetId="2">#REF!</definedName>
    <definedName name="V_ALL_EAD.PA" localSheetId="14">#REF!</definedName>
    <definedName name="V_ALL_EAD.PA">#REF!</definedName>
    <definedName name="V_ALL_KEYWORDS_TYPE_ScalarContributed_EQTY_200000267">#REF!,#REF!</definedName>
    <definedName name="V_ALL_KEYWORDS_TYPE_ScalarContributed_EQTY_200003162" localSheetId="2">#REF!,#REF!</definedName>
    <definedName name="V_ALL_KEYWORDS_TYPE_ScalarContributed_EQTY_200003162" localSheetId="14">#REF!,#REF!</definedName>
    <definedName name="V_ALL_KEYWORDS_TYPE_ScalarContributed_EQTY_200003162">#REF!,#REF!</definedName>
    <definedName name="V_ALL_KEYWORDS_TYPE_ScalarContributed_EQTY_200003170" localSheetId="2">#REF!,#REF!</definedName>
    <definedName name="V_ALL_KEYWORDS_TYPE_ScalarContributed_EQTY_200003170" localSheetId="14">#REF!,#REF!</definedName>
    <definedName name="V_ALL_KEYWORDS_TYPE_ScalarContributed_EQTY_200003170">#REF!,#REF!</definedName>
    <definedName name="V_ALL_KEYWORDS_TYPE_ScalarContributed_EQTY_200003173" localSheetId="2">#REF!,#REF!</definedName>
    <definedName name="V_ALL_KEYWORDS_TYPE_ScalarContributed_EQTY_200003173" localSheetId="14">#REF!,#REF!</definedName>
    <definedName name="V_ALL_KEYWORDS_TYPE_ScalarContributed_EQTY_200003173">#REF!,#REF!</definedName>
    <definedName name="V_ALL_KEYWORDS_TYPE_ScalarContributed_EQTY_200003183" localSheetId="2">#REF!,#REF!</definedName>
    <definedName name="V_ALL_KEYWORDS_TYPE_ScalarContributed_EQTY_200003183" localSheetId="14">#REF!,#REF!</definedName>
    <definedName name="V_ALL_KEYWORDS_TYPE_ScalarContributed_EQTY_200003183">#REF!,#REF!</definedName>
    <definedName name="V_ALL_KEYWORDS_TYPE_ScalarContributed_EQTY_200003821" localSheetId="2">#REF!,#REF!</definedName>
    <definedName name="V_ALL_KEYWORDS_TYPE_ScalarContributed_EQTY_200003821" localSheetId="14">#REF!,#REF!</definedName>
    <definedName name="V_ALL_KEYWORDS_TYPE_ScalarContributed_EQTY_200003821">#REF!,#REF!</definedName>
    <definedName name="V_ALL_KEYWORDS_TYPE_ScalarContributed_EQTY_200004285" localSheetId="2">#REF!,#REF!</definedName>
    <definedName name="V_ALL_KEYWORDS_TYPE_ScalarContributed_EQTY_200004285">#REF!,#REF!</definedName>
    <definedName name="V_ALL_KEYWORDS_TYPE_ScalarContributed_EQTY_200005121" localSheetId="2">#REF!,#REF!</definedName>
    <definedName name="V_ALL_KEYWORDS_TYPE_ScalarContributed_EQTY_200005121" localSheetId="14">#REF!,#REF!</definedName>
    <definedName name="V_ALL_KEYWORDS_TYPE_ScalarContributed_EQTY_200005121">#REF!,#REF!</definedName>
    <definedName name="V_ALL_KEYWORDS_TYPE_ScalarContributed_EQTY_200007513" localSheetId="2">#REF!,#REF!</definedName>
    <definedName name="V_ALL_KEYWORDS_TYPE_ScalarContributed_EQTY_200007513" localSheetId="14">#REF!,#REF!</definedName>
    <definedName name="V_ALL_KEYWORDS_TYPE_ScalarContributed_EQTY_200007513">#REF!,#REF!</definedName>
    <definedName name="V_ALL_KEYWORDS_TYPE_ScalarContributed_EQTY_200008448" localSheetId="18">#REF!,#REF!,#REF!</definedName>
    <definedName name="V_ALL_KEYWORDS_TYPE_ScalarContributed_EQTY_200008448">#REF!,#REF!,#REF!</definedName>
    <definedName name="V_ALL_KEYWORDS_TYPE_ScalarContributed_EQTY_200009618" localSheetId="2">#REF!,#REF!</definedName>
    <definedName name="V_ALL_KEYWORDS_TYPE_ScalarContributed_EQTY_200009618" localSheetId="14">#REF!,#REF!</definedName>
    <definedName name="V_ALL_KEYWORDS_TYPE_ScalarContributed_EQTY_200009618">#REF!,#REF!</definedName>
    <definedName name="V_ALL_KEYWORDS_TYPE_ScalarContributed_EQTY_200009619" localSheetId="2">#REF!,#REF!</definedName>
    <definedName name="V_ALL_KEYWORDS_TYPE_ScalarContributed_EQTY_200009619" localSheetId="14">#REF!,#REF!</definedName>
    <definedName name="V_ALL_KEYWORDS_TYPE_ScalarContributed_EQTY_200009619">#REF!,#REF!</definedName>
    <definedName name="V_ALL_KEYWORDS_TYPE_ScalarContributed_EQTY_200009620" localSheetId="2">#REF!,#REF!</definedName>
    <definedName name="V_ALL_KEYWORDS_TYPE_ScalarContributed_EQTY_200009620" localSheetId="14">#REF!,#REF!</definedName>
    <definedName name="V_ALL_KEYWORDS_TYPE_ScalarContributed_EQTY_200009620">#REF!,#REF!</definedName>
    <definedName name="V_ALL_KEYWORDS_TYPE_ScalarContributed_EQTY_200011295" localSheetId="2">#REF!,#REF!</definedName>
    <definedName name="V_ALL_KEYWORDS_TYPE_ScalarContributed_EQTY_200011295">#REF!,#REF!</definedName>
    <definedName name="V_ALL_KEYWORDS_TYPE_ScalarContributed_ISSR_208000023">#REF!,#REF!,#REF!,#REF!,#REF!,#REF!,#REF!,#REF!,#REF!,#REF!</definedName>
    <definedName name="V_ALL_KEYWORDS_TYPE_ScalarContributed_ISSR_208001092" localSheetId="2">#REF!,#REF!</definedName>
    <definedName name="V_ALL_KEYWORDS_TYPE_ScalarContributed_ISSR_208001092">#REF!,#REF!</definedName>
    <definedName name="V_ALL_KEYWORDS_TYPE_ScalarContributed_ISSR_208001095" localSheetId="2">#REF!,#REF!</definedName>
    <definedName name="V_ALL_KEYWORDS_TYPE_ScalarContributed_ISSR_208001095">#REF!,#REF!</definedName>
    <definedName name="V_ALL_KEYWORDS_TYPE_ScalarContributed_ISSR_208001100" localSheetId="2">#REF!,#REF!</definedName>
    <definedName name="V_ALL_KEYWORDS_TYPE_ScalarContributed_ISSR_208001100">#REF!,#REF!</definedName>
    <definedName name="V_ALL_KEYWORDS_TYPE_ScalarContributed_ISSR_208001219" localSheetId="2">#REF!,#REF!,#REF!,#REF!,#REF!,#REF!,#REF!,#REF!</definedName>
    <definedName name="V_ALL_KEYWORDS_TYPE_ScalarContributed_ISSR_208001219">#REF!,#REF!,#REF!,#REF!,#REF!,#REF!,#REF!,#REF!</definedName>
    <definedName name="V_ALL_KEYWORDS_TYPE_ScalarContributed_ISSR_208001433" localSheetId="2">#REF!,#REF!</definedName>
    <definedName name="V_ALL_KEYWORDS_TYPE_ScalarContributed_ISSR_208001433" localSheetId="18">#REF!,#REF!</definedName>
    <definedName name="V_ALL_KEYWORDS_TYPE_ScalarContributed_ISSR_208001433">#REF!,#REF!</definedName>
    <definedName name="V_ALL_KEYWORDS_TYPE_ScalarContributed_ISSR_208006659" localSheetId="2">#REF!,#REF!,#REF!</definedName>
    <definedName name="V_ALL_KEYWORDS_TYPE_ScalarContributed_ISSR_208006659">#REF!,#REF!,#REF!</definedName>
    <definedName name="V_ALL_KEYWORDS_TYPE_ScalarContributed_ISSR_208007415" localSheetId="2">#REF!,#REF!</definedName>
    <definedName name="V_ALL_KEYWORDS_TYPE_ScalarContributed_ISSR_208007415">#REF!,#REF!</definedName>
    <definedName name="V_ALL_KEYWORDS_TYPE_ScalarContributed_ISSR_208008646" localSheetId="2">#REF!,#REF!</definedName>
    <definedName name="V_ALL_KEYWORDS_TYPE_ScalarContributed_ISSR_208008646">#REF!,#REF!</definedName>
    <definedName name="V_ALL_KEYWORDS_TYPE_ScalarReference_EQTY_200007513" localSheetId="17">#REF!</definedName>
    <definedName name="V_ALL_KEYWORDS_TYPE_ScalarReference_EQTY_200007513" localSheetId="14">#REF!</definedName>
    <definedName name="V_ALL_KEYWORDS_TYPE_ScalarReference_EQTY_200007513" localSheetId="18">#REF!</definedName>
    <definedName name="V_ALL_KEYWORDS_TYPE_ScalarReference_EQTY_200007513" localSheetId="19">#REF!</definedName>
    <definedName name="V_ALL_KEYWORDS_TYPE_ScalarReference_EQTY_200007513">#REF!</definedName>
    <definedName name="V_ALL_KEYWORDS_TYPE_ScalarReference_ISSR_208002861" localSheetId="17">#REF!</definedName>
    <definedName name="V_ALL_KEYWORDS_TYPE_ScalarReference_ISSR_208002861" localSheetId="14">#REF!</definedName>
    <definedName name="V_ALL_KEYWORDS_TYPE_ScalarReference_ISSR_208002861" localSheetId="18">#REF!</definedName>
    <definedName name="V_ALL_KEYWORDS_TYPE_ScalarReference_ISSR_208002861" localSheetId="19">#REF!</definedName>
    <definedName name="V_ALL_KEYWORDS_TYPE_ScalarReference_ISSR_208002861">#REF!</definedName>
    <definedName name="V_ALL_KEYWORDS_TYPE_Vector_EQTY_200000267">#REF!,#REF!,#REF!,#REF!,#REF!</definedName>
    <definedName name="V_ALL_KEYWORDS_TYPE_Vector_EQTY_200003162" localSheetId="2">#REF!,#REF!,#REF!,#REF!,#REF!</definedName>
    <definedName name="V_ALL_KEYWORDS_TYPE_Vector_EQTY_200003162" localSheetId="14">#REF!,#REF!,#REF!,#REF!,#REF!</definedName>
    <definedName name="V_ALL_KEYWORDS_TYPE_Vector_EQTY_200003162">#REF!,#REF!,#REF!,#REF!,#REF!</definedName>
    <definedName name="V_ALL_KEYWORDS_TYPE_Vector_EQTY_200003169" localSheetId="2">#REF!,#REF!,#REF!,#REF!,#REF!</definedName>
    <definedName name="V_ALL_KEYWORDS_TYPE_Vector_EQTY_200003169">#REF!,#REF!,#REF!,#REF!,#REF!</definedName>
    <definedName name="V_ALL_KEYWORDS_TYPE_Vector_EQTY_200003170" localSheetId="2">#REF!,#REF!,#REF!,#REF!,#REF!</definedName>
    <definedName name="V_ALL_KEYWORDS_TYPE_Vector_EQTY_200003170" localSheetId="14">#REF!,#REF!,#REF!,#REF!,#REF!</definedName>
    <definedName name="V_ALL_KEYWORDS_TYPE_Vector_EQTY_200003170">#REF!,#REF!,#REF!,#REF!,#REF!</definedName>
    <definedName name="V_ALL_KEYWORDS_TYPE_Vector_EQTY_200003173" localSheetId="2">#REF!,#REF!,#REF!,#REF!,#REF!</definedName>
    <definedName name="V_ALL_KEYWORDS_TYPE_Vector_EQTY_200003173" localSheetId="14">#REF!,#REF!,#REF!,#REF!,#REF!</definedName>
    <definedName name="V_ALL_KEYWORDS_TYPE_Vector_EQTY_200003173">#REF!,#REF!,#REF!,#REF!,#REF!</definedName>
    <definedName name="V_ALL_KEYWORDS_TYPE_Vector_EQTY_200003183" localSheetId="2">#REF!,#REF!,#REF!,#REF!,#REF!</definedName>
    <definedName name="V_ALL_KEYWORDS_TYPE_Vector_EQTY_200003183" localSheetId="14">#REF!,#REF!,#REF!,#REF!,#REF!</definedName>
    <definedName name="V_ALL_KEYWORDS_TYPE_Vector_EQTY_200003183">#REF!,#REF!,#REF!,#REF!,#REF!</definedName>
    <definedName name="V_ALL_KEYWORDS_TYPE_Vector_EQTY_200003821" localSheetId="2">#REF!,#REF!,#REF!,#REF!,#REF!</definedName>
    <definedName name="V_ALL_KEYWORDS_TYPE_Vector_EQTY_200003821" localSheetId="14">#REF!,#REF!,#REF!,#REF!,#REF!</definedName>
    <definedName name="V_ALL_KEYWORDS_TYPE_Vector_EQTY_200003821">#REF!,#REF!,#REF!,#REF!,#REF!</definedName>
    <definedName name="V_ALL_KEYWORDS_TYPE_Vector_EQTY_200004285" localSheetId="2">#REF!,#REF!,#REF!,#REF!,#REF!</definedName>
    <definedName name="V_ALL_KEYWORDS_TYPE_Vector_EQTY_200004285">#REF!,#REF!,#REF!,#REF!,#REF!</definedName>
    <definedName name="V_ALL_KEYWORDS_TYPE_Vector_EQTY_200005121" localSheetId="2">#REF!,#REF!,#REF!,#REF!,#REF!</definedName>
    <definedName name="V_ALL_KEYWORDS_TYPE_Vector_EQTY_200005121" localSheetId="14">#REF!,#REF!,#REF!,#REF!,#REF!</definedName>
    <definedName name="V_ALL_KEYWORDS_TYPE_Vector_EQTY_200005121" localSheetId="18">#REF!,#REF!,#REF!,#REF!,#REF!</definedName>
    <definedName name="V_ALL_KEYWORDS_TYPE_Vector_EQTY_200005121">#REF!,#REF!,#REF!,#REF!,#REF!</definedName>
    <definedName name="V_ALL_KEYWORDS_TYPE_Vector_EQTY_200007513" localSheetId="2">#REF!,#REF!,#REF!,#REF!,#REF!</definedName>
    <definedName name="V_ALL_KEYWORDS_TYPE_Vector_EQTY_200007513" localSheetId="14">#REF!,#REF!,#REF!,#REF!,#REF!</definedName>
    <definedName name="V_ALL_KEYWORDS_TYPE_Vector_EQTY_200007513">#REF!,#REF!,#REF!,#REF!,#REF!</definedName>
    <definedName name="V_ALL_KEYWORDS_TYPE_Vector_EQTY_200008448" localSheetId="2">#REF!,#REF!,#REF!,#REF!,#REF!</definedName>
    <definedName name="V_ALL_KEYWORDS_TYPE_Vector_EQTY_200008448" localSheetId="14">#REF!,#REF!,#REF!,#REF!,#REF!</definedName>
    <definedName name="V_ALL_KEYWORDS_TYPE_Vector_EQTY_200008448">#REF!,#REF!,#REF!,#REF!,#REF!</definedName>
    <definedName name="V_ALL_KEYWORDS_TYPE_Vector_EQTY_200009618" localSheetId="2">#REF!,#REF!,#REF!,#REF!,#REF!</definedName>
    <definedName name="V_ALL_KEYWORDS_TYPE_Vector_EQTY_200009618" localSheetId="14">#REF!,#REF!,#REF!,#REF!,#REF!</definedName>
    <definedName name="V_ALL_KEYWORDS_TYPE_Vector_EQTY_200009618">#REF!,#REF!,#REF!,#REF!,#REF!</definedName>
    <definedName name="V_ALL_KEYWORDS_TYPE_Vector_EQTY_200009619" localSheetId="2">#REF!,#REF!,#REF!,#REF!,#REF!</definedName>
    <definedName name="V_ALL_KEYWORDS_TYPE_Vector_EQTY_200009619" localSheetId="14">#REF!,#REF!,#REF!,#REF!,#REF!</definedName>
    <definedName name="V_ALL_KEYWORDS_TYPE_Vector_EQTY_200009619">#REF!,#REF!,#REF!,#REF!,#REF!</definedName>
    <definedName name="V_ALL_KEYWORDS_TYPE_Vector_EQTY_200009620" localSheetId="2">#REF!,#REF!,#REF!,#REF!,#REF!</definedName>
    <definedName name="V_ALL_KEYWORDS_TYPE_Vector_EQTY_200009620" localSheetId="14">#REF!,#REF!,#REF!,#REF!,#REF!</definedName>
    <definedName name="V_ALL_KEYWORDS_TYPE_Vector_EQTY_200009620">#REF!,#REF!,#REF!,#REF!,#REF!</definedName>
    <definedName name="V_ALL_KEYWORDS_TYPE_Vector_EQTY_200011295" localSheetId="2">#REF!,#REF!,#REF!,#REF!,#REF!</definedName>
    <definedName name="V_ALL_KEYWORDS_TYPE_Vector_EQTY_200011295" localSheetId="14">#REF!,#REF!,#REF!,#REF!,#REF!</definedName>
    <definedName name="V_ALL_KEYWORDS_TYPE_Vector_EQTY_200011295">#REF!,#REF!,#REF!,#REF!,#REF!</definedName>
    <definedName name="V_ALL_KEYWORDS_TYPE_Vector_ISSR_208000023">#REF!,#REF!,#REF!,#REF!,#REF!,#REF!,#REF!,#REF!,#REF!,#REF!,#REF!,#REF!,#REF!,#REF!,#REF!,#REF!,#REF!,#REF!,#REF!,#REF!,#REF!,#REF!,#REF!,#REF!,#REF!</definedName>
    <definedName name="V_ALL_KEYWORDS_TYPE_Vector_ISSR_208001092" localSheetId="2">#REF!,#REF!,#REF!,#REF!,#REF!,#REF!,#REF!,#REF!,#REF!,#REF!,#REF!,#REF!,#REF!,#REF!,#REF!,#REF!,#REF!,#REF!,#REF!,#REF!,#REF!,#REF!,#REF!,#REF!,#REF!,#REF!</definedName>
    <definedName name="V_ALL_KEYWORDS_TYPE_Vector_ISSR_208001092" localSheetId="14">#REF!,#REF!,#REF!,#REF!,#REF!,#REF!,#REF!,#REF!,#REF!,#REF!,#REF!,#REF!,#REF!,#REF!,#REF!,#REF!,#REF!,#REF!,#REF!,#REF!,#REF!,#REF!,#REF!,#REF!,#REF!,#REF!</definedName>
    <definedName name="V_ALL_KEYWORDS_TYPE_Vector_ISSR_208001092">#REF!,#REF!,#REF!,#REF!,#REF!,#REF!,#REF!,#REF!,#REF!,#REF!,#REF!,#REF!,#REF!,#REF!,#REF!,#REF!,#REF!,#REF!,#REF!,#REF!,#REF!,#REF!,#REF!,#REF!,#REF!,#REF!</definedName>
    <definedName name="V_ALL_KEYWORDS_TYPE_Vector_ISSR_208001095" localSheetId="2">#REF!,#REF!,#REF!,#REF!,#REF!,#REF!,#REF!,#REF!,#REF!,#REF!,#REF!,#REF!,#REF!,#REF!</definedName>
    <definedName name="V_ALL_KEYWORDS_TYPE_Vector_ISSR_208001095">#REF!,#REF!,#REF!,#REF!,#REF!,#REF!,#REF!,#REF!,#REF!,#REF!,#REF!,#REF!,#REF!,#REF!</definedName>
    <definedName name="V_ALL_KEYWORDS_TYPE_Vector_ISSR_208001096" localSheetId="2">#REF!,#REF!,#REF!,#REF!,#REF!,#REF!,#REF!,#REF!,#REF!,#REF!,#REF!,#REF!,#REF!,#REF!,#REF!,#REF!,#REF!,#REF!,#REF!,#REF!,#REF!,#REF!,#REF!,#REF!,#REF!,#REF!</definedName>
    <definedName name="V_ALL_KEYWORDS_TYPE_Vector_ISSR_208001096" localSheetId="14">#REF!,#REF!,#REF!,#REF!,#REF!,#REF!,#REF!,#REF!,#REF!,#REF!,#REF!,#REF!,#REF!,#REF!,#REF!,#REF!,#REF!,#REF!,#REF!,#REF!,#REF!,#REF!,#REF!,#REF!,#REF!,#REF!</definedName>
    <definedName name="V_ALL_KEYWORDS_TYPE_Vector_ISSR_208001096">#REF!,#REF!,#REF!,#REF!,#REF!,#REF!,#REF!,#REF!,#REF!,#REF!,#REF!,#REF!,#REF!,#REF!,#REF!,#REF!,#REF!,#REF!,#REF!,#REF!,#REF!,#REF!,#REF!,#REF!,#REF!,#REF!</definedName>
    <definedName name="V_ALL_KEYWORDS_TYPE_Vector_ISSR_208001098" localSheetId="2">#REF!,#REF!,#REF!,#REF!,#REF!,#REF!,#REF!,#REF!,#REF!,#REF!,#REF!,#REF!,#REF!,#REF!,#REF!,#REF!,#REF!,#REF!,#REF!,#REF!,#REF!,#REF!,#REF!,#REF!,#REF!,#REF!</definedName>
    <definedName name="V_ALL_KEYWORDS_TYPE_Vector_ISSR_208001098" localSheetId="14">#REF!,#REF!,#REF!,#REF!,#REF!,#REF!,#REF!,#REF!,#REF!,#REF!,#REF!,#REF!,#REF!,#REF!,#REF!,#REF!,#REF!,#REF!,#REF!,#REF!,#REF!,#REF!,#REF!,#REF!,#REF!,#REF!</definedName>
    <definedName name="V_ALL_KEYWORDS_TYPE_Vector_ISSR_208001098">#REF!,#REF!,#REF!,#REF!,#REF!,#REF!,#REF!,#REF!,#REF!,#REF!,#REF!,#REF!,#REF!,#REF!,#REF!,#REF!,#REF!,#REF!,#REF!,#REF!,#REF!,#REF!,#REF!,#REF!,#REF!,#REF!</definedName>
    <definedName name="V_ALL_KEYWORDS_TYPE_Vector_ISSR_208001100" localSheetId="2">#REF!,#REF!,#REF!,#REF!,#REF!,#REF!,#REF!,#REF!,#REF!,#REF!,#REF!,#REF!,#REF!,#REF!,#REF!,#REF!,#REF!,#REF!,#REF!,#REF!,#REF!,#REF!,#REF!,#REF!,#REF!,#REF!</definedName>
    <definedName name="V_ALL_KEYWORDS_TYPE_Vector_ISSR_208001100" localSheetId="14">#REF!,#REF!,#REF!,#REF!,#REF!,#REF!,#REF!,#REF!,#REF!,#REF!,#REF!,#REF!,#REF!,#REF!,#REF!,#REF!,#REF!,#REF!,#REF!,#REF!,#REF!,#REF!,#REF!,#REF!,#REF!,#REF!</definedName>
    <definedName name="V_ALL_KEYWORDS_TYPE_Vector_ISSR_208001100">#REF!,#REF!,#REF!,#REF!,#REF!,#REF!,#REF!,#REF!,#REF!,#REF!,#REF!,#REF!,#REF!,#REF!,#REF!,#REF!,#REF!,#REF!,#REF!,#REF!,#REF!,#REF!,#REF!,#REF!,#REF!,#REF!</definedName>
    <definedName name="V_ALL_KEYWORDS_TYPE_Vector_ISSR_208001129" localSheetId="2">#REF!,#REF!,#REF!,#REF!,#REF!,#REF!,#REF!,#REF!,#REF!,#REF!,#REF!,#REF!,#REF!,#REF!,#REF!,#REF!,#REF!,#REF!,#REF!,#REF!,#REF!,#REF!,#REF!,#REF!,#REF!,#REF!</definedName>
    <definedName name="V_ALL_KEYWORDS_TYPE_Vector_ISSR_208001129" localSheetId="14">#REF!,#REF!,#REF!,#REF!,#REF!,#REF!,#REF!,#REF!,#REF!,#REF!,#REF!,#REF!,#REF!,#REF!,#REF!,#REF!,#REF!,#REF!,#REF!,#REF!,#REF!,#REF!,#REF!,#REF!,#REF!,#REF!</definedName>
    <definedName name="V_ALL_KEYWORDS_TYPE_Vector_ISSR_208001129">#REF!,#REF!,#REF!,#REF!,#REF!,#REF!,#REF!,#REF!,#REF!,#REF!,#REF!,#REF!,#REF!,#REF!,#REF!,#REF!,#REF!,#REF!,#REF!,#REF!,#REF!,#REF!,#REF!,#REF!,#REF!,#REF!</definedName>
    <definedName name="V_ALL_KEYWORDS_TYPE_Vector_ISSR_208001219" localSheetId="2">#REF!,#REF!,#REF!,#REF!,#REF!,#REF!,#REF!,#REF!,#REF!,#REF!,#REF!,#REF!,#REF!,#REF!,#REF!,#REF!,#REF!,#REF!,#REF!</definedName>
    <definedName name="V_ALL_KEYWORDS_TYPE_Vector_ISSR_208001219">#REF!,#REF!,#REF!,#REF!,#REF!,#REF!,#REF!,#REF!,#REF!,#REF!,#REF!,#REF!,#REF!,#REF!,#REF!,#REF!,#REF!,#REF!,#REF!</definedName>
    <definedName name="V_ALL_KEYWORDS_TYPE_Vector_ISSR_208001433" localSheetId="2">#REF!,#REF!,#REF!,#REF!,#REF!,#REF!,#REF!,#REF!,#REF!,#REF!,#REF!,#REF!,#REF!,#REF!,#REF!,#REF!,#REF!,#REF!,#REF!,#REF!,#REF!,#REF!,#REF!,#REF!,#REF!,#REF!</definedName>
    <definedName name="V_ALL_KEYWORDS_TYPE_Vector_ISSR_208001433" localSheetId="14">#REF!,#REF!,#REF!,#REF!,#REF!,#REF!,#REF!,#REF!,#REF!,#REF!,#REF!,#REF!,#REF!,#REF!</definedName>
    <definedName name="V_ALL_KEYWORDS_TYPE_Vector_ISSR_208001433" localSheetId="18">#REF!,#REF!,#REF!,#REF!,#REF!,#REF!,#REF!,#REF!,#REF!,#REF!,#REF!,#REF!,#REF!,#REF!</definedName>
    <definedName name="V_ALL_KEYWORDS_TYPE_Vector_ISSR_208001433">#REF!,#REF!,#REF!,#REF!,#REF!,#REF!,#REF!,#REF!,#REF!,#REF!,#REF!,#REF!,#REF!,#REF!,#REF!,#REF!,#REF!,#REF!,#REF!,#REF!,#REF!,#REF!,#REF!,#REF!,#REF!,#REF!</definedName>
    <definedName name="V_ALL_KEYWORDS_TYPE_Vector_ISSR_208002861" localSheetId="2">#REF!,#REF!,#REF!,#REF!,#REF!,#REF!,#REF!,#REF!,#REF!,#REF!,#REF!,#REF!,#REF!,#REF!,#REF!,#REF!,#REF!,#REF!,#REF!,#REF!,#REF!,#REF!,#REF!,#REF!,#REF!,#REF!</definedName>
    <definedName name="V_ALL_KEYWORDS_TYPE_Vector_ISSR_208002861" localSheetId="14">#REF!,#REF!,#REF!,#REF!,#REF!,#REF!,#REF!,#REF!,#REF!,#REF!,#REF!,#REF!,#REF!,#REF!,#REF!,#REF!,#REF!,#REF!,#REF!,#REF!,#REF!,#REF!,#REF!,#REF!,#REF!,#REF!</definedName>
    <definedName name="V_ALL_KEYWORDS_TYPE_Vector_ISSR_208002861">#REF!,#REF!,#REF!,#REF!,#REF!,#REF!,#REF!,#REF!,#REF!,#REF!,#REF!,#REF!,#REF!,#REF!,#REF!,#REF!,#REF!,#REF!,#REF!,#REF!,#REF!,#REF!,#REF!,#REF!,#REF!,#REF!</definedName>
    <definedName name="V_ALL_KEYWORDS_TYPE_Vector_ISSR_208006659" localSheetId="2">#REF!,#REF!,#REF!,#REF!,#REF!,#REF!,#REF!,#REF!,#REF!,#REF!,#REF!,#REF!,#REF!,#REF!</definedName>
    <definedName name="V_ALL_KEYWORDS_TYPE_Vector_ISSR_208006659" localSheetId="14">#REF!,#REF!,#REF!,#REF!,#REF!,#REF!,#REF!,#REF!,#REF!,#REF!,#REF!,#REF!,#REF!,#REF!,#REF!,#REF!,#REF!,#REF!,#REF!,#REF!,#REF!,#REF!,#REF!,#REF!,#REF!,#REF!</definedName>
    <definedName name="V_ALL_KEYWORDS_TYPE_Vector_ISSR_208006659" localSheetId="18">#REF!,#REF!,#REF!,#REF!,#REF!,#REF!,#REF!,#REF!,#REF!,#REF!,#REF!,#REF!,#REF!,#REF!,#REF!,#REF!,#REF!,#REF!,#REF!,#REF!,#REF!,#REF!</definedName>
    <definedName name="V_ALL_KEYWORDS_TYPE_Vector_ISSR_208006659">#REF!,#REF!,#REF!,#REF!,#REF!,#REF!,#REF!,#REF!,#REF!,#REF!,#REF!,#REF!,#REF!,#REF!,#REF!,#REF!,#REF!,#REF!,#REF!,#REF!,#REF!,#REF!</definedName>
    <definedName name="V_ALL_KEYWORDS_TYPE_Vector_ISSR_208007413" localSheetId="2">#REF!,#REF!,#REF!,#REF!,#REF!,#REF!,#REF!,#REF!,#REF!,#REF!,#REF!,#REF!,#REF!,#REF!,#REF!,#REF!,#REF!,#REF!,#REF!,#REF!,#REF!,#REF!,#REF!,#REF!,#REF!,#REF!</definedName>
    <definedName name="V_ALL_KEYWORDS_TYPE_Vector_ISSR_208007413" localSheetId="14">#REF!,#REF!,#REF!,#REF!,#REF!,#REF!,#REF!,#REF!,#REF!,#REF!,#REF!,#REF!</definedName>
    <definedName name="V_ALL_KEYWORDS_TYPE_Vector_ISSR_208007413">#REF!,#REF!,#REF!,#REF!,#REF!,#REF!,#REF!,#REF!,#REF!,#REF!,#REF!,#REF!,#REF!,#REF!,#REF!,#REF!,#REF!,#REF!,#REF!,#REF!,#REF!,#REF!,#REF!,#REF!,#REF!,#REF!</definedName>
    <definedName name="V_ALL_KEYWORDS_TYPE_Vector_ISSR_208007414" localSheetId="2">#REF!,#REF!,#REF!,#REF!,#REF!,#REF!,#REF!,#REF!,#REF!</definedName>
    <definedName name="V_ALL_KEYWORDS_TYPE_Vector_ISSR_208007414" localSheetId="14">#REF!,#REF!,#REF!,#REF!,#REF!,#REF!,#REF!,#REF!,#REF!</definedName>
    <definedName name="V_ALL_KEYWORDS_TYPE_Vector_ISSR_208007414">#REF!,#REF!,#REF!,#REF!,#REF!,#REF!,#REF!,#REF!,#REF!</definedName>
    <definedName name="V_ALL_KEYWORDS_TYPE_Vector_ISSR_208007415" localSheetId="2">#REF!,#REF!,#REF!,#REF!,#REF!,#REF!,#REF!,#REF!,#REF!,#REF!,#REF!,#REF!,#REF!,#REF!,#REF!,#REF!,#REF!,#REF!,#REF!,#REF!,#REF!,#REF!,#REF!,#REF!,#REF!,#REF!</definedName>
    <definedName name="V_ALL_KEYWORDS_TYPE_Vector_ISSR_208007415" localSheetId="14">#REF!,#REF!,#REF!,#REF!,#REF!,#REF!,#REF!,#REF!,#REF!,#REF!,#REF!,#REF!,#REF!,#REF!</definedName>
    <definedName name="V_ALL_KEYWORDS_TYPE_Vector_ISSR_208007415">#REF!,#REF!,#REF!,#REF!,#REF!,#REF!,#REF!,#REF!,#REF!,#REF!,#REF!,#REF!,#REF!,#REF!,#REF!,#REF!,#REF!,#REF!,#REF!,#REF!,#REF!,#REF!,#REF!,#REF!,#REF!,#REF!</definedName>
    <definedName name="V_ALL_KEYWORDS_TYPE_Vector_ISSR_208008646" localSheetId="2">#REF!,#REF!,#REF!,#REF!,#REF!,#REF!,#REF!,#REF!,#REF!,#REF!,#REF!,#REF!,#REF!,#REF!</definedName>
    <definedName name="V_ALL_KEYWORDS_TYPE_Vector_ISSR_208008646" localSheetId="14">#REF!,#REF!,#REF!,#REF!,#REF!,#REF!,#REF!,#REF!,#REF!,#REF!,#REF!,#REF!,#REF!,#REF!,#REF!,#REF!,#REF!,#REF!,#REF!,#REF!,#REF!,#REF!,#REF!,#REF!,#REF!,#REF!</definedName>
    <definedName name="V_ALL_KEYWORDS_TYPE_Vector_ISSR_208008646">#REF!,#REF!,#REF!,#REF!,#REF!,#REF!,#REF!,#REF!,#REF!,#REF!,#REF!,#REF!,#REF!,#REF!</definedName>
    <definedName name="V_ALL_MGGT.L" localSheetId="2">#REF!</definedName>
    <definedName name="V_ALL_MGGT.L" localSheetId="14">#REF!</definedName>
    <definedName name="V_ALL_MGGT.L">#REF!</definedName>
    <definedName name="V_ALL_MTXGn.DE" localSheetId="2">#REF!</definedName>
    <definedName name="V_ALL_MTXGn.DE" localSheetId="14">#REF!</definedName>
    <definedName name="V_ALL_MTXGn.DE">#REF!</definedName>
    <definedName name="V_ALL_PERIODS_MTXGn.DE" localSheetId="17">#REF!</definedName>
    <definedName name="V_ALL_PERIODS_MTXGn.DE" localSheetId="14">#REF!</definedName>
    <definedName name="V_ALL_PERIODS_MTXGn.DE" localSheetId="18">#REF!</definedName>
    <definedName name="V_ALL_PERIODS_MTXGn.DE" localSheetId="19">#REF!</definedName>
    <definedName name="V_ALL_PERIODS_MTXGn.DE">#REF!</definedName>
    <definedName name="V_ALL_QQ.L" localSheetId="2">#REF!</definedName>
    <definedName name="V_ALL_QQ.L" localSheetId="14">#REF!</definedName>
    <definedName name="V_ALL_QQ.L">#REF!</definedName>
    <definedName name="V_ALL_RR.L" localSheetId="2">#REF!</definedName>
    <definedName name="V_ALL_RR.L" localSheetId="14">#REF!</definedName>
    <definedName name="V_ALL_RR.L">#REF!</definedName>
    <definedName name="V_ALL_SAABb.ST" localSheetId="2">#REF!</definedName>
    <definedName name="V_ALL_SAABb.ST" localSheetId="14">#REF!</definedName>
    <definedName name="V_ALL_SAABb.ST">#REF!</definedName>
    <definedName name="V_ALL_SAABb.ST_" localSheetId="17">#REF!</definedName>
    <definedName name="V_ALL_SAABb.ST_" localSheetId="14">#REF!</definedName>
    <definedName name="V_ALL_SAABb.ST_" localSheetId="18">#REF!</definedName>
    <definedName name="V_ALL_SAABb.ST_" localSheetId="19">#REF!</definedName>
    <definedName name="V_ALL_SAABb.ST_">#REF!</definedName>
    <definedName name="V_ALL_SAF.PA" localSheetId="21">#REF!</definedName>
    <definedName name="V_ALL_SAF.PA" localSheetId="14">#REF!</definedName>
    <definedName name="V_ALL_SAF.PA" localSheetId="18">#REF!</definedName>
    <definedName name="V_ALL_SAF.PA">#REF!</definedName>
    <definedName name="V_ALL_SAF.PA_" localSheetId="17">#REF!</definedName>
    <definedName name="V_ALL_SAF.PA_" localSheetId="14">#REF!</definedName>
    <definedName name="V_ALL_SAF.PA_" localSheetId="18">#REF!</definedName>
    <definedName name="V_ALL_SAF.PA_" localSheetId="19">#REF!</definedName>
    <definedName name="V_ALL_SAF.PA_">#REF!</definedName>
    <definedName name="V_ALL_SAND.ST">#REF!</definedName>
    <definedName name="V_ALL_SECTION_KEYWORDS_EQTY_200007513_1314" localSheetId="17">#REF!</definedName>
    <definedName name="V_ALL_SECTION_KEYWORDS_EQTY_200007513_1314" localSheetId="14">#REF!</definedName>
    <definedName name="V_ALL_SECTION_KEYWORDS_EQTY_200007513_1314" localSheetId="18">#REF!</definedName>
    <definedName name="V_ALL_SECTION_KEYWORDS_EQTY_200007513_1314" localSheetId="19">#REF!</definedName>
    <definedName name="V_ALL_SECTION_KEYWORDS_EQTY_200007513_1314">#REF!</definedName>
    <definedName name="V_ALL_SECTION_KEYWORDS_EQTY_200007513_131E" localSheetId="17">#REF!</definedName>
    <definedName name="V_ALL_SECTION_KEYWORDS_EQTY_200007513_131E" localSheetId="14">#REF!</definedName>
    <definedName name="V_ALL_SECTION_KEYWORDS_EQTY_200007513_131E" localSheetId="18">#REF!</definedName>
    <definedName name="V_ALL_SECTION_KEYWORDS_EQTY_200007513_131E" localSheetId="19">#REF!</definedName>
    <definedName name="V_ALL_SECTION_KEYWORDS_EQTY_200007513_131E">#REF!</definedName>
    <definedName name="V_ALL_SECTION_KEYWORDS_EQTY_200007513_131O" localSheetId="17">#REF!</definedName>
    <definedName name="V_ALL_SECTION_KEYWORDS_EQTY_200007513_131O" localSheetId="14">#REF!</definedName>
    <definedName name="V_ALL_SECTION_KEYWORDS_EQTY_200007513_131O" localSheetId="18">#REF!</definedName>
    <definedName name="V_ALL_SECTION_KEYWORDS_EQTY_200007513_131O" localSheetId="19">#REF!</definedName>
    <definedName name="V_ALL_SECTION_KEYWORDS_EQTY_200007513_131O">#REF!</definedName>
    <definedName name="V_ALL_SECTION_KEYWORDS_EQTY_200007513_13A" localSheetId="17">#REF!</definedName>
    <definedName name="V_ALL_SECTION_KEYWORDS_EQTY_200007513_13A" localSheetId="14">#REF!</definedName>
    <definedName name="V_ALL_SECTION_KEYWORDS_EQTY_200007513_13A" localSheetId="18">#REF!</definedName>
    <definedName name="V_ALL_SECTION_KEYWORDS_EQTY_200007513_13A" localSheetId="19">#REF!</definedName>
    <definedName name="V_ALL_SECTION_KEYWORDS_EQTY_200007513_13A">#REF!</definedName>
    <definedName name="V_ALL_SECTION_KEYWORDS_EQTY_200007513_13K" localSheetId="17">#REF!</definedName>
    <definedName name="V_ALL_SECTION_KEYWORDS_EQTY_200007513_13K" localSheetId="14">#REF!</definedName>
    <definedName name="V_ALL_SECTION_KEYWORDS_EQTY_200007513_13K" localSheetId="18">#REF!</definedName>
    <definedName name="V_ALL_SECTION_KEYWORDS_EQTY_200007513_13K" localSheetId="19">#REF!</definedName>
    <definedName name="V_ALL_SECTION_KEYWORDS_EQTY_200007513_13K">#REF!</definedName>
    <definedName name="V_ALL_SECTION_KEYWORDS_EQTY_200007513_13U" localSheetId="17">#REF!</definedName>
    <definedName name="V_ALL_SECTION_KEYWORDS_EQTY_200007513_13U" localSheetId="14">#REF!</definedName>
    <definedName name="V_ALL_SECTION_KEYWORDS_EQTY_200007513_13U" localSheetId="18">#REF!</definedName>
    <definedName name="V_ALL_SECTION_KEYWORDS_EQTY_200007513_13U" localSheetId="19">#REF!</definedName>
    <definedName name="V_ALL_SECTION_KEYWORDS_EQTY_200007513_13U">#REF!</definedName>
    <definedName name="V_ALL_SECTION_KEYWORDS_EQTY_200007513_13V" localSheetId="17">#REF!</definedName>
    <definedName name="V_ALL_SECTION_KEYWORDS_EQTY_200007513_13V" localSheetId="14">#REF!</definedName>
    <definedName name="V_ALL_SECTION_KEYWORDS_EQTY_200007513_13V" localSheetId="18">#REF!</definedName>
    <definedName name="V_ALL_SECTION_KEYWORDS_EQTY_200007513_13V" localSheetId="19">#REF!</definedName>
    <definedName name="V_ALL_SECTION_KEYWORDS_EQTY_200007513_13V">#REF!</definedName>
    <definedName name="V_ALL_SECTION_KEYWORDS_EQTY_200007513_Reference_Data" localSheetId="17">#REF!</definedName>
    <definedName name="V_ALL_SECTION_KEYWORDS_EQTY_200007513_Reference_Data" localSheetId="14">#REF!</definedName>
    <definedName name="V_ALL_SECTION_KEYWORDS_EQTY_200007513_Reference_Data" localSheetId="18">#REF!</definedName>
    <definedName name="V_ALL_SECTION_KEYWORDS_EQTY_200007513_Reference_Data" localSheetId="19">#REF!</definedName>
    <definedName name="V_ALL_SECTION_KEYWORDS_EQTY_200007513_Reference_Data">#REF!</definedName>
    <definedName name="V_ALL_SECTION_KEYWORDS_EQTY_200008448_13A">#REF!</definedName>
    <definedName name="V_ALL_SECTION_KEYWORDS_ISSR_208000023_13V">#REF!,#REF!</definedName>
    <definedName name="V_ALL_SECTION_KEYWORDS_ISSR_208001092_13V" localSheetId="2">#REF!,#REF!</definedName>
    <definedName name="V_ALL_SECTION_KEYWORDS_ISSR_208001092_13V">#REF!,#REF!</definedName>
    <definedName name="V_ALL_SECTION_KEYWORDS_ISSR_208001095_13V" localSheetId="2">#REF!,#REF!</definedName>
    <definedName name="V_ALL_SECTION_KEYWORDS_ISSR_208001095_13V">#REF!,#REF!</definedName>
    <definedName name="V_ALL_SECTION_KEYWORDS_ISSR_208001098_13173">#REF!,#REF!</definedName>
    <definedName name="V_ALL_SECTION_KEYWORDS_ISSR_208001098_13178">#REF!,#REF!</definedName>
    <definedName name="V_ALL_SECTION_KEYWORDS_ISSR_208001098_136J">#REF!,#REF!</definedName>
    <definedName name="V_ALL_SECTION_KEYWORDS_ISSR_208001100_13V" localSheetId="2">#REF!,#REF!</definedName>
    <definedName name="V_ALL_SECTION_KEYWORDS_ISSR_208001100_13V">#REF!,#REF!</definedName>
    <definedName name="V_ALL_SECTION_KEYWORDS_ISSR_208001219_136E" localSheetId="2">#REF!,#REF!</definedName>
    <definedName name="V_ALL_SECTION_KEYWORDS_ISSR_208001219_136E">#REF!,#REF!</definedName>
    <definedName name="V_ALL_SECTION_KEYWORDS_ISSR_208001433_13173" localSheetId="2">#REF!,#REF!</definedName>
    <definedName name="V_ALL_SECTION_KEYWORDS_ISSR_208001433_13173">#REF!,#REF!</definedName>
    <definedName name="V_ALL_SECTION_KEYWORDS_ISSR_208001433_13178">#REF!,#REF!</definedName>
    <definedName name="V_ALL_SECTION_KEYWORDS_ISSR_208001433_131O">#REF!,#REF!</definedName>
    <definedName name="V_ALL_SECTION_KEYWORDS_ISSR_208001433_136J" localSheetId="2">#REF!,#REF!</definedName>
    <definedName name="V_ALL_SECTION_KEYWORDS_ISSR_208001433_136J">#REF!,#REF!</definedName>
    <definedName name="V_ALL_SECTION_KEYWORDS_ISSR_208001433_13V" localSheetId="2">#REF!,#REF!</definedName>
    <definedName name="V_ALL_SECTION_KEYWORDS_ISSR_208001433_13V" localSheetId="18">#REF!,#REF!</definedName>
    <definedName name="V_ALL_SECTION_KEYWORDS_ISSR_208001433_13V">#REF!,#REF!</definedName>
    <definedName name="V_ALL_SECTION_KEYWORDS_ISSR_208002861_1314" localSheetId="17">#REF!</definedName>
    <definedName name="V_ALL_SECTION_KEYWORDS_ISSR_208002861_1314" localSheetId="14">#REF!</definedName>
    <definedName name="V_ALL_SECTION_KEYWORDS_ISSR_208002861_1314" localSheetId="18">#REF!</definedName>
    <definedName name="V_ALL_SECTION_KEYWORDS_ISSR_208002861_1314" localSheetId="19">#REF!</definedName>
    <definedName name="V_ALL_SECTION_KEYWORDS_ISSR_208002861_1314">#REF!</definedName>
    <definedName name="V_ALL_SECTION_KEYWORDS_ISSR_208002861_13168" localSheetId="17">#REF!</definedName>
    <definedName name="V_ALL_SECTION_KEYWORDS_ISSR_208002861_13168" localSheetId="14">#REF!</definedName>
    <definedName name="V_ALL_SECTION_KEYWORDS_ISSR_208002861_13168" localSheetId="18">#REF!</definedName>
    <definedName name="V_ALL_SECTION_KEYWORDS_ISSR_208002861_13168" localSheetId="19">#REF!</definedName>
    <definedName name="V_ALL_SECTION_KEYWORDS_ISSR_208002861_13168">#REF!</definedName>
    <definedName name="V_ALL_SECTION_KEYWORDS_ISSR_208002861_1316S" localSheetId="17">#REF!</definedName>
    <definedName name="V_ALL_SECTION_KEYWORDS_ISSR_208002861_1316S" localSheetId="14">#REF!</definedName>
    <definedName name="V_ALL_SECTION_KEYWORDS_ISSR_208002861_1316S" localSheetId="18">#REF!</definedName>
    <definedName name="V_ALL_SECTION_KEYWORDS_ISSR_208002861_1316S" localSheetId="19">#REF!</definedName>
    <definedName name="V_ALL_SECTION_KEYWORDS_ISSR_208002861_1316S">#REF!</definedName>
    <definedName name="V_ALL_SECTION_KEYWORDS_ISSR_208002861_1316T" localSheetId="17">#REF!</definedName>
    <definedName name="V_ALL_SECTION_KEYWORDS_ISSR_208002861_1316T" localSheetId="14">#REF!</definedName>
    <definedName name="V_ALL_SECTION_KEYWORDS_ISSR_208002861_1316T" localSheetId="18">#REF!</definedName>
    <definedName name="V_ALL_SECTION_KEYWORDS_ISSR_208002861_1316T" localSheetId="19">#REF!</definedName>
    <definedName name="V_ALL_SECTION_KEYWORDS_ISSR_208002861_1316T">#REF!</definedName>
    <definedName name="V_ALL_SECTION_KEYWORDS_ISSR_208002861_1316U" localSheetId="17">#REF!</definedName>
    <definedName name="V_ALL_SECTION_KEYWORDS_ISSR_208002861_1316U" localSheetId="14">#REF!</definedName>
    <definedName name="V_ALL_SECTION_KEYWORDS_ISSR_208002861_1316U" localSheetId="18">#REF!</definedName>
    <definedName name="V_ALL_SECTION_KEYWORDS_ISSR_208002861_1316U" localSheetId="19">#REF!</definedName>
    <definedName name="V_ALL_SECTION_KEYWORDS_ISSR_208002861_1316U">#REF!</definedName>
    <definedName name="V_ALL_SECTION_KEYWORDS_ISSR_208002861_1319" localSheetId="17">#REF!</definedName>
    <definedName name="V_ALL_SECTION_KEYWORDS_ISSR_208002861_1319" localSheetId="14">#REF!</definedName>
    <definedName name="V_ALL_SECTION_KEYWORDS_ISSR_208002861_1319" localSheetId="18">#REF!</definedName>
    <definedName name="V_ALL_SECTION_KEYWORDS_ISSR_208002861_1319" localSheetId="19">#REF!</definedName>
    <definedName name="V_ALL_SECTION_KEYWORDS_ISSR_208002861_1319">#REF!</definedName>
    <definedName name="V_ALL_SECTION_KEYWORDS_ISSR_208002861_131E" localSheetId="17">#REF!</definedName>
    <definedName name="V_ALL_SECTION_KEYWORDS_ISSR_208002861_131E" localSheetId="14">#REF!</definedName>
    <definedName name="V_ALL_SECTION_KEYWORDS_ISSR_208002861_131E" localSheetId="18">#REF!</definedName>
    <definedName name="V_ALL_SECTION_KEYWORDS_ISSR_208002861_131E" localSheetId="19">#REF!</definedName>
    <definedName name="V_ALL_SECTION_KEYWORDS_ISSR_208002861_131E">#REF!</definedName>
    <definedName name="V_ALL_SECTION_KEYWORDS_ISSR_208002861_131J" localSheetId="17">#REF!</definedName>
    <definedName name="V_ALL_SECTION_KEYWORDS_ISSR_208002861_131J" localSheetId="14">#REF!</definedName>
    <definedName name="V_ALL_SECTION_KEYWORDS_ISSR_208002861_131J" localSheetId="18">#REF!</definedName>
    <definedName name="V_ALL_SECTION_KEYWORDS_ISSR_208002861_131J" localSheetId="19">#REF!</definedName>
    <definedName name="V_ALL_SECTION_KEYWORDS_ISSR_208002861_131J">#REF!</definedName>
    <definedName name="V_ALL_SECTION_KEYWORDS_ISSR_208002861_131O" localSheetId="17">#REF!</definedName>
    <definedName name="V_ALL_SECTION_KEYWORDS_ISSR_208002861_131O" localSheetId="14">#REF!</definedName>
    <definedName name="V_ALL_SECTION_KEYWORDS_ISSR_208002861_131O" localSheetId="18">#REF!</definedName>
    <definedName name="V_ALL_SECTION_KEYWORDS_ISSR_208002861_131O" localSheetId="19">#REF!</definedName>
    <definedName name="V_ALL_SECTION_KEYWORDS_ISSR_208002861_131O">#REF!</definedName>
    <definedName name="V_ALL_SECTION_KEYWORDS_ISSR_208002861_13U" localSheetId="17">#REF!</definedName>
    <definedName name="V_ALL_SECTION_KEYWORDS_ISSR_208002861_13U" localSheetId="14">#REF!</definedName>
    <definedName name="V_ALL_SECTION_KEYWORDS_ISSR_208002861_13U" localSheetId="18">#REF!</definedName>
    <definedName name="V_ALL_SECTION_KEYWORDS_ISSR_208002861_13U" localSheetId="19">#REF!</definedName>
    <definedName name="V_ALL_SECTION_KEYWORDS_ISSR_208002861_13U">#REF!</definedName>
    <definedName name="V_ALL_SECTION_KEYWORDS_ISSR_208002861_13V" localSheetId="17">#REF!</definedName>
    <definedName name="V_ALL_SECTION_KEYWORDS_ISSR_208002861_13V" localSheetId="14">#REF!</definedName>
    <definedName name="V_ALL_SECTION_KEYWORDS_ISSR_208002861_13V" localSheetId="18">#REF!</definedName>
    <definedName name="V_ALL_SECTION_KEYWORDS_ISSR_208002861_13V" localSheetId="19">#REF!</definedName>
    <definedName name="V_ALL_SECTION_KEYWORDS_ISSR_208002861_13V">#REF!</definedName>
    <definedName name="V_ALL_SECTION_KEYWORDS_ISSR_208002861_Reference_Data" localSheetId="17">#REF!</definedName>
    <definedName name="V_ALL_SECTION_KEYWORDS_ISSR_208002861_Reference_Data" localSheetId="14">#REF!</definedName>
    <definedName name="V_ALL_SECTION_KEYWORDS_ISSR_208002861_Reference_Data" localSheetId="18">#REF!</definedName>
    <definedName name="V_ALL_SECTION_KEYWORDS_ISSR_208002861_Reference_Data" localSheetId="19">#REF!</definedName>
    <definedName name="V_ALL_SECTION_KEYWORDS_ISSR_208002861_Reference_Data">#REF!</definedName>
    <definedName name="V_ALL_SECTION_KEYWORDS_ISSR_208006659_13173" localSheetId="2">#REF!,#REF!</definedName>
    <definedName name="V_ALL_SECTION_KEYWORDS_ISSR_208006659_13173">#REF!,#REF!</definedName>
    <definedName name="V_ALL_SECTION_KEYWORDS_ISSR_208006659_13178" localSheetId="18">#REF!,#REF!</definedName>
    <definedName name="V_ALL_SECTION_KEYWORDS_ISSR_208006659_13178">#REF!,#REF!</definedName>
    <definedName name="V_ALL_SECTION_KEYWORDS_ISSR_208006659_1319" localSheetId="18">#REF!,#REF!</definedName>
    <definedName name="V_ALL_SECTION_KEYWORDS_ISSR_208006659_1319">#REF!,#REF!</definedName>
    <definedName name="V_ALL_SECTION_KEYWORDS_ISSR_208006659_131O" localSheetId="2">#REF!,#REF!</definedName>
    <definedName name="V_ALL_SECTION_KEYWORDS_ISSR_208006659_131O">#REF!,#REF!</definedName>
    <definedName name="V_ALL_SECTION_KEYWORDS_ISSR_208006659_136J" localSheetId="2">#REF!,#REF!</definedName>
    <definedName name="V_ALL_SECTION_KEYWORDS_ISSR_208006659_136J">#REF!</definedName>
    <definedName name="V_ALL_SECTION_KEYWORDS_ISSR_208007415_13V" localSheetId="2">#REF!,#REF!</definedName>
    <definedName name="V_ALL_SECTION_KEYWORDS_ISSR_208007415_13V">#REF!,#REF!</definedName>
    <definedName name="V_ALL_SECTION_KEYWORDS_ISSR_208008646_13V" localSheetId="2">#REF!,#REF!</definedName>
    <definedName name="V_ALL_SECTION_KEYWORDS_ISSR_208008646_13V">#REF!,#REF!</definedName>
    <definedName name="V_ALL_SECTIONS_EQTY_200003162" localSheetId="2">#REF!,#REF!,#REF!,#REF!,#REF!,#REF!,#REF!,#REF!</definedName>
    <definedName name="V_ALL_SECTIONS_EQTY_200003162" localSheetId="14">#REF!,#REF!,#REF!,#REF!,#REF!,#REF!,#REF!,#REF!</definedName>
    <definedName name="V_ALL_SECTIONS_EQTY_200003162">#REF!,#REF!,#REF!,#REF!,#REF!,#REF!,#REF!,#REF!</definedName>
    <definedName name="V_ALL_SECTIONS_EQTY_200003170" localSheetId="2">#REF!,#REF!,#REF!,#REF!,#REF!,#REF!,#REF!,#REF!</definedName>
    <definedName name="V_ALL_SECTIONS_EQTY_200003170" localSheetId="14">#REF!,#REF!,#REF!,#REF!,#REF!,#REF!,#REF!,#REF!</definedName>
    <definedName name="V_ALL_SECTIONS_EQTY_200003170">#REF!,#REF!,#REF!,#REF!,#REF!,#REF!,#REF!,#REF!</definedName>
    <definedName name="V_ALL_SECTIONS_EQTY_200003173" localSheetId="2">#REF!,#REF!,#REF!,#REF!,#REF!,#REF!,#REF!,#REF!</definedName>
    <definedName name="V_ALL_SECTIONS_EQTY_200003173" localSheetId="14">#REF!,#REF!,#REF!,#REF!,#REF!,#REF!,#REF!,#REF!</definedName>
    <definedName name="V_ALL_SECTIONS_EQTY_200003173">#REF!,#REF!,#REF!,#REF!,#REF!,#REF!,#REF!,#REF!</definedName>
    <definedName name="V_ALL_SECTIONS_EQTY_200003183" localSheetId="2">#REF!,#REF!,#REF!,#REF!,#REF!,#REF!,#REF!,#REF!</definedName>
    <definedName name="V_ALL_SECTIONS_EQTY_200003183" localSheetId="14">#REF!,#REF!,#REF!,#REF!,#REF!,#REF!,#REF!,#REF!</definedName>
    <definedName name="V_ALL_SECTIONS_EQTY_200003183">#REF!,#REF!,#REF!,#REF!,#REF!,#REF!,#REF!,#REF!</definedName>
    <definedName name="V_ALL_SECTIONS_EQTY_200003821" localSheetId="2">#REF!,#REF!,#REF!,#REF!,#REF!,#REF!,#REF!,#REF!</definedName>
    <definedName name="V_ALL_SECTIONS_EQTY_200003821" localSheetId="14">#REF!,#REF!,#REF!,#REF!,#REF!,#REF!,#REF!,#REF!</definedName>
    <definedName name="V_ALL_SECTIONS_EQTY_200003821">#REF!,#REF!,#REF!,#REF!,#REF!,#REF!,#REF!,#REF!</definedName>
    <definedName name="V_ALL_SECTIONS_EQTY_200004285" localSheetId="2">#REF!,#REF!,#REF!,#REF!,#REF!,#REF!,#REF!,#REF!</definedName>
    <definedName name="V_ALL_SECTIONS_EQTY_200004285">#REF!,#REF!,#REF!,#REF!,#REF!,#REF!,#REF!,#REF!</definedName>
    <definedName name="V_ALL_SECTIONS_EQTY_200005121" localSheetId="2">#REF!,#REF!,#REF!,#REF!,#REF!,#REF!,#REF!,#REF!</definedName>
    <definedName name="V_ALL_SECTIONS_EQTY_200005121" localSheetId="14">#REF!,#REF!,#REF!,#REF!,#REF!,#REF!,#REF!,#REF!</definedName>
    <definedName name="V_ALL_SECTIONS_EQTY_200005121">#REF!,#REF!,#REF!,#REF!,#REF!,#REF!,#REF!,#REF!</definedName>
    <definedName name="V_ALL_SECTIONS_EQTY_200007513" localSheetId="2">#REF!,#REF!,#REF!,#REF!,#REF!,#REF!,#REF!,#REF!</definedName>
    <definedName name="V_ALL_SECTIONS_EQTY_200007513" localSheetId="14">#REF!,#REF!,#REF!,#REF!,#REF!,#REF!,#REF!,#REF!</definedName>
    <definedName name="V_ALL_SECTIONS_EQTY_200007513">#REF!,#REF!,#REF!,#REF!,#REF!,#REF!,#REF!,#REF!</definedName>
    <definedName name="V_ALL_SECTIONS_EQTY_200009618" localSheetId="2">#REF!,#REF!,#REF!,#REF!,#REF!,#REF!,#REF!,#REF!</definedName>
    <definedName name="V_ALL_SECTIONS_EQTY_200009618" localSheetId="14">#REF!,#REF!,#REF!,#REF!,#REF!,#REF!,#REF!,#REF!</definedName>
    <definedName name="V_ALL_SECTIONS_EQTY_200009618">#REF!,#REF!,#REF!,#REF!,#REF!,#REF!,#REF!,#REF!</definedName>
    <definedName name="V_ALL_SECTIONS_EQTY_200009619" localSheetId="2">#REF!,#REF!,#REF!,#REF!,#REF!,#REF!,#REF!,#REF!</definedName>
    <definedName name="V_ALL_SECTIONS_EQTY_200009619" localSheetId="14">#REF!,#REF!,#REF!,#REF!,#REF!,#REF!,#REF!,#REF!</definedName>
    <definedName name="V_ALL_SECTIONS_EQTY_200009619">#REF!,#REF!,#REF!,#REF!,#REF!,#REF!,#REF!,#REF!</definedName>
    <definedName name="V_ALL_SECTIONS_EQTY_200009620" localSheetId="2">#REF!,#REF!,#REF!,#REF!,#REF!,#REF!,#REF!,#REF!</definedName>
    <definedName name="V_ALL_SECTIONS_EQTY_200009620" localSheetId="14">#REF!,#REF!,#REF!,#REF!,#REF!,#REF!,#REF!,#REF!</definedName>
    <definedName name="V_ALL_SECTIONS_EQTY_200009620">#REF!,#REF!,#REF!,#REF!,#REF!,#REF!,#REF!,#REF!</definedName>
    <definedName name="V_ALL_SECTIONS_EQTY_200011295" localSheetId="2">#REF!,#REF!,#REF!,#REF!,#REF!,#REF!,#REF!,#REF!</definedName>
    <definedName name="V_ALL_SECTIONS_EQTY_200011295">#REF!,#REF!,#REF!,#REF!,#REF!,#REF!,#REF!,#REF!</definedName>
    <definedName name="V_ALL_SECTIONS_ISSR_208001092" localSheetId="2">#REF!,#REF!,#REF!,#REF!,#REF!,#REF!,#REF!,#REF!,#REF!,#REF!</definedName>
    <definedName name="V_ALL_SECTIONS_ISSR_208001092" localSheetId="14">#REF!,#REF!,#REF!,#REF!,#REF!,#REF!,#REF!,#REF!,#REF!,#REF!</definedName>
    <definedName name="V_ALL_SECTIONS_ISSR_208001092">#REF!,#REF!,#REF!,#REF!,#REF!,#REF!,#REF!,#REF!,#REF!,#REF!</definedName>
    <definedName name="V_ALL_SECTIONS_ISSR_208001096" localSheetId="2">#REF!,#REF!,#REF!,#REF!,#REF!,#REF!,#REF!,#REF!,#REF!,#REF!</definedName>
    <definedName name="V_ALL_SECTIONS_ISSR_208001096" localSheetId="14">#REF!,#REF!,#REF!,#REF!,#REF!,#REF!,#REF!,#REF!,#REF!,#REF!</definedName>
    <definedName name="V_ALL_SECTIONS_ISSR_208001096">#REF!,#REF!,#REF!,#REF!,#REF!,#REF!,#REF!,#REF!,#REF!,#REF!</definedName>
    <definedName name="V_ALL_SECTIONS_ISSR_208001098" localSheetId="2">#REF!,#REF!,#REF!,#REF!,#REF!,#REF!,#REF!,#REF!,#REF!,#REF!</definedName>
    <definedName name="V_ALL_SECTIONS_ISSR_208001098" localSheetId="14">#REF!,#REF!,#REF!,#REF!,#REF!,#REF!,#REF!,#REF!,#REF!,#REF!</definedName>
    <definedName name="V_ALL_SECTIONS_ISSR_208001098">#REF!,#REF!,#REF!,#REF!,#REF!,#REF!,#REF!,#REF!,#REF!,#REF!</definedName>
    <definedName name="V_ALL_SECTIONS_ISSR_208001100" localSheetId="2">#REF!,#REF!,#REF!,#REF!,#REF!,#REF!,#REF!,#REF!,#REF!,#REF!</definedName>
    <definedName name="V_ALL_SECTIONS_ISSR_208001100" localSheetId="14">#REF!,#REF!,#REF!,#REF!,#REF!,#REF!,#REF!,#REF!,#REF!,#REF!</definedName>
    <definedName name="V_ALL_SECTIONS_ISSR_208001100">#REF!,#REF!,#REF!,#REF!,#REF!,#REF!,#REF!,#REF!,#REF!,#REF!</definedName>
    <definedName name="V_ALL_SECTIONS_ISSR_208001129" localSheetId="2">#REF!,#REF!,#REF!,#REF!,#REF!,#REF!,#REF!,#REF!,#REF!,#REF!</definedName>
    <definedName name="V_ALL_SECTIONS_ISSR_208001129" localSheetId="14">#REF!,#REF!,#REF!,#REF!,#REF!,#REF!,#REF!,#REF!,#REF!,#REF!</definedName>
    <definedName name="V_ALL_SECTIONS_ISSR_208001129">#REF!,#REF!,#REF!,#REF!,#REF!,#REF!,#REF!,#REF!,#REF!,#REF!</definedName>
    <definedName name="V_ALL_SECTIONS_ISSR_208001433" localSheetId="2">#REF!,#REF!,#REF!,#REF!,#REF!,#REF!,#REF!,#REF!,#REF!,#REF!</definedName>
    <definedName name="V_ALL_SECTIONS_ISSR_208001433" localSheetId="14">#REF!,#REF!,#REF!,#REF!,#REF!,#REF!,#REF!,#REF!,#REF!,#REF!</definedName>
    <definedName name="V_ALL_SECTIONS_ISSR_208001433">#REF!,#REF!,#REF!,#REF!,#REF!,#REF!,#REF!,#REF!,#REF!,#REF!</definedName>
    <definedName name="V_ALL_SECTIONS_ISSR_208002861" localSheetId="2">#REF!,#REF!,#REF!,#REF!,#REF!,#REF!,#REF!,#REF!,#REF!,#REF!</definedName>
    <definedName name="V_ALL_SECTIONS_ISSR_208002861" localSheetId="14">#REF!,#REF!,#REF!,#REF!,#REF!,#REF!,#REF!,#REF!,#REF!,#REF!</definedName>
    <definedName name="V_ALL_SECTIONS_ISSR_208002861">#REF!,#REF!,#REF!,#REF!,#REF!,#REF!,#REF!,#REF!,#REF!,#REF!</definedName>
    <definedName name="V_ALL_SECTIONS_ISSR_208007413" localSheetId="2">#REF!,#REF!,#REF!,#REF!,#REF!,#REF!,#REF!,#REF!,#REF!,#REF!</definedName>
    <definedName name="V_ALL_SECTIONS_ISSR_208007413" localSheetId="14">#REF!,#REF!,#REF!,#REF!,#REF!,#REF!,#REF!,#REF!,#REF!,#REF!,#REF!,#REF!</definedName>
    <definedName name="V_ALL_SECTIONS_ISSR_208007413">#REF!,#REF!,#REF!,#REF!,#REF!,#REF!,#REF!,#REF!,#REF!,#REF!</definedName>
    <definedName name="V_ALL_SECTIONS_ISSR_208007414" localSheetId="2">#REF!,#REF!,#REF!,#REF!,#REF!,#REF!,#REF!,#REF!,#REF!</definedName>
    <definedName name="V_ALL_SECTIONS_ISSR_208007414" localSheetId="14">#REF!,#REF!,#REF!,#REF!,#REF!,#REF!,#REF!,#REF!,#REF!</definedName>
    <definedName name="V_ALL_SECTIONS_ISSR_208007414">#REF!,#REF!,#REF!,#REF!,#REF!,#REF!,#REF!,#REF!,#REF!</definedName>
    <definedName name="V_ALL_SECTIONS_ISSR_208007415" localSheetId="2">#REF!,#REF!,#REF!,#REF!,#REF!,#REF!,#REF!,#REF!,#REF!,#REF!</definedName>
    <definedName name="V_ALL_SECTIONS_ISSR_208007415" localSheetId="14">#REF!,#REF!,#REF!,#REF!,#REF!,#REF!,#REF!,#REF!,#REF!,#REF!</definedName>
    <definedName name="V_ALL_SECTIONS_ISSR_208007415">#REF!,#REF!,#REF!,#REF!,#REF!,#REF!,#REF!,#REF!,#REF!,#REF!</definedName>
    <definedName name="V_ALL_SECTIONS_ISSR_208008646" localSheetId="2">#REF!,#REF!,#REF!,#REF!,#REF!,#REF!,#REF!,#REF!,#REF!,#REF!</definedName>
    <definedName name="V_ALL_SECTIONS_ISSR_208008646">#REF!,#REF!,#REF!,#REF!,#REF!,#REF!,#REF!,#REF!,#REF!,#REF!</definedName>
    <definedName name="V_ALL_SIFI.MI" localSheetId="2">#REF!</definedName>
    <definedName name="V_ALL_SIFI.MI" localSheetId="14">#REF!</definedName>
    <definedName name="V_ALL_SIFI.MI">#REF!</definedName>
    <definedName name="V_ALL_SKFb.ST">#REF!</definedName>
    <definedName name="V_ALL_TCFP.PA" localSheetId="2">#REF!</definedName>
    <definedName name="V_ALL_TCFP.PA" localSheetId="14">#REF!</definedName>
    <definedName name="V_ALL_TCFP.PA">#REF!</definedName>
    <definedName name="V_ALL_ULE.L" localSheetId="2">#REF!</definedName>
    <definedName name="V_ALL_ULE.L" localSheetId="14">#REF!</definedName>
    <definedName name="V_ALL_ULE.L" localSheetId="18">#REF!</definedName>
    <definedName name="V_ALL_ULE.L">#REF!</definedName>
    <definedName name="V_ALL_VOLVb.ST">#REF!</definedName>
    <definedName name="V_CURRENCY_EQTY_200007513_PRI" localSheetId="17">#REF!</definedName>
    <definedName name="V_CURRENCY_EQTY_200007513_PRI" localSheetId="14">#REF!</definedName>
    <definedName name="V_CURRENCY_EQTY_200007513_PRI" localSheetId="18">#REF!</definedName>
    <definedName name="V_CURRENCY_EQTY_200007513_PRI" localSheetId="19">#REF!</definedName>
    <definedName name="V_CURRENCY_EQTY_200007513_PRI">#REF!</definedName>
    <definedName name="V_CURRENCY_EQTY_200007513_PUB" localSheetId="17">#REF!</definedName>
    <definedName name="V_CURRENCY_EQTY_200007513_PUB" localSheetId="14">#REF!</definedName>
    <definedName name="V_CURRENCY_EQTY_200007513_PUB" localSheetId="18">#REF!</definedName>
    <definedName name="V_CURRENCY_EQTY_200007513_PUB" localSheetId="19">#REF!</definedName>
    <definedName name="V_CURRENCY_EQTY_200007513_PUB">#REF!</definedName>
    <definedName name="V_CURRENCY_EQTY_200007513_REP" localSheetId="17">#REF!</definedName>
    <definedName name="V_CURRENCY_EQTY_200007513_REP" localSheetId="14">#REF!</definedName>
    <definedName name="V_CURRENCY_EQTY_200007513_REP" localSheetId="18">#REF!</definedName>
    <definedName name="V_CURRENCY_EQTY_200007513_REP" localSheetId="19">#REF!</definedName>
    <definedName name="V_CURRENCY_EQTY_200007513_REP">#REF!</definedName>
    <definedName name="V_CURRENCY_ISSR_208002861_REP" localSheetId="17">#REF!</definedName>
    <definedName name="V_CURRENCY_ISSR_208002861_REP" localSheetId="14">#REF!</definedName>
    <definedName name="V_CURRENCY_ISSR_208002861_REP" localSheetId="18">#REF!</definedName>
    <definedName name="V_CURRENCY_ISSR_208002861_REP" localSheetId="19">#REF!</definedName>
    <definedName name="V_CURRENCY_ISSR_208002861_REP">#REF!</definedName>
    <definedName name="V_ENTITY_DATA_ISSR_208002861" localSheetId="17">#REF!</definedName>
    <definedName name="V_ENTITY_DATA_ISSR_208002861" localSheetId="14">#REF!</definedName>
    <definedName name="V_ENTITY_DATA_ISSR_208002861" localSheetId="18">#REF!</definedName>
    <definedName name="V_ENTITY_DATA_ISSR_208002861" localSheetId="19">#REF!</definedName>
    <definedName name="V_ENTITY_DATA_ISSR_208002861">#REF!</definedName>
    <definedName name="V_KEYWORD_EQTY_200007513_BETA_ANALYST" localSheetId="17">#REF!</definedName>
    <definedName name="V_KEYWORD_EQTY_200007513_BETA_ANALYST" localSheetId="14">#REF!</definedName>
    <definedName name="V_KEYWORD_EQTY_200007513_BETA_ANALYST" localSheetId="18">#REF!</definedName>
    <definedName name="V_KEYWORD_EQTY_200007513_BETA_ANALYST" localSheetId="19">#REF!</definedName>
    <definedName name="V_KEYWORD_EQTY_200007513_BETA_ANALYST">#REF!</definedName>
    <definedName name="V_KEYWORD_EQTY_200007513_BVPS" localSheetId="17">#REF!</definedName>
    <definedName name="V_KEYWORD_EQTY_200007513_BVPS" localSheetId="14">#REF!</definedName>
    <definedName name="V_KEYWORD_EQTY_200007513_BVPS" localSheetId="18">#REF!</definedName>
    <definedName name="V_KEYWORD_EQTY_200007513_BVPS" localSheetId="19">#REF!</definedName>
    <definedName name="V_KEYWORD_EQTY_200007513_BVPS">#REF!</definedName>
    <definedName name="V_KEYWORD_EQTY_200007513_BVPS_PUB" localSheetId="17">#REF!</definedName>
    <definedName name="V_KEYWORD_EQTY_200007513_BVPS_PUB" localSheetId="14">#REF!</definedName>
    <definedName name="V_KEYWORD_EQTY_200007513_BVPS_PUB" localSheetId="18">#REF!</definedName>
    <definedName name="V_KEYWORD_EQTY_200007513_BVPS_PUB" localSheetId="19">#REF!</definedName>
    <definedName name="V_KEYWORD_EQTY_200007513_BVPS_PUB">#REF!</definedName>
    <definedName name="V_KEYWORD_EQTY_200007513_CF_NI_PRE_PREF" localSheetId="17">#REF!</definedName>
    <definedName name="V_KEYWORD_EQTY_200007513_CF_NI_PRE_PREF" localSheetId="14">#REF!</definedName>
    <definedName name="V_KEYWORD_EQTY_200007513_CF_NI_PRE_PREF" localSheetId="18">#REF!</definedName>
    <definedName name="V_KEYWORD_EQTY_200007513_CF_NI_PRE_PREF" localSheetId="19">#REF!</definedName>
    <definedName name="V_KEYWORD_EQTY_200007513_CF_NI_PRE_PREF">#REF!</definedName>
    <definedName name="V_KEYWORD_EQTY_200007513_COMMON_DIV_PAID" localSheetId="17">#REF!</definedName>
    <definedName name="V_KEYWORD_EQTY_200007513_COMMON_DIV_PAID" localSheetId="14">#REF!</definedName>
    <definedName name="V_KEYWORD_EQTY_200007513_COMMON_DIV_PAID" localSheetId="18">#REF!</definedName>
    <definedName name="V_KEYWORD_EQTY_200007513_COMMON_DIV_PAID" localSheetId="19">#REF!</definedName>
    <definedName name="V_KEYWORD_EQTY_200007513_COMMON_DIV_PAID">#REF!</definedName>
    <definedName name="V_KEYWORD_EQTY_200007513_CURRENCY_ISO" localSheetId="17">#REF!</definedName>
    <definedName name="V_KEYWORD_EQTY_200007513_CURRENCY_ISO" localSheetId="14">#REF!</definedName>
    <definedName name="V_KEYWORD_EQTY_200007513_CURRENCY_ISO" localSheetId="18">#REF!</definedName>
    <definedName name="V_KEYWORD_EQTY_200007513_CURRENCY_ISO" localSheetId="19">#REF!</definedName>
    <definedName name="V_KEYWORD_EQTY_200007513_CURRENCY_ISO">#REF!</definedName>
    <definedName name="V_KEYWORD_EQTY_200007513_DILUTE_SHARES" localSheetId="17">#REF!</definedName>
    <definedName name="V_KEYWORD_EQTY_200007513_DILUTE_SHARES" localSheetId="14">#REF!</definedName>
    <definedName name="V_KEYWORD_EQTY_200007513_DILUTE_SHARES" localSheetId="18">#REF!</definedName>
    <definedName name="V_KEYWORD_EQTY_200007513_DILUTE_SHARES" localSheetId="19">#REF!</definedName>
    <definedName name="V_KEYWORD_EQTY_200007513_DILUTE_SHARES">#REF!</definedName>
    <definedName name="V_KEYWORD_EQTY_200007513_DPS" localSheetId="17">#REF!</definedName>
    <definedName name="V_KEYWORD_EQTY_200007513_DPS" localSheetId="14">#REF!</definedName>
    <definedName name="V_KEYWORD_EQTY_200007513_DPS" localSheetId="18">#REF!</definedName>
    <definedName name="V_KEYWORD_EQTY_200007513_DPS" localSheetId="19">#REF!</definedName>
    <definedName name="V_KEYWORD_EQTY_200007513_DPS">#REF!</definedName>
    <definedName name="V_KEYWORD_EQTY_200007513_DPS_PUB" localSheetId="17">#REF!</definedName>
    <definedName name="V_KEYWORD_EQTY_200007513_DPS_PUB" localSheetId="14">#REF!</definedName>
    <definedName name="V_KEYWORD_EQTY_200007513_DPS_PUB" localSheetId="18">#REF!</definedName>
    <definedName name="V_KEYWORD_EQTY_200007513_DPS_PUB" localSheetId="19">#REF!</definedName>
    <definedName name="V_KEYWORD_EQTY_200007513_DPS_PUB">#REF!</definedName>
    <definedName name="V_KEYWORD_EQTY_200007513_EBIT_PUB" localSheetId="17">#REF!</definedName>
    <definedName name="V_KEYWORD_EQTY_200007513_EBIT_PUB" localSheetId="14">#REF!</definedName>
    <definedName name="V_KEYWORD_EQTY_200007513_EBIT_PUB" localSheetId="18">#REF!</definedName>
    <definedName name="V_KEYWORD_EQTY_200007513_EBIT_PUB" localSheetId="19">#REF!</definedName>
    <definedName name="V_KEYWORD_EQTY_200007513_EBIT_PUB">#REF!</definedName>
    <definedName name="V_KEYWORD_EQTY_200007513_EBITDA_PUB" localSheetId="17">#REF!</definedName>
    <definedName name="V_KEYWORD_EQTY_200007513_EBITDA_PUB" localSheetId="14">#REF!</definedName>
    <definedName name="V_KEYWORD_EQTY_200007513_EBITDA_PUB" localSheetId="18">#REF!</definedName>
    <definedName name="V_KEYWORD_EQTY_200007513_EBITDA_PUB" localSheetId="19">#REF!</definedName>
    <definedName name="V_KEYWORD_EQTY_200007513_EBITDA_PUB">#REF!</definedName>
    <definedName name="V_KEYWORD_EQTY_200007513_EPS" localSheetId="17">#REF!</definedName>
    <definedName name="V_KEYWORD_EQTY_200007513_EPS" localSheetId="14">#REF!</definedName>
    <definedName name="V_KEYWORD_EQTY_200007513_EPS" localSheetId="18">#REF!</definedName>
    <definedName name="V_KEYWORD_EQTY_200007513_EPS" localSheetId="19">#REF!</definedName>
    <definedName name="V_KEYWORD_EQTY_200007513_EPS">#REF!</definedName>
    <definedName name="V_KEYWORD_EQTY_200007513_EPS_FUL_DIL" localSheetId="17">#REF!</definedName>
    <definedName name="V_KEYWORD_EQTY_200007513_EPS_FUL_DIL" localSheetId="14">#REF!</definedName>
    <definedName name="V_KEYWORD_EQTY_200007513_EPS_FUL_DIL" localSheetId="18">#REF!</definedName>
    <definedName name="V_KEYWORD_EQTY_200007513_EPS_FUL_DIL" localSheetId="19">#REF!</definedName>
    <definedName name="V_KEYWORD_EQTY_200007513_EPS_FUL_DIL">#REF!</definedName>
    <definedName name="V_KEYWORD_EQTY_200007513_EPS_POST_BASIC" localSheetId="17">#REF!</definedName>
    <definedName name="V_KEYWORD_EQTY_200007513_EPS_POST_BASIC" localSheetId="14">#REF!</definedName>
    <definedName name="V_KEYWORD_EQTY_200007513_EPS_POST_BASIC" localSheetId="18">#REF!</definedName>
    <definedName name="V_KEYWORD_EQTY_200007513_EPS_POST_BASIC" localSheetId="19">#REF!</definedName>
    <definedName name="V_KEYWORD_EQTY_200007513_EPS_POST_BASIC">#REF!</definedName>
    <definedName name="V_KEYWORD_EQTY_200007513_EPS_PUB" localSheetId="17">#REF!</definedName>
    <definedName name="V_KEYWORD_EQTY_200007513_EPS_PUB" localSheetId="14">#REF!</definedName>
    <definedName name="V_KEYWORD_EQTY_200007513_EPS_PUB" localSheetId="18">#REF!</definedName>
    <definedName name="V_KEYWORD_EQTY_200007513_EPS_PUB" localSheetId="19">#REF!</definedName>
    <definedName name="V_KEYWORD_EQTY_200007513_EPS_PUB">#REF!</definedName>
    <definedName name="V_KEYWORD_EQTY_200007513_EQ_PUB" localSheetId="17">#REF!</definedName>
    <definedName name="V_KEYWORD_EQTY_200007513_EQ_PUB" localSheetId="14">#REF!</definedName>
    <definedName name="V_KEYWORD_EQTY_200007513_EQ_PUB" localSheetId="18">#REF!</definedName>
    <definedName name="V_KEYWORD_EQTY_200007513_EQ_PUB" localSheetId="19">#REF!</definedName>
    <definedName name="V_KEYWORD_EQTY_200007513_EQ_PUB">#REF!</definedName>
    <definedName name="V_KEYWORD_EQTY_200007513_EURO_CONVICTION" localSheetId="17">#REF!</definedName>
    <definedName name="V_KEYWORD_EQTY_200007513_EURO_CONVICTION" localSheetId="14">#REF!</definedName>
    <definedName name="V_KEYWORD_EQTY_200007513_EURO_CONVICTION" localSheetId="18">#REF!</definedName>
    <definedName name="V_KEYWORD_EQTY_200007513_EURO_CONVICTION" localSheetId="19">#REF!</definedName>
    <definedName name="V_KEYWORD_EQTY_200007513_EURO_CONVICTION">#REF!</definedName>
    <definedName name="V_KEYWORD_EQTY_200007513_EURO_LIST" localSheetId="17">#REF!</definedName>
    <definedName name="V_KEYWORD_EQTY_200007513_EURO_LIST" localSheetId="14">#REF!</definedName>
    <definedName name="V_KEYWORD_EQTY_200007513_EURO_LIST" localSheetId="18">#REF!</definedName>
    <definedName name="V_KEYWORD_EQTY_200007513_EURO_LIST" localSheetId="19">#REF!</definedName>
    <definedName name="V_KEYWORD_EQTY_200007513_EURO_LIST">#REF!</definedName>
    <definedName name="V_KEYWORD_EQTY_200007513_EV_ADJ_PUB" localSheetId="17">#REF!</definedName>
    <definedName name="V_KEYWORD_EQTY_200007513_EV_ADJ_PUB" localSheetId="14">#REF!</definedName>
    <definedName name="V_KEYWORD_EQTY_200007513_EV_ADJ_PUB" localSheetId="18">#REF!</definedName>
    <definedName name="V_KEYWORD_EQTY_200007513_EV_ADJ_PUB" localSheetId="19">#REF!</definedName>
    <definedName name="V_KEYWORD_EQTY_200007513_EV_ADJ_PUB">#REF!</definedName>
    <definedName name="V_KEYWORD_EQTY_200007513_FREE_FLOAT" localSheetId="17">#REF!</definedName>
    <definedName name="V_KEYWORD_EQTY_200007513_FREE_FLOAT" localSheetId="14">#REF!</definedName>
    <definedName name="V_KEYWORD_EQTY_200007513_FREE_FLOAT" localSheetId="18">#REF!</definedName>
    <definedName name="V_KEYWORD_EQTY_200007513_FREE_FLOAT" localSheetId="19">#REF!</definedName>
    <definedName name="V_KEYWORD_EQTY_200007513_FREE_FLOAT">#REF!</definedName>
    <definedName name="V_KEYWORD_EQTY_200007513_FULLY_DIL_EPS" localSheetId="17">#REF!</definedName>
    <definedName name="V_KEYWORD_EQTY_200007513_FULLY_DIL_EPS" localSheetId="14">#REF!</definedName>
    <definedName name="V_KEYWORD_EQTY_200007513_FULLY_DIL_EPS" localSheetId="18">#REF!</definedName>
    <definedName name="V_KEYWORD_EQTY_200007513_FULLY_DIL_EPS" localSheetId="19">#REF!</definedName>
    <definedName name="V_KEYWORD_EQTY_200007513_FULLY_DIL_EPS">#REF!</definedName>
    <definedName name="V_KEYWORD_EQTY_200007513_INC_MINORITY" localSheetId="17">#REF!</definedName>
    <definedName name="V_KEYWORD_EQTY_200007513_INC_MINORITY" localSheetId="14">#REF!</definedName>
    <definedName name="V_KEYWORD_EQTY_200007513_INC_MINORITY" localSheetId="18">#REF!</definedName>
    <definedName name="V_KEYWORD_EQTY_200007513_INC_MINORITY" localSheetId="19">#REF!</definedName>
    <definedName name="V_KEYWORD_EQTY_200007513_INC_MINORITY">#REF!</definedName>
    <definedName name="V_KEYWORD_EQTY_200007513_Interim_Type" localSheetId="17">#REF!</definedName>
    <definedName name="V_KEYWORD_EQTY_200007513_Interim_Type" localSheetId="14">#REF!</definedName>
    <definedName name="V_KEYWORD_EQTY_200007513_Interim_Type" localSheetId="18">#REF!</definedName>
    <definedName name="V_KEYWORD_EQTY_200007513_Interim_Type" localSheetId="19">#REF!</definedName>
    <definedName name="V_KEYWORD_EQTY_200007513_Interim_Type">#REF!</definedName>
    <definedName name="V_KEYWORD_EQTY_200007513_LEGAL_RATING" localSheetId="17">#REF!</definedName>
    <definedName name="V_KEYWORD_EQTY_200007513_LEGAL_RATING" localSheetId="14">#REF!</definedName>
    <definedName name="V_KEYWORD_EQTY_200007513_LEGAL_RATING" localSheetId="18">#REF!</definedName>
    <definedName name="V_KEYWORD_EQTY_200007513_LEGAL_RATING" localSheetId="19">#REF!</definedName>
    <definedName name="V_KEYWORD_EQTY_200007513_LEGAL_RATING">#REF!</definedName>
    <definedName name="V_KEYWORD_EQTY_200007513_MARGIN_TAX_RATE" localSheetId="17">#REF!</definedName>
    <definedName name="V_KEYWORD_EQTY_200007513_MARGIN_TAX_RATE" localSheetId="14">#REF!</definedName>
    <definedName name="V_KEYWORD_EQTY_200007513_MARGIN_TAX_RATE" localSheetId="18">#REF!</definedName>
    <definedName name="V_KEYWORD_EQTY_200007513_MARGIN_TAX_RATE" localSheetId="19">#REF!</definedName>
    <definedName name="V_KEYWORD_EQTY_200007513_MARGIN_TAX_RATE">#REF!</definedName>
    <definedName name="V_KEYWORD_EQTY_200007513_MKT_EQ_RISK_PREM" localSheetId="17">#REF!</definedName>
    <definedName name="V_KEYWORD_EQTY_200007513_MKT_EQ_RISK_PREM" localSheetId="14">#REF!</definedName>
    <definedName name="V_KEYWORD_EQTY_200007513_MKT_EQ_RISK_PREM" localSheetId="18">#REF!</definedName>
    <definedName name="V_KEYWORD_EQTY_200007513_MKT_EQ_RISK_PREM" localSheetId="19">#REF!</definedName>
    <definedName name="V_KEYWORD_EQTY_200007513_MKT_EQ_RISK_PREM">#REF!</definedName>
    <definedName name="V_KEYWORD_EQTY_200007513_NET_DEBT_PUB" localSheetId="17">#REF!</definedName>
    <definedName name="V_KEYWORD_EQTY_200007513_NET_DEBT_PUB" localSheetId="14">#REF!</definedName>
    <definedName name="V_KEYWORD_EQTY_200007513_NET_DEBT_PUB" localSheetId="18">#REF!</definedName>
    <definedName name="V_KEYWORD_EQTY_200007513_NET_DEBT_PUB" localSheetId="19">#REF!</definedName>
    <definedName name="V_KEYWORD_EQTY_200007513_NET_DEBT_PUB">#REF!</definedName>
    <definedName name="V_KEYWORD_EQTY_200007513_NET_EARNING" localSheetId="17">#REF!</definedName>
    <definedName name="V_KEYWORD_EQTY_200007513_NET_EARNING" localSheetId="14">#REF!</definedName>
    <definedName name="V_KEYWORD_EQTY_200007513_NET_EARNING" localSheetId="18">#REF!</definedName>
    <definedName name="V_KEYWORD_EQTY_200007513_NET_EARNING" localSheetId="19">#REF!</definedName>
    <definedName name="V_KEYWORD_EQTY_200007513_NET_EARNING">#REF!</definedName>
    <definedName name="V_KEYWORD_EQTY_200007513_NET_INC" localSheetId="17">#REF!</definedName>
    <definedName name="V_KEYWORD_EQTY_200007513_NET_INC" localSheetId="14">#REF!</definedName>
    <definedName name="V_KEYWORD_EQTY_200007513_NET_INC" localSheetId="18">#REF!</definedName>
    <definedName name="V_KEYWORD_EQTY_200007513_NET_INC" localSheetId="19">#REF!</definedName>
    <definedName name="V_KEYWORD_EQTY_200007513_NET_INC">#REF!</definedName>
    <definedName name="V_KEYWORD_EQTY_200007513_NI_PRE_PREF" localSheetId="17">#REF!</definedName>
    <definedName name="V_KEYWORD_EQTY_200007513_NI_PRE_PREF" localSheetId="14">#REF!</definedName>
    <definedName name="V_KEYWORD_EQTY_200007513_NI_PRE_PREF" localSheetId="18">#REF!</definedName>
    <definedName name="V_KEYWORD_EQTY_200007513_NI_PRE_PREF" localSheetId="19">#REF!</definedName>
    <definedName name="V_KEYWORD_EQTY_200007513_NI_PRE_PREF">#REF!</definedName>
    <definedName name="V_KEYWORD_EQTY_200007513_NI_PUB" localSheetId="17">#REF!</definedName>
    <definedName name="V_KEYWORD_EQTY_200007513_NI_PUB" localSheetId="14">#REF!</definedName>
    <definedName name="V_KEYWORD_EQTY_200007513_NI_PUB" localSheetId="18">#REF!</definedName>
    <definedName name="V_KEYWORD_EQTY_200007513_NI_PUB" localSheetId="19">#REF!</definedName>
    <definedName name="V_KEYWORD_EQTY_200007513_NI_PUB">#REF!</definedName>
    <definedName name="V_KEYWORD_EQTY_200007513_NON_OP_ADD" localSheetId="17">#REF!</definedName>
    <definedName name="V_KEYWORD_EQTY_200007513_NON_OP_ADD" localSheetId="14">#REF!</definedName>
    <definedName name="V_KEYWORD_EQTY_200007513_NON_OP_ADD" localSheetId="18">#REF!</definedName>
    <definedName name="V_KEYWORD_EQTY_200007513_NON_OP_ADD" localSheetId="19">#REF!</definedName>
    <definedName name="V_KEYWORD_EQTY_200007513_NON_OP_ADD">#REF!</definedName>
    <definedName name="V_KEYWORD_EQTY_200007513_NUM_SH" localSheetId="17">#REF!</definedName>
    <definedName name="V_KEYWORD_EQTY_200007513_NUM_SH" localSheetId="14">#REF!</definedName>
    <definedName name="V_KEYWORD_EQTY_200007513_NUM_SH" localSheetId="18">#REF!</definedName>
    <definedName name="V_KEYWORD_EQTY_200007513_NUM_SH" localSheetId="19">#REF!</definedName>
    <definedName name="V_KEYWORD_EQTY_200007513_NUM_SH">#REF!</definedName>
    <definedName name="V_KEYWORD_EQTY_200007513_ORG_EPS" localSheetId="17">#REF!</definedName>
    <definedName name="V_KEYWORD_EQTY_200007513_ORG_EPS" localSheetId="14">#REF!</definedName>
    <definedName name="V_KEYWORD_EQTY_200007513_ORG_EPS" localSheetId="18">#REF!</definedName>
    <definedName name="V_KEYWORD_EQTY_200007513_ORG_EPS" localSheetId="19">#REF!</definedName>
    <definedName name="V_KEYWORD_EQTY_200007513_ORG_EPS">#REF!</definedName>
    <definedName name="V_KEYWORD_EQTY_200007513_ORG_NI" localSheetId="17">#REF!</definedName>
    <definedName name="V_KEYWORD_EQTY_200007513_ORG_NI" localSheetId="14">#REF!</definedName>
    <definedName name="V_KEYWORD_EQTY_200007513_ORG_NI" localSheetId="18">#REF!</definedName>
    <definedName name="V_KEYWORD_EQTY_200007513_ORG_NI" localSheetId="19">#REF!</definedName>
    <definedName name="V_KEYWORD_EQTY_200007513_ORG_NI">#REF!</definedName>
    <definedName name="V_KEYWORD_EQTY_200007513_PREF_DIV" localSheetId="17">#REF!</definedName>
    <definedName name="V_KEYWORD_EQTY_200007513_PREF_DIV" localSheetId="14">#REF!</definedName>
    <definedName name="V_KEYWORD_EQTY_200007513_PREF_DIV" localSheetId="18">#REF!</definedName>
    <definedName name="V_KEYWORD_EQTY_200007513_PREF_DIV" localSheetId="19">#REF!</definedName>
    <definedName name="V_KEYWORD_EQTY_200007513_PREF_DIV">#REF!</definedName>
    <definedName name="V_KEYWORD_EQTY_200007513_PRICE_CURRENCY_ISO" localSheetId="17">#REF!</definedName>
    <definedName name="V_KEYWORD_EQTY_200007513_PRICE_CURRENCY_ISO" localSheetId="14">#REF!</definedName>
    <definedName name="V_KEYWORD_EQTY_200007513_PRICE_CURRENCY_ISO" localSheetId="18">#REF!</definedName>
    <definedName name="V_KEYWORD_EQTY_200007513_PRICE_CURRENCY_ISO" localSheetId="19">#REF!</definedName>
    <definedName name="V_KEYWORD_EQTY_200007513_PRICE_CURRENCY_ISO">#REF!</definedName>
    <definedName name="V_KEYWORD_EQTY_200007513_PROV_INC_TAX" localSheetId="17">#REF!</definedName>
    <definedName name="V_KEYWORD_EQTY_200007513_PROV_INC_TAX" localSheetId="14">#REF!</definedName>
    <definedName name="V_KEYWORD_EQTY_200007513_PROV_INC_TAX" localSheetId="18">#REF!</definedName>
    <definedName name="V_KEYWORD_EQTY_200007513_PROV_INC_TAX" localSheetId="19">#REF!</definedName>
    <definedName name="V_KEYWORD_EQTY_200007513_PROV_INC_TAX">#REF!</definedName>
    <definedName name="V_KEYWORD_EQTY_200007513_PTP_PUB" localSheetId="17">#REF!</definedName>
    <definedName name="V_KEYWORD_EQTY_200007513_PTP_PUB" localSheetId="14">#REF!</definedName>
    <definedName name="V_KEYWORD_EQTY_200007513_PTP_PUB" localSheetId="18">#REF!</definedName>
    <definedName name="V_KEYWORD_EQTY_200007513_PTP_PUB" localSheetId="19">#REF!</definedName>
    <definedName name="V_KEYWORD_EQTY_200007513_PTP_PUB">#REF!</definedName>
    <definedName name="V_KEYWORD_EQTY_200007513_PUB_CURRENCY_ISO" localSheetId="17">#REF!</definedName>
    <definedName name="V_KEYWORD_EQTY_200007513_PUB_CURRENCY_ISO" localSheetId="14">#REF!</definedName>
    <definedName name="V_KEYWORD_EQTY_200007513_PUB_CURRENCY_ISO" localSheetId="18">#REF!</definedName>
    <definedName name="V_KEYWORD_EQTY_200007513_PUB_CURRENCY_ISO" localSheetId="19">#REF!</definedName>
    <definedName name="V_KEYWORD_EQTY_200007513_PUB_CURRENCY_ISO">#REF!</definedName>
    <definedName name="V_KEYWORD_EQTY_200007513_REVS_PUB" localSheetId="17">#REF!</definedName>
    <definedName name="V_KEYWORD_EQTY_200007513_REVS_PUB" localSheetId="14">#REF!</definedName>
    <definedName name="V_KEYWORD_EQTY_200007513_REVS_PUB" localSheetId="18">#REF!</definedName>
    <definedName name="V_KEYWORD_EQTY_200007513_REVS_PUB" localSheetId="19">#REF!</definedName>
    <definedName name="V_KEYWORD_EQTY_200007513_REVS_PUB">#REF!</definedName>
    <definedName name="V_KEYWORD_EQTY_200007513_RISK_FR_RATE" localSheetId="17">#REF!</definedName>
    <definedName name="V_KEYWORD_EQTY_200007513_RISK_FR_RATE" localSheetId="14">#REF!</definedName>
    <definedName name="V_KEYWORD_EQTY_200007513_RISK_FR_RATE" localSheetId="18">#REF!</definedName>
    <definedName name="V_KEYWORD_EQTY_200007513_RISK_FR_RATE" localSheetId="19">#REF!</definedName>
    <definedName name="V_KEYWORD_EQTY_200007513_RISK_FR_RATE">#REF!</definedName>
    <definedName name="V_KEYWORD_EQTY_200007513_Security_Name" localSheetId="17">#REF!</definedName>
    <definedName name="V_KEYWORD_EQTY_200007513_Security_Name" localSheetId="14">#REF!</definedName>
    <definedName name="V_KEYWORD_EQTY_200007513_Security_Name" localSheetId="18">#REF!</definedName>
    <definedName name="V_KEYWORD_EQTY_200007513_Security_Name" localSheetId="19">#REF!</definedName>
    <definedName name="V_KEYWORD_EQTY_200007513_Security_Name">#REF!</definedName>
    <definedName name="V_KEYWORD_EQTY_200007513_SH" localSheetId="17">#REF!</definedName>
    <definedName name="V_KEYWORD_EQTY_200007513_SH" localSheetId="14">#REF!</definedName>
    <definedName name="V_KEYWORD_EQTY_200007513_SH" localSheetId="18">#REF!</definedName>
    <definedName name="V_KEYWORD_EQTY_200007513_SH" localSheetId="19">#REF!</definedName>
    <definedName name="V_KEYWORD_EQTY_200007513_SH">#REF!</definedName>
    <definedName name="V_KEYWORD_EQTY_200007513_TARGET_PRICE" localSheetId="17">#REF!</definedName>
    <definedName name="V_KEYWORD_EQTY_200007513_TARGET_PRICE" localSheetId="14">#REF!</definedName>
    <definedName name="V_KEYWORD_EQTY_200007513_TARGET_PRICE" localSheetId="18">#REF!</definedName>
    <definedName name="V_KEYWORD_EQTY_200007513_TARGET_PRICE" localSheetId="19">#REF!</definedName>
    <definedName name="V_KEYWORD_EQTY_200007513_TARGET_PRICE">#REF!</definedName>
    <definedName name="V_KEYWORD_EQTY_200007513_TAX_EXC" localSheetId="17">#REF!</definedName>
    <definedName name="V_KEYWORD_EQTY_200007513_TAX_EXC" localSheetId="14">#REF!</definedName>
    <definedName name="V_KEYWORD_EQTY_200007513_TAX_EXC" localSheetId="18">#REF!</definedName>
    <definedName name="V_KEYWORD_EQTY_200007513_TAX_EXC" localSheetId="19">#REF!</definedName>
    <definedName name="V_KEYWORD_EQTY_200007513_TAX_EXC">#REF!</definedName>
    <definedName name="V_KEYWORD_EQTY_200007513_Ticker" localSheetId="17">#REF!</definedName>
    <definedName name="V_KEYWORD_EQTY_200007513_Ticker" localSheetId="14">#REF!</definedName>
    <definedName name="V_KEYWORD_EQTY_200007513_Ticker" localSheetId="18">#REF!</definedName>
    <definedName name="V_KEYWORD_EQTY_200007513_Ticker" localSheetId="19">#REF!</definedName>
    <definedName name="V_KEYWORD_EQTY_200007513_Ticker">#REF!</definedName>
    <definedName name="V_KEYWORD_EQTY_200007513_TP_PERIOD" localSheetId="17">#REF!</definedName>
    <definedName name="V_KEYWORD_EQTY_200007513_TP_PERIOD" localSheetId="14">#REF!</definedName>
    <definedName name="V_KEYWORD_EQTY_200007513_TP_PERIOD" localSheetId="18">#REF!</definedName>
    <definedName name="V_KEYWORD_EQTY_200007513_TP_PERIOD" localSheetId="19">#REF!</definedName>
    <definedName name="V_KEYWORD_EQTY_200007513_TP_PERIOD">#REF!</definedName>
    <definedName name="V_KEYWORD_ISSR_208002861_ACC_AMORT" localSheetId="17">#REF!</definedName>
    <definedName name="V_KEYWORD_ISSR_208002861_ACC_AMORT" localSheetId="14">#REF!</definedName>
    <definedName name="V_KEYWORD_ISSR_208002861_ACC_AMORT" localSheetId="18">#REF!</definedName>
    <definedName name="V_KEYWORD_ISSR_208002861_ACC_AMORT" localSheetId="19">#REF!</definedName>
    <definedName name="V_KEYWORD_ISSR_208002861_ACC_AMORT">#REF!</definedName>
    <definedName name="V_KEYWORD_ISSR_208002861_ACC_DDA" localSheetId="17">#REF!</definedName>
    <definedName name="V_KEYWORD_ISSR_208002861_ACC_DDA" localSheetId="14">#REF!</definedName>
    <definedName name="V_KEYWORD_ISSR_208002861_ACC_DDA" localSheetId="18">#REF!</definedName>
    <definedName name="V_KEYWORD_ISSR_208002861_ACC_DDA" localSheetId="19">#REF!</definedName>
    <definedName name="V_KEYWORD_ISSR_208002861_ACC_DDA">#REF!</definedName>
    <definedName name="V_KEYWORD_ISSR_208002861_ACC_END_DATE" localSheetId="17">#REF!</definedName>
    <definedName name="V_KEYWORD_ISSR_208002861_ACC_END_DATE" localSheetId="14">#REF!</definedName>
    <definedName name="V_KEYWORD_ISSR_208002861_ACC_END_DATE" localSheetId="18">#REF!</definedName>
    <definedName name="V_KEYWORD_ISSR_208002861_ACC_END_DATE" localSheetId="19">#REF!</definedName>
    <definedName name="V_KEYWORD_ISSR_208002861_ACC_END_DATE">#REF!</definedName>
    <definedName name="V_KEYWORD_ISSR_208002861_ACC_PAY_GQ" localSheetId="17">#REF!</definedName>
    <definedName name="V_KEYWORD_ISSR_208002861_ACC_PAY_GQ" localSheetId="14">#REF!</definedName>
    <definedName name="V_KEYWORD_ISSR_208002861_ACC_PAY_GQ" localSheetId="18">#REF!</definedName>
    <definedName name="V_KEYWORD_ISSR_208002861_ACC_PAY_GQ" localSheetId="19">#REF!</definedName>
    <definedName name="V_KEYWORD_ISSR_208002861_ACC_PAY_GQ">#REF!</definedName>
    <definedName name="V_KEYWORD_ISSR_208002861_ACQ" localSheetId="17">#REF!</definedName>
    <definedName name="V_KEYWORD_ISSR_208002861_ACQ" localSheetId="14">#REF!</definedName>
    <definedName name="V_KEYWORD_ISSR_208002861_ACQ" localSheetId="18">#REF!</definedName>
    <definedName name="V_KEYWORD_ISSR_208002861_ACQ" localSheetId="19">#REF!</definedName>
    <definedName name="V_KEYWORD_ISSR_208002861_ACQ">#REF!</definedName>
    <definedName name="V_KEYWORD_ISSR_208002861_ADJ_UNF_PENS_GOOD" localSheetId="17">#REF!</definedName>
    <definedName name="V_KEYWORD_ISSR_208002861_ADJ_UNF_PENS_GOOD" localSheetId="14">#REF!</definedName>
    <definedName name="V_KEYWORD_ISSR_208002861_ADJ_UNF_PENS_GOOD" localSheetId="18">#REF!</definedName>
    <definedName name="V_KEYWORD_ISSR_208002861_ADJ_UNF_PENS_GOOD" localSheetId="19">#REF!</definedName>
    <definedName name="V_KEYWORD_ISSR_208002861_ADJ_UNF_PENS_GOOD">#REF!</definedName>
    <definedName name="V_KEYWORD_ISSR_208002861_ASSOC_JV_ADDBK" localSheetId="17">#REF!</definedName>
    <definedName name="V_KEYWORD_ISSR_208002861_ASSOC_JV_ADDBK" localSheetId="14">#REF!</definedName>
    <definedName name="V_KEYWORD_ISSR_208002861_ASSOC_JV_ADDBK" localSheetId="18">#REF!</definedName>
    <definedName name="V_KEYWORD_ISSR_208002861_ASSOC_JV_ADDBK" localSheetId="19">#REF!</definedName>
    <definedName name="V_KEYWORD_ISSR_208002861_ASSOC_JV_ADDBK">#REF!</definedName>
    <definedName name="V_KEYWORD_ISSR_208002861_ASSOCIATE" localSheetId="17">#REF!</definedName>
    <definedName name="V_KEYWORD_ISSR_208002861_ASSOCIATE" localSheetId="14">#REF!</definedName>
    <definedName name="V_KEYWORD_ISSR_208002861_ASSOCIATE" localSheetId="18">#REF!</definedName>
    <definedName name="V_KEYWORD_ISSR_208002861_ASSOCIATE" localSheetId="19">#REF!</definedName>
    <definedName name="V_KEYWORD_ISSR_208002861_ASSOCIATE">#REF!</definedName>
    <definedName name="V_KEYWORD_ISSR_208002861_ASSOCIATE_OP" localSheetId="17">#REF!</definedName>
    <definedName name="V_KEYWORD_ISSR_208002861_ASSOCIATE_OP" localSheetId="14">#REF!</definedName>
    <definedName name="V_KEYWORD_ISSR_208002861_ASSOCIATE_OP" localSheetId="18">#REF!</definedName>
    <definedName name="V_KEYWORD_ISSR_208002861_ASSOCIATE_OP" localSheetId="19">#REF!</definedName>
    <definedName name="V_KEYWORD_ISSR_208002861_ASSOCIATE_OP">#REF!</definedName>
    <definedName name="V_KEYWORD_ISSR_208002861_BAL_MINO_INT" localSheetId="17">#REF!</definedName>
    <definedName name="V_KEYWORD_ISSR_208002861_BAL_MINO_INT" localSheetId="14">#REF!</definedName>
    <definedName name="V_KEYWORD_ISSR_208002861_BAL_MINO_INT" localSheetId="18">#REF!</definedName>
    <definedName name="V_KEYWORD_ISSR_208002861_BAL_MINO_INT" localSheetId="19">#REF!</definedName>
    <definedName name="V_KEYWORD_ISSR_208002861_BAL_MINO_INT">#REF!</definedName>
    <definedName name="V_KEYWORD_ISSR_208002861_CAP_LEASES" localSheetId="17">#REF!</definedName>
    <definedName name="V_KEYWORD_ISSR_208002861_CAP_LEASES" localSheetId="14">#REF!</definedName>
    <definedName name="V_KEYWORD_ISSR_208002861_CAP_LEASES" localSheetId="18">#REF!</definedName>
    <definedName name="V_KEYWORD_ISSR_208002861_CAP_LEASES" localSheetId="19">#REF!</definedName>
    <definedName name="V_KEYWORD_ISSR_208002861_CAP_LEASES">#REF!</definedName>
    <definedName name="V_KEYWORD_ISSR_208002861_CAPEX" localSheetId="17">#REF!</definedName>
    <definedName name="V_KEYWORD_ISSR_208002861_CAPEX" localSheetId="14">#REF!</definedName>
    <definedName name="V_KEYWORD_ISSR_208002861_CAPEX" localSheetId="18">#REF!</definedName>
    <definedName name="V_KEYWORD_ISSR_208002861_CAPEX" localSheetId="19">#REF!</definedName>
    <definedName name="V_KEYWORD_ISSR_208002861_CAPEX">#REF!</definedName>
    <definedName name="V_KEYWORD_ISSR_208002861_CAPEX_EXPANSION" localSheetId="17">#REF!</definedName>
    <definedName name="V_KEYWORD_ISSR_208002861_CAPEX_EXPANSION" localSheetId="14">#REF!</definedName>
    <definedName name="V_KEYWORD_ISSR_208002861_CAPEX_EXPANSION" localSheetId="18">#REF!</definedName>
    <definedName name="V_KEYWORD_ISSR_208002861_CAPEX_EXPANSION" localSheetId="19">#REF!</definedName>
    <definedName name="V_KEYWORD_ISSR_208002861_CAPEX_EXPANSION">#REF!</definedName>
    <definedName name="V_KEYWORD_ISSR_208002861_CAPEX_MAINTENANCE" localSheetId="17">#REF!</definedName>
    <definedName name="V_KEYWORD_ISSR_208002861_CAPEX_MAINTENANCE" localSheetId="14">#REF!</definedName>
    <definedName name="V_KEYWORD_ISSR_208002861_CAPEX_MAINTENANCE" localSheetId="18">#REF!</definedName>
    <definedName name="V_KEYWORD_ISSR_208002861_CAPEX_MAINTENANCE" localSheetId="19">#REF!</definedName>
    <definedName name="V_KEYWORD_ISSR_208002861_CAPEX_MAINTENANCE">#REF!</definedName>
    <definedName name="V_KEYWORD_ISSR_208002861_CASH_EQ" localSheetId="17">#REF!</definedName>
    <definedName name="V_KEYWORD_ISSR_208002861_CASH_EQ" localSheetId="14">#REF!</definedName>
    <definedName name="V_KEYWORD_ISSR_208002861_CASH_EQ" localSheetId="18">#REF!</definedName>
    <definedName name="V_KEYWORD_ISSR_208002861_CASH_EQ" localSheetId="19">#REF!</definedName>
    <definedName name="V_KEYWORD_ISSR_208002861_CASH_EQ">#REF!</definedName>
    <definedName name="V_KEYWORD_ISSR_208002861_CASH_INT_EXP" localSheetId="17">#REF!</definedName>
    <definedName name="V_KEYWORD_ISSR_208002861_CASH_INT_EXP" localSheetId="14">#REF!</definedName>
    <definedName name="V_KEYWORD_ISSR_208002861_CASH_INT_EXP" localSheetId="18">#REF!</definedName>
    <definedName name="V_KEYWORD_ISSR_208002861_CASH_INT_EXP" localSheetId="19">#REF!</definedName>
    <definedName name="V_KEYWORD_ISSR_208002861_CASH_INT_EXP">#REF!</definedName>
    <definedName name="V_KEYWORD_ISSR_208002861_CASH_INT_INC_EXP" localSheetId="17">#REF!</definedName>
    <definedName name="V_KEYWORD_ISSR_208002861_CASH_INT_INC_EXP" localSheetId="14">#REF!</definedName>
    <definedName name="V_KEYWORD_ISSR_208002861_CASH_INT_INC_EXP" localSheetId="18">#REF!</definedName>
    <definedName name="V_KEYWORD_ISSR_208002861_CASH_INT_INC_EXP" localSheetId="19">#REF!</definedName>
    <definedName name="V_KEYWORD_ISSR_208002861_CASH_INT_INC_EXP">#REF!</definedName>
    <definedName name="V_KEYWORD_ISSR_208002861_CASH_TAX_EXP" localSheetId="17">#REF!</definedName>
    <definedName name="V_KEYWORD_ISSR_208002861_CASH_TAX_EXP" localSheetId="14">#REF!</definedName>
    <definedName name="V_KEYWORD_ISSR_208002861_CASH_TAX_EXP" localSheetId="18">#REF!</definedName>
    <definedName name="V_KEYWORD_ISSR_208002861_CASH_TAX_EXP" localSheetId="19">#REF!</definedName>
    <definedName name="V_KEYWORD_ISSR_208002861_CASH_TAX_EXP">#REF!</definedName>
    <definedName name="V_KEYWORD_ISSR_208002861_CASH_TAX_PD" localSheetId="17">#REF!</definedName>
    <definedName name="V_KEYWORD_ISSR_208002861_CASH_TAX_PD" localSheetId="14">#REF!</definedName>
    <definedName name="V_KEYWORD_ISSR_208002861_CASH_TAX_PD" localSheetId="18">#REF!</definedName>
    <definedName name="V_KEYWORD_ISSR_208002861_CASH_TAX_PD" localSheetId="19">#REF!</definedName>
    <definedName name="V_KEYWORD_ISSR_208002861_CASH_TAX_PD">#REF!</definedName>
    <definedName name="V_KEYWORD_ISSR_208002861_CF_FIN" localSheetId="17">#REF!</definedName>
    <definedName name="V_KEYWORD_ISSR_208002861_CF_FIN" localSheetId="14">#REF!</definedName>
    <definedName name="V_KEYWORD_ISSR_208002861_CF_FIN" localSheetId="18">#REF!</definedName>
    <definedName name="V_KEYWORD_ISSR_208002861_CF_FIN" localSheetId="19">#REF!</definedName>
    <definedName name="V_KEYWORD_ISSR_208002861_CF_FIN">#REF!</definedName>
    <definedName name="V_KEYWORD_ISSR_208002861_CF_INC_MINORITY" localSheetId="17">#REF!</definedName>
    <definedName name="V_KEYWORD_ISSR_208002861_CF_INC_MINORITY" localSheetId="14">#REF!</definedName>
    <definedName name="V_KEYWORD_ISSR_208002861_CF_INC_MINORITY" localSheetId="18">#REF!</definedName>
    <definedName name="V_KEYWORD_ISSR_208002861_CF_INC_MINORITY" localSheetId="19">#REF!</definedName>
    <definedName name="V_KEYWORD_ISSR_208002861_CF_INC_MINORITY">#REF!</definedName>
    <definedName name="V_KEYWORD_ISSR_208002861_CF_INV" localSheetId="17">#REF!</definedName>
    <definedName name="V_KEYWORD_ISSR_208002861_CF_INV" localSheetId="14">#REF!</definedName>
    <definedName name="V_KEYWORD_ISSR_208002861_CF_INV" localSheetId="18">#REF!</definedName>
    <definedName name="V_KEYWORD_ISSR_208002861_CF_INV" localSheetId="19">#REF!</definedName>
    <definedName name="V_KEYWORD_ISSR_208002861_CF_INV">#REF!</definedName>
    <definedName name="V_KEYWORD_ISSR_208002861_CF_OPS" localSheetId="17">#REF!</definedName>
    <definedName name="V_KEYWORD_ISSR_208002861_CF_OPS" localSheetId="14">#REF!</definedName>
    <definedName name="V_KEYWORD_ISSR_208002861_CF_OPS" localSheetId="18">#REF!</definedName>
    <definedName name="V_KEYWORD_ISSR_208002861_CF_OPS" localSheetId="19">#REF!</definedName>
    <definedName name="V_KEYWORD_ISSR_208002861_CF_OPS">#REF!</definedName>
    <definedName name="V_KEYWORD_ISSR_208002861_CHG_LT_DEBT" localSheetId="17">#REF!</definedName>
    <definedName name="V_KEYWORD_ISSR_208002861_CHG_LT_DEBT" localSheetId="14">#REF!</definedName>
    <definedName name="V_KEYWORD_ISSR_208002861_CHG_LT_DEBT" localSheetId="18">#REF!</definedName>
    <definedName name="V_KEYWORD_ISSR_208002861_CHG_LT_DEBT" localSheetId="19">#REF!</definedName>
    <definedName name="V_KEYWORD_ISSR_208002861_CHG_LT_DEBT">#REF!</definedName>
    <definedName name="V_KEYWORD_ISSR_208002861_CO_BOR_MARGIN" localSheetId="17">#REF!</definedName>
    <definedName name="V_KEYWORD_ISSR_208002861_CO_BOR_MARGIN" localSheetId="14">#REF!</definedName>
    <definedName name="V_KEYWORD_ISSR_208002861_CO_BOR_MARGIN" localSheetId="18">#REF!</definedName>
    <definedName name="V_KEYWORD_ISSR_208002861_CO_BOR_MARGIN" localSheetId="19">#REF!</definedName>
    <definedName name="V_KEYWORD_ISSR_208002861_CO_BOR_MARGIN">#REF!</definedName>
    <definedName name="V_KEYWORD_ISSR_208002861_COST_GD_SD" localSheetId="17">#REF!</definedName>
    <definedName name="V_KEYWORD_ISSR_208002861_COST_GD_SD" localSheetId="14">#REF!</definedName>
    <definedName name="V_KEYWORD_ISSR_208002861_COST_GD_SD" localSheetId="18">#REF!</definedName>
    <definedName name="V_KEYWORD_ISSR_208002861_COST_GD_SD" localSheetId="19">#REF!</definedName>
    <definedName name="V_KEYWORD_ISSR_208002861_COST_GD_SD">#REF!</definedName>
    <definedName name="V_KEYWORD_ISSR_208002861_CUR_ASS" localSheetId="17">#REF!</definedName>
    <definedName name="V_KEYWORD_ISSR_208002861_CUR_ASS" localSheetId="14">#REF!</definedName>
    <definedName name="V_KEYWORD_ISSR_208002861_CUR_ASS" localSheetId="18">#REF!</definedName>
    <definedName name="V_KEYWORD_ISSR_208002861_CUR_ASS" localSheetId="19">#REF!</definedName>
    <definedName name="V_KEYWORD_ISSR_208002861_CUR_ASS">#REF!</definedName>
    <definedName name="V_KEYWORD_ISSR_208002861_CURRENCY_ISO" localSheetId="17">#REF!</definedName>
    <definedName name="V_KEYWORD_ISSR_208002861_CURRENCY_ISO" localSheetId="14">#REF!</definedName>
    <definedName name="V_KEYWORD_ISSR_208002861_CURRENCY_ISO" localSheetId="18">#REF!</definedName>
    <definedName name="V_KEYWORD_ISSR_208002861_CURRENCY_ISO" localSheetId="19">#REF!</definedName>
    <definedName name="V_KEYWORD_ISSR_208002861_CURRENCY_ISO">#REF!</definedName>
    <definedName name="V_KEYWORD_ISSR_208002861_DEBTORS" localSheetId="17">#REF!</definedName>
    <definedName name="V_KEYWORD_ISSR_208002861_DEBTORS" localSheetId="14">#REF!</definedName>
    <definedName name="V_KEYWORD_ISSR_208002861_DEBTORS" localSheetId="18">#REF!</definedName>
    <definedName name="V_KEYWORD_ISSR_208002861_DEBTORS" localSheetId="19">#REF!</definedName>
    <definedName name="V_KEYWORD_ISSR_208002861_DEBTORS">#REF!</definedName>
    <definedName name="V_KEYWORD_ISSR_208002861_DEF_INC_TAX" localSheetId="17">#REF!</definedName>
    <definedName name="V_KEYWORD_ISSR_208002861_DEF_INC_TAX" localSheetId="14">#REF!</definedName>
    <definedName name="V_KEYWORD_ISSR_208002861_DEF_INC_TAX" localSheetId="18">#REF!</definedName>
    <definedName name="V_KEYWORD_ISSR_208002861_DEF_INC_TAX" localSheetId="19">#REF!</definedName>
    <definedName name="V_KEYWORD_ISSR_208002861_DEF_INC_TAX">#REF!</definedName>
    <definedName name="V_KEYWORD_ISSR_208002861_DEPR_AMORT" localSheetId="17">#REF!</definedName>
    <definedName name="V_KEYWORD_ISSR_208002861_DEPR_AMORT" localSheetId="14">#REF!</definedName>
    <definedName name="V_KEYWORD_ISSR_208002861_DEPR_AMORT" localSheetId="18">#REF!</definedName>
    <definedName name="V_KEYWORD_ISSR_208002861_DEPR_AMORT" localSheetId="19">#REF!</definedName>
    <definedName name="V_KEYWORD_ISSR_208002861_DEPR_AMORT">#REF!</definedName>
    <definedName name="V_KEYWORD_ISSR_208002861_DEPREC" localSheetId="17">#REF!</definedName>
    <definedName name="V_KEYWORD_ISSR_208002861_DEPREC" localSheetId="14">#REF!</definedName>
    <definedName name="V_KEYWORD_ISSR_208002861_DEPREC" localSheetId="18">#REF!</definedName>
    <definedName name="V_KEYWORD_ISSR_208002861_DEPREC" localSheetId="19">#REF!</definedName>
    <definedName name="V_KEYWORD_ISSR_208002861_DEPREC">#REF!</definedName>
    <definedName name="V_KEYWORD_ISSR_208002861_DIV_PAID" localSheetId="17">#REF!</definedName>
    <definedName name="V_KEYWORD_ISSR_208002861_DIV_PAID" localSheetId="14">#REF!</definedName>
    <definedName name="V_KEYWORD_ISSR_208002861_DIV_PAID" localSheetId="18">#REF!</definedName>
    <definedName name="V_KEYWORD_ISSR_208002861_DIV_PAID" localSheetId="19">#REF!</definedName>
    <definedName name="V_KEYWORD_ISSR_208002861_DIV_PAID">#REF!</definedName>
    <definedName name="V_KEYWORD_ISSR_208002861_DIVDS_ASSOC_JV" localSheetId="17">#REF!</definedName>
    <definedName name="V_KEYWORD_ISSR_208002861_DIVDS_ASSOC_JV" localSheetId="14">#REF!</definedName>
    <definedName name="V_KEYWORD_ISSR_208002861_DIVDS_ASSOC_JV" localSheetId="18">#REF!</definedName>
    <definedName name="V_KEYWORD_ISSR_208002861_DIVDS_ASSOC_JV" localSheetId="19">#REF!</definedName>
    <definedName name="V_KEYWORD_ISSR_208002861_DIVDS_ASSOC_JV">#REF!</definedName>
    <definedName name="V_KEYWORD_ISSR_208002861_DIVDS_PD_MINORITIES" localSheetId="17">#REF!</definedName>
    <definedName name="V_KEYWORD_ISSR_208002861_DIVDS_PD_MINORITIES" localSheetId="14">#REF!</definedName>
    <definedName name="V_KEYWORD_ISSR_208002861_DIVDS_PD_MINORITIES" localSheetId="18">#REF!</definedName>
    <definedName name="V_KEYWORD_ISSR_208002861_DIVDS_PD_MINORITIES" localSheetId="19">#REF!</definedName>
    <definedName name="V_KEYWORD_ISSR_208002861_DIVDS_PD_MINORITIES">#REF!</definedName>
    <definedName name="V_KEYWORD_ISSR_208002861_DIVEST" localSheetId="17">#REF!</definedName>
    <definedName name="V_KEYWORD_ISSR_208002861_DIVEST" localSheetId="14">#REF!</definedName>
    <definedName name="V_KEYWORD_ISSR_208002861_DIVEST" localSheetId="18">#REF!</definedName>
    <definedName name="V_KEYWORD_ISSR_208002861_DIVEST" localSheetId="19">#REF!</definedName>
    <definedName name="V_KEYWORD_ISSR_208002861_DIVEST">#REF!</definedName>
    <definedName name="V_KEYWORD_ISSR_208002861_EBIT" localSheetId="17">#REF!</definedName>
    <definedName name="V_KEYWORD_ISSR_208002861_EBIT" localSheetId="14">#REF!</definedName>
    <definedName name="V_KEYWORD_ISSR_208002861_EBIT" localSheetId="18">#REF!</definedName>
    <definedName name="V_KEYWORD_ISSR_208002861_EBIT" localSheetId="19">#REF!</definedName>
    <definedName name="V_KEYWORD_ISSR_208002861_EBIT">#REF!</definedName>
    <definedName name="V_KEYWORD_ISSR_208002861_EBITDA_CALC" localSheetId="17">#REF!</definedName>
    <definedName name="V_KEYWORD_ISSR_208002861_EBITDA_CALC" localSheetId="14">#REF!</definedName>
    <definedName name="V_KEYWORD_ISSR_208002861_EBITDA_CALC" localSheetId="18">#REF!</definedName>
    <definedName name="V_KEYWORD_ISSR_208002861_EBITDA_CALC" localSheetId="19">#REF!</definedName>
    <definedName name="V_KEYWORD_ISSR_208002861_EBITDA_CALC">#REF!</definedName>
    <definedName name="V_KEYWORD_ISSR_208002861_EMPLOYEES" localSheetId="17">#REF!</definedName>
    <definedName name="V_KEYWORD_ISSR_208002861_EMPLOYEES" localSheetId="14">#REF!</definedName>
    <definedName name="V_KEYWORD_ISSR_208002861_EMPLOYEES" localSheetId="18">#REF!</definedName>
    <definedName name="V_KEYWORD_ISSR_208002861_EMPLOYEES" localSheetId="19">#REF!</definedName>
    <definedName name="V_KEYWORD_ISSR_208002861_EMPLOYEES">#REF!</definedName>
    <definedName name="V_KEYWORD_ISSR_208002861_EQ" localSheetId="17">#REF!</definedName>
    <definedName name="V_KEYWORD_ISSR_208002861_EQ" localSheetId="14">#REF!</definedName>
    <definedName name="V_KEYWORD_ISSR_208002861_EQ" localSheetId="18">#REF!</definedName>
    <definedName name="V_KEYWORD_ISSR_208002861_EQ" localSheetId="19">#REF!</definedName>
    <definedName name="V_KEYWORD_ISSR_208002861_EQ">#REF!</definedName>
    <definedName name="V_KEYWORD_ISSR_208002861_EXP_ALUMINIUM" localSheetId="17">#REF!</definedName>
    <definedName name="V_KEYWORD_ISSR_208002861_EXP_ALUMINIUM" localSheetId="14">#REF!</definedName>
    <definedName name="V_KEYWORD_ISSR_208002861_EXP_ALUMINIUM" localSheetId="18">#REF!</definedName>
    <definedName name="V_KEYWORD_ISSR_208002861_EXP_ALUMINIUM" localSheetId="19">#REF!</definedName>
    <definedName name="V_KEYWORD_ISSR_208002861_EXP_ALUMINIUM">#REF!</definedName>
    <definedName name="V_KEYWORD_ISSR_208002861_EXP_COPPER" localSheetId="17">#REF!</definedName>
    <definedName name="V_KEYWORD_ISSR_208002861_EXP_COPPER" localSheetId="14">#REF!</definedName>
    <definedName name="V_KEYWORD_ISSR_208002861_EXP_COPPER" localSheetId="18">#REF!</definedName>
    <definedName name="V_KEYWORD_ISSR_208002861_EXP_COPPER" localSheetId="19">#REF!</definedName>
    <definedName name="V_KEYWORD_ISSR_208002861_EXP_COPPER">#REF!</definedName>
    <definedName name="V_KEYWORD_ISSR_208002861_EXP_GLASS" localSheetId="17">#REF!</definedName>
    <definedName name="V_KEYWORD_ISSR_208002861_EXP_GLASS" localSheetId="14">#REF!</definedName>
    <definedName name="V_KEYWORD_ISSR_208002861_EXP_GLASS" localSheetId="18">#REF!</definedName>
    <definedName name="V_KEYWORD_ISSR_208002861_EXP_GLASS" localSheetId="19">#REF!</definedName>
    <definedName name="V_KEYWORD_ISSR_208002861_EXP_GLASS">#REF!</definedName>
    <definedName name="V_KEYWORD_ISSR_208002861_EXP_GOLD" localSheetId="17">#REF!</definedName>
    <definedName name="V_KEYWORD_ISSR_208002861_EXP_GOLD" localSheetId="14">#REF!</definedName>
    <definedName name="V_KEYWORD_ISSR_208002861_EXP_GOLD" localSheetId="18">#REF!</definedName>
    <definedName name="V_KEYWORD_ISSR_208002861_EXP_GOLD" localSheetId="19">#REF!</definedName>
    <definedName name="V_KEYWORD_ISSR_208002861_EXP_GOLD">#REF!</definedName>
    <definedName name="V_KEYWORD_ISSR_208002861_EXP_NAT_GAS" localSheetId="17">#REF!</definedName>
    <definedName name="V_KEYWORD_ISSR_208002861_EXP_NAT_GAS" localSheetId="14">#REF!</definedName>
    <definedName name="V_KEYWORD_ISSR_208002861_EXP_NAT_GAS" localSheetId="18">#REF!</definedName>
    <definedName name="V_KEYWORD_ISSR_208002861_EXP_NAT_GAS" localSheetId="19">#REF!</definedName>
    <definedName name="V_KEYWORD_ISSR_208002861_EXP_NAT_GAS">#REF!</definedName>
    <definedName name="V_KEYWORD_ISSR_208002861_EXP_NICKEL" localSheetId="17">#REF!</definedName>
    <definedName name="V_KEYWORD_ISSR_208002861_EXP_NICKEL" localSheetId="14">#REF!</definedName>
    <definedName name="V_KEYWORD_ISSR_208002861_EXP_NICKEL" localSheetId="18">#REF!</definedName>
    <definedName name="V_KEYWORD_ISSR_208002861_EXP_NICKEL" localSheetId="19">#REF!</definedName>
    <definedName name="V_KEYWORD_ISSR_208002861_EXP_NICKEL">#REF!</definedName>
    <definedName name="V_KEYWORD_ISSR_208002861_EXP_OIL_DERIV_NGLS_PLASTICS" localSheetId="17">#REF!</definedName>
    <definedName name="V_KEYWORD_ISSR_208002861_EXP_OIL_DERIV_NGLS_PLASTICS" localSheetId="14">#REF!</definedName>
    <definedName name="V_KEYWORD_ISSR_208002861_EXP_OIL_DERIV_NGLS_PLASTICS" localSheetId="18">#REF!</definedName>
    <definedName name="V_KEYWORD_ISSR_208002861_EXP_OIL_DERIV_NGLS_PLASTICS" localSheetId="19">#REF!</definedName>
    <definedName name="V_KEYWORD_ISSR_208002861_EXP_OIL_DERIV_NGLS_PLASTICS">#REF!</definedName>
    <definedName name="V_KEYWORD_ISSR_208002861_EXP_OIL_PETRO_FUEL" localSheetId="17">#REF!</definedName>
    <definedName name="V_KEYWORD_ISSR_208002861_EXP_OIL_PETRO_FUEL" localSheetId="14">#REF!</definedName>
    <definedName name="V_KEYWORD_ISSR_208002861_EXP_OIL_PETRO_FUEL" localSheetId="18">#REF!</definedName>
    <definedName name="V_KEYWORD_ISSR_208002861_EXP_OIL_PETRO_FUEL" localSheetId="19">#REF!</definedName>
    <definedName name="V_KEYWORD_ISSR_208002861_EXP_OIL_PETRO_FUEL">#REF!</definedName>
    <definedName name="V_KEYWORD_ISSR_208002861_EXP_OTH_COMMODITY" localSheetId="17">#REF!</definedName>
    <definedName name="V_KEYWORD_ISSR_208002861_EXP_OTH_COMMODITY" localSheetId="14">#REF!</definedName>
    <definedName name="V_KEYWORD_ISSR_208002861_EXP_OTH_COMMODITY" localSheetId="18">#REF!</definedName>
    <definedName name="V_KEYWORD_ISSR_208002861_EXP_OTH_COMMODITY" localSheetId="19">#REF!</definedName>
    <definedName name="V_KEYWORD_ISSR_208002861_EXP_OTH_COMMODITY">#REF!</definedName>
    <definedName name="V_KEYWORD_ISSR_208002861_EXP_OTH_COST" localSheetId="17">#REF!</definedName>
    <definedName name="V_KEYWORD_ISSR_208002861_EXP_OTH_COST" localSheetId="14">#REF!</definedName>
    <definedName name="V_KEYWORD_ISSR_208002861_EXP_OTH_COST" localSheetId="18">#REF!</definedName>
    <definedName name="V_KEYWORD_ISSR_208002861_EXP_OTH_COST" localSheetId="19">#REF!</definedName>
    <definedName name="V_KEYWORD_ISSR_208002861_EXP_OTH_COST">#REF!</definedName>
    <definedName name="V_KEYWORD_ISSR_208002861_EXP_PALLADIUM" localSheetId="17">#REF!</definedName>
    <definedName name="V_KEYWORD_ISSR_208002861_EXP_PALLADIUM" localSheetId="14">#REF!</definedName>
    <definedName name="V_KEYWORD_ISSR_208002861_EXP_PALLADIUM" localSheetId="18">#REF!</definedName>
    <definedName name="V_KEYWORD_ISSR_208002861_EXP_PALLADIUM" localSheetId="19">#REF!</definedName>
    <definedName name="V_KEYWORD_ISSR_208002861_EXP_PALLADIUM">#REF!</definedName>
    <definedName name="V_KEYWORD_ISSR_208002861_EXP_PLATINUM" localSheetId="17">#REF!</definedName>
    <definedName name="V_KEYWORD_ISSR_208002861_EXP_PLATINUM" localSheetId="14">#REF!</definedName>
    <definedName name="V_KEYWORD_ISSR_208002861_EXP_PLATINUM" localSheetId="18">#REF!</definedName>
    <definedName name="V_KEYWORD_ISSR_208002861_EXP_PLATINUM" localSheetId="19">#REF!</definedName>
    <definedName name="V_KEYWORD_ISSR_208002861_EXP_PLATINUM">#REF!</definedName>
    <definedName name="V_KEYWORD_ISSR_208002861_EXP_RUBBER" localSheetId="17">#REF!</definedName>
    <definedName name="V_KEYWORD_ISSR_208002861_EXP_RUBBER" localSheetId="14">#REF!</definedName>
    <definedName name="V_KEYWORD_ISSR_208002861_EXP_RUBBER" localSheetId="18">#REF!</definedName>
    <definedName name="V_KEYWORD_ISSR_208002861_EXP_RUBBER" localSheetId="19">#REF!</definedName>
    <definedName name="V_KEYWORD_ISSR_208002861_EXP_RUBBER">#REF!</definedName>
    <definedName name="V_KEYWORD_ISSR_208002861_EXP_SILVER" localSheetId="17">#REF!</definedName>
    <definedName name="V_KEYWORD_ISSR_208002861_EXP_SILVER" localSheetId="14">#REF!</definedName>
    <definedName name="V_KEYWORD_ISSR_208002861_EXP_SILVER" localSheetId="18">#REF!</definedName>
    <definedName name="V_KEYWORD_ISSR_208002861_EXP_SILVER" localSheetId="19">#REF!</definedName>
    <definedName name="V_KEYWORD_ISSR_208002861_EXP_SILVER">#REF!</definedName>
    <definedName name="V_KEYWORD_ISSR_208002861_EXP_STEEL" localSheetId="17">#REF!</definedName>
    <definedName name="V_KEYWORD_ISSR_208002861_EXP_STEEL" localSheetId="14">#REF!</definedName>
    <definedName name="V_KEYWORD_ISSR_208002861_EXP_STEEL" localSheetId="18">#REF!</definedName>
    <definedName name="V_KEYWORD_ISSR_208002861_EXP_STEEL" localSheetId="19">#REF!</definedName>
    <definedName name="V_KEYWORD_ISSR_208002861_EXP_STEEL">#REF!</definedName>
    <definedName name="V_KEYWORD_ISSR_208002861_EXP_WATER" localSheetId="17">#REF!</definedName>
    <definedName name="V_KEYWORD_ISSR_208002861_EXP_WATER" localSheetId="14">#REF!</definedName>
    <definedName name="V_KEYWORD_ISSR_208002861_EXP_WATER" localSheetId="18">#REF!</definedName>
    <definedName name="V_KEYWORD_ISSR_208002861_EXP_WATER" localSheetId="19">#REF!</definedName>
    <definedName name="V_KEYWORD_ISSR_208002861_EXP_WATER">#REF!</definedName>
    <definedName name="V_KEYWORD_ISSR_208002861_EXP_ZINC" localSheetId="17">#REF!</definedName>
    <definedName name="V_KEYWORD_ISSR_208002861_EXP_ZINC" localSheetId="14">#REF!</definedName>
    <definedName name="V_KEYWORD_ISSR_208002861_EXP_ZINC" localSheetId="18">#REF!</definedName>
    <definedName name="V_KEYWORD_ISSR_208002861_EXP_ZINC" localSheetId="19">#REF!</definedName>
    <definedName name="V_KEYWORD_ISSR_208002861_EXP_ZINC">#REF!</definedName>
    <definedName name="V_KEYWORD_ISSR_208002861_FIX_ASS_INV" localSheetId="17">#REF!</definedName>
    <definedName name="V_KEYWORD_ISSR_208002861_FIX_ASS_INV" localSheetId="14">#REF!</definedName>
    <definedName name="V_KEYWORD_ISSR_208002861_FIX_ASS_INV" localSheetId="18">#REF!</definedName>
    <definedName name="V_KEYWORD_ISSR_208002861_FIX_ASS_INV" localSheetId="19">#REF!</definedName>
    <definedName name="V_KEYWORD_ISSR_208002861_FIX_ASS_INV">#REF!</definedName>
    <definedName name="V_KEYWORD_ISSR_208002861_GCI_INFL" localSheetId="17">#REF!</definedName>
    <definedName name="V_KEYWORD_ISSR_208002861_GCI_INFL" localSheetId="14">#REF!</definedName>
    <definedName name="V_KEYWORD_ISSR_208002861_GCI_INFL" localSheetId="18">#REF!</definedName>
    <definedName name="V_KEYWORD_ISSR_208002861_GCI_INFL" localSheetId="19">#REF!</definedName>
    <definedName name="V_KEYWORD_ISSR_208002861_GCI_INFL">#REF!</definedName>
    <definedName name="V_KEYWORD_ISSR_208002861_GOODWILL_AMORT" localSheetId="17">#REF!</definedName>
    <definedName name="V_KEYWORD_ISSR_208002861_GOODWILL_AMORT" localSheetId="14">#REF!</definedName>
    <definedName name="V_KEYWORD_ISSR_208002861_GOODWILL_AMORT" localSheetId="18">#REF!</definedName>
    <definedName name="V_KEYWORD_ISSR_208002861_GOODWILL_AMORT" localSheetId="19">#REF!</definedName>
    <definedName name="V_KEYWORD_ISSR_208002861_GOODWILL_AMORT">#REF!</definedName>
    <definedName name="V_KEYWORD_ISSR_208002861_GR_FIX_ASS" localSheetId="17">#REF!</definedName>
    <definedName name="V_KEYWORD_ISSR_208002861_GR_FIX_ASS" localSheetId="14">#REF!</definedName>
    <definedName name="V_KEYWORD_ISSR_208002861_GR_FIX_ASS" localSheetId="18">#REF!</definedName>
    <definedName name="V_KEYWORD_ISSR_208002861_GR_FIX_ASS" localSheetId="19">#REF!</definedName>
    <definedName name="V_KEYWORD_ISSR_208002861_GR_FIX_ASS">#REF!</definedName>
    <definedName name="V_KEYWORD_ISSR_208002861_GR_INTANG" localSheetId="17">#REF!</definedName>
    <definedName name="V_KEYWORD_ISSR_208002861_GR_INTANG" localSheetId="14">#REF!</definedName>
    <definedName name="V_KEYWORD_ISSR_208002861_GR_INTANG" localSheetId="18">#REF!</definedName>
    <definedName name="V_KEYWORD_ISSR_208002861_GR_INTANG" localSheetId="19">#REF!</definedName>
    <definedName name="V_KEYWORD_ISSR_208002861_GR_INTANG">#REF!</definedName>
    <definedName name="V_KEYWORD_ISSR_208002861_GW_AMORT" localSheetId="17">#REF!</definedName>
    <definedName name="V_KEYWORD_ISSR_208002861_GW_AMORT" localSheetId="14">#REF!</definedName>
    <definedName name="V_KEYWORD_ISSR_208002861_GW_AMORT" localSheetId="18">#REF!</definedName>
    <definedName name="V_KEYWORD_ISSR_208002861_GW_AMORT" localSheetId="19">#REF!</definedName>
    <definedName name="V_KEYWORD_ISSR_208002861_GW_AMORT">#REF!</definedName>
    <definedName name="V_KEYWORD_ISSR_208002861_IND_SALES_BRAZIL" localSheetId="17">#REF!</definedName>
    <definedName name="V_KEYWORD_ISSR_208002861_IND_SALES_BRAZIL" localSheetId="14">#REF!</definedName>
    <definedName name="V_KEYWORD_ISSR_208002861_IND_SALES_BRAZIL" localSheetId="18">#REF!</definedName>
    <definedName name="V_KEYWORD_ISSR_208002861_IND_SALES_BRAZIL" localSheetId="19">#REF!</definedName>
    <definedName name="V_KEYWORD_ISSR_208002861_IND_SALES_BRAZIL">#REF!</definedName>
    <definedName name="V_KEYWORD_ISSR_208002861_IND_SALES_CEE" localSheetId="17">#REF!</definedName>
    <definedName name="V_KEYWORD_ISSR_208002861_IND_SALES_CEE" localSheetId="14">#REF!</definedName>
    <definedName name="V_KEYWORD_ISSR_208002861_IND_SALES_CEE" localSheetId="18">#REF!</definedName>
    <definedName name="V_KEYWORD_ISSR_208002861_IND_SALES_CEE" localSheetId="19">#REF!</definedName>
    <definedName name="V_KEYWORD_ISSR_208002861_IND_SALES_CEE">#REF!</definedName>
    <definedName name="V_KEYWORD_ISSR_208002861_IND_SALES_CHINA" localSheetId="17">#REF!</definedName>
    <definedName name="V_KEYWORD_ISSR_208002861_IND_SALES_CHINA" localSheetId="14">#REF!</definedName>
    <definedName name="V_KEYWORD_ISSR_208002861_IND_SALES_CHINA" localSheetId="18">#REF!</definedName>
    <definedName name="V_KEYWORD_ISSR_208002861_IND_SALES_CHINA" localSheetId="19">#REF!</definedName>
    <definedName name="V_KEYWORD_ISSR_208002861_IND_SALES_CHINA">#REF!</definedName>
    <definedName name="V_KEYWORD_ISSR_208002861_IND_SALES_CONS" localSheetId="17">#REF!</definedName>
    <definedName name="V_KEYWORD_ISSR_208002861_IND_SALES_CONS" localSheetId="14">#REF!</definedName>
    <definedName name="V_KEYWORD_ISSR_208002861_IND_SALES_CONS" localSheetId="18">#REF!</definedName>
    <definedName name="V_KEYWORD_ISSR_208002861_IND_SALES_CONS" localSheetId="19">#REF!</definedName>
    <definedName name="V_KEYWORD_ISSR_208002861_IND_SALES_CONS">#REF!</definedName>
    <definedName name="V_KEYWORD_ISSR_208002861_IND_SALES_EU_EX_UK" localSheetId="17">#REF!</definedName>
    <definedName name="V_KEYWORD_ISSR_208002861_IND_SALES_EU_EX_UK" localSheetId="14">#REF!</definedName>
    <definedName name="V_KEYWORD_ISSR_208002861_IND_SALES_EU_EX_UK" localSheetId="18">#REF!</definedName>
    <definedName name="V_KEYWORD_ISSR_208002861_IND_SALES_EU_EX_UK" localSheetId="19">#REF!</definedName>
    <definedName name="V_KEYWORD_ISSR_208002861_IND_SALES_EU_EX_UK">#REF!</definedName>
    <definedName name="V_KEYWORD_ISSR_208002861_IND_SALES_FINAN" localSheetId="17">#REF!</definedName>
    <definedName name="V_KEYWORD_ISSR_208002861_IND_SALES_FINAN" localSheetId="14">#REF!</definedName>
    <definedName name="V_KEYWORD_ISSR_208002861_IND_SALES_FINAN" localSheetId="18">#REF!</definedName>
    <definedName name="V_KEYWORD_ISSR_208002861_IND_SALES_FINAN" localSheetId="19">#REF!</definedName>
    <definedName name="V_KEYWORD_ISSR_208002861_IND_SALES_FINAN">#REF!</definedName>
    <definedName name="V_KEYWORD_ISSR_208002861_IND_SALES_FRA" localSheetId="17">#REF!</definedName>
    <definedName name="V_KEYWORD_ISSR_208002861_IND_SALES_FRA" localSheetId="14">#REF!</definedName>
    <definedName name="V_KEYWORD_ISSR_208002861_IND_SALES_FRA" localSheetId="18">#REF!</definedName>
    <definedName name="V_KEYWORD_ISSR_208002861_IND_SALES_FRA" localSheetId="19">#REF!</definedName>
    <definedName name="V_KEYWORD_ISSR_208002861_IND_SALES_FRA">#REF!</definedName>
    <definedName name="V_KEYWORD_ISSR_208002861_IND_SALES_GER" localSheetId="17">#REF!</definedName>
    <definedName name="V_KEYWORD_ISSR_208002861_IND_SALES_GER" localSheetId="14">#REF!</definedName>
    <definedName name="V_KEYWORD_ISSR_208002861_IND_SALES_GER" localSheetId="18">#REF!</definedName>
    <definedName name="V_KEYWORD_ISSR_208002861_IND_SALES_GER" localSheetId="19">#REF!</definedName>
    <definedName name="V_KEYWORD_ISSR_208002861_IND_SALES_GER">#REF!</definedName>
    <definedName name="V_KEYWORD_ISSR_208002861_IND_SALES_GOV" localSheetId="17">#REF!</definedName>
    <definedName name="V_KEYWORD_ISSR_208002861_IND_SALES_GOV" localSheetId="14">#REF!</definedName>
    <definedName name="V_KEYWORD_ISSR_208002861_IND_SALES_GOV" localSheetId="18">#REF!</definedName>
    <definedName name="V_KEYWORD_ISSR_208002861_IND_SALES_GOV" localSheetId="19">#REF!</definedName>
    <definedName name="V_KEYWORD_ISSR_208002861_IND_SALES_GOV">#REF!</definedName>
    <definedName name="V_KEYWORD_ISSR_208002861_IND_SALES_IND" localSheetId="17">#REF!</definedName>
    <definedName name="V_KEYWORD_ISSR_208002861_IND_SALES_IND" localSheetId="14">#REF!</definedName>
    <definedName name="V_KEYWORD_ISSR_208002861_IND_SALES_IND" localSheetId="18">#REF!</definedName>
    <definedName name="V_KEYWORD_ISSR_208002861_IND_SALES_IND" localSheetId="19">#REF!</definedName>
    <definedName name="V_KEYWORD_ISSR_208002861_IND_SALES_IND">#REF!</definedName>
    <definedName name="V_KEYWORD_ISSR_208002861_IND_SALES_INDIA" localSheetId="17">#REF!</definedName>
    <definedName name="V_KEYWORD_ISSR_208002861_IND_SALES_INDIA" localSheetId="14">#REF!</definedName>
    <definedName name="V_KEYWORD_ISSR_208002861_IND_SALES_INDIA" localSheetId="18">#REF!</definedName>
    <definedName name="V_KEYWORD_ISSR_208002861_IND_SALES_INDIA" localSheetId="19">#REF!</definedName>
    <definedName name="V_KEYWORD_ISSR_208002861_IND_SALES_INDIA">#REF!</definedName>
    <definedName name="V_KEYWORD_ISSR_208002861_IND_SALES_ITA" localSheetId="17">#REF!</definedName>
    <definedName name="V_KEYWORD_ISSR_208002861_IND_SALES_ITA" localSheetId="14">#REF!</definedName>
    <definedName name="V_KEYWORD_ISSR_208002861_IND_SALES_ITA" localSheetId="18">#REF!</definedName>
    <definedName name="V_KEYWORD_ISSR_208002861_IND_SALES_ITA" localSheetId="19">#REF!</definedName>
    <definedName name="V_KEYWORD_ISSR_208002861_IND_SALES_ITA">#REF!</definedName>
    <definedName name="V_KEYWORD_ISSR_208002861_IND_SALES_JAPAN" localSheetId="17">#REF!</definedName>
    <definedName name="V_KEYWORD_ISSR_208002861_IND_SALES_JAPAN" localSheetId="14">#REF!</definedName>
    <definedName name="V_KEYWORD_ISSR_208002861_IND_SALES_JAPAN" localSheetId="18">#REF!</definedName>
    <definedName name="V_KEYWORD_ISSR_208002861_IND_SALES_JAPAN" localSheetId="19">#REF!</definedName>
    <definedName name="V_KEYWORD_ISSR_208002861_IND_SALES_JAPAN">#REF!</definedName>
    <definedName name="V_KEYWORD_ISSR_208002861_IND_SALES_ME" localSheetId="17">#REF!</definedName>
    <definedName name="V_KEYWORD_ISSR_208002861_IND_SALES_ME" localSheetId="14">#REF!</definedName>
    <definedName name="V_KEYWORD_ISSR_208002861_IND_SALES_ME" localSheetId="18">#REF!</definedName>
    <definedName name="V_KEYWORD_ISSR_208002861_IND_SALES_ME" localSheetId="19">#REF!</definedName>
    <definedName name="V_KEYWORD_ISSR_208002861_IND_SALES_ME">#REF!</definedName>
    <definedName name="V_KEYWORD_ISSR_208002861_IND_SALES_NIGERIA" localSheetId="17">#REF!</definedName>
    <definedName name="V_KEYWORD_ISSR_208002861_IND_SALES_NIGERIA" localSheetId="14">#REF!</definedName>
    <definedName name="V_KEYWORD_ISSR_208002861_IND_SALES_NIGERIA" localSheetId="18">#REF!</definedName>
    <definedName name="V_KEYWORD_ISSR_208002861_IND_SALES_NIGERIA" localSheetId="19">#REF!</definedName>
    <definedName name="V_KEYWORD_ISSR_208002861_IND_SALES_NIGERIA">#REF!</definedName>
    <definedName name="V_KEYWORD_ISSR_208002861_IND_SALES_OTH_AEJ" localSheetId="17">#REF!</definedName>
    <definedName name="V_KEYWORD_ISSR_208002861_IND_SALES_OTH_AEJ" localSheetId="14">#REF!</definedName>
    <definedName name="V_KEYWORD_ISSR_208002861_IND_SALES_OTH_AEJ" localSheetId="18">#REF!</definedName>
    <definedName name="V_KEYWORD_ISSR_208002861_IND_SALES_OTH_AEJ" localSheetId="19">#REF!</definedName>
    <definedName name="V_KEYWORD_ISSR_208002861_IND_SALES_OTH_AEJ">#REF!</definedName>
    <definedName name="V_KEYWORD_ISSR_208002861_IND_SALES_OTH_AFRICA" localSheetId="17">#REF!</definedName>
    <definedName name="V_KEYWORD_ISSR_208002861_IND_SALES_OTH_AFRICA" localSheetId="14">#REF!</definedName>
    <definedName name="V_KEYWORD_ISSR_208002861_IND_SALES_OTH_AFRICA" localSheetId="18">#REF!</definedName>
    <definedName name="V_KEYWORD_ISSR_208002861_IND_SALES_OTH_AFRICA" localSheetId="19">#REF!</definedName>
    <definedName name="V_KEYWORD_ISSR_208002861_IND_SALES_OTH_AFRICA">#REF!</definedName>
    <definedName name="V_KEYWORD_ISSR_208002861_IND_SALES_OTH_AM" localSheetId="17">#REF!</definedName>
    <definedName name="V_KEYWORD_ISSR_208002861_IND_SALES_OTH_AM" localSheetId="14">#REF!</definedName>
    <definedName name="V_KEYWORD_ISSR_208002861_IND_SALES_OTH_AM" localSheetId="18">#REF!</definedName>
    <definedName name="V_KEYWORD_ISSR_208002861_IND_SALES_OTH_AM" localSheetId="19">#REF!</definedName>
    <definedName name="V_KEYWORD_ISSR_208002861_IND_SALES_OTH_AM">#REF!</definedName>
    <definedName name="V_KEYWORD_ISSR_208002861_IND_SALES_OTH_EMEA" localSheetId="17">#REF!</definedName>
    <definedName name="V_KEYWORD_ISSR_208002861_IND_SALES_OTH_EMEA" localSheetId="14">#REF!</definedName>
    <definedName name="V_KEYWORD_ISSR_208002861_IND_SALES_OTH_EMEA" localSheetId="18">#REF!</definedName>
    <definedName name="V_KEYWORD_ISSR_208002861_IND_SALES_OTH_EMEA" localSheetId="19">#REF!</definedName>
    <definedName name="V_KEYWORD_ISSR_208002861_IND_SALES_OTH_EMEA">#REF!</definedName>
    <definedName name="V_KEYWORD_ISSR_208002861_IND_SALES_OTH_EU_EX_UK" localSheetId="17">#REF!</definedName>
    <definedName name="V_KEYWORD_ISSR_208002861_IND_SALES_OTH_EU_EX_UK" localSheetId="14">#REF!</definedName>
    <definedName name="V_KEYWORD_ISSR_208002861_IND_SALES_OTH_EU_EX_UK" localSheetId="18">#REF!</definedName>
    <definedName name="V_KEYWORD_ISSR_208002861_IND_SALES_OTH_EU_EX_UK" localSheetId="19">#REF!</definedName>
    <definedName name="V_KEYWORD_ISSR_208002861_IND_SALES_OTH_EU_EX_UK">#REF!</definedName>
    <definedName name="V_KEYWORD_ISSR_208002861_IND_SALES_OTHER" localSheetId="17">#REF!</definedName>
    <definedName name="V_KEYWORD_ISSR_208002861_IND_SALES_OTHER" localSheetId="14">#REF!</definedName>
    <definedName name="V_KEYWORD_ISSR_208002861_IND_SALES_OTHER" localSheetId="18">#REF!</definedName>
    <definedName name="V_KEYWORD_ISSR_208002861_IND_SALES_OTHER" localSheetId="19">#REF!</definedName>
    <definedName name="V_KEYWORD_ISSR_208002861_IND_SALES_OTHER">#REF!</definedName>
    <definedName name="V_KEYWORD_ISSR_208002861_IND_SALES_RUSSIA" localSheetId="17">#REF!</definedName>
    <definedName name="V_KEYWORD_ISSR_208002861_IND_SALES_RUSSIA" localSheetId="14">#REF!</definedName>
    <definedName name="V_KEYWORD_ISSR_208002861_IND_SALES_RUSSIA" localSheetId="18">#REF!</definedName>
    <definedName name="V_KEYWORD_ISSR_208002861_IND_SALES_RUSSIA" localSheetId="19">#REF!</definedName>
    <definedName name="V_KEYWORD_ISSR_208002861_IND_SALES_RUSSIA">#REF!</definedName>
    <definedName name="V_KEYWORD_ISSR_208002861_IND_SALES_SO_AFRICA" localSheetId="17">#REF!</definedName>
    <definedName name="V_KEYWORD_ISSR_208002861_IND_SALES_SO_AFRICA" localSheetId="14">#REF!</definedName>
    <definedName name="V_KEYWORD_ISSR_208002861_IND_SALES_SO_AFRICA" localSheetId="18">#REF!</definedName>
    <definedName name="V_KEYWORD_ISSR_208002861_IND_SALES_SO_AFRICA" localSheetId="19">#REF!</definedName>
    <definedName name="V_KEYWORD_ISSR_208002861_IND_SALES_SO_AFRICA">#REF!</definedName>
    <definedName name="V_KEYWORD_ISSR_208002861_IND_SALES_SPA" localSheetId="17">#REF!</definedName>
    <definedName name="V_KEYWORD_ISSR_208002861_IND_SALES_SPA" localSheetId="14">#REF!</definedName>
    <definedName name="V_KEYWORD_ISSR_208002861_IND_SALES_SPA" localSheetId="18">#REF!</definedName>
    <definedName name="V_KEYWORD_ISSR_208002861_IND_SALES_SPA" localSheetId="19">#REF!</definedName>
    <definedName name="V_KEYWORD_ISSR_208002861_IND_SALES_SPA">#REF!</definedName>
    <definedName name="V_KEYWORD_ISSR_208002861_IND_SALES_TOT_AFRICA" localSheetId="17">#REF!</definedName>
    <definedName name="V_KEYWORD_ISSR_208002861_IND_SALES_TOT_AFRICA" localSheetId="14">#REF!</definedName>
    <definedName name="V_KEYWORD_ISSR_208002861_IND_SALES_TOT_AFRICA" localSheetId="18">#REF!</definedName>
    <definedName name="V_KEYWORD_ISSR_208002861_IND_SALES_TOT_AFRICA" localSheetId="19">#REF!</definedName>
    <definedName name="V_KEYWORD_ISSR_208002861_IND_SALES_TOT_AFRICA">#REF!</definedName>
    <definedName name="V_KEYWORD_ISSR_208002861_IND_SALES_TOT_AM" localSheetId="17">#REF!</definedName>
    <definedName name="V_KEYWORD_ISSR_208002861_IND_SALES_TOT_AM" localSheetId="14">#REF!</definedName>
    <definedName name="V_KEYWORD_ISSR_208002861_IND_SALES_TOT_AM" localSheetId="18">#REF!</definedName>
    <definedName name="V_KEYWORD_ISSR_208002861_IND_SALES_TOT_AM" localSheetId="19">#REF!</definedName>
    <definedName name="V_KEYWORD_ISSR_208002861_IND_SALES_TOT_AM">#REF!</definedName>
    <definedName name="V_KEYWORD_ISSR_208002861_IND_SALES_TOT_ASIA" localSheetId="17">#REF!</definedName>
    <definedName name="V_KEYWORD_ISSR_208002861_IND_SALES_TOT_ASIA" localSheetId="14">#REF!</definedName>
    <definedName name="V_KEYWORD_ISSR_208002861_IND_SALES_TOT_ASIA" localSheetId="18">#REF!</definedName>
    <definedName name="V_KEYWORD_ISSR_208002861_IND_SALES_TOT_ASIA" localSheetId="19">#REF!</definedName>
    <definedName name="V_KEYWORD_ISSR_208002861_IND_SALES_TOT_ASIA">#REF!</definedName>
    <definedName name="V_KEYWORD_ISSR_208002861_IND_SALES_TOT_EMEA" localSheetId="17">#REF!</definedName>
    <definedName name="V_KEYWORD_ISSR_208002861_IND_SALES_TOT_EMEA" localSheetId="14">#REF!</definedName>
    <definedName name="V_KEYWORD_ISSR_208002861_IND_SALES_TOT_EMEA" localSheetId="18">#REF!</definedName>
    <definedName name="V_KEYWORD_ISSR_208002861_IND_SALES_TOT_EMEA" localSheetId="19">#REF!</definedName>
    <definedName name="V_KEYWORD_ISSR_208002861_IND_SALES_TOT_EMEA">#REF!</definedName>
    <definedName name="V_KEYWORD_ISSR_208002861_IND_SALES_UK" localSheetId="17">#REF!</definedName>
    <definedName name="V_KEYWORD_ISSR_208002861_IND_SALES_UK" localSheetId="14">#REF!</definedName>
    <definedName name="V_KEYWORD_ISSR_208002861_IND_SALES_UK" localSheetId="18">#REF!</definedName>
    <definedName name="V_KEYWORD_ISSR_208002861_IND_SALES_UK" localSheetId="19">#REF!</definedName>
    <definedName name="V_KEYWORD_ISSR_208002861_IND_SALES_UK">#REF!</definedName>
    <definedName name="V_KEYWORD_ISSR_208002861_IND_SALES_US" localSheetId="17">#REF!</definedName>
    <definedName name="V_KEYWORD_ISSR_208002861_IND_SALES_US" localSheetId="14">#REF!</definedName>
    <definedName name="V_KEYWORD_ISSR_208002861_IND_SALES_US" localSheetId="18">#REF!</definedName>
    <definedName name="V_KEYWORD_ISSR_208002861_IND_SALES_US" localSheetId="19">#REF!</definedName>
    <definedName name="V_KEYWORD_ISSR_208002861_IND_SALES_US">#REF!</definedName>
    <definedName name="V_KEYWORD_ISSR_208002861_INT_EXP_IND" localSheetId="17">#REF!</definedName>
    <definedName name="V_KEYWORD_ISSR_208002861_INT_EXP_IND" localSheetId="14">#REF!</definedName>
    <definedName name="V_KEYWORD_ISSR_208002861_INT_EXP_IND" localSheetId="18">#REF!</definedName>
    <definedName name="V_KEYWORD_ISSR_208002861_INT_EXP_IND" localSheetId="19">#REF!</definedName>
    <definedName name="V_KEYWORD_ISSR_208002861_INT_EXP_IND">#REF!</definedName>
    <definedName name="V_KEYWORD_ISSR_208002861_INT_INC_IND" localSheetId="17">#REF!</definedName>
    <definedName name="V_KEYWORD_ISSR_208002861_INT_INC_IND" localSheetId="14">#REF!</definedName>
    <definedName name="V_KEYWORD_ISSR_208002861_INT_INC_IND" localSheetId="18">#REF!</definedName>
    <definedName name="V_KEYWORD_ISSR_208002861_INT_INC_IND" localSheetId="19">#REF!</definedName>
    <definedName name="V_KEYWORD_ISSR_208002861_INT_INC_IND">#REF!</definedName>
    <definedName name="V_KEYWORD_ISSR_208002861_INV_SECUR" localSheetId="17">#REF!</definedName>
    <definedName name="V_KEYWORD_ISSR_208002861_INV_SECUR" localSheetId="14">#REF!</definedName>
    <definedName name="V_KEYWORD_ISSR_208002861_INV_SECUR" localSheetId="18">#REF!</definedName>
    <definedName name="V_KEYWORD_ISSR_208002861_INV_SECUR" localSheetId="19">#REF!</definedName>
    <definedName name="V_KEYWORD_ISSR_208002861_INV_SECUR">#REF!</definedName>
    <definedName name="V_KEYWORD_ISSR_208002861_Issuer_Name" localSheetId="17">#REF!</definedName>
    <definedName name="V_KEYWORD_ISSR_208002861_Issuer_Name" localSheetId="14">#REF!</definedName>
    <definedName name="V_KEYWORD_ISSR_208002861_Issuer_Name" localSheetId="18">#REF!</definedName>
    <definedName name="V_KEYWORD_ISSR_208002861_Issuer_Name" localSheetId="19">#REF!</definedName>
    <definedName name="V_KEYWORD_ISSR_208002861_Issuer_Name">#REF!</definedName>
    <definedName name="V_KEYWORD_ISSR_208002861_LEASE_DEEM_DEPR" localSheetId="17">#REF!</definedName>
    <definedName name="V_KEYWORD_ISSR_208002861_LEASE_DEEM_DEPR" localSheetId="14">#REF!</definedName>
    <definedName name="V_KEYWORD_ISSR_208002861_LEASE_DEEM_DEPR" localSheetId="18">#REF!</definedName>
    <definedName name="V_KEYWORD_ISSR_208002861_LEASE_DEEM_DEPR" localSheetId="19">#REF!</definedName>
    <definedName name="V_KEYWORD_ISSR_208002861_LEASE_DEEM_DEPR">#REF!</definedName>
    <definedName name="V_KEYWORD_ISSR_208002861_LEASE_DEEM_INT" localSheetId="17">#REF!</definedName>
    <definedName name="V_KEYWORD_ISSR_208002861_LEASE_DEEM_INT" localSheetId="14">#REF!</definedName>
    <definedName name="V_KEYWORD_ISSR_208002861_LEASE_DEEM_INT" localSheetId="18">#REF!</definedName>
    <definedName name="V_KEYWORD_ISSR_208002861_LEASE_DEEM_INT" localSheetId="19">#REF!</definedName>
    <definedName name="V_KEYWORD_ISSR_208002861_LEASE_DEEM_INT">#REF!</definedName>
    <definedName name="V_KEYWORD_ISSR_208002861_LEASE_PAY" localSheetId="17">#REF!</definedName>
    <definedName name="V_KEYWORD_ISSR_208002861_LEASE_PAY" localSheetId="14">#REF!</definedName>
    <definedName name="V_KEYWORD_ISSR_208002861_LEASE_PAY" localSheetId="18">#REF!</definedName>
    <definedName name="V_KEYWORD_ISSR_208002861_LEASE_PAY" localSheetId="19">#REF!</definedName>
    <definedName name="V_KEYWORD_ISSR_208002861_LEASE_PAY">#REF!</definedName>
    <definedName name="V_KEYWORD_ISSR_208002861_LT_DEBT" localSheetId="17">#REF!</definedName>
    <definedName name="V_KEYWORD_ISSR_208002861_LT_DEBT" localSheetId="14">#REF!</definedName>
    <definedName name="V_KEYWORD_ISSR_208002861_LT_DEBT" localSheetId="18">#REF!</definedName>
    <definedName name="V_KEYWORD_ISSR_208002861_LT_DEBT" localSheetId="19">#REF!</definedName>
    <definedName name="V_KEYWORD_ISSR_208002861_LT_DEBT">#REF!</definedName>
    <definedName name="V_KEYWORD_ISSR_208002861_MINORITIES" localSheetId="17">#REF!</definedName>
    <definedName name="V_KEYWORD_ISSR_208002861_MINORITIES" localSheetId="14">#REF!</definedName>
    <definedName name="V_KEYWORD_ISSR_208002861_MINORITIES" localSheetId="18">#REF!</definedName>
    <definedName name="V_KEYWORD_ISSR_208002861_MINORITIES" localSheetId="19">#REF!</definedName>
    <definedName name="V_KEYWORD_ISSR_208002861_MINORITIES">#REF!</definedName>
    <definedName name="V_KEYWORD_ISSR_208002861_MV_ASSOCIATES" localSheetId="17">#REF!</definedName>
    <definedName name="V_KEYWORD_ISSR_208002861_MV_ASSOCIATES" localSheetId="14">#REF!</definedName>
    <definedName name="V_KEYWORD_ISSR_208002861_MV_ASSOCIATES" localSheetId="18">#REF!</definedName>
    <definedName name="V_KEYWORD_ISSR_208002861_MV_ASSOCIATES" localSheetId="19">#REF!</definedName>
    <definedName name="V_KEYWORD_ISSR_208002861_MV_ASSOCIATES">#REF!</definedName>
    <definedName name="V_KEYWORD_ISSR_208002861_NET_DEBT" localSheetId="17">#REF!</definedName>
    <definedName name="V_KEYWORD_ISSR_208002861_NET_DEBT" localSheetId="14">#REF!</definedName>
    <definedName name="V_KEYWORD_ISSR_208002861_NET_DEBT" localSheetId="18">#REF!</definedName>
    <definedName name="V_KEYWORD_ISSR_208002861_NET_DEBT" localSheetId="19">#REF!</definedName>
    <definedName name="V_KEYWORD_ISSR_208002861_NET_DEBT">#REF!</definedName>
    <definedName name="V_KEYWORD_ISSR_208002861_NET_DEBT_ADJ" localSheetId="17">#REF!</definedName>
    <definedName name="V_KEYWORD_ISSR_208002861_NET_DEBT_ADJ" localSheetId="14">#REF!</definedName>
    <definedName name="V_KEYWORD_ISSR_208002861_NET_DEBT_ADJ" localSheetId="18">#REF!</definedName>
    <definedName name="V_KEYWORD_ISSR_208002861_NET_DEBT_ADJ" localSheetId="19">#REF!</definedName>
    <definedName name="V_KEYWORD_ISSR_208002861_NET_DEBT_ADJ">#REF!</definedName>
    <definedName name="V_KEYWORD_ISSR_208002861_NET_FIX_ASS" localSheetId="17">#REF!</definedName>
    <definedName name="V_KEYWORD_ISSR_208002861_NET_FIX_ASS" localSheetId="14">#REF!</definedName>
    <definedName name="V_KEYWORD_ISSR_208002861_NET_FIX_ASS" localSheetId="18">#REF!</definedName>
    <definedName name="V_KEYWORD_ISSR_208002861_NET_FIX_ASS" localSheetId="19">#REF!</definedName>
    <definedName name="V_KEYWORD_ISSR_208002861_NET_FIX_ASS">#REF!</definedName>
    <definedName name="V_KEYWORD_ISSR_208002861_NET_INT_CH" localSheetId="17">#REF!</definedName>
    <definedName name="V_KEYWORD_ISSR_208002861_NET_INT_CH" localSheetId="14">#REF!</definedName>
    <definedName name="V_KEYWORD_ISSR_208002861_NET_INT_CH" localSheetId="18">#REF!</definedName>
    <definedName name="V_KEYWORD_ISSR_208002861_NET_INT_CH" localSheetId="19">#REF!</definedName>
    <definedName name="V_KEYWORD_ISSR_208002861_NET_INT_CH">#REF!</definedName>
    <definedName name="V_KEYWORD_ISSR_208002861_NET_INT_EXP" localSheetId="17">#REF!</definedName>
    <definedName name="V_KEYWORD_ISSR_208002861_NET_INT_EXP" localSheetId="14">#REF!</definedName>
    <definedName name="V_KEYWORD_ISSR_208002861_NET_INT_EXP" localSheetId="18">#REF!</definedName>
    <definedName name="V_KEYWORD_ISSR_208002861_NET_INT_EXP" localSheetId="19">#REF!</definedName>
    <definedName name="V_KEYWORD_ISSR_208002861_NET_INT_EXP">#REF!</definedName>
    <definedName name="V_KEYWORD_ISSR_208002861_NET_INTANG" localSheetId="17">#REF!</definedName>
    <definedName name="V_KEYWORD_ISSR_208002861_NET_INTANG" localSheetId="14">#REF!</definedName>
    <definedName name="V_KEYWORD_ISSR_208002861_NET_INTANG" localSheetId="18">#REF!</definedName>
    <definedName name="V_KEYWORD_ISSR_208002861_NET_INTANG" localSheetId="19">#REF!</definedName>
    <definedName name="V_KEYWORD_ISSR_208002861_NET_INTANG">#REF!</definedName>
    <definedName name="V_KEYWORD_ISSR_208002861_NONPPE_CAPEX" localSheetId="17">#REF!</definedName>
    <definedName name="V_KEYWORD_ISSR_208002861_NONPPE_CAPEX" localSheetId="14">#REF!</definedName>
    <definedName name="V_KEYWORD_ISSR_208002861_NONPPE_CAPEX" localSheetId="18">#REF!</definedName>
    <definedName name="V_KEYWORD_ISSR_208002861_NONPPE_CAPEX" localSheetId="19">#REF!</definedName>
    <definedName name="V_KEYWORD_ISSR_208002861_NONPPE_CAPEX">#REF!</definedName>
    <definedName name="V_KEYWORD_ISSR_208002861_OP_COST" localSheetId="17">#REF!</definedName>
    <definedName name="V_KEYWORD_ISSR_208002861_OP_COST" localSheetId="14">#REF!</definedName>
    <definedName name="V_KEYWORD_ISSR_208002861_OP_COST" localSheetId="18">#REF!</definedName>
    <definedName name="V_KEYWORD_ISSR_208002861_OP_COST" localSheetId="19">#REF!</definedName>
    <definedName name="V_KEYWORD_ISSR_208002861_OP_COST">#REF!</definedName>
    <definedName name="V_KEYWORD_ISSR_208002861_ORD_SH_FUND" localSheetId="17">#REF!</definedName>
    <definedName name="V_KEYWORD_ISSR_208002861_ORD_SH_FUND" localSheetId="14">#REF!</definedName>
    <definedName name="V_KEYWORD_ISSR_208002861_ORD_SH_FUND" localSheetId="18">#REF!</definedName>
    <definedName name="V_KEYWORD_ISSR_208002861_ORD_SH_FUND" localSheetId="19">#REF!</definedName>
    <definedName name="V_KEYWORD_ISSR_208002861_ORD_SH_FUND">#REF!</definedName>
    <definedName name="V_KEYWORD_ISSR_208002861_ORG_REV" localSheetId="17">#REF!</definedName>
    <definedName name="V_KEYWORD_ISSR_208002861_ORG_REV" localSheetId="14">#REF!</definedName>
    <definedName name="V_KEYWORD_ISSR_208002861_ORG_REV" localSheetId="18">#REF!</definedName>
    <definedName name="V_KEYWORD_ISSR_208002861_ORG_REV" localSheetId="19">#REF!</definedName>
    <definedName name="V_KEYWORD_ISSR_208002861_ORG_REV">#REF!</definedName>
    <definedName name="V_KEYWORD_ISSR_208002861_ORG_REV_GRTH" localSheetId="17">#REF!</definedName>
    <definedName name="V_KEYWORD_ISSR_208002861_ORG_REV_GRTH" localSheetId="14">#REF!</definedName>
    <definedName name="V_KEYWORD_ISSR_208002861_ORG_REV_GRTH" localSheetId="18">#REF!</definedName>
    <definedName name="V_KEYWORD_ISSR_208002861_ORG_REV_GRTH" localSheetId="19">#REF!</definedName>
    <definedName name="V_KEYWORD_ISSR_208002861_ORG_REV_GRTH">#REF!</definedName>
    <definedName name="V_KEYWORD_ISSR_208002861_OTH_COST_INC" localSheetId="17">#REF!</definedName>
    <definedName name="V_KEYWORD_ISSR_208002861_OTH_COST_INC" localSheetId="14">#REF!</definedName>
    <definedName name="V_KEYWORD_ISSR_208002861_OTH_COST_INC" localSheetId="18">#REF!</definedName>
    <definedName name="V_KEYWORD_ISSR_208002861_OTH_COST_INC" localSheetId="19">#REF!</definedName>
    <definedName name="V_KEYWORD_ISSR_208002861_OTH_COST_INC">#REF!</definedName>
    <definedName name="V_KEYWORD_ISSR_208002861_OTH_CUR_ASS" localSheetId="17">#REF!</definedName>
    <definedName name="V_KEYWORD_ISSR_208002861_OTH_CUR_ASS" localSheetId="14">#REF!</definedName>
    <definedName name="V_KEYWORD_ISSR_208002861_OTH_CUR_ASS" localSheetId="18">#REF!</definedName>
    <definedName name="V_KEYWORD_ISSR_208002861_OTH_CUR_ASS" localSheetId="19">#REF!</definedName>
    <definedName name="V_KEYWORD_ISSR_208002861_OTH_CUR_ASS">#REF!</definedName>
    <definedName name="V_KEYWORD_ISSR_208002861_OTH_CUR_LIABS" localSheetId="17">#REF!</definedName>
    <definedName name="V_KEYWORD_ISSR_208002861_OTH_CUR_LIABS" localSheetId="14">#REF!</definedName>
    <definedName name="V_KEYWORD_ISSR_208002861_OTH_CUR_LIABS" localSheetId="18">#REF!</definedName>
    <definedName name="V_KEYWORD_ISSR_208002861_OTH_CUR_LIABS" localSheetId="19">#REF!</definedName>
    <definedName name="V_KEYWORD_ISSR_208002861_OTH_CUR_LIABS">#REF!</definedName>
    <definedName name="V_KEYWORD_ISSR_208002861_OTH_DACF_ADJ" localSheetId="17">#REF!</definedName>
    <definedName name="V_KEYWORD_ISSR_208002861_OTH_DACF_ADJ" localSheetId="14">#REF!</definedName>
    <definedName name="V_KEYWORD_ISSR_208002861_OTH_DACF_ADJ" localSheetId="18">#REF!</definedName>
    <definedName name="V_KEYWORD_ISSR_208002861_OTH_DACF_ADJ" localSheetId="19">#REF!</definedName>
    <definedName name="V_KEYWORD_ISSR_208002861_OTH_DACF_ADJ">#REF!</definedName>
    <definedName name="V_KEYWORD_ISSR_208002861_OTH_FIN_CF" localSheetId="17">#REF!</definedName>
    <definedName name="V_KEYWORD_ISSR_208002861_OTH_FIN_CF" localSheetId="14">#REF!</definedName>
    <definedName name="V_KEYWORD_ISSR_208002861_OTH_FIN_CF" localSheetId="18">#REF!</definedName>
    <definedName name="V_KEYWORD_ISSR_208002861_OTH_FIN_CF" localSheetId="19">#REF!</definedName>
    <definedName name="V_KEYWORD_ISSR_208002861_OTH_FIN_CF">#REF!</definedName>
    <definedName name="V_KEYWORD_ISSR_208002861_OTH_GCI_ADJ" localSheetId="17">#REF!</definedName>
    <definedName name="V_KEYWORD_ISSR_208002861_OTH_GCI_ADJ" localSheetId="14">#REF!</definedName>
    <definedName name="V_KEYWORD_ISSR_208002861_OTH_GCI_ADJ" localSheetId="18">#REF!</definedName>
    <definedName name="V_KEYWORD_ISSR_208002861_OTH_GCI_ADJ" localSheetId="19">#REF!</definedName>
    <definedName name="V_KEYWORD_ISSR_208002861_OTH_GCI_ADJ">#REF!</definedName>
    <definedName name="V_KEYWORD_ISSR_208002861_OTH_INT_AMORT" localSheetId="17">#REF!</definedName>
    <definedName name="V_KEYWORD_ISSR_208002861_OTH_INT_AMORT" localSheetId="14">#REF!</definedName>
    <definedName name="V_KEYWORD_ISSR_208002861_OTH_INT_AMORT" localSheetId="18">#REF!</definedName>
    <definedName name="V_KEYWORD_ISSR_208002861_OTH_INT_AMORT" localSheetId="19">#REF!</definedName>
    <definedName name="V_KEYWORD_ISSR_208002861_OTH_INT_AMORT">#REF!</definedName>
    <definedName name="V_KEYWORD_ISSR_208002861_OTH_INV_CF" localSheetId="17">#REF!</definedName>
    <definedName name="V_KEYWORD_ISSR_208002861_OTH_INV_CF" localSheetId="14">#REF!</definedName>
    <definedName name="V_KEYWORD_ISSR_208002861_OTH_INV_CF" localSheetId="18">#REF!</definedName>
    <definedName name="V_KEYWORD_ISSR_208002861_OTH_INV_CF" localSheetId="19">#REF!</definedName>
    <definedName name="V_KEYWORD_ISSR_208002861_OTH_INV_CF">#REF!</definedName>
    <definedName name="V_KEYWORD_ISSR_208002861_OTH_ITEM_NCF" localSheetId="17">#REF!</definedName>
    <definedName name="V_KEYWORD_ISSR_208002861_OTH_ITEM_NCF" localSheetId="14">#REF!</definedName>
    <definedName name="V_KEYWORD_ISSR_208002861_OTH_ITEM_NCF" localSheetId="18">#REF!</definedName>
    <definedName name="V_KEYWORD_ISSR_208002861_OTH_ITEM_NCF" localSheetId="19">#REF!</definedName>
    <definedName name="V_KEYWORD_ISSR_208002861_OTH_ITEM_NCF">#REF!</definedName>
    <definedName name="V_KEYWORD_ISSR_208002861_OTH_LT_ASS" localSheetId="17">#REF!</definedName>
    <definedName name="V_KEYWORD_ISSR_208002861_OTH_LT_ASS" localSheetId="14">#REF!</definedName>
    <definedName name="V_KEYWORD_ISSR_208002861_OTH_LT_ASS" localSheetId="18">#REF!</definedName>
    <definedName name="V_KEYWORD_ISSR_208002861_OTH_LT_ASS" localSheetId="19">#REF!</definedName>
    <definedName name="V_KEYWORD_ISSR_208002861_OTH_LT_ASS">#REF!</definedName>
    <definedName name="V_KEYWORD_ISSR_208002861_OTH_LT_CRED_GQ" localSheetId="17">#REF!</definedName>
    <definedName name="V_KEYWORD_ISSR_208002861_OTH_LT_CRED_GQ" localSheetId="14">#REF!</definedName>
    <definedName name="V_KEYWORD_ISSR_208002861_OTH_LT_CRED_GQ" localSheetId="18">#REF!</definedName>
    <definedName name="V_KEYWORD_ISSR_208002861_OTH_LT_CRED_GQ" localSheetId="19">#REF!</definedName>
    <definedName name="V_KEYWORD_ISSR_208002861_OTH_LT_CRED_GQ">#REF!</definedName>
    <definedName name="V_KEYWORD_ISSR_208002861_OTH_NONCASH_ADJ" localSheetId="17">#REF!</definedName>
    <definedName name="V_KEYWORD_ISSR_208002861_OTH_NONCASH_ADJ" localSheetId="14">#REF!</definedName>
    <definedName name="V_KEYWORD_ISSR_208002861_OTH_NONCASH_ADJ" localSheetId="18">#REF!</definedName>
    <definedName name="V_KEYWORD_ISSR_208002861_OTH_NONCASH_ADJ" localSheetId="19">#REF!</definedName>
    <definedName name="V_KEYWORD_ISSR_208002861_OTH_NONCASH_ADJ">#REF!</definedName>
    <definedName name="V_KEYWORD_ISSR_208002861_OTH_OP_CF" localSheetId="17">#REF!</definedName>
    <definedName name="V_KEYWORD_ISSR_208002861_OTH_OP_CF" localSheetId="14">#REF!</definedName>
    <definedName name="V_KEYWORD_ISSR_208002861_OTH_OP_CF" localSheetId="18">#REF!</definedName>
    <definedName name="V_KEYWORD_ISSR_208002861_OTH_OP_CF" localSheetId="19">#REF!</definedName>
    <definedName name="V_KEYWORD_ISSR_208002861_OTH_OP_CF">#REF!</definedName>
    <definedName name="V_KEYWORD_ISSR_208002861_OTH_OP_INC_EXP" localSheetId="17">#REF!</definedName>
    <definedName name="V_KEYWORD_ISSR_208002861_OTH_OP_INC_EXP" localSheetId="14">#REF!</definedName>
    <definedName name="V_KEYWORD_ISSR_208002861_OTH_OP_INC_EXP" localSheetId="18">#REF!</definedName>
    <definedName name="V_KEYWORD_ISSR_208002861_OTH_OP_INC_EXP" localSheetId="19">#REF!</definedName>
    <definedName name="V_KEYWORD_ISSR_208002861_OTH_OP_INC_EXP">#REF!</definedName>
    <definedName name="V_KEYWORD_ISSR_208002861_PERIOD_MILESTONE" localSheetId="17">#REF!</definedName>
    <definedName name="V_KEYWORD_ISSR_208002861_PERIOD_MILESTONE" localSheetId="14">#REF!</definedName>
    <definedName name="V_KEYWORD_ISSR_208002861_PERIOD_MILESTONE" localSheetId="18">#REF!</definedName>
    <definedName name="V_KEYWORD_ISSR_208002861_PERIOD_MILESTONE" localSheetId="19">#REF!</definedName>
    <definedName name="V_KEYWORD_ISSR_208002861_PERIOD_MILESTONE">#REF!</definedName>
    <definedName name="V_KEYWORD_ISSR_208002861_PL_SALE_ASSETS" localSheetId="17">#REF!</definedName>
    <definedName name="V_KEYWORD_ISSR_208002861_PL_SALE_ASSETS" localSheetId="14">#REF!</definedName>
    <definedName name="V_KEYWORD_ISSR_208002861_PL_SALE_ASSETS" localSheetId="18">#REF!</definedName>
    <definedName name="V_KEYWORD_ISSR_208002861_PL_SALE_ASSETS" localSheetId="19">#REF!</definedName>
    <definedName name="V_KEYWORD_ISSR_208002861_PL_SALE_ASSETS">#REF!</definedName>
    <definedName name="V_KEYWORD_ISSR_208002861_PREF_SH" localSheetId="17">#REF!</definedName>
    <definedName name="V_KEYWORD_ISSR_208002861_PREF_SH" localSheetId="14">#REF!</definedName>
    <definedName name="V_KEYWORD_ISSR_208002861_PREF_SH" localSheetId="18">#REF!</definedName>
    <definedName name="V_KEYWORD_ISSR_208002861_PREF_SH" localSheetId="19">#REF!</definedName>
    <definedName name="V_KEYWORD_ISSR_208002861_PREF_SH">#REF!</definedName>
    <definedName name="V_KEYWORD_ISSR_208002861_PROFIT_ON_DISP" localSheetId="17">#REF!</definedName>
    <definedName name="V_KEYWORD_ISSR_208002861_PROFIT_ON_DISP" localSheetId="14">#REF!</definedName>
    <definedName name="V_KEYWORD_ISSR_208002861_PROFIT_ON_DISP" localSheetId="18">#REF!</definedName>
    <definedName name="V_KEYWORD_ISSR_208002861_PROFIT_ON_DISP" localSheetId="19">#REF!</definedName>
    <definedName name="V_KEYWORD_ISSR_208002861_PROFIT_ON_DISP">#REF!</definedName>
    <definedName name="V_KEYWORD_ISSR_208002861_PT_PROF" localSheetId="17">#REF!</definedName>
    <definedName name="V_KEYWORD_ISSR_208002861_PT_PROF" localSheetId="14">#REF!</definedName>
    <definedName name="V_KEYWORD_ISSR_208002861_PT_PROF" localSheetId="18">#REF!</definedName>
    <definedName name="V_KEYWORD_ISSR_208002861_PT_PROF" localSheetId="19">#REF!</definedName>
    <definedName name="V_KEYWORD_ISSR_208002861_PT_PROF">#REF!</definedName>
    <definedName name="V_KEYWORD_ISSR_208002861_RD_EXP" localSheetId="17">#REF!</definedName>
    <definedName name="V_KEYWORD_ISSR_208002861_RD_EXP" localSheetId="14">#REF!</definedName>
    <definedName name="V_KEYWORD_ISSR_208002861_RD_EXP" localSheetId="18">#REF!</definedName>
    <definedName name="V_KEYWORD_ISSR_208002861_RD_EXP" localSheetId="19">#REF!</definedName>
    <definedName name="V_KEYWORD_ISSR_208002861_RD_EXP">#REF!</definedName>
    <definedName name="V_KEYWORD_ISSR_208002861_SALES" localSheetId="17">#REF!</definedName>
    <definedName name="V_KEYWORD_ISSR_208002861_SALES" localSheetId="14">#REF!</definedName>
    <definedName name="V_KEYWORD_ISSR_208002861_SALES" localSheetId="18">#REF!</definedName>
    <definedName name="V_KEYWORD_ISSR_208002861_SALES" localSheetId="19">#REF!</definedName>
    <definedName name="V_KEYWORD_ISSR_208002861_SALES">#REF!</definedName>
    <definedName name="V_KEYWORD_ISSR_208002861_SALES_BRAZIL" localSheetId="17">#REF!</definedName>
    <definedName name="V_KEYWORD_ISSR_208002861_SALES_BRAZIL" localSheetId="14">#REF!</definedName>
    <definedName name="V_KEYWORD_ISSR_208002861_SALES_BRAZIL" localSheetId="18">#REF!</definedName>
    <definedName name="V_KEYWORD_ISSR_208002861_SALES_BRAZIL" localSheetId="19">#REF!</definedName>
    <definedName name="V_KEYWORD_ISSR_208002861_SALES_BRAZIL">#REF!</definedName>
    <definedName name="V_KEYWORD_ISSR_208002861_SALES_CEE" localSheetId="17">#REF!</definedName>
    <definedName name="V_KEYWORD_ISSR_208002861_SALES_CEE" localSheetId="14">#REF!</definedName>
    <definedName name="V_KEYWORD_ISSR_208002861_SALES_CEE" localSheetId="18">#REF!</definedName>
    <definedName name="V_KEYWORD_ISSR_208002861_SALES_CEE" localSheetId="19">#REF!</definedName>
    <definedName name="V_KEYWORD_ISSR_208002861_SALES_CEE">#REF!</definedName>
    <definedName name="V_KEYWORD_ISSR_208002861_SALES_CHINA" localSheetId="17">#REF!</definedName>
    <definedName name="V_KEYWORD_ISSR_208002861_SALES_CHINA" localSheetId="14">#REF!</definedName>
    <definedName name="V_KEYWORD_ISSR_208002861_SALES_CHINA" localSheetId="18">#REF!</definedName>
    <definedName name="V_KEYWORD_ISSR_208002861_SALES_CHINA" localSheetId="19">#REF!</definedName>
    <definedName name="V_KEYWORD_ISSR_208002861_SALES_CHINA">#REF!</definedName>
    <definedName name="V_KEYWORD_ISSR_208002861_SALES_CONS" localSheetId="17">#REF!</definedName>
    <definedName name="V_KEYWORD_ISSR_208002861_SALES_CONS" localSheetId="14">#REF!</definedName>
    <definedName name="V_KEYWORD_ISSR_208002861_SALES_CONS" localSheetId="18">#REF!</definedName>
    <definedName name="V_KEYWORD_ISSR_208002861_SALES_CONS" localSheetId="19">#REF!</definedName>
    <definedName name="V_KEYWORD_ISSR_208002861_SALES_CONS">#REF!</definedName>
    <definedName name="V_KEYWORD_ISSR_208002861_SALES_EU_EX_UK" localSheetId="17">#REF!</definedName>
    <definedName name="V_KEYWORD_ISSR_208002861_SALES_EU_EX_UK" localSheetId="14">#REF!</definedName>
    <definedName name="V_KEYWORD_ISSR_208002861_SALES_EU_EX_UK" localSheetId="18">#REF!</definedName>
    <definedName name="V_KEYWORD_ISSR_208002861_SALES_EU_EX_UK" localSheetId="19">#REF!</definedName>
    <definedName name="V_KEYWORD_ISSR_208002861_SALES_EU_EX_UK">#REF!</definedName>
    <definedName name="V_KEYWORD_ISSR_208002861_SALES_FINAN" localSheetId="17">#REF!</definedName>
    <definedName name="V_KEYWORD_ISSR_208002861_SALES_FINAN" localSheetId="14">#REF!</definedName>
    <definedName name="V_KEYWORD_ISSR_208002861_SALES_FINAN" localSheetId="18">#REF!</definedName>
    <definedName name="V_KEYWORD_ISSR_208002861_SALES_FINAN" localSheetId="19">#REF!</definedName>
    <definedName name="V_KEYWORD_ISSR_208002861_SALES_FINAN">#REF!</definedName>
    <definedName name="V_KEYWORD_ISSR_208002861_SALES_FRA" localSheetId="17">#REF!</definedName>
    <definedName name="V_KEYWORD_ISSR_208002861_SALES_FRA" localSheetId="14">#REF!</definedName>
    <definedName name="V_KEYWORD_ISSR_208002861_SALES_FRA" localSheetId="18">#REF!</definedName>
    <definedName name="V_KEYWORD_ISSR_208002861_SALES_FRA" localSheetId="19">#REF!</definedName>
    <definedName name="V_KEYWORD_ISSR_208002861_SALES_FRA">#REF!</definedName>
    <definedName name="V_KEYWORD_ISSR_208002861_SALES_FX_AED" localSheetId="17">#REF!</definedName>
    <definedName name="V_KEYWORD_ISSR_208002861_SALES_FX_AED" localSheetId="14">#REF!</definedName>
    <definedName name="V_KEYWORD_ISSR_208002861_SALES_FX_AED" localSheetId="18">#REF!</definedName>
    <definedName name="V_KEYWORD_ISSR_208002861_SALES_FX_AED" localSheetId="19">#REF!</definedName>
    <definedName name="V_KEYWORD_ISSR_208002861_SALES_FX_AED">#REF!</definedName>
    <definedName name="V_KEYWORD_ISSR_208002861_SALES_FX_BRL" localSheetId="17">#REF!</definedName>
    <definedName name="V_KEYWORD_ISSR_208002861_SALES_FX_BRL" localSheetId="14">#REF!</definedName>
    <definedName name="V_KEYWORD_ISSR_208002861_SALES_FX_BRL" localSheetId="18">#REF!</definedName>
    <definedName name="V_KEYWORD_ISSR_208002861_SALES_FX_BRL" localSheetId="19">#REF!</definedName>
    <definedName name="V_KEYWORD_ISSR_208002861_SALES_FX_BRL">#REF!</definedName>
    <definedName name="V_KEYWORD_ISSR_208002861_SALES_FX_CHF" localSheetId="17">#REF!</definedName>
    <definedName name="V_KEYWORD_ISSR_208002861_SALES_FX_CHF" localSheetId="14">#REF!</definedName>
    <definedName name="V_KEYWORD_ISSR_208002861_SALES_FX_CHF" localSheetId="18">#REF!</definedName>
    <definedName name="V_KEYWORD_ISSR_208002861_SALES_FX_CHF" localSheetId="19">#REF!</definedName>
    <definedName name="V_KEYWORD_ISSR_208002861_SALES_FX_CHF">#REF!</definedName>
    <definedName name="V_KEYWORD_ISSR_208002861_SALES_FX_CNY" localSheetId="17">#REF!</definedName>
    <definedName name="V_KEYWORD_ISSR_208002861_SALES_FX_CNY" localSheetId="14">#REF!</definedName>
    <definedName name="V_KEYWORD_ISSR_208002861_SALES_FX_CNY" localSheetId="18">#REF!</definedName>
    <definedName name="V_KEYWORD_ISSR_208002861_SALES_FX_CNY" localSheetId="19">#REF!</definedName>
    <definedName name="V_KEYWORD_ISSR_208002861_SALES_FX_CNY">#REF!</definedName>
    <definedName name="V_KEYWORD_ISSR_208002861_SALES_FX_EUR" localSheetId="17">#REF!</definedName>
    <definedName name="V_KEYWORD_ISSR_208002861_SALES_FX_EUR" localSheetId="14">#REF!</definedName>
    <definedName name="V_KEYWORD_ISSR_208002861_SALES_FX_EUR" localSheetId="18">#REF!</definedName>
    <definedName name="V_KEYWORD_ISSR_208002861_SALES_FX_EUR" localSheetId="19">#REF!</definedName>
    <definedName name="V_KEYWORD_ISSR_208002861_SALES_FX_EUR">#REF!</definedName>
    <definedName name="V_KEYWORD_ISSR_208002861_SALES_FX_GPB" localSheetId="17">#REF!</definedName>
    <definedName name="V_KEYWORD_ISSR_208002861_SALES_FX_GPB" localSheetId="14">#REF!</definedName>
    <definedName name="V_KEYWORD_ISSR_208002861_SALES_FX_GPB" localSheetId="18">#REF!</definedName>
    <definedName name="V_KEYWORD_ISSR_208002861_SALES_FX_GPB" localSheetId="19">#REF!</definedName>
    <definedName name="V_KEYWORD_ISSR_208002861_SALES_FX_GPB">#REF!</definedName>
    <definedName name="V_KEYWORD_ISSR_208002861_SALES_FX_INR" localSheetId="17">#REF!</definedName>
    <definedName name="V_KEYWORD_ISSR_208002861_SALES_FX_INR" localSheetId="14">#REF!</definedName>
    <definedName name="V_KEYWORD_ISSR_208002861_SALES_FX_INR" localSheetId="18">#REF!</definedName>
    <definedName name="V_KEYWORD_ISSR_208002861_SALES_FX_INR" localSheetId="19">#REF!</definedName>
    <definedName name="V_KEYWORD_ISSR_208002861_SALES_FX_INR">#REF!</definedName>
    <definedName name="V_KEYWORD_ISSR_208002861_SALES_FX_NGN" localSheetId="17">#REF!</definedName>
    <definedName name="V_KEYWORD_ISSR_208002861_SALES_FX_NGN" localSheetId="14">#REF!</definedName>
    <definedName name="V_KEYWORD_ISSR_208002861_SALES_FX_NGN" localSheetId="18">#REF!</definedName>
    <definedName name="V_KEYWORD_ISSR_208002861_SALES_FX_NGN" localSheetId="19">#REF!</definedName>
    <definedName name="V_KEYWORD_ISSR_208002861_SALES_FX_NGN">#REF!</definedName>
    <definedName name="V_KEYWORD_ISSR_208002861_SALES_FX_OTH" localSheetId="17">#REF!</definedName>
    <definedName name="V_KEYWORD_ISSR_208002861_SALES_FX_OTH" localSheetId="14">#REF!</definedName>
    <definedName name="V_KEYWORD_ISSR_208002861_SALES_FX_OTH" localSheetId="18">#REF!</definedName>
    <definedName name="V_KEYWORD_ISSR_208002861_SALES_FX_OTH" localSheetId="19">#REF!</definedName>
    <definedName name="V_KEYWORD_ISSR_208002861_SALES_FX_OTH">#REF!</definedName>
    <definedName name="V_KEYWORD_ISSR_208002861_SALES_FX_RUB" localSheetId="17">#REF!</definedName>
    <definedName name="V_KEYWORD_ISSR_208002861_SALES_FX_RUB" localSheetId="14">#REF!</definedName>
    <definedName name="V_KEYWORD_ISSR_208002861_SALES_FX_RUB" localSheetId="18">#REF!</definedName>
    <definedName name="V_KEYWORD_ISSR_208002861_SALES_FX_RUB" localSheetId="19">#REF!</definedName>
    <definedName name="V_KEYWORD_ISSR_208002861_SALES_FX_RUB">#REF!</definedName>
    <definedName name="V_KEYWORD_ISSR_208002861_SALES_FX_TRY" localSheetId="17">#REF!</definedName>
    <definedName name="V_KEYWORD_ISSR_208002861_SALES_FX_TRY" localSheetId="14">#REF!</definedName>
    <definedName name="V_KEYWORD_ISSR_208002861_SALES_FX_TRY" localSheetId="18">#REF!</definedName>
    <definedName name="V_KEYWORD_ISSR_208002861_SALES_FX_TRY" localSheetId="19">#REF!</definedName>
    <definedName name="V_KEYWORD_ISSR_208002861_SALES_FX_TRY">#REF!</definedName>
    <definedName name="V_KEYWORD_ISSR_208002861_SALES_FX_USD" localSheetId="17">#REF!</definedName>
    <definedName name="V_KEYWORD_ISSR_208002861_SALES_FX_USD" localSheetId="14">#REF!</definedName>
    <definedName name="V_KEYWORD_ISSR_208002861_SALES_FX_USD" localSheetId="18">#REF!</definedName>
    <definedName name="V_KEYWORD_ISSR_208002861_SALES_FX_USD" localSheetId="19">#REF!</definedName>
    <definedName name="V_KEYWORD_ISSR_208002861_SALES_FX_USD">#REF!</definedName>
    <definedName name="V_KEYWORD_ISSR_208002861_SALES_FX_YEN" localSheetId="17">#REF!</definedName>
    <definedName name="V_KEYWORD_ISSR_208002861_SALES_FX_YEN" localSheetId="14">#REF!</definedName>
    <definedName name="V_KEYWORD_ISSR_208002861_SALES_FX_YEN" localSheetId="18">#REF!</definedName>
    <definedName name="V_KEYWORD_ISSR_208002861_SALES_FX_YEN" localSheetId="19">#REF!</definedName>
    <definedName name="V_KEYWORD_ISSR_208002861_SALES_FX_YEN">#REF!</definedName>
    <definedName name="V_KEYWORD_ISSR_208002861_SALES_FX_ZAR" localSheetId="17">#REF!</definedName>
    <definedName name="V_KEYWORD_ISSR_208002861_SALES_FX_ZAR" localSheetId="14">#REF!</definedName>
    <definedName name="V_KEYWORD_ISSR_208002861_SALES_FX_ZAR" localSheetId="18">#REF!</definedName>
    <definedName name="V_KEYWORD_ISSR_208002861_SALES_FX_ZAR" localSheetId="19">#REF!</definedName>
    <definedName name="V_KEYWORD_ISSR_208002861_SALES_FX_ZAR">#REF!</definedName>
    <definedName name="V_KEYWORD_ISSR_208002861_SALES_GER" localSheetId="17">#REF!</definedName>
    <definedName name="V_KEYWORD_ISSR_208002861_SALES_GER" localSheetId="14">#REF!</definedName>
    <definedName name="V_KEYWORD_ISSR_208002861_SALES_GER" localSheetId="18">#REF!</definedName>
    <definedName name="V_KEYWORD_ISSR_208002861_SALES_GER" localSheetId="19">#REF!</definedName>
    <definedName name="V_KEYWORD_ISSR_208002861_SALES_GER">#REF!</definedName>
    <definedName name="V_KEYWORD_ISSR_208002861_SALES_GOV" localSheetId="17">#REF!</definedName>
    <definedName name="V_KEYWORD_ISSR_208002861_SALES_GOV" localSheetId="14">#REF!</definedName>
    <definedName name="V_KEYWORD_ISSR_208002861_SALES_GOV" localSheetId="18">#REF!</definedName>
    <definedName name="V_KEYWORD_ISSR_208002861_SALES_GOV" localSheetId="19">#REF!</definedName>
    <definedName name="V_KEYWORD_ISSR_208002861_SALES_GOV">#REF!</definedName>
    <definedName name="V_KEYWORD_ISSR_208002861_SALES_IND" localSheetId="17">#REF!</definedName>
    <definedName name="V_KEYWORD_ISSR_208002861_SALES_IND" localSheetId="14">#REF!</definedName>
    <definedName name="V_KEYWORD_ISSR_208002861_SALES_IND" localSheetId="18">#REF!</definedName>
    <definedName name="V_KEYWORD_ISSR_208002861_SALES_IND" localSheetId="19">#REF!</definedName>
    <definedName name="V_KEYWORD_ISSR_208002861_SALES_IND">#REF!</definedName>
    <definedName name="V_KEYWORD_ISSR_208002861_SALES_INDIA" localSheetId="17">#REF!</definedName>
    <definedName name="V_KEYWORD_ISSR_208002861_SALES_INDIA" localSheetId="14">#REF!</definedName>
    <definedName name="V_KEYWORD_ISSR_208002861_SALES_INDIA" localSheetId="18">#REF!</definedName>
    <definedName name="V_KEYWORD_ISSR_208002861_SALES_INDIA" localSheetId="19">#REF!</definedName>
    <definedName name="V_KEYWORD_ISSR_208002861_SALES_INDIA">#REF!</definedName>
    <definedName name="V_KEYWORD_ISSR_208002861_SALES_ITA" localSheetId="17">#REF!</definedName>
    <definedName name="V_KEYWORD_ISSR_208002861_SALES_ITA" localSheetId="14">#REF!</definedName>
    <definedName name="V_KEYWORD_ISSR_208002861_SALES_ITA" localSheetId="18">#REF!</definedName>
    <definedName name="V_KEYWORD_ISSR_208002861_SALES_ITA" localSheetId="19">#REF!</definedName>
    <definedName name="V_KEYWORD_ISSR_208002861_SALES_ITA">#REF!</definedName>
    <definedName name="V_KEYWORD_ISSR_208002861_SALES_JAPAN" localSheetId="17">#REF!</definedName>
    <definedName name="V_KEYWORD_ISSR_208002861_SALES_JAPAN" localSheetId="14">#REF!</definedName>
    <definedName name="V_KEYWORD_ISSR_208002861_SALES_JAPAN" localSheetId="18">#REF!</definedName>
    <definedName name="V_KEYWORD_ISSR_208002861_SALES_JAPAN" localSheetId="19">#REF!</definedName>
    <definedName name="V_KEYWORD_ISSR_208002861_SALES_JAPAN">#REF!</definedName>
    <definedName name="V_KEYWORD_ISSR_208002861_SALES_ME" localSheetId="17">#REF!</definedName>
    <definedName name="V_KEYWORD_ISSR_208002861_SALES_ME" localSheetId="14">#REF!</definedName>
    <definedName name="V_KEYWORD_ISSR_208002861_SALES_ME" localSheetId="18">#REF!</definedName>
    <definedName name="V_KEYWORD_ISSR_208002861_SALES_ME" localSheetId="19">#REF!</definedName>
    <definedName name="V_KEYWORD_ISSR_208002861_SALES_ME">#REF!</definedName>
    <definedName name="V_KEYWORD_ISSR_208002861_SALES_NIGERIA" localSheetId="17">#REF!</definedName>
    <definedName name="V_KEYWORD_ISSR_208002861_SALES_NIGERIA" localSheetId="14">#REF!</definedName>
    <definedName name="V_KEYWORD_ISSR_208002861_SALES_NIGERIA" localSheetId="18">#REF!</definedName>
    <definedName name="V_KEYWORD_ISSR_208002861_SALES_NIGERIA" localSheetId="19">#REF!</definedName>
    <definedName name="V_KEYWORD_ISSR_208002861_SALES_NIGERIA">#REF!</definedName>
    <definedName name="V_KEYWORD_ISSR_208002861_SALES_OTH_AEJ" localSheetId="17">#REF!</definedName>
    <definedName name="V_KEYWORD_ISSR_208002861_SALES_OTH_AEJ" localSheetId="14">#REF!</definedName>
    <definedName name="V_KEYWORD_ISSR_208002861_SALES_OTH_AEJ" localSheetId="18">#REF!</definedName>
    <definedName name="V_KEYWORD_ISSR_208002861_SALES_OTH_AEJ" localSheetId="19">#REF!</definedName>
    <definedName name="V_KEYWORD_ISSR_208002861_SALES_OTH_AEJ">#REF!</definedName>
    <definedName name="V_KEYWORD_ISSR_208002861_SALES_OTH_AFRICA" localSheetId="17">#REF!</definedName>
    <definedName name="V_KEYWORD_ISSR_208002861_SALES_OTH_AFRICA" localSheetId="14">#REF!</definedName>
    <definedName name="V_KEYWORD_ISSR_208002861_SALES_OTH_AFRICA" localSheetId="18">#REF!</definedName>
    <definedName name="V_KEYWORD_ISSR_208002861_SALES_OTH_AFRICA" localSheetId="19">#REF!</definedName>
    <definedName name="V_KEYWORD_ISSR_208002861_SALES_OTH_AFRICA">#REF!</definedName>
    <definedName name="V_KEYWORD_ISSR_208002861_SALES_OTH_AM" localSheetId="17">#REF!</definedName>
    <definedName name="V_KEYWORD_ISSR_208002861_SALES_OTH_AM" localSheetId="14">#REF!</definedName>
    <definedName name="V_KEYWORD_ISSR_208002861_SALES_OTH_AM" localSheetId="18">#REF!</definedName>
    <definedName name="V_KEYWORD_ISSR_208002861_SALES_OTH_AM" localSheetId="19">#REF!</definedName>
    <definedName name="V_KEYWORD_ISSR_208002861_SALES_OTH_AM">#REF!</definedName>
    <definedName name="V_KEYWORD_ISSR_208002861_SALES_OTH_COMMODITY" localSheetId="17">#REF!</definedName>
    <definedName name="V_KEYWORD_ISSR_208002861_SALES_OTH_COMMODITY" localSheetId="14">#REF!</definedName>
    <definedName name="V_KEYWORD_ISSR_208002861_SALES_OTH_COMMODITY" localSheetId="18">#REF!</definedName>
    <definedName name="V_KEYWORD_ISSR_208002861_SALES_OTH_COMMODITY" localSheetId="19">#REF!</definedName>
    <definedName name="V_KEYWORD_ISSR_208002861_SALES_OTH_COMMODITY">#REF!</definedName>
    <definedName name="V_KEYWORD_ISSR_208002861_SALES_OTH_EMEA" localSheetId="17">#REF!</definedName>
    <definedName name="V_KEYWORD_ISSR_208002861_SALES_OTH_EMEA" localSheetId="14">#REF!</definedName>
    <definedName name="V_KEYWORD_ISSR_208002861_SALES_OTH_EMEA" localSheetId="18">#REF!</definedName>
    <definedName name="V_KEYWORD_ISSR_208002861_SALES_OTH_EMEA" localSheetId="19">#REF!</definedName>
    <definedName name="V_KEYWORD_ISSR_208002861_SALES_OTH_EMEA">#REF!</definedName>
    <definedName name="V_KEYWORD_ISSR_208002861_SALES_OTH_EU_EX_UK" localSheetId="17">#REF!</definedName>
    <definedName name="V_KEYWORD_ISSR_208002861_SALES_OTH_EU_EX_UK" localSheetId="14">#REF!</definedName>
    <definedName name="V_KEYWORD_ISSR_208002861_SALES_OTH_EU_EX_UK" localSheetId="18">#REF!</definedName>
    <definedName name="V_KEYWORD_ISSR_208002861_SALES_OTH_EU_EX_UK" localSheetId="19">#REF!</definedName>
    <definedName name="V_KEYWORD_ISSR_208002861_SALES_OTH_EU_EX_UK">#REF!</definedName>
    <definedName name="V_KEYWORD_ISSR_208002861_SALES_OTH_SALES_SOURCES" localSheetId="17">#REF!</definedName>
    <definedName name="V_KEYWORD_ISSR_208002861_SALES_OTH_SALES_SOURCES" localSheetId="14">#REF!</definedName>
    <definedName name="V_KEYWORD_ISSR_208002861_SALES_OTH_SALES_SOURCES" localSheetId="18">#REF!</definedName>
    <definedName name="V_KEYWORD_ISSR_208002861_SALES_OTH_SALES_SOURCES" localSheetId="19">#REF!</definedName>
    <definedName name="V_KEYWORD_ISSR_208002861_SALES_OTH_SALES_SOURCES">#REF!</definedName>
    <definedName name="V_KEYWORD_ISSR_208002861_SALES_OTHER" localSheetId="17">#REF!</definedName>
    <definedName name="V_KEYWORD_ISSR_208002861_SALES_OTHER" localSheetId="14">#REF!</definedName>
    <definedName name="V_KEYWORD_ISSR_208002861_SALES_OTHER" localSheetId="18">#REF!</definedName>
    <definedName name="V_KEYWORD_ISSR_208002861_SALES_OTHER" localSheetId="19">#REF!</definedName>
    <definedName name="V_KEYWORD_ISSR_208002861_SALES_OTHER">#REF!</definedName>
    <definedName name="V_KEYWORD_ISSR_208002861_SALES_RUSSIA" localSheetId="17">#REF!</definedName>
    <definedName name="V_KEYWORD_ISSR_208002861_SALES_RUSSIA" localSheetId="14">#REF!</definedName>
    <definedName name="V_KEYWORD_ISSR_208002861_SALES_RUSSIA" localSheetId="18">#REF!</definedName>
    <definedName name="V_KEYWORD_ISSR_208002861_SALES_RUSSIA" localSheetId="19">#REF!</definedName>
    <definedName name="V_KEYWORD_ISSR_208002861_SALES_RUSSIA">#REF!</definedName>
    <definedName name="V_KEYWORD_ISSR_208002861_SALES_SO_AFRICA" localSheetId="17">#REF!</definedName>
    <definedName name="V_KEYWORD_ISSR_208002861_SALES_SO_AFRICA" localSheetId="14">#REF!</definedName>
    <definedName name="V_KEYWORD_ISSR_208002861_SALES_SO_AFRICA" localSheetId="18">#REF!</definedName>
    <definedName name="V_KEYWORD_ISSR_208002861_SALES_SO_AFRICA" localSheetId="19">#REF!</definedName>
    <definedName name="V_KEYWORD_ISSR_208002861_SALES_SO_AFRICA">#REF!</definedName>
    <definedName name="V_KEYWORD_ISSR_208002861_SALES_SPA" localSheetId="17">#REF!</definedName>
    <definedName name="V_KEYWORD_ISSR_208002861_SALES_SPA" localSheetId="14">#REF!</definedName>
    <definedName name="V_KEYWORD_ISSR_208002861_SALES_SPA" localSheetId="18">#REF!</definedName>
    <definedName name="V_KEYWORD_ISSR_208002861_SALES_SPA" localSheetId="19">#REF!</definedName>
    <definedName name="V_KEYWORD_ISSR_208002861_SALES_SPA">#REF!</definedName>
    <definedName name="V_KEYWORD_ISSR_208002861_SALES_TOT_AFRICA" localSheetId="17">#REF!</definedName>
    <definedName name="V_KEYWORD_ISSR_208002861_SALES_TOT_AFRICA" localSheetId="14">#REF!</definedName>
    <definedName name="V_KEYWORD_ISSR_208002861_SALES_TOT_AFRICA" localSheetId="18">#REF!</definedName>
    <definedName name="V_KEYWORD_ISSR_208002861_SALES_TOT_AFRICA" localSheetId="19">#REF!</definedName>
    <definedName name="V_KEYWORD_ISSR_208002861_SALES_TOT_AFRICA">#REF!</definedName>
    <definedName name="V_KEYWORD_ISSR_208002861_SALES_TOT_AM" localSheetId="17">#REF!</definedName>
    <definedName name="V_KEYWORD_ISSR_208002861_SALES_TOT_AM" localSheetId="14">#REF!</definedName>
    <definedName name="V_KEYWORD_ISSR_208002861_SALES_TOT_AM" localSheetId="18">#REF!</definedName>
    <definedName name="V_KEYWORD_ISSR_208002861_SALES_TOT_AM" localSheetId="19">#REF!</definedName>
    <definedName name="V_KEYWORD_ISSR_208002861_SALES_TOT_AM">#REF!</definedName>
    <definedName name="V_KEYWORD_ISSR_208002861_SALES_TOT_ASIA" localSheetId="17">#REF!</definedName>
    <definedName name="V_KEYWORD_ISSR_208002861_SALES_TOT_ASIA" localSheetId="14">#REF!</definedName>
    <definedName name="V_KEYWORD_ISSR_208002861_SALES_TOT_ASIA" localSheetId="18">#REF!</definedName>
    <definedName name="V_KEYWORD_ISSR_208002861_SALES_TOT_ASIA" localSheetId="19">#REF!</definedName>
    <definedName name="V_KEYWORD_ISSR_208002861_SALES_TOT_ASIA">#REF!</definedName>
    <definedName name="V_KEYWORD_ISSR_208002861_SALES_TOT_EMEA" localSheetId="17">#REF!</definedName>
    <definedName name="V_KEYWORD_ISSR_208002861_SALES_TOT_EMEA" localSheetId="14">#REF!</definedName>
    <definedName name="V_KEYWORD_ISSR_208002861_SALES_TOT_EMEA" localSheetId="18">#REF!</definedName>
    <definedName name="V_KEYWORD_ISSR_208002861_SALES_TOT_EMEA" localSheetId="19">#REF!</definedName>
    <definedName name="V_KEYWORD_ISSR_208002861_SALES_TOT_EMEA">#REF!</definedName>
    <definedName name="V_KEYWORD_ISSR_208002861_SALES_UK" localSheetId="17">#REF!</definedName>
    <definedName name="V_KEYWORD_ISSR_208002861_SALES_UK" localSheetId="14">#REF!</definedName>
    <definedName name="V_KEYWORD_ISSR_208002861_SALES_UK" localSheetId="18">#REF!</definedName>
    <definedName name="V_KEYWORD_ISSR_208002861_SALES_UK" localSheetId="19">#REF!</definedName>
    <definedName name="V_KEYWORD_ISSR_208002861_SALES_UK">#REF!</definedName>
    <definedName name="V_KEYWORD_ISSR_208002861_SALES_US" localSheetId="17">#REF!</definedName>
    <definedName name="V_KEYWORD_ISSR_208002861_SALES_US" localSheetId="14">#REF!</definedName>
    <definedName name="V_KEYWORD_ISSR_208002861_SALES_US" localSheetId="18">#REF!</definedName>
    <definedName name="V_KEYWORD_ISSR_208002861_SALES_US" localSheetId="19">#REF!</definedName>
    <definedName name="V_KEYWORD_ISSR_208002861_SALES_US">#REF!</definedName>
    <definedName name="V_KEYWORD_ISSR_208002861_SEL_GL_AD" localSheetId="17">#REF!</definedName>
    <definedName name="V_KEYWORD_ISSR_208002861_SEL_GL_AD" localSheetId="14">#REF!</definedName>
    <definedName name="V_KEYWORD_ISSR_208002861_SEL_GL_AD" localSheetId="18">#REF!</definedName>
    <definedName name="V_KEYWORD_ISSR_208002861_SEL_GL_AD" localSheetId="19">#REF!</definedName>
    <definedName name="V_KEYWORD_ISSR_208002861_SEL_GL_AD">#REF!</definedName>
    <definedName name="V_KEYWORD_ISSR_208002861_SH_REPUR" localSheetId="17">#REF!</definedName>
    <definedName name="V_KEYWORD_ISSR_208002861_SH_REPUR" localSheetId="14">#REF!</definedName>
    <definedName name="V_KEYWORD_ISSR_208002861_SH_REPUR" localSheetId="18">#REF!</definedName>
    <definedName name="V_KEYWORD_ISSR_208002861_SH_REPUR" localSheetId="19">#REF!</definedName>
    <definedName name="V_KEYWORD_ISSR_208002861_SH_REPUR">#REF!</definedName>
    <definedName name="V_KEYWORD_ISSR_208002861_SHORT_T_DEBT" localSheetId="17">#REF!</definedName>
    <definedName name="V_KEYWORD_ISSR_208002861_SHORT_T_DEBT" localSheetId="14">#REF!</definedName>
    <definedName name="V_KEYWORD_ISSR_208002861_SHORT_T_DEBT" localSheetId="18">#REF!</definedName>
    <definedName name="V_KEYWORD_ISSR_208002861_SHORT_T_DEBT" localSheetId="19">#REF!</definedName>
    <definedName name="V_KEYWORD_ISSR_208002861_SHORT_T_DEBT">#REF!</definedName>
    <definedName name="V_KEYWORD_ISSR_208002861_SHORT_TERM_LIABS" localSheetId="17">#REF!</definedName>
    <definedName name="V_KEYWORD_ISSR_208002861_SHORT_TERM_LIABS" localSheetId="14">#REF!</definedName>
    <definedName name="V_KEYWORD_ISSR_208002861_SHORT_TERM_LIABS" localSheetId="18">#REF!</definedName>
    <definedName name="V_KEYWORD_ISSR_208002861_SHORT_TERM_LIABS" localSheetId="19">#REF!</definedName>
    <definedName name="V_KEYWORD_ISSR_208002861_SHORT_TERM_LIABS">#REF!</definedName>
    <definedName name="V_KEYWORD_ISSR_208002861_STOCKS" localSheetId="17">#REF!</definedName>
    <definedName name="V_KEYWORD_ISSR_208002861_STOCKS" localSheetId="14">#REF!</definedName>
    <definedName name="V_KEYWORD_ISSR_208002861_STOCKS" localSheetId="18">#REF!</definedName>
    <definedName name="V_KEYWORD_ISSR_208002861_STOCKS" localSheetId="19">#REF!</definedName>
    <definedName name="V_KEYWORD_ISSR_208002861_STOCKS">#REF!</definedName>
    <definedName name="V_KEYWORD_ISSR_208002861_TOT_ASSET" localSheetId="17">#REF!</definedName>
    <definedName name="V_KEYWORD_ISSR_208002861_TOT_ASSET" localSheetId="14">#REF!</definedName>
    <definedName name="V_KEYWORD_ISSR_208002861_TOT_ASSET" localSheetId="18">#REF!</definedName>
    <definedName name="V_KEYWORD_ISSR_208002861_TOT_ASSET" localSheetId="19">#REF!</definedName>
    <definedName name="V_KEYWORD_ISSR_208002861_TOT_ASSET">#REF!</definedName>
    <definedName name="V_KEYWORD_ISSR_208002861_TOT_CF" localSheetId="17">#REF!</definedName>
    <definedName name="V_KEYWORD_ISSR_208002861_TOT_CF" localSheetId="14">#REF!</definedName>
    <definedName name="V_KEYWORD_ISSR_208002861_TOT_CF" localSheetId="18">#REF!</definedName>
    <definedName name="V_KEYWORD_ISSR_208002861_TOT_CF" localSheetId="19">#REF!</definedName>
    <definedName name="V_KEYWORD_ISSR_208002861_TOT_CF">#REF!</definedName>
    <definedName name="V_KEYWORD_ISSR_208002861_TOT_LIAB" localSheetId="17">#REF!</definedName>
    <definedName name="V_KEYWORD_ISSR_208002861_TOT_LIAB" localSheetId="14">#REF!</definedName>
    <definedName name="V_KEYWORD_ISSR_208002861_TOT_LIAB" localSheetId="18">#REF!</definedName>
    <definedName name="V_KEYWORD_ISSR_208002861_TOT_LIAB" localSheetId="19">#REF!</definedName>
    <definedName name="V_KEYWORD_ISSR_208002861_TOT_LIAB">#REF!</definedName>
    <definedName name="V_KEYWORD_ISSR_208002861_TOT_LIAB_EQ" localSheetId="17">#REF!</definedName>
    <definedName name="V_KEYWORD_ISSR_208002861_TOT_LIAB_EQ" localSheetId="14">#REF!</definedName>
    <definedName name="V_KEYWORD_ISSR_208002861_TOT_LIAB_EQ" localSheetId="18">#REF!</definedName>
    <definedName name="V_KEYWORD_ISSR_208002861_TOT_LIAB_EQ" localSheetId="19">#REF!</definedName>
    <definedName name="V_KEYWORD_ISSR_208002861_TOT_LIAB_EQ">#REF!</definedName>
    <definedName name="V_KEYWORD_ISSR_208002861_TOT_LT_LIAB" localSheetId="17">#REF!</definedName>
    <definedName name="V_KEYWORD_ISSR_208002861_TOT_LT_LIAB" localSheetId="14">#REF!</definedName>
    <definedName name="V_KEYWORD_ISSR_208002861_TOT_LT_LIAB" localSheetId="18">#REF!</definedName>
    <definedName name="V_KEYWORD_ISSR_208002861_TOT_LT_LIAB" localSheetId="19">#REF!</definedName>
    <definedName name="V_KEYWORD_ISSR_208002861_TOT_LT_LIAB">#REF!</definedName>
    <definedName name="V_KEYWORD_ISSR_208002861_TOT_OPS_EXP" localSheetId="17">#REF!</definedName>
    <definedName name="V_KEYWORD_ISSR_208002861_TOT_OPS_EXP" localSheetId="14">#REF!</definedName>
    <definedName name="V_KEYWORD_ISSR_208002861_TOT_OPS_EXP" localSheetId="18">#REF!</definedName>
    <definedName name="V_KEYWORD_ISSR_208002861_TOT_OPS_EXP" localSheetId="19">#REF!</definedName>
    <definedName name="V_KEYWORD_ISSR_208002861_TOT_OPS_EXP">#REF!</definedName>
    <definedName name="V_KEYWORD_ISSR_208002861_TOT_OPS_EXP_DDA" localSheetId="17">#REF!</definedName>
    <definedName name="V_KEYWORD_ISSR_208002861_TOT_OPS_EXP_DDA" localSheetId="14">#REF!</definedName>
    <definedName name="V_KEYWORD_ISSR_208002861_TOT_OPS_EXP_DDA" localSheetId="18">#REF!</definedName>
    <definedName name="V_KEYWORD_ISSR_208002861_TOT_OPS_EXP_DDA" localSheetId="19">#REF!</definedName>
    <definedName name="V_KEYWORD_ISSR_208002861_TOT_OPS_EXP_DDA">#REF!</definedName>
    <definedName name="V_KEYWORD_ISSR_208002861_UNF_PENS" localSheetId="17">#REF!</definedName>
    <definedName name="V_KEYWORD_ISSR_208002861_UNF_PENS" localSheetId="14">#REF!</definedName>
    <definedName name="V_KEYWORD_ISSR_208002861_UNF_PENS" localSheetId="18">#REF!</definedName>
    <definedName name="V_KEYWORD_ISSR_208002861_UNF_PENS" localSheetId="19">#REF!</definedName>
    <definedName name="V_KEYWORD_ISSR_208002861_UNF_PENS">#REF!</definedName>
    <definedName name="V_KEYWORD_ISSR_208002861_UNF_PENS_LIAB_OTH" localSheetId="17">#REF!</definedName>
    <definedName name="V_KEYWORD_ISSR_208002861_UNF_PENS_LIAB_OTH" localSheetId="14">#REF!</definedName>
    <definedName name="V_KEYWORD_ISSR_208002861_UNF_PENS_LIAB_OTH" localSheetId="18">#REF!</definedName>
    <definedName name="V_KEYWORD_ISSR_208002861_UNF_PENS_LIAB_OTH" localSheetId="19">#REF!</definedName>
    <definedName name="V_KEYWORD_ISSR_208002861_UNF_PENS_LIAB_OTH">#REF!</definedName>
    <definedName name="V_KEYWORD_ISSR_208002861_UNF_PENS_OFF" localSheetId="17">#REF!</definedName>
    <definedName name="V_KEYWORD_ISSR_208002861_UNF_PENS_OFF" localSheetId="14">#REF!</definedName>
    <definedName name="V_KEYWORD_ISSR_208002861_UNF_PENS_OFF" localSheetId="18">#REF!</definedName>
    <definedName name="V_KEYWORD_ISSR_208002861_UNF_PENS_OFF" localSheetId="19">#REF!</definedName>
    <definedName name="V_KEYWORD_ISSR_208002861_UNF_PENS_OFF">#REF!</definedName>
    <definedName name="V_KEYWORD_ISSR_208002861_WORK_CAP" localSheetId="17">#REF!</definedName>
    <definedName name="V_KEYWORD_ISSR_208002861_WORK_CAP" localSheetId="14">#REF!</definedName>
    <definedName name="V_KEYWORD_ISSR_208002861_WORK_CAP" localSheetId="18">#REF!</definedName>
    <definedName name="V_KEYWORD_ISSR_208002861_WORK_CAP" localSheetId="19">#REF!</definedName>
    <definedName name="V_KEYWORD_ISSR_208002861_WORK_CAP">#REF!</definedName>
    <definedName name="V_LIVEDATA_EQTY_200007513" localSheetId="17">#REF!</definedName>
    <definedName name="V_LIVEDATA_EQTY_200007513" localSheetId="14">#REF!</definedName>
    <definedName name="V_LIVEDATA_EQTY_200007513" localSheetId="18">#REF!</definedName>
    <definedName name="V_LIVEDATA_EQTY_200007513" localSheetId="19">#REF!</definedName>
    <definedName name="V_LIVEDATA_EQTY_200007513">#REF!</definedName>
    <definedName name="V_LIVEDATA_ISSR_208002861" localSheetId="17">#REF!</definedName>
    <definedName name="V_LIVEDATA_ISSR_208002861" localSheetId="14">#REF!</definedName>
    <definedName name="V_LIVEDATA_ISSR_208002861" localSheetId="18">#REF!</definedName>
    <definedName name="V_LIVEDATA_ISSR_208002861" localSheetId="19">#REF!</definedName>
    <definedName name="V_LIVEDATA_ISSR_208002861">#REF!</definedName>
    <definedName name="V_PERIOD_2002" localSheetId="14">#REF!</definedName>
    <definedName name="V_PERIOD_2003" localSheetId="14">#REF!</definedName>
    <definedName name="V_PERIOD_2004" localSheetId="14">#REF!</definedName>
    <definedName name="V_PERIOD_2005" localSheetId="14">#REF!</definedName>
    <definedName name="V_PERIOD_2006_Q1" localSheetId="17">#REF!</definedName>
    <definedName name="V_PERIOD_2006_Q1" localSheetId="14">#REF!</definedName>
    <definedName name="V_PERIOD_2006_Q1" localSheetId="18">#REF!</definedName>
    <definedName name="V_PERIOD_2006_Q1" localSheetId="19">#REF!</definedName>
    <definedName name="V_PERIOD_2006_Q1">#REF!</definedName>
    <definedName name="V_PERIOD_2006_Q2" localSheetId="17">#REF!</definedName>
    <definedName name="V_PERIOD_2006_Q2" localSheetId="14">#REF!</definedName>
    <definedName name="V_PERIOD_2006_Q2" localSheetId="18">#REF!</definedName>
    <definedName name="V_PERIOD_2006_Q2" localSheetId="19">#REF!</definedName>
    <definedName name="V_PERIOD_2006_Q2">#REF!</definedName>
    <definedName name="V_PERIOD_2006_Q3" localSheetId="17">#REF!</definedName>
    <definedName name="V_PERIOD_2006_Q3" localSheetId="14">#REF!</definedName>
    <definedName name="V_PERIOD_2006_Q3" localSheetId="18">#REF!</definedName>
    <definedName name="V_PERIOD_2006_Q3" localSheetId="19">#REF!</definedName>
    <definedName name="V_PERIOD_2006_Q3">#REF!</definedName>
    <definedName name="V_PERIOD_2006_Q4" localSheetId="17">#REF!</definedName>
    <definedName name="V_PERIOD_2006_Q4" localSheetId="14">#REF!</definedName>
    <definedName name="V_PERIOD_2006_Q4" localSheetId="18">#REF!</definedName>
    <definedName name="V_PERIOD_2006_Q4" localSheetId="19">#REF!</definedName>
    <definedName name="V_PERIOD_2006_Q4">#REF!</definedName>
    <definedName name="V_PERIOD_2007_Q1" localSheetId="17">#REF!</definedName>
    <definedName name="V_PERIOD_2007_Q1" localSheetId="14">#REF!</definedName>
    <definedName name="V_PERIOD_2007_Q1" localSheetId="18">#REF!</definedName>
    <definedName name="V_PERIOD_2007_Q1" localSheetId="19">#REF!</definedName>
    <definedName name="V_PERIOD_2007_Q1">#REF!</definedName>
    <definedName name="V_PERIOD_2007_Q2" localSheetId="17">#REF!</definedName>
    <definedName name="V_PERIOD_2007_Q2" localSheetId="14">#REF!</definedName>
    <definedName name="V_PERIOD_2007_Q2" localSheetId="18">#REF!</definedName>
    <definedName name="V_PERIOD_2007_Q2" localSheetId="19">#REF!</definedName>
    <definedName name="V_PERIOD_2007_Q2">#REF!</definedName>
    <definedName name="V_PERIOD_2007_Q3" localSheetId="17">#REF!</definedName>
    <definedName name="V_PERIOD_2007_Q3" localSheetId="14">#REF!</definedName>
    <definedName name="V_PERIOD_2007_Q3" localSheetId="18">#REF!</definedName>
    <definedName name="V_PERIOD_2007_Q3" localSheetId="19">#REF!</definedName>
    <definedName name="V_PERIOD_2007_Q3">#REF!</definedName>
    <definedName name="V_PERIOD_2007_Q4" localSheetId="17">#REF!</definedName>
    <definedName name="V_PERIOD_2007_Q4" localSheetId="14">#REF!</definedName>
    <definedName name="V_PERIOD_2007_Q4" localSheetId="18">#REF!</definedName>
    <definedName name="V_PERIOD_2007_Q4" localSheetId="19">#REF!</definedName>
    <definedName name="V_PERIOD_2007_Q4">#REF!</definedName>
    <definedName name="V_PERIOD_2008_Q1" localSheetId="17">#REF!</definedName>
    <definedName name="V_PERIOD_2008_Q1" localSheetId="14">#REF!</definedName>
    <definedName name="V_PERIOD_2008_Q1" localSheetId="18">#REF!</definedName>
    <definedName name="V_PERIOD_2008_Q1" localSheetId="19">#REF!</definedName>
    <definedName name="V_PERIOD_2008_Q1">#REF!</definedName>
    <definedName name="V_PERIOD_2008_Q2" localSheetId="17">#REF!</definedName>
    <definedName name="V_PERIOD_2008_Q2" localSheetId="14">#REF!</definedName>
    <definedName name="V_PERIOD_2008_Q2" localSheetId="18">#REF!</definedName>
    <definedName name="V_PERIOD_2008_Q2" localSheetId="19">#REF!</definedName>
    <definedName name="V_PERIOD_2008_Q2">#REF!</definedName>
    <definedName name="V_PERIOD_2008_Q3" localSheetId="17">#REF!</definedName>
    <definedName name="V_PERIOD_2008_Q3" localSheetId="14">#REF!</definedName>
    <definedName name="V_PERIOD_2008_Q3" localSheetId="18">#REF!</definedName>
    <definedName name="V_PERIOD_2008_Q3" localSheetId="19">#REF!</definedName>
    <definedName name="V_PERIOD_2008_Q3">#REF!</definedName>
    <definedName name="V_PERIOD_2008_Q4" localSheetId="17">#REF!</definedName>
    <definedName name="V_PERIOD_2008_Q4" localSheetId="14">#REF!</definedName>
    <definedName name="V_PERIOD_2008_Q4" localSheetId="18">#REF!</definedName>
    <definedName name="V_PERIOD_2008_Q4" localSheetId="19">#REF!</definedName>
    <definedName name="V_PERIOD_2008_Q4">#REF!</definedName>
    <definedName name="V_PERIOD_2009_Q1" localSheetId="17">#REF!</definedName>
    <definedName name="V_PERIOD_2009_Q1" localSheetId="14">#REF!</definedName>
    <definedName name="V_PERIOD_2009_Q1" localSheetId="18">#REF!</definedName>
    <definedName name="V_PERIOD_2009_Q1" localSheetId="19">#REF!</definedName>
    <definedName name="V_PERIOD_2009_Q1">#REF!</definedName>
    <definedName name="V_PERIOD_2009_Q2" localSheetId="17">#REF!</definedName>
    <definedName name="V_PERIOD_2009_Q2" localSheetId="14">#REF!</definedName>
    <definedName name="V_PERIOD_2009_Q2" localSheetId="18">#REF!</definedName>
    <definedName name="V_PERIOD_2009_Q2" localSheetId="19">#REF!</definedName>
    <definedName name="V_PERIOD_2009_Q2">#REF!</definedName>
    <definedName name="V_PERIOD_2009_Q3" localSheetId="17">#REF!</definedName>
    <definedName name="V_PERIOD_2009_Q3" localSheetId="14">#REF!</definedName>
    <definedName name="V_PERIOD_2009_Q3" localSheetId="18">#REF!</definedName>
    <definedName name="V_PERIOD_2009_Q3" localSheetId="19">#REF!</definedName>
    <definedName name="V_PERIOD_2009_Q3">#REF!</definedName>
    <definedName name="V_PERIOD_2009_Q4" localSheetId="17">#REF!</definedName>
    <definedName name="V_PERIOD_2009_Q4" localSheetId="14">#REF!</definedName>
    <definedName name="V_PERIOD_2009_Q4" localSheetId="18">#REF!</definedName>
    <definedName name="V_PERIOD_2009_Q4" localSheetId="19">#REF!</definedName>
    <definedName name="V_PERIOD_2009_Q4">#REF!</definedName>
    <definedName name="V_PERIOD_2010_Q1" localSheetId="17">#REF!</definedName>
    <definedName name="V_PERIOD_2010_Q1" localSheetId="14">#REF!</definedName>
    <definedName name="V_PERIOD_2010_Q1" localSheetId="18">#REF!</definedName>
    <definedName name="V_PERIOD_2010_Q1" localSheetId="19">#REF!</definedName>
    <definedName name="V_PERIOD_2010_Q1">#REF!</definedName>
    <definedName name="V_PERIOD_2010_Q2" localSheetId="17">#REF!</definedName>
    <definedName name="V_PERIOD_2010_Q2" localSheetId="14">#REF!</definedName>
    <definedName name="V_PERIOD_2010_Q2" localSheetId="18">#REF!</definedName>
    <definedName name="V_PERIOD_2010_Q2" localSheetId="19">#REF!</definedName>
    <definedName name="V_PERIOD_2010_Q2">#REF!</definedName>
    <definedName name="V_PERIOD_2010_Q3" localSheetId="17">#REF!</definedName>
    <definedName name="V_PERIOD_2010_Q3" localSheetId="14">#REF!</definedName>
    <definedName name="V_PERIOD_2010_Q3" localSheetId="18">#REF!</definedName>
    <definedName name="V_PERIOD_2010_Q3" localSheetId="19">#REF!</definedName>
    <definedName name="V_PERIOD_2010_Q3">#REF!</definedName>
    <definedName name="V_PERIOD_2010_Q4" localSheetId="17">#REF!</definedName>
    <definedName name="V_PERIOD_2010_Q4" localSheetId="14">#REF!</definedName>
    <definedName name="V_PERIOD_2010_Q4" localSheetId="18">#REF!</definedName>
    <definedName name="V_PERIOD_2010_Q4" localSheetId="19">#REF!</definedName>
    <definedName name="V_PERIOD_2010_Q4">#REF!</definedName>
    <definedName name="V_PERIOD_2011_Q1" localSheetId="17">#REF!</definedName>
    <definedName name="V_PERIOD_2011_Q1" localSheetId="14">#REF!</definedName>
    <definedName name="V_PERIOD_2011_Q1" localSheetId="18">#REF!</definedName>
    <definedName name="V_PERIOD_2011_Q1" localSheetId="19">#REF!</definedName>
    <definedName name="V_PERIOD_2011_Q1">#REF!</definedName>
    <definedName name="V_PERIOD_2011_Q2" localSheetId="17">#REF!</definedName>
    <definedName name="V_PERIOD_2011_Q2" localSheetId="14">#REF!</definedName>
    <definedName name="V_PERIOD_2011_Q2" localSheetId="18">#REF!</definedName>
    <definedName name="V_PERIOD_2011_Q2" localSheetId="19">#REF!</definedName>
    <definedName name="V_PERIOD_2011_Q2">#REF!</definedName>
    <definedName name="V_PERIOD_2011_Q3" localSheetId="17">#REF!</definedName>
    <definedName name="V_PERIOD_2011_Q3" localSheetId="14">#REF!</definedName>
    <definedName name="V_PERIOD_2011_Q3" localSheetId="18">#REF!</definedName>
    <definedName name="V_PERIOD_2011_Q3" localSheetId="19">#REF!</definedName>
    <definedName name="V_PERIOD_2011_Q3">#REF!</definedName>
    <definedName name="V_PERIOD_2011_Q4" localSheetId="17">#REF!</definedName>
    <definedName name="V_PERIOD_2011_Q4" localSheetId="14">#REF!</definedName>
    <definedName name="V_PERIOD_2011_Q4" localSheetId="18">#REF!</definedName>
    <definedName name="V_PERIOD_2011_Q4" localSheetId="19">#REF!</definedName>
    <definedName name="V_PERIOD_2011_Q4">#REF!</definedName>
    <definedName name="V_PERIOD_2012_Q1" localSheetId="17">#REF!</definedName>
    <definedName name="V_PERIOD_2012_Q1" localSheetId="14">#REF!</definedName>
    <definedName name="V_PERIOD_2012_Q1" localSheetId="18">#REF!</definedName>
    <definedName name="V_PERIOD_2012_Q1" localSheetId="19">#REF!</definedName>
    <definedName name="V_PERIOD_2012_Q1">#REF!</definedName>
    <definedName name="V_PERIOD_2012_Q2" localSheetId="17">#REF!</definedName>
    <definedName name="V_PERIOD_2012_Q2" localSheetId="14">#REF!</definedName>
    <definedName name="V_PERIOD_2012_Q2" localSheetId="18">#REF!</definedName>
    <definedName name="V_PERIOD_2012_Q2" localSheetId="19">#REF!</definedName>
    <definedName name="V_PERIOD_2012_Q2">#REF!</definedName>
    <definedName name="V_PERIOD_2012_Q3" localSheetId="17">#REF!</definedName>
    <definedName name="V_PERIOD_2012_Q3" localSheetId="14">#REF!</definedName>
    <definedName name="V_PERIOD_2012_Q3" localSheetId="18">#REF!</definedName>
    <definedName name="V_PERIOD_2012_Q3" localSheetId="19">#REF!</definedName>
    <definedName name="V_PERIOD_2012_Q3">#REF!</definedName>
    <definedName name="V_PERIOD_2012_Q4" localSheetId="17">#REF!</definedName>
    <definedName name="V_PERIOD_2012_Q4" localSheetId="14">#REF!</definedName>
    <definedName name="V_PERIOD_2012_Q4" localSheetId="18">#REF!</definedName>
    <definedName name="V_PERIOD_2012_Q4" localSheetId="19">#REF!</definedName>
    <definedName name="V_PERIOD_2012_Q4">#REF!</definedName>
    <definedName name="V_PERIOD_2020_H1" localSheetId="14">#REF!</definedName>
    <definedName name="V_PERIOD_2020_H1" localSheetId="19">#REF!</definedName>
    <definedName name="V_PERIOD_2020_H1">#REF!</definedName>
    <definedName name="V_PERIOD_2020_H2" localSheetId="14">#REF!</definedName>
    <definedName name="V_PERIOD_2020_H2" localSheetId="19">#REF!</definedName>
    <definedName name="V_PERIOD_2020_H2">#REF!</definedName>
    <definedName name="V_PERIOD_2021_Q1" localSheetId="17">#REF!</definedName>
    <definedName name="V_PERIOD_2021_Q1" localSheetId="14">#REF!</definedName>
    <definedName name="V_PERIOD_2021_Q1" localSheetId="18">#REF!</definedName>
    <definedName name="V_PERIOD_2021_Q1" localSheetId="19">#REF!</definedName>
    <definedName name="V_PERIOD_2021_Q1">#REF!</definedName>
    <definedName name="V_PERIOD_2021_Q2" localSheetId="17">#REF!</definedName>
    <definedName name="V_PERIOD_2021_Q2" localSheetId="14">#REF!</definedName>
    <definedName name="V_PERIOD_2021_Q2" localSheetId="18">#REF!</definedName>
    <definedName name="V_PERIOD_2021_Q2" localSheetId="19">#REF!</definedName>
    <definedName name="V_PERIOD_2021_Q2">#REF!</definedName>
    <definedName name="V_PERIOD_2021_Q3" localSheetId="17">#REF!</definedName>
    <definedName name="V_PERIOD_2021_Q3" localSheetId="14">#REF!</definedName>
    <definedName name="V_PERIOD_2021_Q3" localSheetId="18">#REF!</definedName>
    <definedName name="V_PERIOD_2021_Q3" localSheetId="19">#REF!</definedName>
    <definedName name="V_PERIOD_2021_Q3">#REF!</definedName>
    <definedName name="V_PERIOD_2021_Q4" localSheetId="17">#REF!</definedName>
    <definedName name="V_PERIOD_2021_Q4" localSheetId="14">#REF!</definedName>
    <definedName name="V_PERIOD_2021_Q4" localSheetId="18">#REF!</definedName>
    <definedName name="V_PERIOD_2021_Q4" localSheetId="19">#REF!</definedName>
    <definedName name="V_PERIOD_2021_Q4">#REF!</definedName>
    <definedName name="V_SECTION_EQTY_200007513_1314" localSheetId="17">#REF!</definedName>
    <definedName name="V_SECTION_EQTY_200007513_1314" localSheetId="14">#REF!</definedName>
    <definedName name="V_SECTION_EQTY_200007513_1314" localSheetId="18">#REF!</definedName>
    <definedName name="V_SECTION_EQTY_200007513_1314" localSheetId="19">#REF!</definedName>
    <definedName name="V_SECTION_EQTY_200007513_1314">#REF!</definedName>
    <definedName name="V_SECTION_EQTY_200007513_131E" localSheetId="17">#REF!</definedName>
    <definedName name="V_SECTION_EQTY_200007513_131E" localSheetId="14">#REF!</definedName>
    <definedName name="V_SECTION_EQTY_200007513_131E" localSheetId="18">#REF!</definedName>
    <definedName name="V_SECTION_EQTY_200007513_131E" localSheetId="19">#REF!</definedName>
    <definedName name="V_SECTION_EQTY_200007513_131E">#REF!</definedName>
    <definedName name="V_SECTION_EQTY_200007513_131O" localSheetId="17">#REF!</definedName>
    <definedName name="V_SECTION_EQTY_200007513_131O" localSheetId="14">#REF!</definedName>
    <definedName name="V_SECTION_EQTY_200007513_131O" localSheetId="18">#REF!</definedName>
    <definedName name="V_SECTION_EQTY_200007513_131O" localSheetId="19">#REF!</definedName>
    <definedName name="V_SECTION_EQTY_200007513_131O">#REF!</definedName>
    <definedName name="V_SECTION_EQTY_200007513_13A" localSheetId="17">#REF!</definedName>
    <definedName name="V_SECTION_EQTY_200007513_13A" localSheetId="14">#REF!</definedName>
    <definedName name="V_SECTION_EQTY_200007513_13A" localSheetId="18">#REF!</definedName>
    <definedName name="V_SECTION_EQTY_200007513_13A" localSheetId="19">#REF!</definedName>
    <definedName name="V_SECTION_EQTY_200007513_13A">#REF!</definedName>
    <definedName name="V_SECTION_EQTY_200007513_13K" localSheetId="17">#REF!</definedName>
    <definedName name="V_SECTION_EQTY_200007513_13K" localSheetId="14">#REF!</definedName>
    <definedName name="V_SECTION_EQTY_200007513_13K" localSheetId="18">#REF!</definedName>
    <definedName name="V_SECTION_EQTY_200007513_13K" localSheetId="19">#REF!</definedName>
    <definedName name="V_SECTION_EQTY_200007513_13K">#REF!</definedName>
    <definedName name="V_SECTION_EQTY_200007513_13U" localSheetId="17">#REF!</definedName>
    <definedName name="V_SECTION_EQTY_200007513_13U" localSheetId="14">#REF!</definedName>
    <definedName name="V_SECTION_EQTY_200007513_13U" localSheetId="18">#REF!</definedName>
    <definedName name="V_SECTION_EQTY_200007513_13U" localSheetId="19">#REF!</definedName>
    <definedName name="V_SECTION_EQTY_200007513_13U">#REF!</definedName>
    <definedName name="V_SECTION_EQTY_200007513_13V" localSheetId="17">#REF!</definedName>
    <definedName name="V_SECTION_EQTY_200007513_13V" localSheetId="14">#REF!</definedName>
    <definedName name="V_SECTION_EQTY_200007513_13V" localSheetId="18">#REF!</definedName>
    <definedName name="V_SECTION_EQTY_200007513_13V" localSheetId="19">#REF!</definedName>
    <definedName name="V_SECTION_EQTY_200007513_13V">#REF!</definedName>
    <definedName name="V_SECTION_EQTY_200007513_Reference_Data" localSheetId="17">#REF!</definedName>
    <definedName name="V_SECTION_EQTY_200007513_Reference_Data" localSheetId="14">#REF!</definedName>
    <definedName name="V_SECTION_EQTY_200007513_Reference_Data" localSheetId="18">#REF!</definedName>
    <definedName name="V_SECTION_EQTY_200007513_Reference_Data" localSheetId="19">#REF!</definedName>
    <definedName name="V_SECTION_EQTY_200007513_Reference_Data">#REF!</definedName>
    <definedName name="V_SECTION_ISSR_208002861_1314" localSheetId="17">#REF!</definedName>
    <definedName name="V_SECTION_ISSR_208002861_1314" localSheetId="14">#REF!</definedName>
    <definedName name="V_SECTION_ISSR_208002861_1314" localSheetId="18">#REF!</definedName>
    <definedName name="V_SECTION_ISSR_208002861_1314" localSheetId="19">#REF!</definedName>
    <definedName name="V_SECTION_ISSR_208002861_1314">#REF!</definedName>
    <definedName name="V_SECTION_ISSR_208002861_13168" localSheetId="17">#REF!</definedName>
    <definedName name="V_SECTION_ISSR_208002861_13168" localSheetId="14">#REF!</definedName>
    <definedName name="V_SECTION_ISSR_208002861_13168" localSheetId="18">#REF!</definedName>
    <definedName name="V_SECTION_ISSR_208002861_13168" localSheetId="19">#REF!</definedName>
    <definedName name="V_SECTION_ISSR_208002861_13168">#REF!</definedName>
    <definedName name="V_SECTION_ISSR_208002861_1316S" localSheetId="17">#REF!</definedName>
    <definedName name="V_SECTION_ISSR_208002861_1316S" localSheetId="14">#REF!</definedName>
    <definedName name="V_SECTION_ISSR_208002861_1316S" localSheetId="18">#REF!</definedName>
    <definedName name="V_SECTION_ISSR_208002861_1316S" localSheetId="19">#REF!</definedName>
    <definedName name="V_SECTION_ISSR_208002861_1316S">#REF!</definedName>
    <definedName name="V_SECTION_ISSR_208002861_1316T" localSheetId="17">#REF!</definedName>
    <definedName name="V_SECTION_ISSR_208002861_1316T" localSheetId="14">#REF!</definedName>
    <definedName name="V_SECTION_ISSR_208002861_1316T" localSheetId="18">#REF!</definedName>
    <definedName name="V_SECTION_ISSR_208002861_1316T" localSheetId="19">#REF!</definedName>
    <definedName name="V_SECTION_ISSR_208002861_1316T">#REF!</definedName>
    <definedName name="V_SECTION_ISSR_208002861_1316U" localSheetId="17">#REF!</definedName>
    <definedName name="V_SECTION_ISSR_208002861_1316U" localSheetId="14">#REF!</definedName>
    <definedName name="V_SECTION_ISSR_208002861_1316U" localSheetId="18">#REF!</definedName>
    <definedName name="V_SECTION_ISSR_208002861_1316U" localSheetId="19">#REF!</definedName>
    <definedName name="V_SECTION_ISSR_208002861_1316U">#REF!</definedName>
    <definedName name="V_SECTION_ISSR_208002861_1319" localSheetId="17">#REF!</definedName>
    <definedName name="V_SECTION_ISSR_208002861_1319" localSheetId="14">#REF!</definedName>
    <definedName name="V_SECTION_ISSR_208002861_1319" localSheetId="18">#REF!</definedName>
    <definedName name="V_SECTION_ISSR_208002861_1319" localSheetId="19">#REF!</definedName>
    <definedName name="V_SECTION_ISSR_208002861_1319">#REF!</definedName>
    <definedName name="V_SECTION_ISSR_208002861_131E" localSheetId="17">#REF!</definedName>
    <definedName name="V_SECTION_ISSR_208002861_131E" localSheetId="14">#REF!</definedName>
    <definedName name="V_SECTION_ISSR_208002861_131E" localSheetId="18">#REF!</definedName>
    <definedName name="V_SECTION_ISSR_208002861_131E" localSheetId="19">#REF!</definedName>
    <definedName name="V_SECTION_ISSR_208002861_131E">#REF!</definedName>
    <definedName name="V_SECTION_ISSR_208002861_131J" localSheetId="17">#REF!</definedName>
    <definedName name="V_SECTION_ISSR_208002861_131J" localSheetId="14">#REF!</definedName>
    <definedName name="V_SECTION_ISSR_208002861_131J" localSheetId="18">#REF!</definedName>
    <definedName name="V_SECTION_ISSR_208002861_131J" localSheetId="19">#REF!</definedName>
    <definedName name="V_SECTION_ISSR_208002861_131J">#REF!</definedName>
    <definedName name="V_SECTION_ISSR_208002861_131O" localSheetId="17">#REF!</definedName>
    <definedName name="V_SECTION_ISSR_208002861_131O" localSheetId="14">#REF!</definedName>
    <definedName name="V_SECTION_ISSR_208002861_131O" localSheetId="18">#REF!</definedName>
    <definedName name="V_SECTION_ISSR_208002861_131O" localSheetId="19">#REF!</definedName>
    <definedName name="V_SECTION_ISSR_208002861_131O">#REF!</definedName>
    <definedName name="V_SECTION_ISSR_208002861_13U" localSheetId="17">#REF!</definedName>
    <definedName name="V_SECTION_ISSR_208002861_13U" localSheetId="14">#REF!</definedName>
    <definedName name="V_SECTION_ISSR_208002861_13U" localSheetId="18">#REF!</definedName>
    <definedName name="V_SECTION_ISSR_208002861_13U" localSheetId="19">#REF!</definedName>
    <definedName name="V_SECTION_ISSR_208002861_13U">#REF!</definedName>
    <definedName name="V_SECTION_ISSR_208002861_13V" localSheetId="17">#REF!</definedName>
    <definedName name="V_SECTION_ISSR_208002861_13V" localSheetId="14">#REF!</definedName>
    <definedName name="V_SECTION_ISSR_208002861_13V" localSheetId="18">#REF!</definedName>
    <definedName name="V_SECTION_ISSR_208002861_13V" localSheetId="19">#REF!</definedName>
    <definedName name="V_SECTION_ISSR_208002861_13V">#REF!</definedName>
    <definedName name="V_SECTION_ISSR_208002861_Reference_Data" localSheetId="17">#REF!</definedName>
    <definedName name="V_SECTION_ISSR_208002861_Reference_Data" localSheetId="14">#REF!</definedName>
    <definedName name="V_SECTION_ISSR_208002861_Reference_Data" localSheetId="18">#REF!</definedName>
    <definedName name="V_SECTION_ISSR_208002861_Reference_Data" localSheetId="19">#REF!</definedName>
    <definedName name="V_SECTION_ISSR_208002861_Reference_Data">#REF!</definedName>
    <definedName name="Valuation">#REF!</definedName>
    <definedName name="valuationchart">#REF!</definedName>
    <definedName name="valuationdata">#REF!</definedName>
    <definedName name="vvvvvvvvvvvvvvvvvvvvvvvvvvvv" localSheetId="1" hidden="1">{"Back Page",#N/A,FALSE,"Front and Back"}</definedName>
    <definedName name="vvvvvvvvvvvvvvvvvvvvvvvvvvvv" localSheetId="2" hidden="1">{"Back Page",#N/A,FALSE,"Front and Back"}</definedName>
    <definedName name="vvvvvvvvvvvvvvvvvvvvvvvvvvvv" localSheetId="18" hidden="1">{"Back Page",#N/A,FALSE,"Front and Back"}</definedName>
    <definedName name="vvvvvvvvvvvvvvvvvvvvvvvvvvvv" localSheetId="19" hidden="1">{"Back Page",#N/A,FALSE,"Front and Back"}</definedName>
    <definedName name="vvvvvvvvvvvvvvvvvvvvvvvvvvvv" hidden="1">{"Back Page",#N/A,FALSE,"Front and Back"}</definedName>
    <definedName name="WagesPerEmpAvg">#REF!</definedName>
    <definedName name="WagesSocialSecurity">#REF!</definedName>
    <definedName name="WarrantsMarketValue">#REF!</definedName>
    <definedName name="WarrantsYe">#REF!</definedName>
    <definedName name="WorkingCapitalSalesRatio">#REF!</definedName>
    <definedName name="wrn.all." localSheetId="1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wrn.all." localSheetId="2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wrn.all." localSheetId="18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wrn.all." localSheetId="19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wrn.all.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wrn.All._.Company._.Analyses." localSheetId="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2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18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19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ck._.Page." localSheetId="1" hidden="1">{"Back Page",#N/A,FALSE,"Front and Back"}</definedName>
    <definedName name="wrn.Back._.Page." localSheetId="2" hidden="1">{"Back Page",#N/A,FALSE,"Front and Back"}</definedName>
    <definedName name="wrn.Back._.Page." localSheetId="18" hidden="1">{"Back Page",#N/A,FALSE,"Front and Back"}</definedName>
    <definedName name="wrn.Back._.Page." localSheetId="19" hidden="1">{"Back Page",#N/A,FALSE,"Front and Back"}</definedName>
    <definedName name="wrn.Back._.Page." hidden="1">{"Back Page",#N/A,FALSE,"Front and Back"}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18" hidden="1">{#N/A,#N/A,FALSE,"F_Plan";#N/A,#N/A,FALSE,"Parameter"}</definedName>
    <definedName name="wrn.BPlan." localSheetId="19" hidden="1">{#N/A,#N/A,FALSE,"F_Plan";#N/A,#N/A,FALSE,"Parameter"}</definedName>
    <definedName name="wrn.BPlan." hidden="1">{#N/A,#N/A,FALSE,"F_Plan";#N/A,#N/A,FALSE,"Parameter"}</definedName>
    <definedName name="wrn.Cider." localSheetId="1" hidden="1">{#N/A,#N/A,FALSE,"Cider Segment";#N/A,#N/A,FALSE,"Bulmers";#N/A,#N/A,FALSE,"Ritz";#N/A,#N/A,FALSE,"Stag";#N/A,#N/A,FALSE,"Cider Others"}</definedName>
    <definedName name="wrn.Cider." localSheetId="2" hidden="1">{#N/A,#N/A,FALSE,"Cider Segment";#N/A,#N/A,FALSE,"Bulmers";#N/A,#N/A,FALSE,"Ritz";#N/A,#N/A,FALSE,"Stag";#N/A,#N/A,FALSE,"Cider Others"}</definedName>
    <definedName name="wrn.Cider." localSheetId="18" hidden="1">{#N/A,#N/A,FALSE,"Cider Segment";#N/A,#N/A,FALSE,"Bulmers";#N/A,#N/A,FALSE,"Ritz";#N/A,#N/A,FALSE,"Stag";#N/A,#N/A,FALSE,"Cider Others"}</definedName>
    <definedName name="wrn.Cider." localSheetId="19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onsolidated._.Set." localSheetId="1" hidden="1">{"Consolidated IS w Ratios",#N/A,FALSE,"Consolidated";"Consolidated CF",#N/A,FALSE,"Consolidated";"Consolidated DCF",#N/A,FALSE,"Consolidated"}</definedName>
    <definedName name="wrn.Consolidated._.Set." localSheetId="2" hidden="1">{"Consolidated IS w Ratios",#N/A,FALSE,"Consolidated";"Consolidated CF",#N/A,FALSE,"Consolidated";"Consolidated DCF",#N/A,FALSE,"Consolidated"}</definedName>
    <definedName name="wrn.Consolidated._.Set." localSheetId="18" hidden="1">{"Consolidated IS w Ratios",#N/A,FALSE,"Consolidated";"Consolidated CF",#N/A,FALSE,"Consolidated";"Consolidated DCF",#N/A,FALSE,"Consolidated"}</definedName>
    <definedName name="wrn.Consolidated._.Set." localSheetId="19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ION.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18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19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localSheetId="1" hidden="1">{#N/A,#N/A,FALSE,"Contribution Analysis"}</definedName>
    <definedName name="wrn.contribution." localSheetId="2" hidden="1">{#N/A,#N/A,FALSE,"Contribution Analysis"}</definedName>
    <definedName name="wrn.contribution." localSheetId="18" hidden="1">{#N/A,#N/A,FALSE,"Contribution Analysis"}</definedName>
    <definedName name="wrn.contribution." localSheetId="19" hidden="1">{#N/A,#N/A,FALSE,"Contribution Analysis"}</definedName>
    <definedName name="wrn.contribution." hidden="1">{#N/A,#N/A,FALSE,"Contribution Analysis"}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T." localSheetId="1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localSheetId="2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localSheetId="18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localSheetId="19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localSheetId="1" hidden="1">{"page1",#N/A,TRUE,"CSC";"page2",#N/A,TRUE,"CSC"}</definedName>
    <definedName name="wrn.CSC." localSheetId="2" hidden="1">{"page1",#N/A,TRUE,"CSC";"page2",#N/A,TRUE,"CSC"}</definedName>
    <definedName name="wrn.CSC." localSheetId="18" hidden="1">{"page1",#N/A,TRUE,"CSC";"page2",#N/A,TRUE,"CSC"}</definedName>
    <definedName name="wrn.CSC." localSheetId="19" hidden="1">{"page1",#N/A,TRUE,"CSC";"page2",#N/A,TRUE,"CSC"}</definedName>
    <definedName name="wrn.CSC." hidden="1">{"page1",#N/A,TRUE,"CSC";"page2",#N/A,TRUE,"CSC"}</definedName>
    <definedName name="wrn.CSC2" localSheetId="1" hidden="1">{"page1",#N/A,TRUE,"CSC";"page2",#N/A,TRUE,"CSC"}</definedName>
    <definedName name="wrn.CSC2" localSheetId="2" hidden="1">{"page1",#N/A,TRUE,"CSC";"page2",#N/A,TRUE,"CSC"}</definedName>
    <definedName name="wrn.CSC2" localSheetId="18" hidden="1">{"page1",#N/A,TRUE,"CSC";"page2",#N/A,TRUE,"CSC"}</definedName>
    <definedName name="wrn.CSC2" localSheetId="19" hidden="1">{"page1",#N/A,TRUE,"CSC";"page2",#N/A,TRUE,"CSC"}</definedName>
    <definedName name="wrn.CSC2" hidden="1">{"page1",#N/A,TRUE,"CSC";"page2",#N/A,TRUE,"CSC"}</definedName>
    <definedName name="wrn.csc2." localSheetId="1" hidden="1">{#N/A,#N/A,FALSE,"ORIX CSC"}</definedName>
    <definedName name="wrn.csc2." localSheetId="2" hidden="1">{#N/A,#N/A,FALSE,"ORIX CSC"}</definedName>
    <definedName name="wrn.csc2." localSheetId="18" hidden="1">{#N/A,#N/A,FALSE,"ORIX CSC"}</definedName>
    <definedName name="wrn.csc2." localSheetId="19" hidden="1">{#N/A,#N/A,FALSE,"ORIX CSC"}</definedName>
    <definedName name="wrn.csc2." hidden="1">{#N/A,#N/A,FALSE,"ORIX CSC"}</definedName>
    <definedName name="wrn.database." localSheetId="1" hidden="1">{"subs",#N/A,FALSE,"database ";"proportional",#N/A,FALSE,"database "}</definedName>
    <definedName name="wrn.database." localSheetId="2" hidden="1">{"subs",#N/A,FALSE,"database ";"proportional",#N/A,FALSE,"database "}</definedName>
    <definedName name="wrn.database." localSheetId="18" hidden="1">{"subs",#N/A,FALSE,"database ";"proportional",#N/A,FALSE,"database "}</definedName>
    <definedName name="wrn.database." localSheetId="19" hidden="1">{"subs",#N/A,FALSE,"database ";"proportional",#N/A,FALSE,"database "}</definedName>
    <definedName name="wrn.database." hidden="1">{"subs",#N/A,FALSE,"database ";"proportional",#N/A,FALSE,"database 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9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ed._.P._.and._.L." localSheetId="1" hidden="1">{"P and L Detail Page 1",#N/A,FALSE,"Data";"P and L Detail Page 2",#N/A,FALSE,"Data"}</definedName>
    <definedName name="wrn.Detailed._.P._.and._.L." localSheetId="2" hidden="1">{"P and L Detail Page 1",#N/A,FALSE,"Data";"P and L Detail Page 2",#N/A,FALSE,"Data"}</definedName>
    <definedName name="wrn.Detailed._.P._.and._.L." localSheetId="18" hidden="1">{"P and L Detail Page 1",#N/A,FALSE,"Data";"P and L Detail Page 2",#N/A,FALSE,"Data"}</definedName>
    <definedName name="wrn.Detailed._.P._.and._.L." localSheetId="19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Earnings._.Model.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ployee._.Efficiency." localSheetId="1" hidden="1">{"Employee Efficiency",#N/A,FALSE,"Benchmarking"}</definedName>
    <definedName name="wrn.Employee._.Efficiency." localSheetId="2" hidden="1">{"Employee Efficiency",#N/A,FALSE,"Benchmarking"}</definedName>
    <definedName name="wrn.Employee._.Efficiency." localSheetId="18" hidden="1">{"Employee Efficiency",#N/A,FALSE,"Benchmarking"}</definedName>
    <definedName name="wrn.Employee._.Efficiency." localSheetId="19" hidden="1">{"Employee Efficiency",#N/A,FALSE,"Benchmarking"}</definedName>
    <definedName name="wrn.Employee._.Efficiency." hidden="1">{"Employee Efficiency",#N/A,FALSE,"Benchmarking"}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1" hidden="1">{"Eur Base Top",#N/A,FALSE,"Europe Base";"Eur Base Bottom",#N/A,FALSE,"Europe Base"}</definedName>
    <definedName name="wrn.Europe._.Base." localSheetId="2" hidden="1">{"Eur Base Top",#N/A,FALSE,"Europe Base";"Eur Base Bottom",#N/A,FALSE,"Europe Base"}</definedName>
    <definedName name="wrn.Europe._.Base." localSheetId="18" hidden="1">{"Eur Base Top",#N/A,FALSE,"Europe Base";"Eur Base Bottom",#N/A,FALSE,"Europe Base"}</definedName>
    <definedName name="wrn.Europe._.Base." localSheetId="19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1" hidden="1">{"IS w Ratios",#N/A,FALSE,"Europe";"PF CF Europe",#N/A,FALSE,"Europe";"DCF Eur Matrix",#N/A,FALSE,"Europe"}</definedName>
    <definedName name="wrn.Europe._.Set." localSheetId="2" hidden="1">{"IS w Ratios",#N/A,FALSE,"Europe";"PF CF Europe",#N/A,FALSE,"Europe";"DCF Eur Matrix",#N/A,FALSE,"Europe"}</definedName>
    <definedName name="wrn.Europe._.Set." localSheetId="18" hidden="1">{"IS w Ratios",#N/A,FALSE,"Europe";"PF CF Europe",#N/A,FALSE,"Europe";"DCF Eur Matrix",#N/A,FALSE,"Europe"}</definedName>
    <definedName name="wrn.Europe._.Set." localSheetId="19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8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9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ports." localSheetId="1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2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18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19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localSheetId="1" hidden="1">{"IS FE with Ratios",#N/A,FALSE,"Far East";"PF CF Far East",#N/A,FALSE,"Far East";"DCF Far East Matrix",#N/A,FALSE,"Far East"}</definedName>
    <definedName name="wrn.Far._.East._.Set." localSheetId="2" hidden="1">{"IS FE with Ratios",#N/A,FALSE,"Far East";"PF CF Far East",#N/A,FALSE,"Far East";"DCF Far East Matrix",#N/A,FALSE,"Far East"}</definedName>
    <definedName name="wrn.Far._.East._.Set." localSheetId="18" hidden="1">{"IS FE with Ratios",#N/A,FALSE,"Far East";"PF CF Far East",#N/A,FALSE,"Far East";"DCF Far East Matrix",#N/A,FALSE,"Far East"}</definedName>
    <definedName name="wrn.Far._.East._.Set." localSheetId="19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E._.Sensitivity." localSheetId="1" hidden="1">{"Far East Top",#N/A,FALSE,"FE Model";"Far East Mid",#N/A,FALSE,"FE Model";"Far East Base",#N/A,FALSE,"FE Model"}</definedName>
    <definedName name="wrn.FE._.Sensitivity." localSheetId="2" hidden="1">{"Far East Top",#N/A,FALSE,"FE Model";"Far East Mid",#N/A,FALSE,"FE Model";"Far East Base",#N/A,FALSE,"FE Model"}</definedName>
    <definedName name="wrn.FE._.Sensitivity." localSheetId="18" hidden="1">{"Far East Top",#N/A,FALSE,"FE Model";"Far East Mid",#N/A,FALSE,"FE Model";"Far East Base",#N/A,FALSE,"FE Model"}</definedName>
    <definedName name="wrn.FE._.Sensitivity." localSheetId="19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inancial._.Output." localSheetId="1" hidden="1">{"P and L",#N/A,FALSE,"Financial Output";"Cashflow",#N/A,FALSE,"Financial Output";"Balance Sheet",#N/A,FALSE,"Financial Output"}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" localSheetId="18" hidden="1">{"P and L",#N/A,FALSE,"Financial Output";"Cashflow",#N/A,FALSE,"Financial Output";"Balance Sheet",#N/A,FALSE,"Financial Output"}</definedName>
    <definedName name="wrn.Financial._.Output." localSheetId="19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ve._.Year._.Record." localSheetId="1" hidden="1">{"Five Year Record",#N/A,FALSE,"Front and Back"}</definedName>
    <definedName name="wrn.Five._.Year._.Record." localSheetId="2" hidden="1">{"Five Year Record",#N/A,FALSE,"Front and Back"}</definedName>
    <definedName name="wrn.Five._.Year._.Record." localSheetId="18" hidden="1">{"Five Year Record",#N/A,FALSE,"Front and Back"}</definedName>
    <definedName name="wrn.Five._.Year._.Record." localSheetId="19" hidden="1">{"Five Year Record",#N/A,FALSE,"Front and Back"}</definedName>
    <definedName name="wrn.Five._.Year._.Record." hidden="1">{"Five Year Record",#N/A,FALSE,"Front and Back"}</definedName>
    <definedName name="wrn.Front._.Page." localSheetId="1" hidden="1">{"Front Page",#N/A,FALSE,"Front and Back"}</definedName>
    <definedName name="wrn.Front._.Page." localSheetId="2" hidden="1">{"Front Page",#N/A,FALSE,"Front and Back"}</definedName>
    <definedName name="wrn.Front._.Page." localSheetId="18" hidden="1">{"Front Page",#N/A,FALSE,"Front and Back"}</definedName>
    <definedName name="wrn.Front._.Page." localSheetId="19" hidden="1">{"Front Page",#N/A,FALSE,"Front and Back"}</definedName>
    <definedName name="wrn.Front._.Page." hidden="1">{"Front Page",#N/A,FALSE,"Front and Back"}</definedName>
    <definedName name="wrn.full." localSheetId="1" hidden="1">{"ANNUAL",#N/A,FALSE,"DDCLINK";"DDC94",#N/A,FALSE,"DDCLINK"}</definedName>
    <definedName name="wrn.full." localSheetId="2" hidden="1">{"ANNUAL",#N/A,FALSE,"DDCLINK";"DDC94",#N/A,FALSE,"DDCLINK"}</definedName>
    <definedName name="wrn.full." localSheetId="18" hidden="1">{"ANNUAL",#N/A,FALSE,"DDCLINK";"DDC94",#N/A,FALSE,"DDCLINK"}</definedName>
    <definedName name="wrn.full." localSheetId="19" hidden="1">{"ANNUAL",#N/A,FALSE,"DDCLINK";"DDC94",#N/A,FALSE,"DDCLINK"}</definedName>
    <definedName name="wrn.full." hidden="1">{"ANNUAL",#N/A,FALSE,"DDCLINK";"DDC94",#N/A,FALSE,"DDCLINK"}</definedName>
    <definedName name="wrn.FY97SBP." localSheetId="1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." localSheetId="18" hidden="1">{#N/A,#N/A,FALSE,"FY97";#N/A,#N/A,FALSE,"FY98";#N/A,#N/A,FALSE,"FY99";#N/A,#N/A,FALSE,"FY00";#N/A,#N/A,FALSE,"FY01"}</definedName>
    <definedName name="wrn.FY97SBP." localSheetId="1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eographic._.Trends." localSheetId="1" hidden="1">{"Geographic P1",#N/A,FALSE,"Division &amp; Geog"}</definedName>
    <definedName name="wrn.Geographic._.Trends." localSheetId="2" hidden="1">{"Geographic P1",#N/A,FALSE,"Division &amp; Geog"}</definedName>
    <definedName name="wrn.Geographic._.Trends." localSheetId="18" hidden="1">{"Geographic P1",#N/A,FALSE,"Division &amp; Geog"}</definedName>
    <definedName name="wrn.Geographic._.Trends." localSheetId="19" hidden="1">{"Geographic P1",#N/A,FALSE,"Division &amp; Geog"}</definedName>
    <definedName name="wrn.Geographic._.Trends." hidden="1">{"Geographic P1",#N/A,FALSE,"Division &amp; Geog"}</definedName>
    <definedName name="wrn.Income._.Statement." localSheetId="1" hidden="1">{#N/A,#N/A,FALSE,"Report Print"}</definedName>
    <definedName name="wrn.Income._.Statement." localSheetId="2" hidden="1">{#N/A,#N/A,FALSE,"Report Print"}</definedName>
    <definedName name="wrn.Income._.Statement." localSheetId="18" hidden="1">{#N/A,#N/A,FALSE,"Report Print"}</definedName>
    <definedName name="wrn.Income._.Statement." localSheetId="19" hidden="1">{#N/A,#N/A,FALSE,"Report Print"}</definedName>
    <definedName name="wrn.Income._.Statement." hidden="1">{#N/A,#N/A,FALSE,"Report Print"}</definedName>
    <definedName name="wrn.international.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1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1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taly." localSheetId="1" hidden="1">{#N/A,#N/A,FALSE,"Italy";#N/A,#N/A,FALSE,"Aperol Italy";#N/A,#N/A,FALSE,"Aperol Soda Italy";#N/A,#N/A,FALSE,"Spumanti";#N/A,#N/A,FALSE,"Barbieri Liqueur Italy";#N/A,#N/A,FALSE,"Others Italy"}</definedName>
    <definedName name="wrn.Italy." localSheetId="2" hidden="1">{#N/A,#N/A,FALSE,"Italy";#N/A,#N/A,FALSE,"Aperol Italy";#N/A,#N/A,FALSE,"Aperol Soda Italy";#N/A,#N/A,FALSE,"Spumanti";#N/A,#N/A,FALSE,"Barbieri Liqueur Italy";#N/A,#N/A,FALSE,"Others Italy"}</definedName>
    <definedName name="wrn.Italy." localSheetId="18" hidden="1">{#N/A,#N/A,FALSE,"Italy";#N/A,#N/A,FALSE,"Aperol Italy";#N/A,#N/A,FALSE,"Aperol Soda Italy";#N/A,#N/A,FALSE,"Spumanti";#N/A,#N/A,FALSE,"Barbieri Liqueur Italy";#N/A,#N/A,FALSE,"Others Italy"}</definedName>
    <definedName name="wrn.Italy." localSheetId="19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localSheetId="1" hidden="1">{"JG FE Top",#N/A,FALSE,"JG FE $";"JG FE Bottom",#N/A,FALSE,"JG FE $"}</definedName>
    <definedName name="wrn.JG._.FE._.Dollar." localSheetId="2" hidden="1">{"JG FE Top",#N/A,FALSE,"JG FE $";"JG FE Bottom",#N/A,FALSE,"JG FE $"}</definedName>
    <definedName name="wrn.JG._.FE._.Dollar." localSheetId="18" hidden="1">{"JG FE Top",#N/A,FALSE,"JG FE $";"JG FE Bottom",#N/A,FALSE,"JG FE $"}</definedName>
    <definedName name="wrn.JG._.FE._.Dollar." localSheetId="19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1" hidden="1">{"JG FE Top",#N/A,FALSE,"JG FE ¥";"JG FE Bottom",#N/A,FALSE,"JG FE ¥"}</definedName>
    <definedName name="wrn.JG._.FE._.Yen." localSheetId="2" hidden="1">{"JG FE Top",#N/A,FALSE,"JG FE ¥";"JG FE Bottom",#N/A,FALSE,"JG FE ¥"}</definedName>
    <definedName name="wrn.JG._.FE._.Yen." localSheetId="18" hidden="1">{"JG FE Top",#N/A,FALSE,"JG FE ¥";"JG FE Bottom",#N/A,FALSE,"JG FE ¥"}</definedName>
    <definedName name="wrn.JG._.FE._.Yen." localSheetId="19" hidden="1">{"JG FE Top",#N/A,FALSE,"JG FE ¥";"JG FE Bottom",#N/A,FALSE,"JG FE ¥"}</definedName>
    <definedName name="wrn.JG._.FE._.Yen." hidden="1">{"JG FE Top",#N/A,FALSE,"JG FE ¥";"JG FE Bottom",#N/A,FALSE,"JG FE ¥"}</definedName>
    <definedName name="wrn.lbo." localSheetId="1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2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18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19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localSheetId="1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2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18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19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1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2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18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19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ine._.Efficiency." localSheetId="1" hidden="1">{"Line Efficiency",#N/A,FALSE,"Benchmarking"}</definedName>
    <definedName name="wrn.Line._.Efficiency." localSheetId="2" hidden="1">{"Line Efficiency",#N/A,FALSE,"Benchmarking"}</definedName>
    <definedName name="wrn.Line._.Efficiency." localSheetId="18" hidden="1">{"Line Efficiency",#N/A,FALSE,"Benchmarking"}</definedName>
    <definedName name="wrn.Line._.Efficiency." localSheetId="19" hidden="1">{"Line Efficiency",#N/A,FALSE,"Benchmarking"}</definedName>
    <definedName name="wrn.Line._.Efficiency." hidden="1">{"Line Efficiency",#N/A,FALSE,"Benchmarking"}</definedName>
    <definedName name="wrn.Main._.Report._.All._.Sections.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18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19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RGER._.PLANS.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18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19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NA._.Model._.T._.and._.B." localSheetId="1" hidden="1">{"NA Top",#N/A,FALSE,"NA Model";"NA Bottom",#N/A,FALSE,"NA Model"}</definedName>
    <definedName name="wrn.NA._.Model._.T._.and._.B." localSheetId="2" hidden="1">{"NA Top",#N/A,FALSE,"NA Model";"NA Bottom",#N/A,FALSE,"NA Model"}</definedName>
    <definedName name="wrn.NA._.Model._.T._.and._.B." localSheetId="18" hidden="1">{"NA Top",#N/A,FALSE,"NA Model";"NA Bottom",#N/A,FALSE,"NA Model"}</definedName>
    <definedName name="wrn.NA._.Model._.T._.and._.B." localSheetId="19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1" hidden="1">{"NA Top",#N/A,FALSE,"NA-ULV";"NA Bottom",#N/A,FALSE,"NA-ULV"}</definedName>
    <definedName name="wrn.NA_ULV._.Tand._.B." localSheetId="2" hidden="1">{"NA Top",#N/A,FALSE,"NA-ULV";"NA Bottom",#N/A,FALSE,"NA-ULV"}</definedName>
    <definedName name="wrn.NA_ULV._.Tand._.B." localSheetId="18" hidden="1">{"NA Top",#N/A,FALSE,"NA-ULV";"NA Bottom",#N/A,FALSE,"NA-ULV"}</definedName>
    <definedName name="wrn.NA_ULV._.Tand._.B." localSheetId="19" hidden="1">{"NA Top",#N/A,FALSE,"NA-ULV";"NA Bottom",#N/A,FALSE,"NA-ULV"}</definedName>
    <definedName name="wrn.NA_ULV._.Tand._.B." hidden="1">{"NA Top",#N/A,FALSE,"NA-ULV";"NA Bottom",#N/A,FALSE,"NA-ULV"}</definedName>
    <definedName name="wrn.Normal." localSheetId="1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localSheetId="2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localSheetId="18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localSheetId="19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_.Set." localSheetId="1" hidden="1">{"NA Is w Ratios",#N/A,FALSE,"North America";"PF CFlow NA",#N/A,FALSE,"North America";"NA DCF Matrix",#N/A,FALSE,"North America"}</definedName>
    <definedName name="wrn.North._.America._.Set." localSheetId="2" hidden="1">{"NA Is w Ratios",#N/A,FALSE,"North America";"PF CFlow NA",#N/A,FALSE,"North America";"NA DCF Matrix",#N/A,FALSE,"North America"}</definedName>
    <definedName name="wrn.North._.America._.Set." localSheetId="18" hidden="1">{"NA Is w Ratios",#N/A,FALSE,"North America";"PF CFlow NA",#N/A,FALSE,"North America";"NA DCF Matrix",#N/A,FALSE,"North America"}</definedName>
    <definedName name="wrn.North._.America._.Set." localSheetId="19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1" hidden="1">{"print 1",#N/A,FALSE,"PrimeCo PCS";"print 2",#N/A,FALSE,"PrimeCo PCS";"valuation",#N/A,FALSE,"PrimeCo PCS"}</definedName>
    <definedName name="wrn.PrimeCo." localSheetId="2" hidden="1">{"print 1",#N/A,FALSE,"PrimeCo PCS";"print 2",#N/A,FALSE,"PrimeCo PCS";"valuation",#N/A,FALSE,"PrimeCo PCS"}</definedName>
    <definedName name="wrn.PrimeCo." localSheetId="18" hidden="1">{"print 1",#N/A,FALSE,"PrimeCo PCS";"print 2",#N/A,FALSE,"PrimeCo PCS";"valuation",#N/A,FALSE,"PrimeCo PCS"}</definedName>
    <definedName name="wrn.PrimeCo." localSheetId="19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localSheetId="2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localSheetId="18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localSheetId="19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localSheetId="1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localSheetId="2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localSheetId="18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localSheetId="19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Europe._.TandB." localSheetId="1" hidden="1">{"Print Top",#N/A,FALSE,"Europe Model";"Print Bottom",#N/A,FALSE,"Europe Model"}</definedName>
    <definedName name="wrn.Print._.Europe._.TandB." localSheetId="2" hidden="1">{"Print Top",#N/A,FALSE,"Europe Model";"Print Bottom",#N/A,FALSE,"Europe Model"}</definedName>
    <definedName name="wrn.Print._.Europe._.TandB." localSheetId="18" hidden="1">{"Print Top",#N/A,FALSE,"Europe Model";"Print Bottom",#N/A,FALSE,"Europe Model"}</definedName>
    <definedName name="wrn.Print._.Europe._.TandB." localSheetId="19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1" hidden="1">{"Far East Top",#N/A,FALSE,"FE Model";"Far East Bottom",#N/A,FALSE,"FE Model"}</definedName>
    <definedName name="wrn.Print._.FE._.T._.and._.B." localSheetId="2" hidden="1">{"Far East Top",#N/A,FALSE,"FE Model";"Far East Bottom",#N/A,FALSE,"FE Model"}</definedName>
    <definedName name="wrn.Print._.FE._.T._.and._.B." localSheetId="18" hidden="1">{"Far East Top",#N/A,FALSE,"FE Model";"Far East Bottom",#N/A,FALSE,"FE Model"}</definedName>
    <definedName name="wrn.Print._.FE._.T._.and._.B." localSheetId="19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pages." localSheetId="1" hidden="1">{#N/A,#N/A,FALSE,"Spain MKT";#N/A,#N/A,FALSE,"Assumptions";#N/A,#N/A,FALSE,"Adve";#N/A,#N/A,FALSE,"E-Commerce";#N/A,#N/A,FALSE,"Opex";#N/A,#N/A,FALSE,"P&amp;L";#N/A,#N/A,FALSE,"FCF &amp; DCF"}</definedName>
    <definedName name="wrn.print._.pages." localSheetId="2" hidden="1">{#N/A,#N/A,FALSE,"Spain MKT";#N/A,#N/A,FALSE,"Assumptions";#N/A,#N/A,FALSE,"Adve";#N/A,#N/A,FALSE,"E-Commerce";#N/A,#N/A,FALSE,"Opex";#N/A,#N/A,FALSE,"P&amp;L";#N/A,#N/A,FALSE,"FCF &amp; DCF"}</definedName>
    <definedName name="wrn.print._.pages." localSheetId="18" hidden="1">{#N/A,#N/A,FALSE,"Spain MKT";#N/A,#N/A,FALSE,"Assumptions";#N/A,#N/A,FALSE,"Adve";#N/A,#N/A,FALSE,"E-Commerce";#N/A,#N/A,FALSE,"Opex";#N/A,#N/A,FALSE,"P&amp;L";#N/A,#N/A,FALSE,"FCF &amp; DCF"}</definedName>
    <definedName name="wrn.print._.pages." localSheetId="19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standalone." localSheetId="1" hidden="1">{"standalone1",#N/A,FALSE,"DCFBase";"standalone2",#N/A,FALSE,"DCFBase"}</definedName>
    <definedName name="wrn.print._.standalone." localSheetId="2" hidden="1">{"standalone1",#N/A,FALSE,"DCFBase";"standalone2",#N/A,FALSE,"DCFBase"}</definedName>
    <definedName name="wrn.print._.standalone." localSheetId="18" hidden="1">{"standalone1",#N/A,FALSE,"DCFBase";"standalone2",#N/A,FALSE,"DCFBase"}</definedName>
    <definedName name="wrn.print._.standalone." localSheetId="19" hidden="1">{"standalone1",#N/A,FALSE,"DCFBase";"standalone2",#N/A,FALSE,"DCFBase"}</definedName>
    <definedName name="wrn.print._.standalone." hidden="1">{"standalone1",#N/A,FALSE,"DCFBase";"standalone2",#N/A,FALSE,"DCFBase"}</definedName>
    <definedName name="wrn.Print_CSC." localSheetId="1" hidden="1">{"CSC_1",#N/A,FALSE,"CSC Outputs";"CSC_2",#N/A,FALSE,"CSC Outputs"}</definedName>
    <definedName name="wrn.Print_CSC." localSheetId="2" hidden="1">{"CSC_1",#N/A,FALSE,"CSC Outputs";"CSC_2",#N/A,FALSE,"CSC Outputs"}</definedName>
    <definedName name="wrn.Print_CSC." localSheetId="18" hidden="1">{"CSC_1",#N/A,FALSE,"CSC Outputs";"CSC_2",#N/A,FALSE,"CSC Outputs"}</definedName>
    <definedName name="wrn.Print_CSC." localSheetId="19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1" hidden="1">{"CSC_1",#N/A,FALSE,"CSC Outputs";"CSC_2",#N/A,FALSE,"CSC Outputs"}</definedName>
    <definedName name="wrn.Print_CSC2" localSheetId="2" hidden="1">{"CSC_1",#N/A,FALSE,"CSC Outputs";"CSC_2",#N/A,FALSE,"CSC Outputs"}</definedName>
    <definedName name="wrn.Print_CSC2" localSheetId="18" hidden="1">{"CSC_1",#N/A,FALSE,"CSC Outputs";"CSC_2",#N/A,FALSE,"CSC Outputs"}</definedName>
    <definedName name="wrn.Print_CSC2" localSheetId="19" hidden="1">{"CSC_1",#N/A,FALSE,"CSC Outputs";"CSC_2",#N/A,FALSE,"CSC Outputs"}</definedName>
    <definedName name="wrn.Print_CSC2" hidden="1">{"CSC_1",#N/A,FALSE,"CSC Outputs";"CSC_2",#N/A,FALSE,"CSC Outputs"}</definedName>
    <definedName name="wrn.printall." localSheetId="1" hidden="1">{"projections1",#N/A,FALSE,"projections";"dcf2",#N/A,FALSE,"dcf";"dcf no profit sharing",#N/A,FALSE,"dcf no profit sharing";"avp1",#N/A,FALSE,"avp"}</definedName>
    <definedName name="wrn.printall." localSheetId="2" hidden="1">{"projections1",#N/A,FALSE,"projections";"dcf2",#N/A,FALSE,"dcf";"dcf no profit sharing",#N/A,FALSE,"dcf no profit sharing";"avp1",#N/A,FALSE,"avp"}</definedName>
    <definedName name="wrn.printall." localSheetId="18" hidden="1">{"projections1",#N/A,FALSE,"projections";"dcf2",#N/A,FALSE,"dcf";"dcf no profit sharing",#N/A,FALSE,"dcf no profit sharing";"avp1",#N/A,FALSE,"avp"}</definedName>
    <definedName name="wrn.printall." localSheetId="19" hidden="1">{"projections1",#N/A,FALSE,"projections";"dcf2",#N/A,FALSE,"dcf";"dcf no profit sharing",#N/A,FALSE,"dcf no profit sharing";"avp1",#N/A,FALSE,"avp"}</definedName>
    <definedName name="wrn.printall." hidden="1">{"projections1",#N/A,FALSE,"projections";"dcf2",#N/A,FALSE,"dcf";"dcf no profit sharing",#N/A,FALSE,"dcf no profit sharing";"avp1",#N/A,FALSE,"avp"}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8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9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Sapere." localSheetId="1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2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18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19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8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9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localSheetId="1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2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18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19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localSheetId="1" hidden="1">{"Financials",#N/A,FALSE,"Financials";"AVP",#N/A,FALSE,"AVP";"DCF",#N/A,FALSE,"DCF";"CSC",#N/A,FALSE,"CSC";"Deal_Comp",#N/A,FALSE,"DealComp"}</definedName>
    <definedName name="wrn.Standard." localSheetId="2" hidden="1">{"Financials",#N/A,FALSE,"Financials";"AVP",#N/A,FALSE,"AVP";"DCF",#N/A,FALSE,"DCF";"CSC",#N/A,FALSE,"CSC";"Deal_Comp",#N/A,FALSE,"DealComp"}</definedName>
    <definedName name="wrn.Standard." localSheetId="18" hidden="1">{"Financials",#N/A,FALSE,"Financials";"AVP",#N/A,FALSE,"AVP";"DCF",#N/A,FALSE,"DCF";"CSC",#N/A,FALSE,"CSC";"Deal_Comp",#N/A,FALSE,"DealComp"}</definedName>
    <definedName name="wrn.Standard." localSheetId="19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ummary." localSheetId="1" hidden="1">{"Print Summary",#N/A,FALSE,"Bal_Graphs";"Print Summary",#N/A,FALSE,"DCF";"Print Summary",#N/A,FALSE,"Graphs";"Print Summary",#N/A,FALSE,"Summary"}</definedName>
    <definedName name="wrn.Summary." localSheetId="2" hidden="1">{"Print Summary",#N/A,FALSE,"Bal_Graphs";"Print Summary",#N/A,FALSE,"DCF";"Print Summary",#N/A,FALSE,"Graphs";"Print Summary",#N/A,FALSE,"Summary"}</definedName>
    <definedName name="wrn.Summary." localSheetId="18" hidden="1">{"Print Summary",#N/A,FALSE,"Bal_Graphs";"Print Summary",#N/A,FALSE,"DCF";"Print Summary",#N/A,FALSE,"Graphs";"Print Summary",#N/A,FALSE,"Summary"}</definedName>
    <definedName name="wrn.Summary." localSheetId="19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localSheetId="2" hidden="1">{#N/A,#N/A,FALSE,"CreditStat";#N/A,#N/A,FALSE,"SPbrkup";#N/A,#N/A,FALSE,"MerSPsyn";#N/A,#N/A,FALSE,"MerSPwKCsyn";#N/A,#N/A,FALSE,"MerSPwKCsyn (2)";#N/A,#N/A,FALSE,"CreditStat (2)"}</definedName>
    <definedName name="wrn.SummaryPgs." localSheetId="18" hidden="1">{#N/A,#N/A,FALSE,"CreditStat";#N/A,#N/A,FALSE,"SPbrkup";#N/A,#N/A,FALSE,"MerSPsyn";#N/A,#N/A,FALSE,"MerSPwKCsyn";#N/A,#N/A,FALSE,"MerSPwKCsyn (2)";#N/A,#N/A,FALSE,"CreditStat (2)"}</definedName>
    <definedName name="wrn.SummaryPgs." localSheetId="19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iff._.Analysis." localSheetId="1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2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18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19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1" hidden="1">{"Tariff Comparison",#N/A,FALSE,"Benchmarking";"Tariff Comparison 2",#N/A,FALSE,"Benchmarking";"Tariff Comparison 3",#N/A,FALSE,"Benchmarking"}</definedName>
    <definedName name="wrn.Tariff._.Comaprison." localSheetId="2" hidden="1">{"Tariff Comparison",#N/A,FALSE,"Benchmarking";"Tariff Comparison 2",#N/A,FALSE,"Benchmarking";"Tariff Comparison 3",#N/A,FALSE,"Benchmarking"}</definedName>
    <definedName name="wrn.Tariff._.Comaprison." localSheetId="18" hidden="1">{"Tariff Comparison",#N/A,FALSE,"Benchmarking";"Tariff Comparison 2",#N/A,FALSE,"Benchmarking";"Tariff Comparison 3",#N/A,FALSE,"Benchmarking"}</definedName>
    <definedName name="wrn.Tariff._.Comaprison." localSheetId="19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est." localSheetId="1" hidden="1">{"test2",#N/A,TRUE,"Prices"}</definedName>
    <definedName name="wrn.test." localSheetId="2" hidden="1">{"test2",#N/A,TRUE,"Prices"}</definedName>
    <definedName name="wrn.test." localSheetId="18" hidden="1">{"test2",#N/A,TRUE,"Prices"}</definedName>
    <definedName name="wrn.test." localSheetId="19" hidden="1">{"test2",#N/A,TRUE,"Prices"}</definedName>
    <definedName name="wrn.test." hidden="1">{"test2",#N/A,TRUE,"Prices"}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localSheetId="2" hidden="1">{#N/A,#N/A,FALSE,"A&amp;E";#N/A,#N/A,FALSE,"HighTop";#N/A,#N/A,FALSE,"JG";#N/A,#N/A,FALSE,"RI";#N/A,#N/A,FALSE,"woHT";#N/A,#N/A,FALSE,"woHT&amp;JG"}</definedName>
    <definedName name="wrn.Tweety." localSheetId="18" hidden="1">{#N/A,#N/A,FALSE,"A&amp;E";#N/A,#N/A,FALSE,"HighTop";#N/A,#N/A,FALSE,"JG";#N/A,#N/A,FALSE,"RI";#N/A,#N/A,FALSE,"woHT";#N/A,#N/A,FALSE,"woHT&amp;JG"}</definedName>
    <definedName name="wrn.Tweety." localSheetId="19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18" hidden="1">{#N/A,#N/A,FALSE,"Umsatz";#N/A,#N/A,FALSE,"Base V.02";#N/A,#N/A,FALSE,"Charts"}</definedName>
    <definedName name="wrn.Umsatz." localSheetId="19" hidden="1">{#N/A,#N/A,FALSE,"Umsatz";#N/A,#N/A,FALSE,"Base V.02";#N/A,#N/A,FALSE,"Charts"}</definedName>
    <definedName name="wrn.Umsatz." hidden="1">{#N/A,#N/A,FALSE,"Umsatz";#N/A,#N/A,FALSE,"Base V.02";#N/A,#N/A,FALSE,"Charts"}</definedName>
    <definedName name="wrn.Upper._.Case." localSheetId="1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localSheetId="2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localSheetId="18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localSheetId="19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valderrama." localSheetId="1" hidden="1">{"valderrama1",#N/A,FALSE,"Pro Forma";"valderrama",#N/A,FALSE,"Pro Forma"}</definedName>
    <definedName name="wrn.valderrama." localSheetId="2" hidden="1">{"valderrama1",#N/A,FALSE,"Pro Forma";"valderrama",#N/A,FALSE,"Pro Forma"}</definedName>
    <definedName name="wrn.valderrama." localSheetId="18" hidden="1">{"valderrama1",#N/A,FALSE,"Pro Forma";"valderrama",#N/A,FALSE,"Pro Forma"}</definedName>
    <definedName name="wrn.valderrama." localSheetId="19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1" hidden="1">{#N/A,#N/A,FALSE,"Valuation";#N/A,#N/A,FALSE,"Valuation (5)";#N/A,#N/A,FALSE,"Valuation (2)";#N/A,#N/A,FALSE,"Valuation (3)"}</definedName>
    <definedName name="wrn.valuation." localSheetId="2" hidden="1">{#N/A,#N/A,FALSE,"Valuation";#N/A,#N/A,FALSE,"Valuation (5)";#N/A,#N/A,FALSE,"Valuation (2)";#N/A,#N/A,FALSE,"Valuation (3)"}</definedName>
    <definedName name="wrn.valuation." localSheetId="18" hidden="1">{#N/A,#N/A,FALSE,"Valuation";#N/A,#N/A,FALSE,"Valuation (5)";#N/A,#N/A,FALSE,"Valuation (2)";#N/A,#N/A,FALSE,"Valuation (3)"}</definedName>
    <definedName name="wrn.valuation." localSheetId="19" hidden="1">{#N/A,#N/A,FALSE,"Valuation";#N/A,#N/A,FALSE,"Valuation (5)";#N/A,#N/A,FALSE,"Valuation (2)";#N/A,#N/A,FALSE,"Valuation (3)"}</definedName>
    <definedName name="wrn.valuation." hidden="1">{#N/A,#N/A,FALSE,"Valuation";#N/A,#N/A,FALSE,"Valuation (5)";#N/A,#N/A,FALSE,"Valuation (2)";#N/A,#N/A,FALSE,"Valuation (3)"}</definedName>
    <definedName name="wrn.Valuation._.Package._.1.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18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19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localSheetId="1" hidden="1">{#N/A,#N/A,FALSE,"Water";#N/A,#N/A,FALSE,"Ballygowan";#N/A,#N/A,FALSE,"Volvic"}</definedName>
    <definedName name="wrn.Water." localSheetId="2" hidden="1">{#N/A,#N/A,FALSE,"Water";#N/A,#N/A,FALSE,"Ballygowan";#N/A,#N/A,FALSE,"Volvic"}</definedName>
    <definedName name="wrn.Water." localSheetId="18" hidden="1">{#N/A,#N/A,FALSE,"Water";#N/A,#N/A,FALSE,"Ballygowan";#N/A,#N/A,FALSE,"Volvic"}</definedName>
    <definedName name="wrn.Water." localSheetId="19" hidden="1">{#N/A,#N/A,FALSE,"Water";#N/A,#N/A,FALSE,"Ballygowan";#N/A,#N/A,FALSE,"Volvic"}</definedName>
    <definedName name="wrn.Water." hidden="1">{#N/A,#N/A,FALSE,"Water";#N/A,#N/A,FALSE,"Ballygowan";#N/A,#N/A,FALSE,"Volvic"}</definedName>
    <definedName name="wrn.whole._.document.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18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19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18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19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localSheetId="1" hidden="1">{#N/A,#N/A,FALSE,"W&amp;Spirits";#N/A,#N/A,FALSE,"Grants";#N/A,#N/A,FALSE,"CCB"}</definedName>
    <definedName name="wrn.WineSpirits." localSheetId="2" hidden="1">{#N/A,#N/A,FALSE,"W&amp;Spirits";#N/A,#N/A,FALSE,"Grants";#N/A,#N/A,FALSE,"CCB"}</definedName>
    <definedName name="wrn.WineSpirits." localSheetId="18" hidden="1">{#N/A,#N/A,FALSE,"W&amp;Spirits";#N/A,#N/A,FALSE,"Grants";#N/A,#N/A,FALSE,"CCB"}</definedName>
    <definedName name="wrn.WineSpirits." localSheetId="19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18" hidden="1">{#N/A,#N/A,FALSE,"F_Plan";#N/A,#N/A,FALSE,"Parameter"}</definedName>
    <definedName name="wrn2.Bplan." localSheetId="19" hidden="1">{#N/A,#N/A,FALSE,"F_Plan";#N/A,#N/A,FALSE,"Parameter"}</definedName>
    <definedName name="wrn2.Bplan." hidden="1">{#N/A,#N/A,FALSE,"F_Plan";#N/A,#N/A,FALSE,"Parameter"}</definedName>
    <definedName name="WW" localSheetId="1" hidden="1">{"page1",#N/A,TRUE,"CSC";"page2",#N/A,TRUE,"CSC"}</definedName>
    <definedName name="WW" localSheetId="2" hidden="1">{"page1",#N/A,TRUE,"CSC";"page2",#N/A,TRUE,"CSC"}</definedName>
    <definedName name="WW" localSheetId="18" hidden="1">{"page1",#N/A,TRUE,"CSC";"page2",#N/A,TRUE,"CSC"}</definedName>
    <definedName name="WW" localSheetId="19" hidden="1">{"page1",#N/A,TRUE,"CSC";"page2",#N/A,TRUE,"CSC"}</definedName>
    <definedName name="WW" hidden="1">{"page1",#N/A,TRUE,"CSC";"page2",#N/A,TRUE,"CSC"}</definedName>
    <definedName name="x" localSheetId="1" hidden="1">{#N/A,#N/A,FALSE,"Report Print"}</definedName>
    <definedName name="x" localSheetId="2" hidden="1">{#N/A,#N/A,FALSE,"Report Print"}</definedName>
    <definedName name="x" localSheetId="18" hidden="1">{#N/A,#N/A,FALSE,"Report Print"}</definedName>
    <definedName name="x" localSheetId="19" hidden="1">{#N/A,#N/A,FALSE,"Report Print"}</definedName>
    <definedName name="x" hidden="1">{#N/A,#N/A,FALSE,"Report Print"}</definedName>
    <definedName name="xw" localSheetId="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localSheetId="2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localSheetId="18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localSheetId="19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x" localSheetId="1" hidden="1">{"Geographic P1",#N/A,FALSE,"Division &amp; Geog"}</definedName>
    <definedName name="xxx" localSheetId="2" hidden="1">{"Geographic P1",#N/A,FALSE,"Division &amp; Geog"}</definedName>
    <definedName name="xxx" localSheetId="18" hidden="1">{"Geographic P1",#N/A,FALSE,"Division &amp; Geog"}</definedName>
    <definedName name="xxx" localSheetId="19" hidden="1">{"Geographic P1",#N/A,FALSE,"Division &amp; Geog"}</definedName>
    <definedName name="xxx" hidden="1">{"Geographic P1",#N/A,FALSE,"Division &amp; Geog"}</definedName>
    <definedName name="xxxxxxxxxxxxxxxxxxxxxx" localSheetId="1" hidden="1">{"Geographic P1",#N/A,FALSE,"Division &amp; Geog"}</definedName>
    <definedName name="xxxxxxxxxxxxxxxxxxxxxx" localSheetId="2" hidden="1">{"Geographic P1",#N/A,FALSE,"Division &amp; Geog"}</definedName>
    <definedName name="xxxxxxxxxxxxxxxxxxxxxx" localSheetId="18" hidden="1">{"Geographic P1",#N/A,FALSE,"Division &amp; Geog"}</definedName>
    <definedName name="xxxxxxxxxxxxxxxxxxxxxx" localSheetId="19" hidden="1">{"Geographic P1",#N/A,FALSE,"Division &amp; Geog"}</definedName>
    <definedName name="xxxxxxxxxxxxxxxxxxxxxx" hidden="1">{"Geographic P1",#N/A,FALSE,"Division &amp; Geog"}</definedName>
    <definedName name="xxxxxxxxxxxxxxxxxxxxxxx" localSheetId="1" hidden="1">{"EUUTI","COMPANIES",TRUE}</definedName>
    <definedName name="xxxxxxxxxxxxxxxxxxxxxxx" localSheetId="2" hidden="1">{"EUUTI","COMPANIES",TRUE}</definedName>
    <definedName name="xxxxxxxxxxxxxxxxxxxxxxx" localSheetId="18" hidden="1">{"EUUTI","COMPANIES",TRUE}</definedName>
    <definedName name="xxxxxxxxxxxxxxxxxxxxxxx" localSheetId="19" hidden="1">{"EUUTI","COMPANIES",TRUE}</definedName>
    <definedName name="xxxxxxxxxxxxxxxxxxxxxxx" hidden="1">{"EUUTI","COMPANIES",TRUE}</definedName>
    <definedName name="YearHeader">#REF!</definedName>
    <definedName name="YearHigh">#REF!</definedName>
    <definedName name="YearLow">#REF!</definedName>
    <definedName name="Years">#REF!</definedName>
    <definedName name="YearVolumeAvg">#REF!</definedName>
    <definedName name="Yend">#REF!</definedName>
    <definedName name="YesNo" localSheetId="2">#REF!</definedName>
    <definedName name="YesNo">#REF!</definedName>
    <definedName name="Yield_Today">#REF!</definedName>
    <definedName name="Yield_Ye">#REF!</definedName>
    <definedName name="Z_05EF9B63_E8DE_42A0_9468_46CFB1A90E6C_.wvu.Cols" localSheetId="17" hidden="1">'GSe vs Consensus'!#REF!,'GSe vs Consensus'!$B:$B,'GSe vs Consensus'!#REF!,'GSe vs Consensus'!#REF!,'GSe vs Consensus'!#REF!,'GSe vs Consensus'!#REF!</definedName>
    <definedName name="Z_05EF9B63_E8DE_42A0_9468_46CFB1A90E6C_.wvu.Cols" localSheetId="19" hidden="1">'Results table'!#REF!,'Results table'!#REF!,'Results table'!#REF!,'Results table'!#REF!,'Results table'!#REF!,'Results table'!#REF!</definedName>
    <definedName name="Z_05EF9B63_E8DE_42A0_9468_46CFB1A90E6C_.wvu.PrintArea" localSheetId="17" hidden="1">'GSe vs Consensus'!$A$3:$D$7</definedName>
    <definedName name="Z_05EF9B63_E8DE_42A0_9468_46CFB1A90E6C_.wvu.PrintArea" localSheetId="19" hidden="1">'Results table'!#REF!</definedName>
    <definedName name="Z_05EF9B63_E8DE_42A0_9468_46CFB1A90E6C_.wvu.Rows" localSheetId="17" hidden="1">'GSe vs Consensus'!#REF!,'GSe vs Consensus'!#REF!,'GSe vs Consensus'!#REF!,'GSe vs Consensus'!#REF!,'GSe vs Consensus'!#REF!,'GSe vs Consensus'!#REF!,'GSe vs Consensus'!#REF!,'GSe vs Consensus'!#REF!</definedName>
    <definedName name="Z_05EF9B63_E8DE_42A0_9468_46CFB1A90E6C_.wvu.Rows" localSheetId="19" hidden="1">'Results table'!#REF!,'Results table'!#REF!,'Results table'!#REF!,'Results table'!#REF!,'Results table'!#REF!,'Results table'!#REF!,'Results table'!#REF!,'Results table'!#REF!</definedName>
    <definedName name="zzzz" localSheetId="1" hidden="1">{"EUUTI","COMPANIES",TRUE}</definedName>
    <definedName name="zzzz" localSheetId="2" hidden="1">{"EUUTI","COMPANIES",TRUE}</definedName>
    <definedName name="zzzz" localSheetId="18" hidden="1">{"EUUTI","COMPANIES",TRUE}</definedName>
    <definedName name="zzzz" localSheetId="19" hidden="1">{"EUUTI","COMPANIES",TRUE}</definedName>
    <definedName name="zzzz" hidden="1">{"EUUTI","COMPANIES",TRUE}</definedName>
    <definedName name="zzzzz" localSheetId="1" hidden="1">{"EUUTI","COMPANIES",TRUE}</definedName>
    <definedName name="zzzzz" localSheetId="2" hidden="1">{"EUUTI","COMPANIES",TRUE}</definedName>
    <definedName name="zzzzz" localSheetId="18" hidden="1">{"EUUTI","COMPANIES",TRUE}</definedName>
    <definedName name="zzzzz" localSheetId="19" hidden="1">{"EUUTI","COMPANIES",TRUE}</definedName>
    <definedName name="zzzzz" hidden="1">{"EUUTI","COMPANIES",TRUE}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126" l="1"/>
  <c r="AG14" i="126"/>
  <c r="D23" i="133"/>
  <c r="DG19" i="131" l="1"/>
  <c r="AA31" i="125"/>
  <c r="AB72" i="126"/>
  <c r="Z72" i="126"/>
  <c r="Z75" i="126" s="1"/>
  <c r="AA42" i="123"/>
  <c r="AA43" i="123"/>
  <c r="AA44" i="123"/>
  <c r="AA74" i="126" l="1"/>
  <c r="AB76" i="126"/>
  <c r="AC76" i="126" s="1"/>
  <c r="AD76" i="126" s="1"/>
  <c r="AA75" i="126" l="1"/>
  <c r="AA24" i="126" s="1"/>
  <c r="AA73" i="126"/>
  <c r="AB75" i="126"/>
  <c r="AB24" i="126" s="1"/>
  <c r="AE76" i="126"/>
  <c r="BO42" i="115"/>
  <c r="BO32" i="115"/>
  <c r="BO28" i="115"/>
  <c r="AC72" i="126" l="1"/>
  <c r="AD72" i="126" s="1"/>
  <c r="AE72" i="126" s="1"/>
  <c r="AF72" i="126" s="1"/>
  <c r="AB73" i="126"/>
  <c r="AB74" i="126"/>
  <c r="AF76" i="126"/>
  <c r="AK10" i="134"/>
  <c r="AL10" i="134"/>
  <c r="AC73" i="126" l="1"/>
  <c r="AC75" i="126"/>
  <c r="AC24" i="126" s="1"/>
  <c r="AC74" i="126"/>
  <c r="AD73" i="126"/>
  <c r="AD74" i="126"/>
  <c r="AD75" i="126"/>
  <c r="AD24" i="126" l="1"/>
  <c r="G21" i="134"/>
  <c r="AK21" i="134"/>
  <c r="AL14" i="134"/>
  <c r="AE73" i="126"/>
  <c r="AE74" i="126"/>
  <c r="AE75" i="126"/>
  <c r="AE24" i="126" s="1"/>
  <c r="AL13" i="134"/>
  <c r="AL18" i="134"/>
  <c r="K18" i="134"/>
  <c r="O9" i="134"/>
  <c r="K10" i="134"/>
  <c r="O14" i="134"/>
  <c r="O21" i="134"/>
  <c r="O25" i="134"/>
  <c r="AL9" i="134"/>
  <c r="O23" i="134"/>
  <c r="AL7" i="134"/>
  <c r="AL21" i="134"/>
  <c r="AK9" i="134"/>
  <c r="O10" i="134"/>
  <c r="O13" i="134"/>
  <c r="G9" i="134"/>
  <c r="G23" i="134"/>
  <c r="O8" i="134"/>
  <c r="K9" i="134"/>
  <c r="G10" i="134"/>
  <c r="K15" i="134"/>
  <c r="O16" i="134"/>
  <c r="M19" i="134"/>
  <c r="AK7" i="134"/>
  <c r="J19" i="134"/>
  <c r="G8" i="134"/>
  <c r="K21" i="134"/>
  <c r="K23" i="134"/>
  <c r="K7" i="134"/>
  <c r="AK8" i="134"/>
  <c r="AL15" i="134"/>
  <c r="K8" i="134"/>
  <c r="G7" i="134"/>
  <c r="N19" i="134"/>
  <c r="K13" i="134"/>
  <c r="K14" i="134"/>
  <c r="O18" i="134"/>
  <c r="AL8" i="134"/>
  <c r="K16" i="134"/>
  <c r="I19" i="134"/>
  <c r="T19" i="134"/>
  <c r="AC19" i="134"/>
  <c r="AL16" i="134"/>
  <c r="O7" i="134"/>
  <c r="AF75" i="126" l="1"/>
  <c r="AF24" i="126" s="1"/>
  <c r="AF73" i="126"/>
  <c r="AF74" i="126"/>
  <c r="K19" i="134"/>
  <c r="O19" i="134"/>
  <c r="AL19" i="134"/>
  <c r="AF238" i="125" l="1"/>
  <c r="AC110" i="122"/>
  <c r="AD110" i="122" s="1"/>
  <c r="AE110" i="122" s="1"/>
  <c r="AF110" i="122" s="1"/>
  <c r="AE21" i="123"/>
  <c r="AF21" i="123" s="1"/>
  <c r="CI87" i="131" l="1"/>
  <c r="CG87" i="131"/>
  <c r="CE87" i="131"/>
  <c r="CD87" i="131"/>
  <c r="CQ87" i="131"/>
  <c r="CO87" i="131"/>
  <c r="CM87" i="131"/>
  <c r="CL87" i="131"/>
  <c r="CY87" i="131"/>
  <c r="CW87" i="131"/>
  <c r="CU87" i="131"/>
  <c r="CT87" i="131"/>
  <c r="DG87" i="131"/>
  <c r="DE87" i="131"/>
  <c r="DC87" i="131"/>
  <c r="DB87" i="131"/>
  <c r="DM87" i="131"/>
  <c r="DJ87" i="131"/>
  <c r="DN86" i="131"/>
  <c r="AB81" i="125"/>
  <c r="DK86" i="131"/>
  <c r="DK87" i="131" s="1"/>
  <c r="DH86" i="131"/>
  <c r="DD86" i="131"/>
  <c r="CZ86" i="131"/>
  <c r="CV86" i="131"/>
  <c r="CX86" i="131" s="1"/>
  <c r="CR86" i="131"/>
  <c r="CN86" i="131"/>
  <c r="CJ86" i="131"/>
  <c r="CJ87" i="131" s="1"/>
  <c r="CF86" i="131"/>
  <c r="CF87" i="131" s="1"/>
  <c r="CZ87" i="131" l="1"/>
  <c r="DI86" i="131"/>
  <c r="CR87" i="131"/>
  <c r="DH87" i="131"/>
  <c r="CN87" i="131"/>
  <c r="CV87" i="131"/>
  <c r="DL87" i="131"/>
  <c r="DD87" i="131"/>
  <c r="DF86" i="131"/>
  <c r="DF87" i="131" s="1"/>
  <c r="DA86" i="131"/>
  <c r="CS86" i="131"/>
  <c r="CP86" i="131"/>
  <c r="CK86" i="131"/>
  <c r="CK87" i="131" s="1"/>
  <c r="CH86" i="131"/>
  <c r="CH87" i="131" s="1"/>
  <c r="DA87" i="131" l="1"/>
  <c r="CP87" i="131"/>
  <c r="CX87" i="131"/>
  <c r="CS87" i="131"/>
  <c r="DI87" i="131"/>
  <c r="DN87" i="131"/>
  <c r="BF109" i="119"/>
  <c r="AU108" i="119"/>
  <c r="BF107" i="119"/>
  <c r="N23" i="119"/>
  <c r="AQ114" i="119" l="1"/>
  <c r="AQ116" i="119"/>
  <c r="L23" i="119" l="1"/>
  <c r="K16" i="119"/>
  <c r="K15" i="119"/>
  <c r="K14" i="119"/>
  <c r="L16" i="119"/>
  <c r="L15" i="119"/>
  <c r="L14" i="119"/>
  <c r="I16" i="119"/>
  <c r="I15" i="119"/>
  <c r="I14" i="119"/>
  <c r="O35" i="116"/>
  <c r="P35" i="116" s="1"/>
  <c r="Q35" i="116" s="1"/>
  <c r="R35" i="116" s="1"/>
  <c r="S35" i="116" s="1"/>
  <c r="T35" i="116" s="1"/>
  <c r="W14" i="119" l="1"/>
  <c r="Z14" i="119" s="1"/>
  <c r="W16" i="119"/>
  <c r="W15" i="119"/>
  <c r="E14" i="133"/>
  <c r="F14" i="133" s="1"/>
  <c r="G14" i="133" s="1"/>
  <c r="H14" i="133" s="1"/>
  <c r="I14" i="133" s="1"/>
  <c r="J14" i="133" s="1"/>
  <c r="K14" i="133" s="1"/>
  <c r="L14" i="133" s="1"/>
  <c r="L12" i="133"/>
  <c r="X137" i="123"/>
  <c r="Y137" i="123" s="1"/>
  <c r="Z137" i="123" s="1"/>
  <c r="AA137" i="123" s="1"/>
  <c r="AB137" i="123" s="1"/>
  <c r="AC137" i="123" s="1"/>
  <c r="AD137" i="123" s="1"/>
  <c r="AE137" i="123" s="1"/>
  <c r="AF137" i="123" s="1"/>
  <c r="W140" i="123" l="1"/>
  <c r="X140" i="123"/>
  <c r="Y140" i="123"/>
  <c r="Z140" i="123"/>
  <c r="AA139" i="123"/>
  <c r="AB139" i="123" s="1"/>
  <c r="AC139" i="123" s="1"/>
  <c r="AD139" i="123" s="1"/>
  <c r="AE139" i="123" s="1"/>
  <c r="AF139" i="123" s="1"/>
  <c r="AA138" i="123"/>
  <c r="AB138" i="123" s="1"/>
  <c r="W66" i="124"/>
  <c r="X66" i="124"/>
  <c r="Z66" i="124"/>
  <c r="Z65" i="124"/>
  <c r="N28" i="116" l="1"/>
  <c r="M28" i="116"/>
  <c r="L28" i="116"/>
  <c r="K28" i="116"/>
  <c r="J28" i="116" s="1"/>
  <c r="AC138" i="123"/>
  <c r="AD138" i="123" s="1"/>
  <c r="AB140" i="123"/>
  <c r="AA140" i="123"/>
  <c r="AC237" i="125"/>
  <c r="AD237" i="125" s="1"/>
  <c r="AF237" i="125" s="1"/>
  <c r="AC140" i="123" l="1"/>
  <c r="O28" i="116"/>
  <c r="P28" i="116"/>
  <c r="AE138" i="123"/>
  <c r="AD140" i="123"/>
  <c r="AD135" i="125"/>
  <c r="AE135" i="125" s="1"/>
  <c r="AF135" i="125" s="1"/>
  <c r="R28" i="116" l="1"/>
  <c r="Q28" i="116"/>
  <c r="AF138" i="123"/>
  <c r="AF140" i="123" s="1"/>
  <c r="AE140" i="123"/>
  <c r="T28" i="116" l="1"/>
  <c r="S28" i="116"/>
  <c r="AA130" i="125" l="1"/>
  <c r="CQ37" i="115" a="1"/>
  <c r="CQ37" i="115" l="1"/>
  <c r="M44" i="81" l="1"/>
  <c r="M45" i="81"/>
  <c r="M49" i="81"/>
  <c r="L49" i="81"/>
  <c r="L45" i="81"/>
  <c r="L44" i="81"/>
  <c r="K45" i="81"/>
  <c r="K44" i="81"/>
  <c r="T103" i="123" l="1"/>
  <c r="S103" i="123"/>
  <c r="V103" i="123"/>
  <c r="U103" i="123"/>
  <c r="DT46" i="131" l="1"/>
  <c r="DG29" i="131"/>
  <c r="DC29" i="131"/>
  <c r="CY29" i="131"/>
  <c r="CU29" i="131"/>
  <c r="DT73" i="131"/>
  <c r="DL73" i="131"/>
  <c r="DL71" i="131"/>
  <c r="DL70" i="131"/>
  <c r="DL66" i="131"/>
  <c r="DH73" i="131"/>
  <c r="DD73" i="131"/>
  <c r="DH71" i="131"/>
  <c r="DD71" i="131"/>
  <c r="DH70" i="131"/>
  <c r="DD70" i="131"/>
  <c r="DH66" i="131"/>
  <c r="DD66" i="131"/>
  <c r="CZ73" i="131"/>
  <c r="CV73" i="131"/>
  <c r="CZ71" i="131"/>
  <c r="CV71" i="131"/>
  <c r="CZ70" i="131"/>
  <c r="CV70" i="131"/>
  <c r="CZ66" i="131"/>
  <c r="CV66" i="131"/>
  <c r="CR73" i="131"/>
  <c r="CR71" i="131"/>
  <c r="CR70" i="131"/>
  <c r="CR66" i="131"/>
  <c r="CN73" i="131"/>
  <c r="CN71" i="131"/>
  <c r="CN70" i="131"/>
  <c r="CN66" i="131"/>
  <c r="DK16" i="131"/>
  <c r="H98" i="122"/>
  <c r="I98" i="122"/>
  <c r="J98" i="122"/>
  <c r="K98" i="122"/>
  <c r="L98" i="122"/>
  <c r="M98" i="122"/>
  <c r="N98" i="122"/>
  <c r="O98" i="122"/>
  <c r="P98" i="122"/>
  <c r="Q98" i="122"/>
  <c r="DK29" i="131" l="1"/>
  <c r="L17" i="119"/>
  <c r="E28" i="118"/>
  <c r="D28" i="118"/>
  <c r="C28" i="118"/>
  <c r="H26" i="118"/>
  <c r="G26" i="118"/>
  <c r="F26" i="118"/>
  <c r="K25" i="118"/>
  <c r="J25" i="118"/>
  <c r="I25" i="118"/>
  <c r="H25" i="118"/>
  <c r="G25" i="118"/>
  <c r="F25" i="118"/>
  <c r="L25" i="118"/>
  <c r="R134" i="118"/>
  <c r="R130" i="118"/>
  <c r="R110" i="118"/>
  <c r="R108" i="118"/>
  <c r="R80" i="118"/>
  <c r="R79" i="118"/>
  <c r="R74" i="118"/>
  <c r="R72" i="118"/>
  <c r="R71" i="118"/>
  <c r="R70" i="118"/>
  <c r="R69" i="118"/>
  <c r="R68" i="118"/>
  <c r="R67" i="118"/>
  <c r="R63" i="118"/>
  <c r="R54" i="118"/>
  <c r="R50" i="118"/>
  <c r="R48" i="118"/>
  <c r="R47" i="118"/>
  <c r="R45" i="118"/>
  <c r="R38" i="118"/>
  <c r="R18" i="118"/>
  <c r="R16" i="118"/>
  <c r="Q16" i="118"/>
  <c r="P16" i="118"/>
  <c r="O16" i="118"/>
  <c r="N16" i="118"/>
  <c r="M16" i="118"/>
  <c r="K16" i="118"/>
  <c r="J16" i="118"/>
  <c r="I16" i="118"/>
  <c r="H16" i="118"/>
  <c r="G16" i="118"/>
  <c r="F16" i="118"/>
  <c r="L16" i="118"/>
  <c r="K4" i="118"/>
  <c r="J4" i="118"/>
  <c r="I4" i="118"/>
  <c r="H4" i="118"/>
  <c r="G4" i="118"/>
  <c r="F4" i="118"/>
  <c r="L4" i="118"/>
  <c r="AA2" i="124"/>
  <c r="Z61" i="124"/>
  <c r="AA61" i="124" s="1"/>
  <c r="AB61" i="124" s="1"/>
  <c r="AC61" i="124" s="1"/>
  <c r="AD61" i="124" s="1"/>
  <c r="AE61" i="124" s="1"/>
  <c r="AF61" i="124" s="1"/>
  <c r="Y61" i="124"/>
  <c r="X61" i="124"/>
  <c r="W61" i="124"/>
  <c r="V61" i="124"/>
  <c r="U61" i="124"/>
  <c r="T61" i="124"/>
  <c r="S61" i="124"/>
  <c r="R61" i="124"/>
  <c r="Q61" i="124"/>
  <c r="P61" i="124"/>
  <c r="O61" i="124"/>
  <c r="N61" i="124"/>
  <c r="M61" i="124"/>
  <c r="L61" i="124"/>
  <c r="K61" i="124"/>
  <c r="J61" i="124"/>
  <c r="I61" i="124"/>
  <c r="H61" i="124"/>
  <c r="G61" i="124"/>
  <c r="F61" i="124"/>
  <c r="E61" i="124"/>
  <c r="D61" i="124"/>
  <c r="C61" i="124"/>
  <c r="B61" i="124"/>
  <c r="Z126" i="123"/>
  <c r="AA126" i="123" s="1"/>
  <c r="AB126" i="123" s="1"/>
  <c r="AC126" i="123" s="1"/>
  <c r="AD126" i="123" s="1"/>
  <c r="AE126" i="123" s="1"/>
  <c r="AF126" i="123" s="1"/>
  <c r="Y126" i="123"/>
  <c r="X126" i="123"/>
  <c r="W126" i="123"/>
  <c r="V126" i="123"/>
  <c r="U126" i="123"/>
  <c r="T126" i="123"/>
  <c r="S126" i="123"/>
  <c r="R126" i="123"/>
  <c r="Q126" i="123"/>
  <c r="P126" i="123"/>
  <c r="O126" i="123"/>
  <c r="N126" i="123"/>
  <c r="M126" i="123"/>
  <c r="L126" i="123"/>
  <c r="K126" i="123"/>
  <c r="J126" i="123"/>
  <c r="I126" i="123"/>
  <c r="H126" i="123"/>
  <c r="G126" i="123"/>
  <c r="F126" i="123"/>
  <c r="E126" i="123"/>
  <c r="D126" i="123"/>
  <c r="C126" i="123"/>
  <c r="B126" i="123"/>
  <c r="Z113" i="123"/>
  <c r="AA113" i="123" s="1"/>
  <c r="AB113" i="123" s="1"/>
  <c r="AC113" i="123" s="1"/>
  <c r="AD113" i="123" s="1"/>
  <c r="AE113" i="123" s="1"/>
  <c r="AF113" i="123" s="1"/>
  <c r="Y113" i="123"/>
  <c r="X113" i="123"/>
  <c r="W113" i="123"/>
  <c r="V113" i="123"/>
  <c r="U113" i="123"/>
  <c r="T113" i="123"/>
  <c r="S113" i="123"/>
  <c r="R113" i="123"/>
  <c r="Q113" i="123"/>
  <c r="P113" i="123"/>
  <c r="O113" i="123"/>
  <c r="N113" i="123"/>
  <c r="M113" i="123"/>
  <c r="L113" i="123"/>
  <c r="K113" i="123"/>
  <c r="J113" i="123"/>
  <c r="I113" i="123"/>
  <c r="H113" i="123"/>
  <c r="G113" i="123"/>
  <c r="F113" i="123"/>
  <c r="E113" i="123"/>
  <c r="D113" i="123"/>
  <c r="C113" i="123"/>
  <c r="B113" i="123"/>
  <c r="Z101" i="123"/>
  <c r="AA101" i="123" s="1"/>
  <c r="AB101" i="123" s="1"/>
  <c r="AC101" i="123" s="1"/>
  <c r="AD101" i="123" s="1"/>
  <c r="AE101" i="123" s="1"/>
  <c r="AF101" i="123" s="1"/>
  <c r="Y101" i="123"/>
  <c r="X101" i="123"/>
  <c r="W101" i="123"/>
  <c r="V101" i="123"/>
  <c r="U101" i="123"/>
  <c r="T101" i="123"/>
  <c r="S101" i="123"/>
  <c r="R101" i="123"/>
  <c r="Q101" i="123"/>
  <c r="P101" i="123"/>
  <c r="O101" i="123"/>
  <c r="N101" i="123"/>
  <c r="M101" i="123"/>
  <c r="L101" i="123"/>
  <c r="K101" i="123"/>
  <c r="J101" i="123"/>
  <c r="I101" i="123"/>
  <c r="H101" i="123"/>
  <c r="G101" i="123"/>
  <c r="F101" i="123"/>
  <c r="E101" i="123"/>
  <c r="D101" i="123"/>
  <c r="C101" i="123"/>
  <c r="B101" i="123"/>
  <c r="H88" i="123"/>
  <c r="G88" i="123"/>
  <c r="F88" i="123"/>
  <c r="E88" i="123"/>
  <c r="D88" i="123"/>
  <c r="C88" i="123"/>
  <c r="B88" i="123"/>
  <c r="Z88" i="123"/>
  <c r="Y88" i="123"/>
  <c r="X88" i="123"/>
  <c r="W88" i="123"/>
  <c r="V88" i="123"/>
  <c r="U88" i="123"/>
  <c r="T88" i="123"/>
  <c r="S88" i="123"/>
  <c r="R88" i="123"/>
  <c r="Q88" i="123"/>
  <c r="P88" i="123"/>
  <c r="O88" i="123"/>
  <c r="N88" i="123"/>
  <c r="M88" i="123"/>
  <c r="L88" i="123"/>
  <c r="K88" i="123"/>
  <c r="J88" i="123"/>
  <c r="I88" i="123"/>
  <c r="Q92" i="123"/>
  <c r="P92" i="123"/>
  <c r="O92" i="123"/>
  <c r="N92" i="123"/>
  <c r="M92" i="123"/>
  <c r="L92" i="123"/>
  <c r="K92" i="123"/>
  <c r="J92" i="123"/>
  <c r="I92" i="123"/>
  <c r="Q91" i="123"/>
  <c r="P91" i="123"/>
  <c r="O91" i="123"/>
  <c r="N91" i="123"/>
  <c r="M91" i="123"/>
  <c r="L91" i="123"/>
  <c r="K91" i="123"/>
  <c r="J91" i="123"/>
  <c r="Q90" i="123"/>
  <c r="P90" i="123"/>
  <c r="N90" i="123"/>
  <c r="M90" i="123"/>
  <c r="L90" i="123"/>
  <c r="K90" i="123"/>
  <c r="J90" i="123"/>
  <c r="I90" i="123"/>
  <c r="Q89" i="123"/>
  <c r="P89" i="123"/>
  <c r="O89" i="123"/>
  <c r="N89" i="123"/>
  <c r="M89" i="123"/>
  <c r="L89" i="123"/>
  <c r="K89" i="123"/>
  <c r="J89" i="123"/>
  <c r="I89" i="123"/>
  <c r="G49" i="129"/>
  <c r="H49" i="129" s="1"/>
  <c r="E49" i="129"/>
  <c r="D49" i="129" s="1"/>
  <c r="C44" i="129"/>
  <c r="C45" i="129" s="1"/>
  <c r="C42" i="129"/>
  <c r="C41" i="129" s="1"/>
  <c r="C53" i="129"/>
  <c r="C54" i="129" s="1"/>
  <c r="C51" i="129"/>
  <c r="C50" i="129" s="1"/>
  <c r="G40" i="129"/>
  <c r="H40" i="129" s="1"/>
  <c r="E40" i="129"/>
  <c r="D40" i="129" s="1"/>
  <c r="N127" i="123"/>
  <c r="N131" i="123" s="1"/>
  <c r="O127" i="123"/>
  <c r="O131" i="123" s="1"/>
  <c r="P127" i="123"/>
  <c r="P131" i="123" s="1"/>
  <c r="Q127" i="123"/>
  <c r="Q131" i="123" s="1"/>
  <c r="R127" i="123"/>
  <c r="R131" i="123" s="1"/>
  <c r="M128" i="123"/>
  <c r="S128" i="123"/>
  <c r="S127" i="123" s="1"/>
  <c r="S131" i="123" s="1"/>
  <c r="T128" i="123"/>
  <c r="T127" i="123" s="1"/>
  <c r="T131" i="123" s="1"/>
  <c r="U128" i="123"/>
  <c r="U127" i="123" s="1"/>
  <c r="U131" i="123" s="1"/>
  <c r="V128" i="123"/>
  <c r="V127" i="123" s="1"/>
  <c r="V131" i="123" s="1"/>
  <c r="W128" i="123"/>
  <c r="W127" i="123" s="1"/>
  <c r="W131" i="123" s="1"/>
  <c r="X128" i="123"/>
  <c r="X127" i="123" s="1"/>
  <c r="X131" i="123" s="1"/>
  <c r="Y128" i="123"/>
  <c r="Y127" i="123" s="1"/>
  <c r="Y131" i="123" s="1"/>
  <c r="Z128" i="123"/>
  <c r="Z127" i="123" s="1"/>
  <c r="Z131" i="123" s="1"/>
  <c r="H131" i="123"/>
  <c r="I131" i="123"/>
  <c r="J131" i="123"/>
  <c r="K131" i="123"/>
  <c r="L131" i="123"/>
  <c r="M131" i="123"/>
  <c r="H134" i="123"/>
  <c r="I134" i="123"/>
  <c r="J134" i="123"/>
  <c r="K134" i="123"/>
  <c r="L134" i="123"/>
  <c r="M134" i="123"/>
  <c r="N134" i="123"/>
  <c r="P134" i="123"/>
  <c r="Q134" i="123"/>
  <c r="R134" i="123"/>
  <c r="S134" i="123"/>
  <c r="T134" i="123"/>
  <c r="U134" i="123"/>
  <c r="V134" i="123"/>
  <c r="W134" i="123"/>
  <c r="X134" i="123"/>
  <c r="Y134" i="123"/>
  <c r="Z134" i="123"/>
  <c r="X122" i="123"/>
  <c r="Y122" i="123" s="1"/>
  <c r="Z122" i="123" s="1"/>
  <c r="AA122" i="123" s="1"/>
  <c r="AB122" i="123" s="1"/>
  <c r="AC122" i="123" s="1"/>
  <c r="AD122" i="123" s="1"/>
  <c r="AE122" i="123" s="1"/>
  <c r="AF122" i="123" s="1"/>
  <c r="X121" i="123"/>
  <c r="Y121" i="123" s="1"/>
  <c r="Z121" i="123" s="1"/>
  <c r="AA121" i="123" s="1"/>
  <c r="AB121" i="123" s="1"/>
  <c r="AC121" i="123" s="1"/>
  <c r="AD121" i="123" s="1"/>
  <c r="AE121" i="123" s="1"/>
  <c r="AF121" i="123" s="1"/>
  <c r="Z119" i="123"/>
  <c r="U119" i="123"/>
  <c r="Y115" i="123"/>
  <c r="Y119" i="123" s="1"/>
  <c r="X115" i="123"/>
  <c r="X119" i="123" s="1"/>
  <c r="W115" i="123"/>
  <c r="W119" i="123" s="1"/>
  <c r="V115" i="123"/>
  <c r="H180" i="122"/>
  <c r="N180" i="122"/>
  <c r="O180" i="122"/>
  <c r="P180" i="122"/>
  <c r="Q180" i="122"/>
  <c r="H181" i="122"/>
  <c r="I181" i="122"/>
  <c r="J181" i="122"/>
  <c r="K181" i="122"/>
  <c r="L181" i="122"/>
  <c r="M181" i="122"/>
  <c r="N181" i="122"/>
  <c r="O181" i="122"/>
  <c r="P181" i="122"/>
  <c r="Q181" i="122"/>
  <c r="R181" i="122"/>
  <c r="S181" i="122"/>
  <c r="T181" i="122"/>
  <c r="U181" i="122"/>
  <c r="V181" i="122"/>
  <c r="W181" i="122"/>
  <c r="X181" i="122"/>
  <c r="Y181" i="122"/>
  <c r="Z181" i="122"/>
  <c r="H182" i="122"/>
  <c r="I182" i="122"/>
  <c r="J182" i="122"/>
  <c r="K182" i="122"/>
  <c r="L182" i="122"/>
  <c r="M182" i="122"/>
  <c r="N182" i="122"/>
  <c r="O182" i="122"/>
  <c r="P182" i="122"/>
  <c r="Q182" i="122"/>
  <c r="R182" i="122"/>
  <c r="S182" i="122"/>
  <c r="T182" i="122"/>
  <c r="U182" i="122"/>
  <c r="V182" i="122"/>
  <c r="W182" i="122"/>
  <c r="X182" i="122"/>
  <c r="Y182" i="122"/>
  <c r="Z182" i="122"/>
  <c r="H183" i="122"/>
  <c r="H184" i="122" s="1"/>
  <c r="I183" i="122"/>
  <c r="I184" i="122" s="1"/>
  <c r="J183" i="122"/>
  <c r="J184" i="122" s="1"/>
  <c r="K183" i="122"/>
  <c r="K184" i="122" s="1"/>
  <c r="L183" i="122"/>
  <c r="L184" i="122" s="1"/>
  <c r="M183" i="122"/>
  <c r="M184" i="122" s="1"/>
  <c r="N183" i="122"/>
  <c r="O183" i="122"/>
  <c r="O184" i="122" s="1"/>
  <c r="P183" i="122"/>
  <c r="P184" i="122" s="1"/>
  <c r="Q183" i="122"/>
  <c r="Q184" i="122" s="1"/>
  <c r="R183" i="122"/>
  <c r="R184" i="122" s="1"/>
  <c r="S183" i="122"/>
  <c r="S184" i="122" s="1"/>
  <c r="T183" i="122"/>
  <c r="U183" i="122"/>
  <c r="V183" i="122"/>
  <c r="W183" i="122"/>
  <c r="X183" i="122"/>
  <c r="Y183" i="122"/>
  <c r="Z183" i="122"/>
  <c r="H167" i="122"/>
  <c r="H176" i="122" s="1"/>
  <c r="I167" i="122"/>
  <c r="I176" i="122" s="1"/>
  <c r="J167" i="122"/>
  <c r="J176" i="122" s="1"/>
  <c r="K167" i="122"/>
  <c r="K176" i="122" s="1"/>
  <c r="L167" i="122"/>
  <c r="L176" i="122" s="1"/>
  <c r="M167" i="122"/>
  <c r="M176" i="122" s="1"/>
  <c r="N167" i="122"/>
  <c r="N176" i="122" s="1"/>
  <c r="O167" i="122"/>
  <c r="O176" i="122" s="1"/>
  <c r="P167" i="122"/>
  <c r="P176" i="122" s="1"/>
  <c r="Q167" i="122"/>
  <c r="Q176" i="122" s="1"/>
  <c r="R167" i="122"/>
  <c r="R176" i="122" s="1"/>
  <c r="S167" i="122"/>
  <c r="S176" i="122" s="1"/>
  <c r="T167" i="122"/>
  <c r="T176" i="122" s="1"/>
  <c r="U167" i="122"/>
  <c r="U176" i="122" s="1"/>
  <c r="V167" i="122"/>
  <c r="V176" i="122" s="1"/>
  <c r="W167" i="122"/>
  <c r="W176" i="122" s="1"/>
  <c r="X167" i="122"/>
  <c r="X176" i="122" s="1"/>
  <c r="Y167" i="122"/>
  <c r="Y176" i="122" s="1"/>
  <c r="Z167" i="122"/>
  <c r="Z176" i="122" s="1"/>
  <c r="H169" i="122"/>
  <c r="H170" i="122" s="1"/>
  <c r="H178" i="122" s="1"/>
  <c r="I169" i="122"/>
  <c r="I170" i="122" s="1"/>
  <c r="I178" i="122" s="1"/>
  <c r="J169" i="122"/>
  <c r="J170" i="122" s="1"/>
  <c r="J178" i="122" s="1"/>
  <c r="K169" i="122"/>
  <c r="K170" i="122" s="1"/>
  <c r="K178" i="122" s="1"/>
  <c r="L169" i="122"/>
  <c r="M169" i="122"/>
  <c r="M177" i="122" s="1"/>
  <c r="N169" i="122"/>
  <c r="N177" i="122" s="1"/>
  <c r="O169" i="122"/>
  <c r="O177" i="122" s="1"/>
  <c r="P169" i="122"/>
  <c r="P177" i="122" s="1"/>
  <c r="Q169" i="122"/>
  <c r="Q177" i="122" s="1"/>
  <c r="R169" i="122"/>
  <c r="R177" i="122" s="1"/>
  <c r="S169" i="122"/>
  <c r="S177" i="122" s="1"/>
  <c r="T169" i="122"/>
  <c r="T177" i="122" s="1"/>
  <c r="U170" i="122"/>
  <c r="U178" i="122" s="1"/>
  <c r="V170" i="122"/>
  <c r="V178" i="122" s="1"/>
  <c r="W170" i="122"/>
  <c r="W178" i="122" s="1"/>
  <c r="X170" i="122"/>
  <c r="X178" i="122" s="1"/>
  <c r="Y170" i="122"/>
  <c r="Y178" i="122" s="1"/>
  <c r="Z170" i="122"/>
  <c r="Z178" i="122" s="1"/>
  <c r="AA178" i="122" s="1"/>
  <c r="H173" i="122"/>
  <c r="I173" i="122"/>
  <c r="J173" i="122"/>
  <c r="K173" i="122"/>
  <c r="L173" i="122"/>
  <c r="M173" i="122"/>
  <c r="N173" i="122"/>
  <c r="O173" i="122"/>
  <c r="P173" i="122"/>
  <c r="Q173" i="122"/>
  <c r="R173" i="122"/>
  <c r="S173" i="122"/>
  <c r="T173" i="122"/>
  <c r="U173" i="122"/>
  <c r="V173" i="122"/>
  <c r="W173" i="122"/>
  <c r="X173" i="122"/>
  <c r="Y173" i="122"/>
  <c r="Z173" i="122"/>
  <c r="H174" i="122"/>
  <c r="I174" i="122"/>
  <c r="J174" i="122"/>
  <c r="K174" i="122"/>
  <c r="L174" i="122"/>
  <c r="M174" i="122"/>
  <c r="N174" i="122"/>
  <c r="O174" i="122"/>
  <c r="P174" i="122"/>
  <c r="Q174" i="122"/>
  <c r="R174" i="122"/>
  <c r="S174" i="122"/>
  <c r="T174" i="122"/>
  <c r="U174" i="122"/>
  <c r="V174" i="122"/>
  <c r="W174" i="122"/>
  <c r="X174" i="122"/>
  <c r="Y174" i="122"/>
  <c r="Z174" i="122"/>
  <c r="AA174" i="122" s="1"/>
  <c r="H175" i="122"/>
  <c r="I175" i="122"/>
  <c r="J175" i="122"/>
  <c r="K175" i="122"/>
  <c r="L175" i="122"/>
  <c r="M175" i="122"/>
  <c r="N175" i="122"/>
  <c r="O175" i="122"/>
  <c r="P175" i="122"/>
  <c r="Q175" i="122"/>
  <c r="R175" i="122"/>
  <c r="S175" i="122"/>
  <c r="T175" i="122"/>
  <c r="U175" i="122"/>
  <c r="V175" i="122"/>
  <c r="W175" i="122"/>
  <c r="X175" i="122"/>
  <c r="Y175" i="122"/>
  <c r="Z175" i="122"/>
  <c r="U177" i="122"/>
  <c r="V177" i="122"/>
  <c r="W177" i="122"/>
  <c r="X177" i="122"/>
  <c r="Y177" i="122"/>
  <c r="Z177" i="122"/>
  <c r="M178" i="122"/>
  <c r="N178" i="122"/>
  <c r="O178" i="122"/>
  <c r="P178" i="122"/>
  <c r="Q178" i="122"/>
  <c r="R178" i="122"/>
  <c r="S178" i="122"/>
  <c r="T178" i="122"/>
  <c r="S179" i="122"/>
  <c r="T179" i="122"/>
  <c r="U179" i="122"/>
  <c r="V179" i="122"/>
  <c r="W179" i="122"/>
  <c r="X179" i="122"/>
  <c r="Y179" i="122"/>
  <c r="Z179" i="122"/>
  <c r="AA179" i="122" s="1"/>
  <c r="N5" i="81"/>
  <c r="N6" i="81"/>
  <c r="N7" i="81"/>
  <c r="N8" i="81"/>
  <c r="N9" i="81"/>
  <c r="N10" i="81"/>
  <c r="N11" i="81"/>
  <c r="N12" i="81"/>
  <c r="N16" i="81"/>
  <c r="N19" i="81"/>
  <c r="N23" i="81"/>
  <c r="N26" i="81"/>
  <c r="AF12" i="81"/>
  <c r="AF11" i="81"/>
  <c r="AF10" i="81"/>
  <c r="AF9" i="81"/>
  <c r="M27" i="81" s="1"/>
  <c r="N27" i="81" s="1"/>
  <c r="AF8" i="81"/>
  <c r="M15" i="81" s="1"/>
  <c r="K56" i="81"/>
  <c r="K55" i="81"/>
  <c r="AD12" i="81"/>
  <c r="AD11" i="81"/>
  <c r="AD10" i="81"/>
  <c r="AD9" i="81"/>
  <c r="AD8" i="81"/>
  <c r="AE12" i="81"/>
  <c r="AE11" i="81"/>
  <c r="AE10" i="81"/>
  <c r="L4" i="81" s="1"/>
  <c r="AE9" i="81"/>
  <c r="L18" i="81" s="1"/>
  <c r="AE8" i="81"/>
  <c r="L15" i="81" s="1"/>
  <c r="AB2" i="124" l="1"/>
  <c r="AC2" i="124" s="1"/>
  <c r="AD2" i="124" s="1"/>
  <c r="AE2" i="124" s="1"/>
  <c r="AF2" i="124" s="1"/>
  <c r="K3" i="81"/>
  <c r="K4" i="81"/>
  <c r="K15" i="81"/>
  <c r="M4" i="81"/>
  <c r="N4" i="81" s="1"/>
  <c r="M3" i="81"/>
  <c r="N3" i="81" s="1"/>
  <c r="K30" i="81"/>
  <c r="K22" i="81"/>
  <c r="K14" i="81"/>
  <c r="K27" i="81"/>
  <c r="K18" i="81"/>
  <c r="K25" i="81"/>
  <c r="K17" i="81"/>
  <c r="K29" i="81"/>
  <c r="K21" i="81"/>
  <c r="K13" i="81"/>
  <c r="K31" i="81"/>
  <c r="K24" i="81"/>
  <c r="K28" i="81"/>
  <c r="K20" i="81"/>
  <c r="K38" i="81"/>
  <c r="K39" i="81"/>
  <c r="K50" i="81"/>
  <c r="K40" i="81"/>
  <c r="K47" i="81"/>
  <c r="K43" i="81"/>
  <c r="K46" i="81"/>
  <c r="K41" i="81"/>
  <c r="K42" i="81"/>
  <c r="K48" i="81"/>
  <c r="K36" i="81"/>
  <c r="K33" i="81"/>
  <c r="K32" i="81"/>
  <c r="K35" i="81"/>
  <c r="K34" i="81"/>
  <c r="K37" i="81"/>
  <c r="J93" i="123"/>
  <c r="P93" i="123"/>
  <c r="K93" i="123"/>
  <c r="Q93" i="123"/>
  <c r="L93" i="123"/>
  <c r="M93" i="123"/>
  <c r="N93" i="123"/>
  <c r="L185" i="122"/>
  <c r="Y185" i="122"/>
  <c r="M17" i="81"/>
  <c r="X185" i="122"/>
  <c r="L56" i="81"/>
  <c r="M56" i="81" s="1"/>
  <c r="N56" i="81" s="1"/>
  <c r="K177" i="122"/>
  <c r="M39" i="81"/>
  <c r="N39" i="81" s="1"/>
  <c r="S185" i="122"/>
  <c r="K135" i="123"/>
  <c r="N49" i="81"/>
  <c r="I177" i="122"/>
  <c r="M22" i="81"/>
  <c r="N22" i="81" s="1"/>
  <c r="W185" i="122"/>
  <c r="Q186" i="122"/>
  <c r="K185" i="122"/>
  <c r="M185" i="122"/>
  <c r="M31" i="81"/>
  <c r="N31" i="81" s="1"/>
  <c r="J177" i="122"/>
  <c r="Z185" i="122"/>
  <c r="N185" i="122"/>
  <c r="H185" i="122"/>
  <c r="N186" i="122"/>
  <c r="P135" i="123"/>
  <c r="N15" i="81"/>
  <c r="H186" i="122"/>
  <c r="Q135" i="123"/>
  <c r="L27" i="81"/>
  <c r="N184" i="122"/>
  <c r="M135" i="123"/>
  <c r="L3" i="81"/>
  <c r="R185" i="122"/>
  <c r="L55" i="81"/>
  <c r="L25" i="81"/>
  <c r="L17" i="81"/>
  <c r="L31" i="81"/>
  <c r="L24" i="81"/>
  <c r="L29" i="81"/>
  <c r="L21" i="81"/>
  <c r="L13" i="81"/>
  <c r="L28" i="81"/>
  <c r="L20" i="81"/>
  <c r="AE13" i="81"/>
  <c r="L22" i="81"/>
  <c r="L50" i="81"/>
  <c r="M35" i="81"/>
  <c r="M37" i="81"/>
  <c r="M36" i="81"/>
  <c r="M33" i="81"/>
  <c r="M32" i="81"/>
  <c r="L39" i="81"/>
  <c r="L30" i="81"/>
  <c r="AD13" i="81"/>
  <c r="L32" i="81"/>
  <c r="L37" i="81"/>
  <c r="L35" i="81"/>
  <c r="L34" i="81"/>
  <c r="L14" i="81"/>
  <c r="L33" i="81"/>
  <c r="M34" i="81"/>
  <c r="L36" i="81"/>
  <c r="M29" i="81"/>
  <c r="M21" i="81"/>
  <c r="M13" i="81"/>
  <c r="M30" i="81"/>
  <c r="M20" i="81"/>
  <c r="M28" i="81"/>
  <c r="M18" i="81"/>
  <c r="AF13" i="81"/>
  <c r="M25" i="81"/>
  <c r="M24" i="81"/>
  <c r="M14" i="81"/>
  <c r="V119" i="123"/>
  <c r="L38" i="81"/>
  <c r="M50" i="81"/>
  <c r="N44" i="81"/>
  <c r="T185" i="122"/>
  <c r="U185" i="122"/>
  <c r="O185" i="122"/>
  <c r="I185" i="122"/>
  <c r="V185" i="122"/>
  <c r="P185" i="122"/>
  <c r="J185" i="122"/>
  <c r="L135" i="123"/>
  <c r="M38" i="81"/>
  <c r="N45" i="81"/>
  <c r="L177" i="122"/>
  <c r="L170" i="122"/>
  <c r="L178" i="122" s="1"/>
  <c r="H177" i="122"/>
  <c r="N135" i="123"/>
  <c r="H135" i="123"/>
  <c r="P186" i="122"/>
  <c r="Q185" i="122"/>
  <c r="O186" i="122"/>
  <c r="AB174" i="122"/>
  <c r="AB178" i="122"/>
  <c r="AB179" i="122"/>
  <c r="M40" i="81"/>
  <c r="M46" i="81"/>
  <c r="M41" i="81"/>
  <c r="M47" i="81"/>
  <c r="M42" i="81"/>
  <c r="M48" i="81"/>
  <c r="M43" i="81"/>
  <c r="L40" i="81"/>
  <c r="L46" i="81"/>
  <c r="L41" i="81"/>
  <c r="L47" i="81"/>
  <c r="L42" i="81"/>
  <c r="L48" i="81"/>
  <c r="L43" i="81"/>
  <c r="N94" i="123" l="1"/>
  <c r="K94" i="123"/>
  <c r="Q94" i="123"/>
  <c r="N17" i="81"/>
  <c r="M94" i="123"/>
  <c r="L94" i="123"/>
  <c r="N47" i="81"/>
  <c r="N29" i="81"/>
  <c r="N35" i="81"/>
  <c r="N41" i="81"/>
  <c r="N50" i="81"/>
  <c r="N28" i="81"/>
  <c r="L52" i="81"/>
  <c r="N32" i="81"/>
  <c r="N14" i="81"/>
  <c r="N20" i="81"/>
  <c r="K52" i="81"/>
  <c r="N43" i="81"/>
  <c r="N40" i="81"/>
  <c r="N24" i="81"/>
  <c r="N30" i="81"/>
  <c r="N33" i="81"/>
  <c r="L51" i="81"/>
  <c r="N46" i="81"/>
  <c r="N25" i="81"/>
  <c r="N34" i="81"/>
  <c r="N36" i="81"/>
  <c r="M55" i="81"/>
  <c r="M51" i="81"/>
  <c r="N18" i="81"/>
  <c r="M52" i="81"/>
  <c r="N48" i="81"/>
  <c r="N13" i="81"/>
  <c r="N42" i="81"/>
  <c r="N38" i="81"/>
  <c r="N21" i="81"/>
  <c r="N37" i="81"/>
  <c r="AC178" i="122"/>
  <c r="AC179" i="122"/>
  <c r="AC174" i="122"/>
  <c r="N52" i="81" l="1"/>
  <c r="N55" i="81"/>
  <c r="N51" i="81"/>
  <c r="AD174" i="122"/>
  <c r="AD179" i="122"/>
  <c r="AD178" i="122"/>
  <c r="AE178" i="122" l="1"/>
  <c r="AE179" i="122"/>
  <c r="AE174" i="122"/>
  <c r="Z64" i="122"/>
  <c r="L36" i="119"/>
  <c r="L34" i="119"/>
  <c r="L33" i="119"/>
  <c r="L32" i="119"/>
  <c r="Z73" i="122" l="1"/>
  <c r="L19" i="118" s="1"/>
  <c r="L15" i="118"/>
  <c r="AF174" i="122"/>
  <c r="AF179" i="122"/>
  <c r="AF178" i="122"/>
  <c r="AA79" i="125"/>
  <c r="R88" i="122" l="1"/>
  <c r="R19" i="122" l="1"/>
  <c r="AD47" i="124"/>
  <c r="AC47" i="124"/>
  <c r="AB47" i="124"/>
  <c r="AA47" i="124"/>
  <c r="AA116" i="122" s="1"/>
  <c r="AB116" i="122" l="1"/>
  <c r="AC116" i="122" l="1"/>
  <c r="R36" i="132"/>
  <c r="H42" i="132"/>
  <c r="I42" i="132" s="1"/>
  <c r="J42" i="132" s="1"/>
  <c r="K42" i="132" s="1"/>
  <c r="L42" i="132" s="1"/>
  <c r="F43" i="132"/>
  <c r="F44" i="132" s="1"/>
  <c r="F45" i="132" s="1"/>
  <c r="F46" i="132" s="1"/>
  <c r="F32" i="132"/>
  <c r="F33" i="132" s="1"/>
  <c r="F34" i="132" s="1"/>
  <c r="F35" i="132" s="1"/>
  <c r="F36" i="132" s="1"/>
  <c r="F37" i="132" s="1"/>
  <c r="H30" i="132"/>
  <c r="I30" i="132" s="1"/>
  <c r="J30" i="132" s="1"/>
  <c r="K30" i="132" s="1"/>
  <c r="L30" i="132" s="1"/>
  <c r="I16" i="132"/>
  <c r="I15" i="132"/>
  <c r="J15" i="132" s="1"/>
  <c r="I12" i="132"/>
  <c r="I11" i="132"/>
  <c r="H20" i="132"/>
  <c r="H19" i="132"/>
  <c r="I7" i="132"/>
  <c r="J7" i="132" s="1"/>
  <c r="K7" i="132" s="1"/>
  <c r="L7" i="132" s="1"/>
  <c r="M7" i="132" s="1"/>
  <c r="N7" i="132" s="1"/>
  <c r="O7" i="132" s="1"/>
  <c r="Z110" i="123"/>
  <c r="Y110" i="123"/>
  <c r="X110" i="123"/>
  <c r="W110" i="123"/>
  <c r="V110" i="123"/>
  <c r="U110" i="123"/>
  <c r="S110" i="123"/>
  <c r="R110" i="123"/>
  <c r="Q109" i="123"/>
  <c r="P109" i="123"/>
  <c r="N109" i="123"/>
  <c r="M109" i="123"/>
  <c r="L109" i="123"/>
  <c r="K109" i="123"/>
  <c r="H109" i="123"/>
  <c r="Q108" i="123"/>
  <c r="P108" i="123"/>
  <c r="N108" i="123"/>
  <c r="M108" i="123"/>
  <c r="L108" i="123"/>
  <c r="K108" i="123"/>
  <c r="H108" i="123"/>
  <c r="Z107" i="123"/>
  <c r="Y107" i="123"/>
  <c r="X107" i="123"/>
  <c r="W107" i="123"/>
  <c r="V107" i="123"/>
  <c r="U107" i="123"/>
  <c r="T107" i="123"/>
  <c r="S107" i="123"/>
  <c r="R107" i="123"/>
  <c r="Q107" i="123"/>
  <c r="P107" i="123"/>
  <c r="N107" i="123"/>
  <c r="M107" i="123"/>
  <c r="L107" i="123"/>
  <c r="K107" i="123"/>
  <c r="J107" i="123"/>
  <c r="I107" i="123"/>
  <c r="H107" i="123"/>
  <c r="P106" i="123"/>
  <c r="N106" i="123"/>
  <c r="M106" i="123"/>
  <c r="L106" i="123"/>
  <c r="K106" i="123"/>
  <c r="J106" i="123"/>
  <c r="I106" i="123"/>
  <c r="H106" i="123"/>
  <c r="AI57" i="124"/>
  <c r="F142" i="118"/>
  <c r="G142" i="118"/>
  <c r="H142" i="118"/>
  <c r="I142" i="118"/>
  <c r="J142" i="118"/>
  <c r="K142" i="118"/>
  <c r="L142" i="118"/>
  <c r="F94" i="118"/>
  <c r="G94" i="118"/>
  <c r="H94" i="118"/>
  <c r="I94" i="118"/>
  <c r="J94" i="118"/>
  <c r="K94" i="118"/>
  <c r="L94" i="118"/>
  <c r="F95" i="118"/>
  <c r="G95" i="118"/>
  <c r="H95" i="118"/>
  <c r="I95" i="118"/>
  <c r="J95" i="118"/>
  <c r="K95" i="118"/>
  <c r="L95" i="118"/>
  <c r="F96" i="118"/>
  <c r="G96" i="118"/>
  <c r="H96" i="118"/>
  <c r="I96" i="118"/>
  <c r="J96" i="118"/>
  <c r="K96" i="118"/>
  <c r="L96" i="118"/>
  <c r="F97" i="118"/>
  <c r="G97" i="118"/>
  <c r="H97" i="118"/>
  <c r="I97" i="118"/>
  <c r="J97" i="118"/>
  <c r="K97" i="118"/>
  <c r="L97" i="118"/>
  <c r="F98" i="118"/>
  <c r="G98" i="118"/>
  <c r="H98" i="118"/>
  <c r="I98" i="118"/>
  <c r="J98" i="118"/>
  <c r="K98" i="118"/>
  <c r="L98" i="118"/>
  <c r="F99" i="118"/>
  <c r="G99" i="118"/>
  <c r="H99" i="118"/>
  <c r="I99" i="118"/>
  <c r="J99" i="118"/>
  <c r="K99" i="118"/>
  <c r="L99" i="118"/>
  <c r="F100" i="118"/>
  <c r="G100" i="118"/>
  <c r="H100" i="118"/>
  <c r="I100" i="118"/>
  <c r="J100" i="118"/>
  <c r="K100" i="118"/>
  <c r="L100" i="118"/>
  <c r="F101" i="118"/>
  <c r="H101" i="118"/>
  <c r="I101" i="118"/>
  <c r="J101" i="118"/>
  <c r="K101" i="118"/>
  <c r="L101" i="118"/>
  <c r="F105" i="118"/>
  <c r="G105" i="118"/>
  <c r="H105" i="118"/>
  <c r="I105" i="118"/>
  <c r="J105" i="118"/>
  <c r="K105" i="118"/>
  <c r="L105" i="118"/>
  <c r="F106" i="118"/>
  <c r="G106" i="118"/>
  <c r="H106" i="118"/>
  <c r="I106" i="118"/>
  <c r="J106" i="118"/>
  <c r="K106" i="118"/>
  <c r="L106" i="118"/>
  <c r="F107" i="118"/>
  <c r="G107" i="118"/>
  <c r="H107" i="118"/>
  <c r="I107" i="118"/>
  <c r="J107" i="118"/>
  <c r="K107" i="118"/>
  <c r="L107" i="118"/>
  <c r="F108" i="118"/>
  <c r="G108" i="118"/>
  <c r="H108" i="118"/>
  <c r="M108" i="118"/>
  <c r="N108" i="118"/>
  <c r="O108" i="118"/>
  <c r="P108" i="118"/>
  <c r="Q108" i="118"/>
  <c r="F109" i="118"/>
  <c r="G109" i="118"/>
  <c r="H109" i="118"/>
  <c r="I109" i="118"/>
  <c r="J109" i="118"/>
  <c r="K109" i="118"/>
  <c r="L109" i="118"/>
  <c r="F110" i="118"/>
  <c r="G110" i="118"/>
  <c r="H110" i="118"/>
  <c r="M110" i="118"/>
  <c r="N110" i="118"/>
  <c r="O110" i="118"/>
  <c r="P110" i="118"/>
  <c r="Q110" i="118"/>
  <c r="F111" i="118"/>
  <c r="G111" i="118"/>
  <c r="H111" i="118"/>
  <c r="I111" i="118"/>
  <c r="J111" i="118"/>
  <c r="K111" i="118"/>
  <c r="L111" i="118"/>
  <c r="F112" i="118"/>
  <c r="G112" i="118"/>
  <c r="H112" i="118"/>
  <c r="I112" i="118"/>
  <c r="J112" i="118"/>
  <c r="K112" i="118"/>
  <c r="L112" i="118"/>
  <c r="F113" i="118"/>
  <c r="G113" i="118"/>
  <c r="H113" i="118"/>
  <c r="I113" i="118"/>
  <c r="J113" i="118"/>
  <c r="K113" i="118"/>
  <c r="L113" i="118"/>
  <c r="F114" i="118"/>
  <c r="G114" i="118"/>
  <c r="H114" i="118"/>
  <c r="I114" i="118"/>
  <c r="J114" i="118"/>
  <c r="K114" i="118"/>
  <c r="L114" i="118"/>
  <c r="F118" i="118"/>
  <c r="G118" i="118"/>
  <c r="H118" i="118"/>
  <c r="I118" i="118"/>
  <c r="J118" i="118"/>
  <c r="K118" i="118"/>
  <c r="L118" i="118"/>
  <c r="F119" i="118"/>
  <c r="G119" i="118"/>
  <c r="H119" i="118"/>
  <c r="I119" i="118"/>
  <c r="J119" i="118"/>
  <c r="K119" i="118"/>
  <c r="L119" i="118"/>
  <c r="F120" i="118"/>
  <c r="G120" i="118"/>
  <c r="H120" i="118"/>
  <c r="I120" i="118"/>
  <c r="J120" i="118"/>
  <c r="K120" i="118"/>
  <c r="L120" i="118"/>
  <c r="F121" i="118"/>
  <c r="G121" i="118"/>
  <c r="H121" i="118"/>
  <c r="I121" i="118"/>
  <c r="J121" i="118"/>
  <c r="K121" i="118"/>
  <c r="L121" i="118"/>
  <c r="F122" i="118"/>
  <c r="G122" i="118"/>
  <c r="H122" i="118"/>
  <c r="I122" i="118"/>
  <c r="J122" i="118"/>
  <c r="K122" i="118"/>
  <c r="L122" i="118"/>
  <c r="F123" i="118"/>
  <c r="G123" i="118"/>
  <c r="H123" i="118"/>
  <c r="I123" i="118"/>
  <c r="J123" i="118"/>
  <c r="K123" i="118"/>
  <c r="L123" i="118"/>
  <c r="F127" i="118"/>
  <c r="G127" i="118"/>
  <c r="H127" i="118"/>
  <c r="I127" i="118"/>
  <c r="J127" i="118"/>
  <c r="K127" i="118"/>
  <c r="L127" i="118"/>
  <c r="F128" i="118"/>
  <c r="G128" i="118"/>
  <c r="H128" i="118"/>
  <c r="I128" i="118"/>
  <c r="J128" i="118"/>
  <c r="K128" i="118"/>
  <c r="L128" i="118"/>
  <c r="F129" i="118"/>
  <c r="G129" i="118"/>
  <c r="H129" i="118"/>
  <c r="I129" i="118"/>
  <c r="J129" i="118"/>
  <c r="K129" i="118"/>
  <c r="L129" i="118"/>
  <c r="F130" i="118"/>
  <c r="G130" i="118"/>
  <c r="H130" i="118"/>
  <c r="M130" i="118"/>
  <c r="N130" i="118"/>
  <c r="O130" i="118"/>
  <c r="P130" i="118"/>
  <c r="Q130" i="118"/>
  <c r="F131" i="118"/>
  <c r="G131" i="118"/>
  <c r="H131" i="118"/>
  <c r="I131" i="118"/>
  <c r="J131" i="118"/>
  <c r="K131" i="118"/>
  <c r="L131" i="118"/>
  <c r="F132" i="118"/>
  <c r="G132" i="118"/>
  <c r="H132" i="118"/>
  <c r="I132" i="118"/>
  <c r="J132" i="118"/>
  <c r="K132" i="118"/>
  <c r="L132" i="118"/>
  <c r="F133" i="118"/>
  <c r="G133" i="118"/>
  <c r="H133" i="118"/>
  <c r="I133" i="118"/>
  <c r="J133" i="118"/>
  <c r="K133" i="118"/>
  <c r="L133" i="118"/>
  <c r="F134" i="118"/>
  <c r="G134" i="118"/>
  <c r="H134" i="118"/>
  <c r="I134" i="118"/>
  <c r="J134" i="118"/>
  <c r="K134" i="118"/>
  <c r="L134" i="118"/>
  <c r="M134" i="118"/>
  <c r="N134" i="118"/>
  <c r="O134" i="118"/>
  <c r="P134" i="118"/>
  <c r="Q134" i="118"/>
  <c r="F138" i="118"/>
  <c r="G138" i="118"/>
  <c r="H138" i="118"/>
  <c r="I138" i="118"/>
  <c r="J138" i="118"/>
  <c r="K138" i="118"/>
  <c r="L138" i="118"/>
  <c r="F139" i="118"/>
  <c r="G139" i="118"/>
  <c r="H139" i="118"/>
  <c r="I139" i="118"/>
  <c r="J139" i="118"/>
  <c r="K139" i="118"/>
  <c r="L139" i="118"/>
  <c r="F140" i="118"/>
  <c r="G140" i="118"/>
  <c r="H140" i="118"/>
  <c r="I140" i="118"/>
  <c r="J140" i="118"/>
  <c r="L140" i="118"/>
  <c r="F141" i="118"/>
  <c r="G141" i="118"/>
  <c r="H141" i="118"/>
  <c r="I141" i="118"/>
  <c r="J141" i="118"/>
  <c r="K141" i="118"/>
  <c r="L141" i="118"/>
  <c r="G93" i="118"/>
  <c r="H93" i="118"/>
  <c r="I93" i="118"/>
  <c r="J93" i="118"/>
  <c r="K93" i="118"/>
  <c r="L93" i="118"/>
  <c r="F93" i="118"/>
  <c r="B94" i="118"/>
  <c r="B95" i="118"/>
  <c r="B96" i="118"/>
  <c r="B97" i="118"/>
  <c r="B98" i="118"/>
  <c r="B99" i="118"/>
  <c r="B100" i="118"/>
  <c r="B101" i="118"/>
  <c r="B102" i="118"/>
  <c r="B103" i="118"/>
  <c r="B105" i="118"/>
  <c r="B106" i="118"/>
  <c r="B107" i="118"/>
  <c r="B108" i="118"/>
  <c r="B109" i="118"/>
  <c r="B110" i="118"/>
  <c r="B111" i="118"/>
  <c r="B112" i="118"/>
  <c r="B113" i="118"/>
  <c r="B114" i="118"/>
  <c r="B115" i="118"/>
  <c r="B116" i="118"/>
  <c r="B118" i="118"/>
  <c r="B119" i="118"/>
  <c r="B120" i="118"/>
  <c r="B121" i="118"/>
  <c r="B122" i="118"/>
  <c r="B123" i="118"/>
  <c r="B124" i="118"/>
  <c r="B125" i="118"/>
  <c r="B127" i="118"/>
  <c r="B128" i="118"/>
  <c r="B129" i="118"/>
  <c r="B130" i="118"/>
  <c r="B131" i="118"/>
  <c r="B132" i="118"/>
  <c r="B133" i="118"/>
  <c r="B134" i="118"/>
  <c r="B135" i="118"/>
  <c r="B136" i="118"/>
  <c r="B138" i="118"/>
  <c r="B139" i="118"/>
  <c r="B140" i="118"/>
  <c r="B141" i="118"/>
  <c r="B142" i="118"/>
  <c r="B144" i="118"/>
  <c r="B93" i="118"/>
  <c r="B42" i="118"/>
  <c r="B43" i="118"/>
  <c r="B44" i="118"/>
  <c r="C44" i="118"/>
  <c r="D44" i="118"/>
  <c r="E44" i="118"/>
  <c r="F44" i="118"/>
  <c r="G44" i="118"/>
  <c r="H44" i="118"/>
  <c r="I44" i="118"/>
  <c r="J44" i="118"/>
  <c r="K44" i="118"/>
  <c r="L44" i="118"/>
  <c r="B45" i="118"/>
  <c r="C45" i="118"/>
  <c r="D45" i="118"/>
  <c r="E45" i="118"/>
  <c r="F45" i="118"/>
  <c r="G45" i="118"/>
  <c r="H45" i="118"/>
  <c r="I45" i="118"/>
  <c r="J45" i="118"/>
  <c r="K45" i="118"/>
  <c r="L45" i="118"/>
  <c r="M45" i="118"/>
  <c r="N45" i="118"/>
  <c r="O45" i="118"/>
  <c r="P45" i="118"/>
  <c r="Q45" i="118"/>
  <c r="B46" i="118"/>
  <c r="C46" i="118"/>
  <c r="D46" i="118"/>
  <c r="E46" i="118"/>
  <c r="F46" i="118"/>
  <c r="G46" i="118"/>
  <c r="H46" i="118"/>
  <c r="I46" i="118"/>
  <c r="J46" i="118"/>
  <c r="K46" i="118"/>
  <c r="L46" i="118"/>
  <c r="B47" i="118"/>
  <c r="C47" i="118"/>
  <c r="D47" i="118"/>
  <c r="E47" i="118"/>
  <c r="F47" i="118"/>
  <c r="G47" i="118"/>
  <c r="H47" i="118"/>
  <c r="I47" i="118"/>
  <c r="J47" i="118"/>
  <c r="K47" i="118"/>
  <c r="L47" i="118"/>
  <c r="M47" i="118"/>
  <c r="N47" i="118"/>
  <c r="O47" i="118"/>
  <c r="P47" i="118"/>
  <c r="Q47" i="118"/>
  <c r="B48" i="118"/>
  <c r="C48" i="118"/>
  <c r="D48" i="118"/>
  <c r="E48" i="118"/>
  <c r="F48" i="118"/>
  <c r="G48" i="118"/>
  <c r="H48" i="118"/>
  <c r="I48" i="118"/>
  <c r="J48" i="118"/>
  <c r="K48" i="118"/>
  <c r="L48" i="118"/>
  <c r="M48" i="118"/>
  <c r="N48" i="118"/>
  <c r="O48" i="118"/>
  <c r="P48" i="118"/>
  <c r="Q48" i="118"/>
  <c r="B49" i="118"/>
  <c r="D49" i="118"/>
  <c r="E49" i="118"/>
  <c r="F49" i="118"/>
  <c r="G49" i="118"/>
  <c r="B50" i="118"/>
  <c r="C50" i="118"/>
  <c r="D50" i="118"/>
  <c r="E50" i="118"/>
  <c r="F50" i="118"/>
  <c r="G50" i="118"/>
  <c r="H50" i="118"/>
  <c r="I50" i="118"/>
  <c r="J50" i="118"/>
  <c r="K50" i="118"/>
  <c r="L50" i="118"/>
  <c r="M50" i="118"/>
  <c r="N50" i="118"/>
  <c r="O50" i="118"/>
  <c r="P50" i="118"/>
  <c r="Q50" i="118"/>
  <c r="B51" i="118"/>
  <c r="C51" i="118"/>
  <c r="D51" i="118"/>
  <c r="E51" i="118"/>
  <c r="F51" i="118"/>
  <c r="G51" i="118"/>
  <c r="H51" i="118"/>
  <c r="I51" i="118"/>
  <c r="J51" i="118"/>
  <c r="K51" i="118"/>
  <c r="L51" i="118"/>
  <c r="B52" i="118"/>
  <c r="C52" i="118"/>
  <c r="D52" i="118"/>
  <c r="E52" i="118"/>
  <c r="F52" i="118"/>
  <c r="G52" i="118"/>
  <c r="H52" i="118"/>
  <c r="I52" i="118"/>
  <c r="J52" i="118"/>
  <c r="K52" i="118"/>
  <c r="L52" i="118"/>
  <c r="B53" i="118"/>
  <c r="C53" i="118"/>
  <c r="D53" i="118"/>
  <c r="B54" i="118"/>
  <c r="C54" i="118"/>
  <c r="D54" i="118"/>
  <c r="E54" i="118"/>
  <c r="F54" i="118"/>
  <c r="G54" i="118"/>
  <c r="H54" i="118"/>
  <c r="I54" i="118"/>
  <c r="J54" i="118"/>
  <c r="K54" i="118"/>
  <c r="L54" i="118"/>
  <c r="M54" i="118"/>
  <c r="N54" i="118"/>
  <c r="O54" i="118"/>
  <c r="P54" i="118"/>
  <c r="Q54" i="118"/>
  <c r="B56" i="118"/>
  <c r="C56" i="118"/>
  <c r="B58" i="118"/>
  <c r="D58" i="118"/>
  <c r="B59" i="118"/>
  <c r="C59" i="118"/>
  <c r="D59" i="118"/>
  <c r="E59" i="118"/>
  <c r="F59" i="118"/>
  <c r="G59" i="118"/>
  <c r="H59" i="118"/>
  <c r="I59" i="118"/>
  <c r="J59" i="118"/>
  <c r="K59" i="118"/>
  <c r="L59" i="118"/>
  <c r="B60" i="118"/>
  <c r="D60" i="118"/>
  <c r="E60" i="118"/>
  <c r="F60" i="118"/>
  <c r="G60" i="118"/>
  <c r="H60" i="118"/>
  <c r="I60" i="118"/>
  <c r="J60" i="118"/>
  <c r="K60" i="118"/>
  <c r="L60" i="118"/>
  <c r="B61" i="118"/>
  <c r="C61" i="118"/>
  <c r="B62" i="118"/>
  <c r="C62" i="118"/>
  <c r="B63" i="118"/>
  <c r="C63" i="118"/>
  <c r="D63" i="118"/>
  <c r="E63" i="118"/>
  <c r="F63" i="118"/>
  <c r="G63" i="118"/>
  <c r="H63" i="118"/>
  <c r="I63" i="118"/>
  <c r="J63" i="118"/>
  <c r="K63" i="118"/>
  <c r="L63" i="118"/>
  <c r="M63" i="118"/>
  <c r="N63" i="118"/>
  <c r="O63" i="118"/>
  <c r="P63" i="118"/>
  <c r="Q63" i="118"/>
  <c r="B64" i="118"/>
  <c r="B65" i="118"/>
  <c r="C65" i="118"/>
  <c r="B67" i="118"/>
  <c r="C67" i="118"/>
  <c r="D67" i="118"/>
  <c r="E67" i="118"/>
  <c r="F67" i="118"/>
  <c r="H67" i="118"/>
  <c r="I67" i="118"/>
  <c r="J67" i="118"/>
  <c r="K67" i="118"/>
  <c r="L67" i="118"/>
  <c r="M67" i="118"/>
  <c r="N67" i="118"/>
  <c r="O67" i="118"/>
  <c r="P67" i="118"/>
  <c r="Q67" i="118"/>
  <c r="B68" i="118"/>
  <c r="C68" i="118"/>
  <c r="D68" i="118"/>
  <c r="E68" i="118"/>
  <c r="F68" i="118"/>
  <c r="G68" i="118"/>
  <c r="H68" i="118"/>
  <c r="I68" i="118"/>
  <c r="J68" i="118"/>
  <c r="K68" i="118"/>
  <c r="L68" i="118"/>
  <c r="M68" i="118"/>
  <c r="N68" i="118"/>
  <c r="O68" i="118"/>
  <c r="P68" i="118"/>
  <c r="Q68" i="118"/>
  <c r="B69" i="118"/>
  <c r="C69" i="118"/>
  <c r="D69" i="118"/>
  <c r="E69" i="118"/>
  <c r="F69" i="118"/>
  <c r="G69" i="118"/>
  <c r="H69" i="118"/>
  <c r="I69" i="118"/>
  <c r="J69" i="118"/>
  <c r="K69" i="118"/>
  <c r="L69" i="118"/>
  <c r="M69" i="118"/>
  <c r="N69" i="118"/>
  <c r="O69" i="118"/>
  <c r="P69" i="118"/>
  <c r="Q69" i="118"/>
  <c r="B70" i="118"/>
  <c r="C70" i="118"/>
  <c r="D70" i="118"/>
  <c r="E70" i="118"/>
  <c r="F70" i="118"/>
  <c r="G70" i="118"/>
  <c r="H70" i="118"/>
  <c r="I70" i="118"/>
  <c r="J70" i="118"/>
  <c r="K70" i="118"/>
  <c r="L70" i="118"/>
  <c r="M70" i="118"/>
  <c r="N70" i="118"/>
  <c r="O70" i="118"/>
  <c r="P70" i="118"/>
  <c r="Q70" i="118"/>
  <c r="B71" i="118"/>
  <c r="C71" i="118"/>
  <c r="D71" i="118"/>
  <c r="E71" i="118"/>
  <c r="F71" i="118"/>
  <c r="G71" i="118"/>
  <c r="H71" i="118"/>
  <c r="I71" i="118"/>
  <c r="J71" i="118"/>
  <c r="K71" i="118"/>
  <c r="L71" i="118"/>
  <c r="M71" i="118"/>
  <c r="N71" i="118"/>
  <c r="O71" i="118"/>
  <c r="P71" i="118"/>
  <c r="Q71" i="118"/>
  <c r="B72" i="118"/>
  <c r="C72" i="118"/>
  <c r="D72" i="118"/>
  <c r="E72" i="118"/>
  <c r="F72" i="118"/>
  <c r="G72" i="118"/>
  <c r="H72" i="118"/>
  <c r="I72" i="118"/>
  <c r="J72" i="118"/>
  <c r="K72" i="118"/>
  <c r="L72" i="118"/>
  <c r="M72" i="118"/>
  <c r="N72" i="118"/>
  <c r="O72" i="118"/>
  <c r="P72" i="118"/>
  <c r="Q72" i="118"/>
  <c r="B73" i="118"/>
  <c r="C73" i="118"/>
  <c r="D73" i="118"/>
  <c r="E73" i="118"/>
  <c r="F73" i="118"/>
  <c r="G73" i="118"/>
  <c r="H73" i="118"/>
  <c r="I73" i="118"/>
  <c r="J73" i="118"/>
  <c r="K73" i="118"/>
  <c r="L73" i="118"/>
  <c r="B74" i="118"/>
  <c r="C74" i="118"/>
  <c r="D74" i="118"/>
  <c r="E74" i="118"/>
  <c r="F74" i="118"/>
  <c r="G74" i="118"/>
  <c r="H74" i="118"/>
  <c r="I74" i="118"/>
  <c r="J74" i="118"/>
  <c r="K74" i="118"/>
  <c r="L74" i="118"/>
  <c r="Q74" i="118"/>
  <c r="B75" i="118"/>
  <c r="B76" i="118"/>
  <c r="C76" i="118"/>
  <c r="B78" i="118"/>
  <c r="B79" i="118"/>
  <c r="C79" i="118"/>
  <c r="D79" i="118"/>
  <c r="E79" i="118"/>
  <c r="F79" i="118"/>
  <c r="G79" i="118"/>
  <c r="H79" i="118"/>
  <c r="I79" i="118"/>
  <c r="J79" i="118"/>
  <c r="K79" i="118"/>
  <c r="L79" i="118"/>
  <c r="M79" i="118"/>
  <c r="N79" i="118"/>
  <c r="O79" i="118"/>
  <c r="P79" i="118"/>
  <c r="Q79" i="118"/>
  <c r="B80" i="118"/>
  <c r="C80" i="118"/>
  <c r="D80" i="118"/>
  <c r="E80" i="118"/>
  <c r="F80" i="118"/>
  <c r="G80" i="118"/>
  <c r="H80" i="118"/>
  <c r="I80" i="118"/>
  <c r="J80" i="118"/>
  <c r="K80" i="118"/>
  <c r="L80" i="118"/>
  <c r="M80" i="118"/>
  <c r="N80" i="118"/>
  <c r="O80" i="118"/>
  <c r="P80" i="118"/>
  <c r="Q80" i="118"/>
  <c r="B81" i="118"/>
  <c r="B82" i="118"/>
  <c r="B84" i="118"/>
  <c r="B85" i="118"/>
  <c r="C85" i="118"/>
  <c r="D85" i="118"/>
  <c r="E85" i="118"/>
  <c r="F85" i="118"/>
  <c r="G85" i="118"/>
  <c r="H85" i="118"/>
  <c r="I85" i="118"/>
  <c r="J85" i="118"/>
  <c r="K85" i="118"/>
  <c r="L85" i="118"/>
  <c r="B86" i="118"/>
  <c r="C86" i="118"/>
  <c r="D86" i="118"/>
  <c r="E86" i="118"/>
  <c r="B41" i="118"/>
  <c r="X83" i="122"/>
  <c r="AA83" i="122"/>
  <c r="D25" i="118"/>
  <c r="E25" i="118"/>
  <c r="C25" i="118"/>
  <c r="D22" i="118"/>
  <c r="E22" i="118"/>
  <c r="F22" i="118"/>
  <c r="G22" i="118"/>
  <c r="H22" i="118"/>
  <c r="C22" i="118"/>
  <c r="C10" i="118"/>
  <c r="D10" i="118"/>
  <c r="E10" i="118"/>
  <c r="F10" i="118"/>
  <c r="G10" i="118"/>
  <c r="H10" i="118"/>
  <c r="I10" i="118"/>
  <c r="J10" i="118"/>
  <c r="K10" i="118"/>
  <c r="L10" i="118"/>
  <c r="C11" i="118"/>
  <c r="D11" i="118"/>
  <c r="E11" i="118"/>
  <c r="F11" i="118"/>
  <c r="G11" i="118"/>
  <c r="H11" i="118"/>
  <c r="I11" i="118"/>
  <c r="J11" i="118"/>
  <c r="K11" i="118"/>
  <c r="L11" i="118"/>
  <c r="C12" i="118"/>
  <c r="D12" i="118"/>
  <c r="E12" i="118"/>
  <c r="F12" i="118"/>
  <c r="G12" i="118"/>
  <c r="H12" i="118"/>
  <c r="I12" i="118"/>
  <c r="J12" i="118"/>
  <c r="K12" i="118"/>
  <c r="L12" i="118"/>
  <c r="C13" i="118"/>
  <c r="D13" i="118"/>
  <c r="E13" i="118"/>
  <c r="F13" i="118"/>
  <c r="G13" i="118"/>
  <c r="H13" i="118"/>
  <c r="I13" i="118"/>
  <c r="J13" i="118"/>
  <c r="K13" i="118"/>
  <c r="L13" i="118"/>
  <c r="C14" i="118"/>
  <c r="D14" i="118"/>
  <c r="E14" i="118"/>
  <c r="F14" i="118"/>
  <c r="G14" i="118"/>
  <c r="H14" i="118"/>
  <c r="I14" i="118"/>
  <c r="J14" i="118"/>
  <c r="K14" i="118"/>
  <c r="L14" i="118"/>
  <c r="C18" i="118"/>
  <c r="D18" i="118"/>
  <c r="E18" i="118"/>
  <c r="F18" i="118"/>
  <c r="G18" i="118"/>
  <c r="H18" i="118"/>
  <c r="I18" i="118"/>
  <c r="J18" i="118"/>
  <c r="K18" i="118"/>
  <c r="L18" i="118"/>
  <c r="M18" i="118"/>
  <c r="N18" i="118"/>
  <c r="O18" i="118"/>
  <c r="P18" i="118"/>
  <c r="Q18" i="118"/>
  <c r="AD116" i="122" l="1"/>
  <c r="AB83" i="122"/>
  <c r="I20" i="132"/>
  <c r="H21" i="132"/>
  <c r="I19" i="132"/>
  <c r="K15" i="132"/>
  <c r="J19" i="132"/>
  <c r="J16" i="132"/>
  <c r="N74" i="118"/>
  <c r="O74" i="118"/>
  <c r="P74" i="118"/>
  <c r="M74" i="118"/>
  <c r="AE116" i="122" l="1"/>
  <c r="AC83" i="122"/>
  <c r="I21" i="132"/>
  <c r="K16" i="132"/>
  <c r="J20" i="132"/>
  <c r="J21" i="132" s="1"/>
  <c r="L15" i="132"/>
  <c r="K19" i="132"/>
  <c r="W160" i="122"/>
  <c r="V160" i="122"/>
  <c r="U160" i="122"/>
  <c r="T160" i="122"/>
  <c r="S160" i="122"/>
  <c r="Q159" i="122"/>
  <c r="P159" i="122"/>
  <c r="O159" i="122"/>
  <c r="N159" i="122"/>
  <c r="M159" i="122"/>
  <c r="L159" i="122"/>
  <c r="K159" i="122"/>
  <c r="J159" i="122"/>
  <c r="I159" i="122"/>
  <c r="H159" i="122"/>
  <c r="AF158" i="122"/>
  <c r="AF160" i="122" s="1"/>
  <c r="AE158" i="122"/>
  <c r="AD158" i="122"/>
  <c r="AC158" i="122"/>
  <c r="AB158" i="122"/>
  <c r="AA158" i="122"/>
  <c r="Z158" i="122"/>
  <c r="Y158" i="122"/>
  <c r="X158" i="122"/>
  <c r="O155" i="122"/>
  <c r="N155" i="122"/>
  <c r="M155" i="122"/>
  <c r="L155" i="122"/>
  <c r="K155" i="122"/>
  <c r="J155" i="122"/>
  <c r="I155" i="122"/>
  <c r="H155" i="122"/>
  <c r="AF154" i="122"/>
  <c r="AE154" i="122"/>
  <c r="AD154" i="122"/>
  <c r="AC154" i="122"/>
  <c r="AB154" i="122"/>
  <c r="AA154" i="122"/>
  <c r="Z154" i="122"/>
  <c r="Y154" i="122"/>
  <c r="X154" i="122"/>
  <c r="W154" i="122"/>
  <c r="V154" i="122"/>
  <c r="U154" i="122"/>
  <c r="T154" i="122"/>
  <c r="S154" i="122"/>
  <c r="R154" i="122"/>
  <c r="Q154" i="122"/>
  <c r="Q155" i="122" s="1"/>
  <c r="P154" i="122"/>
  <c r="P155" i="122" s="1"/>
  <c r="U118" i="125"/>
  <c r="U120" i="125" s="1"/>
  <c r="U127" i="125" s="1"/>
  <c r="DJ26" i="131"/>
  <c r="DJ24" i="131"/>
  <c r="DJ23" i="131"/>
  <c r="DJ19" i="131"/>
  <c r="AA30" i="124"/>
  <c r="U160" i="125"/>
  <c r="V160" i="125" s="1"/>
  <c r="W102" i="125"/>
  <c r="X102" i="125" s="1"/>
  <c r="Y102" i="125" s="1"/>
  <c r="Z102" i="125" s="1"/>
  <c r="W101" i="125"/>
  <c r="Y74" i="125"/>
  <c r="Z74" i="125"/>
  <c r="X74" i="125"/>
  <c r="AA26" i="125"/>
  <c r="AB26" i="125" s="1"/>
  <c r="AC26" i="125" s="1"/>
  <c r="AD26" i="125" s="1"/>
  <c r="AE26" i="125" s="1"/>
  <c r="AF26" i="125" s="1"/>
  <c r="X38" i="125"/>
  <c r="Y38" i="125" s="1"/>
  <c r="Z38" i="125" s="1"/>
  <c r="X81" i="125"/>
  <c r="AC81" i="125" s="1"/>
  <c r="AD81" i="125" s="1"/>
  <c r="AE81" i="125" s="1"/>
  <c r="AF81" i="125" s="1"/>
  <c r="AC85" i="125"/>
  <c r="AD85" i="125" s="1"/>
  <c r="AE85" i="125" s="1"/>
  <c r="AF85" i="125" s="1"/>
  <c r="K4" i="125"/>
  <c r="L4" i="125"/>
  <c r="M4" i="125"/>
  <c r="N4" i="125"/>
  <c r="O4" i="125"/>
  <c r="P4" i="125"/>
  <c r="Q4" i="125"/>
  <c r="S4" i="125"/>
  <c r="T47" i="125"/>
  <c r="U47" i="125"/>
  <c r="T48" i="125"/>
  <c r="U48" i="125"/>
  <c r="V48" i="125"/>
  <c r="T49" i="125"/>
  <c r="U49" i="125"/>
  <c r="T50" i="125"/>
  <c r="U50" i="125"/>
  <c r="V50" i="125"/>
  <c r="T51" i="125"/>
  <c r="U51" i="125"/>
  <c r="V51" i="125"/>
  <c r="V46" i="125"/>
  <c r="U46" i="125"/>
  <c r="T46" i="125"/>
  <c r="AF116" i="122" l="1"/>
  <c r="AD83" i="122"/>
  <c r="M15" i="132"/>
  <c r="L19" i="132"/>
  <c r="U126" i="125"/>
  <c r="L16" i="132"/>
  <c r="K20" i="132"/>
  <c r="K21" i="132" s="1"/>
  <c r="AB44" i="123"/>
  <c r="AB69" i="123" s="1"/>
  <c r="M133" i="118"/>
  <c r="AB30" i="124"/>
  <c r="M60" i="118"/>
  <c r="Z160" i="122"/>
  <c r="T155" i="122"/>
  <c r="Z155" i="122"/>
  <c r="R155" i="122"/>
  <c r="X155" i="122"/>
  <c r="AD155" i="122"/>
  <c r="U155" i="122"/>
  <c r="AA155" i="122"/>
  <c r="AA52" i="125" s="1"/>
  <c r="AB160" i="122"/>
  <c r="U161" i="122"/>
  <c r="AA160" i="122"/>
  <c r="V161" i="122"/>
  <c r="V155" i="122"/>
  <c r="AB155" i="122"/>
  <c r="W161" i="122"/>
  <c r="AC160" i="122"/>
  <c r="W155" i="122"/>
  <c r="AC155" i="122"/>
  <c r="X160" i="122"/>
  <c r="X161" i="122" s="1"/>
  <c r="AD160" i="122"/>
  <c r="Y160" i="122"/>
  <c r="AE160" i="122"/>
  <c r="AF161" i="122" s="1"/>
  <c r="R159" i="122"/>
  <c r="R160" i="122" s="1"/>
  <c r="S161" i="122" s="1"/>
  <c r="AF155" i="122"/>
  <c r="S155" i="122"/>
  <c r="Y155" i="122"/>
  <c r="T161" i="122"/>
  <c r="AA69" i="123"/>
  <c r="W103" i="125"/>
  <c r="X101" i="125"/>
  <c r="AC44" i="125"/>
  <c r="AF44" i="125" s="1"/>
  <c r="AA38" i="125"/>
  <c r="AB38" i="125" s="1"/>
  <c r="AC38" i="125" s="1"/>
  <c r="AD38" i="125" s="1"/>
  <c r="AE38" i="125" s="1"/>
  <c r="AF38" i="125" s="1"/>
  <c r="AH42" i="125"/>
  <c r="U53" i="125"/>
  <c r="R35" i="118" l="1"/>
  <c r="AE83" i="122"/>
  <c r="M16" i="132"/>
  <c r="L20" i="132"/>
  <c r="L21" i="132" s="1"/>
  <c r="M19" i="132"/>
  <c r="N15" i="132"/>
  <c r="AC30" i="124"/>
  <c r="N60" i="118"/>
  <c r="AA161" i="122"/>
  <c r="AC44" i="123"/>
  <c r="N133" i="118"/>
  <c r="AC161" i="122"/>
  <c r="AB161" i="122"/>
  <c r="Y161" i="122"/>
  <c r="Z161" i="122"/>
  <c r="AE161" i="122"/>
  <c r="AD161" i="122"/>
  <c r="AE155" i="122"/>
  <c r="X103" i="125"/>
  <c r="Y101" i="125"/>
  <c r="AF83" i="122" l="1"/>
  <c r="O15" i="132"/>
  <c r="O19" i="132" s="1"/>
  <c r="N19" i="132"/>
  <c r="N16" i="132"/>
  <c r="M20" i="132"/>
  <c r="M21" i="132" s="1"/>
  <c r="H22" i="132" s="1"/>
  <c r="AD44" i="123"/>
  <c r="O133" i="118"/>
  <c r="AC69" i="123"/>
  <c r="AD30" i="124"/>
  <c r="O60" i="118"/>
  <c r="Y103" i="125"/>
  <c r="Z101" i="125"/>
  <c r="O16" i="132" l="1"/>
  <c r="O20" i="132" s="1"/>
  <c r="O21" i="132" s="1"/>
  <c r="N20" i="132"/>
  <c r="N21" i="132" s="1"/>
  <c r="AE30" i="124"/>
  <c r="P60" i="118"/>
  <c r="AE44" i="123"/>
  <c r="P133" i="118"/>
  <c r="AD69" i="123"/>
  <c r="Z103" i="125"/>
  <c r="AF44" i="123" l="1"/>
  <c r="Q133" i="118"/>
  <c r="AE69" i="123"/>
  <c r="AF30" i="124"/>
  <c r="R60" i="118" s="1"/>
  <c r="Q60" i="118"/>
  <c r="W48" i="125"/>
  <c r="W66" i="125" s="1"/>
  <c r="X40" i="125"/>
  <c r="Y40" i="125" s="1"/>
  <c r="Z40" i="125" s="1"/>
  <c r="AA40" i="125" s="1"/>
  <c r="AB40" i="125" s="1"/>
  <c r="AC40" i="125" s="1"/>
  <c r="AD40" i="125" s="1"/>
  <c r="AE40" i="125" s="1"/>
  <c r="AF40" i="125" s="1"/>
  <c r="W50" i="125"/>
  <c r="W42" i="125"/>
  <c r="X42" i="125" s="1"/>
  <c r="W46" i="125"/>
  <c r="AF69" i="123" l="1"/>
  <c r="R133" i="118"/>
  <c r="X39" i="125"/>
  <c r="W51" i="125"/>
  <c r="Y42" i="125"/>
  <c r="X51" i="125"/>
  <c r="X41" i="125"/>
  <c r="X37" i="125"/>
  <c r="H4" i="125"/>
  <c r="J4" i="125"/>
  <c r="T4" i="125"/>
  <c r="T11" i="125" s="1"/>
  <c r="V4" i="125"/>
  <c r="V11" i="125" s="1"/>
  <c r="T7" i="125"/>
  <c r="V7" i="125"/>
  <c r="T12" i="125"/>
  <c r="V12" i="125"/>
  <c r="T16" i="125"/>
  <c r="V16" i="125"/>
  <c r="T20" i="125"/>
  <c r="V20" i="125"/>
  <c r="T32" i="125"/>
  <c r="T34" i="125"/>
  <c r="V34" i="125" s="1"/>
  <c r="V38" i="125"/>
  <c r="T56" i="125"/>
  <c r="V56" i="125"/>
  <c r="T57" i="125"/>
  <c r="V57" i="125"/>
  <c r="T58" i="125"/>
  <c r="V58" i="125"/>
  <c r="T59" i="125"/>
  <c r="V59" i="125"/>
  <c r="T60" i="125"/>
  <c r="V60" i="125"/>
  <c r="T61" i="125"/>
  <c r="V61" i="125"/>
  <c r="T78" i="125"/>
  <c r="V78" i="125"/>
  <c r="T103" i="125"/>
  <c r="V103" i="125"/>
  <c r="T136" i="125"/>
  <c r="V136" i="125"/>
  <c r="T145" i="125"/>
  <c r="V145" i="125" s="1"/>
  <c r="T155" i="125"/>
  <c r="V155" i="125" s="1"/>
  <c r="T156" i="125"/>
  <c r="V156" i="125" s="1"/>
  <c r="T157" i="125"/>
  <c r="V157" i="125" s="1"/>
  <c r="T158" i="125"/>
  <c r="V158" i="125" s="1"/>
  <c r="T204" i="125"/>
  <c r="V204" i="125" s="1"/>
  <c r="T205" i="125"/>
  <c r="V205" i="125" s="1"/>
  <c r="T210" i="125"/>
  <c r="T211" i="125"/>
  <c r="V211" i="125" s="1"/>
  <c r="T215" i="125"/>
  <c r="V215" i="125" s="1"/>
  <c r="T216" i="125"/>
  <c r="V216" i="125" s="1"/>
  <c r="T217" i="125"/>
  <c r="V217" i="125" s="1"/>
  <c r="T218" i="125"/>
  <c r="V218" i="125" s="1"/>
  <c r="T221" i="125"/>
  <c r="V221" i="125" s="1"/>
  <c r="T222" i="125"/>
  <c r="V222" i="125" s="1"/>
  <c r="T223" i="125"/>
  <c r="V223" i="125" s="1"/>
  <c r="T224" i="125"/>
  <c r="V224" i="125" s="1"/>
  <c r="T239" i="125"/>
  <c r="V239" i="125"/>
  <c r="T253" i="125"/>
  <c r="V253" i="125" s="1"/>
  <c r="V270" i="125"/>
  <c r="T285" i="125"/>
  <c r="T308" i="125"/>
  <c r="T306" i="125" s="1"/>
  <c r="V308" i="125"/>
  <c r="V306" i="125" s="1"/>
  <c r="T312" i="125"/>
  <c r="V312" i="125"/>
  <c r="T313" i="125"/>
  <c r="V313" i="125"/>
  <c r="AA270" i="125"/>
  <c r="AA269" i="125" l="1"/>
  <c r="AA268" i="125" s="1"/>
  <c r="AB270" i="125"/>
  <c r="V47" i="125"/>
  <c r="X48" i="125"/>
  <c r="Y39" i="125"/>
  <c r="X50" i="125"/>
  <c r="Y41" i="125"/>
  <c r="W47" i="125"/>
  <c r="Z42" i="125"/>
  <c r="Y51" i="125"/>
  <c r="X46" i="125"/>
  <c r="Y37" i="125"/>
  <c r="V137" i="125"/>
  <c r="V210" i="125"/>
  <c r="V208" i="125" s="1"/>
  <c r="T209" i="125"/>
  <c r="V269" i="125"/>
  <c r="T208" i="125"/>
  <c r="T15" i="125"/>
  <c r="V15" i="125"/>
  <c r="AC270" i="125" l="1"/>
  <c r="AB269" i="125"/>
  <c r="AB268" i="125" s="1"/>
  <c r="Z39" i="125"/>
  <c r="Y48" i="125"/>
  <c r="AA42" i="125"/>
  <c r="AB42" i="125" s="1"/>
  <c r="AC42" i="125" s="1"/>
  <c r="AD42" i="125" s="1"/>
  <c r="AE42" i="125" s="1"/>
  <c r="AF42" i="125" s="1"/>
  <c r="Z51" i="125"/>
  <c r="X47" i="125"/>
  <c r="Z37" i="125"/>
  <c r="Y46" i="125"/>
  <c r="Y50" i="125"/>
  <c r="Z41" i="125"/>
  <c r="V209" i="125"/>
  <c r="V212" i="125" s="1"/>
  <c r="T212" i="125"/>
  <c r="T131" i="125"/>
  <c r="T118" i="125" s="1"/>
  <c r="T130" i="125"/>
  <c r="V285" i="125"/>
  <c r="T270" i="125"/>
  <c r="V268" i="125"/>
  <c r="AD270" i="125" l="1"/>
  <c r="AC269" i="125"/>
  <c r="AC268" i="125" s="1"/>
  <c r="AA39" i="125"/>
  <c r="Z48" i="125"/>
  <c r="AA41" i="125"/>
  <c r="Z50" i="125"/>
  <c r="Y47" i="125"/>
  <c r="AA37" i="125"/>
  <c r="Z46" i="125"/>
  <c r="T117" i="125"/>
  <c r="T284" i="125"/>
  <c r="T269" i="125"/>
  <c r="V131" i="125"/>
  <c r="V118" i="125" s="1"/>
  <c r="AE270" i="125" l="1"/>
  <c r="AD269" i="125"/>
  <c r="AD268" i="125" s="1"/>
  <c r="AA48" i="125"/>
  <c r="AB39" i="125"/>
  <c r="Z47" i="125"/>
  <c r="Z65" i="125" s="1"/>
  <c r="AB37" i="125"/>
  <c r="AA46" i="125"/>
  <c r="AB41" i="125"/>
  <c r="AC41" i="125" s="1"/>
  <c r="AD41" i="125" s="1"/>
  <c r="AE41" i="125" s="1"/>
  <c r="AF41" i="125" s="1"/>
  <c r="AA50" i="125"/>
  <c r="T268" i="125"/>
  <c r="T120" i="125"/>
  <c r="V130" i="125"/>
  <c r="V117" i="125" s="1"/>
  <c r="T294" i="125"/>
  <c r="T144" i="125"/>
  <c r="T148" i="125"/>
  <c r="AF270" i="125" l="1"/>
  <c r="AF269" i="125" s="1"/>
  <c r="AF268" i="125" s="1"/>
  <c r="AE269" i="125"/>
  <c r="AE268" i="125" s="1"/>
  <c r="AC39" i="125"/>
  <c r="AB48" i="125"/>
  <c r="AC37" i="125"/>
  <c r="AB46" i="125"/>
  <c r="V120" i="125"/>
  <c r="V284" i="125"/>
  <c r="V294" i="125" s="1"/>
  <c r="T150" i="125"/>
  <c r="T167" i="125"/>
  <c r="AD39" i="125" l="1"/>
  <c r="AC48" i="125"/>
  <c r="AD37" i="125"/>
  <c r="AC46" i="125"/>
  <c r="T152" i="125"/>
  <c r="T168" i="125"/>
  <c r="V144" i="125"/>
  <c r="V148" i="125"/>
  <c r="AE39" i="125" l="1"/>
  <c r="AD48" i="125"/>
  <c r="AE37" i="125"/>
  <c r="AD46" i="125"/>
  <c r="V150" i="125"/>
  <c r="V152" i="125" s="1"/>
  <c r="V167" i="125"/>
  <c r="V166" i="125" l="1"/>
  <c r="AF39" i="125"/>
  <c r="AF48" i="125" s="1"/>
  <c r="AE48" i="125"/>
  <c r="AF37" i="125"/>
  <c r="AF46" i="125" s="1"/>
  <c r="AE46" i="125"/>
  <c r="V168" i="125" l="1"/>
  <c r="V169" i="125" l="1"/>
  <c r="X78" i="125"/>
  <c r="Y78" i="125"/>
  <c r="Z78" i="125"/>
  <c r="W78" i="125"/>
  <c r="W80" i="125" s="1"/>
  <c r="W204" i="125"/>
  <c r="X204" i="125" s="1"/>
  <c r="Y204" i="125" s="1"/>
  <c r="Z204" i="125" s="1"/>
  <c r="AA204" i="125" s="1"/>
  <c r="AB204" i="125" s="1"/>
  <c r="AC204" i="125" s="1"/>
  <c r="AD204" i="125" s="1"/>
  <c r="AE204" i="125" s="1"/>
  <c r="AF204" i="125" s="1"/>
  <c r="W205" i="125"/>
  <c r="X205" i="125" s="1"/>
  <c r="Y205" i="125" s="1"/>
  <c r="Z205" i="125" s="1"/>
  <c r="AA205" i="125" s="1"/>
  <c r="AB205" i="125" s="1"/>
  <c r="AC205" i="125" s="1"/>
  <c r="AD205" i="125" s="1"/>
  <c r="AE205" i="125" s="1"/>
  <c r="AF205" i="125" s="1"/>
  <c r="Y210" i="125"/>
  <c r="Z210" i="125" s="1"/>
  <c r="W211" i="125"/>
  <c r="X211" i="125" s="1"/>
  <c r="AA33" i="123"/>
  <c r="M122" i="118" s="1"/>
  <c r="H59" i="123"/>
  <c r="I59" i="123"/>
  <c r="J59" i="123"/>
  <c r="K59" i="123"/>
  <c r="L59" i="123"/>
  <c r="M59" i="123"/>
  <c r="N59" i="123"/>
  <c r="O59" i="123"/>
  <c r="P59" i="123"/>
  <c r="Q59" i="123"/>
  <c r="R59" i="123"/>
  <c r="S59" i="123"/>
  <c r="T59" i="123"/>
  <c r="U59" i="123"/>
  <c r="V59" i="123"/>
  <c r="W59" i="123"/>
  <c r="X59" i="123"/>
  <c r="Y59" i="123"/>
  <c r="Z59" i="123"/>
  <c r="H60" i="123"/>
  <c r="I60" i="123"/>
  <c r="J60" i="123"/>
  <c r="K60" i="123"/>
  <c r="L60" i="123"/>
  <c r="M60" i="123"/>
  <c r="N60" i="123"/>
  <c r="O60" i="123"/>
  <c r="P60" i="123"/>
  <c r="Q60" i="123"/>
  <c r="R60" i="123"/>
  <c r="S60" i="123"/>
  <c r="T60" i="123"/>
  <c r="U60" i="123"/>
  <c r="V60" i="123"/>
  <c r="W60" i="123"/>
  <c r="X60" i="123"/>
  <c r="Y60" i="123"/>
  <c r="Z60" i="123"/>
  <c r="H61" i="123"/>
  <c r="I61" i="123"/>
  <c r="J61" i="123"/>
  <c r="K61" i="123"/>
  <c r="L61" i="123"/>
  <c r="M61" i="123"/>
  <c r="N61" i="123"/>
  <c r="O61" i="123"/>
  <c r="P61" i="123"/>
  <c r="Q61" i="123"/>
  <c r="R61" i="123"/>
  <c r="S61" i="123"/>
  <c r="T61" i="123"/>
  <c r="U61" i="123"/>
  <c r="V61" i="123"/>
  <c r="W61" i="123"/>
  <c r="X61" i="123"/>
  <c r="Y61" i="123"/>
  <c r="Z61" i="123"/>
  <c r="S62" i="123"/>
  <c r="T62" i="123"/>
  <c r="U62" i="123"/>
  <c r="V62" i="123"/>
  <c r="W62" i="123"/>
  <c r="X62" i="123"/>
  <c r="Y62" i="123"/>
  <c r="Z62" i="123"/>
  <c r="R63" i="123"/>
  <c r="S63" i="123"/>
  <c r="U63" i="123"/>
  <c r="V63" i="123"/>
  <c r="W63" i="123"/>
  <c r="X63" i="123"/>
  <c r="Y63" i="123"/>
  <c r="Z63" i="123"/>
  <c r="H66" i="123"/>
  <c r="I66" i="123"/>
  <c r="J66" i="123"/>
  <c r="K66" i="123"/>
  <c r="L66" i="123"/>
  <c r="M66" i="123"/>
  <c r="N66" i="123"/>
  <c r="O66" i="123"/>
  <c r="P66" i="123"/>
  <c r="Q66" i="123"/>
  <c r="R66" i="123"/>
  <c r="S66" i="123"/>
  <c r="T66" i="123"/>
  <c r="U66" i="123"/>
  <c r="V66" i="123"/>
  <c r="W66" i="123"/>
  <c r="X66" i="123"/>
  <c r="Y66" i="123"/>
  <c r="Z66" i="123"/>
  <c r="H67" i="123"/>
  <c r="I67" i="123"/>
  <c r="J67" i="123"/>
  <c r="K67" i="123"/>
  <c r="L67" i="123"/>
  <c r="M67" i="123"/>
  <c r="N67" i="123"/>
  <c r="P67" i="123"/>
  <c r="Q67" i="123"/>
  <c r="R67" i="123"/>
  <c r="S67" i="123"/>
  <c r="T67" i="123"/>
  <c r="U67" i="123"/>
  <c r="V67" i="123"/>
  <c r="W67" i="123"/>
  <c r="X67" i="123"/>
  <c r="Y67" i="123"/>
  <c r="Z67" i="123"/>
  <c r="H68" i="123"/>
  <c r="I68" i="123"/>
  <c r="J68" i="123"/>
  <c r="K68" i="123"/>
  <c r="L68" i="123"/>
  <c r="M68" i="123"/>
  <c r="N68" i="123"/>
  <c r="O68" i="123"/>
  <c r="P68" i="123"/>
  <c r="Q68" i="123"/>
  <c r="R68" i="123"/>
  <c r="S68" i="123"/>
  <c r="T68" i="123"/>
  <c r="U68" i="123"/>
  <c r="V68" i="123"/>
  <c r="W68" i="123"/>
  <c r="X68" i="123"/>
  <c r="Y68" i="123"/>
  <c r="Z68" i="123"/>
  <c r="S69" i="123"/>
  <c r="T69" i="123"/>
  <c r="U69" i="123"/>
  <c r="V69" i="123"/>
  <c r="W69" i="123"/>
  <c r="X69" i="123"/>
  <c r="Y69" i="123"/>
  <c r="Z69" i="123"/>
  <c r="P70" i="123"/>
  <c r="Q70" i="123"/>
  <c r="S70" i="123"/>
  <c r="T70" i="123"/>
  <c r="U70" i="123"/>
  <c r="V70" i="123"/>
  <c r="W70" i="123"/>
  <c r="X70" i="123"/>
  <c r="Y70" i="123"/>
  <c r="Z70" i="123"/>
  <c r="X47" i="123"/>
  <c r="Y47" i="123"/>
  <c r="Z47" i="123"/>
  <c r="W47" i="123"/>
  <c r="AA25" i="123"/>
  <c r="AA210" i="125" l="1"/>
  <c r="AB210" i="125" s="1"/>
  <c r="AC210" i="125" s="1"/>
  <c r="AD210" i="125" s="1"/>
  <c r="AB33" i="123"/>
  <c r="N122" i="118" s="1"/>
  <c r="R64" i="123"/>
  <c r="Y72" i="123"/>
  <c r="S72" i="123"/>
  <c r="U72" i="123"/>
  <c r="S64" i="123"/>
  <c r="P71" i="123"/>
  <c r="I136" i="118"/>
  <c r="W109" i="123"/>
  <c r="K136" i="118"/>
  <c r="Y109" i="123"/>
  <c r="J136" i="118"/>
  <c r="X109" i="123"/>
  <c r="L136" i="118"/>
  <c r="Z109" i="123"/>
  <c r="AB25" i="123"/>
  <c r="N114" i="118" s="1"/>
  <c r="M114" i="118"/>
  <c r="Z72" i="123"/>
  <c r="V71" i="123"/>
  <c r="Q71" i="123"/>
  <c r="X72" i="123"/>
  <c r="T72" i="123"/>
  <c r="W64" i="123"/>
  <c r="X64" i="123"/>
  <c r="W71" i="123"/>
  <c r="V64" i="123"/>
  <c r="U71" i="123"/>
  <c r="Y71" i="123"/>
  <c r="S71" i="123"/>
  <c r="Z71" i="123"/>
  <c r="T71" i="123"/>
  <c r="V72" i="123"/>
  <c r="Y64" i="123"/>
  <c r="W72" i="123"/>
  <c r="Z64" i="123"/>
  <c r="U64" i="123"/>
  <c r="X198" i="125"/>
  <c r="X199" i="125" s="1"/>
  <c r="X209" i="125"/>
  <c r="X208" i="125"/>
  <c r="Y211" i="125"/>
  <c r="Y198" i="125" s="1"/>
  <c r="Y199" i="125" s="1"/>
  <c r="X71" i="123"/>
  <c r="AC33" i="123" l="1"/>
  <c r="AD33" i="123" s="1"/>
  <c r="AC25" i="123"/>
  <c r="O114" i="118" s="1"/>
  <c r="X212" i="125"/>
  <c r="W210" i="125"/>
  <c r="Y200" i="125"/>
  <c r="Y201" i="125"/>
  <c r="Y208" i="125"/>
  <c r="Z211" i="125"/>
  <c r="Y209" i="125"/>
  <c r="AE210" i="125"/>
  <c r="X201" i="125"/>
  <c r="X200" i="125"/>
  <c r="O122" i="118" l="1"/>
  <c r="AD25" i="123"/>
  <c r="AE25" i="123" s="1"/>
  <c r="AE33" i="123"/>
  <c r="P122" i="118"/>
  <c r="Y212" i="125"/>
  <c r="AF210" i="125"/>
  <c r="W208" i="125"/>
  <c r="W209" i="125"/>
  <c r="AA211" i="125"/>
  <c r="Z208" i="125"/>
  <c r="Z198" i="125"/>
  <c r="Z199" i="125" s="1"/>
  <c r="Z209" i="125"/>
  <c r="P114" i="118" l="1"/>
  <c r="AF33" i="123"/>
  <c r="R122" i="118" s="1"/>
  <c r="Q122" i="118"/>
  <c r="AF25" i="123"/>
  <c r="R114" i="118" s="1"/>
  <c r="Q114" i="118"/>
  <c r="AB211" i="125"/>
  <c r="AA208" i="125"/>
  <c r="AA209" i="125"/>
  <c r="AA198" i="125"/>
  <c r="AA199" i="125" s="1"/>
  <c r="W212" i="125"/>
  <c r="Z201" i="125"/>
  <c r="Z200" i="125"/>
  <c r="Z212" i="125"/>
  <c r="AA212" i="125" l="1"/>
  <c r="AA201" i="125"/>
  <c r="AA200" i="125"/>
  <c r="AC211" i="125"/>
  <c r="AB209" i="125"/>
  <c r="AB208" i="125"/>
  <c r="AB198" i="125"/>
  <c r="AB199" i="125" s="1"/>
  <c r="AB212" i="125" l="1"/>
  <c r="AB201" i="125"/>
  <c r="AB200" i="125"/>
  <c r="AD211" i="125"/>
  <c r="AC208" i="125"/>
  <c r="AC209" i="125"/>
  <c r="AC198" i="125"/>
  <c r="AC199" i="125" s="1"/>
  <c r="AC200" i="125" l="1"/>
  <c r="AC201" i="125"/>
  <c r="AC212" i="125"/>
  <c r="AE211" i="125"/>
  <c r="AD198" i="125"/>
  <c r="AD199" i="125" s="1"/>
  <c r="AD209" i="125"/>
  <c r="AD208" i="125"/>
  <c r="AD200" i="125" l="1"/>
  <c r="AD201" i="125"/>
  <c r="AF211" i="125"/>
  <c r="AE198" i="125"/>
  <c r="AE199" i="125" s="1"/>
  <c r="AE209" i="125"/>
  <c r="AE208" i="125"/>
  <c r="AD212" i="125"/>
  <c r="AE212" i="125" l="1"/>
  <c r="AE200" i="125"/>
  <c r="AE201" i="125"/>
  <c r="AF198" i="125"/>
  <c r="AF199" i="125" s="1"/>
  <c r="AF209" i="125"/>
  <c r="AF208" i="125"/>
  <c r="AF212" i="125" l="1"/>
  <c r="AF201" i="125"/>
  <c r="AF200" i="125"/>
  <c r="R51" i="126" l="1"/>
  <c r="Z91" i="126"/>
  <c r="X91" i="126"/>
  <c r="T91" i="126"/>
  <c r="R91" i="126"/>
  <c r="N91" i="126"/>
  <c r="L91" i="126"/>
  <c r="Y91" i="126"/>
  <c r="W91" i="126"/>
  <c r="V91" i="126"/>
  <c r="U91" i="126"/>
  <c r="S91" i="126"/>
  <c r="Q91" i="126"/>
  <c r="P91" i="126"/>
  <c r="O91" i="126"/>
  <c r="M91" i="126"/>
  <c r="T87" i="126"/>
  <c r="T86" i="126"/>
  <c r="U86" i="126" s="1"/>
  <c r="T85" i="126"/>
  <c r="U85" i="126" s="1"/>
  <c r="V55" i="126"/>
  <c r="W55" i="126" s="1"/>
  <c r="U87" i="126" l="1"/>
  <c r="R53" i="126"/>
  <c r="T51" i="126"/>
  <c r="T53" i="126" s="1"/>
  <c r="S51" i="126"/>
  <c r="S53" i="126" s="1"/>
  <c r="X55" i="126"/>
  <c r="Y55" i="126" l="1"/>
  <c r="Z55" i="126" l="1"/>
  <c r="AA55" i="126" l="1"/>
  <c r="AB55" i="126" l="1"/>
  <c r="AC55" i="126" l="1"/>
  <c r="AD55" i="126" l="1"/>
  <c r="AE55" i="126" l="1"/>
  <c r="AF55" i="126" s="1"/>
  <c r="W155" i="125" l="1"/>
  <c r="X155" i="125" s="1"/>
  <c r="Y155" i="125" s="1"/>
  <c r="Z155" i="125" s="1"/>
  <c r="AA155" i="125" s="1"/>
  <c r="AB155" i="125" s="1"/>
  <c r="AC155" i="125" s="1"/>
  <c r="AD155" i="125" s="1"/>
  <c r="AE155" i="125" s="1"/>
  <c r="AF155" i="125" s="1"/>
  <c r="W156" i="125"/>
  <c r="X156" i="125" s="1"/>
  <c r="Y156" i="125" s="1"/>
  <c r="Z156" i="125" s="1"/>
  <c r="AA156" i="125" s="1"/>
  <c r="AB156" i="125" s="1"/>
  <c r="AC156" i="125" s="1"/>
  <c r="AD156" i="125" s="1"/>
  <c r="AE156" i="125" s="1"/>
  <c r="AF156" i="125" s="1"/>
  <c r="W157" i="125"/>
  <c r="X157" i="125" s="1"/>
  <c r="Y157" i="125" s="1"/>
  <c r="Z157" i="125" s="1"/>
  <c r="AA157" i="125" s="1"/>
  <c r="AB157" i="125" s="1"/>
  <c r="AC157" i="125" s="1"/>
  <c r="AD157" i="125" s="1"/>
  <c r="AE157" i="125" s="1"/>
  <c r="AF157" i="125" s="1"/>
  <c r="W158" i="125"/>
  <c r="X158" i="125" s="1"/>
  <c r="Y158" i="125" s="1"/>
  <c r="Z158" i="125" s="1"/>
  <c r="AA158" i="125" s="1"/>
  <c r="AB158" i="125" s="1"/>
  <c r="AC158" i="125" s="1"/>
  <c r="AD158" i="125" s="1"/>
  <c r="AE158" i="125" s="1"/>
  <c r="AF158" i="125" s="1"/>
  <c r="T107" i="126"/>
  <c r="U107" i="126"/>
  <c r="V107" i="126"/>
  <c r="W107" i="126"/>
  <c r="X107" i="126"/>
  <c r="Y107" i="126"/>
  <c r="Z107" i="126"/>
  <c r="AA106" i="126"/>
  <c r="AA105" i="126"/>
  <c r="AC111" i="126"/>
  <c r="AC110" i="126"/>
  <c r="CM37" i="115" a="1"/>
  <c r="CM37" i="115" l="1"/>
  <c r="AB105" i="126"/>
  <c r="AC105" i="126" s="1"/>
  <c r="AA107" i="126"/>
  <c r="AB106" i="126"/>
  <c r="AC106" i="126" s="1"/>
  <c r="AD106" i="126" s="1"/>
  <c r="AE106" i="126" s="1"/>
  <c r="CQ38" i="115" l="1"/>
  <c r="AF106" i="126"/>
  <c r="AB107" i="126"/>
  <c r="AD105" i="126"/>
  <c r="AC107" i="126"/>
  <c r="AE105" i="126" l="1"/>
  <c r="AD107" i="126"/>
  <c r="AF105" i="126" l="1"/>
  <c r="AF107" i="126" s="1"/>
  <c r="AE107" i="126"/>
  <c r="Q97" i="126" l="1"/>
  <c r="R97" i="126"/>
  <c r="S97" i="126"/>
  <c r="T97" i="126"/>
  <c r="U97" i="126"/>
  <c r="V97" i="126"/>
  <c r="W97" i="126"/>
  <c r="X97" i="126"/>
  <c r="Y97" i="126"/>
  <c r="Z97" i="126"/>
  <c r="AA96" i="126"/>
  <c r="AA95" i="126"/>
  <c r="R101" i="126"/>
  <c r="S101" i="126"/>
  <c r="T101" i="126"/>
  <c r="U101" i="126"/>
  <c r="V101" i="126"/>
  <c r="W101" i="126"/>
  <c r="X101" i="126"/>
  <c r="Y101" i="126"/>
  <c r="Z101" i="126"/>
  <c r="S100" i="126"/>
  <c r="T100" i="126"/>
  <c r="U100" i="126"/>
  <c r="V100" i="126"/>
  <c r="W100" i="126"/>
  <c r="X100" i="126"/>
  <c r="Y100" i="126"/>
  <c r="Z100" i="126"/>
  <c r="R100" i="126"/>
  <c r="J44" i="126"/>
  <c r="K44" i="126"/>
  <c r="L44" i="126"/>
  <c r="M44" i="126"/>
  <c r="N44" i="126"/>
  <c r="O44" i="126"/>
  <c r="P44" i="126"/>
  <c r="Q44" i="126"/>
  <c r="R44" i="126"/>
  <c r="S44" i="126"/>
  <c r="T44" i="126"/>
  <c r="U44" i="126"/>
  <c r="V44" i="126"/>
  <c r="K48" i="126"/>
  <c r="L48" i="126"/>
  <c r="M48" i="126"/>
  <c r="N48" i="126"/>
  <c r="O48" i="126"/>
  <c r="P48" i="126"/>
  <c r="Q48" i="126"/>
  <c r="R48" i="126"/>
  <c r="L47" i="126"/>
  <c r="M47" i="126"/>
  <c r="N47" i="126"/>
  <c r="O47" i="126"/>
  <c r="P47" i="126"/>
  <c r="Q47" i="126"/>
  <c r="R47" i="126"/>
  <c r="K47" i="126"/>
  <c r="U81" i="123"/>
  <c r="O81" i="123"/>
  <c r="X41" i="123"/>
  <c r="J130" i="118" s="1"/>
  <c r="J135" i="118" s="1"/>
  <c r="Y41" i="123"/>
  <c r="K130" i="118" s="1"/>
  <c r="K135" i="118" s="1"/>
  <c r="Z41" i="123"/>
  <c r="L130" i="118" s="1"/>
  <c r="L135" i="118" s="1"/>
  <c r="W41" i="123"/>
  <c r="I130" i="118" s="1"/>
  <c r="I135" i="118" s="1"/>
  <c r="W19" i="123"/>
  <c r="I108" i="118" s="1"/>
  <c r="X19" i="123"/>
  <c r="J108" i="118" s="1"/>
  <c r="Y19" i="123"/>
  <c r="K108" i="118" s="1"/>
  <c r="Z19" i="123"/>
  <c r="L108" i="118" s="1"/>
  <c r="S69" i="126" l="1"/>
  <c r="S57" i="126"/>
  <c r="S54" i="126" s="1"/>
  <c r="S56" i="126" s="1"/>
  <c r="S61" i="126"/>
  <c r="R61" i="126"/>
  <c r="R69" i="126"/>
  <c r="R57" i="126"/>
  <c r="R54" i="126" s="1"/>
  <c r="R56" i="126" s="1"/>
  <c r="U57" i="126"/>
  <c r="U61" i="126"/>
  <c r="U69" i="126"/>
  <c r="T57" i="126"/>
  <c r="T54" i="126" s="1"/>
  <c r="T56" i="126" s="1"/>
  <c r="T61" i="126"/>
  <c r="T69" i="126"/>
  <c r="W81" i="123"/>
  <c r="W80" i="123"/>
  <c r="Z81" i="123"/>
  <c r="Z80" i="123"/>
  <c r="X81" i="123"/>
  <c r="X80" i="123"/>
  <c r="Y81" i="123"/>
  <c r="Y80" i="123"/>
  <c r="J81" i="123"/>
  <c r="P81" i="123"/>
  <c r="V81" i="123"/>
  <c r="AB96" i="126"/>
  <c r="AB95" i="126"/>
  <c r="Q81" i="123"/>
  <c r="N80" i="123"/>
  <c r="T80" i="123"/>
  <c r="K81" i="123"/>
  <c r="O80" i="123"/>
  <c r="U80" i="123"/>
  <c r="L81" i="123"/>
  <c r="R80" i="123"/>
  <c r="N81" i="123"/>
  <c r="T81" i="123"/>
  <c r="R81" i="123"/>
  <c r="M81" i="123"/>
  <c r="S80" i="123"/>
  <c r="L80" i="123"/>
  <c r="S81" i="123"/>
  <c r="M80" i="123"/>
  <c r="K80" i="123"/>
  <c r="Q80" i="123"/>
  <c r="AA97" i="126"/>
  <c r="J80" i="123"/>
  <c r="P80" i="123"/>
  <c r="V80" i="123"/>
  <c r="I81" i="123"/>
  <c r="I80" i="123"/>
  <c r="AC96" i="126" l="1"/>
  <c r="AD96" i="126" s="1"/>
  <c r="AC95" i="126"/>
  <c r="AD95" i="126" s="1"/>
  <c r="AE95" i="126" s="1"/>
  <c r="T66" i="126"/>
  <c r="T63" i="126"/>
  <c r="T60" i="126"/>
  <c r="T59" i="126"/>
  <c r="R63" i="126"/>
  <c r="R66" i="126"/>
  <c r="R60" i="126"/>
  <c r="R59" i="126"/>
  <c r="U66" i="126"/>
  <c r="U63" i="126"/>
  <c r="S59" i="126"/>
  <c r="S60" i="126"/>
  <c r="U60" i="126"/>
  <c r="V60" i="126" s="1"/>
  <c r="W60" i="126" s="1"/>
  <c r="X60" i="126" s="1"/>
  <c r="Y60" i="126" s="1"/>
  <c r="Z60" i="126" s="1"/>
  <c r="AA60" i="126" s="1"/>
  <c r="AB60" i="126" s="1"/>
  <c r="AC60" i="126" s="1"/>
  <c r="AD60" i="126" s="1"/>
  <c r="AE60" i="126" s="1"/>
  <c r="AF60" i="126" s="1"/>
  <c r="U59" i="126"/>
  <c r="V59" i="126" s="1"/>
  <c r="U54" i="126"/>
  <c r="U56" i="126" s="1"/>
  <c r="V56" i="126" s="1"/>
  <c r="S66" i="126"/>
  <c r="S63" i="126"/>
  <c r="AB97" i="126"/>
  <c r="AC97" i="126" l="1"/>
  <c r="AD97" i="126"/>
  <c r="U51" i="126"/>
  <c r="U52" i="126" s="1"/>
  <c r="V52" i="126" s="1"/>
  <c r="R65" i="126"/>
  <c r="R64" i="126"/>
  <c r="U68" i="126"/>
  <c r="U67" i="126"/>
  <c r="V67" i="126" s="1"/>
  <c r="W59" i="126"/>
  <c r="V61" i="126"/>
  <c r="S68" i="126"/>
  <c r="S67" i="126"/>
  <c r="R68" i="126"/>
  <c r="R67" i="126"/>
  <c r="U64" i="126"/>
  <c r="V64" i="126" s="1"/>
  <c r="U65" i="126"/>
  <c r="V65" i="126" s="1"/>
  <c r="W65" i="126" s="1"/>
  <c r="X65" i="126" s="1"/>
  <c r="Y65" i="126" s="1"/>
  <c r="Z65" i="126" s="1"/>
  <c r="AA65" i="126" s="1"/>
  <c r="AB65" i="126" s="1"/>
  <c r="AC65" i="126" s="1"/>
  <c r="AD65" i="126" s="1"/>
  <c r="AE65" i="126" s="1"/>
  <c r="AF65" i="126" s="1"/>
  <c r="W56" i="126"/>
  <c r="V54" i="126"/>
  <c r="T65" i="126"/>
  <c r="T64" i="126"/>
  <c r="S64" i="126"/>
  <c r="S65" i="126"/>
  <c r="T68" i="126"/>
  <c r="T67" i="126"/>
  <c r="AE96" i="126"/>
  <c r="AE97" i="126" s="1"/>
  <c r="AF95" i="126"/>
  <c r="U53" i="126" l="1"/>
  <c r="V53" i="126" s="1"/>
  <c r="W53" i="126" s="1"/>
  <c r="X53" i="126" s="1"/>
  <c r="S81" i="126"/>
  <c r="W67" i="126"/>
  <c r="V68" i="126"/>
  <c r="W68" i="126" s="1"/>
  <c r="X68" i="126" s="1"/>
  <c r="Y68" i="126" s="1"/>
  <c r="T81" i="126"/>
  <c r="X56" i="126"/>
  <c r="W54" i="126"/>
  <c r="W64" i="126"/>
  <c r="V63" i="126"/>
  <c r="W61" i="126"/>
  <c r="X59" i="126"/>
  <c r="W52" i="126"/>
  <c r="AF96" i="126"/>
  <c r="AF97" i="126" s="1"/>
  <c r="U81" i="126" l="1"/>
  <c r="V51" i="126"/>
  <c r="V57" i="126" s="1"/>
  <c r="W42" i="126"/>
  <c r="W43" i="126"/>
  <c r="Y53" i="126"/>
  <c r="X43" i="126"/>
  <c r="V66" i="126"/>
  <c r="V69" i="126" s="1"/>
  <c r="X54" i="126"/>
  <c r="Y56" i="126"/>
  <c r="X61" i="126"/>
  <c r="Y59" i="126"/>
  <c r="Z68" i="126"/>
  <c r="W63" i="126"/>
  <c r="X64" i="126"/>
  <c r="W51" i="126"/>
  <c r="W57" i="126" s="1"/>
  <c r="X52" i="126"/>
  <c r="W66" i="126"/>
  <c r="X67" i="126"/>
  <c r="AA8" i="122"/>
  <c r="I11" i="127"/>
  <c r="I12" i="127" s="1"/>
  <c r="J11" i="127"/>
  <c r="J12" i="127" s="1"/>
  <c r="K11" i="127"/>
  <c r="K12" i="127" s="1"/>
  <c r="L11" i="127"/>
  <c r="L12" i="127" s="1"/>
  <c r="M11" i="127"/>
  <c r="M12" i="127" s="1"/>
  <c r="N11" i="127"/>
  <c r="N12" i="127" s="1"/>
  <c r="H11" i="127"/>
  <c r="H12" i="127" s="1"/>
  <c r="DG26" i="131"/>
  <c r="DE26" i="131"/>
  <c r="DC26" i="131"/>
  <c r="DB26" i="131"/>
  <c r="DG24" i="131"/>
  <c r="DE24" i="131"/>
  <c r="DC24" i="131"/>
  <c r="DB24" i="131"/>
  <c r="DG23" i="131"/>
  <c r="DE23" i="131"/>
  <c r="DC23" i="131"/>
  <c r="DB23" i="131"/>
  <c r="DE19" i="131"/>
  <c r="DC19" i="131"/>
  <c r="DB19" i="131"/>
  <c r="CY26" i="131"/>
  <c r="CW26" i="131"/>
  <c r="CU26" i="131"/>
  <c r="CT26" i="131"/>
  <c r="CY24" i="131"/>
  <c r="CW24" i="131"/>
  <c r="CU24" i="131"/>
  <c r="CT24" i="131"/>
  <c r="CY23" i="131"/>
  <c r="CW23" i="131"/>
  <c r="CU23" i="131"/>
  <c r="CT23" i="131"/>
  <c r="CY19" i="131"/>
  <c r="CW19" i="131"/>
  <c r="CU19" i="131"/>
  <c r="CT19" i="131"/>
  <c r="CI26" i="131"/>
  <c r="CG26" i="131"/>
  <c r="CE26" i="131"/>
  <c r="CD26" i="131"/>
  <c r="CI24" i="131"/>
  <c r="CG24" i="131"/>
  <c r="CE24" i="131"/>
  <c r="CD24" i="131"/>
  <c r="CI23" i="131"/>
  <c r="CG23" i="131"/>
  <c r="CE23" i="131"/>
  <c r="CD23" i="131"/>
  <c r="CD22" i="131"/>
  <c r="CD21" i="131"/>
  <c r="CD20" i="131"/>
  <c r="CI19" i="131"/>
  <c r="CG19" i="131"/>
  <c r="CE19" i="131"/>
  <c r="CD19" i="131"/>
  <c r="CM26" i="131"/>
  <c r="CO26" i="131"/>
  <c r="CQ26" i="131"/>
  <c r="CL26" i="131"/>
  <c r="CM24" i="131"/>
  <c r="CO24" i="131"/>
  <c r="CQ24" i="131"/>
  <c r="CM23" i="131"/>
  <c r="CO23" i="131"/>
  <c r="CQ23" i="131"/>
  <c r="CL20" i="131"/>
  <c r="CL21" i="131"/>
  <c r="CL22" i="131"/>
  <c r="CL23" i="131"/>
  <c r="CL24" i="131"/>
  <c r="CM19" i="131"/>
  <c r="CO19" i="131"/>
  <c r="CQ19" i="131"/>
  <c r="CL19" i="131"/>
  <c r="M16" i="129"/>
  <c r="I16" i="129"/>
  <c r="AA15" i="122" l="1"/>
  <c r="W44" i="126"/>
  <c r="Y81" i="126"/>
  <c r="X42" i="126"/>
  <c r="X44" i="126" s="1"/>
  <c r="Z53" i="126"/>
  <c r="Y43" i="126"/>
  <c r="Y61" i="126"/>
  <c r="Z59" i="126"/>
  <c r="X63" i="126"/>
  <c r="Y64" i="126"/>
  <c r="AA68" i="126"/>
  <c r="Y52" i="126"/>
  <c r="X51" i="126"/>
  <c r="X57" i="126" s="1"/>
  <c r="W69" i="126"/>
  <c r="Z56" i="126"/>
  <c r="Y54" i="126"/>
  <c r="X66" i="126"/>
  <c r="Y67" i="126"/>
  <c r="J16" i="129"/>
  <c r="K16" i="129" s="1"/>
  <c r="L16" i="129" s="1"/>
  <c r="N8" i="122"/>
  <c r="M8" i="122"/>
  <c r="L8" i="122"/>
  <c r="K8" i="122"/>
  <c r="J8" i="122"/>
  <c r="I8" i="122"/>
  <c r="H8" i="122"/>
  <c r="Z81" i="126" l="1"/>
  <c r="X69" i="126"/>
  <c r="Y42" i="126"/>
  <c r="Y44" i="126" s="1"/>
  <c r="AA53" i="126"/>
  <c r="Z43" i="126"/>
  <c r="Z61" i="126"/>
  <c r="AA59" i="126"/>
  <c r="AB68" i="126"/>
  <c r="AA56" i="126"/>
  <c r="Z54" i="126"/>
  <c r="Y63" i="126"/>
  <c r="Z64" i="126"/>
  <c r="Y66" i="126"/>
  <c r="Z67" i="126"/>
  <c r="AA67" i="126" s="1"/>
  <c r="AB67" i="126" s="1"/>
  <c r="AC67" i="126" s="1"/>
  <c r="AD67" i="126" s="1"/>
  <c r="AE67" i="126" s="1"/>
  <c r="AF67" i="126" s="1"/>
  <c r="Z52" i="126"/>
  <c r="Y51" i="126"/>
  <c r="Y57" i="126" s="1"/>
  <c r="AA88" i="123"/>
  <c r="AA81" i="126" l="1"/>
  <c r="AB53" i="126"/>
  <c r="AA64" i="126"/>
  <c r="AB64" i="126" s="1"/>
  <c r="AC64" i="126" s="1"/>
  <c r="AD64" i="126" s="1"/>
  <c r="AE64" i="126" s="1"/>
  <c r="AF64" i="126" s="1"/>
  <c r="AF63" i="126" s="1"/>
  <c r="B9" i="128"/>
  <c r="AC68" i="126"/>
  <c r="AD68" i="126" s="1"/>
  <c r="Y69" i="126"/>
  <c r="Z42" i="126"/>
  <c r="Z44" i="126" s="1"/>
  <c r="Z63" i="126"/>
  <c r="AA61" i="126"/>
  <c r="AB59" i="126"/>
  <c r="Z51" i="126"/>
  <c r="Z57" i="126" s="1"/>
  <c r="AA52" i="126"/>
  <c r="AA54" i="126"/>
  <c r="AB56" i="126"/>
  <c r="Z66" i="126"/>
  <c r="AB88" i="123"/>
  <c r="AC88" i="123" s="1"/>
  <c r="AD88" i="123" s="1"/>
  <c r="AE88" i="123" s="1"/>
  <c r="AF88" i="123" s="1"/>
  <c r="AD91" i="122"/>
  <c r="AE91" i="122" s="1"/>
  <c r="AF91" i="122" s="1"/>
  <c r="Z96" i="122"/>
  <c r="AA96" i="122" s="1"/>
  <c r="AB96" i="122" s="1"/>
  <c r="AC96" i="122" s="1"/>
  <c r="AD96" i="122" s="1"/>
  <c r="AE96" i="122" s="1"/>
  <c r="AF96" i="122" s="1"/>
  <c r="Y96" i="122"/>
  <c r="X96" i="122"/>
  <c r="W96" i="122"/>
  <c r="W90" i="122"/>
  <c r="W88" i="122" s="1"/>
  <c r="X90" i="122"/>
  <c r="X88" i="122" s="1"/>
  <c r="Y90" i="122"/>
  <c r="Y88" i="122" s="1"/>
  <c r="Z90" i="122"/>
  <c r="Z88" i="122" s="1"/>
  <c r="H44" i="122"/>
  <c r="I44" i="122"/>
  <c r="J44" i="122"/>
  <c r="K44" i="122"/>
  <c r="L44" i="122"/>
  <c r="M44" i="122"/>
  <c r="N44" i="122"/>
  <c r="O44" i="122"/>
  <c r="P44" i="122"/>
  <c r="Q44" i="122"/>
  <c r="R44" i="122"/>
  <c r="S44" i="122"/>
  <c r="T44" i="122"/>
  <c r="U44" i="122"/>
  <c r="V44" i="122"/>
  <c r="W44" i="122"/>
  <c r="X44" i="122"/>
  <c r="Y44" i="122"/>
  <c r="Z44" i="122"/>
  <c r="AA44" i="122" s="1"/>
  <c r="AB44" i="122" s="1"/>
  <c r="AC44" i="122" s="1"/>
  <c r="AD44" i="122" s="1"/>
  <c r="AE44" i="122" s="1"/>
  <c r="AF44" i="122" s="1"/>
  <c r="AB40" i="122"/>
  <c r="AC40" i="122" s="1"/>
  <c r="AD40" i="122" s="1"/>
  <c r="AE40" i="122" s="1"/>
  <c r="AF40" i="122" s="1"/>
  <c r="Z3" i="122"/>
  <c r="AA3" i="122" s="1"/>
  <c r="AB3" i="122" s="1"/>
  <c r="AC3" i="122" s="1"/>
  <c r="AD3" i="122" s="1"/>
  <c r="AE3" i="122" s="1"/>
  <c r="AF3" i="122" s="1"/>
  <c r="Y3" i="122"/>
  <c r="X3" i="122"/>
  <c r="W3" i="122"/>
  <c r="V3" i="122"/>
  <c r="U3" i="122"/>
  <c r="T3" i="122"/>
  <c r="S3" i="122"/>
  <c r="R3" i="122"/>
  <c r="Q3" i="122"/>
  <c r="P3" i="122"/>
  <c r="O3" i="122"/>
  <c r="N3" i="122"/>
  <c r="M3" i="122"/>
  <c r="L3" i="122"/>
  <c r="K3" i="122"/>
  <c r="J3" i="122"/>
  <c r="I3" i="122"/>
  <c r="H3" i="122"/>
  <c r="G3" i="122"/>
  <c r="F3" i="122"/>
  <c r="E3" i="122"/>
  <c r="D3" i="122"/>
  <c r="C3" i="122"/>
  <c r="B3" i="122"/>
  <c r="DH50" i="131"/>
  <c r="DD50" i="131"/>
  <c r="DD79" i="131" s="1"/>
  <c r="CZ50" i="131"/>
  <c r="CV50" i="131"/>
  <c r="CV79" i="131" s="1"/>
  <c r="CR50" i="131"/>
  <c r="CN50" i="131"/>
  <c r="CN79" i="131" s="1"/>
  <c r="CJ50" i="131"/>
  <c r="CF50" i="131"/>
  <c r="CF79" i="131" s="1"/>
  <c r="CB50" i="131"/>
  <c r="BX50" i="131"/>
  <c r="BT50" i="131"/>
  <c r="BP50" i="131"/>
  <c r="BL50" i="131"/>
  <c r="BH50" i="131"/>
  <c r="BD50" i="131"/>
  <c r="AZ50" i="131"/>
  <c r="AV50" i="131"/>
  <c r="AR50" i="131"/>
  <c r="AN50" i="131"/>
  <c r="AJ50" i="131"/>
  <c r="AB81" i="126" l="1"/>
  <c r="AC53" i="126"/>
  <c r="CR76" i="131"/>
  <c r="CV76" i="131"/>
  <c r="CZ76" i="131"/>
  <c r="DH76" i="131"/>
  <c r="DD76" i="131"/>
  <c r="CN76" i="131"/>
  <c r="K26" i="118"/>
  <c r="L26" i="118"/>
  <c r="J26" i="118"/>
  <c r="I26" i="118"/>
  <c r="X103" i="123"/>
  <c r="Z103" i="123"/>
  <c r="Y103" i="123"/>
  <c r="W103" i="123"/>
  <c r="AA66" i="126"/>
  <c r="AC56" i="126"/>
  <c r="AB54" i="126"/>
  <c r="Z69" i="126"/>
  <c r="AA63" i="126"/>
  <c r="AC59" i="126"/>
  <c r="AB61" i="126"/>
  <c r="AA51" i="126"/>
  <c r="AA57" i="126" s="1"/>
  <c r="AB52" i="126"/>
  <c r="AE68" i="126"/>
  <c r="AF68" i="126" s="1"/>
  <c r="AF50" i="131"/>
  <c r="AB50" i="131"/>
  <c r="X50" i="131"/>
  <c r="T50" i="131"/>
  <c r="P50" i="131"/>
  <c r="L50" i="131"/>
  <c r="H50" i="131"/>
  <c r="D50" i="131"/>
  <c r="CA76" i="131"/>
  <c r="BY76" i="131"/>
  <c r="BW76" i="131"/>
  <c r="BV76" i="131"/>
  <c r="BS76" i="131"/>
  <c r="BQ76" i="131"/>
  <c r="BO76" i="131"/>
  <c r="BN76" i="131"/>
  <c r="BK76" i="131"/>
  <c r="BI76" i="131"/>
  <c r="BG76" i="131"/>
  <c r="BF76" i="131"/>
  <c r="BC76" i="131"/>
  <c r="BA76" i="131"/>
  <c r="AY76" i="131"/>
  <c r="AX76" i="131"/>
  <c r="AU76" i="131"/>
  <c r="AS76" i="131"/>
  <c r="AQ76" i="131"/>
  <c r="AP76" i="131"/>
  <c r="AM76" i="131"/>
  <c r="AK76" i="131"/>
  <c r="AI76" i="131"/>
  <c r="AH76" i="131"/>
  <c r="AE76" i="131"/>
  <c r="AC76" i="131"/>
  <c r="AA76" i="131"/>
  <c r="Z76" i="131"/>
  <c r="W76" i="131"/>
  <c r="U76" i="131"/>
  <c r="S76" i="131"/>
  <c r="R76" i="131"/>
  <c r="O76" i="131"/>
  <c r="M76" i="131"/>
  <c r="K76" i="131"/>
  <c r="J76" i="131"/>
  <c r="G76" i="131"/>
  <c r="E76" i="131"/>
  <c r="C76" i="131"/>
  <c r="B76" i="131"/>
  <c r="CA63" i="131"/>
  <c r="BY63" i="131"/>
  <c r="BW63" i="131"/>
  <c r="BV63" i="131"/>
  <c r="BS63" i="131"/>
  <c r="BQ63" i="131"/>
  <c r="BO63" i="131"/>
  <c r="BN63" i="131"/>
  <c r="BK63" i="131"/>
  <c r="BI63" i="131"/>
  <c r="BG63" i="131"/>
  <c r="BF63" i="131"/>
  <c r="BC63" i="131"/>
  <c r="BA63" i="131"/>
  <c r="AY63" i="131"/>
  <c r="AX63" i="131"/>
  <c r="AU63" i="131"/>
  <c r="AS63" i="131"/>
  <c r="AQ63" i="131"/>
  <c r="AP63" i="131"/>
  <c r="AM63" i="131"/>
  <c r="AK63" i="131"/>
  <c r="AI63" i="131"/>
  <c r="AH63" i="131"/>
  <c r="AE63" i="131"/>
  <c r="AC63" i="131"/>
  <c r="AA63" i="131"/>
  <c r="Z63" i="131"/>
  <c r="W63" i="131"/>
  <c r="U63" i="131"/>
  <c r="S63" i="131"/>
  <c r="R63" i="131"/>
  <c r="O63" i="131"/>
  <c r="M63" i="131"/>
  <c r="K63" i="131"/>
  <c r="J63" i="131"/>
  <c r="G63" i="131"/>
  <c r="E63" i="131"/>
  <c r="C63" i="131"/>
  <c r="B63" i="131"/>
  <c r="CA29" i="131"/>
  <c r="BY29" i="131"/>
  <c r="BW29" i="131"/>
  <c r="BV29" i="131"/>
  <c r="BS29" i="131"/>
  <c r="BQ29" i="131"/>
  <c r="BO29" i="131"/>
  <c r="BN29" i="131"/>
  <c r="BK29" i="131"/>
  <c r="BI29" i="131"/>
  <c r="BG29" i="131"/>
  <c r="BF29" i="131"/>
  <c r="BC29" i="131"/>
  <c r="BA29" i="131"/>
  <c r="AY29" i="131"/>
  <c r="AX29" i="131"/>
  <c r="AU29" i="131"/>
  <c r="AS29" i="131"/>
  <c r="AQ29" i="131"/>
  <c r="AP29" i="131"/>
  <c r="AM29" i="131"/>
  <c r="AK29" i="131"/>
  <c r="AI29" i="131"/>
  <c r="AH29" i="131"/>
  <c r="AE29" i="131"/>
  <c r="AC29" i="131"/>
  <c r="AA29" i="131"/>
  <c r="Z29" i="131"/>
  <c r="W29" i="131"/>
  <c r="U29" i="131"/>
  <c r="S29" i="131"/>
  <c r="R29" i="131"/>
  <c r="O29" i="131"/>
  <c r="M29" i="131"/>
  <c r="K29" i="131"/>
  <c r="J29" i="131"/>
  <c r="G29" i="131"/>
  <c r="E29" i="131"/>
  <c r="C29" i="131"/>
  <c r="B29" i="131"/>
  <c r="DH13" i="131"/>
  <c r="DH11" i="131"/>
  <c r="DH10" i="131"/>
  <c r="DH6" i="131"/>
  <c r="DD13" i="131"/>
  <c r="DD11" i="131"/>
  <c r="DD10" i="131"/>
  <c r="DD6" i="131"/>
  <c r="CZ13" i="131"/>
  <c r="CZ11" i="131"/>
  <c r="CZ10" i="131"/>
  <c r="CZ57" i="131" s="1"/>
  <c r="CZ6" i="131"/>
  <c r="CZ53" i="131" s="1"/>
  <c r="CV13" i="131"/>
  <c r="CV11" i="131"/>
  <c r="CV10" i="131"/>
  <c r="CV57" i="131" s="1"/>
  <c r="CV6" i="131"/>
  <c r="CV53" i="131" s="1"/>
  <c r="CR13" i="131"/>
  <c r="CR11" i="131"/>
  <c r="CR10" i="131"/>
  <c r="CR57" i="131" s="1"/>
  <c r="CR6" i="131"/>
  <c r="CR53" i="131" s="1"/>
  <c r="CN10" i="131"/>
  <c r="CN57" i="131" s="1"/>
  <c r="CN13" i="131"/>
  <c r="CN11" i="131"/>
  <c r="CN6" i="131"/>
  <c r="CN53" i="131" s="1"/>
  <c r="CF13" i="131"/>
  <c r="CJ13" i="131"/>
  <c r="CJ11" i="131"/>
  <c r="CJ10" i="131"/>
  <c r="CJ57" i="131" s="1"/>
  <c r="CJ9" i="131"/>
  <c r="CJ8" i="131"/>
  <c r="CJ7" i="131"/>
  <c r="CJ6" i="131"/>
  <c r="CJ53" i="131" s="1"/>
  <c r="CF11" i="131"/>
  <c r="CF10" i="131"/>
  <c r="CF57" i="131" s="1"/>
  <c r="CF9" i="131"/>
  <c r="CH9" i="131" s="1"/>
  <c r="CB11" i="131"/>
  <c r="CB10" i="131"/>
  <c r="CB9" i="131"/>
  <c r="BP13" i="131"/>
  <c r="BR13" i="131" s="1"/>
  <c r="BX13" i="131"/>
  <c r="BZ13" i="131" s="1"/>
  <c r="BX11" i="131"/>
  <c r="BZ11" i="131" s="1"/>
  <c r="BX10" i="131"/>
  <c r="BZ10" i="131" s="1"/>
  <c r="BX9" i="131"/>
  <c r="BZ9" i="131" s="1"/>
  <c r="BT11" i="131"/>
  <c r="BT10" i="131"/>
  <c r="BT9" i="131"/>
  <c r="BG16" i="131"/>
  <c r="BP11" i="131"/>
  <c r="BR11" i="131" s="1"/>
  <c r="BP10" i="131"/>
  <c r="BR10" i="131" s="1"/>
  <c r="BP9" i="131"/>
  <c r="BR9" i="131" s="1"/>
  <c r="AZ13" i="131"/>
  <c r="BB13" i="131" s="1"/>
  <c r="BH13" i="131"/>
  <c r="BJ13" i="131" s="1"/>
  <c r="BH11" i="131"/>
  <c r="BJ11" i="131" s="1"/>
  <c r="BL11" i="131" s="1"/>
  <c r="BM11" i="131" s="1"/>
  <c r="BH10" i="131"/>
  <c r="BJ10" i="131" s="1"/>
  <c r="BL10" i="131" s="1"/>
  <c r="BM10" i="131" s="1"/>
  <c r="BH9" i="131"/>
  <c r="BJ9" i="131" s="1"/>
  <c r="BL9" i="131" s="1"/>
  <c r="BM9" i="131" s="1"/>
  <c r="CF8" i="131"/>
  <c r="CH8" i="131" s="1"/>
  <c r="CF7" i="131"/>
  <c r="CH7" i="131" s="1"/>
  <c r="CF6" i="131"/>
  <c r="CF53" i="131" s="1"/>
  <c r="CB13" i="131"/>
  <c r="CB8" i="131"/>
  <c r="CB7" i="131"/>
  <c r="CB6" i="131"/>
  <c r="BX8" i="131"/>
  <c r="BZ8" i="131" s="1"/>
  <c r="BX7" i="131"/>
  <c r="BZ7" i="131" s="1"/>
  <c r="BX6" i="131"/>
  <c r="BZ6" i="131" s="1"/>
  <c r="BT13" i="131"/>
  <c r="BT8" i="131"/>
  <c r="BT7" i="131"/>
  <c r="BT6" i="131"/>
  <c r="BP8" i="131"/>
  <c r="BR8" i="131" s="1"/>
  <c r="BP7" i="131"/>
  <c r="BR7" i="131" s="1"/>
  <c r="BP6" i="131"/>
  <c r="BR6" i="131" s="1"/>
  <c r="BL13" i="131"/>
  <c r="BL8" i="131"/>
  <c r="BL7" i="131"/>
  <c r="BL6" i="131"/>
  <c r="BH8" i="131"/>
  <c r="BJ8" i="131" s="1"/>
  <c r="BH7" i="131"/>
  <c r="BJ7" i="131" s="1"/>
  <c r="BH6" i="131"/>
  <c r="BJ6" i="131" s="1"/>
  <c r="AZ8" i="131"/>
  <c r="AZ7" i="131"/>
  <c r="BB7" i="131" s="1"/>
  <c r="AZ6" i="131"/>
  <c r="BB6" i="131" s="1"/>
  <c r="BD13" i="131"/>
  <c r="BD8" i="131"/>
  <c r="BD7" i="131"/>
  <c r="BD6" i="131"/>
  <c r="AV13" i="131"/>
  <c r="AW13" i="131" s="1"/>
  <c r="AV12" i="131"/>
  <c r="AV8" i="131"/>
  <c r="AV7" i="131"/>
  <c r="AV6" i="131"/>
  <c r="AU16" i="131"/>
  <c r="AT13" i="131"/>
  <c r="AR12" i="131"/>
  <c r="AT12" i="131" s="1"/>
  <c r="AR8" i="131"/>
  <c r="AT8" i="131" s="1"/>
  <c r="AR7" i="131"/>
  <c r="AT7" i="131" s="1"/>
  <c r="AR6" i="131"/>
  <c r="AT6" i="131" s="1"/>
  <c r="AN13" i="131"/>
  <c r="AO13" i="131" s="1"/>
  <c r="AN12" i="131"/>
  <c r="AN8" i="131"/>
  <c r="AN7" i="131"/>
  <c r="AN6" i="131"/>
  <c r="AL13" i="131"/>
  <c r="AJ12" i="131"/>
  <c r="AL12" i="131" s="1"/>
  <c r="AJ8" i="131"/>
  <c r="AL8" i="131" s="1"/>
  <c r="AJ7" i="131"/>
  <c r="AL7" i="131" s="1"/>
  <c r="AJ6" i="131"/>
  <c r="AL6" i="131" s="1"/>
  <c r="AF13" i="131"/>
  <c r="AG13" i="131" s="1"/>
  <c r="AF12" i="131"/>
  <c r="AF8" i="131"/>
  <c r="AF7" i="131"/>
  <c r="AF6" i="131"/>
  <c r="AD13" i="131"/>
  <c r="AB12" i="131"/>
  <c r="AD12" i="131" s="1"/>
  <c r="AB8" i="131"/>
  <c r="AD8" i="131" s="1"/>
  <c r="AB7" i="131"/>
  <c r="AD7" i="131" s="1"/>
  <c r="AB6" i="131"/>
  <c r="AD6" i="131" s="1"/>
  <c r="X13" i="131"/>
  <c r="Y13" i="131" s="1"/>
  <c r="X12" i="131"/>
  <c r="X8" i="131"/>
  <c r="X7" i="131"/>
  <c r="X6" i="131"/>
  <c r="V13" i="131"/>
  <c r="T12" i="131"/>
  <c r="V12" i="131" s="1"/>
  <c r="T8" i="131"/>
  <c r="V8" i="131" s="1"/>
  <c r="T7" i="131"/>
  <c r="V7" i="131" s="1"/>
  <c r="T6" i="131"/>
  <c r="V6" i="131" s="1"/>
  <c r="DJ16" i="131"/>
  <c r="K17" i="119" s="1"/>
  <c r="P13" i="131"/>
  <c r="Q13" i="131" s="1"/>
  <c r="P12" i="131"/>
  <c r="P8" i="131"/>
  <c r="P7" i="131"/>
  <c r="P6" i="131"/>
  <c r="N13" i="131"/>
  <c r="L12" i="131"/>
  <c r="N12" i="131" s="1"/>
  <c r="L8" i="131"/>
  <c r="N8" i="131" s="1"/>
  <c r="L7" i="131"/>
  <c r="N7" i="131" s="1"/>
  <c r="L6" i="131"/>
  <c r="N6" i="131" s="1"/>
  <c r="M16" i="131"/>
  <c r="O16" i="131"/>
  <c r="H13" i="131"/>
  <c r="I13" i="131" s="1"/>
  <c r="H12" i="131"/>
  <c r="H8" i="131"/>
  <c r="H7" i="131"/>
  <c r="H6" i="131"/>
  <c r="F13" i="131"/>
  <c r="D12" i="131"/>
  <c r="F12" i="131" s="1"/>
  <c r="D8" i="131"/>
  <c r="F8" i="131" s="1"/>
  <c r="D7" i="131"/>
  <c r="F7" i="131" s="1"/>
  <c r="D6" i="131"/>
  <c r="F6" i="131" s="1"/>
  <c r="G16" i="131"/>
  <c r="DE16" i="131"/>
  <c r="I17" i="119" s="1"/>
  <c r="DB16" i="131"/>
  <c r="CW16" i="131"/>
  <c r="CT16" i="131"/>
  <c r="CO16" i="131"/>
  <c r="CL16" i="131"/>
  <c r="CI16" i="131"/>
  <c r="CG16" i="131"/>
  <c r="CE16" i="131"/>
  <c r="CD16" i="131"/>
  <c r="CA16" i="131"/>
  <c r="BY16" i="131"/>
  <c r="BW16" i="131"/>
  <c r="BV16" i="131"/>
  <c r="BS16" i="131"/>
  <c r="BQ16" i="131"/>
  <c r="BO16" i="131"/>
  <c r="BN16" i="131"/>
  <c r="BK16" i="131"/>
  <c r="BI16" i="131"/>
  <c r="BF16" i="131"/>
  <c r="BC16" i="131"/>
  <c r="BA16" i="131"/>
  <c r="AY16" i="131"/>
  <c r="AX16" i="131"/>
  <c r="AS16" i="131"/>
  <c r="AQ16" i="131"/>
  <c r="AP16" i="131"/>
  <c r="AM16" i="131"/>
  <c r="AK16" i="131"/>
  <c r="AI16" i="131"/>
  <c r="AH16" i="131"/>
  <c r="AE16" i="131"/>
  <c r="AC16" i="131"/>
  <c r="AA16" i="131"/>
  <c r="Z16" i="131"/>
  <c r="W16" i="131"/>
  <c r="U16" i="131"/>
  <c r="S16" i="131"/>
  <c r="R16" i="131"/>
  <c r="K16" i="131"/>
  <c r="J16" i="131"/>
  <c r="E16" i="131"/>
  <c r="C16" i="131"/>
  <c r="B16" i="131"/>
  <c r="CR58" i="131" l="1"/>
  <c r="CZ58" i="131"/>
  <c r="CV58" i="131"/>
  <c r="CN58" i="131"/>
  <c r="CF58" i="131"/>
  <c r="CJ58" i="131"/>
  <c r="AD53" i="126"/>
  <c r="CD29" i="131"/>
  <c r="CG29" i="131"/>
  <c r="CV16" i="131"/>
  <c r="CT29" i="131"/>
  <c r="DH53" i="131"/>
  <c r="CZ16" i="131"/>
  <c r="CW29" i="131"/>
  <c r="DH57" i="131"/>
  <c r="CM29" i="131"/>
  <c r="CE29" i="131"/>
  <c r="CQ29" i="131"/>
  <c r="CI29" i="131"/>
  <c r="DJ29" i="131"/>
  <c r="DD53" i="131"/>
  <c r="CN16" i="131"/>
  <c r="CP16" i="131" s="1"/>
  <c r="CL29" i="131"/>
  <c r="DD57" i="131"/>
  <c r="DD16" i="131"/>
  <c r="DD63" i="131" s="1"/>
  <c r="DB29" i="131"/>
  <c r="DH16" i="131"/>
  <c r="DE29" i="131"/>
  <c r="DH58" i="131"/>
  <c r="CR16" i="131"/>
  <c r="CO29" i="131"/>
  <c r="DD58" i="131"/>
  <c r="AA69" i="126"/>
  <c r="X76" i="131"/>
  <c r="BT76" i="131"/>
  <c r="AV76" i="131"/>
  <c r="AF66" i="126"/>
  <c r="AF69" i="126" s="1"/>
  <c r="AD56" i="126"/>
  <c r="AC54" i="126"/>
  <c r="AC81" i="126"/>
  <c r="AB51" i="126"/>
  <c r="AB57" i="126" s="1"/>
  <c r="AC52" i="126"/>
  <c r="AD59" i="126"/>
  <c r="AC61" i="126"/>
  <c r="AB66" i="126"/>
  <c r="AB63" i="126"/>
  <c r="DH26" i="131"/>
  <c r="CR26" i="131"/>
  <c r="CH13" i="131"/>
  <c r="CF26" i="131"/>
  <c r="CR23" i="131"/>
  <c r="CX13" i="131"/>
  <c r="CV26" i="131"/>
  <c r="DF10" i="131"/>
  <c r="DD23" i="131"/>
  <c r="CP6" i="131"/>
  <c r="CN19" i="131"/>
  <c r="CP11" i="131"/>
  <c r="CN24" i="131"/>
  <c r="CZ23" i="131"/>
  <c r="DD26" i="131"/>
  <c r="CR24" i="131"/>
  <c r="DF11" i="131"/>
  <c r="DD24" i="131"/>
  <c r="CH6" i="131"/>
  <c r="CH19" i="131" s="1"/>
  <c r="CF19" i="131"/>
  <c r="CH10" i="131"/>
  <c r="CH23" i="131" s="1"/>
  <c r="CF23" i="131"/>
  <c r="CJ23" i="131"/>
  <c r="CP13" i="131"/>
  <c r="CN26" i="131"/>
  <c r="CX6" i="131"/>
  <c r="CV19" i="131"/>
  <c r="CZ24" i="131"/>
  <c r="DH19" i="131"/>
  <c r="CZ19" i="131"/>
  <c r="CH11" i="131"/>
  <c r="CF24" i="131"/>
  <c r="CJ24" i="131"/>
  <c r="CP10" i="131"/>
  <c r="CN23" i="131"/>
  <c r="CX10" i="131"/>
  <c r="CV23" i="131"/>
  <c r="CZ26" i="131"/>
  <c r="DH23" i="131"/>
  <c r="CJ19" i="131"/>
  <c r="CJ26" i="131"/>
  <c r="CR19" i="131"/>
  <c r="CX11" i="131"/>
  <c r="CV24" i="131"/>
  <c r="DF6" i="131"/>
  <c r="DD19" i="131"/>
  <c r="DH24" i="131"/>
  <c r="BH16" i="131"/>
  <c r="BJ16" i="131" s="1"/>
  <c r="AG7" i="131"/>
  <c r="CC13" i="131"/>
  <c r="BU10" i="131"/>
  <c r="AF16" i="131"/>
  <c r="D76" i="131"/>
  <c r="F76" i="131" s="1"/>
  <c r="P76" i="131"/>
  <c r="AB76" i="131"/>
  <c r="AD76" i="131" s="1"/>
  <c r="AN76" i="131"/>
  <c r="AZ76" i="131"/>
  <c r="BB76" i="131" s="1"/>
  <c r="BL76" i="131"/>
  <c r="BX76" i="131"/>
  <c r="BZ76" i="131" s="1"/>
  <c r="BD16" i="131"/>
  <c r="H63" i="131"/>
  <c r="AF63" i="131"/>
  <c r="BD63" i="131"/>
  <c r="BP63" i="131"/>
  <c r="BR63" i="131" s="1"/>
  <c r="CB63" i="131"/>
  <c r="H76" i="131"/>
  <c r="T76" i="131"/>
  <c r="AF76" i="131"/>
  <c r="AR76" i="131"/>
  <c r="BD76" i="131"/>
  <c r="H29" i="131"/>
  <c r="T29" i="131"/>
  <c r="V29" i="131" s="1"/>
  <c r="AF29" i="131"/>
  <c r="AR29" i="131"/>
  <c r="AT29" i="131" s="1"/>
  <c r="BD29" i="131"/>
  <c r="BP29" i="131"/>
  <c r="BR29" i="131" s="1"/>
  <c r="CB29" i="131"/>
  <c r="AN63" i="131"/>
  <c r="BX63" i="131"/>
  <c r="BZ63" i="131" s="1"/>
  <c r="AV16" i="131"/>
  <c r="BU6" i="131"/>
  <c r="BU11" i="131"/>
  <c r="AN29" i="131"/>
  <c r="D63" i="131"/>
  <c r="F63" i="131" s="1"/>
  <c r="AB63" i="131"/>
  <c r="AD63" i="131" s="1"/>
  <c r="AZ63" i="131"/>
  <c r="BL16" i="131"/>
  <c r="P29" i="131"/>
  <c r="BL29" i="131"/>
  <c r="P63" i="131"/>
  <c r="BL63" i="131"/>
  <c r="L29" i="131"/>
  <c r="N29" i="131" s="1"/>
  <c r="AJ29" i="131"/>
  <c r="AL29" i="131" s="1"/>
  <c r="BH29" i="131"/>
  <c r="BJ29" i="131" s="1"/>
  <c r="L63" i="131"/>
  <c r="N63" i="131" s="1"/>
  <c r="AJ63" i="131"/>
  <c r="AL63" i="131" s="1"/>
  <c r="BH63" i="131"/>
  <c r="BJ63" i="131" s="1"/>
  <c r="BP76" i="131"/>
  <c r="BX16" i="131"/>
  <c r="BZ16" i="131" s="1"/>
  <c r="L76" i="131"/>
  <c r="N76" i="131" s="1"/>
  <c r="AJ76" i="131"/>
  <c r="AL76" i="131" s="1"/>
  <c r="BH76" i="131"/>
  <c r="BJ76" i="131" s="1"/>
  <c r="T63" i="131"/>
  <c r="V63" i="131" s="1"/>
  <c r="AR63" i="131"/>
  <c r="AT63" i="131" s="1"/>
  <c r="X29" i="131"/>
  <c r="AV29" i="131"/>
  <c r="BT29" i="131"/>
  <c r="AR16" i="131"/>
  <c r="AT16" i="131" s="1"/>
  <c r="D29" i="131"/>
  <c r="F29" i="131" s="1"/>
  <c r="AB29" i="131"/>
  <c r="AD29" i="131" s="1"/>
  <c r="AZ29" i="131"/>
  <c r="BB29" i="131" s="1"/>
  <c r="BX29" i="131"/>
  <c r="BZ29" i="131" s="1"/>
  <c r="X63" i="131"/>
  <c r="AV63" i="131"/>
  <c r="BT63" i="131"/>
  <c r="BT16" i="131"/>
  <c r="CB76" i="131"/>
  <c r="AG8" i="131"/>
  <c r="T16" i="131"/>
  <c r="V16" i="131" s="1"/>
  <c r="CF16" i="131"/>
  <c r="CX16" i="131"/>
  <c r="AO12" i="131"/>
  <c r="BU13" i="131"/>
  <c r="X16" i="131"/>
  <c r="AJ16" i="131"/>
  <c r="AL16" i="131" s="1"/>
  <c r="CJ16" i="131"/>
  <c r="AG6" i="131"/>
  <c r="AW6" i="131"/>
  <c r="AN16" i="131"/>
  <c r="CB16" i="131"/>
  <c r="AW7" i="131"/>
  <c r="CC11" i="131"/>
  <c r="AW8" i="131"/>
  <c r="BE6" i="131"/>
  <c r="BE8" i="131"/>
  <c r="BM6" i="131"/>
  <c r="BU7" i="131"/>
  <c r="CC7" i="131"/>
  <c r="CC9" i="131"/>
  <c r="CC6" i="131"/>
  <c r="Y7" i="131"/>
  <c r="AG12" i="131"/>
  <c r="AW12" i="131"/>
  <c r="BE7" i="131"/>
  <c r="BM7" i="131"/>
  <c r="BU8" i="131"/>
  <c r="CC8" i="131"/>
  <c r="CC10" i="131"/>
  <c r="DF13" i="131"/>
  <c r="Y8" i="131"/>
  <c r="AO7" i="131"/>
  <c r="AB16" i="131"/>
  <c r="AD16" i="131" s="1"/>
  <c r="AZ16" i="131"/>
  <c r="BB16" i="131" s="1"/>
  <c r="BP16" i="131"/>
  <c r="BR16" i="131" s="1"/>
  <c r="Y12" i="131"/>
  <c r="AO8" i="131"/>
  <c r="BE13" i="131"/>
  <c r="BB8" i="131"/>
  <c r="BM13" i="131"/>
  <c r="BM8" i="131"/>
  <c r="BU9" i="131"/>
  <c r="P16" i="131"/>
  <c r="Y6" i="131"/>
  <c r="AO6" i="131"/>
  <c r="L16" i="131"/>
  <c r="N16" i="131" s="1"/>
  <c r="Q6" i="131"/>
  <c r="Q7" i="131"/>
  <c r="I6" i="131"/>
  <c r="Q8" i="131"/>
  <c r="Q12" i="131"/>
  <c r="I7" i="131"/>
  <c r="D16" i="131"/>
  <c r="F16" i="131" s="1"/>
  <c r="H16" i="131"/>
  <c r="I8" i="131"/>
  <c r="I12" i="131"/>
  <c r="CH26" i="131" l="1"/>
  <c r="CH24" i="131"/>
  <c r="AE53" i="126"/>
  <c r="Y76" i="131"/>
  <c r="CX29" i="131"/>
  <c r="CX19" i="131"/>
  <c r="DH63" i="131"/>
  <c r="CR29" i="131"/>
  <c r="CR63" i="131"/>
  <c r="CZ29" i="131"/>
  <c r="CZ63" i="131"/>
  <c r="CN29" i="131"/>
  <c r="CN63" i="131"/>
  <c r="DD29" i="131"/>
  <c r="CJ29" i="131"/>
  <c r="CJ63" i="131"/>
  <c r="CH16" i="131"/>
  <c r="CH29" i="131" s="1"/>
  <c r="CF29" i="131"/>
  <c r="CF63" i="131"/>
  <c r="DF16" i="131"/>
  <c r="DH29" i="131"/>
  <c r="CV29" i="131"/>
  <c r="CV63" i="131"/>
  <c r="CX24" i="131"/>
  <c r="CP26" i="131"/>
  <c r="BU76" i="131"/>
  <c r="AW76" i="131"/>
  <c r="AT76" i="131"/>
  <c r="AB69" i="126"/>
  <c r="AC63" i="126"/>
  <c r="AE59" i="126"/>
  <c r="AD61" i="126"/>
  <c r="AC51" i="126"/>
  <c r="AC57" i="126" s="1"/>
  <c r="AD52" i="126"/>
  <c r="AC66" i="126"/>
  <c r="AE56" i="126"/>
  <c r="AF56" i="126" s="1"/>
  <c r="AD54" i="126"/>
  <c r="AD81" i="126"/>
  <c r="BM16" i="131"/>
  <c r="DF19" i="131"/>
  <c r="CX26" i="131"/>
  <c r="DF26" i="131"/>
  <c r="BE63" i="131"/>
  <c r="CP23" i="131"/>
  <c r="CP19" i="131"/>
  <c r="CX23" i="131"/>
  <c r="DF24" i="131"/>
  <c r="CP24" i="131"/>
  <c r="DF23" i="131"/>
  <c r="BR76" i="131"/>
  <c r="BB63" i="131"/>
  <c r="CC76" i="131"/>
  <c r="AO29" i="131"/>
  <c r="CC29" i="131"/>
  <c r="I76" i="131"/>
  <c r="I63" i="131"/>
  <c r="BU63" i="131"/>
  <c r="Y29" i="131"/>
  <c r="AG76" i="131"/>
  <c r="AG63" i="131"/>
  <c r="V76" i="131"/>
  <c r="BM76" i="131"/>
  <c r="Q29" i="131"/>
  <c r="AO76" i="131"/>
  <c r="BM29" i="131"/>
  <c r="CC63" i="131"/>
  <c r="BE76" i="131"/>
  <c r="BE29" i="131"/>
  <c r="BU29" i="131"/>
  <c r="Q63" i="131"/>
  <c r="BM63" i="131"/>
  <c r="AW29" i="131"/>
  <c r="CC16" i="131"/>
  <c r="AO63" i="131"/>
  <c r="AW16" i="131"/>
  <c r="AW63" i="131"/>
  <c r="Y63" i="131"/>
  <c r="I29" i="131"/>
  <c r="Q76" i="131"/>
  <c r="Q16" i="131"/>
  <c r="AO16" i="131"/>
  <c r="BE16" i="131"/>
  <c r="Y16" i="131"/>
  <c r="BU16" i="131"/>
  <c r="AG16" i="131"/>
  <c r="I16" i="131"/>
  <c r="AF53" i="126" l="1"/>
  <c r="AF81" i="126" s="1"/>
  <c r="DF29" i="131"/>
  <c r="CP29" i="131"/>
  <c r="DL13" i="131"/>
  <c r="DK26" i="131"/>
  <c r="AE61" i="126"/>
  <c r="AF59" i="126"/>
  <c r="AF61" i="126" s="1"/>
  <c r="AF54" i="126"/>
  <c r="AE66" i="126"/>
  <c r="AD66" i="126"/>
  <c r="AD63" i="126"/>
  <c r="AE63" i="126"/>
  <c r="AE52" i="126"/>
  <c r="AD51" i="126"/>
  <c r="AD57" i="126" s="1"/>
  <c r="AE54" i="126"/>
  <c r="AE81" i="126"/>
  <c r="AC69" i="126"/>
  <c r="BF4" i="131"/>
  <c r="AX4" i="131"/>
  <c r="AP4" i="131"/>
  <c r="AH4" i="131"/>
  <c r="AG4" i="131"/>
  <c r="AF4" i="131"/>
  <c r="AE4" i="131"/>
  <c r="AD4" i="131"/>
  <c r="AC4" i="131"/>
  <c r="AB4" i="131"/>
  <c r="AA4" i="131"/>
  <c r="Z4" i="131"/>
  <c r="Y4" i="131"/>
  <c r="X4" i="131"/>
  <c r="W4" i="131"/>
  <c r="V4" i="131"/>
  <c r="U4" i="131"/>
  <c r="T4" i="131"/>
  <c r="S4" i="131"/>
  <c r="R4" i="131"/>
  <c r="Q4" i="131"/>
  <c r="P4" i="131"/>
  <c r="O4" i="131"/>
  <c r="N4" i="131"/>
  <c r="M4" i="131"/>
  <c r="L4" i="131"/>
  <c r="K4" i="131"/>
  <c r="J4" i="131"/>
  <c r="I4" i="131"/>
  <c r="H4" i="131"/>
  <c r="G4" i="131"/>
  <c r="F4" i="131"/>
  <c r="E4" i="131"/>
  <c r="D4" i="131"/>
  <c r="C4" i="131"/>
  <c r="B4" i="131"/>
  <c r="CC2" i="131"/>
  <c r="CK2" i="131" s="1"/>
  <c r="CS2" i="131" s="1"/>
  <c r="DA2" i="131" s="1"/>
  <c r="DI2" i="131" s="1"/>
  <c r="DQ2" i="131" s="1"/>
  <c r="DY2" i="131" s="1"/>
  <c r="EG2" i="131" s="1"/>
  <c r="CB2" i="131"/>
  <c r="CJ2" i="131" s="1"/>
  <c r="CR2" i="131" s="1"/>
  <c r="CZ2" i="131" s="1"/>
  <c r="DH2" i="131" s="1"/>
  <c r="DP2" i="131" s="1"/>
  <c r="DX2" i="131" s="1"/>
  <c r="EF2" i="131" s="1"/>
  <c r="CA2" i="131"/>
  <c r="CI2" i="131" s="1"/>
  <c r="CQ2" i="131" s="1"/>
  <c r="CY2" i="131" s="1"/>
  <c r="DG2" i="131" s="1"/>
  <c r="DO2" i="131" s="1"/>
  <c r="DW2" i="131" s="1"/>
  <c r="EE2" i="131" s="1"/>
  <c r="BZ2" i="131"/>
  <c r="CH2" i="131" s="1"/>
  <c r="CP2" i="131" s="1"/>
  <c r="CX2" i="131" s="1"/>
  <c r="DF2" i="131" s="1"/>
  <c r="DN2" i="131" s="1"/>
  <c r="DV2" i="131" s="1"/>
  <c r="ED2" i="131" s="1"/>
  <c r="BY2" i="131"/>
  <c r="CG2" i="131" s="1"/>
  <c r="CO2" i="131" s="1"/>
  <c r="CW2" i="131" s="1"/>
  <c r="DE2" i="131" s="1"/>
  <c r="DM2" i="131" s="1"/>
  <c r="DU2" i="131" s="1"/>
  <c r="EC2" i="131" s="1"/>
  <c r="BX2" i="131"/>
  <c r="CF2" i="131" s="1"/>
  <c r="CN2" i="131" s="1"/>
  <c r="CV2" i="131" s="1"/>
  <c r="DD2" i="131" s="1"/>
  <c r="DL2" i="131" s="1"/>
  <c r="DT2" i="131" s="1"/>
  <c r="EB2" i="131" s="1"/>
  <c r="BW2" i="131"/>
  <c r="CE2" i="131" s="1"/>
  <c r="CM2" i="131" s="1"/>
  <c r="CU2" i="131" s="1"/>
  <c r="DC2" i="131" s="1"/>
  <c r="DK2" i="131" s="1"/>
  <c r="DS2" i="131" s="1"/>
  <c r="EA2" i="131" s="1"/>
  <c r="BV2" i="131"/>
  <c r="CD2" i="131" s="1"/>
  <c r="CL2" i="131" s="1"/>
  <c r="CT2" i="131" s="1"/>
  <c r="DB2" i="131" s="1"/>
  <c r="DJ2" i="131" s="1"/>
  <c r="DR2" i="131" s="1"/>
  <c r="DZ2" i="131" s="1"/>
  <c r="BN1" i="131"/>
  <c r="BV1" i="131" s="1"/>
  <c r="CD1" i="131" s="1"/>
  <c r="CL1" i="131" s="1"/>
  <c r="CT1" i="131" s="1"/>
  <c r="DB1" i="131" s="1"/>
  <c r="DJ1" i="131" s="1"/>
  <c r="DR1" i="131" s="1"/>
  <c r="DZ1" i="131" s="1"/>
  <c r="BG1" i="131"/>
  <c r="BH1" i="131" s="1"/>
  <c r="BH4" i="131" s="1"/>
  <c r="AY1" i="131"/>
  <c r="AQ1" i="131"/>
  <c r="AR1" i="131" s="1"/>
  <c r="AI1" i="131"/>
  <c r="AJ1" i="131" s="1"/>
  <c r="AK1" i="131" s="1"/>
  <c r="AL1" i="131" s="1"/>
  <c r="AM1" i="131" s="1"/>
  <c r="AN1" i="131" s="1"/>
  <c r="AO1" i="131" s="1"/>
  <c r="AO4" i="131" s="1"/>
  <c r="DL26" i="131" l="1"/>
  <c r="AE51" i="126"/>
  <c r="AE57" i="126" s="1"/>
  <c r="AF52" i="126"/>
  <c r="AE69" i="126"/>
  <c r="AD69" i="126"/>
  <c r="DZ4" i="131"/>
  <c r="AK4" i="131"/>
  <c r="AL4" i="131"/>
  <c r="BV4" i="131"/>
  <c r="AM4" i="131"/>
  <c r="CT4" i="131"/>
  <c r="DR4" i="131"/>
  <c r="AQ4" i="131"/>
  <c r="AS1" i="131"/>
  <c r="AR4" i="131"/>
  <c r="AZ1" i="131"/>
  <c r="AY4" i="131"/>
  <c r="AN4" i="131"/>
  <c r="CD4" i="131"/>
  <c r="DB4" i="131"/>
  <c r="AI4" i="131"/>
  <c r="BG4" i="131"/>
  <c r="AJ4" i="131"/>
  <c r="BN4" i="131"/>
  <c r="CL4" i="131"/>
  <c r="DJ4" i="131"/>
  <c r="BI1" i="131"/>
  <c r="BI4" i="131" s="1"/>
  <c r="BP1" i="131"/>
  <c r="BO1" i="131"/>
  <c r="AF51" i="126" l="1"/>
  <c r="AF57" i="126" s="1"/>
  <c r="BX1" i="131"/>
  <c r="BP4" i="131"/>
  <c r="BA1" i="131"/>
  <c r="AZ4" i="131"/>
  <c r="AT1" i="131"/>
  <c r="AS4" i="131"/>
  <c r="BW1" i="131"/>
  <c r="BO4" i="131"/>
  <c r="BQ1" i="131"/>
  <c r="BJ1" i="131"/>
  <c r="BJ4" i="131" s="1"/>
  <c r="AU1" i="131" l="1"/>
  <c r="AT4" i="131"/>
  <c r="BY1" i="131"/>
  <c r="BQ4" i="131"/>
  <c r="BB1" i="131"/>
  <c r="BA4" i="131"/>
  <c r="CE1" i="131"/>
  <c r="BW4" i="131"/>
  <c r="CF1" i="131"/>
  <c r="BX4" i="131"/>
  <c r="BK1" i="131"/>
  <c r="BK4" i="131" s="1"/>
  <c r="BR1" i="131"/>
  <c r="CN1" i="131" l="1"/>
  <c r="CF4" i="131"/>
  <c r="CG1" i="131"/>
  <c r="BY4" i="131"/>
  <c r="CM1" i="131"/>
  <c r="CE4" i="131"/>
  <c r="AV1" i="131"/>
  <c r="AU4" i="131"/>
  <c r="BZ1" i="131"/>
  <c r="BR4" i="131"/>
  <c r="BC1" i="131"/>
  <c r="BB4" i="131"/>
  <c r="BS1" i="131"/>
  <c r="BL1" i="131"/>
  <c r="BL4" i="131" s="1"/>
  <c r="BD1" i="131" l="1"/>
  <c r="BC4" i="131"/>
  <c r="CU1" i="131"/>
  <c r="CM4" i="131"/>
  <c r="CH1" i="131"/>
  <c r="BZ4" i="131"/>
  <c r="CO1" i="131"/>
  <c r="CG4" i="131"/>
  <c r="CA1" i="131"/>
  <c r="BS4" i="131"/>
  <c r="AW1" i="131"/>
  <c r="AW4" i="131" s="1"/>
  <c r="AV4" i="131"/>
  <c r="CV1" i="131"/>
  <c r="CN4" i="131"/>
  <c r="BT1" i="131"/>
  <c r="BM1" i="131"/>
  <c r="BU1" i="131" l="1"/>
  <c r="BM4" i="131"/>
  <c r="CB1" i="131"/>
  <c r="BT4" i="131"/>
  <c r="CI1" i="131"/>
  <c r="CA4" i="131"/>
  <c r="DC1" i="131"/>
  <c r="CU4" i="131"/>
  <c r="DD1" i="131"/>
  <c r="CV4" i="131"/>
  <c r="CW1" i="131"/>
  <c r="CO4" i="131"/>
  <c r="BE1" i="131"/>
  <c r="BE4" i="131" s="1"/>
  <c r="BD4" i="131"/>
  <c r="CP1" i="131"/>
  <c r="CH4" i="131"/>
  <c r="AA38" i="122"/>
  <c r="B10" i="128" l="1"/>
  <c r="AB38" i="122"/>
  <c r="DE1" i="131"/>
  <c r="CW4" i="131"/>
  <c r="CQ1" i="131"/>
  <c r="CI4" i="131"/>
  <c r="CX1" i="131"/>
  <c r="CP4" i="131"/>
  <c r="DL1" i="131"/>
  <c r="DD4" i="131"/>
  <c r="CJ1" i="131"/>
  <c r="CB4" i="131"/>
  <c r="DK1" i="131"/>
  <c r="DC4" i="131"/>
  <c r="CC1" i="131"/>
  <c r="BU4" i="131"/>
  <c r="AC38" i="122" l="1"/>
  <c r="CR1" i="131"/>
  <c r="CJ4" i="131"/>
  <c r="CY1" i="131"/>
  <c r="CQ4" i="131"/>
  <c r="CK1" i="131"/>
  <c r="CC4" i="131"/>
  <c r="DT1" i="131"/>
  <c r="DL4" i="131"/>
  <c r="DM1" i="131"/>
  <c r="DM4" i="131" s="1"/>
  <c r="DE4" i="131"/>
  <c r="DS1" i="131"/>
  <c r="DK4" i="131"/>
  <c r="DF1" i="131"/>
  <c r="CX4" i="131"/>
  <c r="CK47" i="131" l="1"/>
  <c r="CK13" i="131"/>
  <c r="AD38" i="122"/>
  <c r="EA1" i="131"/>
  <c r="EA4" i="131" s="1"/>
  <c r="DS4" i="131"/>
  <c r="CS1" i="131"/>
  <c r="CK4" i="131"/>
  <c r="DU1" i="131"/>
  <c r="DG1" i="131"/>
  <c r="CY4" i="131"/>
  <c r="DN1" i="131"/>
  <c r="DF4" i="131"/>
  <c r="EB1" i="131"/>
  <c r="EB4" i="131" s="1"/>
  <c r="DT4" i="131"/>
  <c r="CZ1" i="131"/>
  <c r="CR4" i="131"/>
  <c r="CK26" i="131" l="1"/>
  <c r="CI36" i="131"/>
  <c r="CE36" i="131"/>
  <c r="CK36" i="131"/>
  <c r="CD36" i="131"/>
  <c r="CG36" i="131"/>
  <c r="CF36" i="131"/>
  <c r="CJ36" i="131"/>
  <c r="CH36" i="131"/>
  <c r="CS13" i="131"/>
  <c r="CS47" i="131"/>
  <c r="CS73" i="131" s="1"/>
  <c r="AE38" i="122"/>
  <c r="DV1" i="131"/>
  <c r="DN4" i="131"/>
  <c r="DA1" i="131"/>
  <c r="CS4" i="131"/>
  <c r="DH1" i="131"/>
  <c r="CZ4" i="131"/>
  <c r="DO1" i="131"/>
  <c r="DG4" i="131"/>
  <c r="EC1" i="131"/>
  <c r="EC4" i="131" s="1"/>
  <c r="DU4" i="131"/>
  <c r="CS26" i="131" l="1"/>
  <c r="CO36" i="131"/>
  <c r="CQ36" i="131"/>
  <c r="CM36" i="131"/>
  <c r="CS36" i="131"/>
  <c r="CL36" i="131"/>
  <c r="CN36" i="131"/>
  <c r="CR36" i="131"/>
  <c r="CP36" i="131"/>
  <c r="DA47" i="131"/>
  <c r="DA73" i="131" s="1"/>
  <c r="DA13" i="131"/>
  <c r="AF38" i="122"/>
  <c r="DP1" i="131"/>
  <c r="DH4" i="131"/>
  <c r="DI1" i="131"/>
  <c r="DA4" i="131"/>
  <c r="DW1" i="131"/>
  <c r="DO4" i="131"/>
  <c r="ED1" i="131"/>
  <c r="ED4" i="131" s="1"/>
  <c r="DV4" i="131"/>
  <c r="DA26" i="131" l="1"/>
  <c r="CU36" i="131"/>
  <c r="DA36" i="131"/>
  <c r="CT36" i="131"/>
  <c r="CW36" i="131"/>
  <c r="CY36" i="131"/>
  <c r="CV36" i="131"/>
  <c r="CZ36" i="131"/>
  <c r="CX36" i="131"/>
  <c r="DI13" i="131"/>
  <c r="DI47" i="131"/>
  <c r="DI73" i="131" s="1"/>
  <c r="DQ1" i="131"/>
  <c r="DI4" i="131"/>
  <c r="DX1" i="131"/>
  <c r="DP4" i="131"/>
  <c r="EE1" i="131"/>
  <c r="EE4" i="131" s="1"/>
  <c r="DW4" i="131"/>
  <c r="DG36" i="131" l="1"/>
  <c r="DC36" i="131"/>
  <c r="DI36" i="131"/>
  <c r="DB36" i="131"/>
  <c r="DE36" i="131"/>
  <c r="DH36" i="131"/>
  <c r="DD36" i="131"/>
  <c r="DF36" i="131"/>
  <c r="DQ13" i="131"/>
  <c r="DI26" i="131"/>
  <c r="EF1" i="131"/>
  <c r="EF4" i="131" s="1"/>
  <c r="DX4" i="131"/>
  <c r="DY1" i="131"/>
  <c r="DQ4" i="131"/>
  <c r="M17" i="129"/>
  <c r="L17" i="129"/>
  <c r="K17" i="129"/>
  <c r="J17" i="129"/>
  <c r="I17" i="129"/>
  <c r="D14" i="129"/>
  <c r="E14" i="129" s="1"/>
  <c r="D13" i="129"/>
  <c r="E13" i="129" s="1"/>
  <c r="F13" i="129" s="1"/>
  <c r="G13" i="129" s="1"/>
  <c r="H13" i="129" s="1"/>
  <c r="I13" i="129" s="1"/>
  <c r="J13" i="129" s="1"/>
  <c r="K13" i="129" s="1"/>
  <c r="L13" i="129" s="1"/>
  <c r="M13" i="129" s="1"/>
  <c r="C12" i="129"/>
  <c r="C24" i="129" s="1"/>
  <c r="B14" i="129"/>
  <c r="C1" i="128"/>
  <c r="C9" i="128" s="1"/>
  <c r="D41" i="133" s="1"/>
  <c r="DM36" i="131" l="1"/>
  <c r="DK36" i="131"/>
  <c r="DQ36" i="131"/>
  <c r="DJ36" i="131"/>
  <c r="DL36" i="131"/>
  <c r="DM26" i="131"/>
  <c r="DN13" i="131"/>
  <c r="DQ26" i="131"/>
  <c r="C10" i="128"/>
  <c r="C6" i="133" s="1"/>
  <c r="D26" i="133" s="1"/>
  <c r="D42" i="133" s="1"/>
  <c r="D1" i="128"/>
  <c r="D9" i="128" s="1"/>
  <c r="C30" i="129"/>
  <c r="EG1" i="131"/>
  <c r="EG4" i="131" s="1"/>
  <c r="DY4" i="131"/>
  <c r="D18" i="129"/>
  <c r="E18" i="129"/>
  <c r="F14" i="129"/>
  <c r="D12" i="129"/>
  <c r="DO13" i="131" l="1"/>
  <c r="DO36" i="131" s="1"/>
  <c r="DN36" i="131"/>
  <c r="DN26" i="131"/>
  <c r="D10" i="128"/>
  <c r="D6" i="133" s="1"/>
  <c r="E1" i="128"/>
  <c r="E9" i="128" s="1"/>
  <c r="E12" i="129"/>
  <c r="F18" i="129"/>
  <c r="G14" i="129"/>
  <c r="DP13" i="131" l="1"/>
  <c r="DP26" i="131" s="1"/>
  <c r="DO26" i="131"/>
  <c r="E10" i="128"/>
  <c r="F1" i="128"/>
  <c r="F9" i="128" s="1"/>
  <c r="F12" i="129"/>
  <c r="H14" i="129"/>
  <c r="G18" i="129"/>
  <c r="DP36" i="131" l="1"/>
  <c r="C7" i="129"/>
  <c r="C31" i="129" s="1"/>
  <c r="E6" i="133"/>
  <c r="F10" i="128"/>
  <c r="F6" i="133" s="1"/>
  <c r="G1" i="128"/>
  <c r="G9" i="128" s="1"/>
  <c r="G12" i="129"/>
  <c r="I14" i="129"/>
  <c r="H18" i="129"/>
  <c r="G10" i="128" l="1"/>
  <c r="G6" i="133" s="1"/>
  <c r="H12" i="129"/>
  <c r="J14" i="129"/>
  <c r="I18" i="129"/>
  <c r="I12" i="129" l="1"/>
  <c r="J12" i="129" s="1"/>
  <c r="K12" i="129" s="1"/>
  <c r="L12" i="129" s="1"/>
  <c r="M12" i="129" s="1"/>
  <c r="J18" i="129"/>
  <c r="K14" i="129"/>
  <c r="K18" i="129" l="1"/>
  <c r="L14" i="129"/>
  <c r="L18" i="129" l="1"/>
  <c r="M14" i="129"/>
  <c r="M18" i="129" s="1"/>
  <c r="W69" i="124" l="1"/>
  <c r="X69" i="124"/>
  <c r="Y69" i="124"/>
  <c r="Z69" i="124"/>
  <c r="S92" i="123"/>
  <c r="T92" i="123"/>
  <c r="U92" i="123"/>
  <c r="V92" i="123"/>
  <c r="W92" i="123"/>
  <c r="X92" i="123"/>
  <c r="Y92" i="123"/>
  <c r="Z92" i="123"/>
  <c r="R92" i="123"/>
  <c r="S91" i="123"/>
  <c r="T91" i="123"/>
  <c r="U91" i="123"/>
  <c r="V91" i="123"/>
  <c r="W91" i="123"/>
  <c r="X91" i="123"/>
  <c r="Y91" i="123"/>
  <c r="Z91" i="123"/>
  <c r="R91" i="123"/>
  <c r="S90" i="123"/>
  <c r="T90" i="123"/>
  <c r="U90" i="123"/>
  <c r="V90" i="123"/>
  <c r="W90" i="123"/>
  <c r="X90" i="123"/>
  <c r="Y90" i="123"/>
  <c r="Z90" i="123"/>
  <c r="R90" i="123"/>
  <c r="S89" i="123"/>
  <c r="T89" i="123"/>
  <c r="U89" i="123"/>
  <c r="V89" i="123"/>
  <c r="W89" i="123"/>
  <c r="X89" i="123"/>
  <c r="Y89" i="123"/>
  <c r="Z89" i="123"/>
  <c r="R89" i="123"/>
  <c r="A92" i="123"/>
  <c r="A91" i="123"/>
  <c r="A90" i="123"/>
  <c r="A89" i="123"/>
  <c r="T93" i="123" l="1"/>
  <c r="R93" i="123"/>
  <c r="S93" i="123"/>
  <c r="Y93" i="123"/>
  <c r="Z93" i="123"/>
  <c r="U93" i="123"/>
  <c r="V93" i="123"/>
  <c r="X93" i="123"/>
  <c r="W93" i="123"/>
  <c r="U94" i="123" l="1"/>
  <c r="T94" i="123"/>
  <c r="S94" i="123"/>
  <c r="R94" i="123"/>
  <c r="W94" i="123"/>
  <c r="Z94" i="123"/>
  <c r="Y94" i="123"/>
  <c r="V94" i="123"/>
  <c r="X94" i="123"/>
  <c r="V87" i="123"/>
  <c r="W87" i="123" s="1"/>
  <c r="X87" i="123" s="1"/>
  <c r="Y87" i="123" s="1"/>
  <c r="Z87" i="123" s="1"/>
  <c r="AA87" i="123" s="1"/>
  <c r="AB77" i="123"/>
  <c r="V77" i="123"/>
  <c r="U77" i="123"/>
  <c r="T77" i="123"/>
  <c r="S77" i="123"/>
  <c r="Z82" i="123"/>
  <c r="V76" i="123"/>
  <c r="S76" i="123"/>
  <c r="H120" i="122"/>
  <c r="I120" i="122"/>
  <c r="J120" i="122"/>
  <c r="K120" i="122"/>
  <c r="L120" i="122"/>
  <c r="M120" i="122"/>
  <c r="N120" i="122"/>
  <c r="O120" i="122"/>
  <c r="P120" i="122"/>
  <c r="Q120" i="122"/>
  <c r="R120" i="122"/>
  <c r="S120" i="122"/>
  <c r="V120" i="122"/>
  <c r="W120" i="122"/>
  <c r="X120" i="122"/>
  <c r="Y120" i="122"/>
  <c r="Z120" i="122"/>
  <c r="I124" i="122"/>
  <c r="J124" i="122"/>
  <c r="K124" i="122"/>
  <c r="L124" i="122"/>
  <c r="M124" i="122"/>
  <c r="N124" i="122"/>
  <c r="O124" i="122"/>
  <c r="P124" i="122"/>
  <c r="Q124" i="122"/>
  <c r="R124" i="122"/>
  <c r="T124" i="122"/>
  <c r="U124" i="122"/>
  <c r="V124" i="122"/>
  <c r="W124" i="122"/>
  <c r="X124" i="122"/>
  <c r="Y124" i="122"/>
  <c r="Z124" i="122"/>
  <c r="AA124" i="122"/>
  <c r="AB124" i="122"/>
  <c r="AC124" i="122"/>
  <c r="AD124" i="122"/>
  <c r="AE124" i="122"/>
  <c r="AF124" i="122"/>
  <c r="H126" i="122"/>
  <c r="H124" i="122" s="1"/>
  <c r="M129" i="122"/>
  <c r="N129" i="122"/>
  <c r="R129" i="122"/>
  <c r="U130" i="122"/>
  <c r="H133" i="122"/>
  <c r="J133" i="122"/>
  <c r="J129" i="122" s="1"/>
  <c r="H136" i="122"/>
  <c r="I136" i="122"/>
  <c r="I129" i="122" s="1"/>
  <c r="K136" i="122"/>
  <c r="K129" i="122" s="1"/>
  <c r="L136" i="122"/>
  <c r="L129" i="122" s="1"/>
  <c r="O136" i="122"/>
  <c r="O129" i="122" s="1"/>
  <c r="P136" i="122"/>
  <c r="P129" i="122" s="1"/>
  <c r="Q136" i="122"/>
  <c r="Q129" i="122" s="1"/>
  <c r="S136" i="122"/>
  <c r="X136" i="122"/>
  <c r="X129" i="122" s="1"/>
  <c r="Y136" i="122"/>
  <c r="Y129" i="122" s="1"/>
  <c r="Z136" i="122"/>
  <c r="Z129" i="122" s="1"/>
  <c r="H138" i="122"/>
  <c r="H141" i="122" s="1"/>
  <c r="H144" i="122" s="1"/>
  <c r="J138" i="122"/>
  <c r="K138" i="122"/>
  <c r="L138" i="122"/>
  <c r="M138" i="122"/>
  <c r="N138" i="122"/>
  <c r="P138" i="122"/>
  <c r="Q138" i="122"/>
  <c r="R138" i="122"/>
  <c r="S138" i="122"/>
  <c r="T138" i="122"/>
  <c r="U138" i="122"/>
  <c r="V138" i="122"/>
  <c r="W138" i="122"/>
  <c r="X138" i="122"/>
  <c r="Y138" i="122"/>
  <c r="Z138" i="122"/>
  <c r="H139" i="122"/>
  <c r="I139" i="122"/>
  <c r="J139" i="122"/>
  <c r="K139" i="122"/>
  <c r="L139" i="122"/>
  <c r="M139" i="122"/>
  <c r="N139" i="122"/>
  <c r="O139" i="122"/>
  <c r="P139" i="122"/>
  <c r="Q139" i="122"/>
  <c r="R139" i="122"/>
  <c r="S139" i="122"/>
  <c r="T139" i="122"/>
  <c r="U139" i="122"/>
  <c r="V139" i="122"/>
  <c r="W139" i="122"/>
  <c r="X139" i="122"/>
  <c r="Y139" i="122"/>
  <c r="Z139" i="122"/>
  <c r="AC77" i="123" l="1"/>
  <c r="Z142" i="122"/>
  <c r="Y142" i="122"/>
  <c r="Y145" i="122" s="1"/>
  <c r="X142" i="122"/>
  <c r="X145" i="122" s="1"/>
  <c r="W142" i="122"/>
  <c r="W145" i="122" s="1"/>
  <c r="Y82" i="123"/>
  <c r="X83" i="123"/>
  <c r="W83" i="123"/>
  <c r="X82" i="123"/>
  <c r="Y77" i="123"/>
  <c r="Y83" i="123"/>
  <c r="W76" i="123"/>
  <c r="W82" i="123"/>
  <c r="Z83" i="123"/>
  <c r="AA129" i="122"/>
  <c r="R141" i="122"/>
  <c r="R144" i="122" s="1"/>
  <c r="Z141" i="122"/>
  <c r="T141" i="122"/>
  <c r="T144" i="122" s="1"/>
  <c r="L141" i="122"/>
  <c r="L144" i="122" s="1"/>
  <c r="N141" i="122"/>
  <c r="N144" i="122" s="1"/>
  <c r="R142" i="122"/>
  <c r="R145" i="122" s="1"/>
  <c r="L142" i="122"/>
  <c r="L145" i="122" s="1"/>
  <c r="V142" i="122"/>
  <c r="V145" i="122" s="1"/>
  <c r="I142" i="122"/>
  <c r="I145" i="122" s="1"/>
  <c r="H129" i="122"/>
  <c r="P142" i="122"/>
  <c r="P145" i="122" s="1"/>
  <c r="J142" i="122"/>
  <c r="J145" i="122" s="1"/>
  <c r="U142" i="122"/>
  <c r="U145" i="122" s="1"/>
  <c r="X141" i="122"/>
  <c r="X144" i="122" s="1"/>
  <c r="V141" i="122"/>
  <c r="V144" i="122" s="1"/>
  <c r="O142" i="122"/>
  <c r="O145" i="122" s="1"/>
  <c r="Y141" i="122"/>
  <c r="Y144" i="122" s="1"/>
  <c r="S141" i="122"/>
  <c r="S144" i="122" s="1"/>
  <c r="U82" i="123"/>
  <c r="M141" i="122"/>
  <c r="M144" i="122" s="1"/>
  <c r="U141" i="122"/>
  <c r="U144" i="122" s="1"/>
  <c r="K141" i="122"/>
  <c r="K144" i="122" s="1"/>
  <c r="T82" i="123"/>
  <c r="W141" i="122"/>
  <c r="W144" i="122" s="1"/>
  <c r="Q141" i="122"/>
  <c r="Q144" i="122" s="1"/>
  <c r="U83" i="123"/>
  <c r="T83" i="123"/>
  <c r="Z77" i="123"/>
  <c r="Y76" i="123"/>
  <c r="X76" i="123"/>
  <c r="S142" i="122"/>
  <c r="S145" i="122" s="1"/>
  <c r="T142" i="122"/>
  <c r="T145" i="122" s="1"/>
  <c r="M142" i="122"/>
  <c r="M145" i="122" s="1"/>
  <c r="N142" i="122"/>
  <c r="N145" i="122" s="1"/>
  <c r="Q142" i="122"/>
  <c r="Q145" i="122" s="1"/>
  <c r="K142" i="122"/>
  <c r="K145" i="122" s="1"/>
  <c r="V82" i="123"/>
  <c r="W77" i="123"/>
  <c r="V83" i="123"/>
  <c r="T76" i="123"/>
  <c r="Z76" i="123"/>
  <c r="AA76" i="123" s="1"/>
  <c r="X77" i="123"/>
  <c r="U76" i="123"/>
  <c r="Z145" i="122" l="1"/>
  <c r="AA145" i="122" s="1"/>
  <c r="AB145" i="122" s="1"/>
  <c r="AC145" i="122" s="1"/>
  <c r="AD145" i="122" s="1"/>
  <c r="AE145" i="122" s="1"/>
  <c r="AF145" i="122" s="1"/>
  <c r="Z144" i="122"/>
  <c r="AB144" i="122" s="1"/>
  <c r="AD77" i="123"/>
  <c r="V73" i="123"/>
  <c r="AB129" i="122"/>
  <c r="S73" i="123"/>
  <c r="Z73" i="123"/>
  <c r="W73" i="123"/>
  <c r="X73" i="123"/>
  <c r="Y73" i="123"/>
  <c r="U73" i="123"/>
  <c r="AB76" i="123"/>
  <c r="AC144" i="122" l="1"/>
  <c r="AD144" i="122" s="1"/>
  <c r="AE144" i="122" s="1"/>
  <c r="AF144" i="122" s="1"/>
  <c r="D27" i="133"/>
  <c r="D32" i="133" s="1"/>
  <c r="AA122" i="122"/>
  <c r="AA66" i="124" s="1"/>
  <c r="AA121" i="122"/>
  <c r="AE77" i="123"/>
  <c r="W74" i="123"/>
  <c r="V74" i="123"/>
  <c r="Z74" i="123"/>
  <c r="AC129" i="122"/>
  <c r="X74" i="123"/>
  <c r="Y74" i="123"/>
  <c r="AC76" i="123"/>
  <c r="N32" i="122"/>
  <c r="M32" i="122"/>
  <c r="L32" i="122"/>
  <c r="K32" i="122"/>
  <c r="J32" i="122"/>
  <c r="I32" i="122"/>
  <c r="N26" i="122"/>
  <c r="M26" i="122"/>
  <c r="L26" i="122"/>
  <c r="K26" i="122"/>
  <c r="J26" i="122"/>
  <c r="I26" i="122"/>
  <c r="H26" i="122"/>
  <c r="N23" i="122"/>
  <c r="M23" i="122"/>
  <c r="L23" i="122"/>
  <c r="K23" i="122"/>
  <c r="J23" i="122"/>
  <c r="I23" i="122"/>
  <c r="H23" i="122"/>
  <c r="Z21" i="122"/>
  <c r="Y21" i="122"/>
  <c r="DA45" i="131" s="1"/>
  <c r="X21" i="122"/>
  <c r="CS45" i="131" s="1"/>
  <c r="W21" i="122"/>
  <c r="CK45" i="131" s="1"/>
  <c r="V21" i="122"/>
  <c r="U21" i="122"/>
  <c r="T21" i="122"/>
  <c r="Z20" i="122"/>
  <c r="Y20" i="122"/>
  <c r="DA44" i="131" s="1"/>
  <c r="X20" i="122"/>
  <c r="CS44" i="131" s="1"/>
  <c r="W20" i="122"/>
  <c r="CK44" i="131" s="1"/>
  <c r="V20" i="122"/>
  <c r="U20" i="122"/>
  <c r="Z19" i="122"/>
  <c r="Y19" i="122"/>
  <c r="DA40" i="131" s="1"/>
  <c r="X19" i="122"/>
  <c r="CS40" i="131" s="1"/>
  <c r="W19" i="122"/>
  <c r="CK40" i="131" s="1"/>
  <c r="V19" i="122"/>
  <c r="U19" i="122"/>
  <c r="T19" i="122"/>
  <c r="R23" i="122"/>
  <c r="Q19" i="122"/>
  <c r="P19" i="122"/>
  <c r="O19" i="122"/>
  <c r="Z15" i="122"/>
  <c r="Y15" i="122"/>
  <c r="X15" i="122"/>
  <c r="W15" i="122"/>
  <c r="V15" i="122"/>
  <c r="U15" i="122"/>
  <c r="N15" i="122"/>
  <c r="M15" i="122"/>
  <c r="L15" i="122"/>
  <c r="K15" i="122"/>
  <c r="N12" i="122"/>
  <c r="M12" i="122"/>
  <c r="L12" i="122"/>
  <c r="K12" i="122"/>
  <c r="J12" i="122"/>
  <c r="I12" i="122"/>
  <c r="H39" i="122"/>
  <c r="Z7" i="122"/>
  <c r="DI11" i="131" s="1"/>
  <c r="Y7" i="122"/>
  <c r="DA11" i="131" s="1"/>
  <c r="X7" i="122"/>
  <c r="CS11" i="131" s="1"/>
  <c r="W7" i="122"/>
  <c r="CK11" i="131" s="1"/>
  <c r="V7" i="122"/>
  <c r="U7" i="122"/>
  <c r="T7" i="122"/>
  <c r="Z6" i="122"/>
  <c r="DI10" i="131" s="1"/>
  <c r="Y6" i="122"/>
  <c r="DA10" i="131" s="1"/>
  <c r="X6" i="122"/>
  <c r="CS10" i="131" s="1"/>
  <c r="W6" i="122"/>
  <c r="CK10" i="131" s="1"/>
  <c r="V6" i="122"/>
  <c r="U6" i="122"/>
  <c r="Z5" i="122"/>
  <c r="DI6" i="131" s="1"/>
  <c r="Y5" i="122"/>
  <c r="DA6" i="131" s="1"/>
  <c r="X5" i="122"/>
  <c r="CS6" i="131" s="1"/>
  <c r="W5" i="122"/>
  <c r="CK6" i="131" s="1"/>
  <c r="V5" i="122"/>
  <c r="U5" i="122"/>
  <c r="T5" i="122"/>
  <c r="S5" i="122"/>
  <c r="S8" i="122" s="1"/>
  <c r="T15" i="122" s="1"/>
  <c r="R5" i="122"/>
  <c r="R8" i="122" s="1"/>
  <c r="Q5" i="122"/>
  <c r="Q8" i="122" s="1"/>
  <c r="P5" i="122"/>
  <c r="P8" i="122" s="1"/>
  <c r="O5" i="122"/>
  <c r="O8" i="122" s="1"/>
  <c r="O15" i="122" s="1"/>
  <c r="W253" i="125"/>
  <c r="X253" i="125" s="1"/>
  <c r="Y253" i="125" s="1"/>
  <c r="Z253" i="125" s="1"/>
  <c r="AA253" i="125" s="1"/>
  <c r="AB253" i="125" s="1"/>
  <c r="AC253" i="125" s="1"/>
  <c r="AD253" i="125" s="1"/>
  <c r="AE253" i="125" s="1"/>
  <c r="AF253" i="125" s="1"/>
  <c r="W239" i="125"/>
  <c r="W224" i="125"/>
  <c r="X224" i="125" s="1"/>
  <c r="Y224" i="125" s="1"/>
  <c r="Z224" i="125" s="1"/>
  <c r="AA224" i="125" s="1"/>
  <c r="AB224" i="125" s="1"/>
  <c r="AC224" i="125" s="1"/>
  <c r="AD224" i="125" s="1"/>
  <c r="AE224" i="125" s="1"/>
  <c r="AF224" i="125" s="1"/>
  <c r="W223" i="125"/>
  <c r="X223" i="125" s="1"/>
  <c r="Y223" i="125" s="1"/>
  <c r="Z223" i="125" s="1"/>
  <c r="AA223" i="125" s="1"/>
  <c r="AB223" i="125" s="1"/>
  <c r="AC223" i="125" s="1"/>
  <c r="AD223" i="125" s="1"/>
  <c r="AE223" i="125" s="1"/>
  <c r="AF223" i="125" s="1"/>
  <c r="W222" i="125"/>
  <c r="X222" i="125" s="1"/>
  <c r="Y222" i="125" s="1"/>
  <c r="Z222" i="125" s="1"/>
  <c r="AA222" i="125" s="1"/>
  <c r="AB222" i="125" s="1"/>
  <c r="AC222" i="125" s="1"/>
  <c r="AD222" i="125" s="1"/>
  <c r="AE222" i="125" s="1"/>
  <c r="AF222" i="125" s="1"/>
  <c r="W221" i="125"/>
  <c r="X221" i="125" s="1"/>
  <c r="Y221" i="125" s="1"/>
  <c r="Z221" i="125" s="1"/>
  <c r="AA221" i="125" s="1"/>
  <c r="AB221" i="125" s="1"/>
  <c r="AC221" i="125" s="1"/>
  <c r="AD221" i="125" s="1"/>
  <c r="AE221" i="125" s="1"/>
  <c r="AF221" i="125" s="1"/>
  <c r="W218" i="125"/>
  <c r="X218" i="125" s="1"/>
  <c r="Y218" i="125" s="1"/>
  <c r="Z218" i="125" s="1"/>
  <c r="AA218" i="125" s="1"/>
  <c r="AB218" i="125" s="1"/>
  <c r="AC218" i="125" s="1"/>
  <c r="AD218" i="125" s="1"/>
  <c r="AE218" i="125" s="1"/>
  <c r="AF218" i="125" s="1"/>
  <c r="W217" i="125"/>
  <c r="X217" i="125" s="1"/>
  <c r="Y217" i="125" s="1"/>
  <c r="Z217" i="125" s="1"/>
  <c r="AA217" i="125" s="1"/>
  <c r="AB217" i="125" s="1"/>
  <c r="AC217" i="125" s="1"/>
  <c r="AD217" i="125" s="1"/>
  <c r="AE217" i="125" s="1"/>
  <c r="AF217" i="125" s="1"/>
  <c r="W216" i="125"/>
  <c r="X216" i="125" s="1"/>
  <c r="Y216" i="125" s="1"/>
  <c r="Z216" i="125" s="1"/>
  <c r="AA216" i="125" s="1"/>
  <c r="AB216" i="125" s="1"/>
  <c r="AC216" i="125" s="1"/>
  <c r="AD216" i="125" s="1"/>
  <c r="AE216" i="125" s="1"/>
  <c r="AF216" i="125" s="1"/>
  <c r="W215" i="125"/>
  <c r="X215" i="125" s="1"/>
  <c r="Y215" i="125" s="1"/>
  <c r="Z215" i="125" s="1"/>
  <c r="AA215" i="125" s="1"/>
  <c r="AB215" i="125" s="1"/>
  <c r="AC215" i="125" s="1"/>
  <c r="AD215" i="125" s="1"/>
  <c r="AE215" i="125" s="1"/>
  <c r="AF215" i="125" s="1"/>
  <c r="AD193" i="125"/>
  <c r="Y193" i="125"/>
  <c r="X193" i="125"/>
  <c r="X190" i="125" s="1"/>
  <c r="AA184" i="125"/>
  <c r="Y186" i="125"/>
  <c r="W145" i="125"/>
  <c r="X145" i="125" s="1"/>
  <c r="Y145" i="125" s="1"/>
  <c r="Z145" i="125" s="1"/>
  <c r="AA145" i="125" s="1"/>
  <c r="AB145" i="125" s="1"/>
  <c r="AC145" i="125" s="1"/>
  <c r="AD145" i="125" s="1"/>
  <c r="AE145" i="125" s="1"/>
  <c r="AF145" i="125" s="1"/>
  <c r="AD136" i="125"/>
  <c r="W135" i="125"/>
  <c r="Z80" i="125"/>
  <c r="Y80" i="125"/>
  <c r="X80" i="125"/>
  <c r="W34" i="125"/>
  <c r="X34" i="125" s="1"/>
  <c r="Y34" i="125" s="1"/>
  <c r="Z34" i="125" s="1"/>
  <c r="AA51" i="125"/>
  <c r="AB30" i="125"/>
  <c r="AB50" i="125" s="1"/>
  <c r="AC49" i="125"/>
  <c r="AB49" i="125"/>
  <c r="AA49" i="125"/>
  <c r="Z29" i="125"/>
  <c r="Z49" i="125" s="1"/>
  <c r="Y29" i="125"/>
  <c r="Y49" i="125" s="1"/>
  <c r="X29" i="125"/>
  <c r="X49" i="125" s="1"/>
  <c r="W29" i="125"/>
  <c r="Z313" i="125"/>
  <c r="Y313" i="125"/>
  <c r="X313" i="125"/>
  <c r="W313" i="125"/>
  <c r="Z312" i="125"/>
  <c r="AA312" i="125" s="1"/>
  <c r="Y312" i="125"/>
  <c r="X312" i="125"/>
  <c r="W312" i="125"/>
  <c r="AA310" i="125"/>
  <c r="AB310" i="125" s="1"/>
  <c r="AC310" i="125" s="1"/>
  <c r="AD310" i="125" s="1"/>
  <c r="AE310" i="125" s="1"/>
  <c r="AF310" i="125" s="1"/>
  <c r="AA309" i="125"/>
  <c r="AB309" i="125" s="1"/>
  <c r="AC309" i="125" s="1"/>
  <c r="AD309" i="125" s="1"/>
  <c r="AE309" i="125" s="1"/>
  <c r="AF309" i="125" s="1"/>
  <c r="Z308" i="125"/>
  <c r="Z306" i="125" s="1"/>
  <c r="Y308" i="125"/>
  <c r="Y306" i="125" s="1"/>
  <c r="X308" i="125"/>
  <c r="X306" i="125" s="1"/>
  <c r="W308" i="125"/>
  <c r="W306" i="125" s="1"/>
  <c r="AA307" i="125"/>
  <c r="AB307" i="125" s="1"/>
  <c r="AC307" i="125" s="1"/>
  <c r="AD307" i="125" s="1"/>
  <c r="AE307" i="125" s="1"/>
  <c r="AF307" i="125" s="1"/>
  <c r="Z20" i="125"/>
  <c r="Y20" i="125"/>
  <c r="X20" i="125"/>
  <c r="W20" i="125"/>
  <c r="Z16" i="125"/>
  <c r="Y16" i="125"/>
  <c r="X16" i="125"/>
  <c r="W16" i="125"/>
  <c r="Z12" i="125"/>
  <c r="Y12" i="125"/>
  <c r="X12" i="125"/>
  <c r="W12" i="125"/>
  <c r="Z7" i="125"/>
  <c r="Y7" i="125"/>
  <c r="X7" i="125"/>
  <c r="W7" i="125"/>
  <c r="Z4" i="125"/>
  <c r="Y4" i="125"/>
  <c r="X4" i="125"/>
  <c r="W4" i="125"/>
  <c r="Z120" i="126"/>
  <c r="Y120" i="126"/>
  <c r="X120" i="126"/>
  <c r="W118" i="126"/>
  <c r="V118" i="126"/>
  <c r="U118" i="126"/>
  <c r="T118" i="126"/>
  <c r="S118" i="126"/>
  <c r="X116" i="126"/>
  <c r="W116" i="126"/>
  <c r="V116" i="126"/>
  <c r="V23" i="126" s="1"/>
  <c r="U116" i="126"/>
  <c r="S107" i="126"/>
  <c r="T98" i="126"/>
  <c r="S98" i="126"/>
  <c r="R98" i="126"/>
  <c r="Q98" i="126"/>
  <c r="P98" i="126"/>
  <c r="O98" i="126"/>
  <c r="N98" i="126"/>
  <c r="M98" i="126"/>
  <c r="L98" i="126"/>
  <c r="K98" i="126"/>
  <c r="U45" i="126"/>
  <c r="T45" i="126"/>
  <c r="S45" i="126"/>
  <c r="R45" i="126"/>
  <c r="Q45" i="126"/>
  <c r="P45" i="126"/>
  <c r="O45" i="126"/>
  <c r="N45" i="126"/>
  <c r="M45" i="126"/>
  <c r="L45" i="126"/>
  <c r="K45" i="126"/>
  <c r="J45" i="126"/>
  <c r="I45" i="126"/>
  <c r="Z38" i="126"/>
  <c r="AA38" i="126" s="1"/>
  <c r="Y38" i="126"/>
  <c r="X38" i="126"/>
  <c r="W38" i="126"/>
  <c r="V38" i="126"/>
  <c r="U38" i="126"/>
  <c r="AA36" i="126"/>
  <c r="AB36" i="126" s="1"/>
  <c r="AC36" i="126" s="1"/>
  <c r="AD36" i="126" s="1"/>
  <c r="AE36" i="126" s="1"/>
  <c r="AF36" i="126" s="1"/>
  <c r="AA35" i="126"/>
  <c r="AB35" i="126" s="1"/>
  <c r="AC35" i="126" s="1"/>
  <c r="AD35" i="126" s="1"/>
  <c r="AE35" i="126" s="1"/>
  <c r="AF35" i="126" s="1"/>
  <c r="Z34" i="126"/>
  <c r="Z32" i="126" s="1"/>
  <c r="Y34" i="126"/>
  <c r="Y32" i="126" s="1"/>
  <c r="X34" i="126"/>
  <c r="X32" i="126" s="1"/>
  <c r="W34" i="126"/>
  <c r="W32" i="126" s="1"/>
  <c r="V34" i="126"/>
  <c r="V32" i="126" s="1"/>
  <c r="U34" i="126"/>
  <c r="U32" i="126" s="1"/>
  <c r="T34" i="126"/>
  <c r="T32" i="126" s="1"/>
  <c r="AA33" i="126"/>
  <c r="AB33" i="126" s="1"/>
  <c r="AC33" i="126" s="1"/>
  <c r="AD33" i="126" s="1"/>
  <c r="AE33" i="126" s="1"/>
  <c r="AF33" i="126" s="1"/>
  <c r="Z23" i="126"/>
  <c r="Y23" i="126"/>
  <c r="Z21" i="126"/>
  <c r="Y21" i="126"/>
  <c r="X21" i="126"/>
  <c r="W21" i="126"/>
  <c r="V21" i="126"/>
  <c r="Z19" i="126"/>
  <c r="Y19" i="126"/>
  <c r="X19" i="126"/>
  <c r="W19" i="126"/>
  <c r="W20" i="126" s="1"/>
  <c r="V19" i="126"/>
  <c r="V20" i="126" s="1"/>
  <c r="S19" i="126"/>
  <c r="S20" i="126" s="1"/>
  <c r="R19" i="126"/>
  <c r="R20" i="126" s="1"/>
  <c r="Q19" i="126"/>
  <c r="Q20" i="126" s="1"/>
  <c r="Z18" i="126"/>
  <c r="Y18" i="126"/>
  <c r="X18" i="126"/>
  <c r="W18" i="126"/>
  <c r="V18" i="126"/>
  <c r="R18" i="126"/>
  <c r="Q18" i="126"/>
  <c r="P18" i="126"/>
  <c r="O18" i="126"/>
  <c r="Z17" i="126"/>
  <c r="Y17" i="126"/>
  <c r="X17" i="126"/>
  <c r="W17" i="126"/>
  <c r="V17" i="126"/>
  <c r="R17" i="126"/>
  <c r="Q17" i="126"/>
  <c r="Z15" i="126"/>
  <c r="Y15" i="126"/>
  <c r="X15" i="126"/>
  <c r="W15" i="126"/>
  <c r="V15" i="126"/>
  <c r="U15" i="126"/>
  <c r="Z11" i="126"/>
  <c r="Y11" i="126"/>
  <c r="X11" i="126"/>
  <c r="W11" i="126"/>
  <c r="V11" i="126"/>
  <c r="U11" i="126"/>
  <c r="Z10" i="126"/>
  <c r="Y10" i="126"/>
  <c r="X10" i="126"/>
  <c r="W10" i="126"/>
  <c r="V10" i="126"/>
  <c r="U10" i="126"/>
  <c r="Z7" i="126"/>
  <c r="Y7" i="126"/>
  <c r="X7" i="126"/>
  <c r="W7" i="126"/>
  <c r="V7" i="126"/>
  <c r="T6" i="126"/>
  <c r="T38" i="126" s="1"/>
  <c r="N44" i="127"/>
  <c r="O44" i="127" s="1"/>
  <c r="M44" i="127"/>
  <c r="L44" i="127"/>
  <c r="K44" i="127"/>
  <c r="J44" i="127"/>
  <c r="I44" i="127"/>
  <c r="H44" i="127"/>
  <c r="O42" i="127"/>
  <c r="P42" i="127" s="1"/>
  <c r="Q42" i="127" s="1"/>
  <c r="R42" i="127" s="1"/>
  <c r="S42" i="127" s="1"/>
  <c r="T42" i="127" s="1"/>
  <c r="O41" i="127"/>
  <c r="P41" i="127" s="1"/>
  <c r="Q41" i="127" s="1"/>
  <c r="R41" i="127" s="1"/>
  <c r="S41" i="127" s="1"/>
  <c r="T41" i="127" s="1"/>
  <c r="N40" i="127"/>
  <c r="N37" i="127" s="1"/>
  <c r="N38" i="127" s="1"/>
  <c r="M40" i="127"/>
  <c r="M37" i="127" s="1"/>
  <c r="M38" i="127" s="1"/>
  <c r="L40" i="127"/>
  <c r="L37" i="127" s="1"/>
  <c r="L38" i="127" s="1"/>
  <c r="K40" i="127"/>
  <c r="K37" i="127" s="1"/>
  <c r="K38" i="127" s="1"/>
  <c r="J40" i="127"/>
  <c r="J37" i="127" s="1"/>
  <c r="J38" i="127" s="1"/>
  <c r="I40" i="127"/>
  <c r="I37" i="127" s="1"/>
  <c r="I38" i="127" s="1"/>
  <c r="H40" i="127"/>
  <c r="H37" i="127" s="1"/>
  <c r="O39" i="127"/>
  <c r="P39" i="127" s="1"/>
  <c r="Q39" i="127" s="1"/>
  <c r="R39" i="127" s="1"/>
  <c r="S39" i="127" s="1"/>
  <c r="T39" i="127" s="1"/>
  <c r="H33" i="127"/>
  <c r="N29" i="127"/>
  <c r="M29" i="127"/>
  <c r="I29" i="127"/>
  <c r="N27" i="127"/>
  <c r="M27" i="127"/>
  <c r="L27" i="127"/>
  <c r="K27" i="127"/>
  <c r="J27" i="127"/>
  <c r="I27" i="127"/>
  <c r="N20" i="127"/>
  <c r="M20" i="127"/>
  <c r="L20" i="127"/>
  <c r="K20" i="127"/>
  <c r="J20" i="127"/>
  <c r="I20" i="127"/>
  <c r="H20" i="127"/>
  <c r="N16" i="127"/>
  <c r="M16" i="127"/>
  <c r="L16" i="127"/>
  <c r="K16" i="127"/>
  <c r="J16" i="127"/>
  <c r="I16" i="127"/>
  <c r="N15" i="127"/>
  <c r="M15" i="127"/>
  <c r="L15" i="127"/>
  <c r="K15" i="127"/>
  <c r="J15" i="127"/>
  <c r="I15" i="127"/>
  <c r="N7" i="127"/>
  <c r="M7" i="127"/>
  <c r="L7" i="127"/>
  <c r="K7" i="127"/>
  <c r="J7" i="127"/>
  <c r="I7" i="127"/>
  <c r="H7" i="127"/>
  <c r="Q56" i="123"/>
  <c r="Z54" i="123"/>
  <c r="L144" i="118" s="1"/>
  <c r="L143" i="118" s="1"/>
  <c r="X54" i="123"/>
  <c r="W54" i="123"/>
  <c r="V54" i="123"/>
  <c r="U54" i="123"/>
  <c r="T54" i="123"/>
  <c r="S54" i="123"/>
  <c r="L54" i="123"/>
  <c r="K54" i="123"/>
  <c r="J54" i="123"/>
  <c r="I54" i="123"/>
  <c r="H54" i="123"/>
  <c r="AA51" i="123"/>
  <c r="Y51" i="123"/>
  <c r="O50" i="123"/>
  <c r="AA49" i="123"/>
  <c r="R49" i="123"/>
  <c r="O49" i="123"/>
  <c r="V47" i="123"/>
  <c r="U47" i="123"/>
  <c r="T47" i="123"/>
  <c r="S47" i="123"/>
  <c r="J47" i="123"/>
  <c r="I47" i="123"/>
  <c r="AA46" i="123"/>
  <c r="R46" i="123"/>
  <c r="O46" i="123"/>
  <c r="O70" i="123" s="1"/>
  <c r="N46" i="123"/>
  <c r="M46" i="123"/>
  <c r="L46" i="123"/>
  <c r="K46" i="123"/>
  <c r="H46" i="123"/>
  <c r="AA39" i="123"/>
  <c r="I39" i="123"/>
  <c r="AA38" i="123"/>
  <c r="O38" i="123"/>
  <c r="Y36" i="123"/>
  <c r="X36" i="123"/>
  <c r="W36" i="123"/>
  <c r="V36" i="123"/>
  <c r="U36" i="123"/>
  <c r="T36" i="123"/>
  <c r="R36" i="123"/>
  <c r="Z35" i="123"/>
  <c r="Q35" i="123"/>
  <c r="P35" i="123"/>
  <c r="N35" i="123"/>
  <c r="M35" i="123"/>
  <c r="L35" i="123"/>
  <c r="K35" i="123"/>
  <c r="J35" i="123"/>
  <c r="I35" i="123"/>
  <c r="H35" i="123"/>
  <c r="AA34" i="123"/>
  <c r="O34" i="123"/>
  <c r="AA32" i="123"/>
  <c r="S32" i="123"/>
  <c r="O31" i="123"/>
  <c r="AA30" i="123"/>
  <c r="M119" i="118" s="1"/>
  <c r="AA29" i="123"/>
  <c r="O29" i="123"/>
  <c r="V27" i="123"/>
  <c r="U27" i="123"/>
  <c r="S27" i="123"/>
  <c r="R27" i="123"/>
  <c r="O27" i="123"/>
  <c r="J27" i="123"/>
  <c r="I27" i="123"/>
  <c r="AA26" i="123"/>
  <c r="T26" i="123"/>
  <c r="Q26" i="123"/>
  <c r="P26" i="123"/>
  <c r="N26" i="123"/>
  <c r="M26" i="123"/>
  <c r="L26" i="123"/>
  <c r="K26" i="123"/>
  <c r="H26" i="123"/>
  <c r="AA24" i="123"/>
  <c r="AA22" i="123"/>
  <c r="AA17" i="123"/>
  <c r="AA16" i="123"/>
  <c r="Z14" i="123"/>
  <c r="Y14" i="123"/>
  <c r="X14" i="123"/>
  <c r="W14" i="123"/>
  <c r="V14" i="123"/>
  <c r="T14" i="123"/>
  <c r="O14" i="123"/>
  <c r="P13" i="123"/>
  <c r="N13" i="123"/>
  <c r="M13" i="123"/>
  <c r="L13" i="123"/>
  <c r="K13" i="123"/>
  <c r="J13" i="123"/>
  <c r="I13" i="123"/>
  <c r="H13" i="123"/>
  <c r="AA12" i="123"/>
  <c r="U12" i="123"/>
  <c r="Q12" i="123"/>
  <c r="AA11" i="123"/>
  <c r="AA10" i="123"/>
  <c r="AA9" i="123"/>
  <c r="AA8" i="123"/>
  <c r="AA7" i="123"/>
  <c r="O6" i="123"/>
  <c r="O134" i="123" s="1"/>
  <c r="O5" i="123"/>
  <c r="N57" i="124"/>
  <c r="H57" i="124"/>
  <c r="Q51" i="124"/>
  <c r="P51" i="124"/>
  <c r="O51" i="124"/>
  <c r="N51" i="124"/>
  <c r="H51" i="124"/>
  <c r="Z49" i="124"/>
  <c r="Y49" i="124"/>
  <c r="X49" i="124"/>
  <c r="W49" i="124"/>
  <c r="V49" i="124"/>
  <c r="T49" i="124"/>
  <c r="S49" i="124"/>
  <c r="R49" i="124"/>
  <c r="K49" i="124"/>
  <c r="J49" i="124"/>
  <c r="I49" i="124"/>
  <c r="Q48" i="124"/>
  <c r="P48" i="124"/>
  <c r="O48" i="124"/>
  <c r="N48" i="124"/>
  <c r="M48" i="124"/>
  <c r="P45" i="124"/>
  <c r="AA44" i="124"/>
  <c r="Z44" i="124"/>
  <c r="Y44" i="124"/>
  <c r="X44" i="124"/>
  <c r="W44" i="124"/>
  <c r="V44" i="124"/>
  <c r="U44" i="124"/>
  <c r="T44" i="124"/>
  <c r="R44" i="124"/>
  <c r="P44" i="124"/>
  <c r="O44" i="124"/>
  <c r="L41" i="124"/>
  <c r="K41" i="124"/>
  <c r="J41" i="124"/>
  <c r="I41" i="124"/>
  <c r="H41" i="124"/>
  <c r="AA31" i="123"/>
  <c r="U37" i="124"/>
  <c r="M35" i="124"/>
  <c r="J35" i="124"/>
  <c r="I35" i="124"/>
  <c r="T34" i="124"/>
  <c r="S34" i="124"/>
  <c r="R34" i="124"/>
  <c r="N34" i="124"/>
  <c r="L34" i="124"/>
  <c r="K34" i="124"/>
  <c r="Z31" i="124"/>
  <c r="Y31" i="124"/>
  <c r="X31" i="124"/>
  <c r="W31" i="124"/>
  <c r="V31" i="124"/>
  <c r="U31" i="124"/>
  <c r="T31" i="124"/>
  <c r="S31" i="124"/>
  <c r="R31" i="124"/>
  <c r="Q30" i="124"/>
  <c r="P30" i="124"/>
  <c r="O30" i="124"/>
  <c r="H30" i="124"/>
  <c r="AB29" i="124"/>
  <c r="Z29" i="124"/>
  <c r="Y29" i="124"/>
  <c r="X29" i="124"/>
  <c r="W29" i="124"/>
  <c r="V29" i="124"/>
  <c r="U29" i="124"/>
  <c r="T29" i="124"/>
  <c r="S29" i="124"/>
  <c r="R29" i="124"/>
  <c r="Q29" i="124"/>
  <c r="P29" i="124"/>
  <c r="O29" i="124"/>
  <c r="N29" i="124"/>
  <c r="M29" i="124"/>
  <c r="L29" i="124"/>
  <c r="K29" i="124"/>
  <c r="J29" i="124"/>
  <c r="I29" i="124"/>
  <c r="H29" i="124"/>
  <c r="R27" i="124"/>
  <c r="N27" i="124"/>
  <c r="M27" i="124"/>
  <c r="L27" i="124"/>
  <c r="K27" i="124"/>
  <c r="J27" i="124"/>
  <c r="I27" i="124"/>
  <c r="H27" i="124"/>
  <c r="Z26" i="124"/>
  <c r="L58" i="118" s="1"/>
  <c r="Y26" i="124"/>
  <c r="X26" i="124"/>
  <c r="W26" i="124"/>
  <c r="V26" i="124"/>
  <c r="U26" i="124"/>
  <c r="T26" i="124"/>
  <c r="S26" i="124"/>
  <c r="Q26" i="124"/>
  <c r="P26" i="124"/>
  <c r="O26" i="124"/>
  <c r="M24" i="124"/>
  <c r="M180" i="122" s="1"/>
  <c r="M186" i="122" s="1"/>
  <c r="L24" i="124"/>
  <c r="L180" i="122" s="1"/>
  <c r="L186" i="122" s="1"/>
  <c r="K24" i="124"/>
  <c r="J24" i="124"/>
  <c r="J180" i="122" s="1"/>
  <c r="J186" i="122" s="1"/>
  <c r="I24" i="124"/>
  <c r="I180" i="122" s="1"/>
  <c r="I186" i="122" s="1"/>
  <c r="Z20" i="124"/>
  <c r="Y20" i="124"/>
  <c r="Y22" i="124" s="1"/>
  <c r="X20" i="124"/>
  <c r="X22" i="124" s="1"/>
  <c r="W20" i="124"/>
  <c r="W22" i="124" s="1"/>
  <c r="V20" i="124"/>
  <c r="U20" i="124"/>
  <c r="T20" i="124"/>
  <c r="S20" i="124"/>
  <c r="L17" i="124"/>
  <c r="K17" i="124"/>
  <c r="J17" i="124"/>
  <c r="I17" i="124"/>
  <c r="H17" i="124"/>
  <c r="L16" i="124"/>
  <c r="K16" i="124"/>
  <c r="J16" i="124"/>
  <c r="I16" i="124"/>
  <c r="H16" i="124"/>
  <c r="Z15" i="124"/>
  <c r="L49" i="118" s="1"/>
  <c r="Y15" i="124"/>
  <c r="K49" i="118" s="1"/>
  <c r="X15" i="124"/>
  <c r="J49" i="118" s="1"/>
  <c r="W15" i="124"/>
  <c r="I49" i="118" s="1"/>
  <c r="V15" i="124"/>
  <c r="H49" i="118" s="1"/>
  <c r="Q15" i="124"/>
  <c r="C49" i="118" s="1"/>
  <c r="P15" i="124"/>
  <c r="O11" i="124"/>
  <c r="AA9" i="124"/>
  <c r="P8" i="124"/>
  <c r="O8" i="124"/>
  <c r="N8" i="124"/>
  <c r="M8" i="124"/>
  <c r="L8" i="124"/>
  <c r="K8" i="124"/>
  <c r="J8" i="124"/>
  <c r="I8" i="124"/>
  <c r="H8" i="124"/>
  <c r="P6" i="124"/>
  <c r="L6" i="124"/>
  <c r="Q5" i="124"/>
  <c r="O5" i="124"/>
  <c r="N5" i="124"/>
  <c r="M5" i="124"/>
  <c r="K5" i="124"/>
  <c r="J5" i="124"/>
  <c r="I5" i="124"/>
  <c r="H5" i="124"/>
  <c r="Z113" i="122"/>
  <c r="Y113" i="122"/>
  <c r="X113" i="122"/>
  <c r="W113" i="122"/>
  <c r="V113" i="122"/>
  <c r="U113" i="122"/>
  <c r="T113" i="122"/>
  <c r="S113" i="122"/>
  <c r="R113" i="122"/>
  <c r="Q113" i="122"/>
  <c r="P113" i="122"/>
  <c r="O113" i="122"/>
  <c r="R45" i="124"/>
  <c r="S44" i="124" s="1"/>
  <c r="L109" i="122"/>
  <c r="K109" i="122"/>
  <c r="J109" i="122"/>
  <c r="Q87" i="122"/>
  <c r="Z75" i="122"/>
  <c r="Y75" i="122"/>
  <c r="K21" i="118" s="1"/>
  <c r="X75" i="122"/>
  <c r="J21" i="118" s="1"/>
  <c r="W75" i="122"/>
  <c r="I21" i="118" s="1"/>
  <c r="V75" i="122"/>
  <c r="H21" i="118" s="1"/>
  <c r="U75" i="122"/>
  <c r="G21" i="118" s="1"/>
  <c r="T75" i="122"/>
  <c r="F21" i="118" s="1"/>
  <c r="S75" i="122"/>
  <c r="R75" i="122"/>
  <c r="Q75" i="122"/>
  <c r="P75" i="122"/>
  <c r="O75" i="122"/>
  <c r="N75" i="122"/>
  <c r="M75" i="122"/>
  <c r="L75" i="122"/>
  <c r="K75" i="122"/>
  <c r="J75" i="122"/>
  <c r="I75" i="122"/>
  <c r="H75" i="122"/>
  <c r="Y64" i="122"/>
  <c r="X64" i="122"/>
  <c r="W64" i="122"/>
  <c r="V64" i="122"/>
  <c r="U64" i="122"/>
  <c r="G15" i="118" s="1"/>
  <c r="T64" i="122"/>
  <c r="F15" i="118" s="1"/>
  <c r="S64" i="122"/>
  <c r="R64" i="122"/>
  <c r="Q64" i="122"/>
  <c r="Q73" i="122" s="1"/>
  <c r="P64" i="122"/>
  <c r="P73" i="122" s="1"/>
  <c r="O64" i="122"/>
  <c r="N64" i="122"/>
  <c r="M64" i="122"/>
  <c r="L64" i="122"/>
  <c r="K64" i="122"/>
  <c r="J64" i="122"/>
  <c r="I64" i="122"/>
  <c r="Z63" i="122"/>
  <c r="AA63" i="122" s="1"/>
  <c r="Y63" i="122"/>
  <c r="X63" i="122"/>
  <c r="W63" i="122"/>
  <c r="V63" i="122"/>
  <c r="U63" i="122"/>
  <c r="T63" i="122"/>
  <c r="S63" i="122"/>
  <c r="R63" i="122"/>
  <c r="Q63" i="122"/>
  <c r="P63" i="122"/>
  <c r="Z61" i="122"/>
  <c r="AA61" i="122" s="1"/>
  <c r="Y61" i="122"/>
  <c r="X61" i="122"/>
  <c r="W61" i="122"/>
  <c r="V61" i="122"/>
  <c r="U61" i="122"/>
  <c r="T61" i="122"/>
  <c r="S61" i="122"/>
  <c r="R61" i="122"/>
  <c r="Q61" i="122"/>
  <c r="P61" i="122"/>
  <c r="O61" i="122"/>
  <c r="N61" i="122"/>
  <c r="M61" i="122"/>
  <c r="L61" i="122"/>
  <c r="K61" i="122"/>
  <c r="J61" i="122"/>
  <c r="I61" i="122"/>
  <c r="H61" i="122"/>
  <c r="Z59" i="122"/>
  <c r="AA59" i="122" s="1"/>
  <c r="AB59" i="122" s="1"/>
  <c r="AC59" i="122" s="1"/>
  <c r="Y59" i="122"/>
  <c r="X59" i="122"/>
  <c r="W59" i="122"/>
  <c r="V59" i="122"/>
  <c r="U59" i="122"/>
  <c r="T59" i="122"/>
  <c r="S59" i="122"/>
  <c r="R59" i="122"/>
  <c r="Q59" i="122"/>
  <c r="P59" i="122"/>
  <c r="O59" i="122"/>
  <c r="N59" i="122"/>
  <c r="M59" i="122"/>
  <c r="L59" i="122"/>
  <c r="K59" i="122"/>
  <c r="J59" i="122"/>
  <c r="I59" i="122"/>
  <c r="H59" i="122"/>
  <c r="Z56" i="122"/>
  <c r="AA56" i="122" s="1"/>
  <c r="AB56" i="122" s="1"/>
  <c r="Y56" i="122"/>
  <c r="X56" i="122"/>
  <c r="W56" i="122"/>
  <c r="V56" i="122"/>
  <c r="U56" i="122"/>
  <c r="T56" i="122"/>
  <c r="S56" i="122"/>
  <c r="R56" i="122"/>
  <c r="Q56" i="122"/>
  <c r="P56" i="122"/>
  <c r="O56" i="122"/>
  <c r="N56" i="122"/>
  <c r="M56" i="122"/>
  <c r="L56" i="122"/>
  <c r="K56" i="122"/>
  <c r="J56" i="122"/>
  <c r="I56" i="122"/>
  <c r="H55" i="122"/>
  <c r="Z54" i="122"/>
  <c r="AA54" i="122" s="1"/>
  <c r="AB54" i="122" s="1"/>
  <c r="Y54" i="122"/>
  <c r="X54" i="122"/>
  <c r="W54" i="122"/>
  <c r="V54" i="122"/>
  <c r="U54" i="122"/>
  <c r="T54" i="122"/>
  <c r="S54" i="122"/>
  <c r="R54" i="122"/>
  <c r="Q54" i="122"/>
  <c r="P54" i="122"/>
  <c r="O54" i="122"/>
  <c r="N54" i="122"/>
  <c r="M54" i="122"/>
  <c r="L54" i="122"/>
  <c r="K54" i="122"/>
  <c r="J54" i="122"/>
  <c r="I54" i="122"/>
  <c r="H54" i="122"/>
  <c r="Z52" i="122"/>
  <c r="Y52" i="122"/>
  <c r="X52" i="122"/>
  <c r="W52" i="122"/>
  <c r="V52" i="122"/>
  <c r="U52" i="122"/>
  <c r="T52" i="122"/>
  <c r="S52" i="122"/>
  <c r="R52" i="122"/>
  <c r="Q52" i="122"/>
  <c r="P52" i="122"/>
  <c r="O52" i="122"/>
  <c r="N52" i="122"/>
  <c r="M52" i="122"/>
  <c r="L52" i="122"/>
  <c r="K52" i="122"/>
  <c r="J52" i="122"/>
  <c r="I52" i="122"/>
  <c r="H52" i="122"/>
  <c r="Z50" i="122"/>
  <c r="AA50" i="122" s="1"/>
  <c r="Y50" i="122"/>
  <c r="X50" i="122"/>
  <c r="W50" i="122"/>
  <c r="V50" i="122"/>
  <c r="U50" i="122"/>
  <c r="T50" i="122"/>
  <c r="S50" i="122"/>
  <c r="R50" i="122"/>
  <c r="Q50" i="122"/>
  <c r="P50" i="122"/>
  <c r="O50" i="122"/>
  <c r="N50" i="122"/>
  <c r="M50" i="122"/>
  <c r="L50" i="122"/>
  <c r="K50" i="122"/>
  <c r="J50" i="122"/>
  <c r="I50" i="122"/>
  <c r="H50" i="122"/>
  <c r="Z48" i="122"/>
  <c r="AA48" i="122" s="1"/>
  <c r="Y48" i="122"/>
  <c r="X48" i="122"/>
  <c r="W48" i="122"/>
  <c r="V48" i="122"/>
  <c r="U48" i="122"/>
  <c r="T48" i="122"/>
  <c r="S48" i="122"/>
  <c r="R48" i="122"/>
  <c r="Q48" i="122"/>
  <c r="P48" i="122"/>
  <c r="O48" i="122"/>
  <c r="N48" i="122"/>
  <c r="M48" i="122"/>
  <c r="L48" i="122"/>
  <c r="K48" i="122"/>
  <c r="J48" i="122"/>
  <c r="I48" i="122"/>
  <c r="H48" i="122"/>
  <c r="Z46" i="122"/>
  <c r="AA46" i="122" s="1"/>
  <c r="Y46" i="122"/>
  <c r="X46" i="122"/>
  <c r="W46" i="122"/>
  <c r="V46" i="122"/>
  <c r="U46" i="122"/>
  <c r="T46" i="122"/>
  <c r="S46" i="122"/>
  <c r="R46" i="122"/>
  <c r="Q46" i="122"/>
  <c r="P46" i="122"/>
  <c r="O46" i="122"/>
  <c r="N46" i="122"/>
  <c r="M46" i="122"/>
  <c r="L46" i="122"/>
  <c r="K46" i="122"/>
  <c r="J46" i="122"/>
  <c r="I46" i="122"/>
  <c r="H46" i="122"/>
  <c r="Z42" i="122"/>
  <c r="Y42" i="122"/>
  <c r="X42" i="122"/>
  <c r="W42" i="122"/>
  <c r="V42" i="122"/>
  <c r="U42" i="122"/>
  <c r="T42" i="122"/>
  <c r="S42" i="122"/>
  <c r="R42" i="122"/>
  <c r="Q42" i="122"/>
  <c r="P42" i="122"/>
  <c r="O42" i="122"/>
  <c r="N42" i="122"/>
  <c r="M42" i="122"/>
  <c r="L42" i="122"/>
  <c r="K42" i="122"/>
  <c r="J42" i="122"/>
  <c r="I42" i="122"/>
  <c r="AA34" i="125" l="1"/>
  <c r="AB34" i="125" s="1"/>
  <c r="AC34" i="125" s="1"/>
  <c r="CK24" i="131"/>
  <c r="CG35" i="131"/>
  <c r="CI35" i="131"/>
  <c r="CE35" i="131"/>
  <c r="CK35" i="131"/>
  <c r="CD35" i="131"/>
  <c r="CF35" i="131"/>
  <c r="CJ35" i="131"/>
  <c r="CH35" i="131"/>
  <c r="CM35" i="131"/>
  <c r="CS35" i="131"/>
  <c r="CL35" i="131"/>
  <c r="CO35" i="131"/>
  <c r="CQ35" i="131"/>
  <c r="CR35" i="131"/>
  <c r="CN35" i="131"/>
  <c r="CP35" i="131"/>
  <c r="CY35" i="131"/>
  <c r="CU35" i="131"/>
  <c r="DA35" i="131"/>
  <c r="CT35" i="131"/>
  <c r="CW35" i="131"/>
  <c r="CZ35" i="131"/>
  <c r="CV35" i="131"/>
  <c r="CX35" i="131"/>
  <c r="DE35" i="131"/>
  <c r="DG35" i="131"/>
  <c r="DC35" i="131"/>
  <c r="DI35" i="131"/>
  <c r="DB35" i="131"/>
  <c r="DH35" i="131"/>
  <c r="DD35" i="131"/>
  <c r="DF35" i="131"/>
  <c r="CI33" i="131"/>
  <c r="CJ33" i="131"/>
  <c r="CE33" i="131"/>
  <c r="CK33" i="131"/>
  <c r="CF33" i="131"/>
  <c r="CD33" i="131"/>
  <c r="CH33" i="131"/>
  <c r="CG33" i="131"/>
  <c r="CQ33" i="131"/>
  <c r="CR33" i="131"/>
  <c r="CM33" i="131"/>
  <c r="CS33" i="131"/>
  <c r="CN33" i="131"/>
  <c r="CL33" i="131"/>
  <c r="CO33" i="131"/>
  <c r="CP33" i="131"/>
  <c r="CY33" i="131"/>
  <c r="CZ33" i="131"/>
  <c r="CU33" i="131"/>
  <c r="DA33" i="131"/>
  <c r="CV33" i="131"/>
  <c r="CT33" i="131"/>
  <c r="CX33" i="131"/>
  <c r="CW33" i="131"/>
  <c r="DG33" i="131"/>
  <c r="DH33" i="131"/>
  <c r="DC33" i="131"/>
  <c r="DI33" i="131"/>
  <c r="DD33" i="131"/>
  <c r="DB33" i="131"/>
  <c r="DE33" i="131"/>
  <c r="DF33" i="131"/>
  <c r="CQ34" i="131"/>
  <c r="CO34" i="131"/>
  <c r="CR34" i="131"/>
  <c r="CM34" i="131"/>
  <c r="CS34" i="131"/>
  <c r="CN34" i="131"/>
  <c r="CL34" i="131"/>
  <c r="CP34" i="131"/>
  <c r="DC34" i="131"/>
  <c r="DI34" i="131"/>
  <c r="DD34" i="131"/>
  <c r="DB34" i="131"/>
  <c r="DG34" i="131"/>
  <c r="DE34" i="131"/>
  <c r="DF34" i="131"/>
  <c r="DH34" i="131"/>
  <c r="CK23" i="131"/>
  <c r="CE34" i="131"/>
  <c r="CK34" i="131"/>
  <c r="CG34" i="131"/>
  <c r="CI34" i="131"/>
  <c r="CJ34" i="131"/>
  <c r="CF34" i="131"/>
  <c r="CD34" i="131"/>
  <c r="CH34" i="131"/>
  <c r="CW34" i="131"/>
  <c r="DA34" i="131"/>
  <c r="CX34" i="131"/>
  <c r="CU34" i="131"/>
  <c r="CY34" i="131"/>
  <c r="CT34" i="131"/>
  <c r="CZ34" i="131"/>
  <c r="CV34" i="131"/>
  <c r="DQ86" i="131"/>
  <c r="L13" i="133"/>
  <c r="H13" i="133"/>
  <c r="I13" i="133"/>
  <c r="J13" i="133"/>
  <c r="D13" i="133"/>
  <c r="E13" i="133"/>
  <c r="F13" i="133"/>
  <c r="K13" i="133"/>
  <c r="G13" i="133"/>
  <c r="L53" i="118"/>
  <c r="Z22" i="124"/>
  <c r="AA65" i="124"/>
  <c r="AE193" i="125"/>
  <c r="DA71" i="131"/>
  <c r="I135" i="123"/>
  <c r="DA19" i="131"/>
  <c r="DA57" i="131"/>
  <c r="DA23" i="131"/>
  <c r="CS58" i="131"/>
  <c r="CS24" i="131"/>
  <c r="AQ101" i="119"/>
  <c r="DI40" i="131"/>
  <c r="AQ103" i="119"/>
  <c r="DI44" i="131"/>
  <c r="AQ95" i="119"/>
  <c r="DI19" i="131"/>
  <c r="DI23" i="131"/>
  <c r="AQ96" i="119"/>
  <c r="DA58" i="131"/>
  <c r="DA24" i="131"/>
  <c r="AQ105" i="119"/>
  <c r="DI45" i="131"/>
  <c r="DI24" i="131"/>
  <c r="AQ97" i="119"/>
  <c r="CK57" i="131"/>
  <c r="CK53" i="131"/>
  <c r="CK19" i="131"/>
  <c r="CS66" i="131"/>
  <c r="CS53" i="131"/>
  <c r="CS70" i="131"/>
  <c r="CS57" i="131"/>
  <c r="CK58" i="131"/>
  <c r="CS19" i="131"/>
  <c r="CS23" i="131"/>
  <c r="DA53" i="131"/>
  <c r="DA66" i="131"/>
  <c r="DA70" i="131"/>
  <c r="CS71" i="131"/>
  <c r="Z79" i="122"/>
  <c r="L22" i="118" s="1"/>
  <c r="L21" i="118"/>
  <c r="V73" i="122"/>
  <c r="H19" i="118" s="1"/>
  <c r="H15" i="118"/>
  <c r="W73" i="122"/>
  <c r="I19" i="118" s="1"/>
  <c r="I15" i="118"/>
  <c r="X73" i="122"/>
  <c r="J19" i="118" s="1"/>
  <c r="J15" i="118"/>
  <c r="Y73" i="122"/>
  <c r="K19" i="118" s="1"/>
  <c r="K15" i="118"/>
  <c r="O90" i="123"/>
  <c r="O93" i="123" s="1"/>
  <c r="I91" i="123"/>
  <c r="I93" i="123" s="1"/>
  <c r="J135" i="123"/>
  <c r="T70" i="122"/>
  <c r="T73" i="122"/>
  <c r="F19" i="118" s="1"/>
  <c r="U135" i="123"/>
  <c r="U70" i="122"/>
  <c r="U73" i="122"/>
  <c r="G19" i="118" s="1"/>
  <c r="K180" i="122"/>
  <c r="K186" i="122" s="1"/>
  <c r="V135" i="123"/>
  <c r="R70" i="122"/>
  <c r="R73" i="122"/>
  <c r="S70" i="122"/>
  <c r="E15" i="118" s="1"/>
  <c r="S73" i="122"/>
  <c r="S135" i="123"/>
  <c r="H53" i="118"/>
  <c r="J57" i="124"/>
  <c r="J58" i="118"/>
  <c r="E64" i="118"/>
  <c r="O107" i="123"/>
  <c r="R12" i="123"/>
  <c r="R14" i="123" s="1"/>
  <c r="M105" i="118"/>
  <c r="S36" i="123"/>
  <c r="M128" i="118"/>
  <c r="M70" i="123"/>
  <c r="M71" i="123" s="1"/>
  <c r="G144" i="118"/>
  <c r="G143" i="118" s="1"/>
  <c r="I53" i="118"/>
  <c r="K58" i="118"/>
  <c r="H34" i="124"/>
  <c r="H48" i="124"/>
  <c r="AA35" i="123"/>
  <c r="AB35" i="123" s="1"/>
  <c r="AC35" i="123" s="1"/>
  <c r="AD35" i="123" s="1"/>
  <c r="AE35" i="123" s="1"/>
  <c r="AF35" i="123" s="1"/>
  <c r="J125" i="118"/>
  <c r="J124" i="118" s="1"/>
  <c r="N70" i="123"/>
  <c r="N71" i="123" s="1"/>
  <c r="S109" i="123"/>
  <c r="H144" i="118"/>
  <c r="H143" i="118" s="1"/>
  <c r="C42" i="118"/>
  <c r="J53" i="118"/>
  <c r="L51" i="124"/>
  <c r="I34" i="124"/>
  <c r="C78" i="118"/>
  <c r="R35" i="123"/>
  <c r="K125" i="118"/>
  <c r="K124" i="118" s="1"/>
  <c r="K56" i="123"/>
  <c r="I144" i="118"/>
  <c r="I143" i="118" s="1"/>
  <c r="H56" i="122"/>
  <c r="E53" i="118"/>
  <c r="K53" i="118"/>
  <c r="M57" i="124"/>
  <c r="J34" i="124"/>
  <c r="J103" i="118"/>
  <c r="J102" i="118" s="1"/>
  <c r="P110" i="123"/>
  <c r="F125" i="118"/>
  <c r="F124" i="118" s="1"/>
  <c r="O67" i="123"/>
  <c r="O71" i="123" s="1"/>
  <c r="H70" i="123"/>
  <c r="H71" i="123" s="1"/>
  <c r="R70" i="123"/>
  <c r="R71" i="123" s="1"/>
  <c r="R73" i="123" s="1"/>
  <c r="L56" i="123"/>
  <c r="J144" i="118"/>
  <c r="J143" i="118" s="1"/>
  <c r="F53" i="118"/>
  <c r="O57" i="124"/>
  <c r="O114" i="122" s="1"/>
  <c r="C60" i="118"/>
  <c r="M34" i="124"/>
  <c r="C75" i="118"/>
  <c r="H55" i="124"/>
  <c r="K103" i="118"/>
  <c r="K102" i="118" s="1"/>
  <c r="Q110" i="123"/>
  <c r="R108" i="123"/>
  <c r="K70" i="123"/>
  <c r="K71" i="123" s="1"/>
  <c r="G53" i="118"/>
  <c r="I57" i="124"/>
  <c r="P27" i="124"/>
  <c r="I58" i="118"/>
  <c r="L48" i="124"/>
  <c r="N55" i="124"/>
  <c r="O54" i="124" s="1"/>
  <c r="O55" i="124" s="1"/>
  <c r="P54" i="124" s="1"/>
  <c r="P55" i="124" s="1"/>
  <c r="Q54" i="124" s="1"/>
  <c r="O106" i="123"/>
  <c r="T110" i="123"/>
  <c r="S108" i="123"/>
  <c r="L70" i="123"/>
  <c r="L71" i="123" s="1"/>
  <c r="P49" i="123"/>
  <c r="H56" i="123"/>
  <c r="F144" i="118"/>
  <c r="F143" i="118" s="1"/>
  <c r="T65" i="122"/>
  <c r="R65" i="122"/>
  <c r="U65" i="122"/>
  <c r="Q65" i="122"/>
  <c r="S65" i="122"/>
  <c r="V70" i="122"/>
  <c r="V65" i="122"/>
  <c r="J26" i="123"/>
  <c r="J108" i="123"/>
  <c r="H63" i="123"/>
  <c r="H64" i="123" s="1"/>
  <c r="H110" i="123"/>
  <c r="H136" i="118"/>
  <c r="H135" i="118" s="1"/>
  <c r="V109" i="123"/>
  <c r="I109" i="123"/>
  <c r="L63" i="123"/>
  <c r="L64" i="123" s="1"/>
  <c r="L110" i="123"/>
  <c r="AA63" i="123"/>
  <c r="AA110" i="123"/>
  <c r="G116" i="118"/>
  <c r="G115" i="118" s="1"/>
  <c r="U108" i="123"/>
  <c r="J46" i="123"/>
  <c r="J109" i="123"/>
  <c r="N63" i="123"/>
  <c r="N64" i="123" s="1"/>
  <c r="N110" i="123"/>
  <c r="F136" i="118"/>
  <c r="F135" i="118" s="1"/>
  <c r="T109" i="123"/>
  <c r="O26" i="123"/>
  <c r="O108" i="123"/>
  <c r="G136" i="118"/>
  <c r="G135" i="118" s="1"/>
  <c r="U109" i="123"/>
  <c r="K63" i="123"/>
  <c r="K64" i="123" s="1"/>
  <c r="K110" i="123"/>
  <c r="M63" i="123"/>
  <c r="M64" i="123" s="1"/>
  <c r="M110" i="123"/>
  <c r="I26" i="123"/>
  <c r="I108" i="123"/>
  <c r="H116" i="118"/>
  <c r="H115" i="118" s="1"/>
  <c r="V108" i="123"/>
  <c r="R48" i="124"/>
  <c r="D76" i="118"/>
  <c r="AB8" i="123"/>
  <c r="M97" i="118"/>
  <c r="G58" i="118"/>
  <c r="V32" i="124"/>
  <c r="H62" i="118" s="1"/>
  <c r="H61" i="118"/>
  <c r="S48" i="124"/>
  <c r="E76" i="118"/>
  <c r="Z48" i="124"/>
  <c r="L76" i="118"/>
  <c r="L75" i="118" s="1"/>
  <c r="AB9" i="123"/>
  <c r="M98" i="118"/>
  <c r="AB24" i="123"/>
  <c r="M113" i="118"/>
  <c r="AB29" i="123"/>
  <c r="M118" i="118"/>
  <c r="AB34" i="123"/>
  <c r="M123" i="118"/>
  <c r="Y54" i="123"/>
  <c r="K140" i="118"/>
  <c r="F58" i="118"/>
  <c r="H58" i="118"/>
  <c r="W32" i="124"/>
  <c r="I62" i="118" s="1"/>
  <c r="I61" i="118"/>
  <c r="T48" i="124"/>
  <c r="F76" i="118"/>
  <c r="F75" i="118" s="1"/>
  <c r="AB10" i="123"/>
  <c r="M99" i="118"/>
  <c r="U35" i="123"/>
  <c r="G125" i="118"/>
  <c r="G124" i="118" s="1"/>
  <c r="AA67" i="123"/>
  <c r="M127" i="118"/>
  <c r="AB51" i="123"/>
  <c r="M140" i="118"/>
  <c r="AB9" i="124"/>
  <c r="M44" i="118"/>
  <c r="W13" i="123"/>
  <c r="I103" i="118"/>
  <c r="I102" i="118" s="1"/>
  <c r="X32" i="124"/>
  <c r="J62" i="118" s="1"/>
  <c r="J61" i="118"/>
  <c r="V48" i="124"/>
  <c r="H76" i="118"/>
  <c r="H75" i="118" s="1"/>
  <c r="AB11" i="123"/>
  <c r="M100" i="118"/>
  <c r="Z13" i="123"/>
  <c r="L103" i="118"/>
  <c r="L102" i="118" s="1"/>
  <c r="V35" i="123"/>
  <c r="H125" i="118"/>
  <c r="H124" i="118" s="1"/>
  <c r="U32" i="124"/>
  <c r="G62" i="118" s="1"/>
  <c r="G61" i="118"/>
  <c r="AB12" i="123"/>
  <c r="M101" i="118"/>
  <c r="AA61" i="123"/>
  <c r="M111" i="118"/>
  <c r="R32" i="124"/>
  <c r="D62" i="118" s="1"/>
  <c r="D61" i="118"/>
  <c r="U49" i="124"/>
  <c r="G67" i="118"/>
  <c r="Q27" i="124"/>
  <c r="C58" i="118"/>
  <c r="S32" i="124"/>
  <c r="E62" i="118" s="1"/>
  <c r="E61" i="118"/>
  <c r="Y32" i="124"/>
  <c r="K62" i="118" s="1"/>
  <c r="K61" i="118"/>
  <c r="AA90" i="123"/>
  <c r="M120" i="118"/>
  <c r="W48" i="124"/>
  <c r="I76" i="118"/>
  <c r="I75" i="118" s="1"/>
  <c r="T13" i="123"/>
  <c r="F103" i="118"/>
  <c r="F102" i="118" s="1"/>
  <c r="W35" i="123"/>
  <c r="I125" i="118"/>
  <c r="I124" i="118" s="1"/>
  <c r="Y48" i="124"/>
  <c r="K76" i="118"/>
  <c r="K75" i="118" s="1"/>
  <c r="AB43" i="123"/>
  <c r="M132" i="118"/>
  <c r="R35" i="124"/>
  <c r="D64" i="118"/>
  <c r="E58" i="118"/>
  <c r="T32" i="124"/>
  <c r="F62" i="118" s="1"/>
  <c r="F61" i="118"/>
  <c r="Z32" i="124"/>
  <c r="L62" i="118" s="1"/>
  <c r="L61" i="118"/>
  <c r="X48" i="124"/>
  <c r="J76" i="118"/>
  <c r="J75" i="118" s="1"/>
  <c r="AB7" i="123"/>
  <c r="M96" i="118"/>
  <c r="U14" i="123"/>
  <c r="G101" i="118"/>
  <c r="V13" i="123"/>
  <c r="H103" i="118"/>
  <c r="H102" i="118" s="1"/>
  <c r="AB17" i="123"/>
  <c r="M106" i="118"/>
  <c r="AB32" i="123"/>
  <c r="M121" i="118"/>
  <c r="AA68" i="123"/>
  <c r="M131" i="118"/>
  <c r="AB49" i="123"/>
  <c r="M138" i="118"/>
  <c r="W49" i="125"/>
  <c r="V29" i="125"/>
  <c r="AB312" i="125"/>
  <c r="AC312" i="125" s="1"/>
  <c r="AA311" i="125"/>
  <c r="X32" i="125"/>
  <c r="AC30" i="125"/>
  <c r="AC50" i="125" s="1"/>
  <c r="AB31" i="125"/>
  <c r="Y32" i="125"/>
  <c r="P63" i="123"/>
  <c r="P64" i="123" s="1"/>
  <c r="P73" i="123" s="1"/>
  <c r="Q63" i="123"/>
  <c r="Q64" i="123" s="1"/>
  <c r="Q73" i="123" s="1"/>
  <c r="AF77" i="123"/>
  <c r="T63" i="123"/>
  <c r="T64" i="123" s="1"/>
  <c r="T73" i="123" s="1"/>
  <c r="AA70" i="123"/>
  <c r="AA136" i="125"/>
  <c r="T47" i="126"/>
  <c r="S17" i="126"/>
  <c r="S47" i="126"/>
  <c r="S18" i="126"/>
  <c r="S48" i="126"/>
  <c r="P15" i="122"/>
  <c r="Q15" i="122"/>
  <c r="S15" i="122"/>
  <c r="R15" i="122"/>
  <c r="AA11" i="124"/>
  <c r="M46" i="118" s="1"/>
  <c r="P84" i="122"/>
  <c r="P92" i="122" s="1"/>
  <c r="P97" i="122" s="1"/>
  <c r="R84" i="122"/>
  <c r="M84" i="122"/>
  <c r="M92" i="122" s="1"/>
  <c r="M97" i="122" s="1"/>
  <c r="S84" i="122"/>
  <c r="S92" i="122" s="1"/>
  <c r="S100" i="122" s="1"/>
  <c r="K84" i="122"/>
  <c r="K92" i="122" s="1"/>
  <c r="K97" i="122" s="1"/>
  <c r="L84" i="122"/>
  <c r="L92" i="122" s="1"/>
  <c r="L97" i="122" s="1"/>
  <c r="N84" i="122"/>
  <c r="N92" i="122" s="1"/>
  <c r="N97" i="122" s="1"/>
  <c r="T84" i="122"/>
  <c r="I84" i="122"/>
  <c r="I92" i="122" s="1"/>
  <c r="I97" i="122" s="1"/>
  <c r="O84" i="122"/>
  <c r="O92" i="122" s="1"/>
  <c r="O97" i="122" s="1"/>
  <c r="U84" i="122"/>
  <c r="V84" i="122"/>
  <c r="J84" i="122"/>
  <c r="J92" i="122" s="1"/>
  <c r="J97" i="122" s="1"/>
  <c r="Q84" i="122"/>
  <c r="Q92" i="122" s="1"/>
  <c r="Q97" i="122" s="1"/>
  <c r="X84" i="122"/>
  <c r="Z84" i="122"/>
  <c r="W84" i="122"/>
  <c r="Y84" i="122"/>
  <c r="X70" i="122"/>
  <c r="X189" i="122" s="1"/>
  <c r="Z70" i="122"/>
  <c r="Z189" i="122" s="1"/>
  <c r="W70" i="122"/>
  <c r="W189" i="122" s="1"/>
  <c r="Y70" i="122"/>
  <c r="Y189" i="122" s="1"/>
  <c r="Z65" i="122"/>
  <c r="W65" i="122"/>
  <c r="X65" i="122"/>
  <c r="Y65" i="122"/>
  <c r="Y79" i="122"/>
  <c r="K22" i="118" s="1"/>
  <c r="W79" i="122"/>
  <c r="I22" i="118" s="1"/>
  <c r="X79" i="122"/>
  <c r="J22" i="118" s="1"/>
  <c r="N39" i="122"/>
  <c r="I39" i="122"/>
  <c r="J39" i="122"/>
  <c r="K39" i="122"/>
  <c r="L39" i="122"/>
  <c r="M39" i="122"/>
  <c r="AD129" i="122"/>
  <c r="N6" i="124"/>
  <c r="O6" i="124"/>
  <c r="I6" i="124"/>
  <c r="R6" i="124" s="1"/>
  <c r="S6" i="124" s="1"/>
  <c r="Q7" i="124"/>
  <c r="Q106" i="123" s="1"/>
  <c r="M6" i="124"/>
  <c r="H6" i="124"/>
  <c r="J6" i="124"/>
  <c r="H29" i="122"/>
  <c r="K6" i="124"/>
  <c r="X11" i="125"/>
  <c r="W27" i="124"/>
  <c r="W70" i="124"/>
  <c r="AB30" i="123"/>
  <c r="N119" i="118" s="1"/>
  <c r="AA89" i="123"/>
  <c r="X27" i="124"/>
  <c r="X70" i="124"/>
  <c r="Y35" i="124"/>
  <c r="Y70" i="124"/>
  <c r="Z27" i="124"/>
  <c r="Z70" i="124"/>
  <c r="AB39" i="123"/>
  <c r="AA91" i="123"/>
  <c r="O138" i="122"/>
  <c r="O141" i="122" s="1"/>
  <c r="O144" i="122" s="1"/>
  <c r="I138" i="122"/>
  <c r="I141" i="122" s="1"/>
  <c r="I144" i="122" s="1"/>
  <c r="X15" i="125"/>
  <c r="T12" i="122"/>
  <c r="O19" i="126"/>
  <c r="O20" i="126" s="1"/>
  <c r="J16" i="122"/>
  <c r="T35" i="124"/>
  <c r="R32" i="122"/>
  <c r="AA138" i="122"/>
  <c r="T27" i="123"/>
  <c r="Z36" i="123"/>
  <c r="L125" i="118" s="1"/>
  <c r="L124" i="118" s="1"/>
  <c r="W15" i="125"/>
  <c r="Z14" i="122"/>
  <c r="K16" i="122"/>
  <c r="V34" i="122"/>
  <c r="J48" i="124"/>
  <c r="L16" i="122"/>
  <c r="AB26" i="123"/>
  <c r="AB22" i="123"/>
  <c r="R47" i="123"/>
  <c r="AB46" i="123"/>
  <c r="AD76" i="123"/>
  <c r="AB42" i="123"/>
  <c r="O135" i="123"/>
  <c r="K35" i="122"/>
  <c r="S35" i="124"/>
  <c r="V14" i="122"/>
  <c r="J56" i="123"/>
  <c r="W35" i="124"/>
  <c r="I56" i="123"/>
  <c r="Y13" i="122"/>
  <c r="X14" i="122"/>
  <c r="P17" i="126"/>
  <c r="W11" i="125"/>
  <c r="AA190" i="125"/>
  <c r="U27" i="124"/>
  <c r="U35" i="124"/>
  <c r="Y11" i="125"/>
  <c r="Y15" i="125"/>
  <c r="T20" i="122"/>
  <c r="T23" i="122" s="1"/>
  <c r="I35" i="122"/>
  <c r="V27" i="124"/>
  <c r="V35" i="124"/>
  <c r="O27" i="124"/>
  <c r="T17" i="126"/>
  <c r="Y9" i="122"/>
  <c r="DA16" i="131" s="1"/>
  <c r="M16" i="122"/>
  <c r="Q32" i="122"/>
  <c r="O34" i="124"/>
  <c r="V56" i="123"/>
  <c r="P26" i="122"/>
  <c r="T6" i="122"/>
  <c r="U13" i="122" s="1"/>
  <c r="Y28" i="122"/>
  <c r="W32" i="122"/>
  <c r="U34" i="122"/>
  <c r="W23" i="122"/>
  <c r="Y27" i="124"/>
  <c r="P34" i="124"/>
  <c r="K48" i="124"/>
  <c r="I48" i="124"/>
  <c r="O13" i="123"/>
  <c r="I46" i="123"/>
  <c r="U28" i="122"/>
  <c r="K51" i="124"/>
  <c r="P57" i="124"/>
  <c r="P114" i="122" s="1"/>
  <c r="R12" i="122"/>
  <c r="X12" i="122"/>
  <c r="V13" i="122"/>
  <c r="X23" i="122"/>
  <c r="AA186" i="125"/>
  <c r="Z12" i="122"/>
  <c r="Z9" i="122"/>
  <c r="U27" i="122"/>
  <c r="O12" i="122"/>
  <c r="O39" i="122"/>
  <c r="U12" i="122"/>
  <c r="U9" i="122"/>
  <c r="L35" i="122"/>
  <c r="L29" i="122"/>
  <c r="Z33" i="122"/>
  <c r="Z27" i="122"/>
  <c r="V12" i="122"/>
  <c r="N29" i="122"/>
  <c r="N16" i="122"/>
  <c r="AB31" i="123"/>
  <c r="W14" i="122"/>
  <c r="W13" i="122"/>
  <c r="I16" i="122"/>
  <c r="S26" i="122"/>
  <c r="S32" i="122"/>
  <c r="Y26" i="122"/>
  <c r="Y32" i="122"/>
  <c r="Y23" i="122"/>
  <c r="M35" i="122"/>
  <c r="M29" i="122"/>
  <c r="Q12" i="122"/>
  <c r="W12" i="122"/>
  <c r="X13" i="122"/>
  <c r="Y14" i="122"/>
  <c r="V9" i="122"/>
  <c r="P12" i="122"/>
  <c r="T32" i="122"/>
  <c r="Z32" i="122"/>
  <c r="Z23" i="122"/>
  <c r="N11" i="116" s="1"/>
  <c r="Z26" i="122"/>
  <c r="W9" i="122"/>
  <c r="CK16" i="131" s="1"/>
  <c r="T28" i="122"/>
  <c r="S12" i="122"/>
  <c r="Y12" i="122"/>
  <c r="Z13" i="122"/>
  <c r="U14" i="122"/>
  <c r="X9" i="122"/>
  <c r="CS16" i="131" s="1"/>
  <c r="S23" i="122"/>
  <c r="T26" i="122"/>
  <c r="O32" i="122"/>
  <c r="O23" i="122"/>
  <c r="U32" i="122"/>
  <c r="U23" i="122"/>
  <c r="V27" i="122"/>
  <c r="W34" i="122"/>
  <c r="W28" i="122"/>
  <c r="N35" i="122"/>
  <c r="U26" i="122"/>
  <c r="Z28" i="122"/>
  <c r="P32" i="122"/>
  <c r="V32" i="122"/>
  <c r="V23" i="122"/>
  <c r="J11" i="116" s="1"/>
  <c r="W27" i="122"/>
  <c r="X34" i="122"/>
  <c r="X28" i="122"/>
  <c r="I29" i="122"/>
  <c r="P23" i="122"/>
  <c r="V26" i="122"/>
  <c r="V33" i="122"/>
  <c r="Q26" i="122"/>
  <c r="W26" i="122"/>
  <c r="X27" i="122"/>
  <c r="J29" i="122"/>
  <c r="Q23" i="122"/>
  <c r="R35" i="122" s="1"/>
  <c r="X32" i="122"/>
  <c r="W33" i="122"/>
  <c r="Y34" i="122"/>
  <c r="R26" i="122"/>
  <c r="X26" i="122"/>
  <c r="Y33" i="122"/>
  <c r="K29" i="122"/>
  <c r="O26" i="122"/>
  <c r="Y27" i="122"/>
  <c r="X33" i="122"/>
  <c r="Z34" i="122"/>
  <c r="J35" i="122"/>
  <c r="V28" i="122"/>
  <c r="Z15" i="125"/>
  <c r="Z11" i="125"/>
  <c r="Z32" i="125"/>
  <c r="AB186" i="125"/>
  <c r="AB79" i="125"/>
  <c r="W136" i="125"/>
  <c r="X135" i="125"/>
  <c r="X188" i="125"/>
  <c r="Y190" i="125"/>
  <c r="Y194" i="125"/>
  <c r="X183" i="125"/>
  <c r="X239" i="125"/>
  <c r="AD29" i="125"/>
  <c r="AD49" i="125" s="1"/>
  <c r="W32" i="125"/>
  <c r="Q25" i="126"/>
  <c r="Z186" i="125"/>
  <c r="AC136" i="125"/>
  <c r="AB136" i="125"/>
  <c r="AC186" i="125"/>
  <c r="AD185" i="125"/>
  <c r="Z193" i="125"/>
  <c r="AB193" i="125"/>
  <c r="T15" i="126"/>
  <c r="T19" i="126"/>
  <c r="T20" i="126" s="1"/>
  <c r="AB38" i="126"/>
  <c r="Z20" i="126"/>
  <c r="U7" i="126"/>
  <c r="T108" i="126"/>
  <c r="O17" i="126"/>
  <c r="P19" i="126"/>
  <c r="X20" i="126"/>
  <c r="Y20" i="126"/>
  <c r="G20" i="127"/>
  <c r="P44" i="127"/>
  <c r="X13" i="123"/>
  <c r="Y13" i="123"/>
  <c r="Q13" i="123"/>
  <c r="AB38" i="123"/>
  <c r="AB16" i="123"/>
  <c r="J51" i="124"/>
  <c r="S27" i="124"/>
  <c r="M51" i="124"/>
  <c r="Z35" i="124"/>
  <c r="L65" i="118" s="1"/>
  <c r="AA26" i="124"/>
  <c r="AA129" i="123" s="1"/>
  <c r="T27" i="124"/>
  <c r="AC29" i="124"/>
  <c r="I51" i="124"/>
  <c r="Q6" i="124"/>
  <c r="Q34" i="124"/>
  <c r="X35" i="124"/>
  <c r="K57" i="124"/>
  <c r="Q57" i="124"/>
  <c r="L57" i="124"/>
  <c r="AC56" i="122"/>
  <c r="AD56" i="122" s="1"/>
  <c r="H64" i="122"/>
  <c r="AB48" i="122"/>
  <c r="AB50" i="122"/>
  <c r="AB46" i="122"/>
  <c r="AC54" i="122"/>
  <c r="AD59" i="122"/>
  <c r="AB63" i="122"/>
  <c r="AB61" i="122"/>
  <c r="O38" i="118"/>
  <c r="P38" i="118"/>
  <c r="Q38" i="118"/>
  <c r="CW37" i="115" a="1"/>
  <c r="DI16" i="131" l="1"/>
  <c r="DG37" i="131" s="1"/>
  <c r="CQ37" i="131"/>
  <c r="CP37" i="131"/>
  <c r="CR37" i="131"/>
  <c r="CM37" i="131"/>
  <c r="CS37" i="131"/>
  <c r="CO37" i="131"/>
  <c r="CN37" i="131"/>
  <c r="CL37" i="131"/>
  <c r="CK29" i="131"/>
  <c r="CE37" i="131"/>
  <c r="CK37" i="131"/>
  <c r="CG37" i="131"/>
  <c r="CF37" i="131"/>
  <c r="CD37" i="131"/>
  <c r="CI37" i="131"/>
  <c r="CJ37" i="131"/>
  <c r="CH37" i="131"/>
  <c r="CW37" i="131"/>
  <c r="CU37" i="131"/>
  <c r="CT37" i="131"/>
  <c r="CX37" i="131"/>
  <c r="CV37" i="131"/>
  <c r="CY37" i="131"/>
  <c r="CZ37" i="131"/>
  <c r="DA37" i="131"/>
  <c r="Y23" i="119"/>
  <c r="AS116" i="119"/>
  <c r="DO86" i="131"/>
  <c r="DP86" i="131" s="1"/>
  <c r="DP87" i="131" s="1"/>
  <c r="AA47" i="125"/>
  <c r="AA65" i="125" s="1"/>
  <c r="DQ87" i="131"/>
  <c r="AE194" i="125"/>
  <c r="AF193" i="125"/>
  <c r="DY86" i="131"/>
  <c r="CK50" i="131"/>
  <c r="CK63" i="131" s="1"/>
  <c r="K11" i="116"/>
  <c r="DA50" i="131"/>
  <c r="DA63" i="131" s="1"/>
  <c r="M11" i="116"/>
  <c r="CS50" i="131"/>
  <c r="L11" i="116"/>
  <c r="S97" i="122"/>
  <c r="AA141" i="122"/>
  <c r="AB121" i="122" s="1"/>
  <c r="R189" i="122"/>
  <c r="U189" i="122"/>
  <c r="U102" i="123"/>
  <c r="U104" i="123" s="1"/>
  <c r="S85" i="122"/>
  <c r="S189" i="122"/>
  <c r="S102" i="123"/>
  <c r="S104" i="123" s="1"/>
  <c r="T189" i="122"/>
  <c r="T102" i="123"/>
  <c r="T104" i="123" s="1"/>
  <c r="H17" i="118"/>
  <c r="V189" i="122"/>
  <c r="V102" i="123"/>
  <c r="V104" i="123" s="1"/>
  <c r="L17" i="118"/>
  <c r="CS29" i="131"/>
  <c r="DA29" i="131"/>
  <c r="DI71" i="131"/>
  <c r="DI58" i="131"/>
  <c r="DI66" i="131"/>
  <c r="DI53" i="131"/>
  <c r="AQ107" i="119"/>
  <c r="DI50" i="131"/>
  <c r="DI70" i="131"/>
  <c r="DI57" i="131"/>
  <c r="P94" i="123"/>
  <c r="O94" i="123"/>
  <c r="T92" i="122"/>
  <c r="F23" i="118"/>
  <c r="X102" i="123"/>
  <c r="X104" i="123" s="1"/>
  <c r="J17" i="118"/>
  <c r="V92" i="122"/>
  <c r="H23" i="118"/>
  <c r="Y92" i="122"/>
  <c r="K23" i="118"/>
  <c r="T85" i="122"/>
  <c r="F17" i="118"/>
  <c r="Y102" i="123"/>
  <c r="Y104" i="123" s="1"/>
  <c r="K17" i="118"/>
  <c r="Z92" i="122"/>
  <c r="L23" i="118"/>
  <c r="U92" i="122"/>
  <c r="G23" i="118"/>
  <c r="U85" i="122"/>
  <c r="G17" i="118"/>
  <c r="I94" i="123"/>
  <c r="J94" i="123"/>
  <c r="W92" i="122"/>
  <c r="I23" i="118"/>
  <c r="W102" i="123"/>
  <c r="W104" i="123" s="1"/>
  <c r="I17" i="118"/>
  <c r="X92" i="122"/>
  <c r="J23" i="118"/>
  <c r="D15" i="118"/>
  <c r="M73" i="123"/>
  <c r="R135" i="123"/>
  <c r="T135" i="123"/>
  <c r="Z116" i="123"/>
  <c r="AA116" i="123" s="1"/>
  <c r="Z184" i="122"/>
  <c r="AA184" i="122" s="1"/>
  <c r="AB184" i="122" s="1"/>
  <c r="AC184" i="122" s="1"/>
  <c r="AD184" i="122" s="1"/>
  <c r="AE184" i="122" s="1"/>
  <c r="AF184" i="122" s="1"/>
  <c r="Z118" i="123"/>
  <c r="AA118" i="123" s="1"/>
  <c r="Z125" i="123"/>
  <c r="AA125" i="123" s="1"/>
  <c r="U116" i="123"/>
  <c r="U125" i="123"/>
  <c r="U118" i="123"/>
  <c r="U184" i="122"/>
  <c r="X125" i="123"/>
  <c r="X118" i="123"/>
  <c r="X184" i="122"/>
  <c r="X116" i="123"/>
  <c r="W118" i="123"/>
  <c r="W125" i="123"/>
  <c r="W116" i="123"/>
  <c r="W184" i="122"/>
  <c r="V118" i="123"/>
  <c r="V125" i="123"/>
  <c r="V184" i="122"/>
  <c r="V116" i="123"/>
  <c r="Y125" i="123"/>
  <c r="Y118" i="123"/>
  <c r="Y116" i="123"/>
  <c r="Y184" i="122"/>
  <c r="R85" i="122"/>
  <c r="N73" i="123"/>
  <c r="L73" i="123"/>
  <c r="K73" i="123"/>
  <c r="AA36" i="123"/>
  <c r="I65" i="118"/>
  <c r="I64" i="118" s="1"/>
  <c r="N138" i="118"/>
  <c r="D75" i="118"/>
  <c r="J70" i="123"/>
  <c r="J71" i="123" s="1"/>
  <c r="F65" i="118"/>
  <c r="F64" i="118" s="1"/>
  <c r="J65" i="118"/>
  <c r="J64" i="118" s="1"/>
  <c r="H65" i="118"/>
  <c r="H64" i="118" s="1"/>
  <c r="C64" i="118"/>
  <c r="O35" i="123"/>
  <c r="K65" i="118"/>
  <c r="K64" i="118" s="1"/>
  <c r="N118" i="118"/>
  <c r="N105" i="118"/>
  <c r="O109" i="123"/>
  <c r="M55" i="124"/>
  <c r="R13" i="123"/>
  <c r="T108" i="123"/>
  <c r="I55" i="124"/>
  <c r="K55" i="124"/>
  <c r="G65" i="118"/>
  <c r="G64" i="118" s="1"/>
  <c r="E65" i="118"/>
  <c r="N128" i="118"/>
  <c r="U56" i="123"/>
  <c r="D65" i="118"/>
  <c r="K144" i="118"/>
  <c r="K143" i="118" s="1"/>
  <c r="E75" i="118"/>
  <c r="L55" i="124"/>
  <c r="S12" i="123"/>
  <c r="J55" i="124"/>
  <c r="R109" i="123"/>
  <c r="H73" i="123"/>
  <c r="H74" i="123" s="1"/>
  <c r="P54" i="123"/>
  <c r="Z102" i="123"/>
  <c r="Z104" i="123" s="1"/>
  <c r="Z85" i="122"/>
  <c r="C23" i="118"/>
  <c r="AB70" i="123"/>
  <c r="V85" i="122"/>
  <c r="AC49" i="123"/>
  <c r="C84" i="118"/>
  <c r="Q114" i="122"/>
  <c r="V74" i="122"/>
  <c r="S74" i="122"/>
  <c r="R74" i="122"/>
  <c r="U74" i="122"/>
  <c r="C15" i="118"/>
  <c r="T74" i="122"/>
  <c r="I63" i="123"/>
  <c r="I64" i="123" s="1"/>
  <c r="I110" i="123"/>
  <c r="L64" i="118"/>
  <c r="AC29" i="123"/>
  <c r="O63" i="123"/>
  <c r="O64" i="123" s="1"/>
  <c r="O73" i="123" s="1"/>
  <c r="O110" i="123"/>
  <c r="AB63" i="123"/>
  <c r="AB110" i="123"/>
  <c r="J63" i="123"/>
  <c r="J64" i="123" s="1"/>
  <c r="J110" i="123"/>
  <c r="AB68" i="123"/>
  <c r="N131" i="118"/>
  <c r="AC11" i="123"/>
  <c r="N100" i="118"/>
  <c r="Q55" i="124"/>
  <c r="C81" i="118"/>
  <c r="T56" i="123"/>
  <c r="F116" i="118"/>
  <c r="F115" i="118" s="1"/>
  <c r="AB67" i="123"/>
  <c r="N127" i="118"/>
  <c r="R5" i="124"/>
  <c r="C43" i="118"/>
  <c r="AC32" i="123"/>
  <c r="N121" i="118"/>
  <c r="U13" i="123"/>
  <c r="G103" i="118"/>
  <c r="G102" i="118" s="1"/>
  <c r="AC9" i="124"/>
  <c r="N44" i="118"/>
  <c r="AC24" i="123"/>
  <c r="N113" i="118"/>
  <c r="AC8" i="123"/>
  <c r="N97" i="118"/>
  <c r="AA70" i="124"/>
  <c r="M58" i="118"/>
  <c r="AB90" i="123"/>
  <c r="N120" i="118"/>
  <c r="AB61" i="123"/>
  <c r="N111" i="118"/>
  <c r="AC17" i="123"/>
  <c r="N106" i="118"/>
  <c r="AC7" i="123"/>
  <c r="N96" i="118"/>
  <c r="AC43" i="123"/>
  <c r="N132" i="118"/>
  <c r="U48" i="124"/>
  <c r="G76" i="118"/>
  <c r="G75" i="118" s="1"/>
  <c r="AC12" i="123"/>
  <c r="N101" i="118"/>
  <c r="AC51" i="123"/>
  <c r="N140" i="118"/>
  <c r="AC10" i="123"/>
  <c r="N99" i="118"/>
  <c r="AC34" i="123"/>
  <c r="N123" i="118"/>
  <c r="AC9" i="123"/>
  <c r="N98" i="118"/>
  <c r="R92" i="122"/>
  <c r="Y74" i="122"/>
  <c r="Y85" i="122"/>
  <c r="W85" i="122"/>
  <c r="W74" i="122"/>
  <c r="Z74" i="122"/>
  <c r="X74" i="122"/>
  <c r="X85" i="122"/>
  <c r="Q74" i="123"/>
  <c r="V49" i="125"/>
  <c r="V32" i="125"/>
  <c r="AC31" i="125"/>
  <c r="AC51" i="125" s="1"/>
  <c r="AB51" i="125"/>
  <c r="AA78" i="125"/>
  <c r="AA80" i="125" s="1"/>
  <c r="T227" i="125"/>
  <c r="AD30" i="125"/>
  <c r="AD50" i="125" s="1"/>
  <c r="U74" i="123"/>
  <c r="T74" i="123"/>
  <c r="I70" i="123"/>
  <c r="I71" i="123" s="1"/>
  <c r="AD137" i="125"/>
  <c r="U47" i="126"/>
  <c r="U19" i="126"/>
  <c r="U20" i="126" s="1"/>
  <c r="T48" i="126"/>
  <c r="AC11" i="124"/>
  <c r="O46" i="118" s="1"/>
  <c r="AE11" i="124"/>
  <c r="Q46" i="118" s="1"/>
  <c r="AD11" i="124"/>
  <c r="P46" i="118" s="1"/>
  <c r="AB11" i="124"/>
  <c r="N46" i="118" s="1"/>
  <c r="L87" i="122"/>
  <c r="H84" i="122"/>
  <c r="H92" i="122" s="1"/>
  <c r="H97" i="122" s="1"/>
  <c r="Z87" i="122"/>
  <c r="S39" i="122"/>
  <c r="W39" i="122"/>
  <c r="Q39" i="122"/>
  <c r="V39" i="122"/>
  <c r="X39" i="122"/>
  <c r="P39" i="122"/>
  <c r="R39" i="122"/>
  <c r="U39" i="122"/>
  <c r="Z39" i="122"/>
  <c r="Y39" i="122"/>
  <c r="AE129" i="122"/>
  <c r="O16" i="122"/>
  <c r="Q8" i="124"/>
  <c r="R8" i="124" s="1"/>
  <c r="S8" i="124" s="1"/>
  <c r="P141" i="122"/>
  <c r="P144" i="122" s="1"/>
  <c r="AC30" i="123"/>
  <c r="O119" i="118" s="1"/>
  <c r="AB89" i="123"/>
  <c r="AC39" i="123"/>
  <c r="AB91" i="123"/>
  <c r="J141" i="122"/>
  <c r="J144" i="122" s="1"/>
  <c r="V16" i="122"/>
  <c r="O23" i="126"/>
  <c r="S16" i="122"/>
  <c r="T9" i="122"/>
  <c r="AF136" i="125"/>
  <c r="X35" i="122"/>
  <c r="AF11" i="124"/>
  <c r="R46" i="118" s="1"/>
  <c r="AC46" i="123"/>
  <c r="AC42" i="123"/>
  <c r="AC22" i="123"/>
  <c r="R74" i="123"/>
  <c r="S74" i="123"/>
  <c r="AE76" i="123"/>
  <c r="AC26" i="123"/>
  <c r="AC31" i="123"/>
  <c r="AB138" i="122"/>
  <c r="U33" i="122"/>
  <c r="P16" i="122"/>
  <c r="Y16" i="122"/>
  <c r="T27" i="122"/>
  <c r="X29" i="122"/>
  <c r="W16" i="122"/>
  <c r="Q16" i="122"/>
  <c r="U29" i="122"/>
  <c r="U35" i="122"/>
  <c r="T35" i="122"/>
  <c r="Y35" i="122"/>
  <c r="Y29" i="122"/>
  <c r="S35" i="122"/>
  <c r="S29" i="122"/>
  <c r="W29" i="122"/>
  <c r="Z16" i="122"/>
  <c r="Q29" i="122"/>
  <c r="Q35" i="122"/>
  <c r="V29" i="122"/>
  <c r="V35" i="122"/>
  <c r="O29" i="122"/>
  <c r="O35" i="122"/>
  <c r="R29" i="122"/>
  <c r="R16" i="122"/>
  <c r="Z35" i="122"/>
  <c r="Z29" i="122"/>
  <c r="P29" i="122"/>
  <c r="P35" i="122"/>
  <c r="X16" i="122"/>
  <c r="W35" i="122"/>
  <c r="AD186" i="125"/>
  <c r="AE185" i="125"/>
  <c r="AF185" i="125" s="1"/>
  <c r="Y191" i="125"/>
  <c r="AA32" i="125"/>
  <c r="AB137" i="125"/>
  <c r="AB194" i="125"/>
  <c r="AC193" i="125"/>
  <c r="AB190" i="125"/>
  <c r="AD190" i="125"/>
  <c r="X136" i="125"/>
  <c r="Y135" i="125"/>
  <c r="AC137" i="125"/>
  <c r="X184" i="125"/>
  <c r="X189" i="125"/>
  <c r="W285" i="125"/>
  <c r="Z190" i="125"/>
  <c r="Z194" i="125"/>
  <c r="AA194" i="125"/>
  <c r="Y188" i="125"/>
  <c r="AE29" i="125"/>
  <c r="AE49" i="125" s="1"/>
  <c r="AE136" i="125"/>
  <c r="AD312" i="125"/>
  <c r="W137" i="125"/>
  <c r="AC79" i="125"/>
  <c r="AC38" i="126"/>
  <c r="U48" i="126"/>
  <c r="U17" i="126"/>
  <c r="T18" i="126"/>
  <c r="P20" i="126"/>
  <c r="P23" i="126" s="1"/>
  <c r="AB36" i="123"/>
  <c r="Q44" i="127"/>
  <c r="G43" i="127"/>
  <c r="T87" i="122"/>
  <c r="R87" i="122"/>
  <c r="AC16" i="123"/>
  <c r="AC38" i="123"/>
  <c r="AD29" i="124"/>
  <c r="N87" i="122"/>
  <c r="N4" i="124"/>
  <c r="AB26" i="124"/>
  <c r="AB129" i="123" s="1"/>
  <c r="L4" i="124"/>
  <c r="I4" i="124"/>
  <c r="I87" i="122"/>
  <c r="K4" i="124"/>
  <c r="K87" i="122"/>
  <c r="AE56" i="122"/>
  <c r="AF56" i="122" s="1"/>
  <c r="AD54" i="122"/>
  <c r="U87" i="122"/>
  <c r="AC63" i="122"/>
  <c r="Q4" i="124"/>
  <c r="V87" i="122"/>
  <c r="J4" i="124"/>
  <c r="J87" i="122"/>
  <c r="O4" i="124"/>
  <c r="O87" i="122"/>
  <c r="W87" i="122"/>
  <c r="AC61" i="122"/>
  <c r="AE59" i="122"/>
  <c r="AF59" i="122" s="1"/>
  <c r="AC50" i="122"/>
  <c r="AC48" i="122"/>
  <c r="S4" i="124"/>
  <c r="S87" i="122"/>
  <c r="P4" i="124"/>
  <c r="X87" i="122"/>
  <c r="Y87" i="122"/>
  <c r="M4" i="124"/>
  <c r="M87" i="122"/>
  <c r="AC46" i="122"/>
  <c r="CW37" i="115"/>
  <c r="DH37" i="131" l="1"/>
  <c r="DD37" i="131"/>
  <c r="DI37" i="131"/>
  <c r="DB37" i="131"/>
  <c r="AQ99" i="119"/>
  <c r="BG99" i="119" s="1"/>
  <c r="BG108" i="119" s="1"/>
  <c r="DF37" i="131"/>
  <c r="DI29" i="131"/>
  <c r="DE37" i="131"/>
  <c r="DC37" i="131"/>
  <c r="DO87" i="131"/>
  <c r="AD34" i="125"/>
  <c r="AE34" i="125" s="1"/>
  <c r="AF34" i="125" s="1"/>
  <c r="AD27" i="125"/>
  <c r="AE27" i="125" s="1"/>
  <c r="AF27" i="125" s="1"/>
  <c r="DY87" i="131"/>
  <c r="DR86" i="131"/>
  <c r="DS86" i="131"/>
  <c r="DS87" i="131" s="1"/>
  <c r="DU86" i="131"/>
  <c r="DW86" i="131"/>
  <c r="DW87" i="131" s="1"/>
  <c r="DA76" i="131"/>
  <c r="CS63" i="131"/>
  <c r="CS76" i="131"/>
  <c r="X72" i="124"/>
  <c r="Z72" i="124"/>
  <c r="Z103" i="122"/>
  <c r="Z101" i="122"/>
  <c r="Y103" i="122"/>
  <c r="Y101" i="122"/>
  <c r="W72" i="124"/>
  <c r="Y72" i="124"/>
  <c r="AB65" i="124"/>
  <c r="AF194" i="125"/>
  <c r="R190" i="122"/>
  <c r="H24" i="118"/>
  <c r="U91" i="122"/>
  <c r="S93" i="122"/>
  <c r="X97" i="122"/>
  <c r="Z97" i="122"/>
  <c r="Y97" i="122"/>
  <c r="T97" i="122"/>
  <c r="V97" i="122"/>
  <c r="R97" i="122"/>
  <c r="W97" i="122"/>
  <c r="U97" i="122"/>
  <c r="S91" i="122"/>
  <c r="E23" i="118"/>
  <c r="AB141" i="122"/>
  <c r="AC121" i="122" s="1"/>
  <c r="V4" i="124"/>
  <c r="U4" i="124"/>
  <c r="DI76" i="131"/>
  <c r="DI63" i="131"/>
  <c r="U93" i="122"/>
  <c r="O74" i="123"/>
  <c r="T4" i="124"/>
  <c r="I24" i="118"/>
  <c r="F20" i="118"/>
  <c r="K24" i="118"/>
  <c r="H20" i="118"/>
  <c r="I27" i="118"/>
  <c r="G27" i="118"/>
  <c r="F24" i="118"/>
  <c r="T91" i="122"/>
  <c r="T93" i="122"/>
  <c r="L24" i="118"/>
  <c r="J27" i="118"/>
  <c r="J20" i="118"/>
  <c r="L27" i="118"/>
  <c r="K27" i="118"/>
  <c r="F27" i="118"/>
  <c r="K20" i="118"/>
  <c r="L20" i="118"/>
  <c r="G20" i="118"/>
  <c r="J24" i="118"/>
  <c r="I20" i="118"/>
  <c r="L74" i="123"/>
  <c r="G24" i="118"/>
  <c r="H27" i="118"/>
  <c r="M74" i="123"/>
  <c r="N74" i="123"/>
  <c r="M125" i="118"/>
  <c r="M124" i="118" s="1"/>
  <c r="T39" i="122"/>
  <c r="T184" i="122"/>
  <c r="R91" i="122"/>
  <c r="R93" i="122"/>
  <c r="D23" i="118"/>
  <c r="AB125" i="123"/>
  <c r="AB118" i="123"/>
  <c r="AB116" i="123"/>
  <c r="Q107" i="122"/>
  <c r="C33" i="118" s="1"/>
  <c r="Q106" i="122"/>
  <c r="C32" i="118" s="1"/>
  <c r="Q104" i="122"/>
  <c r="Q105" i="122"/>
  <c r="J73" i="123"/>
  <c r="K74" i="123" s="1"/>
  <c r="J23" i="124"/>
  <c r="I23" i="124"/>
  <c r="L3" i="118"/>
  <c r="C3" i="118"/>
  <c r="S14" i="123"/>
  <c r="L23" i="124"/>
  <c r="O105" i="118"/>
  <c r="G3" i="118"/>
  <c r="I3" i="118"/>
  <c r="O118" i="118"/>
  <c r="O138" i="118"/>
  <c r="C27" i="118"/>
  <c r="P56" i="123"/>
  <c r="P23" i="124"/>
  <c r="O128" i="118"/>
  <c r="D3" i="118"/>
  <c r="E3" i="118"/>
  <c r="V91" i="122"/>
  <c r="Q23" i="124"/>
  <c r="K23" i="124"/>
  <c r="N125" i="118"/>
  <c r="N124" i="118" s="1"/>
  <c r="J3" i="118"/>
  <c r="R100" i="122"/>
  <c r="O52" i="123"/>
  <c r="K3" i="118"/>
  <c r="H3" i="118"/>
  <c r="D42" i="118"/>
  <c r="AD49" i="123"/>
  <c r="AE49" i="123" s="1"/>
  <c r="R101" i="122"/>
  <c r="V93" i="122"/>
  <c r="V98" i="122" s="1"/>
  <c r="R4" i="124"/>
  <c r="R102" i="122"/>
  <c r="R71" i="122"/>
  <c r="S71" i="122"/>
  <c r="U71" i="122"/>
  <c r="V71" i="122"/>
  <c r="Q71" i="122"/>
  <c r="I73" i="123"/>
  <c r="AC70" i="123"/>
  <c r="P74" i="123"/>
  <c r="R103" i="122"/>
  <c r="AD29" i="123"/>
  <c r="AC63" i="123"/>
  <c r="AC110" i="123"/>
  <c r="R7" i="124"/>
  <c r="AD9" i="123"/>
  <c r="O98" i="118"/>
  <c r="AD51" i="123"/>
  <c r="O140" i="118"/>
  <c r="AD43" i="123"/>
  <c r="O132" i="118"/>
  <c r="AD8" i="123"/>
  <c r="O97" i="118"/>
  <c r="R54" i="124"/>
  <c r="D81" i="118" s="1"/>
  <c r="C82" i="118"/>
  <c r="AC90" i="123"/>
  <c r="O120" i="118"/>
  <c r="AC61" i="123"/>
  <c r="O111" i="118"/>
  <c r="AD34" i="123"/>
  <c r="O123" i="118"/>
  <c r="AD12" i="123"/>
  <c r="O101" i="118"/>
  <c r="AD7" i="123"/>
  <c r="O96" i="118"/>
  <c r="AD24" i="123"/>
  <c r="O113" i="118"/>
  <c r="AD11" i="123"/>
  <c r="O100" i="118"/>
  <c r="AD32" i="123"/>
  <c r="O121" i="118"/>
  <c r="AB70" i="124"/>
  <c r="N58" i="118"/>
  <c r="AC68" i="123"/>
  <c r="O131" i="118"/>
  <c r="AD10" i="123"/>
  <c r="O99" i="118"/>
  <c r="AD17" i="123"/>
  <c r="O106" i="118"/>
  <c r="AC67" i="123"/>
  <c r="O127" i="118"/>
  <c r="AD9" i="124"/>
  <c r="O44" i="118"/>
  <c r="Y91" i="122"/>
  <c r="X91" i="122"/>
  <c r="W91" i="122"/>
  <c r="Z91" i="122"/>
  <c r="AE30" i="125"/>
  <c r="AE50" i="125" s="1"/>
  <c r="AD31" i="125"/>
  <c r="AD51" i="125" s="1"/>
  <c r="AB78" i="125"/>
  <c r="AB80" i="125" s="1"/>
  <c r="AB47" i="125"/>
  <c r="T232" i="125"/>
  <c r="AF29" i="125"/>
  <c r="X71" i="122"/>
  <c r="X21" i="123"/>
  <c r="Y71" i="122"/>
  <c r="Y21" i="123"/>
  <c r="W71" i="122"/>
  <c r="W21" i="123"/>
  <c r="Z71" i="122"/>
  <c r="Z21" i="123"/>
  <c r="Y93" i="122"/>
  <c r="W93" i="122"/>
  <c r="X93" i="122"/>
  <c r="Z93" i="122"/>
  <c r="Z98" i="122" s="1"/>
  <c r="X4" i="124"/>
  <c r="W4" i="124"/>
  <c r="Y4" i="124"/>
  <c r="H87" i="122"/>
  <c r="AF129" i="122"/>
  <c r="T16" i="122"/>
  <c r="T29" i="122"/>
  <c r="U16" i="122"/>
  <c r="AD30" i="123"/>
  <c r="P119" i="118" s="1"/>
  <c r="AC89" i="123"/>
  <c r="AD39" i="123"/>
  <c r="AC91" i="123"/>
  <c r="AC36" i="123"/>
  <c r="AF186" i="125"/>
  <c r="AF190" i="125"/>
  <c r="AF137" i="125"/>
  <c r="AD22" i="123"/>
  <c r="AD26" i="123"/>
  <c r="AD42" i="123"/>
  <c r="AD46" i="123"/>
  <c r="AF76" i="123"/>
  <c r="AD31" i="123"/>
  <c r="AC138" i="122"/>
  <c r="W160" i="125"/>
  <c r="T102" i="122"/>
  <c r="F32" i="118" s="1"/>
  <c r="T103" i="122"/>
  <c r="Y239" i="125"/>
  <c r="Y183" i="125"/>
  <c r="X285" i="125"/>
  <c r="Z135" i="125"/>
  <c r="Y136" i="125"/>
  <c r="AC194" i="125"/>
  <c r="AC190" i="125"/>
  <c r="AD194" i="125"/>
  <c r="AB32" i="125"/>
  <c r="AE186" i="125"/>
  <c r="AE190" i="125"/>
  <c r="X137" i="125"/>
  <c r="T100" i="122"/>
  <c r="AE137" i="125"/>
  <c r="T101" i="122"/>
  <c r="AD79" i="125"/>
  <c r="Z191" i="125"/>
  <c r="AA191" i="125"/>
  <c r="AB191" i="125"/>
  <c r="AE312" i="125"/>
  <c r="AF312" i="125" s="1"/>
  <c r="U18" i="126"/>
  <c r="U25" i="126" s="1"/>
  <c r="AD38" i="126"/>
  <c r="H27" i="127"/>
  <c r="G44" i="127"/>
  <c r="R44" i="127"/>
  <c r="N23" i="124"/>
  <c r="N52" i="123"/>
  <c r="AD16" i="123"/>
  <c r="AD38" i="123"/>
  <c r="M23" i="124"/>
  <c r="M52" i="123"/>
  <c r="AC26" i="124"/>
  <c r="AC129" i="123" s="1"/>
  <c r="AE29" i="124"/>
  <c r="AF29" i="124" s="1"/>
  <c r="AD50" i="122"/>
  <c r="Q100" i="122"/>
  <c r="Q102" i="122"/>
  <c r="Q101" i="122"/>
  <c r="Q103" i="122"/>
  <c r="S102" i="122"/>
  <c r="S103" i="122"/>
  <c r="S101" i="122"/>
  <c r="AD63" i="122"/>
  <c r="V100" i="122"/>
  <c r="V101" i="122"/>
  <c r="V103" i="122"/>
  <c r="V102" i="122"/>
  <c r="H32" i="118" s="1"/>
  <c r="AD48" i="122"/>
  <c r="O100" i="122"/>
  <c r="O103" i="122"/>
  <c r="O102" i="122"/>
  <c r="O101" i="122"/>
  <c r="P101" i="122"/>
  <c r="P100" i="122"/>
  <c r="P103" i="122"/>
  <c r="P102" i="122"/>
  <c r="W100" i="122"/>
  <c r="W101" i="122"/>
  <c r="W102" i="122"/>
  <c r="I32" i="118" s="1"/>
  <c r="W103" i="122"/>
  <c r="Y102" i="122"/>
  <c r="K32" i="118" s="1"/>
  <c r="Y100" i="122"/>
  <c r="X101" i="122"/>
  <c r="X103" i="122"/>
  <c r="X102" i="122"/>
  <c r="J32" i="118" s="1"/>
  <c r="X100" i="122"/>
  <c r="U100" i="122"/>
  <c r="U102" i="122"/>
  <c r="G32" i="118" s="1"/>
  <c r="U101" i="122"/>
  <c r="U103" i="122"/>
  <c r="AD46" i="122"/>
  <c r="AD61" i="122"/>
  <c r="AE54" i="122"/>
  <c r="AF54" i="122" s="1"/>
  <c r="AU100" i="119" l="1"/>
  <c r="DX86" i="131"/>
  <c r="DX87" i="131" s="1"/>
  <c r="DU87" i="131"/>
  <c r="DR87" i="131"/>
  <c r="DT86" i="131"/>
  <c r="R98" i="122"/>
  <c r="R104" i="122"/>
  <c r="U98" i="122"/>
  <c r="U106" i="122"/>
  <c r="G33" i="118" s="1"/>
  <c r="U104" i="122"/>
  <c r="X98" i="122"/>
  <c r="X105" i="122"/>
  <c r="X107" i="122"/>
  <c r="X106" i="122"/>
  <c r="J33" i="118" s="1"/>
  <c r="X104" i="122"/>
  <c r="L12" i="116" s="1"/>
  <c r="T98" i="122"/>
  <c r="F31" i="118" s="1"/>
  <c r="T104" i="122"/>
  <c r="T107" i="122"/>
  <c r="T106" i="122"/>
  <c r="F33" i="118" s="1"/>
  <c r="T105" i="122"/>
  <c r="Y98" i="122"/>
  <c r="K31" i="118" s="1"/>
  <c r="Y105" i="122"/>
  <c r="W98" i="122"/>
  <c r="I31" i="118" s="1"/>
  <c r="W106" i="122"/>
  <c r="I33" i="118" s="1"/>
  <c r="W105" i="122"/>
  <c r="W107" i="122"/>
  <c r="W104" i="122"/>
  <c r="K12" i="116" s="1"/>
  <c r="E27" i="118"/>
  <c r="S98" i="122"/>
  <c r="S105" i="122"/>
  <c r="S104" i="122"/>
  <c r="S107" i="122"/>
  <c r="E33" i="118" s="1"/>
  <c r="S106" i="122"/>
  <c r="E32" i="118" s="1"/>
  <c r="AC65" i="124"/>
  <c r="H30" i="118"/>
  <c r="F30" i="118"/>
  <c r="R191" i="122"/>
  <c r="R193" i="122" s="1"/>
  <c r="R194" i="122" s="1"/>
  <c r="K30" i="118"/>
  <c r="F3" i="118"/>
  <c r="G30" i="118"/>
  <c r="L30" i="118"/>
  <c r="I30" i="118"/>
  <c r="J30" i="118"/>
  <c r="H41" i="118"/>
  <c r="L31" i="118"/>
  <c r="H31" i="118"/>
  <c r="AC141" i="122"/>
  <c r="AD121" i="122" s="1"/>
  <c r="U107" i="122"/>
  <c r="G41" i="118"/>
  <c r="F41" i="118"/>
  <c r="G28" i="118"/>
  <c r="U105" i="122"/>
  <c r="T71" i="122"/>
  <c r="I28" i="118"/>
  <c r="K28" i="118"/>
  <c r="H28" i="118"/>
  <c r="L28" i="118"/>
  <c r="J28" i="118"/>
  <c r="F28" i="118"/>
  <c r="AC116" i="123"/>
  <c r="D27" i="118"/>
  <c r="R106" i="122"/>
  <c r="D32" i="118" s="1"/>
  <c r="R107" i="122"/>
  <c r="D33" i="118" s="1"/>
  <c r="R105" i="122"/>
  <c r="AC118" i="123"/>
  <c r="R106" i="123"/>
  <c r="V105" i="122"/>
  <c r="V106" i="122"/>
  <c r="H33" i="118" s="1"/>
  <c r="V107" i="122"/>
  <c r="V104" i="122"/>
  <c r="AC125" i="123"/>
  <c r="J74" i="123"/>
  <c r="P128" i="118"/>
  <c r="P105" i="118"/>
  <c r="S56" i="123"/>
  <c r="S13" i="123"/>
  <c r="N54" i="123"/>
  <c r="P138" i="118"/>
  <c r="O125" i="118"/>
  <c r="O124" i="118" s="1"/>
  <c r="H4" i="124"/>
  <c r="P118" i="118"/>
  <c r="M54" i="123"/>
  <c r="R52" i="123"/>
  <c r="I74" i="123"/>
  <c r="AE29" i="123"/>
  <c r="AF29" i="123" s="1"/>
  <c r="R118" i="118" s="1"/>
  <c r="D43" i="118"/>
  <c r="AD63" i="123"/>
  <c r="AD110" i="123"/>
  <c r="AD70" i="123"/>
  <c r="S5" i="124"/>
  <c r="R24" i="124"/>
  <c r="R180" i="122" s="1"/>
  <c r="R186" i="122" s="1"/>
  <c r="W27" i="123"/>
  <c r="W135" i="123" s="1"/>
  <c r="I110" i="118"/>
  <c r="AE9" i="124"/>
  <c r="P44" i="118"/>
  <c r="AE17" i="123"/>
  <c r="P106" i="118"/>
  <c r="AC70" i="124"/>
  <c r="O58" i="118"/>
  <c r="AD67" i="123"/>
  <c r="P127" i="118"/>
  <c r="AD90" i="123"/>
  <c r="P120" i="118"/>
  <c r="AD61" i="123"/>
  <c r="P111" i="118"/>
  <c r="AE11" i="123"/>
  <c r="P100" i="118"/>
  <c r="AE12" i="123"/>
  <c r="P101" i="118"/>
  <c r="AE43" i="123"/>
  <c r="P132" i="118"/>
  <c r="K41" i="118"/>
  <c r="Y27" i="123"/>
  <c r="Y135" i="123" s="1"/>
  <c r="K110" i="118"/>
  <c r="AE10" i="123"/>
  <c r="P99" i="118"/>
  <c r="I41" i="118"/>
  <c r="AE24" i="123"/>
  <c r="P113" i="118"/>
  <c r="AE34" i="123"/>
  <c r="P123" i="118"/>
  <c r="AE51" i="123"/>
  <c r="P140" i="118"/>
  <c r="AF49" i="123"/>
  <c r="R138" i="118" s="1"/>
  <c r="Q138" i="118"/>
  <c r="J41" i="118"/>
  <c r="Z27" i="123"/>
  <c r="L110" i="118"/>
  <c r="X27" i="123"/>
  <c r="X135" i="123" s="1"/>
  <c r="J110" i="118"/>
  <c r="AD68" i="123"/>
  <c r="P131" i="118"/>
  <c r="AE32" i="123"/>
  <c r="P121" i="118"/>
  <c r="AE7" i="123"/>
  <c r="P96" i="118"/>
  <c r="AE8" i="123"/>
  <c r="P97" i="118"/>
  <c r="AE9" i="123"/>
  <c r="P98" i="118"/>
  <c r="AE31" i="125"/>
  <c r="AE51" i="125" s="1"/>
  <c r="AF30" i="125"/>
  <c r="AF50" i="125" s="1"/>
  <c r="AC78" i="125"/>
  <c r="AC80" i="125" s="1"/>
  <c r="AC47" i="125"/>
  <c r="AF49" i="125"/>
  <c r="V227" i="125"/>
  <c r="AD191" i="125"/>
  <c r="Z100" i="122"/>
  <c r="Z105" i="122"/>
  <c r="Z104" i="122"/>
  <c r="Z107" i="122"/>
  <c r="Z106" i="122"/>
  <c r="L33" i="118" s="1"/>
  <c r="Y107" i="122"/>
  <c r="Y104" i="122"/>
  <c r="M12" i="116" s="1"/>
  <c r="Y106" i="122"/>
  <c r="K33" i="118" s="1"/>
  <c r="Z102" i="122"/>
  <c r="L32" i="118" s="1"/>
  <c r="Z4" i="124"/>
  <c r="AE39" i="123"/>
  <c r="AD91" i="123"/>
  <c r="AE30" i="123"/>
  <c r="Q119" i="118" s="1"/>
  <c r="AD89" i="123"/>
  <c r="AD36" i="123"/>
  <c r="AF191" i="125"/>
  <c r="AE26" i="123"/>
  <c r="AE46" i="123"/>
  <c r="AE42" i="123"/>
  <c r="AE22" i="123"/>
  <c r="AE31" i="123"/>
  <c r="AD138" i="122"/>
  <c r="Z239" i="125"/>
  <c r="Z189" i="125"/>
  <c r="Z188" i="125"/>
  <c r="X160" i="125"/>
  <c r="Z183" i="125"/>
  <c r="Y137" i="125"/>
  <c r="Z136" i="125"/>
  <c r="Y285" i="125"/>
  <c r="AE79" i="125"/>
  <c r="AE191" i="125"/>
  <c r="AC32" i="125"/>
  <c r="Y184" i="125"/>
  <c r="Y189" i="125"/>
  <c r="AA239" i="125"/>
  <c r="AA183" i="125"/>
  <c r="AA188" i="125"/>
  <c r="AC191" i="125"/>
  <c r="Z184" i="125"/>
  <c r="AE38" i="126"/>
  <c r="AF38" i="126" s="1"/>
  <c r="K30" i="127"/>
  <c r="S44" i="127"/>
  <c r="T44" i="127" s="1"/>
  <c r="AE16" i="123"/>
  <c r="AE38" i="123"/>
  <c r="AD26" i="124"/>
  <c r="AD129" i="123" s="1"/>
  <c r="AE46" i="122"/>
  <c r="AF46" i="122" s="1"/>
  <c r="AE48" i="122"/>
  <c r="AF48" i="122" s="1"/>
  <c r="AE63" i="122"/>
  <c r="AF63" i="122" s="1"/>
  <c r="AE61" i="122"/>
  <c r="AF61" i="122" s="1"/>
  <c r="AE50" i="122"/>
  <c r="AF50" i="122" s="1"/>
  <c r="AT93" i="119"/>
  <c r="DT87" i="131" l="1"/>
  <c r="DV86" i="131"/>
  <c r="DV87" i="131" s="1"/>
  <c r="DI82" i="131"/>
  <c r="N12" i="116"/>
  <c r="J12" i="116"/>
  <c r="G31" i="118"/>
  <c r="R192" i="122"/>
  <c r="J31" i="118"/>
  <c r="AD65" i="124"/>
  <c r="S190" i="122"/>
  <c r="AD141" i="122"/>
  <c r="AE121" i="122" s="1"/>
  <c r="DA82" i="131"/>
  <c r="CS82" i="131"/>
  <c r="CK82" i="131"/>
  <c r="CJ82" i="131" s="1"/>
  <c r="Q118" i="118"/>
  <c r="AD118" i="123"/>
  <c r="AD116" i="123"/>
  <c r="Z108" i="123"/>
  <c r="Z135" i="123"/>
  <c r="AD125" i="123"/>
  <c r="X108" i="123"/>
  <c r="O56" i="123"/>
  <c r="P125" i="118"/>
  <c r="P124" i="118" s="1"/>
  <c r="W108" i="123"/>
  <c r="Q128" i="118"/>
  <c r="R54" i="123"/>
  <c r="Y108" i="123"/>
  <c r="E42" i="118"/>
  <c r="M56" i="123"/>
  <c r="H23" i="124"/>
  <c r="N56" i="123"/>
  <c r="AE70" i="123"/>
  <c r="R57" i="124"/>
  <c r="AE63" i="123"/>
  <c r="AE110" i="123"/>
  <c r="D56" i="118"/>
  <c r="R51" i="124"/>
  <c r="S7" i="124"/>
  <c r="R23" i="124"/>
  <c r="AF8" i="123"/>
  <c r="R97" i="118" s="1"/>
  <c r="Q97" i="118"/>
  <c r="Z56" i="123"/>
  <c r="L116" i="118"/>
  <c r="L115" i="118" s="1"/>
  <c r="AE90" i="123"/>
  <c r="Q120" i="118"/>
  <c r="AF24" i="123"/>
  <c r="R113" i="118" s="1"/>
  <c r="Q113" i="118"/>
  <c r="Y56" i="123"/>
  <c r="K116" i="118"/>
  <c r="K115" i="118" s="1"/>
  <c r="AF12" i="123"/>
  <c r="R101" i="118" s="1"/>
  <c r="Q101" i="118"/>
  <c r="AF17" i="123"/>
  <c r="R106" i="118" s="1"/>
  <c r="Q106" i="118"/>
  <c r="AF7" i="123"/>
  <c r="Q96" i="118"/>
  <c r="AD70" i="124"/>
  <c r="P58" i="118"/>
  <c r="L41" i="118"/>
  <c r="AF51" i="123"/>
  <c r="R140" i="118" s="1"/>
  <c r="Q140" i="118"/>
  <c r="AF11" i="123"/>
  <c r="Q100" i="118"/>
  <c r="AF9" i="124"/>
  <c r="R44" i="118" s="1"/>
  <c r="Q44" i="118"/>
  <c r="AE61" i="123"/>
  <c r="Q111" i="118"/>
  <c r="AE68" i="123"/>
  <c r="Q131" i="118"/>
  <c r="AF9" i="123"/>
  <c r="R98" i="118" s="1"/>
  <c r="Q98" i="118"/>
  <c r="AF32" i="123"/>
  <c r="R121" i="118" s="1"/>
  <c r="Q121" i="118"/>
  <c r="X56" i="123"/>
  <c r="J116" i="118"/>
  <c r="J115" i="118" s="1"/>
  <c r="AE67" i="123"/>
  <c r="Q127" i="118"/>
  <c r="AF16" i="123"/>
  <c r="R105" i="118" s="1"/>
  <c r="Q105" i="118"/>
  <c r="AF34" i="123"/>
  <c r="R123" i="118" s="1"/>
  <c r="Q123" i="118"/>
  <c r="AF10" i="123"/>
  <c r="Q99" i="118"/>
  <c r="AF43" i="123"/>
  <c r="R132" i="118" s="1"/>
  <c r="Q132" i="118"/>
  <c r="W56" i="123"/>
  <c r="I116" i="118"/>
  <c r="I115" i="118" s="1"/>
  <c r="AF31" i="125"/>
  <c r="AF51" i="125" s="1"/>
  <c r="AD78" i="125"/>
  <c r="AD80" i="125" s="1"/>
  <c r="AD47" i="125"/>
  <c r="V232" i="125"/>
  <c r="T228" i="125"/>
  <c r="AF30" i="123"/>
  <c r="AE89" i="123"/>
  <c r="AF39" i="123"/>
  <c r="AE91" i="123"/>
  <c r="AE36" i="123"/>
  <c r="AF79" i="125"/>
  <c r="AF46" i="123"/>
  <c r="AF22" i="123"/>
  <c r="AF26" i="123"/>
  <c r="AF38" i="123"/>
  <c r="AF42" i="123"/>
  <c r="AE138" i="122"/>
  <c r="AE141" i="122" s="1"/>
  <c r="AF121" i="122" s="1"/>
  <c r="AF31" i="123"/>
  <c r="Y160" i="125"/>
  <c r="Z285" i="125"/>
  <c r="AA189" i="125"/>
  <c r="Z137" i="125"/>
  <c r="AA137" i="125"/>
  <c r="AB239" i="125"/>
  <c r="AB183" i="125"/>
  <c r="AB188" i="125"/>
  <c r="AD32" i="125"/>
  <c r="U111" i="126"/>
  <c r="U98" i="126"/>
  <c r="AE26" i="124"/>
  <c r="Q58" i="118" s="1"/>
  <c r="R96" i="118" l="1"/>
  <c r="AF65" i="124"/>
  <c r="AE65" i="124"/>
  <c r="S191" i="122"/>
  <c r="S193" i="122" s="1"/>
  <c r="S194" i="122" s="1"/>
  <c r="R120" i="118"/>
  <c r="R127" i="118"/>
  <c r="AF68" i="123"/>
  <c r="R131" i="118"/>
  <c r="AF61" i="123"/>
  <c r="R111" i="118"/>
  <c r="R128" i="118"/>
  <c r="R99" i="118"/>
  <c r="AF89" i="123"/>
  <c r="R119" i="118"/>
  <c r="R100" i="118"/>
  <c r="AE125" i="123"/>
  <c r="AE118" i="123"/>
  <c r="S106" i="123"/>
  <c r="S105" i="123" s="1"/>
  <c r="S111" i="123" s="1"/>
  <c r="AE116" i="123"/>
  <c r="AE129" i="123"/>
  <c r="R56" i="123"/>
  <c r="AF67" i="123"/>
  <c r="D78" i="118"/>
  <c r="AF90" i="123"/>
  <c r="Q125" i="118"/>
  <c r="Q124" i="118" s="1"/>
  <c r="D84" i="118"/>
  <c r="R114" i="122"/>
  <c r="AF70" i="123"/>
  <c r="E43" i="118"/>
  <c r="AF63" i="123"/>
  <c r="AF110" i="123"/>
  <c r="R55" i="124"/>
  <c r="S54" i="124" s="1"/>
  <c r="E81" i="118" s="1"/>
  <c r="S24" i="124"/>
  <c r="S180" i="122" s="1"/>
  <c r="S186" i="122" s="1"/>
  <c r="T5" i="124"/>
  <c r="AE78" i="125"/>
  <c r="AE80" i="125" s="1"/>
  <c r="AE47" i="125"/>
  <c r="T233" i="125"/>
  <c r="T234" i="125" s="1"/>
  <c r="T229" i="125"/>
  <c r="CR44" i="115"/>
  <c r="CN44" i="115"/>
  <c r="AF26" i="124"/>
  <c r="AE70" i="124"/>
  <c r="AF91" i="123"/>
  <c r="AF138" i="122"/>
  <c r="AF141" i="122" s="1"/>
  <c r="AF36" i="123"/>
  <c r="R125" i="118" s="1"/>
  <c r="W284" i="125"/>
  <c r="Z160" i="125"/>
  <c r="AC239" i="125"/>
  <c r="AC183" i="125"/>
  <c r="AC188" i="125"/>
  <c r="W131" i="125"/>
  <c r="AB184" i="125"/>
  <c r="AB189" i="125"/>
  <c r="AA285" i="125"/>
  <c r="AE32" i="125"/>
  <c r="V98" i="126"/>
  <c r="U110" i="126"/>
  <c r="CR45" i="115" l="1"/>
  <c r="S192" i="122"/>
  <c r="T190" i="122"/>
  <c r="R124" i="118"/>
  <c r="AF70" i="124"/>
  <c r="R58" i="118"/>
  <c r="AF129" i="123"/>
  <c r="AF116" i="123"/>
  <c r="AF118" i="123"/>
  <c r="AF125" i="123"/>
  <c r="F42" i="118"/>
  <c r="S51" i="124"/>
  <c r="S57" i="124"/>
  <c r="E84" i="118" s="1"/>
  <c r="E56" i="118"/>
  <c r="S23" i="124"/>
  <c r="T6" i="124"/>
  <c r="T7" i="124"/>
  <c r="D82" i="118"/>
  <c r="AF78" i="125"/>
  <c r="AF80" i="125" s="1"/>
  <c r="AF47" i="125"/>
  <c r="V228" i="125"/>
  <c r="AF32" i="125"/>
  <c r="X284" i="125"/>
  <c r="W294" i="125"/>
  <c r="AA160" i="125"/>
  <c r="W69" i="125"/>
  <c r="W82" i="125"/>
  <c r="AB285" i="125"/>
  <c r="X131" i="125"/>
  <c r="AD239" i="125"/>
  <c r="AD183" i="125"/>
  <c r="AD188" i="125"/>
  <c r="AC184" i="125"/>
  <c r="AC189" i="125"/>
  <c r="W98" i="126"/>
  <c r="T191" i="122" l="1"/>
  <c r="T106" i="123"/>
  <c r="T105" i="123" s="1"/>
  <c r="T111" i="123" s="1"/>
  <c r="E78" i="118"/>
  <c r="S55" i="124"/>
  <c r="T54" i="124" s="1"/>
  <c r="F81" i="118" s="1"/>
  <c r="S114" i="122"/>
  <c r="T24" i="124"/>
  <c r="T180" i="122" s="1"/>
  <c r="T186" i="122" s="1"/>
  <c r="F43" i="118"/>
  <c r="U5" i="124"/>
  <c r="T8" i="124"/>
  <c r="W232" i="125"/>
  <c r="X227" i="125"/>
  <c r="V233" i="125"/>
  <c r="V234" i="125" s="1"/>
  <c r="V229" i="125"/>
  <c r="X82" i="125"/>
  <c r="AF183" i="125"/>
  <c r="AF188" i="125"/>
  <c r="AB160" i="125"/>
  <c r="Y284" i="125"/>
  <c r="X294" i="125"/>
  <c r="W67" i="125"/>
  <c r="W64" i="125"/>
  <c r="AE239" i="125"/>
  <c r="AE183" i="125"/>
  <c r="AE188" i="125"/>
  <c r="W148" i="125"/>
  <c r="W167" i="125" s="1"/>
  <c r="AC285" i="125"/>
  <c r="W144" i="125"/>
  <c r="X228" i="125"/>
  <c r="W233" i="125"/>
  <c r="W229" i="125"/>
  <c r="X162" i="125"/>
  <c r="Y131" i="125"/>
  <c r="X69" i="125"/>
  <c r="AD184" i="125"/>
  <c r="AD189" i="125"/>
  <c r="X98" i="126"/>
  <c r="F7" i="116"/>
  <c r="G4" i="116"/>
  <c r="K2" i="116"/>
  <c r="L2" i="116" s="1"/>
  <c r="M2" i="116" s="1"/>
  <c r="N2" i="116" s="1"/>
  <c r="O2" i="116" s="1"/>
  <c r="P2" i="116" s="1"/>
  <c r="Q2" i="116" s="1"/>
  <c r="R2" i="116" s="1"/>
  <c r="S2" i="116" s="1"/>
  <c r="T2" i="116" s="1"/>
  <c r="G7" i="116"/>
  <c r="U190" i="122" l="1"/>
  <c r="T193" i="122"/>
  <c r="T194" i="122" s="1"/>
  <c r="T192" i="122"/>
  <c r="E82" i="118"/>
  <c r="T23" i="124"/>
  <c r="G42" i="118"/>
  <c r="U7" i="124"/>
  <c r="T51" i="124"/>
  <c r="T57" i="124"/>
  <c r="T114" i="122" s="1"/>
  <c r="F56" i="118"/>
  <c r="F55" i="118" s="1"/>
  <c r="U6" i="124"/>
  <c r="W234" i="125"/>
  <c r="Y227" i="125"/>
  <c r="X232" i="125"/>
  <c r="X242" i="125" s="1"/>
  <c r="X244" i="125" s="1"/>
  <c r="Y82" i="125"/>
  <c r="AF184" i="125"/>
  <c r="AF189" i="125"/>
  <c r="AF239" i="125"/>
  <c r="Z284" i="125"/>
  <c r="Y294" i="125"/>
  <c r="AC160" i="125"/>
  <c r="X144" i="125"/>
  <c r="Y69" i="125"/>
  <c r="X67" i="125"/>
  <c r="AD285" i="125"/>
  <c r="X148" i="125"/>
  <c r="X167" i="125" s="1"/>
  <c r="W150" i="125"/>
  <c r="W166" i="125" s="1"/>
  <c r="X64" i="125"/>
  <c r="Y228" i="125"/>
  <c r="X233" i="125"/>
  <c r="X245" i="125" s="1"/>
  <c r="X229" i="125"/>
  <c r="W68" i="125"/>
  <c r="X66" i="125"/>
  <c r="AE184" i="125"/>
  <c r="AE189" i="125"/>
  <c r="Z131" i="125"/>
  <c r="Y162" i="125"/>
  <c r="W65" i="125"/>
  <c r="Y98" i="126"/>
  <c r="G8" i="116"/>
  <c r="U24" i="124" l="1"/>
  <c r="U180" i="122" s="1"/>
  <c r="U186" i="122" s="1"/>
  <c r="U191" i="122"/>
  <c r="U106" i="123"/>
  <c r="U105" i="123" s="1"/>
  <c r="U111" i="123" s="1"/>
  <c r="F78" i="118"/>
  <c r="T55" i="124"/>
  <c r="U54" i="124" s="1"/>
  <c r="G81" i="118" s="1"/>
  <c r="G43" i="118"/>
  <c r="V5" i="124"/>
  <c r="U8" i="124"/>
  <c r="F84" i="118"/>
  <c r="T59" i="124"/>
  <c r="F86" i="118" s="1"/>
  <c r="X243" i="125"/>
  <c r="Y232" i="125"/>
  <c r="Y242" i="125" s="1"/>
  <c r="Y244" i="125" s="1"/>
  <c r="Z227" i="125"/>
  <c r="W84" i="125"/>
  <c r="W152" i="125"/>
  <c r="AD160" i="125"/>
  <c r="AA284" i="125"/>
  <c r="Z294" i="125"/>
  <c r="W168" i="125"/>
  <c r="X65" i="125"/>
  <c r="AE285" i="125"/>
  <c r="AF285" i="125" s="1"/>
  <c r="Z162" i="125"/>
  <c r="AB131" i="125"/>
  <c r="AC131" i="125" s="1"/>
  <c r="AD131" i="125" s="1"/>
  <c r="AE131" i="125" s="1"/>
  <c r="X234" i="125"/>
  <c r="Y67" i="125"/>
  <c r="X68" i="125"/>
  <c r="Z228" i="125"/>
  <c r="Y233" i="125"/>
  <c r="Y245" i="125" s="1"/>
  <c r="Y229" i="125"/>
  <c r="Z69" i="125"/>
  <c r="Y66" i="125"/>
  <c r="Y64" i="125"/>
  <c r="Y148" i="125"/>
  <c r="Y167" i="125" s="1"/>
  <c r="X150" i="125"/>
  <c r="X152" i="125" s="1"/>
  <c r="Y144" i="125"/>
  <c r="Z98" i="126"/>
  <c r="U51" i="124" l="1"/>
  <c r="G78" i="118" s="1"/>
  <c r="U57" i="124"/>
  <c r="U114" i="122" s="1"/>
  <c r="V190" i="122"/>
  <c r="G56" i="118"/>
  <c r="G55" i="118" s="1"/>
  <c r="U23" i="124"/>
  <c r="U193" i="122"/>
  <c r="U194" i="122" s="1"/>
  <c r="U192" i="122"/>
  <c r="F82" i="118"/>
  <c r="H42" i="118"/>
  <c r="V7" i="124"/>
  <c r="V6" i="124"/>
  <c r="X166" i="125"/>
  <c r="X168" i="125" s="1"/>
  <c r="Y243" i="125"/>
  <c r="AA227" i="125"/>
  <c r="Z232" i="125"/>
  <c r="Z242" i="125" s="1"/>
  <c r="Z82" i="125"/>
  <c r="W86" i="125"/>
  <c r="X84" i="125"/>
  <c r="AA82" i="125"/>
  <c r="AE160" i="125"/>
  <c r="AB284" i="125"/>
  <c r="AA294" i="125"/>
  <c r="Y234" i="125"/>
  <c r="Y65" i="125"/>
  <c r="Y150" i="125"/>
  <c r="Y166" i="125" s="1"/>
  <c r="Z148" i="125"/>
  <c r="Z167" i="125" s="1"/>
  <c r="Y68" i="125"/>
  <c r="Z64" i="125"/>
  <c r="Z66" i="125"/>
  <c r="Z67" i="125"/>
  <c r="AA69" i="125"/>
  <c r="AA162" i="125"/>
  <c r="Z144" i="125"/>
  <c r="AA228" i="125"/>
  <c r="Z233" i="125"/>
  <c r="Z245" i="125" s="1"/>
  <c r="Z229" i="125"/>
  <c r="AA98" i="126"/>
  <c r="G84" i="118" l="1"/>
  <c r="U55" i="124"/>
  <c r="G82" i="118" s="1"/>
  <c r="U59" i="124"/>
  <c r="G86" i="118" s="1"/>
  <c r="V191" i="122"/>
  <c r="V193" i="122" s="1"/>
  <c r="V106" i="123"/>
  <c r="V105" i="123" s="1"/>
  <c r="V111" i="123" s="1"/>
  <c r="W5" i="124"/>
  <c r="V24" i="124"/>
  <c r="H43" i="118"/>
  <c r="V8" i="124"/>
  <c r="Z243" i="125"/>
  <c r="Z244" i="125"/>
  <c r="AA232" i="125"/>
  <c r="AA242" i="125" s="1"/>
  <c r="AA243" i="125" s="1"/>
  <c r="AB227" i="125"/>
  <c r="X86" i="125"/>
  <c r="Z84" i="125"/>
  <c r="Y84" i="125"/>
  <c r="AB82" i="125"/>
  <c r="AF160" i="125"/>
  <c r="X247" i="125"/>
  <c r="AB294" i="125"/>
  <c r="AC284" i="125"/>
  <c r="Y168" i="125"/>
  <c r="AA144" i="125"/>
  <c r="AB69" i="125"/>
  <c r="Z234" i="125"/>
  <c r="AA233" i="125"/>
  <c r="AA245" i="125" s="1"/>
  <c r="AB228" i="125"/>
  <c r="AA229" i="125"/>
  <c r="AB162" i="125"/>
  <c r="AA64" i="125"/>
  <c r="Z150" i="125"/>
  <c r="Z166" i="125" s="1"/>
  <c r="AA148" i="125"/>
  <c r="AA167" i="125" s="1"/>
  <c r="Y152" i="125"/>
  <c r="X169" i="125"/>
  <c r="AH182" i="125" s="1"/>
  <c r="AA67" i="125"/>
  <c r="AA66" i="125"/>
  <c r="Z68" i="125"/>
  <c r="AB98" i="126"/>
  <c r="V54" i="124" l="1"/>
  <c r="H81" i="118" s="1"/>
  <c r="V194" i="122"/>
  <c r="J10" i="116"/>
  <c r="V192" i="122"/>
  <c r="W6" i="124"/>
  <c r="W190" i="122"/>
  <c r="W7" i="124"/>
  <c r="V57" i="124"/>
  <c r="V180" i="122"/>
  <c r="V186" i="122" s="1"/>
  <c r="V51" i="124"/>
  <c r="V23" i="124"/>
  <c r="H56" i="118"/>
  <c r="H55" i="118" s="1"/>
  <c r="I42" i="118"/>
  <c r="AB232" i="125"/>
  <c r="AB242" i="125" s="1"/>
  <c r="AB244" i="125" s="1"/>
  <c r="AC227" i="125"/>
  <c r="AA244" i="125"/>
  <c r="AA102" i="125" s="1"/>
  <c r="Y86" i="125"/>
  <c r="Z86" i="125"/>
  <c r="AA84" i="125"/>
  <c r="AC82" i="125"/>
  <c r="Z247" i="125"/>
  <c r="Z152" i="125"/>
  <c r="AD284" i="125"/>
  <c r="AC294" i="125"/>
  <c r="Z168" i="125"/>
  <c r="AC69" i="125"/>
  <c r="AB67" i="125"/>
  <c r="Y169" i="125"/>
  <c r="AA150" i="125"/>
  <c r="AA152" i="125" s="1"/>
  <c r="AB148" i="125"/>
  <c r="AB167" i="125" s="1"/>
  <c r="AC162" i="125"/>
  <c r="AB233" i="125"/>
  <c r="AB245" i="125" s="1"/>
  <c r="AC228" i="125"/>
  <c r="AB229" i="125"/>
  <c r="AA68" i="125"/>
  <c r="AB64" i="125"/>
  <c r="AB144" i="125"/>
  <c r="Y247" i="125"/>
  <c r="AB66" i="125"/>
  <c r="AA234" i="125"/>
  <c r="AC98" i="126"/>
  <c r="AA166" i="125" l="1"/>
  <c r="AA101" i="125" s="1"/>
  <c r="V55" i="124"/>
  <c r="W54" i="124" s="1"/>
  <c r="I81" i="118" s="1"/>
  <c r="W24" i="124"/>
  <c r="W180" i="122" s="1"/>
  <c r="W186" i="122" s="1"/>
  <c r="V114" i="122"/>
  <c r="J14" i="116"/>
  <c r="W191" i="122"/>
  <c r="W193" i="122" s="1"/>
  <c r="H84" i="118"/>
  <c r="X5" i="124"/>
  <c r="I43" i="118"/>
  <c r="W8" i="124"/>
  <c r="V59" i="124"/>
  <c r="H86" i="118" s="1"/>
  <c r="W106" i="123"/>
  <c r="W105" i="123" s="1"/>
  <c r="W111" i="123" s="1"/>
  <c r="AB243" i="125"/>
  <c r="H78" i="118"/>
  <c r="AA106" i="125"/>
  <c r="AD227" i="125"/>
  <c r="AC232" i="125"/>
  <c r="AC242" i="125" s="1"/>
  <c r="AA86" i="125"/>
  <c r="AD82" i="125"/>
  <c r="AE284" i="125"/>
  <c r="AD294" i="125"/>
  <c r="Y248" i="125"/>
  <c r="AC144" i="125"/>
  <c r="Z248" i="125"/>
  <c r="AC64" i="125"/>
  <c r="AB234" i="125"/>
  <c r="AC148" i="125"/>
  <c r="AC167" i="125" s="1"/>
  <c r="AB150" i="125"/>
  <c r="AB152" i="125" s="1"/>
  <c r="AB102" i="125"/>
  <c r="AB106" i="125" s="1"/>
  <c r="AB68" i="125"/>
  <c r="AC67" i="125"/>
  <c r="AD162" i="125"/>
  <c r="AB65" i="125"/>
  <c r="Z169" i="125"/>
  <c r="AD69" i="125"/>
  <c r="AC66" i="125"/>
  <c r="AD228" i="125"/>
  <c r="AC233" i="125"/>
  <c r="AC245" i="125" s="1"/>
  <c r="AC229" i="125"/>
  <c r="AD98" i="126"/>
  <c r="U23" i="134" l="1"/>
  <c r="AD23" i="134"/>
  <c r="V23" i="134"/>
  <c r="AE23" i="134"/>
  <c r="H82" i="118"/>
  <c r="W194" i="122"/>
  <c r="K10" i="116"/>
  <c r="W192" i="122"/>
  <c r="CK78" i="131" s="1"/>
  <c r="I56" i="118"/>
  <c r="I55" i="118" s="1"/>
  <c r="X7" i="124"/>
  <c r="X24" i="124" s="1"/>
  <c r="X190" i="122"/>
  <c r="W51" i="124"/>
  <c r="W55" i="124" s="1"/>
  <c r="X54" i="124" s="1"/>
  <c r="J81" i="118" s="1"/>
  <c r="W57" i="124"/>
  <c r="W23" i="124"/>
  <c r="J42" i="118"/>
  <c r="W62" i="124"/>
  <c r="W71" i="124" s="1"/>
  <c r="W73" i="124" s="1"/>
  <c r="X6" i="124"/>
  <c r="AB166" i="125"/>
  <c r="AB101" i="125" s="1"/>
  <c r="AC244" i="125"/>
  <c r="AC102" i="125" s="1"/>
  <c r="AC106" i="125" s="1"/>
  <c r="AC243" i="125"/>
  <c r="AE227" i="125"/>
  <c r="AD232" i="125"/>
  <c r="AD242" i="125" s="1"/>
  <c r="AA168" i="125"/>
  <c r="AA169" i="125" s="1"/>
  <c r="AB84" i="125"/>
  <c r="AE82" i="125"/>
  <c r="AE294" i="125"/>
  <c r="AF284" i="125"/>
  <c r="AF294" i="125" s="1"/>
  <c r="AE69" i="125"/>
  <c r="AF69" i="125"/>
  <c r="AF98" i="126"/>
  <c r="AC68" i="125"/>
  <c r="AD64" i="125"/>
  <c r="AE228" i="125"/>
  <c r="AD233" i="125"/>
  <c r="AD245" i="125" s="1"/>
  <c r="AD229" i="125"/>
  <c r="AD148" i="125"/>
  <c r="AD167" i="125" s="1"/>
  <c r="AC150" i="125"/>
  <c r="AC152" i="125" s="1"/>
  <c r="AD66" i="125"/>
  <c r="AE162" i="125"/>
  <c r="AC234" i="125"/>
  <c r="AC65" i="125"/>
  <c r="AD67" i="125"/>
  <c r="AD144" i="125"/>
  <c r="AE98" i="126"/>
  <c r="AN23" i="134" l="1"/>
  <c r="W23" i="134"/>
  <c r="AF23" i="134"/>
  <c r="AM23" i="134"/>
  <c r="W59" i="124"/>
  <c r="I86" i="118" s="1"/>
  <c r="K14" i="116"/>
  <c r="X191" i="122"/>
  <c r="X193" i="122" s="1"/>
  <c r="X106" i="123"/>
  <c r="X105" i="123" s="1"/>
  <c r="X111" i="123" s="1"/>
  <c r="Y5" i="124"/>
  <c r="I82" i="118"/>
  <c r="J43" i="118"/>
  <c r="X180" i="122"/>
  <c r="X186" i="122" s="1"/>
  <c r="X8" i="124"/>
  <c r="CK79" i="131"/>
  <c r="CJ78" i="131"/>
  <c r="CJ79" i="131" s="1"/>
  <c r="I84" i="118"/>
  <c r="W114" i="122"/>
  <c r="I78" i="118"/>
  <c r="AC166" i="125"/>
  <c r="AC101" i="125" s="1"/>
  <c r="AD243" i="125"/>
  <c r="AD244" i="125"/>
  <c r="AD102" i="125" s="1"/>
  <c r="AD106" i="125" s="1"/>
  <c r="AF227" i="125"/>
  <c r="AF232" i="125" s="1"/>
  <c r="AF242" i="125" s="1"/>
  <c r="AE232" i="125"/>
  <c r="AE242" i="125" s="1"/>
  <c r="AE244" i="125" s="1"/>
  <c r="AA103" i="125"/>
  <c r="AA105" i="125"/>
  <c r="AB105" i="125"/>
  <c r="AB103" i="125"/>
  <c r="AB86" i="125"/>
  <c r="AC84" i="125"/>
  <c r="AF82" i="125"/>
  <c r="AF162" i="125"/>
  <c r="AF228" i="125"/>
  <c r="AE67" i="125"/>
  <c r="AF67" i="125"/>
  <c r="AE66" i="125"/>
  <c r="AF66" i="125"/>
  <c r="AE64" i="125"/>
  <c r="AF64" i="125"/>
  <c r="AD65" i="125"/>
  <c r="AE144" i="125"/>
  <c r="AA247" i="125"/>
  <c r="AE148" i="125"/>
  <c r="AD150" i="125"/>
  <c r="AD152" i="125" s="1"/>
  <c r="AD68" i="125"/>
  <c r="AB247" i="125"/>
  <c r="AE233" i="125"/>
  <c r="AE245" i="125" s="1"/>
  <c r="AE229" i="125"/>
  <c r="AD234" i="125"/>
  <c r="AB168" i="125"/>
  <c r="X23" i="134" l="1"/>
  <c r="AG23" i="134"/>
  <c r="V22" i="134"/>
  <c r="AE22" i="134"/>
  <c r="U22" i="134"/>
  <c r="AD22" i="134"/>
  <c r="AO23" i="134"/>
  <c r="X194" i="122"/>
  <c r="L10" i="116"/>
  <c r="X192" i="122"/>
  <c r="CS78" i="131" s="1"/>
  <c r="CS79" i="131" s="1"/>
  <c r="Y6" i="124"/>
  <c r="K42" i="118"/>
  <c r="Y7" i="124"/>
  <c r="Y190" i="122"/>
  <c r="X51" i="124"/>
  <c r="X62" i="124"/>
  <c r="X71" i="124" s="1"/>
  <c r="X73" i="124" s="1"/>
  <c r="X57" i="124"/>
  <c r="J56" i="118"/>
  <c r="J55" i="118" s="1"/>
  <c r="X23" i="124"/>
  <c r="AD166" i="125"/>
  <c r="AD101" i="125" s="1"/>
  <c r="AF148" i="125"/>
  <c r="AF167" i="125" s="1"/>
  <c r="AE167" i="125"/>
  <c r="AE102" i="125" s="1"/>
  <c r="AE106" i="125" s="1"/>
  <c r="AE243" i="125"/>
  <c r="AF244" i="125"/>
  <c r="AF243" i="125"/>
  <c r="AC105" i="125"/>
  <c r="AC103" i="125"/>
  <c r="AC104" i="125" s="1"/>
  <c r="AB104" i="125"/>
  <c r="AA104" i="125"/>
  <c r="AF144" i="125"/>
  <c r="AC86" i="125"/>
  <c r="AD84" i="125"/>
  <c r="AF65" i="125"/>
  <c r="AF233" i="125"/>
  <c r="AF245" i="125" s="1"/>
  <c r="AF229" i="125"/>
  <c r="AC247" i="125"/>
  <c r="AE68" i="125"/>
  <c r="AF68" i="125"/>
  <c r="AE234" i="125"/>
  <c r="AE65" i="125"/>
  <c r="AB169" i="125"/>
  <c r="AB248" i="125"/>
  <c r="AE150" i="125"/>
  <c r="AE152" i="125" s="1"/>
  <c r="AA248" i="125"/>
  <c r="AC168" i="125"/>
  <c r="AM22" i="134" l="1"/>
  <c r="V21" i="134"/>
  <c r="AE21" i="134"/>
  <c r="Y23" i="134"/>
  <c r="AH23" i="134"/>
  <c r="W22" i="134"/>
  <c r="AO22" i="134" s="1"/>
  <c r="AF22" i="134"/>
  <c r="U21" i="134"/>
  <c r="AD21" i="134"/>
  <c r="W21" i="134"/>
  <c r="AF21" i="134"/>
  <c r="AN22" i="134"/>
  <c r="AP23" i="134"/>
  <c r="AE166" i="125"/>
  <c r="AE101" i="125" s="1"/>
  <c r="Y20" i="119"/>
  <c r="AS114" i="119"/>
  <c r="Y24" i="124"/>
  <c r="Y180" i="122" s="1"/>
  <c r="Y186" i="122" s="1"/>
  <c r="X114" i="122"/>
  <c r="L14" i="116"/>
  <c r="CR78" i="131"/>
  <c r="CR79" i="131" s="1"/>
  <c r="J78" i="118"/>
  <c r="K43" i="118"/>
  <c r="Y8" i="124"/>
  <c r="Y106" i="123"/>
  <c r="Y105" i="123" s="1"/>
  <c r="Y111" i="123" s="1"/>
  <c r="X55" i="124"/>
  <c r="Y54" i="124" s="1"/>
  <c r="K81" i="118" s="1"/>
  <c r="J84" i="118"/>
  <c r="Z5" i="124"/>
  <c r="Y191" i="122"/>
  <c r="Y193" i="122" s="1"/>
  <c r="X59" i="124"/>
  <c r="J86" i="118" s="1"/>
  <c r="AF150" i="125"/>
  <c r="AF166" i="125" s="1"/>
  <c r="AF101" i="125" s="1"/>
  <c r="AF102" i="125"/>
  <c r="AF106" i="125" s="1"/>
  <c r="AD168" i="125"/>
  <c r="AD169" i="125" s="1"/>
  <c r="AC248" i="125"/>
  <c r="AD86" i="125"/>
  <c r="AF84" i="125"/>
  <c r="AE84" i="125"/>
  <c r="AF234" i="125"/>
  <c r="AC169" i="125"/>
  <c r="AQ23" i="134" l="1"/>
  <c r="AO21" i="134"/>
  <c r="Z23" i="134"/>
  <c r="AI23" i="134"/>
  <c r="AM21" i="134"/>
  <c r="AN21" i="134"/>
  <c r="Y194" i="122"/>
  <c r="M10" i="116"/>
  <c r="CN43" i="115"/>
  <c r="CR43" i="115"/>
  <c r="Y62" i="124"/>
  <c r="Y71" i="124" s="1"/>
  <c r="Y73" i="124" s="1"/>
  <c r="L42" i="118"/>
  <c r="Y57" i="124"/>
  <c r="K56" i="118"/>
  <c r="K55" i="118" s="1"/>
  <c r="Z7" i="124"/>
  <c r="Y51" i="124"/>
  <c r="K78" i="118" s="1"/>
  <c r="Y23" i="124"/>
  <c r="J82" i="118"/>
  <c r="Z190" i="122"/>
  <c r="Y192" i="122"/>
  <c r="DA78" i="131" s="1"/>
  <c r="DA79" i="131" s="1"/>
  <c r="Z6" i="124"/>
  <c r="AA6" i="124" s="1"/>
  <c r="AB6" i="124" s="1"/>
  <c r="AC6" i="124" s="1"/>
  <c r="AD6" i="124" s="1"/>
  <c r="AE6" i="124" s="1"/>
  <c r="AF6" i="124" s="1"/>
  <c r="AF152" i="125"/>
  <c r="AF168" i="125"/>
  <c r="AE103" i="125"/>
  <c r="AE105" i="125"/>
  <c r="AD105" i="125"/>
  <c r="AD103" i="125"/>
  <c r="AD104" i="125" s="1"/>
  <c r="AF86" i="125"/>
  <c r="AE86" i="125"/>
  <c r="AD247" i="125"/>
  <c r="AD248" i="125" s="1"/>
  <c r="AE247" i="125"/>
  <c r="AE168" i="125"/>
  <c r="Y22" i="134" l="1"/>
  <c r="AH22" i="134"/>
  <c r="X21" i="134"/>
  <c r="AG21" i="134"/>
  <c r="X22" i="134"/>
  <c r="AG22" i="134"/>
  <c r="AR23" i="134"/>
  <c r="Z24" i="124"/>
  <c r="Z180" i="122" s="1"/>
  <c r="Z186" i="122" s="1"/>
  <c r="Y114" i="122"/>
  <c r="M14" i="116"/>
  <c r="Y59" i="124"/>
  <c r="K86" i="118" s="1"/>
  <c r="Z8" i="124"/>
  <c r="AA8" i="124" s="1"/>
  <c r="K84" i="118"/>
  <c r="Z191" i="122"/>
  <c r="Z193" i="122" s="1"/>
  <c r="L43" i="118"/>
  <c r="Y55" i="124"/>
  <c r="Z54" i="124" s="1"/>
  <c r="L81" i="118" s="1"/>
  <c r="Z106" i="123"/>
  <c r="Z105" i="123" s="1"/>
  <c r="Z111" i="123" s="1"/>
  <c r="CZ78" i="131"/>
  <c r="CZ79" i="131" s="1"/>
  <c r="AE104" i="125"/>
  <c r="AF103" i="125"/>
  <c r="AF104" i="125" s="1"/>
  <c r="AI21" i="134" s="1"/>
  <c r="AF105" i="125"/>
  <c r="AF169" i="125"/>
  <c r="AF247" i="125"/>
  <c r="AE248" i="125"/>
  <c r="AE169" i="125"/>
  <c r="Z22" i="134" l="1"/>
  <c r="AI22" i="134"/>
  <c r="AP22" i="134"/>
  <c r="AP21" i="134"/>
  <c r="Y21" i="134"/>
  <c r="AH21" i="134"/>
  <c r="AQ22" i="134"/>
  <c r="CR42" i="115"/>
  <c r="Z21" i="134"/>
  <c r="AR21" i="134" s="1"/>
  <c r="Z62" i="124"/>
  <c r="Z71" i="124" s="1"/>
  <c r="Z73" i="124" s="1"/>
  <c r="Z51" i="124"/>
  <c r="L78" i="118" s="1"/>
  <c r="Z57" i="124"/>
  <c r="L56" i="118"/>
  <c r="L55" i="118" s="1"/>
  <c r="Z23" i="124"/>
  <c r="Z194" i="122"/>
  <c r="N10" i="116"/>
  <c r="Z192" i="122"/>
  <c r="DI78" i="131" s="1"/>
  <c r="DI79" i="131" s="1"/>
  <c r="K82" i="118"/>
  <c r="AF248" i="125"/>
  <c r="AQ21" i="134" l="1"/>
  <c r="AR22" i="134"/>
  <c r="N14" i="116"/>
  <c r="AQ109" i="119"/>
  <c r="Z55" i="124"/>
  <c r="AA54" i="124" s="1"/>
  <c r="M81" i="118" s="1"/>
  <c r="Z114" i="122"/>
  <c r="L84" i="118"/>
  <c r="Z59" i="124"/>
  <c r="L86" i="118" s="1"/>
  <c r="DH78" i="131"/>
  <c r="DH79" i="131" s="1"/>
  <c r="L82" i="118" l="1"/>
  <c r="CN42" i="115"/>
  <c r="W117" i="125" l="1"/>
  <c r="W118" i="125"/>
  <c r="X117" i="125" l="1"/>
  <c r="X118" i="125"/>
  <c r="Y118" i="125" l="1"/>
  <c r="W120" i="125"/>
  <c r="Y117" i="125"/>
  <c r="Z117" i="125" l="1"/>
  <c r="Z118" i="125"/>
  <c r="AA118" i="125" l="1"/>
  <c r="AA117" i="125"/>
  <c r="AB118" i="125" l="1"/>
  <c r="AB117" i="125"/>
  <c r="AQ98" i="119"/>
  <c r="BG93" i="119"/>
  <c r="AI11" i="119"/>
  <c r="AB11" i="119"/>
  <c r="Y11" i="119"/>
  <c r="X11" i="119"/>
  <c r="W11" i="119"/>
  <c r="S60" i="119"/>
  <c r="P60" i="119"/>
  <c r="I60" i="119"/>
  <c r="I87" i="119" s="1"/>
  <c r="M60" i="119"/>
  <c r="B4" i="119" a="1"/>
  <c r="B4" i="119" s="1"/>
  <c r="M8" i="119"/>
  <c r="L8" i="119" s="1" a="1"/>
  <c r="L8" i="119" s="1"/>
  <c r="S11" i="119"/>
  <c r="P11" i="119"/>
  <c r="M11" i="119"/>
  <c r="Q74" i="119"/>
  <c r="AU93" i="119"/>
  <c r="AS90" i="119"/>
  <c r="AT87" i="119"/>
  <c r="AS93" i="119"/>
  <c r="AQ93" i="119"/>
  <c r="M71" i="119"/>
  <c r="M73" i="119"/>
  <c r="M75" i="119"/>
  <c r="M77" i="119"/>
  <c r="AT97" i="119"/>
  <c r="AT111" i="119"/>
  <c r="AT96" i="119"/>
  <c r="AT95" i="119"/>
  <c r="AT99" i="119"/>
  <c r="AT101" i="119"/>
  <c r="AT103" i="119"/>
  <c r="AT114" i="119"/>
  <c r="X20" i="119"/>
  <c r="X23" i="119"/>
  <c r="AT105" i="119"/>
  <c r="P20" i="119"/>
  <c r="P87" i="119"/>
  <c r="AT109" i="119"/>
  <c r="AT98" i="119"/>
  <c r="AT116" i="119"/>
  <c r="AT107" i="119"/>
  <c r="I79" i="119" l="1"/>
  <c r="AC117" i="125"/>
  <c r="AC118" i="125"/>
  <c r="Z291" i="125"/>
  <c r="Z273" i="125"/>
  <c r="Z108" i="125"/>
  <c r="Z250" i="125"/>
  <c r="Z256" i="125" s="1"/>
  <c r="Z72" i="125"/>
  <c r="Z70" i="125" s="1" a="1"/>
  <c r="Z70" i="125" s="1"/>
  <c r="Z122" i="125"/>
  <c r="Z94" i="125"/>
  <c r="Z52" i="125"/>
  <c r="Z53" i="125" s="1"/>
  <c r="Z171" i="125"/>
  <c r="AI17" i="119"/>
  <c r="P29" i="119"/>
  <c r="M26" i="119"/>
  <c r="L26" i="119" s="1"/>
  <c r="L29" i="119" s="1"/>
  <c r="M29" i="119"/>
  <c r="S29" i="119"/>
  <c r="L11" i="119" a="1"/>
  <c r="L11" i="119" s="1"/>
  <c r="K8" i="119" a="1"/>
  <c r="K8" i="119" s="1"/>
  <c r="AT108" i="119"/>
  <c r="AT106" i="119"/>
  <c r="AT104" i="119"/>
  <c r="AT102" i="119"/>
  <c r="N66" i="119"/>
  <c r="Q87" i="119"/>
  <c r="H26" i="119"/>
  <c r="G26" i="119"/>
  <c r="P81" i="119"/>
  <c r="P51" i="119"/>
  <c r="P84" i="119"/>
  <c r="P23" i="119"/>
  <c r="Z22" i="126" l="1"/>
  <c r="AH43" i="125"/>
  <c r="Z73" i="125" a="1"/>
  <c r="Z73" i="125" s="1"/>
  <c r="Z88" i="125"/>
  <c r="Z89" i="125"/>
  <c r="Z91" i="125"/>
  <c r="Z92" i="125"/>
  <c r="Z125" i="125"/>
  <c r="AD118" i="125"/>
  <c r="Z279" i="125"/>
  <c r="Z277" i="125"/>
  <c r="Z278" i="125"/>
  <c r="AD117" i="125"/>
  <c r="Z175" i="125"/>
  <c r="Z176" i="125"/>
  <c r="Z177" i="125"/>
  <c r="Z111" i="125"/>
  <c r="Z112" i="125"/>
  <c r="Z113" i="125"/>
  <c r="Z295" i="125"/>
  <c r="Z303" i="125" s="1"/>
  <c r="AQ102" i="119"/>
  <c r="I26" i="119"/>
  <c r="I29" i="119" s="1"/>
  <c r="J8" i="119" a="1"/>
  <c r="J8" i="119" s="1"/>
  <c r="K11" i="119" a="1"/>
  <c r="K11" i="119" s="1"/>
  <c r="P54" i="119"/>
  <c r="Z296" i="125" l="1"/>
  <c r="M42" i="119"/>
  <c r="J11" i="119" a="1"/>
  <c r="J11" i="119" s="1"/>
  <c r="W23" i="119"/>
  <c r="I8" i="119" a="1"/>
  <c r="I8" i="119" s="1"/>
  <c r="AF118" i="125" l="1"/>
  <c r="AE118" i="125"/>
  <c r="AF117" i="125"/>
  <c r="AE117" i="125"/>
  <c r="M40" i="119"/>
  <c r="Z23" i="119"/>
  <c r="AA23" i="119"/>
  <c r="M44" i="119"/>
  <c r="I11" i="119" a="1"/>
  <c r="I11" i="119" s="1"/>
  <c r="AC23" i="119" l="1"/>
  <c r="N14" i="119"/>
  <c r="Q54" i="119" l="1"/>
  <c r="N54" i="119" l="1"/>
  <c r="N79" i="119" l="1"/>
  <c r="S73" i="119" l="1"/>
  <c r="I42" i="119" l="1"/>
  <c r="S42" i="119" l="1"/>
  <c r="I44" i="119" l="1"/>
  <c r="U87" i="119" l="1"/>
  <c r="T87" i="119"/>
  <c r="N87" i="119" l="1"/>
  <c r="S75" i="119" l="1"/>
  <c r="S44" i="119" l="1"/>
  <c r="M83" i="119" l="1"/>
  <c r="P83" i="119" l="1"/>
  <c r="N84" i="119"/>
  <c r="I40" i="119" l="1"/>
  <c r="S71" i="119" l="1"/>
  <c r="S77" i="119" l="1"/>
  <c r="M50" i="119" l="1"/>
  <c r="P50" i="119" l="1"/>
  <c r="I46" i="119" l="1"/>
  <c r="L46" i="119" l="1"/>
  <c r="M46" i="119"/>
  <c r="S40" i="119" l="1"/>
  <c r="S46" i="119" l="1"/>
  <c r="DS73" i="115" l="1"/>
  <c r="DS70" i="115"/>
  <c r="DS68" i="115"/>
  <c r="DS66" i="115"/>
  <c r="CU17" i="115" l="1"/>
  <c r="BR44" i="115" l="1"/>
  <c r="CI37" i="115" a="1"/>
  <c r="CE37" i="115" a="1"/>
  <c r="BW37" i="115" a="1"/>
  <c r="BQ37" i="115" a="1"/>
  <c r="CA37" i="115" a="1"/>
  <c r="BQ37" i="115" l="1"/>
  <c r="CI37" i="115"/>
  <c r="CE37" i="115"/>
  <c r="CA37" i="115"/>
  <c r="BW37" i="115"/>
  <c r="BW38" i="115" s="1"/>
  <c r="CA38" i="115" l="1"/>
  <c r="CE38" i="115"/>
  <c r="CI38" i="115"/>
  <c r="CM38" i="115"/>
  <c r="BE109" i="119"/>
  <c r="BE107" i="119"/>
  <c r="BE99" i="119"/>
  <c r="AU135" i="119" l="1"/>
  <c r="AU133" i="119"/>
  <c r="AU131" i="119"/>
  <c r="AU127" i="119"/>
  <c r="AU126" i="119"/>
  <c r="AU125" i="119"/>
  <c r="AA8" i="119" l="1"/>
  <c r="AJ11" i="119" s="1"/>
  <c r="Z8" i="119"/>
  <c r="BG139" i="119"/>
  <c r="AU139" i="119"/>
  <c r="AA10" i="119" l="1"/>
  <c r="Z10" i="119"/>
  <c r="BB139" i="119"/>
  <c r="BE139" i="119"/>
  <c r="G18" i="116" l="1"/>
  <c r="S26" i="119" l="1"/>
  <c r="P26" i="119"/>
  <c r="AU132" i="119" l="1"/>
  <c r="AU136" i="119"/>
  <c r="AU134" i="119"/>
  <c r="BL43" i="115" l="1"/>
  <c r="AY127" i="119"/>
  <c r="AY125" i="119"/>
  <c r="AY128" i="119"/>
  <c r="AY126" i="119" l="1"/>
  <c r="AY139" i="119"/>
  <c r="AU116" i="119"/>
  <c r="AX128" i="119"/>
  <c r="AW128" i="119"/>
  <c r="Q48" i="119" l="1"/>
  <c r="Q45" i="119"/>
  <c r="Q43" i="119"/>
  <c r="Q41" i="119"/>
  <c r="Q39" i="119"/>
  <c r="Q36" i="119"/>
  <c r="Q34" i="119"/>
  <c r="Q33" i="119"/>
  <c r="Q32" i="119"/>
  <c r="P46" i="119"/>
  <c r="P44" i="119"/>
  <c r="P42" i="119"/>
  <c r="P40" i="119"/>
  <c r="S8" i="119"/>
  <c r="P8" i="119"/>
  <c r="H8" i="119"/>
  <c r="G8" i="119"/>
  <c r="F8" i="119"/>
  <c r="E8" i="119"/>
  <c r="EB74" i="115" l="1"/>
  <c r="EB72" i="115"/>
  <c r="EB71" i="115"/>
  <c r="EB69" i="115"/>
  <c r="EB67" i="115"/>
  <c r="EB65" i="115"/>
  <c r="EB63" i="115"/>
  <c r="EB61" i="115"/>
  <c r="EB60" i="115"/>
  <c r="EB59" i="115"/>
  <c r="AI43" i="115" l="1"/>
  <c r="F8" i="116" l="1"/>
  <c r="B13" i="116" l="1" a="1"/>
  <c r="B13" i="116" s="1"/>
  <c r="B15" i="116" a="1"/>
  <c r="B15" i="116" s="1"/>
  <c r="B16" i="116" a="1"/>
  <c r="B16" i="116" s="1"/>
  <c r="B12" i="116" a="1"/>
  <c r="B12" i="116" s="1"/>
  <c r="B14" i="116" a="1"/>
  <c r="B14" i="116" s="1"/>
  <c r="H44" i="119" l="1"/>
  <c r="H40" i="119"/>
  <c r="H42" i="119"/>
  <c r="DR73" i="115" l="1"/>
  <c r="EB73" i="115" s="1"/>
  <c r="DR70" i="115"/>
  <c r="EB70" i="115" s="1"/>
  <c r="DR68" i="115"/>
  <c r="EB68" i="115" s="1"/>
  <c r="DR66" i="115"/>
  <c r="EB66" i="115" s="1"/>
  <c r="DW59" i="115" l="1"/>
  <c r="K2" i="81" l="1"/>
  <c r="L2" i="81" s="1"/>
  <c r="M2" i="81" s="1"/>
  <c r="N2" i="81" s="1"/>
  <c r="O2" i="81" s="1"/>
  <c r="P2" i="81" s="1"/>
  <c r="Q2" i="81" s="1"/>
  <c r="CY76" i="115" l="1"/>
  <c r="CY75" i="115"/>
  <c r="CY62" i="115"/>
  <c r="BD42" i="115" l="1"/>
  <c r="BD40" i="115"/>
  <c r="BD27" i="115"/>
  <c r="BD16" i="115"/>
  <c r="AV42" i="115"/>
  <c r="AV40" i="115"/>
  <c r="AV27" i="115"/>
  <c r="AV16" i="115"/>
  <c r="AR42" i="115"/>
  <c r="AR16" i="115"/>
  <c r="AR15" i="115"/>
  <c r="AR14" i="115"/>
  <c r="AR13" i="115" l="1"/>
  <c r="AV13" i="115"/>
  <c r="CY59" i="115"/>
  <c r="AV14" i="115"/>
  <c r="CY60" i="115"/>
  <c r="AV15" i="115"/>
  <c r="CY61" i="115"/>
  <c r="AD90" i="126"/>
  <c r="BD15" i="115"/>
  <c r="BD14" i="115"/>
  <c r="BD13" i="115"/>
  <c r="AD250" i="125" l="1"/>
  <c r="AD256" i="125" s="1"/>
  <c r="AD273" i="125"/>
  <c r="AD291" i="125"/>
  <c r="AD122" i="125"/>
  <c r="AD94" i="125"/>
  <c r="AD108" i="125"/>
  <c r="AD171" i="125"/>
  <c r="AD72" i="125"/>
  <c r="AD52" i="125"/>
  <c r="AD53" i="125" s="1"/>
  <c r="CY63" i="115"/>
  <c r="AV17" i="115"/>
  <c r="BD17" i="115"/>
  <c r="Q84" i="119"/>
  <c r="DB78" i="115" a="1"/>
  <c r="AD260" i="125" l="1"/>
  <c r="AD73" i="125" a="1"/>
  <c r="AD73" i="125" s="1"/>
  <c r="AD75" i="125" s="1"/>
  <c r="AD22" i="126"/>
  <c r="AD88" i="125"/>
  <c r="AD89" i="125"/>
  <c r="AD91" i="125"/>
  <c r="AD92" i="125"/>
  <c r="AD277" i="125"/>
  <c r="AD278" i="125"/>
  <c r="AD279" i="125"/>
  <c r="AD295" i="125"/>
  <c r="AD303" i="125" s="1"/>
  <c r="AD112" i="125"/>
  <c r="AD111" i="125"/>
  <c r="AD113" i="125"/>
  <c r="AD125" i="125"/>
  <c r="AD175" i="125"/>
  <c r="AD176" i="125"/>
  <c r="AD177" i="125"/>
  <c r="N32" i="119"/>
  <c r="N34" i="119"/>
  <c r="N33" i="119"/>
  <c r="N48" i="119"/>
  <c r="G40" i="119"/>
  <c r="DB78" i="115"/>
  <c r="DF78" i="115" s="1"/>
  <c r="G44" i="119"/>
  <c r="L44" i="119"/>
  <c r="G42" i="119"/>
  <c r="L42" i="119"/>
  <c r="L40" i="119"/>
  <c r="AD296" i="125" l="1"/>
  <c r="DW62" i="115"/>
  <c r="DW61" i="115"/>
  <c r="DW60" i="115"/>
  <c r="AY34" i="115"/>
  <c r="AY30" i="115"/>
  <c r="AY26" i="115"/>
  <c r="AY24" i="115"/>
  <c r="AY22" i="115"/>
  <c r="AU34" i="115"/>
  <c r="AU30" i="115"/>
  <c r="AU26" i="115"/>
  <c r="AU24" i="115"/>
  <c r="AU22" i="115"/>
  <c r="AQ16" i="115"/>
  <c r="AQ15" i="115"/>
  <c r="AQ14" i="115"/>
  <c r="AQ13" i="115"/>
  <c r="AW27" i="115"/>
  <c r="AS16" i="115" l="1"/>
  <c r="AW16" i="115" l="1"/>
  <c r="AW14" i="115" l="1"/>
  <c r="AW15" i="115" l="1"/>
  <c r="AS15" i="115" l="1"/>
  <c r="AS14" i="115" l="1"/>
  <c r="AW42" i="115" l="1"/>
  <c r="AW13" i="115" l="1"/>
  <c r="AW17" i="115" l="1"/>
  <c r="AS13" i="115"/>
  <c r="AW40" i="115" l="1"/>
  <c r="L43" i="115" l="1"/>
  <c r="K43" i="115"/>
  <c r="J43" i="115"/>
  <c r="AB43" i="115"/>
  <c r="X43" i="115"/>
  <c r="T43" i="115"/>
  <c r="P43" i="115"/>
  <c r="AE34" i="115" l="1"/>
  <c r="CB44" i="115" l="1"/>
  <c r="CF44" i="115" l="1"/>
  <c r="CF45" i="115" s="1"/>
  <c r="DA78" i="115"/>
  <c r="DE78" i="115" s="1"/>
  <c r="CJ44" i="115" l="1"/>
  <c r="CX44" i="115"/>
  <c r="CJ45" i="115" l="1"/>
  <c r="CN45" i="115"/>
  <c r="DC78" i="115"/>
  <c r="C6" i="115" l="1"/>
  <c r="BK25" i="115"/>
  <c r="CW21" i="115"/>
  <c r="CI27" i="115"/>
  <c r="BK13" i="115"/>
  <c r="CI14" i="115"/>
  <c r="BK43" i="115"/>
  <c r="AL21" i="115"/>
  <c r="CI23" i="115"/>
  <c r="BQ21" i="115"/>
  <c r="CI16" i="115"/>
  <c r="AM25" i="115"/>
  <c r="CM44" i="115"/>
  <c r="CE44" i="115"/>
  <c r="CW13" i="115"/>
  <c r="CW14" i="115"/>
  <c r="BK23" i="115"/>
  <c r="AM40" i="115"/>
  <c r="CM14" i="115"/>
  <c r="AM44" i="115"/>
  <c r="CW25" i="115"/>
  <c r="AL23" i="115"/>
  <c r="CQ16" i="115"/>
  <c r="CI13" i="115"/>
  <c r="CI28" i="115"/>
  <c r="AH28" i="115"/>
  <c r="BK32" i="115"/>
  <c r="BQ32" i="115"/>
  <c r="BK15" i="115"/>
  <c r="AM16" i="115"/>
  <c r="AM13" i="115"/>
  <c r="BK28" i="115"/>
  <c r="CQ28" i="115"/>
  <c r="BK14" i="115"/>
  <c r="BG13" i="115"/>
  <c r="CQ15" i="115"/>
  <c r="CQ42" i="115"/>
  <c r="AL44" i="115"/>
  <c r="CQ21" i="115"/>
  <c r="BG21" i="115"/>
  <c r="AH44" i="115"/>
  <c r="AL42" i="115"/>
  <c r="BK21" i="115"/>
  <c r="CM16" i="115"/>
  <c r="AL16" i="115"/>
  <c r="BQ40" i="115"/>
  <c r="CQ40" i="115"/>
  <c r="CI44" i="115"/>
  <c r="CW42" i="115"/>
  <c r="AM14" i="115"/>
  <c r="CM25" i="115"/>
  <c r="AH43" i="115"/>
  <c r="AA43" i="115"/>
  <c r="CW27" i="115"/>
  <c r="AL40" i="115"/>
  <c r="AL32" i="115"/>
  <c r="BK17" i="115"/>
  <c r="BK42" i="115"/>
  <c r="CM28" i="115"/>
  <c r="S43" i="115"/>
  <c r="CW16" i="115"/>
  <c r="BG16" i="115"/>
  <c r="CI40" i="115"/>
  <c r="BK16" i="115"/>
  <c r="CI32" i="115"/>
  <c r="BG17" i="115"/>
  <c r="CQ14" i="115"/>
  <c r="AL17" i="115"/>
  <c r="CW32" i="115"/>
  <c r="AM28" i="115"/>
  <c r="BW44" i="115"/>
  <c r="BK27" i="115"/>
  <c r="CM17" i="115"/>
  <c r="AM27" i="115"/>
  <c r="CQ13" i="115"/>
  <c r="CW17" i="115"/>
  <c r="CM40" i="115"/>
  <c r="CQ23" i="115"/>
  <c r="AL27" i="115"/>
  <c r="BK44" i="115"/>
  <c r="CM42" i="115"/>
  <c r="CM15" i="115"/>
  <c r="CW40" i="115"/>
  <c r="AM15" i="115"/>
  <c r="CW15" i="115"/>
  <c r="AM17" i="115"/>
  <c r="CW28" i="115"/>
  <c r="CM32" i="115"/>
  <c r="BG15" i="115"/>
  <c r="CQ44" i="115"/>
  <c r="BG14" i="115"/>
  <c r="AM21" i="115"/>
  <c r="CQ32" i="115"/>
  <c r="BQ23" i="115"/>
  <c r="AL28" i="115"/>
  <c r="CI42" i="115"/>
  <c r="CM27" i="115"/>
  <c r="AM42" i="115"/>
  <c r="CI15" i="115"/>
  <c r="AL25" i="115"/>
  <c r="AL13" i="115"/>
  <c r="CA44" i="115"/>
  <c r="CW23" i="115"/>
  <c r="BQ44" i="115"/>
  <c r="AL15" i="115"/>
  <c r="CM23" i="115"/>
  <c r="CM13" i="115"/>
  <c r="AM23" i="115"/>
  <c r="AL14" i="115"/>
  <c r="CI17" i="115"/>
  <c r="BW14" i="115"/>
  <c r="AM32" i="115"/>
  <c r="W43" i="115"/>
  <c r="CM21" i="115"/>
  <c r="CI25" i="115"/>
  <c r="CW44" i="115"/>
  <c r="CI21" i="115"/>
  <c r="CQ25" i="115"/>
  <c r="CQ17" i="115"/>
  <c r="CQ27" i="115"/>
  <c r="BQ28" i="115"/>
  <c r="CQ45" i="115" l="1"/>
  <c r="CM45" i="115"/>
  <c r="CI45" i="115"/>
  <c r="CE45" i="115"/>
  <c r="CA45" i="115"/>
  <c r="BW45" i="115"/>
  <c r="Z15" i="119"/>
  <c r="CQ33" i="115"/>
  <c r="CM33" i="115"/>
  <c r="CM29" i="115"/>
  <c r="CQ29" i="115"/>
  <c r="CQ18" i="115"/>
  <c r="CM18" i="115"/>
  <c r="CS42" i="115"/>
  <c r="CQ34" i="115"/>
  <c r="CS44" i="115"/>
  <c r="CQ30" i="115"/>
  <c r="CQ26" i="115"/>
  <c r="CQ24" i="115"/>
  <c r="CQ22" i="115"/>
  <c r="CO44" i="115"/>
  <c r="CO42" i="115"/>
  <c r="CM26" i="115"/>
  <c r="CM34" i="115"/>
  <c r="CM24" i="115"/>
  <c r="CM30" i="115"/>
  <c r="CM22" i="115"/>
  <c r="CY44" i="115"/>
  <c r="CW26" i="115"/>
  <c r="CW30" i="115"/>
  <c r="CW22" i="115"/>
  <c r="CW34" i="115"/>
  <c r="CW24" i="115"/>
  <c r="AT137" i="119"/>
  <c r="AT125" i="119"/>
  <c r="AT131" i="119"/>
  <c r="AT129" i="119"/>
  <c r="AT135" i="119"/>
  <c r="AT128" i="119"/>
  <c r="AT139" i="119"/>
  <c r="AT127" i="119"/>
  <c r="AT133" i="119"/>
  <c r="AT126" i="119"/>
  <c r="AT141" i="119"/>
  <c r="BM43" i="115"/>
  <c r="BK30" i="115"/>
  <c r="BK22" i="115"/>
  <c r="BK26" i="115"/>
  <c r="BK34" i="115"/>
  <c r="BK24" i="115"/>
  <c r="AM22" i="115"/>
  <c r="AM30" i="115"/>
  <c r="AM26" i="115"/>
  <c r="AM34" i="115"/>
  <c r="AM24" i="115"/>
  <c r="AL30" i="115"/>
  <c r="AL24" i="115"/>
  <c r="AL22" i="115"/>
  <c r="AL26" i="115"/>
  <c r="AL34" i="115"/>
  <c r="CK44" i="115"/>
  <c r="CG44" i="115"/>
  <c r="CC44" i="115"/>
  <c r="BS44" i="115"/>
  <c r="CI22" i="115"/>
  <c r="CI26" i="115"/>
  <c r="CI34" i="115"/>
  <c r="CI24" i="115"/>
  <c r="CI30" i="115"/>
  <c r="AZ27" i="115"/>
  <c r="BA27" i="115" s="1"/>
  <c r="Y43" i="115"/>
  <c r="AJ43" i="115"/>
  <c r="AC43" i="115"/>
  <c r="U43" i="115"/>
  <c r="AT134" i="119" l="1"/>
  <c r="AT136" i="119"/>
  <c r="AT132" i="119"/>
  <c r="AT138" i="119"/>
  <c r="D11" i="120"/>
  <c r="E11" i="120" s="1"/>
  <c r="L3" i="120"/>
  <c r="M3" i="120" s="1"/>
  <c r="I3" i="120"/>
  <c r="D14" i="120"/>
  <c r="BE108" i="119" l="1"/>
  <c r="AU106" i="119"/>
  <c r="AU104" i="119"/>
  <c r="AU102" i="119"/>
  <c r="P71" i="119" l="1"/>
  <c r="P73" i="119"/>
  <c r="P75" i="119"/>
  <c r="P77" i="119"/>
  <c r="O65" i="116" l="1"/>
  <c r="AY98" i="119" l="1"/>
  <c r="CE25" i="115"/>
  <c r="CE21" i="115"/>
  <c r="CE13" i="115"/>
  <c r="CE15" i="115"/>
  <c r="CE40" i="115"/>
  <c r="CE17" i="115"/>
  <c r="BC21" i="115"/>
  <c r="CE27" i="115"/>
  <c r="CE32" i="115"/>
  <c r="CE14" i="115"/>
  <c r="CE16" i="115"/>
  <c r="CE28" i="115"/>
  <c r="CE23" i="115"/>
  <c r="CE42" i="115"/>
  <c r="BC32" i="115"/>
  <c r="CE26" i="115" l="1"/>
  <c r="CE22" i="115"/>
  <c r="CI33" i="115"/>
  <c r="CE34" i="115"/>
  <c r="CI18" i="115"/>
  <c r="CI29" i="115"/>
  <c r="CE30" i="115"/>
  <c r="CE24" i="115"/>
  <c r="BW40" i="115"/>
  <c r="CA40" i="115"/>
  <c r="BC40" i="115"/>
  <c r="AU111" i="119" l="1"/>
  <c r="AY111" i="119" s="1"/>
  <c r="DB75" i="115"/>
  <c r="DF75" i="115" s="1"/>
  <c r="AI27" i="115" l="1"/>
  <c r="M1" i="116" l="1"/>
  <c r="L1" i="116" l="1"/>
  <c r="K1" i="116"/>
  <c r="J1" i="116"/>
  <c r="Q46" i="119" l="1"/>
  <c r="Q44" i="119"/>
  <c r="Q42" i="119"/>
  <c r="Q40" i="119"/>
  <c r="F4" i="116" l="1"/>
  <c r="B24" i="116" l="1" a="1"/>
  <c r="B24" i="116" s="1"/>
  <c r="B22" i="116" a="1"/>
  <c r="B22" i="116" s="1"/>
  <c r="B4" i="116" a="1"/>
  <c r="B4" i="116" s="1"/>
  <c r="B8" i="116" a="1"/>
  <c r="B8" i="116" s="1"/>
  <c r="B6" i="116" a="1"/>
  <c r="B6" i="116" s="1"/>
  <c r="J13" i="115" l="1"/>
  <c r="K13" i="115"/>
  <c r="P13" i="115"/>
  <c r="T13" i="115"/>
  <c r="X13" i="115"/>
  <c r="L13" i="115"/>
  <c r="J14" i="115"/>
  <c r="K14" i="115"/>
  <c r="P14" i="115"/>
  <c r="T14" i="115"/>
  <c r="X14" i="115"/>
  <c r="L14" i="115"/>
  <c r="J15" i="115"/>
  <c r="K15" i="115"/>
  <c r="P15" i="115"/>
  <c r="T15" i="115"/>
  <c r="X15" i="115"/>
  <c r="L15" i="115"/>
  <c r="H16" i="115"/>
  <c r="J16" i="115"/>
  <c r="K16" i="115"/>
  <c r="P16" i="115"/>
  <c r="T16" i="115"/>
  <c r="X16" i="115"/>
  <c r="AB16" i="115"/>
  <c r="L16" i="115"/>
  <c r="M16" i="115"/>
  <c r="J21" i="115"/>
  <c r="K21" i="115"/>
  <c r="L21" i="115"/>
  <c r="J23" i="115"/>
  <c r="K23" i="115"/>
  <c r="L23" i="115"/>
  <c r="J25" i="115"/>
  <c r="K25" i="115"/>
  <c r="L25" i="115"/>
  <c r="H27" i="115"/>
  <c r="J27" i="115"/>
  <c r="K27" i="115"/>
  <c r="L27" i="115"/>
  <c r="M27" i="115"/>
  <c r="AE30" i="115"/>
  <c r="J32" i="115"/>
  <c r="L32" i="115"/>
  <c r="H42" i="115"/>
  <c r="P42" i="115"/>
  <c r="T42" i="115"/>
  <c r="X42" i="115"/>
  <c r="M42" i="115"/>
  <c r="C3" i="115"/>
  <c r="BC42" i="115"/>
  <c r="BC28" i="115"/>
  <c r="BQ16" i="115"/>
  <c r="AH21" i="115"/>
  <c r="AE16" i="115"/>
  <c r="AA13" i="115"/>
  <c r="BC16" i="115"/>
  <c r="W15" i="115"/>
  <c r="S17" i="115"/>
  <c r="BC27" i="115"/>
  <c r="CA17" i="115"/>
  <c r="AH27" i="115"/>
  <c r="CA25" i="115"/>
  <c r="W13" i="115"/>
  <c r="AA17" i="115"/>
  <c r="AH25" i="115"/>
  <c r="S16" i="115"/>
  <c r="W42" i="115"/>
  <c r="AA15" i="115"/>
  <c r="BQ14" i="115"/>
  <c r="AH14" i="115"/>
  <c r="AH15" i="115"/>
  <c r="CA15" i="115"/>
  <c r="AH32" i="115"/>
  <c r="W14" i="115"/>
  <c r="BC15" i="115"/>
  <c r="AA14" i="115"/>
  <c r="CA32" i="115"/>
  <c r="AH13" i="115"/>
  <c r="CA28" i="115"/>
  <c r="W17" i="115"/>
  <c r="BC23" i="115"/>
  <c r="BQ13" i="115"/>
  <c r="AA16" i="115"/>
  <c r="BC14" i="115"/>
  <c r="W16" i="115"/>
  <c r="AH23" i="115"/>
  <c r="BC13" i="115"/>
  <c r="BW21" i="115"/>
  <c r="BW28" i="115"/>
  <c r="BW15" i="115"/>
  <c r="CA27" i="115"/>
  <c r="CA14" i="115"/>
  <c r="AH16" i="115"/>
  <c r="BW25" i="115"/>
  <c r="BQ42" i="115"/>
  <c r="S42" i="115"/>
  <c r="CA13" i="115"/>
  <c r="BW32" i="115"/>
  <c r="BC17" i="115"/>
  <c r="CA42" i="115"/>
  <c r="AH42" i="115"/>
  <c r="AH17" i="115"/>
  <c r="BQ15" i="115"/>
  <c r="S15" i="115"/>
  <c r="CA16" i="115"/>
  <c r="S14" i="115"/>
  <c r="BC25" i="115"/>
  <c r="BQ17" i="115"/>
  <c r="BW16" i="115"/>
  <c r="BW27" i="115"/>
  <c r="BQ27" i="115"/>
  <c r="S13" i="115"/>
  <c r="BW13" i="115"/>
  <c r="CA21" i="115"/>
  <c r="BW23" i="115"/>
  <c r="BW17" i="115"/>
  <c r="CA23" i="115"/>
  <c r="BQ25" i="115"/>
  <c r="BW42" i="115"/>
  <c r="Z16" i="119" l="1"/>
  <c r="BW33" i="115"/>
  <c r="BW29" i="115"/>
  <c r="BW18" i="115"/>
  <c r="CA33" i="115"/>
  <c r="CE33" i="115"/>
  <c r="CA29" i="115"/>
  <c r="CE29" i="115"/>
  <c r="CE18" i="115"/>
  <c r="CA18" i="115"/>
  <c r="CW18" i="115"/>
  <c r="AV128" i="119"/>
  <c r="AU114" i="119"/>
  <c r="DB62" i="115"/>
  <c r="DB65" i="115"/>
  <c r="DB69" i="115"/>
  <c r="DB63" i="115"/>
  <c r="DF63" i="115" s="1"/>
  <c r="DB72" i="115"/>
  <c r="DB59" i="115"/>
  <c r="DF59" i="115" s="1"/>
  <c r="DB67" i="115"/>
  <c r="DB61" i="115"/>
  <c r="DF61" i="115" s="1"/>
  <c r="DB74" i="115"/>
  <c r="DB76" i="115"/>
  <c r="DF76" i="115" s="1"/>
  <c r="DB60" i="115"/>
  <c r="DF60" i="115" s="1"/>
  <c r="CA34" i="115"/>
  <c r="BW34" i="115"/>
  <c r="BQ34" i="115"/>
  <c r="BC34" i="115"/>
  <c r="AH34" i="115"/>
  <c r="AF32" i="115"/>
  <c r="AJ27" i="115"/>
  <c r="AH26" i="115"/>
  <c r="AH24" i="115"/>
  <c r="AH22" i="115"/>
  <c r="AH30" i="115"/>
  <c r="J22" i="115"/>
  <c r="J34" i="115" s="1"/>
  <c r="L26" i="115"/>
  <c r="J24" i="115"/>
  <c r="L22" i="115"/>
  <c r="L34" i="115" s="1"/>
  <c r="AF34" i="115" s="1"/>
  <c r="K26" i="115"/>
  <c r="J26" i="115"/>
  <c r="L24" i="115"/>
  <c r="K22" i="115"/>
  <c r="K24" i="115"/>
  <c r="CA30" i="115"/>
  <c r="CA24" i="115"/>
  <c r="BW30" i="115"/>
  <c r="CA26" i="115"/>
  <c r="BC22" i="115"/>
  <c r="BQ24" i="115"/>
  <c r="BQ22" i="115"/>
  <c r="BQ30" i="115"/>
  <c r="BW26" i="115"/>
  <c r="Y42" i="115"/>
  <c r="BQ26" i="115"/>
  <c r="BW24" i="115"/>
  <c r="BC24" i="115"/>
  <c r="AC16" i="115"/>
  <c r="Y15" i="115"/>
  <c r="BC30" i="115"/>
  <c r="BC26" i="115"/>
  <c r="CA22" i="115"/>
  <c r="BW22" i="115"/>
  <c r="U42" i="115"/>
  <c r="U13" i="115"/>
  <c r="Y13" i="115"/>
  <c r="U14" i="115"/>
  <c r="U15" i="115"/>
  <c r="Y16" i="115"/>
  <c r="U16" i="115"/>
  <c r="Y14" i="115"/>
  <c r="AF16" i="115"/>
  <c r="DB68" i="115" l="1"/>
  <c r="DB66" i="115"/>
  <c r="DB70" i="115"/>
  <c r="DB73" i="115"/>
  <c r="AC90" i="126" l="1"/>
  <c r="AD91" i="126" s="1"/>
  <c r="AD43" i="126" l="1"/>
  <c r="AD42" i="126"/>
  <c r="AC291" i="125"/>
  <c r="AC250" i="125"/>
  <c r="AC256" i="125" s="1"/>
  <c r="AC273" i="125"/>
  <c r="AC171" i="125"/>
  <c r="AC122" i="125"/>
  <c r="AC94" i="125"/>
  <c r="AC108" i="125"/>
  <c r="AC72" i="125"/>
  <c r="AC52" i="125"/>
  <c r="AC53" i="125" s="1"/>
  <c r="AC260" i="125" l="1"/>
  <c r="AC73" i="125" a="1"/>
  <c r="AC73" i="125" s="1"/>
  <c r="AC75" i="125" s="1"/>
  <c r="AC22" i="126"/>
  <c r="AC88" i="125"/>
  <c r="AC89" i="125"/>
  <c r="AC91" i="125"/>
  <c r="AC92" i="125"/>
  <c r="AC278" i="125"/>
  <c r="AC279" i="125"/>
  <c r="AC277" i="125"/>
  <c r="AC176" i="125"/>
  <c r="AC175" i="125"/>
  <c r="AC177" i="125"/>
  <c r="AD172" i="125"/>
  <c r="AD274" i="125"/>
  <c r="AD251" i="125"/>
  <c r="AC125" i="125"/>
  <c r="AD123" i="125"/>
  <c r="AC111" i="125"/>
  <c r="AC112" i="125"/>
  <c r="AC113" i="125"/>
  <c r="AD109" i="125"/>
  <c r="AC295" i="125"/>
  <c r="AC303" i="125" s="1"/>
  <c r="AD292" i="125"/>
  <c r="AD74" i="125" l="1"/>
  <c r="AD15" i="125"/>
  <c r="AC296" i="125"/>
  <c r="AD297" i="125" s="1"/>
  <c r="AD257" i="125"/>
  <c r="AD114" i="125"/>
  <c r="AD178" i="125"/>
  <c r="AD280" i="125"/>
  <c r="AD16" i="125" l="1"/>
  <c r="AD126" i="125"/>
  <c r="AD120" i="125"/>
  <c r="AD127" i="125" l="1"/>
  <c r="AD19" i="125" s="1"/>
  <c r="X17" i="115" l="1"/>
  <c r="Y17" i="115" s="1"/>
  <c r="Q81" i="119" l="1"/>
  <c r="Q79" i="119"/>
  <c r="Q76" i="119"/>
  <c r="Q72" i="119"/>
  <c r="Q70" i="119"/>
  <c r="Q64" i="119"/>
  <c r="Q63" i="119"/>
  <c r="Q65" i="119" l="1"/>
  <c r="Q66" i="119"/>
  <c r="Q71" i="119"/>
  <c r="Q77" i="119"/>
  <c r="Q73" i="119"/>
  <c r="Q67" i="119"/>
  <c r="Q75" i="119" l="1"/>
  <c r="AD63" i="116"/>
  <c r="AB63" i="116"/>
  <c r="AA63" i="116" s="1"/>
  <c r="Z63" i="116" s="1"/>
  <c r="O64" i="116" l="1"/>
  <c r="N38" i="118" l="1"/>
  <c r="M38" i="118"/>
  <c r="I37" i="118"/>
  <c r="H37" i="118"/>
  <c r="G37" i="118"/>
  <c r="F37" i="118"/>
  <c r="E37" i="118"/>
  <c r="D37" i="118"/>
  <c r="C37" i="118"/>
  <c r="I36" i="118"/>
  <c r="H36" i="118"/>
  <c r="G36" i="118"/>
  <c r="F36" i="118"/>
  <c r="E36" i="118"/>
  <c r="D36" i="118"/>
  <c r="C36" i="118"/>
  <c r="I35" i="118"/>
  <c r="H35" i="118"/>
  <c r="G35" i="118"/>
  <c r="F35" i="118"/>
  <c r="E35" i="118"/>
  <c r="D35" i="118"/>
  <c r="C35" i="118"/>
  <c r="I29" i="118"/>
  <c r="H29" i="118"/>
  <c r="G29" i="118"/>
  <c r="F29" i="118"/>
  <c r="E29" i="118"/>
  <c r="D29" i="118"/>
  <c r="C29" i="118"/>
  <c r="I9" i="118"/>
  <c r="H9" i="118"/>
  <c r="G9" i="118"/>
  <c r="F9" i="118"/>
  <c r="E9" i="118"/>
  <c r="D9" i="118"/>
  <c r="C9" i="118"/>
  <c r="I8" i="118"/>
  <c r="H8" i="118"/>
  <c r="G8" i="118"/>
  <c r="F8" i="118"/>
  <c r="E8" i="118"/>
  <c r="D8" i="118"/>
  <c r="C8" i="118"/>
  <c r="I7" i="118" l="1"/>
  <c r="H7" i="118"/>
  <c r="G7" i="118"/>
  <c r="F7" i="118"/>
  <c r="E7" i="118"/>
  <c r="D7" i="118"/>
  <c r="C7" i="118"/>
  <c r="I6" i="118"/>
  <c r="H6" i="118"/>
  <c r="G6" i="118"/>
  <c r="F6" i="118"/>
  <c r="E6" i="118"/>
  <c r="D6" i="118"/>
  <c r="C6" i="118"/>
  <c r="I5" i="118"/>
  <c r="H5" i="118"/>
  <c r="G5" i="118"/>
  <c r="F5" i="118"/>
  <c r="E5" i="118"/>
  <c r="D5" i="118"/>
  <c r="C5" i="118"/>
  <c r="AI16" i="115" l="1"/>
  <c r="AJ16" i="115" s="1"/>
  <c r="K13" i="116" l="1"/>
  <c r="J13" i="116"/>
  <c r="K4" i="116"/>
  <c r="J4" i="116"/>
  <c r="F40" i="118" l="1"/>
  <c r="F92" i="118" s="1"/>
  <c r="E40" i="118"/>
  <c r="E92" i="118" s="1"/>
  <c r="G2" i="118"/>
  <c r="G40" i="118" s="1"/>
  <c r="G92" i="118" s="1"/>
  <c r="D40" i="118"/>
  <c r="D92" i="118" s="1"/>
  <c r="C40" i="118"/>
  <c r="C92" i="118" s="1"/>
  <c r="J19" i="116"/>
  <c r="Y7" i="116"/>
  <c r="Y8" i="116" s="1"/>
  <c r="Y9" i="116" s="1"/>
  <c r="Y10" i="116" s="1"/>
  <c r="Y11" i="116" s="1"/>
  <c r="Y12" i="116" s="1"/>
  <c r="Y13" i="116" s="1"/>
  <c r="J5" i="116"/>
  <c r="J26" i="116" s="1"/>
  <c r="J29" i="116" s="1"/>
  <c r="K3" i="116"/>
  <c r="K19" i="116" s="1"/>
  <c r="H2" i="118" l="1"/>
  <c r="H40" i="118" s="1"/>
  <c r="H92" i="118" s="1"/>
  <c r="L3" i="116"/>
  <c r="M3" i="116" s="1"/>
  <c r="K5" i="116"/>
  <c r="K26" i="116" s="1"/>
  <c r="K29" i="116" l="1"/>
  <c r="I2" i="118"/>
  <c r="J2" i="118" s="1"/>
  <c r="J40" i="118" s="1"/>
  <c r="J92" i="118" s="1"/>
  <c r="N3" i="116"/>
  <c r="I40" i="118" l="1"/>
  <c r="I92" i="118" s="1"/>
  <c r="K2" i="118"/>
  <c r="K40" i="118" s="1"/>
  <c r="K92" i="118" s="1"/>
  <c r="L2" i="118" l="1"/>
  <c r="M2" i="118" s="1"/>
  <c r="N2" i="118" s="1"/>
  <c r="P3" i="116"/>
  <c r="Q3" i="116" s="1"/>
  <c r="R3" i="116" s="1"/>
  <c r="S3" i="116" s="1"/>
  <c r="T3" i="116" s="1"/>
  <c r="N40" i="118" l="1"/>
  <c r="N92" i="118" s="1"/>
  <c r="O2" i="118"/>
  <c r="M40" i="118"/>
  <c r="M92" i="118" s="1"/>
  <c r="L40" i="118"/>
  <c r="L92" i="118" s="1"/>
  <c r="O40" i="118" l="1"/>
  <c r="O92" i="118" s="1"/>
  <c r="P2" i="118"/>
  <c r="Q2" i="118" l="1"/>
  <c r="P40" i="118"/>
  <c r="P92" i="118" s="1"/>
  <c r="Q40" i="118" l="1"/>
  <c r="Q92" i="118" s="1"/>
  <c r="R2" i="118"/>
  <c r="R40" i="118" s="1"/>
  <c r="R92" i="118" s="1"/>
  <c r="AI23" i="115" l="1"/>
  <c r="L28" i="115" l="1"/>
  <c r="AF28" i="115" s="1"/>
  <c r="AJ23" i="115"/>
  <c r="P17" i="115"/>
  <c r="Q17" i="115" s="1"/>
  <c r="K17" i="115"/>
  <c r="J17" i="115"/>
  <c r="BH16" i="115" l="1"/>
  <c r="BI16" i="115" s="1"/>
  <c r="T17" i="115" l="1"/>
  <c r="U17" i="115" s="1"/>
  <c r="K28" i="115"/>
  <c r="K30" i="115" s="1"/>
  <c r="J28" i="115"/>
  <c r="J30" i="115" s="1"/>
  <c r="L17" i="115"/>
  <c r="AI15" i="115"/>
  <c r="AJ15" i="115" s="1"/>
  <c r="AI14" i="115"/>
  <c r="AI24" i="115" s="1"/>
  <c r="AJ24" i="115" s="1"/>
  <c r="AJ14" i="115" l="1"/>
  <c r="AF17" i="115"/>
  <c r="L30" i="115"/>
  <c r="AF30" i="115" s="1"/>
  <c r="J29" i="118" l="1"/>
  <c r="H25" i="115"/>
  <c r="H23" i="115"/>
  <c r="H15" i="115"/>
  <c r="H14" i="115"/>
  <c r="H21" i="115" l="1"/>
  <c r="H26" i="115"/>
  <c r="H24" i="115"/>
  <c r="K29" i="118"/>
  <c r="H28" i="115" l="1"/>
  <c r="H13" i="115"/>
  <c r="H22" i="115" s="1"/>
  <c r="BE16" i="115"/>
  <c r="L29" i="118"/>
  <c r="BR16" i="115" l="1"/>
  <c r="AZ16" i="115"/>
  <c r="BA16" i="115" s="1"/>
  <c r="H17" i="115"/>
  <c r="H30" i="115" s="1"/>
  <c r="BE27" i="115"/>
  <c r="BL16" i="115"/>
  <c r="BM16" i="115" s="1"/>
  <c r="K9" i="116"/>
  <c r="J9" i="116"/>
  <c r="K30" i="116" l="1"/>
  <c r="J30" i="116"/>
  <c r="BL27" i="115"/>
  <c r="BM27" i="115" s="1"/>
  <c r="DA62" i="115"/>
  <c r="DC62" i="115" s="1"/>
  <c r="BS16" i="115"/>
  <c r="AA31" i="124" l="1"/>
  <c r="AA32" i="124" l="1"/>
  <c r="M61" i="118"/>
  <c r="D13" i="116"/>
  <c r="K38" i="116"/>
  <c r="J38" i="116" l="1"/>
  <c r="J6" i="116" s="1"/>
  <c r="AA4" i="123"/>
  <c r="AA128" i="123" s="1"/>
  <c r="AA127" i="123" s="1"/>
  <c r="M62" i="118"/>
  <c r="AD31" i="124"/>
  <c r="AB31" i="124"/>
  <c r="N61" i="118" s="1"/>
  <c r="AC31" i="124"/>
  <c r="K6" i="116"/>
  <c r="J21" i="116" l="1"/>
  <c r="J24" i="116"/>
  <c r="J20" i="116"/>
  <c r="M93" i="118"/>
  <c r="AC32" i="124"/>
  <c r="O62" i="118" s="1"/>
  <c r="O61" i="118"/>
  <c r="AD32" i="124"/>
  <c r="P62" i="118" s="1"/>
  <c r="P61" i="118"/>
  <c r="AB32" i="124"/>
  <c r="K24" i="116"/>
  <c r="K21" i="116"/>
  <c r="K20" i="116"/>
  <c r="O23" i="124"/>
  <c r="AB4" i="123" l="1"/>
  <c r="AB128" i="123" s="1"/>
  <c r="AB127" i="123" s="1"/>
  <c r="N62" i="118"/>
  <c r="AE31" i="124"/>
  <c r="AF31" i="124"/>
  <c r="AF32" i="124" l="1"/>
  <c r="R62" i="118" s="1"/>
  <c r="R61" i="118"/>
  <c r="AC4" i="123"/>
  <c r="AC128" i="123" s="1"/>
  <c r="AC127" i="123" s="1"/>
  <c r="N93" i="118"/>
  <c r="AE32" i="124"/>
  <c r="Q62" i="118" s="1"/>
  <c r="Q61" i="118"/>
  <c r="O93" i="118" l="1"/>
  <c r="AD4" i="123"/>
  <c r="AD128" i="123" s="1"/>
  <c r="AD127" i="123" s="1"/>
  <c r="P93" i="118" l="1"/>
  <c r="AE4" i="123"/>
  <c r="AE128" i="123" s="1"/>
  <c r="AE127" i="123" s="1"/>
  <c r="AF4" i="123" l="1"/>
  <c r="AF128" i="123" s="1"/>
  <c r="AF127" i="123" s="1"/>
  <c r="Q93" i="118"/>
  <c r="R93" i="118" l="1"/>
  <c r="R96" i="123" l="1"/>
  <c r="D41" i="118"/>
  <c r="C41" i="118"/>
  <c r="R98" i="123" l="1"/>
  <c r="R99" i="123"/>
  <c r="E41" i="118"/>
  <c r="S96" i="123" l="1"/>
  <c r="S98" i="123" l="1"/>
  <c r="S99" i="123"/>
  <c r="T96" i="123" l="1"/>
  <c r="T98" i="123" l="1"/>
  <c r="T99" i="123"/>
  <c r="U96" i="123" l="1"/>
  <c r="U98" i="123" l="1"/>
  <c r="U99" i="123"/>
  <c r="V96" i="123" l="1"/>
  <c r="V99" i="123" l="1"/>
  <c r="V98" i="123"/>
  <c r="J15" i="116" l="1"/>
  <c r="J18" i="116" s="1"/>
  <c r="W96" i="123"/>
  <c r="W98" i="123" l="1"/>
  <c r="W99" i="123"/>
  <c r="X96" i="123"/>
  <c r="H32" i="115"/>
  <c r="H34" i="115" s="1"/>
  <c r="X98" i="123" l="1"/>
  <c r="X99" i="123"/>
  <c r="K15" i="116"/>
  <c r="K18" i="116" s="1"/>
  <c r="K32" i="115"/>
  <c r="K34" i="115" s="1"/>
  <c r="Y96" i="123" l="1"/>
  <c r="Z96" i="123"/>
  <c r="Z25" i="126"/>
  <c r="Z98" i="123" l="1"/>
  <c r="Z99" i="123"/>
  <c r="Y98" i="123"/>
  <c r="Y99" i="123"/>
  <c r="H43" i="115" l="1"/>
  <c r="J58" i="81"/>
  <c r="J37" i="81"/>
  <c r="J36" i="81"/>
  <c r="J35" i="81"/>
  <c r="J34" i="81"/>
  <c r="J33" i="81"/>
  <c r="J32" i="81"/>
  <c r="J31" i="81"/>
  <c r="J30" i="81"/>
  <c r="J29" i="81"/>
  <c r="J28" i="81"/>
  <c r="J27" i="81"/>
  <c r="J25" i="81"/>
  <c r="J24" i="81"/>
  <c r="J22" i="81"/>
  <c r="J21" i="81"/>
  <c r="J20" i="81"/>
  <c r="J18" i="81"/>
  <c r="J17" i="81"/>
  <c r="J15" i="81"/>
  <c r="J14" i="81"/>
  <c r="J13" i="81"/>
  <c r="J4" i="81"/>
  <c r="J3" i="81"/>
  <c r="J49" i="81" l="1"/>
  <c r="J45" i="81"/>
  <c r="J44" i="81"/>
  <c r="J7" i="81"/>
  <c r="AC13" i="81"/>
  <c r="J48" i="81" l="1"/>
  <c r="J40" i="81"/>
  <c r="J42" i="81"/>
  <c r="J41" i="81"/>
  <c r="J47" i="81"/>
  <c r="J39" i="81"/>
  <c r="J46" i="81"/>
  <c r="J38" i="81"/>
  <c r="J50" i="81"/>
  <c r="J43" i="81"/>
  <c r="J51" i="81" l="1"/>
  <c r="J52" i="81"/>
  <c r="CX43" i="115" l="1"/>
  <c r="CJ43" i="115" l="1"/>
  <c r="AB90" i="126" l="1"/>
  <c r="AC91" i="126" s="1"/>
  <c r="AC43" i="126" l="1"/>
  <c r="AC42" i="126"/>
  <c r="AD47" i="126" s="1"/>
  <c r="AB273" i="125"/>
  <c r="AB250" i="125"/>
  <c r="AB256" i="125" s="1"/>
  <c r="AB291" i="125"/>
  <c r="AB122" i="125"/>
  <c r="AB171" i="125"/>
  <c r="AB108" i="125"/>
  <c r="AB72" i="125"/>
  <c r="AB52" i="125"/>
  <c r="AB53" i="125" s="1"/>
  <c r="AB94" i="125"/>
  <c r="AE90" i="126"/>
  <c r="AB260" i="125" l="1"/>
  <c r="AB73" i="125" a="1"/>
  <c r="AB73" i="125" s="1"/>
  <c r="AB75" i="125" s="1"/>
  <c r="AB22" i="126"/>
  <c r="AB88" i="125"/>
  <c r="AB89" i="125"/>
  <c r="AB91" i="125"/>
  <c r="AB92" i="125"/>
  <c r="AB278" i="125"/>
  <c r="AB277" i="125"/>
  <c r="AB279" i="125"/>
  <c r="AD48" i="126"/>
  <c r="AE91" i="126"/>
  <c r="AF90" i="126"/>
  <c r="AF91" i="126" s="1"/>
  <c r="AE273" i="125"/>
  <c r="AE291" i="125"/>
  <c r="AE250" i="125"/>
  <c r="AE256" i="125" s="1"/>
  <c r="AE171" i="125"/>
  <c r="AE108" i="125"/>
  <c r="AE72" i="125"/>
  <c r="AE122" i="125"/>
  <c r="AE94" i="125"/>
  <c r="AE52" i="125"/>
  <c r="AE53" i="125" s="1"/>
  <c r="AB125" i="125"/>
  <c r="AC123" i="125"/>
  <c r="AB176" i="125"/>
  <c r="AB175" i="125"/>
  <c r="AB177" i="125"/>
  <c r="AC172" i="125"/>
  <c r="AB295" i="125"/>
  <c r="AB303" i="125" s="1"/>
  <c r="AC292" i="125"/>
  <c r="AC251" i="125"/>
  <c r="AB111" i="125"/>
  <c r="AB112" i="125"/>
  <c r="AB113" i="125"/>
  <c r="AC109" i="125"/>
  <c r="AC274" i="125"/>
  <c r="AF43" i="126" l="1"/>
  <c r="AF42" i="126"/>
  <c r="AE43" i="126"/>
  <c r="AE42" i="126"/>
  <c r="AE47" i="126" s="1"/>
  <c r="AE260" i="125"/>
  <c r="AC15" i="125"/>
  <c r="AC74" i="125"/>
  <c r="AE73" i="125" a="1"/>
  <c r="AE73" i="125" s="1"/>
  <c r="AE75" i="125" s="1"/>
  <c r="AE22" i="126"/>
  <c r="AE88" i="125"/>
  <c r="AE89" i="125"/>
  <c r="AE91" i="125"/>
  <c r="AE92" i="125"/>
  <c r="AB296" i="125"/>
  <c r="AC16" i="125" s="1"/>
  <c r="AE277" i="125"/>
  <c r="AE278" i="125"/>
  <c r="AE279" i="125"/>
  <c r="AC257" i="125"/>
  <c r="AF273" i="125"/>
  <c r="AF72" i="125"/>
  <c r="AF94" i="125"/>
  <c r="AF52" i="125"/>
  <c r="AF53" i="125" s="1"/>
  <c r="AF250" i="125"/>
  <c r="AF256" i="125" s="1"/>
  <c r="AF291" i="125"/>
  <c r="AF295" i="125" s="1"/>
  <c r="AF303" i="125" s="1"/>
  <c r="AF171" i="125"/>
  <c r="AF122" i="125"/>
  <c r="AF125" i="125" s="1"/>
  <c r="AF108" i="125"/>
  <c r="AF109" i="125" s="1"/>
  <c r="AE109" i="125"/>
  <c r="AE112" i="125"/>
  <c r="AE111" i="125"/>
  <c r="AE113" i="125"/>
  <c r="AC114" i="125"/>
  <c r="AC178" i="125"/>
  <c r="AE172" i="125"/>
  <c r="AE176" i="125"/>
  <c r="AE175" i="125"/>
  <c r="AE177" i="125"/>
  <c r="AE251" i="125"/>
  <c r="AE257" i="125"/>
  <c r="AC280" i="125"/>
  <c r="AE292" i="125"/>
  <c r="AE295" i="125"/>
  <c r="AE303" i="125" s="1"/>
  <c r="AE123" i="125"/>
  <c r="AE125" i="125"/>
  <c r="AE274" i="125"/>
  <c r="AE48" i="126" l="1"/>
  <c r="AE5" i="126"/>
  <c r="AF260" i="125"/>
  <c r="AE15" i="125"/>
  <c r="AE74" i="125"/>
  <c r="AF73" i="125" a="1"/>
  <c r="AF73" i="125" s="1"/>
  <c r="AF75" i="125" s="1"/>
  <c r="AF15" i="125" s="1"/>
  <c r="AF22" i="126"/>
  <c r="AC297" i="125"/>
  <c r="AF88" i="125"/>
  <c r="AF89" i="125"/>
  <c r="AF91" i="125"/>
  <c r="AF92" i="125"/>
  <c r="AE296" i="125"/>
  <c r="AE16" i="125" s="1"/>
  <c r="AF296" i="125"/>
  <c r="AF274" i="125"/>
  <c r="AF277" i="125"/>
  <c r="AF279" i="125"/>
  <c r="AF280" i="125" s="1"/>
  <c r="AF278" i="125"/>
  <c r="AF47" i="126"/>
  <c r="AF48" i="126"/>
  <c r="AF251" i="125"/>
  <c r="AF172" i="125"/>
  <c r="AF123" i="125"/>
  <c r="AF292" i="125"/>
  <c r="AF111" i="125"/>
  <c r="AF112" i="125"/>
  <c r="AF113" i="125"/>
  <c r="AF176" i="125"/>
  <c r="AF175" i="125"/>
  <c r="AF177" i="125"/>
  <c r="AF257" i="125"/>
  <c r="AE280" i="125"/>
  <c r="AE178" i="125"/>
  <c r="AC126" i="125"/>
  <c r="AC120" i="125"/>
  <c r="AE114" i="125"/>
  <c r="AF16" i="125" l="1"/>
  <c r="AF178" i="125"/>
  <c r="AF74" i="125"/>
  <c r="AE297" i="125"/>
  <c r="AF297" i="125"/>
  <c r="AF114" i="125"/>
  <c r="AF126" i="125"/>
  <c r="AE126" i="125"/>
  <c r="AE120" i="125"/>
  <c r="AC127" i="125"/>
  <c r="AC19" i="125" s="1"/>
  <c r="H49" i="81"/>
  <c r="AF120" i="125" l="1"/>
  <c r="AE127" i="125"/>
  <c r="AE19" i="125" s="1"/>
  <c r="I4" i="81"/>
  <c r="AF127" i="125" l="1"/>
  <c r="AF19" i="125" s="1"/>
  <c r="H3" i="81"/>
  <c r="I3" i="81"/>
  <c r="H4" i="81"/>
  <c r="H7" i="81"/>
  <c r="I7" i="81"/>
  <c r="H13" i="81"/>
  <c r="I13" i="81"/>
  <c r="H14" i="81"/>
  <c r="I14" i="81"/>
  <c r="I15" i="81"/>
  <c r="H17" i="81"/>
  <c r="I17" i="81"/>
  <c r="H18" i="81"/>
  <c r="I18" i="81"/>
  <c r="H20" i="81"/>
  <c r="I20" i="81"/>
  <c r="H21" i="81"/>
  <c r="I21" i="81"/>
  <c r="H22" i="81"/>
  <c r="I22" i="81"/>
  <c r="H24" i="81"/>
  <c r="I24" i="81"/>
  <c r="H25" i="81"/>
  <c r="I25" i="81"/>
  <c r="H27" i="81"/>
  <c r="I27" i="81"/>
  <c r="H28" i="81"/>
  <c r="I28" i="81"/>
  <c r="H29" i="81"/>
  <c r="I29" i="81"/>
  <c r="H30" i="81"/>
  <c r="I30" i="81"/>
  <c r="H31" i="81"/>
  <c r="I31" i="81"/>
  <c r="H32" i="81"/>
  <c r="I32" i="81"/>
  <c r="H33" i="81"/>
  <c r="I33" i="81"/>
  <c r="H34" i="81"/>
  <c r="I34" i="81"/>
  <c r="H35" i="81"/>
  <c r="I35" i="81"/>
  <c r="H36" i="81"/>
  <c r="I36" i="81"/>
  <c r="H37" i="81"/>
  <c r="I37" i="81"/>
  <c r="H44" i="81"/>
  <c r="I44" i="81"/>
  <c r="H45" i="81"/>
  <c r="I45" i="81"/>
  <c r="I49" i="81"/>
  <c r="AB13" i="81"/>
  <c r="AA13" i="81"/>
  <c r="H48" i="81" l="1"/>
  <c r="H50" i="81"/>
  <c r="I39" i="81"/>
  <c r="H38" i="81"/>
  <c r="I47" i="81"/>
  <c r="H46" i="81"/>
  <c r="I38" i="81"/>
  <c r="I41" i="81"/>
  <c r="H47" i="81"/>
  <c r="H43" i="81"/>
  <c r="H41" i="81"/>
  <c r="H39" i="81"/>
  <c r="I43" i="81"/>
  <c r="I50" i="81"/>
  <c r="I48" i="81"/>
  <c r="I46" i="81"/>
  <c r="I42" i="81"/>
  <c r="I40" i="81"/>
  <c r="H42" i="81"/>
  <c r="H40" i="81"/>
  <c r="H52" i="81" l="1"/>
  <c r="H51" i="81"/>
  <c r="I51" i="81"/>
  <c r="I52" i="81"/>
  <c r="AA90" i="126" l="1"/>
  <c r="AB91" i="126" s="1"/>
  <c r="AA273" i="125"/>
  <c r="AA291" i="125"/>
  <c r="AA122" i="125"/>
  <c r="AA94" i="125"/>
  <c r="AA53" i="125"/>
  <c r="AA171" i="125"/>
  <c r="AA108" i="125"/>
  <c r="AA250" i="125"/>
  <c r="AA256" i="125" s="1"/>
  <c r="AA72" i="125"/>
  <c r="AA73" i="125" s="1" a="1"/>
  <c r="AA73" i="125" s="1"/>
  <c r="AB43" i="126" l="1"/>
  <c r="AB5" i="126" s="1"/>
  <c r="AB42" i="126"/>
  <c r="AB4" i="126" s="1"/>
  <c r="AA112" i="125"/>
  <c r="AA113" i="125"/>
  <c r="AA260" i="125"/>
  <c r="AA91" i="126"/>
  <c r="AA278" i="125"/>
  <c r="AA279" i="125"/>
  <c r="AA280" i="125" s="1"/>
  <c r="AA277" i="125"/>
  <c r="AA274" i="125"/>
  <c r="AA22" i="126"/>
  <c r="AA88" i="125"/>
  <c r="AA89" i="125"/>
  <c r="AA91" i="125"/>
  <c r="AA92" i="125"/>
  <c r="AA20" i="124"/>
  <c r="M53" i="118" s="1"/>
  <c r="AA172" i="125"/>
  <c r="AA176" i="125"/>
  <c r="AA175" i="125"/>
  <c r="AA177" i="125"/>
  <c r="AB172" i="125"/>
  <c r="AA123" i="125"/>
  <c r="AA125" i="125"/>
  <c r="AB123" i="125"/>
  <c r="AA251" i="125"/>
  <c r="AB251" i="125"/>
  <c r="AA292" i="125"/>
  <c r="AA295" i="125"/>
  <c r="AA303" i="125" s="1"/>
  <c r="AB292" i="125"/>
  <c r="AA109" i="125"/>
  <c r="AA111" i="125"/>
  <c r="AB109" i="125"/>
  <c r="AB274" i="125"/>
  <c r="AA43" i="126" l="1"/>
  <c r="AA42" i="126"/>
  <c r="AA47" i="126" s="1"/>
  <c r="AA296" i="125"/>
  <c r="AC48" i="126"/>
  <c r="AC47" i="126"/>
  <c r="AA257" i="125"/>
  <c r="AB257" i="125"/>
  <c r="AB20" i="124"/>
  <c r="N53" i="118" s="1"/>
  <c r="AA114" i="125"/>
  <c r="AB114" i="125"/>
  <c r="AA178" i="125"/>
  <c r="AB178" i="125"/>
  <c r="AB280" i="125"/>
  <c r="AB47" i="126" l="1"/>
  <c r="AA4" i="126"/>
  <c r="AA48" i="126"/>
  <c r="AA5" i="126"/>
  <c r="AA16" i="125"/>
  <c r="AA5" i="125" s="1"/>
  <c r="AB48" i="126"/>
  <c r="AB297" i="125"/>
  <c r="AB16" i="125"/>
  <c r="AA297" i="125"/>
  <c r="AC20" i="124"/>
  <c r="O53" i="118" s="1"/>
  <c r="AA126" i="125"/>
  <c r="AA120" i="125"/>
  <c r="AB126" i="125"/>
  <c r="AB120" i="125"/>
  <c r="AA6" i="126" l="1"/>
  <c r="AA7" i="126" s="1"/>
  <c r="AB5" i="125"/>
  <c r="AC5" i="125" s="1"/>
  <c r="AD20" i="124"/>
  <c r="P53" i="118" s="1"/>
  <c r="AB127" i="125"/>
  <c r="AB19" i="125" s="1"/>
  <c r="Y273" i="125"/>
  <c r="Y291" i="125"/>
  <c r="Y171" i="125"/>
  <c r="Y108" i="125"/>
  <c r="Y94" i="125"/>
  <c r="Y250" i="125"/>
  <c r="Y256" i="125" s="1"/>
  <c r="Y72" i="125"/>
  <c r="Y70" i="125" s="1" a="1"/>
  <c r="Y70" i="125" s="1"/>
  <c r="AA75" i="125" s="1"/>
  <c r="AA15" i="125" s="1"/>
  <c r="Y122" i="125"/>
  <c r="Y52" i="125"/>
  <c r="Y53" i="125" s="1"/>
  <c r="AA127" i="125"/>
  <c r="AA19" i="125" s="1"/>
  <c r="AA4" i="125" l="1"/>
  <c r="AA6" i="125" s="1"/>
  <c r="AA74" i="125"/>
  <c r="AB74" i="125"/>
  <c r="AB15" i="125"/>
  <c r="Y73" i="125" a="1"/>
  <c r="Y73" i="125" s="1"/>
  <c r="Y22" i="126"/>
  <c r="Y88" i="125"/>
  <c r="Y89" i="125"/>
  <c r="Y91" i="125"/>
  <c r="Y92" i="125"/>
  <c r="AF20" i="124"/>
  <c r="R53" i="118" s="1"/>
  <c r="AE20" i="124"/>
  <c r="Q53" i="118" s="1"/>
  <c r="Z251" i="125"/>
  <c r="Y279" i="125"/>
  <c r="Y277" i="125"/>
  <c r="Y278" i="125"/>
  <c r="Z274" i="125"/>
  <c r="Z8" i="125"/>
  <c r="Y112" i="125"/>
  <c r="Y111" i="125"/>
  <c r="Y113" i="125"/>
  <c r="Z109" i="125"/>
  <c r="Y175" i="125"/>
  <c r="Y176" i="125"/>
  <c r="Y177" i="125"/>
  <c r="Z172" i="125"/>
  <c r="AD5" i="125"/>
  <c r="Y125" i="125"/>
  <c r="Z123" i="125"/>
  <c r="Y295" i="125"/>
  <c r="Y303" i="125" s="1"/>
  <c r="Z292" i="125"/>
  <c r="AB311" i="125" l="1"/>
  <c r="AA7" i="125"/>
  <c r="AA12" i="122" s="1"/>
  <c r="AA5" i="122" s="1"/>
  <c r="AB4" i="125"/>
  <c r="AC4" i="125" s="1"/>
  <c r="Y296" i="125"/>
  <c r="Z297" i="125" s="1"/>
  <c r="Z257" i="125"/>
  <c r="AA11" i="125"/>
  <c r="AE5" i="125"/>
  <c r="AF5" i="125" s="1"/>
  <c r="Z178" i="125"/>
  <c r="Z280" i="125"/>
  <c r="Z114" i="125"/>
  <c r="AA8" i="125"/>
  <c r="AA12" i="125"/>
  <c r="U7" i="134" l="1"/>
  <c r="AD7" i="134"/>
  <c r="DQ6" i="131"/>
  <c r="AS95" i="119"/>
  <c r="AX95" i="119" s="1"/>
  <c r="AB6" i="125"/>
  <c r="AC311" i="125" s="1"/>
  <c r="AA44" i="126"/>
  <c r="AA313" i="125"/>
  <c r="AA308" i="125"/>
  <c r="AA306" i="125" s="1"/>
  <c r="AD4" i="125"/>
  <c r="AC6" i="125"/>
  <c r="Z126" i="125"/>
  <c r="Z120" i="125"/>
  <c r="AM7" i="134" l="1"/>
  <c r="DQ33" i="131"/>
  <c r="DJ33" i="131"/>
  <c r="DK33" i="131"/>
  <c r="DM33" i="131"/>
  <c r="DQ19" i="131"/>
  <c r="S14" i="119"/>
  <c r="BH13" i="115"/>
  <c r="Y14" i="119"/>
  <c r="AB11" i="125"/>
  <c r="DK19" i="131"/>
  <c r="DL6" i="131"/>
  <c r="DL33" i="131" s="1"/>
  <c r="DM19" i="131"/>
  <c r="AB12" i="125"/>
  <c r="AB8" i="125"/>
  <c r="AB7" i="125"/>
  <c r="AB12" i="122" s="1"/>
  <c r="AB5" i="122" s="1"/>
  <c r="AB20" i="125"/>
  <c r="AD311" i="125"/>
  <c r="AC20" i="125"/>
  <c r="AC5" i="126"/>
  <c r="AA45" i="126"/>
  <c r="AC4" i="126"/>
  <c r="AB44" i="126"/>
  <c r="AC11" i="125"/>
  <c r="AB313" i="125"/>
  <c r="AB308" i="125"/>
  <c r="AB306" i="125" s="1"/>
  <c r="AC8" i="125"/>
  <c r="AC7" i="125"/>
  <c r="AC12" i="122" s="1"/>
  <c r="AC12" i="125"/>
  <c r="Z127" i="125"/>
  <c r="AD6" i="125"/>
  <c r="AE4" i="125"/>
  <c r="V7" i="134" l="1"/>
  <c r="AE7" i="134"/>
  <c r="DY6" i="131"/>
  <c r="DN6" i="131"/>
  <c r="DN33" i="131" s="1"/>
  <c r="DL19" i="131"/>
  <c r="AC5" i="122"/>
  <c r="AF4" i="125"/>
  <c r="AE311" i="125"/>
  <c r="AD20" i="125"/>
  <c r="AB45" i="126"/>
  <c r="AD5" i="126"/>
  <c r="AD4" i="126"/>
  <c r="AC44" i="126"/>
  <c r="AD11" i="125"/>
  <c r="AC308" i="125"/>
  <c r="AC306" i="125" s="1"/>
  <c r="AC313" i="125"/>
  <c r="AE6" i="125"/>
  <c r="AD8" i="125"/>
  <c r="AD7" i="125"/>
  <c r="AD12" i="122" s="1"/>
  <c r="AD12" i="125"/>
  <c r="W7" i="134" l="1"/>
  <c r="AF7" i="134"/>
  <c r="AN7" i="134"/>
  <c r="DY19" i="131"/>
  <c r="DT6" i="131"/>
  <c r="DX6" i="131"/>
  <c r="DW6" i="131"/>
  <c r="DV6" i="131"/>
  <c r="DV19" i="131" s="1"/>
  <c r="DR6" i="131"/>
  <c r="DR19" i="131" s="1"/>
  <c r="DS6" i="131"/>
  <c r="DS19" i="131" s="1"/>
  <c r="DU6" i="131"/>
  <c r="DU19" i="131" s="1"/>
  <c r="DN19" i="131"/>
  <c r="DO6" i="131"/>
  <c r="AD5" i="122"/>
  <c r="AG7" i="134" s="1"/>
  <c r="AF6" i="125"/>
  <c r="AF11" i="125" s="1"/>
  <c r="AF311" i="125"/>
  <c r="AE20" i="125"/>
  <c r="AC45" i="126"/>
  <c r="AE4" i="126"/>
  <c r="AD44" i="126"/>
  <c r="AA20" i="125"/>
  <c r="AA26" i="122" s="1"/>
  <c r="AA19" i="122" s="1"/>
  <c r="AD308" i="125"/>
  <c r="AD306" i="125" s="1"/>
  <c r="AD313" i="125"/>
  <c r="AE7" i="125"/>
  <c r="AE12" i="122" s="1"/>
  <c r="AE8" i="125"/>
  <c r="AE12" i="125"/>
  <c r="AE11" i="125"/>
  <c r="AK143" i="5"/>
  <c r="Z13" i="81"/>
  <c r="F58" i="81"/>
  <c r="G58" i="81"/>
  <c r="G31" i="81"/>
  <c r="F31" i="81"/>
  <c r="G30" i="81"/>
  <c r="F30" i="81"/>
  <c r="G29" i="81"/>
  <c r="F29" i="81"/>
  <c r="G28" i="81"/>
  <c r="F28" i="81"/>
  <c r="G27" i="81"/>
  <c r="F27" i="81"/>
  <c r="G25" i="81"/>
  <c r="F25" i="81"/>
  <c r="G24" i="81"/>
  <c r="F24" i="81"/>
  <c r="G22" i="81"/>
  <c r="F22" i="81"/>
  <c r="G21" i="81"/>
  <c r="F21" i="81"/>
  <c r="G20" i="81"/>
  <c r="F20" i="81"/>
  <c r="G18" i="81"/>
  <c r="F18" i="81"/>
  <c r="G17" i="81"/>
  <c r="F17" i="81"/>
  <c r="G14" i="81"/>
  <c r="F14" i="81"/>
  <c r="G13" i="81"/>
  <c r="F13" i="81"/>
  <c r="G37" i="81"/>
  <c r="F37" i="81"/>
  <c r="G36" i="81"/>
  <c r="F36" i="81"/>
  <c r="G35" i="81"/>
  <c r="F35" i="81"/>
  <c r="G34" i="81"/>
  <c r="F34" i="81"/>
  <c r="G33" i="81"/>
  <c r="F33" i="81"/>
  <c r="G32" i="81"/>
  <c r="F32" i="81"/>
  <c r="G4" i="81"/>
  <c r="F4" i="81"/>
  <c r="G3" i="81"/>
  <c r="F3" i="81"/>
  <c r="G15" i="81"/>
  <c r="F15" i="81"/>
  <c r="Y13" i="81"/>
  <c r="X13" i="81"/>
  <c r="F7" i="81"/>
  <c r="F49" i="81"/>
  <c r="G49" i="81"/>
  <c r="G45" i="81"/>
  <c r="F45" i="81"/>
  <c r="F44" i="81"/>
  <c r="G44" i="81"/>
  <c r="G7" i="81"/>
  <c r="AN149" i="5"/>
  <c r="AN148" i="5"/>
  <c r="AM148" i="5"/>
  <c r="AL148" i="5"/>
  <c r="AK148" i="5"/>
  <c r="AN144" i="5"/>
  <c r="AM144" i="5"/>
  <c r="AL144" i="5"/>
  <c r="AK144" i="5"/>
  <c r="AN111" i="5"/>
  <c r="AM111" i="5"/>
  <c r="AL111" i="5"/>
  <c r="AK111" i="5"/>
  <c r="AN67" i="5"/>
  <c r="AM67" i="5"/>
  <c r="AL67" i="5"/>
  <c r="AK67" i="5"/>
  <c r="F3" i="56"/>
  <c r="F2" i="56"/>
  <c r="P119" i="5"/>
  <c r="V119" i="5"/>
  <c r="AB119" i="5"/>
  <c r="AF119" i="5"/>
  <c r="S119" i="5"/>
  <c r="Y119" i="5"/>
  <c r="AE119" i="5"/>
  <c r="AK101" i="5"/>
  <c r="AK106" i="5"/>
  <c r="AL101" i="5"/>
  <c r="AL106" i="5"/>
  <c r="AK115" i="5"/>
  <c r="AG119" i="5"/>
  <c r="AH119" i="5"/>
  <c r="AI119" i="5"/>
  <c r="AJ119" i="5"/>
  <c r="AK75" i="5"/>
  <c r="U13" i="134" l="1"/>
  <c r="AD13" i="134"/>
  <c r="AO7" i="134"/>
  <c r="DO33" i="131"/>
  <c r="AB13" i="115"/>
  <c r="X7" i="134"/>
  <c r="AP7" i="134" s="1"/>
  <c r="DQ40" i="131"/>
  <c r="DQ66" i="131" s="1"/>
  <c r="AS101" i="119"/>
  <c r="AS102" i="119" s="1"/>
  <c r="DW19" i="131"/>
  <c r="DT19" i="131"/>
  <c r="DO19" i="131"/>
  <c r="DP6" i="131"/>
  <c r="DP33" i="131" s="1"/>
  <c r="AE5" i="122"/>
  <c r="AF12" i="125"/>
  <c r="AF7" i="125"/>
  <c r="AF12" i="122" s="1"/>
  <c r="AF8" i="125"/>
  <c r="AF20" i="125"/>
  <c r="AD45" i="126"/>
  <c r="AF5" i="126"/>
  <c r="AF4" i="126"/>
  <c r="AE44" i="126"/>
  <c r="AA32" i="122"/>
  <c r="AF308" i="125"/>
  <c r="AF306" i="125" s="1"/>
  <c r="AF313" i="125"/>
  <c r="AE313" i="125"/>
  <c r="AE308" i="125"/>
  <c r="AE306" i="125" s="1"/>
  <c r="AB26" i="122"/>
  <c r="AB19" i="122" s="1"/>
  <c r="AM143" i="5"/>
  <c r="F39" i="81"/>
  <c r="F41" i="81"/>
  <c r="F43" i="81"/>
  <c r="F47" i="81"/>
  <c r="F50" i="81"/>
  <c r="G39" i="81"/>
  <c r="G41" i="81"/>
  <c r="G43" i="81"/>
  <c r="G47" i="81"/>
  <c r="G50" i="81"/>
  <c r="F38" i="81"/>
  <c r="F40" i="81"/>
  <c r="F42" i="81"/>
  <c r="F46" i="81"/>
  <c r="F48" i="81"/>
  <c r="G38" i="81"/>
  <c r="G40" i="81"/>
  <c r="G42" i="81"/>
  <c r="G46" i="81"/>
  <c r="G48" i="81"/>
  <c r="AL115" i="5"/>
  <c r="AM101" i="5"/>
  <c r="AL63" i="5"/>
  <c r="AL137" i="5" s="1"/>
  <c r="AM63" i="5"/>
  <c r="AM137" i="5" s="1"/>
  <c r="AM106" i="5"/>
  <c r="AK63" i="5"/>
  <c r="AK137" i="5" s="1"/>
  <c r="AK77" i="5"/>
  <c r="AM149" i="5"/>
  <c r="AL149" i="5"/>
  <c r="AL143" i="5"/>
  <c r="AN143" i="5"/>
  <c r="AK57" i="5"/>
  <c r="V13" i="134" l="1"/>
  <c r="AE13" i="134"/>
  <c r="Y7" i="134"/>
  <c r="AH7" i="134"/>
  <c r="AM13" i="134"/>
  <c r="DQ53" i="131"/>
  <c r="CN13" i="115"/>
  <c r="CO13" i="115" s="1"/>
  <c r="AB32" i="122"/>
  <c r="DY40" i="131"/>
  <c r="DP19" i="131"/>
  <c r="DX19" i="131"/>
  <c r="AF5" i="122"/>
  <c r="AI7" i="134" s="1"/>
  <c r="AE45" i="126"/>
  <c r="AF44" i="126"/>
  <c r="AC26" i="122"/>
  <c r="AC19" i="122" s="1"/>
  <c r="AF13" i="134" s="1"/>
  <c r="AK58" i="5"/>
  <c r="AL57" i="5"/>
  <c r="AN57" i="5"/>
  <c r="AN101" i="5"/>
  <c r="AN106" i="5"/>
  <c r="G52" i="81"/>
  <c r="G51" i="81"/>
  <c r="F51" i="81"/>
  <c r="F52" i="81"/>
  <c r="AM57" i="5"/>
  <c r="AM115" i="5"/>
  <c r="AK149" i="5"/>
  <c r="AK76" i="5"/>
  <c r="AQ7" i="134" l="1"/>
  <c r="AN13" i="134"/>
  <c r="CR13" i="115"/>
  <c r="CS13" i="115" s="1"/>
  <c r="Z7" i="134"/>
  <c r="AR7" i="134" s="1"/>
  <c r="AC32" i="122"/>
  <c r="W13" i="134"/>
  <c r="AO13" i="134" s="1"/>
  <c r="DY66" i="131"/>
  <c r="DY53" i="131"/>
  <c r="DT40" i="131"/>
  <c r="DL53" i="131"/>
  <c r="DP40" i="131"/>
  <c r="AF45" i="126"/>
  <c r="AD26" i="122"/>
  <c r="AD19" i="122" s="1"/>
  <c r="AG13" i="134" s="1"/>
  <c r="AL58" i="5"/>
  <c r="AN63" i="5"/>
  <c r="AN137" i="5" s="1"/>
  <c r="AN115" i="5"/>
  <c r="AD32" i="122" l="1"/>
  <c r="X13" i="134"/>
  <c r="AP13" i="134" s="1"/>
  <c r="DT66" i="131"/>
  <c r="DT53" i="131"/>
  <c r="DX40" i="131"/>
  <c r="DX53" i="131" s="1"/>
  <c r="DP66" i="131"/>
  <c r="DP53" i="131"/>
  <c r="AF26" i="122"/>
  <c r="AF19" i="122" s="1"/>
  <c r="AE26" i="122"/>
  <c r="AE19" i="122" s="1"/>
  <c r="AM58" i="5"/>
  <c r="Y13" i="134" l="1"/>
  <c r="AH13" i="134"/>
  <c r="Z13" i="134"/>
  <c r="AI13" i="134"/>
  <c r="CR21" i="115"/>
  <c r="CN21" i="115"/>
  <c r="CN22" i="115" s="1"/>
  <c r="CO22" i="115" s="1"/>
  <c r="DX66" i="131"/>
  <c r="AF32" i="122"/>
  <c r="AE32" i="122"/>
  <c r="AN58" i="5"/>
  <c r="AR13" i="134" l="1"/>
  <c r="AQ13" i="134"/>
  <c r="CO21" i="115"/>
  <c r="CR22" i="115"/>
  <c r="CS22" i="115" s="1"/>
  <c r="CS21" i="115"/>
  <c r="T52" i="125"/>
  <c r="T53" i="125" s="1"/>
  <c r="T108" i="125"/>
  <c r="T171" i="125"/>
  <c r="T291" i="125"/>
  <c r="T122" i="125"/>
  <c r="T273" i="125"/>
  <c r="T94" i="125"/>
  <c r="T250" i="125"/>
  <c r="T175" i="125" l="1"/>
  <c r="T176" i="125"/>
  <c r="T177" i="125"/>
  <c r="T111" i="125"/>
  <c r="T112" i="125"/>
  <c r="T113" i="125"/>
  <c r="T279" i="125"/>
  <c r="T278" i="125"/>
  <c r="T277" i="125"/>
  <c r="V94" i="125"/>
  <c r="V250" i="125"/>
  <c r="V251" i="125" s="1"/>
  <c r="V52" i="125"/>
  <c r="V53" i="125" s="1"/>
  <c r="V108" i="125"/>
  <c r="V171" i="125"/>
  <c r="V291" i="125"/>
  <c r="V122" i="125"/>
  <c r="V273" i="125"/>
  <c r="T125" i="125"/>
  <c r="T126" i="125"/>
  <c r="T127" i="125"/>
  <c r="T295" i="125"/>
  <c r="T296" i="125" s="1"/>
  <c r="V292" i="125" l="1"/>
  <c r="V295" i="125"/>
  <c r="V296" i="125" s="1"/>
  <c r="V297" i="125" s="1"/>
  <c r="V172" i="125"/>
  <c r="V176" i="125"/>
  <c r="V175" i="125"/>
  <c r="V177" i="125"/>
  <c r="V178" i="125" s="1"/>
  <c r="V111" i="125"/>
  <c r="V113" i="125"/>
  <c r="V114" i="125" s="1"/>
  <c r="V112" i="125"/>
  <c r="V109" i="125"/>
  <c r="V8" i="125"/>
  <c r="V279" i="125"/>
  <c r="V280" i="125" s="1"/>
  <c r="V274" i="125"/>
  <c r="V278" i="125"/>
  <c r="V277" i="125"/>
  <c r="V123" i="125"/>
  <c r="V126" i="125"/>
  <c r="V125" i="125"/>
  <c r="V127" i="125"/>
  <c r="V25" i="126"/>
  <c r="X250" i="125" l="1"/>
  <c r="X256" i="125" s="1"/>
  <c r="X273" i="125"/>
  <c r="X291" i="125"/>
  <c r="X122" i="125"/>
  <c r="X94" i="125"/>
  <c r="X171" i="125"/>
  <c r="X72" i="125"/>
  <c r="X70" i="125" s="1" a="1"/>
  <c r="X70" i="125" s="1"/>
  <c r="X108" i="125"/>
  <c r="X52" i="125"/>
  <c r="X53" i="125" s="1"/>
  <c r="W291" i="125"/>
  <c r="W250" i="125"/>
  <c r="W171" i="125"/>
  <c r="W273" i="125"/>
  <c r="W122" i="125"/>
  <c r="W94" i="125"/>
  <c r="W108" i="125"/>
  <c r="W72" i="125"/>
  <c r="W70" i="125" s="1" a="1"/>
  <c r="W70" i="125" s="1"/>
  <c r="W52" i="125"/>
  <c r="W53" i="125" s="1"/>
  <c r="W73" i="125" l="1" a="1"/>
  <c r="W73" i="125" s="1"/>
  <c r="W22" i="126"/>
  <c r="W25" i="126" s="1"/>
  <c r="X73" i="125" a="1"/>
  <c r="X73" i="125" s="1"/>
  <c r="X22" i="126"/>
  <c r="X25" i="126" s="1"/>
  <c r="X88" i="125"/>
  <c r="X89" i="125"/>
  <c r="X91" i="125"/>
  <c r="X92" i="125"/>
  <c r="W88" i="125"/>
  <c r="W89" i="125"/>
  <c r="W91" i="125"/>
  <c r="W92" i="125"/>
  <c r="W123" i="125"/>
  <c r="W125" i="125"/>
  <c r="W126" i="125"/>
  <c r="W127" i="125"/>
  <c r="X274" i="125"/>
  <c r="X279" i="125"/>
  <c r="X278" i="125"/>
  <c r="X277" i="125"/>
  <c r="Y274" i="125"/>
  <c r="X123" i="125"/>
  <c r="X125" i="125"/>
  <c r="Y123" i="125"/>
  <c r="X292" i="125"/>
  <c r="X295" i="125"/>
  <c r="X303" i="125" s="1"/>
  <c r="Y292" i="125"/>
  <c r="W172" i="125"/>
  <c r="W176" i="125"/>
  <c r="W175" i="125"/>
  <c r="W177" i="125"/>
  <c r="Y25" i="126"/>
  <c r="W251" i="125"/>
  <c r="X251" i="125"/>
  <c r="Y257" i="125"/>
  <c r="Y251" i="125"/>
  <c r="W274" i="125"/>
  <c r="W279" i="125"/>
  <c r="W280" i="125" s="1"/>
  <c r="W278" i="125"/>
  <c r="W277" i="125"/>
  <c r="X109" i="125"/>
  <c r="X111" i="125"/>
  <c r="X112" i="125"/>
  <c r="X113" i="125"/>
  <c r="Y109" i="125"/>
  <c r="W109" i="125"/>
  <c r="W111" i="125"/>
  <c r="W112" i="125"/>
  <c r="W113" i="125"/>
  <c r="W114" i="125" s="1"/>
  <c r="W292" i="125"/>
  <c r="W295" i="125"/>
  <c r="W303" i="125" s="1"/>
  <c r="X172" i="125"/>
  <c r="X175" i="125"/>
  <c r="X176" i="125"/>
  <c r="X177" i="125"/>
  <c r="Y172" i="125"/>
  <c r="W8" i="125"/>
  <c r="X8" i="125"/>
  <c r="Y8" i="125"/>
  <c r="W296" i="125" l="1"/>
  <c r="W297" i="125" s="1"/>
  <c r="X296" i="125"/>
  <c r="V47" i="126"/>
  <c r="V48" i="126"/>
  <c r="Z47" i="126"/>
  <c r="Z48" i="126"/>
  <c r="W74" i="125"/>
  <c r="X178" i="125"/>
  <c r="Y178" i="125"/>
  <c r="V110" i="126"/>
  <c r="X280" i="125"/>
  <c r="Y280" i="125"/>
  <c r="X114" i="125"/>
  <c r="Y114" i="125"/>
  <c r="V111" i="126"/>
  <c r="X297" i="125" l="1"/>
  <c r="Y297" i="125"/>
  <c r="W47" i="126"/>
  <c r="X48" i="126"/>
  <c r="Y48" i="126"/>
  <c r="W48" i="126"/>
  <c r="X47" i="126"/>
  <c r="Y47" i="126"/>
  <c r="U108" i="126"/>
  <c r="V45" i="126"/>
  <c r="X126" i="125"/>
  <c r="X120" i="125"/>
  <c r="Z45" i="126"/>
  <c r="Y126" i="125"/>
  <c r="Y120" i="125"/>
  <c r="X45" i="126" l="1"/>
  <c r="V108" i="126"/>
  <c r="Y45" i="126"/>
  <c r="W45" i="126"/>
  <c r="X127" i="125"/>
  <c r="Y127" i="125"/>
  <c r="W108" i="126" l="1"/>
  <c r="W110" i="126" l="1"/>
  <c r="O5" i="127"/>
  <c r="S25" i="126"/>
  <c r="T25" i="126"/>
  <c r="T280" i="125" l="1"/>
  <c r="T274" i="125"/>
  <c r="T292" i="125"/>
  <c r="T251" i="125"/>
  <c r="T8" i="125"/>
  <c r="W111" i="126"/>
  <c r="P5" i="127"/>
  <c r="T297" i="125" l="1"/>
  <c r="L30" i="127"/>
  <c r="Q5" i="127"/>
  <c r="R5" i="127" s="1"/>
  <c r="X108" i="126"/>
  <c r="X119" i="126"/>
  <c r="X118" i="126" s="1"/>
  <c r="AK47" i="5"/>
  <c r="AK33" i="5"/>
  <c r="AK43" i="5"/>
  <c r="X110" i="126" l="1"/>
  <c r="S5" i="127"/>
  <c r="T5" i="127" s="1"/>
  <c r="J30" i="127"/>
  <c r="Y119" i="126"/>
  <c r="Y118" i="126" s="1"/>
  <c r="Y108" i="126"/>
  <c r="M30" i="127"/>
  <c r="Y110" i="126"/>
  <c r="AK92" i="5"/>
  <c r="X111" i="126" l="1"/>
  <c r="O4" i="127"/>
  <c r="N30" i="127"/>
  <c r="Z108" i="126"/>
  <c r="Z119" i="126"/>
  <c r="Z118" i="126" s="1"/>
  <c r="AK31" i="5"/>
  <c r="AK138" i="5"/>
  <c r="Y111" i="126" l="1"/>
  <c r="Z110" i="126"/>
  <c r="O6" i="127"/>
  <c r="O11" i="127" s="1"/>
  <c r="O12" i="127" s="1"/>
  <c r="P4" i="127"/>
  <c r="H30" i="127"/>
  <c r="AA119" i="126"/>
  <c r="AA108" i="126"/>
  <c r="I30" i="127"/>
  <c r="AK100" i="5"/>
  <c r="AK95" i="5"/>
  <c r="AK53" i="5"/>
  <c r="AK105" i="5"/>
  <c r="AK52" i="5"/>
  <c r="AK97" i="5"/>
  <c r="AK32" i="5"/>
  <c r="AK91" i="5"/>
  <c r="AK142" i="5"/>
  <c r="O43" i="127" l="1"/>
  <c r="O27" i="127" s="1"/>
  <c r="AA120" i="126"/>
  <c r="AA118" i="126" s="1"/>
  <c r="O7" i="127"/>
  <c r="AA14" i="122" s="1"/>
  <c r="AA7" i="122" s="1"/>
  <c r="Z111" i="126"/>
  <c r="AA10" i="126"/>
  <c r="O23" i="127"/>
  <c r="O24" i="127" s="1"/>
  <c r="O22" i="127"/>
  <c r="P6" i="127"/>
  <c r="P22" i="127" s="1"/>
  <c r="AB119" i="126"/>
  <c r="AB108" i="126"/>
  <c r="Q4" i="127"/>
  <c r="AK96" i="5"/>
  <c r="AK139" i="5"/>
  <c r="AK146" i="5"/>
  <c r="AK145" i="5" s="1"/>
  <c r="AK108" i="5"/>
  <c r="AK112" i="5" s="1"/>
  <c r="U9" i="134" l="1"/>
  <c r="AD9" i="134"/>
  <c r="DQ11" i="131"/>
  <c r="AS97" i="119"/>
  <c r="O40" i="127"/>
  <c r="O37" i="127" s="1"/>
  <c r="O38" i="127" s="1"/>
  <c r="P23" i="127"/>
  <c r="P24" i="127" s="1"/>
  <c r="P7" i="127"/>
  <c r="AB14" i="122" s="1"/>
  <c r="AB7" i="122" s="1"/>
  <c r="AA11" i="126"/>
  <c r="P43" i="127"/>
  <c r="P40" i="127" s="1"/>
  <c r="P37" i="127" s="1"/>
  <c r="P38" i="127" s="1"/>
  <c r="P11" i="127"/>
  <c r="P12" i="127" s="1"/>
  <c r="AB120" i="126"/>
  <c r="AB118" i="126" s="1"/>
  <c r="AC119" i="126"/>
  <c r="AC108" i="126"/>
  <c r="AA17" i="126"/>
  <c r="Q6" i="127"/>
  <c r="Q22" i="127" s="1"/>
  <c r="R4" i="127"/>
  <c r="O30" i="127"/>
  <c r="AB11" i="126"/>
  <c r="AB10" i="126"/>
  <c r="AK98" i="5"/>
  <c r="AK99" i="5" s="1"/>
  <c r="AK25" i="5"/>
  <c r="AK51" i="5" s="1"/>
  <c r="V9" i="134" l="1"/>
  <c r="AE9" i="134"/>
  <c r="AM9" i="134"/>
  <c r="Y16" i="119"/>
  <c r="AA16" i="119" s="1"/>
  <c r="AC16" i="119" s="1"/>
  <c r="DK35" i="131"/>
  <c r="DQ35" i="131"/>
  <c r="DJ35" i="131"/>
  <c r="DM35" i="131"/>
  <c r="DY11" i="131"/>
  <c r="DQ24" i="131"/>
  <c r="AA18" i="126"/>
  <c r="AB18" i="126"/>
  <c r="P27" i="127"/>
  <c r="P30" i="127" s="1"/>
  <c r="Q11" i="127"/>
  <c r="Q12" i="127" s="1"/>
  <c r="S4" i="127"/>
  <c r="AC11" i="126"/>
  <c r="O19" i="127"/>
  <c r="AD119" i="126"/>
  <c r="AD108" i="126"/>
  <c r="AC10" i="126"/>
  <c r="AC120" i="126"/>
  <c r="AC118" i="126" s="1"/>
  <c r="Q23" i="127"/>
  <c r="Q24" i="127" s="1"/>
  <c r="Q43" i="127"/>
  <c r="Q7" i="127"/>
  <c r="AC14" i="122" s="1"/>
  <c r="AC7" i="122" s="1"/>
  <c r="AB17" i="126"/>
  <c r="AA37" i="126"/>
  <c r="AA181" i="122" s="1"/>
  <c r="R6" i="127"/>
  <c r="AK24" i="5"/>
  <c r="AK73" i="5"/>
  <c r="AK74" i="5"/>
  <c r="AK54" i="5"/>
  <c r="AK61" i="5" s="1"/>
  <c r="AK46" i="5"/>
  <c r="W9" i="134" l="1"/>
  <c r="AF9" i="134"/>
  <c r="AN9" i="134"/>
  <c r="BH15" i="115"/>
  <c r="BI15" i="115" s="1"/>
  <c r="S16" i="119"/>
  <c r="DY24" i="131"/>
  <c r="DR11" i="131"/>
  <c r="DR24" i="131" s="1"/>
  <c r="DS11" i="131"/>
  <c r="DS24" i="131" s="1"/>
  <c r="DU11" i="131"/>
  <c r="DU24" i="131" s="1"/>
  <c r="DV11" i="131"/>
  <c r="DW11" i="131"/>
  <c r="DT11" i="131"/>
  <c r="DX11" i="131"/>
  <c r="DL11" i="131"/>
  <c r="DL35" i="131" s="1"/>
  <c r="DK24" i="131"/>
  <c r="DM24" i="131"/>
  <c r="AA13" i="122"/>
  <c r="AA6" i="122" s="1"/>
  <c r="AA19" i="126"/>
  <c r="AA20" i="126" s="1"/>
  <c r="AB6" i="126"/>
  <c r="AC6" i="126"/>
  <c r="R22" i="127"/>
  <c r="R11" i="127"/>
  <c r="R12" i="127" s="1"/>
  <c r="AE108" i="126"/>
  <c r="AE119" i="126"/>
  <c r="T4" i="127"/>
  <c r="AF108" i="126"/>
  <c r="AF119" i="126"/>
  <c r="AA34" i="126"/>
  <c r="AA32" i="126" s="1"/>
  <c r="AA21" i="126"/>
  <c r="S6" i="127"/>
  <c r="Q27" i="127"/>
  <c r="Q30" i="127" s="1"/>
  <c r="Q40" i="127"/>
  <c r="Q37" i="127" s="1"/>
  <c r="Q38" i="127" s="1"/>
  <c r="AC17" i="126"/>
  <c r="O20" i="127"/>
  <c r="AA28" i="122" s="1"/>
  <c r="AA21" i="122" s="1"/>
  <c r="AD15" i="134" s="1"/>
  <c r="P19" i="127"/>
  <c r="AD120" i="126"/>
  <c r="AD118" i="126" s="1"/>
  <c r="R23" i="127"/>
  <c r="R24" i="127" s="1"/>
  <c r="R43" i="127"/>
  <c r="R7" i="127"/>
  <c r="AD14" i="122" s="1"/>
  <c r="AD7" i="122" s="1"/>
  <c r="AD10" i="126"/>
  <c r="AK49" i="5"/>
  <c r="AK50" i="5"/>
  <c r="U8" i="134" l="1"/>
  <c r="AD8" i="134"/>
  <c r="X9" i="134"/>
  <c r="AG9" i="134"/>
  <c r="AO9" i="134"/>
  <c r="AS105" i="119"/>
  <c r="AS106" i="119" s="1"/>
  <c r="U15" i="134"/>
  <c r="AM15" i="134" s="1"/>
  <c r="AA25" i="126"/>
  <c r="DQ10" i="131"/>
  <c r="AS96" i="119"/>
  <c r="DQ45" i="131"/>
  <c r="DQ71" i="131" s="1"/>
  <c r="AA34" i="122"/>
  <c r="DT24" i="131"/>
  <c r="DL24" i="131"/>
  <c r="DN11" i="131"/>
  <c r="AA9" i="122"/>
  <c r="AD10" i="134" s="1"/>
  <c r="AB7" i="126"/>
  <c r="AB37" i="126"/>
  <c r="AC18" i="126"/>
  <c r="S22" i="127"/>
  <c r="S11" i="127"/>
  <c r="S12" i="127" s="1"/>
  <c r="T6" i="127"/>
  <c r="T11" i="127" s="1"/>
  <c r="T12" i="127" s="1"/>
  <c r="AF10" i="126"/>
  <c r="AD17" i="126"/>
  <c r="S23" i="127"/>
  <c r="S24" i="127" s="1"/>
  <c r="S43" i="127"/>
  <c r="AE120" i="126"/>
  <c r="AE118" i="126" s="1"/>
  <c r="S7" i="127"/>
  <c r="AE14" i="122" s="1"/>
  <c r="AE7" i="122" s="1"/>
  <c r="AE10" i="126"/>
  <c r="R27" i="127"/>
  <c r="R30" i="127" s="1"/>
  <c r="R40" i="127"/>
  <c r="R37" i="127" s="1"/>
  <c r="R38" i="127" s="1"/>
  <c r="AC37" i="126"/>
  <c r="AC181" i="122" s="1"/>
  <c r="AC7" i="126"/>
  <c r="AC13" i="122" s="1"/>
  <c r="AD11" i="126"/>
  <c r="AD6" i="126" s="1"/>
  <c r="P20" i="127"/>
  <c r="AB28" i="122" s="1"/>
  <c r="AB21" i="122" s="1"/>
  <c r="Q19" i="127"/>
  <c r="AK147" i="5"/>
  <c r="AP9" i="134" l="1"/>
  <c r="V15" i="134"/>
  <c r="AE15" i="134"/>
  <c r="Y9" i="134"/>
  <c r="AH9" i="134"/>
  <c r="AM8" i="134"/>
  <c r="U10" i="134"/>
  <c r="AM10" i="134" s="1"/>
  <c r="BX17" i="115"/>
  <c r="DV24" i="131"/>
  <c r="DN35" i="131"/>
  <c r="DM34" i="131"/>
  <c r="DK34" i="131"/>
  <c r="DQ34" i="131"/>
  <c r="DJ34" i="131"/>
  <c r="S15" i="119"/>
  <c r="Y15" i="119"/>
  <c r="AA15" i="119" s="1"/>
  <c r="AC15" i="119" s="1"/>
  <c r="DQ16" i="131"/>
  <c r="AS99" i="119"/>
  <c r="AW99" i="119" s="1"/>
  <c r="CN15" i="115"/>
  <c r="CO15" i="115" s="1"/>
  <c r="DQ58" i="131"/>
  <c r="DY45" i="131"/>
  <c r="DQ23" i="131"/>
  <c r="BH14" i="115"/>
  <c r="DL58" i="131"/>
  <c r="DN24" i="131"/>
  <c r="DO11" i="131"/>
  <c r="AB15" i="115" s="1"/>
  <c r="AC15" i="115" s="1"/>
  <c r="AA183" i="122"/>
  <c r="AA115" i="123"/>
  <c r="AA124" i="123"/>
  <c r="AA117" i="123"/>
  <c r="AB21" i="126"/>
  <c r="AB181" i="122"/>
  <c r="AB34" i="126"/>
  <c r="AB32" i="126" s="1"/>
  <c r="AC19" i="126"/>
  <c r="AC20" i="126" s="1"/>
  <c r="AB13" i="122"/>
  <c r="AB6" i="122" s="1"/>
  <c r="AB19" i="126"/>
  <c r="AB34" i="122"/>
  <c r="AF120" i="126"/>
  <c r="AF118" i="126" s="1"/>
  <c r="T22" i="127"/>
  <c r="T43" i="127"/>
  <c r="T27" i="127" s="1"/>
  <c r="T23" i="127"/>
  <c r="T24" i="127" s="1"/>
  <c r="T7" i="127"/>
  <c r="AF14" i="122" s="1"/>
  <c r="AF7" i="122" s="1"/>
  <c r="AI9" i="134" s="1"/>
  <c r="AF17" i="126"/>
  <c r="AF11" i="126"/>
  <c r="AC21" i="126"/>
  <c r="AC34" i="126"/>
  <c r="AC32" i="126" s="1"/>
  <c r="AA14" i="126"/>
  <c r="S27" i="127"/>
  <c r="S30" i="127" s="1"/>
  <c r="S40" i="127"/>
  <c r="S37" i="127" s="1"/>
  <c r="S38" i="127" s="1"/>
  <c r="R19" i="127"/>
  <c r="Q20" i="127"/>
  <c r="AC28" i="122" s="1"/>
  <c r="AC21" i="122" s="1"/>
  <c r="AF15" i="134" s="1"/>
  <c r="AE11" i="126"/>
  <c r="AE18" i="126" s="1"/>
  <c r="AE17" i="126"/>
  <c r="AD37" i="126"/>
  <c r="AD181" i="122" s="1"/>
  <c r="AD7" i="126"/>
  <c r="AD18" i="126"/>
  <c r="AK141" i="5"/>
  <c r="AK114" i="5"/>
  <c r="AK116" i="5" s="1"/>
  <c r="AQ9" i="134" l="1"/>
  <c r="V8" i="134"/>
  <c r="AE8" i="134"/>
  <c r="AN15" i="134"/>
  <c r="CR15" i="115"/>
  <c r="CS15" i="115" s="1"/>
  <c r="Z9" i="134"/>
  <c r="AR9" i="134" s="1"/>
  <c r="DW24" i="131"/>
  <c r="DO35" i="131"/>
  <c r="AC34" i="122"/>
  <c r="W15" i="134"/>
  <c r="AO15" i="134" s="1"/>
  <c r="AB20" i="126"/>
  <c r="AB25" i="126" s="1"/>
  <c r="AB14" i="126" s="1"/>
  <c r="AC25" i="126"/>
  <c r="Y17" i="119"/>
  <c r="DK37" i="131"/>
  <c r="DQ37" i="131"/>
  <c r="DJ37" i="131"/>
  <c r="DQ29" i="131"/>
  <c r="DY10" i="131"/>
  <c r="DY58" i="131"/>
  <c r="DY71" i="131"/>
  <c r="DT45" i="131"/>
  <c r="DX45" i="131" s="1"/>
  <c r="DX58" i="131" s="1"/>
  <c r="DP45" i="131"/>
  <c r="AA119" i="123"/>
  <c r="DM16" i="131"/>
  <c r="DM37" i="131" s="1"/>
  <c r="DM23" i="131"/>
  <c r="DK23" i="131"/>
  <c r="DL10" i="131"/>
  <c r="DO24" i="131"/>
  <c r="DP11" i="131"/>
  <c r="DP35" i="131" s="1"/>
  <c r="AD13" i="122"/>
  <c r="AD19" i="126"/>
  <c r="AD20" i="126" s="1"/>
  <c r="AC6" i="122"/>
  <c r="T30" i="127"/>
  <c r="T40" i="127"/>
  <c r="T37" i="127" s="1"/>
  <c r="T38" i="127" s="1"/>
  <c r="AD34" i="126"/>
  <c r="AD32" i="126" s="1"/>
  <c r="AD21" i="126"/>
  <c r="AA15" i="126"/>
  <c r="AA27" i="122" s="1"/>
  <c r="AA20" i="122" s="1"/>
  <c r="AE6" i="126"/>
  <c r="S19" i="127"/>
  <c r="R20" i="127"/>
  <c r="AD28" i="122" s="1"/>
  <c r="AD21" i="122" s="1"/>
  <c r="AG15" i="134" s="1"/>
  <c r="AK90" i="5"/>
  <c r="AK153" i="5" s="1"/>
  <c r="AK23" i="5"/>
  <c r="AK118" i="5" s="1"/>
  <c r="AK34" i="5"/>
  <c r="AK117" i="5"/>
  <c r="W8" i="134" l="1"/>
  <c r="AF8" i="134"/>
  <c r="U14" i="134"/>
  <c r="AD14" i="134"/>
  <c r="AN8" i="134"/>
  <c r="AD34" i="122"/>
  <c r="X15" i="134"/>
  <c r="AP15" i="134" s="1"/>
  <c r="DL16" i="131"/>
  <c r="DL34" i="131"/>
  <c r="AD25" i="126"/>
  <c r="DQ44" i="131"/>
  <c r="DQ70" i="131" s="1"/>
  <c r="AS103" i="119"/>
  <c r="AS104" i="119" s="1"/>
  <c r="BH17" i="115"/>
  <c r="S17" i="119"/>
  <c r="DY23" i="131"/>
  <c r="DW10" i="131"/>
  <c r="DS10" i="131"/>
  <c r="DS23" i="131" s="1"/>
  <c r="DU10" i="131"/>
  <c r="DU23" i="131" s="1"/>
  <c r="DT10" i="131"/>
  <c r="DT23" i="131" s="1"/>
  <c r="DX10" i="131"/>
  <c r="DR10" i="131"/>
  <c r="DR23" i="131" s="1"/>
  <c r="DV10" i="131"/>
  <c r="DT71" i="131"/>
  <c r="DT58" i="131"/>
  <c r="DM29" i="131"/>
  <c r="DP24" i="131"/>
  <c r="DX24" i="131"/>
  <c r="DX71" i="131"/>
  <c r="DP71" i="131"/>
  <c r="DN10" i="131"/>
  <c r="DL23" i="131"/>
  <c r="DP58" i="131"/>
  <c r="AD6" i="122"/>
  <c r="AA33" i="122"/>
  <c r="AF18" i="126"/>
  <c r="AF6" i="126"/>
  <c r="T19" i="127"/>
  <c r="AB15" i="126"/>
  <c r="AB27" i="122" s="1"/>
  <c r="AB20" i="122" s="1"/>
  <c r="AC14" i="126"/>
  <c r="AE7" i="126"/>
  <c r="AE37" i="126"/>
  <c r="AE181" i="122" s="1"/>
  <c r="S20" i="127"/>
  <c r="AE28" i="122" s="1"/>
  <c r="AE21" i="122" s="1"/>
  <c r="AK94" i="5"/>
  <c r="AK29" i="5"/>
  <c r="AK121" i="5"/>
  <c r="AM14" i="134" l="1"/>
  <c r="AO8" i="134"/>
  <c r="Y15" i="134"/>
  <c r="AH15" i="134"/>
  <c r="X8" i="134"/>
  <c r="AG8" i="134"/>
  <c r="V14" i="134"/>
  <c r="AE14" i="134"/>
  <c r="DL29" i="131"/>
  <c r="DL37" i="131"/>
  <c r="DO10" i="131"/>
  <c r="DN34" i="131"/>
  <c r="DQ57" i="131"/>
  <c r="DV23" i="131"/>
  <c r="DY44" i="131"/>
  <c r="DN16" i="131"/>
  <c r="DN37" i="131" s="1"/>
  <c r="DN23" i="131"/>
  <c r="DP44" i="131"/>
  <c r="AE34" i="122"/>
  <c r="CN25" i="115"/>
  <c r="AE13" i="122"/>
  <c r="AE6" i="122" s="1"/>
  <c r="AE19" i="126"/>
  <c r="AB33" i="122"/>
  <c r="T20" i="127"/>
  <c r="AF28" i="122" s="1"/>
  <c r="AF21" i="122" s="1"/>
  <c r="AI15" i="134" s="1"/>
  <c r="AF7" i="126"/>
  <c r="AF37" i="126"/>
  <c r="AF181" i="122" s="1"/>
  <c r="AC15" i="126"/>
  <c r="AC27" i="122" s="1"/>
  <c r="AC20" i="122" s="1"/>
  <c r="AF14" i="134" s="1"/>
  <c r="AD14" i="126"/>
  <c r="AE21" i="126"/>
  <c r="AE34" i="126"/>
  <c r="AE32" i="126" s="1"/>
  <c r="AK93" i="5"/>
  <c r="AK104" i="5"/>
  <c r="AQ15" i="134" l="1"/>
  <c r="AN14" i="134"/>
  <c r="AP8" i="134"/>
  <c r="Y8" i="134"/>
  <c r="AH8" i="134"/>
  <c r="DO34" i="131"/>
  <c r="AB14" i="115"/>
  <c r="AC14" i="115" s="1"/>
  <c r="DW23" i="131"/>
  <c r="CR25" i="115"/>
  <c r="CR26" i="115" s="1"/>
  <c r="CS26" i="115" s="1"/>
  <c r="Z15" i="134"/>
  <c r="AR15" i="134" s="1"/>
  <c r="AE20" i="126"/>
  <c r="AE25" i="126" s="1"/>
  <c r="AE14" i="126" s="1"/>
  <c r="AC33" i="122"/>
  <c r="W14" i="134"/>
  <c r="AO14" i="134" s="1"/>
  <c r="CN14" i="115"/>
  <c r="CO14" i="115" s="1"/>
  <c r="DY57" i="131"/>
  <c r="DY70" i="131"/>
  <c r="DT44" i="131"/>
  <c r="DN29" i="131"/>
  <c r="DP70" i="131"/>
  <c r="DL57" i="131"/>
  <c r="DO23" i="131"/>
  <c r="DO16" i="131"/>
  <c r="DP10" i="131"/>
  <c r="CN26" i="115"/>
  <c r="CO26" i="115" s="1"/>
  <c r="CO25" i="115"/>
  <c r="AF13" i="122"/>
  <c r="AF6" i="122" s="1"/>
  <c r="AI8" i="134" s="1"/>
  <c r="AF19" i="126"/>
  <c r="AF34" i="122"/>
  <c r="AF34" i="126"/>
  <c r="AF32" i="126" s="1"/>
  <c r="AF21" i="126"/>
  <c r="AF164" i="122"/>
  <c r="AD15" i="126"/>
  <c r="AD27" i="122" s="1"/>
  <c r="AD20" i="122" s="1"/>
  <c r="AG14" i="134" s="1"/>
  <c r="AK103" i="5"/>
  <c r="AK119" i="5"/>
  <c r="AQ8" i="134" l="1"/>
  <c r="DO37" i="131"/>
  <c r="AB17" i="115"/>
  <c r="CS25" i="115"/>
  <c r="AF20" i="126"/>
  <c r="AF25" i="126" s="1"/>
  <c r="AF14" i="126" s="1"/>
  <c r="AD33" i="122"/>
  <c r="X14" i="134"/>
  <c r="AP14" i="134" s="1"/>
  <c r="CR14" i="115"/>
  <c r="CS14" i="115" s="1"/>
  <c r="Z8" i="134"/>
  <c r="AR8" i="134" s="1"/>
  <c r="DX23" i="131"/>
  <c r="DP34" i="131"/>
  <c r="DT70" i="131"/>
  <c r="DT57" i="131"/>
  <c r="DT50" i="131"/>
  <c r="DX44" i="131"/>
  <c r="DO29" i="131"/>
  <c r="DP23" i="131"/>
  <c r="DP16" i="131"/>
  <c r="DP37" i="131" s="1"/>
  <c r="DP57" i="131"/>
  <c r="AE15" i="126"/>
  <c r="AE27" i="122" s="1"/>
  <c r="AE20" i="122" s="1"/>
  <c r="AK62" i="5"/>
  <c r="AK64" i="5" s="1"/>
  <c r="AK66" i="5" s="1"/>
  <c r="AK30" i="5"/>
  <c r="AK136" i="5" s="1"/>
  <c r="AK140" i="5" s="1"/>
  <c r="Y14" i="134" l="1"/>
  <c r="AH14" i="134"/>
  <c r="DX57" i="131"/>
  <c r="DX70" i="131"/>
  <c r="DP29" i="131"/>
  <c r="AF15" i="126"/>
  <c r="AF27" i="122" s="1"/>
  <c r="AF20" i="122" s="1"/>
  <c r="AE33" i="122"/>
  <c r="CN23" i="115"/>
  <c r="AK70" i="5"/>
  <c r="AK68" i="5"/>
  <c r="AK69" i="5"/>
  <c r="Z14" i="134" l="1"/>
  <c r="AI14" i="134"/>
  <c r="AQ14" i="134"/>
  <c r="AF33" i="122"/>
  <c r="CR23" i="115"/>
  <c r="CN24" i="115"/>
  <c r="CO24" i="115" s="1"/>
  <c r="CO23" i="115"/>
  <c r="AK26" i="5"/>
  <c r="AK87" i="5"/>
  <c r="AK71" i="5"/>
  <c r="AK72" i="5"/>
  <c r="AR14" i="134" l="1"/>
  <c r="CR24" i="115"/>
  <c r="CS24" i="115" s="1"/>
  <c r="CS23" i="115"/>
  <c r="AK151" i="5"/>
  <c r="AK152" i="5" l="1"/>
  <c r="AK150" i="5"/>
  <c r="AL77" i="5" l="1"/>
  <c r="AL75" i="5"/>
  <c r="AL76" i="5" l="1"/>
  <c r="AM77" i="5"/>
  <c r="AM75" i="5"/>
  <c r="AN77" i="5" l="1"/>
  <c r="AN75" i="5"/>
  <c r="AM76" i="5"/>
  <c r="AN76" i="5" l="1"/>
  <c r="AL74" i="5" l="1"/>
  <c r="AL73" i="5"/>
  <c r="AL24" i="5"/>
  <c r="AL147" i="5" l="1"/>
  <c r="AM73" i="5"/>
  <c r="AM74" i="5"/>
  <c r="AM24" i="5"/>
  <c r="AL151" i="5" l="1"/>
  <c r="AL150" i="5" s="1"/>
  <c r="AM147" i="5" l="1"/>
  <c r="AN147" i="5"/>
  <c r="AM151" i="5" l="1"/>
  <c r="AM150" i="5" s="1"/>
  <c r="AN151" i="5"/>
  <c r="AN150" i="5" s="1"/>
  <c r="AL95" i="5" l="1"/>
  <c r="AN24" i="5" l="1"/>
  <c r="AN74" i="5"/>
  <c r="AN73" i="5"/>
  <c r="AL47" i="5" l="1"/>
  <c r="AL31" i="5" l="1"/>
  <c r="AL92" i="5"/>
  <c r="AL32" i="5" l="1"/>
  <c r="AL138" i="5"/>
  <c r="AL62" i="5"/>
  <c r="AL87" i="5" l="1"/>
  <c r="AL30" i="5"/>
  <c r="AL136" i="5" s="1"/>
  <c r="AL91" i="5"/>
  <c r="AL52" i="5"/>
  <c r="AL142" i="5"/>
  <c r="AL53" i="5"/>
  <c r="AL97" i="5"/>
  <c r="AL96" i="5" s="1"/>
  <c r="AL105" i="5"/>
  <c r="AL139" i="5" l="1"/>
  <c r="AL100" i="5"/>
  <c r="AL108" i="5"/>
  <c r="AL146" i="5"/>
  <c r="AL145" i="5" s="1"/>
  <c r="AL26" i="5"/>
  <c r="AL98" i="5" l="1"/>
  <c r="AL99" i="5" s="1"/>
  <c r="AL25" i="5"/>
  <c r="AL51" i="5" s="1"/>
  <c r="AL112" i="5" l="1"/>
  <c r="AL54" i="5"/>
  <c r="AL61" i="5" s="1"/>
  <c r="AL64" i="5" s="1"/>
  <c r="AL66" i="5" s="1"/>
  <c r="AL70" i="5" l="1"/>
  <c r="AL69" i="5"/>
  <c r="AL68" i="5"/>
  <c r="AL71" i="5" l="1"/>
  <c r="AL72" i="5"/>
  <c r="AL141" i="5" l="1"/>
  <c r="AL140" i="5" s="1"/>
  <c r="AL114" i="5" l="1"/>
  <c r="AL116" i="5" s="1"/>
  <c r="AL34" i="5" l="1"/>
  <c r="AL23" i="5"/>
  <c r="AL118" i="5" s="1"/>
  <c r="AL117" i="5"/>
  <c r="AL90" i="5" l="1"/>
  <c r="AL153" i="5" s="1"/>
  <c r="AL152" i="5" s="1"/>
  <c r="AL94" i="5" l="1"/>
  <c r="AL29" i="5"/>
  <c r="AL121" i="5"/>
  <c r="AL104" i="5" l="1"/>
  <c r="AL93" i="5"/>
  <c r="AL103" i="5" l="1"/>
  <c r="AL119" i="5"/>
  <c r="AL33" i="5" l="1"/>
  <c r="AL43" i="5"/>
  <c r="AL46" i="5" s="1"/>
  <c r="AL49" i="5" l="1"/>
  <c r="AL50" i="5"/>
  <c r="AM47" i="5" l="1"/>
  <c r="AM33" i="5" l="1"/>
  <c r="AM43" i="5"/>
  <c r="AM92" i="5" l="1"/>
  <c r="AM138" i="5" l="1"/>
  <c r="AM53" i="5" l="1"/>
  <c r="AM31" i="5"/>
  <c r="AM91" i="5"/>
  <c r="AM95" i="5"/>
  <c r="AM97" i="5"/>
  <c r="AM52" i="5"/>
  <c r="AM142" i="5"/>
  <c r="AM105" i="5"/>
  <c r="AM139" i="5" l="1"/>
  <c r="AM96" i="5"/>
  <c r="AM32" i="5"/>
  <c r="AM146" i="5"/>
  <c r="AM145" i="5" s="1"/>
  <c r="AM100" i="5"/>
  <c r="AM108" i="5"/>
  <c r="AM112" i="5" s="1"/>
  <c r="AM62" i="5" l="1"/>
  <c r="AM25" i="5"/>
  <c r="AM51" i="5" s="1"/>
  <c r="AM98" i="5"/>
  <c r="AM99" i="5" s="1"/>
  <c r="AM87" i="5" l="1"/>
  <c r="AM30" i="5"/>
  <c r="AM136" i="5" s="1"/>
  <c r="AM46" i="5"/>
  <c r="AM54" i="5"/>
  <c r="AM61" i="5" s="1"/>
  <c r="AM64" i="5" s="1"/>
  <c r="AM66" i="5" s="1"/>
  <c r="AM26" i="5" l="1"/>
  <c r="AM70" i="5"/>
  <c r="AM69" i="5"/>
  <c r="AM68" i="5"/>
  <c r="AM50" i="5"/>
  <c r="AM49" i="5"/>
  <c r="AM71" i="5" l="1"/>
  <c r="AM72" i="5"/>
  <c r="AM141" i="5" l="1"/>
  <c r="AM140" i="5" s="1"/>
  <c r="AM114" i="5" l="1"/>
  <c r="AM116" i="5" s="1"/>
  <c r="AM23" i="5" l="1"/>
  <c r="AM118" i="5" s="1"/>
  <c r="AM34" i="5"/>
  <c r="AM117" i="5"/>
  <c r="AM90" i="5" l="1"/>
  <c r="AM153" i="5" s="1"/>
  <c r="AM152" i="5" s="1"/>
  <c r="AM121" i="5" l="1"/>
  <c r="AM29" i="5"/>
  <c r="AM94" i="5"/>
  <c r="AM93" i="5" l="1"/>
  <c r="AM104" i="5"/>
  <c r="AM103" i="5" l="1"/>
  <c r="AM119" i="5"/>
  <c r="AN47" i="5" l="1"/>
  <c r="AN33" i="5" l="1"/>
  <c r="AN43" i="5"/>
  <c r="AN95" i="5" l="1"/>
  <c r="AN91" i="5"/>
  <c r="AN92" i="5"/>
  <c r="AN138" i="5"/>
  <c r="AN97" i="5"/>
  <c r="AN52" i="5" l="1"/>
  <c r="AN142" i="5"/>
  <c r="AN53" i="5"/>
  <c r="AN105" i="5"/>
  <c r="AN96" i="5"/>
  <c r="AN139" i="5" l="1"/>
  <c r="AN100" i="5"/>
  <c r="AN146" i="5"/>
  <c r="AN145" i="5" s="1"/>
  <c r="AN108" i="5"/>
  <c r="AN112" i="5" s="1"/>
  <c r="AN98" i="5"/>
  <c r="AN99" i="5" l="1"/>
  <c r="AN31" i="5" l="1"/>
  <c r="AN32" i="5" l="1"/>
  <c r="AN25" i="5" l="1"/>
  <c r="AN51" i="5" s="1"/>
  <c r="AN30" i="5"/>
  <c r="AN136" i="5" s="1"/>
  <c r="AN62" i="5"/>
  <c r="AN87" i="5" l="1"/>
  <c r="AN46" i="5"/>
  <c r="AN54" i="5"/>
  <c r="AN61" i="5" s="1"/>
  <c r="AN64" i="5" s="1"/>
  <c r="AN66" i="5" s="1"/>
  <c r="AN26" i="5"/>
  <c r="AN70" i="5" l="1"/>
  <c r="AN68" i="5"/>
  <c r="AN69" i="5"/>
  <c r="AN49" i="5"/>
  <c r="AN50" i="5"/>
  <c r="AN71" i="5" l="1"/>
  <c r="AN72" i="5"/>
  <c r="AN114" i="5" l="1"/>
  <c r="AN116" i="5" s="1"/>
  <c r="AN141" i="5" l="1"/>
  <c r="AN140" i="5" s="1"/>
  <c r="AN23" i="5"/>
  <c r="AN118" i="5" s="1"/>
  <c r="AN117" i="5"/>
  <c r="AN34" i="5"/>
  <c r="AN90" i="5" l="1"/>
  <c r="AN153" i="5" s="1"/>
  <c r="AN152" i="5" s="1"/>
  <c r="AN94" i="5" l="1"/>
  <c r="AN29" i="5" l="1"/>
  <c r="AN121" i="5"/>
  <c r="AN93" i="5"/>
  <c r="AN104" i="5"/>
  <c r="AN103" i="5" l="1"/>
  <c r="AN119" i="5"/>
  <c r="M14" i="115" l="1"/>
  <c r="AY96" i="119" l="1"/>
  <c r="M23" i="115" l="1"/>
  <c r="M24" i="115" s="1"/>
  <c r="BE14" i="115" l="1"/>
  <c r="AZ14" i="115" l="1"/>
  <c r="BA14" i="115" s="1"/>
  <c r="BL14" i="115" l="1"/>
  <c r="BM14" i="115" s="1"/>
  <c r="CY67" i="115" l="1"/>
  <c r="CY68" i="115" s="1"/>
  <c r="DF68" i="115" s="1"/>
  <c r="AV23" i="115"/>
  <c r="BD23" i="115"/>
  <c r="DF67" i="115" l="1"/>
  <c r="AW23" i="115"/>
  <c r="AV24" i="115"/>
  <c r="AW24" i="115" s="1"/>
  <c r="BE23" i="115"/>
  <c r="BD24" i="115"/>
  <c r="BE24" i="115" s="1"/>
  <c r="M15" i="115" l="1"/>
  <c r="AY97" i="119"/>
  <c r="M25" i="115" l="1"/>
  <c r="M26" i="115" s="1"/>
  <c r="BE15" i="115" l="1"/>
  <c r="CY69" i="115" l="1"/>
  <c r="DF69" i="115" s="1"/>
  <c r="BD25" i="115"/>
  <c r="BE25" i="115" s="1"/>
  <c r="AV25" i="115"/>
  <c r="CX15" i="115" l="1"/>
  <c r="CY15" i="115" s="1"/>
  <c r="CJ15" i="115"/>
  <c r="CK15" i="115" s="1"/>
  <c r="CY70" i="115"/>
  <c r="DF70" i="115" s="1"/>
  <c r="AV26" i="115"/>
  <c r="AW26" i="115" s="1"/>
  <c r="AW25" i="115"/>
  <c r="BD26" i="115"/>
  <c r="BE26" i="115" s="1"/>
  <c r="K23" i="116" l="1"/>
  <c r="J22" i="116"/>
  <c r="J23" i="116" l="1"/>
  <c r="K22" i="116"/>
  <c r="F38" i="118" l="1"/>
  <c r="I38" i="118"/>
  <c r="E38" i="118"/>
  <c r="D38" i="118"/>
  <c r="C38" i="118"/>
  <c r="H38" i="118"/>
  <c r="G38" i="118"/>
  <c r="K17" i="116"/>
  <c r="J17" i="116"/>
  <c r="AI13" i="115" l="1"/>
  <c r="AJ13" i="115" l="1"/>
  <c r="AI17" i="115" l="1"/>
  <c r="AJ17" i="115" s="1"/>
  <c r="M43" i="115" l="1"/>
  <c r="CF43" i="115" l="1"/>
  <c r="AC13" i="115" l="1"/>
  <c r="AY95" i="119"/>
  <c r="M13" i="115"/>
  <c r="M21" i="115" l="1"/>
  <c r="M22" i="115" s="1"/>
  <c r="M17" i="115"/>
  <c r="AY99" i="119"/>
  <c r="L9" i="116"/>
  <c r="M28" i="115" l="1"/>
  <c r="M30" i="115" s="1"/>
  <c r="J5" i="118"/>
  <c r="J7" i="118"/>
  <c r="J6" i="118"/>
  <c r="J8" i="118" l="1"/>
  <c r="J9" i="118" l="1"/>
  <c r="L30" i="116" l="1"/>
  <c r="M32" i="115" l="1"/>
  <c r="M34" i="115" s="1"/>
  <c r="AY109" i="119" l="1"/>
  <c r="AY116" i="119" l="1"/>
  <c r="J35" i="118" l="1"/>
  <c r="L4" i="116"/>
  <c r="J36" i="118" l="1"/>
  <c r="L5" i="116"/>
  <c r="L26" i="116" s="1"/>
  <c r="L15" i="116"/>
  <c r="L18" i="116" s="1"/>
  <c r="M4" i="116"/>
  <c r="K35" i="118"/>
  <c r="L29" i="116" l="1"/>
  <c r="J38" i="118"/>
  <c r="K36" i="118"/>
  <c r="M5" i="116"/>
  <c r="M26" i="116" s="1"/>
  <c r="L17" i="116"/>
  <c r="M29" i="116" l="1"/>
  <c r="L13" i="116"/>
  <c r="J37" i="118"/>
  <c r="L19" i="116" l="1"/>
  <c r="L38" i="116" l="1"/>
  <c r="L23" i="116" l="1"/>
  <c r="L6" i="116"/>
  <c r="L21" i="116" s="1"/>
  <c r="L24" i="116" l="1"/>
  <c r="L20" i="116"/>
  <c r="L22" i="116"/>
  <c r="AC17" i="115" l="1"/>
  <c r="BR15" i="115" l="1"/>
  <c r="BL15" i="115" l="1"/>
  <c r="BM15" i="115" s="1"/>
  <c r="CB15" i="115"/>
  <c r="CC15" i="115" s="1"/>
  <c r="CF15" i="115"/>
  <c r="CG15" i="115" s="1"/>
  <c r="AZ15" i="115"/>
  <c r="BA15" i="115" s="1"/>
  <c r="BX15" i="115"/>
  <c r="BY15" i="115" s="1"/>
  <c r="BS15" i="115" l="1"/>
  <c r="DA61" i="115"/>
  <c r="DE61" i="115" l="1"/>
  <c r="DC61" i="115"/>
  <c r="BR25" i="115" l="1"/>
  <c r="BX25" i="115"/>
  <c r="BY25" i="115" s="1"/>
  <c r="BS25" i="115" l="1"/>
  <c r="BR26" i="115"/>
  <c r="DA70" i="115" s="1"/>
  <c r="AZ25" i="115"/>
  <c r="DA69" i="115"/>
  <c r="DC69" i="115" s="1"/>
  <c r="BX26" i="115"/>
  <c r="BY26" i="115" s="1"/>
  <c r="BS26" i="115" l="1"/>
  <c r="DE69" i="115"/>
  <c r="AZ26" i="115"/>
  <c r="BA26" i="115" s="1"/>
  <c r="BA25" i="115"/>
  <c r="DE70" i="115"/>
  <c r="DC70" i="115"/>
  <c r="CB25" i="115"/>
  <c r="CX25" i="115" l="1"/>
  <c r="CB26" i="115"/>
  <c r="CC26" i="115" s="1"/>
  <c r="CF25" i="115"/>
  <c r="CF26" i="115" s="1"/>
  <c r="CG26" i="115" s="1"/>
  <c r="CC25" i="115"/>
  <c r="CX26" i="115" l="1"/>
  <c r="CY26" i="115" s="1"/>
  <c r="CY25" i="115"/>
  <c r="CG25" i="115"/>
  <c r="CJ25" i="115"/>
  <c r="CJ26" i="115" l="1"/>
  <c r="CK26" i="115" s="1"/>
  <c r="CK25" i="115"/>
  <c r="O66" i="116"/>
  <c r="L35" i="118"/>
  <c r="N4" i="116"/>
  <c r="L36" i="118" l="1"/>
  <c r="N5" i="116"/>
  <c r="N26" i="116" s="1"/>
  <c r="N29" i="116" s="1"/>
  <c r="O4" i="116" l="1"/>
  <c r="O5" i="116" s="1"/>
  <c r="O26" i="116" s="1"/>
  <c r="M35" i="118"/>
  <c r="AA43" i="124"/>
  <c r="AA117" i="122"/>
  <c r="B12" i="128" l="1"/>
  <c r="M73" i="118"/>
  <c r="AA50" i="123"/>
  <c r="AA49" i="124"/>
  <c r="M36" i="118"/>
  <c r="N35" i="118"/>
  <c r="P4" i="116"/>
  <c r="P5" i="116" s="1"/>
  <c r="P26" i="116" s="1"/>
  <c r="AB117" i="122"/>
  <c r="D19" i="116"/>
  <c r="M139" i="118" l="1"/>
  <c r="AA48" i="124"/>
  <c r="M76" i="118"/>
  <c r="M75" i="118" s="1"/>
  <c r="C12" i="128"/>
  <c r="D44" i="133" s="1"/>
  <c r="O35" i="118"/>
  <c r="Q4" i="116"/>
  <c r="Q5" i="116" s="1"/>
  <c r="Q26" i="116" s="1"/>
  <c r="N36" i="118"/>
  <c r="AC117" i="122"/>
  <c r="D12" i="128" l="1"/>
  <c r="R4" i="116"/>
  <c r="R5" i="116" s="1"/>
  <c r="R26" i="116" s="1"/>
  <c r="AD117" i="122"/>
  <c r="O36" i="118"/>
  <c r="P35" i="118"/>
  <c r="E12" i="128" l="1"/>
  <c r="C33" i="129" s="1"/>
  <c r="S4" i="116"/>
  <c r="S5" i="116" s="1"/>
  <c r="S26" i="116" s="1"/>
  <c r="Q35" i="118"/>
  <c r="P36" i="118"/>
  <c r="AE117" i="122"/>
  <c r="F12" i="128" l="1"/>
  <c r="AF117" i="122"/>
  <c r="R36" i="118" s="1"/>
  <c r="T4" i="116"/>
  <c r="T5" i="116" s="1"/>
  <c r="T26" i="116" s="1"/>
  <c r="Q36" i="118"/>
  <c r="G12" i="128" l="1"/>
  <c r="AI25" i="115"/>
  <c r="AJ25" i="115" s="1"/>
  <c r="AI26" i="115" l="1"/>
  <c r="AJ26" i="115" s="1"/>
  <c r="BL25" i="115" l="1"/>
  <c r="BL26" i="115" s="1"/>
  <c r="BM26" i="115" s="1"/>
  <c r="BM25" i="115" l="1"/>
  <c r="T66" i="119" l="1"/>
  <c r="U66" i="119"/>
  <c r="T81" i="119" l="1"/>
  <c r="U81" i="119"/>
  <c r="BI14" i="115" l="1"/>
  <c r="BR43" i="115" l="1"/>
  <c r="BX43" i="115" l="1"/>
  <c r="AZ43" i="115"/>
  <c r="AV43" i="115"/>
  <c r="BD43" i="115"/>
  <c r="CB43" i="115"/>
  <c r="BE42" i="115" l="1"/>
  <c r="BE13" i="115" l="1"/>
  <c r="BE17" i="115" l="1"/>
  <c r="M9" i="116"/>
  <c r="K6" i="118" l="1"/>
  <c r="K7" i="118"/>
  <c r="K5" i="118"/>
  <c r="AY101" i="119" l="1"/>
  <c r="CY65" i="115"/>
  <c r="DF65" i="115" s="1"/>
  <c r="BD21" i="115"/>
  <c r="AV21" i="115"/>
  <c r="AR17" i="115"/>
  <c r="K8" i="118"/>
  <c r="AY102" i="119" l="1"/>
  <c r="CY66" i="115"/>
  <c r="DF66" i="115" s="1"/>
  <c r="CY72" i="115"/>
  <c r="CY73" i="115" s="1"/>
  <c r="DF73" i="115" s="1"/>
  <c r="AW21" i="115"/>
  <c r="AV22" i="115"/>
  <c r="AW22" i="115" s="1"/>
  <c r="AV28" i="115"/>
  <c r="BD28" i="115"/>
  <c r="BD22" i="115"/>
  <c r="BE22" i="115" s="1"/>
  <c r="BE21" i="115"/>
  <c r="DF72" i="115" l="1"/>
  <c r="AV30" i="115"/>
  <c r="AW30" i="115" s="1"/>
  <c r="AW28" i="115"/>
  <c r="BE28" i="115"/>
  <c r="BD30" i="115"/>
  <c r="BE30" i="115" s="1"/>
  <c r="M30" i="116" l="1"/>
  <c r="K9" i="118"/>
  <c r="K38" i="118" l="1"/>
  <c r="M17" i="116"/>
  <c r="BE40" i="115" l="1"/>
  <c r="K37" i="118"/>
  <c r="M13" i="116"/>
  <c r="M19" i="116" l="1"/>
  <c r="BD32" i="115" l="1"/>
  <c r="CY74" i="115"/>
  <c r="DF74" i="115" s="1"/>
  <c r="AV32" i="115"/>
  <c r="AW32" i="115" l="1"/>
  <c r="AV34" i="115"/>
  <c r="AW34" i="115" s="1"/>
  <c r="M15" i="116" l="1"/>
  <c r="M18" i="116" s="1"/>
  <c r="BE32" i="115"/>
  <c r="BD34" i="115"/>
  <c r="BE34" i="115" s="1"/>
  <c r="AZ42" i="115" l="1"/>
  <c r="BA42" i="115" s="1"/>
  <c r="M38" i="116" l="1"/>
  <c r="M23" i="116" l="1"/>
  <c r="M6" i="116"/>
  <c r="M21" i="116" s="1"/>
  <c r="CX42" i="115" l="1"/>
  <c r="AQ113" i="119"/>
  <c r="M22" i="116"/>
  <c r="M20" i="116"/>
  <c r="M24" i="116"/>
  <c r="L42" i="115" l="1"/>
  <c r="J42" i="115"/>
  <c r="K42" i="115"/>
  <c r="AY114" i="119"/>
  <c r="AU113" i="119"/>
  <c r="BG113" i="119"/>
  <c r="AI19" i="119" s="1"/>
  <c r="L5" i="118" l="1"/>
  <c r="L6" i="118"/>
  <c r="L7" i="118"/>
  <c r="L8" i="118" l="1"/>
  <c r="N30" i="116" l="1"/>
  <c r="L9" i="118"/>
  <c r="AZ40" i="115" l="1"/>
  <c r="BA40" i="115" s="1"/>
  <c r="L37" i="118"/>
  <c r="N13" i="116"/>
  <c r="N19" i="116" l="1"/>
  <c r="AI32" i="115" l="1"/>
  <c r="AJ32" i="115" s="1"/>
  <c r="AZ32" i="115"/>
  <c r="BA32" i="115" l="1"/>
  <c r="N15" i="116"/>
  <c r="N18" i="116" s="1"/>
  <c r="BL32" i="115" l="1"/>
  <c r="BM32" i="115" s="1"/>
  <c r="N38" i="116" l="1"/>
  <c r="N6" i="116" l="1"/>
  <c r="AI21" i="115" l="1"/>
  <c r="AI22" i="115" l="1"/>
  <c r="AJ22" i="115" s="1"/>
  <c r="AJ21" i="115"/>
  <c r="AI28" i="115" l="1"/>
  <c r="AJ28" i="115" s="1"/>
  <c r="AI34" i="115" l="1"/>
  <c r="AJ34" i="115" s="1"/>
  <c r="AI30" i="115"/>
  <c r="AJ30" i="115" s="1"/>
  <c r="BI13" i="115" l="1"/>
  <c r="BI17" i="115" l="1"/>
  <c r="DX71" i="115" l="1"/>
  <c r="U64" i="119" l="1"/>
  <c r="T64" i="119"/>
  <c r="T63" i="119"/>
  <c r="U63" i="119"/>
  <c r="U65" i="119"/>
  <c r="T65" i="119"/>
  <c r="T67" i="119" l="1"/>
  <c r="U67" i="119"/>
  <c r="H4" i="120" l="1"/>
  <c r="D10" i="120" l="1"/>
  <c r="E10" i="120" s="1"/>
  <c r="H3" i="120"/>
  <c r="H46" i="119" l="1"/>
  <c r="G46" i="119"/>
  <c r="H75" i="119" l="1"/>
  <c r="H73" i="119"/>
  <c r="H71" i="119"/>
  <c r="H77" i="119" l="1"/>
  <c r="DX62" i="115"/>
  <c r="AV98" i="119" l="1"/>
  <c r="AX98" i="119"/>
  <c r="AW98" i="119"/>
  <c r="T79" i="119" l="1"/>
  <c r="U79" i="119"/>
  <c r="M35" i="119" l="1"/>
  <c r="T35" i="119" s="1"/>
  <c r="P35" i="119"/>
  <c r="U35" i="119" s="1"/>
  <c r="M85" i="119"/>
  <c r="Q35" i="119" l="1"/>
  <c r="H85" i="119"/>
  <c r="S85" i="119"/>
  <c r="I85" i="119"/>
  <c r="N85" i="119" s="1"/>
  <c r="E21" i="119" l="1"/>
  <c r="G21" i="119"/>
  <c r="F21" i="119"/>
  <c r="G52" i="119"/>
  <c r="J21" i="119" l="1"/>
  <c r="AB21" i="119"/>
  <c r="H52" i="119"/>
  <c r="S52" i="119"/>
  <c r="I52" i="119"/>
  <c r="H21" i="119"/>
  <c r="S21" i="119"/>
  <c r="I21" i="119"/>
  <c r="P19" i="119" l="1"/>
  <c r="P21" i="119" s="1"/>
  <c r="U21" i="119" s="1"/>
  <c r="K21" i="119"/>
  <c r="DX60" i="115" l="1"/>
  <c r="AV96" i="119" l="1"/>
  <c r="AW96" i="119"/>
  <c r="AX96" i="119"/>
  <c r="AW126" i="119" l="1"/>
  <c r="AX126" i="119"/>
  <c r="AV126" i="119"/>
  <c r="U33" i="119"/>
  <c r="T33" i="119"/>
  <c r="AY133" i="119" l="1"/>
  <c r="U72" i="119"/>
  <c r="T72" i="119"/>
  <c r="AY134" i="119" l="1"/>
  <c r="T73" i="119"/>
  <c r="U73" i="119"/>
  <c r="AV103" i="119"/>
  <c r="AW103" i="119"/>
  <c r="N42" i="119"/>
  <c r="N41" i="119"/>
  <c r="AV104" i="119"/>
  <c r="AW104" i="119"/>
  <c r="DX67" i="115"/>
  <c r="DN68" i="115"/>
  <c r="DX68" i="115" s="1"/>
  <c r="U41" i="119" l="1"/>
  <c r="T41" i="119"/>
  <c r="AW133" i="119"/>
  <c r="AV133" i="119"/>
  <c r="AX133" i="119"/>
  <c r="U42" i="119" l="1"/>
  <c r="T42" i="119"/>
  <c r="AX134" i="119"/>
  <c r="AW134" i="119"/>
  <c r="AV134" i="119"/>
  <c r="AY135" i="119" l="1"/>
  <c r="U74" i="119"/>
  <c r="T74" i="119"/>
  <c r="T75" i="119" l="1"/>
  <c r="U75" i="119"/>
  <c r="N43" i="119"/>
  <c r="N44" i="119"/>
  <c r="BG129" i="119" l="1"/>
  <c r="AU129" i="119"/>
  <c r="BE129" i="119" l="1"/>
  <c r="BB129" i="119"/>
  <c r="P85" i="119" l="1"/>
  <c r="Q85" i="119" l="1"/>
  <c r="AV116" i="119" l="1"/>
  <c r="AW116" i="119"/>
  <c r="AX116" i="119"/>
  <c r="DX61" i="115" l="1"/>
  <c r="AX127" i="119" l="1"/>
  <c r="AV127" i="119"/>
  <c r="AW127" i="119"/>
  <c r="AV97" i="119"/>
  <c r="AW97" i="119"/>
  <c r="AX97" i="119"/>
  <c r="U34" i="119"/>
  <c r="T34" i="119"/>
  <c r="DN70" i="115" l="1"/>
  <c r="DX70" i="115" s="1"/>
  <c r="DX69" i="115"/>
  <c r="AV106" i="119"/>
  <c r="AW106" i="119"/>
  <c r="AV105" i="119"/>
  <c r="AW105" i="119"/>
  <c r="AQ17" i="115" l="1"/>
  <c r="AS17" i="115" s="1"/>
  <c r="AY136" i="119" l="1"/>
  <c r="U43" i="119" l="1"/>
  <c r="T43" i="119"/>
  <c r="AW135" i="119"/>
  <c r="AV135" i="119"/>
  <c r="AX135" i="119"/>
  <c r="AX136" i="119" l="1"/>
  <c r="AW136" i="119"/>
  <c r="AV136" i="119"/>
  <c r="U44" i="119"/>
  <c r="T44" i="119"/>
  <c r="DW63" i="115" l="1"/>
  <c r="T84" i="119" l="1"/>
  <c r="U84" i="119"/>
  <c r="U85" i="119" l="1"/>
  <c r="T85" i="119"/>
  <c r="P52" i="119" l="1"/>
  <c r="AW114" i="119"/>
  <c r="AX114" i="119"/>
  <c r="AV114" i="119"/>
  <c r="Q52" i="119" l="1"/>
  <c r="N52" i="119"/>
  <c r="DX59" i="115"/>
  <c r="N36" i="119" l="1"/>
  <c r="AY129" i="119"/>
  <c r="DX63" i="115"/>
  <c r="AV95" i="119"/>
  <c r="AW95" i="119"/>
  <c r="BD99" i="119" l="1"/>
  <c r="AV99" i="119"/>
  <c r="AX99" i="119"/>
  <c r="T70" i="119" l="1"/>
  <c r="U70" i="119"/>
  <c r="AY131" i="119"/>
  <c r="T76" i="119" l="1"/>
  <c r="U76" i="119"/>
  <c r="N40" i="119"/>
  <c r="N39" i="119"/>
  <c r="T71" i="119"/>
  <c r="U71" i="119"/>
  <c r="T77" i="119" l="1"/>
  <c r="U77" i="119"/>
  <c r="N46" i="119" l="1"/>
  <c r="N45" i="119"/>
  <c r="AY132" i="119"/>
  <c r="DN66" i="115" l="1"/>
  <c r="DX66" i="115" s="1"/>
  <c r="DX65" i="115"/>
  <c r="AV101" i="119"/>
  <c r="AW101" i="119"/>
  <c r="AX101" i="119"/>
  <c r="AW102" i="119"/>
  <c r="AX102" i="119"/>
  <c r="AV102" i="119"/>
  <c r="DX72" i="115" l="1"/>
  <c r="DN73" i="115"/>
  <c r="DX73" i="115" s="1"/>
  <c r="DX74" i="115" l="1"/>
  <c r="U48" i="119" l="1"/>
  <c r="T48" i="119"/>
  <c r="AW139" i="119"/>
  <c r="BD139" i="119"/>
  <c r="AX139" i="119"/>
  <c r="AV139" i="119"/>
  <c r="AU141" i="119" l="1"/>
  <c r="AY141" i="119" s="1"/>
  <c r="L52" i="119"/>
  <c r="BK139" i="119"/>
  <c r="BG141" i="119" s="1"/>
  <c r="G4" i="120" l="1"/>
  <c r="BB141" i="119"/>
  <c r="BE141" i="119"/>
  <c r="U52" i="119"/>
  <c r="T52" i="119"/>
  <c r="D9" i="120" l="1"/>
  <c r="E9" i="120" s="1"/>
  <c r="D12" i="120" s="1"/>
  <c r="G3" i="120"/>
  <c r="J3" i="120" s="1"/>
  <c r="J4" i="120" s="1"/>
  <c r="D19" i="120" l="1"/>
  <c r="U51" i="119"/>
  <c r="AX141" i="119"/>
  <c r="AV141" i="119"/>
  <c r="AW141" i="119"/>
  <c r="BD141" i="119"/>
  <c r="U39" i="119"/>
  <c r="T39" i="119"/>
  <c r="BG137" i="119"/>
  <c r="AU137" i="119"/>
  <c r="AW131" i="119"/>
  <c r="AX131" i="119"/>
  <c r="AV131" i="119"/>
  <c r="AW137" i="119" l="1"/>
  <c r="AX137" i="119"/>
  <c r="AV137" i="119"/>
  <c r="U45" i="119"/>
  <c r="T45" i="119"/>
  <c r="AU138" i="119"/>
  <c r="AY138" i="119" s="1"/>
  <c r="AY137" i="119"/>
  <c r="BG138" i="119"/>
  <c r="BE137" i="119"/>
  <c r="BD137" i="119"/>
  <c r="BB137" i="119"/>
  <c r="BE138" i="119" l="1"/>
  <c r="BB138" i="119"/>
  <c r="T32" i="119" l="1"/>
  <c r="U32" i="119"/>
  <c r="AX125" i="119"/>
  <c r="AW125" i="119"/>
  <c r="AV125" i="119"/>
  <c r="AW132" i="119" l="1"/>
  <c r="AX132" i="119"/>
  <c r="AV132" i="119"/>
  <c r="U40" i="119"/>
  <c r="T40" i="119"/>
  <c r="U36" i="119"/>
  <c r="T36" i="119"/>
  <c r="AW129" i="119"/>
  <c r="AX129" i="119"/>
  <c r="AV129" i="119"/>
  <c r="BD129" i="119"/>
  <c r="AX138" i="119" l="1"/>
  <c r="AV138" i="119"/>
  <c r="AW138" i="119"/>
  <c r="BD138" i="119"/>
  <c r="U46" i="119"/>
  <c r="T46" i="119"/>
  <c r="BX44" i="115" l="1"/>
  <c r="CB45" i="115" s="1"/>
  <c r="BY44" i="115" l="1"/>
  <c r="BX45" i="115"/>
  <c r="CY42" i="115"/>
  <c r="BR42" i="115" l="1"/>
  <c r="DA76" i="115" l="1"/>
  <c r="BS42" i="115"/>
  <c r="BX42" i="115"/>
  <c r="BY42" i="115" s="1"/>
  <c r="CB42" i="115"/>
  <c r="CC42" i="115" s="1"/>
  <c r="DE76" i="115" l="1"/>
  <c r="DC76" i="115"/>
  <c r="CF42" i="115"/>
  <c r="CG42" i="115" s="1"/>
  <c r="CJ42" i="115" l="1"/>
  <c r="CK42" i="115" s="1"/>
  <c r="N20" i="119" l="1"/>
  <c r="Q20" i="119"/>
  <c r="Q21" i="119" l="1"/>
  <c r="T21" i="119"/>
  <c r="N21" i="119"/>
  <c r="W19" i="119"/>
  <c r="W17" i="119"/>
  <c r="AJ17" i="119" s="1"/>
  <c r="AG17" i="119" s="1"/>
  <c r="AA19" i="119" l="1"/>
  <c r="Z19" i="119"/>
  <c r="Z17" i="119"/>
  <c r="AE17" i="119" s="1"/>
  <c r="AA17" i="119"/>
  <c r="U16" i="119"/>
  <c r="Q23" i="119"/>
  <c r="U15" i="119"/>
  <c r="U17" i="119"/>
  <c r="U14" i="119"/>
  <c r="L21" i="119"/>
  <c r="AC17" i="119" l="1"/>
  <c r="AC19" i="119"/>
  <c r="AF17" i="119"/>
  <c r="AA14" i="119"/>
  <c r="Z21" i="119"/>
  <c r="AA21" i="119"/>
  <c r="T15" i="119"/>
  <c r="N15" i="119"/>
  <c r="Q15" i="119"/>
  <c r="T14" i="119"/>
  <c r="Q14" i="119"/>
  <c r="Q16" i="119"/>
  <c r="T16" i="119"/>
  <c r="N16" i="119"/>
  <c r="T17" i="119"/>
  <c r="N17" i="119"/>
  <c r="Q17" i="119"/>
  <c r="AC14" i="119" l="1"/>
  <c r="AC21" i="119"/>
  <c r="Q51" i="119"/>
  <c r="N51" i="119"/>
  <c r="T51" i="119"/>
  <c r="AZ13" i="115" l="1"/>
  <c r="BA13" i="115" s="1"/>
  <c r="BR13" i="115"/>
  <c r="BX13" i="115" l="1"/>
  <c r="BY13" i="115" s="1"/>
  <c r="BS13" i="115"/>
  <c r="DA59" i="115"/>
  <c r="BL13" i="115"/>
  <c r="BM13" i="115" s="1"/>
  <c r="CB13" i="115"/>
  <c r="CC13" i="115" s="1"/>
  <c r="AZ17" i="115"/>
  <c r="BA17" i="115" s="1"/>
  <c r="BR17" i="115"/>
  <c r="N9" i="116"/>
  <c r="N20" i="116" s="1"/>
  <c r="CX13" i="115" l="1"/>
  <c r="CY13" i="115" s="1"/>
  <c r="DE59" i="115"/>
  <c r="DC59" i="115"/>
  <c r="BL17" i="115"/>
  <c r="BM17" i="115" s="1"/>
  <c r="BS17" i="115"/>
  <c r="DA63" i="115"/>
  <c r="CF13" i="115"/>
  <c r="CG13" i="115" s="1"/>
  <c r="CJ13" i="115" l="1"/>
  <c r="CK13" i="115" s="1"/>
  <c r="DC63" i="115"/>
  <c r="DE63" i="115"/>
  <c r="AZ21" i="115" l="1"/>
  <c r="BR21" i="115"/>
  <c r="BL21" i="115"/>
  <c r="BX21" i="115" l="1"/>
  <c r="AZ22" i="115"/>
  <c r="BA22" i="115" s="1"/>
  <c r="BA21" i="115"/>
  <c r="BM21" i="115"/>
  <c r="BL22" i="115"/>
  <c r="BM22" i="115" s="1"/>
  <c r="DA65" i="115"/>
  <c r="BS21" i="115"/>
  <c r="BR22" i="115"/>
  <c r="CB21" i="115" l="1"/>
  <c r="DA66" i="115"/>
  <c r="BS22" i="115"/>
  <c r="BY21" i="115"/>
  <c r="BX22" i="115"/>
  <c r="BY22" i="115" s="1"/>
  <c r="DC65" i="115"/>
  <c r="DE65" i="115"/>
  <c r="CX21" i="115" l="1"/>
  <c r="CF21" i="115"/>
  <c r="DC66" i="115"/>
  <c r="DE66" i="115"/>
  <c r="CC21" i="115"/>
  <c r="CB22" i="115"/>
  <c r="CC22" i="115" s="1"/>
  <c r="CX22" i="115" l="1"/>
  <c r="CY22" i="115" s="1"/>
  <c r="CY21" i="115"/>
  <c r="CG21" i="115"/>
  <c r="CF22" i="115"/>
  <c r="CG22" i="115" s="1"/>
  <c r="CJ21" i="115"/>
  <c r="CK21" i="115" l="1"/>
  <c r="CJ22" i="115"/>
  <c r="CK22" i="115" s="1"/>
  <c r="BR14" i="115" l="1"/>
  <c r="AA164" i="122"/>
  <c r="DA60" i="115" l="1"/>
  <c r="BS14" i="115"/>
  <c r="BX14" i="115"/>
  <c r="BY14" i="115" s="1"/>
  <c r="AC164" i="122" l="1"/>
  <c r="DE60" i="115"/>
  <c r="DC60" i="115"/>
  <c r="CB14" i="115"/>
  <c r="CC14" i="115" s="1"/>
  <c r="AB164" i="122"/>
  <c r="CF14" i="115"/>
  <c r="CG14" i="115" s="1"/>
  <c r="AQ104" i="119" l="1"/>
  <c r="AY103" i="119"/>
  <c r="AX103" i="119"/>
  <c r="AZ23" i="115"/>
  <c r="BR23" i="115" l="1"/>
  <c r="DA67" i="115" s="1"/>
  <c r="AY104" i="119"/>
  <c r="AX104" i="119"/>
  <c r="BL23" i="115"/>
  <c r="BL24" i="115" s="1"/>
  <c r="BM24" i="115" s="1"/>
  <c r="AQ106" i="119"/>
  <c r="AY105" i="119"/>
  <c r="AX105" i="119"/>
  <c r="AZ28" i="115"/>
  <c r="BX23" i="115"/>
  <c r="CJ14" i="115"/>
  <c r="CK14" i="115" s="1"/>
  <c r="AD164" i="122"/>
  <c r="BA23" i="115"/>
  <c r="AZ24" i="115"/>
  <c r="BA24" i="115" s="1"/>
  <c r="CX14" i="115" l="1"/>
  <c r="CY14" i="115" s="1"/>
  <c r="BS23" i="115"/>
  <c r="BR24" i="115"/>
  <c r="DA68" i="115" s="1"/>
  <c r="AE164" i="122"/>
  <c r="BL28" i="115"/>
  <c r="BL30" i="115" s="1"/>
  <c r="BM30" i="115" s="1"/>
  <c r="BM23" i="115"/>
  <c r="AQ108" i="119"/>
  <c r="AY107" i="119"/>
  <c r="AY106" i="119"/>
  <c r="AX106" i="119"/>
  <c r="BA28" i="115"/>
  <c r="AZ34" i="115"/>
  <c r="BA34" i="115" s="1"/>
  <c r="AZ30" i="115"/>
  <c r="BA30" i="115" s="1"/>
  <c r="DE67" i="115"/>
  <c r="DC67" i="115"/>
  <c r="CB23" i="115"/>
  <c r="BX24" i="115"/>
  <c r="BY24" i="115" s="1"/>
  <c r="BY23" i="115"/>
  <c r="N24" i="116" l="1"/>
  <c r="N21" i="116"/>
  <c r="BS24" i="115"/>
  <c r="BL34" i="115"/>
  <c r="BM34" i="115" s="1"/>
  <c r="BM28" i="115"/>
  <c r="AY108" i="119"/>
  <c r="CB24" i="115"/>
  <c r="CC24" i="115" s="1"/>
  <c r="CC23" i="115"/>
  <c r="DE68" i="115"/>
  <c r="DC68" i="115"/>
  <c r="CF23" i="115"/>
  <c r="CJ23" i="115" l="1"/>
  <c r="CG23" i="115"/>
  <c r="CF24" i="115"/>
  <c r="CG24" i="115" s="1"/>
  <c r="N22" i="116"/>
  <c r="N23" i="116"/>
  <c r="L38" i="118" l="1"/>
  <c r="CX23" i="115"/>
  <c r="N17" i="116"/>
  <c r="CK23" i="115"/>
  <c r="CJ24" i="115"/>
  <c r="CK24" i="115" s="1"/>
  <c r="CX24" i="115" l="1"/>
  <c r="CY24" i="115" s="1"/>
  <c r="CY23" i="115"/>
  <c r="AI42" i="115" l="1"/>
  <c r="AJ42" i="115" s="1"/>
  <c r="BL42" i="115" l="1"/>
  <c r="BM42" i="115" s="1"/>
  <c r="BX16" i="115" l="1"/>
  <c r="BY16" i="115" s="1"/>
  <c r="O9" i="116"/>
  <c r="AA22" i="122"/>
  <c r="DQ47" i="131" s="1"/>
  <c r="DQ73" i="131" s="1"/>
  <c r="AA41" i="122"/>
  <c r="M4" i="118" s="1"/>
  <c r="AA16" i="122"/>
  <c r="AA39" i="122"/>
  <c r="AB8" i="122"/>
  <c r="DY13" i="131" s="1"/>
  <c r="BY17" i="115" l="1"/>
  <c r="BX18" i="115"/>
  <c r="DY26" i="131"/>
  <c r="DR13" i="131"/>
  <c r="DR26" i="131" s="1"/>
  <c r="DW13" i="131"/>
  <c r="DW26" i="131" s="1"/>
  <c r="DV13" i="131"/>
  <c r="DV26" i="131" s="1"/>
  <c r="DS13" i="131"/>
  <c r="DS26" i="131" s="1"/>
  <c r="DT13" i="131"/>
  <c r="DT26" i="131" s="1"/>
  <c r="DX13" i="131"/>
  <c r="DX26" i="131" s="1"/>
  <c r="DU13" i="131"/>
  <c r="DU26" i="131" s="1"/>
  <c r="AA23" i="122"/>
  <c r="AD16" i="134" s="1"/>
  <c r="AA166" i="122"/>
  <c r="AA175" i="122" s="1"/>
  <c r="AA165" i="122"/>
  <c r="AA170" i="122"/>
  <c r="AA171" i="122"/>
  <c r="AA173" i="122"/>
  <c r="M3" i="118"/>
  <c r="AB9" i="122"/>
  <c r="AB15" i="122"/>
  <c r="AA49" i="122"/>
  <c r="AA18" i="123" s="1"/>
  <c r="AA62" i="123"/>
  <c r="B2" i="128"/>
  <c r="AA20" i="123"/>
  <c r="CB16" i="115"/>
  <c r="CC16" i="115" s="1"/>
  <c r="AA27" i="124"/>
  <c r="AA62" i="122"/>
  <c r="M14" i="118" s="1"/>
  <c r="AA58" i="122"/>
  <c r="M12" i="118" s="1"/>
  <c r="AA53" i="122"/>
  <c r="M10" i="118" s="1"/>
  <c r="AA45" i="122"/>
  <c r="AA42" i="122"/>
  <c r="AA47" i="122"/>
  <c r="M7" i="118" s="1"/>
  <c r="AA60" i="122"/>
  <c r="M13" i="118" s="1"/>
  <c r="AA55" i="122"/>
  <c r="AA43" i="122"/>
  <c r="AA5" i="124"/>
  <c r="AA28" i="124"/>
  <c r="AA132" i="123" s="1"/>
  <c r="AA7" i="124"/>
  <c r="AC8" i="122"/>
  <c r="AC15" i="122" s="1"/>
  <c r="AA95" i="122"/>
  <c r="BX27" i="115"/>
  <c r="BY27" i="115" s="1"/>
  <c r="BR27" i="115"/>
  <c r="BS27" i="115" s="1"/>
  <c r="V10" i="134" l="1"/>
  <c r="AE10" i="134"/>
  <c r="AS107" i="119"/>
  <c r="AS108" i="119" s="1"/>
  <c r="U16" i="134"/>
  <c r="AM16" i="134" s="1"/>
  <c r="DQ50" i="131"/>
  <c r="DQ63" i="131" s="1"/>
  <c r="O11" i="116"/>
  <c r="AA57" i="122"/>
  <c r="AA191" i="122"/>
  <c r="AA133" i="123"/>
  <c r="AA190" i="122"/>
  <c r="BR28" i="115"/>
  <c r="BR30" i="115" s="1"/>
  <c r="AA29" i="122"/>
  <c r="AA35" i="122"/>
  <c r="DY16" i="131"/>
  <c r="BX28" i="115"/>
  <c r="M43" i="118"/>
  <c r="AA130" i="123"/>
  <c r="AB115" i="123"/>
  <c r="AB124" i="123"/>
  <c r="AB117" i="123"/>
  <c r="DL50" i="131"/>
  <c r="DL79" i="131" s="1"/>
  <c r="AB183" i="122"/>
  <c r="AB166" i="122" s="1"/>
  <c r="AA167" i="122"/>
  <c r="AA176" i="122" s="1"/>
  <c r="AA182" i="122"/>
  <c r="AA185" i="122" s="1"/>
  <c r="AA169" i="122"/>
  <c r="M59" i="118"/>
  <c r="M42" i="118"/>
  <c r="M6" i="118"/>
  <c r="M109" i="118"/>
  <c r="M11" i="118"/>
  <c r="AB22" i="122"/>
  <c r="AA59" i="123"/>
  <c r="M107" i="118"/>
  <c r="CB17" i="115"/>
  <c r="AB39" i="122"/>
  <c r="P9" i="116"/>
  <c r="AB16" i="122"/>
  <c r="AB41" i="122"/>
  <c r="N4" i="118" s="1"/>
  <c r="M8" i="118"/>
  <c r="AA40" i="123"/>
  <c r="AA60" i="123"/>
  <c r="AA80" i="123" s="1"/>
  <c r="AA18" i="124"/>
  <c r="AA83" i="123"/>
  <c r="AA82" i="123"/>
  <c r="M5" i="118"/>
  <c r="AA51" i="122"/>
  <c r="AA69" i="124"/>
  <c r="AA35" i="124"/>
  <c r="AA6" i="123"/>
  <c r="M29" i="118"/>
  <c r="AA15" i="124"/>
  <c r="M49" i="118" s="1"/>
  <c r="AA53" i="123"/>
  <c r="CF16" i="115"/>
  <c r="CG16" i="115" s="1"/>
  <c r="AC9" i="122"/>
  <c r="AD8" i="122"/>
  <c r="CR16" i="115" s="1"/>
  <c r="CS16" i="115" s="1"/>
  <c r="AA5" i="123"/>
  <c r="W10" i="134" l="1"/>
  <c r="AF10" i="134"/>
  <c r="AN10" i="134"/>
  <c r="AX107" i="119"/>
  <c r="AV107" i="119"/>
  <c r="AW107" i="119"/>
  <c r="BD107" i="119"/>
  <c r="BD108" i="119"/>
  <c r="AV108" i="119"/>
  <c r="AW108" i="119"/>
  <c r="AX108" i="119"/>
  <c r="DQ76" i="131"/>
  <c r="BX30" i="115"/>
  <c r="BY30" i="115" s="1"/>
  <c r="BX29" i="115"/>
  <c r="CC17" i="115"/>
  <c r="CB18" i="115"/>
  <c r="AA192" i="122"/>
  <c r="DQ78" i="131" s="1"/>
  <c r="DP78" i="131" s="1"/>
  <c r="DA72" i="115"/>
  <c r="DC72" i="115" s="1"/>
  <c r="BS28" i="115"/>
  <c r="BY28" i="115"/>
  <c r="DL76" i="131"/>
  <c r="DT76" i="131"/>
  <c r="DY29" i="131"/>
  <c r="DT16" i="131"/>
  <c r="DS16" i="131"/>
  <c r="DS29" i="131" s="1"/>
  <c r="DX16" i="131"/>
  <c r="DW16" i="131"/>
  <c r="DW29" i="131" s="1"/>
  <c r="DV16" i="131"/>
  <c r="DV29" i="131" s="1"/>
  <c r="DU16" i="131"/>
  <c r="DU29" i="131" s="1"/>
  <c r="DR16" i="131"/>
  <c r="DR29" i="131" s="1"/>
  <c r="CB27" i="115"/>
  <c r="CC27" i="115" s="1"/>
  <c r="DY47" i="131"/>
  <c r="DL63" i="131"/>
  <c r="AB175" i="122"/>
  <c r="DP47" i="131"/>
  <c r="AB119" i="123"/>
  <c r="AA134" i="123"/>
  <c r="AA131" i="123"/>
  <c r="AC183" i="122"/>
  <c r="AC166" i="122" s="1"/>
  <c r="AC117" i="123"/>
  <c r="AC124" i="123"/>
  <c r="AC115" i="123"/>
  <c r="AB62" i="123"/>
  <c r="AB82" i="123" s="1"/>
  <c r="AB170" i="122"/>
  <c r="AB171" i="122"/>
  <c r="AB165" i="122"/>
  <c r="AB173" i="122"/>
  <c r="AA168" i="122"/>
  <c r="AA177" i="122"/>
  <c r="AB23" i="122"/>
  <c r="M142" i="118"/>
  <c r="M51" i="118"/>
  <c r="M65" i="118"/>
  <c r="M64" i="118" s="1"/>
  <c r="N3" i="118"/>
  <c r="AA64" i="122"/>
  <c r="M94" i="118"/>
  <c r="AA106" i="123"/>
  <c r="M95" i="118"/>
  <c r="AA107" i="123"/>
  <c r="AB47" i="122"/>
  <c r="N7" i="118" s="1"/>
  <c r="AA66" i="123"/>
  <c r="AA81" i="123" s="1"/>
  <c r="AA19" i="124" s="1"/>
  <c r="M52" i="118" s="1"/>
  <c r="M129" i="118"/>
  <c r="AB20" i="123"/>
  <c r="C2" i="128"/>
  <c r="C3" i="128" s="1"/>
  <c r="AB95" i="122"/>
  <c r="AB7" i="124"/>
  <c r="AB43" i="122"/>
  <c r="AB62" i="122"/>
  <c r="N14" i="118" s="1"/>
  <c r="AB53" i="122"/>
  <c r="N10" i="118" s="1"/>
  <c r="AB58" i="122"/>
  <c r="N12" i="118" s="1"/>
  <c r="AB49" i="122"/>
  <c r="N8" i="118" s="1"/>
  <c r="AB45" i="122"/>
  <c r="AB42" i="122"/>
  <c r="AB5" i="124"/>
  <c r="AB60" i="122"/>
  <c r="N13" i="118" s="1"/>
  <c r="AB28" i="124"/>
  <c r="AB27" i="124"/>
  <c r="AB55" i="122"/>
  <c r="CN16" i="115"/>
  <c r="CO16" i="115" s="1"/>
  <c r="AD15" i="122"/>
  <c r="AA47" i="123"/>
  <c r="AA64" i="123"/>
  <c r="AB83" i="123"/>
  <c r="AA14" i="123"/>
  <c r="Q9" i="116"/>
  <c r="AC16" i="122"/>
  <c r="CF17" i="115"/>
  <c r="AC39" i="122"/>
  <c r="AC41" i="122"/>
  <c r="O4" i="118" s="1"/>
  <c r="AA52" i="122"/>
  <c r="M9" i="118"/>
  <c r="AA34" i="124"/>
  <c r="DA73" i="115"/>
  <c r="BS30" i="115"/>
  <c r="AC22" i="122"/>
  <c r="CJ16" i="115"/>
  <c r="CK16" i="115" s="1"/>
  <c r="CX16" i="115"/>
  <c r="CY16" i="115" s="1"/>
  <c r="AE8" i="122"/>
  <c r="AE15" i="122" s="1"/>
  <c r="AD9" i="122"/>
  <c r="X10" i="134" l="1"/>
  <c r="AG10" i="134"/>
  <c r="V16" i="134"/>
  <c r="AE16" i="134"/>
  <c r="DE72" i="115"/>
  <c r="AO10" i="134"/>
  <c r="CG17" i="115"/>
  <c r="CF18" i="115"/>
  <c r="AA22" i="124"/>
  <c r="AB29" i="122"/>
  <c r="P11" i="116"/>
  <c r="DQ79" i="131"/>
  <c r="AB57" i="122"/>
  <c r="AB191" i="122"/>
  <c r="AB190" i="122"/>
  <c r="DY73" i="131"/>
  <c r="DX47" i="131"/>
  <c r="DX73" i="131" s="1"/>
  <c r="DX29" i="131"/>
  <c r="DY50" i="131"/>
  <c r="DT29" i="131"/>
  <c r="DT63" i="131"/>
  <c r="DP50" i="131"/>
  <c r="DP73" i="131"/>
  <c r="AA70" i="122"/>
  <c r="M15" i="118"/>
  <c r="AA73" i="122"/>
  <c r="M19" i="118" s="1"/>
  <c r="AB35" i="122"/>
  <c r="CB28" i="115"/>
  <c r="AB169" i="122"/>
  <c r="AB177" i="122" s="1"/>
  <c r="AB133" i="123"/>
  <c r="AC119" i="123"/>
  <c r="AD183" i="122"/>
  <c r="AD166" i="122" s="1"/>
  <c r="AD124" i="123"/>
  <c r="AD115" i="123"/>
  <c r="AD117" i="123"/>
  <c r="AB132" i="123"/>
  <c r="AB130" i="123"/>
  <c r="AC175" i="122"/>
  <c r="AB167" i="122"/>
  <c r="AB176" i="122" s="1"/>
  <c r="AB182" i="122"/>
  <c r="AB185" i="122" s="1"/>
  <c r="AA65" i="122"/>
  <c r="AC165" i="122"/>
  <c r="AC171" i="122"/>
  <c r="AC170" i="122"/>
  <c r="AC173" i="122"/>
  <c r="AA72" i="123"/>
  <c r="AA71" i="123"/>
  <c r="AA73" i="123" s="1"/>
  <c r="AA74" i="123" s="1"/>
  <c r="M103" i="118"/>
  <c r="M102" i="118" s="1"/>
  <c r="N11" i="118"/>
  <c r="N6" i="118"/>
  <c r="N5" i="118"/>
  <c r="AB15" i="124"/>
  <c r="N49" i="118" s="1"/>
  <c r="M136" i="118"/>
  <c r="M135" i="118" s="1"/>
  <c r="AA109" i="123"/>
  <c r="AB53" i="123"/>
  <c r="N29" i="118"/>
  <c r="AB69" i="124"/>
  <c r="C10" i="133" s="1"/>
  <c r="N59" i="118"/>
  <c r="AB60" i="123"/>
  <c r="AB80" i="123" s="1"/>
  <c r="N109" i="118"/>
  <c r="N42" i="118"/>
  <c r="N43" i="118"/>
  <c r="AB5" i="123"/>
  <c r="AB18" i="123"/>
  <c r="AB35" i="124"/>
  <c r="AB40" i="123"/>
  <c r="AB6" i="123"/>
  <c r="AB51" i="122"/>
  <c r="AC20" i="123"/>
  <c r="O3" i="118"/>
  <c r="AC62" i="123"/>
  <c r="R9" i="116"/>
  <c r="CJ17" i="115"/>
  <c r="CJ18" i="115" s="1"/>
  <c r="AD16" i="122"/>
  <c r="AD39" i="122"/>
  <c r="AD41" i="122"/>
  <c r="P4" i="118" s="1"/>
  <c r="AE9" i="122"/>
  <c r="AF8" i="122"/>
  <c r="AF15" i="122" s="1"/>
  <c r="DE73" i="115"/>
  <c r="DC73" i="115"/>
  <c r="AC55" i="122"/>
  <c r="AC27" i="124"/>
  <c r="AC45" i="122"/>
  <c r="AC58" i="122"/>
  <c r="O12" i="118" s="1"/>
  <c r="AC42" i="122"/>
  <c r="AC7" i="124"/>
  <c r="AC60" i="122"/>
  <c r="O13" i="118" s="1"/>
  <c r="AC43" i="122"/>
  <c r="AC62" i="122"/>
  <c r="O14" i="118" s="1"/>
  <c r="AC47" i="122"/>
  <c r="O7" i="118" s="1"/>
  <c r="AC53" i="122"/>
  <c r="O10" i="118" s="1"/>
  <c r="AC5" i="124"/>
  <c r="AC49" i="122"/>
  <c r="AC28" i="124"/>
  <c r="CF27" i="115"/>
  <c r="CG27" i="115" s="1"/>
  <c r="AD22" i="122"/>
  <c r="AC23" i="122"/>
  <c r="AF16" i="134" s="1"/>
  <c r="AC95" i="122"/>
  <c r="D2" i="128"/>
  <c r="D3" i="128" s="1"/>
  <c r="Y10" i="134" l="1"/>
  <c r="AH10" i="134"/>
  <c r="AN16" i="134"/>
  <c r="AP10" i="134"/>
  <c r="Q11" i="116"/>
  <c r="W16" i="134"/>
  <c r="AO16" i="134" s="1"/>
  <c r="CB30" i="115"/>
  <c r="CC30" i="115" s="1"/>
  <c r="CB29" i="115"/>
  <c r="AA71" i="122"/>
  <c r="AC57" i="122"/>
  <c r="AB192" i="122"/>
  <c r="AC190" i="122"/>
  <c r="AC191" i="122"/>
  <c r="DP79" i="131"/>
  <c r="M17" i="118"/>
  <c r="AA189" i="122"/>
  <c r="AA193" i="122" s="1"/>
  <c r="O10" i="116" s="1"/>
  <c r="AA74" i="122"/>
  <c r="DX50" i="131"/>
  <c r="DX63" i="131" s="1"/>
  <c r="DY76" i="131"/>
  <c r="DY63" i="131"/>
  <c r="AA102" i="123"/>
  <c r="DP63" i="131"/>
  <c r="DP76" i="131"/>
  <c r="CC28" i="115"/>
  <c r="AB168" i="122"/>
  <c r="AC169" i="122"/>
  <c r="AC177" i="122" s="1"/>
  <c r="AE124" i="123"/>
  <c r="AE115" i="123"/>
  <c r="AE117" i="123"/>
  <c r="AB134" i="123"/>
  <c r="AC132" i="123"/>
  <c r="O43" i="118"/>
  <c r="AC133" i="123"/>
  <c r="AC130" i="123"/>
  <c r="AB131" i="123"/>
  <c r="AD119" i="123"/>
  <c r="AD175" i="122"/>
  <c r="AC167" i="122"/>
  <c r="AC176" i="122" s="1"/>
  <c r="AC182" i="122"/>
  <c r="AC185" i="122" s="1"/>
  <c r="CN17" i="115"/>
  <c r="AE183" i="122"/>
  <c r="AE166" i="122" s="1"/>
  <c r="AD170" i="122"/>
  <c r="AD165" i="122"/>
  <c r="AD171" i="122"/>
  <c r="AD173" i="122"/>
  <c r="N65" i="118"/>
  <c r="N64" i="118" s="1"/>
  <c r="N142" i="118"/>
  <c r="O6" i="118"/>
  <c r="O11" i="118"/>
  <c r="O42" i="118"/>
  <c r="O59" i="118"/>
  <c r="N9" i="118"/>
  <c r="O5" i="118"/>
  <c r="AC53" i="123"/>
  <c r="AB34" i="124"/>
  <c r="N95" i="118"/>
  <c r="AB107" i="123"/>
  <c r="N94" i="118"/>
  <c r="AB106" i="123"/>
  <c r="AB59" i="123"/>
  <c r="AB64" i="123" s="1"/>
  <c r="N107" i="118"/>
  <c r="AB66" i="123"/>
  <c r="AB71" i="123" s="1"/>
  <c r="N129" i="118"/>
  <c r="AC60" i="123"/>
  <c r="AC80" i="123" s="1"/>
  <c r="O109" i="118"/>
  <c r="AB18" i="124"/>
  <c r="AB14" i="123"/>
  <c r="AB52" i="122"/>
  <c r="AB64" i="122"/>
  <c r="AB47" i="123"/>
  <c r="AD20" i="123"/>
  <c r="P3" i="118"/>
  <c r="AD62" i="123"/>
  <c r="AC83" i="123"/>
  <c r="AC82" i="123"/>
  <c r="AC40" i="123"/>
  <c r="AC18" i="123"/>
  <c r="AD45" i="122"/>
  <c r="AD42" i="122"/>
  <c r="AD58" i="122"/>
  <c r="P12" i="118" s="1"/>
  <c r="AD62" i="122"/>
  <c r="P14" i="118" s="1"/>
  <c r="AD60" i="122"/>
  <c r="P13" i="118" s="1"/>
  <c r="AD55" i="122"/>
  <c r="AD53" i="122"/>
  <c r="P10" i="118" s="1"/>
  <c r="AD47" i="122"/>
  <c r="P7" i="118" s="1"/>
  <c r="AD5" i="124"/>
  <c r="AD43" i="122"/>
  <c r="AD27" i="124"/>
  <c r="AD7" i="124"/>
  <c r="AD28" i="124"/>
  <c r="AD49" i="122"/>
  <c r="AD95" i="122"/>
  <c r="E2" i="128"/>
  <c r="E3" i="128" s="1"/>
  <c r="CK17" i="115"/>
  <c r="AC35" i="122"/>
  <c r="CF28" i="115"/>
  <c r="CF29" i="115" s="1"/>
  <c r="AC29" i="122"/>
  <c r="AC51" i="122"/>
  <c r="AC69" i="124"/>
  <c r="D10" i="133" s="1"/>
  <c r="AC35" i="124"/>
  <c r="CJ27" i="115"/>
  <c r="CK27" i="115" s="1"/>
  <c r="AE22" i="122"/>
  <c r="AD23" i="122"/>
  <c r="AG16" i="134" s="1"/>
  <c r="O8" i="118"/>
  <c r="AF9" i="122"/>
  <c r="AI10" i="134" s="1"/>
  <c r="AC6" i="123"/>
  <c r="O29" i="118"/>
  <c r="AC15" i="124"/>
  <c r="O49" i="118" s="1"/>
  <c r="AC5" i="123"/>
  <c r="S9" i="116"/>
  <c r="AE16" i="122"/>
  <c r="AE39" i="122"/>
  <c r="CX17" i="115"/>
  <c r="AE41" i="122"/>
  <c r="Q4" i="118" s="1"/>
  <c r="AQ10" i="134" l="1"/>
  <c r="CR17" i="115"/>
  <c r="CR18" i="115" s="1"/>
  <c r="Z10" i="134"/>
  <c r="AR10" i="134" s="1"/>
  <c r="R11" i="116"/>
  <c r="X16" i="134"/>
  <c r="AP16" i="134" s="1"/>
  <c r="CO17" i="115"/>
  <c r="CN18" i="115"/>
  <c r="DY78" i="131"/>
  <c r="DT78" i="131" s="1"/>
  <c r="DT79" i="131" s="1"/>
  <c r="C8" i="133"/>
  <c r="M20" i="118"/>
  <c r="AA72" i="124"/>
  <c r="B4" i="128"/>
  <c r="CN27" i="115"/>
  <c r="CO27" i="115" s="1"/>
  <c r="AC192" i="122"/>
  <c r="D8" i="133" s="1"/>
  <c r="AD191" i="122"/>
  <c r="AD57" i="122"/>
  <c r="AD190" i="122"/>
  <c r="AA194" i="122"/>
  <c r="AA96" i="123"/>
  <c r="DX76" i="131"/>
  <c r="AB73" i="122"/>
  <c r="N19" i="118" s="1"/>
  <c r="N15" i="118"/>
  <c r="AD132" i="123"/>
  <c r="AF183" i="122"/>
  <c r="AF166" i="122" s="1"/>
  <c r="AF124" i="123"/>
  <c r="AF115" i="123"/>
  <c r="AF117" i="123"/>
  <c r="AD133" i="123"/>
  <c r="AD169" i="122"/>
  <c r="AE119" i="123"/>
  <c r="AC134" i="123"/>
  <c r="P43" i="118"/>
  <c r="AD130" i="123"/>
  <c r="AC131" i="123"/>
  <c r="AD167" i="122"/>
  <c r="AD176" i="122" s="1"/>
  <c r="AD182" i="122"/>
  <c r="AD185" i="122" s="1"/>
  <c r="AE175" i="122"/>
  <c r="AC168" i="122"/>
  <c r="AE170" i="122"/>
  <c r="AE171" i="122"/>
  <c r="AE165" i="122"/>
  <c r="AE173" i="122"/>
  <c r="P42" i="118"/>
  <c r="N51" i="118"/>
  <c r="P11" i="118"/>
  <c r="P6" i="118"/>
  <c r="O65" i="118"/>
  <c r="O64" i="118" s="1"/>
  <c r="P59" i="118"/>
  <c r="AC64" i="122"/>
  <c r="AC65" i="122" s="1"/>
  <c r="P5" i="118"/>
  <c r="N103" i="118"/>
  <c r="N102" i="118" s="1"/>
  <c r="O142" i="118"/>
  <c r="AB73" i="123"/>
  <c r="AB74" i="123" s="1"/>
  <c r="O95" i="118"/>
  <c r="AC107" i="123"/>
  <c r="O94" i="118"/>
  <c r="AC106" i="123"/>
  <c r="N136" i="118"/>
  <c r="N135" i="118" s="1"/>
  <c r="AB109" i="123"/>
  <c r="AC59" i="123"/>
  <c r="AC64" i="123" s="1"/>
  <c r="O107" i="118"/>
  <c r="AC66" i="123"/>
  <c r="O129" i="118"/>
  <c r="AD60" i="123"/>
  <c r="AD80" i="123" s="1"/>
  <c r="P109" i="118"/>
  <c r="AB72" i="123"/>
  <c r="AB81" i="123"/>
  <c r="AB19" i="124" s="1"/>
  <c r="N52" i="118" s="1"/>
  <c r="AB65" i="122"/>
  <c r="AB70" i="122"/>
  <c r="AE20" i="123"/>
  <c r="Q3" i="118"/>
  <c r="AE62" i="123"/>
  <c r="AC47" i="123"/>
  <c r="AC18" i="124"/>
  <c r="AD82" i="123"/>
  <c r="AD83" i="123"/>
  <c r="AD18" i="123"/>
  <c r="AD40" i="123"/>
  <c r="AD29" i="122"/>
  <c r="CJ28" i="115"/>
  <c r="CJ29" i="115" s="1"/>
  <c r="AD35" i="122"/>
  <c r="AD51" i="122"/>
  <c r="P29" i="118"/>
  <c r="AD15" i="124"/>
  <c r="P49" i="118" s="1"/>
  <c r="AE58" i="122"/>
  <c r="Q12" i="118" s="1"/>
  <c r="AE62" i="122"/>
  <c r="Q14" i="118" s="1"/>
  <c r="AE47" i="122"/>
  <c r="Q7" i="118" s="1"/>
  <c r="AE49" i="122"/>
  <c r="AE45" i="122"/>
  <c r="AE53" i="122"/>
  <c r="Q10" i="118" s="1"/>
  <c r="AE42" i="122"/>
  <c r="AE60" i="122"/>
  <c r="Q13" i="118" s="1"/>
  <c r="AE27" i="124"/>
  <c r="AE55" i="122"/>
  <c r="AE43" i="122"/>
  <c r="AE7" i="124"/>
  <c r="AE5" i="124"/>
  <c r="AE28" i="124"/>
  <c r="AC14" i="123"/>
  <c r="AD5" i="123"/>
  <c r="P8" i="118"/>
  <c r="AD6" i="123"/>
  <c r="O9" i="118"/>
  <c r="AC52" i="122"/>
  <c r="AE95" i="122"/>
  <c r="F2" i="128"/>
  <c r="F3" i="128" s="1"/>
  <c r="CG28" i="115"/>
  <c r="CF30" i="115"/>
  <c r="CG30" i="115" s="1"/>
  <c r="CX27" i="115"/>
  <c r="CY27" i="115" s="1"/>
  <c r="AE23" i="122"/>
  <c r="AH16" i="134" s="1"/>
  <c r="AF22" i="122"/>
  <c r="AF16" i="122"/>
  <c r="T9" i="116"/>
  <c r="AF39" i="122"/>
  <c r="AF41" i="122"/>
  <c r="CX18" i="115"/>
  <c r="CY17" i="115"/>
  <c r="AC34" i="124"/>
  <c r="AD35" i="124"/>
  <c r="AD69" i="124"/>
  <c r="E10" i="133" s="1"/>
  <c r="AD53" i="123"/>
  <c r="CS17" i="115" l="1"/>
  <c r="S11" i="116"/>
  <c r="Y16" i="134"/>
  <c r="AQ16" i="134" s="1"/>
  <c r="DX78" i="131"/>
  <c r="DX79" i="131" s="1"/>
  <c r="AB22" i="124"/>
  <c r="C9" i="133" s="1"/>
  <c r="DY79" i="131"/>
  <c r="C26" i="129"/>
  <c r="AF23" i="122"/>
  <c r="CR27" i="115"/>
  <c r="CS27" i="115" s="1"/>
  <c r="CN28" i="115"/>
  <c r="AD192" i="122"/>
  <c r="E8" i="133" s="1"/>
  <c r="AE190" i="122"/>
  <c r="AE57" i="122"/>
  <c r="R3" i="118"/>
  <c r="AE191" i="122"/>
  <c r="R4" i="118"/>
  <c r="AC70" i="122"/>
  <c r="AC189" i="122" s="1"/>
  <c r="AC193" i="122" s="1"/>
  <c r="N17" i="118"/>
  <c r="AB189" i="122"/>
  <c r="AB193" i="122" s="1"/>
  <c r="P10" i="116" s="1"/>
  <c r="O15" i="118"/>
  <c r="AC73" i="122"/>
  <c r="O19" i="118" s="1"/>
  <c r="AD168" i="122"/>
  <c r="AD177" i="122"/>
  <c r="AE169" i="122"/>
  <c r="AE177" i="122" s="1"/>
  <c r="AE130" i="123"/>
  <c r="AD131" i="123"/>
  <c r="AD134" i="123"/>
  <c r="AF119" i="123"/>
  <c r="Q43" i="118"/>
  <c r="AE133" i="123"/>
  <c r="AE132" i="123"/>
  <c r="AE167" i="122"/>
  <c r="AE176" i="122" s="1"/>
  <c r="AE182" i="122"/>
  <c r="AE185" i="122" s="1"/>
  <c r="AB102" i="123"/>
  <c r="AB74" i="122"/>
  <c r="AF171" i="122"/>
  <c r="AF170" i="122"/>
  <c r="AF165" i="122"/>
  <c r="AF173" i="122"/>
  <c r="AF175" i="122"/>
  <c r="Q11" i="118"/>
  <c r="Q59" i="118"/>
  <c r="P65" i="118"/>
  <c r="P64" i="118" s="1"/>
  <c r="Q42" i="118"/>
  <c r="P142" i="118"/>
  <c r="O51" i="118"/>
  <c r="AF20" i="123"/>
  <c r="O103" i="118"/>
  <c r="O102" i="118" s="1"/>
  <c r="Q5" i="118"/>
  <c r="Q6" i="118"/>
  <c r="AC72" i="123"/>
  <c r="AC81" i="123"/>
  <c r="AC19" i="124" s="1"/>
  <c r="O52" i="118" s="1"/>
  <c r="AC71" i="123"/>
  <c r="AC73" i="123" s="1"/>
  <c r="AC74" i="123" s="1"/>
  <c r="P94" i="118"/>
  <c r="AD106" i="123"/>
  <c r="P95" i="118"/>
  <c r="AD107" i="123"/>
  <c r="O136" i="118"/>
  <c r="O135" i="118" s="1"/>
  <c r="AC109" i="123"/>
  <c r="AD66" i="123"/>
  <c r="AD81" i="123" s="1"/>
  <c r="AD19" i="124" s="1"/>
  <c r="P52" i="118" s="1"/>
  <c r="P129" i="118"/>
  <c r="AD59" i="123"/>
  <c r="AD64" i="123" s="1"/>
  <c r="P107" i="118"/>
  <c r="AE60" i="123"/>
  <c r="AE80" i="123" s="1"/>
  <c r="Q109" i="118"/>
  <c r="AB71" i="122"/>
  <c r="I74" i="119"/>
  <c r="N74" i="119" s="1"/>
  <c r="AF62" i="123"/>
  <c r="AD47" i="123"/>
  <c r="AD18" i="124"/>
  <c r="AE83" i="123"/>
  <c r="AE82" i="123"/>
  <c r="Q8" i="118"/>
  <c r="AE18" i="123"/>
  <c r="AE40" i="123"/>
  <c r="I64" i="119" a="1"/>
  <c r="I64" i="119" s="1"/>
  <c r="N64" i="119" s="1"/>
  <c r="AE53" i="123"/>
  <c r="AD14" i="123"/>
  <c r="AE5" i="123"/>
  <c r="AE6" i="123"/>
  <c r="CJ30" i="115"/>
  <c r="CK30" i="115" s="1"/>
  <c r="CK28" i="115"/>
  <c r="AE29" i="122"/>
  <c r="AE35" i="122"/>
  <c r="AE51" i="122"/>
  <c r="CX28" i="115"/>
  <c r="AE69" i="124"/>
  <c r="F10" i="133" s="1"/>
  <c r="AE35" i="124"/>
  <c r="AF45" i="122"/>
  <c r="AF5" i="124"/>
  <c r="AF43" i="122"/>
  <c r="AF53" i="122"/>
  <c r="R10" i="118" s="1"/>
  <c r="AF28" i="124"/>
  <c r="AF27" i="124"/>
  <c r="AF62" i="122"/>
  <c r="R14" i="118" s="1"/>
  <c r="AF42" i="122"/>
  <c r="AF58" i="122"/>
  <c r="R12" i="118" s="1"/>
  <c r="AF49" i="122"/>
  <c r="R8" i="118" s="1"/>
  <c r="AF47" i="122"/>
  <c r="R7" i="118" s="1"/>
  <c r="AF55" i="122"/>
  <c r="AF7" i="124"/>
  <c r="AF60" i="122"/>
  <c r="R13" i="118" s="1"/>
  <c r="I65" i="119" a="1"/>
  <c r="I65" i="119" s="1"/>
  <c r="N65" i="119" s="1"/>
  <c r="I70" i="119"/>
  <c r="I76" i="119"/>
  <c r="I63" i="119" a="1"/>
  <c r="I63" i="119" s="1"/>
  <c r="N63" i="119" s="1"/>
  <c r="I72" i="119"/>
  <c r="I67" i="119"/>
  <c r="N67" i="119" s="1"/>
  <c r="AD34" i="124"/>
  <c r="AF95" i="122"/>
  <c r="G2" i="128"/>
  <c r="AE15" i="124"/>
  <c r="Q49" i="118" s="1"/>
  <c r="Q29" i="118"/>
  <c r="I81" i="119"/>
  <c r="N81" i="119" s="1"/>
  <c r="P9" i="118"/>
  <c r="AD52" i="122"/>
  <c r="AD64" i="122"/>
  <c r="Z16" i="134" l="1"/>
  <c r="AI16" i="134"/>
  <c r="CN30" i="115"/>
  <c r="CO30" i="115" s="1"/>
  <c r="CN29" i="115"/>
  <c r="AD22" i="124"/>
  <c r="E9" i="133" s="1"/>
  <c r="AC22" i="124"/>
  <c r="D9" i="133" s="1"/>
  <c r="CR28" i="115"/>
  <c r="T11" i="116"/>
  <c r="AC194" i="122"/>
  <c r="Q10" i="116"/>
  <c r="O30" i="116"/>
  <c r="AB72" i="124"/>
  <c r="C4" i="128"/>
  <c r="C5" i="133" s="1"/>
  <c r="AF35" i="122"/>
  <c r="AF29" i="122"/>
  <c r="CO28" i="115"/>
  <c r="AE192" i="122"/>
  <c r="F8" i="133" s="1"/>
  <c r="AF57" i="122"/>
  <c r="R5" i="118"/>
  <c r="AC102" i="123"/>
  <c r="AC96" i="123"/>
  <c r="AC71" i="122"/>
  <c r="O17" i="118"/>
  <c r="R29" i="118"/>
  <c r="R6" i="118"/>
  <c r="AC74" i="122"/>
  <c r="R42" i="118"/>
  <c r="AF190" i="122"/>
  <c r="AB194" i="122"/>
  <c r="AB96" i="123"/>
  <c r="R43" i="118"/>
  <c r="AF191" i="122"/>
  <c r="R109" i="118"/>
  <c r="R11" i="118"/>
  <c r="P15" i="118"/>
  <c r="AD73" i="122"/>
  <c r="P19" i="118" s="1"/>
  <c r="R59" i="118"/>
  <c r="N20" i="118"/>
  <c r="AE134" i="123"/>
  <c r="AF133" i="123"/>
  <c r="AE168" i="122"/>
  <c r="AF132" i="123"/>
  <c r="AF130" i="123"/>
  <c r="AE131" i="123"/>
  <c r="AF167" i="122"/>
  <c r="AF176" i="122" s="1"/>
  <c r="AF182" i="122"/>
  <c r="AF185" i="122" s="1"/>
  <c r="AF169" i="122"/>
  <c r="AF60" i="123"/>
  <c r="AF80" i="123" s="1"/>
  <c r="P103" i="118"/>
  <c r="P102" i="118" s="1"/>
  <c r="Q142" i="118"/>
  <c r="P51" i="118"/>
  <c r="Q65" i="118"/>
  <c r="Q64" i="118" s="1"/>
  <c r="AD71" i="123"/>
  <c r="AD73" i="123" s="1"/>
  <c r="AD74" i="123" s="1"/>
  <c r="P136" i="118"/>
  <c r="P135" i="118" s="1"/>
  <c r="AD109" i="123"/>
  <c r="Q94" i="118"/>
  <c r="AE106" i="123"/>
  <c r="Q95" i="118"/>
  <c r="AE107" i="123"/>
  <c r="AE59" i="123"/>
  <c r="AE64" i="123" s="1"/>
  <c r="Q107" i="118"/>
  <c r="AD72" i="123"/>
  <c r="AE66" i="123"/>
  <c r="AE71" i="123" s="1"/>
  <c r="Q129" i="118"/>
  <c r="AE47" i="123"/>
  <c r="AE18" i="124"/>
  <c r="AF82" i="123"/>
  <c r="AF83" i="123"/>
  <c r="AF18" i="123"/>
  <c r="R107" i="118" s="1"/>
  <c r="AF40" i="123"/>
  <c r="R129" i="118" s="1"/>
  <c r="P30" i="116"/>
  <c r="AF51" i="122"/>
  <c r="AF15" i="124"/>
  <c r="R49" i="118" s="1"/>
  <c r="AF6" i="123"/>
  <c r="R95" i="118" s="1"/>
  <c r="AE14" i="123"/>
  <c r="AF5" i="123"/>
  <c r="R94" i="118" s="1"/>
  <c r="AF35" i="124"/>
  <c r="AF69" i="124"/>
  <c r="G10" i="133" s="1"/>
  <c r="I73" i="119"/>
  <c r="N73" i="119" s="1"/>
  <c r="N72" i="119"/>
  <c r="N76" i="119"/>
  <c r="I77" i="119"/>
  <c r="N77" i="119" s="1"/>
  <c r="I75" i="119"/>
  <c r="N75" i="119" s="1"/>
  <c r="CX30" i="115"/>
  <c r="CY30" i="115" s="1"/>
  <c r="CY28" i="115"/>
  <c r="AE52" i="122"/>
  <c r="Q9" i="118"/>
  <c r="AE64" i="122"/>
  <c r="AE34" i="124"/>
  <c r="AD65" i="122"/>
  <c r="AD70" i="122"/>
  <c r="AD189" i="122" s="1"/>
  <c r="AD193" i="122" s="1"/>
  <c r="G3" i="128"/>
  <c r="H2" i="128"/>
  <c r="I71" i="119"/>
  <c r="N71" i="119" s="1"/>
  <c r="N70" i="119"/>
  <c r="AF53" i="123"/>
  <c r="AR16" i="134" l="1"/>
  <c r="CR30" i="115"/>
  <c r="CS30" i="115" s="1"/>
  <c r="CR29" i="115"/>
  <c r="CS28" i="115"/>
  <c r="C7" i="133"/>
  <c r="C11" i="133" s="1"/>
  <c r="AD194" i="122"/>
  <c r="R10" i="116"/>
  <c r="C5" i="128"/>
  <c r="AC72" i="124"/>
  <c r="D4" i="128"/>
  <c r="D5" i="133" s="1"/>
  <c r="D7" i="133" s="1"/>
  <c r="D11" i="133" s="1"/>
  <c r="AF64" i="122"/>
  <c r="O20" i="118"/>
  <c r="R9" i="118"/>
  <c r="AF192" i="122"/>
  <c r="G8" i="133" s="1"/>
  <c r="AF168" i="122"/>
  <c r="R65" i="118"/>
  <c r="R64" i="118" s="1"/>
  <c r="AD74" i="122"/>
  <c r="P17" i="118"/>
  <c r="R142" i="118"/>
  <c r="Q15" i="118"/>
  <c r="AE73" i="122"/>
  <c r="Q19" i="118" s="1"/>
  <c r="AF134" i="123"/>
  <c r="AF177" i="122"/>
  <c r="AF131" i="123"/>
  <c r="AF66" i="123"/>
  <c r="AF71" i="123" s="1"/>
  <c r="AF59" i="123"/>
  <c r="AF64" i="123" s="1"/>
  <c r="AF52" i="122"/>
  <c r="AF106" i="123"/>
  <c r="Q103" i="118"/>
  <c r="Q102" i="118" s="1"/>
  <c r="Q51" i="118"/>
  <c r="AD102" i="123"/>
  <c r="Q136" i="118"/>
  <c r="Q135" i="118" s="1"/>
  <c r="AE109" i="123"/>
  <c r="AF107" i="123"/>
  <c r="AE81" i="123"/>
  <c r="AE19" i="124" s="1"/>
  <c r="Q52" i="118" s="1"/>
  <c r="AE72" i="123"/>
  <c r="AF47" i="123"/>
  <c r="R136" i="118" s="1"/>
  <c r="R135" i="118" s="1"/>
  <c r="D15" i="116"/>
  <c r="AF18" i="124"/>
  <c r="AF14" i="123"/>
  <c r="R103" i="118" s="1"/>
  <c r="R102" i="118" s="1"/>
  <c r="AD71" i="122"/>
  <c r="AF34" i="124"/>
  <c r="AE73" i="123"/>
  <c r="AE74" i="123" s="1"/>
  <c r="AD96" i="123"/>
  <c r="AE65" i="122"/>
  <c r="AE70" i="122"/>
  <c r="AE189" i="122" s="1"/>
  <c r="AE193" i="122" s="1"/>
  <c r="D15" i="133" l="1"/>
  <c r="D16" i="129"/>
  <c r="D15" i="129" s="1"/>
  <c r="R51" i="118"/>
  <c r="AE22" i="124"/>
  <c r="F9" i="133" s="1"/>
  <c r="AE194" i="122"/>
  <c r="S10" i="116"/>
  <c r="D5" i="128"/>
  <c r="D22" i="116"/>
  <c r="Q30" i="116"/>
  <c r="AD72" i="124"/>
  <c r="E4" i="128"/>
  <c r="E5" i="133" s="1"/>
  <c r="E7" i="133" s="1"/>
  <c r="E11" i="133" s="1"/>
  <c r="AF81" i="123"/>
  <c r="AF19" i="124" s="1"/>
  <c r="R52" i="118" s="1"/>
  <c r="AE74" i="122"/>
  <c r="Q17" i="118"/>
  <c r="P20" i="118"/>
  <c r="R15" i="118"/>
  <c r="AF73" i="122"/>
  <c r="R19" i="118" s="1"/>
  <c r="AF72" i="123"/>
  <c r="AF109" i="123"/>
  <c r="AE102" i="123"/>
  <c r="AF70" i="122"/>
  <c r="AF189" i="122" s="1"/>
  <c r="AF193" i="122" s="1"/>
  <c r="T10" i="116" s="1"/>
  <c r="R30" i="116"/>
  <c r="AF65" i="122"/>
  <c r="AF73" i="123"/>
  <c r="AF74" i="123" s="1"/>
  <c r="AE71" i="122"/>
  <c r="AE96" i="123"/>
  <c r="E16" i="129" l="1"/>
  <c r="E15" i="129" s="1"/>
  <c r="D12" i="133"/>
  <c r="E15" i="133"/>
  <c r="AF22" i="124"/>
  <c r="G9" i="133" s="1"/>
  <c r="E5" i="128"/>
  <c r="H11" i="116"/>
  <c r="AE72" i="124"/>
  <c r="F4" i="128"/>
  <c r="F5" i="133" s="1"/>
  <c r="F7" i="133" s="1"/>
  <c r="F11" i="133" s="1"/>
  <c r="AF194" i="122"/>
  <c r="AF96" i="123"/>
  <c r="AF74" i="122"/>
  <c r="R17" i="118"/>
  <c r="Q20" i="118"/>
  <c r="AF71" i="122"/>
  <c r="AF102" i="123"/>
  <c r="F15" i="133" l="1"/>
  <c r="F16" i="129"/>
  <c r="F15" i="129" s="1"/>
  <c r="E12" i="133"/>
  <c r="F5" i="128"/>
  <c r="AF72" i="124"/>
  <c r="G4" i="128"/>
  <c r="G5" i="133" s="1"/>
  <c r="G7" i="133" s="1"/>
  <c r="G11" i="133" s="1"/>
  <c r="R20" i="118"/>
  <c r="G15" i="133" l="1"/>
  <c r="G16" i="129"/>
  <c r="G15" i="129" s="1"/>
  <c r="F12" i="133"/>
  <c r="S30" i="116"/>
  <c r="H4" i="128"/>
  <c r="C3" i="129" s="1"/>
  <c r="H15" i="129" s="1"/>
  <c r="I15" i="129" s="1"/>
  <c r="J15" i="129" s="1"/>
  <c r="G5" i="128"/>
  <c r="T30" i="116"/>
  <c r="H16" i="129" l="1"/>
  <c r="G12" i="133"/>
  <c r="H12" i="133" s="1"/>
  <c r="I19" i="129"/>
  <c r="K15" i="129"/>
  <c r="J19" i="129"/>
  <c r="I12" i="133" l="1"/>
  <c r="J12" i="133" s="1"/>
  <c r="K12" i="133" s="1"/>
  <c r="H11" i="133"/>
  <c r="L15" i="129"/>
  <c r="K19" i="129"/>
  <c r="H15" i="133" l="1"/>
  <c r="I11" i="133"/>
  <c r="M15" i="129"/>
  <c r="L19" i="129"/>
  <c r="I15" i="133" l="1"/>
  <c r="J11" i="133"/>
  <c r="N15" i="129"/>
  <c r="M19" i="129" s="1"/>
  <c r="K11" i="133" l="1"/>
  <c r="J15" i="133"/>
  <c r="K15" i="133" l="1"/>
  <c r="L11" i="133"/>
  <c r="AA120" i="122"/>
  <c r="AA76" i="122" s="1"/>
  <c r="D37" i="133" l="1"/>
  <c r="D38" i="133" s="1"/>
  <c r="L15" i="133"/>
  <c r="M15" i="133" s="1"/>
  <c r="D36" i="133" s="1"/>
  <c r="AA75" i="122"/>
  <c r="M21" i="118" s="1"/>
  <c r="D39" i="133" l="1"/>
  <c r="AA84" i="122"/>
  <c r="M23" i="118" s="1"/>
  <c r="AA79" i="122"/>
  <c r="AA85" i="122" s="1"/>
  <c r="M24" i="118" s="1"/>
  <c r="M22" i="118" l="1"/>
  <c r="AA86" i="122"/>
  <c r="AA88" i="122"/>
  <c r="AA64" i="124" s="1"/>
  <c r="M26" i="118" l="1"/>
  <c r="AA92" i="122"/>
  <c r="AA103" i="122" s="1"/>
  <c r="M25" i="118"/>
  <c r="AA103" i="123"/>
  <c r="AA104" i="123" s="1"/>
  <c r="AA93" i="122"/>
  <c r="AA98" i="122" s="1"/>
  <c r="AA4" i="124" l="1"/>
  <c r="AA102" i="122"/>
  <c r="M32" i="118" s="1"/>
  <c r="M31" i="118"/>
  <c r="AA100" i="122"/>
  <c r="AA97" i="122"/>
  <c r="AA101" i="122"/>
  <c r="M28" i="118"/>
  <c r="M27" i="118"/>
  <c r="AA105" i="122"/>
  <c r="AA107" i="122"/>
  <c r="AA104" i="122"/>
  <c r="AD25" i="134" s="1"/>
  <c r="AA106" i="122"/>
  <c r="M33" i="118" s="1"/>
  <c r="O12" i="116" l="1"/>
  <c r="Y63" i="116" s="1"/>
  <c r="U25" i="134"/>
  <c r="AM25" i="134" s="1"/>
  <c r="M41" i="118"/>
  <c r="AA24" i="124"/>
  <c r="AA180" i="122" s="1"/>
  <c r="AA186" i="122" s="1"/>
  <c r="AA52" i="123"/>
  <c r="M141" i="118" s="1"/>
  <c r="DQ82" i="131"/>
  <c r="DP82" i="131" s="1"/>
  <c r="BX37" i="115"/>
  <c r="M30" i="118"/>
  <c r="AA109" i="122"/>
  <c r="BR37" i="115"/>
  <c r="BS37" i="115" s="1"/>
  <c r="AS111" i="119" l="1"/>
  <c r="BY37" i="115"/>
  <c r="BX38" i="115"/>
  <c r="AA54" i="123"/>
  <c r="M144" i="118" s="1"/>
  <c r="M143" i="118" s="1"/>
  <c r="O29" i="116"/>
  <c r="AA57" i="124"/>
  <c r="AA23" i="124"/>
  <c r="M56" i="118"/>
  <c r="M55" i="118" s="1"/>
  <c r="AA51" i="124"/>
  <c r="AA62" i="124"/>
  <c r="AA71" i="124" s="1"/>
  <c r="B6" i="128" s="1"/>
  <c r="B7" i="128" s="1"/>
  <c r="BR40" i="115"/>
  <c r="DA75" i="115" s="1"/>
  <c r="AB44" i="124"/>
  <c r="AB43" i="124" s="1"/>
  <c r="BX40" i="115"/>
  <c r="BY40" i="115" s="1"/>
  <c r="AA113" i="122"/>
  <c r="O13" i="116"/>
  <c r="O19" i="116" s="1"/>
  <c r="M37" i="118"/>
  <c r="O17" i="116"/>
  <c r="U18" i="134" l="1"/>
  <c r="AD18" i="134"/>
  <c r="AD19" i="134" s="1"/>
  <c r="AM18" i="134"/>
  <c r="U19" i="134"/>
  <c r="AM19" i="134" s="1"/>
  <c r="AA84" i="123"/>
  <c r="AS109" i="119"/>
  <c r="AV111" i="119"/>
  <c r="AW111" i="119"/>
  <c r="AX111" i="119"/>
  <c r="AA58" i="124"/>
  <c r="M85" i="118" s="1"/>
  <c r="AA114" i="122"/>
  <c r="O14" i="116"/>
  <c r="AA59" i="124"/>
  <c r="M86" i="118" s="1"/>
  <c r="BX32" i="115"/>
  <c r="BX34" i="115" s="1"/>
  <c r="BY34" i="115" s="1"/>
  <c r="BR32" i="115"/>
  <c r="BR34" i="115" s="1"/>
  <c r="BS34" i="115" s="1"/>
  <c r="M84" i="118"/>
  <c r="M78" i="118"/>
  <c r="AA55" i="124"/>
  <c r="M82" i="118" s="1"/>
  <c r="AA73" i="124"/>
  <c r="BS40" i="115"/>
  <c r="AB50" i="123"/>
  <c r="N73" i="118"/>
  <c r="AB49" i="124"/>
  <c r="DE75" i="115"/>
  <c r="DC75" i="115"/>
  <c r="BD109" i="119" l="1"/>
  <c r="AV109" i="119"/>
  <c r="AW109" i="119"/>
  <c r="AX109" i="119"/>
  <c r="BY32" i="115"/>
  <c r="BX33" i="115"/>
  <c r="DA74" i="115"/>
  <c r="DE74" i="115" s="1"/>
  <c r="O15" i="116"/>
  <c r="O18" i="116" s="1"/>
  <c r="BS32" i="115"/>
  <c r="N139" i="118"/>
  <c r="AB54" i="124"/>
  <c r="N81" i="118" s="1"/>
  <c r="AA23" i="123"/>
  <c r="N76" i="118"/>
  <c r="N75" i="118" s="1"/>
  <c r="AB48" i="124"/>
  <c r="AA27" i="123" l="1"/>
  <c r="AA135" i="123" s="1"/>
  <c r="DC74" i="115"/>
  <c r="M112" i="118"/>
  <c r="AA139" i="122"/>
  <c r="AA142" i="122" s="1"/>
  <c r="AB122" i="122" s="1"/>
  <c r="AA92" i="123"/>
  <c r="AA93" i="123" s="1"/>
  <c r="AA56" i="123" l="1"/>
  <c r="M116" i="118"/>
  <c r="M115" i="118" s="1"/>
  <c r="AA108" i="123"/>
  <c r="AA105" i="123" s="1"/>
  <c r="AA111" i="123" s="1"/>
  <c r="B8" i="128"/>
  <c r="AB66" i="124"/>
  <c r="AA98" i="123"/>
  <c r="AA94" i="123"/>
  <c r="AA99" i="123" s="1"/>
  <c r="C28" i="129" l="1"/>
  <c r="O7" i="116"/>
  <c r="O27" i="116" s="1"/>
  <c r="O38" i="116" s="1"/>
  <c r="O6" i="116" s="1"/>
  <c r="O20" i="116" l="1"/>
  <c r="O24" i="116"/>
  <c r="O22" i="116"/>
  <c r="O21" i="116"/>
  <c r="O23" i="116"/>
  <c r="AB120" i="122" l="1"/>
  <c r="AB76" i="122" s="1"/>
  <c r="AB75" i="122" s="1"/>
  <c r="N21" i="118" s="1"/>
  <c r="AB84" i="122" l="1"/>
  <c r="N23" i="118" s="1"/>
  <c r="AB79" i="122"/>
  <c r="AB85" i="122" s="1"/>
  <c r="N24" i="118" l="1"/>
  <c r="N22" i="118"/>
  <c r="AB88" i="122"/>
  <c r="AB64" i="124" s="1"/>
  <c r="AB86" i="122"/>
  <c r="N26" i="118" l="1"/>
  <c r="AB92" i="122"/>
  <c r="N25" i="118"/>
  <c r="AB103" i="123"/>
  <c r="AB104" i="123" s="1"/>
  <c r="AB93" i="122"/>
  <c r="AB98" i="122" s="1"/>
  <c r="AB97" i="122" l="1"/>
  <c r="N31" i="118"/>
  <c r="N28" i="118"/>
  <c r="N27" i="118"/>
  <c r="AB107" i="122"/>
  <c r="AB106" i="122"/>
  <c r="N33" i="118" s="1"/>
  <c r="AB105" i="122"/>
  <c r="AB104" i="122"/>
  <c r="AE25" i="134" s="1"/>
  <c r="AB100" i="122"/>
  <c r="AB102" i="122"/>
  <c r="N32" i="118" s="1"/>
  <c r="AB101" i="122"/>
  <c r="AB4" i="124"/>
  <c r="AB103" i="122"/>
  <c r="P12" i="116" l="1"/>
  <c r="P17" i="116" s="1"/>
  <c r="V25" i="134"/>
  <c r="AN25" i="134" s="1"/>
  <c r="DY82" i="131"/>
  <c r="DT82" i="131" s="1"/>
  <c r="DX82" i="131" s="1"/>
  <c r="CB37" i="115"/>
  <c r="N30" i="118"/>
  <c r="N41" i="118"/>
  <c r="AB109" i="122"/>
  <c r="AB52" i="123"/>
  <c r="AB24" i="124"/>
  <c r="CC37" i="115" l="1"/>
  <c r="CB38" i="115"/>
  <c r="P29" i="116"/>
  <c r="AC44" i="124"/>
  <c r="AC43" i="124" s="1"/>
  <c r="AB113" i="122"/>
  <c r="AB180" i="122"/>
  <c r="AB186" i="122" s="1"/>
  <c r="N37" i="118"/>
  <c r="P13" i="116"/>
  <c r="P19" i="116" s="1"/>
  <c r="CB40" i="115"/>
  <c r="CC40" i="115" s="1"/>
  <c r="N141" i="118"/>
  <c r="N56" i="118"/>
  <c r="N55" i="118" s="1"/>
  <c r="AB62" i="124"/>
  <c r="AB71" i="124" s="1"/>
  <c r="AB54" i="123"/>
  <c r="AB51" i="124"/>
  <c r="AB23" i="124"/>
  <c r="AB57" i="124"/>
  <c r="V18" i="134" l="1"/>
  <c r="AE18" i="134"/>
  <c r="AE19" i="134" s="1"/>
  <c r="V19" i="134"/>
  <c r="AB114" i="122"/>
  <c r="P14" i="116"/>
  <c r="C6" i="128"/>
  <c r="C7" i="128" s="1"/>
  <c r="N78" i="118"/>
  <c r="N144" i="118"/>
  <c r="N143" i="118" s="1"/>
  <c r="AC50" i="123"/>
  <c r="AB73" i="124"/>
  <c r="O73" i="118"/>
  <c r="AB58" i="124"/>
  <c r="N85" i="118" s="1"/>
  <c r="N84" i="118"/>
  <c r="AB59" i="124"/>
  <c r="N86" i="118" s="1"/>
  <c r="AB84" i="123"/>
  <c r="CB32" i="115"/>
  <c r="CB33" i="115" s="1"/>
  <c r="AB55" i="124"/>
  <c r="D14" i="116"/>
  <c r="AC49" i="124"/>
  <c r="AN18" i="134" l="1"/>
  <c r="AN19" i="134"/>
  <c r="D17" i="129"/>
  <c r="D19" i="129" s="1"/>
  <c r="O76" i="118"/>
  <c r="O75" i="118" s="1"/>
  <c r="O139" i="118"/>
  <c r="AB23" i="123"/>
  <c r="N82" i="118"/>
  <c r="AC54" i="124"/>
  <c r="O81" i="118" s="1"/>
  <c r="AC48" i="124"/>
  <c r="CC32" i="115"/>
  <c r="CB34" i="115"/>
  <c r="CC34" i="115" s="1"/>
  <c r="P15" i="116"/>
  <c r="P18" i="116" s="1"/>
  <c r="N112" i="118" l="1"/>
  <c r="AB27" i="123"/>
  <c r="AB135" i="123" s="1"/>
  <c r="AB92" i="123"/>
  <c r="AB93" i="123" s="1"/>
  <c r="C8" i="128" s="1"/>
  <c r="D40" i="133" s="1"/>
  <c r="D43" i="133" s="1"/>
  <c r="AB139" i="122"/>
  <c r="P7" i="116" l="1"/>
  <c r="P27" i="116" s="1"/>
  <c r="P38" i="116" s="1"/>
  <c r="AB142" i="122"/>
  <c r="AC122" i="122" s="1"/>
  <c r="N116" i="118"/>
  <c r="N115" i="118" s="1"/>
  <c r="AB108" i="123"/>
  <c r="AB105" i="123" s="1"/>
  <c r="AB111" i="123" s="1"/>
  <c r="AB56" i="123"/>
  <c r="AB94" i="123"/>
  <c r="AB99" i="123" s="1"/>
  <c r="AB98" i="123"/>
  <c r="AC66" i="124" l="1"/>
  <c r="AC120" i="122"/>
  <c r="AC76" i="122" s="1"/>
  <c r="AC75" i="122" l="1"/>
  <c r="P6" i="116"/>
  <c r="AC84" i="122" l="1"/>
  <c r="O23" i="118" s="1"/>
  <c r="O21" i="118"/>
  <c r="AC79" i="122"/>
  <c r="AC85" i="122" s="1"/>
  <c r="P21" i="116"/>
  <c r="P24" i="116"/>
  <c r="P20" i="116"/>
  <c r="P22" i="116"/>
  <c r="D12" i="116"/>
  <c r="D16" i="116" s="1"/>
  <c r="P23" i="116"/>
  <c r="AC86" i="122" l="1"/>
  <c r="O25" i="118" s="1"/>
  <c r="O24" i="118"/>
  <c r="O22" i="118"/>
  <c r="AC88" i="122"/>
  <c r="AC64" i="124" s="1"/>
  <c r="O26" i="118" l="1"/>
  <c r="AC92" i="122"/>
  <c r="AC101" i="122" s="1"/>
  <c r="AC103" i="123"/>
  <c r="AC104" i="123" s="1"/>
  <c r="AC93" i="122"/>
  <c r="AC98" i="122" s="1"/>
  <c r="O31" i="118" l="1"/>
  <c r="AC97" i="122"/>
  <c r="AC103" i="122"/>
  <c r="AC102" i="122"/>
  <c r="O32" i="118" s="1"/>
  <c r="AC100" i="122"/>
  <c r="AC4" i="124"/>
  <c r="O27" i="118"/>
  <c r="O28" i="118"/>
  <c r="AC105" i="122"/>
  <c r="AC106" i="122"/>
  <c r="O33" i="118" s="1"/>
  <c r="AC104" i="122"/>
  <c r="AC107" i="122"/>
  <c r="W25" i="134" l="1"/>
  <c r="AF25" i="134"/>
  <c r="CF37" i="115"/>
  <c r="Q12" i="116"/>
  <c r="D24" i="116" s="1"/>
  <c r="O30" i="118"/>
  <c r="O41" i="118"/>
  <c r="AC24" i="124"/>
  <c r="AC180" i="122" s="1"/>
  <c r="AC186" i="122" s="1"/>
  <c r="AC52" i="123"/>
  <c r="AC109" i="122"/>
  <c r="AO25" i="134" l="1"/>
  <c r="CG37" i="115"/>
  <c r="CF38" i="115"/>
  <c r="Q17" i="116"/>
  <c r="O141" i="118"/>
  <c r="Q29" i="116"/>
  <c r="AC57" i="124"/>
  <c r="AC51" i="124"/>
  <c r="AC23" i="124"/>
  <c r="AC54" i="123"/>
  <c r="O144" i="118" s="1"/>
  <c r="AC62" i="124"/>
  <c r="AC71" i="124" s="1"/>
  <c r="D6" i="128" s="1"/>
  <c r="D7" i="128" s="1"/>
  <c r="O56" i="118"/>
  <c r="O55" i="118" s="1"/>
  <c r="O37" i="118"/>
  <c r="AD44" i="124"/>
  <c r="AD43" i="124" s="1"/>
  <c r="CF40" i="115"/>
  <c r="CG40" i="115" s="1"/>
  <c r="Q13" i="116"/>
  <c r="AC113" i="122"/>
  <c r="W18" i="134" l="1"/>
  <c r="AF18" i="134"/>
  <c r="AF19" i="134" s="1"/>
  <c r="W19" i="134"/>
  <c r="AO19" i="134" s="1"/>
  <c r="O143" i="118"/>
  <c r="Q14" i="116"/>
  <c r="Q15" i="116" s="1"/>
  <c r="Q18" i="116" s="1"/>
  <c r="E17" i="129"/>
  <c r="E19" i="129" s="1"/>
  <c r="AC58" i="124"/>
  <c r="O85" i="118" s="1"/>
  <c r="O84" i="118"/>
  <c r="AC114" i="122"/>
  <c r="AC84" i="123"/>
  <c r="AC59" i="124"/>
  <c r="O86" i="118" s="1"/>
  <c r="AC55" i="124"/>
  <c r="AD54" i="124" s="1"/>
  <c r="P81" i="118" s="1"/>
  <c r="CF32" i="115"/>
  <c r="AC73" i="124"/>
  <c r="O78" i="118"/>
  <c r="Q19" i="116"/>
  <c r="AD50" i="123"/>
  <c r="P73" i="118"/>
  <c r="AD49" i="124"/>
  <c r="AO18" i="134" l="1"/>
  <c r="CF34" i="115"/>
  <c r="CG34" i="115" s="1"/>
  <c r="CF33" i="115"/>
  <c r="P139" i="118"/>
  <c r="AC23" i="123"/>
  <c r="AC27" i="123" s="1"/>
  <c r="AC135" i="123" s="1"/>
  <c r="D4" i="116" s="1"/>
  <c r="O82" i="118"/>
  <c r="CG32" i="115"/>
  <c r="P76" i="118"/>
  <c r="P75" i="118" s="1"/>
  <c r="AD48" i="124"/>
  <c r="O116" i="118" l="1"/>
  <c r="AC56" i="123"/>
  <c r="AC139" i="122"/>
  <c r="AC142" i="122" s="1"/>
  <c r="AD122" i="122" s="1"/>
  <c r="AD66" i="124" s="1"/>
  <c r="AC92" i="123"/>
  <c r="AC93" i="123" s="1"/>
  <c r="AC98" i="123" s="1"/>
  <c r="AC108" i="123"/>
  <c r="AC105" i="123" s="1"/>
  <c r="AC111" i="123" s="1"/>
  <c r="O112" i="118"/>
  <c r="D8" i="116"/>
  <c r="D10" i="116" s="1"/>
  <c r="D6" i="116"/>
  <c r="O115" i="118" l="1"/>
  <c r="AD120" i="122"/>
  <c r="AD76" i="122" s="1"/>
  <c r="D8" i="128"/>
  <c r="AC94" i="123"/>
  <c r="AC99" i="123" s="1"/>
  <c r="D9" i="116"/>
  <c r="D18" i="116"/>
  <c r="D20" i="116" s="1"/>
  <c r="D23" i="116"/>
  <c r="Q7" i="116" l="1"/>
  <c r="Q27" i="116" s="1"/>
  <c r="Q23" i="116" s="1"/>
  <c r="D45" i="133"/>
  <c r="AD75" i="122"/>
  <c r="Y20" i="116"/>
  <c r="D25" i="116"/>
  <c r="D28" i="116"/>
  <c r="Y35" i="116"/>
  <c r="D27" i="116"/>
  <c r="Y5" i="116"/>
  <c r="Y50" i="116"/>
  <c r="Q38" i="116" l="1"/>
  <c r="Q6" i="116" s="1"/>
  <c r="Q24" i="116" s="1"/>
  <c r="A1" i="122"/>
  <c r="A1" i="123"/>
  <c r="P21" i="118"/>
  <c r="AD79" i="122"/>
  <c r="AD85" i="122" s="1"/>
  <c r="AD88" i="122" s="1"/>
  <c r="AD84" i="122"/>
  <c r="AD86" i="122" s="1"/>
  <c r="Q21" i="116" l="1"/>
  <c r="Q20" i="116"/>
  <c r="Q22" i="116"/>
  <c r="AD103" i="123"/>
  <c r="AD104" i="123" s="1"/>
  <c r="AD64" i="124"/>
  <c r="P24" i="118"/>
  <c r="P22" i="118"/>
  <c r="P23" i="118"/>
  <c r="AD93" i="122"/>
  <c r="AD98" i="122" s="1"/>
  <c r="P26" i="118"/>
  <c r="P25" i="118"/>
  <c r="AD92" i="122"/>
  <c r="AD106" i="122" l="1"/>
  <c r="P33" i="118" s="1"/>
  <c r="AD104" i="122"/>
  <c r="P31" i="118"/>
  <c r="AD105" i="122"/>
  <c r="AD107" i="122"/>
  <c r="P28" i="118"/>
  <c r="AD97" i="122"/>
  <c r="P27" i="118"/>
  <c r="AD103" i="122"/>
  <c r="AD101" i="122"/>
  <c r="AD100" i="122"/>
  <c r="AD4" i="124"/>
  <c r="AD102" i="122"/>
  <c r="P32" i="118" s="1"/>
  <c r="X25" i="134" l="1"/>
  <c r="AG25" i="134"/>
  <c r="CJ37" i="115"/>
  <c r="R12" i="116"/>
  <c r="AD109" i="122"/>
  <c r="P30" i="118"/>
  <c r="P41" i="118"/>
  <c r="AD24" i="124"/>
  <c r="AD52" i="123"/>
  <c r="AP25" i="134" l="1"/>
  <c r="CK37" i="115"/>
  <c r="CJ38" i="115"/>
  <c r="R17" i="116"/>
  <c r="H12" i="116"/>
  <c r="R29" i="116"/>
  <c r="R13" i="116"/>
  <c r="CJ40" i="115"/>
  <c r="CK40" i="115" s="1"/>
  <c r="P37" i="118"/>
  <c r="AD113" i="122"/>
  <c r="AE44" i="124"/>
  <c r="AE43" i="124" s="1"/>
  <c r="AD180" i="122"/>
  <c r="AD186" i="122" s="1"/>
  <c r="AD62" i="124"/>
  <c r="AD71" i="124" s="1"/>
  <c r="AD57" i="124"/>
  <c r="AG18" i="134" s="1"/>
  <c r="AG19" i="134" s="1"/>
  <c r="AD51" i="124"/>
  <c r="AD23" i="124"/>
  <c r="P56" i="118"/>
  <c r="P55" i="118" s="1"/>
  <c r="P141" i="118"/>
  <c r="AD54" i="123"/>
  <c r="R14" i="116" l="1"/>
  <c r="R15" i="116" s="1"/>
  <c r="R18" i="116" s="1"/>
  <c r="X18" i="134"/>
  <c r="R19" i="116"/>
  <c r="AE50" i="123"/>
  <c r="AE49" i="124"/>
  <c r="AE48" i="124" s="1"/>
  <c r="Q73" i="118"/>
  <c r="AD58" i="124"/>
  <c r="P85" i="118" s="1"/>
  <c r="CJ32" i="115"/>
  <c r="CJ33" i="115" s="1"/>
  <c r="AD84" i="123"/>
  <c r="AD59" i="124"/>
  <c r="P86" i="118" s="1"/>
  <c r="AD114" i="122"/>
  <c r="P84" i="118"/>
  <c r="AH57" i="124"/>
  <c r="AD55" i="124"/>
  <c r="P78" i="118"/>
  <c r="AD73" i="124"/>
  <c r="E6" i="128"/>
  <c r="E7" i="128" s="1"/>
  <c r="P144" i="118"/>
  <c r="P143" i="118" s="1"/>
  <c r="AP18" i="134" l="1"/>
  <c r="X19" i="134"/>
  <c r="AP19" i="134" s="1"/>
  <c r="Q139" i="118"/>
  <c r="F17" i="129"/>
  <c r="F19" i="129" s="1"/>
  <c r="Q76" i="118"/>
  <c r="Q75" i="118" s="1"/>
  <c r="AD23" i="123"/>
  <c r="AE54" i="124"/>
  <c r="Q81" i="118" s="1"/>
  <c r="P82" i="118"/>
  <c r="CK32" i="115"/>
  <c r="CW35" i="115" s="1"/>
  <c r="CJ34" i="115"/>
  <c r="CK34" i="115" s="1"/>
  <c r="AD27" i="123" l="1"/>
  <c r="AD92" i="123"/>
  <c r="AD93" i="123" s="1"/>
  <c r="P112" i="118"/>
  <c r="AD139" i="122"/>
  <c r="AD142" i="122" l="1"/>
  <c r="AE122" i="122" s="1"/>
  <c r="E8" i="128"/>
  <c r="R7" i="116" s="1"/>
  <c r="R27" i="116" s="1"/>
  <c r="R38" i="116" s="1"/>
  <c r="AD98" i="123"/>
  <c r="AD94" i="123"/>
  <c r="AD99" i="123" s="1"/>
  <c r="AD135" i="123"/>
  <c r="AD56" i="123"/>
  <c r="AD108" i="123"/>
  <c r="AD105" i="123" s="1"/>
  <c r="AD111" i="123" s="1"/>
  <c r="P116" i="118"/>
  <c r="P115" i="118" s="1"/>
  <c r="AE66" i="124" l="1"/>
  <c r="AE120" i="122"/>
  <c r="AE76" i="122" s="1"/>
  <c r="AE75" i="122" l="1"/>
  <c r="AE79" i="122" s="1"/>
  <c r="AE84" i="122" l="1"/>
  <c r="AE86" i="122" s="1"/>
  <c r="Q21" i="118"/>
  <c r="AE85" i="122"/>
  <c r="Q22" i="118"/>
  <c r="R6" i="116"/>
  <c r="R23" i="116"/>
  <c r="Q23" i="118" l="1"/>
  <c r="Q25" i="118"/>
  <c r="AE92" i="122"/>
  <c r="Q24" i="118"/>
  <c r="AE88" i="122"/>
  <c r="AE64" i="124" s="1"/>
  <c r="R24" i="116"/>
  <c r="R21" i="116"/>
  <c r="R20" i="116"/>
  <c r="R22" i="116"/>
  <c r="AE93" i="122" l="1"/>
  <c r="AE98" i="122" s="1"/>
  <c r="AE97" i="122"/>
  <c r="Q26" i="118"/>
  <c r="AE103" i="123"/>
  <c r="AE104" i="123" s="1"/>
  <c r="CX37" i="115"/>
  <c r="CY37" i="115" s="1"/>
  <c r="Q27" i="118"/>
  <c r="AE103" i="122"/>
  <c r="AE102" i="122"/>
  <c r="Q32" i="118" s="1"/>
  <c r="AE100" i="122"/>
  <c r="AE101" i="122"/>
  <c r="AE4" i="124"/>
  <c r="Q28" i="118" l="1"/>
  <c r="AE107" i="122"/>
  <c r="AE104" i="122"/>
  <c r="AH25" i="134" s="1"/>
  <c r="AE106" i="122"/>
  <c r="Q33" i="118" s="1"/>
  <c r="Q30" i="118"/>
  <c r="AE105" i="122"/>
  <c r="Q31" i="118"/>
  <c r="Q41" i="118"/>
  <c r="AE52" i="123"/>
  <c r="AE24" i="124"/>
  <c r="S12" i="116" l="1"/>
  <c r="S17" i="116" s="1"/>
  <c r="Y25" i="134"/>
  <c r="AQ25" i="134" s="1"/>
  <c r="S29" i="116"/>
  <c r="CN37" i="115"/>
  <c r="AE109" i="122"/>
  <c r="AE113" i="122" s="1"/>
  <c r="Q141" i="118"/>
  <c r="AE54" i="123"/>
  <c r="AE180" i="122"/>
  <c r="AE186" i="122" s="1"/>
  <c r="AE62" i="124"/>
  <c r="AE71" i="124" s="1"/>
  <c r="AE51" i="124"/>
  <c r="AE23" i="124"/>
  <c r="AE57" i="124"/>
  <c r="AH18" i="134" s="1"/>
  <c r="AH19" i="134" s="1"/>
  <c r="Q56" i="118"/>
  <c r="Q55" i="118" s="1"/>
  <c r="S14" i="116" l="1"/>
  <c r="S15" i="116" s="1"/>
  <c r="S18" i="116" s="1"/>
  <c r="Y18" i="134"/>
  <c r="CO37" i="115"/>
  <c r="CN38" i="115"/>
  <c r="S13" i="116"/>
  <c r="S19" i="116" s="1"/>
  <c r="CX40" i="115"/>
  <c r="CY40" i="115" s="1"/>
  <c r="Q37" i="118"/>
  <c r="AF44" i="124"/>
  <c r="AF43" i="124" s="1"/>
  <c r="AF50" i="123" s="1"/>
  <c r="CN40" i="115"/>
  <c r="CO40" i="115" s="1"/>
  <c r="F6" i="128"/>
  <c r="F7" i="128" s="1"/>
  <c r="G17" i="129" s="1"/>
  <c r="G19" i="129" s="1"/>
  <c r="AE73" i="124"/>
  <c r="AE114" i="122"/>
  <c r="CX32" i="115"/>
  <c r="AE58" i="124"/>
  <c r="Q85" i="118" s="1"/>
  <c r="AE59" i="124"/>
  <c r="Q86" i="118" s="1"/>
  <c r="CN32" i="115"/>
  <c r="CN33" i="115" s="1"/>
  <c r="AE84" i="123"/>
  <c r="Q84" i="118"/>
  <c r="Q144" i="118"/>
  <c r="Q143" i="118" s="1"/>
  <c r="AE55" i="124"/>
  <c r="Q78" i="118"/>
  <c r="Y19" i="134" l="1"/>
  <c r="AQ19" i="134" s="1"/>
  <c r="AQ18" i="134"/>
  <c r="R139" i="118"/>
  <c r="AF49" i="124"/>
  <c r="R73" i="118"/>
  <c r="AE23" i="123"/>
  <c r="Q82" i="118"/>
  <c r="AF54" i="124"/>
  <c r="R81" i="118" s="1"/>
  <c r="CO32" i="115"/>
  <c r="CN34" i="115"/>
  <c r="CO34" i="115" s="1"/>
  <c r="CY32" i="115"/>
  <c r="CX35" i="115"/>
  <c r="CX34" i="115"/>
  <c r="CY34" i="115" s="1"/>
  <c r="AF48" i="124" l="1"/>
  <c r="R76" i="118"/>
  <c r="R75" i="118" s="1"/>
  <c r="AE92" i="123"/>
  <c r="Q112" i="118"/>
  <c r="AE139" i="122"/>
  <c r="AE27" i="123"/>
  <c r="AE142" i="122" l="1"/>
  <c r="AF122" i="122" s="1"/>
  <c r="AF66" i="124" s="1"/>
  <c r="AE93" i="123"/>
  <c r="AE135" i="123"/>
  <c r="AE56" i="123"/>
  <c r="Q116" i="118"/>
  <c r="Q115" i="118" s="1"/>
  <c r="AE108" i="123"/>
  <c r="AE105" i="123" s="1"/>
  <c r="AE111" i="123" s="1"/>
  <c r="AF120" i="122" l="1"/>
  <c r="AF76" i="122" s="1"/>
  <c r="F8" i="128"/>
  <c r="S7" i="116" s="1"/>
  <c r="S27" i="116" s="1"/>
  <c r="S38" i="116" s="1"/>
  <c r="AE98" i="123"/>
  <c r="AE94" i="123"/>
  <c r="AE99" i="123" s="1"/>
  <c r="AF75" i="122" l="1"/>
  <c r="R21" i="118" s="1"/>
  <c r="AF79" i="122" l="1"/>
  <c r="AF85" i="122" s="1"/>
  <c r="AF84" i="122"/>
  <c r="R23" i="118" s="1"/>
  <c r="S23" i="116"/>
  <c r="S6" i="116"/>
  <c r="AF86" i="122" l="1"/>
  <c r="AF92" i="122" s="1"/>
  <c r="AF97" i="122" s="1"/>
  <c r="R30" i="118" s="1"/>
  <c r="R22" i="118"/>
  <c r="S22" i="116"/>
  <c r="S24" i="116"/>
  <c r="S21" i="116"/>
  <c r="S20" i="116"/>
  <c r="R24" i="118"/>
  <c r="AF88" i="122"/>
  <c r="AF93" i="122" l="1"/>
  <c r="AF98" i="122" s="1"/>
  <c r="AF64" i="124"/>
  <c r="AF103" i="122"/>
  <c r="AF4" i="124"/>
  <c r="AF52" i="123" s="1"/>
  <c r="R27" i="118"/>
  <c r="R25" i="118"/>
  <c r="AF102" i="122"/>
  <c r="R32" i="118" s="1"/>
  <c r="AF101" i="122"/>
  <c r="AF100" i="122"/>
  <c r="R26" i="118"/>
  <c r="AF103" i="123"/>
  <c r="AF104" i="123" s="1"/>
  <c r="T29" i="116" l="1"/>
  <c r="AF104" i="122"/>
  <c r="AF107" i="122"/>
  <c r="R28" i="118"/>
  <c r="R31" i="118"/>
  <c r="AF105" i="122"/>
  <c r="AF106" i="122"/>
  <c r="R33" i="118" s="1"/>
  <c r="R41" i="118"/>
  <c r="AF24" i="124"/>
  <c r="R56" i="118" s="1"/>
  <c r="R141" i="118"/>
  <c r="AF54" i="123"/>
  <c r="Z25" i="134" l="1"/>
  <c r="AI25" i="134"/>
  <c r="CR37" i="115"/>
  <c r="T12" i="116"/>
  <c r="T17" i="116" s="1"/>
  <c r="AF109" i="122"/>
  <c r="CR40" i="115" s="1"/>
  <c r="CS40" i="115" s="1"/>
  <c r="R55" i="118"/>
  <c r="AF180" i="122"/>
  <c r="AF186" i="122" s="1"/>
  <c r="AF51" i="124"/>
  <c r="AF62" i="124"/>
  <c r="AF71" i="124" s="1"/>
  <c r="G6" i="128" s="1"/>
  <c r="H6" i="128" s="1"/>
  <c r="AF23" i="124"/>
  <c r="AF57" i="124"/>
  <c r="R144" i="118"/>
  <c r="R143" i="118" s="1"/>
  <c r="K51" i="81"/>
  <c r="Z18" i="134" l="1"/>
  <c r="AI18" i="134"/>
  <c r="AI19" i="134" s="1"/>
  <c r="AR25" i="134"/>
  <c r="Z19" i="134"/>
  <c r="AR19" i="134" s="1"/>
  <c r="AR18" i="134"/>
  <c r="CS37" i="115"/>
  <c r="CR38" i="115"/>
  <c r="CR32" i="115"/>
  <c r="T14" i="116"/>
  <c r="T13" i="116"/>
  <c r="T19" i="116" s="1"/>
  <c r="R37" i="118"/>
  <c r="AF113" i="122"/>
  <c r="R78" i="118"/>
  <c r="AF73" i="124"/>
  <c r="AF55" i="124"/>
  <c r="R82" i="118" s="1"/>
  <c r="AF84" i="123"/>
  <c r="AF58" i="124"/>
  <c r="R85" i="118" s="1"/>
  <c r="AF114" i="122"/>
  <c r="R84" i="118"/>
  <c r="AF59" i="124"/>
  <c r="R86" i="118" s="1"/>
  <c r="G7" i="128"/>
  <c r="T15" i="116" l="1"/>
  <c r="T18" i="116" s="1"/>
  <c r="CR34" i="115"/>
  <c r="CS34" i="115" s="1"/>
  <c r="CR33" i="115"/>
  <c r="CS32" i="115"/>
  <c r="H17" i="129"/>
  <c r="H19" i="129" s="1"/>
  <c r="N19" i="129" s="1"/>
  <c r="C9" i="129" s="1"/>
  <c r="C25" i="129" s="1"/>
  <c r="C27" i="129" s="1"/>
  <c r="C32" i="129" s="1"/>
  <c r="C34" i="129" s="1"/>
  <c r="H7" i="128"/>
  <c r="AF23" i="123"/>
  <c r="C36" i="129" l="1"/>
  <c r="C49" i="129"/>
  <c r="C40" i="129"/>
  <c r="B1" i="129"/>
  <c r="AF139" i="122"/>
  <c r="AF142" i="122" s="1"/>
  <c r="R112" i="118"/>
  <c r="AF27" i="123"/>
  <c r="AF92" i="123"/>
  <c r="AF93" i="123" s="1"/>
  <c r="AF56" i="123" l="1"/>
  <c r="AF135" i="123"/>
  <c r="AF108" i="123"/>
  <c r="AF105" i="123" s="1"/>
  <c r="AF111" i="123" s="1"/>
  <c r="A1" i="126"/>
  <c r="R116" i="118"/>
  <c r="R115" i="118" s="1"/>
  <c r="AF94" i="123"/>
  <c r="AF99" i="123" s="1"/>
  <c r="G8" i="128"/>
  <c r="T7" i="116" s="1"/>
  <c r="T27" i="116" s="1"/>
  <c r="T38" i="116" s="1"/>
  <c r="AF98" i="123"/>
  <c r="A1" i="127" l="1"/>
  <c r="A1" i="124"/>
  <c r="A1" i="125"/>
  <c r="T23" i="116" l="1"/>
  <c r="T6" i="116" l="1"/>
  <c r="T24" i="116" s="1"/>
  <c r="T22" i="116" l="1"/>
  <c r="T21" i="116"/>
  <c r="T20" i="1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Allard, Victor [GIR]</author>
  </authors>
  <commentList>
    <comment ref="M1" authorId="0" shapeId="0" xr:uid="{6ED60072-7AC6-4890-A727-395ACCAA04CE}">
      <text>
        <r>
          <rPr>
            <b/>
            <sz val="9"/>
            <color indexed="81"/>
            <rFont val="Tahoma"/>
            <family val="2"/>
          </rPr>
          <t>Allard, Victor [GIR]:</t>
        </r>
        <r>
          <rPr>
            <sz val="9"/>
            <color indexed="81"/>
            <rFont val="Tahoma"/>
            <family val="2"/>
          </rPr>
          <t xml:space="preserve">
1H 135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<sst xmlns="http://schemas.openxmlformats.org/spreadsheetml/2006/main" count="4055" uniqueCount="1781">
  <si>
    <t>EUR</t>
  </si>
  <si>
    <t>NI_BRICS_GOV</t>
  </si>
  <si>
    <t>NI_BRICS_IND</t>
  </si>
  <si>
    <t>NI_BRICS_CONS</t>
  </si>
  <si>
    <t>NI_EU_EX_UK_GOV</t>
  </si>
  <si>
    <t>NI_EU_EX_UK_IND</t>
  </si>
  <si>
    <t>NI_EU_EX_UK_CONS</t>
  </si>
  <si>
    <t>NI_UK_GOV</t>
  </si>
  <si>
    <t>NI_UK_IND</t>
  </si>
  <si>
    <t>NI_UK_CONS</t>
  </si>
  <si>
    <t>NI_US_GOV</t>
  </si>
  <si>
    <t>NI_US_IND</t>
  </si>
  <si>
    <t>NI_US_CONS</t>
  </si>
  <si>
    <t>OP_BRICS_GOV</t>
  </si>
  <si>
    <t>OP_BRICS_IND</t>
  </si>
  <si>
    <t>OP_BRICS_CONS</t>
  </si>
  <si>
    <t>OP_EU_EX_UK_GOV</t>
  </si>
  <si>
    <t>OP_EU_EX_UK_IND</t>
  </si>
  <si>
    <t>OP_EU_EX_UK_CONS</t>
  </si>
  <si>
    <t>OP_UK_GOV</t>
  </si>
  <si>
    <t>OP_UK_IND</t>
  </si>
  <si>
    <t>OP_UK_CONS</t>
  </si>
  <si>
    <t>OP_US_GOV</t>
  </si>
  <si>
    <t>OP_US_IND</t>
  </si>
  <si>
    <t>OP_US_CONS</t>
  </si>
  <si>
    <t>IND_SALES_BRICS_GOV</t>
  </si>
  <si>
    <t>IND_SALES_BRICS_IND</t>
  </si>
  <si>
    <t>IND_SALES_BRICS_CONS</t>
  </si>
  <si>
    <t>IND_SALES_EU_EX_UK_GOV</t>
  </si>
  <si>
    <t>IND_SALES_EU_EX_UK_IND</t>
  </si>
  <si>
    <t>IND_SALES_EU_EX_UK_CONS</t>
  </si>
  <si>
    <t>IND_SALES_UK_GOV</t>
  </si>
  <si>
    <t>IND_SALES_UK_IND</t>
  </si>
  <si>
    <t>IND_SALES_UK_CONS</t>
  </si>
  <si>
    <t>IND_SALES_US_GOV</t>
  </si>
  <si>
    <t>IND_SALES_US_IND</t>
  </si>
  <si>
    <t>IND_SALES_US_CONS</t>
  </si>
  <si>
    <t>IND_SALES_GOV</t>
  </si>
  <si>
    <t>IND_SALES_IND</t>
  </si>
  <si>
    <t>IND_SALES_CONS</t>
  </si>
  <si>
    <t>SALES_BRICS_GOV</t>
  </si>
  <si>
    <t>SALES_BRICS_IND</t>
  </si>
  <si>
    <t>SALES_BRICS_CONS</t>
  </si>
  <si>
    <t>SALES_EU_EX_UK_GOV</t>
  </si>
  <si>
    <t>SALES_EU_EX_UK_IND</t>
  </si>
  <si>
    <t>SALES_EU_EX_UK_CONS</t>
  </si>
  <si>
    <t>SALES_UK_GOV</t>
  </si>
  <si>
    <t>SALES_UK_IND</t>
  </si>
  <si>
    <t>SALES_UK_CONS</t>
  </si>
  <si>
    <t>SALES_US_GOV</t>
  </si>
  <si>
    <t>SALES_US_IND</t>
  </si>
  <si>
    <t>SALES_US_CONS</t>
  </si>
  <si>
    <t>NI_GOV</t>
  </si>
  <si>
    <t>NI_IND</t>
  </si>
  <si>
    <t>NI_CON</t>
  </si>
  <si>
    <t>OP_GOV</t>
  </si>
  <si>
    <t>OP_IND</t>
  </si>
  <si>
    <t>OP_CONS</t>
  </si>
  <si>
    <t>SALES_GOV</t>
  </si>
  <si>
    <t>SALES_IND</t>
  </si>
  <si>
    <t>SALES_CONS</t>
  </si>
  <si>
    <t>OP_OTHER</t>
  </si>
  <si>
    <t>OP_OTH_AEJ</t>
  </si>
  <si>
    <t>OP_NZ</t>
  </si>
  <si>
    <t>OP_AUSTRA</t>
  </si>
  <si>
    <t>OP_SK</t>
  </si>
  <si>
    <t>OP_INDIA</t>
  </si>
  <si>
    <t>OP_CHINA</t>
  </si>
  <si>
    <t>OP_JAPAN</t>
  </si>
  <si>
    <t>OP_TOT_ASIA</t>
  </si>
  <si>
    <t>OP_OTH_EMEA</t>
  </si>
  <si>
    <t>OP_RUSSIA</t>
  </si>
  <si>
    <t>OP_ME</t>
  </si>
  <si>
    <t>OP_CEE</t>
  </si>
  <si>
    <t>OP_SWIT</t>
  </si>
  <si>
    <t>OP_SWE</t>
  </si>
  <si>
    <t>OP_SPA</t>
  </si>
  <si>
    <t>OP_POR</t>
  </si>
  <si>
    <t>OP_NOR</t>
  </si>
  <si>
    <t>OP_NETH</t>
  </si>
  <si>
    <t>OP_ITA</t>
  </si>
  <si>
    <t>OP_IRE</t>
  </si>
  <si>
    <t>OP_ICE</t>
  </si>
  <si>
    <t>OP_GRE</t>
  </si>
  <si>
    <t>OP_GER</t>
  </si>
  <si>
    <t>OP_FRA</t>
  </si>
  <si>
    <t>OP_FIN</t>
  </si>
  <si>
    <t>OP_DEN</t>
  </si>
  <si>
    <t>OP_BEL</t>
  </si>
  <si>
    <t>OP_AUSTRIA</t>
  </si>
  <si>
    <t>OP_EU_EX_UK</t>
  </si>
  <si>
    <t>OP_UK</t>
  </si>
  <si>
    <t>OP_TOT_EMEA</t>
  </si>
  <si>
    <t>OP_OTH_AM</t>
  </si>
  <si>
    <t>OP_BRAZIL</t>
  </si>
  <si>
    <t>OP_CANADA</t>
  </si>
  <si>
    <t>OP_US</t>
  </si>
  <si>
    <t>OP_TOT_AM</t>
  </si>
  <si>
    <t>IND_SALES_OTHER</t>
  </si>
  <si>
    <t>IND_SALES_OTH_AEJ</t>
  </si>
  <si>
    <t>IND_SALES_NZ</t>
  </si>
  <si>
    <t>IND_SALES_AUSTRA</t>
  </si>
  <si>
    <t>IND_SALES_SK</t>
  </si>
  <si>
    <t>IND_SALES_INDIA</t>
  </si>
  <si>
    <t>IND_SALES_CHINA</t>
  </si>
  <si>
    <t>IND_SALES_JAPAN</t>
  </si>
  <si>
    <t>IND_SALES_TOT_ASIA</t>
  </si>
  <si>
    <t>IND_SALES_OTH_EMEA</t>
  </si>
  <si>
    <t>IND_SALES_RUSSIA</t>
  </si>
  <si>
    <t>IND_SALES_ME</t>
  </si>
  <si>
    <t>IND_SALES_CEE</t>
  </si>
  <si>
    <t>IND_SALES_SWIT</t>
  </si>
  <si>
    <t>IND_SALES_SWE</t>
  </si>
  <si>
    <t>IND_SALES_SPA</t>
  </si>
  <si>
    <t>IND_SALES_POR</t>
  </si>
  <si>
    <t>IND_SALES_NOR</t>
  </si>
  <si>
    <t>IND_SALES_NETH</t>
  </si>
  <si>
    <t>IND_SALES_ITA</t>
  </si>
  <si>
    <t>IND_SALES_IRE</t>
  </si>
  <si>
    <t>IND_SALES_ICE</t>
  </si>
  <si>
    <t>IND_SALES_GRE</t>
  </si>
  <si>
    <t>IND_SALES_GER</t>
  </si>
  <si>
    <t>IND_SALES_FRA</t>
  </si>
  <si>
    <t>IND_SALES_FIN</t>
  </si>
  <si>
    <t>IND_SALES_DEN</t>
  </si>
  <si>
    <t>IND_SALES_BEL</t>
  </si>
  <si>
    <t>IND_SALES_AUSTRIA</t>
  </si>
  <si>
    <t>IND_SALES_EU_EX_UK</t>
  </si>
  <si>
    <t>IND_SALES_UK</t>
  </si>
  <si>
    <t>IND_SALES_TOT_EMEA</t>
  </si>
  <si>
    <t>IND_SALES_OTH_AM</t>
  </si>
  <si>
    <t>IND_SALES_BRAZIL</t>
  </si>
  <si>
    <t>IND_SALES_CANADA</t>
  </si>
  <si>
    <t>IND_SALES_US</t>
  </si>
  <si>
    <t>IND_SALES_TOT_AM</t>
  </si>
  <si>
    <t>SALES_OTHER</t>
  </si>
  <si>
    <t>SALES_OTH_AEJ</t>
  </si>
  <si>
    <t>SALES_NZ</t>
  </si>
  <si>
    <t>SALES_AUSTRA</t>
  </si>
  <si>
    <t>SALES_SK</t>
  </si>
  <si>
    <t>SALES_INDIA</t>
  </si>
  <si>
    <t>SALES_CHINA</t>
  </si>
  <si>
    <t>SALES_JAPAN</t>
  </si>
  <si>
    <t>SALES_TOT_ASIA</t>
  </si>
  <si>
    <t>SALES_OTH_EMEA</t>
  </si>
  <si>
    <t>SALES_RUSSIA</t>
  </si>
  <si>
    <t>SALES_ME</t>
  </si>
  <si>
    <t>SALES_CEE</t>
  </si>
  <si>
    <t>SALES_SWIT</t>
  </si>
  <si>
    <t>SALES_SWE</t>
  </si>
  <si>
    <t>SALES_SPA</t>
  </si>
  <si>
    <t>SALES_POR</t>
  </si>
  <si>
    <t>SALES_NOR</t>
  </si>
  <si>
    <t>SALES_NETH</t>
  </si>
  <si>
    <t>SALES_ITA</t>
  </si>
  <si>
    <t>SALES_IRE</t>
  </si>
  <si>
    <t>SALES_ICE</t>
  </si>
  <si>
    <t>SALES_GRE</t>
  </si>
  <si>
    <t>SALES_GER</t>
  </si>
  <si>
    <t>SALES_FRA</t>
  </si>
  <si>
    <t>SALES_FIN</t>
  </si>
  <si>
    <t>SALES_DEN</t>
  </si>
  <si>
    <t>SALES_BEL</t>
  </si>
  <si>
    <t>SALES_AUSTRIA</t>
  </si>
  <si>
    <t>SALES_EU_EX_UK</t>
  </si>
  <si>
    <t>SALES_UK</t>
  </si>
  <si>
    <t>SALES_TOT_EMEA</t>
  </si>
  <si>
    <t>SALES_OTH_AM</t>
  </si>
  <si>
    <t>SALES_BRAZIL</t>
  </si>
  <si>
    <t>SALES_CANADA</t>
  </si>
  <si>
    <t>SALES_US</t>
  </si>
  <si>
    <t>SALES_TOT_AM</t>
  </si>
  <si>
    <t>PUB_CURRENCY_ISO</t>
  </si>
  <si>
    <t>PRICE_CURRENCY_ISO</t>
  </si>
  <si>
    <t>CURRENCY_ISO</t>
  </si>
  <si>
    <t>RISK_FR_RATE</t>
  </si>
  <si>
    <t>MKT_EQ_RISK_PREM</t>
  </si>
  <si>
    <t>BETA_ANALYST</t>
  </si>
  <si>
    <t>EMPLOYEES</t>
  </si>
  <si>
    <t>DIVDS_PD_MINORITIES</t>
  </si>
  <si>
    <t>NONPPE_CAPEX</t>
  </si>
  <si>
    <t>CAPEX_EXPANSION</t>
  </si>
  <si>
    <t>CAPEX_MAINTENANCE</t>
  </si>
  <si>
    <t>DIVDS_ASSOC_JV</t>
  </si>
  <si>
    <t>CASH_TAX_EXP</t>
  </si>
  <si>
    <t>CASH_INT_EXP</t>
  </si>
  <si>
    <t>OTH_DACF_ADJ</t>
  </si>
  <si>
    <t>OTH_NONCASH_ADJ</t>
  </si>
  <si>
    <t>PL_SALE_ASSETS</t>
  </si>
  <si>
    <t>CASH_TAX_PD</t>
  </si>
  <si>
    <t>CASH_INT_INC_EXP</t>
  </si>
  <si>
    <t>ASSOC_JV_ADDBK</t>
  </si>
  <si>
    <t>TOT_CF</t>
  </si>
  <si>
    <t>OTH_ITEM_NCF</t>
  </si>
  <si>
    <t>CF_FIN</t>
  </si>
  <si>
    <t>OTH_FIN_CF</t>
  </si>
  <si>
    <t>CHG_LT_DEBT</t>
  </si>
  <si>
    <t>SH_REPUR</t>
  </si>
  <si>
    <t>DIV_PAID</t>
  </si>
  <si>
    <t>CF_INV</t>
  </si>
  <si>
    <t>OTH_INV_CF</t>
  </si>
  <si>
    <t>DIVEST</t>
  </si>
  <si>
    <t>ACQ</t>
  </si>
  <si>
    <t>CAPEX</t>
  </si>
  <si>
    <t>CF_OPS</t>
  </si>
  <si>
    <t>OTH_OP_CF</t>
  </si>
  <si>
    <t>WORK_CAP</t>
  </si>
  <si>
    <t>DEPR_AMORT</t>
  </si>
  <si>
    <t>CF_INC_MINORITY</t>
  </si>
  <si>
    <t>CF_NI_PRE_PREF</t>
  </si>
  <si>
    <t>BAL_MINO_INT</t>
  </si>
  <si>
    <t>GCI_INFL</t>
  </si>
  <si>
    <t>OTH_GCI_ADJ</t>
  </si>
  <si>
    <t>ADJ_UNF_PENS_GOOD</t>
  </si>
  <si>
    <t>UNF_PENS_LIAB_OTH</t>
  </si>
  <si>
    <t>UNF_PENS_OFF</t>
  </si>
  <si>
    <t>UNF_PENS</t>
  </si>
  <si>
    <t>CO_BOR_MARGIN</t>
  </si>
  <si>
    <t>NET_DEBT_ADJ</t>
  </si>
  <si>
    <t>MV_ASSOCIATES</t>
  </si>
  <si>
    <t>DEF_INC_TAX</t>
  </si>
  <si>
    <t>CAP_LEASES</t>
  </si>
  <si>
    <t>NET_DEBT</t>
  </si>
  <si>
    <t>BVPS</t>
  </si>
  <si>
    <t>TOT_LIAB_EQ</t>
  </si>
  <si>
    <t>EQ</t>
  </si>
  <si>
    <t>MINORITIES</t>
  </si>
  <si>
    <t>ORD_SH_FUND</t>
  </si>
  <si>
    <t>PREF_SH</t>
  </si>
  <si>
    <t>TOT_LIAB</t>
  </si>
  <si>
    <t>TOT_LT_LIAB</t>
  </si>
  <si>
    <t>OTH_LT_CRED_GQ</t>
  </si>
  <si>
    <t>LT_DEBT</t>
  </si>
  <si>
    <t>SHORT_TERM_LIABS</t>
  </si>
  <si>
    <t>OTH_CUR_LIABS</t>
  </si>
  <si>
    <t>SHORT_T_DEBT</t>
  </si>
  <si>
    <t>ACC_PAY_GQ</t>
  </si>
  <si>
    <t>TOT_ASSET</t>
  </si>
  <si>
    <t>OTH_LT_ASS</t>
  </si>
  <si>
    <t>INV_SECUR</t>
  </si>
  <si>
    <t>FIX_ASS_INV</t>
  </si>
  <si>
    <t>NET_INTANG</t>
  </si>
  <si>
    <t>ACC_AMORT</t>
  </si>
  <si>
    <t>GR_INTANG</t>
  </si>
  <si>
    <t>NET_FIX_ASS</t>
  </si>
  <si>
    <t>ACC_DDA</t>
  </si>
  <si>
    <t>GR_FIX_ASS</t>
  </si>
  <si>
    <t>CUR_ASS</t>
  </si>
  <si>
    <t>OTH_CUR_ASS</t>
  </si>
  <si>
    <t>STOCKS</t>
  </si>
  <si>
    <t>DEBTORS</t>
  </si>
  <si>
    <t>CASH_EQ</t>
  </si>
  <si>
    <t>MARGIN_TAX_RATE</t>
  </si>
  <si>
    <t>OTH_INT_AMORT</t>
  </si>
  <si>
    <t>GW_AMORT</t>
  </si>
  <si>
    <t>ASSOCIATE_OP</t>
  </si>
  <si>
    <t>NET_INT_CH</t>
  </si>
  <si>
    <t>LEASE_DEEM_DEPR</t>
  </si>
  <si>
    <t>LEASE_DEEM_INT</t>
  </si>
  <si>
    <t>LEASE_PAY</t>
  </si>
  <si>
    <t>ORG_REV_GRTH</t>
  </si>
  <si>
    <t>ORG_REV</t>
  </si>
  <si>
    <t>ORG_EPS</t>
  </si>
  <si>
    <t>ORG_NI</t>
  </si>
  <si>
    <t>NON_OP_ADD</t>
  </si>
  <si>
    <t>DILUTE_SHARES</t>
  </si>
  <si>
    <t>SH1</t>
  </si>
  <si>
    <t>DPS</t>
  </si>
  <si>
    <t>COMMON_DIV_PAID</t>
  </si>
  <si>
    <t>FULLY_DIL_EPS</t>
  </si>
  <si>
    <t>EPS_POST_BASIC</t>
  </si>
  <si>
    <t>EPS_FUL_DIL</t>
  </si>
  <si>
    <t>EPS</t>
  </si>
  <si>
    <t>NET_INC</t>
  </si>
  <si>
    <t>TAX_EXC</t>
  </si>
  <si>
    <t>NET_EARNING</t>
  </si>
  <si>
    <t>PREF_DIV</t>
  </si>
  <si>
    <t>NI_PRE_PREF</t>
  </si>
  <si>
    <t>INC_MINORITY</t>
  </si>
  <si>
    <t>PROV_INC_TAX</t>
  </si>
  <si>
    <t>PT_PROF</t>
  </si>
  <si>
    <t>OTH_COST_INC</t>
  </si>
  <si>
    <t>PROFIT_ON_DISP</t>
  </si>
  <si>
    <t>ASSOCIATE</t>
  </si>
  <si>
    <t>NET_INT_EXP</t>
  </si>
  <si>
    <t>INT_EXP_IND</t>
  </si>
  <si>
    <t>INT_INC_IND</t>
  </si>
  <si>
    <t>EBIT</t>
  </si>
  <si>
    <t>GOODWILL_AMORT</t>
  </si>
  <si>
    <t>DEPREC</t>
  </si>
  <si>
    <t>EBITDA_CALC</t>
  </si>
  <si>
    <t>TOT_OPS_EXP</t>
  </si>
  <si>
    <t>TOT_OPS_EXP_DDA</t>
  </si>
  <si>
    <t>OTH_OP_INC_EXP</t>
  </si>
  <si>
    <t>RD_EXP</t>
  </si>
  <si>
    <t>OP_COST</t>
  </si>
  <si>
    <t>SEL_GL_AD</t>
  </si>
  <si>
    <t>COST_GD_SD</t>
  </si>
  <si>
    <t>SALES</t>
  </si>
  <si>
    <t>EQ_PUB</t>
  </si>
  <si>
    <t>REVS_PUB</t>
  </si>
  <si>
    <t>PTP_PUB</t>
  </si>
  <si>
    <t>EBIT_PUB</t>
  </si>
  <si>
    <t>NI_PUB</t>
  </si>
  <si>
    <t>NET_DEBT_PUB</t>
  </si>
  <si>
    <t>EV_ADJ_PUB</t>
  </si>
  <si>
    <t>EPS_PUB</t>
  </si>
  <si>
    <t>EBITDA_PUB</t>
  </si>
  <si>
    <t>DPS_PUB</t>
  </si>
  <si>
    <t>BVPS_PUB</t>
  </si>
  <si>
    <t>FREE_FLOAT</t>
  </si>
  <si>
    <t>NUM_SH1</t>
  </si>
  <si>
    <t>TP_PERIOD</t>
  </si>
  <si>
    <t>TARGET_PRICE</t>
  </si>
  <si>
    <t>Coverage Suspended</t>
  </si>
  <si>
    <t>LEGAL_RATING</t>
  </si>
  <si>
    <t>EURO_CONVICTION</t>
  </si>
  <si>
    <t>EURO_LIST</t>
  </si>
  <si>
    <t>ACC_END_DATE</t>
  </si>
  <si>
    <t>AUTO-GENERATED BY TIGR NUMBERS SUBMISSION. DO NOT MODIFY OR DELETE!</t>
  </si>
  <si>
    <t>2011 H2</t>
  </si>
  <si>
    <t>2011 H1</t>
  </si>
  <si>
    <t>2010 H2</t>
  </si>
  <si>
    <t>2010 H1</t>
  </si>
  <si>
    <t>2009 H2</t>
  </si>
  <si>
    <t>2009 H1</t>
  </si>
  <si>
    <t>2008 H2</t>
  </si>
  <si>
    <t>2008 H1</t>
  </si>
  <si>
    <t>2007 H2</t>
  </si>
  <si>
    <t>2007 H1</t>
  </si>
  <si>
    <t>2006 H2</t>
  </si>
  <si>
    <t>2006 H1</t>
  </si>
  <si>
    <t>Organic revenues (excl. acquisitions)</t>
  </si>
  <si>
    <t>Organic EPS (excl. acquisitions)</t>
  </si>
  <si>
    <t>Organic net income (excl. acquisitions)</t>
  </si>
  <si>
    <t>Indirect Sales BRICs/other - % Government (G)</t>
  </si>
  <si>
    <t>Indirect Sales BRICs/other - % Industry (I)</t>
  </si>
  <si>
    <t>Indirect Sales BRICs/other - % Consumer (C)</t>
  </si>
  <si>
    <t>Indirect Sales Dev. EU ex UK - % Government (G)</t>
  </si>
  <si>
    <t>Indirect Sales Dev. EU ex UK - % Industry (I)</t>
  </si>
  <si>
    <t>Indirect Sales Dev. EU ex UK - % Consumer (C)</t>
  </si>
  <si>
    <t>Indirect Sales UK - % Government (G)</t>
  </si>
  <si>
    <t>Indirect Sales UK - % Industry (I)</t>
  </si>
  <si>
    <t>Indirect Sales UK - % Consumer (C)</t>
  </si>
  <si>
    <t>Indirect Sales US - % Government (G)</t>
  </si>
  <si>
    <t>Indirect Sales US - % Industry (I)</t>
  </si>
  <si>
    <t>Indirect Sales US - % Consumer (C)</t>
  </si>
  <si>
    <t>Indirect Sales -% Government (G)</t>
  </si>
  <si>
    <t>Indirect Sales -% Industry (I)</t>
  </si>
  <si>
    <t>Indirect Sales -% Consumer (C)</t>
  </si>
  <si>
    <t>Indirect Sales - % Others</t>
  </si>
  <si>
    <t>Indirect Sales - % Other AEJ (incl Taiwan)</t>
  </si>
  <si>
    <t>Indirect Sales - % New Zealand</t>
  </si>
  <si>
    <t>Indirect Sales - % Australia</t>
  </si>
  <si>
    <t>Indirect Sales - % South Korea</t>
  </si>
  <si>
    <t>Indirect Sales - % India</t>
  </si>
  <si>
    <t>Indirect Sales - % Greater China (incl HK)</t>
  </si>
  <si>
    <t>Indirect Sales - % Japan</t>
  </si>
  <si>
    <t>Indirect Sales - Total % Asia (incl Australia &amp; New Zealand)</t>
  </si>
  <si>
    <t>Indirect Sales - % Other EMEA</t>
  </si>
  <si>
    <t>Indirect Sales - % Russia</t>
  </si>
  <si>
    <t>Indirect Sales - % Middle East</t>
  </si>
  <si>
    <t>Indirect Sales - % Central &amp; Eastern Europe</t>
  </si>
  <si>
    <t>Indirect Sales - % Switzerland</t>
  </si>
  <si>
    <t>Indirect Sales - % Sweden</t>
  </si>
  <si>
    <t>Indirect Sales - % Spain</t>
  </si>
  <si>
    <t>Indirect Sales - % Portugal</t>
  </si>
  <si>
    <t>Indirect Sales - % Norway</t>
  </si>
  <si>
    <t>Indirect Sales - % Netherlands</t>
  </si>
  <si>
    <t>Indirect Sales - % Italy</t>
  </si>
  <si>
    <t>Indirect Sales - % Ireland</t>
  </si>
  <si>
    <t>Indirect Sales - % Iceland</t>
  </si>
  <si>
    <t>Indirect Sales - % Greece</t>
  </si>
  <si>
    <t>Indirect Sales - % Germany</t>
  </si>
  <si>
    <t>Indirect Sales - % France</t>
  </si>
  <si>
    <t>Indirect Sales - % Finland</t>
  </si>
  <si>
    <t>Indirect Sales - % Denmark</t>
  </si>
  <si>
    <t>Indirect Sales - % Belgium</t>
  </si>
  <si>
    <t>Indirect Sales - % Austria</t>
  </si>
  <si>
    <t>Indirect Sales - % Europe-Ex UK</t>
  </si>
  <si>
    <t>Indirect Sales - % UK</t>
  </si>
  <si>
    <t>Indirect Sales - Total % EMEA</t>
  </si>
  <si>
    <t>Indirect Sales - % Other Americas</t>
  </si>
  <si>
    <t>Indirect Sales - % Brazil</t>
  </si>
  <si>
    <t>Indirect Sales - % Canada</t>
  </si>
  <si>
    <t>Indirect Sales - % United States</t>
  </si>
  <si>
    <t>Indirect Sales - % Total Americas</t>
  </si>
  <si>
    <t>Organic sales growth (excl. acquisitions)</t>
  </si>
  <si>
    <t>Operating Profit - % New Zealand</t>
  </si>
  <si>
    <t>Operating Profit - % Australia</t>
  </si>
  <si>
    <t>Operating Profit - % Switzerland</t>
  </si>
  <si>
    <t>Operating Profit - % Sweden</t>
  </si>
  <si>
    <t>Operating Profit - % Spain</t>
  </si>
  <si>
    <t>Operating Profit - % Portugal</t>
  </si>
  <si>
    <t>Operating Profit - % Norway</t>
  </si>
  <si>
    <t>Operating Profit - % Netherlands</t>
  </si>
  <si>
    <t>Operating Profit - % Italy</t>
  </si>
  <si>
    <t>Operating Profit - % Ireland</t>
  </si>
  <si>
    <t>Operating Profit - % Iceland</t>
  </si>
  <si>
    <t>Operating Profit - % Greece</t>
  </si>
  <si>
    <t>Operating Profit - % Germany</t>
  </si>
  <si>
    <t>Operating Profit - % France</t>
  </si>
  <si>
    <t>Operating Profit - % Finland</t>
  </si>
  <si>
    <t>Operating Profit - % Denmark</t>
  </si>
  <si>
    <t>Operating Profit - % Belgium</t>
  </si>
  <si>
    <t>Operating Profit - % Austria</t>
  </si>
  <si>
    <t>Sales - % New Zealand</t>
  </si>
  <si>
    <t>Sales - % Australia</t>
  </si>
  <si>
    <t>Sales - % Switzerland</t>
  </si>
  <si>
    <t>Sales - % Sweden</t>
  </si>
  <si>
    <t>Sales - % Spain</t>
  </si>
  <si>
    <t>Sales - % Portugal</t>
  </si>
  <si>
    <t>Sales - % Norway</t>
  </si>
  <si>
    <t>Sales - % Netherlands</t>
  </si>
  <si>
    <t>Sales - % Italy</t>
  </si>
  <si>
    <t>Sales - % Ireland</t>
  </si>
  <si>
    <t>Sales - % Iceland</t>
  </si>
  <si>
    <t>Sales - % Greece</t>
  </si>
  <si>
    <t>Sales - % Germany</t>
  </si>
  <si>
    <t>Sales - % France</t>
  </si>
  <si>
    <t>Sales - % Finland</t>
  </si>
  <si>
    <t>Sales - % Denmark</t>
  </si>
  <si>
    <t>Sales - % Belgium</t>
  </si>
  <si>
    <t>Sales - % Austria</t>
  </si>
  <si>
    <t>Net Income  BRICs/other - % Government (G)</t>
  </si>
  <si>
    <t>Net Income  BRICs/other - % Industry (I)</t>
  </si>
  <si>
    <t>Net Income  BRICs/other - % Consumer (C)</t>
  </si>
  <si>
    <t>Net Income  Dev, EU ex-UK% Government (G)</t>
  </si>
  <si>
    <t>Net Income  Dev, EU ex-UK% Industry (I)</t>
  </si>
  <si>
    <t>Net Income  Dev, EU ex-UK% Consumer (C)</t>
  </si>
  <si>
    <t>Net Income  UK - % Government (G)</t>
  </si>
  <si>
    <t>Net Income  UK - % Industry (I)</t>
  </si>
  <si>
    <t>Net Income  UK - % Consumer (C)</t>
  </si>
  <si>
    <t>Net Income  US - % Government (G)</t>
  </si>
  <si>
    <t>Net Income  US - % Industry (I)</t>
  </si>
  <si>
    <t>Net Income  US - % Consumer (C)</t>
  </si>
  <si>
    <t>Operating Profit BRICs/other - % Government (G)</t>
  </si>
  <si>
    <t>Operating Profit BRICs/other - % Industry (I)</t>
  </si>
  <si>
    <t>Operating Profit BRICs/other - % Consumer (C)</t>
  </si>
  <si>
    <t>Operating Profit Dev, EU ex-UK% Government (G)</t>
  </si>
  <si>
    <t>Operating Profit Dev, EU ex-UK% Industry (I)</t>
  </si>
  <si>
    <t>Operating Profit Dev, EU ex-UK% Consumer (C)</t>
  </si>
  <si>
    <t>Operating Profit UK - % Government (G)</t>
  </si>
  <si>
    <t>Operating Profit UK - % Industry (I)</t>
  </si>
  <si>
    <t>Operating Profit UK - % Consumer (C)</t>
  </si>
  <si>
    <t>Operating Profit US - % Government (G)</t>
  </si>
  <si>
    <t>Operating Profit US - % Industry (I)</t>
  </si>
  <si>
    <t>Operating Profit US - % Consumer (C)</t>
  </si>
  <si>
    <t>Sales BRICs/other - % Government (G)</t>
  </si>
  <si>
    <t>Sales BRICs/other - % Industry (I)</t>
  </si>
  <si>
    <t>Sales BRICs/other - % Consumer (C)</t>
  </si>
  <si>
    <t>Sales Dev. EU ex UK - % Government (G)</t>
  </si>
  <si>
    <t>Sales Dev. EU ex UK - % Industry (I)</t>
  </si>
  <si>
    <t>Sales Dev. EU ex UK - % Consumer (C)</t>
  </si>
  <si>
    <t>Sales UK - % Government (G)</t>
  </si>
  <si>
    <t>Sales UK - % Industry (I)</t>
  </si>
  <si>
    <t>Sales UK - % Consumer (C)</t>
  </si>
  <si>
    <t>Sales US - % Government (G)</t>
  </si>
  <si>
    <t>Sales US - % Industry (I)</t>
  </si>
  <si>
    <t>Sales US - % Consumer (C)</t>
  </si>
  <si>
    <t>Net Income - % Government (G)</t>
  </si>
  <si>
    <t>Net Income - % Industry (I)</t>
  </si>
  <si>
    <t>Net Income - % Consumer (C)</t>
  </si>
  <si>
    <t>Operating Profit - % Government (G)</t>
  </si>
  <si>
    <t>Operating Profit - % Industry (I)</t>
  </si>
  <si>
    <t>Operating Profit - % Consumer (C)</t>
  </si>
  <si>
    <t>Sales -% Government (G)</t>
  </si>
  <si>
    <t>Sales -% Industry (I)</t>
  </si>
  <si>
    <t>Sales -% Consumer (C)</t>
  </si>
  <si>
    <t>Operating Profit - % Others</t>
  </si>
  <si>
    <t>Operating Profit - % Other AEJ (incl Taiwan)</t>
  </si>
  <si>
    <t>Operating Profit - % South Korea</t>
  </si>
  <si>
    <t>Operating Profit - % India</t>
  </si>
  <si>
    <t>Operating Profit - % Greater China (incl HK)</t>
  </si>
  <si>
    <t>Operating Profit - % Japan</t>
  </si>
  <si>
    <t>Operating Profit - Total % Asia (incl Australia &amp; New Zealand)</t>
  </si>
  <si>
    <t>Operating Profit - % Other EMEA</t>
  </si>
  <si>
    <t>Operating Profit - % Russia</t>
  </si>
  <si>
    <t>Operating Profit - % Middle East</t>
  </si>
  <si>
    <t>Operating Profit - % Central &amp; Eastern Europe</t>
  </si>
  <si>
    <t>Operating Profit - % Europe-Ex UK</t>
  </si>
  <si>
    <t>Operating Profit - % UK</t>
  </si>
  <si>
    <t>Operating Profit - Total % EMEA</t>
  </si>
  <si>
    <t>Operating Profit - % Other Americas</t>
  </si>
  <si>
    <t>Operating Profit - % Brazil</t>
  </si>
  <si>
    <t>Operating Profit - % Canada</t>
  </si>
  <si>
    <t>Operating Profit - % United States</t>
  </si>
  <si>
    <t>Operating Profit - % Total Americas</t>
  </si>
  <si>
    <t>Sales - % Others</t>
  </si>
  <si>
    <t>Sales - % Other AEJ (incl Taiwan)</t>
  </si>
  <si>
    <t>Sales - % South Korea</t>
  </si>
  <si>
    <t>Sales - % India</t>
  </si>
  <si>
    <t>Sales - % Greater China (incl HK)</t>
  </si>
  <si>
    <t>Sales - % Japan</t>
  </si>
  <si>
    <t>Sales - Total % Asia (incl Australia &amp; New Zealand)</t>
  </si>
  <si>
    <t>Sales - % Other EMEA</t>
  </si>
  <si>
    <t>Sales - % Russia</t>
  </si>
  <si>
    <t>Sales - % Middle East</t>
  </si>
  <si>
    <t>Sales - % Central &amp; Eastern Europe</t>
  </si>
  <si>
    <t>Sales - % Europe-Ex UK</t>
  </si>
  <si>
    <t>Sales - % UK</t>
  </si>
  <si>
    <t>Sales - Total % EMEA</t>
  </si>
  <si>
    <t>Sales - % Other Americas</t>
  </si>
  <si>
    <t>Sales - % Brazil</t>
  </si>
  <si>
    <t>Sales - % Canada</t>
  </si>
  <si>
    <t>Sales - % United States</t>
  </si>
  <si>
    <t>Sales - % Total Americas</t>
  </si>
  <si>
    <t>#1520</t>
  </si>
  <si>
    <t>Geographical Breakdown</t>
  </si>
  <si>
    <t>Total net depreciating assets</t>
  </si>
  <si>
    <t>Total investor funds</t>
  </si>
  <si>
    <t>Total investments</t>
  </si>
  <si>
    <t>Total financing flow</t>
  </si>
  <si>
    <t>Total depreciating assets</t>
  </si>
  <si>
    <t>Tax rate</t>
  </si>
  <si>
    <t>Tax on non-operating income</t>
  </si>
  <si>
    <t>Taxes on EBITAL</t>
  </si>
  <si>
    <t>Taxes on EBITA</t>
  </si>
  <si>
    <t>Surplus/(deficit)</t>
  </si>
  <si>
    <t>Current liabilities (excl. short-term debt)</t>
  </si>
  <si>
    <t>Retained earnings</t>
  </si>
  <si>
    <t>Post-tax cash flow from operations</t>
  </si>
  <si>
    <t>Other current liabilities (excl. short-term debt)</t>
  </si>
  <si>
    <t>Other operating assets (net of other liabilities)</t>
  </si>
  <si>
    <t>Other long-term liabilities (negative sign)</t>
  </si>
  <si>
    <t>Other items cash flow</t>
  </si>
  <si>
    <t>Other common equity, warrants, options, etc.</t>
  </si>
  <si>
    <t>Operating working capital</t>
  </si>
  <si>
    <t>Operating invested capital (excl. goodwill)</t>
  </si>
  <si>
    <t>Operating current assets</t>
  </si>
  <si>
    <t>Operating capital</t>
  </si>
  <si>
    <t>Notes payable</t>
  </si>
  <si>
    <t>NOPLAT</t>
  </si>
  <si>
    <t>Non-depreciating assets</t>
  </si>
  <si>
    <t>Non-interest bearing current liabilities</t>
  </si>
  <si>
    <t>Net interest expense after-tax</t>
  </si>
  <si>
    <t>Net cash flow from operations</t>
  </si>
  <si>
    <t>Lease payments (after-tax)</t>
  </si>
  <si>
    <t>NPV of capital leases</t>
  </si>
  <si>
    <t>Gross cash flow</t>
  </si>
  <si>
    <t>FCF to all investors</t>
  </si>
  <si>
    <t>FMCC</t>
  </si>
  <si>
    <t>Exceptionals (pre-tax)</t>
  </si>
  <si>
    <t>Economic profit</t>
  </si>
  <si>
    <t>Deferred tax liabilities (non-current portion)</t>
  </si>
  <si>
    <t>Deferred tax asset (non-current portion)</t>
  </si>
  <si>
    <t>Debt adjusted cash flow</t>
  </si>
  <si>
    <t>Deferred tax liabilities (current portion)</t>
  </si>
  <si>
    <t>Deferred tax assets (current portion)</t>
  </si>
  <si>
    <t>Common stock</t>
  </si>
  <si>
    <t>Change in other long-term liabilities or creditors</t>
  </si>
  <si>
    <t>Change in preferred shares</t>
  </si>
  <si>
    <t>Change in minority interest</t>
  </si>
  <si>
    <t>Change in deferred taxes (long-term portion only)</t>
  </si>
  <si>
    <t>Net profit/(loss) on asset sales (Operating CF)</t>
  </si>
  <si>
    <t>Net profit/(loss) on asset sales (Investing CF)</t>
  </si>
  <si>
    <t>Cash flow available to investors</t>
  </si>
  <si>
    <t>Cash EPS</t>
  </si>
  <si>
    <t>Capital employed</t>
  </si>
  <si>
    <t>Gross cash invested</t>
  </si>
  <si>
    <t>After-tax non-operating income</t>
  </si>
  <si>
    <t>Adjusted equity</t>
  </si>
  <si>
    <t>Adjusted capital employed</t>
  </si>
  <si>
    <t>Accounts payable</t>
  </si>
  <si>
    <t>Date on which the security was converted</t>
  </si>
  <si>
    <t>#230</t>
  </si>
  <si>
    <t>Items to be removed</t>
  </si>
  <si>
    <t>Risk-free rate</t>
  </si>
  <si>
    <t>Market equity risk premium</t>
  </si>
  <si>
    <t>Beta</t>
  </si>
  <si>
    <t>Number of employees</t>
  </si>
  <si>
    <t>#60</t>
  </si>
  <si>
    <t>Other Items</t>
  </si>
  <si>
    <t>Dividends paid to minorities</t>
  </si>
  <si>
    <t>Non-PP&amp;E capex</t>
  </si>
  <si>
    <t>Capex expansion</t>
  </si>
  <si>
    <t>Capex maintenance</t>
  </si>
  <si>
    <t>Dividends received from associates/JVs</t>
  </si>
  <si>
    <t>Cash tax expense</t>
  </si>
  <si>
    <t>Cash interest expense</t>
  </si>
  <si>
    <t>Other DACF adjustments</t>
  </si>
  <si>
    <t>Other non-cash adjustments</t>
  </si>
  <si>
    <t>Profit/(loss) on sale of assets</t>
  </si>
  <si>
    <t>Cash taxes paid</t>
  </si>
  <si>
    <t>Cash interest income/(expense)</t>
  </si>
  <si>
    <t>Associate and JV add-back</t>
  </si>
  <si>
    <t>#55</t>
  </si>
  <si>
    <t>Additional Cash Flow Items</t>
  </si>
  <si>
    <t>Total cash flow</t>
  </si>
  <si>
    <t>Other items net cash flow</t>
  </si>
  <si>
    <t>Cash flow from financing</t>
  </si>
  <si>
    <t>Other financing cash flow items</t>
  </si>
  <si>
    <t>Increase/(decrease) in total debt</t>
  </si>
  <si>
    <t>Common stock issuance/(repurchase)</t>
  </si>
  <si>
    <t>Dividends paid</t>
  </si>
  <si>
    <t>Cash flow from investing</t>
  </si>
  <si>
    <t>Other investing cash flow items</t>
  </si>
  <si>
    <t>Divestitures</t>
  </si>
  <si>
    <t>Acquisitions</t>
  </si>
  <si>
    <t>Capital expenditures, Capex</t>
  </si>
  <si>
    <t>Cash flow from operating activities</t>
  </si>
  <si>
    <t>Other operating cash flow items</t>
  </si>
  <si>
    <t>(Increase)/decrease in working capital</t>
  </si>
  <si>
    <t>Depreciation &amp; amortization add-back</t>
  </si>
  <si>
    <t>Minority interest add-back</t>
  </si>
  <si>
    <t>Net income (pre-preferred dividends)</t>
  </si>
  <si>
    <t>#50</t>
  </si>
  <si>
    <t>Cash Flow Statement</t>
  </si>
  <si>
    <t>Minority interest</t>
  </si>
  <si>
    <t>GCI inflator</t>
  </si>
  <si>
    <t>Other GCI adjustments</t>
  </si>
  <si>
    <t>Adjustment for unfunded pensions &amp; goodwill</t>
  </si>
  <si>
    <t>Unfunded pension liabilities &amp; other, used in EV</t>
  </si>
  <si>
    <t>Unfunded pension liabilities (off balance sheet)</t>
  </si>
  <si>
    <t>Unfunded pensions &amp; other provisions</t>
  </si>
  <si>
    <t>Company borrowing margin</t>
  </si>
  <si>
    <t>Net debt adjustment</t>
  </si>
  <si>
    <t>Associates (mkt value) used in EV calculation</t>
  </si>
  <si>
    <t>Deferred income taxes</t>
  </si>
  <si>
    <t>Capitalized leases</t>
  </si>
  <si>
    <t>CH: Company Defined</t>
  </si>
  <si>
    <t>Net debt</t>
  </si>
  <si>
    <t>#45</t>
  </si>
  <si>
    <t>Additional Balance Sheet Items</t>
  </si>
  <si>
    <t>BVPS, book value per share</t>
  </si>
  <si>
    <t>Total liabilities and equity</t>
  </si>
  <si>
    <t>Total shareholders' equity</t>
  </si>
  <si>
    <t>Total common equity</t>
  </si>
  <si>
    <t>Preferred shares</t>
  </si>
  <si>
    <t>Total liabilities</t>
  </si>
  <si>
    <t>Total long-term liabilities</t>
  </si>
  <si>
    <t>Other long-term liabilities</t>
  </si>
  <si>
    <t>Long-term  debt</t>
  </si>
  <si>
    <t>Total current liabilities</t>
  </si>
  <si>
    <t>Other current liabilities</t>
  </si>
  <si>
    <t>Short-term debt</t>
  </si>
  <si>
    <t>Total assets</t>
  </si>
  <si>
    <t>Other long-term assets</t>
  </si>
  <si>
    <t>Investments in securities</t>
  </si>
  <si>
    <t>Equity method investments</t>
  </si>
  <si>
    <t>Net intangible assets</t>
  </si>
  <si>
    <t>Accumulated amortization</t>
  </si>
  <si>
    <t>Gross intangibles</t>
  </si>
  <si>
    <t>Net PP&amp;E</t>
  </si>
  <si>
    <t>Accumulated depreciation</t>
  </si>
  <si>
    <t>Gross fixed assets, PP&amp;E</t>
  </si>
  <si>
    <t>Total current assets</t>
  </si>
  <si>
    <t>Other current assets</t>
  </si>
  <si>
    <t>Inventory</t>
  </si>
  <si>
    <t>Accounts receivable</t>
  </si>
  <si>
    <t>Cash &amp; cash equivalents</t>
  </si>
  <si>
    <t>#40</t>
  </si>
  <si>
    <t>Balance Sheet</t>
  </si>
  <si>
    <t>Marginal tax rate</t>
  </si>
  <si>
    <t>Other intangible amortization</t>
  </si>
  <si>
    <t>Goodwill amortization</t>
  </si>
  <si>
    <t>Income from associates (operating)</t>
  </si>
  <si>
    <t>Gross interest charge</t>
  </si>
  <si>
    <t>Lease payments (deemed depreciation portion)</t>
  </si>
  <si>
    <t>Lease payments (deemed interest portion)</t>
  </si>
  <si>
    <t>Lease payments</t>
  </si>
  <si>
    <t>#31</t>
  </si>
  <si>
    <t>Additional Income Statement Items</t>
  </si>
  <si>
    <t>Period-end shares outstanding</t>
  </si>
  <si>
    <t>Diluted average shares outstanding (mn)</t>
  </si>
  <si>
    <t>Weighted average shares outstanding, basic</t>
  </si>
  <si>
    <t>DPS, dividend per share</t>
  </si>
  <si>
    <t>Common dividends paid</t>
  </si>
  <si>
    <t>EPS (post-exceptionals, diluted)</t>
  </si>
  <si>
    <t>EPS (post-exceptionals, basic)</t>
  </si>
  <si>
    <t>EPS (pre-exceptionals, diluted)</t>
  </si>
  <si>
    <t>EPS (pre-exceptionals, basic)</t>
  </si>
  <si>
    <t>Net income (post-exceptionals)</t>
  </si>
  <si>
    <t>CH: Income from discontinued operations</t>
  </si>
  <si>
    <t>Post-tax exceptionals</t>
  </si>
  <si>
    <t>Net income (pre-exceptionals)</t>
  </si>
  <si>
    <t>Preferred dividends</t>
  </si>
  <si>
    <t>Provision for income tax</t>
  </si>
  <si>
    <t>Pre-tax profit</t>
  </si>
  <si>
    <t>Other non-ops income/(expense)</t>
  </si>
  <si>
    <t>Profit/(loss) on disposals of assets, pre-tax</t>
  </si>
  <si>
    <t>Income/(loss) from unconsolidated subs &amp; associates</t>
  </si>
  <si>
    <t>Net interest income/(expense)</t>
  </si>
  <si>
    <t>Interest expense</t>
  </si>
  <si>
    <t>Interest income</t>
  </si>
  <si>
    <t>EBIT, operating profit</t>
  </si>
  <si>
    <t>CH: This includes impairment charges (to reconcile between GS EBITDA (which excludes impairments) and company defined underlying EBIT which includes impairment charges)</t>
  </si>
  <si>
    <t>Amortization</t>
  </si>
  <si>
    <t>Depreciation</t>
  </si>
  <si>
    <t>EBITDA</t>
  </si>
  <si>
    <t>Total operating expense (excl. D&amp;A)</t>
  </si>
  <si>
    <t>Total operating expense (incl. D&amp;A)</t>
  </si>
  <si>
    <t>Other operating income/(expense) (incl. leases)</t>
  </si>
  <si>
    <t>R&amp;D expense</t>
  </si>
  <si>
    <t>Total operating expense</t>
  </si>
  <si>
    <t>SG&amp;A, selling, general and admin. expense</t>
  </si>
  <si>
    <t>Cost of goods sold, COGS</t>
  </si>
  <si>
    <t>Sales, net revenue</t>
  </si>
  <si>
    <t>#30</t>
  </si>
  <si>
    <t>Income Statement</t>
  </si>
  <si>
    <t>EPS (Pub)</t>
  </si>
  <si>
    <t>Net income (Pub)</t>
  </si>
  <si>
    <t>Pre-tax profit (Pub)</t>
  </si>
  <si>
    <t>EBITDA (Pub)</t>
  </si>
  <si>
    <t>#29</t>
  </si>
  <si>
    <t>Other &amp; Corporate Income Statement</t>
  </si>
  <si>
    <t>Total shareholders' equity (Pub)</t>
  </si>
  <si>
    <t>Sales, revenue (Pub)</t>
  </si>
  <si>
    <t>EBIT, operating profit (Pub)</t>
  </si>
  <si>
    <t>Net debt (Pub)</t>
  </si>
  <si>
    <t>Long-term EPS growth estimate (Pub)</t>
  </si>
  <si>
    <t>EV adjustment (Pub)</t>
  </si>
  <si>
    <t>CH: GS A&amp;D standard EBITDA (company defined underlying EBIT exclusing any additional depreciation, amortisation or impairments)</t>
  </si>
  <si>
    <t>DPS, dividend per share (Pub)</t>
  </si>
  <si>
    <t>Book value per share, BVPS (Pub)</t>
  </si>
  <si>
    <t>#20</t>
  </si>
  <si>
    <t>Publishing Items</t>
  </si>
  <si>
    <t>Free float</t>
  </si>
  <si>
    <t>Current shares outstanding (mn)</t>
  </si>
  <si>
    <t>Target price period</t>
  </si>
  <si>
    <t>Target price</t>
  </si>
  <si>
    <t>Legal rating</t>
  </si>
  <si>
    <t>Pan Europe Conviction List</t>
  </si>
  <si>
    <t>Pan Europe Investment List</t>
  </si>
  <si>
    <t>#10</t>
  </si>
  <si>
    <t>General Information</t>
  </si>
  <si>
    <t>Pricing currency_1</t>
  </si>
  <si>
    <t>Pricing currency</t>
  </si>
  <si>
    <t>Publishing currency</t>
  </si>
  <si>
    <t>Reporting currency</t>
  </si>
  <si>
    <t>Semiannual</t>
  </si>
  <si>
    <t>Interim type</t>
  </si>
  <si>
    <t>Safran</t>
  </si>
  <si>
    <t>Company name</t>
  </si>
  <si>
    <t>SAF.PA</t>
  </si>
  <si>
    <t>Ticker_1</t>
  </si>
  <si>
    <t>Ticker</t>
  </si>
  <si>
    <t>#0</t>
  </si>
  <si>
    <t>Reference data</t>
  </si>
  <si>
    <t>Estimate</t>
  </si>
  <si>
    <t>Actual</t>
  </si>
  <si>
    <t>Quantum submission sheet for SAF.PA</t>
  </si>
  <si>
    <t>Total</t>
  </si>
  <si>
    <t>Communications</t>
  </si>
  <si>
    <t>Defence</t>
  </si>
  <si>
    <t>Cash conversion</t>
  </si>
  <si>
    <t>Sales growth</t>
  </si>
  <si>
    <t>Growth</t>
  </si>
  <si>
    <t>2016E</t>
  </si>
  <si>
    <t>Excess customer advances</t>
  </si>
  <si>
    <t>EV</t>
  </si>
  <si>
    <t>Cash</t>
  </si>
  <si>
    <t>Other</t>
  </si>
  <si>
    <t>FX</t>
  </si>
  <si>
    <t>Cost of Net Debt</t>
  </si>
  <si>
    <t>as a % of sales</t>
  </si>
  <si>
    <t>Adjusted Revenues</t>
  </si>
  <si>
    <t>Sales</t>
  </si>
  <si>
    <t>R&amp;D</t>
  </si>
  <si>
    <t>Working Capital</t>
  </si>
  <si>
    <t>Accumulated Depreciation</t>
  </si>
  <si>
    <t>Gross PP&amp;E</t>
  </si>
  <si>
    <t>Accumulated Amortisation</t>
  </si>
  <si>
    <t>of which Intangibles</t>
  </si>
  <si>
    <t>of which Goodwill</t>
  </si>
  <si>
    <t>Gross Intangibles</t>
  </si>
  <si>
    <t>Gross Assets</t>
  </si>
  <si>
    <t>Customer Funded - as a % of sales</t>
  </si>
  <si>
    <t>Defined as self funded - as a % of sales</t>
  </si>
  <si>
    <t>Cash R&amp;D - as a % of sales</t>
  </si>
  <si>
    <t>Capitalised R&amp;D - as a % of sales</t>
  </si>
  <si>
    <t>of which amortisation - as a % of sales</t>
  </si>
  <si>
    <t>P&amp;L expensed R&amp;D - as a % of sales</t>
  </si>
  <si>
    <t>Customer Funded</t>
  </si>
  <si>
    <t>Defined as self funded</t>
  </si>
  <si>
    <t>Cash R&amp;D</t>
  </si>
  <si>
    <t>Capitalised R&amp;D</t>
  </si>
  <si>
    <t>of which amortisation</t>
  </si>
  <si>
    <t>P&amp;L expensed R&amp;D</t>
  </si>
  <si>
    <t>Research and Development Expenditure</t>
  </si>
  <si>
    <t>Leverage Anaylsis</t>
  </si>
  <si>
    <t>Change in Payables</t>
  </si>
  <si>
    <t>Change in Receivables</t>
  </si>
  <si>
    <t>Operating Current Liabilities</t>
  </si>
  <si>
    <t>Current tax liabilities</t>
  </si>
  <si>
    <t>Provisions</t>
  </si>
  <si>
    <t>Payables</t>
  </si>
  <si>
    <t>Operating Current Assets</t>
  </si>
  <si>
    <t>Current Tax assets</t>
  </si>
  <si>
    <t>Receivables</t>
  </si>
  <si>
    <t>Working capital analysis</t>
  </si>
  <si>
    <t>Rate on Cash</t>
  </si>
  <si>
    <t>Rate on Debt</t>
  </si>
  <si>
    <t>Average Cash</t>
  </si>
  <si>
    <t>Average Debt</t>
  </si>
  <si>
    <t>Debt</t>
  </si>
  <si>
    <t>Impact of discounting</t>
  </si>
  <si>
    <t>Interest component of IAS 19 expense</t>
  </si>
  <si>
    <t>Other financial provisions</t>
  </si>
  <si>
    <t>Dividends received</t>
  </si>
  <si>
    <t>Impairment of available for sale financial-assets</t>
  </si>
  <si>
    <t>Gain or loss on Interest rate and commodity hedging instruments</t>
  </si>
  <si>
    <t>Net FX gains or losses in provisions</t>
  </si>
  <si>
    <t>FX gains and losses</t>
  </si>
  <si>
    <t>Gain or loss on FX hedging instruments</t>
  </si>
  <si>
    <t>Interest Income</t>
  </si>
  <si>
    <t>Interest Expense</t>
  </si>
  <si>
    <t>Financing Cost Analysis</t>
  </si>
  <si>
    <t>balance sheet check</t>
  </si>
  <si>
    <t>Total Equity</t>
  </si>
  <si>
    <t>Non-controlling interests</t>
  </si>
  <si>
    <t>Profit for the period</t>
  </si>
  <si>
    <t>Net unrealised gain on available-for-sale financial assets</t>
  </si>
  <si>
    <t>Retained Earnings</t>
  </si>
  <si>
    <t>Share capital</t>
  </si>
  <si>
    <t>Current liabilities</t>
  </si>
  <si>
    <t>Current derivatives</t>
  </si>
  <si>
    <t>Tax liabilities</t>
  </si>
  <si>
    <t>Trade and other payables</t>
  </si>
  <si>
    <t>Interest-bearing current financial liabilities</t>
  </si>
  <si>
    <t>Non-current liabilities</t>
  </si>
  <si>
    <t>Other non-current financial liabilities</t>
  </si>
  <si>
    <t>Deferred tax liabilities</t>
  </si>
  <si>
    <t>Non-current derivatives</t>
  </si>
  <si>
    <t>Borrowings subject to specific conditions</t>
  </si>
  <si>
    <t>Current Assets</t>
  </si>
  <si>
    <t>Cash and Cash equivalents</t>
  </si>
  <si>
    <t>Tax assets</t>
  </si>
  <si>
    <t>Trade and Other receivables</t>
  </si>
  <si>
    <t>Inventories and work-in-progress</t>
  </si>
  <si>
    <t>Current financial assets</t>
  </si>
  <si>
    <t>Non-current assets</t>
  </si>
  <si>
    <t xml:space="preserve">Other </t>
  </si>
  <si>
    <t>Other non-current financial assets</t>
  </si>
  <si>
    <t>Deferred tax assets</t>
  </si>
  <si>
    <t>Investments in associates</t>
  </si>
  <si>
    <t>Non-current financial assets</t>
  </si>
  <si>
    <t>PP&amp;E</t>
  </si>
  <si>
    <t>Intangible Assets</t>
  </si>
  <si>
    <t>Goodwill</t>
  </si>
  <si>
    <t>Cash at the end of the year</t>
  </si>
  <si>
    <t>Cash at the beginning of the year</t>
  </si>
  <si>
    <t>Change in Cash</t>
  </si>
  <si>
    <t>Cash flow from Financing</t>
  </si>
  <si>
    <t>Dividends paid to non-controlling interests</t>
  </si>
  <si>
    <t>Interim from Reported Year (€)</t>
  </si>
  <si>
    <t>Dividends Paid</t>
  </si>
  <si>
    <t>Change in short term borrowings</t>
  </si>
  <si>
    <t>Change in repayable advances</t>
  </si>
  <si>
    <t>Increase in borrowings</t>
  </si>
  <si>
    <t>Repayment of borrowings and long-term debt</t>
  </si>
  <si>
    <t>Acquisitions and disposals of treasury shares</t>
  </si>
  <si>
    <t>Change in Share Capital</t>
  </si>
  <si>
    <t>Cash flow from Investing</t>
  </si>
  <si>
    <t>Proceeds/(Payments) from Financial Assets</t>
  </si>
  <si>
    <t>Proceeds/(Payments) from Investments</t>
  </si>
  <si>
    <t>Purchase of PP&amp;E (net of disposals)</t>
  </si>
  <si>
    <t>Purchase of Intangible assets (net of disposals)</t>
  </si>
  <si>
    <t>Cash flow from Operations</t>
  </si>
  <si>
    <t>Change in Inventory and Work in Progress</t>
  </si>
  <si>
    <t>Cash Tax adjustment</t>
  </si>
  <si>
    <t>Co-detailed Other</t>
  </si>
  <si>
    <t>Profit attributable to non-controlling interests</t>
  </si>
  <si>
    <t>Profit/(Loss) before tax from discontinued operations</t>
  </si>
  <si>
    <t>Capital gains on asset disposals</t>
  </si>
  <si>
    <t>Change in fair value of derivatives</t>
  </si>
  <si>
    <t>Share of profit in associates (net of dividends received)</t>
  </si>
  <si>
    <t>Change in Provisions</t>
  </si>
  <si>
    <t>Impairment</t>
  </si>
  <si>
    <t>Amortisation</t>
  </si>
  <si>
    <t>Reported Net Income</t>
  </si>
  <si>
    <t>Dividend yield</t>
  </si>
  <si>
    <t>Continuing EPS - Diluted</t>
  </si>
  <si>
    <t>Continuing EPS - Basic</t>
  </si>
  <si>
    <t>Reported EPS - Diluted</t>
  </si>
  <si>
    <t>Reported EPS - Basic</t>
  </si>
  <si>
    <t>Non Controlling Interest</t>
  </si>
  <si>
    <t>Net Income from discontinued operations</t>
  </si>
  <si>
    <t>Net Income</t>
  </si>
  <si>
    <t>Reported tax rate</t>
  </si>
  <si>
    <t>PBT</t>
  </si>
  <si>
    <t>Share in profit from associates</t>
  </si>
  <si>
    <t>check</t>
  </si>
  <si>
    <t>Financing expense</t>
  </si>
  <si>
    <t>other non-recurring operating income and expenses</t>
  </si>
  <si>
    <t>Other recurring operating income and expense</t>
  </si>
  <si>
    <t>Asset impairment</t>
  </si>
  <si>
    <t>Taxes</t>
  </si>
  <si>
    <t>Personnel Costs</t>
  </si>
  <si>
    <t>Raw materials and Consumables used</t>
  </si>
  <si>
    <t>Capitalised production</t>
  </si>
  <si>
    <t>Changes in Inventories of finished goods and Work-in-progress</t>
  </si>
  <si>
    <t>Other Income</t>
  </si>
  <si>
    <t>growth</t>
  </si>
  <si>
    <t>2025E</t>
  </si>
  <si>
    <t>Minority interests</t>
  </si>
  <si>
    <t>Tax credit</t>
  </si>
  <si>
    <t>Defence Security</t>
  </si>
  <si>
    <t>Security</t>
  </si>
  <si>
    <t>Aircraft Equipment</t>
  </si>
  <si>
    <t>Aerospace Propulsion</t>
  </si>
  <si>
    <t>FCF</t>
  </si>
  <si>
    <t>CFM56</t>
  </si>
  <si>
    <t>Margin</t>
  </si>
  <si>
    <t>Zodiac</t>
  </si>
  <si>
    <t>Military</t>
  </si>
  <si>
    <t>margin</t>
  </si>
  <si>
    <t>Market cap</t>
  </si>
  <si>
    <t>Synergies</t>
  </si>
  <si>
    <t>Congratulations! You have successfully migrated</t>
  </si>
  <si>
    <t>Final cleanup Items</t>
  </si>
  <si>
    <t>Keyword</t>
  </si>
  <si>
    <t>Description</t>
  </si>
  <si>
    <t xml:space="preserve">Action </t>
  </si>
  <si>
    <t>Please review non-migrated data on:</t>
  </si>
  <si>
    <t>Final From Previous Year (€)</t>
  </si>
  <si>
    <t>Group</t>
  </si>
  <si>
    <t>M88</t>
  </si>
  <si>
    <t>LEAP</t>
  </si>
  <si>
    <t>GE90</t>
  </si>
  <si>
    <t>CFM56 (USD)</t>
  </si>
  <si>
    <t>LEAP (USD)</t>
  </si>
  <si>
    <t>GE90 (USD)</t>
  </si>
  <si>
    <t>M88 (EUR)</t>
  </si>
  <si>
    <t>Engine Sales</t>
  </si>
  <si>
    <t>Engine Unit Price (millions)</t>
  </si>
  <si>
    <t>Total (EUR)</t>
  </si>
  <si>
    <t>OE</t>
  </si>
  <si>
    <t>Services</t>
  </si>
  <si>
    <t>Safran Revenue Share</t>
  </si>
  <si>
    <t>Shop visits</t>
  </si>
  <si>
    <t>T&amp;M</t>
  </si>
  <si>
    <t>Pricing</t>
  </si>
  <si>
    <t>Self funded R&amp;D</t>
  </si>
  <si>
    <t>R&amp;D before tax credit</t>
  </si>
  <si>
    <t>of which capitalised</t>
  </si>
  <si>
    <t>P&amp;L R&amp;D expense</t>
  </si>
  <si>
    <t>Total cash R&amp;D as % of sales</t>
  </si>
  <si>
    <t>Input Cost inflation</t>
  </si>
  <si>
    <t>Total Change in EBITA</t>
  </si>
  <si>
    <t>Operating Leverage - OE</t>
  </si>
  <si>
    <t>Operating Leverage - Services</t>
  </si>
  <si>
    <t>amortisation of previously capitalised R&amp;D</t>
  </si>
  <si>
    <t>Aerospace Equipment</t>
  </si>
  <si>
    <t>Underlying EPS</t>
  </si>
  <si>
    <t>Expense - % Oil/Petrol/Fuel</t>
  </si>
  <si>
    <t>EXP_OIL_PETRO_FUEL</t>
  </si>
  <si>
    <t>Sales - % South Africa</t>
  </si>
  <si>
    <t>SALES_SO_AFRICA</t>
  </si>
  <si>
    <t>Sales - % Nigeria</t>
  </si>
  <si>
    <t>SALES_NIGERIA</t>
  </si>
  <si>
    <t>Sales - % Other Africa</t>
  </si>
  <si>
    <t>SALES_OTH_AFRICA</t>
  </si>
  <si>
    <t>Sales - % Industry Sub-Segment: Financial Services</t>
  </si>
  <si>
    <t>SALES_FINAN</t>
  </si>
  <si>
    <t>Expense - % Oil derivatives/NGLs/plastics</t>
  </si>
  <si>
    <t>EXP_OIL_DERIV_NGLS_PLASTICS</t>
  </si>
  <si>
    <t>Sales - % China</t>
  </si>
  <si>
    <t>Cashflow from Operating activities</t>
  </si>
  <si>
    <t>of which amortised R&amp;D</t>
  </si>
  <si>
    <t>Total Cash R&amp;D</t>
  </si>
  <si>
    <t>Cash EBDA</t>
  </si>
  <si>
    <t>Share Buybacks</t>
  </si>
  <si>
    <t>Average Share Count (thousands)</t>
  </si>
  <si>
    <t>Average Share count - diluted (thousands)</t>
  </si>
  <si>
    <t>of which additions to PP&amp;E</t>
  </si>
  <si>
    <t>of which additions to Intangibles (Goodwill)</t>
  </si>
  <si>
    <t>Launch Aid/risk sharing partner liablities</t>
  </si>
  <si>
    <t>Net vendor financing assets/liablities</t>
  </si>
  <si>
    <t>Provisions/obligations for aircraft leassing</t>
  </si>
  <si>
    <t>Less Investments</t>
  </si>
  <si>
    <t>Cash provisions to be utilised</t>
  </si>
  <si>
    <t>Others</t>
  </si>
  <si>
    <t>D&amp;A</t>
  </si>
  <si>
    <t>We assume slightly lower RPH pricing vs. T&amp;M (industry norm)</t>
  </si>
  <si>
    <t>Contribution margins</t>
  </si>
  <si>
    <t>Notes</t>
  </si>
  <si>
    <t>USD/EUR</t>
  </si>
  <si>
    <t>Check</t>
  </si>
  <si>
    <t>x</t>
  </si>
  <si>
    <t>Change in operating receivables and payables</t>
  </si>
  <si>
    <t>Change in other receivables and payables</t>
  </si>
  <si>
    <t>Company defined FCF</t>
  </si>
  <si>
    <t>% of underlying EBITA</t>
  </si>
  <si>
    <t>GEnx</t>
  </si>
  <si>
    <t>GEnx (USD)</t>
  </si>
  <si>
    <t>Helicopters Aftermarket</t>
  </si>
  <si>
    <t>Military (EUR)</t>
  </si>
  <si>
    <t>payout ratio (as % of underlying EPS)</t>
  </si>
  <si>
    <t>Share in profit from joint ventures</t>
  </si>
  <si>
    <t>Other non-recurring operating income and expenses</t>
  </si>
  <si>
    <t>2015 H1</t>
  </si>
  <si>
    <t>Hedge rate</t>
  </si>
  <si>
    <t>Hedge book as % of sales</t>
  </si>
  <si>
    <t>Uncovered as % of sales</t>
  </si>
  <si>
    <t>Income Statement (€ mn)</t>
  </si>
  <si>
    <t>Payout ratio (as % of underlying EPS)</t>
  </si>
  <si>
    <t>Cash Flow Statement (€ mn)</t>
  </si>
  <si>
    <t>Depreciation, Amortization and increase in provision (net of use)</t>
  </si>
  <si>
    <t>Sales - % Other North Americas</t>
  </si>
  <si>
    <t>SALES_OTH_NO_AMER</t>
  </si>
  <si>
    <t>Sales - % Argentina</t>
  </si>
  <si>
    <t>SALES_ARGENTINA</t>
  </si>
  <si>
    <t>Sales - % Chile</t>
  </si>
  <si>
    <t>SALES_CHILE</t>
  </si>
  <si>
    <t>Sales - % Colombia</t>
  </si>
  <si>
    <t>SALES_COLOMBIA</t>
  </si>
  <si>
    <t>Sales - % Mexico</t>
  </si>
  <si>
    <t>SALES_MEXICO</t>
  </si>
  <si>
    <t>Sales - % Venezuela</t>
  </si>
  <si>
    <t>SALES_VENEZUELA</t>
  </si>
  <si>
    <t>Sales - % Other Latin Americas</t>
  </si>
  <si>
    <t>SALES_OTH_LATAM</t>
  </si>
  <si>
    <t>Sales - % Other Western Europe</t>
  </si>
  <si>
    <t>SALES_OTH_WEST_EURO</t>
  </si>
  <si>
    <t>Sales - % Poland</t>
  </si>
  <si>
    <t>SALES_POLAND</t>
  </si>
  <si>
    <t>Sales - % Turkey</t>
  </si>
  <si>
    <t>SALES_TURKEY</t>
  </si>
  <si>
    <t>Sales - % Other CEE</t>
  </si>
  <si>
    <t>SALES_OTH_CEE</t>
  </si>
  <si>
    <t>Sales - % Saudi Arabia</t>
  </si>
  <si>
    <t>SALES_SAUDI_ARABIA</t>
  </si>
  <si>
    <t>Sales - % United Arab Emirates</t>
  </si>
  <si>
    <t>SALES_UAE</t>
  </si>
  <si>
    <t>Sales - % Other Middle East</t>
  </si>
  <si>
    <t>SALES_OTH_ME</t>
  </si>
  <si>
    <t>Sales - % Hong Kong</t>
  </si>
  <si>
    <t>SALES_HONG_KONG</t>
  </si>
  <si>
    <t>Sales - % Singapore</t>
  </si>
  <si>
    <t>SALES_SINGAPORE</t>
  </si>
  <si>
    <t>Sales - % Taiwan</t>
  </si>
  <si>
    <t>SALES_TAIWAN</t>
  </si>
  <si>
    <t>Sales - % Other Developed Asia</t>
  </si>
  <si>
    <t>SALES_OTH_DEV_ASIA</t>
  </si>
  <si>
    <t>Sales - % Indonesia</t>
  </si>
  <si>
    <t>SALES_INDONESIA</t>
  </si>
  <si>
    <t>Sales - % Thailand</t>
  </si>
  <si>
    <t>SALES_THAILAND</t>
  </si>
  <si>
    <t>Sales - % Other Emerging Asia</t>
  </si>
  <si>
    <t>SALES_OTH_EMERG_ASIA</t>
  </si>
  <si>
    <t>Sales - % Industry Sub-Segment: Oil &amp; Gas</t>
  </si>
  <si>
    <t>SALES_OIL_GAS</t>
  </si>
  <si>
    <t>Other' Check (must be less than 30%)</t>
  </si>
  <si>
    <t>= Information provided by company, or a relatively confident estimate</t>
  </si>
  <si>
    <t>Method</t>
  </si>
  <si>
    <t>France</t>
  </si>
  <si>
    <t>Europe (ex. France)</t>
  </si>
  <si>
    <t>Americas</t>
  </si>
  <si>
    <t>Asia and Oceania</t>
  </si>
  <si>
    <t>Africa and Middle East</t>
  </si>
  <si>
    <t>1) H1 2016 (more detail than in annual results), p. 9</t>
  </si>
  <si>
    <t>&gt; Assume Brazil is the only significant LatAm market. Safran have substantial operations in Brazil including contracts with Embraer, and helicopter engines for the army (http://www.safran-group.com/country/safran-brazil)</t>
  </si>
  <si>
    <t>&gt; Assume larger share for Germany, Spain, UK and Italy</t>
  </si>
  <si>
    <t>&gt; Assume Middle East is the majority of ME &amp; Africa</t>
  </si>
  <si>
    <t>&gt; Assume larger weightings in Asia for China, India and Australia, split evenly among the rest</t>
  </si>
  <si>
    <t>&gt; Substantial business in China (http://www.safran.cn/en/safran-china)</t>
  </si>
  <si>
    <t>&gt; Kept existing assumption from the exchange sheet</t>
  </si>
  <si>
    <t>&gt; Assume offshore is around 10% of helicopter turbine sales</t>
  </si>
  <si>
    <t>2016H1</t>
  </si>
  <si>
    <t>2) The exact region categories change pre-2015, but the proportions look very similar so just assume that 2013+14 mirror 15.</t>
  </si>
  <si>
    <t>2016FY</t>
  </si>
  <si>
    <t>Hedge Book</t>
  </si>
  <si>
    <t>% Covered</t>
  </si>
  <si>
    <t>EBIT impact</t>
  </si>
  <si>
    <t>Page 51 2012 CMD. They only get Spares revenue from this segment (the Airline does the Labour)</t>
  </si>
  <si>
    <t>Page 51 2012 CMD. They get a small amount of revenue revenue. (Third party labour and used spares of which CFM materials has a 40% global market share, so 40%*70%)</t>
  </si>
  <si>
    <t>Zodiac Interiors</t>
  </si>
  <si>
    <t>Zodiac Aerosystems</t>
  </si>
  <si>
    <t>Operating Leverage - Interiors</t>
  </si>
  <si>
    <t>Aerosystems</t>
  </si>
  <si>
    <t>Net exposure</t>
  </si>
  <si>
    <t>FY22</t>
  </si>
  <si>
    <t>Implementation Cost</t>
  </si>
  <si>
    <t>Revenue</t>
  </si>
  <si>
    <t>Profit</t>
  </si>
  <si>
    <t>Spares Margin</t>
  </si>
  <si>
    <t>MRO Margin</t>
  </si>
  <si>
    <t>Spares Cost</t>
  </si>
  <si>
    <t>MRO Cost</t>
  </si>
  <si>
    <t>Cost of 1 visit</t>
  </si>
  <si>
    <t>Total Shop Visit Cost</t>
  </si>
  <si>
    <t>Of which ESPH</t>
  </si>
  <si>
    <t>Of which ESPO</t>
  </si>
  <si>
    <t>Price</t>
  </si>
  <si>
    <t>GE9X</t>
  </si>
  <si>
    <t>GE9X (USD)</t>
  </si>
  <si>
    <t>FCF per share</t>
  </si>
  <si>
    <t>P/E</t>
  </si>
  <si>
    <t>EV/Sales</t>
  </si>
  <si>
    <t>FCF yield</t>
  </si>
  <si>
    <t>Depreciation, Amortization and provision</t>
  </si>
  <si>
    <t>Changes in Inventories of finished goods and WIP</t>
  </si>
  <si>
    <t>Aircraft Interiors</t>
  </si>
  <si>
    <t>Recurring Operating Income</t>
  </si>
  <si>
    <t>Revenues</t>
  </si>
  <si>
    <t>Zodiac Sales</t>
  </si>
  <si>
    <t>Change in contract assets and liabilities</t>
  </si>
  <si>
    <t>Contract costs</t>
  </si>
  <si>
    <t>Contract assets</t>
  </si>
  <si>
    <t>Contract liabilities</t>
  </si>
  <si>
    <t>Contract Liabilities</t>
  </si>
  <si>
    <t>Right of use Asset</t>
  </si>
  <si>
    <t>LEAP impact</t>
  </si>
  <si>
    <t>Income Statement (consolidated)</t>
  </si>
  <si>
    <t>Non-current interest-bearing financial liabilities</t>
  </si>
  <si>
    <t>Contract Assets</t>
  </si>
  <si>
    <t>Contract assets - as a % of sales</t>
  </si>
  <si>
    <t>Contract liabilities - as a % of sales</t>
  </si>
  <si>
    <t>Change in Contract Assets</t>
  </si>
  <si>
    <t>Change in Contract Liabilities</t>
  </si>
  <si>
    <t>Total R&amp;D</t>
  </si>
  <si>
    <t>Research Tax Credit</t>
  </si>
  <si>
    <t xml:space="preserve">Total R&amp;D </t>
  </si>
  <si>
    <t>Turbomeca (Helis)</t>
  </si>
  <si>
    <t>P&amp;L R&amp;D expensed</t>
  </si>
  <si>
    <t>Services (includes sale of studies)</t>
  </si>
  <si>
    <t>Number of shares</t>
  </si>
  <si>
    <t>EV/EBITDA</t>
  </si>
  <si>
    <t>Net Debt/EBITDA</t>
  </si>
  <si>
    <t>EV breakout</t>
  </si>
  <si>
    <t>ADAPTCAPIHISTO</t>
  </si>
  <si>
    <t>Net debt (cash)</t>
  </si>
  <si>
    <t>Pension liabilities</t>
  </si>
  <si>
    <t>Other EV adjustments</t>
  </si>
  <si>
    <t>Implied EV</t>
  </si>
  <si>
    <t>EV_PUB</t>
  </si>
  <si>
    <t>IFRS 16 Exchange Sheet Metrics (updated annually with AR)</t>
  </si>
  <si>
    <t>Long term leases</t>
  </si>
  <si>
    <t xml:space="preserve">% of sales </t>
  </si>
  <si>
    <t>Short term leases</t>
  </si>
  <si>
    <t>Total Leases</t>
  </si>
  <si>
    <t>Balance Sheet Items</t>
  </si>
  <si>
    <t xml:space="preserve">Cash Flow Items </t>
  </si>
  <si>
    <t>Lease Principal Payment</t>
  </si>
  <si>
    <t>Lease Interest Payment</t>
  </si>
  <si>
    <t xml:space="preserve">Depreciation on RoU </t>
  </si>
  <si>
    <t>EBIT, IC, ROIC</t>
  </si>
  <si>
    <t>Implied LT growth rate</t>
  </si>
  <si>
    <t>WACC GSe</t>
  </si>
  <si>
    <t>M&amp;A EBIT, EV adjustments</t>
  </si>
  <si>
    <t>Multiplier</t>
  </si>
  <si>
    <t>EV implied by EV/IC-ROIC/WACC</t>
  </si>
  <si>
    <t>Market Cap implied by EV/IC-ROIC/WACC</t>
  </si>
  <si>
    <t>NOSH</t>
  </si>
  <si>
    <t>Upside/Downside</t>
  </si>
  <si>
    <t>PT Change</t>
  </si>
  <si>
    <t>Old PT</t>
  </si>
  <si>
    <t>Last Price</t>
  </si>
  <si>
    <t>Invested Capital</t>
  </si>
  <si>
    <t>ROIC</t>
  </si>
  <si>
    <t xml:space="preserve">Safran Target Price Calculation </t>
  </si>
  <si>
    <t>Net Intangibles</t>
  </si>
  <si>
    <t>GS Target Price</t>
  </si>
  <si>
    <t>Implied EV/EBIT</t>
  </si>
  <si>
    <t>Comments</t>
  </si>
  <si>
    <t>SAF_FR</t>
  </si>
  <si>
    <t xml:space="preserve">Company Name </t>
  </si>
  <si>
    <t>Source1</t>
  </si>
  <si>
    <t>GS</t>
  </si>
  <si>
    <t>Source2</t>
  </si>
  <si>
    <t>Consensus</t>
  </si>
  <si>
    <t>Revisions as of</t>
  </si>
  <si>
    <t>FY-2023</t>
  </si>
  <si>
    <t>EUR mn (December Y/E)</t>
  </si>
  <si>
    <t>Latest Cons.</t>
  </si>
  <si>
    <t>Gse</t>
  </si>
  <si>
    <t>Guidance</t>
  </si>
  <si>
    <t>FY 2021E</t>
  </si>
  <si>
    <t>vs Cons. %</t>
  </si>
  <si>
    <t>FY 2023E</t>
  </si>
  <si>
    <t>Revenue - Aerospace Propulsion - Operating</t>
  </si>
  <si>
    <t>Aerospace propulsion</t>
  </si>
  <si>
    <t>Revenue - Equipment Defense and Aerosystems - Operating</t>
  </si>
  <si>
    <t>Equipment, Defense, Aerosystems</t>
  </si>
  <si>
    <t>Revenue - Aircraft interiors - Operating</t>
  </si>
  <si>
    <t>Revenue - Holding co, eliminations &amp; other - Operating</t>
  </si>
  <si>
    <t>Revenue - Operating</t>
  </si>
  <si>
    <t>Group revenue</t>
  </si>
  <si>
    <t>EBITA - Aerospace Propulsion - Operating</t>
  </si>
  <si>
    <t>EBITA - Equipment Defense and Aerosystems - Operating</t>
  </si>
  <si>
    <t>EBITA - Aircraft interior - Operating</t>
  </si>
  <si>
    <t>EBITA - Holding co, eliminations &amp; other - Operating</t>
  </si>
  <si>
    <t>Holding company and other</t>
  </si>
  <si>
    <t>EBITA - Operating</t>
  </si>
  <si>
    <t>Group EBIT</t>
  </si>
  <si>
    <t>Free cash flow (FCF)</t>
  </si>
  <si>
    <t>Total impact - Civil aircraft - Aftermarkets - Operating (USD)</t>
  </si>
  <si>
    <t>Visible Alpha mnemonics</t>
  </si>
  <si>
    <t>FY-2025</t>
  </si>
  <si>
    <t>FY 2024E</t>
  </si>
  <si>
    <t>FY 2025E</t>
  </si>
  <si>
    <t>Assuming 20/80 ESPH/ESPO Split - p86 CMD 2021 presentation</t>
  </si>
  <si>
    <t>4Q 2019</t>
  </si>
  <si>
    <t>2H 2019</t>
  </si>
  <si>
    <t>FY-2026</t>
  </si>
  <si>
    <t>2026E</t>
  </si>
  <si>
    <t>FY 2026E</t>
  </si>
  <si>
    <t>Implied LT</t>
  </si>
  <si>
    <t>WACC</t>
  </si>
  <si>
    <t>Safran TP % change</t>
  </si>
  <si>
    <t>Moving our implied LT growth rate from 5.1% to 5.7% is equivalent to not changing WACC</t>
  </si>
  <si>
    <t xml:space="preserve">Safran TP % change if were </t>
  </si>
  <si>
    <t>to not change implied LT growth</t>
  </si>
  <si>
    <t>Safran TP % upside</t>
  </si>
  <si>
    <t xml:space="preserve">Safran TP % upside if were </t>
  </si>
  <si>
    <t>GOLDMAN SACHS</t>
  </si>
  <si>
    <t>GLOBAL INVESTMENT RESEARCH</t>
  </si>
  <si>
    <t>Multi-Industry</t>
  </si>
  <si>
    <t xml:space="preserve">Published as of </t>
  </si>
  <si>
    <t>Rating Suspended</t>
  </si>
  <si>
    <t xml:space="preserve">Team Contacts: </t>
  </si>
  <si>
    <t>2027E</t>
  </si>
  <si>
    <t>2028E</t>
  </si>
  <si>
    <t>2029E</t>
  </si>
  <si>
    <t>2030E</t>
  </si>
  <si>
    <t>1Q 2019</t>
  </si>
  <si>
    <t>2Q 2019</t>
  </si>
  <si>
    <t>3Q 2019</t>
  </si>
  <si>
    <t>Currency</t>
  </si>
  <si>
    <t>Blended rate (sales)</t>
  </si>
  <si>
    <t>Blended rate (EBIT)</t>
  </si>
  <si>
    <t>Revenue Growth</t>
  </si>
  <si>
    <t>Underlying EBITA</t>
  </si>
  <si>
    <t>Underlying EBITA margin</t>
  </si>
  <si>
    <t>Aerospace Propulsion Division</t>
  </si>
  <si>
    <t>Total Division</t>
  </si>
  <si>
    <t>OE Segment</t>
  </si>
  <si>
    <t>Engine deliveries (units)</t>
  </si>
  <si>
    <t>Assumed discount</t>
  </si>
  <si>
    <t>Services Segment</t>
  </si>
  <si>
    <t>Civil</t>
  </si>
  <si>
    <t>split to remain 15/85 in the future</t>
  </si>
  <si>
    <t>H1-2022</t>
  </si>
  <si>
    <t>H1 2022E</t>
  </si>
  <si>
    <t>H2 2021</t>
  </si>
  <si>
    <t>H1 2021</t>
  </si>
  <si>
    <t>Gen 1</t>
  </si>
  <si>
    <t>Gen 2</t>
  </si>
  <si>
    <t>Linked to our Shop Visit model</t>
  </si>
  <si>
    <t>Contract type</t>
  </si>
  <si>
    <t>% Rate per Flight Hour (RPFH)</t>
  </si>
  <si>
    <t>y/y growth</t>
  </si>
  <si>
    <t>Shops on CFM agreements</t>
  </si>
  <si>
    <t>Independent Shops</t>
  </si>
  <si>
    <t>Content breakdown</t>
  </si>
  <si>
    <t>Page 42 2011 CMD.</t>
  </si>
  <si>
    <t>% Time &amp; Materials (T&amp;M)</t>
  </si>
  <si>
    <t>RPFH</t>
  </si>
  <si>
    <t>Net</t>
  </si>
  <si>
    <t>USD/EUR rate</t>
  </si>
  <si>
    <t>FX impact</t>
  </si>
  <si>
    <t>Sales (EUR mn)</t>
  </si>
  <si>
    <t>Total LEAP Civil Aftermarket (USD)</t>
  </si>
  <si>
    <t>Market value of a Shop Visit (USD)</t>
  </si>
  <si>
    <t>Sales (USD)</t>
  </si>
  <si>
    <t>Sales (EUR)</t>
  </si>
  <si>
    <t>LEAP Civil AM sales attributable to Safran (EUR)</t>
  </si>
  <si>
    <t>Q1-2022</t>
  </si>
  <si>
    <t>Q1 2022E</t>
  </si>
  <si>
    <t>Q2-2022</t>
  </si>
  <si>
    <t>Q2 2022E</t>
  </si>
  <si>
    <t>Q3-2022</t>
  </si>
  <si>
    <t>Q3 2022E</t>
  </si>
  <si>
    <t>Quarters</t>
  </si>
  <si>
    <t>Half-Years</t>
  </si>
  <si>
    <t>Historicals</t>
  </si>
  <si>
    <t>-</t>
  </si>
  <si>
    <t>Military &amp; Governmental</t>
  </si>
  <si>
    <t>Helicopter</t>
  </si>
  <si>
    <t>Helicopter (USD)</t>
  </si>
  <si>
    <t>Latest Cons.*</t>
  </si>
  <si>
    <t>Total Civil Aftermarket (EUR)</t>
  </si>
  <si>
    <t>Total Civil Aftermarket (USD)</t>
  </si>
  <si>
    <t>Total Military &amp; Governmental Services (EUR)</t>
  </si>
  <si>
    <t>Total (USD)</t>
  </si>
  <si>
    <t>Engine Sales attributable to Safran (USD)</t>
  </si>
  <si>
    <t>Segment Growth</t>
  </si>
  <si>
    <t>Segment Split</t>
  </si>
  <si>
    <t>Total EBITA Division</t>
  </si>
  <si>
    <t>Total Civil Aftermarket Sales (USD)</t>
  </si>
  <si>
    <t>Total Civil Aftermarket Sales (EUR)</t>
  </si>
  <si>
    <t>Assumed Contribution Margin</t>
  </si>
  <si>
    <t>Market Split</t>
  </si>
  <si>
    <t>Inflation</t>
  </si>
  <si>
    <t>Breakeven by 2025</t>
  </si>
  <si>
    <t>Cost of a Shop Visit (USD)</t>
  </si>
  <si>
    <t>blend inflation</t>
  </si>
  <si>
    <t>Genx 60% mkt share on 787 platform, as of April 2022</t>
  </si>
  <si>
    <t>GE Investor Day 2022 deck shows Widebody SVs growing steadily by 4.6% CAGR 2020-25. We add pricing and scope to this figure to get our assumed sales growth p.a.</t>
  </si>
  <si>
    <t>Assumptions</t>
  </si>
  <si>
    <t>y/y organic growth</t>
  </si>
  <si>
    <t>EBITA Bridge</t>
  </si>
  <si>
    <t>Total Aerospace Equipment</t>
  </si>
  <si>
    <t>Total Defence</t>
  </si>
  <si>
    <t>Total Aerosystems</t>
  </si>
  <si>
    <t>Aircraft Interiors Division</t>
  </si>
  <si>
    <t>Contribution Margin</t>
  </si>
  <si>
    <t>*Bloomberg Consensus.</t>
  </si>
  <si>
    <t>Underlying EBITA growth</t>
  </si>
  <si>
    <t>Sales (Reported)</t>
  </si>
  <si>
    <t>y/y change</t>
  </si>
  <si>
    <t>Underlying EBITDA</t>
  </si>
  <si>
    <t>Use of Cash Analysis</t>
  </si>
  <si>
    <t>historical goodwill/purchase price has been 50/50</t>
  </si>
  <si>
    <t>FCF line to check</t>
  </si>
  <si>
    <t>1H 2019</t>
  </si>
  <si>
    <t>Forward rate</t>
  </si>
  <si>
    <t>Hedging</t>
  </si>
  <si>
    <t>Based on US team's forecast</t>
  </si>
  <si>
    <t>Page 51 2012 CMD. They get a small amount of revenue revenue.</t>
  </si>
  <si>
    <t>Group organic</t>
  </si>
  <si>
    <t>Safran share in CFM JV</t>
  </si>
  <si>
    <t>p60 CMD 2021 presentation: no margin recognition of RPFH contract over 2021-25. Revenues = Cost until 2026. We recognise revenue gradually from 2026 per company indication.</t>
  </si>
  <si>
    <t>CMD'21: "typically on the spare parts. We have an escalation policy, which leads to increased pricing by 6%, 7% per year, every year on the 1st of December. And that is why usually the November months is a huge month in terms of aftermarket because airlines are coming to the shops before they will suffer from the price increase." We assume a discount versus indication (industry norm).</t>
  </si>
  <si>
    <t>CMD'21 p63: "Increasing advance payments from Rafale programs over 2021 23, decreasing elsewhere."</t>
  </si>
  <si>
    <t>2018 is our $ point of reference</t>
  </si>
  <si>
    <t>CFM56 bottom-up model</t>
  </si>
  <si>
    <t>LEAP bottom-up model</t>
  </si>
  <si>
    <t>WIP Safran TP % change</t>
  </si>
  <si>
    <t>24m fwd ROIC</t>
  </si>
  <si>
    <t>removing RPFH revenue from the incremental EBITA - RPFH revenue is booked at cost until 2025</t>
  </si>
  <si>
    <t>Civil AM y/y sales growth (%, USD)</t>
  </si>
  <si>
    <t>Share Price</t>
  </si>
  <si>
    <t>Mid-point of FX corridor</t>
  </si>
  <si>
    <t>Safran EPS % change</t>
  </si>
  <si>
    <t>Quarter</t>
  </si>
  <si>
    <t xml:space="preserve">Implied Guidance </t>
  </si>
  <si>
    <t>Half-year</t>
  </si>
  <si>
    <t>Full-year</t>
  </si>
  <si>
    <t xml:space="preserve">Guidance </t>
  </si>
  <si>
    <t>Civil aftermarket y/y growth (%, $)</t>
  </si>
  <si>
    <t>FY 2023</t>
  </si>
  <si>
    <t>FY 2024</t>
  </si>
  <si>
    <t>Based on our Airbus &amp; Boeing delivery forecasts</t>
  </si>
  <si>
    <t>FY23</t>
  </si>
  <si>
    <t>Supporting Analyst</t>
  </si>
  <si>
    <t>Page 51 2012 CMD. They get Spares &amp; Labour revenue from this segment. FY22 mgt roadshow - CEO says MRO mkt share is 10% Safran, 30% GE</t>
  </si>
  <si>
    <t>Implied P/E</t>
  </si>
  <si>
    <t>H1 2022</t>
  </si>
  <si>
    <t>H2 2022</t>
  </si>
  <si>
    <t>2Q23</t>
  </si>
  <si>
    <t>2H23</t>
  </si>
  <si>
    <t>Historical / GSe PT</t>
  </si>
  <si>
    <t>GSe</t>
  </si>
  <si>
    <t>Cons.</t>
  </si>
  <si>
    <t>Dividend per share</t>
  </si>
  <si>
    <t>FY-2027</t>
  </si>
  <si>
    <t>FY 2027E</t>
  </si>
  <si>
    <t>=OpMod!AB517/(OpMod!AB516*(OpMod!AB217/1000))</t>
  </si>
  <si>
    <t>3Q23</t>
  </si>
  <si>
    <t>3Q22</t>
  </si>
  <si>
    <t>4Q23E</t>
  </si>
  <si>
    <t>FY23E</t>
  </si>
  <si>
    <t>GSe vs.</t>
  </si>
  <si>
    <t>Cons. (%)</t>
  </si>
  <si>
    <t>GSe y/y</t>
  </si>
  <si>
    <t>Cons. y/y</t>
  </si>
  <si>
    <t>% chg y/y</t>
  </si>
  <si>
    <t>1Q22</t>
  </si>
  <si>
    <t>2Q22</t>
  </si>
  <si>
    <t>1Q23</t>
  </si>
  <si>
    <t>4Q22</t>
  </si>
  <si>
    <t>4Q23</t>
  </si>
  <si>
    <t>y/y</t>
  </si>
  <si>
    <t>Weight</t>
  </si>
  <si>
    <t>Company</t>
  </si>
  <si>
    <t>spares mix</t>
  </si>
  <si>
    <t>typical avg is 7-8%</t>
  </si>
  <si>
    <t>Contract mix at SV</t>
  </si>
  <si>
    <t>CMD'21 indication which we updated across meetings with management (latest GS 2023 conference)</t>
  </si>
  <si>
    <r>
      <t xml:space="preserve">Market value of a </t>
    </r>
    <r>
      <rPr>
        <b/>
        <sz val="8"/>
        <rFont val="Arial"/>
        <family val="2"/>
      </rPr>
      <t>T&amp;M</t>
    </r>
    <r>
      <rPr>
        <sz val="8"/>
        <rFont val="Arial"/>
        <family val="2"/>
      </rPr>
      <t xml:space="preserve"> Shop Visit (USD)</t>
    </r>
  </si>
  <si>
    <t>Assumed margin %</t>
  </si>
  <si>
    <t>3.5% inflation (same as our RPFH revenues)</t>
  </si>
  <si>
    <t>SAF IR: "no reason why LEAP T&amp;M economics would be different than on 56"</t>
  </si>
  <si>
    <t>CFM56 AM y/y sales growth (%, USD)</t>
  </si>
  <si>
    <t>Actual vs</t>
  </si>
  <si>
    <t>GSe (%)</t>
  </si>
  <si>
    <t>GSe vs</t>
  </si>
  <si>
    <t xml:space="preserve">Unhide for more interims &gt;&gt; </t>
  </si>
  <si>
    <t>Company cons</t>
  </si>
  <si>
    <t>FY24E</t>
  </si>
  <si>
    <t>9M23</t>
  </si>
  <si>
    <t>Cons. 4Q23E</t>
  </si>
  <si>
    <t>Implied Comp.</t>
  </si>
  <si>
    <t>Cons. FY23E</t>
  </si>
  <si>
    <t>Cons. FY24E</t>
  </si>
  <si>
    <t>VA Cons.</t>
  </si>
  <si>
    <t>Focus on 2024</t>
  </si>
  <si>
    <t>LEAP engine deliveries*</t>
  </si>
  <si>
    <t>*Visible Alpha Consensus Data</t>
  </si>
  <si>
    <t>Hide before pub</t>
  </si>
  <si>
    <r>
      <t>*</t>
    </r>
    <r>
      <rPr>
        <i/>
        <sz val="8"/>
        <rFont val="Arial"/>
        <family val="2"/>
      </rPr>
      <t>Visible Alpha Consensus Data</t>
    </r>
  </si>
  <si>
    <t>~€3.0bn</t>
  </si>
  <si>
    <t>Cons.*</t>
  </si>
  <si>
    <t>Cons.* (%)</t>
  </si>
  <si>
    <t>FY-2028</t>
  </si>
  <si>
    <t>FY 2028E</t>
  </si>
  <si>
    <t>We include LEAP RPFH deferred income in contract liabilities</t>
  </si>
  <si>
    <t>LEAP engine deliveries</t>
  </si>
  <si>
    <t>Deliveries - LEAP engines</t>
  </si>
  <si>
    <t>Conversion from EBIT</t>
  </si>
  <si>
    <t>1H24E</t>
  </si>
  <si>
    <t>H1-2024</t>
  </si>
  <si>
    <t>H1 2024E</t>
  </si>
  <si>
    <t>DPS*</t>
  </si>
  <si>
    <t>Civil aftermarket y/y growth (%, $)*</t>
  </si>
  <si>
    <t>Civil aftermarket (vs. 2019)*</t>
  </si>
  <si>
    <t>Q2-2024</t>
  </si>
  <si>
    <t>2Q24E</t>
  </si>
  <si>
    <t>New Company Cons.</t>
  </si>
  <si>
    <t>GSe vs Cons.</t>
  </si>
  <si>
    <t>Old Company Cons.</t>
  </si>
  <si>
    <t>New vs Old Cons.</t>
  </si>
  <si>
    <t>2H24</t>
  </si>
  <si>
    <t>Implied</t>
  </si>
  <si>
    <t>2H23 civil AM sales &gt;&gt;</t>
  </si>
  <si>
    <t>Focus on 2H24</t>
  </si>
  <si>
    <t>2H24E</t>
  </si>
  <si>
    <t>2H24 implied &gt;&gt;</t>
  </si>
  <si>
    <t>Mid Twenties</t>
  </si>
  <si>
    <t>Adj. EBIT</t>
  </si>
  <si>
    <t>3Q24E</t>
  </si>
  <si>
    <t>div</t>
  </si>
  <si>
    <t>bb</t>
  </si>
  <si>
    <t>TSR</t>
  </si>
  <si>
    <t>Impl. Guid.</t>
  </si>
  <si>
    <t>vs Cons.</t>
  </si>
  <si>
    <t>vs GSe</t>
  </si>
  <si>
    <t>(21/10/2024)</t>
  </si>
  <si>
    <t>Pre-3Q24</t>
  </si>
  <si>
    <t>Old Guidance</t>
  </si>
  <si>
    <t>~€27.1bn</t>
  </si>
  <si>
    <t>~€4.1bn</t>
  </si>
  <si>
    <t>Implied ~15.1%</t>
  </si>
  <si>
    <t>Down ~10%</t>
  </si>
  <si>
    <t>A320 NEO market share</t>
  </si>
  <si>
    <t>CMD'24 Targets</t>
  </si>
  <si>
    <t>2024-2028</t>
  </si>
  <si>
    <t>LEAP engine deliveries (units)</t>
  </si>
  <si>
    <t>EPS (€)</t>
  </si>
  <si>
    <t>DPS (€)</t>
  </si>
  <si>
    <t>EPS Basic</t>
  </si>
  <si>
    <t>HSD % CAGR</t>
  </si>
  <si>
    <t>€6.0bn - €6.5bn in 2028</t>
  </si>
  <si>
    <t>Mid-teens % in 2028</t>
  </si>
  <si>
    <t>~10% in 2028</t>
  </si>
  <si>
    <t>Cumulated €15bn - €17bn over '24-'28</t>
  </si>
  <si>
    <t>Low twenties % each year ('24-'28)</t>
  </si>
  <si>
    <t>FY 2025</t>
  </si>
  <si>
    <r>
      <t xml:space="preserve">Up ~10% </t>
    </r>
    <r>
      <rPr>
        <i/>
        <sz val="9"/>
        <rFont val="Arial"/>
        <family val="2"/>
      </rPr>
      <t>(implied ~€29.8bn)</t>
    </r>
  </si>
  <si>
    <t>€4.7bn - €4.8bn</t>
  </si>
  <si>
    <t>Spares: Mid to High SD
Services: Mid teens</t>
  </si>
  <si>
    <t>65-70% over '24-'28</t>
  </si>
  <si>
    <r>
      <t xml:space="preserve">Up ~15-20% 
</t>
    </r>
    <r>
      <rPr>
        <i/>
        <sz val="9"/>
        <rFont val="Arial"/>
        <family val="2"/>
      </rPr>
      <t>(implied ~1,660 units)</t>
    </r>
  </si>
  <si>
    <t>€2.8bn - €3.0bn *</t>
  </si>
  <si>
    <t>Implied ~61%</t>
  </si>
  <si>
    <t>ow Services</t>
  </si>
  <si>
    <t>CMD'24 p77: c.4% tangible capex with a peak @5% in 2025</t>
  </si>
  <si>
    <t>pretty flat over CMD plan</t>
  </si>
  <si>
    <t>Spare parts</t>
  </si>
  <si>
    <t>ow Spare parts</t>
  </si>
  <si>
    <t>GE Shops (CFM)</t>
  </si>
  <si>
    <t>Safran Shops (CFM)</t>
  </si>
  <si>
    <t>Spare parts: Safran Value Capture</t>
  </si>
  <si>
    <t>Services: Safran Value Capture</t>
  </si>
  <si>
    <t>Total Safran CFM56 Civil Aftermarket (USD)</t>
  </si>
  <si>
    <t>IR post CMD'24: Services include all elements billable under RPFH contracts + internal T&amp;M</t>
  </si>
  <si>
    <t>Total Safran CFM56 Civil Aftermarket (EUR)</t>
  </si>
  <si>
    <t>Heavy Shop visits</t>
  </si>
  <si>
    <t>Quick-turns Shop visits</t>
  </si>
  <si>
    <t>LEAP heavy SV economics</t>
  </si>
  <si>
    <t>LEAP quick-turns SV economics</t>
  </si>
  <si>
    <t>LEAP Shop Visits assumptions</t>
  </si>
  <si>
    <t>LEAP MRO market assumptions</t>
  </si>
  <si>
    <t>Total Shop visits</t>
  </si>
  <si>
    <t>GSe assumption of gradual recognition of P&amp;L. 1/5 year 1, 1/4 year 2, etc</t>
  </si>
  <si>
    <t>Civil: High-thrust (GE90, GEnx, etc)</t>
  </si>
  <si>
    <t>High-thrust Civil AM sales attributable to Safran (USD)</t>
  </si>
  <si>
    <t>High-thrust Civil AM sales attributable to Safran (EUR)</t>
  </si>
  <si>
    <t xml:space="preserve">Deferred income </t>
  </si>
  <si>
    <t>ow RPFH</t>
  </si>
  <si>
    <t>ow RTDI</t>
  </si>
  <si>
    <t>FY25E</t>
  </si>
  <si>
    <t>CMD'24 Guidance</t>
  </si>
  <si>
    <r>
      <t>Up ~10%</t>
    </r>
    <r>
      <rPr>
        <sz val="9"/>
        <color theme="2" tint="-0.249977111117893"/>
        <rFont val="Arial"/>
        <family val="2"/>
      </rPr>
      <t xml:space="preserve"> (implied ~€29.8bn)</t>
    </r>
  </si>
  <si>
    <t>€2.8bn - €3.0bn</t>
  </si>
  <si>
    <t>Pre-4Q24</t>
  </si>
  <si>
    <t>(06/02/2025)</t>
  </si>
  <si>
    <t>Mid twenties %</t>
  </si>
  <si>
    <t xml:space="preserve">* €(380)mn - €(400)mn estimated impact from French corporate surtax </t>
  </si>
  <si>
    <t>Up ~15-20%</t>
  </si>
  <si>
    <t>4Q</t>
  </si>
  <si>
    <t>Net Income (Reported)</t>
  </si>
  <si>
    <t>H1-2025</t>
  </si>
  <si>
    <t>H1 2025E</t>
  </si>
  <si>
    <t>FY-2029</t>
  </si>
  <si>
    <t>EBITA</t>
  </si>
  <si>
    <t>VA FY25E</t>
  </si>
  <si>
    <t>GSFY25E</t>
  </si>
  <si>
    <t>VA FY26E</t>
  </si>
  <si>
    <t>GSFY26E</t>
  </si>
  <si>
    <t>VA FY27E</t>
  </si>
  <si>
    <t>GSFY27E</t>
  </si>
  <si>
    <t>VA FY28E</t>
  </si>
  <si>
    <t>GSFY28E</t>
  </si>
  <si>
    <t>VA FY29E</t>
  </si>
  <si>
    <t>GSFY29E</t>
  </si>
  <si>
    <t>VA FY30E</t>
  </si>
  <si>
    <t>GSFY30E</t>
  </si>
  <si>
    <t>EV/EBIT</t>
  </si>
  <si>
    <t>Divisional Summary</t>
  </si>
  <si>
    <t>Cash provided by operating activities</t>
  </si>
  <si>
    <t>add back:</t>
  </si>
  <si>
    <t>Deduct:</t>
  </si>
  <si>
    <t>Purchase of PP&amp;E</t>
  </si>
  <si>
    <t>Purchase of intangible assets</t>
  </si>
  <si>
    <t>Operating cash flow</t>
  </si>
  <si>
    <t>Unlevered op cash flow, post tax, post capex</t>
  </si>
  <si>
    <t xml:space="preserve">€mn </t>
  </si>
  <si>
    <t xml:space="preserve">5yr. CAGR </t>
  </si>
  <si>
    <t xml:space="preserve">Sales growth </t>
  </si>
  <si>
    <t>Cash Conversion</t>
  </si>
  <si>
    <t>Pension underfunding</t>
  </si>
  <si>
    <t>Tax rate (adjusted)</t>
  </si>
  <si>
    <t>No. of shares</t>
  </si>
  <si>
    <t>Valuation date</t>
  </si>
  <si>
    <t>Explicit growth (EBIT)</t>
  </si>
  <si>
    <t>Mid-term growth</t>
  </si>
  <si>
    <t>Long term growth</t>
  </si>
  <si>
    <t>Discount rate</t>
  </si>
  <si>
    <t>Calendar year</t>
  </si>
  <si>
    <t>Terminal value</t>
  </si>
  <si>
    <t>Cumulative growth</t>
  </si>
  <si>
    <t>Annual growth</t>
  </si>
  <si>
    <t>Discounted value</t>
  </si>
  <si>
    <t>PV</t>
  </si>
  <si>
    <t>Year</t>
  </si>
  <si>
    <t>Target EV/EBIT</t>
  </si>
  <si>
    <t>Target EV</t>
  </si>
  <si>
    <t>Pension tax shield</t>
  </si>
  <si>
    <t>Target Market Cap</t>
  </si>
  <si>
    <t xml:space="preserve">Current Share Price </t>
  </si>
  <si>
    <t>Source</t>
  </si>
  <si>
    <t>Q1</t>
  </si>
  <si>
    <t>Q2</t>
  </si>
  <si>
    <t>H1</t>
  </si>
  <si>
    <t>Q3</t>
  </si>
  <si>
    <t>9M</t>
  </si>
  <si>
    <t>Q4</t>
  </si>
  <si>
    <t>H2</t>
  </si>
  <si>
    <t>FY</t>
  </si>
  <si>
    <t xml:space="preserve">Revenue Growth </t>
  </si>
  <si>
    <t>Tax paid/(Tax refund)</t>
  </si>
  <si>
    <t xml:space="preserve">Adjusted Revenues </t>
  </si>
  <si>
    <t xml:space="preserve">Adjustments </t>
  </si>
  <si>
    <t>Remeasurement of revenue</t>
  </si>
  <si>
    <t>Deferred hedging gain/loss</t>
  </si>
  <si>
    <t>Amortization of intangible assets from meger</t>
  </si>
  <si>
    <t>PPA Impacts/Other Business combinations</t>
  </si>
  <si>
    <t xml:space="preserve">Adj. Net Income </t>
  </si>
  <si>
    <t>Adj. PBT</t>
  </si>
  <si>
    <t>Adj. Financial expense</t>
  </si>
  <si>
    <t>Adj. tax rate</t>
  </si>
  <si>
    <t>Tax benefit (expense)</t>
  </si>
  <si>
    <t>Adj. Tax benefit (expense)</t>
  </si>
  <si>
    <t>Adj. EBIT Margin</t>
  </si>
  <si>
    <t>Adj. Continuing EPS - Basic</t>
  </si>
  <si>
    <t>Adj. Continuing EPS - Diluted</t>
  </si>
  <si>
    <t>Adj. Reported EPS - Basic</t>
  </si>
  <si>
    <t xml:space="preserve">Adj. Reported EPS - Diluted </t>
  </si>
  <si>
    <t>Adj. EBIT growth</t>
  </si>
  <si>
    <t>Equipment &amp; Defense</t>
  </si>
  <si>
    <t>Net Cash (Debt)</t>
  </si>
  <si>
    <t>DSO</t>
  </si>
  <si>
    <t>DIO</t>
  </si>
  <si>
    <t>DPO</t>
  </si>
  <si>
    <t>Breakup by Segments</t>
  </si>
  <si>
    <t>Growth Rate</t>
  </si>
  <si>
    <t>FY 2029E</t>
  </si>
  <si>
    <t>Net Interest expense</t>
  </si>
  <si>
    <t>Bottom Up Analysis</t>
  </si>
  <si>
    <t xml:space="preserve">Landing Gear </t>
  </si>
  <si>
    <t>AM</t>
  </si>
  <si>
    <t xml:space="preserve">Wheels &amp; Brakes </t>
  </si>
  <si>
    <t>0% OE</t>
  </si>
  <si>
    <t>99% AM</t>
  </si>
  <si>
    <t xml:space="preserve">Total Landing equipment </t>
  </si>
  <si>
    <t>Total Nacelles</t>
  </si>
  <si>
    <t>EWIS (75%)</t>
  </si>
  <si>
    <t>Power generation (25%)</t>
  </si>
  <si>
    <t>Electrical Systems</t>
  </si>
  <si>
    <t>Traffic Growth Rate</t>
  </si>
  <si>
    <t>Total Services Growth</t>
  </si>
  <si>
    <t>Assume OE growth</t>
  </si>
  <si>
    <t>End-market breakdown</t>
  </si>
  <si>
    <t>Landing &amp; Aircraft Systems</t>
  </si>
  <si>
    <t>Engine Systems and Equipment</t>
  </si>
  <si>
    <t>Electrical Systems and Engineering</t>
  </si>
  <si>
    <t>Avg USD/EUR rate</t>
  </si>
  <si>
    <t>FX tailwind/headwind</t>
  </si>
  <si>
    <t>RPFH cash advances</t>
  </si>
  <si>
    <t>Spares mix</t>
  </si>
  <si>
    <t>Spares margin</t>
  </si>
  <si>
    <t>Spares sales (USD)</t>
  </si>
  <si>
    <t>Spares profit (USD)</t>
  </si>
  <si>
    <t>LEAP EBITA</t>
  </si>
  <si>
    <t>Assumed margin</t>
  </si>
  <si>
    <t>Profit margin</t>
  </si>
  <si>
    <t>Helicopter AM (USD)</t>
  </si>
  <si>
    <t>EBIT (EUR)</t>
  </si>
  <si>
    <t>LEAP spares profit attributable to Safran (EUR)</t>
  </si>
  <si>
    <t>LEAP spares sales attributable to Safran (EUR)</t>
  </si>
  <si>
    <t>LEAP analysis</t>
  </si>
  <si>
    <t>LEAP OE sales attributable to Safran (USD)</t>
  </si>
  <si>
    <t>LEAP OE profit attributable to Safran (EUR)</t>
  </si>
  <si>
    <t>LEAP OE profit attributable to Safran (USD)</t>
  </si>
  <si>
    <t>LEAP OE sales attributable to Safran (EUR)</t>
  </si>
  <si>
    <t/>
  </si>
  <si>
    <t>Op Margin</t>
  </si>
  <si>
    <t>Equipment &amp; Defense Division</t>
  </si>
  <si>
    <t>Price escalation</t>
  </si>
  <si>
    <t>CAGR</t>
  </si>
  <si>
    <t xml:space="preserve">ROIC Analysis </t>
  </si>
  <si>
    <t>Underlying Tax</t>
  </si>
  <si>
    <t>NOPAT</t>
  </si>
  <si>
    <t xml:space="preserve">Other current assets </t>
  </si>
  <si>
    <t>ROIC (%)</t>
  </si>
  <si>
    <t>LEAP shop visits</t>
  </si>
  <si>
    <t>CFM 56 shop visits</t>
  </si>
  <si>
    <t>LEAP rev/shop visit at full workscope</t>
  </si>
  <si>
    <t>CFM56 rev/shop visit at full workscope</t>
  </si>
  <si>
    <t>Inflation/pricing</t>
  </si>
  <si>
    <t>LEAP workscope</t>
  </si>
  <si>
    <t>CFM56 workscope</t>
  </si>
  <si>
    <t>Revenue growth</t>
  </si>
  <si>
    <t>LEAP revenue m</t>
  </si>
  <si>
    <t>CFM56 revenue m</t>
  </si>
  <si>
    <t>Safran share</t>
  </si>
  <si>
    <t>24-28 revenue CAGR</t>
  </si>
  <si>
    <t>Sensitivities</t>
  </si>
  <si>
    <t>Leap workscope 2030</t>
  </si>
  <si>
    <t>Current share price/Average Share Price</t>
  </si>
  <si>
    <t>EBITA Margin</t>
  </si>
  <si>
    <t>Recurring operating Income (EBITA)</t>
  </si>
  <si>
    <t>Adj. Recurring operating income (Adj EBITA)</t>
  </si>
  <si>
    <t xml:space="preserve">Adj. EBITA Margin </t>
  </si>
  <si>
    <t xml:space="preserve">Net Income attributable to owners of the parent </t>
  </si>
  <si>
    <t>Adj. Net Income attributable to owners of the parent</t>
  </si>
  <si>
    <t>Up low teens</t>
  </si>
  <si>
    <t>€5bn - €5.1bn</t>
  </si>
  <si>
    <t>€3.4bn - €3.6bn *</t>
  </si>
  <si>
    <t>Spares: up mid to high teens
Services: up mid to high teens</t>
  </si>
  <si>
    <t>Company guide to 15-17bn cumulative FCF; 3.4-3.6bn FY25</t>
  </si>
  <si>
    <t>Mid-to-high teens</t>
  </si>
  <si>
    <t>15-20% FY25</t>
  </si>
  <si>
    <t>Reported EBIT</t>
  </si>
  <si>
    <t>Upside/(Downside)</t>
  </si>
  <si>
    <t>5Yr EBIT
CAGR</t>
  </si>
  <si>
    <t>Explicit PROF Grow</t>
  </si>
  <si>
    <t>Cash Conversion Ratio</t>
  </si>
  <si>
    <t>CC</t>
  </si>
  <si>
    <t>Period End (Net Debt)/Net Cash</t>
  </si>
  <si>
    <t>Period Average (Net Debt)/Net Cash</t>
  </si>
  <si>
    <t>GS Defined Op Cash Flow</t>
  </si>
  <si>
    <t xml:space="preserve">Reported Revenues </t>
  </si>
  <si>
    <t>Total Adjustments</t>
  </si>
  <si>
    <t>Adj. EBITA</t>
  </si>
  <si>
    <t>Adj. Revenues</t>
  </si>
  <si>
    <t>Net financing expense</t>
  </si>
  <si>
    <t>Adj. net financing expense</t>
  </si>
  <si>
    <t>Tax benefit/(expense)</t>
  </si>
  <si>
    <t>Adj. Tax benefit/(expense)</t>
  </si>
  <si>
    <t>Adj. Net Income</t>
  </si>
  <si>
    <t xml:space="preserve">Adj. Net Income attributable to owners of the parent </t>
  </si>
  <si>
    <t xml:space="preserve">EBITDA Analysis </t>
  </si>
  <si>
    <t xml:space="preserve">Depreciation </t>
  </si>
  <si>
    <t xml:space="preserve">Ammortisation </t>
  </si>
  <si>
    <t>Adj. EBITDA</t>
  </si>
  <si>
    <t>Adj. EBITDA Margin (%)</t>
  </si>
  <si>
    <t>Below Cons on FCF on all years</t>
  </si>
  <si>
    <t xml:space="preserve">Y/E Net Debt/Adj. EBITDA </t>
  </si>
  <si>
    <t>Average Net Debt/Adj. EBITDA</t>
  </si>
  <si>
    <t>Provision</t>
  </si>
  <si>
    <t>Of which provisions</t>
  </si>
  <si>
    <t>FY-2030</t>
  </si>
  <si>
    <t>FY 2030E</t>
  </si>
  <si>
    <t>Interest Paid</t>
  </si>
  <si>
    <t>Less: Interest income</t>
  </si>
  <si>
    <t>Pension Calculation</t>
  </si>
  <si>
    <t>Plan Assets</t>
  </si>
  <si>
    <t>Provision recognised</t>
  </si>
  <si>
    <t>Net Pension benefit /(expense)</t>
  </si>
  <si>
    <t>Current assets (excluding Cash &amp; Equivalents)</t>
  </si>
  <si>
    <t>Current Liabilities (excluding Financial Liabilities)</t>
  </si>
  <si>
    <t>Tax Rate</t>
  </si>
  <si>
    <t>Change in working capital</t>
  </si>
  <si>
    <t>Capex &amp; Intangibles</t>
  </si>
  <si>
    <t>Discount Factor</t>
  </si>
  <si>
    <t>Discounted FCF</t>
  </si>
  <si>
    <t>DCF Valuation</t>
  </si>
  <si>
    <t>Risk free rate</t>
  </si>
  <si>
    <t>%</t>
  </si>
  <si>
    <t>Equity Risk premium</t>
  </si>
  <si>
    <t>Cost of equity</t>
  </si>
  <si>
    <t>Cost of debt</t>
  </si>
  <si>
    <t>Tax</t>
  </si>
  <si>
    <t>Post tax cost of debt</t>
  </si>
  <si>
    <t>MV Equity / (MV Equity + Net Debt)</t>
  </si>
  <si>
    <t>Net Debt / (MV Equity + Net Debt)</t>
  </si>
  <si>
    <t>Terminal growth rate</t>
  </si>
  <si>
    <t xml:space="preserve">Sum of discounted cash flows </t>
  </si>
  <si>
    <t>EUR (mn)</t>
  </si>
  <si>
    <t>Undiscounted value of TV</t>
  </si>
  <si>
    <t>Discounted value of TV</t>
  </si>
  <si>
    <t>Enterprise value</t>
  </si>
  <si>
    <t>Equity value</t>
  </si>
  <si>
    <t>million</t>
  </si>
  <si>
    <t>Equity value per share</t>
  </si>
  <si>
    <t>Change in Working Capital</t>
  </si>
  <si>
    <t>Sustainable FCF</t>
  </si>
  <si>
    <t xml:space="preserve">EUR </t>
  </si>
  <si>
    <t>yoy change</t>
  </si>
  <si>
    <t>Net cash (debt) and lease</t>
  </si>
  <si>
    <t>Primary Analysts</t>
  </si>
  <si>
    <r>
      <t>Sam Burgess,</t>
    </r>
    <r>
      <rPr>
        <sz val="10.5"/>
        <rFont val="Calibri"/>
        <family val="2"/>
      </rPr>
      <t xml:space="preserve"> sam.burgess@gs.com</t>
    </r>
    <r>
      <rPr>
        <b/>
        <sz val="10.5"/>
        <rFont val="Calibri"/>
        <family val="2"/>
      </rPr>
      <t xml:space="preserve">, </t>
    </r>
    <r>
      <rPr>
        <sz val="10.5"/>
        <rFont val="Calibri"/>
        <family val="2"/>
      </rPr>
      <t>+44 20 7774-9651</t>
    </r>
    <r>
      <rPr>
        <b/>
        <sz val="10.5"/>
        <rFont val="Calibri"/>
        <family val="2"/>
      </rPr>
      <t xml:space="preserve"> </t>
    </r>
    <r>
      <rPr>
        <sz val="10.5"/>
        <rFont val="Calibri"/>
        <family val="2"/>
      </rPr>
      <t>Goldman Sachs International</t>
    </r>
  </si>
  <si>
    <r>
      <rPr>
        <b/>
        <sz val="10.5"/>
        <rFont val="Calibri"/>
        <family val="2"/>
      </rPr>
      <t>Jubril Moronfolu</t>
    </r>
    <r>
      <rPr>
        <sz val="10.5"/>
        <rFont val="Calibri"/>
        <family val="2"/>
      </rPr>
      <t>, jubril.x.moronfolu@gs.com, +44 20 7051-0985 Goldman Sachs International</t>
    </r>
  </si>
  <si>
    <r>
      <t xml:space="preserve">Milind Sikchi, </t>
    </r>
    <r>
      <rPr>
        <sz val="10.5"/>
        <rFont val="Calibri"/>
        <family val="2"/>
      </rPr>
      <t>milind.sikchi@gs.com, +1 332 245-7985</t>
    </r>
    <r>
      <rPr>
        <b/>
        <sz val="10.5"/>
        <rFont val="Calibri"/>
        <family val="2"/>
      </rPr>
      <t xml:space="preserve">, </t>
    </r>
    <r>
      <rPr>
        <sz val="10.5"/>
        <rFont val="Calibri"/>
        <family val="2"/>
      </rPr>
      <t>Goldman Sachs International</t>
    </r>
  </si>
  <si>
    <t>Q3-2025</t>
  </si>
  <si>
    <t>3Q25E</t>
  </si>
  <si>
    <t>3Q</t>
  </si>
  <si>
    <t>N/A</t>
  </si>
  <si>
    <t>Implied Guidance</t>
  </si>
  <si>
    <t>4Q 2025</t>
  </si>
  <si>
    <t>VA Cons. (%)</t>
  </si>
  <si>
    <t>file://fwln050ns.eu.fw.gs.com/moronj_london_firmwide/home/Downloads/Consensus%20Q3%202025%20&amp;%20FY%202025.pdf</t>
  </si>
  <si>
    <t>xx</t>
  </si>
  <si>
    <t>Up 11-13%</t>
  </si>
  <si>
    <t>€5.1bn - €5.2bn</t>
  </si>
  <si>
    <t>€3.5bn - €3.7bn *</t>
  </si>
  <si>
    <t xml:space="preserve">Spares: up mid to high teens
Services: up low to mid twenties </t>
  </si>
  <si>
    <t>Up &gt;20%</t>
  </si>
  <si>
    <t>New Guidance</t>
  </si>
  <si>
    <t>LEAP Deliveries</t>
  </si>
  <si>
    <t>Up &gt;20% compared to 2024</t>
  </si>
  <si>
    <t>LEAP Deliveries:</t>
  </si>
  <si>
    <t>USD/EUR blended rate</t>
  </si>
  <si>
    <t>Increased Leap deliveries</t>
  </si>
  <si>
    <t>Actual vs. Est.</t>
  </si>
  <si>
    <t>New</t>
  </si>
  <si>
    <t>Old</t>
  </si>
  <si>
    <t>% Change</t>
  </si>
  <si>
    <t>EUR mn</t>
  </si>
  <si>
    <t>3Q24A</t>
  </si>
  <si>
    <t>Diff.</t>
  </si>
  <si>
    <t>1H24A</t>
  </si>
  <si>
    <t>2023A</t>
  </si>
  <si>
    <t>2023E</t>
  </si>
  <si>
    <t>Group Sales</t>
  </si>
  <si>
    <t>Group adj. EBIT</t>
  </si>
  <si>
    <t>Group FCF</t>
  </si>
  <si>
    <t>EBIT to FCF (company defined) conversion</t>
  </si>
  <si>
    <t>Civil Aftermarket y/y sales growth (%, USD)</t>
  </si>
  <si>
    <t>Spares y/y sales growth (%, USD)</t>
  </si>
  <si>
    <t>Services y/y sales growth (%, USD)</t>
  </si>
  <si>
    <t>Adj EPS Basic</t>
  </si>
  <si>
    <t>€3.5bn - €3.7bn</t>
  </si>
  <si>
    <t>Seasonality</t>
  </si>
  <si>
    <t xml:space="preserve">Collins </t>
  </si>
  <si>
    <t>Operating Margin</t>
  </si>
  <si>
    <t>Assumed a 7% revenue CAGR based on the industry growth</t>
  </si>
  <si>
    <t>Company guides mid-high single digit ebit margin</t>
  </si>
  <si>
    <t>~40% revenue from recurring services</t>
  </si>
  <si>
    <t>Contribution from Collins acq</t>
  </si>
  <si>
    <t>Q3'25 transcript -&gt;</t>
  </si>
  <si>
    <r>
      <rPr>
        <b/>
        <sz val="11"/>
        <color theme="1"/>
        <rFont val="Univers LT Std 55"/>
        <scheme val="minor"/>
      </rPr>
      <t>Company-Wide Outlook</t>
    </r>
    <r>
      <rPr>
        <sz val="11"/>
        <color theme="1"/>
        <rFont val="Univers LT Std 55"/>
        <family val="2"/>
        <scheme val="minor"/>
      </rPr>
      <t xml:space="preserve">
•	Safran upgraded its full-year 2025 guidance across all metrics—revenue, EBIT, and free cash flow—reflecting strong execution and demand.
•	The company expects continued profitable growth and robust cash generation, supported by aftermarket strength and LEAP engine ramp-up.
•	Tariff impacts are being mitigated, with residual EBIT impact expected to be €100–150M in 2025 and around €100M annually going forward.
•	Share buyback program continues, with €1.4B in shares to be cancelled by year-end 2025
</t>
    </r>
    <r>
      <rPr>
        <b/>
        <sz val="11"/>
        <color theme="1"/>
        <rFont val="Univers LT Std 55"/>
        <scheme val="minor"/>
      </rPr>
      <t>Propulsion</t>
    </r>
    <r>
      <rPr>
        <sz val="11"/>
        <color theme="1"/>
        <rFont val="Univers LT Std 55"/>
        <family val="2"/>
        <scheme val="minor"/>
      </rPr>
      <t xml:space="preserve">
•	LEAP engine deliveries are expected to grow over 20% vs. 2024, with catch-up on delays nearly complete. Q3 numbers - Record 511 units in Q3 (+40% YoY); 1,240 delivered YTD (+21% YoY)
•	LEAP-related services are forecasted to grow in the low to mid-20% range, though with no additional EBIT due to fixed profit recognition
•	Civil aftermarket remains a key growth driver, especially CFM56 and high-thrust engines
</t>
    </r>
    <r>
      <rPr>
        <b/>
        <sz val="11"/>
        <color theme="1"/>
        <rFont val="Univers LT Std 55"/>
        <scheme val="minor"/>
      </rPr>
      <t>Equipment &amp; Defense</t>
    </r>
    <r>
      <rPr>
        <sz val="11"/>
        <color theme="1"/>
        <rFont val="Univers LT Std 55"/>
        <family val="2"/>
        <scheme val="minor"/>
      </rPr>
      <t xml:space="preserve">
•	Continued growth expected, driven by strong OE demand and defense momentum
•	Collins acquisition to contribute ~€650M (Aug - Dec) in revenue for FY25 with mid-single digit margins (pre-integration costs)
•	Integration is progressing well, with synergy opportunities already being explored across Safran’s systems teams
</t>
    </r>
    <r>
      <rPr>
        <b/>
        <sz val="11"/>
        <color theme="1"/>
        <rFont val="Univers LT Std 55"/>
        <scheme val="minor"/>
      </rPr>
      <t>Aircraft Interiors</t>
    </r>
    <r>
      <rPr>
        <sz val="11"/>
        <color theme="1"/>
        <rFont val="Univers LT Std 55"/>
        <family val="2"/>
        <scheme val="minor"/>
      </rPr>
      <t xml:space="preserve">
•	Growth expected to continue, especially in cabin systems, supported by aircraft production ramp-up.
•	Seat business remains challenged by certification delays, but pricing improvements on recent wins should support margin recovery over the next two years.
•	Safran maintains seats as a core business, with no divestment planned
•	Safran reiterated plans to divest ~30% of ex-Zodiac portfolio (mostly interiors), but seats are not part of current divestment scope
</t>
    </r>
    <r>
      <rPr>
        <b/>
        <sz val="11"/>
        <color theme="1"/>
        <rFont val="Univers LT Std 55"/>
        <scheme val="minor"/>
      </rPr>
      <t>LEAP Engine &amp; Production Capacity</t>
    </r>
    <r>
      <rPr>
        <sz val="11"/>
        <color theme="1"/>
        <rFont val="Univers LT Std 55"/>
        <family val="2"/>
        <scheme val="minor"/>
      </rPr>
      <t xml:space="preserve">
•	Morocco Assembly Line: First LEAP engines from the Casablanca line expected in early 2028, with full ramp-up to 350 engines/year by 2030.
•	Rate 75 Discussions: Ongoing talks with Airbus; full-year rate 75 not confirmed for 2027, but capacity planning is underway.
•	Catch-Up Status: Confident in catching up on LEAP delivery delays by end-October or early November.
</t>
    </r>
    <r>
      <rPr>
        <b/>
        <sz val="11"/>
        <color theme="1"/>
        <rFont val="Univers LT Std 55"/>
        <scheme val="minor"/>
      </rPr>
      <t>Aftermarket &amp; Services</t>
    </r>
    <r>
      <rPr>
        <sz val="11"/>
        <color theme="1"/>
        <rFont val="Univers LT Std 55"/>
        <family val="2"/>
        <scheme val="minor"/>
      </rPr>
      <t xml:space="preserve">
•	LEAP RPFH Contracts: These now form the majority of services revenue. Growth is driven by more shop visits and performance restorations, but EBIT remains unchanged due to fixed profit recognition.
•	Spare Parts Breakdown: Growth driven by volume, pricing (mid- to high-single digit increases), and higher work scope—especially for high-thrust engines and CFM56.
</t>
    </r>
  </si>
  <si>
    <t>Equipment &amp; Defence</t>
  </si>
  <si>
    <t>Q4-2025</t>
  </si>
  <si>
    <t>Q4 2025</t>
  </si>
  <si>
    <t>Q4 2025E</t>
  </si>
  <si>
    <t>Error: RTD method of WorksheetFunction class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</si>
</sst>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3"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* #,##0.00_);_(* \(#,##0.00\);_(* &quot;-&quot;??_);_(@_)"/>
    <numFmt numFmtId="170" formatCode="&quot;£&quot;#,##0.00_);\(&quot;£&quot;#,##0.00\)"/>
    <numFmt numFmtId="171" formatCode="#,##0;&quot;£&quot;#,##0"/>
    <numFmt numFmtId="172" formatCode="0.0"/>
    <numFmt numFmtId="173" formatCode="0.0%"/>
    <numFmt numFmtId="174" formatCode="#,##0.0##;[Red]\-#,##0.0##"/>
    <numFmt numFmtId="175" formatCode="0.00_);\(0.00\);0.00"/>
    <numFmt numFmtId="176" formatCode="#,##0;\(#,##0\)"/>
    <numFmt numFmtId="177" formatCode="0.00_);\(0.00\);0.00_)"/>
    <numFmt numFmtId="178" formatCode="0.0%;\(0.0%\)"/>
    <numFmt numFmtId="179" formatCode="0.00\%;\-0.00\%;0.00\%"/>
    <numFmt numFmtId="180" formatCode="#,##0.0"/>
    <numFmt numFmtId="181" formatCode="0.00\x;\-0.00\x;0.00\x"/>
    <numFmt numFmtId="182" formatCode="&quot;2Q&quot;00"/>
    <numFmt numFmtId="183" formatCode="##0.00000"/>
    <numFmt numFmtId="184" formatCode="#,##0.0%"/>
    <numFmt numFmtId="185" formatCode=";;;"/>
    <numFmt numFmtId="186" formatCode="#,##0%"/>
    <numFmt numFmtId="187" formatCode="_-* #,##0_-;\-* #,##0_-;_-* &quot;-&quot;??_-;_-@_-"/>
    <numFmt numFmtId="188" formatCode="#,##0.0;\(#,##0.0\)"/>
    <numFmt numFmtId="189" formatCode="0.000"/>
    <numFmt numFmtId="190" formatCode="0.0&quot;x&quot;"/>
    <numFmt numFmtId="191" formatCode="#,##0.000"/>
    <numFmt numFmtId="192" formatCode="0.0000"/>
    <numFmt numFmtId="193" formatCode="#,##0.00000;\(#,##0.00000\)"/>
    <numFmt numFmtId="194" formatCode="#,##0;[Red]\(#,##0\)"/>
    <numFmt numFmtId="195" formatCode="0.0_)\%;\(0.0\)\%;0.0_)\%;@_)_%"/>
    <numFmt numFmtId="196" formatCode="#,##0.0_)_%;\(#,##0.0\)_%;0.0_)_%;@_)_%"/>
    <numFmt numFmtId="197" formatCode="#,##0.0_);\(#,##0.0\);#,##0.0_);@_)"/>
    <numFmt numFmtId="198" formatCode="#,##0.0_);\(#,##0.0\)"/>
    <numFmt numFmtId="199" formatCode="&quot;$&quot;_(#,##0.00_);&quot;$&quot;\(#,##0.00\)"/>
    <numFmt numFmtId="200" formatCode="&quot;$&quot;_(#,##0.00_);&quot;$&quot;\(#,##0.00\);&quot;$&quot;_(0.00_);@_)"/>
    <numFmt numFmtId="201" formatCode="#,##0.00_);\(#,##0.00\);0.00_);@_)"/>
    <numFmt numFmtId="202" formatCode="\€_(#,##0.00_);\€\(#,##0.00\);\€_(0.00_);@_)"/>
    <numFmt numFmtId="203" formatCode="#,##0.0_)\x;\(#,##0.0\)\x"/>
    <numFmt numFmtId="204" formatCode="#,##0_)\x;\(#,##0\)\x;0_)\x;@_)_x"/>
    <numFmt numFmtId="205" formatCode="#,##0.0_)\x;\(#,##0.0\)\x;0.0_)\x;@_)_x"/>
    <numFmt numFmtId="206" formatCode="#,##0.0_)_x;\(#,##0.0\)_x"/>
    <numFmt numFmtId="207" formatCode="#,##0_)_x;\(#,##0\)_x;0_)_x;@_)_x"/>
    <numFmt numFmtId="208" formatCode="#,##0.0_)_x;\(#,##0.0\)_x;0.0_)_x;@_)_x"/>
    <numFmt numFmtId="209" formatCode="0.0_)\%;\(0.0\)\%"/>
    <numFmt numFmtId="210" formatCode="#,##0.0_)_%;\(#,##0.0\)_%"/>
    <numFmt numFmtId="211" formatCode="0\A"/>
    <numFmt numFmtId="212" formatCode="0.00_)"/>
    <numFmt numFmtId="213" formatCode="0\p"/>
    <numFmt numFmtId="214" formatCode="\$0.00;\(\$0.00\)"/>
    <numFmt numFmtId="215" formatCode="0.0&quot;  &quot;"/>
    <numFmt numFmtId="216" formatCode="_-* #,##0_-;\(#,##0\);_-* &quot;–&quot;_-;_-@_-"/>
    <numFmt numFmtId="217" formatCode="#,##0.00;;;[White]General"/>
    <numFmt numFmtId="218" formatCode="_(* #,##0.00000_);_(* \(#,##0.00000\);_(* &quot;-&quot;??_);_(@_)"/>
    <numFmt numFmtId="219" formatCode="#,##0.000_);[Red]\(#,##0.000\)"/>
    <numFmt numFmtId="220" formatCode="&quot;$&quot;0.0"/>
    <numFmt numFmtId="221" formatCode="#,##0;\(#,##0\);\–;@"/>
    <numFmt numFmtId="222" formatCode="_(&quot;CHF&quot;* #,##0.0_);_(&quot;CHF&quot;* \(#,##0.0\);_(&quot;CHF&quot;* &quot;-&quot;??_);_(@_)"/>
    <numFmt numFmtId="224" formatCode="#,##0.0\ ;\(#,##0.0\)"/>
    <numFmt numFmtId="225" formatCode="&quot;$&quot;#,##0.00&quot;*&quot;\ \ ;\(&quot;$&quot;#,##0.00\)&quot;*&quot;\ \ "/>
    <numFmt numFmtId="226" formatCode="&quot;$&quot;#,##0.00\A_)\ ;\(&quot;$&quot;#,##0.00\A\)\ \ "/>
    <numFmt numFmtId="227" formatCode="0.0_)"/>
    <numFmt numFmtId="228" formatCode="&quot;$&quot;#,##0.00_)\ \ \ ;\(&quot;$&quot;#,##0.00\)\ \ \ "/>
    <numFmt numFmtId="229" formatCode="0.0%_);\(0.0%\)"/>
    <numFmt numFmtId="230" formatCode="&quot;$&quot;#,##0.0_);[Red]\(&quot;$&quot;#,##0.0\)"/>
    <numFmt numFmtId="231" formatCode="_-* #,##0.0_-;\-* #,##0.0_-;_-* &quot;-&quot;??_-;_-@_-"/>
    <numFmt numFmtId="232" formatCode="_(* #,##0_);_(* \(#,##0\);_(* &quot;-&quot;??_);_(@_)"/>
    <numFmt numFmtId="233" formatCode="&quot;$&quot;#,##0.00;\-&quot;$&quot;#,##0.00"/>
    <numFmt numFmtId="234" formatCode="&quot;$&quot;#,##0.00;[Red]\-&quot;$&quot;#,##0.00"/>
    <numFmt numFmtId="235" formatCode="&quot;£&quot;_(#,##0.00_);&quot;£&quot;\(#,##0.00\);&quot;£&quot;_(0.00_);@_)"/>
    <numFmt numFmtId="236" formatCode="_(* #,##0.0_);_(* \(#,##0.0\);_(* &quot;-&quot;??_);_(@_)"/>
    <numFmt numFmtId="237" formatCode="&quot;£&quot;_(#,##0.00_);&quot;£&quot;\(#,##0.00\)"/>
    <numFmt numFmtId="238" formatCode="_-&quot;$&quot;* #,##0_-;\-&quot;$&quot;* #,##0_-;_-&quot;$&quot;* &quot;-&quot;_-;_-@_-"/>
    <numFmt numFmtId="239" formatCode="&quot;$&quot;#,##0;[Red]\-&quot;$&quot;#,##0"/>
    <numFmt numFmtId="240" formatCode="#,##0.0\ \ \ ;\(#,##0.0\)\ \ "/>
    <numFmt numFmtId="241" formatCode="&quot;SFr.&quot;_(#,##0.00_);&quot;SFr.&quot;\(#,##0.00\)"/>
    <numFmt numFmtId="242" formatCode="#,##0.0;[Red]\(#,##0.0\)"/>
    <numFmt numFmtId="243" formatCode="yy/mm"/>
    <numFmt numFmtId="244" formatCode="\C&quot;$&quot;\ #,##0.00_);\C&quot;$&quot;\ \(#,##0.00\);\C&quot;$&quot;\ 0.00_)"/>
    <numFmt numFmtId="245" formatCode="#,##0.0_);[Red]\(#,##0.0\)"/>
    <numFmt numFmtId="246" formatCode="#,##0.0\x"/>
    <numFmt numFmtId="247" formatCode="0.0%_);[Red]\(0.0%\)"/>
    <numFmt numFmtId="248" formatCode="#,##0.0\A"/>
    <numFmt numFmtId="249" formatCode="_(* #,##0_);_(* \(#,##0\);_(* &quot;----&quot;_);_(@_)"/>
    <numFmt numFmtId="250" formatCode="&quot;$&quot;#,##0.000\ ;\(&quot;$&quot;#,##0.000\)"/>
    <numFmt numFmtId="251" formatCode="_(&quot;$&quot;#,##0_)&quot;millions&quot;;\(&quot;$&quot;#,##0\)&quot; millions&quot;"/>
    <numFmt numFmtId="252" formatCode="@\ \ \ \ \ "/>
    <numFmt numFmtId="253" formatCode="[$-809]dd\ mmmm\ yyyy"/>
    <numFmt numFmtId="254" formatCode="0_)"/>
    <numFmt numFmtId="255" formatCode="_(* #,##0.00_);_(* \(#,##0.00\);_(* &quot;-----&quot;_);_(@_)"/>
    <numFmt numFmtId="256" formatCode="0&quot;A&quot;"/>
    <numFmt numFmtId="257" formatCode="0.0;\(0.0\)"/>
    <numFmt numFmtId="258" formatCode="#,##0_);\(#,##0\);\-_);"/>
    <numFmt numFmtId="259" formatCode="#,##0.0_x\);\(#,##0.0\)_x;#,##0.0_x\);@_x\)"/>
    <numFmt numFmtId="260" formatCode="#,##0_);\(#,##0\);\-_)"/>
    <numFmt numFmtId="261" formatCode="###0.0;\(###0.0\)"/>
    <numFmt numFmtId="262" formatCode="_(* #,##0.00_);_(* \(#,##0.00\);_(* &quot;---&quot;_);_(@_)"/>
    <numFmt numFmtId="263" formatCode="#,##0_%_);\(#,##0\)_%;**;@_%_)"/>
    <numFmt numFmtId="264" formatCode="&quot;$&quot;#,##0_%_);\(&quot;$&quot;#,##0\)_%;&quot;$&quot;#,##0_%_);@_%_)"/>
    <numFmt numFmtId="265" formatCode="&quot;$&quot;#,##0.00_%_);\(&quot;$&quot;#,##0.00\)_%;&quot;$&quot;#,##0.00_%_);@_%_)"/>
    <numFmt numFmtId="266" formatCode="&quot;$&quot;#,##0;\-&quot;$&quot;#,##0"/>
    <numFmt numFmtId="267" formatCode="#,##0.00\A\ \ \ \ ;\(#,##0.00\A\)\ \ \ \ "/>
    <numFmt numFmtId="268" formatCode="m/d/yy_%_)"/>
    <numFmt numFmtId="269" formatCode="yyyy"/>
    <numFmt numFmtId="270" formatCode="&quot;£&quot;_(#,##0_);&quot;£&quot;\(#,##0\)"/>
    <numFmt numFmtId="271" formatCode="&quot;£&quot;_(#,##0.0_);&quot;£&quot;\(#,##0.0\)"/>
    <numFmt numFmtId="272" formatCode="&quot;$&quot;#,##0.00_)\ \ \ \ \ ;\(&quot;$&quot;#,##0.00\)\ \ \ \ \ "/>
    <numFmt numFmtId="273" formatCode="0%\ \ \ \ \ \ \ "/>
    <numFmt numFmtId="274" formatCode="0.00%;\(0.00%\)"/>
    <numFmt numFmtId="275" formatCode="&quot;$&quot;#,##0.00&quot;A&quot;;[Red]\(&quot;$&quot;#,##0.00\)&quot;A&quot;"/>
    <numFmt numFmtId="276" formatCode="_(* #,##0.0_);_(* \(#,##0.0\);_(* &quot;----&quot;_);_(@_)"/>
    <numFmt numFmtId="277" formatCode="&quot;$&quot;#,##0.00&quot;E&quot;;[Red]\(&quot;$&quot;#,##0.00\)&quot;E&quot;"/>
    <numFmt numFmtId="278" formatCode="0.000_)"/>
    <numFmt numFmtId="279" formatCode="0&quot;E&quot;"/>
    <numFmt numFmtId="280" formatCode="&quot;£&quot;0.00\b\n"/>
    <numFmt numFmtId="281" formatCode="d\-mmmm\-yyyy"/>
    <numFmt numFmtId="282" formatCode="#,##0_);\(#,##0\);0_)"/>
    <numFmt numFmtId="283" formatCode="_ &quot;£&quot;* #,##0_ ;_ &quot;£&quot;* \-#,##0_ ;_ &quot;£&quot;* &quot;-&quot;_ ;_ @_ "/>
    <numFmt numFmtId="284" formatCode="\£\ #,##0"/>
    <numFmt numFmtId="285" formatCode="#,##0.0000\ ;\(#,##0.0000\)"/>
    <numFmt numFmtId="286" formatCode="&quot;$&quot;#,##0\ &quot;MM&quot;;\(&quot;$&quot;#,##0.00\ &quot;MM&quot;\)"/>
    <numFmt numFmtId="287" formatCode="0.0\%_);\(0.0\%\);0.0\%_);@_%_)"/>
    <numFmt numFmtId="288" formatCode="0.0\x_);[Red]\(0.0\x\)"/>
    <numFmt numFmtId="289" formatCode="#,##0\ ;\(#,##0\);\ \-\ "/>
    <numFmt numFmtId="290" formatCode="_-* #,##0.00_-;_-* #,##0.00\-;_-* &quot;-&quot;??_-;_-@_-"/>
    <numFmt numFmtId="291" formatCode="_(&quot;$&quot;* #,##0_)\ &quot;millions&quot;;_(&quot;$&quot;* \(#,##0\)&quot; millions&quot;"/>
    <numFmt numFmtId="292" formatCode="#,##0_)&quot;m&quot;;\(#,##0\)&quot;m&quot;;\-_)&quot;m&quot;"/>
    <numFmt numFmtId="293" formatCode="#,##0\ &quot;DM&quot;;[Red]\-#,##0\ &quot;DM&quot;"/>
    <numFmt numFmtId="294" formatCode="0.0%;0.0%;\-\ "/>
    <numFmt numFmtId="295" formatCode="0.0\ "/>
    <numFmt numFmtId="296" formatCode="0.0%\ \ \ \ \ "/>
    <numFmt numFmtId="297" formatCode="_-* #,##0\ _F_-;\-* #,##0\ _F_-;_-* &quot;-&quot;\ _F_-;_-@_-"/>
    <numFmt numFmtId="298" formatCode="_-* #,##0.00\ _F_-;\-* #,##0.00\ _F_-;_-* &quot;-&quot;??\ _F_-;_-@_-"/>
    <numFmt numFmtId="299" formatCode="_-* #,##0\ &quot;F&quot;_-;\-* #,##0\ &quot;F&quot;_-;_-* &quot;-&quot;\ &quot;F&quot;_-;_-@_-"/>
    <numFmt numFmtId="300" formatCode="_-* #,##0.00\ &quot;F&quot;_-;\-* #,##0.00\ &quot;F&quot;_-;_-* &quot;-&quot;??\ &quot;F&quot;_-;_-@_-"/>
    <numFmt numFmtId="301" formatCode="\$#,##0.00_);\(\$#,##0.00\)"/>
    <numFmt numFmtId="302" formatCode="\$#,##0_);\(\$#,##0\)"/>
    <numFmt numFmtId="303" formatCode="0.0\x;\(0.0\)\x"/>
    <numFmt numFmtId="304" formatCode="0.0_x"/>
    <numFmt numFmtId="305" formatCode="###0.0_x;\(###0.0\)_x"/>
    <numFmt numFmtId="306" formatCode="#,##0.0&quot;x&quot;;\-#,##0.0&quot;x&quot;;0.0&quot;x&quot;"/>
    <numFmt numFmtId="307" formatCode="#,##0_)&quot;p&quot;;\(#,##0\)&quot;p&quot;;\-_)&quot;p&quot;"/>
    <numFmt numFmtId="308" formatCode="\£#,##0.00_);\(\£#,##0.00\)"/>
    <numFmt numFmtId="309" formatCode="0.00\ \ \ \ "/>
    <numFmt numFmtId="310" formatCode="0.0_)\p;\(0.0\)\p"/>
    <numFmt numFmtId="311" formatCode="&quot;$&quot;@"/>
    <numFmt numFmtId="312" formatCode="&quot;$&quot;#\ ??/??"/>
    <numFmt numFmtId="313" formatCode="#,##0.000;[Red]\(#,##0.000\)"/>
    <numFmt numFmtId="314" formatCode="&quot;SEK&quot;_(#,##0.0_);&quot;SEK&quot;\(#,##0.0\)"/>
    <numFmt numFmtId="315" formatCode="\ \ #,##0.00"/>
    <numFmt numFmtId="316" formatCode="0.00;\(0.00\)"/>
    <numFmt numFmtId="317" formatCode="\$\ #,##0;&quot;£&quot;\ \-#,##0"/>
    <numFmt numFmtId="318" formatCode="#,##0.000\ ;\(#,##0.000\)"/>
    <numFmt numFmtId="319" formatCode="#,##0.00_)\ \x;\(#,##0.00\)\ \x"/>
    <numFmt numFmtId="320" formatCode="#,##0.00_)\x;\(#,##0.00\)\x"/>
    <numFmt numFmtId="321" formatCode="0.0_)\x;\(0.0\)\x"/>
    <numFmt numFmtId="322" formatCode="#,##0.00\x;\(#,##0.00\)\x"/>
    <numFmt numFmtId="323" formatCode="0.0000000000"/>
    <numFmt numFmtId="324" formatCode="#,##0\ \ \ \ \ \ \ \ ;\(#,##0\)\ \ \ \ \ \ \ "/>
    <numFmt numFmtId="325" formatCode="#,##0.00\ ;\(#,##0.00\)"/>
    <numFmt numFmtId="326" formatCode="_-* #,##0.000_-;\-* #,##0.000_-;_-* &quot;-&quot;??_-;_-@_-"/>
    <numFmt numFmtId="327" formatCode="0.0%;[Red]\-0.0%"/>
    <numFmt numFmtId="328" formatCode="\¥#,##0.00_);\(\¥#,##0.00\)"/>
    <numFmt numFmtId="329" formatCode="0000&quot;E&quot;"/>
    <numFmt numFmtId="330" formatCode="#,###"/>
    <numFmt numFmtId="331" formatCode="0.0\x"/>
    <numFmt numFmtId="332" formatCode="0000"/>
    <numFmt numFmtId="333" formatCode="0.000%"/>
    <numFmt numFmtId="334" formatCode="#,###,##0.00"/>
    <numFmt numFmtId="335" formatCode="0.00000"/>
    <numFmt numFmtId="336" formatCode="&quot;Ticker&quot;"/>
    <numFmt numFmtId="337" formatCode="0.0&quot; pts&quot;"/>
    <numFmt numFmtId="338" formatCode="#,##0_-;\(#,##0\)"/>
    <numFmt numFmtId="339" formatCode="yyyy&quot;E&quot;"/>
    <numFmt numFmtId="340" formatCode="#,##0.00;\(#,##0.00\)"/>
    <numFmt numFmtId="341" formatCode="#,##0.000;\(#,##0.000\)"/>
    <numFmt numFmtId="342" formatCode="#,##0.00_-;\(#,##0.00\)"/>
    <numFmt numFmtId="343" formatCode="0.00&quot; pts&quot;"/>
    <numFmt numFmtId="344" formatCode="0.0\ &quot;pts&quot;"/>
    <numFmt numFmtId="345" formatCode="&quot;Target Price:&quot;\ 0"/>
    <numFmt numFmtId="346" formatCode="0&quot;x&quot;"/>
    <numFmt numFmtId="347" formatCode="[$€-2]\ #,##0"/>
    <numFmt numFmtId="348" formatCode="_(&quot;€&quot;* #,##0.00_);_(&quot;€&quot;* \(#,##0.00\);_(&quot;€&quot;* &quot;-&quot;??_);_(@_)"/>
    <numFmt numFmtId="349" formatCode="#,##0.0000000000"/>
    <numFmt numFmtId="350" formatCode="0&quot;a&quot;"/>
    <numFmt numFmtId="351" formatCode="0&quot;e&quot;"/>
    <numFmt numFmtId="352" formatCode="&quot;$&quot;#,##0.0_);\(&quot;$&quot;#,##0.0\)&quot;m&quot;"/>
    <numFmt numFmtId="353" formatCode="#,##0.0;\(#,##0.0\);0.0"/>
    <numFmt numFmtId="354" formatCode="#,##0;\(#,###\);0"/>
    <numFmt numFmtId="357" formatCode="\~\ \€0\b\n"/>
    <numFmt numFmtId="358" formatCode="\+0.0\p\p;\-0.0\p\p;0.0\p\p"/>
  </numFmts>
  <fonts count="259">
    <font>
      <sz val="11"/>
      <color theme="1"/>
      <name val="Univers LT Std 55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Univers LT Std 55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‚l‚r ‚oƒSƒVƒbƒN"/>
    </font>
    <font>
      <sz val="10"/>
      <name val="MS Sans Serif"/>
      <family val="2"/>
    </font>
    <font>
      <sz val="9"/>
      <name val="Times New Roman"/>
      <family val="1"/>
    </font>
    <font>
      <sz val="12"/>
      <name val="Arial"/>
      <family val="2"/>
    </font>
    <font>
      <sz val="24"/>
      <name val="MS Sans Serif"/>
      <family val="2"/>
    </font>
    <font>
      <sz val="8"/>
      <color indexed="12"/>
      <name val="Times"/>
      <family val="1"/>
    </font>
    <font>
      <sz val="10"/>
      <name val="Times"/>
      <family val="1"/>
    </font>
    <font>
      <sz val="10"/>
      <name val="Univers LT Std 65 Bold"/>
      <family val="2"/>
    </font>
    <font>
      <b/>
      <sz val="8"/>
      <color indexed="8"/>
      <name val="Times New Roman"/>
      <family val="1"/>
    </font>
    <font>
      <b/>
      <sz val="8"/>
      <color indexed="12"/>
      <name val="Times New Roman"/>
      <family val="1"/>
    </font>
    <font>
      <b/>
      <sz val="10"/>
      <name val="MS Sans Serif"/>
      <family val="2"/>
    </font>
    <font>
      <sz val="8"/>
      <color indexed="17"/>
      <name val="Times"/>
      <family val="1"/>
    </font>
    <font>
      <sz val="8"/>
      <color indexed="14"/>
      <name val="Times"/>
      <family val="1"/>
    </font>
    <font>
      <b/>
      <sz val="8"/>
      <color indexed="55"/>
      <name val="Times New Roman"/>
      <family val="1"/>
    </font>
    <font>
      <sz val="10"/>
      <color indexed="23"/>
      <name val="MS Sans Serif"/>
      <family val="2"/>
    </font>
    <font>
      <b/>
      <sz val="12"/>
      <name val="MS Sans Serif"/>
      <family val="2"/>
    </font>
    <font>
      <b/>
      <sz val="10"/>
      <name val="Times New Roman"/>
      <family val="1"/>
    </font>
    <font>
      <b/>
      <sz val="10"/>
      <color indexed="18"/>
      <name val="CG Times (WN)"/>
    </font>
    <font>
      <b/>
      <u/>
      <sz val="10"/>
      <name val="Times"/>
      <family val="1"/>
    </font>
    <font>
      <sz val="8"/>
      <name val="Arial"/>
      <family val="2"/>
    </font>
    <font>
      <b/>
      <sz val="12"/>
      <color indexed="9"/>
      <name val="Arial"/>
      <family val="2"/>
    </font>
    <font>
      <sz val="10"/>
      <name val="Univers LT Std 55"/>
      <family val="2"/>
      <scheme val="minor"/>
    </font>
    <font>
      <b/>
      <sz val="8"/>
      <color indexed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rgb="FF006100"/>
      <name val="Univers LT Std 55"/>
      <family val="2"/>
      <scheme val="minor"/>
    </font>
    <font>
      <sz val="11"/>
      <color rgb="FF9C0006"/>
      <name val="Univers LT Std 55"/>
      <family val="2"/>
      <scheme val="minor"/>
    </font>
    <font>
      <sz val="11"/>
      <color rgb="FF9C6500"/>
      <name val="Univers LT Std 55"/>
      <family val="2"/>
      <scheme val="minor"/>
    </font>
    <font>
      <b/>
      <sz val="11"/>
      <color rgb="FF3F3F3F"/>
      <name val="Univers LT Std 55"/>
      <family val="2"/>
      <scheme val="minor"/>
    </font>
    <font>
      <sz val="20"/>
      <color rgb="FF006100"/>
      <name val="Univers LT Std 55"/>
      <family val="2"/>
      <scheme val="minor"/>
    </font>
    <font>
      <sz val="18"/>
      <color rgb="FF9C6500"/>
      <name val="Univers LT Std 55"/>
      <family val="2"/>
      <scheme val="minor"/>
    </font>
    <font>
      <sz val="20"/>
      <color rgb="FF9C6500"/>
      <name val="Univers LT Std 55"/>
      <family val="2"/>
      <scheme val="minor"/>
    </font>
    <font>
      <sz val="10"/>
      <name val="GS TheSans"/>
      <family val="2"/>
    </font>
    <font>
      <sz val="8"/>
      <name val="Tahoma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name val="Times"/>
      <family val="1"/>
    </font>
    <font>
      <sz val="8"/>
      <name val="Helvetica"/>
      <family val="2"/>
    </font>
    <font>
      <b/>
      <sz val="12"/>
      <name val="Tms Rmn"/>
    </font>
    <font>
      <sz val="9"/>
      <color indexed="9"/>
      <name val="Times New Roman"/>
      <family val="1"/>
    </font>
    <font>
      <sz val="8"/>
      <color indexed="12"/>
      <name val="Tms Rmn"/>
    </font>
    <font>
      <b/>
      <sz val="10"/>
      <color indexed="9"/>
      <name val="Arial"/>
      <family val="2"/>
    </font>
    <font>
      <b/>
      <sz val="10"/>
      <name val="Bookman"/>
      <family val="1"/>
    </font>
    <font>
      <b/>
      <sz val="24"/>
      <name val="Times New Roman"/>
      <family val="1"/>
    </font>
    <font>
      <b/>
      <sz val="14"/>
      <name val="Book Antiqua"/>
      <family val="1"/>
    </font>
    <font>
      <sz val="11"/>
      <color indexed="12"/>
      <name val="Book Antiqua"/>
      <family val="1"/>
    </font>
    <font>
      <b/>
      <u/>
      <sz val="7"/>
      <name val="Helvetica"/>
      <family val="2"/>
    </font>
    <font>
      <sz val="10"/>
      <name val="Book Antiqua"/>
      <family val="1"/>
    </font>
    <font>
      <b/>
      <sz val="8.5"/>
      <color indexed="1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8"/>
      <name val="Book Antiqua"/>
      <family val="1"/>
    </font>
    <font>
      <b/>
      <sz val="10"/>
      <name val="Palatino"/>
      <family val="1"/>
    </font>
    <font>
      <sz val="8"/>
      <name val="Book Antiqua"/>
      <family val="1"/>
    </font>
    <font>
      <i/>
      <sz val="7"/>
      <name val="Book Antiqua"/>
      <family val="1"/>
    </font>
    <font>
      <b/>
      <i/>
      <sz val="16"/>
      <name val="Helv"/>
    </font>
    <font>
      <sz val="10"/>
      <color indexed="72"/>
      <name val="System"/>
      <family val="2"/>
    </font>
    <font>
      <b/>
      <sz val="14"/>
      <name val="Times New Roman"/>
      <family val="1"/>
    </font>
    <font>
      <sz val="10"/>
      <name val="Palatino"/>
      <family val="1"/>
    </font>
    <font>
      <sz val="8"/>
      <name val="Helv"/>
      <family val="2"/>
    </font>
    <font>
      <sz val="10"/>
      <name val="Times New Roman"/>
      <family val="1"/>
    </font>
    <font>
      <sz val="8"/>
      <name val="Helv"/>
    </font>
    <font>
      <sz val="12"/>
      <name val="Helvetica"/>
      <family val="2"/>
    </font>
    <font>
      <b/>
      <sz val="14"/>
      <name val="Bookman"/>
      <family val="1"/>
    </font>
    <font>
      <b/>
      <sz val="8"/>
      <name val="HelveticaNeue Condensed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8.5"/>
      <color indexed="8"/>
      <name val="Arial"/>
      <family val="2"/>
    </font>
    <font>
      <b/>
      <sz val="12"/>
      <color indexed="16"/>
      <name val="Arial"/>
      <family val="2"/>
    </font>
    <font>
      <sz val="7"/>
      <name val="Times New Roman"/>
      <family val="1"/>
    </font>
    <font>
      <b/>
      <u/>
      <sz val="9"/>
      <name val="Arial"/>
      <family val="2"/>
    </font>
    <font>
      <b/>
      <u/>
      <sz val="14"/>
      <name val="Book Antiqua"/>
      <family val="1"/>
    </font>
    <font>
      <b/>
      <sz val="10"/>
      <name val="Book Antiqua"/>
      <family val="1"/>
    </font>
    <font>
      <u/>
      <sz val="11"/>
      <color theme="10"/>
      <name val="Univers LT Std 55"/>
      <family val="2"/>
      <scheme val="minor"/>
    </font>
    <font>
      <sz val="10"/>
      <color theme="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name val="GillSans"/>
      <family val="2"/>
    </font>
    <font>
      <sz val="8"/>
      <name val="Times New Roman"/>
      <family val="1"/>
    </font>
    <font>
      <sz val="8"/>
      <color indexed="49"/>
      <name val="Times New Roman"/>
      <family val="1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Helv"/>
    </font>
    <font>
      <sz val="11"/>
      <color indexed="20"/>
      <name val="Calibri"/>
      <family val="2"/>
    </font>
    <font>
      <sz val="8"/>
      <name val="Palatino"/>
      <family val="1"/>
    </font>
    <font>
      <b/>
      <sz val="18"/>
      <name val="Arial"/>
      <family val="2"/>
    </font>
    <font>
      <b/>
      <sz val="11"/>
      <color indexed="52"/>
      <name val="Calibri"/>
      <family val="2"/>
    </font>
    <font>
      <sz val="10"/>
      <color indexed="18"/>
      <name val="Times New Roman"/>
      <family val="1"/>
    </font>
    <font>
      <sz val="7"/>
      <color indexed="10"/>
      <name val="Helvetica"/>
      <family val="2"/>
    </font>
    <font>
      <b/>
      <sz val="11"/>
      <color indexed="9"/>
      <name val="Calibri"/>
      <family val="2"/>
    </font>
    <font>
      <sz val="8"/>
      <color indexed="12"/>
      <name val="Helv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7"/>
      <name val="Palatino"/>
      <family val="1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sz val="6"/>
      <color indexed="16"/>
      <name val="Palatino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0"/>
      <color indexed="25"/>
      <name val="Helvetica"/>
      <family val="2"/>
    </font>
    <font>
      <sz val="11"/>
      <color indexed="52"/>
      <name val="Calibri"/>
      <family val="2"/>
    </font>
    <font>
      <sz val="8"/>
      <color indexed="10"/>
      <name val="Times New Roman"/>
      <family val="1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0"/>
      <name val="Helvetica"/>
      <family val="2"/>
    </font>
    <font>
      <u/>
      <sz val="10"/>
      <name val="Helvetica"/>
      <family val="2"/>
    </font>
    <font>
      <sz val="10"/>
      <name val="Helvetica"/>
      <family val="2"/>
    </font>
    <font>
      <sz val="10"/>
      <name val="Arial CE"/>
      <charset val="238"/>
    </font>
    <font>
      <i/>
      <sz val="10"/>
      <name val="Helv"/>
    </font>
    <font>
      <sz val="8.5"/>
      <name val="Arial Narrow"/>
      <family val="2"/>
    </font>
    <font>
      <b/>
      <sz val="11"/>
      <color indexed="63"/>
      <name val="Calibri"/>
      <family val="2"/>
    </font>
    <font>
      <sz val="10"/>
      <color indexed="16"/>
      <name val="Helvetica-Black"/>
    </font>
    <font>
      <i/>
      <sz val="8"/>
      <name val="Times New Roman"/>
      <family val="1"/>
    </font>
    <font>
      <i/>
      <sz val="10"/>
      <name val="Times New Roman"/>
      <family val="1"/>
    </font>
    <font>
      <sz val="10"/>
      <name val="KPN Arial"/>
    </font>
    <font>
      <b/>
      <sz val="10"/>
      <color indexed="18"/>
      <name val="Symbol"/>
      <family val="1"/>
      <charset val="2"/>
    </font>
    <font>
      <b/>
      <sz val="9"/>
      <name val="Palatino"/>
      <family val="1"/>
    </font>
    <font>
      <sz val="9"/>
      <color indexed="21"/>
      <name val="Helvetica-Black"/>
    </font>
    <font>
      <sz val="8"/>
      <name val="Helvetica-Narrow"/>
      <family val="2"/>
    </font>
    <font>
      <b/>
      <sz val="7"/>
      <name val="Helvetica-Narrow"/>
      <family val="2"/>
    </font>
    <font>
      <sz val="8.5"/>
      <name val="Franklin Gothic Book"/>
      <family val="2"/>
    </font>
    <font>
      <b/>
      <sz val="18"/>
      <color indexed="62"/>
      <name val="Cambria"/>
      <family val="2"/>
    </font>
    <font>
      <b/>
      <sz val="8"/>
      <color indexed="18"/>
      <name val="Times New Roman"/>
      <family val="1"/>
    </font>
    <font>
      <b/>
      <sz val="11"/>
      <color indexed="8"/>
      <name val="Calibri"/>
      <family val="2"/>
    </font>
    <font>
      <sz val="10"/>
      <name val="Courier"/>
      <family val="3"/>
    </font>
    <font>
      <i/>
      <sz val="10"/>
      <name val="Arial"/>
      <family val="2"/>
    </font>
    <font>
      <sz val="11"/>
      <color indexed="10"/>
      <name val="Calibri"/>
      <family val="2"/>
    </font>
    <font>
      <sz val="8"/>
      <color indexed="12"/>
      <name val="Times New Roman"/>
      <family val="1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b/>
      <sz val="8.5"/>
      <name val="Franklin Gothic Book"/>
      <family val="2"/>
    </font>
    <font>
      <sz val="11"/>
      <name val="ＭＳ Ｐゴシック"/>
      <family val="3"/>
      <charset val="128"/>
    </font>
    <font>
      <b/>
      <sz val="10"/>
      <color theme="1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Univers LT Std 55"/>
      <family val="2"/>
      <scheme val="minor"/>
    </font>
    <font>
      <sz val="9"/>
      <color theme="0"/>
      <name val="Arial"/>
      <family val="2"/>
    </font>
    <font>
      <b/>
      <sz val="10"/>
      <name val="Univers LT Std 55"/>
      <family val="2"/>
      <scheme val="minor"/>
    </font>
    <font>
      <i/>
      <sz val="9"/>
      <name val="Arial"/>
      <family val="2"/>
    </font>
    <font>
      <b/>
      <sz val="11"/>
      <color theme="0"/>
      <name val="Univers LT Std 55"/>
      <scheme val="minor"/>
    </font>
    <font>
      <b/>
      <sz val="10"/>
      <color rgb="FFF67F26"/>
      <name val="Arial"/>
      <family val="2"/>
    </font>
    <font>
      <b/>
      <sz val="10"/>
      <color rgb="FF0000FF"/>
      <name val="Univers LT Std 55"/>
      <family val="2"/>
      <scheme val="minor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C00000"/>
      <name val="Arial"/>
      <family val="2"/>
    </font>
    <font>
      <b/>
      <sz val="16"/>
      <name val="Calibri"/>
      <family val="2"/>
    </font>
    <font>
      <b/>
      <sz val="10.5"/>
      <color theme="0"/>
      <name val="Calibri"/>
      <family val="2"/>
    </font>
    <font>
      <b/>
      <sz val="11.5"/>
      <color theme="0"/>
      <name val="Calibri"/>
      <family val="2"/>
    </font>
    <font>
      <sz val="10.5"/>
      <color theme="0"/>
      <name val="Calibri"/>
      <family val="2"/>
    </font>
    <font>
      <b/>
      <sz val="10.5"/>
      <name val="Calibri"/>
      <family val="2"/>
    </font>
    <font>
      <b/>
      <i/>
      <sz val="9"/>
      <name val="Calibri"/>
      <family val="2"/>
    </font>
    <font>
      <sz val="10.5"/>
      <color theme="1"/>
      <name val="Calibri"/>
      <family val="2"/>
    </font>
    <font>
      <sz val="10.5"/>
      <name val="Calibri"/>
      <family val="2"/>
    </font>
    <font>
      <sz val="8"/>
      <color rgb="FFC00000"/>
      <name val="Arial"/>
      <family val="2"/>
    </font>
    <font>
      <b/>
      <sz val="8"/>
      <color theme="0"/>
      <name val="Arial"/>
      <family val="2"/>
    </font>
    <font>
      <i/>
      <sz val="8"/>
      <color rgb="FF0000FF"/>
      <name val="Arial"/>
      <family val="2"/>
    </font>
    <font>
      <i/>
      <sz val="8"/>
      <color theme="1"/>
      <name val="Arial"/>
      <family val="2"/>
    </font>
    <font>
      <sz val="8"/>
      <color rgb="FF000000"/>
      <name val="Arial"/>
      <family val="2"/>
    </font>
    <font>
      <b/>
      <i/>
      <sz val="8"/>
      <color rgb="FF0000FF"/>
      <name val="Arial"/>
      <family val="2"/>
    </font>
    <font>
      <sz val="8"/>
      <color theme="3"/>
      <name val="Arial"/>
      <family val="2"/>
    </font>
    <font>
      <sz val="8"/>
      <color theme="0"/>
      <name val="Arial"/>
      <family val="2"/>
    </font>
    <font>
      <i/>
      <sz val="8"/>
      <color rgb="FF000000"/>
      <name val="Arial"/>
      <family val="2"/>
    </font>
    <font>
      <b/>
      <i/>
      <sz val="8"/>
      <color rgb="FF000000"/>
      <name val="Arial"/>
      <family val="2"/>
    </font>
    <font>
      <b/>
      <sz val="9"/>
      <color theme="2"/>
      <name val="Arial"/>
      <family val="2"/>
    </font>
    <font>
      <b/>
      <i/>
      <sz val="8"/>
      <color theme="1"/>
      <name val="Arial"/>
      <family val="2"/>
    </font>
    <font>
      <b/>
      <sz val="9"/>
      <color rgb="FF0000FF"/>
      <name val="Arial"/>
      <family val="2"/>
    </font>
    <font>
      <b/>
      <sz val="11"/>
      <name val="Arial"/>
      <family val="2"/>
    </font>
    <font>
      <b/>
      <sz val="9"/>
      <color rgb="FFC00000"/>
      <name val="Arial"/>
      <family val="2"/>
    </font>
    <font>
      <b/>
      <i/>
      <sz val="9"/>
      <name val="Arial"/>
      <family val="2"/>
    </font>
    <font>
      <i/>
      <sz val="9"/>
      <color theme="0"/>
      <name val="Arial"/>
      <family val="2"/>
    </font>
    <font>
      <b/>
      <i/>
      <sz val="9"/>
      <color theme="0"/>
      <name val="Arial"/>
      <family val="2"/>
    </font>
    <font>
      <sz val="9"/>
      <color theme="2" tint="-0.249977111117893"/>
      <name val="Arial"/>
      <family val="2"/>
    </font>
    <font>
      <b/>
      <sz val="9"/>
      <color theme="2" tint="-0.249977111117893"/>
      <name val="Arial"/>
      <family val="2"/>
    </font>
    <font>
      <sz val="8"/>
      <name val="Univers LT Std 55"/>
      <family val="2"/>
      <scheme val="minor"/>
    </font>
    <font>
      <sz val="10"/>
      <color theme="0"/>
      <name val="Arial"/>
      <family val="2"/>
    </font>
    <font>
      <i/>
      <sz val="9"/>
      <color theme="2" tint="-0.249977111117893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6" tint="-0.499984740745262"/>
      <name val="Arial"/>
      <family val="2"/>
    </font>
    <font>
      <sz val="9"/>
      <color theme="6" tint="-0.499984740745262"/>
      <name val="Arial"/>
      <family val="2"/>
    </font>
    <font>
      <i/>
      <sz val="9"/>
      <color theme="6" tint="-0.499984740745262"/>
      <name val="Arial"/>
      <family val="2"/>
    </font>
    <font>
      <sz val="10"/>
      <color theme="8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10"/>
      <color rgb="FF00355F"/>
      <name val="Arial"/>
      <family val="2"/>
    </font>
    <font>
      <b/>
      <sz val="10"/>
      <color theme="2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0" tint="-0.499984740745262"/>
      <name val="Arial"/>
      <family val="2"/>
    </font>
    <font>
      <b/>
      <sz val="9"/>
      <color theme="0" tint="-0.499984740745262"/>
      <name val="Arial"/>
      <family val="2"/>
    </font>
    <font>
      <sz val="8"/>
      <color theme="8"/>
      <name val="Arial"/>
      <family val="2"/>
    </font>
    <font>
      <sz val="9"/>
      <color theme="2" tint="-0.499984740745262"/>
      <name val="Arial"/>
      <family val="2"/>
    </font>
    <font>
      <sz val="8"/>
      <color theme="1"/>
      <name val="Univers LT Std 55"/>
      <family val="2"/>
      <scheme val="minor"/>
    </font>
    <font>
      <sz val="10"/>
      <name val="Calibri"/>
      <family val="2"/>
    </font>
    <font>
      <b/>
      <sz val="11"/>
      <color theme="1"/>
      <name val="Univers LT Std 55"/>
      <family val="2"/>
      <scheme val="minor"/>
    </font>
    <font>
      <i/>
      <sz val="11"/>
      <color theme="1"/>
      <name val="Univers LT Std 55"/>
      <family val="2"/>
      <scheme val="minor"/>
    </font>
    <font>
      <b/>
      <i/>
      <sz val="11"/>
      <color theme="1"/>
      <name val="Univers LT Std 55"/>
      <family val="2"/>
      <scheme val="minor"/>
    </font>
    <font>
      <sz val="11"/>
      <color theme="0"/>
      <name val="Univers LT Std 55"/>
      <family val="2"/>
      <scheme val="minor"/>
    </font>
    <font>
      <b/>
      <sz val="11"/>
      <color theme="1"/>
      <name val="Univers LT Std 55"/>
      <scheme val="minor"/>
    </font>
    <font>
      <b/>
      <sz val="11"/>
      <color rgb="FFF8F8F8"/>
      <name val="Univers LT Std 55"/>
      <family val="2"/>
      <scheme val="minor"/>
    </font>
    <font>
      <sz val="11"/>
      <color rgb="FFF8F8F8"/>
      <name val="Univers LT Std 55"/>
      <family val="2"/>
      <scheme val="minor"/>
    </font>
    <font>
      <sz val="11"/>
      <name val="Univers LT Std 55"/>
      <family val="2"/>
      <scheme val="minor"/>
    </font>
    <font>
      <i/>
      <sz val="10"/>
      <color theme="1"/>
      <name val="Calibri"/>
      <family val="2"/>
    </font>
    <font>
      <b/>
      <u/>
      <sz val="9"/>
      <color theme="1"/>
      <name val="Arial"/>
      <family val="2"/>
    </font>
    <font>
      <u/>
      <sz val="9"/>
      <color theme="1"/>
      <name val="Arial"/>
      <family val="2"/>
    </font>
    <font>
      <b/>
      <sz val="9"/>
      <color theme="6"/>
      <name val="Arial"/>
      <family val="2"/>
    </font>
    <font>
      <sz val="9"/>
      <color theme="6"/>
      <name val="Arial"/>
      <family val="2"/>
    </font>
    <font>
      <i/>
      <sz val="9"/>
      <color theme="6"/>
      <name val="Arial"/>
      <family val="2"/>
    </font>
    <font>
      <sz val="10"/>
      <color rgb="FFFF0000"/>
      <name val="Arial"/>
      <family val="2"/>
    </font>
    <font>
      <sz val="10"/>
      <color theme="2"/>
      <name val="Arial"/>
      <family val="2"/>
    </font>
    <font>
      <sz val="11"/>
      <color theme="1"/>
      <name val="Univers LT Std 55"/>
      <scheme val="minor"/>
    </font>
    <font>
      <i/>
      <sz val="8"/>
      <color theme="0"/>
      <name val="Arial"/>
      <family val="2"/>
    </font>
    <font>
      <b/>
      <i/>
      <sz val="8"/>
      <color theme="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lightGray">
        <fgColor indexed="12"/>
      </patternFill>
    </fill>
    <fill>
      <patternFill patternType="lightGray">
        <fgColor indexed="13"/>
      </patternFill>
    </fill>
    <fill>
      <patternFill patternType="solid">
        <fgColor indexed="13"/>
      </patternFill>
    </fill>
    <fill>
      <patternFill patternType="lightGray">
        <fgColor indexed="10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5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indexed="43"/>
      </patternFill>
    </fill>
    <fill>
      <patternFill patternType="gray0625">
        <fgColor indexed="10"/>
        <bgColor indexed="9"/>
      </patternFill>
    </fill>
    <fill>
      <patternFill patternType="solid">
        <fgColor indexed="18"/>
        <bgColor indexed="64"/>
      </patternFill>
    </fill>
    <fill>
      <patternFill patternType="lightGray">
        <fgColor indexed="14"/>
        <bgColor indexed="9"/>
      </patternFill>
    </fill>
    <fill>
      <patternFill patternType="lightGray">
        <fgColor indexed="15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solid">
        <fgColor indexed="10"/>
      </patternFill>
    </fill>
    <fill>
      <patternFill patternType="lightGray">
        <fgColor indexed="22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gray0625">
        <fgColor indexed="13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42"/>
      </patternFill>
    </fill>
    <fill>
      <patternFill patternType="gray0625">
        <f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rgb="FF00355F"/>
        <bgColor indexed="64"/>
      </patternFill>
    </fill>
    <fill>
      <patternFill patternType="solid">
        <fgColor rgb="FFD5EC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CD4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67F26"/>
        <bgColor indexed="64"/>
      </patternFill>
    </fill>
    <fill>
      <patternFill patternType="solid">
        <fgColor rgb="FF007D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</fills>
  <borders count="15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dotted">
        <color theme="2"/>
      </left>
      <right style="dotted">
        <color theme="2"/>
      </right>
      <top style="dotted">
        <color theme="2"/>
      </top>
      <bottom/>
      <diagonal/>
    </border>
    <border>
      <left style="dotted">
        <color theme="2"/>
      </left>
      <right style="dotted">
        <color theme="2"/>
      </right>
      <top/>
      <bottom/>
      <diagonal/>
    </border>
    <border>
      <left style="dotted">
        <color theme="2"/>
      </left>
      <right style="dotted">
        <color theme="2"/>
      </right>
      <top/>
      <bottom style="dotted">
        <color theme="2"/>
      </bottom>
      <diagonal/>
    </border>
    <border>
      <left style="dotted">
        <color theme="1"/>
      </left>
      <right style="dotted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rgb="FFFF0000"/>
      </left>
      <right/>
      <top style="dotted">
        <color rgb="FFFF0000"/>
      </top>
      <bottom/>
      <diagonal/>
    </border>
    <border>
      <left style="dotted">
        <color rgb="FFFF0000"/>
      </left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dotted">
        <color rgb="FFFF0000"/>
      </right>
      <top style="dotted">
        <color rgb="FFFF0000"/>
      </top>
      <bottom/>
      <diagonal/>
    </border>
    <border>
      <left/>
      <right style="dotted">
        <color rgb="FFFF0000"/>
      </right>
      <top/>
      <bottom/>
      <diagonal/>
    </border>
    <border>
      <left style="dotted">
        <color rgb="FFFF0000"/>
      </left>
      <right/>
      <top/>
      <bottom style="dotted">
        <color rgb="FFFF0000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 style="dotted">
        <color rgb="FFFF0000"/>
      </left>
      <right style="dotted">
        <color theme="1"/>
      </right>
      <top/>
      <bottom/>
      <diagonal/>
    </border>
    <border>
      <left style="dotted">
        <color rgb="FFFF0000"/>
      </left>
      <right style="dotted">
        <color theme="1"/>
      </right>
      <top/>
      <bottom style="dotted">
        <color theme="1"/>
      </bottom>
      <diagonal/>
    </border>
    <border>
      <left style="dotted">
        <color rgb="FFFF0000"/>
      </left>
      <right style="dotted">
        <color theme="1"/>
      </right>
      <top style="dotted">
        <color auto="1"/>
      </top>
      <bottom/>
      <diagonal/>
    </border>
    <border>
      <left style="dotted">
        <color theme="6"/>
      </left>
      <right style="dotted">
        <color theme="6"/>
      </right>
      <top style="dotted">
        <color theme="6"/>
      </top>
      <bottom/>
      <diagonal/>
    </border>
    <border>
      <left style="dotted">
        <color theme="6"/>
      </left>
      <right style="dotted">
        <color theme="6"/>
      </right>
      <top/>
      <bottom/>
      <diagonal/>
    </border>
    <border>
      <left style="dotted">
        <color theme="6"/>
      </left>
      <right style="dotted">
        <color theme="6"/>
      </right>
      <top/>
      <bottom style="dotted">
        <color theme="6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dotted">
        <color rgb="FFFF0000"/>
      </bottom>
      <diagonal/>
    </border>
    <border>
      <left style="dotted">
        <color theme="6"/>
      </left>
      <right style="dotted">
        <color theme="2"/>
      </right>
      <top style="dotted">
        <color theme="6"/>
      </top>
      <bottom/>
      <diagonal/>
    </border>
    <border>
      <left style="dotted">
        <color theme="6"/>
      </left>
      <right style="dotted">
        <color theme="2"/>
      </right>
      <top/>
      <bottom/>
      <diagonal/>
    </border>
    <border>
      <left style="dotted">
        <color theme="6"/>
      </left>
      <right style="dotted">
        <color theme="2"/>
      </right>
      <top/>
      <bottom style="dotted">
        <color theme="6"/>
      </bottom>
      <diagonal/>
    </border>
    <border>
      <left/>
      <right/>
      <top style="dotted">
        <color rgb="FFFF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theme="2"/>
      </left>
      <right style="dotted">
        <color theme="2"/>
      </right>
      <top style="dotted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527">
    <xf numFmtId="0" fontId="0" fillId="0" borderId="0"/>
    <xf numFmtId="0" fontId="7" fillId="0" borderId="0"/>
    <xf numFmtId="171" fontId="9" fillId="2" borderId="0" applyNumberFormat="0" applyFont="0" applyBorder="0" applyAlignment="0">
      <protection locked="0"/>
    </xf>
    <xf numFmtId="1" fontId="10" fillId="0" borderId="0"/>
    <xf numFmtId="172" fontId="10" fillId="0" borderId="0"/>
    <xf numFmtId="173" fontId="10" fillId="0" borderId="0"/>
    <xf numFmtId="172" fontId="10" fillId="0" borderId="0"/>
    <xf numFmtId="2" fontId="10" fillId="0" borderId="0"/>
    <xf numFmtId="10" fontId="10" fillId="0" borderId="0"/>
    <xf numFmtId="2" fontId="10" fillId="0" borderId="0"/>
    <xf numFmtId="1" fontId="10" fillId="0" borderId="0"/>
    <xf numFmtId="1" fontId="10" fillId="0" borderId="0"/>
    <xf numFmtId="1" fontId="10" fillId="0" borderId="0"/>
    <xf numFmtId="1" fontId="10" fillId="0" borderId="0"/>
    <xf numFmtId="1" fontId="10" fillId="0" borderId="0"/>
    <xf numFmtId="1" fontId="10" fillId="0" borderId="0"/>
    <xf numFmtId="1" fontId="10" fillId="0" borderId="0"/>
    <xf numFmtId="0" fontId="7" fillId="0" borderId="1" applyNumberFormat="0" applyFont="0" applyFill="0" applyBorder="0" applyAlignment="0">
      <alignment horizontal="left"/>
    </xf>
    <xf numFmtId="0" fontId="7" fillId="0" borderId="1" applyNumberFormat="0" applyFont="0" applyFill="0" applyBorder="0" applyAlignment="0">
      <alignment horizontal="left"/>
    </xf>
    <xf numFmtId="0" fontId="7" fillId="0" borderId="1" applyNumberFormat="0" applyFont="0" applyFill="0" applyBorder="0" applyAlignment="0">
      <alignment horizontal="left"/>
    </xf>
    <xf numFmtId="174" fontId="11" fillId="0" borderId="1" applyNumberFormat="0" applyFont="0" applyFill="0" applyBorder="0" applyAlignment="0"/>
    <xf numFmtId="0" fontId="12" fillId="0" borderId="0" applyNumberFormat="0" applyFill="0" applyBorder="0" applyAlignment="0" applyProtection="0"/>
    <xf numFmtId="0" fontId="10" fillId="0" borderId="0">
      <alignment horizontal="center" wrapText="1"/>
      <protection hidden="1"/>
    </xf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3" fillId="3" borderId="0">
      <alignment horizontal="center" vertical="center" wrapText="1"/>
    </xf>
    <xf numFmtId="175" fontId="10" fillId="0" borderId="0" applyFill="0" applyBorder="0">
      <alignment horizontal="right"/>
      <protection locked="0"/>
    </xf>
    <xf numFmtId="165" fontId="14" fillId="0" borderId="2" applyBorder="0"/>
    <xf numFmtId="176" fontId="15" fillId="0" borderId="0"/>
    <xf numFmtId="0" fontId="1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horizontal="left"/>
    </xf>
    <xf numFmtId="0" fontId="7" fillId="0" borderId="0" applyNumberFormat="0" applyFill="0" applyBorder="0" applyAlignment="0" applyProtection="0">
      <alignment horizontal="left"/>
    </xf>
    <xf numFmtId="0" fontId="7" fillId="0" borderId="0" applyNumberFormat="0" applyFill="0" applyBorder="0" applyAlignment="0" applyProtection="0">
      <alignment horizontal="left"/>
    </xf>
    <xf numFmtId="0" fontId="7" fillId="0" borderId="1" applyNumberFormat="0" applyFill="0" applyBorder="0" applyAlignment="0" applyProtection="0">
      <alignment horizontal="left"/>
    </xf>
    <xf numFmtId="0" fontId="7" fillId="0" borderId="1" applyNumberFormat="0" applyFill="0" applyBorder="0" applyAlignment="0" applyProtection="0">
      <alignment horizontal="left"/>
    </xf>
    <xf numFmtId="0" fontId="7" fillId="0" borderId="1" applyNumberFormat="0" applyFill="0" applyBorder="0" applyAlignment="0" applyProtection="0">
      <alignment horizontal="left"/>
    </xf>
    <xf numFmtId="0" fontId="10" fillId="0" borderId="0" applyFill="0" applyBorder="0">
      <alignment horizontal="right"/>
      <protection locked="0"/>
    </xf>
    <xf numFmtId="174" fontId="17" fillId="4" borderId="3" applyNumberFormat="0" applyAlignment="0">
      <alignment horizontal="right"/>
    </xf>
    <xf numFmtId="174" fontId="18" fillId="4" borderId="3" applyNumberFormat="0" applyAlignment="0">
      <alignment horizontal="right"/>
    </xf>
    <xf numFmtId="177" fontId="10" fillId="0" borderId="0" applyFill="0" applyBorder="0">
      <alignment horizontal="right"/>
      <protection locked="0"/>
    </xf>
    <xf numFmtId="0" fontId="19" fillId="5" borderId="4">
      <alignment horizontal="left" vertical="center" wrapText="1"/>
    </xf>
    <xf numFmtId="37" fontId="14" fillId="0" borderId="0"/>
    <xf numFmtId="38" fontId="20" fillId="0" borderId="0"/>
    <xf numFmtId="0" fontId="6" fillId="0" borderId="0"/>
    <xf numFmtId="178" fontId="2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9" fontId="10" fillId="0" borderId="0" applyFill="0" applyBorder="0">
      <alignment horizontal="right"/>
      <protection locked="0"/>
    </xf>
    <xf numFmtId="180" fontId="18" fillId="6" borderId="3">
      <alignment horizontal="right"/>
    </xf>
    <xf numFmtId="181" fontId="10" fillId="0" borderId="0">
      <alignment horizontal="right"/>
      <protection locked="0"/>
    </xf>
    <xf numFmtId="182" fontId="22" fillId="0" borderId="5" applyNumberFormat="0" applyFont="0" applyFill="0" applyBorder="0" applyAlignment="0" applyProtection="0">
      <alignment horizontal="right" vertical="center"/>
      <protection locked="0"/>
    </xf>
    <xf numFmtId="183" fontId="23" fillId="0" borderId="0" applyFill="0" applyBorder="0">
      <alignment horizontal="right"/>
      <protection hidden="1"/>
    </xf>
    <xf numFmtId="0" fontId="24" fillId="3" borderId="3">
      <alignment horizontal="center" vertical="center" wrapText="1"/>
      <protection hidden="1"/>
    </xf>
    <xf numFmtId="0" fontId="25" fillId="0" borderId="0" applyNumberFormat="0" applyFill="0" applyBorder="0" applyAlignment="0" applyProtection="0">
      <alignment horizontal="left"/>
    </xf>
    <xf numFmtId="0" fontId="10" fillId="0" borderId="0" applyBorder="0"/>
    <xf numFmtId="0" fontId="26" fillId="7" borderId="0" applyNumberFormat="0" applyProtection="0">
      <alignment horizontal="left"/>
    </xf>
    <xf numFmtId="174" fontId="17" fillId="8" borderId="3" applyNumberFormat="0" applyAlignment="0">
      <alignment horizontal="right"/>
    </xf>
    <xf numFmtId="174" fontId="18" fillId="8" borderId="3" applyNumberFormat="0" applyAlignment="0">
      <alignment horizontal="right"/>
    </xf>
    <xf numFmtId="0" fontId="27" fillId="0" borderId="0"/>
    <xf numFmtId="0" fontId="47" fillId="20" borderId="0" applyNumberFormat="0" applyBorder="0" applyAlignment="0" applyProtection="0"/>
    <xf numFmtId="0" fontId="48" fillId="21" borderId="0" applyNumberFormat="0" applyBorder="0" applyAlignment="0" applyProtection="0"/>
    <xf numFmtId="0" fontId="49" fillId="22" borderId="0" applyNumberFormat="0" applyBorder="0" applyAlignment="0" applyProtection="0"/>
    <xf numFmtId="0" fontId="50" fillId="23" borderId="15" applyNumberFormat="0" applyAlignment="0" applyProtection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5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54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54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55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54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54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54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55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19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54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54" fillId="0" borderId="0" applyFont="0" applyFill="0" applyBorder="0" applyAlignment="0" applyProtection="0"/>
    <xf numFmtId="201" fontId="54" fillId="0" borderId="0" applyFont="0" applyFill="0" applyBorder="0" applyAlignment="0" applyProtection="0"/>
    <xf numFmtId="201" fontId="54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54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54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2" fontId="5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24" borderId="0" applyNumberFormat="0" applyFont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55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54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54" fillId="0" borderId="0" applyFont="0" applyFill="0" applyBorder="0" applyAlignment="0" applyProtection="0"/>
    <xf numFmtId="204" fontId="54" fillId="0" borderId="0" applyFont="0" applyFill="0" applyBorder="0" applyAlignment="0" applyProtection="0"/>
    <xf numFmtId="204" fontId="54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54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54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55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19" fillId="0" borderId="0" applyFont="0" applyFill="0" applyBorder="0" applyProtection="0">
      <alignment horizontal="right"/>
    </xf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54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54" fillId="0" borderId="0" applyFont="0" applyFill="0" applyBorder="0" applyProtection="0">
      <alignment horizontal="right"/>
    </xf>
    <xf numFmtId="207" fontId="54" fillId="0" borderId="0" applyFont="0" applyFill="0" applyBorder="0" applyProtection="0">
      <alignment horizontal="right"/>
    </xf>
    <xf numFmtId="207" fontId="54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7" fontId="54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7" fontId="54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9" fontId="7" fillId="0" borderId="0" applyFont="0" applyFill="0" applyBorder="0" applyAlignment="0" applyProtection="0"/>
    <xf numFmtId="195" fontId="7" fillId="0" borderId="0" applyFont="0" applyFill="0" applyBorder="0" applyProtection="0">
      <alignment horizontal="right"/>
    </xf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196" fontId="7" fillId="0" borderId="0" applyFont="0" applyFill="0" applyBorder="0" applyProtection="0">
      <alignment horizontal="right"/>
    </xf>
    <xf numFmtId="196" fontId="7" fillId="0" borderId="0" applyFont="0" applyFill="0" applyBorder="0" applyProtection="0">
      <alignment horizontal="right"/>
    </xf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Alignment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2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23" applyNumberFormat="0" applyFill="0" applyProtection="0">
      <alignment horizontal="center"/>
    </xf>
    <xf numFmtId="0" fontId="59" fillId="0" borderId="0" applyNumberFormat="0" applyFill="0" applyBorder="0" applyProtection="0">
      <alignment horizontal="left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176" fontId="61" fillId="25" borderId="0" applyNumberFormat="0" applyFont="0" applyBorder="0" applyAlignment="0">
      <alignment horizontal="right"/>
    </xf>
    <xf numFmtId="211" fontId="62" fillId="25" borderId="9" applyFont="0">
      <alignment horizontal="right"/>
    </xf>
    <xf numFmtId="0" fontId="28" fillId="0" borderId="0" applyNumberFormat="0" applyFill="0" applyBorder="0" applyAlignment="0" applyProtection="0"/>
    <xf numFmtId="0" fontId="63" fillId="0" borderId="0"/>
    <xf numFmtId="2" fontId="64" fillId="0" borderId="0" applyNumberFormat="0" applyBorder="0" applyAlignment="0"/>
    <xf numFmtId="180" fontId="65" fillId="0" borderId="0"/>
    <xf numFmtId="0" fontId="66" fillId="0" borderId="0" applyNumberFormat="0" applyFill="0" applyBorder="0" applyAlignment="0"/>
    <xf numFmtId="0" fontId="67" fillId="0" borderId="0" applyNumberFormat="0" applyFill="0" applyBorder="0" applyAlignment="0" applyProtection="0"/>
    <xf numFmtId="0" fontId="68" fillId="26" borderId="24">
      <alignment horizontal="center"/>
    </xf>
    <xf numFmtId="2" fontId="28" fillId="27" borderId="0" applyNumberFormat="0" applyFont="0" applyBorder="0" applyAlignment="0" applyProtection="0"/>
    <xf numFmtId="212" fontId="28" fillId="28" borderId="0" applyNumberFormat="0" applyFont="0" applyBorder="0" applyAlignment="0">
      <protection locked="0"/>
    </xf>
    <xf numFmtId="0" fontId="2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212" fontId="69" fillId="0" borderId="0" applyNumberFormat="0" applyFill="0" applyBorder="0" applyProtection="0">
      <alignment horizontal="right"/>
    </xf>
    <xf numFmtId="213" fontId="7" fillId="0" borderId="0">
      <protection locked="0"/>
    </xf>
    <xf numFmtId="0" fontId="70" fillId="0" borderId="0" applyNumberFormat="0" applyFill="0" applyBorder="0">
      <alignment horizontal="right"/>
    </xf>
    <xf numFmtId="38" fontId="71" fillId="0" borderId="0" applyNumberFormat="0" applyFill="0" applyBorder="0">
      <alignment vertical="center"/>
    </xf>
    <xf numFmtId="167" fontId="72" fillId="0" borderId="25">
      <protection locked="0"/>
    </xf>
    <xf numFmtId="213" fontId="7" fillId="0" borderId="0">
      <protection locked="0"/>
    </xf>
    <xf numFmtId="14" fontId="73" fillId="0" borderId="0">
      <alignment horizontal="right"/>
    </xf>
    <xf numFmtId="0" fontId="43" fillId="0" borderId="0"/>
    <xf numFmtId="214" fontId="11" fillId="0" borderId="0" applyFont="0" applyFill="0" applyBorder="0" applyAlignment="0" applyProtection="0">
      <alignment horizontal="right"/>
    </xf>
    <xf numFmtId="0" fontId="64" fillId="0" borderId="0" applyNumberFormat="0" applyAlignment="0"/>
    <xf numFmtId="215" fontId="28" fillId="29" borderId="8" applyNumberFormat="0" applyFont="0" applyBorder="0" applyAlignment="0" applyProtection="0">
      <alignment horizontal="right"/>
    </xf>
    <xf numFmtId="173" fontId="74" fillId="0" borderId="0" applyNumberFormat="0" applyFont="0" applyAlignment="0">
      <alignment vertical="center"/>
    </xf>
    <xf numFmtId="213" fontId="7" fillId="0" borderId="0">
      <protection locked="0"/>
    </xf>
    <xf numFmtId="0" fontId="37" fillId="0" borderId="0" applyNumberFormat="0" applyFill="0" applyBorder="0" applyAlignment="0" applyProtection="0"/>
    <xf numFmtId="1" fontId="28" fillId="0" borderId="0" applyNumberFormat="0" applyBorder="0" applyAlignment="0" applyProtection="0"/>
    <xf numFmtId="216" fontId="75" fillId="0" borderId="0">
      <alignment vertical="center"/>
    </xf>
    <xf numFmtId="49" fontId="37" fillId="0" borderId="0">
      <alignment horizontal="right"/>
    </xf>
    <xf numFmtId="49" fontId="76" fillId="0" borderId="0">
      <alignment horizontal="right"/>
    </xf>
    <xf numFmtId="216" fontId="77" fillId="0" borderId="0">
      <alignment vertical="center"/>
    </xf>
    <xf numFmtId="173" fontId="78" fillId="0" borderId="0" applyNumberFormat="0" applyFill="0" applyBorder="0">
      <alignment horizontal="left" vertical="center"/>
    </xf>
    <xf numFmtId="0" fontId="10" fillId="30" borderId="0" applyNumberFormat="0" applyFont="0" applyBorder="0" applyAlignment="0" applyProtection="0"/>
    <xf numFmtId="217" fontId="7" fillId="0" borderId="0" applyNumberFormat="0" applyFill="0" applyBorder="0" applyAlignment="0" applyProtection="0"/>
    <xf numFmtId="0" fontId="79" fillId="0" borderId="0"/>
    <xf numFmtId="0" fontId="46" fillId="0" borderId="0"/>
    <xf numFmtId="38" fontId="80" fillId="0" borderId="0" applyNumberFormat="0" applyFill="0" applyBorder="0">
      <alignment horizontal="left" vertical="center"/>
    </xf>
    <xf numFmtId="173" fontId="81" fillId="0" borderId="0" applyFill="0" applyBorder="0">
      <alignment vertical="center"/>
    </xf>
    <xf numFmtId="0" fontId="34" fillId="16" borderId="0"/>
    <xf numFmtId="218" fontId="7" fillId="0" borderId="0" applyFont="0" applyFill="0" applyBorder="0" applyAlignment="0" applyProtection="0"/>
    <xf numFmtId="212" fontId="82" fillId="0" borderId="0"/>
    <xf numFmtId="2" fontId="10" fillId="0" borderId="0" applyBorder="0" applyProtection="0"/>
    <xf numFmtId="0" fontId="7" fillId="0" borderId="0"/>
    <xf numFmtId="0" fontId="2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217" fontId="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83" fillId="0" borderId="0">
      <alignment horizontal="left" vertical="top"/>
      <protection locked="0"/>
    </xf>
    <xf numFmtId="219" fontId="7" fillId="0" borderId="0" applyFill="0">
      <alignment horizontal="center" vertical="center"/>
    </xf>
    <xf numFmtId="0" fontId="84" fillId="0" borderId="0" applyNumberFormat="0" applyFill="0" applyBorder="0">
      <alignment horizontal="left"/>
    </xf>
    <xf numFmtId="220" fontId="7" fillId="0" borderId="0"/>
    <xf numFmtId="166" fontId="85" fillId="0" borderId="0" applyFont="0" applyFill="0" applyBorder="0" applyAlignment="0" applyProtection="0"/>
    <xf numFmtId="0" fontId="86" fillId="0" borderId="0" applyNumberFormat="0" applyAlignment="0"/>
    <xf numFmtId="180" fontId="7" fillId="0" borderId="0" applyFill="0" applyBorder="0" applyAlignment="0" applyProtection="0"/>
    <xf numFmtId="198" fontId="87" fillId="0" borderId="0">
      <alignment vertical="top"/>
    </xf>
    <xf numFmtId="172" fontId="10" fillId="31" borderId="12" applyNumberFormat="0" applyFont="0" applyBorder="0" applyAlignment="0" applyProtection="0">
      <alignment horizontal="center"/>
    </xf>
    <xf numFmtId="37" fontId="88" fillId="1" borderId="0">
      <alignment horizontal="right"/>
    </xf>
    <xf numFmtId="1" fontId="89" fillId="32" borderId="0" applyNumberFormat="0" applyFont="0" applyBorder="0" applyAlignment="0">
      <alignment horizontal="left"/>
    </xf>
    <xf numFmtId="2" fontId="90" fillId="0" borderId="0"/>
    <xf numFmtId="1" fontId="7" fillId="0" borderId="0"/>
    <xf numFmtId="0" fontId="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221" fontId="91" fillId="0" borderId="0" applyNumberFormat="0" applyFill="0" applyBorder="0" applyAlignment="0" applyProtection="0">
      <alignment horizontal="right" vertical="center" wrapText="1"/>
    </xf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>
      <protection locked="0"/>
    </xf>
    <xf numFmtId="0" fontId="94" fillId="0" borderId="8" applyNumberFormat="0" applyFill="0" applyProtection="0">
      <alignment horizontal="right"/>
    </xf>
    <xf numFmtId="165" fontId="80" fillId="0" borderId="26" applyFill="0">
      <alignment vertical="center"/>
    </xf>
    <xf numFmtId="222" fontId="28" fillId="0" borderId="0"/>
    <xf numFmtId="39" fontId="41" fillId="0" borderId="9" applyNumberFormat="0" applyBorder="0">
      <alignment horizontal="right"/>
    </xf>
    <xf numFmtId="0" fontId="94" fillId="0" borderId="5" applyNumberFormat="0" applyProtection="0">
      <alignment horizontal="right"/>
    </xf>
    <xf numFmtId="0" fontId="95" fillId="0" borderId="7" applyNumberFormat="0" applyFill="0" applyProtection="0"/>
    <xf numFmtId="0" fontId="96" fillId="0" borderId="0">
      <alignment vertical="center"/>
    </xf>
    <xf numFmtId="0" fontId="75" fillId="0" borderId="0">
      <alignment vertical="center"/>
    </xf>
    <xf numFmtId="0" fontId="77" fillId="0" borderId="0">
      <alignment vertical="center"/>
    </xf>
    <xf numFmtId="0" fontId="97" fillId="0" borderId="0" applyNumberFormat="0">
      <alignment horizontal="left"/>
    </xf>
    <xf numFmtId="0" fontId="98" fillId="0" borderId="0" applyFill="0" applyBorder="0" applyProtection="0">
      <alignment horizontal="left" vertical="top"/>
    </xf>
    <xf numFmtId="14" fontId="7" fillId="0" borderId="0" applyFill="0" applyBorder="0">
      <alignment vertical="center"/>
    </xf>
    <xf numFmtId="0" fontId="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38" fontId="100" fillId="0" borderId="0" applyNumberFormat="0" applyFill="0" applyBorder="0">
      <alignment horizontal="left" vertical="center"/>
    </xf>
    <xf numFmtId="38" fontId="101" fillId="0" borderId="0" applyNumberFormat="0" applyFill="0" applyBorder="0">
      <alignment horizontal="centerContinuous" vertical="center"/>
    </xf>
    <xf numFmtId="0" fontId="3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2" fontId="64" fillId="0" borderId="0" applyNumberFormat="0" applyBorder="0" applyAlignment="0"/>
    <xf numFmtId="1" fontId="25" fillId="0" borderId="9" applyFill="0" applyProtection="0">
      <alignment horizontal="right"/>
    </xf>
    <xf numFmtId="0" fontId="102" fillId="0" borderId="0" applyNumberForma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24" fontId="43" fillId="0" borderId="0"/>
    <xf numFmtId="224" fontId="43" fillId="0" borderId="0"/>
    <xf numFmtId="225" fontId="43" fillId="0" borderId="0"/>
    <xf numFmtId="0" fontId="106" fillId="0" borderId="0"/>
    <xf numFmtId="226" fontId="107" fillId="0" borderId="0"/>
    <xf numFmtId="167" fontId="63" fillId="0" borderId="0"/>
    <xf numFmtId="197" fontId="43" fillId="0" borderId="0"/>
    <xf numFmtId="227" fontId="88" fillId="0" borderId="0"/>
    <xf numFmtId="200" fontId="106" fillId="0" borderId="0">
      <alignment horizontal="right"/>
    </xf>
    <xf numFmtId="201" fontId="106" fillId="15" borderId="0"/>
    <xf numFmtId="204" fontId="106" fillId="15" borderId="0"/>
    <xf numFmtId="228" fontId="106" fillId="15" borderId="0"/>
    <xf numFmtId="207" fontId="106" fillId="15" borderId="0"/>
    <xf numFmtId="0" fontId="106" fillId="15" borderId="0">
      <alignment horizontal="right"/>
    </xf>
    <xf numFmtId="229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230" fontId="108" fillId="0" borderId="0" applyFont="0" applyFill="0" applyBorder="0" applyAlignment="0" applyProtection="0"/>
    <xf numFmtId="0" fontId="109" fillId="0" borderId="0" applyNumberFormat="0" applyFont="0" applyFill="0" applyBorder="0" applyAlignment="0" applyProtection="0"/>
    <xf numFmtId="0" fontId="109" fillId="0" borderId="0" applyNumberFormat="0" applyFont="0" applyFill="0" applyBorder="0" applyAlignment="0" applyProtection="0"/>
    <xf numFmtId="14" fontId="10" fillId="0" borderId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231" fontId="7" fillId="0" borderId="0" applyFont="0" applyFill="0" applyBorder="0" applyAlignment="0" applyProtection="0"/>
    <xf numFmtId="231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37" fontId="7" fillId="0" borderId="0" applyFont="0" applyFill="0" applyBorder="0" applyAlignment="0" applyProtection="0"/>
    <xf numFmtId="37" fontId="7" fillId="0" borderId="0" applyFont="0" applyFill="0" applyBorder="0" applyAlignment="0" applyProtection="0"/>
    <xf numFmtId="3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7" fontId="10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107" fillId="0" borderId="0" applyFont="0" applyFill="0" applyBorder="0" applyAlignment="0" applyProtection="0"/>
    <xf numFmtId="197" fontId="107" fillId="0" borderId="0" applyFont="0" applyFill="0" applyBorder="0" applyAlignment="0" applyProtection="0"/>
    <xf numFmtId="232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7" fontId="8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3" fontId="43" fillId="0" borderId="0"/>
    <xf numFmtId="3" fontId="43" fillId="0" borderId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238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45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40" fontId="7" fillId="0" borderId="0" applyFont="0" applyFill="0" applyBorder="0" applyAlignment="0" applyProtection="0"/>
    <xf numFmtId="240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35" fontId="87" fillId="0" borderId="0" applyFont="0" applyFill="0" applyBorder="0" applyAlignment="0" applyProtection="0"/>
    <xf numFmtId="200" fontId="8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41" fontId="7" fillId="0" borderId="0" applyFont="0" applyFill="0" applyBorder="0" applyAlignment="0" applyProtection="0"/>
    <xf numFmtId="241" fontId="7" fillId="0" borderId="0" applyFont="0" applyFill="0" applyBorder="0" applyAlignment="0" applyProtection="0"/>
    <xf numFmtId="241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35" fontId="8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87" fillId="0" borderId="0" applyFont="0" applyFill="0" applyBorder="0" applyAlignment="0" applyProtection="0"/>
    <xf numFmtId="236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235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201" fontId="10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01" fontId="107" fillId="0" borderId="0" applyFont="0" applyFill="0" applyBorder="0" applyAlignment="0" applyProtection="0"/>
    <xf numFmtId="201" fontId="10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1" fontId="8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" fontId="43" fillId="0" borderId="0"/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43" fontId="7" fillId="0" borderId="0" applyFont="0" applyFill="0" applyBorder="0" applyAlignment="0" applyProtection="0"/>
    <xf numFmtId="243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" fillId="24" borderId="0" applyNumberFormat="0" applyFont="0" applyAlignment="0" applyProtection="0"/>
    <xf numFmtId="0" fontId="7" fillId="24" borderId="0" applyNumberFormat="0" applyFont="0" applyAlignment="0" applyProtection="0"/>
    <xf numFmtId="38" fontId="10" fillId="0" borderId="0" applyFont="0" applyFill="0" applyBorder="0" applyAlignment="0" applyProtection="0"/>
    <xf numFmtId="3" fontId="43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44" fontId="7" fillId="0" borderId="0" applyFont="0" applyFill="0" applyBorder="0" applyAlignment="0" applyProtection="0"/>
    <xf numFmtId="245" fontId="7" fillId="0" borderId="0" applyFont="0" applyFill="0" applyBorder="0" applyAlignment="0" applyProtection="0"/>
    <xf numFmtId="246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46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4" fontId="107" fillId="0" borderId="0" applyFont="0" applyFill="0" applyBorder="0" applyAlignment="0" applyProtection="0"/>
    <xf numFmtId="224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46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107" fillId="0" borderId="0" applyFont="0" applyFill="0" applyBorder="0" applyAlignment="0" applyProtection="0"/>
    <xf numFmtId="204" fontId="107" fillId="0" borderId="0" applyFont="0" applyFill="0" applyBorder="0" applyAlignment="0" applyProtection="0"/>
    <xf numFmtId="246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8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8" fontId="7" fillId="0" borderId="0" applyFont="0" applyFill="0" applyBorder="0" applyProtection="0">
      <alignment horizontal="right"/>
    </xf>
    <xf numFmtId="208" fontId="7" fillId="0" borderId="0" applyFont="0" applyFill="0" applyBorder="0" applyProtection="0">
      <alignment horizontal="right"/>
    </xf>
    <xf numFmtId="208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197" fontId="7" fillId="0" borderId="0" applyFont="0" applyFill="0" applyBorder="0" applyAlignment="0" applyProtection="0"/>
    <xf numFmtId="247" fontId="7" fillId="0" borderId="0" applyFont="0" applyFill="0" applyBorder="0" applyAlignment="0" applyProtection="0"/>
    <xf numFmtId="248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48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08" fontId="7" fillId="0" borderId="0" applyFont="0" applyFill="0" applyBorder="0" applyProtection="0">
      <alignment horizontal="right"/>
    </xf>
    <xf numFmtId="208" fontId="7" fillId="0" borderId="0" applyFont="0" applyFill="0" applyBorder="0" applyProtection="0">
      <alignment horizontal="right"/>
    </xf>
    <xf numFmtId="208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107" fillId="0" borderId="0" applyFont="0" applyFill="0" applyBorder="0" applyProtection="0">
      <alignment horizontal="right"/>
    </xf>
    <xf numFmtId="207" fontId="107" fillId="0" borderId="0" applyFont="0" applyFill="0" applyBorder="0" applyProtection="0">
      <alignment horizontal="right"/>
    </xf>
    <xf numFmtId="244" fontId="7" fillId="0" borderId="0" applyFont="0" applyFill="0" applyBorder="0" applyAlignment="0" applyProtection="0"/>
    <xf numFmtId="244" fontId="7" fillId="0" borderId="0" applyFont="0" applyFill="0" applyBorder="0" applyAlignment="0" applyProtection="0"/>
    <xf numFmtId="245" fontId="7" fillId="0" borderId="0" applyFont="0" applyFill="0" applyBorder="0" applyAlignment="0" applyProtection="0"/>
    <xf numFmtId="24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37" fontId="7" fillId="0" borderId="0" applyFont="0" applyFill="0" applyBorder="0" applyAlignment="0" applyProtection="0"/>
    <xf numFmtId="23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48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10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10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10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10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10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107" fillId="0" borderId="0" applyFont="0" applyFill="0" applyBorder="0" applyProtection="0">
      <alignment horizontal="right"/>
    </xf>
    <xf numFmtId="207" fontId="107" fillId="0" borderId="0" applyFont="0" applyFill="0" applyBorder="0" applyProtection="0">
      <alignment horizontal="right"/>
    </xf>
    <xf numFmtId="248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87" fillId="0" borderId="0" applyFont="0" applyFill="0" applyBorder="0" applyProtection="0">
      <alignment horizontal="right"/>
    </xf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" fontId="43" fillId="0" borderId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9" fontId="7" fillId="0" borderId="0" applyFont="0" applyFill="0" applyBorder="0" applyAlignment="0" applyProtection="0"/>
    <xf numFmtId="23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250" fontId="7" fillId="0" borderId="0" applyFont="0" applyFill="0" applyBorder="0" applyAlignment="0" applyProtection="0"/>
    <xf numFmtId="250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51" fontId="7" fillId="0" borderId="0" applyFont="0" applyFill="0" applyBorder="0" applyAlignment="0" applyProtection="0"/>
    <xf numFmtId="251" fontId="7" fillId="0" borderId="0" applyFont="0" applyFill="0" applyBorder="0" applyAlignment="0" applyProtection="0"/>
    <xf numFmtId="240" fontId="7" fillId="0" borderId="0" applyFont="0" applyFill="0" applyBorder="0" applyAlignment="0" applyProtection="0"/>
    <xf numFmtId="24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195" fontId="7" fillId="0" borderId="0" applyFont="0" applyFill="0" applyBorder="0" applyProtection="0">
      <alignment horizontal="right"/>
    </xf>
    <xf numFmtId="195" fontId="7" fillId="0" borderId="0" applyFont="0" applyFill="0" applyBorder="0" applyProtection="0">
      <alignment horizontal="right"/>
    </xf>
    <xf numFmtId="195" fontId="7" fillId="0" borderId="0" applyFont="0" applyFill="0" applyBorder="0" applyProtection="0">
      <alignment horizontal="right"/>
    </xf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5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0" fontId="43" fillId="0" borderId="0" applyFont="0" applyFill="0" applyBorder="0" applyAlignment="0" applyProtection="0"/>
    <xf numFmtId="253" fontId="7" fillId="0" borderId="0" applyFont="0" applyFill="0" applyBorder="0" applyAlignment="0" applyProtection="0"/>
    <xf numFmtId="253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" fontId="43" fillId="0" borderId="0"/>
    <xf numFmtId="3" fontId="43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" fontId="43" fillId="0" borderId="0"/>
    <xf numFmtId="3" fontId="43" fillId="0" borderId="0"/>
    <xf numFmtId="3" fontId="43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7" fillId="0" borderId="0" applyNumberForma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7" fillId="0" borderId="0" applyNumberForma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Alignment="0" applyProtection="0">
      <alignment vertical="top"/>
    </xf>
    <xf numFmtId="0" fontId="57" fillId="0" borderId="0" applyNumberFormat="0" applyFill="0" applyBorder="0" applyAlignment="0" applyProtection="0">
      <alignment vertical="top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8" fillId="0" borderId="21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8" fillId="0" borderId="21" applyNumberFormat="0" applyFill="0" applyAlignment="0" applyProtection="0"/>
    <xf numFmtId="0" fontId="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31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254" fontId="58" fillId="0" borderId="21" applyNumberFormat="0" applyFill="0" applyAlignment="0" applyProtection="0"/>
    <xf numFmtId="0" fontId="7" fillId="0" borderId="0" applyNumberFormat="0" applyFill="0" applyBorder="0" applyAlignment="0" applyProtection="0"/>
    <xf numFmtId="0" fontId="58" fillId="0" borderId="31" applyNumberFormat="0" applyFill="0" applyAlignment="0" applyProtection="0"/>
    <xf numFmtId="0" fontId="7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7" fillId="0" borderId="23" applyNumberFormat="0" applyFill="0" applyProtection="0">
      <alignment horizontal="center"/>
    </xf>
    <xf numFmtId="0" fontId="59" fillId="0" borderId="23" applyNumberFormat="0" applyFill="0" applyProtection="0">
      <alignment horizontal="center"/>
    </xf>
    <xf numFmtId="0" fontId="7" fillId="0" borderId="32" applyNumberFormat="0" applyFont="0" applyFill="0" applyAlignment="0" applyProtection="0"/>
    <xf numFmtId="0" fontId="7" fillId="0" borderId="32" applyNumberFormat="0" applyFont="0" applyFill="0" applyAlignment="0" applyProtection="0"/>
    <xf numFmtId="0" fontId="7" fillId="0" borderId="32" applyNumberFormat="0" applyFont="0" applyFill="0" applyAlignment="0" applyProtection="0"/>
    <xf numFmtId="0" fontId="7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254" fontId="60" fillId="0" borderId="0" applyNumberFormat="0" applyFill="0" applyBorder="0" applyProtection="0">
      <alignment horizontal="centerContinuous"/>
    </xf>
    <xf numFmtId="0" fontId="7" fillId="0" borderId="0" applyNumberFormat="0" applyFill="0" applyBorder="0" applyProtection="0">
      <alignment horizontal="centerContinuous"/>
    </xf>
    <xf numFmtId="0" fontId="60" fillId="0" borderId="0" applyNumberFormat="0" applyFill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58" fillId="0" borderId="0" applyNumberFormat="0" applyFill="0" applyBorder="0" applyAlignment="0" applyProtection="0"/>
    <xf numFmtId="255" fontId="107" fillId="0" borderId="0"/>
    <xf numFmtId="226" fontId="107" fillId="0" borderId="0"/>
    <xf numFmtId="1" fontId="10" fillId="0" borderId="0"/>
    <xf numFmtId="1" fontId="10" fillId="0" borderId="0"/>
    <xf numFmtId="1" fontId="10" fillId="0" borderId="0"/>
    <xf numFmtId="0" fontId="7" fillId="0" borderId="1" applyNumberFormat="0" applyFont="0" applyFill="0" applyBorder="0" applyAlignment="0">
      <alignment horizontal="left"/>
    </xf>
    <xf numFmtId="0" fontId="110" fillId="34" borderId="0" applyNumberFormat="0" applyBorder="0" applyAlignment="0" applyProtection="0"/>
    <xf numFmtId="0" fontId="110" fillId="35" borderId="0" applyNumberFormat="0" applyBorder="0" applyAlignment="0" applyProtection="0"/>
    <xf numFmtId="0" fontId="110" fillId="24" borderId="0" applyNumberFormat="0" applyBorder="0" applyAlignment="0" applyProtection="0"/>
    <xf numFmtId="0" fontId="110" fillId="34" borderId="0" applyNumberFormat="0" applyBorder="0" applyAlignment="0" applyProtection="0"/>
    <xf numFmtId="0" fontId="110" fillId="36" borderId="0" applyNumberFormat="0" applyBorder="0" applyAlignment="0" applyProtection="0"/>
    <xf numFmtId="0" fontId="110" fillId="35" borderId="0" applyNumberFormat="0" applyBorder="0" applyAlignment="0" applyProtection="0"/>
    <xf numFmtId="174" fontId="11" fillId="0" borderId="1" applyNumberFormat="0" applyFont="0" applyFill="0" applyBorder="0" applyAlignment="0"/>
    <xf numFmtId="0" fontId="110" fillId="34" borderId="0" applyNumberFormat="0" applyBorder="0" applyAlignment="0" applyProtection="0"/>
    <xf numFmtId="0" fontId="110" fillId="35" borderId="0" applyNumberFormat="0" applyBorder="0" applyAlignment="0" applyProtection="0"/>
    <xf numFmtId="0" fontId="110" fillId="24" borderId="0" applyNumberFormat="0" applyBorder="0" applyAlignment="0" applyProtection="0"/>
    <xf numFmtId="0" fontId="110" fillId="34" borderId="0" applyNumberFormat="0" applyBorder="0" applyAlignment="0" applyProtection="0"/>
    <xf numFmtId="0" fontId="110" fillId="37" borderId="0" applyNumberFormat="0" applyBorder="0" applyAlignment="0" applyProtection="0"/>
    <xf numFmtId="0" fontId="110" fillId="35" borderId="0" applyNumberFormat="0" applyBorder="0" applyAlignment="0" applyProtection="0"/>
    <xf numFmtId="0" fontId="111" fillId="38" borderId="0" applyNumberFormat="0" applyBorder="0" applyAlignment="0" applyProtection="0"/>
    <xf numFmtId="0" fontId="111" fillId="35" borderId="0" applyNumberFormat="0" applyBorder="0" applyAlignment="0" applyProtection="0"/>
    <xf numFmtId="0" fontId="111" fillId="24" borderId="0" applyNumberFormat="0" applyBorder="0" applyAlignment="0" applyProtection="0"/>
    <xf numFmtId="0" fontId="111" fillId="39" borderId="0" applyNumberFormat="0" applyBorder="0" applyAlignment="0" applyProtection="0"/>
    <xf numFmtId="0" fontId="111" fillId="38" borderId="0" applyNumberFormat="0" applyBorder="0" applyAlignment="0" applyProtection="0"/>
    <xf numFmtId="0" fontId="111" fillId="35" borderId="0" applyNumberFormat="0" applyBorder="0" applyAlignment="0" applyProtection="0"/>
    <xf numFmtId="0" fontId="107" fillId="0" borderId="0"/>
    <xf numFmtId="255" fontId="107" fillId="0" borderId="0"/>
    <xf numFmtId="0" fontId="111" fillId="38" borderId="0" applyNumberFormat="0" applyBorder="0" applyAlignment="0" applyProtection="0"/>
    <xf numFmtId="0" fontId="111" fillId="31" borderId="0" applyNumberFormat="0" applyBorder="0" applyAlignment="0" applyProtection="0"/>
    <xf numFmtId="0" fontId="111" fillId="40" borderId="0" applyNumberFormat="0" applyBorder="0" applyAlignment="0" applyProtection="0"/>
    <xf numFmtId="0" fontId="111" fillId="41" borderId="0" applyNumberFormat="0" applyBorder="0" applyAlignment="0" applyProtection="0"/>
    <xf numFmtId="0" fontId="111" fillId="38" borderId="0" applyNumberFormat="0" applyBorder="0" applyAlignment="0" applyProtection="0"/>
    <xf numFmtId="0" fontId="111" fillId="42" borderId="0" applyNumberFormat="0" applyBorder="0" applyAlignment="0" applyProtection="0"/>
    <xf numFmtId="256" fontId="43" fillId="0" borderId="0" applyFont="0" applyFill="0" applyBorder="0" applyAlignment="0">
      <alignment vertical="center"/>
    </xf>
    <xf numFmtId="256" fontId="43" fillId="0" borderId="0" applyFont="0" applyFill="0" applyBorder="0" applyAlignment="0">
      <alignment vertical="center"/>
    </xf>
    <xf numFmtId="256" fontId="43" fillId="0" borderId="0" applyFont="0" applyFill="0" applyBorder="0" applyAlignment="0">
      <alignment vertical="center"/>
    </xf>
    <xf numFmtId="257" fontId="7" fillId="25" borderId="33" applyFont="0">
      <alignment horizontal="right"/>
    </xf>
    <xf numFmtId="257" fontId="7" fillId="25" borderId="33" applyFont="0">
      <alignment horizontal="right"/>
    </xf>
    <xf numFmtId="0" fontId="107" fillId="0" borderId="0" applyNumberFormat="0" applyAlignment="0"/>
    <xf numFmtId="0" fontId="107" fillId="0" borderId="0" applyNumberFormat="0" applyAlignment="0"/>
    <xf numFmtId="0" fontId="107" fillId="0" borderId="0" applyNumberFormat="0" applyAlignment="0"/>
    <xf numFmtId="0" fontId="107" fillId="0" borderId="0" applyNumberFormat="0" applyAlignment="0"/>
    <xf numFmtId="189" fontId="43" fillId="0" borderId="0"/>
    <xf numFmtId="0" fontId="112" fillId="0" borderId="0"/>
    <xf numFmtId="164" fontId="12" fillId="0" borderId="6">
      <alignment horizontal="right"/>
    </xf>
    <xf numFmtId="0" fontId="42" fillId="0" borderId="34" applyNumberFormat="0" applyFill="0" applyBorder="0" applyAlignment="0" applyProtection="0"/>
    <xf numFmtId="0" fontId="32" fillId="0" borderId="34" applyNumberFormat="0" applyFill="0" applyBorder="0" applyAlignment="0" applyProtection="0"/>
    <xf numFmtId="0" fontId="32" fillId="0" borderId="34" applyNumberFormat="0" applyFill="0" applyBorder="0" applyAlignment="0" applyProtection="0"/>
    <xf numFmtId="0" fontId="33" fillId="0" borderId="34" applyNumberFormat="0" applyFill="0" applyBorder="0" applyAlignment="0" applyProtection="0"/>
    <xf numFmtId="0" fontId="33" fillId="0" borderId="34" applyNumberFormat="0" applyFill="0" applyBorder="0" applyAlignment="0" applyProtection="0"/>
    <xf numFmtId="0" fontId="28" fillId="0" borderId="34" applyNumberFormat="0" applyFill="0" applyAlignment="0" applyProtection="0"/>
    <xf numFmtId="0" fontId="28" fillId="0" borderId="34" applyNumberFormat="0" applyFill="0" applyAlignment="0" applyProtection="0"/>
    <xf numFmtId="0" fontId="28" fillId="0" borderId="34" applyNumberFormat="0" applyFill="0" applyAlignment="0" applyProtection="0"/>
    <xf numFmtId="0" fontId="113" fillId="43" borderId="0" applyNumberFormat="0" applyBorder="0" applyAlignment="0" applyProtection="0"/>
    <xf numFmtId="219" fontId="107" fillId="0" borderId="0" applyFill="0" applyBorder="0" applyAlignment="0" applyProtection="0">
      <protection locked="0"/>
    </xf>
    <xf numFmtId="0" fontId="68" fillId="26" borderId="35" applyNumberFormat="0" applyAlignment="0" applyProtection="0"/>
    <xf numFmtId="258" fontId="31" fillId="26" borderId="0" applyNumberFormat="0" applyBorder="0">
      <alignment horizontal="center" vertical="center"/>
    </xf>
    <xf numFmtId="0" fontId="68" fillId="26" borderId="36">
      <alignment horizontal="center" vertical="center"/>
    </xf>
    <xf numFmtId="0" fontId="107" fillId="0" borderId="0" applyNumberFormat="0" applyFill="0" applyBorder="0" applyAlignment="0" applyProtection="0"/>
    <xf numFmtId="259" fontId="114" fillId="0" borderId="0"/>
    <xf numFmtId="260" fontId="43" fillId="0" borderId="35" applyNumberFormat="0" applyFont="0" applyFill="0" applyAlignment="0">
      <alignment vertical="center"/>
    </xf>
    <xf numFmtId="260" fontId="43" fillId="0" borderId="35" applyNumberFormat="0" applyFont="0" applyFill="0" applyAlignment="0">
      <alignment vertical="center"/>
    </xf>
    <xf numFmtId="260" fontId="43" fillId="0" borderId="35" applyNumberFormat="0" applyFont="0" applyFill="0" applyAlignment="0">
      <alignment vertical="center"/>
    </xf>
    <xf numFmtId="0" fontId="107" fillId="0" borderId="6" applyNumberFormat="0" applyFont="0" applyFill="0" applyAlignment="0" applyProtection="0"/>
    <xf numFmtId="0" fontId="107" fillId="0" borderId="6" applyNumberFormat="0" applyFont="0" applyFill="0" applyAlignment="0" applyProtection="0"/>
    <xf numFmtId="0" fontId="107" fillId="0" borderId="6" applyNumberFormat="0" applyFont="0" applyFill="0" applyAlignment="0" applyProtection="0"/>
    <xf numFmtId="0" fontId="107" fillId="0" borderId="37" applyNumberFormat="0" applyFont="0" applyFill="0" applyAlignment="0" applyProtection="0"/>
    <xf numFmtId="0" fontId="107" fillId="0" borderId="37" applyNumberFormat="0" applyFont="0" applyFill="0" applyAlignment="0" applyProtection="0"/>
    <xf numFmtId="0" fontId="107" fillId="0" borderId="37" applyNumberFormat="0" applyFont="0" applyFill="0" applyAlignment="0" applyProtection="0"/>
    <xf numFmtId="0" fontId="107" fillId="0" borderId="0"/>
    <xf numFmtId="0" fontId="107" fillId="0" borderId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11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Fill="0" applyBorder="0" applyAlignment="0"/>
    <xf numFmtId="0" fontId="7" fillId="0" borderId="0" applyFill="0" applyBorder="0" applyAlignment="0"/>
    <xf numFmtId="0" fontId="116" fillId="44" borderId="38" applyNumberFormat="0" applyAlignment="0" applyProtection="0"/>
    <xf numFmtId="219" fontId="107" fillId="0" borderId="0" applyFont="0" applyFill="0" applyBorder="0" applyAlignment="0" applyProtection="0">
      <protection locked="0"/>
    </xf>
    <xf numFmtId="0" fontId="7" fillId="0" borderId="0" applyNumberFormat="0" applyFont="0" applyFill="0" applyBorder="0" applyProtection="0">
      <alignment horizontal="centerContinuous"/>
    </xf>
    <xf numFmtId="0" fontId="7" fillId="0" borderId="0" applyNumberFormat="0" applyFont="0" applyFill="0" applyBorder="0" applyProtection="0">
      <alignment horizontal="centerContinuous"/>
    </xf>
    <xf numFmtId="0" fontId="7" fillId="0" borderId="0" applyNumberFormat="0" applyFont="0" applyFill="0" applyBorder="0" applyProtection="0">
      <alignment horizontal="centerContinuous"/>
    </xf>
    <xf numFmtId="1" fontId="117" fillId="0" borderId="0"/>
    <xf numFmtId="172" fontId="118" fillId="0" borderId="0"/>
    <xf numFmtId="0" fontId="119" fillId="45" borderId="39" applyNumberFormat="0" applyAlignment="0" applyProtection="0"/>
    <xf numFmtId="261" fontId="7" fillId="0" borderId="0"/>
    <xf numFmtId="261" fontId="7" fillId="0" borderId="0"/>
    <xf numFmtId="261" fontId="7" fillId="0" borderId="0"/>
    <xf numFmtId="262" fontId="107" fillId="0" borderId="0"/>
    <xf numFmtId="38" fontId="120" fillId="0" borderId="0">
      <alignment horizontal="center"/>
      <protection locked="0"/>
    </xf>
    <xf numFmtId="0" fontId="114" fillId="0" borderId="0" applyFont="0" applyFill="0" applyBorder="0" applyAlignment="0" applyProtection="0">
      <alignment horizontal="right"/>
    </xf>
    <xf numFmtId="263" fontId="114" fillId="0" borderId="0" applyFont="0" applyFill="0" applyBorder="0" applyAlignment="0" applyProtection="0"/>
    <xf numFmtId="0" fontId="107" fillId="0" borderId="0" applyFill="0" applyBorder="0" applyProtection="0"/>
    <xf numFmtId="206" fontId="10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0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07" fillId="0" borderId="0" applyFont="0" applyFill="0" applyBorder="0">
      <alignment horizontal="right"/>
    </xf>
    <xf numFmtId="0" fontId="107" fillId="0" borderId="0" applyFont="0" applyFill="0" applyBorder="0" applyAlignment="0"/>
    <xf numFmtId="0" fontId="107" fillId="0" borderId="0" applyFont="0" applyFill="0" applyBorder="0" applyAlignment="0"/>
    <xf numFmtId="0" fontId="107" fillId="46" borderId="40" applyFont="0" applyFill="0" applyBorder="0" applyAlignment="0"/>
    <xf numFmtId="37" fontId="64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13" fillId="3" borderId="0">
      <alignment horizontal="center" vertical="center" wrapText="1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107" fillId="0" borderId="0">
      <alignment horizontal="left"/>
    </xf>
    <xf numFmtId="0" fontId="107" fillId="0" borderId="0"/>
    <xf numFmtId="0" fontId="107" fillId="0" borderId="0">
      <alignment horizontal="left"/>
    </xf>
    <xf numFmtId="0" fontId="43" fillId="0" borderId="0"/>
    <xf numFmtId="264" fontId="114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265" fontId="114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233" fontId="43" fillId="0" borderId="0" applyFont="0" applyFill="0" applyBorder="0" applyAlignment="0" applyProtection="0"/>
    <xf numFmtId="0" fontId="107" fillId="0" borderId="0" applyFont="0" applyFill="0" applyBorder="0"/>
    <xf numFmtId="0" fontId="107" fillId="0" borderId="0" applyFont="0" applyFill="0" applyBorder="0" applyAlignment="0"/>
    <xf numFmtId="0" fontId="107" fillId="0" borderId="7" applyFont="0" applyFill="0" applyBorder="0" applyAlignment="0"/>
    <xf numFmtId="266" fontId="7" fillId="0" borderId="0" applyFont="0" applyFill="0" applyBorder="0" applyAlignment="0" applyProtection="0"/>
    <xf numFmtId="0" fontId="107" fillId="0" borderId="0" applyFill="0" applyBorder="0" applyProtection="0">
      <alignment vertical="center"/>
    </xf>
    <xf numFmtId="0" fontId="43" fillId="0" borderId="0" applyFont="0" applyFill="0" applyBorder="0" applyAlignment="0" applyProtection="0"/>
    <xf numFmtId="0" fontId="7" fillId="15" borderId="0" applyFont="0" applyBorder="0"/>
    <xf numFmtId="0" fontId="7" fillId="15" borderId="0" applyFont="0" applyBorder="0"/>
    <xf numFmtId="267" fontId="106" fillId="15" borderId="28">
      <alignment horizontal="right"/>
    </xf>
    <xf numFmtId="252" fontId="106" fillId="15" borderId="28">
      <alignment horizontal="right"/>
    </xf>
    <xf numFmtId="38" fontId="107" fillId="13" borderId="41">
      <protection locked="0"/>
    </xf>
    <xf numFmtId="17" fontId="32" fillId="0" borderId="0" applyFill="0" applyBorder="0">
      <alignment horizontal="right"/>
    </xf>
    <xf numFmtId="0" fontId="7" fillId="0" borderId="0" applyFont="0" applyFill="0" applyBorder="0" applyAlignment="0" applyProtection="0"/>
    <xf numFmtId="268" fontId="114" fillId="0" borderId="0" applyFont="0" applyFill="0" applyBorder="0" applyAlignment="0" applyProtection="0"/>
    <xf numFmtId="14" fontId="107" fillId="0" borderId="0"/>
    <xf numFmtId="14" fontId="121" fillId="0" borderId="0" applyFont="0" applyFill="0" applyBorder="0" applyAlignment="0" applyProtection="0">
      <alignment horizontal="center"/>
    </xf>
    <xf numFmtId="269" fontId="121" fillId="0" borderId="0" applyFont="0" applyFill="0" applyBorder="0" applyAlignment="0" applyProtection="0">
      <alignment horizontal="center"/>
    </xf>
    <xf numFmtId="0" fontId="107" fillId="46" borderId="0" applyFont="0" applyFill="0">
      <alignment horizontal="right"/>
    </xf>
    <xf numFmtId="1" fontId="87" fillId="0" borderId="0" applyFont="0" applyFill="0" applyBorder="0" applyAlignment="0" applyProtection="0">
      <alignment horizontal="right"/>
    </xf>
    <xf numFmtId="2" fontId="39" fillId="17" borderId="0">
      <alignment horizontal="left"/>
      <protection hidden="1"/>
    </xf>
    <xf numFmtId="270" fontId="64" fillId="0" borderId="0" applyFont="0" applyFill="0" applyBorder="0" applyAlignment="0" applyProtection="0"/>
    <xf numFmtId="271" fontId="64" fillId="0" borderId="0" applyFont="0" applyFill="0" applyBorder="0" applyAlignment="0" applyProtection="0"/>
    <xf numFmtId="193" fontId="7" fillId="0" borderId="0" applyFont="0" applyFill="0" applyBorder="0" applyAlignment="0" applyProtection="0">
      <alignment horizontal="right"/>
    </xf>
    <xf numFmtId="193" fontId="7" fillId="0" borderId="0" applyFont="0" applyFill="0" applyBorder="0" applyAlignment="0" applyProtection="0">
      <alignment horizontal="right"/>
    </xf>
    <xf numFmtId="214" fontId="11" fillId="0" borderId="0" applyFont="0" applyFill="0" applyBorder="0" applyAlignment="0" applyProtection="0">
      <alignment horizontal="right"/>
    </xf>
    <xf numFmtId="165" fontId="107" fillId="0" borderId="0" applyFont="0" applyFill="0" applyBorder="0" applyAlignment="0" applyProtection="0">
      <alignment horizontal="right"/>
    </xf>
    <xf numFmtId="165" fontId="107" fillId="0" borderId="0" applyFont="0" applyFill="0" applyBorder="0" applyAlignment="0" applyProtection="0"/>
    <xf numFmtId="0" fontId="114" fillId="0" borderId="42" applyNumberFormat="0" applyFont="0" applyFill="0" applyAlignment="0" applyProtection="0"/>
    <xf numFmtId="1" fontId="107" fillId="0" borderId="0"/>
    <xf numFmtId="0" fontId="107" fillId="0" borderId="7" applyFont="0" applyFill="0" applyBorder="0">
      <alignment horizontal="center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9" fontId="107" fillId="0" borderId="3" applyNumberFormat="0" applyBorder="0" applyAlignment="0">
      <protection locked="0"/>
    </xf>
    <xf numFmtId="0" fontId="107" fillId="47" borderId="41" applyNumberFormat="0" applyFont="0" applyAlignment="0">
      <protection locked="0"/>
    </xf>
    <xf numFmtId="0" fontId="107" fillId="47" borderId="41" applyNumberFormat="0" applyFont="0" applyAlignment="0">
      <protection locked="0"/>
    </xf>
    <xf numFmtId="0" fontId="107" fillId="47" borderId="41" applyNumberFormat="0" applyFont="0" applyAlignment="0">
      <protection locked="0"/>
    </xf>
    <xf numFmtId="167" fontId="107" fillId="0" borderId="0" applyFont="0" applyFill="0" applyBorder="0" applyAlignment="0" applyProtection="0">
      <alignment horizontal="right"/>
    </xf>
    <xf numFmtId="166" fontId="106" fillId="48" borderId="0" applyBorder="0"/>
    <xf numFmtId="272" fontId="106" fillId="0" borderId="0"/>
    <xf numFmtId="273" fontId="106" fillId="0" borderId="0"/>
    <xf numFmtId="39" fontId="106" fillId="48" borderId="0"/>
    <xf numFmtId="274" fontId="106" fillId="0" borderId="0"/>
    <xf numFmtId="275" fontId="87" fillId="0" borderId="0" applyFont="0" applyFill="0" applyBorder="0" applyProtection="0">
      <alignment horizontal="left"/>
      <protection locked="0"/>
    </xf>
    <xf numFmtId="275" fontId="87" fillId="0" borderId="0" applyFont="0" applyFill="0" applyBorder="0" applyProtection="0">
      <alignment horizontal="left"/>
      <protection locked="0"/>
    </xf>
    <xf numFmtId="275" fontId="87" fillId="0" borderId="0" applyFont="0" applyFill="0" applyBorder="0" applyProtection="0">
      <alignment horizontal="left"/>
      <protection locked="0"/>
    </xf>
    <xf numFmtId="276" fontId="106" fillId="0" borderId="0"/>
    <xf numFmtId="277" fontId="87" fillId="0" borderId="0" applyFont="0" applyFill="0" applyBorder="0" applyProtection="0">
      <alignment horizontal="left"/>
      <protection locked="0"/>
    </xf>
    <xf numFmtId="277" fontId="87" fillId="0" borderId="0" applyFont="0" applyFill="0" applyBorder="0" applyProtection="0">
      <alignment horizontal="left"/>
      <protection locked="0"/>
    </xf>
    <xf numFmtId="277" fontId="87" fillId="0" borderId="0" applyFont="0" applyFill="0" applyBorder="0" applyProtection="0">
      <alignment horizontal="left"/>
      <protection locked="0"/>
    </xf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0" fontId="7" fillId="0" borderId="0"/>
    <xf numFmtId="189" fontId="87" fillId="0" borderId="0" applyFont="0" applyFill="0" applyBorder="0" applyAlignment="0" applyProtection="0"/>
    <xf numFmtId="279" fontId="43" fillId="0" borderId="0" applyFont="0" applyFill="0" applyBorder="0" applyAlignment="0">
      <alignment vertical="center"/>
    </xf>
    <xf numFmtId="279" fontId="43" fillId="0" borderId="0" applyFont="0" applyFill="0" applyBorder="0" applyAlignment="0">
      <alignment vertical="center"/>
    </xf>
    <xf numFmtId="279" fontId="43" fillId="0" borderId="0" applyFont="0" applyFill="0" applyBorder="0" applyAlignment="0">
      <alignment vertical="center"/>
    </xf>
    <xf numFmtId="0" fontId="122" fillId="0" borderId="0" applyNumberFormat="0" applyFill="0" applyBorder="0" applyAlignment="0" applyProtection="0"/>
    <xf numFmtId="280" fontId="7" fillId="29" borderId="40" applyNumberFormat="0" applyFont="0" applyBorder="0" applyAlignment="0" applyProtection="0">
      <alignment horizontal="right"/>
    </xf>
    <xf numFmtId="280" fontId="7" fillId="29" borderId="40" applyNumberFormat="0" applyFont="0" applyBorder="0" applyAlignment="0" applyProtection="0">
      <alignment horizontal="right"/>
    </xf>
    <xf numFmtId="281" fontId="7" fillId="0" borderId="0" applyFill="0" applyBorder="0" applyAlignment="0" applyProtection="0"/>
    <xf numFmtId="281" fontId="7" fillId="0" borderId="0" applyFill="0" applyBorder="0" applyAlignment="0" applyProtection="0"/>
    <xf numFmtId="281" fontId="7" fillId="0" borderId="0" applyFill="0" applyBorder="0" applyAlignment="0" applyProtection="0"/>
    <xf numFmtId="0" fontId="107" fillId="0" borderId="0">
      <alignment horizontal="right"/>
    </xf>
    <xf numFmtId="2" fontId="7" fillId="0" borderId="0" applyFill="0" applyBorder="0" applyAlignment="0" applyProtection="0"/>
    <xf numFmtId="2" fontId="7" fillId="0" borderId="0" applyFill="0" applyBorder="0" applyAlignment="0" applyProtection="0"/>
    <xf numFmtId="2" fontId="7" fillId="0" borderId="0" applyFill="0" applyBorder="0" applyAlignment="0" applyProtection="0"/>
    <xf numFmtId="282" fontId="87" fillId="0" borderId="0" applyFont="0" applyFill="0" applyBorder="0" applyAlignment="0" applyProtection="0">
      <alignment horizontal="right"/>
    </xf>
    <xf numFmtId="283" fontId="43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07" fillId="0" borderId="0">
      <alignment horizontal="left"/>
    </xf>
    <xf numFmtId="0" fontId="107" fillId="0" borderId="0">
      <alignment horizontal="left"/>
    </xf>
    <xf numFmtId="0" fontId="123" fillId="0" borderId="0" applyFill="0" applyBorder="0" applyProtection="0">
      <alignment horizontal="left"/>
    </xf>
    <xf numFmtId="0" fontId="107" fillId="0" borderId="0" applyNumberFormat="0" applyFill="0" applyBorder="0" applyProtection="0">
      <alignment horizontal="left"/>
    </xf>
    <xf numFmtId="0" fontId="107" fillId="0" borderId="0" applyFill="0" applyBorder="0" applyProtection="0">
      <alignment vertical="center"/>
    </xf>
    <xf numFmtId="284" fontId="43" fillId="0" borderId="0"/>
    <xf numFmtId="285" fontId="32" fillId="0" borderId="0" applyBorder="0" applyProtection="0"/>
    <xf numFmtId="285" fontId="32" fillId="0" borderId="0" applyBorder="0" applyProtection="0"/>
    <xf numFmtId="194" fontId="106" fillId="0" borderId="43"/>
    <xf numFmtId="0" fontId="106" fillId="15" borderId="28">
      <alignment horizontal="right"/>
    </xf>
    <xf numFmtId="286" fontId="106" fillId="15" borderId="28">
      <alignment horizontal="right"/>
    </xf>
    <xf numFmtId="273" fontId="106" fillId="15" borderId="28">
      <alignment horizontal="right"/>
    </xf>
    <xf numFmtId="258" fontId="32" fillId="15" borderId="0" applyNumberFormat="0" applyBorder="0">
      <alignment horizontal="center" vertical="center"/>
    </xf>
    <xf numFmtId="258" fontId="32" fillId="15" borderId="0" applyNumberFormat="0" applyBorder="0">
      <alignment horizontal="center" vertical="center"/>
    </xf>
    <xf numFmtId="245" fontId="107" fillId="0" borderId="0" applyFill="0" applyBorder="0" applyAlignment="0" applyProtection="0">
      <protection locked="0"/>
    </xf>
    <xf numFmtId="0" fontId="124" fillId="49" borderId="0" applyNumberFormat="0" applyBorder="0" applyAlignment="0" applyProtection="0"/>
    <xf numFmtId="38" fontId="28" fillId="15" borderId="0" applyNumberFormat="0" applyBorder="0" applyAlignment="0" applyProtection="0"/>
    <xf numFmtId="38" fontId="28" fillId="15" borderId="0" applyNumberFormat="0" applyBorder="0" applyAlignment="0" applyProtection="0"/>
    <xf numFmtId="247" fontId="125" fillId="0" borderId="0" applyFill="0" applyBorder="0" applyAlignment="0" applyProtection="0"/>
    <xf numFmtId="247" fontId="126" fillId="0" borderId="0" applyAlignment="0">
      <alignment horizontal="left"/>
      <protection locked="0"/>
    </xf>
    <xf numFmtId="49" fontId="3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3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37" fillId="0" borderId="0">
      <alignment horizontal="right"/>
    </xf>
    <xf numFmtId="49" fontId="3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37" fillId="0" borderId="0">
      <alignment horizontal="right"/>
    </xf>
    <xf numFmtId="49" fontId="107" fillId="0" borderId="0">
      <alignment horizontal="right"/>
    </xf>
    <xf numFmtId="49" fontId="3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37" fillId="0" borderId="0">
      <alignment horizontal="right"/>
    </xf>
    <xf numFmtId="49" fontId="37" fillId="0" borderId="0">
      <alignment horizontal="right"/>
    </xf>
    <xf numFmtId="49" fontId="37" fillId="0" borderId="0">
      <alignment horizontal="right"/>
    </xf>
    <xf numFmtId="49" fontId="3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37" fillId="0" borderId="0">
      <alignment horizontal="right"/>
    </xf>
    <xf numFmtId="274" fontId="32" fillId="2" borderId="3" applyNumberFormat="0" applyFont="0" applyAlignment="0"/>
    <xf numFmtId="274" fontId="32" fillId="2" borderId="3" applyNumberFormat="0" applyFont="0" applyAlignment="0"/>
    <xf numFmtId="287" fontId="114" fillId="0" borderId="0" applyFont="0" applyFill="0" applyBorder="0" applyAlignment="0" applyProtection="0">
      <alignment horizontal="right"/>
    </xf>
    <xf numFmtId="0" fontId="127" fillId="0" borderId="0" applyProtection="0">
      <alignment horizontal="right"/>
    </xf>
    <xf numFmtId="0" fontId="107" fillId="0" borderId="0">
      <alignment horizontal="left"/>
    </xf>
    <xf numFmtId="0" fontId="107" fillId="0" borderId="0">
      <alignment horizontal="right"/>
    </xf>
    <xf numFmtId="0" fontId="8" fillId="0" borderId="14" applyNumberFormat="0" applyAlignment="0" applyProtection="0">
      <alignment horizontal="left" vertical="center"/>
    </xf>
    <xf numFmtId="0" fontId="8" fillId="0" borderId="27">
      <alignment horizontal="left" vertical="center"/>
    </xf>
    <xf numFmtId="0" fontId="128" fillId="0" borderId="44" applyNumberFormat="0" applyFill="0" applyAlignment="0" applyProtection="0"/>
    <xf numFmtId="0" fontId="107" fillId="0" borderId="0">
      <alignment horizontal="left"/>
    </xf>
    <xf numFmtId="0" fontId="107" fillId="0" borderId="11">
      <alignment horizontal="left" vertical="top"/>
    </xf>
    <xf numFmtId="0" fontId="129" fillId="0" borderId="45" applyNumberFormat="0" applyFill="0" applyAlignment="0" applyProtection="0"/>
    <xf numFmtId="0" fontId="107" fillId="0" borderId="0">
      <alignment horizontal="left"/>
    </xf>
    <xf numFmtId="0" fontId="107" fillId="0" borderId="11">
      <alignment horizontal="left" vertical="top"/>
    </xf>
    <xf numFmtId="0" fontId="130" fillId="0" borderId="46" applyNumberFormat="0" applyFill="0" applyAlignment="0" applyProtection="0"/>
    <xf numFmtId="0" fontId="107" fillId="0" borderId="0">
      <alignment horizontal="left"/>
    </xf>
    <xf numFmtId="0" fontId="130" fillId="0" borderId="0" applyNumberFormat="0" applyFill="0" applyBorder="0" applyAlignment="0" applyProtection="0"/>
    <xf numFmtId="0" fontId="7" fillId="0" borderId="1" applyNumberFormat="0" applyFill="0" applyBorder="0" applyAlignment="0" applyProtection="0">
      <alignment horizontal="left"/>
    </xf>
    <xf numFmtId="38" fontId="7" fillId="0" borderId="0"/>
    <xf numFmtId="38" fontId="7" fillId="0" borderId="0"/>
    <xf numFmtId="38" fontId="7" fillId="0" borderId="0"/>
    <xf numFmtId="173" fontId="7" fillId="0" borderId="0"/>
    <xf numFmtId="173" fontId="7" fillId="0" borderId="0"/>
    <xf numFmtId="173" fontId="7" fillId="0" borderId="0"/>
    <xf numFmtId="245" fontId="107" fillId="0" borderId="0" applyFill="0" applyBorder="0" applyAlignment="0" applyProtection="0">
      <alignment horizontal="right"/>
      <protection locked="0"/>
    </xf>
    <xf numFmtId="288" fontId="37" fillId="0" borderId="0" applyBorder="0" applyAlignment="0"/>
    <xf numFmtId="10" fontId="28" fillId="2" borderId="3" applyNumberFormat="0" applyBorder="0" applyAlignment="0" applyProtection="0"/>
    <xf numFmtId="10" fontId="28" fillId="2" borderId="3" applyNumberFormat="0" applyBorder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31" fillId="35" borderId="47" applyNumberFormat="0" applyAlignment="0" applyProtection="0"/>
    <xf numFmtId="0" fontId="107" fillId="0" borderId="0" applyFill="0" applyBorder="0" applyProtection="0"/>
    <xf numFmtId="0" fontId="107" fillId="0" borderId="0" applyFill="0" applyBorder="0" applyProtection="0"/>
    <xf numFmtId="0" fontId="107" fillId="0" borderId="0" applyFill="0" applyBorder="0" applyProtection="0"/>
    <xf numFmtId="0" fontId="107" fillId="0" borderId="0" applyFill="0" applyBorder="0" applyProtection="0"/>
    <xf numFmtId="0" fontId="107" fillId="0" borderId="0" applyFill="0" applyBorder="0" applyProtection="0"/>
    <xf numFmtId="0" fontId="107" fillId="0" borderId="0" applyFill="0" applyBorder="0" applyProtection="0">
      <alignment vertical="center"/>
    </xf>
    <xf numFmtId="0" fontId="107" fillId="0" borderId="0" applyFill="0" applyBorder="0" applyProtection="0">
      <alignment vertical="center"/>
    </xf>
    <xf numFmtId="0" fontId="107" fillId="0" borderId="0" applyFont="0" applyFill="0" applyBorder="0" applyAlignment="0">
      <protection locked="0"/>
    </xf>
    <xf numFmtId="0" fontId="107" fillId="0" borderId="0" applyFont="0" applyFill="0" applyBorder="0" applyAlignment="0">
      <protection locked="0"/>
    </xf>
    <xf numFmtId="0" fontId="107" fillId="0" borderId="0" applyFill="0" applyBorder="0" applyProtection="0">
      <alignment vertical="center"/>
    </xf>
    <xf numFmtId="0" fontId="107" fillId="0" borderId="0" applyFill="0" applyBorder="0" applyProtection="0">
      <alignment vertical="center"/>
    </xf>
    <xf numFmtId="0" fontId="107" fillId="0" borderId="7" applyFill="0"/>
    <xf numFmtId="0" fontId="107" fillId="0" borderId="0"/>
    <xf numFmtId="289" fontId="132" fillId="50" borderId="0" applyBorder="0"/>
    <xf numFmtId="19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90" fontId="7" fillId="0" borderId="0" applyFont="0" applyFill="0" applyBorder="0" applyAlignment="0" applyProtection="0"/>
    <xf numFmtId="291" fontId="32" fillId="0" borderId="0" applyNumberFormat="0" applyFill="0" applyBorder="0" applyAlignment="0" applyProtection="0"/>
    <xf numFmtId="291" fontId="32" fillId="0" borderId="0" applyNumberFormat="0" applyFill="0" applyBorder="0" applyAlignment="0" applyProtection="0"/>
    <xf numFmtId="3" fontId="133" fillId="0" borderId="0"/>
    <xf numFmtId="0" fontId="134" fillId="0" borderId="48" applyNumberFormat="0" applyFill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3" fontId="107" fillId="0" borderId="0" applyFont="0" applyFill="0" applyBorder="0" applyAlignment="0" applyProtection="0">
      <alignment horizontal="right"/>
    </xf>
    <xf numFmtId="292" fontId="43" fillId="0" borderId="0" applyFont="0" applyFill="0" applyBorder="0" applyAlignment="0">
      <alignment vertical="center"/>
    </xf>
    <xf numFmtId="292" fontId="43" fillId="0" borderId="0" applyFont="0" applyFill="0" applyBorder="0" applyAlignment="0">
      <alignment vertical="center"/>
    </xf>
    <xf numFmtId="292" fontId="43" fillId="0" borderId="0" applyFont="0" applyFill="0" applyBorder="0" applyAlignment="0">
      <alignment vertical="center"/>
    </xf>
    <xf numFmtId="293" fontId="106" fillId="0" borderId="0">
      <alignment horizontal="right"/>
    </xf>
    <xf numFmtId="288" fontId="106" fillId="0" borderId="0">
      <alignment horizontal="right"/>
    </xf>
    <xf numFmtId="291" fontId="106" fillId="0" borderId="0">
      <alignment horizontal="right"/>
    </xf>
    <xf numFmtId="0" fontId="106" fillId="0" borderId="0">
      <alignment horizontal="right"/>
    </xf>
    <xf numFmtId="1" fontId="135" fillId="0" borderId="0"/>
    <xf numFmtId="294" fontId="7" fillId="50" borderId="0" applyBorder="0" applyAlignment="0">
      <alignment horizontal="right"/>
    </xf>
    <xf numFmtId="294" fontId="7" fillId="50" borderId="0" applyBorder="0" applyAlignment="0">
      <alignment horizontal="right"/>
    </xf>
    <xf numFmtId="294" fontId="7" fillId="50" borderId="0" applyBorder="0" applyAlignment="0">
      <alignment horizontal="right"/>
    </xf>
    <xf numFmtId="229" fontId="136" fillId="0" borderId="0" applyFill="0" applyBorder="0" applyAlignment="0" applyProtection="0"/>
    <xf numFmtId="295" fontId="7" fillId="0" borderId="0" applyFont="0" applyFill="0" applyBorder="0" applyAlignment="0" applyProtection="0"/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0" applyFont="0" applyFill="0" applyBorder="0" applyAlignment="0" applyProtection="0"/>
    <xf numFmtId="0" fontId="106" fillId="15" borderId="28">
      <alignment horizontal="right"/>
    </xf>
    <xf numFmtId="299" fontId="7" fillId="0" borderId="0" applyFont="0" applyFill="0" applyBorder="0" applyAlignment="0" applyProtection="0"/>
    <xf numFmtId="300" fontId="7" fillId="0" borderId="0" applyFont="0" applyFill="0" applyBorder="0" applyAlignment="0" applyProtection="0"/>
    <xf numFmtId="301" fontId="7" fillId="0" borderId="0" applyFill="0" applyBorder="0" applyAlignment="0" applyProtection="0"/>
    <xf numFmtId="301" fontId="7" fillId="0" borderId="0" applyFill="0" applyBorder="0" applyAlignment="0" applyProtection="0"/>
    <xf numFmtId="301" fontId="7" fillId="0" borderId="0" applyFill="0" applyBorder="0" applyAlignment="0" applyProtection="0"/>
    <xf numFmtId="302" fontId="7" fillId="0" borderId="0" applyFill="0" applyBorder="0" applyAlignment="0" applyProtection="0"/>
    <xf numFmtId="302" fontId="7" fillId="0" borderId="0" applyFill="0" applyBorder="0" applyAlignment="0" applyProtection="0"/>
    <xf numFmtId="302" fontId="7" fillId="0" borderId="0" applyFill="0" applyBorder="0" applyAlignment="0" applyProtection="0"/>
    <xf numFmtId="0" fontId="107" fillId="11" borderId="49" applyFont="0" applyFill="0" applyBorder="0" applyAlignment="0">
      <alignment horizontal="center"/>
    </xf>
    <xf numFmtId="303" fontId="7" fillId="0" borderId="0" applyFont="0" applyFill="0" applyBorder="0" applyAlignment="0" applyProtection="0"/>
    <xf numFmtId="303" fontId="7" fillId="0" borderId="0" applyFont="0" applyFill="0" applyBorder="0" applyAlignment="0" applyProtection="0"/>
    <xf numFmtId="0" fontId="107" fillId="0" borderId="0" applyFill="0" applyBorder="0" applyProtection="0">
      <alignment vertical="center"/>
    </xf>
    <xf numFmtId="0" fontId="107" fillId="0" borderId="0" applyFont="0" applyFill="0" applyBorder="0" applyAlignment="0" applyProtection="0">
      <alignment horizontal="right"/>
    </xf>
    <xf numFmtId="304" fontId="64" fillId="0" borderId="0"/>
    <xf numFmtId="0" fontId="137" fillId="24" borderId="0" applyNumberFormat="0" applyBorder="0" applyAlignment="0" applyProtection="0"/>
    <xf numFmtId="0" fontId="68" fillId="26" borderId="36">
      <alignment horizontal="center" wrapText="1"/>
    </xf>
    <xf numFmtId="37" fontId="7" fillId="0" borderId="0"/>
    <xf numFmtId="37" fontId="7" fillId="0" borderId="0"/>
    <xf numFmtId="305" fontId="7" fillId="0" borderId="0"/>
    <xf numFmtId="305" fontId="7" fillId="0" borderId="0"/>
    <xf numFmtId="305" fontId="7" fillId="0" borderId="0"/>
    <xf numFmtId="37" fontId="87" fillId="0" borderId="0" applyAlignment="0"/>
    <xf numFmtId="37" fontId="87" fillId="0" borderId="0" applyAlignment="0"/>
    <xf numFmtId="37" fontId="87" fillId="0" borderId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37" fontId="107" fillId="0" borderId="0" applyNumberFormat="0" applyFill="0" applyAlignment="0"/>
    <xf numFmtId="37" fontId="107" fillId="0" borderId="0" applyNumberFormat="0" applyFill="0" applyAlignment="0"/>
    <xf numFmtId="37" fontId="107" fillId="0" borderId="0" applyNumberFormat="0" applyFill="0" applyAlignment="0"/>
    <xf numFmtId="0" fontId="107" fillId="0" borderId="0" applyFill="0" applyBorder="0" applyProtection="0">
      <alignment vertical="center"/>
    </xf>
    <xf numFmtId="0" fontId="7" fillId="0" borderId="0"/>
    <xf numFmtId="0" fontId="107" fillId="0" borderId="0"/>
    <xf numFmtId="0" fontId="13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1" fillId="0" borderId="0"/>
    <xf numFmtId="0" fontId="7" fillId="24" borderId="50" applyNumberFormat="0" applyFont="0" applyAlignment="0" applyProtection="0"/>
    <xf numFmtId="0" fontId="142" fillId="0" borderId="13"/>
    <xf numFmtId="39" fontId="107" fillId="0" borderId="0"/>
    <xf numFmtId="306" fontId="143" fillId="0" borderId="0" applyFont="0" applyFill="0" applyBorder="0" applyAlignment="0" applyProtection="0"/>
    <xf numFmtId="169" fontId="64" fillId="0" borderId="0" applyFont="0" applyFill="0" applyBorder="0" applyAlignment="0" applyProtection="0"/>
    <xf numFmtId="168" fontId="64" fillId="0" borderId="0" applyFont="0" applyFill="0" applyBorder="0" applyAlignment="0" applyProtection="0"/>
    <xf numFmtId="0" fontId="107" fillId="0" borderId="0" applyNumberFormat="0" applyAlignment="0"/>
    <xf numFmtId="0" fontId="107" fillId="0" borderId="0" applyNumberFormat="0" applyAlignment="0"/>
    <xf numFmtId="0" fontId="107" fillId="0" borderId="0" applyNumberFormat="0" applyAlignment="0"/>
    <xf numFmtId="0" fontId="107" fillId="0" borderId="0"/>
    <xf numFmtId="0" fontId="144" fillId="44" borderId="51" applyNumberFormat="0" applyAlignment="0" applyProtection="0"/>
    <xf numFmtId="307" fontId="43" fillId="0" borderId="0" applyFont="0" applyFill="0" applyBorder="0" applyAlignment="0">
      <alignment vertical="center"/>
    </xf>
    <xf numFmtId="307" fontId="43" fillId="0" borderId="0" applyFont="0" applyFill="0" applyBorder="0" applyAlignment="0">
      <alignment vertical="center"/>
    </xf>
    <xf numFmtId="307" fontId="43" fillId="0" borderId="0" applyFont="0" applyFill="0" applyBorder="0" applyAlignment="0">
      <alignment vertical="center"/>
    </xf>
    <xf numFmtId="296" fontId="107" fillId="0" borderId="0" applyFont="0" applyFill="0" applyBorder="0" applyAlignment="0" applyProtection="0">
      <alignment horizontal="right"/>
    </xf>
    <xf numFmtId="1" fontId="145" fillId="0" borderId="0" applyProtection="0">
      <alignment horizontal="right" vertical="center"/>
    </xf>
    <xf numFmtId="0" fontId="107" fillId="0" borderId="0" applyNumberFormat="0" applyFill="0" applyBorder="0" applyAlignment="0" applyProtection="0"/>
    <xf numFmtId="308" fontId="106" fillId="48" borderId="0"/>
    <xf numFmtId="0" fontId="107" fillId="0" borderId="0" applyFont="0" applyFill="0" applyBorder="0" applyAlignment="0" applyProtection="0">
      <alignment horizontal="right"/>
    </xf>
    <xf numFmtId="9" fontId="107" fillId="0" borderId="0" applyFont="0" applyFill="0" applyBorder="0" applyAlignment="0" applyProtection="0">
      <alignment horizontal="right"/>
    </xf>
    <xf numFmtId="295" fontId="106" fillId="48" borderId="0"/>
    <xf numFmtId="309" fontId="106" fillId="0" borderId="0"/>
    <xf numFmtId="310" fontId="64" fillId="0" borderId="0" applyFont="0" applyFill="0" applyBorder="0" applyAlignment="0" applyProtection="0"/>
    <xf numFmtId="2" fontId="10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7" fillId="0" borderId="7" applyFont="0" applyFill="0" applyBorder="0" applyAlignment="0">
      <alignment horizontal="right"/>
    </xf>
    <xf numFmtId="0" fontId="107" fillId="0" borderId="0" applyFont="0" applyFill="0" applyBorder="0"/>
    <xf numFmtId="244" fontId="28" fillId="0" borderId="0" applyFont="0" applyFill="0" applyBorder="0" applyAlignment="0" applyProtection="0"/>
    <xf numFmtId="0" fontId="107" fillId="0" borderId="0" applyFont="0" applyFill="0"/>
    <xf numFmtId="247" fontId="107" fillId="0" borderId="0" applyFont="0" applyFill="0" applyBorder="0" applyAlignment="0" applyProtection="0"/>
    <xf numFmtId="167" fontId="107" fillId="0" borderId="0" applyFont="0" applyFill="0" applyBorder="0" applyAlignment="0" applyProtection="0"/>
    <xf numFmtId="245" fontId="107" fillId="0" borderId="0" applyFont="0" applyFill="0" applyBorder="0" applyAlignment="0" applyProtection="0">
      <protection locked="0"/>
    </xf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70" fontId="7" fillId="0" borderId="0"/>
    <xf numFmtId="170" fontId="7" fillId="0" borderId="0"/>
    <xf numFmtId="170" fontId="7" fillId="0" borderId="0"/>
    <xf numFmtId="245" fontId="107" fillId="0" borderId="0" applyFill="0" applyBorder="0" applyAlignment="0" applyProtection="0"/>
    <xf numFmtId="38" fontId="107" fillId="0" borderId="0" applyFont="0" applyFill="0" applyBorder="0" applyAlignment="0" applyProtection="0"/>
    <xf numFmtId="10" fontId="107" fillId="0" borderId="0"/>
    <xf numFmtId="10" fontId="107" fillId="5" borderId="0"/>
    <xf numFmtId="9" fontId="107" fillId="0" borderId="0" applyFont="0" applyFill="0" applyBorder="0" applyAlignment="0" applyProtection="0"/>
    <xf numFmtId="39" fontId="7" fillId="0" borderId="0" applyFill="0" applyBorder="0" applyAlignment="0" applyProtection="0"/>
    <xf numFmtId="39" fontId="7" fillId="0" borderId="0" applyFill="0" applyBorder="0" applyAlignment="0" applyProtection="0"/>
    <xf numFmtId="37" fontId="7" fillId="0" borderId="0" applyFill="0" applyBorder="0" applyAlignment="0" applyProtection="0"/>
    <xf numFmtId="37" fontId="7" fillId="0" borderId="0" applyFill="0" applyBorder="0" applyAlignment="0" applyProtection="0"/>
    <xf numFmtId="37" fontId="7" fillId="0" borderId="0" applyFill="0" applyBorder="0" applyAlignment="0" applyProtection="0"/>
    <xf numFmtId="311" fontId="106" fillId="15" borderId="0"/>
    <xf numFmtId="309" fontId="106" fillId="15" borderId="0"/>
    <xf numFmtId="0" fontId="107" fillId="0" borderId="0">
      <alignment horizontal="center"/>
    </xf>
    <xf numFmtId="0" fontId="106" fillId="0" borderId="7">
      <alignment horizontal="centerContinuous"/>
    </xf>
    <xf numFmtId="312" fontId="106" fillId="15" borderId="0">
      <alignment horizontal="right"/>
    </xf>
    <xf numFmtId="0" fontId="146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243" fontId="28" fillId="15" borderId="0" applyNumberFormat="0" applyAlignment="0">
      <alignment horizontal="center"/>
    </xf>
    <xf numFmtId="313" fontId="106" fillId="15" borderId="28">
      <alignment horizontal="right"/>
    </xf>
    <xf numFmtId="245" fontId="121" fillId="0" borderId="0" applyFont="0" applyFill="0" applyBorder="0" applyAlignment="0" applyProtection="0"/>
    <xf numFmtId="0" fontId="109" fillId="0" borderId="28" applyNumberFormat="0" applyBorder="0" applyAlignment="0"/>
    <xf numFmtId="0" fontId="109" fillId="0" borderId="28" applyNumberFormat="0" applyBorder="0" applyAlignment="0"/>
    <xf numFmtId="14" fontId="88" fillId="0" borderId="0" applyNumberFormat="0" applyFill="0" applyBorder="0" applyAlignment="0" applyProtection="0">
      <alignment horizontal="left"/>
    </xf>
    <xf numFmtId="0" fontId="107" fillId="0" borderId="52">
      <alignment vertical="center"/>
    </xf>
    <xf numFmtId="314" fontId="64" fillId="0" borderId="0" applyFont="0" applyFill="0" applyBorder="0" applyAlignment="0" applyProtection="0"/>
    <xf numFmtId="0" fontId="7" fillId="16" borderId="0">
      <alignment horizontal="right"/>
    </xf>
    <xf numFmtId="0" fontId="7" fillId="16" borderId="0">
      <alignment horizontal="right"/>
    </xf>
    <xf numFmtId="180" fontId="87" fillId="0" borderId="7" applyFont="0" applyFill="0" applyBorder="0" applyAlignment="0" applyProtection="0">
      <alignment horizontal="right"/>
    </xf>
    <xf numFmtId="219" fontId="107" fillId="0" borderId="0" applyFill="0" applyBorder="0" applyAlignment="0" applyProtection="0">
      <protection locked="0"/>
    </xf>
    <xf numFmtId="1" fontId="7" fillId="0" borderId="0"/>
    <xf numFmtId="1" fontId="7" fillId="0" borderId="0"/>
    <xf numFmtId="315" fontId="43" fillId="0" borderId="0" applyFill="0" applyBorder="0"/>
    <xf numFmtId="188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0" fontId="147" fillId="0" borderId="7"/>
    <xf numFmtId="0" fontId="107" fillId="0" borderId="0" applyNumberFormat="0" applyAlignment="0"/>
    <xf numFmtId="0" fontId="107" fillId="0" borderId="0" applyFill="0" applyBorder="0" applyProtection="0">
      <alignment horizontal="right"/>
    </xf>
    <xf numFmtId="0" fontId="148" fillId="0" borderId="0"/>
    <xf numFmtId="0" fontId="87" fillId="0" borderId="0"/>
    <xf numFmtId="198" fontId="87" fillId="44" borderId="0"/>
    <xf numFmtId="270" fontId="64" fillId="0" borderId="0" applyFont="0" applyFill="0" applyBorder="0" applyAlignment="0" applyProtection="0"/>
    <xf numFmtId="271" fontId="64" fillId="0" borderId="0" applyFont="0" applyFill="0" applyBorder="0" applyAlignment="0" applyProtection="0"/>
    <xf numFmtId="313" fontId="28" fillId="0" borderId="0" applyFill="0" applyBorder="0" applyAlignment="0" applyProtection="0"/>
    <xf numFmtId="313" fontId="28" fillId="0" borderId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316" fontId="7" fillId="0" borderId="0" applyNumberFormat="0" applyFill="0" applyBorder="0" applyAlignment="0" applyProtection="0">
      <alignment horizontal="right" vertical="center" wrapText="1"/>
    </xf>
    <xf numFmtId="316" fontId="7" fillId="0" borderId="0" applyNumberFormat="0" applyFill="0" applyBorder="0" applyAlignment="0" applyProtection="0">
      <alignment horizontal="right" vertical="center" wrapText="1"/>
    </xf>
    <xf numFmtId="40" fontId="7" fillId="0" borderId="0" applyBorder="0">
      <alignment horizontal="right"/>
    </xf>
    <xf numFmtId="40" fontId="7" fillId="0" borderId="0" applyBorder="0">
      <alignment horizontal="right"/>
    </xf>
    <xf numFmtId="317" fontId="7" fillId="0" borderId="0"/>
    <xf numFmtId="317" fontId="7" fillId="0" borderId="0"/>
    <xf numFmtId="317" fontId="7" fillId="0" borderId="0"/>
    <xf numFmtId="0" fontId="149" fillId="0" borderId="53" applyNumberFormat="0" applyFill="0" applyBorder="0" applyAlignment="0" applyProtection="0"/>
    <xf numFmtId="0" fontId="7" fillId="0" borderId="11" applyBorder="0">
      <alignment horizontal="center"/>
    </xf>
    <xf numFmtId="0" fontId="7" fillId="0" borderId="11" applyBorder="0">
      <alignment horizontal="center"/>
    </xf>
    <xf numFmtId="0" fontId="150" fillId="0" borderId="7" applyBorder="0" applyProtection="0">
      <alignment horizontal="right" vertical="center"/>
    </xf>
    <xf numFmtId="0" fontId="151" fillId="51" borderId="0" applyBorder="0" applyProtection="0">
      <alignment horizontal="centerContinuous" vertical="center"/>
    </xf>
    <xf numFmtId="0" fontId="151" fillId="16" borderId="7" applyBorder="0" applyProtection="0">
      <alignment horizontal="centerContinuous" vertical="center"/>
    </xf>
    <xf numFmtId="0" fontId="107" fillId="0" borderId="0" applyBorder="0" applyProtection="0">
      <alignment vertical="center"/>
    </xf>
    <xf numFmtId="0" fontId="107" fillId="0" borderId="0" applyNumberFormat="0" applyFill="0" applyBorder="0" applyProtection="0">
      <alignment horizontal="left"/>
    </xf>
    <xf numFmtId="0" fontId="38" fillId="0" borderId="0" applyFill="0" applyBorder="0" applyProtection="0"/>
    <xf numFmtId="0" fontId="107" fillId="0" borderId="0" applyFill="0" applyBorder="0" applyProtection="0">
      <alignment vertical="center"/>
    </xf>
    <xf numFmtId="0" fontId="107" fillId="0" borderId="0">
      <alignment vertical="center"/>
    </xf>
    <xf numFmtId="0" fontId="107" fillId="0" borderId="0" applyFill="0" applyBorder="0" applyProtection="0">
      <alignment vertical="center"/>
    </xf>
    <xf numFmtId="0" fontId="107" fillId="0" borderId="0"/>
    <xf numFmtId="212" fontId="152" fillId="0" borderId="0" applyNumberFormat="0" applyFill="0" applyBorder="0">
      <alignment horizontal="left"/>
    </xf>
    <xf numFmtId="0" fontId="107" fillId="0" borderId="0" applyNumberFormat="0" applyFill="0" applyBorder="0">
      <alignment horizontal="right"/>
    </xf>
    <xf numFmtId="212" fontId="153" fillId="0" borderId="0" applyNumberFormat="0" applyFill="0" applyBorder="0">
      <alignment horizontal="right"/>
    </xf>
    <xf numFmtId="49" fontId="107" fillId="0" borderId="0"/>
    <xf numFmtId="0" fontId="154" fillId="0" borderId="0">
      <alignment horizontal="left"/>
    </xf>
    <xf numFmtId="0" fontId="107" fillId="0" borderId="11" applyFill="0" applyBorder="0" applyProtection="0"/>
    <xf numFmtId="0" fontId="107" fillId="0" borderId="0"/>
    <xf numFmtId="0" fontId="107" fillId="0" borderId="0" applyNumberFormat="0" applyFill="0" applyBorder="0" applyProtection="0"/>
    <xf numFmtId="0" fontId="107" fillId="0" borderId="0" applyFill="0" applyBorder="0" applyProtection="0"/>
    <xf numFmtId="0" fontId="107" fillId="0" borderId="0"/>
    <xf numFmtId="0" fontId="107" fillId="0" borderId="0" applyNumberFormat="0" applyFill="0" applyBorder="0" applyProtection="0"/>
    <xf numFmtId="0" fontId="107" fillId="0" borderId="0" applyFill="0" applyBorder="0" applyProtection="0"/>
    <xf numFmtId="0" fontId="107" fillId="0" borderId="0" applyNumberFormat="0" applyFill="0" applyBorder="0" applyProtection="0"/>
    <xf numFmtId="0" fontId="107" fillId="0" borderId="0"/>
    <xf numFmtId="0" fontId="107" fillId="0" borderId="11" applyFill="0" applyBorder="0" applyProtection="0"/>
    <xf numFmtId="318" fontId="32" fillId="0" borderId="0" applyBorder="0" applyProtection="0">
      <alignment horizontal="right"/>
    </xf>
    <xf numFmtId="318" fontId="32" fillId="0" borderId="0" applyBorder="0" applyProtection="0">
      <alignment horizontal="right"/>
    </xf>
    <xf numFmtId="319" fontId="7" fillId="0" borderId="0"/>
    <xf numFmtId="320" fontId="64" fillId="0" borderId="0" applyFont="0" applyFill="0" applyBorder="0" applyAlignment="0" applyProtection="0"/>
    <xf numFmtId="319" fontId="7" fillId="0" borderId="0"/>
    <xf numFmtId="319" fontId="7" fillId="0" borderId="0"/>
    <xf numFmtId="321" fontId="64" fillId="0" borderId="0" applyFont="0" applyFill="0" applyBorder="0" applyAlignment="0" applyProtection="0"/>
    <xf numFmtId="322" fontId="64" fillId="0" borderId="0"/>
    <xf numFmtId="322" fontId="64" fillId="0" borderId="0"/>
    <xf numFmtId="322" fontId="64" fillId="0" borderId="0"/>
    <xf numFmtId="323" fontId="43" fillId="0" borderId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245" fontId="156" fillId="0" borderId="0" applyNumberFormat="0" applyFill="0" applyBorder="0" applyAlignment="0" applyProtection="0"/>
    <xf numFmtId="0" fontId="107" fillId="0" borderId="0"/>
    <xf numFmtId="0" fontId="107" fillId="0" borderId="0"/>
    <xf numFmtId="0" fontId="107" fillId="0" borderId="0"/>
    <xf numFmtId="198" fontId="7" fillId="0" borderId="8" applyNumberFormat="0" applyFont="0" applyFill="0" applyAlignment="0"/>
    <xf numFmtId="0" fontId="157" fillId="0" borderId="54" applyNumberFormat="0" applyFill="0" applyAlignment="0" applyProtection="0"/>
    <xf numFmtId="0" fontId="107" fillId="0" borderId="0" applyFill="0" applyBorder="0" applyProtection="0"/>
    <xf numFmtId="0" fontId="107" fillId="0" borderId="0" applyFill="0" applyBorder="0" applyProtection="0"/>
    <xf numFmtId="0" fontId="107" fillId="0" borderId="42" applyFill="0" applyBorder="0" applyProtection="0">
      <alignment vertical="center"/>
    </xf>
    <xf numFmtId="0" fontId="7" fillId="0" borderId="3">
      <protection locked="0"/>
    </xf>
    <xf numFmtId="0" fontId="7" fillId="0" borderId="3">
      <protection locked="0"/>
    </xf>
    <xf numFmtId="172" fontId="7" fillId="0" borderId="3">
      <alignment horizontal="right"/>
      <protection locked="0"/>
    </xf>
    <xf numFmtId="172" fontId="7" fillId="0" borderId="3">
      <alignment horizontal="right"/>
      <protection locked="0"/>
    </xf>
    <xf numFmtId="324" fontId="43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325" fontId="28" fillId="0" borderId="0" applyBorder="0" applyProtection="0">
      <alignment horizontal="right"/>
    </xf>
    <xf numFmtId="325" fontId="28" fillId="0" borderId="0" applyBorder="0" applyProtection="0">
      <alignment horizontal="right"/>
    </xf>
    <xf numFmtId="325" fontId="28" fillId="0" borderId="0" applyBorder="0" applyProtection="0">
      <alignment horizontal="right"/>
    </xf>
    <xf numFmtId="40" fontId="112" fillId="0" borderId="0"/>
    <xf numFmtId="326" fontId="158" fillId="0" borderId="0"/>
    <xf numFmtId="37" fontId="107" fillId="0" borderId="0"/>
    <xf numFmtId="0" fontId="7" fillId="0" borderId="8" applyNumberFormat="0" applyFont="0" applyFill="0" applyAlignment="0" applyProtection="0"/>
    <xf numFmtId="0" fontId="7" fillId="0" borderId="8" applyNumberFormat="0" applyFont="0" applyFill="0" applyAlignment="0" applyProtection="0"/>
    <xf numFmtId="0" fontId="7" fillId="0" borderId="8" applyNumberFormat="0" applyFont="0" applyFill="0" applyAlignment="0" applyProtection="0"/>
    <xf numFmtId="212" fontId="28" fillId="2" borderId="41">
      <alignment horizontal="right"/>
    </xf>
    <xf numFmtId="212" fontId="32" fillId="2" borderId="41"/>
    <xf numFmtId="0" fontId="159" fillId="52" borderId="55">
      <alignment horizontal="left"/>
    </xf>
    <xf numFmtId="0" fontId="159" fillId="52" borderId="55">
      <alignment horizontal="left"/>
    </xf>
    <xf numFmtId="0" fontId="159" fillId="52" borderId="55">
      <alignment horizontal="left"/>
    </xf>
    <xf numFmtId="313" fontId="7" fillId="0" borderId="0" applyFont="0" applyFill="0" applyBorder="0" applyAlignment="0" applyProtection="0"/>
    <xf numFmtId="293" fontId="7" fillId="0" borderId="0" applyFont="0" applyFill="0" applyBorder="0" applyAlignment="0" applyProtection="0"/>
    <xf numFmtId="0" fontId="160" fillId="0" borderId="0" applyNumberFormat="0" applyFill="0" applyBorder="0" applyAlignment="0" applyProtection="0"/>
    <xf numFmtId="0" fontId="107" fillId="0" borderId="0"/>
    <xf numFmtId="0" fontId="107" fillId="0" borderId="0"/>
    <xf numFmtId="1" fontId="107" fillId="0" borderId="0" applyFont="0" applyFill="0" applyBorder="0" applyAlignment="0" applyProtection="0"/>
    <xf numFmtId="0" fontId="161" fillId="0" borderId="0"/>
    <xf numFmtId="1" fontId="161" fillId="0" borderId="0"/>
    <xf numFmtId="0" fontId="162" fillId="0" borderId="53" applyNumberFormat="0" applyFill="0" applyBorder="0" applyAlignment="0" applyProtection="0"/>
    <xf numFmtId="0" fontId="163" fillId="0" borderId="53" applyNumberFormat="0" applyFill="0" applyBorder="0" applyAlignment="0" applyProtection="0"/>
    <xf numFmtId="0" fontId="164" fillId="0" borderId="53" applyNumberFormat="0" applyFill="0" applyBorder="0" applyAlignment="0" applyProtection="0"/>
    <xf numFmtId="212" fontId="43" fillId="0" borderId="0"/>
    <xf numFmtId="0" fontId="43" fillId="0" borderId="0"/>
    <xf numFmtId="327" fontId="7" fillId="0" borderId="0"/>
    <xf numFmtId="327" fontId="7" fillId="0" borderId="0"/>
    <xf numFmtId="0" fontId="7" fillId="0" borderId="7" applyBorder="0" applyProtection="0">
      <alignment horizontal="right"/>
    </xf>
    <xf numFmtId="328" fontId="28" fillId="0" borderId="0" applyFill="0" applyBorder="0" applyAlignment="0" applyProtection="0"/>
    <xf numFmtId="328" fontId="28" fillId="0" borderId="0" applyFill="0" applyBorder="0" applyAlignment="0" applyProtection="0"/>
    <xf numFmtId="0" fontId="165" fillId="0" borderId="0">
      <alignment horizontal="left"/>
    </xf>
    <xf numFmtId="0" fontId="107" fillId="0" borderId="0"/>
    <xf numFmtId="0" fontId="107" fillId="0" borderId="0"/>
    <xf numFmtId="0" fontId="166" fillId="0" borderId="0"/>
    <xf numFmtId="0" fontId="5" fillId="0" borderId="0"/>
    <xf numFmtId="0" fontId="168" fillId="0" borderId="0"/>
    <xf numFmtId="169" fontId="7" fillId="0" borderId="0" applyFont="0" applyFill="0" applyBorder="0" applyAlignment="0" applyProtection="0"/>
    <xf numFmtId="169" fontId="168" fillId="0" borderId="0" applyFont="0" applyFill="0" applyBorder="0" applyAlignment="0" applyProtection="0"/>
    <xf numFmtId="0" fontId="7" fillId="0" borderId="0"/>
    <xf numFmtId="0" fontId="28" fillId="0" borderId="0"/>
    <xf numFmtId="0" fontId="177" fillId="0" borderId="0"/>
    <xf numFmtId="0" fontId="7" fillId="0" borderId="0" applyFont="0" applyFill="0" applyBorder="0" applyAlignment="0" applyProtection="0"/>
    <xf numFmtId="0" fontId="1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7" fillId="0" borderId="0"/>
    <xf numFmtId="169" fontId="6" fillId="0" borderId="0" applyFont="0" applyFill="0" applyBorder="0" applyAlignment="0" applyProtection="0"/>
  </cellStyleXfs>
  <cellXfs count="1480">
    <xf numFmtId="0" fontId="0" fillId="0" borderId="0" xfId="0"/>
    <xf numFmtId="0" fontId="7" fillId="0" borderId="0" xfId="1"/>
    <xf numFmtId="14" fontId="7" fillId="0" borderId="0" xfId="1" applyNumberFormat="1"/>
    <xf numFmtId="0" fontId="8" fillId="0" borderId="0" xfId="1" applyFont="1"/>
    <xf numFmtId="0" fontId="28" fillId="0" borderId="0" xfId="1" applyFont="1"/>
    <xf numFmtId="180" fontId="7" fillId="9" borderId="0" xfId="1" applyNumberFormat="1" applyFill="1" applyProtection="1">
      <protection locked="0"/>
    </xf>
    <xf numFmtId="4" fontId="7" fillId="9" borderId="0" xfId="1" applyNumberFormat="1" applyFill="1" applyProtection="1">
      <protection locked="0"/>
    </xf>
    <xf numFmtId="0" fontId="7" fillId="9" borderId="0" xfId="1" applyFill="1"/>
    <xf numFmtId="0" fontId="29" fillId="10" borderId="0" xfId="1" applyFont="1" applyFill="1"/>
    <xf numFmtId="185" fontId="29" fillId="10" borderId="0" xfId="1" applyNumberFormat="1" applyFont="1" applyFill="1"/>
    <xf numFmtId="0" fontId="28" fillId="11" borderId="0" xfId="1" applyFont="1" applyFill="1"/>
    <xf numFmtId="180" fontId="28" fillId="12" borderId="0" xfId="1" applyNumberFormat="1" applyFont="1" applyFill="1" applyProtection="1">
      <protection locked="0"/>
    </xf>
    <xf numFmtId="180" fontId="28" fillId="11" borderId="0" xfId="1" applyNumberFormat="1" applyFont="1" applyFill="1" applyProtection="1">
      <protection locked="0"/>
    </xf>
    <xf numFmtId="184" fontId="28" fillId="12" borderId="0" xfId="1" applyNumberFormat="1" applyFont="1" applyFill="1" applyProtection="1">
      <protection locked="0"/>
    </xf>
    <xf numFmtId="184" fontId="28" fillId="11" borderId="0" xfId="1" applyNumberFormat="1" applyFont="1" applyFill="1" applyProtection="1">
      <protection locked="0"/>
    </xf>
    <xf numFmtId="186" fontId="28" fillId="12" borderId="0" xfId="1" applyNumberFormat="1" applyFont="1" applyFill="1" applyProtection="1">
      <protection locked="0"/>
    </xf>
    <xf numFmtId="186" fontId="28" fillId="11" borderId="0" xfId="1" applyNumberFormat="1" applyFont="1" applyFill="1" applyProtection="1">
      <protection locked="0"/>
    </xf>
    <xf numFmtId="4" fontId="28" fillId="12" borderId="0" xfId="1" applyNumberFormat="1" applyFont="1" applyFill="1" applyProtection="1">
      <protection locked="0"/>
    </xf>
    <xf numFmtId="4" fontId="28" fillId="11" borderId="0" xfId="1" applyNumberFormat="1" applyFont="1" applyFill="1" applyProtection="1">
      <protection locked="0"/>
    </xf>
    <xf numFmtId="0" fontId="28" fillId="12" borderId="0" xfId="1" applyFont="1" applyFill="1"/>
    <xf numFmtId="49" fontId="28" fillId="11" borderId="0" xfId="1" applyNumberFormat="1" applyFont="1" applyFill="1" applyProtection="1">
      <protection locked="0"/>
    </xf>
    <xf numFmtId="0" fontId="8" fillId="11" borderId="0" xfId="1" applyFont="1" applyFill="1"/>
    <xf numFmtId="0" fontId="8" fillId="12" borderId="0" xfId="1" applyFont="1" applyFill="1"/>
    <xf numFmtId="185" fontId="8" fillId="11" borderId="0" xfId="1" applyNumberFormat="1" applyFont="1" applyFill="1"/>
    <xf numFmtId="0" fontId="28" fillId="9" borderId="0" xfId="1" applyFont="1" applyFill="1"/>
    <xf numFmtId="180" fontId="28" fillId="9" borderId="0" xfId="1" applyNumberFormat="1" applyFont="1" applyFill="1" applyProtection="1">
      <protection locked="0"/>
    </xf>
    <xf numFmtId="186" fontId="28" fillId="9" borderId="0" xfId="1" applyNumberFormat="1" applyFont="1" applyFill="1" applyProtection="1">
      <protection locked="0"/>
    </xf>
    <xf numFmtId="3" fontId="28" fillId="0" borderId="0" xfId="1" applyNumberFormat="1" applyFont="1"/>
    <xf numFmtId="4" fontId="28" fillId="9" borderId="0" xfId="1" applyNumberFormat="1" applyFont="1" applyFill="1" applyProtection="1">
      <protection locked="0"/>
    </xf>
    <xf numFmtId="3" fontId="28" fillId="9" borderId="0" xfId="1" applyNumberFormat="1" applyFont="1" applyFill="1" applyProtection="1">
      <protection locked="0"/>
    </xf>
    <xf numFmtId="9" fontId="28" fillId="12" borderId="0" xfId="1" applyNumberFormat="1" applyFont="1" applyFill="1"/>
    <xf numFmtId="0" fontId="30" fillId="0" borderId="0" xfId="1" applyFont="1"/>
    <xf numFmtId="49" fontId="28" fillId="14" borderId="0" xfId="1" applyNumberFormat="1" applyFont="1" applyFill="1"/>
    <xf numFmtId="14" fontId="28" fillId="14" borderId="0" xfId="1" applyNumberFormat="1" applyFont="1" applyFill="1" applyAlignment="1">
      <alignment horizontal="center"/>
    </xf>
    <xf numFmtId="0" fontId="28" fillId="14" borderId="0" xfId="1" applyFont="1" applyFill="1" applyAlignment="1">
      <alignment horizontal="center"/>
    </xf>
    <xf numFmtId="0" fontId="31" fillId="10" borderId="0" xfId="1" applyFont="1" applyFill="1" applyAlignment="1">
      <alignment horizontal="center"/>
    </xf>
    <xf numFmtId="0" fontId="31" fillId="10" borderId="0" xfId="1" applyFont="1" applyFill="1" applyAlignment="1">
      <alignment horizontal="left"/>
    </xf>
    <xf numFmtId="0" fontId="0" fillId="12" borderId="0" xfId="0" applyFill="1"/>
    <xf numFmtId="0" fontId="52" fillId="22" borderId="0" xfId="61" applyFont="1" applyBorder="1" applyAlignment="1"/>
    <xf numFmtId="0" fontId="48" fillId="12" borderId="0" xfId="60" applyFill="1" applyAlignment="1">
      <alignment horizontal="center"/>
    </xf>
    <xf numFmtId="0" fontId="50" fillId="23" borderId="3" xfId="62" applyBorder="1" applyAlignment="1"/>
    <xf numFmtId="0" fontId="0" fillId="12" borderId="20" xfId="0" applyFill="1" applyBorder="1"/>
    <xf numFmtId="0" fontId="102" fillId="20" borderId="0" xfId="374" applyFill="1" applyBorder="1" applyAlignment="1" applyProtection="1">
      <alignment horizontal="left"/>
    </xf>
    <xf numFmtId="0" fontId="102" fillId="22" borderId="0" xfId="374" applyFill="1" applyBorder="1" applyAlignment="1" applyProtection="1">
      <alignment horizontal="left"/>
    </xf>
    <xf numFmtId="3" fontId="5" fillId="0" borderId="0" xfId="2511" applyNumberFormat="1"/>
    <xf numFmtId="3" fontId="4" fillId="0" borderId="0" xfId="2511" quotePrefix="1" applyNumberFormat="1" applyFont="1"/>
    <xf numFmtId="0" fontId="4" fillId="0" borderId="0" xfId="0" applyFont="1"/>
    <xf numFmtId="3" fontId="4" fillId="0" borderId="0" xfId="2511" applyNumberFormat="1" applyFont="1"/>
    <xf numFmtId="173" fontId="5" fillId="0" borderId="0" xfId="2511" applyNumberFormat="1"/>
    <xf numFmtId="173" fontId="4" fillId="0" borderId="0" xfId="2511" applyNumberFormat="1" applyFont="1" applyAlignment="1">
      <alignment horizontal="center"/>
    </xf>
    <xf numFmtId="173" fontId="3" fillId="18" borderId="0" xfId="2511" applyNumberFormat="1" applyFont="1" applyFill="1" applyAlignment="1">
      <alignment horizontal="center"/>
    </xf>
    <xf numFmtId="173" fontId="3" fillId="0" borderId="0" xfId="2511" applyNumberFormat="1" applyFont="1" applyAlignment="1">
      <alignment horizontal="center"/>
    </xf>
    <xf numFmtId="3" fontId="3" fillId="0" borderId="0" xfId="2511" applyNumberFormat="1" applyFont="1"/>
    <xf numFmtId="9" fontId="5" fillId="0" borderId="0" xfId="2511" applyNumberFormat="1"/>
    <xf numFmtId="3" fontId="167" fillId="0" borderId="0" xfId="2511" applyNumberFormat="1" applyFont="1" applyAlignment="1">
      <alignment horizontal="center"/>
    </xf>
    <xf numFmtId="3" fontId="2" fillId="0" borderId="0" xfId="2511" applyNumberFormat="1" applyFont="1"/>
    <xf numFmtId="9" fontId="5" fillId="0" borderId="0" xfId="384" applyFont="1"/>
    <xf numFmtId="0" fontId="169" fillId="0" borderId="0" xfId="0" applyFont="1"/>
    <xf numFmtId="0" fontId="28" fillId="0" borderId="0" xfId="2512" applyFont="1" applyAlignment="1">
      <alignment horizontal="left"/>
    </xf>
    <xf numFmtId="187" fontId="28" fillId="0" borderId="0" xfId="2513" applyNumberFormat="1" applyFont="1" applyFill="1" applyBorder="1"/>
    <xf numFmtId="173" fontId="28" fillId="0" borderId="0" xfId="2513" applyNumberFormat="1" applyFont="1"/>
    <xf numFmtId="173" fontId="171" fillId="0" borderId="0" xfId="2513" applyNumberFormat="1" applyFont="1"/>
    <xf numFmtId="0" fontId="32" fillId="0" borderId="33" xfId="2512" applyFont="1" applyBorder="1"/>
    <xf numFmtId="331" fontId="32" fillId="0" borderId="33" xfId="2512" applyNumberFormat="1" applyFont="1" applyBorder="1"/>
    <xf numFmtId="0" fontId="172" fillId="0" borderId="0" xfId="2512" applyFont="1" applyAlignment="1">
      <alignment horizontal="left" indent="2"/>
    </xf>
    <xf numFmtId="0" fontId="172" fillId="0" borderId="0" xfId="2512" applyFont="1"/>
    <xf numFmtId="0" fontId="169" fillId="0" borderId="0" xfId="2512" applyFont="1"/>
    <xf numFmtId="0" fontId="28" fillId="0" borderId="33" xfId="2512" applyFont="1" applyBorder="1"/>
    <xf numFmtId="0" fontId="168" fillId="0" borderId="0" xfId="2512" applyAlignment="1">
      <alignment horizontal="left"/>
    </xf>
    <xf numFmtId="0" fontId="168" fillId="0" borderId="0" xfId="2512"/>
    <xf numFmtId="0" fontId="172" fillId="0" borderId="7" xfId="2512" applyFont="1" applyBorder="1" applyAlignment="1">
      <alignment horizontal="left"/>
    </xf>
    <xf numFmtId="0" fontId="172" fillId="0" borderId="7" xfId="2512" applyFont="1" applyBorder="1"/>
    <xf numFmtId="0" fontId="169" fillId="0" borderId="33" xfId="2512" applyFont="1" applyBorder="1" applyAlignment="1">
      <alignment horizontal="left"/>
    </xf>
    <xf numFmtId="0" fontId="168" fillId="0" borderId="33" xfId="2512" applyBorder="1"/>
    <xf numFmtId="190" fontId="169" fillId="0" borderId="33" xfId="2512" applyNumberFormat="1" applyFont="1" applyBorder="1"/>
    <xf numFmtId="3" fontId="168" fillId="0" borderId="0" xfId="2512" applyNumberFormat="1"/>
    <xf numFmtId="0" fontId="105" fillId="54" borderId="59" xfId="1" applyFont="1" applyFill="1" applyBorder="1"/>
    <xf numFmtId="0" fontId="103" fillId="54" borderId="33" xfId="0" applyFont="1" applyFill="1" applyBorder="1" applyAlignment="1">
      <alignment horizontal="center"/>
    </xf>
    <xf numFmtId="0" fontId="103" fillId="54" borderId="0" xfId="0" applyFont="1" applyFill="1" applyAlignment="1">
      <alignment horizontal="center"/>
    </xf>
    <xf numFmtId="0" fontId="105" fillId="54" borderId="33" xfId="0" applyFont="1" applyFill="1" applyBorder="1" applyAlignment="1">
      <alignment horizontal="center"/>
    </xf>
    <xf numFmtId="0" fontId="4" fillId="54" borderId="0" xfId="0" applyFont="1" applyFill="1"/>
    <xf numFmtId="173" fontId="4" fillId="54" borderId="0" xfId="2511" applyNumberFormat="1" applyFont="1" applyFill="1" applyAlignment="1">
      <alignment horizontal="center"/>
    </xf>
    <xf numFmtId="0" fontId="175" fillId="54" borderId="0" xfId="2515" applyFont="1" applyFill="1"/>
    <xf numFmtId="0" fontId="43" fillId="0" borderId="0" xfId="2516" applyFont="1"/>
    <xf numFmtId="0" fontId="43" fillId="0" borderId="0" xfId="2516" applyFont="1" applyAlignment="1">
      <alignment horizontal="right"/>
    </xf>
    <xf numFmtId="0" fontId="43" fillId="0" borderId="0" xfId="2516" applyFont="1" applyAlignment="1">
      <alignment horizontal="center"/>
    </xf>
    <xf numFmtId="0" fontId="178" fillId="56" borderId="3" xfId="2517" applyFont="1" applyFill="1" applyBorder="1" applyAlignment="1">
      <alignment horizontal="right"/>
    </xf>
    <xf numFmtId="336" fontId="178" fillId="56" borderId="29" xfId="2517" applyNumberFormat="1" applyFont="1" applyFill="1" applyBorder="1" applyAlignment="1">
      <alignment horizontal="left"/>
    </xf>
    <xf numFmtId="0" fontId="178" fillId="56" borderId="62" xfId="2517" applyFont="1" applyFill="1" applyBorder="1" applyAlignment="1">
      <alignment horizontal="right"/>
    </xf>
    <xf numFmtId="0" fontId="43" fillId="12" borderId="0" xfId="2516" applyFont="1" applyFill="1"/>
    <xf numFmtId="0" fontId="175" fillId="12" borderId="0" xfId="2515" applyFont="1" applyFill="1"/>
    <xf numFmtId="0" fontId="175" fillId="12" borderId="0" xfId="2515" applyFont="1" applyFill="1" applyAlignment="1">
      <alignment horizontal="center"/>
    </xf>
    <xf numFmtId="0" fontId="179" fillId="0" borderId="64" xfId="2516" applyFont="1" applyBorder="1"/>
    <xf numFmtId="0" fontId="175" fillId="12" borderId="0" xfId="2515" applyFont="1" applyFill="1" applyAlignment="1">
      <alignment horizontal="right"/>
    </xf>
    <xf numFmtId="0" fontId="174" fillId="0" borderId="0" xfId="2515" applyFont="1" applyAlignment="1">
      <alignment horizontal="left"/>
    </xf>
    <xf numFmtId="0" fontId="175" fillId="0" borderId="0" xfId="2515" applyFont="1" applyAlignment="1">
      <alignment horizontal="center"/>
    </xf>
    <xf numFmtId="0" fontId="44" fillId="0" borderId="65" xfId="2515" applyFont="1" applyBorder="1" applyAlignment="1">
      <alignment horizontal="center"/>
    </xf>
    <xf numFmtId="1" fontId="43" fillId="12" borderId="0" xfId="45" applyNumberFormat="1" applyFont="1" applyFill="1" applyBorder="1" applyAlignment="1">
      <alignment horizontal="center"/>
    </xf>
    <xf numFmtId="3" fontId="43" fillId="0" borderId="0" xfId="45" applyNumberFormat="1" applyFont="1" applyFill="1" applyBorder="1" applyAlignment="1">
      <alignment horizontal="center"/>
    </xf>
    <xf numFmtId="9" fontId="43" fillId="0" borderId="65" xfId="384" applyFont="1" applyBorder="1" applyAlignment="1">
      <alignment horizontal="center"/>
    </xf>
    <xf numFmtId="0" fontId="44" fillId="12" borderId="0" xfId="2516" applyFont="1" applyFill="1"/>
    <xf numFmtId="1" fontId="44" fillId="12" borderId="0" xfId="45" applyNumberFormat="1" applyFont="1" applyFill="1" applyBorder="1" applyAlignment="1">
      <alignment horizontal="center"/>
    </xf>
    <xf numFmtId="0" fontId="175" fillId="12" borderId="0" xfId="1" applyFont="1" applyFill="1"/>
    <xf numFmtId="0" fontId="43" fillId="12" borderId="0" xfId="2516" applyFont="1" applyFill="1" applyAlignment="1">
      <alignment horizontal="right"/>
    </xf>
    <xf numFmtId="173" fontId="43" fillId="0" borderId="0" xfId="45" applyNumberFormat="1" applyFont="1" applyFill="1" applyBorder="1" applyAlignment="1">
      <alignment horizontal="center"/>
    </xf>
    <xf numFmtId="3" fontId="43" fillId="12" borderId="65" xfId="2516" applyNumberFormat="1" applyFont="1" applyFill="1" applyBorder="1" applyAlignment="1">
      <alignment horizontal="center"/>
    </xf>
    <xf numFmtId="0" fontId="43" fillId="0" borderId="0" xfId="45" applyNumberFormat="1" applyFont="1" applyFill="1" applyBorder="1" applyAlignment="1">
      <alignment horizontal="center"/>
    </xf>
    <xf numFmtId="0" fontId="43" fillId="0" borderId="65" xfId="2516" applyFont="1" applyBorder="1"/>
    <xf numFmtId="173" fontId="43" fillId="0" borderId="0" xfId="384" applyNumberFormat="1" applyFont="1" applyBorder="1" applyAlignment="1">
      <alignment horizontal="center"/>
    </xf>
    <xf numFmtId="0" fontId="180" fillId="12" borderId="0" xfId="1" applyFont="1" applyFill="1"/>
    <xf numFmtId="3" fontId="43" fillId="0" borderId="0" xfId="2516" applyNumberFormat="1" applyFont="1" applyAlignment="1">
      <alignment horizontal="center"/>
    </xf>
    <xf numFmtId="0" fontId="181" fillId="12" borderId="0" xfId="2516" applyFont="1" applyFill="1"/>
    <xf numFmtId="9" fontId="43" fillId="0" borderId="0" xfId="384" applyFont="1" applyBorder="1" applyAlignment="1">
      <alignment horizontal="center"/>
    </xf>
    <xf numFmtId="337" fontId="43" fillId="0" borderId="65" xfId="384" applyNumberFormat="1" applyFont="1" applyBorder="1" applyAlignment="1">
      <alignment horizontal="center"/>
    </xf>
    <xf numFmtId="337" fontId="43" fillId="0" borderId="65" xfId="2516" applyNumberFormat="1" applyFont="1" applyBorder="1" applyAlignment="1">
      <alignment horizontal="center"/>
    </xf>
    <xf numFmtId="0" fontId="43" fillId="0" borderId="66" xfId="2516" applyFont="1" applyBorder="1"/>
    <xf numFmtId="0" fontId="0" fillId="19" borderId="0" xfId="0" applyFill="1"/>
    <xf numFmtId="9" fontId="176" fillId="19" borderId="0" xfId="45" applyFont="1" applyFill="1" applyBorder="1" applyAlignment="1">
      <alignment horizontal="center"/>
    </xf>
    <xf numFmtId="173" fontId="43" fillId="19" borderId="0" xfId="2516" applyNumberFormat="1" applyFont="1" applyFill="1" applyAlignment="1">
      <alignment horizontal="right"/>
    </xf>
    <xf numFmtId="0" fontId="175" fillId="54" borderId="0" xfId="2515" applyFont="1" applyFill="1" applyAlignment="1">
      <alignment horizontal="center"/>
    </xf>
    <xf numFmtId="0" fontId="175" fillId="54" borderId="65" xfId="2515" applyFont="1" applyFill="1" applyBorder="1" applyAlignment="1">
      <alignment horizontal="center"/>
    </xf>
    <xf numFmtId="0" fontId="44" fillId="55" borderId="0" xfId="2516" applyFont="1" applyFill="1"/>
    <xf numFmtId="3" fontId="44" fillId="55" borderId="0" xfId="45" applyNumberFormat="1" applyFont="1" applyFill="1" applyBorder="1" applyAlignment="1">
      <alignment horizontal="center"/>
    </xf>
    <xf numFmtId="9" fontId="44" fillId="55" borderId="65" xfId="384" applyFont="1" applyFill="1" applyBorder="1" applyAlignment="1">
      <alignment horizontal="center"/>
    </xf>
    <xf numFmtId="3" fontId="44" fillId="55" borderId="0" xfId="2516" applyNumberFormat="1" applyFont="1" applyFill="1" applyAlignment="1">
      <alignment horizontal="center"/>
    </xf>
    <xf numFmtId="0" fontId="182" fillId="58" borderId="0" xfId="0" applyFont="1" applyFill="1" applyAlignment="1">
      <alignment horizontal="center" vertical="center"/>
    </xf>
    <xf numFmtId="0" fontId="43" fillId="19" borderId="0" xfId="2516" applyFont="1" applyFill="1" applyAlignment="1">
      <alignment horizontal="center" vertical="center"/>
    </xf>
    <xf numFmtId="0" fontId="183" fillId="0" borderId="0" xfId="2516" applyFont="1" applyAlignment="1">
      <alignment horizontal="centerContinuous"/>
    </xf>
    <xf numFmtId="173" fontId="168" fillId="0" borderId="0" xfId="2513" applyNumberFormat="1" applyFont="1"/>
    <xf numFmtId="0" fontId="169" fillId="0" borderId="33" xfId="2512" applyFont="1" applyBorder="1"/>
    <xf numFmtId="173" fontId="44" fillId="55" borderId="0" xfId="384" applyNumberFormat="1" applyFont="1" applyFill="1" applyBorder="1" applyAlignment="1">
      <alignment horizontal="center" vertical="center"/>
    </xf>
    <xf numFmtId="173" fontId="44" fillId="0" borderId="0" xfId="384" applyNumberFormat="1" applyFont="1" applyFill="1" applyBorder="1" applyAlignment="1">
      <alignment horizontal="center" vertical="center"/>
    </xf>
    <xf numFmtId="0" fontId="187" fillId="0" borderId="0" xfId="2516" applyFont="1"/>
    <xf numFmtId="0" fontId="170" fillId="60" borderId="60" xfId="0" applyFont="1" applyFill="1" applyBorder="1"/>
    <xf numFmtId="0" fontId="169" fillId="60" borderId="57" xfId="0" applyFont="1" applyFill="1" applyBorder="1" applyAlignment="1">
      <alignment horizontal="right"/>
    </xf>
    <xf numFmtId="0" fontId="169" fillId="60" borderId="10" xfId="0" applyFont="1" applyFill="1" applyBorder="1"/>
    <xf numFmtId="0" fontId="169" fillId="60" borderId="30" xfId="0" applyFont="1" applyFill="1" applyBorder="1" applyAlignment="1">
      <alignment horizontal="right"/>
    </xf>
    <xf numFmtId="0" fontId="173" fillId="0" borderId="0" xfId="0" applyFont="1" applyAlignment="1">
      <alignment vertical="center"/>
    </xf>
    <xf numFmtId="173" fontId="176" fillId="0" borderId="0" xfId="384" applyNumberFormat="1" applyFont="1" applyBorder="1" applyAlignment="1">
      <alignment horizontal="right" vertical="center"/>
    </xf>
    <xf numFmtId="173" fontId="176" fillId="0" borderId="0" xfId="384" applyNumberFormat="1" applyFont="1" applyBorder="1" applyAlignment="1">
      <alignment horizontal="left" vertical="center"/>
    </xf>
    <xf numFmtId="0" fontId="169" fillId="55" borderId="0" xfId="2512" applyFont="1" applyFill="1"/>
    <xf numFmtId="173" fontId="169" fillId="0" borderId="0" xfId="384" applyNumberFormat="1" applyFont="1" applyFill="1" applyBorder="1"/>
    <xf numFmtId="331" fontId="28" fillId="0" borderId="58" xfId="2512" applyNumberFormat="1" applyFont="1" applyBorder="1"/>
    <xf numFmtId="0" fontId="28" fillId="0" borderId="0" xfId="2512" applyFont="1"/>
    <xf numFmtId="3" fontId="28" fillId="0" borderId="0" xfId="2512" applyNumberFormat="1" applyFont="1"/>
    <xf numFmtId="0" fontId="1" fillId="0" borderId="0" xfId="2519"/>
    <xf numFmtId="0" fontId="188" fillId="0" borderId="0" xfId="2520" applyFont="1" applyAlignment="1">
      <alignment horizontal="left" vertical="center" indent="11"/>
    </xf>
    <xf numFmtId="0" fontId="104" fillId="12" borderId="0" xfId="2520" applyFont="1" applyFill="1" applyAlignment="1">
      <alignment vertical="center"/>
    </xf>
    <xf numFmtId="0" fontId="189" fillId="54" borderId="0" xfId="2520" applyFont="1" applyFill="1" applyAlignment="1">
      <alignment vertical="center"/>
    </xf>
    <xf numFmtId="0" fontId="190" fillId="54" borderId="0" xfId="2520" quotePrefix="1" applyFont="1" applyFill="1" applyAlignment="1">
      <alignment horizontal="left" vertical="center" indent="4"/>
    </xf>
    <xf numFmtId="0" fontId="190" fillId="54" borderId="0" xfId="2520" applyFont="1" applyFill="1" applyAlignment="1">
      <alignment horizontal="left" vertical="center" indent="2"/>
    </xf>
    <xf numFmtId="0" fontId="191" fillId="57" borderId="0" xfId="2519" applyFont="1" applyFill="1"/>
    <xf numFmtId="0" fontId="192" fillId="0" borderId="0" xfId="2520" applyFont="1" applyAlignment="1">
      <alignment vertical="center"/>
    </xf>
    <xf numFmtId="0" fontId="193" fillId="0" borderId="0" xfId="2520" quotePrefix="1" applyFont="1" applyAlignment="1">
      <alignment horizontal="left" vertical="center" indent="4"/>
    </xf>
    <xf numFmtId="14" fontId="193" fillId="0" borderId="0" xfId="2520" applyNumberFormat="1" applyFont="1" applyAlignment="1">
      <alignment horizontal="left" vertical="center" indent="2"/>
    </xf>
    <xf numFmtId="0" fontId="194" fillId="0" borderId="0" xfId="2519" applyFont="1"/>
    <xf numFmtId="0" fontId="189" fillId="54" borderId="0" xfId="2520" applyFont="1" applyFill="1" applyAlignment="1">
      <alignment horizontal="left" vertical="center" indent="4"/>
    </xf>
    <xf numFmtId="0" fontId="194" fillId="57" borderId="0" xfId="2519" applyFont="1" applyFill="1"/>
    <xf numFmtId="0" fontId="192" fillId="0" borderId="0" xfId="2520" applyFont="1" applyAlignment="1">
      <alignment horizontal="left" vertical="center" indent="4"/>
    </xf>
    <xf numFmtId="0" fontId="192" fillId="0" borderId="0" xfId="2520" quotePrefix="1" applyFont="1" applyAlignment="1">
      <alignment horizontal="left" vertical="center" indent="5"/>
    </xf>
    <xf numFmtId="0" fontId="192" fillId="0" borderId="0" xfId="2520" quotePrefix="1" applyFont="1" applyAlignment="1">
      <alignment vertical="center"/>
    </xf>
    <xf numFmtId="0" fontId="192" fillId="0" borderId="0" xfId="2520" quotePrefix="1" applyFont="1" applyAlignment="1">
      <alignment horizontal="left" vertical="center" indent="2"/>
    </xf>
    <xf numFmtId="0" fontId="103" fillId="54" borderId="0" xfId="0" applyFont="1" applyFill="1"/>
    <xf numFmtId="173" fontId="103" fillId="54" borderId="0" xfId="2511" applyNumberFormat="1" applyFont="1" applyFill="1" applyAlignment="1">
      <alignment horizontal="center"/>
    </xf>
    <xf numFmtId="10" fontId="103" fillId="54" borderId="0" xfId="2511" applyNumberFormat="1" applyFont="1" applyFill="1" applyAlignment="1">
      <alignment horizontal="center"/>
    </xf>
    <xf numFmtId="3" fontId="103" fillId="54" borderId="0" xfId="2511" quotePrefix="1" applyNumberFormat="1" applyFont="1" applyFill="1"/>
    <xf numFmtId="3" fontId="103" fillId="54" borderId="0" xfId="2511" applyNumberFormat="1" applyFont="1" applyFill="1"/>
    <xf numFmtId="176" fontId="169" fillId="0" borderId="0" xfId="0" applyNumberFormat="1" applyFont="1" applyAlignment="1">
      <alignment vertical="center"/>
    </xf>
    <xf numFmtId="338" fontId="168" fillId="0" borderId="0" xfId="0" applyNumberFormat="1" applyFont="1" applyAlignment="1">
      <alignment vertical="center"/>
    </xf>
    <xf numFmtId="0" fontId="168" fillId="0" borderId="0" xfId="0" applyFont="1" applyAlignment="1">
      <alignment vertical="center"/>
    </xf>
    <xf numFmtId="0" fontId="32" fillId="59" borderId="0" xfId="0" applyFont="1" applyFill="1" applyAlignment="1">
      <alignment horizontal="right" vertical="center"/>
    </xf>
    <xf numFmtId="0" fontId="32" fillId="18" borderId="0" xfId="0" applyFont="1" applyFill="1" applyAlignment="1">
      <alignment horizontal="right" vertical="center"/>
    </xf>
    <xf numFmtId="339" fontId="169" fillId="0" borderId="0" xfId="0" applyNumberFormat="1" applyFont="1" applyAlignment="1">
      <alignment vertical="center"/>
    </xf>
    <xf numFmtId="176" fontId="168" fillId="0" borderId="0" xfId="0" applyNumberFormat="1" applyFont="1" applyAlignment="1">
      <alignment vertical="center"/>
    </xf>
    <xf numFmtId="9" fontId="200" fillId="0" borderId="0" xfId="384" applyFont="1" applyFill="1" applyBorder="1" applyAlignment="1">
      <alignment vertical="center"/>
    </xf>
    <xf numFmtId="176" fontId="200" fillId="0" borderId="0" xfId="0" applyNumberFormat="1" applyFont="1" applyAlignment="1">
      <alignment vertical="center"/>
    </xf>
    <xf numFmtId="9" fontId="171" fillId="60" borderId="0" xfId="384" applyFont="1" applyFill="1" applyBorder="1" applyAlignment="1">
      <alignment vertical="center"/>
    </xf>
    <xf numFmtId="9" fontId="171" fillId="0" borderId="0" xfId="384" applyFont="1" applyFill="1" applyBorder="1" applyAlignment="1">
      <alignment vertical="center"/>
    </xf>
    <xf numFmtId="176" fontId="171" fillId="0" borderId="0" xfId="0" applyNumberFormat="1" applyFont="1" applyAlignment="1">
      <alignment vertical="center"/>
    </xf>
    <xf numFmtId="176" fontId="202" fillId="60" borderId="0" xfId="0" applyNumberFormat="1" applyFont="1" applyFill="1" applyAlignment="1">
      <alignment vertical="center"/>
    </xf>
    <xf numFmtId="0" fontId="168" fillId="0" borderId="0" xfId="0" applyFont="1"/>
    <xf numFmtId="0" fontId="32" fillId="12" borderId="0" xfId="1" applyFont="1" applyFill="1"/>
    <xf numFmtId="0" fontId="32" fillId="57" borderId="0" xfId="0" applyFont="1" applyFill="1" applyAlignment="1">
      <alignment horizontal="right" vertical="center"/>
    </xf>
    <xf numFmtId="176" fontId="204" fillId="0" borderId="0" xfId="0" applyNumberFormat="1" applyFont="1" applyAlignment="1">
      <alignment vertical="center"/>
    </xf>
    <xf numFmtId="9" fontId="204" fillId="0" borderId="0" xfId="384" applyFont="1" applyFill="1" applyBorder="1" applyAlignment="1">
      <alignment vertical="center"/>
    </xf>
    <xf numFmtId="176" fontId="205" fillId="61" borderId="0" xfId="0" applyNumberFormat="1" applyFont="1" applyFill="1" applyAlignment="1">
      <alignment vertical="center"/>
    </xf>
    <xf numFmtId="9" fontId="205" fillId="61" borderId="0" xfId="384" applyFont="1" applyFill="1" applyBorder="1" applyAlignment="1">
      <alignment vertical="center"/>
    </xf>
    <xf numFmtId="9" fontId="168" fillId="0" borderId="0" xfId="384" applyFont="1" applyFill="1" applyBorder="1" applyAlignment="1">
      <alignment vertical="center"/>
    </xf>
    <xf numFmtId="188" fontId="200" fillId="0" borderId="0" xfId="0" applyNumberFormat="1" applyFont="1" applyAlignment="1">
      <alignment vertical="center"/>
    </xf>
    <xf numFmtId="9" fontId="168" fillId="60" borderId="0" xfId="384" applyFont="1" applyFill="1" applyBorder="1" applyAlignment="1">
      <alignment vertical="center"/>
    </xf>
    <xf numFmtId="173" fontId="200" fillId="0" borderId="0" xfId="384" applyNumberFormat="1" applyFont="1" applyFill="1" applyBorder="1" applyAlignment="1">
      <alignment vertical="center"/>
    </xf>
    <xf numFmtId="341" fontId="200" fillId="0" borderId="0" xfId="0" applyNumberFormat="1" applyFont="1" applyAlignment="1">
      <alignment vertical="center"/>
    </xf>
    <xf numFmtId="173" fontId="171" fillId="0" borderId="0" xfId="384" applyNumberFormat="1" applyFont="1" applyFill="1" applyBorder="1" applyAlignment="1">
      <alignment vertical="center"/>
    </xf>
    <xf numFmtId="173" fontId="168" fillId="0" borderId="0" xfId="384" applyNumberFormat="1" applyFont="1" applyFill="1" applyBorder="1" applyAlignment="1">
      <alignment vertical="center"/>
    </xf>
    <xf numFmtId="3" fontId="171" fillId="0" borderId="0" xfId="1" applyNumberFormat="1" applyFont="1"/>
    <xf numFmtId="176" fontId="168" fillId="60" borderId="0" xfId="0" applyNumberFormat="1" applyFont="1" applyFill="1" applyAlignment="1">
      <alignment vertical="center"/>
    </xf>
    <xf numFmtId="176" fontId="172" fillId="0" borderId="0" xfId="0" applyNumberFormat="1" applyFont="1" applyAlignment="1">
      <alignment vertical="center"/>
    </xf>
    <xf numFmtId="176" fontId="170" fillId="0" borderId="0" xfId="0" applyNumberFormat="1" applyFont="1" applyAlignment="1">
      <alignment vertical="center"/>
    </xf>
    <xf numFmtId="176" fontId="198" fillId="0" borderId="0" xfId="0" applyNumberFormat="1" applyFont="1" applyAlignment="1">
      <alignment vertical="center"/>
    </xf>
    <xf numFmtId="340" fontId="200" fillId="0" borderId="0" xfId="0" applyNumberFormat="1" applyFont="1" applyAlignment="1">
      <alignment vertical="center"/>
    </xf>
    <xf numFmtId="172" fontId="168" fillId="0" borderId="0" xfId="0" applyNumberFormat="1" applyFont="1"/>
    <xf numFmtId="0" fontId="44" fillId="64" borderId="0" xfId="2516" applyFont="1" applyFill="1" applyAlignment="1">
      <alignment horizontal="centerContinuous" vertical="center"/>
    </xf>
    <xf numFmtId="0" fontId="43" fillId="64" borderId="0" xfId="2516" applyFont="1" applyFill="1" applyAlignment="1">
      <alignment horizontal="centerContinuous"/>
    </xf>
    <xf numFmtId="0" fontId="44" fillId="65" borderId="0" xfId="2516" applyFont="1" applyFill="1" applyAlignment="1">
      <alignment horizontal="centerContinuous" vertical="center"/>
    </xf>
    <xf numFmtId="0" fontId="44" fillId="63" borderId="0" xfId="2516" applyFont="1" applyFill="1" applyAlignment="1">
      <alignment horizontal="centerContinuous" vertical="center"/>
    </xf>
    <xf numFmtId="14" fontId="178" fillId="56" borderId="63" xfId="2517" applyNumberFormat="1" applyFont="1" applyFill="1" applyBorder="1" applyAlignment="1">
      <alignment horizontal="left"/>
    </xf>
    <xf numFmtId="336" fontId="184" fillId="56" borderId="29" xfId="2517" applyNumberFormat="1" applyFont="1" applyFill="1" applyBorder="1" applyAlignment="1">
      <alignment horizontal="left"/>
    </xf>
    <xf numFmtId="173" fontId="43" fillId="0" borderId="0" xfId="384" applyNumberFormat="1" applyFont="1" applyFill="1" applyBorder="1" applyAlignment="1">
      <alignment horizontal="center"/>
    </xf>
    <xf numFmtId="3" fontId="44" fillId="0" borderId="0" xfId="2516" applyNumberFormat="1" applyFont="1" applyAlignment="1">
      <alignment horizontal="center"/>
    </xf>
    <xf numFmtId="0" fontId="44" fillId="66" borderId="0" xfId="2516" applyFont="1" applyFill="1" applyAlignment="1">
      <alignment horizontal="centerContinuous" vertical="center"/>
    </xf>
    <xf numFmtId="0" fontId="175" fillId="66" borderId="0" xfId="2516" applyFont="1" applyFill="1" applyAlignment="1">
      <alignment horizontal="centerContinuous" vertical="center"/>
    </xf>
    <xf numFmtId="0" fontId="44" fillId="0" borderId="0" xfId="2516" applyFont="1"/>
    <xf numFmtId="173" fontId="44" fillId="55" borderId="0" xfId="384" applyNumberFormat="1" applyFont="1" applyFill="1" applyBorder="1" applyAlignment="1">
      <alignment horizontal="center"/>
    </xf>
    <xf numFmtId="337" fontId="44" fillId="55" borderId="65" xfId="2516" applyNumberFormat="1" applyFont="1" applyFill="1" applyBorder="1" applyAlignment="1">
      <alignment horizontal="center"/>
    </xf>
    <xf numFmtId="0" fontId="206" fillId="0" borderId="0" xfId="2516" applyFont="1" applyAlignment="1">
      <alignment horizontal="right"/>
    </xf>
    <xf numFmtId="0" fontId="181" fillId="0" borderId="0" xfId="2516" applyFont="1"/>
    <xf numFmtId="1" fontId="200" fillId="0" borderId="0" xfId="0" applyNumberFormat="1" applyFont="1" applyAlignment="1">
      <alignment vertical="center"/>
    </xf>
    <xf numFmtId="1" fontId="200" fillId="0" borderId="0" xfId="384" applyNumberFormat="1" applyFont="1" applyFill="1" applyBorder="1" applyAlignment="1">
      <alignment vertical="center"/>
    </xf>
    <xf numFmtId="188" fontId="171" fillId="0" borderId="0" xfId="0" applyNumberFormat="1" applyFont="1" applyAlignment="1">
      <alignment vertical="center"/>
    </xf>
    <xf numFmtId="176" fontId="205" fillId="0" borderId="0" xfId="0" applyNumberFormat="1" applyFont="1" applyAlignment="1">
      <alignment vertical="center"/>
    </xf>
    <xf numFmtId="176" fontId="201" fillId="0" borderId="0" xfId="0" applyNumberFormat="1" applyFont="1" applyAlignment="1">
      <alignment vertical="center"/>
    </xf>
    <xf numFmtId="9" fontId="205" fillId="0" borderId="0" xfId="384" applyFont="1" applyFill="1" applyBorder="1" applyAlignment="1">
      <alignment vertical="center"/>
    </xf>
    <xf numFmtId="173" fontId="204" fillId="0" borderId="0" xfId="384" applyNumberFormat="1" applyFont="1" applyFill="1" applyBorder="1" applyAlignment="1">
      <alignment vertical="center"/>
    </xf>
    <xf numFmtId="3" fontId="168" fillId="0" borderId="0" xfId="0" applyNumberFormat="1" applyFont="1"/>
    <xf numFmtId="3" fontId="171" fillId="0" borderId="0" xfId="0" applyNumberFormat="1" applyFont="1"/>
    <xf numFmtId="0" fontId="168" fillId="0" borderId="0" xfId="0" applyFont="1" applyAlignment="1">
      <alignment horizontal="left" indent="1"/>
    </xf>
    <xf numFmtId="9" fontId="168" fillId="0" borderId="0" xfId="0" applyNumberFormat="1" applyFont="1"/>
    <xf numFmtId="0" fontId="168" fillId="12" borderId="0" xfId="0" applyFont="1" applyFill="1"/>
    <xf numFmtId="9" fontId="171" fillId="12" borderId="0" xfId="0" applyNumberFormat="1" applyFont="1" applyFill="1"/>
    <xf numFmtId="9" fontId="171" fillId="0" borderId="0" xfId="0" applyNumberFormat="1" applyFont="1"/>
    <xf numFmtId="0" fontId="168" fillId="12" borderId="0" xfId="0" applyFont="1" applyFill="1" applyAlignment="1">
      <alignment horizontal="left"/>
    </xf>
    <xf numFmtId="0" fontId="168" fillId="12" borderId="0" xfId="0" applyFont="1" applyFill="1" applyAlignment="1">
      <alignment horizontal="left" indent="1"/>
    </xf>
    <xf numFmtId="3" fontId="171" fillId="12" borderId="0" xfId="0" applyNumberFormat="1" applyFont="1" applyFill="1"/>
    <xf numFmtId="0" fontId="171" fillId="12" borderId="0" xfId="0" applyFont="1" applyFill="1"/>
    <xf numFmtId="3" fontId="169" fillId="0" borderId="0" xfId="0" applyNumberFormat="1" applyFont="1"/>
    <xf numFmtId="0" fontId="170" fillId="0" borderId="0" xfId="0" applyFont="1"/>
    <xf numFmtId="3" fontId="170" fillId="0" borderId="0" xfId="0" applyNumberFormat="1" applyFont="1"/>
    <xf numFmtId="9" fontId="168" fillId="12" borderId="0" xfId="0" applyNumberFormat="1" applyFont="1" applyFill="1"/>
    <xf numFmtId="172" fontId="169" fillId="0" borderId="0" xfId="0" applyNumberFormat="1" applyFont="1"/>
    <xf numFmtId="0" fontId="28" fillId="0" borderId="0" xfId="1" applyFont="1" applyAlignment="1">
      <alignment horizontal="left" indent="2"/>
    </xf>
    <xf numFmtId="0" fontId="32" fillId="0" borderId="0" xfId="1" applyFont="1" applyAlignment="1">
      <alignment horizontal="left"/>
    </xf>
    <xf numFmtId="3" fontId="170" fillId="0" borderId="0" xfId="1" applyNumberFormat="1" applyFont="1"/>
    <xf numFmtId="3" fontId="32" fillId="0" borderId="0" xfId="1" applyNumberFormat="1" applyFont="1"/>
    <xf numFmtId="0" fontId="197" fillId="54" borderId="0" xfId="1" applyFont="1" applyFill="1"/>
    <xf numFmtId="0" fontId="28" fillId="54" borderId="0" xfId="1" applyFont="1" applyFill="1"/>
    <xf numFmtId="180" fontId="28" fillId="12" borderId="0" xfId="1" applyNumberFormat="1" applyFont="1" applyFill="1"/>
    <xf numFmtId="173" fontId="28" fillId="12" borderId="0" xfId="1" applyNumberFormat="1" applyFont="1" applyFill="1"/>
    <xf numFmtId="3" fontId="28" fillId="12" borderId="0" xfId="1" applyNumberFormat="1" applyFont="1" applyFill="1"/>
    <xf numFmtId="3" fontId="32" fillId="12" borderId="0" xfId="1" applyNumberFormat="1" applyFont="1" applyFill="1"/>
    <xf numFmtId="0" fontId="28" fillId="12" borderId="0" xfId="1" applyFont="1" applyFill="1" applyAlignment="1">
      <alignment horizontal="left" indent="1"/>
    </xf>
    <xf numFmtId="0" fontId="171" fillId="12" borderId="0" xfId="1" applyFont="1" applyFill="1"/>
    <xf numFmtId="3" fontId="171" fillId="12" borderId="0" xfId="1" applyNumberFormat="1" applyFont="1" applyFill="1"/>
    <xf numFmtId="188" fontId="168" fillId="0" borderId="0" xfId="0" applyNumberFormat="1" applyFont="1" applyAlignment="1">
      <alignment vertical="center"/>
    </xf>
    <xf numFmtId="0" fontId="32" fillId="0" borderId="0" xfId="1" applyFont="1"/>
    <xf numFmtId="1" fontId="28" fillId="12" borderId="0" xfId="1" applyNumberFormat="1" applyFont="1" applyFill="1"/>
    <xf numFmtId="1" fontId="171" fillId="0" borderId="0" xfId="1" applyNumberFormat="1" applyFont="1"/>
    <xf numFmtId="0" fontId="171" fillId="0" borderId="0" xfId="0" applyFont="1"/>
    <xf numFmtId="0" fontId="197" fillId="54" borderId="0" xfId="0" applyFont="1" applyFill="1" applyAlignment="1">
      <alignment vertical="center"/>
    </xf>
    <xf numFmtId="0" fontId="32" fillId="19" borderId="0" xfId="0" applyFont="1" applyFill="1" applyAlignment="1">
      <alignment vertical="center"/>
    </xf>
    <xf numFmtId="338" fontId="32" fillId="19" borderId="0" xfId="0" applyNumberFormat="1" applyFont="1" applyFill="1" applyAlignment="1">
      <alignment vertical="center"/>
    </xf>
    <xf numFmtId="176" fontId="32" fillId="19" borderId="0" xfId="0" applyNumberFormat="1" applyFont="1" applyFill="1" applyAlignment="1">
      <alignment vertical="center"/>
    </xf>
    <xf numFmtId="340" fontId="168" fillId="0" borderId="0" xfId="0" applyNumberFormat="1" applyFont="1" applyAlignment="1">
      <alignment vertical="center"/>
    </xf>
    <xf numFmtId="340" fontId="171" fillId="0" borderId="0" xfId="0" applyNumberFormat="1" applyFont="1" applyAlignment="1">
      <alignment vertical="center"/>
    </xf>
    <xf numFmtId="9" fontId="168" fillId="0" borderId="0" xfId="384" applyFont="1" applyBorder="1" applyAlignment="1">
      <alignment vertical="center"/>
    </xf>
    <xf numFmtId="9" fontId="171" fillId="0" borderId="0" xfId="384" applyFont="1" applyBorder="1" applyAlignment="1">
      <alignment vertical="center"/>
    </xf>
    <xf numFmtId="340" fontId="169" fillId="0" borderId="0" xfId="0" applyNumberFormat="1" applyFont="1" applyAlignment="1">
      <alignment vertical="center"/>
    </xf>
    <xf numFmtId="3" fontId="168" fillId="0" borderId="0" xfId="0" applyNumberFormat="1" applyFont="1" applyAlignment="1">
      <alignment vertical="center"/>
    </xf>
    <xf numFmtId="3" fontId="168" fillId="12" borderId="0" xfId="0" applyNumberFormat="1" applyFont="1" applyFill="1"/>
    <xf numFmtId="3" fontId="168" fillId="60" borderId="0" xfId="0" applyNumberFormat="1" applyFont="1" applyFill="1"/>
    <xf numFmtId="9" fontId="168" fillId="12" borderId="0" xfId="384" applyFont="1" applyFill="1" applyBorder="1"/>
    <xf numFmtId="173" fontId="168" fillId="12" borderId="0" xfId="384" applyNumberFormat="1" applyFont="1" applyFill="1" applyBorder="1"/>
    <xf numFmtId="173" fontId="168" fillId="60" borderId="0" xfId="384" applyNumberFormat="1" applyFont="1" applyFill="1" applyBorder="1"/>
    <xf numFmtId="187" fontId="32" fillId="0" borderId="0" xfId="383" applyNumberFormat="1" applyFont="1" applyFill="1" applyBorder="1" applyAlignment="1">
      <alignment horizontal="left"/>
    </xf>
    <xf numFmtId="3" fontId="28" fillId="60" borderId="0" xfId="1" applyNumberFormat="1" applyFont="1" applyFill="1"/>
    <xf numFmtId="180" fontId="28" fillId="60" borderId="0" xfId="1" applyNumberFormat="1" applyFont="1" applyFill="1"/>
    <xf numFmtId="173" fontId="28" fillId="60" borderId="0" xfId="1" applyNumberFormat="1" applyFont="1" applyFill="1"/>
    <xf numFmtId="0" fontId="169" fillId="12" borderId="0" xfId="0" applyFont="1" applyFill="1"/>
    <xf numFmtId="340" fontId="168" fillId="60" borderId="0" xfId="0" applyNumberFormat="1" applyFont="1" applyFill="1" applyAlignment="1">
      <alignment vertical="center"/>
    </xf>
    <xf numFmtId="9" fontId="168" fillId="0" borderId="0" xfId="384" applyFont="1" applyBorder="1"/>
    <xf numFmtId="9" fontId="169" fillId="0" borderId="0" xfId="384" applyFont="1" applyBorder="1"/>
    <xf numFmtId="3" fontId="171" fillId="0" borderId="0" xfId="0" applyNumberFormat="1" applyFont="1" applyAlignment="1">
      <alignment vertical="center"/>
    </xf>
    <xf numFmtId="176" fontId="168" fillId="0" borderId="0" xfId="0" applyNumberFormat="1" applyFont="1"/>
    <xf numFmtId="3" fontId="169" fillId="0" borderId="0" xfId="0" applyNumberFormat="1" applyFont="1" applyAlignment="1">
      <alignment vertical="center"/>
    </xf>
    <xf numFmtId="173" fontId="168" fillId="0" borderId="0" xfId="384" applyNumberFormat="1" applyFont="1" applyBorder="1"/>
    <xf numFmtId="173" fontId="169" fillId="0" borderId="0" xfId="384" applyNumberFormat="1" applyFont="1" applyBorder="1"/>
    <xf numFmtId="2" fontId="168" fillId="0" borderId="0" xfId="0" applyNumberFormat="1" applyFont="1"/>
    <xf numFmtId="0" fontId="33" fillId="12" borderId="0" xfId="1" applyFont="1" applyFill="1" applyAlignment="1">
      <alignment horizontal="left" indent="1"/>
    </xf>
    <xf numFmtId="192" fontId="28" fillId="12" borderId="0" xfId="1" applyNumberFormat="1" applyFont="1" applyFill="1"/>
    <xf numFmtId="180" fontId="171" fillId="12" borderId="0" xfId="1" applyNumberFormat="1" applyFont="1" applyFill="1"/>
    <xf numFmtId="4" fontId="28" fillId="12" borderId="0" xfId="1" applyNumberFormat="1" applyFont="1" applyFill="1"/>
    <xf numFmtId="2" fontId="28" fillId="12" borderId="0" xfId="1" applyNumberFormat="1" applyFont="1" applyFill="1"/>
    <xf numFmtId="4" fontId="171" fillId="12" borderId="0" xfId="1" applyNumberFormat="1" applyFont="1" applyFill="1"/>
    <xf numFmtId="9" fontId="28" fillId="0" borderId="0" xfId="1" applyNumberFormat="1" applyFont="1"/>
    <xf numFmtId="172" fontId="171" fillId="12" borderId="0" xfId="1" applyNumberFormat="1" applyFont="1" applyFill="1"/>
    <xf numFmtId="1" fontId="28" fillId="0" borderId="0" xfId="1" applyNumberFormat="1" applyFont="1"/>
    <xf numFmtId="0" fontId="28" fillId="0" borderId="0" xfId="1" applyFont="1" applyAlignment="1">
      <alignment horizontal="left" indent="1"/>
    </xf>
    <xf numFmtId="1" fontId="171" fillId="12" borderId="0" xfId="1" applyNumberFormat="1" applyFont="1" applyFill="1"/>
    <xf numFmtId="1" fontId="28" fillId="60" borderId="0" xfId="1" applyNumberFormat="1" applyFont="1" applyFill="1"/>
    <xf numFmtId="180" fontId="28" fillId="0" borderId="0" xfId="1" applyNumberFormat="1" applyFont="1"/>
    <xf numFmtId="9" fontId="28" fillId="12" borderId="0" xfId="384" applyFont="1" applyFill="1" applyBorder="1"/>
    <xf numFmtId="0" fontId="171" fillId="0" borderId="0" xfId="1" applyFont="1"/>
    <xf numFmtId="4" fontId="28" fillId="0" borderId="0" xfId="1" applyNumberFormat="1" applyFont="1"/>
    <xf numFmtId="190" fontId="28" fillId="12" borderId="0" xfId="1" applyNumberFormat="1" applyFont="1" applyFill="1"/>
    <xf numFmtId="0" fontId="28" fillId="12" borderId="0" xfId="1" applyFont="1" applyFill="1" applyAlignment="1">
      <alignment horizontal="left" indent="2"/>
    </xf>
    <xf numFmtId="1" fontId="168" fillId="0" borderId="0" xfId="0" applyNumberFormat="1" applyFont="1"/>
    <xf numFmtId="176" fontId="171" fillId="0" borderId="0" xfId="0" applyNumberFormat="1" applyFont="1"/>
    <xf numFmtId="1" fontId="169" fillId="0" borderId="0" xfId="0" applyNumberFormat="1" applyFont="1"/>
    <xf numFmtId="0" fontId="28" fillId="12" borderId="0" xfId="1" applyFont="1" applyFill="1" applyAlignment="1">
      <alignment horizontal="left"/>
    </xf>
    <xf numFmtId="172" fontId="171" fillId="0" borderId="0" xfId="0" applyNumberFormat="1" applyFont="1"/>
    <xf numFmtId="173" fontId="28" fillId="12" borderId="0" xfId="384" applyNumberFormat="1" applyFont="1" applyFill="1" applyBorder="1"/>
    <xf numFmtId="176" fontId="170" fillId="0" borderId="0" xfId="0" applyNumberFormat="1" applyFont="1"/>
    <xf numFmtId="176" fontId="169" fillId="0" borderId="0" xfId="0" applyNumberFormat="1" applyFont="1"/>
    <xf numFmtId="0" fontId="199" fillId="0" borderId="0" xfId="0" applyFont="1"/>
    <xf numFmtId="9" fontId="32" fillId="19" borderId="0" xfId="384" applyFont="1" applyFill="1" applyBorder="1" applyAlignment="1">
      <alignment vertical="center"/>
    </xf>
    <xf numFmtId="176" fontId="196" fillId="0" borderId="0" xfId="0" applyNumberFormat="1" applyFont="1" applyAlignment="1">
      <alignment vertical="center"/>
    </xf>
    <xf numFmtId="341" fontId="168" fillId="60" borderId="0" xfId="0" applyNumberFormat="1" applyFont="1" applyFill="1" applyAlignment="1">
      <alignment vertical="center"/>
    </xf>
    <xf numFmtId="341" fontId="169" fillId="0" borderId="0" xfId="0" applyNumberFormat="1" applyFont="1" applyAlignment="1">
      <alignment vertical="center"/>
    </xf>
    <xf numFmtId="341" fontId="168" fillId="0" borderId="0" xfId="0" applyNumberFormat="1" applyFont="1" applyAlignment="1">
      <alignment vertical="center"/>
    </xf>
    <xf numFmtId="0" fontId="207" fillId="0" borderId="0" xfId="0" applyFont="1"/>
    <xf numFmtId="193" fontId="32" fillId="19" borderId="0" xfId="0" applyNumberFormat="1" applyFont="1" applyFill="1" applyAlignment="1">
      <alignment vertical="center"/>
    </xf>
    <xf numFmtId="0" fontId="32" fillId="61" borderId="0" xfId="1" applyFont="1" applyFill="1" applyAlignment="1">
      <alignment horizontal="left"/>
    </xf>
    <xf numFmtId="333" fontId="168" fillId="0" borderId="0" xfId="0" applyNumberFormat="1" applyFont="1"/>
    <xf numFmtId="329" fontId="168" fillId="18" borderId="0" xfId="0" applyNumberFormat="1" applyFont="1" applyFill="1" applyAlignment="1">
      <alignment horizontal="center"/>
    </xf>
    <xf numFmtId="0" fontId="199" fillId="12" borderId="0" xfId="0" applyFont="1" applyFill="1" applyAlignment="1">
      <alignment horizontal="left" indent="1"/>
    </xf>
    <xf numFmtId="0" fontId="199" fillId="12" borderId="0" xfId="0" applyFont="1" applyFill="1"/>
    <xf numFmtId="173" fontId="199" fillId="12" borderId="0" xfId="384" applyNumberFormat="1" applyFont="1" applyFill="1" applyBorder="1"/>
    <xf numFmtId="10" fontId="198" fillId="12" borderId="0" xfId="0" applyNumberFormat="1" applyFont="1" applyFill="1"/>
    <xf numFmtId="173" fontId="198" fillId="12" borderId="0" xfId="384" applyNumberFormat="1" applyFont="1" applyFill="1" applyBorder="1"/>
    <xf numFmtId="10" fontId="171" fillId="12" borderId="0" xfId="0" applyNumberFormat="1" applyFont="1" applyFill="1"/>
    <xf numFmtId="173" fontId="171" fillId="12" borderId="0" xfId="384" applyNumberFormat="1" applyFont="1" applyFill="1" applyBorder="1"/>
    <xf numFmtId="0" fontId="169" fillId="61" borderId="0" xfId="0" applyFont="1" applyFill="1"/>
    <xf numFmtId="0" fontId="168" fillId="61" borderId="0" xfId="0" applyFont="1" applyFill="1"/>
    <xf numFmtId="0" fontId="168" fillId="0" borderId="0" xfId="0" applyFont="1" applyAlignment="1">
      <alignment horizontal="left"/>
    </xf>
    <xf numFmtId="9" fontId="171" fillId="0" borderId="0" xfId="384" applyFont="1" applyBorder="1"/>
    <xf numFmtId="0" fontId="168" fillId="0" borderId="0" xfId="0" applyFont="1" applyAlignment="1">
      <alignment horizontal="right"/>
    </xf>
    <xf numFmtId="1" fontId="168" fillId="0" borderId="0" xfId="0" applyNumberFormat="1" applyFont="1" applyAlignment="1">
      <alignment horizontal="right"/>
    </xf>
    <xf numFmtId="1" fontId="168" fillId="12" borderId="0" xfId="0" applyNumberFormat="1" applyFont="1" applyFill="1"/>
    <xf numFmtId="0" fontId="168" fillId="12" borderId="0" xfId="0" applyFont="1" applyFill="1" applyAlignment="1">
      <alignment horizontal="left" indent="2"/>
    </xf>
    <xf numFmtId="173" fontId="168" fillId="12" borderId="0" xfId="0" applyNumberFormat="1" applyFont="1" applyFill="1"/>
    <xf numFmtId="173" fontId="199" fillId="12" borderId="0" xfId="0" applyNumberFormat="1" applyFont="1" applyFill="1"/>
    <xf numFmtId="9" fontId="168" fillId="12" borderId="0" xfId="384" applyFont="1" applyFill="1" applyBorder="1" applyAlignment="1">
      <alignment horizontal="right"/>
    </xf>
    <xf numFmtId="9" fontId="171" fillId="0" borderId="0" xfId="384" applyFont="1" applyFill="1" applyBorder="1" applyAlignment="1">
      <alignment horizontal="right"/>
    </xf>
    <xf numFmtId="9" fontId="171" fillId="12" borderId="0" xfId="384" applyFont="1" applyFill="1" applyBorder="1" applyAlignment="1">
      <alignment horizontal="right"/>
    </xf>
    <xf numFmtId="1" fontId="168" fillId="12" borderId="0" xfId="0" applyNumberFormat="1" applyFont="1" applyFill="1" applyAlignment="1">
      <alignment horizontal="left" indent="1"/>
    </xf>
    <xf numFmtId="9" fontId="171" fillId="12" borderId="0" xfId="384" applyFont="1" applyFill="1" applyBorder="1"/>
    <xf numFmtId="9" fontId="171" fillId="0" borderId="0" xfId="384" applyFont="1" applyFill="1" applyBorder="1"/>
    <xf numFmtId="9" fontId="199" fillId="12" borderId="0" xfId="0" applyNumberFormat="1" applyFont="1" applyFill="1"/>
    <xf numFmtId="9" fontId="199" fillId="0" borderId="0" xfId="0" applyNumberFormat="1" applyFont="1"/>
    <xf numFmtId="0" fontId="199" fillId="12" borderId="0" xfId="0" applyFont="1" applyFill="1" applyAlignment="1">
      <alignment horizontal="left"/>
    </xf>
    <xf numFmtId="1" fontId="171" fillId="0" borderId="0" xfId="0" applyNumberFormat="1" applyFont="1"/>
    <xf numFmtId="0" fontId="168" fillId="33" borderId="0" xfId="0" applyFont="1" applyFill="1"/>
    <xf numFmtId="9" fontId="198" fillId="0" borderId="0" xfId="0" applyNumberFormat="1" applyFont="1"/>
    <xf numFmtId="173" fontId="199" fillId="0" borderId="0" xfId="0" applyNumberFormat="1" applyFont="1"/>
    <xf numFmtId="172" fontId="168" fillId="12" borderId="0" xfId="0" applyNumberFormat="1" applyFont="1" applyFill="1"/>
    <xf numFmtId="1" fontId="199" fillId="0" borderId="0" xfId="0" applyNumberFormat="1" applyFont="1"/>
    <xf numFmtId="9" fontId="168" fillId="0" borderId="0" xfId="384" applyFont="1" applyFill="1" applyBorder="1"/>
    <xf numFmtId="176" fontId="169" fillId="60" borderId="0" xfId="0" applyNumberFormat="1" applyFont="1" applyFill="1" applyAlignment="1">
      <alignment vertical="center"/>
    </xf>
    <xf numFmtId="176" fontId="168" fillId="60" borderId="0" xfId="0" applyNumberFormat="1" applyFont="1" applyFill="1"/>
    <xf numFmtId="3" fontId="169" fillId="60" borderId="0" xfId="0" applyNumberFormat="1" applyFont="1" applyFill="1"/>
    <xf numFmtId="9" fontId="204" fillId="60" borderId="0" xfId="384" applyFont="1" applyFill="1" applyBorder="1" applyAlignment="1">
      <alignment vertical="center"/>
    </xf>
    <xf numFmtId="0" fontId="197" fillId="67" borderId="0" xfId="0" applyFont="1" applyFill="1"/>
    <xf numFmtId="332" fontId="171" fillId="67" borderId="0" xfId="0" applyNumberFormat="1" applyFont="1" applyFill="1" applyAlignment="1">
      <alignment horizontal="center"/>
    </xf>
    <xf numFmtId="0" fontId="197" fillId="67" borderId="0" xfId="0" applyFont="1" applyFill="1" applyAlignment="1">
      <alignment vertical="center"/>
    </xf>
    <xf numFmtId="173" fontId="28" fillId="0" borderId="0" xfId="1" applyNumberFormat="1" applyFont="1"/>
    <xf numFmtId="192" fontId="28" fillId="0" borderId="0" xfId="1" applyNumberFormat="1" applyFont="1"/>
    <xf numFmtId="180" fontId="171" fillId="0" borderId="0" xfId="1" applyNumberFormat="1" applyFont="1"/>
    <xf numFmtId="191" fontId="28" fillId="0" borderId="0" xfId="1" applyNumberFormat="1" applyFont="1"/>
    <xf numFmtId="3" fontId="171" fillId="0" borderId="0" xfId="0" applyNumberFormat="1" applyFont="1" applyAlignment="1">
      <alignment horizontal="center"/>
    </xf>
    <xf numFmtId="0" fontId="171" fillId="67" borderId="0" xfId="0" applyFont="1" applyFill="1" applyAlignment="1">
      <alignment horizontal="center"/>
    </xf>
    <xf numFmtId="0" fontId="203" fillId="67" borderId="0" xfId="0" applyFont="1" applyFill="1" applyAlignment="1">
      <alignment horizontal="center"/>
    </xf>
    <xf numFmtId="332" fontId="203" fillId="67" borderId="0" xfId="0" applyNumberFormat="1" applyFont="1" applyFill="1" applyAlignment="1">
      <alignment horizontal="center"/>
    </xf>
    <xf numFmtId="0" fontId="32" fillId="67" borderId="0" xfId="0" applyFont="1" applyFill="1" applyAlignment="1">
      <alignment horizontal="right" vertical="center"/>
    </xf>
    <xf numFmtId="342" fontId="171" fillId="0" borderId="0" xfId="0" applyNumberFormat="1" applyFont="1" applyAlignment="1">
      <alignment vertical="center"/>
    </xf>
    <xf numFmtId="340" fontId="202" fillId="0" borderId="0" xfId="0" applyNumberFormat="1" applyFont="1" applyAlignment="1">
      <alignment vertical="center"/>
    </xf>
    <xf numFmtId="9" fontId="170" fillId="0" borderId="0" xfId="384" applyFont="1" applyBorder="1"/>
    <xf numFmtId="9" fontId="204" fillId="0" borderId="0" xfId="384" quotePrefix="1" applyFont="1" applyFill="1" applyBorder="1" applyAlignment="1">
      <alignment vertical="center"/>
    </xf>
    <xf numFmtId="0" fontId="169" fillId="33" borderId="0" xfId="0" applyFont="1" applyFill="1"/>
    <xf numFmtId="9" fontId="199" fillId="0" borderId="0" xfId="384" applyFont="1" applyFill="1" applyBorder="1" applyAlignment="1">
      <alignment vertical="center"/>
    </xf>
    <xf numFmtId="0" fontId="32" fillId="0" borderId="33" xfId="2512" quotePrefix="1" applyFont="1" applyBorder="1" applyAlignment="1">
      <alignment horizontal="left"/>
    </xf>
    <xf numFmtId="0" fontId="28" fillId="0" borderId="0" xfId="2512" quotePrefix="1" applyFont="1" applyAlignment="1">
      <alignment horizontal="left"/>
    </xf>
    <xf numFmtId="340" fontId="32" fillId="19" borderId="0" xfId="0" applyNumberFormat="1" applyFont="1" applyFill="1" applyAlignment="1">
      <alignment vertical="center"/>
    </xf>
    <xf numFmtId="1" fontId="32" fillId="19" borderId="0" xfId="384" applyNumberFormat="1" applyFont="1" applyFill="1" applyBorder="1" applyAlignment="1">
      <alignment vertical="center"/>
    </xf>
    <xf numFmtId="0" fontId="43" fillId="0" borderId="0" xfId="2516" applyFont="1" applyAlignment="1">
      <alignment horizontal="left" indent="1"/>
    </xf>
    <xf numFmtId="187" fontId="43" fillId="0" borderId="0" xfId="2518" applyNumberFormat="1" applyFont="1" applyFill="1" applyBorder="1" applyAlignment="1">
      <alignment horizontal="center"/>
    </xf>
    <xf numFmtId="9" fontId="43" fillId="0" borderId="0" xfId="45" applyFont="1" applyFill="1" applyBorder="1" applyAlignment="1">
      <alignment horizontal="center"/>
    </xf>
    <xf numFmtId="173" fontId="43" fillId="0" borderId="0" xfId="2516" applyNumberFormat="1" applyFont="1" applyAlignment="1">
      <alignment horizontal="center"/>
    </xf>
    <xf numFmtId="9" fontId="43" fillId="12" borderId="0" xfId="45" applyFont="1" applyFill="1" applyBorder="1" applyAlignment="1">
      <alignment horizontal="center"/>
    </xf>
    <xf numFmtId="9" fontId="43" fillId="0" borderId="0" xfId="2516" applyNumberFormat="1" applyFont="1" applyAlignment="1">
      <alignment horizontal="center"/>
    </xf>
    <xf numFmtId="9" fontId="43" fillId="0" borderId="64" xfId="45" applyFont="1" applyFill="1" applyBorder="1" applyAlignment="1">
      <alignment horizontal="center"/>
    </xf>
    <xf numFmtId="0" fontId="175" fillId="68" borderId="0" xfId="2516" applyFont="1" applyFill="1" applyAlignment="1">
      <alignment horizontal="center" vertical="center"/>
    </xf>
    <xf numFmtId="0" fontId="175" fillId="69" borderId="0" xfId="2515" applyFont="1" applyFill="1" applyAlignment="1">
      <alignment horizontal="center"/>
    </xf>
    <xf numFmtId="9" fontId="44" fillId="12" borderId="0" xfId="45" applyFont="1" applyFill="1" applyBorder="1" applyAlignment="1">
      <alignment horizontal="center"/>
    </xf>
    <xf numFmtId="0" fontId="43" fillId="0" borderId="0" xfId="2516" applyFont="1" applyAlignment="1">
      <alignment vertical="center"/>
    </xf>
    <xf numFmtId="0" fontId="175" fillId="0" borderId="0" xfId="2515" applyFont="1" applyAlignment="1">
      <alignment horizontal="center" vertical="center"/>
    </xf>
    <xf numFmtId="3" fontId="186" fillId="33" borderId="0" xfId="2516" applyNumberFormat="1" applyFont="1" applyFill="1" applyAlignment="1">
      <alignment horizontal="center" vertical="center"/>
    </xf>
    <xf numFmtId="173" fontId="43" fillId="0" borderId="0" xfId="45" applyNumberFormat="1" applyFont="1" applyFill="1" applyBorder="1" applyAlignment="1">
      <alignment horizontal="center" vertical="center"/>
    </xf>
    <xf numFmtId="173" fontId="175" fillId="0" borderId="65" xfId="2515" applyNumberFormat="1" applyFont="1" applyBorder="1" applyAlignment="1">
      <alignment horizontal="center" vertical="center"/>
    </xf>
    <xf numFmtId="0" fontId="43" fillId="0" borderId="0" xfId="2516" applyFont="1" applyAlignment="1">
      <alignment horizontal="center" vertical="center"/>
    </xf>
    <xf numFmtId="173" fontId="175" fillId="12" borderId="0" xfId="2515" applyNumberFormat="1" applyFont="1" applyFill="1" applyAlignment="1">
      <alignment horizontal="center" vertical="center"/>
    </xf>
    <xf numFmtId="0" fontId="43" fillId="12" borderId="0" xfId="2516" applyFont="1" applyFill="1" applyAlignment="1">
      <alignment vertical="center"/>
    </xf>
    <xf numFmtId="3" fontId="43" fillId="0" borderId="0" xfId="45" applyNumberFormat="1" applyFont="1" applyFill="1" applyBorder="1" applyAlignment="1">
      <alignment horizontal="center" vertical="center"/>
    </xf>
    <xf numFmtId="9" fontId="44" fillId="0" borderId="65" xfId="45" applyFont="1" applyFill="1" applyBorder="1" applyAlignment="1">
      <alignment horizontal="center" vertical="center"/>
    </xf>
    <xf numFmtId="9" fontId="43" fillId="0" borderId="0" xfId="45" applyFont="1" applyFill="1" applyBorder="1" applyAlignment="1">
      <alignment horizontal="center" vertical="center"/>
    </xf>
    <xf numFmtId="9" fontId="173" fillId="12" borderId="0" xfId="384" applyFont="1" applyFill="1" applyBorder="1" applyAlignment="1">
      <alignment horizontal="center" vertical="center"/>
    </xf>
    <xf numFmtId="3" fontId="44" fillId="55" borderId="0" xfId="45" applyNumberFormat="1" applyFont="1" applyFill="1" applyBorder="1" applyAlignment="1">
      <alignment horizontal="center" vertical="center"/>
    </xf>
    <xf numFmtId="3" fontId="208" fillId="33" borderId="0" xfId="2516" applyNumberFormat="1" applyFont="1" applyFill="1" applyAlignment="1">
      <alignment horizontal="center" vertical="center"/>
    </xf>
    <xf numFmtId="0" fontId="44" fillId="0" borderId="0" xfId="2516" applyFont="1" applyAlignment="1">
      <alignment horizontal="center" vertical="center"/>
    </xf>
    <xf numFmtId="9" fontId="174" fillId="12" borderId="0" xfId="384" applyFont="1" applyFill="1" applyBorder="1" applyAlignment="1">
      <alignment horizontal="center" vertical="center"/>
    </xf>
    <xf numFmtId="0" fontId="44" fillId="12" borderId="0" xfId="2516" applyFont="1" applyFill="1" applyAlignment="1">
      <alignment vertical="center"/>
    </xf>
    <xf numFmtId="173" fontId="208" fillId="33" borderId="0" xfId="384" applyNumberFormat="1" applyFont="1" applyFill="1" applyBorder="1" applyAlignment="1">
      <alignment horizontal="center" vertical="center"/>
    </xf>
    <xf numFmtId="0" fontId="44" fillId="0" borderId="0" xfId="2516" applyFont="1" applyAlignment="1">
      <alignment vertical="center"/>
    </xf>
    <xf numFmtId="9" fontId="44" fillId="0" borderId="0" xfId="384" applyFont="1" applyFill="1" applyBorder="1" applyAlignment="1">
      <alignment horizontal="center" vertical="center"/>
    </xf>
    <xf numFmtId="173" fontId="208" fillId="0" borderId="0" xfId="384" applyNumberFormat="1" applyFont="1" applyFill="1" applyBorder="1" applyAlignment="1">
      <alignment horizontal="center" vertical="center"/>
    </xf>
    <xf numFmtId="343" fontId="44" fillId="0" borderId="66" xfId="384" applyNumberFormat="1" applyFont="1" applyFill="1" applyBorder="1" applyAlignment="1">
      <alignment horizontal="center" vertical="center"/>
    </xf>
    <xf numFmtId="173" fontId="44" fillId="0" borderId="0" xfId="2518" applyNumberFormat="1" applyFont="1" applyFill="1" applyBorder="1" applyAlignment="1">
      <alignment horizontal="center" vertical="center"/>
    </xf>
    <xf numFmtId="173" fontId="43" fillId="0" borderId="0" xfId="384" applyNumberFormat="1" applyFont="1" applyFill="1" applyBorder="1" applyAlignment="1">
      <alignment horizontal="center" vertical="center"/>
    </xf>
    <xf numFmtId="9" fontId="43" fillId="0" borderId="0" xfId="384" applyFont="1" applyFill="1" applyBorder="1" applyAlignment="1">
      <alignment horizontal="center" vertical="center"/>
    </xf>
    <xf numFmtId="9" fontId="186" fillId="0" borderId="0" xfId="384" applyFont="1" applyFill="1" applyBorder="1" applyAlignment="1">
      <alignment horizontal="center" vertical="center"/>
    </xf>
    <xf numFmtId="173" fontId="43" fillId="0" borderId="0" xfId="45" applyNumberFormat="1" applyFont="1" applyBorder="1" applyAlignment="1">
      <alignment horizontal="center" vertical="center"/>
    </xf>
    <xf numFmtId="9" fontId="43" fillId="0" borderId="0" xfId="45" applyFont="1" applyBorder="1" applyAlignment="1">
      <alignment horizontal="center" vertical="center"/>
    </xf>
    <xf numFmtId="9" fontId="43" fillId="12" borderId="0" xfId="45" applyFont="1" applyFill="1" applyBorder="1" applyAlignment="1">
      <alignment horizontal="center" vertical="center"/>
    </xf>
    <xf numFmtId="0" fontId="181" fillId="12" borderId="0" xfId="2516" applyFont="1" applyFill="1" applyAlignment="1">
      <alignment vertical="center"/>
    </xf>
    <xf numFmtId="173" fontId="186" fillId="33" borderId="0" xfId="384" applyNumberFormat="1" applyFont="1" applyFill="1" applyBorder="1" applyAlignment="1">
      <alignment horizontal="center" vertical="center"/>
    </xf>
    <xf numFmtId="180" fontId="44" fillId="55" borderId="0" xfId="45" applyNumberFormat="1" applyFont="1" applyFill="1" applyBorder="1" applyAlignment="1">
      <alignment horizontal="center" vertical="center"/>
    </xf>
    <xf numFmtId="180" fontId="208" fillId="33" borderId="0" xfId="2516" applyNumberFormat="1" applyFont="1" applyFill="1" applyAlignment="1">
      <alignment horizontal="center" vertical="center"/>
    </xf>
    <xf numFmtId="3" fontId="186" fillId="12" borderId="0" xfId="2516" applyNumberFormat="1" applyFont="1" applyFill="1" applyAlignment="1">
      <alignment horizontal="center"/>
    </xf>
    <xf numFmtId="9" fontId="43" fillId="0" borderId="0" xfId="45" applyFont="1" applyFill="1" applyBorder="1" applyAlignment="1">
      <alignment horizontal="right"/>
    </xf>
    <xf numFmtId="173" fontId="43" fillId="0" borderId="0" xfId="2516" applyNumberFormat="1" applyFont="1" applyAlignment="1">
      <alignment horizontal="right"/>
    </xf>
    <xf numFmtId="173" fontId="43" fillId="12" borderId="0" xfId="2516" applyNumberFormat="1" applyFont="1" applyFill="1" applyAlignment="1">
      <alignment horizontal="right"/>
    </xf>
    <xf numFmtId="9" fontId="43" fillId="0" borderId="0" xfId="45" applyFont="1" applyBorder="1" applyAlignment="1">
      <alignment horizontal="right"/>
    </xf>
    <xf numFmtId="173" fontId="44" fillId="12" borderId="0" xfId="2518" applyNumberFormat="1" applyFont="1" applyFill="1" applyBorder="1" applyAlignment="1">
      <alignment horizontal="center" vertical="center"/>
    </xf>
    <xf numFmtId="0" fontId="176" fillId="0" borderId="0" xfId="2516" applyFont="1"/>
    <xf numFmtId="173" fontId="43" fillId="0" borderId="61" xfId="384" applyNumberFormat="1" applyFont="1" applyBorder="1" applyAlignment="1">
      <alignment horizontal="center"/>
    </xf>
    <xf numFmtId="0" fontId="175" fillId="54" borderId="68" xfId="2515" applyFont="1" applyFill="1" applyBorder="1" applyAlignment="1">
      <alignment vertical="center"/>
    </xf>
    <xf numFmtId="0" fontId="174" fillId="0" borderId="0" xfId="2515" applyFont="1" applyAlignment="1">
      <alignment horizontal="left" vertical="center"/>
    </xf>
    <xf numFmtId="0" fontId="44" fillId="62" borderId="0" xfId="2516" applyFont="1" applyFill="1" applyAlignment="1">
      <alignment vertical="center"/>
    </xf>
    <xf numFmtId="9" fontId="179" fillId="0" borderId="0" xfId="384" applyFont="1" applyFill="1" applyBorder="1" applyAlignment="1">
      <alignment horizontal="center" vertical="center"/>
    </xf>
    <xf numFmtId="173" fontId="179" fillId="0" borderId="0" xfId="45" applyNumberFormat="1" applyFont="1" applyFill="1" applyBorder="1" applyAlignment="1">
      <alignment horizontal="center" vertical="center"/>
    </xf>
    <xf numFmtId="9" fontId="179" fillId="0" borderId="0" xfId="45" applyFont="1" applyFill="1" applyBorder="1" applyAlignment="1">
      <alignment horizontal="center" vertical="center"/>
    </xf>
    <xf numFmtId="9" fontId="175" fillId="0" borderId="0" xfId="45" applyFont="1" applyFill="1" applyBorder="1" applyAlignment="1">
      <alignment horizontal="center" vertical="center"/>
    </xf>
    <xf numFmtId="1" fontId="179" fillId="0" borderId="0" xfId="45" applyNumberFormat="1" applyFont="1" applyFill="1" applyBorder="1" applyAlignment="1">
      <alignment horizontal="center" vertical="center"/>
    </xf>
    <xf numFmtId="1" fontId="175" fillId="0" borderId="0" xfId="45" applyNumberFormat="1" applyFont="1" applyFill="1" applyBorder="1" applyAlignment="1">
      <alignment horizontal="center" vertical="center"/>
    </xf>
    <xf numFmtId="9" fontId="175" fillId="0" borderId="0" xfId="384" applyFont="1" applyFill="1" applyBorder="1" applyAlignment="1">
      <alignment horizontal="center" vertical="center"/>
    </xf>
    <xf numFmtId="173" fontId="179" fillId="0" borderId="0" xfId="384" applyNumberFormat="1" applyFont="1" applyFill="1" applyBorder="1" applyAlignment="1">
      <alignment horizontal="center" vertical="center"/>
    </xf>
    <xf numFmtId="3" fontId="179" fillId="0" borderId="0" xfId="2516" applyNumberFormat="1" applyFont="1" applyAlignment="1">
      <alignment horizontal="center" vertical="center"/>
    </xf>
    <xf numFmtId="3" fontId="175" fillId="0" borderId="0" xfId="2516" applyNumberFormat="1" applyFont="1" applyAlignment="1">
      <alignment horizontal="center" vertical="center"/>
    </xf>
    <xf numFmtId="0" fontId="179" fillId="0" borderId="0" xfId="2516" applyFont="1" applyAlignment="1">
      <alignment horizontal="center" vertical="center"/>
    </xf>
    <xf numFmtId="0" fontId="179" fillId="0" borderId="0" xfId="2516" applyFont="1" applyAlignment="1">
      <alignment vertical="center"/>
    </xf>
    <xf numFmtId="0" fontId="175" fillId="0" borderId="0" xfId="2516" applyFont="1" applyAlignment="1">
      <alignment horizontal="center" vertical="center"/>
    </xf>
    <xf numFmtId="0" fontId="212" fillId="0" borderId="0" xfId="2516" applyFont="1" applyAlignment="1">
      <alignment horizontal="center" vertical="center"/>
    </xf>
    <xf numFmtId="0" fontId="175" fillId="0" borderId="0" xfId="2516" applyFont="1" applyAlignment="1">
      <alignment vertical="center"/>
    </xf>
    <xf numFmtId="0" fontId="179" fillId="0" borderId="0" xfId="2516" applyFont="1" applyAlignment="1">
      <alignment horizontal="right" vertical="center"/>
    </xf>
    <xf numFmtId="0" fontId="179" fillId="0" borderId="0" xfId="2516" applyFont="1"/>
    <xf numFmtId="337" fontId="179" fillId="0" borderId="0" xfId="384" applyNumberFormat="1" applyFont="1" applyFill="1" applyBorder="1" applyAlignment="1">
      <alignment horizontal="center" vertical="center"/>
    </xf>
    <xf numFmtId="337" fontId="179" fillId="0" borderId="0" xfId="2516" applyNumberFormat="1" applyFont="1" applyAlignment="1">
      <alignment horizontal="center" vertical="center"/>
    </xf>
    <xf numFmtId="9" fontId="44" fillId="0" borderId="0" xfId="45" applyFont="1" applyFill="1" applyBorder="1" applyAlignment="1">
      <alignment horizontal="center" vertical="center"/>
    </xf>
    <xf numFmtId="337" fontId="43" fillId="0" borderId="0" xfId="384" applyNumberFormat="1" applyFont="1" applyFill="1" applyBorder="1" applyAlignment="1">
      <alignment horizontal="center" vertical="center"/>
    </xf>
    <xf numFmtId="0" fontId="43" fillId="0" borderId="0" xfId="2516" applyFont="1" applyAlignment="1">
      <alignment horizontal="right" vertical="center"/>
    </xf>
    <xf numFmtId="0" fontId="210" fillId="0" borderId="0" xfId="2516" applyFont="1" applyAlignment="1">
      <alignment horizontal="centerContinuous" vertical="center"/>
    </xf>
    <xf numFmtId="0" fontId="44" fillId="0" borderId="0" xfId="2515" applyFont="1" applyAlignment="1">
      <alignment horizontal="center" vertical="center"/>
    </xf>
    <xf numFmtId="3" fontId="43" fillId="0" borderId="0" xfId="2516" applyNumberFormat="1" applyFont="1" applyAlignment="1">
      <alignment horizontal="center" vertical="center"/>
    </xf>
    <xf numFmtId="337" fontId="43" fillId="0" borderId="0" xfId="2516" applyNumberFormat="1" applyFont="1" applyAlignment="1">
      <alignment horizontal="center" vertical="center"/>
    </xf>
    <xf numFmtId="0" fontId="175" fillId="0" borderId="0" xfId="2516" applyFont="1" applyAlignment="1">
      <alignment horizontal="centerContinuous" vertical="center"/>
    </xf>
    <xf numFmtId="0" fontId="211" fillId="0" borderId="0" xfId="2516" applyFont="1" applyAlignment="1">
      <alignment vertical="center"/>
    </xf>
    <xf numFmtId="0" fontId="175" fillId="0" borderId="0" xfId="2515" applyFont="1" applyAlignment="1">
      <alignment vertical="center"/>
    </xf>
    <xf numFmtId="0" fontId="175" fillId="0" borderId="0" xfId="2515" applyFont="1"/>
    <xf numFmtId="0" fontId="175" fillId="0" borderId="0" xfId="2515" applyFont="1" applyAlignment="1">
      <alignment horizontal="left" vertical="center"/>
    </xf>
    <xf numFmtId="1" fontId="179" fillId="0" borderId="0" xfId="2516" applyNumberFormat="1" applyFont="1" applyAlignment="1">
      <alignment horizontal="center" vertical="center"/>
    </xf>
    <xf numFmtId="0" fontId="212" fillId="0" borderId="0" xfId="2516" applyFont="1" applyAlignment="1">
      <alignment vertical="center"/>
    </xf>
    <xf numFmtId="0" fontId="44" fillId="53" borderId="0" xfId="2516" applyFont="1" applyFill="1" applyAlignment="1">
      <alignment vertical="center"/>
    </xf>
    <xf numFmtId="0" fontId="173" fillId="0" borderId="0" xfId="2515" applyFont="1" applyAlignment="1">
      <alignment horizontal="left" vertical="center"/>
    </xf>
    <xf numFmtId="3" fontId="43" fillId="0" borderId="0" xfId="2515" applyNumberFormat="1" applyFont="1" applyAlignment="1">
      <alignment horizontal="center" vertical="center"/>
    </xf>
    <xf numFmtId="0" fontId="175" fillId="0" borderId="80" xfId="2515" applyFont="1" applyBorder="1" applyAlignment="1">
      <alignment horizontal="center" vertical="center"/>
    </xf>
    <xf numFmtId="3" fontId="43" fillId="0" borderId="80" xfId="45" applyNumberFormat="1" applyFont="1" applyFill="1" applyBorder="1" applyAlignment="1">
      <alignment horizontal="center" vertical="center"/>
    </xf>
    <xf numFmtId="3" fontId="44" fillId="55" borderId="80" xfId="45" applyNumberFormat="1" applyFont="1" applyFill="1" applyBorder="1" applyAlignment="1">
      <alignment horizontal="center" vertical="center"/>
    </xf>
    <xf numFmtId="173" fontId="44" fillId="0" borderId="80" xfId="384" applyNumberFormat="1" applyFont="1" applyFill="1" applyBorder="1" applyAlignment="1">
      <alignment horizontal="center" vertical="center"/>
    </xf>
    <xf numFmtId="3" fontId="43" fillId="0" borderId="80" xfId="2515" applyNumberFormat="1" applyFont="1" applyBorder="1" applyAlignment="1">
      <alignment horizontal="center" vertical="center"/>
    </xf>
    <xf numFmtId="10" fontId="200" fillId="0" borderId="0" xfId="384" applyNumberFormat="1" applyFont="1" applyFill="1" applyBorder="1" applyAlignment="1">
      <alignment vertical="center"/>
    </xf>
    <xf numFmtId="232" fontId="200" fillId="0" borderId="0" xfId="383" applyNumberFormat="1" applyFont="1" applyFill="1" applyBorder="1" applyAlignment="1">
      <alignment vertical="center"/>
    </xf>
    <xf numFmtId="0" fontId="175" fillId="54" borderId="68" xfId="2515" applyFont="1" applyFill="1" applyBorder="1"/>
    <xf numFmtId="343" fontId="44" fillId="0" borderId="81" xfId="384" applyNumberFormat="1" applyFont="1" applyFill="1" applyBorder="1" applyAlignment="1">
      <alignment horizontal="center" vertical="center"/>
    </xf>
    <xf numFmtId="9" fontId="44" fillId="0" borderId="78" xfId="384" applyFont="1" applyFill="1" applyBorder="1" applyAlignment="1">
      <alignment horizontal="center" vertical="center"/>
    </xf>
    <xf numFmtId="0" fontId="175" fillId="71" borderId="0" xfId="2515" applyFont="1" applyFill="1" applyAlignment="1">
      <alignment horizontal="center"/>
    </xf>
    <xf numFmtId="0" fontId="175" fillId="71" borderId="65" xfId="2515" applyFont="1" applyFill="1" applyBorder="1" applyAlignment="1">
      <alignment horizontal="center"/>
    </xf>
    <xf numFmtId="0" fontId="206" fillId="0" borderId="0" xfId="2516" applyFont="1"/>
    <xf numFmtId="9" fontId="215" fillId="55" borderId="74" xfId="384" applyFont="1" applyFill="1" applyBorder="1" applyAlignment="1">
      <alignment horizontal="center" vertical="center"/>
    </xf>
    <xf numFmtId="173" fontId="181" fillId="0" borderId="80" xfId="384" applyNumberFormat="1" applyFont="1" applyBorder="1" applyAlignment="1">
      <alignment horizontal="center" vertical="center"/>
    </xf>
    <xf numFmtId="173" fontId="181" fillId="0" borderId="80" xfId="384" applyNumberFormat="1" applyFont="1" applyFill="1" applyBorder="1" applyAlignment="1">
      <alignment horizontal="center" vertical="center"/>
    </xf>
    <xf numFmtId="173" fontId="211" fillId="55" borderId="80" xfId="384" applyNumberFormat="1" applyFont="1" applyFill="1" applyBorder="1" applyAlignment="1">
      <alignment horizontal="center" vertical="center"/>
    </xf>
    <xf numFmtId="173" fontId="181" fillId="0" borderId="0" xfId="384" applyNumberFormat="1" applyFont="1" applyBorder="1" applyAlignment="1">
      <alignment horizontal="center" vertical="center"/>
    </xf>
    <xf numFmtId="173" fontId="181" fillId="0" borderId="0" xfId="384" applyNumberFormat="1" applyFont="1" applyFill="1" applyBorder="1" applyAlignment="1">
      <alignment horizontal="center" vertical="center"/>
    </xf>
    <xf numFmtId="173" fontId="211" fillId="55" borderId="0" xfId="384" applyNumberFormat="1" applyFont="1" applyFill="1" applyBorder="1" applyAlignment="1">
      <alignment horizontal="center" vertical="center"/>
    </xf>
    <xf numFmtId="173" fontId="43" fillId="0" borderId="79" xfId="2516" applyNumberFormat="1" applyFont="1" applyBorder="1" applyAlignment="1">
      <alignment horizontal="right"/>
    </xf>
    <xf numFmtId="0" fontId="175" fillId="73" borderId="0" xfId="2515" applyFont="1" applyFill="1" applyAlignment="1">
      <alignment horizontal="center"/>
    </xf>
    <xf numFmtId="2" fontId="44" fillId="55" borderId="0" xfId="384" applyNumberFormat="1" applyFont="1" applyFill="1" applyBorder="1" applyAlignment="1">
      <alignment horizontal="center"/>
    </xf>
    <xf numFmtId="1" fontId="43" fillId="0" borderId="0" xfId="2516" applyNumberFormat="1" applyFont="1"/>
    <xf numFmtId="0" fontId="175" fillId="54" borderId="82" xfId="2515" applyFont="1" applyFill="1" applyBorder="1"/>
    <xf numFmtId="0" fontId="175" fillId="54" borderId="69" xfId="2515" applyFont="1" applyFill="1" applyBorder="1"/>
    <xf numFmtId="0" fontId="44" fillId="0" borderId="69" xfId="2515" applyFont="1" applyBorder="1" applyAlignment="1">
      <alignment horizontal="left" vertical="center"/>
    </xf>
    <xf numFmtId="0" fontId="43" fillId="12" borderId="69" xfId="2516" applyFont="1" applyFill="1" applyBorder="1" applyAlignment="1">
      <alignment vertical="center"/>
    </xf>
    <xf numFmtId="0" fontId="44" fillId="55" borderId="69" xfId="2516" applyFont="1" applyFill="1" applyBorder="1" applyAlignment="1">
      <alignment vertical="center"/>
    </xf>
    <xf numFmtId="0" fontId="44" fillId="0" borderId="69" xfId="2516" applyFont="1" applyBorder="1" applyAlignment="1">
      <alignment vertical="center"/>
    </xf>
    <xf numFmtId="0" fontId="43" fillId="0" borderId="69" xfId="2516" applyFont="1" applyBorder="1"/>
    <xf numFmtId="0" fontId="181" fillId="12" borderId="69" xfId="2516" applyFont="1" applyFill="1" applyBorder="1" applyAlignment="1">
      <alignment vertical="center"/>
    </xf>
    <xf numFmtId="0" fontId="176" fillId="12" borderId="0" xfId="2516" applyFont="1" applyFill="1" applyAlignment="1">
      <alignment horizontal="center" vertical="center"/>
    </xf>
    <xf numFmtId="0" fontId="175" fillId="57" borderId="0" xfId="2515" applyFont="1" applyFill="1" applyAlignment="1">
      <alignment horizontal="center"/>
    </xf>
    <xf numFmtId="0" fontId="175" fillId="57" borderId="80" xfId="2515" applyFont="1" applyFill="1" applyBorder="1" applyAlignment="1">
      <alignment horizontal="center"/>
    </xf>
    <xf numFmtId="173" fontId="43" fillId="0" borderId="83" xfId="2516" applyNumberFormat="1" applyFont="1" applyBorder="1" applyAlignment="1">
      <alignment horizontal="right"/>
    </xf>
    <xf numFmtId="173" fontId="175" fillId="57" borderId="84" xfId="2515" applyNumberFormat="1" applyFont="1" applyFill="1" applyBorder="1" applyAlignment="1">
      <alignment horizontal="center"/>
    </xf>
    <xf numFmtId="0" fontId="175" fillId="0" borderId="84" xfId="2515" applyFont="1" applyBorder="1" applyAlignment="1">
      <alignment horizontal="center" vertical="center"/>
    </xf>
    <xf numFmtId="3" fontId="43" fillId="0" borderId="84" xfId="45" applyNumberFormat="1" applyFont="1" applyFill="1" applyBorder="1" applyAlignment="1">
      <alignment horizontal="center" vertical="center"/>
    </xf>
    <xf numFmtId="3" fontId="44" fillId="55" borderId="84" xfId="45" applyNumberFormat="1" applyFont="1" applyFill="1" applyBorder="1" applyAlignment="1">
      <alignment horizontal="center" vertical="center"/>
    </xf>
    <xf numFmtId="173" fontId="44" fillId="0" borderId="84" xfId="384" applyNumberFormat="1" applyFont="1" applyFill="1" applyBorder="1" applyAlignment="1">
      <alignment horizontal="center" vertical="center"/>
    </xf>
    <xf numFmtId="3" fontId="43" fillId="0" borderId="84" xfId="2515" applyNumberFormat="1" applyFont="1" applyBorder="1" applyAlignment="1">
      <alignment horizontal="center" vertical="center"/>
    </xf>
    <xf numFmtId="173" fontId="181" fillId="0" borderId="84" xfId="384" applyNumberFormat="1" applyFont="1" applyBorder="1" applyAlignment="1">
      <alignment horizontal="center" vertical="center"/>
    </xf>
    <xf numFmtId="173" fontId="181" fillId="0" borderId="84" xfId="384" applyNumberFormat="1" applyFont="1" applyFill="1" applyBorder="1" applyAlignment="1">
      <alignment horizontal="center" vertical="center"/>
    </xf>
    <xf numFmtId="180" fontId="44" fillId="55" borderId="84" xfId="45" applyNumberFormat="1" applyFont="1" applyFill="1" applyBorder="1" applyAlignment="1">
      <alignment horizontal="center" vertical="center"/>
    </xf>
    <xf numFmtId="173" fontId="211" fillId="55" borderId="84" xfId="384" applyNumberFormat="1" applyFont="1" applyFill="1" applyBorder="1" applyAlignment="1">
      <alignment horizontal="center" vertical="center"/>
    </xf>
    <xf numFmtId="173" fontId="43" fillId="12" borderId="85" xfId="2516" applyNumberFormat="1" applyFont="1" applyFill="1" applyBorder="1" applyAlignment="1">
      <alignment horizontal="right"/>
    </xf>
    <xf numFmtId="173" fontId="43" fillId="12" borderId="86" xfId="2516" applyNumberFormat="1" applyFont="1" applyFill="1" applyBorder="1" applyAlignment="1">
      <alignment horizontal="right"/>
    </xf>
    <xf numFmtId="173" fontId="174" fillId="53" borderId="0" xfId="2515" applyNumberFormat="1" applyFont="1" applyFill="1" applyAlignment="1">
      <alignment horizontal="center"/>
    </xf>
    <xf numFmtId="173" fontId="213" fillId="0" borderId="65" xfId="2515" applyNumberFormat="1" applyFont="1" applyBorder="1" applyAlignment="1">
      <alignment horizontal="center" vertical="center"/>
    </xf>
    <xf numFmtId="0" fontId="177" fillId="0" borderId="0" xfId="0" applyFont="1"/>
    <xf numFmtId="173" fontId="177" fillId="0" borderId="0" xfId="0" applyNumberFormat="1" applyFont="1"/>
    <xf numFmtId="1" fontId="177" fillId="0" borderId="0" xfId="0" applyNumberFormat="1" applyFont="1"/>
    <xf numFmtId="0" fontId="177" fillId="0" borderId="0" xfId="0" applyFont="1" applyAlignment="1">
      <alignment horizontal="right"/>
    </xf>
    <xf numFmtId="0" fontId="217" fillId="57" borderId="0" xfId="0" applyFont="1" applyFill="1" applyAlignment="1">
      <alignment horizontal="right"/>
    </xf>
    <xf numFmtId="1" fontId="177" fillId="60" borderId="0" xfId="0" applyNumberFormat="1" applyFont="1" applyFill="1"/>
    <xf numFmtId="173" fontId="177" fillId="60" borderId="77" xfId="0" applyNumberFormat="1" applyFont="1" applyFill="1" applyBorder="1"/>
    <xf numFmtId="2" fontId="177" fillId="0" borderId="0" xfId="0" applyNumberFormat="1" applyFont="1"/>
    <xf numFmtId="0" fontId="177" fillId="70" borderId="0" xfId="0" applyFont="1" applyFill="1"/>
    <xf numFmtId="173" fontId="177" fillId="60" borderId="77" xfId="384" applyNumberFormat="1" applyFont="1" applyFill="1" applyBorder="1"/>
    <xf numFmtId="173" fontId="177" fillId="70" borderId="0" xfId="0" applyNumberFormat="1" applyFont="1" applyFill="1"/>
    <xf numFmtId="173" fontId="43" fillId="12" borderId="80" xfId="2516" applyNumberFormat="1" applyFont="1" applyFill="1" applyBorder="1" applyAlignment="1">
      <alignment horizontal="right"/>
    </xf>
    <xf numFmtId="173" fontId="43" fillId="12" borderId="84" xfId="2516" applyNumberFormat="1" applyFont="1" applyFill="1" applyBorder="1" applyAlignment="1">
      <alignment horizontal="right"/>
    </xf>
    <xf numFmtId="173" fontId="43" fillId="12" borderId="87" xfId="2516" applyNumberFormat="1" applyFont="1" applyFill="1" applyBorder="1" applyAlignment="1">
      <alignment horizontal="right"/>
    </xf>
    <xf numFmtId="173" fontId="43" fillId="12" borderId="88" xfId="2516" applyNumberFormat="1" applyFont="1" applyFill="1" applyBorder="1" applyAlignment="1">
      <alignment horizontal="right"/>
    </xf>
    <xf numFmtId="0" fontId="177" fillId="0" borderId="0" xfId="0" applyFont="1" applyAlignment="1">
      <alignment horizontal="center" vertical="center"/>
    </xf>
    <xf numFmtId="173" fontId="43" fillId="0" borderId="89" xfId="2516" applyNumberFormat="1" applyFont="1" applyBorder="1" applyAlignment="1">
      <alignment horizontal="right"/>
    </xf>
    <xf numFmtId="173" fontId="174" fillId="53" borderId="87" xfId="2515" applyNumberFormat="1" applyFont="1" applyFill="1" applyBorder="1" applyAlignment="1">
      <alignment horizontal="center"/>
    </xf>
    <xf numFmtId="0" fontId="213" fillId="0" borderId="87" xfId="2515" applyFont="1" applyBorder="1" applyAlignment="1">
      <alignment horizontal="center" vertical="center"/>
    </xf>
    <xf numFmtId="0" fontId="213" fillId="0" borderId="0" xfId="2515" applyFont="1" applyAlignment="1">
      <alignment horizontal="center" vertical="center"/>
    </xf>
    <xf numFmtId="176" fontId="32" fillId="59" borderId="0" xfId="0" applyNumberFormat="1" applyFont="1" applyFill="1" applyAlignment="1">
      <alignment horizontal="right" vertical="center"/>
    </xf>
    <xf numFmtId="0" fontId="33" fillId="12" borderId="0" xfId="1" applyFont="1" applyFill="1" applyAlignment="1">
      <alignment horizontal="left" indent="2"/>
    </xf>
    <xf numFmtId="9" fontId="44" fillId="53" borderId="65" xfId="45" applyFont="1" applyFill="1" applyBorder="1" applyAlignment="1">
      <alignment horizontal="center"/>
    </xf>
    <xf numFmtId="0" fontId="175" fillId="57" borderId="0" xfId="2516" applyFont="1" applyFill="1" applyAlignment="1">
      <alignment horizontal="center"/>
    </xf>
    <xf numFmtId="2" fontId="44" fillId="53" borderId="0" xfId="384" applyNumberFormat="1" applyFont="1" applyFill="1" applyBorder="1" applyAlignment="1">
      <alignment horizontal="center" vertical="center"/>
    </xf>
    <xf numFmtId="2" fontId="44" fillId="53" borderId="80" xfId="384" applyNumberFormat="1" applyFont="1" applyFill="1" applyBorder="1" applyAlignment="1">
      <alignment horizontal="center" vertical="center"/>
    </xf>
    <xf numFmtId="4" fontId="44" fillId="55" borderId="84" xfId="45" applyNumberFormat="1" applyFont="1" applyFill="1" applyBorder="1" applyAlignment="1">
      <alignment horizontal="center" vertical="center"/>
    </xf>
    <xf numFmtId="9" fontId="175" fillId="72" borderId="74" xfId="45" applyFont="1" applyFill="1" applyBorder="1" applyAlignment="1">
      <alignment horizontal="center"/>
    </xf>
    <xf numFmtId="9" fontId="43" fillId="0" borderId="90" xfId="45" applyFont="1" applyFill="1" applyBorder="1" applyAlignment="1">
      <alignment horizontal="center"/>
    </xf>
    <xf numFmtId="9" fontId="175" fillId="71" borderId="91" xfId="45" applyFont="1" applyFill="1" applyBorder="1" applyAlignment="1">
      <alignment horizontal="center"/>
    </xf>
    <xf numFmtId="173" fontId="222" fillId="0" borderId="91" xfId="2515" applyNumberFormat="1" applyFont="1" applyBorder="1" applyAlignment="1">
      <alignment horizontal="center" vertical="center"/>
    </xf>
    <xf numFmtId="9" fontId="223" fillId="0" borderId="91" xfId="384" applyFont="1" applyFill="1" applyBorder="1" applyAlignment="1">
      <alignment horizontal="center" vertical="center"/>
    </xf>
    <xf numFmtId="9" fontId="222" fillId="55" borderId="91" xfId="384" applyFont="1" applyFill="1" applyBorder="1" applyAlignment="1">
      <alignment horizontal="center" vertical="center"/>
    </xf>
    <xf numFmtId="173" fontId="223" fillId="0" borderId="91" xfId="384" applyNumberFormat="1" applyFont="1" applyFill="1" applyBorder="1" applyAlignment="1">
      <alignment horizontal="center" vertical="center"/>
    </xf>
    <xf numFmtId="9" fontId="224" fillId="0" borderId="91" xfId="384" applyFont="1" applyFill="1" applyBorder="1" applyAlignment="1">
      <alignment horizontal="center" vertical="center"/>
    </xf>
    <xf numFmtId="173" fontId="222" fillId="55" borderId="91" xfId="2518" quotePrefix="1" applyNumberFormat="1" applyFont="1" applyFill="1" applyBorder="1" applyAlignment="1">
      <alignment horizontal="center" vertical="center"/>
    </xf>
    <xf numFmtId="173" fontId="44" fillId="0" borderId="92" xfId="2518" applyNumberFormat="1" applyFont="1" applyFill="1" applyBorder="1" applyAlignment="1">
      <alignment horizontal="center" vertical="center"/>
    </xf>
    <xf numFmtId="176" fontId="43" fillId="0" borderId="0" xfId="2516" applyNumberFormat="1" applyFont="1" applyAlignment="1">
      <alignment vertical="center"/>
    </xf>
    <xf numFmtId="0" fontId="44" fillId="60" borderId="69" xfId="2516" applyFont="1" applyFill="1" applyBorder="1" applyAlignment="1">
      <alignment vertical="center"/>
    </xf>
    <xf numFmtId="3" fontId="44" fillId="60" borderId="0" xfId="45" applyNumberFormat="1" applyFont="1" applyFill="1" applyBorder="1" applyAlignment="1">
      <alignment horizontal="center" vertical="center"/>
    </xf>
    <xf numFmtId="0" fontId="44" fillId="60" borderId="0" xfId="2516" applyFont="1" applyFill="1" applyAlignment="1">
      <alignment horizontal="center" vertical="center"/>
    </xf>
    <xf numFmtId="173" fontId="44" fillId="60" borderId="93" xfId="45" applyNumberFormat="1" applyFont="1" applyFill="1" applyBorder="1" applyAlignment="1">
      <alignment horizontal="center" vertical="center"/>
    </xf>
    <xf numFmtId="9" fontId="222" fillId="60" borderId="91" xfId="384" applyFont="1" applyFill="1" applyBorder="1" applyAlignment="1">
      <alignment horizontal="center" vertical="center"/>
    </xf>
    <xf numFmtId="0" fontId="43" fillId="70" borderId="0" xfId="2516" applyFont="1" applyFill="1" applyAlignment="1">
      <alignment horizontal="right" vertical="center"/>
    </xf>
    <xf numFmtId="0" fontId="175" fillId="57" borderId="84" xfId="2515" applyFont="1" applyFill="1" applyBorder="1" applyAlignment="1">
      <alignment horizontal="center"/>
    </xf>
    <xf numFmtId="0" fontId="28" fillId="0" borderId="0" xfId="2516"/>
    <xf numFmtId="173" fontId="43" fillId="0" borderId="73" xfId="2516" applyNumberFormat="1" applyFont="1" applyBorder="1" applyAlignment="1">
      <alignment horizontal="right"/>
    </xf>
    <xf numFmtId="173" fontId="215" fillId="0" borderId="74" xfId="2515" applyNumberFormat="1" applyFont="1" applyBorder="1" applyAlignment="1">
      <alignment horizontal="center" vertical="center"/>
    </xf>
    <xf numFmtId="9" fontId="214" fillId="0" borderId="74" xfId="384" applyFont="1" applyFill="1" applyBorder="1" applyAlignment="1">
      <alignment horizontal="center" vertical="center"/>
    </xf>
    <xf numFmtId="343" fontId="214" fillId="0" borderId="74" xfId="384" applyNumberFormat="1" applyFont="1" applyFill="1" applyBorder="1" applyAlignment="1">
      <alignment horizontal="center" vertical="center"/>
    </xf>
    <xf numFmtId="3" fontId="218" fillId="0" borderId="74" xfId="43" applyNumberFormat="1" applyFont="1" applyBorder="1" applyAlignment="1">
      <alignment horizontal="center" vertical="center"/>
    </xf>
    <xf numFmtId="3" fontId="214" fillId="53" borderId="74" xfId="43" applyNumberFormat="1" applyFont="1" applyFill="1" applyBorder="1" applyAlignment="1">
      <alignment horizontal="center" vertical="center"/>
    </xf>
    <xf numFmtId="173" fontId="43" fillId="12" borderId="74" xfId="2516" applyNumberFormat="1" applyFont="1" applyFill="1" applyBorder="1" applyAlignment="1">
      <alignment horizontal="right"/>
    </xf>
    <xf numFmtId="0" fontId="43" fillId="0" borderId="75" xfId="2516" applyFont="1" applyBorder="1"/>
    <xf numFmtId="172" fontId="44" fillId="53" borderId="0" xfId="384" applyNumberFormat="1" applyFont="1" applyFill="1" applyBorder="1" applyAlignment="1">
      <alignment horizontal="center" vertical="center"/>
    </xf>
    <xf numFmtId="0" fontId="213" fillId="0" borderId="78" xfId="2515" applyFont="1" applyBorder="1" applyAlignment="1">
      <alignment horizontal="center" vertical="center"/>
    </xf>
    <xf numFmtId="173" fontId="43" fillId="12" borderId="78" xfId="2516" applyNumberFormat="1" applyFont="1" applyFill="1" applyBorder="1" applyAlignment="1">
      <alignment horizontal="right"/>
    </xf>
    <xf numFmtId="0" fontId="43" fillId="0" borderId="81" xfId="2516" applyFont="1" applyBorder="1"/>
    <xf numFmtId="173" fontId="43" fillId="0" borderId="94" xfId="2516" applyNumberFormat="1" applyFont="1" applyBorder="1" applyAlignment="1">
      <alignment horizontal="right"/>
    </xf>
    <xf numFmtId="173" fontId="174" fillId="53" borderId="78" xfId="2515" applyNumberFormat="1" applyFont="1" applyFill="1" applyBorder="1" applyAlignment="1">
      <alignment horizontal="center"/>
    </xf>
    <xf numFmtId="180" fontId="44" fillId="55" borderId="80" xfId="45" applyNumberFormat="1" applyFont="1" applyFill="1" applyBorder="1" applyAlignment="1">
      <alignment horizontal="center" vertical="center"/>
    </xf>
    <xf numFmtId="0" fontId="175" fillId="70" borderId="0" xfId="2515" applyFont="1" applyFill="1" applyAlignment="1">
      <alignment horizontal="center"/>
    </xf>
    <xf numFmtId="9" fontId="183" fillId="0" borderId="0" xfId="384" applyFont="1" applyBorder="1" applyAlignment="1">
      <alignment horizontal="centerContinuous" vertical="top"/>
    </xf>
    <xf numFmtId="0" fontId="219" fillId="0" borderId="0" xfId="0" applyFont="1"/>
    <xf numFmtId="0" fontId="177" fillId="0" borderId="0" xfId="0" quotePrefix="1" applyFont="1"/>
    <xf numFmtId="1" fontId="225" fillId="0" borderId="0" xfId="0" applyNumberFormat="1" applyFont="1" applyAlignment="1">
      <alignment horizontal="center" vertical="center"/>
    </xf>
    <xf numFmtId="0" fontId="226" fillId="0" borderId="0" xfId="0" applyFont="1" applyAlignment="1">
      <alignment horizontal="center" vertical="center"/>
    </xf>
    <xf numFmtId="0" fontId="220" fillId="0" borderId="0" xfId="0" applyFont="1"/>
    <xf numFmtId="0" fontId="221" fillId="0" borderId="0" xfId="0" applyFont="1"/>
    <xf numFmtId="0" fontId="227" fillId="54" borderId="0" xfId="0" applyFont="1" applyFill="1"/>
    <xf numFmtId="0" fontId="227" fillId="54" borderId="0" xfId="0" applyFont="1" applyFill="1" applyAlignment="1">
      <alignment horizontal="center" vertical="center"/>
    </xf>
    <xf numFmtId="1" fontId="227" fillId="54" borderId="0" xfId="0" applyNumberFormat="1" applyFont="1" applyFill="1" applyAlignment="1">
      <alignment horizontal="center"/>
    </xf>
    <xf numFmtId="329" fontId="228" fillId="0" borderId="0" xfId="0" applyNumberFormat="1" applyFont="1"/>
    <xf numFmtId="0" fontId="226" fillId="60" borderId="3" xfId="0" applyFont="1" applyFill="1" applyBorder="1"/>
    <xf numFmtId="173" fontId="227" fillId="54" borderId="67" xfId="384" applyNumberFormat="1" applyFont="1" applyFill="1" applyBorder="1" applyAlignment="1">
      <alignment horizontal="centerContinuous" vertical="center"/>
    </xf>
    <xf numFmtId="1" fontId="219" fillId="0" borderId="0" xfId="0" applyNumberFormat="1" applyFont="1"/>
    <xf numFmtId="3" fontId="177" fillId="0" borderId="0" xfId="0" applyNumberFormat="1" applyFont="1"/>
    <xf numFmtId="173" fontId="227" fillId="54" borderId="0" xfId="384" applyNumberFormat="1" applyFont="1" applyFill="1" applyAlignment="1">
      <alignment horizontal="center" vertical="center"/>
    </xf>
    <xf numFmtId="173" fontId="227" fillId="54" borderId="68" xfId="384" applyNumberFormat="1" applyFont="1" applyFill="1" applyBorder="1" applyAlignment="1">
      <alignment horizontal="centerContinuous" vertical="center"/>
    </xf>
    <xf numFmtId="330" fontId="177" fillId="0" borderId="0" xfId="0" applyNumberFormat="1" applyFont="1"/>
    <xf numFmtId="0" fontId="229" fillId="54" borderId="0" xfId="0" applyFont="1" applyFill="1"/>
    <xf numFmtId="9" fontId="177" fillId="0" borderId="0" xfId="384" applyFont="1" applyAlignment="1">
      <alignment horizontal="center" vertical="center"/>
    </xf>
    <xf numFmtId="9" fontId="177" fillId="0" borderId="0" xfId="384" applyFont="1" applyBorder="1" applyAlignment="1">
      <alignment horizontal="center" vertical="center"/>
    </xf>
    <xf numFmtId="173" fontId="227" fillId="54" borderId="69" xfId="384" applyNumberFormat="1" applyFont="1" applyFill="1" applyBorder="1" applyAlignment="1">
      <alignment horizontal="center" vertical="center"/>
    </xf>
    <xf numFmtId="0" fontId="230" fillId="0" borderId="0" xfId="0" applyFont="1"/>
    <xf numFmtId="9" fontId="177" fillId="0" borderId="70" xfId="384" applyFont="1" applyBorder="1" applyAlignment="1">
      <alignment horizontal="center" vertical="center"/>
    </xf>
    <xf numFmtId="2" fontId="219" fillId="0" borderId="0" xfId="0" applyNumberFormat="1" applyFont="1"/>
    <xf numFmtId="1" fontId="219" fillId="0" borderId="0" xfId="0" applyNumberFormat="1" applyFont="1" applyAlignment="1">
      <alignment horizontal="left"/>
    </xf>
    <xf numFmtId="4" fontId="177" fillId="0" borderId="0" xfId="0" applyNumberFormat="1" applyFont="1"/>
    <xf numFmtId="9" fontId="219" fillId="0" borderId="0" xfId="384" applyFont="1" applyBorder="1"/>
    <xf numFmtId="0" fontId="231" fillId="0" borderId="0" xfId="0" applyFont="1"/>
    <xf numFmtId="0" fontId="219" fillId="0" borderId="0" xfId="0" applyFont="1" applyAlignment="1">
      <alignment horizontal="left"/>
    </xf>
    <xf numFmtId="331" fontId="177" fillId="0" borderId="0" xfId="0" applyNumberFormat="1" applyFont="1"/>
    <xf numFmtId="173" fontId="177" fillId="0" borderId="0" xfId="384" applyNumberFormat="1" applyFont="1"/>
    <xf numFmtId="333" fontId="219" fillId="0" borderId="0" xfId="384" quotePrefix="1" applyNumberFormat="1" applyFont="1" applyBorder="1"/>
    <xf numFmtId="9" fontId="219" fillId="0" borderId="0" xfId="0" applyNumberFormat="1" applyFont="1"/>
    <xf numFmtId="0" fontId="168" fillId="0" borderId="0" xfId="2512" quotePrefix="1"/>
    <xf numFmtId="9" fontId="177" fillId="0" borderId="71" xfId="384" applyFont="1" applyBorder="1" applyAlignment="1">
      <alignment horizontal="center" vertical="center"/>
    </xf>
    <xf numFmtId="9" fontId="177" fillId="0" borderId="72" xfId="384" applyFont="1" applyBorder="1" applyAlignment="1">
      <alignment horizontal="center" vertical="center"/>
    </xf>
    <xf numFmtId="1" fontId="228" fillId="0" borderId="0" xfId="0" applyNumberFormat="1" applyFont="1"/>
    <xf numFmtId="0" fontId="230" fillId="0" borderId="0" xfId="0" applyFont="1" applyAlignment="1">
      <alignment vertical="top"/>
    </xf>
    <xf numFmtId="180" fontId="168" fillId="0" borderId="0" xfId="2512" applyNumberFormat="1"/>
    <xf numFmtId="0" fontId="217" fillId="54" borderId="0" xfId="0" applyFont="1" applyFill="1"/>
    <xf numFmtId="0" fontId="168" fillId="0" borderId="60" xfId="2512" applyBorder="1"/>
    <xf numFmtId="0" fontId="168" fillId="0" borderId="56" xfId="2512" applyBorder="1"/>
    <xf numFmtId="173" fontId="168" fillId="0" borderId="57" xfId="2512" applyNumberFormat="1" applyBorder="1"/>
    <xf numFmtId="0" fontId="168" fillId="0" borderId="10" xfId="2512" applyBorder="1"/>
    <xf numFmtId="0" fontId="168" fillId="0" borderId="7" xfId="2512" applyBorder="1"/>
    <xf numFmtId="173" fontId="168" fillId="0" borderId="30" xfId="2512" applyNumberFormat="1" applyBorder="1"/>
    <xf numFmtId="0" fontId="230" fillId="0" borderId="0" xfId="0" applyFont="1" applyAlignment="1">
      <alignment horizontal="right"/>
    </xf>
    <xf numFmtId="9" fontId="228" fillId="0" borderId="0" xfId="384" applyFont="1" applyFill="1" applyBorder="1"/>
    <xf numFmtId="0" fontId="228" fillId="0" borderId="0" xfId="384" applyNumberFormat="1" applyFont="1" applyFill="1" applyBorder="1"/>
    <xf numFmtId="9" fontId="219" fillId="0" borderId="0" xfId="384" applyFont="1" applyFill="1" applyBorder="1"/>
    <xf numFmtId="0" fontId="177" fillId="0" borderId="56" xfId="0" applyFont="1" applyBorder="1" applyAlignment="1">
      <alignment horizontal="left" indent="1"/>
    </xf>
    <xf numFmtId="3" fontId="177" fillId="0" borderId="56" xfId="0" applyNumberFormat="1" applyFont="1" applyBorder="1"/>
    <xf numFmtId="2" fontId="168" fillId="0" borderId="0" xfId="2512" applyNumberFormat="1"/>
    <xf numFmtId="334" fontId="219" fillId="0" borderId="0" xfId="0" applyNumberFormat="1" applyFont="1"/>
    <xf numFmtId="0" fontId="177" fillId="0" borderId="0" xfId="0" applyFont="1" applyAlignment="1">
      <alignment horizontal="left" indent="1"/>
    </xf>
    <xf numFmtId="9" fontId="209" fillId="0" borderId="0" xfId="0" applyNumberFormat="1" applyFont="1"/>
    <xf numFmtId="9" fontId="45" fillId="0" borderId="0" xfId="0" applyNumberFormat="1" applyFont="1"/>
    <xf numFmtId="0" fontId="220" fillId="0" borderId="33" xfId="0" applyFont="1" applyBorder="1"/>
    <xf numFmtId="3" fontId="220" fillId="0" borderId="33" xfId="0" applyNumberFormat="1" applyFont="1" applyBorder="1"/>
    <xf numFmtId="173" fontId="177" fillId="0" borderId="0" xfId="384" applyNumberFormat="1" applyFont="1" applyAlignment="1">
      <alignment horizontal="center"/>
    </xf>
    <xf numFmtId="335" fontId="168" fillId="0" borderId="0" xfId="2512" applyNumberFormat="1"/>
    <xf numFmtId="335" fontId="219" fillId="0" borderId="0" xfId="0" applyNumberFormat="1" applyFont="1"/>
    <xf numFmtId="9" fontId="226" fillId="0" borderId="0" xfId="384" applyFont="1" applyAlignment="1">
      <alignment horizontal="center"/>
    </xf>
    <xf numFmtId="173" fontId="220" fillId="0" borderId="0" xfId="0" applyNumberFormat="1" applyFont="1" applyAlignment="1">
      <alignment horizontal="center"/>
    </xf>
    <xf numFmtId="0" fontId="220" fillId="0" borderId="0" xfId="0" applyFont="1" applyAlignment="1">
      <alignment horizontal="left" indent="1"/>
    </xf>
    <xf numFmtId="4" fontId="229" fillId="54" borderId="0" xfId="0" applyNumberFormat="1" applyFont="1" applyFill="1"/>
    <xf numFmtId="2" fontId="227" fillId="54" borderId="0" xfId="384" applyNumberFormat="1" applyFont="1" applyFill="1" applyAlignment="1">
      <alignment horizontal="center" vertical="center"/>
    </xf>
    <xf numFmtId="3" fontId="168" fillId="0" borderId="0" xfId="0" applyNumberFormat="1" applyFont="1" applyAlignment="1">
      <alignment horizontal="center" vertical="center"/>
    </xf>
    <xf numFmtId="3" fontId="44" fillId="55" borderId="65" xfId="2516" applyNumberFormat="1" applyFont="1" applyFill="1" applyBorder="1" applyAlignment="1">
      <alignment horizontal="center"/>
    </xf>
    <xf numFmtId="0" fontId="43" fillId="0" borderId="73" xfId="2516" applyFont="1" applyBorder="1"/>
    <xf numFmtId="0" fontId="43" fillId="0" borderId="74" xfId="2516" applyFont="1" applyBorder="1"/>
    <xf numFmtId="0" fontId="44" fillId="0" borderId="74" xfId="2516" applyFont="1" applyBorder="1"/>
    <xf numFmtId="0" fontId="181" fillId="12" borderId="0" xfId="2516" applyFont="1" applyFill="1" applyAlignment="1">
      <alignment horizontal="left" indent="1"/>
    </xf>
    <xf numFmtId="3" fontId="43" fillId="0" borderId="65" xfId="2516" applyNumberFormat="1" applyFont="1" applyBorder="1" applyAlignment="1">
      <alignment horizontal="center"/>
    </xf>
    <xf numFmtId="173" fontId="43" fillId="0" borderId="65" xfId="384" applyNumberFormat="1" applyFont="1" applyBorder="1" applyAlignment="1">
      <alignment horizontal="center"/>
    </xf>
    <xf numFmtId="0" fontId="43" fillId="0" borderId="65" xfId="2516" applyFont="1" applyBorder="1" applyAlignment="1">
      <alignment horizontal="center"/>
    </xf>
    <xf numFmtId="2" fontId="44" fillId="55" borderId="65" xfId="384" applyNumberFormat="1" applyFont="1" applyFill="1" applyBorder="1" applyAlignment="1">
      <alignment horizontal="center"/>
    </xf>
    <xf numFmtId="0" fontId="43" fillId="0" borderId="95" xfId="2516" applyFont="1" applyBorder="1"/>
    <xf numFmtId="0" fontId="43" fillId="0" borderId="96" xfId="2516" applyFont="1" applyBorder="1"/>
    <xf numFmtId="0" fontId="44" fillId="53" borderId="97" xfId="2516" applyFont="1" applyFill="1" applyBorder="1" applyAlignment="1">
      <alignment horizontal="center"/>
    </xf>
    <xf numFmtId="0" fontId="44" fillId="53" borderId="98" xfId="2516" applyFont="1" applyFill="1" applyBorder="1" applyAlignment="1">
      <alignment horizontal="center"/>
    </xf>
    <xf numFmtId="0" fontId="43" fillId="0" borderId="97" xfId="2516" applyFont="1" applyBorder="1"/>
    <xf numFmtId="0" fontId="43" fillId="0" borderId="98" xfId="2516" applyFont="1" applyBorder="1"/>
    <xf numFmtId="0" fontId="43" fillId="0" borderId="99" xfId="2516" applyFont="1" applyBorder="1"/>
    <xf numFmtId="0" fontId="43" fillId="0" borderId="100" xfId="2516" applyFont="1" applyBorder="1"/>
    <xf numFmtId="2" fontId="44" fillId="53" borderId="97" xfId="384" applyNumberFormat="1" applyFont="1" applyFill="1" applyBorder="1" applyAlignment="1">
      <alignment horizontal="center" vertical="center"/>
    </xf>
    <xf numFmtId="2" fontId="44" fillId="53" borderId="98" xfId="384" applyNumberFormat="1" applyFont="1" applyFill="1" applyBorder="1" applyAlignment="1">
      <alignment horizontal="center" vertical="center"/>
    </xf>
    <xf numFmtId="173" fontId="213" fillId="0" borderId="0" xfId="2515" applyNumberFormat="1" applyFont="1" applyAlignment="1">
      <alignment horizontal="center" vertical="center"/>
    </xf>
    <xf numFmtId="343" fontId="44" fillId="0" borderId="0" xfId="384" applyNumberFormat="1" applyFont="1" applyFill="1" applyBorder="1" applyAlignment="1">
      <alignment horizontal="center" vertical="center"/>
    </xf>
    <xf numFmtId="173" fontId="175" fillId="0" borderId="0" xfId="2515" applyNumberFormat="1" applyFont="1" applyAlignment="1">
      <alignment horizontal="center" vertical="center"/>
    </xf>
    <xf numFmtId="173" fontId="44" fillId="60" borderId="0" xfId="45" applyNumberFormat="1" applyFont="1" applyFill="1" applyBorder="1" applyAlignment="1">
      <alignment horizontal="center" vertical="center"/>
    </xf>
    <xf numFmtId="9" fontId="44" fillId="55" borderId="0" xfId="45" applyFont="1" applyFill="1" applyBorder="1" applyAlignment="1">
      <alignment horizontal="center"/>
    </xf>
    <xf numFmtId="337" fontId="44" fillId="60" borderId="0" xfId="384" applyNumberFormat="1" applyFont="1" applyFill="1" applyBorder="1" applyAlignment="1">
      <alignment horizontal="center" vertical="center"/>
    </xf>
    <xf numFmtId="337" fontId="44" fillId="55" borderId="0" xfId="384" applyNumberFormat="1" applyFont="1" applyFill="1" applyBorder="1" applyAlignment="1">
      <alignment horizontal="center" vertical="center"/>
    </xf>
    <xf numFmtId="337" fontId="44" fillId="60" borderId="65" xfId="384" applyNumberFormat="1" applyFont="1" applyFill="1" applyBorder="1" applyAlignment="1">
      <alignment horizontal="center" vertical="center"/>
    </xf>
    <xf numFmtId="337" fontId="44" fillId="55" borderId="65" xfId="384" applyNumberFormat="1" applyFont="1" applyFill="1" applyBorder="1" applyAlignment="1">
      <alignment horizontal="center" vertical="center"/>
    </xf>
    <xf numFmtId="0" fontId="181" fillId="12" borderId="69" xfId="2516" applyFont="1" applyFill="1" applyBorder="1" applyAlignment="1">
      <alignment horizontal="left" vertical="center" indent="1"/>
    </xf>
    <xf numFmtId="9" fontId="44" fillId="53" borderId="0" xfId="45" applyFont="1" applyFill="1" applyBorder="1" applyAlignment="1">
      <alignment horizontal="center" vertical="center"/>
    </xf>
    <xf numFmtId="9" fontId="43" fillId="0" borderId="65" xfId="45" applyFont="1" applyFill="1" applyBorder="1" applyAlignment="1">
      <alignment horizontal="center" vertical="center"/>
    </xf>
    <xf numFmtId="9" fontId="44" fillId="53" borderId="65" xfId="45" applyFont="1" applyFill="1" applyBorder="1" applyAlignment="1">
      <alignment horizontal="center" vertical="center"/>
    </xf>
    <xf numFmtId="337" fontId="43" fillId="0" borderId="65" xfId="384" applyNumberFormat="1" applyFont="1" applyFill="1" applyBorder="1" applyAlignment="1">
      <alignment horizontal="center" vertical="center"/>
    </xf>
    <xf numFmtId="173" fontId="44" fillId="60" borderId="65" xfId="45" applyNumberFormat="1" applyFont="1" applyFill="1" applyBorder="1" applyAlignment="1">
      <alignment horizontal="center" vertical="center"/>
    </xf>
    <xf numFmtId="337" fontId="43" fillId="0" borderId="76" xfId="384" applyNumberFormat="1" applyFont="1" applyFill="1" applyBorder="1" applyAlignment="1">
      <alignment horizontal="center" vertical="center"/>
    </xf>
    <xf numFmtId="173" fontId="43" fillId="12" borderId="75" xfId="2516" applyNumberFormat="1" applyFont="1" applyFill="1" applyBorder="1" applyAlignment="1">
      <alignment horizontal="right"/>
    </xf>
    <xf numFmtId="173" fontId="214" fillId="12" borderId="74" xfId="2516" applyNumberFormat="1" applyFont="1" applyFill="1" applyBorder="1" applyAlignment="1">
      <alignment horizontal="right"/>
    </xf>
    <xf numFmtId="9" fontId="43" fillId="0" borderId="0" xfId="384" applyFont="1" applyBorder="1"/>
    <xf numFmtId="9" fontId="215" fillId="55" borderId="74" xfId="384" applyFont="1" applyFill="1" applyBorder="1" applyAlignment="1">
      <alignment horizontal="center" vertical="center" wrapText="1"/>
    </xf>
    <xf numFmtId="173" fontId="43" fillId="19" borderId="0" xfId="2516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44" fillId="55" borderId="0" xfId="2516" applyFont="1" applyFill="1" applyAlignment="1">
      <alignment vertical="center"/>
    </xf>
    <xf numFmtId="3" fontId="44" fillId="55" borderId="0" xfId="2516" applyNumberFormat="1" applyFont="1" applyFill="1" applyAlignment="1">
      <alignment horizontal="center" vertical="center"/>
    </xf>
    <xf numFmtId="9" fontId="44" fillId="55" borderId="65" xfId="384" applyFont="1" applyFill="1" applyBorder="1" applyAlignment="1">
      <alignment horizontal="center" vertical="center"/>
    </xf>
    <xf numFmtId="337" fontId="44" fillId="55" borderId="65" xfId="2516" applyNumberFormat="1" applyFont="1" applyFill="1" applyBorder="1" applyAlignment="1">
      <alignment horizontal="center" vertical="center"/>
    </xf>
    <xf numFmtId="173" fontId="44" fillId="55" borderId="65" xfId="384" applyNumberFormat="1" applyFont="1" applyFill="1" applyBorder="1" applyAlignment="1">
      <alignment horizontal="center" vertical="center"/>
    </xf>
    <xf numFmtId="0" fontId="175" fillId="63" borderId="0" xfId="2515" applyFont="1" applyFill="1" applyAlignment="1">
      <alignment horizontal="center" vertical="center"/>
    </xf>
    <xf numFmtId="3" fontId="43" fillId="63" borderId="0" xfId="45" applyNumberFormat="1" applyFont="1" applyFill="1" applyBorder="1" applyAlignment="1">
      <alignment horizontal="center" vertical="center"/>
    </xf>
    <xf numFmtId="3" fontId="44" fillId="63" borderId="0" xfId="45" applyNumberFormat="1" applyFont="1" applyFill="1" applyBorder="1" applyAlignment="1">
      <alignment horizontal="center" vertical="center"/>
    </xf>
    <xf numFmtId="173" fontId="44" fillId="63" borderId="0" xfId="384" applyNumberFormat="1" applyFont="1" applyFill="1" applyBorder="1" applyAlignment="1">
      <alignment horizontal="center" vertical="center"/>
    </xf>
    <xf numFmtId="173" fontId="43" fillId="63" borderId="0" xfId="384" applyNumberFormat="1" applyFont="1" applyFill="1" applyBorder="1" applyAlignment="1">
      <alignment horizontal="center" vertical="center"/>
    </xf>
    <xf numFmtId="3" fontId="44" fillId="61" borderId="0" xfId="45" applyNumberFormat="1" applyFont="1" applyFill="1" applyBorder="1" applyAlignment="1">
      <alignment horizontal="center" vertical="center"/>
    </xf>
    <xf numFmtId="173" fontId="44" fillId="61" borderId="0" xfId="384" applyNumberFormat="1" applyFont="1" applyFill="1" applyBorder="1" applyAlignment="1">
      <alignment horizontal="center" vertical="center"/>
    </xf>
    <xf numFmtId="180" fontId="44" fillId="61" borderId="0" xfId="45" applyNumberFormat="1" applyFont="1" applyFill="1" applyBorder="1" applyAlignment="1">
      <alignment horizontal="center" vertical="center"/>
    </xf>
    <xf numFmtId="0" fontId="175" fillId="71" borderId="0" xfId="2515" applyFont="1" applyFill="1" applyAlignment="1">
      <alignment vertical="center"/>
    </xf>
    <xf numFmtId="0" fontId="175" fillId="71" borderId="0" xfId="2516" applyFont="1" applyFill="1" applyAlignment="1">
      <alignment horizontal="center"/>
    </xf>
    <xf numFmtId="14" fontId="44" fillId="0" borderId="58" xfId="2516" applyNumberFormat="1" applyFont="1" applyBorder="1" applyAlignment="1">
      <alignment horizontal="center"/>
    </xf>
    <xf numFmtId="0" fontId="44" fillId="0" borderId="0" xfId="2516" applyFont="1" applyAlignment="1">
      <alignment horizontal="center"/>
    </xf>
    <xf numFmtId="0" fontId="43" fillId="0" borderId="101" xfId="2516" applyFont="1" applyBorder="1"/>
    <xf numFmtId="0" fontId="43" fillId="0" borderId="102" xfId="2516" applyFont="1" applyBorder="1"/>
    <xf numFmtId="0" fontId="43" fillId="0" borderId="103" xfId="2516" applyFont="1" applyBorder="1"/>
    <xf numFmtId="173" fontId="44" fillId="0" borderId="97" xfId="384" applyNumberFormat="1" applyFont="1" applyFill="1" applyBorder="1" applyAlignment="1">
      <alignment horizontal="center" vertical="center"/>
    </xf>
    <xf numFmtId="173" fontId="44" fillId="0" borderId="98" xfId="384" applyNumberFormat="1" applyFont="1" applyFill="1" applyBorder="1" applyAlignment="1">
      <alignment horizontal="center" vertical="center"/>
    </xf>
    <xf numFmtId="344" fontId="43" fillId="0" borderId="97" xfId="384" applyNumberFormat="1" applyFont="1" applyBorder="1" applyAlignment="1">
      <alignment horizontal="center" vertical="center"/>
    </xf>
    <xf numFmtId="344" fontId="43" fillId="0" borderId="98" xfId="384" applyNumberFormat="1" applyFont="1" applyBorder="1" applyAlignment="1">
      <alignment horizontal="center" vertical="center"/>
    </xf>
    <xf numFmtId="173" fontId="44" fillId="0" borderId="102" xfId="384" applyNumberFormat="1" applyFont="1" applyFill="1" applyBorder="1" applyAlignment="1">
      <alignment horizontal="center" vertical="center"/>
    </xf>
    <xf numFmtId="344" fontId="43" fillId="0" borderId="102" xfId="384" applyNumberFormat="1" applyFont="1" applyBorder="1" applyAlignment="1">
      <alignment horizontal="center" vertical="center"/>
    </xf>
    <xf numFmtId="9" fontId="232" fillId="0" borderId="97" xfId="384" applyFont="1" applyFill="1" applyBorder="1" applyAlignment="1">
      <alignment horizontal="center" vertical="center"/>
    </xf>
    <xf numFmtId="9" fontId="233" fillId="53" borderId="97" xfId="384" applyFont="1" applyFill="1" applyBorder="1" applyAlignment="1">
      <alignment horizontal="center" vertical="center"/>
    </xf>
    <xf numFmtId="9" fontId="232" fillId="0" borderId="98" xfId="384" applyFont="1" applyFill="1" applyBorder="1" applyAlignment="1">
      <alignment horizontal="center" vertical="center"/>
    </xf>
    <xf numFmtId="9" fontId="233" fillId="53" borderId="98" xfId="384" applyFont="1" applyFill="1" applyBorder="1" applyAlignment="1">
      <alignment horizontal="center" vertical="center"/>
    </xf>
    <xf numFmtId="9" fontId="232" fillId="0" borderId="102" xfId="384" applyFont="1" applyFill="1" applyBorder="1" applyAlignment="1">
      <alignment horizontal="center" vertical="center"/>
    </xf>
    <xf numFmtId="3" fontId="44" fillId="65" borderId="0" xfId="45" applyNumberFormat="1" applyFont="1" applyFill="1" applyBorder="1" applyAlignment="1">
      <alignment horizontal="center" vertical="center"/>
    </xf>
    <xf numFmtId="9" fontId="173" fillId="0" borderId="0" xfId="384" applyFont="1" applyFill="1" applyBorder="1" applyAlignment="1">
      <alignment horizontal="center" vertical="center"/>
    </xf>
    <xf numFmtId="9" fontId="174" fillId="55" borderId="0" xfId="384" applyFont="1" applyFill="1" applyBorder="1" applyAlignment="1">
      <alignment horizontal="center" vertical="center"/>
    </xf>
    <xf numFmtId="9" fontId="173" fillId="0" borderId="65" xfId="384" applyFont="1" applyFill="1" applyBorder="1" applyAlignment="1">
      <alignment horizontal="center" vertical="center"/>
    </xf>
    <xf numFmtId="9" fontId="174" fillId="55" borderId="65" xfId="384" applyFont="1" applyFill="1" applyBorder="1" applyAlignment="1">
      <alignment horizontal="center" vertical="center"/>
    </xf>
    <xf numFmtId="9" fontId="44" fillId="55" borderId="65" xfId="45" applyFont="1" applyFill="1" applyBorder="1" applyAlignment="1">
      <alignment horizontal="center" vertical="center"/>
    </xf>
    <xf numFmtId="9" fontId="44" fillId="55" borderId="0" xfId="45" applyFont="1" applyFill="1" applyBorder="1" applyAlignment="1">
      <alignment horizontal="center" vertical="center"/>
    </xf>
    <xf numFmtId="3" fontId="215" fillId="55" borderId="74" xfId="384" applyNumberFormat="1" applyFont="1" applyFill="1" applyBorder="1" applyAlignment="1">
      <alignment horizontal="center" vertical="center"/>
    </xf>
    <xf numFmtId="9" fontId="215" fillId="60" borderId="74" xfId="384" applyFont="1" applyFill="1" applyBorder="1" applyAlignment="1">
      <alignment horizontal="center" vertical="center"/>
    </xf>
    <xf numFmtId="9" fontId="218" fillId="0" borderId="74" xfId="384" applyFont="1" applyFill="1" applyBorder="1" applyAlignment="1">
      <alignment horizontal="center" vertical="center"/>
    </xf>
    <xf numFmtId="9" fontId="214" fillId="0" borderId="0" xfId="384" applyFont="1" applyFill="1" applyBorder="1" applyAlignment="1">
      <alignment horizontal="center" vertical="center"/>
    </xf>
    <xf numFmtId="343" fontId="214" fillId="0" borderId="0" xfId="384" applyNumberFormat="1" applyFont="1" applyFill="1" applyBorder="1" applyAlignment="1">
      <alignment horizontal="center" vertical="center"/>
    </xf>
    <xf numFmtId="9" fontId="218" fillId="0" borderId="0" xfId="384" applyFont="1" applyFill="1" applyBorder="1" applyAlignment="1">
      <alignment horizontal="center" vertical="center"/>
    </xf>
    <xf numFmtId="9" fontId="175" fillId="0" borderId="0" xfId="45" applyFont="1" applyFill="1" applyBorder="1" applyAlignment="1">
      <alignment horizontal="center"/>
    </xf>
    <xf numFmtId="173" fontId="215" fillId="0" borderId="0" xfId="2515" applyNumberFormat="1" applyFont="1" applyAlignment="1">
      <alignment horizontal="center" vertical="center"/>
    </xf>
    <xf numFmtId="9" fontId="215" fillId="0" borderId="0" xfId="384" applyFont="1" applyFill="1" applyBorder="1" applyAlignment="1">
      <alignment horizontal="center" vertical="center"/>
    </xf>
    <xf numFmtId="3" fontId="215" fillId="0" borderId="0" xfId="384" applyNumberFormat="1" applyFont="1" applyFill="1" applyBorder="1" applyAlignment="1">
      <alignment horizontal="center" vertical="center"/>
    </xf>
    <xf numFmtId="173" fontId="214" fillId="0" borderId="0" xfId="2516" applyNumberFormat="1" applyFont="1" applyAlignment="1">
      <alignment horizontal="right"/>
    </xf>
    <xf numFmtId="9" fontId="179" fillId="0" borderId="0" xfId="45" applyFont="1" applyBorder="1" applyAlignment="1">
      <alignment horizontal="center" vertical="center"/>
    </xf>
    <xf numFmtId="173" fontId="232" fillId="0" borderId="0" xfId="384" applyNumberFormat="1" applyFont="1" applyFill="1" applyBorder="1" applyAlignment="1">
      <alignment horizontal="center" vertical="center"/>
    </xf>
    <xf numFmtId="173" fontId="233" fillId="53" borderId="0" xfId="384" applyNumberFormat="1" applyFont="1" applyFill="1" applyBorder="1" applyAlignment="1">
      <alignment horizontal="center" vertical="center"/>
    </xf>
    <xf numFmtId="173" fontId="44" fillId="0" borderId="87" xfId="384" applyNumberFormat="1" applyFont="1" applyFill="1" applyBorder="1" applyAlignment="1">
      <alignment horizontal="center" vertical="center"/>
    </xf>
    <xf numFmtId="344" fontId="43" fillId="0" borderId="87" xfId="384" applyNumberFormat="1" applyFont="1" applyBorder="1" applyAlignment="1">
      <alignment horizontal="center" vertical="center"/>
    </xf>
    <xf numFmtId="344" fontId="43" fillId="0" borderId="0" xfId="384" applyNumberFormat="1" applyFont="1" applyBorder="1" applyAlignment="1">
      <alignment horizontal="center" vertical="center"/>
    </xf>
    <xf numFmtId="344" fontId="174" fillId="53" borderId="87" xfId="384" applyNumberFormat="1" applyFont="1" applyFill="1" applyBorder="1" applyAlignment="1">
      <alignment horizontal="center" vertical="center"/>
    </xf>
    <xf numFmtId="344" fontId="174" fillId="53" borderId="0" xfId="384" applyNumberFormat="1" applyFont="1" applyFill="1" applyBorder="1" applyAlignment="1">
      <alignment horizontal="center" vertical="center"/>
    </xf>
    <xf numFmtId="9" fontId="43" fillId="60" borderId="0" xfId="384" applyFont="1" applyFill="1" applyBorder="1" applyAlignment="1">
      <alignment horizontal="center" vertical="center"/>
    </xf>
    <xf numFmtId="344" fontId="174" fillId="60" borderId="87" xfId="384" applyNumberFormat="1" applyFont="1" applyFill="1" applyBorder="1" applyAlignment="1">
      <alignment horizontal="center" vertical="center"/>
    </xf>
    <xf numFmtId="344" fontId="174" fillId="60" borderId="0" xfId="384" applyNumberFormat="1" applyFont="1" applyFill="1" applyBorder="1" applyAlignment="1">
      <alignment horizontal="center" vertical="center"/>
    </xf>
    <xf numFmtId="3" fontId="44" fillId="60" borderId="80" xfId="45" applyNumberFormat="1" applyFont="1" applyFill="1" applyBorder="1" applyAlignment="1">
      <alignment horizontal="center" vertical="center"/>
    </xf>
    <xf numFmtId="3" fontId="44" fillId="65" borderId="84" xfId="45" applyNumberFormat="1" applyFont="1" applyFill="1" applyBorder="1" applyAlignment="1">
      <alignment horizontal="center" vertical="center"/>
    </xf>
    <xf numFmtId="173" fontId="232" fillId="0" borderId="78" xfId="384" applyNumberFormat="1" applyFont="1" applyFill="1" applyBorder="1" applyAlignment="1">
      <alignment horizontal="center" vertical="center"/>
    </xf>
    <xf numFmtId="173" fontId="233" fillId="53" borderId="78" xfId="384" applyNumberFormat="1" applyFont="1" applyFill="1" applyBorder="1" applyAlignment="1">
      <alignment horizontal="center" vertical="center"/>
    </xf>
    <xf numFmtId="173" fontId="44" fillId="0" borderId="78" xfId="384" applyNumberFormat="1" applyFont="1" applyFill="1" applyBorder="1" applyAlignment="1">
      <alignment horizontal="center" vertical="center"/>
    </xf>
    <xf numFmtId="344" fontId="43" fillId="0" borderId="78" xfId="384" applyNumberFormat="1" applyFont="1" applyBorder="1" applyAlignment="1">
      <alignment horizontal="center" vertical="center"/>
    </xf>
    <xf numFmtId="344" fontId="174" fillId="53" borderId="78" xfId="384" applyNumberFormat="1" applyFont="1" applyFill="1" applyBorder="1" applyAlignment="1">
      <alignment horizontal="center" vertical="center"/>
    </xf>
    <xf numFmtId="344" fontId="44" fillId="53" borderId="0" xfId="384" applyNumberFormat="1" applyFont="1" applyFill="1" applyBorder="1" applyAlignment="1">
      <alignment horizontal="center" vertical="center"/>
    </xf>
    <xf numFmtId="176" fontId="200" fillId="70" borderId="0" xfId="0" applyNumberFormat="1" applyFont="1" applyFill="1" applyAlignment="1">
      <alignment vertical="center"/>
    </xf>
    <xf numFmtId="9" fontId="219" fillId="0" borderId="0" xfId="384" applyFont="1"/>
    <xf numFmtId="0" fontId="219" fillId="70" borderId="0" xfId="0" applyFont="1" applyFill="1"/>
    <xf numFmtId="0" fontId="228" fillId="70" borderId="0" xfId="0" applyFont="1" applyFill="1"/>
    <xf numFmtId="173" fontId="219" fillId="70" borderId="0" xfId="0" applyNumberFormat="1" applyFont="1" applyFill="1"/>
    <xf numFmtId="173" fontId="228" fillId="70" borderId="0" xfId="0" applyNumberFormat="1" applyFont="1" applyFill="1"/>
    <xf numFmtId="9" fontId="168" fillId="0" borderId="0" xfId="384" applyFont="1"/>
    <xf numFmtId="1" fontId="32" fillId="19" borderId="0" xfId="384" quotePrefix="1" applyNumberFormat="1" applyFont="1" applyFill="1" applyBorder="1" applyAlignment="1">
      <alignment vertical="center"/>
    </xf>
    <xf numFmtId="9" fontId="44" fillId="55" borderId="104" xfId="45" applyFont="1" applyFill="1" applyBorder="1" applyAlignment="1">
      <alignment horizontal="center"/>
    </xf>
    <xf numFmtId="173" fontId="213" fillId="0" borderId="104" xfId="2515" applyNumberFormat="1" applyFont="1" applyBorder="1" applyAlignment="1">
      <alignment horizontal="center" vertical="center"/>
    </xf>
    <xf numFmtId="9" fontId="173" fillId="0" borderId="104" xfId="384" applyFont="1" applyFill="1" applyBorder="1" applyAlignment="1">
      <alignment horizontal="center" vertical="center"/>
    </xf>
    <xf numFmtId="9" fontId="174" fillId="55" borderId="104" xfId="384" applyFont="1" applyFill="1" applyBorder="1" applyAlignment="1">
      <alignment horizontal="center" vertical="center"/>
    </xf>
    <xf numFmtId="337" fontId="44" fillId="55" borderId="104" xfId="384" applyNumberFormat="1" applyFont="1" applyFill="1" applyBorder="1" applyAlignment="1">
      <alignment horizontal="center" vertical="center"/>
    </xf>
    <xf numFmtId="9" fontId="44" fillId="55" borderId="104" xfId="45" applyFont="1" applyFill="1" applyBorder="1" applyAlignment="1">
      <alignment horizontal="center" vertical="top"/>
    </xf>
    <xf numFmtId="0" fontId="175" fillId="57" borderId="0" xfId="2515" applyFont="1" applyFill="1" applyAlignment="1">
      <alignment horizontal="center" vertical="top"/>
    </xf>
    <xf numFmtId="0" fontId="175" fillId="69" borderId="0" xfId="2515" applyFont="1" applyFill="1" applyAlignment="1">
      <alignment horizontal="center" vertical="top"/>
    </xf>
    <xf numFmtId="0" fontId="175" fillId="54" borderId="0" xfId="2515" applyFont="1" applyFill="1" applyAlignment="1">
      <alignment horizontal="center" vertical="top"/>
    </xf>
    <xf numFmtId="0" fontId="175" fillId="71" borderId="0" xfId="2515" applyFont="1" applyFill="1" applyAlignment="1">
      <alignment horizontal="center" vertical="top"/>
    </xf>
    <xf numFmtId="9" fontId="44" fillId="53" borderId="65" xfId="45" applyFont="1" applyFill="1" applyBorder="1" applyAlignment="1">
      <alignment horizontal="center" vertical="top"/>
    </xf>
    <xf numFmtId="9" fontId="44" fillId="55" borderId="0" xfId="45" applyFont="1" applyFill="1" applyBorder="1" applyAlignment="1">
      <alignment horizontal="center" vertical="top"/>
    </xf>
    <xf numFmtId="0" fontId="173" fillId="0" borderId="0" xfId="0" applyFont="1"/>
    <xf numFmtId="0" fontId="174" fillId="0" borderId="0" xfId="0" applyFont="1"/>
    <xf numFmtId="3" fontId="173" fillId="0" borderId="0" xfId="0" applyNumberFormat="1" applyFont="1"/>
    <xf numFmtId="173" fontId="181" fillId="12" borderId="0" xfId="2516" applyNumberFormat="1" applyFont="1" applyFill="1" applyAlignment="1">
      <alignment horizontal="left"/>
    </xf>
    <xf numFmtId="173" fontId="212" fillId="12" borderId="0" xfId="2516" applyNumberFormat="1" applyFont="1" applyFill="1" applyAlignment="1">
      <alignment horizontal="left"/>
    </xf>
    <xf numFmtId="0" fontId="174" fillId="0" borderId="0" xfId="0" applyFont="1" applyAlignment="1">
      <alignment horizontal="center"/>
    </xf>
    <xf numFmtId="0" fontId="173" fillId="0" borderId="0" xfId="0" applyFont="1" applyAlignment="1">
      <alignment horizontal="center"/>
    </xf>
    <xf numFmtId="180" fontId="173" fillId="0" borderId="0" xfId="0" applyNumberFormat="1" applyFont="1" applyAlignment="1">
      <alignment horizontal="center"/>
    </xf>
    <xf numFmtId="172" fontId="173" fillId="0" borderId="0" xfId="0" applyNumberFormat="1" applyFont="1" applyAlignment="1">
      <alignment horizontal="center"/>
    </xf>
    <xf numFmtId="173" fontId="173" fillId="0" borderId="0" xfId="384" applyNumberFormat="1" applyFont="1" applyAlignment="1">
      <alignment horizontal="center"/>
    </xf>
    <xf numFmtId="3" fontId="173" fillId="0" borderId="0" xfId="0" applyNumberFormat="1" applyFont="1" applyAlignment="1">
      <alignment horizontal="center"/>
    </xf>
    <xf numFmtId="0" fontId="173" fillId="0" borderId="0" xfId="0" applyFont="1" applyAlignment="1">
      <alignment horizontal="left"/>
    </xf>
    <xf numFmtId="9" fontId="173" fillId="0" borderId="0" xfId="384" applyFont="1" applyAlignment="1">
      <alignment horizontal="center"/>
    </xf>
    <xf numFmtId="173" fontId="218" fillId="12" borderId="0" xfId="2516" applyNumberFormat="1" applyFont="1" applyFill="1" applyAlignment="1">
      <alignment horizontal="left" vertical="center"/>
    </xf>
    <xf numFmtId="173" fontId="181" fillId="12" borderId="0" xfId="2516" applyNumberFormat="1" applyFont="1" applyFill="1" applyAlignment="1">
      <alignment horizontal="left" vertical="center"/>
    </xf>
    <xf numFmtId="173" fontId="181" fillId="0" borderId="0" xfId="2516" applyNumberFormat="1" applyFont="1" applyAlignment="1">
      <alignment horizontal="left"/>
    </xf>
    <xf numFmtId="0" fontId="173" fillId="0" borderId="105" xfId="0" applyFont="1" applyBorder="1"/>
    <xf numFmtId="0" fontId="173" fillId="0" borderId="106" xfId="0" applyFont="1" applyBorder="1"/>
    <xf numFmtId="0" fontId="174" fillId="0" borderId="11" xfId="0" applyFont="1" applyBorder="1" applyAlignment="1">
      <alignment horizontal="center"/>
    </xf>
    <xf numFmtId="0" fontId="174" fillId="0" borderId="28" xfId="0" applyFont="1" applyBorder="1" applyAlignment="1">
      <alignment horizontal="center"/>
    </xf>
    <xf numFmtId="0" fontId="173" fillId="0" borderId="11" xfId="0" applyFont="1" applyBorder="1"/>
    <xf numFmtId="3" fontId="173" fillId="0" borderId="11" xfId="0" applyNumberFormat="1" applyFont="1" applyBorder="1" applyAlignment="1">
      <alignment horizontal="center"/>
    </xf>
    <xf numFmtId="3" fontId="173" fillId="0" borderId="28" xfId="0" applyNumberFormat="1" applyFont="1" applyBorder="1"/>
    <xf numFmtId="0" fontId="173" fillId="0" borderId="10" xfId="0" applyFont="1" applyBorder="1"/>
    <xf numFmtId="0" fontId="173" fillId="0" borderId="30" xfId="0" applyFont="1" applyBorder="1"/>
    <xf numFmtId="0" fontId="173" fillId="0" borderId="28" xfId="0" applyFont="1" applyBorder="1" applyAlignment="1">
      <alignment horizontal="center"/>
    </xf>
    <xf numFmtId="3" fontId="173" fillId="0" borderId="28" xfId="0" applyNumberFormat="1" applyFont="1" applyBorder="1" applyAlignment="1">
      <alignment horizontal="center"/>
    </xf>
    <xf numFmtId="9" fontId="174" fillId="53" borderId="0" xfId="384" applyFont="1" applyFill="1" applyAlignment="1">
      <alignment horizontal="center" vertical="center"/>
    </xf>
    <xf numFmtId="0" fontId="175" fillId="54" borderId="82" xfId="2515" applyFont="1" applyFill="1" applyBorder="1" applyAlignment="1">
      <alignment vertical="center"/>
    </xf>
    <xf numFmtId="0" fontId="175" fillId="54" borderId="69" xfId="2515" applyFont="1" applyFill="1" applyBorder="1" applyAlignment="1">
      <alignment vertical="center"/>
    </xf>
    <xf numFmtId="0" fontId="173" fillId="0" borderId="107" xfId="0" applyFont="1" applyBorder="1"/>
    <xf numFmtId="0" fontId="174" fillId="0" borderId="13" xfId="0" applyFont="1" applyBorder="1" applyAlignment="1">
      <alignment horizontal="center"/>
    </xf>
    <xf numFmtId="0" fontId="173" fillId="0" borderId="13" xfId="0" applyFont="1" applyBorder="1" applyAlignment="1">
      <alignment horizontal="center"/>
    </xf>
    <xf numFmtId="3" fontId="186" fillId="60" borderId="13" xfId="0" applyNumberFormat="1" applyFont="1" applyFill="1" applyBorder="1" applyAlignment="1">
      <alignment horizontal="center"/>
    </xf>
    <xf numFmtId="173" fontId="173" fillId="0" borderId="13" xfId="384" applyNumberFormat="1" applyFont="1" applyFill="1" applyBorder="1" applyAlignment="1">
      <alignment horizontal="center"/>
    </xf>
    <xf numFmtId="3" fontId="173" fillId="0" borderId="13" xfId="0" applyNumberFormat="1" applyFont="1" applyBorder="1" applyAlignment="1">
      <alignment horizontal="center"/>
    </xf>
    <xf numFmtId="0" fontId="173" fillId="0" borderId="13" xfId="0" applyFont="1" applyBorder="1"/>
    <xf numFmtId="9" fontId="186" fillId="60" borderId="13" xfId="384" applyFont="1" applyFill="1" applyBorder="1" applyAlignment="1">
      <alignment horizontal="center"/>
    </xf>
    <xf numFmtId="0" fontId="173" fillId="0" borderId="12" xfId="0" applyFont="1" applyBorder="1"/>
    <xf numFmtId="173" fontId="173" fillId="0" borderId="13" xfId="384" applyNumberFormat="1" applyFont="1" applyBorder="1" applyAlignment="1">
      <alignment horizontal="center"/>
    </xf>
    <xf numFmtId="9" fontId="173" fillId="0" borderId="13" xfId="384" applyFont="1" applyBorder="1" applyAlignment="1">
      <alignment horizontal="center"/>
    </xf>
    <xf numFmtId="9" fontId="232" fillId="0" borderId="0" xfId="384" applyFont="1" applyFill="1" applyBorder="1" applyAlignment="1">
      <alignment horizontal="center" vertical="center"/>
    </xf>
    <xf numFmtId="9" fontId="233" fillId="53" borderId="0" xfId="384" applyFont="1" applyFill="1" applyBorder="1" applyAlignment="1">
      <alignment horizontal="center" vertical="center"/>
    </xf>
    <xf numFmtId="9" fontId="43" fillId="12" borderId="0" xfId="2516" applyNumberFormat="1" applyFont="1" applyFill="1" applyAlignment="1">
      <alignment horizontal="right"/>
    </xf>
    <xf numFmtId="9" fontId="232" fillId="0" borderId="87" xfId="384" applyFont="1" applyFill="1" applyBorder="1" applyAlignment="1">
      <alignment horizontal="center" vertical="center"/>
    </xf>
    <xf numFmtId="9" fontId="233" fillId="53" borderId="87" xfId="384" applyFont="1" applyFill="1" applyBorder="1" applyAlignment="1">
      <alignment horizontal="center" vertical="center"/>
    </xf>
    <xf numFmtId="9" fontId="43" fillId="12" borderId="87" xfId="2516" applyNumberFormat="1" applyFont="1" applyFill="1" applyBorder="1" applyAlignment="1">
      <alignment horizontal="right"/>
    </xf>
    <xf numFmtId="9" fontId="44" fillId="0" borderId="87" xfId="384" applyFont="1" applyFill="1" applyBorder="1" applyAlignment="1">
      <alignment horizontal="center" vertical="center"/>
    </xf>
    <xf numFmtId="173" fontId="44" fillId="55" borderId="80" xfId="384" applyNumberFormat="1" applyFont="1" applyFill="1" applyBorder="1" applyAlignment="1">
      <alignment horizontal="center" vertical="center"/>
    </xf>
    <xf numFmtId="173" fontId="44" fillId="55" borderId="84" xfId="384" applyNumberFormat="1" applyFont="1" applyFill="1" applyBorder="1" applyAlignment="1">
      <alignment horizontal="center" vertical="center"/>
    </xf>
    <xf numFmtId="0" fontId="173" fillId="53" borderId="0" xfId="0" applyFont="1" applyFill="1"/>
    <xf numFmtId="0" fontId="218" fillId="0" borderId="74" xfId="2516" applyFont="1" applyBorder="1" applyAlignment="1">
      <alignment horizontal="center"/>
    </xf>
    <xf numFmtId="9" fontId="199" fillId="60" borderId="0" xfId="0" applyNumberFormat="1" applyFont="1" applyFill="1"/>
    <xf numFmtId="9" fontId="44" fillId="55" borderId="91" xfId="384" applyFont="1" applyFill="1" applyBorder="1" applyAlignment="1">
      <alignment horizontal="center" vertical="center" wrapText="1"/>
    </xf>
    <xf numFmtId="9" fontId="44" fillId="55" borderId="74" xfId="384" applyFont="1" applyFill="1" applyBorder="1" applyAlignment="1">
      <alignment horizontal="center" vertical="center"/>
    </xf>
    <xf numFmtId="9" fontId="44" fillId="55" borderId="74" xfId="384" applyFont="1" applyFill="1" applyBorder="1" applyAlignment="1">
      <alignment horizontal="center" vertical="center" wrapText="1"/>
    </xf>
    <xf numFmtId="0" fontId="43" fillId="0" borderId="73" xfId="2516" applyFont="1" applyBorder="1" applyAlignment="1">
      <alignment vertical="center"/>
    </xf>
    <xf numFmtId="9" fontId="175" fillId="72" borderId="74" xfId="45" applyFont="1" applyFill="1" applyBorder="1" applyAlignment="1">
      <alignment horizontal="center" vertical="center"/>
    </xf>
    <xf numFmtId="0" fontId="43" fillId="0" borderId="74" xfId="2516" applyFont="1" applyBorder="1" applyAlignment="1">
      <alignment vertical="center"/>
    </xf>
    <xf numFmtId="173" fontId="43" fillId="0" borderId="0" xfId="384" applyNumberFormat="1" applyFont="1" applyBorder="1" applyAlignment="1">
      <alignment horizontal="center" vertical="center"/>
    </xf>
    <xf numFmtId="0" fontId="181" fillId="0" borderId="74" xfId="2516" applyFont="1" applyBorder="1" applyAlignment="1">
      <alignment horizontal="center" vertical="center"/>
    </xf>
    <xf numFmtId="0" fontId="43" fillId="0" borderId="75" xfId="2516" applyFont="1" applyBorder="1" applyAlignment="1">
      <alignment vertical="center"/>
    </xf>
    <xf numFmtId="9" fontId="44" fillId="0" borderId="74" xfId="384" applyFont="1" applyFill="1" applyBorder="1" applyAlignment="1">
      <alignment horizontal="center" vertical="center"/>
    </xf>
    <xf numFmtId="0" fontId="43" fillId="0" borderId="74" xfId="2516" applyFont="1" applyBorder="1" applyAlignment="1">
      <alignment horizontal="center" vertical="center"/>
    </xf>
    <xf numFmtId="0" fontId="43" fillId="0" borderId="0" xfId="2516" applyFont="1" applyAlignment="1">
      <alignment horizontal="center" vertical="center" wrapText="1"/>
    </xf>
    <xf numFmtId="9" fontId="44" fillId="0" borderId="74" xfId="384" applyFont="1" applyFill="1" applyBorder="1" applyAlignment="1">
      <alignment horizontal="center" vertical="center" wrapText="1"/>
    </xf>
    <xf numFmtId="173" fontId="198" fillId="0" borderId="0" xfId="384" applyNumberFormat="1" applyFont="1" applyFill="1" applyBorder="1" applyAlignment="1">
      <alignment vertical="center"/>
    </xf>
    <xf numFmtId="9" fontId="200" fillId="0" borderId="0" xfId="384" applyFont="1" applyAlignment="1">
      <alignment vertical="center"/>
    </xf>
    <xf numFmtId="0" fontId="32" fillId="12" borderId="58" xfId="1" applyFont="1" applyFill="1" applyBorder="1"/>
    <xf numFmtId="0" fontId="168" fillId="0" borderId="58" xfId="0" applyFont="1" applyBorder="1"/>
    <xf numFmtId="176" fontId="200" fillId="0" borderId="58" xfId="0" applyNumberFormat="1" applyFont="1" applyBorder="1" applyAlignment="1">
      <alignment vertical="center"/>
    </xf>
    <xf numFmtId="176" fontId="171" fillId="0" borderId="58" xfId="0" applyNumberFormat="1" applyFont="1" applyBorder="1" applyAlignment="1">
      <alignment vertical="center"/>
    </xf>
    <xf numFmtId="10" fontId="200" fillId="0" borderId="58" xfId="384" applyNumberFormat="1" applyFont="1" applyFill="1" applyBorder="1" applyAlignment="1">
      <alignment vertical="center"/>
    </xf>
    <xf numFmtId="9" fontId="200" fillId="0" borderId="58" xfId="384" applyFont="1" applyFill="1" applyBorder="1" applyAlignment="1">
      <alignment vertical="center"/>
    </xf>
    <xf numFmtId="0" fontId="28" fillId="12" borderId="0" xfId="1" applyFont="1" applyFill="1" applyAlignment="1">
      <alignment horizontal="left" indent="3"/>
    </xf>
    <xf numFmtId="173" fontId="198" fillId="0" borderId="0" xfId="0" applyNumberFormat="1" applyFont="1"/>
    <xf numFmtId="3" fontId="44" fillId="55" borderId="74" xfId="384" applyNumberFormat="1" applyFont="1" applyFill="1" applyBorder="1" applyAlignment="1">
      <alignment horizontal="center" vertical="center"/>
    </xf>
    <xf numFmtId="0" fontId="227" fillId="54" borderId="0" xfId="0" applyFont="1" applyFill="1" applyAlignment="1">
      <alignment vertical="center"/>
    </xf>
    <xf numFmtId="1" fontId="176" fillId="0" borderId="0" xfId="384" applyNumberFormat="1" applyFont="1" applyBorder="1" applyAlignment="1">
      <alignment horizontal="center" vertical="center"/>
    </xf>
    <xf numFmtId="173" fontId="200" fillId="0" borderId="58" xfId="384" applyNumberFormat="1" applyFont="1" applyFill="1" applyBorder="1" applyAlignment="1">
      <alignment vertical="center"/>
    </xf>
    <xf numFmtId="3" fontId="44" fillId="53" borderId="0" xfId="45" applyNumberFormat="1" applyFont="1" applyFill="1" applyBorder="1" applyAlignment="1">
      <alignment horizontal="center" vertical="center"/>
    </xf>
    <xf numFmtId="9" fontId="233" fillId="53" borderId="102" xfId="384" applyFont="1" applyFill="1" applyBorder="1" applyAlignment="1">
      <alignment horizontal="center" vertical="center"/>
    </xf>
    <xf numFmtId="2" fontId="44" fillId="53" borderId="102" xfId="384" applyNumberFormat="1" applyFont="1" applyFill="1" applyBorder="1" applyAlignment="1">
      <alignment horizontal="center" vertical="center"/>
    </xf>
    <xf numFmtId="0" fontId="44" fillId="53" borderId="102" xfId="2516" applyFont="1" applyFill="1" applyBorder="1" applyAlignment="1">
      <alignment horizontal="center"/>
    </xf>
    <xf numFmtId="0" fontId="44" fillId="53" borderId="102" xfId="2515" applyFont="1" applyFill="1" applyBorder="1" applyAlignment="1">
      <alignment horizontal="center" vertical="center"/>
    </xf>
    <xf numFmtId="0" fontId="33" fillId="12" borderId="0" xfId="2516" applyFont="1" applyFill="1"/>
    <xf numFmtId="9" fontId="43" fillId="12" borderId="0" xfId="384" applyFont="1" applyFill="1" applyBorder="1" applyAlignment="1">
      <alignment horizontal="center"/>
    </xf>
    <xf numFmtId="173" fontId="43" fillId="12" borderId="0" xfId="2516" applyNumberFormat="1" applyFont="1" applyFill="1"/>
    <xf numFmtId="173" fontId="43" fillId="33" borderId="0" xfId="2516" applyNumberFormat="1" applyFont="1" applyFill="1" applyAlignment="1">
      <alignment horizontal="right"/>
    </xf>
    <xf numFmtId="1" fontId="208" fillId="70" borderId="3" xfId="2516" applyNumberFormat="1" applyFont="1" applyFill="1" applyBorder="1" applyAlignment="1">
      <alignment horizontal="center"/>
    </xf>
    <xf numFmtId="173" fontId="43" fillId="63" borderId="0" xfId="2516" applyNumberFormat="1" applyFont="1" applyFill="1" applyAlignment="1">
      <alignment horizontal="center"/>
    </xf>
    <xf numFmtId="0" fontId="43" fillId="0" borderId="84" xfId="2516" applyFont="1" applyBorder="1" applyAlignment="1">
      <alignment horizontal="right"/>
    </xf>
    <xf numFmtId="0" fontId="44" fillId="0" borderId="84" xfId="2516" applyFont="1" applyBorder="1"/>
    <xf numFmtId="0" fontId="210" fillId="0" borderId="84" xfId="2516" applyFont="1" applyBorder="1" applyAlignment="1">
      <alignment horizontal="centerContinuous" vertical="center"/>
    </xf>
    <xf numFmtId="0" fontId="179" fillId="0" borderId="84" xfId="2516" applyFont="1" applyBorder="1" applyAlignment="1">
      <alignment vertical="center"/>
    </xf>
    <xf numFmtId="9" fontId="44" fillId="0" borderId="84" xfId="45" applyFont="1" applyFill="1" applyBorder="1" applyAlignment="1">
      <alignment horizontal="center" vertical="center"/>
    </xf>
    <xf numFmtId="0" fontId="44" fillId="0" borderId="84" xfId="2515" applyFont="1" applyBorder="1" applyAlignment="1">
      <alignment horizontal="center" vertical="center"/>
    </xf>
    <xf numFmtId="9" fontId="43" fillId="0" borderId="84" xfId="384" applyFont="1" applyFill="1" applyBorder="1" applyAlignment="1">
      <alignment horizontal="center" vertical="center"/>
    </xf>
    <xf numFmtId="9" fontId="44" fillId="0" borderId="84" xfId="384" applyFont="1" applyFill="1" applyBorder="1" applyAlignment="1">
      <alignment horizontal="center" vertical="center"/>
    </xf>
    <xf numFmtId="3" fontId="43" fillId="0" borderId="84" xfId="2516" applyNumberFormat="1" applyFont="1" applyBorder="1" applyAlignment="1">
      <alignment horizontal="center" vertical="center"/>
    </xf>
    <xf numFmtId="0" fontId="43" fillId="0" borderId="84" xfId="2516" applyFont="1" applyBorder="1" applyAlignment="1">
      <alignment vertical="center"/>
    </xf>
    <xf numFmtId="337" fontId="43" fillId="0" borderId="84" xfId="384" applyNumberFormat="1" applyFont="1" applyFill="1" applyBorder="1" applyAlignment="1">
      <alignment horizontal="center" vertical="center"/>
    </xf>
    <xf numFmtId="9" fontId="43" fillId="60" borderId="84" xfId="384" applyFont="1" applyFill="1" applyBorder="1" applyAlignment="1">
      <alignment horizontal="center" vertical="center"/>
    </xf>
    <xf numFmtId="1" fontId="175" fillId="73" borderId="0" xfId="2515" applyNumberFormat="1" applyFont="1" applyFill="1" applyAlignment="1">
      <alignment horizontal="center"/>
    </xf>
    <xf numFmtId="3" fontId="215" fillId="53" borderId="108" xfId="43" applyNumberFormat="1" applyFont="1" applyFill="1" applyBorder="1" applyAlignment="1">
      <alignment horizontal="center" vertical="center"/>
    </xf>
    <xf numFmtId="173" fontId="181" fillId="12" borderId="0" xfId="2516" applyNumberFormat="1" applyFont="1" applyFill="1" applyAlignment="1">
      <alignment horizontal="left" vertical="top"/>
    </xf>
    <xf numFmtId="9" fontId="234" fillId="0" borderId="0" xfId="384" quotePrefix="1" applyFont="1" applyFill="1" applyBorder="1" applyAlignment="1">
      <alignment horizontal="center" vertical="center" wrapText="1"/>
    </xf>
    <xf numFmtId="9" fontId="237" fillId="0" borderId="0" xfId="384" quotePrefix="1" applyFont="1" applyFill="1" applyBorder="1" applyAlignment="1">
      <alignment horizontal="center" vertical="center" wrapText="1"/>
    </xf>
    <xf numFmtId="9" fontId="215" fillId="55" borderId="108" xfId="384" quotePrefix="1" applyFont="1" applyFill="1" applyBorder="1" applyAlignment="1">
      <alignment horizontal="center" vertical="center" wrapText="1"/>
    </xf>
    <xf numFmtId="3" fontId="186" fillId="70" borderId="11" xfId="0" applyNumberFormat="1" applyFont="1" applyFill="1" applyBorder="1" applyAlignment="1">
      <alignment horizontal="center"/>
    </xf>
    <xf numFmtId="0" fontId="208" fillId="70" borderId="107" xfId="2516" applyFont="1" applyFill="1" applyBorder="1" applyAlignment="1">
      <alignment horizontal="center"/>
    </xf>
    <xf numFmtId="0" fontId="208" fillId="70" borderId="13" xfId="2516" applyFont="1" applyFill="1" applyBorder="1" applyAlignment="1">
      <alignment horizontal="center"/>
    </xf>
    <xf numFmtId="0" fontId="43" fillId="0" borderId="12" xfId="2516" applyFont="1" applyBorder="1" applyAlignment="1">
      <alignment horizontal="center"/>
    </xf>
    <xf numFmtId="1" fontId="174" fillId="0" borderId="13" xfId="0" applyNumberFormat="1" applyFont="1" applyBorder="1" applyAlignment="1">
      <alignment horizontal="center"/>
    </xf>
    <xf numFmtId="173" fontId="234" fillId="0" borderId="110" xfId="2516" applyNumberFormat="1" applyFont="1" applyBorder="1" applyAlignment="1">
      <alignment horizontal="right"/>
    </xf>
    <xf numFmtId="9" fontId="175" fillId="71" borderId="111" xfId="45" applyFont="1" applyFill="1" applyBorder="1" applyAlignment="1">
      <alignment horizontal="center"/>
    </xf>
    <xf numFmtId="173" fontId="235" fillId="0" borderId="111" xfId="2515" applyNumberFormat="1" applyFont="1" applyBorder="1" applyAlignment="1">
      <alignment horizontal="center" vertical="center"/>
    </xf>
    <xf numFmtId="9" fontId="234" fillId="0" borderId="111" xfId="384" applyFont="1" applyFill="1" applyBorder="1" applyAlignment="1">
      <alignment horizontal="center" vertical="center"/>
    </xf>
    <xf numFmtId="173" fontId="234" fillId="12" borderId="112" xfId="2516" applyNumberFormat="1" applyFont="1" applyFill="1" applyBorder="1" applyAlignment="1">
      <alignment horizontal="right"/>
    </xf>
    <xf numFmtId="173" fontId="43" fillId="0" borderId="113" xfId="2516" applyNumberFormat="1" applyFont="1" applyBorder="1" applyAlignment="1">
      <alignment horizontal="right"/>
    </xf>
    <xf numFmtId="173" fontId="175" fillId="57" borderId="0" xfId="2515" applyNumberFormat="1" applyFont="1" applyFill="1" applyAlignment="1">
      <alignment horizontal="center"/>
    </xf>
    <xf numFmtId="4" fontId="44" fillId="55" borderId="0" xfId="45" applyNumberFormat="1" applyFont="1" applyFill="1" applyBorder="1" applyAlignment="1">
      <alignment horizontal="center" vertical="center"/>
    </xf>
    <xf numFmtId="173" fontId="43" fillId="12" borderId="109" xfId="2516" applyNumberFormat="1" applyFont="1" applyFill="1" applyBorder="1" applyAlignment="1">
      <alignment horizontal="right"/>
    </xf>
    <xf numFmtId="0" fontId="168" fillId="0" borderId="0" xfId="0" quotePrefix="1" applyFont="1"/>
    <xf numFmtId="176" fontId="171" fillId="70" borderId="0" xfId="0" applyNumberFormat="1" applyFont="1" applyFill="1" applyAlignment="1">
      <alignment vertical="center"/>
    </xf>
    <xf numFmtId="0" fontId="175" fillId="54" borderId="0" xfId="0" applyFont="1" applyFill="1"/>
    <xf numFmtId="0" fontId="175" fillId="54" borderId="0" xfId="0" applyFont="1" applyFill="1" applyAlignment="1">
      <alignment horizontal="center"/>
    </xf>
    <xf numFmtId="3" fontId="174" fillId="0" borderId="0" xfId="0" applyNumberFormat="1" applyFont="1"/>
    <xf numFmtId="0" fontId="174" fillId="62" borderId="0" xfId="0" applyFont="1" applyFill="1"/>
    <xf numFmtId="3" fontId="174" fillId="62" borderId="0" xfId="0" applyNumberFormat="1" applyFont="1" applyFill="1"/>
    <xf numFmtId="4" fontId="174" fillId="62" borderId="0" xfId="0" applyNumberFormat="1" applyFont="1" applyFill="1"/>
    <xf numFmtId="180" fontId="173" fillId="0" borderId="0" xfId="0" applyNumberFormat="1" applyFont="1"/>
    <xf numFmtId="9" fontId="173" fillId="0" borderId="0" xfId="384" applyFont="1" applyBorder="1"/>
    <xf numFmtId="0" fontId="170" fillId="60" borderId="57" xfId="0" applyFont="1" applyFill="1" applyBorder="1" applyAlignment="1">
      <alignment horizontal="right"/>
    </xf>
    <xf numFmtId="0" fontId="32" fillId="0" borderId="33" xfId="2512" applyFont="1" applyBorder="1" applyAlignment="1">
      <alignment horizontal="left"/>
    </xf>
    <xf numFmtId="3" fontId="32" fillId="0" borderId="33" xfId="2512" applyNumberFormat="1" applyFont="1" applyBorder="1"/>
    <xf numFmtId="3" fontId="32" fillId="0" borderId="58" xfId="2512" applyNumberFormat="1" applyFont="1" applyBorder="1"/>
    <xf numFmtId="0" fontId="28" fillId="12" borderId="0" xfId="1" quotePrefix="1" applyFont="1" applyFill="1"/>
    <xf numFmtId="9" fontId="44" fillId="53" borderId="0" xfId="45" applyFont="1" applyFill="1" applyBorder="1" applyAlignment="1">
      <alignment horizontal="center"/>
    </xf>
    <xf numFmtId="9" fontId="44" fillId="53" borderId="0" xfId="45" applyFont="1" applyFill="1" applyBorder="1" applyAlignment="1">
      <alignment horizontal="center" vertical="top"/>
    </xf>
    <xf numFmtId="0" fontId="105" fillId="54" borderId="33" xfId="1" applyFont="1" applyFill="1" applyBorder="1"/>
    <xf numFmtId="3" fontId="238" fillId="0" borderId="0" xfId="0" applyNumberFormat="1" applyFont="1"/>
    <xf numFmtId="345" fontId="182" fillId="57" borderId="0" xfId="0" applyNumberFormat="1" applyFont="1" applyFill="1" applyAlignment="1">
      <alignment horizontal="left"/>
    </xf>
    <xf numFmtId="173" fontId="28" fillId="70" borderId="0" xfId="1" applyNumberFormat="1" applyFont="1" applyFill="1"/>
    <xf numFmtId="173" fontId="171" fillId="70" borderId="0" xfId="1" applyNumberFormat="1" applyFont="1" applyFill="1"/>
    <xf numFmtId="9" fontId="171" fillId="70" borderId="0" xfId="1" applyNumberFormat="1" applyFont="1" applyFill="1"/>
    <xf numFmtId="172" fontId="171" fillId="70" borderId="0" xfId="1" applyNumberFormat="1" applyFont="1" applyFill="1"/>
    <xf numFmtId="4" fontId="28" fillId="60" borderId="0" xfId="1" applyNumberFormat="1" applyFont="1" applyFill="1"/>
    <xf numFmtId="9" fontId="28" fillId="60" borderId="0" xfId="384" applyFont="1" applyFill="1" applyBorder="1"/>
    <xf numFmtId="9" fontId="200" fillId="70" borderId="0" xfId="384" applyFont="1" applyFill="1" applyBorder="1" applyAlignment="1">
      <alignment vertical="center"/>
    </xf>
    <xf numFmtId="176" fontId="168" fillId="70" borderId="0" xfId="0" applyNumberFormat="1" applyFont="1" applyFill="1" applyAlignment="1">
      <alignment vertical="center"/>
    </xf>
    <xf numFmtId="173" fontId="168" fillId="70" borderId="0" xfId="384" applyNumberFormat="1" applyFont="1" applyFill="1" applyBorder="1" applyAlignment="1">
      <alignment vertical="center"/>
    </xf>
    <xf numFmtId="173" fontId="171" fillId="70" borderId="0" xfId="384" applyNumberFormat="1" applyFont="1" applyFill="1" applyBorder="1" applyAlignment="1">
      <alignment vertical="center"/>
    </xf>
    <xf numFmtId="9" fontId="168" fillId="70" borderId="0" xfId="384" applyFont="1" applyFill="1" applyBorder="1" applyAlignment="1">
      <alignment vertical="center"/>
    </xf>
    <xf numFmtId="173" fontId="28" fillId="70" borderId="0" xfId="384" applyNumberFormat="1" applyFont="1" applyFill="1" applyBorder="1" applyAlignment="1">
      <alignment vertical="center"/>
    </xf>
    <xf numFmtId="9" fontId="171" fillId="70" borderId="0" xfId="384" applyFont="1" applyFill="1" applyBorder="1" applyAlignment="1">
      <alignment vertical="center"/>
    </xf>
    <xf numFmtId="9" fontId="236" fillId="0" borderId="0" xfId="384" applyFont="1" applyFill="1" applyBorder="1" applyAlignment="1">
      <alignment vertical="center"/>
    </xf>
    <xf numFmtId="340" fontId="200" fillId="60" borderId="0" xfId="0" applyNumberFormat="1" applyFont="1" applyFill="1" applyAlignment="1">
      <alignment vertical="center"/>
    </xf>
    <xf numFmtId="173" fontId="198" fillId="70" borderId="0" xfId="0" applyNumberFormat="1" applyFont="1" applyFill="1"/>
    <xf numFmtId="9" fontId="171" fillId="70" borderId="0" xfId="384" applyFont="1" applyFill="1" applyBorder="1"/>
    <xf numFmtId="173" fontId="168" fillId="70" borderId="0" xfId="0" applyNumberFormat="1" applyFont="1" applyFill="1"/>
    <xf numFmtId="9" fontId="168" fillId="70" borderId="0" xfId="0" applyNumberFormat="1" applyFont="1" applyFill="1"/>
    <xf numFmtId="9" fontId="171" fillId="70" borderId="0" xfId="0" applyNumberFormat="1" applyFont="1" applyFill="1"/>
    <xf numFmtId="279" fontId="32" fillId="59" borderId="0" xfId="0" applyNumberFormat="1" applyFont="1" applyFill="1" applyAlignment="1">
      <alignment horizontal="right" vertical="center"/>
    </xf>
    <xf numFmtId="0" fontId="103" fillId="54" borderId="120" xfId="0" applyFont="1" applyFill="1" applyBorder="1" applyAlignment="1">
      <alignment horizontal="center" vertical="center"/>
    </xf>
    <xf numFmtId="0" fontId="103" fillId="57" borderId="120" xfId="0" applyFont="1" applyFill="1" applyBorder="1" applyAlignment="1">
      <alignment horizontal="center" vertical="center"/>
    </xf>
    <xf numFmtId="0" fontId="239" fillId="53" borderId="120" xfId="0" applyFont="1" applyFill="1" applyBorder="1" applyAlignment="1">
      <alignment horizontal="center" vertical="center"/>
    </xf>
    <xf numFmtId="0" fontId="1" fillId="12" borderId="0" xfId="0" applyFont="1" applyFill="1"/>
    <xf numFmtId="0" fontId="103" fillId="54" borderId="58" xfId="0" applyFont="1" applyFill="1" applyBorder="1"/>
    <xf numFmtId="0" fontId="103" fillId="54" borderId="58" xfId="0" applyFont="1" applyFill="1" applyBorder="1" applyAlignment="1">
      <alignment horizontal="center" vertical="center"/>
    </xf>
    <xf numFmtId="0" fontId="103" fillId="57" borderId="58" xfId="0" applyFont="1" applyFill="1" applyBorder="1" applyAlignment="1">
      <alignment horizontal="center" vertical="center"/>
    </xf>
    <xf numFmtId="0" fontId="239" fillId="53" borderId="58" xfId="0" applyFont="1" applyFill="1" applyBorder="1" applyAlignment="1">
      <alignment horizontal="center" vertical="center"/>
    </xf>
    <xf numFmtId="348" fontId="103" fillId="54" borderId="59" xfId="1" applyNumberFormat="1" applyFont="1" applyFill="1" applyBorder="1" applyAlignment="1">
      <alignment horizontal="center" vertical="center"/>
    </xf>
    <xf numFmtId="14" fontId="103" fillId="54" borderId="59" xfId="1" applyNumberFormat="1" applyFont="1" applyFill="1" applyBorder="1" applyAlignment="1">
      <alignment horizontal="center" vertical="center"/>
    </xf>
    <xf numFmtId="14" fontId="103" fillId="54" borderId="33" xfId="1" applyNumberFormat="1" applyFont="1" applyFill="1" applyBorder="1" applyAlignment="1">
      <alignment horizontal="center" vertical="center"/>
    </xf>
    <xf numFmtId="14" fontId="103" fillId="57" borderId="33" xfId="1" applyNumberFormat="1" applyFont="1" applyFill="1" applyBorder="1" applyAlignment="1">
      <alignment horizontal="center" vertical="center"/>
    </xf>
    <xf numFmtId="14" fontId="239" fillId="53" borderId="33" xfId="1" applyNumberFormat="1" applyFont="1" applyFill="1" applyBorder="1" applyAlignment="1">
      <alignment horizontal="center" vertical="center"/>
    </xf>
    <xf numFmtId="14" fontId="239" fillId="53" borderId="59" xfId="1" applyNumberFormat="1" applyFont="1" applyFill="1" applyBorder="1" applyAlignment="1">
      <alignment horizontal="center" vertical="center"/>
    </xf>
    <xf numFmtId="0" fontId="43" fillId="70" borderId="0" xfId="2516" applyFont="1" applyFill="1"/>
    <xf numFmtId="0" fontId="103" fillId="54" borderId="122" xfId="0" applyFont="1" applyFill="1" applyBorder="1" applyAlignment="1">
      <alignment horizontal="center" vertical="center"/>
    </xf>
    <xf numFmtId="0" fontId="103" fillId="54" borderId="121" xfId="0" applyFont="1" applyFill="1" applyBorder="1" applyAlignment="1">
      <alignment horizontal="center" vertical="center"/>
    </xf>
    <xf numFmtId="0" fontId="103" fillId="54" borderId="123" xfId="0" applyFont="1" applyFill="1" applyBorder="1" applyAlignment="1">
      <alignment horizontal="center" vertical="center"/>
    </xf>
    <xf numFmtId="14" fontId="103" fillId="54" borderId="3" xfId="1" applyNumberFormat="1" applyFont="1" applyFill="1" applyBorder="1" applyAlignment="1">
      <alignment horizontal="center" vertical="center"/>
    </xf>
    <xf numFmtId="0" fontId="32" fillId="19" borderId="28" xfId="0" applyFont="1" applyFill="1" applyBorder="1" applyAlignment="1">
      <alignment vertical="center"/>
    </xf>
    <xf numFmtId="0" fontId="0" fillId="0" borderId="28" xfId="0" applyBorder="1"/>
    <xf numFmtId="0" fontId="169" fillId="12" borderId="33" xfId="0" applyFont="1" applyFill="1" applyBorder="1"/>
    <xf numFmtId="3" fontId="169" fillId="0" borderId="59" xfId="0" applyNumberFormat="1" applyFont="1" applyBorder="1" applyAlignment="1">
      <alignment horizontal="center" vertical="center"/>
    </xf>
    <xf numFmtId="3" fontId="169" fillId="0" borderId="33" xfId="0" applyNumberFormat="1" applyFont="1" applyBorder="1" applyAlignment="1">
      <alignment horizontal="center" vertical="center"/>
    </xf>
    <xf numFmtId="3" fontId="169" fillId="0" borderId="29" xfId="0" applyNumberFormat="1" applyFont="1" applyBorder="1" applyAlignment="1">
      <alignment horizontal="center" vertical="center"/>
    </xf>
    <xf numFmtId="0" fontId="103" fillId="54" borderId="124" xfId="0" applyFont="1" applyFill="1" applyBorder="1" applyAlignment="1">
      <alignment horizontal="center" vertical="center"/>
    </xf>
    <xf numFmtId="0" fontId="103" fillId="54" borderId="125" xfId="0" applyFont="1" applyFill="1" applyBorder="1" applyAlignment="1">
      <alignment horizontal="center" vertical="center"/>
    </xf>
    <xf numFmtId="0" fontId="32" fillId="19" borderId="11" xfId="0" applyFont="1" applyFill="1" applyBorder="1" applyAlignment="1">
      <alignment vertical="center"/>
    </xf>
    <xf numFmtId="0" fontId="0" fillId="0" borderId="11" xfId="0" applyBorder="1"/>
    <xf numFmtId="14" fontId="103" fillId="54" borderId="29" xfId="1" applyNumberFormat="1" applyFont="1" applyFill="1" applyBorder="1" applyAlignment="1">
      <alignment horizontal="center" vertical="center"/>
    </xf>
    <xf numFmtId="0" fontId="103" fillId="57" borderId="122" xfId="0" applyFont="1" applyFill="1" applyBorder="1" applyAlignment="1">
      <alignment horizontal="center" vertical="center"/>
    </xf>
    <xf numFmtId="0" fontId="103" fillId="57" borderId="121" xfId="0" applyFont="1" applyFill="1" applyBorder="1" applyAlignment="1">
      <alignment horizontal="center" vertical="center"/>
    </xf>
    <xf numFmtId="0" fontId="103" fillId="57" borderId="123" xfId="0" applyFont="1" applyFill="1" applyBorder="1" applyAlignment="1">
      <alignment horizontal="center" vertical="center"/>
    </xf>
    <xf numFmtId="14" fontId="103" fillId="57" borderId="29" xfId="1" applyNumberFormat="1" applyFont="1" applyFill="1" applyBorder="1" applyAlignment="1">
      <alignment horizontal="center" vertical="center"/>
    </xf>
    <xf numFmtId="3" fontId="171" fillId="0" borderId="11" xfId="0" applyNumberFormat="1" applyFont="1" applyBorder="1" applyAlignment="1">
      <alignment horizontal="center" vertical="center"/>
    </xf>
    <xf numFmtId="3" fontId="171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3" fontId="28" fillId="0" borderId="28" xfId="0" applyNumberFormat="1" applyFont="1" applyBorder="1" applyAlignment="1">
      <alignment horizontal="center" vertical="center"/>
    </xf>
    <xf numFmtId="3" fontId="168" fillId="0" borderId="28" xfId="0" applyNumberFormat="1" applyFont="1" applyBorder="1" applyAlignment="1">
      <alignment horizontal="center" vertical="center"/>
    </xf>
    <xf numFmtId="3" fontId="171" fillId="0" borderId="28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32" fillId="19" borderId="11" xfId="0" applyFont="1" applyFill="1" applyBorder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32" fillId="19" borderId="28" xfId="0" applyFont="1" applyFill="1" applyBorder="1" applyAlignment="1">
      <alignment horizontal="center" vertical="center"/>
    </xf>
    <xf numFmtId="0" fontId="240" fillId="0" borderId="0" xfId="0" applyFont="1"/>
    <xf numFmtId="0" fontId="33" fillId="12" borderId="0" xfId="1" applyFont="1" applyFill="1"/>
    <xf numFmtId="173" fontId="33" fillId="12" borderId="0" xfId="1" applyNumberFormat="1" applyFont="1" applyFill="1"/>
    <xf numFmtId="173" fontId="33" fillId="70" borderId="0" xfId="1" applyNumberFormat="1" applyFont="1" applyFill="1"/>
    <xf numFmtId="173" fontId="40" fillId="12" borderId="0" xfId="1" applyNumberFormat="1" applyFont="1" applyFill="1"/>
    <xf numFmtId="173" fontId="40" fillId="0" borderId="0" xfId="1" applyNumberFormat="1" applyFont="1"/>
    <xf numFmtId="1" fontId="32" fillId="0" borderId="0" xfId="1" applyNumberFormat="1" applyFont="1"/>
    <xf numFmtId="173" fontId="32" fillId="12" borderId="0" xfId="1" applyNumberFormat="1" applyFont="1" applyFill="1"/>
    <xf numFmtId="173" fontId="170" fillId="12" borderId="0" xfId="1" applyNumberFormat="1" applyFont="1" applyFill="1"/>
    <xf numFmtId="173" fontId="198" fillId="12" borderId="0" xfId="1" applyNumberFormat="1" applyFont="1" applyFill="1"/>
    <xf numFmtId="173" fontId="198" fillId="70" borderId="0" xfId="1" applyNumberFormat="1" applyFont="1" applyFill="1"/>
    <xf numFmtId="0" fontId="241" fillId="0" borderId="0" xfId="0" applyFont="1"/>
    <xf numFmtId="173" fontId="201" fillId="12" borderId="0" xfId="1" applyNumberFormat="1" applyFont="1" applyFill="1"/>
    <xf numFmtId="173" fontId="201" fillId="70" borderId="0" xfId="1" applyNumberFormat="1" applyFont="1" applyFill="1"/>
    <xf numFmtId="0" fontId="242" fillId="0" borderId="0" xfId="0" applyFont="1"/>
    <xf numFmtId="173" fontId="170" fillId="0" borderId="0" xfId="1" applyNumberFormat="1" applyFont="1"/>
    <xf numFmtId="173" fontId="171" fillId="12" borderId="0" xfId="384" applyNumberFormat="1" applyFont="1" applyFill="1"/>
    <xf numFmtId="173" fontId="171" fillId="70" borderId="0" xfId="384" applyNumberFormat="1" applyFont="1" applyFill="1"/>
    <xf numFmtId="338" fontId="32" fillId="12" borderId="0" xfId="0" applyNumberFormat="1" applyFont="1" applyFill="1" applyAlignment="1">
      <alignment vertical="center"/>
    </xf>
    <xf numFmtId="232" fontId="32" fillId="12" borderId="0" xfId="383" applyNumberFormat="1" applyFont="1" applyFill="1" applyAlignment="1">
      <alignment vertical="center"/>
    </xf>
    <xf numFmtId="338" fontId="198" fillId="12" borderId="0" xfId="0" applyNumberFormat="1" applyFont="1" applyFill="1" applyAlignment="1">
      <alignment horizontal="center" vertical="center"/>
    </xf>
    <xf numFmtId="9" fontId="168" fillId="0" borderId="0" xfId="384" applyFont="1" applyAlignment="1">
      <alignment horizontal="center"/>
    </xf>
    <xf numFmtId="9" fontId="168" fillId="0" borderId="28" xfId="384" applyFont="1" applyBorder="1" applyAlignment="1">
      <alignment horizontal="center"/>
    </xf>
    <xf numFmtId="0" fontId="168" fillId="0" borderId="0" xfId="0" applyFont="1" applyAlignment="1">
      <alignment horizontal="center"/>
    </xf>
    <xf numFmtId="0" fontId="168" fillId="0" borderId="28" xfId="0" applyFont="1" applyBorder="1" applyAlignment="1">
      <alignment horizontal="center"/>
    </xf>
    <xf numFmtId="176" fontId="32" fillId="12" borderId="0" xfId="0" applyNumberFormat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0" fontId="32" fillId="12" borderId="0" xfId="0" applyFont="1" applyFill="1" applyAlignment="1">
      <alignment horizontal="center" vertical="center"/>
    </xf>
    <xf numFmtId="0" fontId="168" fillId="12" borderId="0" xfId="0" applyFont="1" applyFill="1" applyAlignment="1">
      <alignment vertical="center"/>
    </xf>
    <xf numFmtId="0" fontId="169" fillId="12" borderId="0" xfId="0" applyFont="1" applyFill="1" applyAlignment="1">
      <alignment horizontal="center" vertical="center"/>
    </xf>
    <xf numFmtId="9" fontId="168" fillId="12" borderId="0" xfId="384" applyFont="1" applyFill="1"/>
    <xf numFmtId="0" fontId="32" fillId="0" borderId="0" xfId="0" applyFont="1"/>
    <xf numFmtId="0" fontId="28" fillId="0" borderId="0" xfId="0" applyFont="1" applyAlignment="1">
      <alignment horizontal="center"/>
    </xf>
    <xf numFmtId="332" fontId="28" fillId="0" borderId="0" xfId="0" applyNumberFormat="1" applyFont="1" applyAlignment="1">
      <alignment horizontal="center"/>
    </xf>
    <xf numFmtId="329" fontId="28" fillId="0" borderId="0" xfId="0" applyNumberFormat="1" applyFont="1" applyAlignment="1">
      <alignment horizontal="center"/>
    </xf>
    <xf numFmtId="345" fontId="175" fillId="57" borderId="0" xfId="0" applyNumberFormat="1" applyFont="1" applyFill="1" applyAlignment="1">
      <alignment horizontal="left"/>
    </xf>
    <xf numFmtId="0" fontId="179" fillId="0" borderId="0" xfId="0" applyFont="1"/>
    <xf numFmtId="0" fontId="175" fillId="57" borderId="0" xfId="0" applyFont="1" applyFill="1"/>
    <xf numFmtId="0" fontId="173" fillId="0" borderId="114" xfId="0" applyFont="1" applyBorder="1"/>
    <xf numFmtId="9" fontId="173" fillId="0" borderId="115" xfId="0" applyNumberFormat="1" applyFont="1" applyBorder="1"/>
    <xf numFmtId="0" fontId="173" fillId="0" borderId="116" xfId="0" applyFont="1" applyBorder="1"/>
    <xf numFmtId="9" fontId="173" fillId="70" borderId="117" xfId="0" applyNumberFormat="1" applyFont="1" applyFill="1" applyBorder="1"/>
    <xf numFmtId="9" fontId="173" fillId="0" borderId="117" xfId="0" applyNumberFormat="1" applyFont="1" applyBorder="1"/>
    <xf numFmtId="0" fontId="173" fillId="0" borderId="118" xfId="0" applyFont="1" applyBorder="1"/>
    <xf numFmtId="9" fontId="168" fillId="12" borderId="0" xfId="384" applyFont="1" applyFill="1" applyBorder="1" applyAlignment="1">
      <alignment vertical="center"/>
    </xf>
    <xf numFmtId="1" fontId="168" fillId="12" borderId="0" xfId="0" applyNumberFormat="1" applyFont="1" applyFill="1" applyAlignment="1">
      <alignment horizontal="left" indent="2"/>
    </xf>
    <xf numFmtId="1" fontId="169" fillId="0" borderId="0" xfId="0" applyNumberFormat="1" applyFont="1" applyAlignment="1">
      <alignment horizontal="left"/>
    </xf>
    <xf numFmtId="1" fontId="168" fillId="12" borderId="0" xfId="0" applyNumberFormat="1" applyFont="1" applyFill="1" applyAlignment="1">
      <alignment horizontal="left" indent="3"/>
    </xf>
    <xf numFmtId="1" fontId="169" fillId="12" borderId="0" xfId="0" applyNumberFormat="1" applyFont="1" applyFill="1" applyAlignment="1">
      <alignment horizontal="left"/>
    </xf>
    <xf numFmtId="0" fontId="169" fillId="61" borderId="0" xfId="0" applyFont="1" applyFill="1" applyAlignment="1">
      <alignment horizontal="left"/>
    </xf>
    <xf numFmtId="173" fontId="169" fillId="61" borderId="0" xfId="0" applyNumberFormat="1" applyFont="1" applyFill="1"/>
    <xf numFmtId="0" fontId="169" fillId="61" borderId="0" xfId="0" applyFont="1" applyFill="1" applyAlignment="1">
      <alignment horizontal="right"/>
    </xf>
    <xf numFmtId="3" fontId="169" fillId="61" borderId="0" xfId="0" applyNumberFormat="1" applyFont="1" applyFill="1" applyAlignment="1">
      <alignment horizontal="right"/>
    </xf>
    <xf numFmtId="9" fontId="171" fillId="12" borderId="0" xfId="0" applyNumberFormat="1" applyFont="1" applyFill="1" applyAlignment="1">
      <alignment horizontal="right"/>
    </xf>
    <xf numFmtId="9" fontId="168" fillId="12" borderId="0" xfId="384" applyFont="1" applyFill="1" applyBorder="1" applyAlignment="1">
      <alignment horizontal="center"/>
    </xf>
    <xf numFmtId="2" fontId="168" fillId="12" borderId="0" xfId="0" applyNumberFormat="1" applyFont="1" applyFill="1" applyAlignment="1">
      <alignment horizontal="right"/>
    </xf>
    <xf numFmtId="0" fontId="168" fillId="12" borderId="0" xfId="0" applyFont="1" applyFill="1" applyAlignment="1">
      <alignment horizontal="right"/>
    </xf>
    <xf numFmtId="9" fontId="168" fillId="12" borderId="0" xfId="0" applyNumberFormat="1" applyFont="1" applyFill="1" applyAlignment="1">
      <alignment horizontal="right"/>
    </xf>
    <xf numFmtId="9" fontId="168" fillId="0" borderId="0" xfId="0" applyNumberFormat="1" applyFont="1" applyAlignment="1">
      <alignment vertical="center"/>
    </xf>
    <xf numFmtId="9" fontId="168" fillId="70" borderId="0" xfId="0" applyNumberFormat="1" applyFont="1" applyFill="1" applyAlignment="1">
      <alignment vertical="center"/>
    </xf>
    <xf numFmtId="176" fontId="168" fillId="12" borderId="0" xfId="0" applyNumberFormat="1" applyFont="1" applyFill="1" applyAlignment="1">
      <alignment vertical="center"/>
    </xf>
    <xf numFmtId="9" fontId="171" fillId="12" borderId="0" xfId="384" applyFont="1" applyFill="1" applyBorder="1" applyAlignment="1">
      <alignment vertical="center"/>
    </xf>
    <xf numFmtId="9" fontId="200" fillId="70" borderId="0" xfId="0" applyNumberFormat="1" applyFont="1" applyFill="1" applyAlignment="1">
      <alignment vertical="center"/>
    </xf>
    <xf numFmtId="1" fontId="28" fillId="12" borderId="0" xfId="1" applyNumberFormat="1" applyFont="1" applyFill="1" applyAlignment="1">
      <alignment horizontal="right"/>
    </xf>
    <xf numFmtId="279" fontId="104" fillId="55" borderId="0" xfId="1" applyNumberFormat="1" applyFont="1" applyFill="1"/>
    <xf numFmtId="9" fontId="168" fillId="12" borderId="0" xfId="0" applyNumberFormat="1" applyFont="1" applyFill="1" applyAlignment="1">
      <alignment vertical="center"/>
    </xf>
    <xf numFmtId="176" fontId="200" fillId="12" borderId="0" xfId="0" applyNumberFormat="1" applyFont="1" applyFill="1" applyAlignment="1">
      <alignment vertical="center"/>
    </xf>
    <xf numFmtId="176" fontId="172" fillId="12" borderId="0" xfId="0" applyNumberFormat="1" applyFont="1" applyFill="1" applyAlignment="1">
      <alignment vertical="center"/>
    </xf>
    <xf numFmtId="176" fontId="169" fillId="12" borderId="0" xfId="0" applyNumberFormat="1" applyFont="1" applyFill="1" applyAlignment="1">
      <alignment vertical="center"/>
    </xf>
    <xf numFmtId="9" fontId="204" fillId="12" borderId="0" xfId="384" applyFont="1" applyFill="1" applyBorder="1" applyAlignment="1">
      <alignment vertical="center"/>
    </xf>
    <xf numFmtId="341" fontId="168" fillId="12" borderId="0" xfId="0" applyNumberFormat="1" applyFont="1" applyFill="1" applyAlignment="1">
      <alignment vertical="center"/>
    </xf>
    <xf numFmtId="9" fontId="199" fillId="12" borderId="0" xfId="384" applyFont="1" applyFill="1" applyBorder="1" applyAlignment="1">
      <alignment vertical="center"/>
    </xf>
    <xf numFmtId="10" fontId="200" fillId="12" borderId="58" xfId="384" applyNumberFormat="1" applyFont="1" applyFill="1" applyBorder="1" applyAlignment="1">
      <alignment vertical="center"/>
    </xf>
    <xf numFmtId="188" fontId="200" fillId="12" borderId="0" xfId="0" applyNumberFormat="1" applyFont="1" applyFill="1" applyAlignment="1">
      <alignment vertical="center"/>
    </xf>
    <xf numFmtId="9" fontId="200" fillId="12" borderId="0" xfId="384" applyFont="1" applyFill="1" applyBorder="1" applyAlignment="1">
      <alignment vertical="center"/>
    </xf>
    <xf numFmtId="0" fontId="173" fillId="0" borderId="3" xfId="0" applyFont="1" applyBorder="1"/>
    <xf numFmtId="269" fontId="173" fillId="0" borderId="3" xfId="0" applyNumberFormat="1" applyFont="1" applyBorder="1"/>
    <xf numFmtId="9" fontId="173" fillId="0" borderId="3" xfId="0" applyNumberFormat="1" applyFont="1" applyBorder="1"/>
    <xf numFmtId="14" fontId="175" fillId="57" borderId="0" xfId="0" applyNumberFormat="1" applyFont="1" applyFill="1"/>
    <xf numFmtId="0" fontId="175" fillId="74" borderId="129" xfId="0" applyFont="1" applyFill="1" applyBorder="1"/>
    <xf numFmtId="0" fontId="175" fillId="74" borderId="130" xfId="0" applyFont="1" applyFill="1" applyBorder="1"/>
    <xf numFmtId="0" fontId="175" fillId="74" borderId="131" xfId="0" applyFont="1" applyFill="1" applyBorder="1" applyAlignment="1">
      <alignment horizontal="right"/>
    </xf>
    <xf numFmtId="0" fontId="173" fillId="0" borderId="132" xfId="0" applyFont="1" applyBorder="1"/>
    <xf numFmtId="0" fontId="173" fillId="0" borderId="133" xfId="0" applyFont="1" applyBorder="1"/>
    <xf numFmtId="14" fontId="173" fillId="0" borderId="132" xfId="0" applyNumberFormat="1" applyFont="1" applyBorder="1" applyAlignment="1">
      <alignment horizontal="left"/>
    </xf>
    <xf numFmtId="1" fontId="173" fillId="0" borderId="133" xfId="0" applyNumberFormat="1" applyFont="1" applyBorder="1"/>
    <xf numFmtId="0" fontId="173" fillId="0" borderId="134" xfId="0" applyFont="1" applyBorder="1"/>
    <xf numFmtId="0" fontId="173" fillId="0" borderId="62" xfId="0" applyFont="1" applyBorder="1"/>
    <xf numFmtId="2" fontId="173" fillId="0" borderId="62" xfId="0" applyNumberFormat="1" applyFont="1" applyBorder="1"/>
    <xf numFmtId="1" fontId="173" fillId="0" borderId="135" xfId="0" applyNumberFormat="1" applyFont="1" applyBorder="1"/>
    <xf numFmtId="0" fontId="175" fillId="57" borderId="3" xfId="0" applyFont="1" applyFill="1" applyBorder="1"/>
    <xf numFmtId="3" fontId="173" fillId="0" borderId="3" xfId="0" applyNumberFormat="1" applyFont="1" applyBorder="1"/>
    <xf numFmtId="0" fontId="185" fillId="0" borderId="3" xfId="0" applyFont="1" applyBorder="1"/>
    <xf numFmtId="9" fontId="185" fillId="0" borderId="3" xfId="0" applyNumberFormat="1" applyFont="1" applyBorder="1"/>
    <xf numFmtId="9" fontId="168" fillId="60" borderId="0" xfId="384" applyFont="1" applyFill="1" applyBorder="1"/>
    <xf numFmtId="0" fontId="32" fillId="33" borderId="0" xfId="1" applyFont="1" applyFill="1"/>
    <xf numFmtId="3" fontId="169" fillId="33" borderId="0" xfId="0" applyNumberFormat="1" applyFont="1" applyFill="1"/>
    <xf numFmtId="3" fontId="170" fillId="33" borderId="0" xfId="0" applyNumberFormat="1" applyFont="1" applyFill="1"/>
    <xf numFmtId="3" fontId="32" fillId="33" borderId="0" xfId="0" applyNumberFormat="1" applyFont="1" applyFill="1"/>
    <xf numFmtId="3" fontId="32" fillId="33" borderId="0" xfId="1" applyNumberFormat="1" applyFont="1" applyFill="1"/>
    <xf numFmtId="3" fontId="33" fillId="0" borderId="0" xfId="1" applyNumberFormat="1" applyFont="1"/>
    <xf numFmtId="3" fontId="33" fillId="70" borderId="0" xfId="1" applyNumberFormat="1" applyFont="1" applyFill="1"/>
    <xf numFmtId="3" fontId="198" fillId="70" borderId="0" xfId="1" applyNumberFormat="1" applyFont="1" applyFill="1"/>
    <xf numFmtId="180" fontId="32" fillId="0" borderId="0" xfId="1" applyNumberFormat="1" applyFont="1"/>
    <xf numFmtId="9" fontId="171" fillId="0" borderId="0" xfId="1" applyNumberFormat="1" applyFont="1"/>
    <xf numFmtId="4" fontId="171" fillId="0" borderId="0" xfId="1" applyNumberFormat="1" applyFont="1"/>
    <xf numFmtId="180" fontId="168" fillId="0" borderId="0" xfId="0" applyNumberFormat="1" applyFont="1"/>
    <xf numFmtId="340" fontId="202" fillId="60" borderId="0" xfId="0" applyNumberFormat="1" applyFont="1" applyFill="1" applyAlignment="1">
      <alignment vertical="center"/>
    </xf>
    <xf numFmtId="340" fontId="171" fillId="70" borderId="0" xfId="0" applyNumberFormat="1" applyFont="1" applyFill="1" applyAlignment="1">
      <alignment vertical="center"/>
    </xf>
    <xf numFmtId="2" fontId="168" fillId="60" borderId="0" xfId="0" applyNumberFormat="1" applyFont="1" applyFill="1" applyAlignment="1">
      <alignment horizontal="right"/>
    </xf>
    <xf numFmtId="0" fontId="40" fillId="12" borderId="0" xfId="1" applyFont="1" applyFill="1" applyAlignment="1">
      <alignment vertical="center"/>
    </xf>
    <xf numFmtId="0" fontId="174" fillId="12" borderId="0" xfId="0" applyFont="1" applyFill="1"/>
    <xf numFmtId="3" fontId="174" fillId="12" borderId="0" xfId="0" applyNumberFormat="1" applyFont="1" applyFill="1"/>
    <xf numFmtId="0" fontId="173" fillId="12" borderId="0" xfId="0" applyFont="1" applyFill="1"/>
    <xf numFmtId="9" fontId="173" fillId="0" borderId="0" xfId="0" applyNumberFormat="1" applyFont="1"/>
    <xf numFmtId="180" fontId="174" fillId="62" borderId="0" xfId="0" applyNumberFormat="1" applyFont="1" applyFill="1"/>
    <xf numFmtId="9" fontId="28" fillId="12" borderId="0" xfId="384" applyFont="1" applyFill="1"/>
    <xf numFmtId="9" fontId="0" fillId="0" borderId="0" xfId="0" applyNumberFormat="1"/>
    <xf numFmtId="0" fontId="0" fillId="18" borderId="0" xfId="0" applyFill="1"/>
    <xf numFmtId="3" fontId="0" fillId="18" borderId="0" xfId="0" applyNumberFormat="1" applyFill="1"/>
    <xf numFmtId="9" fontId="0" fillId="18" borderId="0" xfId="0" applyNumberFormat="1" applyFill="1"/>
    <xf numFmtId="9" fontId="0" fillId="64" borderId="0" xfId="0" applyNumberFormat="1" applyFill="1"/>
    <xf numFmtId="10" fontId="0" fillId="0" borderId="0" xfId="0" applyNumberFormat="1"/>
    <xf numFmtId="0" fontId="244" fillId="0" borderId="58" xfId="0" applyFont="1" applyBorder="1"/>
    <xf numFmtId="0" fontId="0" fillId="18" borderId="136" xfId="0" applyFill="1" applyBorder="1"/>
    <xf numFmtId="0" fontId="0" fillId="12" borderId="136" xfId="0" applyFill="1" applyBorder="1"/>
    <xf numFmtId="173" fontId="0" fillId="0" borderId="0" xfId="0" applyNumberFormat="1"/>
    <xf numFmtId="9" fontId="243" fillId="57" borderId="0" xfId="0" applyNumberFormat="1" applyFont="1" applyFill="1"/>
    <xf numFmtId="173" fontId="243" fillId="57" borderId="0" xfId="0" applyNumberFormat="1" applyFont="1" applyFill="1"/>
    <xf numFmtId="173" fontId="199" fillId="0" borderId="0" xfId="384" applyNumberFormat="1" applyFont="1"/>
    <xf numFmtId="232" fontId="28" fillId="12" borderId="0" xfId="383" applyNumberFormat="1" applyFont="1" applyFill="1"/>
    <xf numFmtId="0" fontId="40" fillId="12" borderId="0" xfId="1" applyFont="1" applyFill="1" applyAlignment="1">
      <alignment horizontal="left" indent="1"/>
    </xf>
    <xf numFmtId="0" fontId="171" fillId="33" borderId="0" xfId="1" applyFont="1" applyFill="1"/>
    <xf numFmtId="176" fontId="171" fillId="12" borderId="0" xfId="0" applyNumberFormat="1" applyFont="1" applyFill="1" applyAlignment="1">
      <alignment vertical="center"/>
    </xf>
    <xf numFmtId="9" fontId="171" fillId="70" borderId="0" xfId="0" applyNumberFormat="1" applyFont="1" applyFill="1" applyAlignment="1">
      <alignment vertical="center"/>
    </xf>
    <xf numFmtId="0" fontId="103" fillId="0" borderId="33" xfId="0" applyFont="1" applyBorder="1" applyAlignment="1">
      <alignment horizontal="center"/>
    </xf>
    <xf numFmtId="3" fontId="1" fillId="0" borderId="0" xfId="2511" applyNumberFormat="1" applyFont="1"/>
    <xf numFmtId="2" fontId="32" fillId="19" borderId="0" xfId="0" applyNumberFormat="1" applyFont="1" applyFill="1" applyAlignment="1">
      <alignment horizontal="center" vertical="center"/>
    </xf>
    <xf numFmtId="0" fontId="246" fillId="12" borderId="0" xfId="0" applyFont="1" applyFill="1"/>
    <xf numFmtId="347" fontId="246" fillId="12" borderId="0" xfId="0" applyNumberFormat="1" applyFont="1" applyFill="1"/>
    <xf numFmtId="173" fontId="175" fillId="57" borderId="58" xfId="0" applyNumberFormat="1" applyFont="1" applyFill="1" applyBorder="1" applyAlignment="1">
      <alignment horizontal="center" vertical="center"/>
    </xf>
    <xf numFmtId="9" fontId="175" fillId="57" borderId="141" xfId="0" applyNumberFormat="1" applyFont="1" applyFill="1" applyBorder="1" applyAlignment="1">
      <alignment horizontal="center" vertical="center"/>
    </xf>
    <xf numFmtId="347" fontId="173" fillId="12" borderId="0" xfId="2521" applyNumberFormat="1" applyFont="1" applyFill="1" applyBorder="1" applyAlignment="1">
      <alignment horizontal="center" vertical="center"/>
    </xf>
    <xf numFmtId="347" fontId="173" fillId="12" borderId="28" xfId="2521" applyNumberFormat="1" applyFont="1" applyFill="1" applyBorder="1" applyAlignment="1">
      <alignment horizontal="center" vertical="center"/>
    </xf>
    <xf numFmtId="9" fontId="175" fillId="57" borderId="28" xfId="0" applyNumberFormat="1" applyFont="1" applyFill="1" applyBorder="1" applyAlignment="1">
      <alignment horizontal="center" vertical="center"/>
    </xf>
    <xf numFmtId="347" fontId="174" fillId="12" borderId="77" xfId="2521" applyNumberFormat="1" applyFont="1" applyFill="1" applyBorder="1" applyAlignment="1">
      <alignment horizontal="center" vertical="center"/>
    </xf>
    <xf numFmtId="9" fontId="175" fillId="57" borderId="123" xfId="0" applyNumberFormat="1" applyFont="1" applyFill="1" applyBorder="1" applyAlignment="1">
      <alignment horizontal="center" vertical="center"/>
    </xf>
    <xf numFmtId="347" fontId="173" fillId="12" borderId="58" xfId="2521" applyNumberFormat="1" applyFont="1" applyFill="1" applyBorder="1" applyAlignment="1">
      <alignment horizontal="center" vertical="center"/>
    </xf>
    <xf numFmtId="347" fontId="173" fillId="12" borderId="123" xfId="2521" applyNumberFormat="1" applyFont="1" applyFill="1" applyBorder="1" applyAlignment="1">
      <alignment horizontal="center" vertical="center"/>
    </xf>
    <xf numFmtId="9" fontId="175" fillId="57" borderId="58" xfId="0" applyNumberFormat="1" applyFont="1" applyFill="1" applyBorder="1" applyAlignment="1">
      <alignment horizontal="center" vertical="center"/>
    </xf>
    <xf numFmtId="347" fontId="173" fillId="12" borderId="143" xfId="2521" applyNumberFormat="1" applyFont="1" applyFill="1" applyBorder="1" applyAlignment="1">
      <alignment horizontal="center" vertical="center"/>
    </xf>
    <xf numFmtId="347" fontId="173" fillId="12" borderId="141" xfId="2521" applyNumberFormat="1" applyFont="1" applyFill="1" applyBorder="1" applyAlignment="1">
      <alignment horizontal="center" vertical="center"/>
    </xf>
    <xf numFmtId="1" fontId="105" fillId="54" borderId="58" xfId="0" applyNumberFormat="1" applyFont="1" applyFill="1" applyBorder="1" applyAlignment="1">
      <alignment horizontal="right"/>
    </xf>
    <xf numFmtId="0" fontId="174" fillId="33" borderId="0" xfId="0" applyFont="1" applyFill="1"/>
    <xf numFmtId="3" fontId="174" fillId="33" borderId="0" xfId="0" applyNumberFormat="1" applyFont="1" applyFill="1"/>
    <xf numFmtId="14" fontId="239" fillId="53" borderId="146" xfId="1" applyNumberFormat="1" applyFont="1" applyFill="1" applyBorder="1" applyAlignment="1">
      <alignment horizontal="center" vertical="center"/>
    </xf>
    <xf numFmtId="3" fontId="169" fillId="0" borderId="146" xfId="0" applyNumberFormat="1" applyFont="1" applyBorder="1" applyAlignment="1">
      <alignment horizontal="center" vertical="center"/>
    </xf>
    <xf numFmtId="3" fontId="28" fillId="0" borderId="28" xfId="0" applyNumberFormat="1" applyFont="1" applyBorder="1" applyAlignment="1">
      <alignment horizontal="center"/>
    </xf>
    <xf numFmtId="0" fontId="247" fillId="0" borderId="28" xfId="0" applyFont="1" applyBorder="1" applyAlignment="1">
      <alignment horizontal="center"/>
    </xf>
    <xf numFmtId="0" fontId="247" fillId="0" borderId="28" xfId="0" applyFont="1" applyBorder="1"/>
    <xf numFmtId="3" fontId="32" fillId="0" borderId="146" xfId="0" applyNumberFormat="1" applyFont="1" applyBorder="1" applyAlignment="1">
      <alignment horizontal="center" vertical="center"/>
    </xf>
    <xf numFmtId="9" fontId="169" fillId="0" borderId="33" xfId="384" applyFont="1" applyBorder="1" applyAlignment="1">
      <alignment horizontal="center" vertical="center"/>
    </xf>
    <xf numFmtId="173" fontId="169" fillId="0" borderId="33" xfId="384" applyNumberFormat="1" applyFont="1" applyBorder="1" applyAlignment="1">
      <alignment horizontal="center" vertical="center"/>
    </xf>
    <xf numFmtId="173" fontId="168" fillId="0" borderId="0" xfId="384" applyNumberFormat="1" applyFont="1" applyAlignment="1">
      <alignment horizontal="center"/>
    </xf>
    <xf numFmtId="173" fontId="168" fillId="0" borderId="28" xfId="384" applyNumberFormat="1" applyFont="1" applyBorder="1" applyAlignment="1">
      <alignment horizontal="center"/>
    </xf>
    <xf numFmtId="173" fontId="169" fillId="0" borderId="146" xfId="384" applyNumberFormat="1" applyFont="1" applyBorder="1" applyAlignment="1">
      <alignment horizontal="center" vertical="center"/>
    </xf>
    <xf numFmtId="3" fontId="28" fillId="0" borderId="0" xfId="0" applyNumberFormat="1" applyFont="1" applyAlignment="1">
      <alignment horizontal="center"/>
    </xf>
    <xf numFmtId="4" fontId="32" fillId="19" borderId="28" xfId="0" applyNumberFormat="1" applyFont="1" applyFill="1" applyBorder="1" applyAlignment="1">
      <alignment horizontal="center" vertical="center"/>
    </xf>
    <xf numFmtId="4" fontId="32" fillId="19" borderId="0" xfId="0" applyNumberFormat="1" applyFont="1" applyFill="1" applyAlignment="1">
      <alignment horizontal="center" vertical="center"/>
    </xf>
    <xf numFmtId="0" fontId="239" fillId="53" borderId="144" xfId="0" applyFont="1" applyFill="1" applyBorder="1" applyAlignment="1">
      <alignment horizontal="center" vertical="center"/>
    </xf>
    <xf numFmtId="0" fontId="239" fillId="53" borderId="145" xfId="0" applyFont="1" applyFill="1" applyBorder="1" applyAlignment="1">
      <alignment horizontal="center" vertical="center"/>
    </xf>
    <xf numFmtId="0" fontId="239" fillId="53" borderId="123" xfId="0" applyFont="1" applyFill="1" applyBorder="1" applyAlignment="1">
      <alignment horizontal="center" vertical="center"/>
    </xf>
    <xf numFmtId="0" fontId="32" fillId="19" borderId="147" xfId="0" applyFont="1" applyFill="1" applyBorder="1" applyAlignment="1">
      <alignment vertical="center"/>
    </xf>
    <xf numFmtId="0" fontId="0" fillId="0" borderId="147" xfId="0" applyBorder="1"/>
    <xf numFmtId="2" fontId="170" fillId="19" borderId="0" xfId="0" applyNumberFormat="1" applyFont="1" applyFill="1" applyAlignment="1">
      <alignment horizontal="center" vertical="center"/>
    </xf>
    <xf numFmtId="9" fontId="169" fillId="0" borderId="146" xfId="384" applyFont="1" applyBorder="1" applyAlignment="1">
      <alignment horizontal="center" vertical="center"/>
    </xf>
    <xf numFmtId="0" fontId="170" fillId="19" borderId="0" xfId="0" applyFont="1" applyFill="1" applyAlignment="1">
      <alignment horizontal="center" vertical="center"/>
    </xf>
    <xf numFmtId="0" fontId="247" fillId="0" borderId="0" xfId="0" applyFont="1"/>
    <xf numFmtId="180" fontId="33" fillId="0" borderId="0" xfId="1" applyNumberFormat="1" applyFont="1"/>
    <xf numFmtId="10" fontId="3" fillId="18" borderId="0" xfId="2511" applyNumberFormat="1" applyFont="1" applyFill="1" applyAlignment="1">
      <alignment horizontal="center"/>
    </xf>
    <xf numFmtId="10" fontId="4" fillId="0" borderId="0" xfId="2511" applyNumberFormat="1" applyFont="1" applyAlignment="1">
      <alignment horizontal="center"/>
    </xf>
    <xf numFmtId="338" fontId="33" fillId="12" borderId="0" xfId="0" applyNumberFormat="1" applyFont="1" applyFill="1" applyAlignment="1">
      <alignment vertical="center"/>
    </xf>
    <xf numFmtId="232" fontId="33" fillId="12" borderId="0" xfId="383" applyNumberFormat="1" applyFont="1" applyFill="1" applyAlignment="1">
      <alignment vertical="center"/>
    </xf>
    <xf numFmtId="0" fontId="44" fillId="0" borderId="0" xfId="2516" applyFont="1" applyAlignment="1">
      <alignment horizontal="centerContinuous" vertical="center"/>
    </xf>
    <xf numFmtId="0" fontId="44" fillId="0" borderId="0" xfId="2515" applyFont="1" applyAlignment="1">
      <alignment horizontal="center"/>
    </xf>
    <xf numFmtId="9" fontId="43" fillId="0" borderId="0" xfId="384" applyFont="1" applyFill="1" applyBorder="1" applyAlignment="1">
      <alignment horizontal="center"/>
    </xf>
    <xf numFmtId="9" fontId="44" fillId="0" borderId="0" xfId="384" applyFont="1" applyFill="1" applyBorder="1" applyAlignment="1">
      <alignment horizontal="center"/>
    </xf>
    <xf numFmtId="337" fontId="43" fillId="0" borderId="0" xfId="384" applyNumberFormat="1" applyFont="1" applyFill="1" applyBorder="1" applyAlignment="1">
      <alignment horizontal="center"/>
    </xf>
    <xf numFmtId="337" fontId="43" fillId="0" borderId="0" xfId="2516" applyNumberFormat="1" applyFont="1" applyAlignment="1">
      <alignment horizontal="center"/>
    </xf>
    <xf numFmtId="337" fontId="44" fillId="0" borderId="0" xfId="2516" applyNumberFormat="1" applyFont="1" applyAlignment="1">
      <alignment horizontal="center"/>
    </xf>
    <xf numFmtId="9" fontId="43" fillId="0" borderId="65" xfId="384" applyFont="1" applyFill="1" applyBorder="1" applyAlignment="1">
      <alignment horizontal="center"/>
    </xf>
    <xf numFmtId="337" fontId="43" fillId="0" borderId="65" xfId="384" applyNumberFormat="1" applyFont="1" applyFill="1" applyBorder="1" applyAlignment="1">
      <alignment horizontal="center"/>
    </xf>
    <xf numFmtId="1" fontId="168" fillId="0" borderId="0" xfId="1" applyNumberFormat="1" applyFont="1"/>
    <xf numFmtId="190" fontId="173" fillId="0" borderId="119" xfId="0" applyNumberFormat="1" applyFont="1" applyBorder="1"/>
    <xf numFmtId="279" fontId="227" fillId="54" borderId="0" xfId="0" applyNumberFormat="1" applyFont="1" applyFill="1" applyAlignment="1">
      <alignment horizontal="center"/>
    </xf>
    <xf numFmtId="0" fontId="1" fillId="0" borderId="149" xfId="0" applyFont="1" applyBorder="1"/>
    <xf numFmtId="346" fontId="1" fillId="0" borderId="126" xfId="0" applyNumberFormat="1" applyFont="1" applyBorder="1"/>
    <xf numFmtId="3" fontId="1" fillId="0" borderId="126" xfId="0" applyNumberFormat="1" applyFont="1" applyBorder="1"/>
    <xf numFmtId="0" fontId="1" fillId="0" borderId="126" xfId="0" applyFont="1" applyBorder="1"/>
    <xf numFmtId="1" fontId="1" fillId="0" borderId="126" xfId="0" applyNumberFormat="1" applyFont="1" applyBorder="1"/>
    <xf numFmtId="0" fontId="167" fillId="53" borderId="151" xfId="0" applyFont="1" applyFill="1" applyBorder="1"/>
    <xf numFmtId="347" fontId="167" fillId="53" borderId="152" xfId="0" applyNumberFormat="1" applyFont="1" applyFill="1" applyBorder="1"/>
    <xf numFmtId="0" fontId="1" fillId="0" borderId="150" xfId="0" applyFont="1" applyBorder="1"/>
    <xf numFmtId="9" fontId="1" fillId="0" borderId="127" xfId="384" applyFont="1" applyBorder="1"/>
    <xf numFmtId="0" fontId="105" fillId="74" borderId="148" xfId="0" applyFont="1" applyFill="1" applyBorder="1"/>
    <xf numFmtId="279" fontId="105" fillId="74" borderId="128" xfId="0" applyNumberFormat="1" applyFont="1" applyFill="1" applyBorder="1"/>
    <xf numFmtId="0" fontId="167" fillId="0" borderId="0" xfId="0" applyFont="1"/>
    <xf numFmtId="0" fontId="1" fillId="0" borderId="0" xfId="0" applyFont="1"/>
    <xf numFmtId="0" fontId="105" fillId="74" borderId="155" xfId="0" applyFont="1" applyFill="1" applyBorder="1"/>
    <xf numFmtId="0" fontId="105" fillId="74" borderId="155" xfId="0" applyFont="1" applyFill="1" applyBorder="1" applyAlignment="1">
      <alignment horizontal="right"/>
    </xf>
    <xf numFmtId="232" fontId="1" fillId="0" borderId="0" xfId="383" applyNumberFormat="1" applyFont="1" applyBorder="1"/>
    <xf numFmtId="1" fontId="1" fillId="0" borderId="0" xfId="0" applyNumberFormat="1" applyFont="1"/>
    <xf numFmtId="0" fontId="248" fillId="0" borderId="0" xfId="0" applyFont="1"/>
    <xf numFmtId="9" fontId="248" fillId="0" borderId="0" xfId="0" applyNumberFormat="1" applyFont="1"/>
    <xf numFmtId="0" fontId="1" fillId="0" borderId="33" xfId="0" applyFont="1" applyBorder="1"/>
    <xf numFmtId="232" fontId="1" fillId="0" borderId="33" xfId="383" applyNumberFormat="1" applyFont="1" applyBorder="1"/>
    <xf numFmtId="9" fontId="1" fillId="0" borderId="0" xfId="0" applyNumberFormat="1" applyFont="1"/>
    <xf numFmtId="173" fontId="1" fillId="0" borderId="0" xfId="0" applyNumberFormat="1" applyFont="1"/>
    <xf numFmtId="9" fontId="1" fillId="0" borderId="0" xfId="384" applyFont="1"/>
    <xf numFmtId="0" fontId="249" fillId="53" borderId="156" xfId="0" applyFont="1" applyFill="1" applyBorder="1" applyAlignment="1">
      <alignment vertical="center"/>
    </xf>
    <xf numFmtId="0" fontId="250" fillId="53" borderId="153" xfId="0" applyFont="1" applyFill="1" applyBorder="1" applyAlignment="1">
      <alignment horizontal="center" vertical="center"/>
    </xf>
    <xf numFmtId="0" fontId="173" fillId="53" borderId="154" xfId="0" applyFont="1" applyFill="1" applyBorder="1" applyAlignment="1">
      <alignment vertical="center"/>
    </xf>
    <xf numFmtId="0" fontId="173" fillId="53" borderId="147" xfId="0" applyFont="1" applyFill="1" applyBorder="1" applyAlignment="1">
      <alignment vertical="center"/>
    </xf>
    <xf numFmtId="0" fontId="173" fillId="53" borderId="0" xfId="0" applyFont="1" applyFill="1" applyAlignment="1">
      <alignment horizontal="center" vertical="center"/>
    </xf>
    <xf numFmtId="173" fontId="173" fillId="53" borderId="28" xfId="384" applyNumberFormat="1" applyFont="1" applyFill="1" applyBorder="1" applyAlignment="1">
      <alignment vertical="center"/>
    </xf>
    <xf numFmtId="353" fontId="173" fillId="53" borderId="28" xfId="0" applyNumberFormat="1" applyFont="1" applyFill="1" applyBorder="1" applyAlignment="1">
      <alignment vertical="center"/>
    </xf>
    <xf numFmtId="0" fontId="174" fillId="53" borderId="147" xfId="0" applyFont="1" applyFill="1" applyBorder="1" applyAlignment="1">
      <alignment vertical="center"/>
    </xf>
    <xf numFmtId="0" fontId="174" fillId="53" borderId="0" xfId="0" applyFont="1" applyFill="1" applyAlignment="1">
      <alignment horizontal="center" vertical="center"/>
    </xf>
    <xf numFmtId="173" fontId="174" fillId="53" borderId="28" xfId="384" applyNumberFormat="1" applyFont="1" applyFill="1" applyBorder="1" applyAlignment="1">
      <alignment vertical="center"/>
    </xf>
    <xf numFmtId="0" fontId="173" fillId="53" borderId="28" xfId="0" applyFont="1" applyFill="1" applyBorder="1" applyAlignment="1">
      <alignment vertical="center"/>
    </xf>
    <xf numFmtId="9" fontId="173" fillId="53" borderId="28" xfId="384" applyFont="1" applyFill="1" applyBorder="1" applyAlignment="1">
      <alignment vertical="center"/>
    </xf>
    <xf numFmtId="173" fontId="186" fillId="53" borderId="28" xfId="384" applyNumberFormat="1" applyFont="1" applyFill="1" applyBorder="1" applyAlignment="1">
      <alignment vertical="center"/>
    </xf>
    <xf numFmtId="0" fontId="174" fillId="53" borderId="125" xfId="0" applyFont="1" applyFill="1" applyBorder="1" applyAlignment="1">
      <alignment vertical="center"/>
    </xf>
    <xf numFmtId="0" fontId="174" fillId="53" borderId="58" xfId="0" applyFont="1" applyFill="1" applyBorder="1" applyAlignment="1">
      <alignment horizontal="center" vertical="center"/>
    </xf>
    <xf numFmtId="173" fontId="174" fillId="53" borderId="123" xfId="384" applyNumberFormat="1" applyFont="1" applyFill="1" applyBorder="1" applyAlignment="1">
      <alignment vertical="center"/>
    </xf>
    <xf numFmtId="0" fontId="249" fillId="33" borderId="156" xfId="0" applyFont="1" applyFill="1" applyBorder="1" applyAlignment="1">
      <alignment vertical="center"/>
    </xf>
    <xf numFmtId="0" fontId="0" fillId="33" borderId="153" xfId="0" applyFill="1" applyBorder="1"/>
    <xf numFmtId="0" fontId="0" fillId="33" borderId="154" xfId="0" applyFill="1" applyBorder="1"/>
    <xf numFmtId="0" fontId="173" fillId="33" borderId="147" xfId="0" applyFont="1" applyFill="1" applyBorder="1" applyAlignment="1">
      <alignment vertical="center"/>
    </xf>
    <xf numFmtId="0" fontId="174" fillId="33" borderId="147" xfId="0" applyFont="1" applyFill="1" applyBorder="1" applyAlignment="1">
      <alignment vertical="center"/>
    </xf>
    <xf numFmtId="0" fontId="174" fillId="33" borderId="125" xfId="0" applyFont="1" applyFill="1" applyBorder="1" applyAlignment="1">
      <alignment vertical="center"/>
    </xf>
    <xf numFmtId="2" fontId="1" fillId="0" borderId="0" xfId="0" applyNumberFormat="1" applyFont="1"/>
    <xf numFmtId="354" fontId="43" fillId="33" borderId="28" xfId="0" applyNumberFormat="1" applyFont="1" applyFill="1" applyBorder="1"/>
    <xf numFmtId="354" fontId="173" fillId="33" borderId="28" xfId="0" applyNumberFormat="1" applyFont="1" applyFill="1" applyBorder="1"/>
    <xf numFmtId="0" fontId="173" fillId="33" borderId="0" xfId="0" applyFont="1" applyFill="1"/>
    <xf numFmtId="9" fontId="44" fillId="0" borderId="65" xfId="384" applyFont="1" applyFill="1" applyBorder="1" applyAlignment="1">
      <alignment horizontal="center"/>
    </xf>
    <xf numFmtId="3" fontId="44" fillId="0" borderId="65" xfId="2516" applyNumberFormat="1" applyFont="1" applyBorder="1" applyAlignment="1">
      <alignment horizontal="center"/>
    </xf>
    <xf numFmtId="9" fontId="215" fillId="0" borderId="74" xfId="384" applyFont="1" applyFill="1" applyBorder="1" applyAlignment="1">
      <alignment horizontal="center" vertical="center"/>
    </xf>
    <xf numFmtId="173" fontId="44" fillId="0" borderId="0" xfId="384" applyNumberFormat="1" applyFont="1" applyFill="1" applyBorder="1" applyAlignment="1">
      <alignment horizontal="center"/>
    </xf>
    <xf numFmtId="337" fontId="44" fillId="0" borderId="65" xfId="2516" applyNumberFormat="1" applyFont="1" applyBorder="1" applyAlignment="1">
      <alignment horizontal="center"/>
    </xf>
    <xf numFmtId="2" fontId="44" fillId="0" borderId="0" xfId="384" applyNumberFormat="1" applyFont="1" applyFill="1" applyBorder="1" applyAlignment="1">
      <alignment horizontal="center"/>
    </xf>
    <xf numFmtId="2" fontId="44" fillId="0" borderId="65" xfId="384" applyNumberFormat="1" applyFont="1" applyFill="1" applyBorder="1" applyAlignment="1">
      <alignment horizontal="center"/>
    </xf>
    <xf numFmtId="9" fontId="43" fillId="0" borderId="0" xfId="384" applyFont="1" applyFill="1" applyAlignment="1">
      <alignment horizontal="center"/>
    </xf>
    <xf numFmtId="9" fontId="43" fillId="0" borderId="0" xfId="384" applyFont="1" applyFill="1"/>
    <xf numFmtId="172" fontId="1" fillId="0" borderId="0" xfId="0" applyNumberFormat="1" applyFont="1"/>
    <xf numFmtId="354" fontId="1" fillId="0" borderId="0" xfId="0" applyNumberFormat="1" applyFont="1"/>
    <xf numFmtId="354" fontId="174" fillId="33" borderId="28" xfId="0" applyNumberFormat="1" applyFont="1" applyFill="1" applyBorder="1"/>
    <xf numFmtId="0" fontId="174" fillId="33" borderId="58" xfId="0" applyFont="1" applyFill="1" applyBorder="1"/>
    <xf numFmtId="354" fontId="174" fillId="33" borderId="123" xfId="0" applyNumberFormat="1" applyFont="1" applyFill="1" applyBorder="1"/>
    <xf numFmtId="354" fontId="44" fillId="33" borderId="28" xfId="0" applyNumberFormat="1" applyFont="1" applyFill="1" applyBorder="1"/>
    <xf numFmtId="0" fontId="217" fillId="12" borderId="0" xfId="0" applyFont="1" applyFill="1"/>
    <xf numFmtId="0" fontId="177" fillId="12" borderId="0" xfId="0" applyFont="1" applyFill="1" applyAlignment="1">
      <alignment horizontal="left" indent="1"/>
    </xf>
    <xf numFmtId="3" fontId="177" fillId="12" borderId="0" xfId="0" applyNumberFormat="1" applyFont="1" applyFill="1"/>
    <xf numFmtId="0" fontId="177" fillId="12" borderId="0" xfId="0" applyFont="1" applyFill="1"/>
    <xf numFmtId="0" fontId="220" fillId="12" borderId="0" xfId="0" applyFont="1" applyFill="1"/>
    <xf numFmtId="3" fontId="220" fillId="12" borderId="0" xfId="0" applyNumberFormat="1" applyFont="1" applyFill="1"/>
    <xf numFmtId="173" fontId="177" fillId="12" borderId="0" xfId="384" applyNumberFormat="1" applyFont="1" applyFill="1" applyBorder="1" applyAlignment="1">
      <alignment horizontal="center"/>
    </xf>
    <xf numFmtId="0" fontId="226" fillId="12" borderId="0" xfId="0" applyFont="1" applyFill="1" applyAlignment="1">
      <alignment horizontal="center" vertical="center"/>
    </xf>
    <xf numFmtId="0" fontId="177" fillId="12" borderId="0" xfId="0" applyFont="1" applyFill="1" applyAlignment="1">
      <alignment horizontal="center" vertical="center"/>
    </xf>
    <xf numFmtId="0" fontId="177" fillId="12" borderId="0" xfId="0" applyFont="1" applyFill="1" applyAlignment="1">
      <alignment horizontal="center"/>
    </xf>
    <xf numFmtId="9" fontId="177" fillId="12" borderId="0" xfId="384" applyFont="1" applyFill="1" applyBorder="1"/>
    <xf numFmtId="1" fontId="227" fillId="12" borderId="0" xfId="0" applyNumberFormat="1" applyFont="1" applyFill="1" applyAlignment="1">
      <alignment horizontal="center"/>
    </xf>
    <xf numFmtId="173" fontId="177" fillId="12" borderId="0" xfId="0" applyNumberFormat="1" applyFont="1" applyFill="1" applyAlignment="1">
      <alignment horizontal="center"/>
    </xf>
    <xf numFmtId="0" fontId="195" fillId="0" borderId="0" xfId="2520" quotePrefix="1" applyFont="1" applyAlignment="1">
      <alignment horizontal="left" vertical="center" indent="5"/>
    </xf>
    <xf numFmtId="9" fontId="0" fillId="0" borderId="0" xfId="384" applyFont="1"/>
    <xf numFmtId="173" fontId="0" fillId="0" borderId="0" xfId="384" applyNumberFormat="1" applyFont="1"/>
    <xf numFmtId="9" fontId="175" fillId="72" borderId="0" xfId="45" applyFont="1" applyFill="1" applyBorder="1" applyAlignment="1">
      <alignment horizontal="center"/>
    </xf>
    <xf numFmtId="9" fontId="175" fillId="72" borderId="0" xfId="45" applyFont="1" applyFill="1" applyBorder="1" applyAlignment="1">
      <alignment horizontal="center" vertical="top"/>
    </xf>
    <xf numFmtId="357" fontId="206" fillId="55" borderId="0" xfId="45" applyNumberFormat="1" applyFont="1" applyFill="1" applyBorder="1" applyAlignment="1">
      <alignment horizontal="center" vertical="center"/>
    </xf>
    <xf numFmtId="173" fontId="181" fillId="12" borderId="84" xfId="384" applyNumberFormat="1" applyFont="1" applyFill="1" applyBorder="1" applyAlignment="1">
      <alignment horizontal="center" vertical="center"/>
    </xf>
    <xf numFmtId="0" fontId="102" fillId="0" borderId="0" xfId="374"/>
    <xf numFmtId="0" fontId="44" fillId="70" borderId="0" xfId="2516" applyFont="1" applyFill="1" applyAlignment="1">
      <alignment vertical="center"/>
    </xf>
    <xf numFmtId="3" fontId="251" fillId="53" borderId="74" xfId="43" applyNumberFormat="1" applyFont="1" applyFill="1" applyBorder="1" applyAlignment="1">
      <alignment horizontal="center" vertical="center"/>
    </xf>
    <xf numFmtId="173" fontId="251" fillId="0" borderId="74" xfId="2515" applyNumberFormat="1" applyFont="1" applyBorder="1" applyAlignment="1">
      <alignment horizontal="center" vertical="center"/>
    </xf>
    <xf numFmtId="9" fontId="252" fillId="0" borderId="74" xfId="384" applyFont="1" applyFill="1" applyBorder="1" applyAlignment="1">
      <alignment horizontal="center" vertical="center"/>
    </xf>
    <xf numFmtId="343" fontId="252" fillId="0" borderId="74" xfId="384" applyNumberFormat="1" applyFont="1" applyFill="1" applyBorder="1" applyAlignment="1">
      <alignment horizontal="center" vertical="center"/>
    </xf>
    <xf numFmtId="9" fontId="253" fillId="0" borderId="74" xfId="384" applyFont="1" applyFill="1" applyBorder="1" applyAlignment="1">
      <alignment horizontal="center" vertical="center"/>
    </xf>
    <xf numFmtId="173" fontId="252" fillId="12" borderId="74" xfId="2516" applyNumberFormat="1" applyFont="1" applyFill="1" applyBorder="1" applyAlignment="1">
      <alignment horizontal="right"/>
    </xf>
    <xf numFmtId="3" fontId="252" fillId="53" borderId="74" xfId="43" applyNumberFormat="1" applyFont="1" applyFill="1" applyBorder="1" applyAlignment="1">
      <alignment horizontal="center" vertical="center"/>
    </xf>
    <xf numFmtId="9" fontId="251" fillId="60" borderId="74" xfId="384" applyFont="1" applyFill="1" applyBorder="1" applyAlignment="1">
      <alignment horizontal="center" vertical="center"/>
    </xf>
    <xf numFmtId="3" fontId="251" fillId="53" borderId="74" xfId="43" applyNumberFormat="1" applyFont="1" applyFill="1" applyBorder="1" applyAlignment="1">
      <alignment horizontal="center" vertical="center" wrapText="1"/>
    </xf>
    <xf numFmtId="9" fontId="43" fillId="12" borderId="0" xfId="384" applyFont="1" applyFill="1" applyAlignment="1">
      <alignment horizontal="right"/>
    </xf>
    <xf numFmtId="173" fontId="43" fillId="12" borderId="0" xfId="384" applyNumberFormat="1" applyFont="1" applyFill="1" applyAlignment="1">
      <alignment horizontal="right"/>
    </xf>
    <xf numFmtId="173" fontId="44" fillId="0" borderId="84" xfId="45" applyNumberFormat="1" applyFont="1" applyFill="1" applyBorder="1" applyAlignment="1">
      <alignment horizontal="center" vertical="center"/>
    </xf>
    <xf numFmtId="173" fontId="181" fillId="12" borderId="0" xfId="384" applyNumberFormat="1" applyFont="1" applyFill="1" applyBorder="1" applyAlignment="1">
      <alignment horizontal="center" vertical="center"/>
    </xf>
    <xf numFmtId="3" fontId="181" fillId="12" borderId="0" xfId="2516" applyNumberFormat="1" applyFont="1" applyFill="1" applyAlignment="1">
      <alignment horizontal="center" vertical="center"/>
    </xf>
    <xf numFmtId="9" fontId="181" fillId="12" borderId="65" xfId="384" applyFont="1" applyFill="1" applyBorder="1" applyAlignment="1">
      <alignment horizontal="center" vertical="center"/>
    </xf>
    <xf numFmtId="337" fontId="181" fillId="12" borderId="65" xfId="2516" applyNumberFormat="1" applyFont="1" applyFill="1" applyBorder="1" applyAlignment="1">
      <alignment horizontal="center" vertical="center"/>
    </xf>
    <xf numFmtId="173" fontId="181" fillId="12" borderId="65" xfId="384" applyNumberFormat="1" applyFont="1" applyFill="1" applyBorder="1" applyAlignment="1">
      <alignment horizontal="center" vertical="center"/>
    </xf>
    <xf numFmtId="9" fontId="218" fillId="12" borderId="74" xfId="384" applyFont="1" applyFill="1" applyBorder="1" applyAlignment="1">
      <alignment horizontal="center" vertical="center" wrapText="1"/>
    </xf>
    <xf numFmtId="9" fontId="181" fillId="12" borderId="0" xfId="384" applyFont="1" applyFill="1" applyBorder="1" applyAlignment="1">
      <alignment horizontal="center" vertical="center" wrapText="1"/>
    </xf>
    <xf numFmtId="9" fontId="181" fillId="12" borderId="0" xfId="384" applyFont="1" applyFill="1" applyBorder="1" applyAlignment="1">
      <alignment horizontal="center" vertical="center"/>
    </xf>
    <xf numFmtId="9" fontId="181" fillId="12" borderId="0" xfId="384" applyFont="1" applyFill="1" applyAlignment="1">
      <alignment horizontal="center" vertical="center"/>
    </xf>
    <xf numFmtId="0" fontId="32" fillId="61" borderId="33" xfId="0" applyFont="1" applyFill="1" applyBorder="1" applyAlignment="1">
      <alignment vertical="center"/>
    </xf>
    <xf numFmtId="0" fontId="0" fillId="61" borderId="59" xfId="0" applyFill="1" applyBorder="1"/>
    <xf numFmtId="0" fontId="0" fillId="61" borderId="33" xfId="0" applyFill="1" applyBorder="1"/>
    <xf numFmtId="0" fontId="0" fillId="61" borderId="29" xfId="0" applyFill="1" applyBorder="1"/>
    <xf numFmtId="3" fontId="32" fillId="61" borderId="33" xfId="0" applyNumberFormat="1" applyFont="1" applyFill="1" applyBorder="1" applyAlignment="1">
      <alignment horizontal="center"/>
    </xf>
    <xf numFmtId="3" fontId="170" fillId="61" borderId="33" xfId="0" applyNumberFormat="1" applyFont="1" applyFill="1" applyBorder="1" applyAlignment="1">
      <alignment horizontal="center"/>
    </xf>
    <xf numFmtId="0" fontId="240" fillId="61" borderId="33" xfId="0" applyFont="1" applyFill="1" applyBorder="1"/>
    <xf numFmtId="3" fontId="32" fillId="61" borderId="29" xfId="0" applyNumberFormat="1" applyFont="1" applyFill="1" applyBorder="1" applyAlignment="1">
      <alignment horizontal="center"/>
    </xf>
    <xf numFmtId="0" fontId="170" fillId="61" borderId="0" xfId="0" applyFont="1" applyFill="1" applyAlignment="1">
      <alignment horizontal="center"/>
    </xf>
    <xf numFmtId="0" fontId="169" fillId="61" borderId="0" xfId="0" applyFont="1" applyFill="1" applyAlignment="1">
      <alignment horizontal="center"/>
    </xf>
    <xf numFmtId="0" fontId="169" fillId="61" borderId="11" xfId="0" applyFont="1" applyFill="1" applyBorder="1" applyAlignment="1">
      <alignment horizontal="center"/>
    </xf>
    <xf numFmtId="0" fontId="169" fillId="61" borderId="28" xfId="0" applyFont="1" applyFill="1" applyBorder="1" applyAlignment="1">
      <alignment horizontal="center"/>
    </xf>
    <xf numFmtId="0" fontId="240" fillId="61" borderId="28" xfId="0" applyFont="1" applyFill="1" applyBorder="1" applyAlignment="1">
      <alignment horizontal="center"/>
    </xf>
    <xf numFmtId="0" fontId="240" fillId="61" borderId="0" xfId="0" applyFont="1" applyFill="1" applyAlignment="1">
      <alignment horizontal="center"/>
    </xf>
    <xf numFmtId="3" fontId="32" fillId="61" borderId="0" xfId="0" applyNumberFormat="1" applyFont="1" applyFill="1" applyAlignment="1">
      <alignment horizontal="center"/>
    </xf>
    <xf numFmtId="3" fontId="32" fillId="61" borderId="28" xfId="0" applyNumberFormat="1" applyFont="1" applyFill="1" applyBorder="1" applyAlignment="1">
      <alignment horizontal="center"/>
    </xf>
    <xf numFmtId="3" fontId="169" fillId="61" borderId="0" xfId="0" applyNumberFormat="1" applyFont="1" applyFill="1" applyAlignment="1">
      <alignment horizontal="center"/>
    </xf>
    <xf numFmtId="0" fontId="240" fillId="0" borderId="0" xfId="0" applyFont="1" applyAlignment="1">
      <alignment horizontal="center"/>
    </xf>
    <xf numFmtId="1" fontId="32" fillId="61" borderId="0" xfId="0" applyNumberFormat="1" applyFont="1" applyFill="1" applyAlignment="1">
      <alignment horizontal="center"/>
    </xf>
    <xf numFmtId="173" fontId="168" fillId="0" borderId="28" xfId="384" applyNumberFormat="1" applyFont="1" applyBorder="1" applyAlignment="1">
      <alignment horizontal="center" vertical="center"/>
    </xf>
    <xf numFmtId="173" fontId="168" fillId="0" borderId="0" xfId="384" applyNumberFormat="1" applyFont="1" applyAlignment="1">
      <alignment horizontal="center" vertical="center"/>
    </xf>
    <xf numFmtId="173" fontId="0" fillId="0" borderId="0" xfId="384" applyNumberFormat="1" applyFont="1" applyAlignment="1">
      <alignment horizontal="center"/>
    </xf>
    <xf numFmtId="9" fontId="0" fillId="0" borderId="28" xfId="384" applyFont="1" applyBorder="1"/>
    <xf numFmtId="340" fontId="168" fillId="12" borderId="0" xfId="0" applyNumberFormat="1" applyFont="1" applyFill="1" applyAlignment="1">
      <alignment vertical="center"/>
    </xf>
    <xf numFmtId="0" fontId="219" fillId="0" borderId="0" xfId="0" applyFont="1" applyAlignment="1">
      <alignment vertical="center"/>
    </xf>
    <xf numFmtId="0" fontId="177" fillId="0" borderId="0" xfId="0" applyFont="1" applyAlignment="1">
      <alignment vertical="center"/>
    </xf>
    <xf numFmtId="0" fontId="254" fillId="0" borderId="0" xfId="0" applyFont="1" applyAlignment="1">
      <alignment vertical="center"/>
    </xf>
    <xf numFmtId="0" fontId="174" fillId="0" borderId="58" xfId="0" applyFont="1" applyBorder="1" applyAlignment="1">
      <alignment horizontal="left" vertical="center"/>
    </xf>
    <xf numFmtId="0" fontId="173" fillId="0" borderId="58" xfId="0" applyFont="1" applyBorder="1" applyAlignment="1">
      <alignment horizontal="center" vertical="center"/>
    </xf>
    <xf numFmtId="0" fontId="219" fillId="0" borderId="74" xfId="0" applyFont="1" applyBorder="1" applyAlignment="1">
      <alignment vertical="center"/>
    </xf>
    <xf numFmtId="0" fontId="175" fillId="54" borderId="0" xfId="2515" applyFont="1" applyFill="1" applyAlignment="1">
      <alignment vertical="center"/>
    </xf>
    <xf numFmtId="0" fontId="175" fillId="73" borderId="0" xfId="0" applyFont="1" applyFill="1" applyAlignment="1">
      <alignment horizontal="center" vertical="center"/>
    </xf>
    <xf numFmtId="0" fontId="175" fillId="71" borderId="0" xfId="0" applyFont="1" applyFill="1" applyAlignment="1">
      <alignment horizontal="center" vertical="center"/>
    </xf>
    <xf numFmtId="0" fontId="175" fillId="54" borderId="0" xfId="0" applyFont="1" applyFill="1" applyAlignment="1">
      <alignment horizontal="center" vertical="center"/>
    </xf>
    <xf numFmtId="0" fontId="175" fillId="72" borderId="74" xfId="0" applyFont="1" applyFill="1" applyBorder="1" applyAlignment="1">
      <alignment horizontal="center" vertical="center"/>
    </xf>
    <xf numFmtId="0" fontId="44" fillId="53" borderId="0" xfId="0" applyFont="1" applyFill="1" applyAlignment="1">
      <alignment horizontal="center" vertical="center"/>
    </xf>
    <xf numFmtId="0" fontId="44" fillId="0" borderId="0" xfId="43" applyFont="1" applyAlignment="1">
      <alignment vertical="center"/>
    </xf>
    <xf numFmtId="3" fontId="44" fillId="0" borderId="0" xfId="43" applyNumberFormat="1" applyFont="1" applyAlignment="1">
      <alignment horizontal="center" vertical="center"/>
    </xf>
    <xf numFmtId="3" fontId="176" fillId="0" borderId="0" xfId="43" applyNumberFormat="1" applyFont="1" applyAlignment="1">
      <alignment horizontal="center" vertical="center"/>
    </xf>
    <xf numFmtId="173" fontId="176" fillId="0" borderId="0" xfId="384" applyNumberFormat="1" applyFont="1" applyFill="1" applyBorder="1" applyAlignment="1">
      <alignment horizontal="center" vertical="center"/>
    </xf>
    <xf numFmtId="3" fontId="215" fillId="0" borderId="74" xfId="43" applyNumberFormat="1" applyFont="1" applyBorder="1" applyAlignment="1">
      <alignment horizontal="center" vertical="center"/>
    </xf>
    <xf numFmtId="3" fontId="176" fillId="0" borderId="0" xfId="43" applyNumberFormat="1" applyFont="1" applyAlignment="1">
      <alignment horizontal="left" vertical="center"/>
    </xf>
    <xf numFmtId="3" fontId="176" fillId="0" borderId="0" xfId="0" applyNumberFormat="1" applyFont="1" applyAlignment="1">
      <alignment horizontal="right" vertical="center"/>
    </xf>
    <xf numFmtId="0" fontId="174" fillId="0" borderId="0" xfId="0" applyFont="1" applyAlignment="1">
      <alignment vertical="center"/>
    </xf>
    <xf numFmtId="3" fontId="173" fillId="0" borderId="0" xfId="0" applyNumberFormat="1" applyFont="1" applyAlignment="1">
      <alignment horizontal="center" vertical="center"/>
    </xf>
    <xf numFmtId="3" fontId="173" fillId="0" borderId="0" xfId="0" quotePrefix="1" applyNumberFormat="1" applyFont="1" applyAlignment="1">
      <alignment horizontal="center" vertical="center"/>
    </xf>
    <xf numFmtId="173" fontId="173" fillId="0" borderId="0" xfId="384" applyNumberFormat="1" applyFont="1" applyBorder="1" applyAlignment="1">
      <alignment horizontal="center" vertical="center"/>
    </xf>
    <xf numFmtId="173" fontId="214" fillId="0" borderId="74" xfId="384" applyNumberFormat="1" applyFont="1" applyBorder="1" applyAlignment="1">
      <alignment horizontal="center" vertical="center"/>
    </xf>
    <xf numFmtId="3" fontId="176" fillId="0" borderId="0" xfId="0" applyNumberFormat="1" applyFont="1" applyAlignment="1">
      <alignment horizontal="center" vertical="center"/>
    </xf>
    <xf numFmtId="9" fontId="173" fillId="0" borderId="0" xfId="384" applyFont="1" applyBorder="1" applyAlignment="1">
      <alignment horizontal="center" vertical="center"/>
    </xf>
    <xf numFmtId="9" fontId="214" fillId="0" borderId="74" xfId="384" applyFont="1" applyBorder="1" applyAlignment="1">
      <alignment horizontal="center" vertical="center"/>
    </xf>
    <xf numFmtId="0" fontId="44" fillId="55" borderId="0" xfId="43" applyFont="1" applyFill="1" applyAlignment="1">
      <alignment vertical="center"/>
    </xf>
    <xf numFmtId="3" fontId="44" fillId="55" borderId="0" xfId="43" applyNumberFormat="1" applyFont="1" applyFill="1" applyAlignment="1">
      <alignment horizontal="center" vertical="center"/>
    </xf>
    <xf numFmtId="9" fontId="44" fillId="55" borderId="0" xfId="384" applyFont="1" applyFill="1" applyBorder="1" applyAlignment="1">
      <alignment horizontal="center" vertical="center"/>
    </xf>
    <xf numFmtId="358" fontId="173" fillId="0" borderId="0" xfId="0" applyNumberFormat="1" applyFont="1" applyAlignment="1">
      <alignment horizontal="center" vertical="center"/>
    </xf>
    <xf numFmtId="358" fontId="214" fillId="0" borderId="74" xfId="0" applyNumberFormat="1" applyFont="1" applyBorder="1" applyAlignment="1">
      <alignment horizontal="center" vertical="center"/>
    </xf>
    <xf numFmtId="358" fontId="174" fillId="55" borderId="0" xfId="0" applyNumberFormat="1" applyFont="1" applyFill="1" applyAlignment="1">
      <alignment horizontal="center" vertical="center"/>
    </xf>
    <xf numFmtId="0" fontId="43" fillId="0" borderId="0" xfId="43" applyFont="1" applyAlignment="1">
      <alignment vertical="center"/>
    </xf>
    <xf numFmtId="3" fontId="43" fillId="0" borderId="0" xfId="43" applyNumberFormat="1" applyFont="1" applyAlignment="1">
      <alignment horizontal="center" vertical="center"/>
    </xf>
    <xf numFmtId="0" fontId="44" fillId="55" borderId="0" xfId="43" applyFont="1" applyFill="1" applyAlignment="1">
      <alignment horizontal="left" vertical="center" indent="1"/>
    </xf>
    <xf numFmtId="358" fontId="174" fillId="0" borderId="0" xfId="0" applyNumberFormat="1" applyFont="1" applyAlignment="1">
      <alignment horizontal="center" vertical="center"/>
    </xf>
    <xf numFmtId="358" fontId="215" fillId="0" borderId="74" xfId="0" quotePrefix="1" applyNumberFormat="1" applyFont="1" applyBorder="1" applyAlignment="1">
      <alignment horizontal="center" vertical="center"/>
    </xf>
    <xf numFmtId="4" fontId="44" fillId="55" borderId="0" xfId="43" applyNumberFormat="1" applyFont="1" applyFill="1" applyAlignment="1">
      <alignment horizontal="center" vertical="center"/>
    </xf>
    <xf numFmtId="3" fontId="215" fillId="55" borderId="74" xfId="43" applyNumberFormat="1" applyFont="1" applyFill="1" applyBorder="1" applyAlignment="1">
      <alignment horizontal="center" vertical="center"/>
    </xf>
    <xf numFmtId="0" fontId="185" fillId="0" borderId="0" xfId="0" applyFont="1" applyAlignment="1">
      <alignment horizontal="left" vertical="center"/>
    </xf>
    <xf numFmtId="1" fontId="177" fillId="0" borderId="0" xfId="0" applyNumberFormat="1" applyFont="1" applyAlignment="1">
      <alignment horizontal="center" vertical="center"/>
    </xf>
    <xf numFmtId="0" fontId="177" fillId="0" borderId="75" xfId="0" applyFont="1" applyBorder="1" applyAlignment="1">
      <alignment vertical="center"/>
    </xf>
    <xf numFmtId="0" fontId="177" fillId="12" borderId="0" xfId="0" applyFont="1" applyFill="1" applyAlignment="1">
      <alignment vertical="center"/>
    </xf>
    <xf numFmtId="0" fontId="173" fillId="12" borderId="0" xfId="0" applyFont="1" applyFill="1" applyAlignment="1">
      <alignment vertical="center"/>
    </xf>
    <xf numFmtId="0" fontId="43" fillId="12" borderId="0" xfId="2516" applyFont="1" applyFill="1" applyAlignment="1">
      <alignment horizontal="center" vertical="center"/>
    </xf>
    <xf numFmtId="0" fontId="219" fillId="12" borderId="0" xfId="0" applyFont="1" applyFill="1" applyAlignment="1">
      <alignment vertical="center"/>
    </xf>
    <xf numFmtId="0" fontId="255" fillId="12" borderId="0" xfId="0" applyFont="1" applyFill="1" applyAlignment="1">
      <alignment vertical="center"/>
    </xf>
    <xf numFmtId="0" fontId="175" fillId="12" borderId="0" xfId="2515" applyFont="1" applyFill="1" applyAlignment="1">
      <alignment vertical="center"/>
    </xf>
    <xf numFmtId="0" fontId="175" fillId="12" borderId="0" xfId="0" applyFont="1" applyFill="1" applyAlignment="1">
      <alignment horizontal="center" vertical="center"/>
    </xf>
    <xf numFmtId="0" fontId="186" fillId="12" borderId="0" xfId="0" applyFont="1" applyFill="1" applyAlignment="1">
      <alignment vertical="center"/>
    </xf>
    <xf numFmtId="0" fontId="220" fillId="12" borderId="0" xfId="0" applyFont="1" applyFill="1" applyAlignment="1">
      <alignment vertical="center"/>
    </xf>
    <xf numFmtId="0" fontId="173" fillId="12" borderId="0" xfId="0" applyFont="1" applyFill="1" applyAlignment="1">
      <alignment horizontal="left" vertical="center" indent="1"/>
    </xf>
    <xf numFmtId="3" fontId="173" fillId="12" borderId="0" xfId="0" applyNumberFormat="1" applyFont="1" applyFill="1" applyAlignment="1">
      <alignment horizontal="center" vertical="center"/>
    </xf>
    <xf numFmtId="0" fontId="174" fillId="12" borderId="0" xfId="0" applyFont="1" applyFill="1" applyAlignment="1">
      <alignment vertical="center"/>
    </xf>
    <xf numFmtId="173" fontId="173" fillId="12" borderId="0" xfId="384" applyNumberFormat="1" applyFont="1" applyFill="1" applyBorder="1" applyAlignment="1">
      <alignment horizontal="center" vertical="center"/>
    </xf>
    <xf numFmtId="9" fontId="177" fillId="12" borderId="0" xfId="0" applyNumberFormat="1" applyFont="1" applyFill="1" applyAlignment="1">
      <alignment vertical="center"/>
    </xf>
    <xf numFmtId="9" fontId="177" fillId="12" borderId="0" xfId="384" applyFont="1" applyFill="1" applyAlignment="1">
      <alignment vertical="center"/>
    </xf>
    <xf numFmtId="0" fontId="206" fillId="0" borderId="157" xfId="0" applyFont="1" applyBorder="1" applyAlignment="1">
      <alignment horizontal="center" vertical="center"/>
    </xf>
    <xf numFmtId="279" fontId="175" fillId="54" borderId="0" xfId="0" applyNumberFormat="1" applyFont="1" applyFill="1" applyAlignment="1">
      <alignment horizontal="center" vertical="center"/>
    </xf>
    <xf numFmtId="3" fontId="44" fillId="12" borderId="0" xfId="43" applyNumberFormat="1" applyFont="1" applyFill="1" applyAlignment="1">
      <alignment horizontal="center" vertical="center"/>
    </xf>
    <xf numFmtId="337" fontId="44" fillId="0" borderId="0" xfId="2516" applyNumberFormat="1" applyFont="1" applyAlignment="1">
      <alignment horizontal="center" vertical="center"/>
    </xf>
    <xf numFmtId="1" fontId="0" fillId="12" borderId="28" xfId="0" applyNumberFormat="1" applyFill="1" applyBorder="1"/>
    <xf numFmtId="0" fontId="0" fillId="0" borderId="147" xfId="0" applyBorder="1" applyAlignment="1">
      <alignment horizontal="center"/>
    </xf>
    <xf numFmtId="0" fontId="28" fillId="12" borderId="33" xfId="1" applyFont="1" applyFill="1" applyBorder="1"/>
    <xf numFmtId="0" fontId="0" fillId="0" borderId="5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33" xfId="0" applyBorder="1"/>
    <xf numFmtId="0" fontId="0" fillId="0" borderId="146" xfId="0" applyBorder="1"/>
    <xf numFmtId="9" fontId="168" fillId="0" borderId="33" xfId="384" applyFont="1" applyBorder="1" applyAlignment="1">
      <alignment horizontal="center"/>
    </xf>
    <xf numFmtId="9" fontId="168" fillId="0" borderId="146" xfId="384" applyFont="1" applyBorder="1" applyAlignment="1">
      <alignment horizontal="center"/>
    </xf>
    <xf numFmtId="0" fontId="103" fillId="54" borderId="158" xfId="0" applyFont="1" applyFill="1" applyBorder="1" applyAlignment="1">
      <alignment horizontal="center" vertical="center"/>
    </xf>
    <xf numFmtId="14" fontId="103" fillId="54" borderId="146" xfId="1" applyNumberFormat="1" applyFont="1" applyFill="1" applyBorder="1" applyAlignment="1">
      <alignment horizontal="center" vertical="center"/>
    </xf>
    <xf numFmtId="3" fontId="32" fillId="61" borderId="146" xfId="0" applyNumberFormat="1" applyFont="1" applyFill="1" applyBorder="1" applyAlignment="1">
      <alignment horizontal="center"/>
    </xf>
    <xf numFmtId="9" fontId="168" fillId="0" borderId="147" xfId="384" applyFont="1" applyBorder="1" applyAlignment="1">
      <alignment horizontal="center"/>
    </xf>
    <xf numFmtId="9" fontId="168" fillId="0" borderId="0" xfId="384" applyFont="1" applyBorder="1" applyAlignment="1">
      <alignment horizontal="center"/>
    </xf>
    <xf numFmtId="9" fontId="168" fillId="0" borderId="59" xfId="384" applyFont="1" applyBorder="1" applyAlignment="1">
      <alignment horizontal="center"/>
    </xf>
    <xf numFmtId="9" fontId="168" fillId="0" borderId="0" xfId="384" applyFont="1" applyFill="1" applyBorder="1" applyAlignment="1">
      <alignment horizontal="center"/>
    </xf>
    <xf numFmtId="9" fontId="168" fillId="0" borderId="28" xfId="384" applyFont="1" applyFill="1" applyBorder="1" applyAlignment="1">
      <alignment horizontal="center"/>
    </xf>
    <xf numFmtId="0" fontId="32" fillId="12" borderId="0" xfId="0" applyFont="1" applyFill="1" applyAlignment="1">
      <alignment vertical="center"/>
    </xf>
    <xf numFmtId="9" fontId="171" fillId="70" borderId="0" xfId="384" applyFont="1" applyFill="1" applyBorder="1" applyAlignment="1">
      <alignment horizontal="right"/>
    </xf>
    <xf numFmtId="9" fontId="168" fillId="0" borderId="0" xfId="384" applyFont="1" applyFill="1" applyAlignment="1">
      <alignment horizontal="center"/>
    </xf>
    <xf numFmtId="9" fontId="168" fillId="12" borderId="0" xfId="384" applyFont="1" applyFill="1" applyAlignment="1">
      <alignment horizontal="center"/>
    </xf>
    <xf numFmtId="9" fontId="168" fillId="12" borderId="28" xfId="384" applyFont="1" applyFill="1" applyBorder="1" applyAlignment="1">
      <alignment horizontal="center"/>
    </xf>
    <xf numFmtId="0" fontId="175" fillId="57" borderId="137" xfId="0" applyFont="1" applyFill="1" applyBorder="1" applyAlignment="1">
      <alignment horizontal="center"/>
    </xf>
    <xf numFmtId="0" fontId="175" fillId="57" borderId="138" xfId="0" applyFont="1" applyFill="1" applyBorder="1" applyAlignment="1">
      <alignment horizontal="center"/>
    </xf>
    <xf numFmtId="0" fontId="175" fillId="57" borderId="139" xfId="0" applyFont="1" applyFill="1" applyBorder="1" applyAlignment="1">
      <alignment horizontal="center"/>
    </xf>
    <xf numFmtId="0" fontId="175" fillId="57" borderId="142" xfId="0" applyFont="1" applyFill="1" applyBorder="1" applyAlignment="1">
      <alignment horizontal="center" vertical="center" textRotation="90" wrapText="1"/>
    </xf>
    <xf numFmtId="0" fontId="51" fillId="20" borderId="0" xfId="59" applyFont="1" applyBorder="1" applyAlignment="1">
      <alignment horizontal="left"/>
    </xf>
    <xf numFmtId="0" fontId="53" fillId="22" borderId="0" xfId="61" applyFont="1" applyBorder="1" applyAlignment="1">
      <alignment horizontal="center"/>
    </xf>
    <xf numFmtId="0" fontId="53" fillId="22" borderId="16" xfId="61" applyFont="1" applyBorder="1" applyAlignment="1">
      <alignment horizontal="center"/>
    </xf>
    <xf numFmtId="0" fontId="50" fillId="23" borderId="17" xfId="62" applyBorder="1" applyAlignment="1">
      <alignment horizontal="center"/>
    </xf>
    <xf numFmtId="0" fontId="50" fillId="23" borderId="18" xfId="62" applyBorder="1" applyAlignment="1">
      <alignment horizontal="center"/>
    </xf>
    <xf numFmtId="0" fontId="50" fillId="23" borderId="19" xfId="62" applyBorder="1" applyAlignment="1">
      <alignment horizontal="center"/>
    </xf>
    <xf numFmtId="0" fontId="175" fillId="57" borderId="140" xfId="0" applyFont="1" applyFill="1" applyBorder="1" applyAlignment="1">
      <alignment horizontal="center" vertical="center" textRotation="90" wrapText="1"/>
    </xf>
    <xf numFmtId="0" fontId="175" fillId="57" borderId="11" xfId="0" applyFont="1" applyFill="1" applyBorder="1" applyAlignment="1">
      <alignment horizontal="center" vertical="center" textRotation="90" wrapText="1"/>
    </xf>
    <xf numFmtId="0" fontId="245" fillId="12" borderId="0" xfId="0" applyFont="1" applyFill="1" applyAlignment="1">
      <alignment horizontal="center" vertical="center"/>
    </xf>
    <xf numFmtId="0" fontId="245" fillId="12" borderId="28" xfId="0" applyFont="1" applyFill="1" applyBorder="1" applyAlignment="1">
      <alignment horizontal="center" vertical="center"/>
    </xf>
    <xf numFmtId="0" fontId="25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4" fillId="0" borderId="0" xfId="2516" applyFont="1" applyAlignment="1">
      <alignment horizontal="center"/>
    </xf>
    <xf numFmtId="0" fontId="176" fillId="12" borderId="0" xfId="2516" applyFont="1" applyFill="1" applyAlignment="1">
      <alignment horizontal="center" vertical="center"/>
    </xf>
    <xf numFmtId="0" fontId="175" fillId="57" borderId="0" xfId="2515" applyFont="1" applyFill="1" applyAlignment="1">
      <alignment horizontal="center" vertical="center"/>
    </xf>
    <xf numFmtId="0" fontId="44" fillId="53" borderId="97" xfId="2515" applyFont="1" applyFill="1" applyBorder="1" applyAlignment="1">
      <alignment horizontal="center" vertical="center"/>
    </xf>
    <xf numFmtId="0" fontId="44" fillId="53" borderId="98" xfId="2515" applyFont="1" applyFill="1" applyBorder="1" applyAlignment="1">
      <alignment horizontal="center" vertical="center"/>
    </xf>
    <xf numFmtId="0" fontId="44" fillId="0" borderId="58" xfId="2516" applyFont="1" applyBorder="1" applyAlignment="1">
      <alignment horizontal="center"/>
    </xf>
    <xf numFmtId="358" fontId="215" fillId="55" borderId="74" xfId="0" quotePrefix="1" applyNumberFormat="1" applyFont="1" applyFill="1" applyBorder="1" applyAlignment="1">
      <alignment horizontal="center" vertical="center" wrapText="1"/>
    </xf>
    <xf numFmtId="9" fontId="44" fillId="55" borderId="0" xfId="45" applyFont="1" applyFill="1" applyBorder="1" applyAlignment="1">
      <alignment horizontal="center" vertical="center"/>
    </xf>
    <xf numFmtId="9" fontId="175" fillId="0" borderId="0" xfId="384" applyFont="1" applyFill="1" applyBorder="1" applyAlignment="1">
      <alignment horizontal="center" vertical="center"/>
    </xf>
    <xf numFmtId="0" fontId="175" fillId="57" borderId="0" xfId="2515" applyFont="1" applyFill="1" applyAlignment="1">
      <alignment horizontal="center" vertical="center" wrapText="1"/>
    </xf>
    <xf numFmtId="0" fontId="176" fillId="12" borderId="109" xfId="2516" applyFont="1" applyFill="1" applyBorder="1" applyAlignment="1">
      <alignment horizontal="center" vertical="center"/>
    </xf>
    <xf numFmtId="0" fontId="243" fillId="12" borderId="0" xfId="0" applyFont="1" applyFill="1"/>
    <xf numFmtId="0" fontId="197" fillId="12" borderId="0" xfId="0" applyFont="1" applyFill="1" applyAlignment="1">
      <alignment horizontal="center" vertical="center"/>
    </xf>
    <xf numFmtId="0" fontId="203" fillId="12" borderId="0" xfId="0" applyFont="1" applyFill="1"/>
    <xf numFmtId="339" fontId="197" fillId="12" borderId="0" xfId="0" applyNumberFormat="1" applyFont="1" applyFill="1" applyAlignment="1">
      <alignment vertical="center"/>
    </xf>
    <xf numFmtId="9" fontId="203" fillId="12" borderId="0" xfId="0" applyNumberFormat="1" applyFont="1" applyFill="1"/>
    <xf numFmtId="0" fontId="197" fillId="12" borderId="0" xfId="0" applyFont="1" applyFill="1"/>
    <xf numFmtId="173" fontId="203" fillId="12" borderId="0" xfId="384" applyNumberFormat="1" applyFont="1" applyFill="1" applyBorder="1" applyAlignment="1">
      <alignment vertical="center"/>
    </xf>
    <xf numFmtId="0" fontId="203" fillId="12" borderId="0" xfId="0" applyFont="1" applyFill="1" applyAlignment="1">
      <alignment vertical="center"/>
    </xf>
    <xf numFmtId="2" fontId="203" fillId="12" borderId="0" xfId="0" applyNumberFormat="1" applyFont="1" applyFill="1"/>
    <xf numFmtId="0" fontId="203" fillId="12" borderId="0" xfId="0" applyFont="1" applyFill="1" applyAlignment="1">
      <alignment horizontal="left" indent="1"/>
    </xf>
    <xf numFmtId="1" fontId="203" fillId="12" borderId="0" xfId="0" applyNumberFormat="1" applyFont="1" applyFill="1"/>
    <xf numFmtId="172" fontId="203" fillId="12" borderId="0" xfId="0" applyNumberFormat="1" applyFont="1" applyFill="1"/>
    <xf numFmtId="4" fontId="203" fillId="12" borderId="0" xfId="0" applyNumberFormat="1" applyFont="1" applyFill="1"/>
    <xf numFmtId="9" fontId="203" fillId="12" borderId="0" xfId="384" applyFont="1" applyFill="1" applyBorder="1"/>
    <xf numFmtId="169" fontId="203" fillId="12" borderId="0" xfId="383" applyFont="1" applyFill="1" applyBorder="1"/>
    <xf numFmtId="3" fontId="203" fillId="12" borderId="0" xfId="0" applyNumberFormat="1" applyFont="1" applyFill="1"/>
    <xf numFmtId="0" fontId="197" fillId="12" borderId="0" xfId="0" applyFont="1" applyFill="1" applyBorder="1"/>
    <xf numFmtId="350" fontId="197" fillId="12" borderId="0" xfId="0" applyNumberFormat="1" applyFont="1" applyFill="1" applyBorder="1"/>
    <xf numFmtId="351" fontId="197" fillId="12" borderId="0" xfId="0" applyNumberFormat="1" applyFont="1" applyFill="1" applyBorder="1"/>
    <xf numFmtId="0" fontId="243" fillId="12" borderId="0" xfId="0" applyFont="1" applyFill="1" applyBorder="1"/>
    <xf numFmtId="176" fontId="197" fillId="12" borderId="0" xfId="0" applyNumberFormat="1" applyFont="1" applyFill="1" applyBorder="1"/>
    <xf numFmtId="352" fontId="197" fillId="12" borderId="0" xfId="0" applyNumberFormat="1" applyFont="1" applyFill="1" applyBorder="1"/>
    <xf numFmtId="188" fontId="197" fillId="12" borderId="0" xfId="0" applyNumberFormat="1" applyFont="1" applyFill="1" applyBorder="1"/>
    <xf numFmtId="9" fontId="197" fillId="12" borderId="0" xfId="0" applyNumberFormat="1" applyFont="1" applyFill="1" applyBorder="1"/>
    <xf numFmtId="0" fontId="203" fillId="12" borderId="0" xfId="0" applyFont="1" applyFill="1" applyBorder="1"/>
    <xf numFmtId="3" fontId="203" fillId="12" borderId="0" xfId="0" applyNumberFormat="1" applyFont="1" applyFill="1" applyBorder="1"/>
    <xf numFmtId="9" fontId="203" fillId="12" borderId="0" xfId="0" applyNumberFormat="1" applyFont="1" applyFill="1" applyBorder="1"/>
    <xf numFmtId="176" fontId="243" fillId="12" borderId="0" xfId="0" applyNumberFormat="1" applyFont="1" applyFill="1" applyBorder="1"/>
    <xf numFmtId="0" fontId="243" fillId="12" borderId="28" xfId="0" applyFont="1" applyFill="1" applyBorder="1"/>
    <xf numFmtId="0" fontId="203" fillId="12" borderId="0" xfId="1" applyFont="1" applyFill="1" applyBorder="1" applyAlignment="1">
      <alignment horizontal="left" indent="1"/>
    </xf>
    <xf numFmtId="0" fontId="203" fillId="12" borderId="0" xfId="1" applyFont="1" applyFill="1" applyBorder="1"/>
    <xf numFmtId="14" fontId="103" fillId="12" borderId="0" xfId="1" applyNumberFormat="1" applyFont="1" applyFill="1" applyBorder="1" applyAlignment="1">
      <alignment horizontal="center" vertical="center"/>
    </xf>
    <xf numFmtId="0" fontId="197" fillId="12" borderId="0" xfId="0" applyFont="1" applyFill="1" applyBorder="1" applyAlignment="1">
      <alignment horizontal="center"/>
    </xf>
    <xf numFmtId="3" fontId="197" fillId="12" borderId="0" xfId="0" applyNumberFormat="1" applyFont="1" applyFill="1" applyBorder="1" applyAlignment="1">
      <alignment horizontal="center"/>
    </xf>
    <xf numFmtId="14" fontId="103" fillId="12" borderId="28" xfId="1" applyNumberFormat="1" applyFont="1" applyFill="1" applyBorder="1" applyAlignment="1">
      <alignment horizontal="center" vertical="center"/>
    </xf>
    <xf numFmtId="0" fontId="197" fillId="12" borderId="28" xfId="0" applyFont="1" applyFill="1" applyBorder="1" applyAlignment="1">
      <alignment horizontal="center"/>
    </xf>
    <xf numFmtId="0" fontId="243" fillId="12" borderId="0" xfId="0" applyFont="1" applyFill="1" applyAlignment="1">
      <alignment horizontal="center"/>
    </xf>
    <xf numFmtId="338" fontId="257" fillId="12" borderId="0" xfId="0" applyNumberFormat="1" applyFont="1" applyFill="1" applyAlignment="1">
      <alignment horizontal="center" vertical="center"/>
    </xf>
    <xf numFmtId="0" fontId="203" fillId="12" borderId="0" xfId="0" applyFont="1" applyFill="1" applyAlignment="1">
      <alignment horizontal="center"/>
    </xf>
    <xf numFmtId="0" fontId="203" fillId="12" borderId="0" xfId="0" applyFont="1" applyFill="1" applyAlignment="1">
      <alignment horizontal="left"/>
    </xf>
    <xf numFmtId="3" fontId="203" fillId="12" borderId="0" xfId="0" applyNumberFormat="1" applyFont="1" applyFill="1" applyAlignment="1">
      <alignment horizontal="center"/>
    </xf>
    <xf numFmtId="349" fontId="203" fillId="12" borderId="0" xfId="0" applyNumberFormat="1" applyFont="1" applyFill="1"/>
    <xf numFmtId="0" fontId="257" fillId="12" borderId="0" xfId="0" applyFont="1" applyFill="1"/>
    <xf numFmtId="0" fontId="258" fillId="12" borderId="0" xfId="0" applyFont="1" applyFill="1"/>
    <xf numFmtId="0" fontId="1" fillId="12" borderId="0" xfId="0" applyFont="1" applyFill="1" applyBorder="1"/>
    <xf numFmtId="0" fontId="44" fillId="12" borderId="0" xfId="0" applyFont="1" applyFill="1" applyBorder="1"/>
    <xf numFmtId="0" fontId="208" fillId="12" borderId="0" xfId="0" applyFont="1" applyFill="1" applyBorder="1"/>
    <xf numFmtId="0" fontId="43" fillId="12" borderId="0" xfId="0" applyFont="1" applyFill="1" applyBorder="1"/>
    <xf numFmtId="43" fontId="44" fillId="12" borderId="0" xfId="0" applyNumberFormat="1" applyFont="1" applyFill="1" applyBorder="1"/>
  </cellXfs>
  <cellStyles count="2527">
    <cellStyle name="$" xfId="385" xr:uid="{00000000-0005-0000-0000-000000000000}"/>
    <cellStyle name="$_Copy of IFRS consol ABB Final Version4" xfId="386" xr:uid="{00000000-0005-0000-0000-000001000000}"/>
    <cellStyle name="$_CROCI" xfId="387" xr:uid="{00000000-0005-0000-0000-000002000000}"/>
    <cellStyle name="$_PCP" xfId="388" xr:uid="{00000000-0005-0000-0000-000003000000}"/>
    <cellStyle name="$0.0" xfId="389" xr:uid="{00000000-0005-0000-0000-000004000000}"/>
    <cellStyle name="$0.00" xfId="390" xr:uid="{00000000-0005-0000-0000-000005000000}"/>
    <cellStyle name="$0.000" xfId="391" xr:uid="{00000000-0005-0000-0000-000006000000}"/>
    <cellStyle name="$3places" xfId="392" xr:uid="{00000000-0005-0000-0000-000007000000}"/>
    <cellStyle name="$m" xfId="393" xr:uid="{00000000-0005-0000-0000-000008000000}"/>
    <cellStyle name="$q" xfId="394" xr:uid="{00000000-0005-0000-0000-000009000000}"/>
    <cellStyle name="$q*" xfId="395" xr:uid="{00000000-0005-0000-0000-00000A000000}"/>
    <cellStyle name="$q_Copy of IFRS consol ABB Final Version4" xfId="396" xr:uid="{00000000-0005-0000-0000-00000B000000}"/>
    <cellStyle name="$qA" xfId="397" xr:uid="{00000000-0005-0000-0000-00000C000000}"/>
    <cellStyle name="$qRange" xfId="398" xr:uid="{00000000-0005-0000-0000-00000D000000}"/>
    <cellStyle name="%" xfId="399" xr:uid="{00000000-0005-0000-0000-00000E000000}"/>
    <cellStyle name="%_Copy of IFRS consol ABB Final Version4" xfId="400" xr:uid="{00000000-0005-0000-0000-00000F000000}"/>
    <cellStyle name="%_CROCI" xfId="401" xr:uid="{00000000-0005-0000-0000-000010000000}"/>
    <cellStyle name="******************************************" xfId="402" xr:uid="{00000000-0005-0000-0000-000011000000}"/>
    <cellStyle name="****************************************** 2" xfId="403" xr:uid="{00000000-0005-0000-0000-000012000000}"/>
    <cellStyle name="@NOW" xfId="404" xr:uid="{00000000-0005-0000-0000-000013000000}"/>
    <cellStyle name="_%(SignOnly)" xfId="63" xr:uid="{00000000-0005-0000-0000-000014000000}"/>
    <cellStyle name="_%(SignOnly) 2" xfId="405" xr:uid="{00000000-0005-0000-0000-000015000000}"/>
    <cellStyle name="_%(SignOnly) 3" xfId="406" xr:uid="{00000000-0005-0000-0000-000016000000}"/>
    <cellStyle name="_%(SignOnly)_Atlas Copco CF" xfId="407" xr:uid="{00000000-0005-0000-0000-000017000000}"/>
    <cellStyle name="_%(SignOnly)_Atlas Copco CF 2" xfId="408" xr:uid="{00000000-0005-0000-0000-000018000000}"/>
    <cellStyle name="_%(SignOnly)_Copy of IFRS consol ABB Final Version4" xfId="409" xr:uid="{00000000-0005-0000-0000-000019000000}"/>
    <cellStyle name="_%(SignOnly)_CROCI" xfId="410" xr:uid="{00000000-0005-0000-0000-00001A000000}"/>
    <cellStyle name="_%(SignOnly)_CROCI 2" xfId="411" xr:uid="{00000000-0005-0000-0000-00001B000000}"/>
    <cellStyle name="_%(SignOnly)_Electrolux CF" xfId="412" xr:uid="{00000000-0005-0000-0000-00001C000000}"/>
    <cellStyle name="_%(SignOnly)_Electrolux CF 2" xfId="413" xr:uid="{00000000-0005-0000-0000-00001D000000}"/>
    <cellStyle name="_%(SignSpaceOnly)" xfId="64" xr:uid="{00000000-0005-0000-0000-00001E000000}"/>
    <cellStyle name="_%(SignSpaceOnly) 2" xfId="414" xr:uid="{00000000-0005-0000-0000-00001F000000}"/>
    <cellStyle name="_%(SignSpaceOnly) 3" xfId="415" xr:uid="{00000000-0005-0000-0000-000020000000}"/>
    <cellStyle name="_%(SignSpaceOnly)_Atlas Copco CF" xfId="416" xr:uid="{00000000-0005-0000-0000-000021000000}"/>
    <cellStyle name="_%(SignSpaceOnly)_Atlas Copco CF 2" xfId="417" xr:uid="{00000000-0005-0000-0000-000022000000}"/>
    <cellStyle name="_%(SignSpaceOnly)_Copy of IFRS consol ABB Final Version4" xfId="418" xr:uid="{00000000-0005-0000-0000-000023000000}"/>
    <cellStyle name="_%(SignSpaceOnly)_CROCI" xfId="419" xr:uid="{00000000-0005-0000-0000-000024000000}"/>
    <cellStyle name="_%(SignSpaceOnly)_CROCI 2" xfId="420" xr:uid="{00000000-0005-0000-0000-000025000000}"/>
    <cellStyle name="_%(SignSpaceOnly)_Electrolux CF" xfId="421" xr:uid="{00000000-0005-0000-0000-000026000000}"/>
    <cellStyle name="_%(SignSpaceOnly)_Electrolux CF 2" xfId="422" xr:uid="{00000000-0005-0000-0000-000027000000}"/>
    <cellStyle name="_Aero DCF" xfId="423" xr:uid="{00000000-0005-0000-0000-000028000000}"/>
    <cellStyle name="_Aero DCF 2" xfId="424" xr:uid="{00000000-0005-0000-0000-000029000000}"/>
    <cellStyle name="_Aero DCF 3" xfId="425" xr:uid="{00000000-0005-0000-0000-00002A000000}"/>
    <cellStyle name="_ASF" xfId="426" xr:uid="{00000000-0005-0000-0000-00002B000000}"/>
    <cellStyle name="_ASF 2" xfId="427" xr:uid="{00000000-0005-0000-0000-00002C000000}"/>
    <cellStyle name="_ASF 3" xfId="428" xr:uid="{00000000-0005-0000-0000-00002D000000}"/>
    <cellStyle name="_BAE model new" xfId="429" xr:uid="{00000000-0005-0000-0000-00002E000000}"/>
    <cellStyle name="_BAE model new 2" xfId="430" xr:uid="{00000000-0005-0000-0000-00002F000000}"/>
    <cellStyle name="_BAE model new 3" xfId="431" xr:uid="{00000000-0005-0000-0000-000030000000}"/>
    <cellStyle name="_Comma" xfId="65" xr:uid="{00000000-0005-0000-0000-000031000000}"/>
    <cellStyle name="_Comma 2" xfId="432" xr:uid="{00000000-0005-0000-0000-000032000000}"/>
    <cellStyle name="_Comma 3" xfId="433" xr:uid="{00000000-0005-0000-0000-000033000000}"/>
    <cellStyle name="_Comma_01 adj for merger plan" xfId="66" xr:uid="{00000000-0005-0000-0000-000034000000}"/>
    <cellStyle name="_Comma_2001 YTD Performance" xfId="434" xr:uid="{00000000-0005-0000-0000-000035000000}"/>
    <cellStyle name="_Comma_2001 YTD Performance 2" xfId="435" xr:uid="{00000000-0005-0000-0000-000036000000}"/>
    <cellStyle name="_Comma_2001 YTD Performance 3" xfId="436" xr:uid="{00000000-0005-0000-0000-000037000000}"/>
    <cellStyle name="_Comma_Ability to Pay Analysis" xfId="67" xr:uid="{00000000-0005-0000-0000-000038000000}"/>
    <cellStyle name="_Comma_ABP1" xfId="437" xr:uid="{00000000-0005-0000-0000-000039000000}"/>
    <cellStyle name="_Comma_ABP1 2" xfId="438" xr:uid="{00000000-0005-0000-0000-00003A000000}"/>
    <cellStyle name="_Comma_ABP1 3" xfId="439" xr:uid="{00000000-0005-0000-0000-00003B000000}"/>
    <cellStyle name="_Comma_Aero DCF" xfId="440" xr:uid="{00000000-0005-0000-0000-00003C000000}"/>
    <cellStyle name="_Comma_Aero DCF 2" xfId="441" xr:uid="{00000000-0005-0000-0000-00003D000000}"/>
    <cellStyle name="_Comma_Aero DCF 3" xfId="442" xr:uid="{00000000-0005-0000-0000-00003E000000}"/>
    <cellStyle name="_Comma_AFL" xfId="68" xr:uid="{00000000-0005-0000-0000-00003F000000}"/>
    <cellStyle name="_Comma_AIZ" xfId="69" xr:uid="{00000000-0005-0000-0000-000040000000}"/>
    <cellStyle name="_Comma_AIZ04-Quantum2" xfId="70" xr:uid="{00000000-0005-0000-0000-000041000000}"/>
    <cellStyle name="_Comma_Alstom WIP Bhavna" xfId="443" xr:uid="{00000000-0005-0000-0000-000042000000}"/>
    <cellStyle name="_Comma_Alstom WIP Bhavna 2" xfId="444" xr:uid="{00000000-0005-0000-0000-000043000000}"/>
    <cellStyle name="_Comma_AMP" xfId="71" xr:uid="{00000000-0005-0000-0000-000044000000}"/>
    <cellStyle name="_Comma_ASF" xfId="445" xr:uid="{00000000-0005-0000-0000-000045000000}"/>
    <cellStyle name="_Comma_ASF 2" xfId="446" xr:uid="{00000000-0005-0000-0000-000046000000}"/>
    <cellStyle name="_Comma_ASF 3" xfId="447" xr:uid="{00000000-0005-0000-0000-000047000000}"/>
    <cellStyle name="_Comma_ASF1" xfId="448" xr:uid="{00000000-0005-0000-0000-000048000000}"/>
    <cellStyle name="_Comma_ASF1 2" xfId="449" xr:uid="{00000000-0005-0000-0000-000049000000}"/>
    <cellStyle name="_Comma_ASF1 3" xfId="450" xr:uid="{00000000-0005-0000-0000-00004A000000}"/>
    <cellStyle name="_Comma_Assa CF" xfId="451" xr:uid="{00000000-0005-0000-0000-00004B000000}"/>
    <cellStyle name="_Comma_Assa CF 2" xfId="452" xr:uid="{00000000-0005-0000-0000-00004C000000}"/>
    <cellStyle name="_Comma_Assa CF 3" xfId="453" xr:uid="{00000000-0005-0000-0000-00004D000000}"/>
    <cellStyle name="_Comma_Assa Reference" xfId="454" xr:uid="{00000000-0005-0000-0000-00004E000000}"/>
    <cellStyle name="_Comma_Assa Reference 2" xfId="455" xr:uid="{00000000-0005-0000-0000-00004F000000}"/>
    <cellStyle name="_Comma_Assa Reference 3" xfId="456" xr:uid="{00000000-0005-0000-0000-000050000000}"/>
    <cellStyle name="_Comma_Assa vs Competition" xfId="457" xr:uid="{00000000-0005-0000-0000-000051000000}"/>
    <cellStyle name="_Comma_Assa vs Competition 2" xfId="458" xr:uid="{00000000-0005-0000-0000-000052000000}"/>
    <cellStyle name="_Comma_Assa vs Competition 3" xfId="459" xr:uid="{00000000-0005-0000-0000-000053000000}"/>
    <cellStyle name="_Comma_Atlas Copco CF" xfId="460" xr:uid="{00000000-0005-0000-0000-000054000000}"/>
    <cellStyle name="_Comma_Atlas Copco CF 2" xfId="461" xr:uid="{00000000-0005-0000-0000-000055000000}"/>
    <cellStyle name="_Comma_AVP" xfId="462" xr:uid="{00000000-0005-0000-0000-000056000000}"/>
    <cellStyle name="_Comma_AVP 2" xfId="463" xr:uid="{00000000-0005-0000-0000-000057000000}"/>
    <cellStyle name="_Comma_AVP 3" xfId="464" xr:uid="{00000000-0005-0000-0000-000058000000}"/>
    <cellStyle name="_Comma_BAE_model_new" xfId="465" xr:uid="{00000000-0005-0000-0000-000059000000}"/>
    <cellStyle name="_Comma_BAE_model_new 2" xfId="466" xr:uid="{00000000-0005-0000-0000-00005A000000}"/>
    <cellStyle name="_Comma_BAE_model_new 3" xfId="467" xr:uid="{00000000-0005-0000-0000-00005B000000}"/>
    <cellStyle name="_Comma_bls roic" xfId="468" xr:uid="{00000000-0005-0000-0000-00005C000000}"/>
    <cellStyle name="_Comma_bls roic_Copy of IFRS consol ABB Final Version4" xfId="469" xr:uid="{00000000-0005-0000-0000-00005D000000}"/>
    <cellStyle name="_Comma_Book1" xfId="72" xr:uid="{00000000-0005-0000-0000-00005E000000}"/>
    <cellStyle name="_Comma_Book1 2" xfId="470" xr:uid="{00000000-0005-0000-0000-00005F000000}"/>
    <cellStyle name="_Comma_Book1 3" xfId="471" xr:uid="{00000000-0005-0000-0000-000060000000}"/>
    <cellStyle name="_Comma_Book1_WACC" xfId="472" xr:uid="{00000000-0005-0000-0000-000061000000}"/>
    <cellStyle name="_Comma_Book1_WACC 2" xfId="473" xr:uid="{00000000-0005-0000-0000-000062000000}"/>
    <cellStyle name="_Comma_Book1_WACC 3" xfId="474" xr:uid="{00000000-0005-0000-0000-000063000000}"/>
    <cellStyle name="_Comma_Book3" xfId="73" xr:uid="{00000000-0005-0000-0000-000064000000}"/>
    <cellStyle name="_Comma_capital expenditures 6-18-02" xfId="475" xr:uid="{00000000-0005-0000-0000-000065000000}"/>
    <cellStyle name="_Comma_capital expenditures 6-18-02_Copy of IFRS consol ABB Final Version4" xfId="476" xr:uid="{00000000-0005-0000-0000-000066000000}"/>
    <cellStyle name="_Comma_Ciervo DCF Final" xfId="477" xr:uid="{00000000-0005-0000-0000-000067000000}"/>
    <cellStyle name="_Comma_Ciervo DCF Final 2" xfId="478" xr:uid="{00000000-0005-0000-0000-000068000000}"/>
    <cellStyle name="_Comma_Ciervo DCF Final 3" xfId="479" xr:uid="{00000000-0005-0000-0000-000069000000}"/>
    <cellStyle name="_Comma_Ciervo_WACC" xfId="480" xr:uid="{00000000-0005-0000-0000-00006A000000}"/>
    <cellStyle name="_Comma_Ciervo_WACC 2" xfId="481" xr:uid="{00000000-0005-0000-0000-00006B000000}"/>
    <cellStyle name="_Comma_Ciervo_WACC 3" xfId="482" xr:uid="{00000000-0005-0000-0000-00006C000000}"/>
    <cellStyle name="_Comma_CNO" xfId="74" xr:uid="{00000000-0005-0000-0000-00006D000000}"/>
    <cellStyle name="_Comma_CNO04" xfId="75" xr:uid="{00000000-0005-0000-0000-00006E000000}"/>
    <cellStyle name="_Comma_Comdot - gStyle Excel Slides" xfId="483" xr:uid="{00000000-0005-0000-0000-00006F000000}"/>
    <cellStyle name="_Comma_Comdot - gStyle Excel Slides 2" xfId="484" xr:uid="{00000000-0005-0000-0000-000070000000}"/>
    <cellStyle name="_Comma_Comdot - gStyle Excel Slides 3" xfId="485" xr:uid="{00000000-0005-0000-0000-000071000000}"/>
    <cellStyle name="_Comma_Comdot LBO Short Form - v3" xfId="486" xr:uid="{00000000-0005-0000-0000-000072000000}"/>
    <cellStyle name="_Comma_Comdot LBO Short Form - v3 2" xfId="487" xr:uid="{00000000-0005-0000-0000-000073000000}"/>
    <cellStyle name="_Comma_Comdot LBO Short Form - v3 3" xfId="488" xr:uid="{00000000-0005-0000-0000-000074000000}"/>
    <cellStyle name="_Comma_contribution_analysis" xfId="489" xr:uid="{00000000-0005-0000-0000-000075000000}"/>
    <cellStyle name="_Comma_Copy of IFRS consol ABB Final Version4" xfId="490" xr:uid="{00000000-0005-0000-0000-000076000000}"/>
    <cellStyle name="_Comma_Copy of IFRS consol ABB Final Version4 2" xfId="491" xr:uid="{00000000-0005-0000-0000-000077000000}"/>
    <cellStyle name="_Comma_Copy of Spirent_now" xfId="492" xr:uid="{00000000-0005-0000-0000-000078000000}"/>
    <cellStyle name="_Comma_Copy of Spirent_now 2" xfId="493" xr:uid="{00000000-0005-0000-0000-000079000000}"/>
    <cellStyle name="_Comma_Copy of Spirent_now 3" xfId="494" xr:uid="{00000000-0005-0000-0000-00007A000000}"/>
    <cellStyle name="_Comma_CROCI" xfId="495" xr:uid="{00000000-0005-0000-0000-00007B000000}"/>
    <cellStyle name="_Comma_CROCI 2" xfId="496" xr:uid="{00000000-0005-0000-0000-00007C000000}"/>
    <cellStyle name="_Comma_CSC_Picabia_29062001" xfId="497" xr:uid="{00000000-0005-0000-0000-00007D000000}"/>
    <cellStyle name="_Comma_CSC_Picabia_29062001 2" xfId="498" xr:uid="{00000000-0005-0000-0000-00007E000000}"/>
    <cellStyle name="_Comma_CSC_Picabia_29062001 3" xfId="499" xr:uid="{00000000-0005-0000-0000-00007F000000}"/>
    <cellStyle name="_Comma_DCF - July 2, 2001" xfId="500" xr:uid="{00000000-0005-0000-0000-000080000000}"/>
    <cellStyle name="_Comma_DCF - July 2, 2001 2" xfId="501" xr:uid="{00000000-0005-0000-0000-000081000000}"/>
    <cellStyle name="_Comma_DCF - July 2, 2001 3" xfId="502" xr:uid="{00000000-0005-0000-0000-000082000000}"/>
    <cellStyle name="_Comma_DCF Alexander Forbes" xfId="76" xr:uid="{00000000-0005-0000-0000-000083000000}"/>
    <cellStyle name="_Comma_Electrolux CF" xfId="503" xr:uid="{00000000-0005-0000-0000-000084000000}"/>
    <cellStyle name="_Comma_Electrolux CF 2" xfId="504" xr:uid="{00000000-0005-0000-0000-000085000000}"/>
    <cellStyle name="_Comma_Electrolux CF_1" xfId="505" xr:uid="{00000000-0005-0000-0000-000086000000}"/>
    <cellStyle name="_Comma_Electrolux CF_1 2" xfId="506" xr:uid="{00000000-0005-0000-0000-000087000000}"/>
    <cellStyle name="_Comma_Electrolux MW" xfId="507" xr:uid="{00000000-0005-0000-0000-000088000000}"/>
    <cellStyle name="_Comma_Electrolux MW 2" xfId="508" xr:uid="{00000000-0005-0000-0000-000089000000}"/>
    <cellStyle name="_Comma_Electrolux Old Nick Paton Mark Wilson Model" xfId="509" xr:uid="{00000000-0005-0000-0000-00008A000000}"/>
    <cellStyle name="_Comma_Electrolux Old Nick Paton Mark Wilson Model 2" xfId="510" xr:uid="{00000000-0005-0000-0000-00008B000000}"/>
    <cellStyle name="_Comma_Electrolux WIP Bhavna" xfId="511" xr:uid="{00000000-0005-0000-0000-00008C000000}"/>
    <cellStyle name="_Comma_Electrolux WIP Bhavna 2" xfId="512" xr:uid="{00000000-0005-0000-0000-00008D000000}"/>
    <cellStyle name="_Comma_Eng" xfId="513" xr:uid="{00000000-0005-0000-0000-00008E000000}"/>
    <cellStyle name="_Comma_Eng 2" xfId="514" xr:uid="{00000000-0005-0000-0000-00008F000000}"/>
    <cellStyle name="_Comma_Eng 3" xfId="515" xr:uid="{00000000-0005-0000-0000-000090000000}"/>
    <cellStyle name="_Comma_Finmeccanica" xfId="516" xr:uid="{00000000-0005-0000-0000-000091000000}"/>
    <cellStyle name="_Comma_Finmeccanica SOP" xfId="517" xr:uid="{00000000-0005-0000-0000-000092000000}"/>
    <cellStyle name="_Comma_fmbi counties" xfId="77" xr:uid="{00000000-0005-0000-0000-000093000000}"/>
    <cellStyle name="_Comma_FMBI MBHI Graphs" xfId="78" xr:uid="{00000000-0005-0000-0000-000094000000}"/>
    <cellStyle name="_Comma_FMBI MBHI Graphs 07102001" xfId="79" xr:uid="{00000000-0005-0000-0000-000095000000}"/>
    <cellStyle name="_Comma_FMBI MBHI Graphs_7601" xfId="80" xr:uid="{00000000-0005-0000-0000-000096000000}"/>
    <cellStyle name="_Comma_genworth model" xfId="81" xr:uid="{00000000-0005-0000-0000-000097000000}"/>
    <cellStyle name="_Comma_Global ROIC 2007" xfId="518" xr:uid="{00000000-0005-0000-0000-000098000000}"/>
    <cellStyle name="_Comma_Global ROIC 2007 2" xfId="519" xr:uid="{00000000-0005-0000-0000-000099000000}"/>
    <cellStyle name="_Comma_Global ROIC 2007_Copy of IFRS consol ABB Final Version4" xfId="520" xr:uid="{00000000-0005-0000-0000-00009A000000}"/>
    <cellStyle name="_Comma_Global ROIC 2007_Copy of IFRS consol ABB Final Version4 2" xfId="521" xr:uid="{00000000-0005-0000-0000-00009B000000}"/>
    <cellStyle name="_Comma_Insurance Brokerage CSC_1Q2002" xfId="82" xr:uid="{00000000-0005-0000-0000-00009C000000}"/>
    <cellStyle name="_Comma_integrated_standalone_ba" xfId="522" xr:uid="{00000000-0005-0000-0000-00009D000000}"/>
    <cellStyle name="_Comma_integrated_standalone_ba 2" xfId="523" xr:uid="{00000000-0005-0000-0000-00009E000000}"/>
    <cellStyle name="_Comma_integrated_standalone_ba 3" xfId="524" xr:uid="{00000000-0005-0000-0000-00009F000000}"/>
    <cellStyle name="_Comma_JP_LNC_spread_monitor (2)" xfId="83" xr:uid="{00000000-0005-0000-0000-0000A0000000}"/>
    <cellStyle name="_Comma_LBO Model Zannier - 04-09-01" xfId="525" xr:uid="{00000000-0005-0000-0000-0000A1000000}"/>
    <cellStyle name="_Comma_LBO Model Zannier - 04-09-01 2" xfId="526" xr:uid="{00000000-0005-0000-0000-0000A2000000}"/>
    <cellStyle name="_Comma_LBO Model Zannier - 04-09-01 3" xfId="527" xr:uid="{00000000-0005-0000-0000-0000A3000000}"/>
    <cellStyle name="_Comma_Model Vague 07 conso - Dannaud" xfId="528" xr:uid="{00000000-0005-0000-0000-0000A4000000}"/>
    <cellStyle name="_Comma_Model Vague 07 conso - Dannaud 2" xfId="529" xr:uid="{00000000-0005-0000-0000-0000A5000000}"/>
    <cellStyle name="_Comma_Model Vague 07 conso - Dannaud 3" xfId="530" xr:uid="{00000000-0005-0000-0000-0000A6000000}"/>
    <cellStyle name="_Comma_MTU Aero Engines" xfId="531" xr:uid="{00000000-0005-0000-0000-0000A7000000}"/>
    <cellStyle name="_Comma_MTU Aero Engines 2" xfId="532" xr:uid="{00000000-0005-0000-0000-0000A8000000}"/>
    <cellStyle name="_Comma_MTU Aero Engines 3" xfId="533" xr:uid="{00000000-0005-0000-0000-0000A9000000}"/>
    <cellStyle name="_Comma_MTU Aero EnginesMICHA EVENING6" xfId="534" xr:uid="{00000000-0005-0000-0000-0000AA000000}"/>
    <cellStyle name="_Comma_MTU Aero EnginesMICHA EVENING6 2" xfId="535" xr:uid="{00000000-0005-0000-0000-0000AB000000}"/>
    <cellStyle name="_Comma_MTU Aero EnginesMICHA EVENING6 3" xfId="536" xr:uid="{00000000-0005-0000-0000-0000AC000000}"/>
    <cellStyle name="_Comma_MTU FX sheet" xfId="537" xr:uid="{00000000-0005-0000-0000-0000AD000000}"/>
    <cellStyle name="_Comma_MTU FX sheet 2" xfId="538" xr:uid="{00000000-0005-0000-0000-0000AE000000}"/>
    <cellStyle name="_Comma_MTU FX sheet 3" xfId="539" xr:uid="{00000000-0005-0000-0000-0000AF000000}"/>
    <cellStyle name="_Comma_NFP" xfId="84" xr:uid="{00000000-0005-0000-0000-0000B0000000}"/>
    <cellStyle name="_Comma_NFS" xfId="85" xr:uid="{00000000-0005-0000-0000-0000B1000000}"/>
    <cellStyle name="_Comma_output" xfId="540" xr:uid="{00000000-0005-0000-0000-0000B2000000}"/>
    <cellStyle name="_Comma_output 2" xfId="541" xr:uid="{00000000-0005-0000-0000-0000B3000000}"/>
    <cellStyle name="_Comma_output 3" xfId="542" xr:uid="{00000000-0005-0000-0000-0000B4000000}"/>
    <cellStyle name="_Comma_Overview3" xfId="86" xr:uid="{00000000-0005-0000-0000-0000B5000000}"/>
    <cellStyle name="_Comma_phil data" xfId="87" xr:uid="{00000000-0005-0000-0000-0000B6000000}"/>
    <cellStyle name="_Comma_Price Performance Charts" xfId="88" xr:uid="{00000000-0005-0000-0000-0000B7000000}"/>
    <cellStyle name="_Comma_Quarterly Review by Company" xfId="89" xr:uid="{00000000-0005-0000-0000-0000B8000000}"/>
    <cellStyle name="_Comma_RBOC historicals" xfId="543" xr:uid="{00000000-0005-0000-0000-0000B9000000}"/>
    <cellStyle name="_Comma_RBOC historicals_Copy of IFRS consol ABB Final Version4" xfId="544" xr:uid="{00000000-0005-0000-0000-0000BA000000}"/>
    <cellStyle name="_Comma_Rheinmetall" xfId="545" xr:uid="{00000000-0005-0000-0000-0000BB000000}"/>
    <cellStyle name="_Comma_Rheinmetall_1" xfId="546" xr:uid="{00000000-0005-0000-0000-0000BC000000}"/>
    <cellStyle name="_Comma_Rheinmetall_1 2" xfId="547" xr:uid="{00000000-0005-0000-0000-0000BD000000}"/>
    <cellStyle name="_Comma_Rheinmetall_1 3" xfId="548" xr:uid="{00000000-0005-0000-0000-0000BE000000}"/>
    <cellStyle name="_Comma_RHM" xfId="549" xr:uid="{00000000-0005-0000-0000-0000BF000000}"/>
    <cellStyle name="_Comma_ROIC" xfId="550" xr:uid="{00000000-0005-0000-0000-0000C0000000}"/>
    <cellStyle name="_Comma_ROIC 2" xfId="551" xr:uid="{00000000-0005-0000-0000-0000C1000000}"/>
    <cellStyle name="_Comma_ROIC 3" xfId="552" xr:uid="{00000000-0005-0000-0000-0000C2000000}"/>
    <cellStyle name="_Comma_Rolls-Royce" xfId="553" xr:uid="{00000000-0005-0000-0000-0000C3000000}"/>
    <cellStyle name="_Comma_Rolls-Royce Micha" xfId="554" xr:uid="{00000000-0005-0000-0000-0000C4000000}"/>
    <cellStyle name="_Comma_Rolls-Royce Micha 2" xfId="555" xr:uid="{00000000-0005-0000-0000-0000C5000000}"/>
    <cellStyle name="_Comma_Rolls-Royce Micha 3" xfId="556" xr:uid="{00000000-0005-0000-0000-0000C6000000}"/>
    <cellStyle name="_Comma_Rolls-RoyceFINAL130206" xfId="557" xr:uid="{00000000-0005-0000-0000-0000C7000000}"/>
    <cellStyle name="_Comma_Rolls-RoyceFINAL130206 2" xfId="558" xr:uid="{00000000-0005-0000-0000-0000C8000000}"/>
    <cellStyle name="_Comma_Rolls-RoyceFINAL130206 3" xfId="559" xr:uid="{00000000-0005-0000-0000-0000C9000000}"/>
    <cellStyle name="_Comma_RR FY06" xfId="560" xr:uid="{00000000-0005-0000-0000-0000CA000000}"/>
    <cellStyle name="_Comma_RR FY06 2" xfId="561" xr:uid="{00000000-0005-0000-0000-0000CB000000}"/>
    <cellStyle name="_Comma_RR FY06 3" xfId="562" xr:uid="{00000000-0005-0000-0000-0000CC000000}"/>
    <cellStyle name="_Comma_SaabOLD" xfId="563" xr:uid="{00000000-0005-0000-0000-0000CD000000}"/>
    <cellStyle name="_Comma_Safran" xfId="564" xr:uid="{00000000-0005-0000-0000-0000CE000000}"/>
    <cellStyle name="_Comma_Safran 2" xfId="565" xr:uid="{00000000-0005-0000-0000-0000CF000000}"/>
    <cellStyle name="_Comma_Safran 3" xfId="566" xr:uid="{00000000-0005-0000-0000-0000D0000000}"/>
    <cellStyle name="_Comma_Saft vs Peers" xfId="567" xr:uid="{00000000-0005-0000-0000-0000D1000000}"/>
    <cellStyle name="_Comma_Saft vs Peers 2" xfId="568" xr:uid="{00000000-0005-0000-0000-0000D2000000}"/>
    <cellStyle name="_Comma_Saft vs Peers 3" xfId="569" xr:uid="{00000000-0005-0000-0000-0000D3000000}"/>
    <cellStyle name="_Comma_SFG Data File" xfId="90" xr:uid="{00000000-0005-0000-0000-0000D4000000}"/>
    <cellStyle name="_Comma_Sheet1" xfId="91" xr:uid="{00000000-0005-0000-0000-0000D5000000}"/>
    <cellStyle name="_Comma_SIFI OLD" xfId="570" xr:uid="{00000000-0005-0000-0000-0000D6000000}"/>
    <cellStyle name="_Comma_SIFINEW" xfId="571" xr:uid="{00000000-0005-0000-0000-0000D7000000}"/>
    <cellStyle name="_Comma_SIFINEW 2" xfId="572" xr:uid="{00000000-0005-0000-0000-0000D8000000}"/>
    <cellStyle name="_Comma_SIFINEW 3" xfId="573" xr:uid="{00000000-0005-0000-0000-0000D9000000}"/>
    <cellStyle name="_Comma_Smiths Group" xfId="574" xr:uid="{00000000-0005-0000-0000-0000DA000000}"/>
    <cellStyle name="_Comma_Smiths Group - OLD" xfId="575" xr:uid="{00000000-0005-0000-0000-0000DB000000}"/>
    <cellStyle name="_Comma_Stock-QTR1 FDS" xfId="92" xr:uid="{00000000-0005-0000-0000-0000DC000000}"/>
    <cellStyle name="_Comma_T - new" xfId="576" xr:uid="{00000000-0005-0000-0000-0000DD000000}"/>
    <cellStyle name="_Comma_T - new_Copy of IFRS consol ABB Final Version4" xfId="577" xr:uid="{00000000-0005-0000-0000-0000DE000000}"/>
    <cellStyle name="_Comma_Updated Valuation Changes" xfId="93" xr:uid="{00000000-0005-0000-0000-0000DF000000}"/>
    <cellStyle name="_Comma_Vague LBO Model - 19 July 2001" xfId="578" xr:uid="{00000000-0005-0000-0000-0000E0000000}"/>
    <cellStyle name="_Comma_Vague LBO Model - 19 July 2001 2" xfId="579" xr:uid="{00000000-0005-0000-0000-0000E1000000}"/>
    <cellStyle name="_Comma_Vague LBO Model - 19 July 2001 3" xfId="580" xr:uid="{00000000-0005-0000-0000-0000E2000000}"/>
    <cellStyle name="_Comma_Valuation Graphs" xfId="94" xr:uid="{00000000-0005-0000-0000-0000E3000000}"/>
    <cellStyle name="_Comma_Vinci" xfId="581" xr:uid="{00000000-0005-0000-0000-0000E4000000}"/>
    <cellStyle name="_Comma_WPP_YNR_merger_plans" xfId="582" xr:uid="{00000000-0005-0000-0000-0000E5000000}"/>
    <cellStyle name="_Comma_WPP_YNR_merger_plans 2" xfId="583" xr:uid="{00000000-0005-0000-0000-0000E6000000}"/>
    <cellStyle name="_Comma_WPP_YNR_merger_plans 3" xfId="584" xr:uid="{00000000-0005-0000-0000-0000E7000000}"/>
    <cellStyle name="_Comma_xratio - historical mkt val" xfId="95" xr:uid="{00000000-0005-0000-0000-0000E8000000}"/>
    <cellStyle name="_Copy of IFRS consol ABB Final Version4" xfId="585" xr:uid="{00000000-0005-0000-0000-0000E9000000}"/>
    <cellStyle name="_Copy of Spirent_now" xfId="586" xr:uid="{00000000-0005-0000-0000-0000EA000000}"/>
    <cellStyle name="_Currency" xfId="96" xr:uid="{00000000-0005-0000-0000-0000EB000000}"/>
    <cellStyle name="_Currency 2" xfId="587" xr:uid="{00000000-0005-0000-0000-0000EC000000}"/>
    <cellStyle name="_Currency 3" xfId="588" xr:uid="{00000000-0005-0000-0000-0000ED000000}"/>
    <cellStyle name="_Currency_01 adj for merger plan" xfId="97" xr:uid="{00000000-0005-0000-0000-0000EE000000}"/>
    <cellStyle name="_Currency_2001 YTD Performance" xfId="589" xr:uid="{00000000-0005-0000-0000-0000EF000000}"/>
    <cellStyle name="_Currency_2001 YTD Performance 2" xfId="590" xr:uid="{00000000-0005-0000-0000-0000F0000000}"/>
    <cellStyle name="_Currency_2001 YTD Performance 3" xfId="591" xr:uid="{00000000-0005-0000-0000-0000F1000000}"/>
    <cellStyle name="_Currency_Ability to Pay Analysis" xfId="98" xr:uid="{00000000-0005-0000-0000-0000F2000000}"/>
    <cellStyle name="_Currency_ABP1" xfId="592" xr:uid="{00000000-0005-0000-0000-0000F3000000}"/>
    <cellStyle name="_Currency_ABP1 2" xfId="593" xr:uid="{00000000-0005-0000-0000-0000F4000000}"/>
    <cellStyle name="_Currency_ABP1 3" xfId="594" xr:uid="{00000000-0005-0000-0000-0000F5000000}"/>
    <cellStyle name="_Currency_Aero DCF" xfId="595" xr:uid="{00000000-0005-0000-0000-0000F6000000}"/>
    <cellStyle name="_Currency_Aero DCF 2" xfId="596" xr:uid="{00000000-0005-0000-0000-0000F7000000}"/>
    <cellStyle name="_Currency_Aero DCF 3" xfId="597" xr:uid="{00000000-0005-0000-0000-0000F8000000}"/>
    <cellStyle name="_Currency_AF1" xfId="598" xr:uid="{00000000-0005-0000-0000-0000F9000000}"/>
    <cellStyle name="_Currency_AF1 2" xfId="599" xr:uid="{00000000-0005-0000-0000-0000FA000000}"/>
    <cellStyle name="_Currency_AF1 3" xfId="600" xr:uid="{00000000-0005-0000-0000-0000FB000000}"/>
    <cellStyle name="_Currency_AFL" xfId="99" xr:uid="{00000000-0005-0000-0000-0000FC000000}"/>
    <cellStyle name="_Currency_Airclaims4" xfId="601" xr:uid="{00000000-0005-0000-0000-0000FD000000}"/>
    <cellStyle name="_Currency_Airclaims4 2" xfId="602" xr:uid="{00000000-0005-0000-0000-0000FE000000}"/>
    <cellStyle name="_Currency_Airclaims4 3" xfId="603" xr:uid="{00000000-0005-0000-0000-0000FF000000}"/>
    <cellStyle name="_Currency_AIRLINE DCF's" xfId="604" xr:uid="{00000000-0005-0000-0000-000000010000}"/>
    <cellStyle name="_Currency_AIRLINE DCF's 2" xfId="605" xr:uid="{00000000-0005-0000-0000-000001010000}"/>
    <cellStyle name="_Currency_AIRLINE DCF's 3" xfId="606" xr:uid="{00000000-0005-0000-0000-000002010000}"/>
    <cellStyle name="_Currency_AIZ" xfId="100" xr:uid="{00000000-0005-0000-0000-000003010000}"/>
    <cellStyle name="_Currency_Alstom WIP Bhavna" xfId="607" xr:uid="{00000000-0005-0000-0000-000004010000}"/>
    <cellStyle name="_Currency_Alstom WIP Bhavna 2" xfId="608" xr:uid="{00000000-0005-0000-0000-000005010000}"/>
    <cellStyle name="_Currency_AMP" xfId="101" xr:uid="{00000000-0005-0000-0000-000006010000}"/>
    <cellStyle name="_Currency_ASF" xfId="609" xr:uid="{00000000-0005-0000-0000-000007010000}"/>
    <cellStyle name="_Currency_ASF 2" xfId="610" xr:uid="{00000000-0005-0000-0000-000008010000}"/>
    <cellStyle name="_Currency_ASF 3" xfId="611" xr:uid="{00000000-0005-0000-0000-000009010000}"/>
    <cellStyle name="_Currency_ASF1" xfId="612" xr:uid="{00000000-0005-0000-0000-00000A010000}"/>
    <cellStyle name="_Currency_ASF1 2" xfId="613" xr:uid="{00000000-0005-0000-0000-00000B010000}"/>
    <cellStyle name="_Currency_ASF1 3" xfId="614" xr:uid="{00000000-0005-0000-0000-00000C010000}"/>
    <cellStyle name="_Currency_Assa CF" xfId="615" xr:uid="{00000000-0005-0000-0000-00000D010000}"/>
    <cellStyle name="_Currency_Assa CF 2" xfId="616" xr:uid="{00000000-0005-0000-0000-00000E010000}"/>
    <cellStyle name="_Currency_Assa CF 3" xfId="617" xr:uid="{00000000-0005-0000-0000-00000F010000}"/>
    <cellStyle name="_Currency_Assa Reference" xfId="618" xr:uid="{00000000-0005-0000-0000-000010010000}"/>
    <cellStyle name="_Currency_Assa Reference 2" xfId="619" xr:uid="{00000000-0005-0000-0000-000011010000}"/>
    <cellStyle name="_Currency_Assa Reference 3" xfId="620" xr:uid="{00000000-0005-0000-0000-000012010000}"/>
    <cellStyle name="_Currency_Assa vs Competition" xfId="621" xr:uid="{00000000-0005-0000-0000-000013010000}"/>
    <cellStyle name="_Currency_Assa vs Competition 2" xfId="622" xr:uid="{00000000-0005-0000-0000-000014010000}"/>
    <cellStyle name="_Currency_Assa vs Competition 3" xfId="623" xr:uid="{00000000-0005-0000-0000-000015010000}"/>
    <cellStyle name="_Currency_AT" xfId="624" xr:uid="{00000000-0005-0000-0000-000016010000}"/>
    <cellStyle name="_Currency_AT_Copy of IFRS consol ABB Final Version4" xfId="625" xr:uid="{00000000-0005-0000-0000-000017010000}"/>
    <cellStyle name="_Currency_Atlas Copco CF" xfId="626" xr:uid="{00000000-0005-0000-0000-000018010000}"/>
    <cellStyle name="_Currency_Atlas Copco CF 2" xfId="627" xr:uid="{00000000-0005-0000-0000-000019010000}"/>
    <cellStyle name="_Currency_AVP" xfId="628" xr:uid="{00000000-0005-0000-0000-00001A010000}"/>
    <cellStyle name="_Currency_AVP 2" xfId="629" xr:uid="{00000000-0005-0000-0000-00001B010000}"/>
    <cellStyle name="_Currency_AVP 3" xfId="630" xr:uid="{00000000-0005-0000-0000-00001C010000}"/>
    <cellStyle name="_Currency_AWE" xfId="631" xr:uid="{00000000-0005-0000-0000-00001D010000}"/>
    <cellStyle name="_Currency_AWE_Copy of IFRS consol ABB Final Version4" xfId="632" xr:uid="{00000000-0005-0000-0000-00001E010000}"/>
    <cellStyle name="_Currency_BA-DCF" xfId="633" xr:uid="{00000000-0005-0000-0000-00001F010000}"/>
    <cellStyle name="_Currency_BA-DCF 2" xfId="634" xr:uid="{00000000-0005-0000-0000-000020010000}"/>
    <cellStyle name="_Currency_BA-DCF 3" xfId="635" xr:uid="{00000000-0005-0000-0000-000021010000}"/>
    <cellStyle name="_Currency_BAE_model_new" xfId="636" xr:uid="{00000000-0005-0000-0000-000022010000}"/>
    <cellStyle name="_Currency_BAE_model_new 2" xfId="637" xr:uid="{00000000-0005-0000-0000-000023010000}"/>
    <cellStyle name="_Currency_BAE_model_new 3" xfId="638" xr:uid="{00000000-0005-0000-0000-000024010000}"/>
    <cellStyle name="_Currency_Balance Sheet" xfId="102" xr:uid="{00000000-0005-0000-0000-000025010000}"/>
    <cellStyle name="_Currency_BHI" xfId="639" xr:uid="{00000000-0005-0000-0000-000026010000}"/>
    <cellStyle name="_Currency_BHI_Copy of IFRS consol ABB Final Version4" xfId="640" xr:uid="{00000000-0005-0000-0000-000027010000}"/>
    <cellStyle name="_Currency_BLS" xfId="641" xr:uid="{00000000-0005-0000-0000-000028010000}"/>
    <cellStyle name="_Currency_bls roic" xfId="642" xr:uid="{00000000-0005-0000-0000-000029010000}"/>
    <cellStyle name="_Currency_bls roic_Copy of IFRS consol ABB Final Version4" xfId="643" xr:uid="{00000000-0005-0000-0000-00002A010000}"/>
    <cellStyle name="_Currency_BLS_Copy of IFRS consol ABB Final Version4" xfId="644" xr:uid="{00000000-0005-0000-0000-00002B010000}"/>
    <cellStyle name="_Currency_Book1" xfId="103" xr:uid="{00000000-0005-0000-0000-00002C010000}"/>
    <cellStyle name="_Currency_Book1 2" xfId="645" xr:uid="{00000000-0005-0000-0000-00002D010000}"/>
    <cellStyle name="_Currency_Book1 3" xfId="646" xr:uid="{00000000-0005-0000-0000-00002E010000}"/>
    <cellStyle name="_Currency_Book1_WACC" xfId="647" xr:uid="{00000000-0005-0000-0000-00002F010000}"/>
    <cellStyle name="_Currency_Book1_WACC 2" xfId="648" xr:uid="{00000000-0005-0000-0000-000030010000}"/>
    <cellStyle name="_Currency_Book1_WACC 3" xfId="649" xr:uid="{00000000-0005-0000-0000-000031010000}"/>
    <cellStyle name="_Currency_Book2" xfId="650" xr:uid="{00000000-0005-0000-0000-000032010000}"/>
    <cellStyle name="_Currency_Book2_Copy of IFRS consol ABB Final Version4" xfId="651" xr:uid="{00000000-0005-0000-0000-000033010000}"/>
    <cellStyle name="_Currency_Book29" xfId="104" xr:uid="{00000000-0005-0000-0000-000034010000}"/>
    <cellStyle name="_Currency_Book3" xfId="105" xr:uid="{00000000-0005-0000-0000-000035010000}"/>
    <cellStyle name="_Currency_Book3_1" xfId="106" xr:uid="{00000000-0005-0000-0000-000036010000}"/>
    <cellStyle name="_Currency_Book32" xfId="652" xr:uid="{00000000-0005-0000-0000-000037010000}"/>
    <cellStyle name="_Currency_Book32_Copy of IFRS consol ABB Final Version4" xfId="653" xr:uid="{00000000-0005-0000-0000-000038010000}"/>
    <cellStyle name="_Currency_capital expenditures 6-18-02" xfId="654" xr:uid="{00000000-0005-0000-0000-000039010000}"/>
    <cellStyle name="_Currency_capital expenditures 6-18-02_Copy of IFRS consol ABB Final Version4" xfId="655" xr:uid="{00000000-0005-0000-0000-00003A010000}"/>
    <cellStyle name="_Currency_CBD Model Master" xfId="656" xr:uid="{00000000-0005-0000-0000-00003B010000}"/>
    <cellStyle name="_Currency_CBD Model Master 2" xfId="657" xr:uid="{00000000-0005-0000-0000-00003C010000}"/>
    <cellStyle name="_Currency_CBD Model Master 3" xfId="658" xr:uid="{00000000-0005-0000-0000-00003D010000}"/>
    <cellStyle name="_Currency_Ciervo_WACC" xfId="659" xr:uid="{00000000-0005-0000-0000-00003E010000}"/>
    <cellStyle name="_Currency_Ciervo_WACC 2" xfId="660" xr:uid="{00000000-0005-0000-0000-00003F010000}"/>
    <cellStyle name="_Currency_Ciervo_WACC 3" xfId="661" xr:uid="{00000000-0005-0000-0000-000040010000}"/>
    <cellStyle name="_Currency_Cingular" xfId="662" xr:uid="{00000000-0005-0000-0000-000041010000}"/>
    <cellStyle name="_Currency_Cingular_Copy of IFRS consol ABB Final Version4" xfId="663" xr:uid="{00000000-0005-0000-0000-000042010000}"/>
    <cellStyle name="_Currency_CNO" xfId="107" xr:uid="{00000000-0005-0000-0000-000043010000}"/>
    <cellStyle name="_Currency_Comdot - gStyle Excel Slides" xfId="664" xr:uid="{00000000-0005-0000-0000-000044010000}"/>
    <cellStyle name="_Currency_Comdot - gStyle Excel Slides 2" xfId="665" xr:uid="{00000000-0005-0000-0000-000045010000}"/>
    <cellStyle name="_Currency_Comdot - gStyle Excel Slides 3" xfId="666" xr:uid="{00000000-0005-0000-0000-000046010000}"/>
    <cellStyle name="_Currency_Comdot LBO Short Form - v3" xfId="667" xr:uid="{00000000-0005-0000-0000-000047010000}"/>
    <cellStyle name="_Currency_Comdot LBO Short Form - v3 2" xfId="668" xr:uid="{00000000-0005-0000-0000-000048010000}"/>
    <cellStyle name="_Currency_Comdot LBO Short Form - v3 3" xfId="669" xr:uid="{00000000-0005-0000-0000-000049010000}"/>
    <cellStyle name="_Currency_contribution_analysis" xfId="670" xr:uid="{00000000-0005-0000-0000-00004A010000}"/>
    <cellStyle name="_Currency_Copy of IFRS consol ABB Final Version4" xfId="671" xr:uid="{00000000-0005-0000-0000-00004B010000}"/>
    <cellStyle name="_Currency_Copy of IFRS consol ABB Final Version4 2" xfId="672" xr:uid="{00000000-0005-0000-0000-00004C010000}"/>
    <cellStyle name="_Currency_Copy of IFRS consol ABB Final Version4_1" xfId="673" xr:uid="{00000000-0005-0000-0000-00004D010000}"/>
    <cellStyle name="_Currency_Copy of IFRS consol ABB Final Version4_1 2" xfId="674" xr:uid="{00000000-0005-0000-0000-00004E010000}"/>
    <cellStyle name="_Currency_Copy of Spirent_now" xfId="675" xr:uid="{00000000-0005-0000-0000-00004F010000}"/>
    <cellStyle name="_Currency_Copy of Spirent_now 2" xfId="676" xr:uid="{00000000-0005-0000-0000-000050010000}"/>
    <cellStyle name="_Currency_Copy of Spirent_now 3" xfId="677" xr:uid="{00000000-0005-0000-0000-000051010000}"/>
    <cellStyle name="_Currency_CROCI" xfId="678" xr:uid="{00000000-0005-0000-0000-000052010000}"/>
    <cellStyle name="_Currency_CROCI 2" xfId="679" xr:uid="{00000000-0005-0000-0000-000053010000}"/>
    <cellStyle name="_Currency_CSC_Belgravia_15052001" xfId="680" xr:uid="{00000000-0005-0000-0000-000054010000}"/>
    <cellStyle name="_Currency_CSC_Belgravia_15052001 2" xfId="681" xr:uid="{00000000-0005-0000-0000-000055010000}"/>
    <cellStyle name="_Currency_CSC_Belgravia_15052001 3" xfId="682" xr:uid="{00000000-0005-0000-0000-000056010000}"/>
    <cellStyle name="_Currency_CSC_Picabia_29062001" xfId="683" xr:uid="{00000000-0005-0000-0000-000057010000}"/>
    <cellStyle name="_Currency_CSC_Picabia_29062001 2" xfId="684" xr:uid="{00000000-0005-0000-0000-000058010000}"/>
    <cellStyle name="_Currency_CSC_Picabia_29062001 3" xfId="685" xr:uid="{00000000-0005-0000-0000-000059010000}"/>
    <cellStyle name="_Currency_Current Valuations" xfId="686" xr:uid="{00000000-0005-0000-0000-00005A010000}"/>
    <cellStyle name="_Currency_Current Valuations 2" xfId="687" xr:uid="{00000000-0005-0000-0000-00005B010000}"/>
    <cellStyle name="_Currency_Current Valuations 3" xfId="688" xr:uid="{00000000-0005-0000-0000-00005C010000}"/>
    <cellStyle name="_Currency_Date of fillings" xfId="689" xr:uid="{00000000-0005-0000-0000-00005D010000}"/>
    <cellStyle name="_Currency_Date of fillings 2" xfId="690" xr:uid="{00000000-0005-0000-0000-00005E010000}"/>
    <cellStyle name="_Currency_Date of fillings 3" xfId="691" xr:uid="{00000000-0005-0000-0000-00005F010000}"/>
    <cellStyle name="_Currency_DCF - July 2, 2001" xfId="692" xr:uid="{00000000-0005-0000-0000-000060010000}"/>
    <cellStyle name="_Currency_DCF - July 2, 2001 2" xfId="693" xr:uid="{00000000-0005-0000-0000-000061010000}"/>
    <cellStyle name="_Currency_DCF - July 2, 2001 3" xfId="694" xr:uid="{00000000-0005-0000-0000-000062010000}"/>
    <cellStyle name="_Currency_DCF Alexander Forbes" xfId="108" xr:uid="{00000000-0005-0000-0000-000063010000}"/>
    <cellStyle name="_Currency_DCF Model + WACC" xfId="695" xr:uid="{00000000-0005-0000-0000-000064010000}"/>
    <cellStyle name="_Currency_DCF Model + WACC 2" xfId="696" xr:uid="{00000000-0005-0000-0000-000065010000}"/>
    <cellStyle name="_Currency_DCF Model + WACC 3" xfId="697" xr:uid="{00000000-0005-0000-0000-000066010000}"/>
    <cellStyle name="_Currency_Earnings growth track record" xfId="698" xr:uid="{00000000-0005-0000-0000-000067010000}"/>
    <cellStyle name="_Currency_Earnings growth track record 2" xfId="699" xr:uid="{00000000-0005-0000-0000-000068010000}"/>
    <cellStyle name="_Currency_Earnings growth track record 3" xfId="700" xr:uid="{00000000-0005-0000-0000-000069010000}"/>
    <cellStyle name="_Currency_Electrolux CF" xfId="701" xr:uid="{00000000-0005-0000-0000-00006A010000}"/>
    <cellStyle name="_Currency_Electrolux CF 2" xfId="702" xr:uid="{00000000-0005-0000-0000-00006B010000}"/>
    <cellStyle name="_Currency_Electrolux CF_1" xfId="703" xr:uid="{00000000-0005-0000-0000-00006C010000}"/>
    <cellStyle name="_Currency_Electrolux CF_1 2" xfId="704" xr:uid="{00000000-0005-0000-0000-00006D010000}"/>
    <cellStyle name="_Currency_Electrolux MW" xfId="705" xr:uid="{00000000-0005-0000-0000-00006E010000}"/>
    <cellStyle name="_Currency_Electrolux MW 2" xfId="706" xr:uid="{00000000-0005-0000-0000-00006F010000}"/>
    <cellStyle name="_Currency_Electrolux Old Nick Paton Mark Wilson Model" xfId="707" xr:uid="{00000000-0005-0000-0000-000070010000}"/>
    <cellStyle name="_Currency_Electrolux Old Nick Paton Mark Wilson Model 2" xfId="708" xr:uid="{00000000-0005-0000-0000-000071010000}"/>
    <cellStyle name="_Currency_Electrolux WIP Bhavna" xfId="709" xr:uid="{00000000-0005-0000-0000-000072010000}"/>
    <cellStyle name="_Currency_Electrolux WIP Bhavna 2" xfId="710" xr:uid="{00000000-0005-0000-0000-000073010000}"/>
    <cellStyle name="_Currency_Eng" xfId="711" xr:uid="{00000000-0005-0000-0000-000074010000}"/>
    <cellStyle name="_Currency_Eng 2" xfId="712" xr:uid="{00000000-0005-0000-0000-000075010000}"/>
    <cellStyle name="_Currency_Eng 3" xfId="713" xr:uid="{00000000-0005-0000-0000-000076010000}"/>
    <cellStyle name="_Currency_Equity Research" xfId="714" xr:uid="{00000000-0005-0000-0000-000077010000}"/>
    <cellStyle name="_Currency_Euston DCF" xfId="715" xr:uid="{00000000-0005-0000-0000-000078010000}"/>
    <cellStyle name="_Currency_Euston DCF 2" xfId="716" xr:uid="{00000000-0005-0000-0000-000079010000}"/>
    <cellStyle name="_Currency_Euston DCF 3" xfId="717" xr:uid="{00000000-0005-0000-0000-00007A010000}"/>
    <cellStyle name="_Currency_Finmeccanica" xfId="718" xr:uid="{00000000-0005-0000-0000-00007B010000}"/>
    <cellStyle name="_Currency_Finmeccanica SOP" xfId="719" xr:uid="{00000000-0005-0000-0000-00007C010000}"/>
    <cellStyle name="_Currency_Florida consensus estimates" xfId="720" xr:uid="{00000000-0005-0000-0000-00007D010000}"/>
    <cellStyle name="_Currency_Florida consensus estimates 2" xfId="721" xr:uid="{00000000-0005-0000-0000-00007E010000}"/>
    <cellStyle name="_Currency_Florida consensus estimates 3" xfId="722" xr:uid="{00000000-0005-0000-0000-00007F010000}"/>
    <cellStyle name="_Currency_fmbi counties" xfId="109" xr:uid="{00000000-0005-0000-0000-000080010000}"/>
    <cellStyle name="_Currency_FMBI MBHI Graphs" xfId="110" xr:uid="{00000000-0005-0000-0000-000081010000}"/>
    <cellStyle name="_Currency_FMBI MBHI Graphs 07102001" xfId="111" xr:uid="{00000000-0005-0000-0000-000082010000}"/>
    <cellStyle name="_Currency_FMBI MBHI Graphs_7601" xfId="112" xr:uid="{00000000-0005-0000-0000-000083010000}"/>
    <cellStyle name="_Currency_FON" xfId="723" xr:uid="{00000000-0005-0000-0000-000084010000}"/>
    <cellStyle name="_Currency_FON_Copy of IFRS consol ABB Final Version4" xfId="724" xr:uid="{00000000-0005-0000-0000-000085010000}"/>
    <cellStyle name="_Currency_Global ROIC 2007" xfId="725" xr:uid="{00000000-0005-0000-0000-000086010000}"/>
    <cellStyle name="_Currency_Global ROIC 2007 2" xfId="726" xr:uid="{00000000-0005-0000-0000-000087010000}"/>
    <cellStyle name="_Currency_Global ROIC 2007_Copy of IFRS consol ABB Final Version4" xfId="727" xr:uid="{00000000-0005-0000-0000-000088010000}"/>
    <cellStyle name="_Currency_Global ROIC 2007_Copy of IFRS consol ABB Final Version4 2" xfId="728" xr:uid="{00000000-0005-0000-0000-000089010000}"/>
    <cellStyle name="_Currency_GNW" xfId="113" xr:uid="{00000000-0005-0000-0000-00008A010000}"/>
    <cellStyle name="_Currency_HeidelbergCement" xfId="729" xr:uid="{00000000-0005-0000-0000-00008B010000}"/>
    <cellStyle name="_Currency_Holcim" xfId="730" xr:uid="{00000000-0005-0000-0000-00008C010000}"/>
    <cellStyle name="_Currency_Insurance Brokerage CSC_1Q2002" xfId="114" xr:uid="{00000000-0005-0000-0000-00008D010000}"/>
    <cellStyle name="_Currency_Insurance Credit Spread" xfId="731" xr:uid="{00000000-0005-0000-0000-00008E010000}"/>
    <cellStyle name="_Currency_Insurance Credit Spread 2" xfId="732" xr:uid="{00000000-0005-0000-0000-00008F010000}"/>
    <cellStyle name="_Currency_Insurance Credit Spread 3" xfId="733" xr:uid="{00000000-0005-0000-0000-000090010000}"/>
    <cellStyle name="_Currency_Insurance Credit Spread_Atlas Copco CF" xfId="734" xr:uid="{00000000-0005-0000-0000-000091010000}"/>
    <cellStyle name="_Currency_Insurance Credit Spread_Atlas Copco CF 2" xfId="735" xr:uid="{00000000-0005-0000-0000-000092010000}"/>
    <cellStyle name="_Currency_Insurance Credit Spread_CROCI" xfId="736" xr:uid="{00000000-0005-0000-0000-000093010000}"/>
    <cellStyle name="_Currency_Insurance Credit Spread_CROCI 2" xfId="737" xr:uid="{00000000-0005-0000-0000-000094010000}"/>
    <cellStyle name="_Currency_Insurance Credit Spread_Electrolux CF" xfId="738" xr:uid="{00000000-0005-0000-0000-000095010000}"/>
    <cellStyle name="_Currency_Insurance Credit Spread_Electrolux CF 2" xfId="739" xr:uid="{00000000-0005-0000-0000-000096010000}"/>
    <cellStyle name="_Currency_integrated_standalone_ba" xfId="740" xr:uid="{00000000-0005-0000-0000-000097010000}"/>
    <cellStyle name="_Currency_integrated_standalone_ba 2" xfId="741" xr:uid="{00000000-0005-0000-0000-000098010000}"/>
    <cellStyle name="_Currency_integrated_standalone_ba 3" xfId="742" xr:uid="{00000000-0005-0000-0000-000099010000}"/>
    <cellStyle name="_Currency_JP" xfId="115" xr:uid="{00000000-0005-0000-0000-00009A010000}"/>
    <cellStyle name="_Currency_JV accounting" xfId="743" xr:uid="{00000000-0005-0000-0000-00009B010000}"/>
    <cellStyle name="_Currency_JV accounting 2" xfId="744" xr:uid="{00000000-0005-0000-0000-00009C010000}"/>
    <cellStyle name="_Currency_JV accounting 3" xfId="745" xr:uid="{00000000-0005-0000-0000-00009D010000}"/>
    <cellStyle name="_Currency_klm1" xfId="746" xr:uid="{00000000-0005-0000-0000-00009E010000}"/>
    <cellStyle name="_Currency_klm1 2" xfId="747" xr:uid="{00000000-0005-0000-0000-00009F010000}"/>
    <cellStyle name="_Currency_klm1 3" xfId="748" xr:uid="{00000000-0005-0000-0000-0000A0010000}"/>
    <cellStyle name="_Currency_KLM-DCF MODEL" xfId="749" xr:uid="{00000000-0005-0000-0000-0000A1010000}"/>
    <cellStyle name="_Currency_KLM-DCF MODEL 2" xfId="750" xr:uid="{00000000-0005-0000-0000-0000A2010000}"/>
    <cellStyle name="_Currency_KLM-DCF MODEL 3" xfId="751" xr:uid="{00000000-0005-0000-0000-0000A3010000}"/>
    <cellStyle name="_Currency_Lafarge" xfId="752" xr:uid="{00000000-0005-0000-0000-0000A4010000}"/>
    <cellStyle name="_Currency_LBO Model Zannier - 04-09-01" xfId="753" xr:uid="{00000000-0005-0000-0000-0000A5010000}"/>
    <cellStyle name="_Currency_LBO Model Zannier - 04-09-01 2" xfId="754" xr:uid="{00000000-0005-0000-0000-0000A6010000}"/>
    <cellStyle name="_Currency_LBO Model Zannier - 04-09-01 3" xfId="755" xr:uid="{00000000-0005-0000-0000-0000A7010000}"/>
    <cellStyle name="_Currency_lbo_short_form" xfId="756" xr:uid="{00000000-0005-0000-0000-0000A8010000}"/>
    <cellStyle name="_Currency_lbo_short_form 2" xfId="757" xr:uid="{00000000-0005-0000-0000-0000A9010000}"/>
    <cellStyle name="_Currency_lbo_short_form 3" xfId="758" xr:uid="{00000000-0005-0000-0000-0000AA010000}"/>
    <cellStyle name="_Currency_LNC" xfId="116" xr:uid="{00000000-0005-0000-0000-0000AB010000}"/>
    <cellStyle name="_Currency_LPD_Analysis" xfId="759" xr:uid="{00000000-0005-0000-0000-0000AC010000}"/>
    <cellStyle name="_Currency_LPD_Analysis 2" xfId="760" xr:uid="{00000000-0005-0000-0000-0000AD010000}"/>
    <cellStyle name="_Currency_LPD_Analysis 3" xfId="761" xr:uid="{00000000-0005-0000-0000-0000AE010000}"/>
    <cellStyle name="_Currency_lufthansa1" xfId="762" xr:uid="{00000000-0005-0000-0000-0000AF010000}"/>
    <cellStyle name="_Currency_lufthansa1 2" xfId="763" xr:uid="{00000000-0005-0000-0000-0000B0010000}"/>
    <cellStyle name="_Currency_lufthansa1 3" xfId="764" xr:uid="{00000000-0005-0000-0000-0000B1010000}"/>
    <cellStyle name="_Currency_MET" xfId="117" xr:uid="{00000000-0005-0000-0000-0000B2010000}"/>
    <cellStyle name="_Currency_MET04" xfId="118" xr:uid="{00000000-0005-0000-0000-0000B3010000}"/>
    <cellStyle name="_Currency_Model CLC-17 07-soir" xfId="765" xr:uid="{00000000-0005-0000-0000-0000B4010000}"/>
    <cellStyle name="_Currency_Model CLC-17 07-soir 2" xfId="766" xr:uid="{00000000-0005-0000-0000-0000B5010000}"/>
    <cellStyle name="_Currency_Model CLC-17 07-soir 3" xfId="767" xr:uid="{00000000-0005-0000-0000-0000B6010000}"/>
    <cellStyle name="_Currency_Model Vague 07 conso - Dannaud" xfId="768" xr:uid="{00000000-0005-0000-0000-0000B7010000}"/>
    <cellStyle name="_Currency_Model Vague 07 conso - Dannaud 2" xfId="769" xr:uid="{00000000-0005-0000-0000-0000B8010000}"/>
    <cellStyle name="_Currency_Model Vague 07 conso - Dannaud 3" xfId="770" xr:uid="{00000000-0005-0000-0000-0000B9010000}"/>
    <cellStyle name="_Currency_MTU Aero Engines" xfId="771" xr:uid="{00000000-0005-0000-0000-0000BA010000}"/>
    <cellStyle name="_Currency_MTU Aero Engines 2" xfId="772" xr:uid="{00000000-0005-0000-0000-0000BB010000}"/>
    <cellStyle name="_Currency_MTU Aero Engines 3" xfId="773" xr:uid="{00000000-0005-0000-0000-0000BC010000}"/>
    <cellStyle name="_Currency_MTU Aero EnginesMICHA EVENING6" xfId="774" xr:uid="{00000000-0005-0000-0000-0000BD010000}"/>
    <cellStyle name="_Currency_MTU Aero EnginesMICHA EVENING6 2" xfId="775" xr:uid="{00000000-0005-0000-0000-0000BE010000}"/>
    <cellStyle name="_Currency_MTU Aero EnginesMICHA EVENING6 3" xfId="776" xr:uid="{00000000-0005-0000-0000-0000BF010000}"/>
    <cellStyle name="_Currency_MTU FX sheet" xfId="777" xr:uid="{00000000-0005-0000-0000-0000C0010000}"/>
    <cellStyle name="_Currency_MTU FX sheet 2" xfId="778" xr:uid="{00000000-0005-0000-0000-0000C1010000}"/>
    <cellStyle name="_Currency_MTU FX sheet 3" xfId="779" xr:uid="{00000000-0005-0000-0000-0000C2010000}"/>
    <cellStyle name="_Currency_NFS" xfId="119" xr:uid="{00000000-0005-0000-0000-0000C3010000}"/>
    <cellStyle name="_Currency_NXTL" xfId="780" xr:uid="{00000000-0005-0000-0000-0000C4010000}"/>
    <cellStyle name="_Currency_NXTL_Copy of IFRS consol ABB Final Version4" xfId="781" xr:uid="{00000000-0005-0000-0000-0000C5010000}"/>
    <cellStyle name="_Currency_output" xfId="782" xr:uid="{00000000-0005-0000-0000-0000C6010000}"/>
    <cellStyle name="_Currency_output 2" xfId="783" xr:uid="{00000000-0005-0000-0000-0000C7010000}"/>
    <cellStyle name="_Currency_output 3" xfId="784" xr:uid="{00000000-0005-0000-0000-0000C8010000}"/>
    <cellStyle name="_Currency_Overview3" xfId="120" xr:uid="{00000000-0005-0000-0000-0000C9010000}"/>
    <cellStyle name="_Currency_PCS" xfId="785" xr:uid="{00000000-0005-0000-0000-0000CA010000}"/>
    <cellStyle name="_Currency_PCS_Copy of IFRS consol ABB Final Version4" xfId="786" xr:uid="{00000000-0005-0000-0000-0000CB010000}"/>
    <cellStyle name="_Currency_phil data" xfId="121" xr:uid="{00000000-0005-0000-0000-0000CC010000}"/>
    <cellStyle name="_Currency_Price Performance Charts" xfId="122" xr:uid="{00000000-0005-0000-0000-0000CD010000}"/>
    <cellStyle name="_Currency_PRU" xfId="123" xr:uid="{00000000-0005-0000-0000-0000CE010000}"/>
    <cellStyle name="_Currency_PRU04" xfId="124" xr:uid="{00000000-0005-0000-0000-0000CF010000}"/>
    <cellStyle name="_Currency_QP_XXX" xfId="787" xr:uid="{00000000-0005-0000-0000-0000D0010000}"/>
    <cellStyle name="_Currency_QP_XXX 2" xfId="788" xr:uid="{00000000-0005-0000-0000-0000D1010000}"/>
    <cellStyle name="_Currency_QP_XXX_Copy of IFRS consol ABB Final Version4" xfId="789" xr:uid="{00000000-0005-0000-0000-0000D2010000}"/>
    <cellStyle name="_Currency_QP_XXX_Copy of IFRS consol ABB Final Version4 2" xfId="790" xr:uid="{00000000-0005-0000-0000-0000D3010000}"/>
    <cellStyle name="_Currency_RBOC historicals" xfId="791" xr:uid="{00000000-0005-0000-0000-0000D4010000}"/>
    <cellStyle name="_Currency_RBOC historicals_Copy of IFRS consol ABB Final Version4" xfId="792" xr:uid="{00000000-0005-0000-0000-0000D5010000}"/>
    <cellStyle name="_Currency_Relative Contribution Analysis 04" xfId="793" xr:uid="{00000000-0005-0000-0000-0000D6010000}"/>
    <cellStyle name="_Currency_Relative Contribution Analysis 04 2" xfId="794" xr:uid="{00000000-0005-0000-0000-0000D7010000}"/>
    <cellStyle name="_Currency_Relative Contribution Analysis 04 3" xfId="795" xr:uid="{00000000-0005-0000-0000-0000D8010000}"/>
    <cellStyle name="_Currency_Rheinmetall" xfId="796" xr:uid="{00000000-0005-0000-0000-0000D9010000}"/>
    <cellStyle name="_Currency_Rheinmetall_1" xfId="797" xr:uid="{00000000-0005-0000-0000-0000DA010000}"/>
    <cellStyle name="_Currency_Rheinmetall_1 2" xfId="798" xr:uid="{00000000-0005-0000-0000-0000DB010000}"/>
    <cellStyle name="_Currency_Rheinmetall_1 3" xfId="799" xr:uid="{00000000-0005-0000-0000-0000DC010000}"/>
    <cellStyle name="_Currency_RHM" xfId="800" xr:uid="{00000000-0005-0000-0000-0000DD010000}"/>
    <cellStyle name="_Currency_RiskReward" xfId="125" xr:uid="{00000000-0005-0000-0000-0000DE010000}"/>
    <cellStyle name="_Currency_ROIC" xfId="801" xr:uid="{00000000-0005-0000-0000-0000DF010000}"/>
    <cellStyle name="_Currency_ROIC 2" xfId="802" xr:uid="{00000000-0005-0000-0000-0000E0010000}"/>
    <cellStyle name="_Currency_ROIC 3" xfId="803" xr:uid="{00000000-0005-0000-0000-0000E1010000}"/>
    <cellStyle name="_Currency_Rolls-Royce" xfId="804" xr:uid="{00000000-0005-0000-0000-0000E2010000}"/>
    <cellStyle name="_Currency_Rolls-Royce Micha" xfId="805" xr:uid="{00000000-0005-0000-0000-0000E3010000}"/>
    <cellStyle name="_Currency_Rolls-Royce Micha 2" xfId="806" xr:uid="{00000000-0005-0000-0000-0000E4010000}"/>
    <cellStyle name="_Currency_Rolls-Royce Micha 3" xfId="807" xr:uid="{00000000-0005-0000-0000-0000E5010000}"/>
    <cellStyle name="_Currency_Rolls-RoyceFINAL130206" xfId="808" xr:uid="{00000000-0005-0000-0000-0000E6010000}"/>
    <cellStyle name="_Currency_Rolls-RoyceFINAL130206 2" xfId="809" xr:uid="{00000000-0005-0000-0000-0000E7010000}"/>
    <cellStyle name="_Currency_Rolls-RoyceFINAL130206 3" xfId="810" xr:uid="{00000000-0005-0000-0000-0000E8010000}"/>
    <cellStyle name="_Currency_Royal Kansas  DCF2" xfId="811" xr:uid="{00000000-0005-0000-0000-0000E9010000}"/>
    <cellStyle name="_Currency_Royal Kansas  DCF2 2" xfId="812" xr:uid="{00000000-0005-0000-0000-0000EA010000}"/>
    <cellStyle name="_Currency_Royal Kansas  DCF2 3" xfId="813" xr:uid="{00000000-0005-0000-0000-0000EB010000}"/>
    <cellStyle name="_Currency_RR FY06" xfId="814" xr:uid="{00000000-0005-0000-0000-0000EC010000}"/>
    <cellStyle name="_Currency_RR FY06 2" xfId="815" xr:uid="{00000000-0005-0000-0000-0000ED010000}"/>
    <cellStyle name="_Currency_RR FY06 3" xfId="816" xr:uid="{00000000-0005-0000-0000-0000EE010000}"/>
    <cellStyle name="_Currency_SaabOLD" xfId="817" xr:uid="{00000000-0005-0000-0000-0000EF010000}"/>
    <cellStyle name="_Currency_Safran" xfId="818" xr:uid="{00000000-0005-0000-0000-0000F0010000}"/>
    <cellStyle name="_Currency_Safran 2" xfId="819" xr:uid="{00000000-0005-0000-0000-0000F1010000}"/>
    <cellStyle name="_Currency_Safran 3" xfId="820" xr:uid="{00000000-0005-0000-0000-0000F2010000}"/>
    <cellStyle name="_Currency_Saft vs Peers" xfId="821" xr:uid="{00000000-0005-0000-0000-0000F3010000}"/>
    <cellStyle name="_Currency_Saft vs Peers 2" xfId="822" xr:uid="{00000000-0005-0000-0000-0000F4010000}"/>
    <cellStyle name="_Currency_Saft vs Peers 3" xfId="823" xr:uid="{00000000-0005-0000-0000-0000F5010000}"/>
    <cellStyle name="_Currency_SFG" xfId="126" xr:uid="{00000000-0005-0000-0000-0000F6010000}"/>
    <cellStyle name="_Currency_Sheet1" xfId="127" xr:uid="{00000000-0005-0000-0000-0000F7010000}"/>
    <cellStyle name="_Currency_SIFI OLD" xfId="824" xr:uid="{00000000-0005-0000-0000-0000F8010000}"/>
    <cellStyle name="_Currency_SIFINEW" xfId="825" xr:uid="{00000000-0005-0000-0000-0000F9010000}"/>
    <cellStyle name="_Currency_SIFINEW 2" xfId="826" xr:uid="{00000000-0005-0000-0000-0000FA010000}"/>
    <cellStyle name="_Currency_SIFINEW 3" xfId="827" xr:uid="{00000000-0005-0000-0000-0000FB010000}"/>
    <cellStyle name="_Currency_Sketch5 - Montana Impact" xfId="828" xr:uid="{00000000-0005-0000-0000-0000FC010000}"/>
    <cellStyle name="_Currency_Sketch5 - Montana Impact 2" xfId="829" xr:uid="{00000000-0005-0000-0000-0000FD010000}"/>
    <cellStyle name="_Currency_Sketch5 - Montana Impact 3" xfId="830" xr:uid="{00000000-0005-0000-0000-0000FE010000}"/>
    <cellStyle name="_Currency_Smiths Group" xfId="831" xr:uid="{00000000-0005-0000-0000-0000FF010000}"/>
    <cellStyle name="_Currency_Smiths Group - OLD" xfId="832" xr:uid="{00000000-0005-0000-0000-000000020000}"/>
    <cellStyle name="_Currency_Status Quo" xfId="833" xr:uid="{00000000-0005-0000-0000-000001020000}"/>
    <cellStyle name="_Currency_Status Quo 2" xfId="834" xr:uid="{00000000-0005-0000-0000-000002020000}"/>
    <cellStyle name="_Currency_Status Quo 3" xfId="835" xr:uid="{00000000-0005-0000-0000-000003020000}"/>
    <cellStyle name="_Currency_Stock-QTR1 FDS" xfId="128" xr:uid="{00000000-0005-0000-0000-000004020000}"/>
    <cellStyle name="_Currency_T - new" xfId="836" xr:uid="{00000000-0005-0000-0000-000005020000}"/>
    <cellStyle name="_Currency_T - new_Copy of IFRS consol ABB Final Version4" xfId="837" xr:uid="{00000000-0005-0000-0000-000006020000}"/>
    <cellStyle name="_Currency_TMK" xfId="129" xr:uid="{00000000-0005-0000-0000-000007020000}"/>
    <cellStyle name="_Currency_Updated Valuation Changes" xfId="130" xr:uid="{00000000-0005-0000-0000-000008020000}"/>
    <cellStyle name="_Currency_Vague LBO Model - 19 July 2001" xfId="838" xr:uid="{00000000-0005-0000-0000-000009020000}"/>
    <cellStyle name="_Currency_Vague LBO Model - 19 July 2001 2" xfId="839" xr:uid="{00000000-0005-0000-0000-00000A020000}"/>
    <cellStyle name="_Currency_Vague LBO Model - 19 July 2001 3" xfId="840" xr:uid="{00000000-0005-0000-0000-00000B020000}"/>
    <cellStyle name="_Currency_Valuation Graphs" xfId="131" xr:uid="{00000000-0005-0000-0000-00000C020000}"/>
    <cellStyle name="_Currency_Valuation Metrics" xfId="841" xr:uid="{00000000-0005-0000-0000-00000D020000}"/>
    <cellStyle name="_Currency_Valuation Metrics 2" xfId="842" xr:uid="{00000000-0005-0000-0000-00000E020000}"/>
    <cellStyle name="_Currency_Valuation Metrics 3" xfId="843" xr:uid="{00000000-0005-0000-0000-00000F020000}"/>
    <cellStyle name="_Currency_Vinci" xfId="844" xr:uid="{00000000-0005-0000-0000-000010020000}"/>
    <cellStyle name="_Currency_VZ" xfId="845" xr:uid="{00000000-0005-0000-0000-000011020000}"/>
    <cellStyle name="_Currency_VZ_Copy of IFRS consol ABB Final Version4" xfId="846" xr:uid="{00000000-0005-0000-0000-000012020000}"/>
    <cellStyle name="_Currency_VZW" xfId="847" xr:uid="{00000000-0005-0000-0000-000013020000}"/>
    <cellStyle name="_Currency_VZW_Copy of IFRS consol ABB Final Version4" xfId="848" xr:uid="{00000000-0005-0000-0000-000014020000}"/>
    <cellStyle name="_Currency_WACC" xfId="849" xr:uid="{00000000-0005-0000-0000-000015020000}"/>
    <cellStyle name="_Currency_WACC 2" xfId="850" xr:uid="{00000000-0005-0000-0000-000016020000}"/>
    <cellStyle name="_Currency_WACC 3" xfId="851" xr:uid="{00000000-0005-0000-0000-000017020000}"/>
    <cellStyle name="_Currency_xratio - historical mkt val" xfId="132" xr:uid="{00000000-0005-0000-0000-000018020000}"/>
    <cellStyle name="_CurrencySpace" xfId="133" xr:uid="{00000000-0005-0000-0000-000019020000}"/>
    <cellStyle name="_CurrencySpace 2" xfId="852" xr:uid="{00000000-0005-0000-0000-00001A020000}"/>
    <cellStyle name="_CurrencySpace 3" xfId="853" xr:uid="{00000000-0005-0000-0000-00001B020000}"/>
    <cellStyle name="_CurrencySpace_01 adj for merger plan" xfId="134" xr:uid="{00000000-0005-0000-0000-00001C020000}"/>
    <cellStyle name="_CurrencySpace_2001 YTD Performance" xfId="854" xr:uid="{00000000-0005-0000-0000-00001D020000}"/>
    <cellStyle name="_CurrencySpace_2001 YTD Performance 2" xfId="855" xr:uid="{00000000-0005-0000-0000-00001E020000}"/>
    <cellStyle name="_CurrencySpace_2001 YTD Performance 3" xfId="856" xr:uid="{00000000-0005-0000-0000-00001F020000}"/>
    <cellStyle name="_CurrencySpace_Ability to Pay Analysis" xfId="135" xr:uid="{00000000-0005-0000-0000-000020020000}"/>
    <cellStyle name="_CurrencySpace_ABP1" xfId="857" xr:uid="{00000000-0005-0000-0000-000021020000}"/>
    <cellStyle name="_CurrencySpace_ABP1 2" xfId="858" xr:uid="{00000000-0005-0000-0000-000022020000}"/>
    <cellStyle name="_CurrencySpace_ABP1 3" xfId="859" xr:uid="{00000000-0005-0000-0000-000023020000}"/>
    <cellStyle name="_CurrencySpace_Aero DCF" xfId="860" xr:uid="{00000000-0005-0000-0000-000024020000}"/>
    <cellStyle name="_CurrencySpace_Aero DCF 2" xfId="861" xr:uid="{00000000-0005-0000-0000-000025020000}"/>
    <cellStyle name="_CurrencySpace_Aero DCF 3" xfId="862" xr:uid="{00000000-0005-0000-0000-000026020000}"/>
    <cellStyle name="_CurrencySpace_AFL" xfId="136" xr:uid="{00000000-0005-0000-0000-000027020000}"/>
    <cellStyle name="_CurrencySpace_AIZ" xfId="137" xr:uid="{00000000-0005-0000-0000-000028020000}"/>
    <cellStyle name="_CurrencySpace_Alstom WIP Bhavna" xfId="863" xr:uid="{00000000-0005-0000-0000-000029020000}"/>
    <cellStyle name="_CurrencySpace_Alstom WIP Bhavna 2" xfId="864" xr:uid="{00000000-0005-0000-0000-00002A020000}"/>
    <cellStyle name="_CurrencySpace_AMP" xfId="138" xr:uid="{00000000-0005-0000-0000-00002B020000}"/>
    <cellStyle name="_CurrencySpace_ASF" xfId="865" xr:uid="{00000000-0005-0000-0000-00002C020000}"/>
    <cellStyle name="_CurrencySpace_ASF 2" xfId="866" xr:uid="{00000000-0005-0000-0000-00002D020000}"/>
    <cellStyle name="_CurrencySpace_ASF 3" xfId="867" xr:uid="{00000000-0005-0000-0000-00002E020000}"/>
    <cellStyle name="_CurrencySpace_ASF1" xfId="868" xr:uid="{00000000-0005-0000-0000-00002F020000}"/>
    <cellStyle name="_CurrencySpace_ASF1 2" xfId="869" xr:uid="{00000000-0005-0000-0000-000030020000}"/>
    <cellStyle name="_CurrencySpace_ASF1 3" xfId="870" xr:uid="{00000000-0005-0000-0000-000031020000}"/>
    <cellStyle name="_CurrencySpace_Assa CF" xfId="871" xr:uid="{00000000-0005-0000-0000-000032020000}"/>
    <cellStyle name="_CurrencySpace_Assa CF 2" xfId="872" xr:uid="{00000000-0005-0000-0000-000033020000}"/>
    <cellStyle name="_CurrencySpace_Assa CF 3" xfId="873" xr:uid="{00000000-0005-0000-0000-000034020000}"/>
    <cellStyle name="_CurrencySpace_Assa Reference" xfId="874" xr:uid="{00000000-0005-0000-0000-000035020000}"/>
    <cellStyle name="_CurrencySpace_Assa Reference 2" xfId="875" xr:uid="{00000000-0005-0000-0000-000036020000}"/>
    <cellStyle name="_CurrencySpace_Assa Reference 3" xfId="876" xr:uid="{00000000-0005-0000-0000-000037020000}"/>
    <cellStyle name="_CurrencySpace_Assa vs Competition" xfId="877" xr:uid="{00000000-0005-0000-0000-000038020000}"/>
    <cellStyle name="_CurrencySpace_Assa vs Competition 2" xfId="878" xr:uid="{00000000-0005-0000-0000-000039020000}"/>
    <cellStyle name="_CurrencySpace_Assa vs Competition 3" xfId="879" xr:uid="{00000000-0005-0000-0000-00003A020000}"/>
    <cellStyle name="_CurrencySpace_AVP" xfId="880" xr:uid="{00000000-0005-0000-0000-00003B020000}"/>
    <cellStyle name="_CurrencySpace_AVP 2" xfId="881" xr:uid="{00000000-0005-0000-0000-00003C020000}"/>
    <cellStyle name="_CurrencySpace_AVP 3" xfId="882" xr:uid="{00000000-0005-0000-0000-00003D020000}"/>
    <cellStyle name="_CurrencySpace_BAE_model_new" xfId="883" xr:uid="{00000000-0005-0000-0000-00003E020000}"/>
    <cellStyle name="_CurrencySpace_BAE_model_new 2" xfId="884" xr:uid="{00000000-0005-0000-0000-00003F020000}"/>
    <cellStyle name="_CurrencySpace_BAE_model_new 3" xfId="885" xr:uid="{00000000-0005-0000-0000-000040020000}"/>
    <cellStyle name="_CurrencySpace_Balance Sheet" xfId="139" xr:uid="{00000000-0005-0000-0000-000041020000}"/>
    <cellStyle name="_CurrencySpace_BHI" xfId="886" xr:uid="{00000000-0005-0000-0000-000042020000}"/>
    <cellStyle name="_CurrencySpace_BHI_Copy of IFRS consol ABB Final Version4" xfId="887" xr:uid="{00000000-0005-0000-0000-000043020000}"/>
    <cellStyle name="_CurrencySpace_bls roic" xfId="888" xr:uid="{00000000-0005-0000-0000-000044020000}"/>
    <cellStyle name="_CurrencySpace_bls roic_Copy of IFRS consol ABB Final Version4" xfId="889" xr:uid="{00000000-0005-0000-0000-000045020000}"/>
    <cellStyle name="_CurrencySpace_Book1" xfId="140" xr:uid="{00000000-0005-0000-0000-000046020000}"/>
    <cellStyle name="_CurrencySpace_Book1 2" xfId="890" xr:uid="{00000000-0005-0000-0000-000047020000}"/>
    <cellStyle name="_CurrencySpace_Book1 3" xfId="891" xr:uid="{00000000-0005-0000-0000-000048020000}"/>
    <cellStyle name="_CurrencySpace_Book1_1" xfId="892" xr:uid="{00000000-0005-0000-0000-000049020000}"/>
    <cellStyle name="_CurrencySpace_Book1_1 2" xfId="893" xr:uid="{00000000-0005-0000-0000-00004A020000}"/>
    <cellStyle name="_CurrencySpace_Book1_1 3" xfId="894" xr:uid="{00000000-0005-0000-0000-00004B020000}"/>
    <cellStyle name="_CurrencySpace_Book1_WACC" xfId="895" xr:uid="{00000000-0005-0000-0000-00004C020000}"/>
    <cellStyle name="_CurrencySpace_Book1_WACC 2" xfId="896" xr:uid="{00000000-0005-0000-0000-00004D020000}"/>
    <cellStyle name="_CurrencySpace_Book1_WACC 3" xfId="897" xr:uid="{00000000-0005-0000-0000-00004E020000}"/>
    <cellStyle name="_CurrencySpace_Book29" xfId="141" xr:uid="{00000000-0005-0000-0000-00004F020000}"/>
    <cellStyle name="_CurrencySpace_Book3" xfId="142" xr:uid="{00000000-0005-0000-0000-000050020000}"/>
    <cellStyle name="_CurrencySpace_Book3_1" xfId="143" xr:uid="{00000000-0005-0000-0000-000051020000}"/>
    <cellStyle name="_CurrencySpace_capital expenditures 6-18-02" xfId="898" xr:uid="{00000000-0005-0000-0000-000052020000}"/>
    <cellStyle name="_CurrencySpace_capital expenditures 6-18-02_Copy of IFRS consol ABB Final Version4" xfId="899" xr:uid="{00000000-0005-0000-0000-000053020000}"/>
    <cellStyle name="_CurrencySpace_CNO" xfId="144" xr:uid="{00000000-0005-0000-0000-000054020000}"/>
    <cellStyle name="_CurrencySpace_Comdot - gStyle Excel Slides" xfId="900" xr:uid="{00000000-0005-0000-0000-000055020000}"/>
    <cellStyle name="_CurrencySpace_Comdot - gStyle Excel Slides 2" xfId="901" xr:uid="{00000000-0005-0000-0000-000056020000}"/>
    <cellStyle name="_CurrencySpace_Comdot - gStyle Excel Slides 3" xfId="902" xr:uid="{00000000-0005-0000-0000-000057020000}"/>
    <cellStyle name="_CurrencySpace_Comdot LBO Short Form - v3" xfId="903" xr:uid="{00000000-0005-0000-0000-000058020000}"/>
    <cellStyle name="_CurrencySpace_Comdot LBO Short Form - v3 2" xfId="904" xr:uid="{00000000-0005-0000-0000-000059020000}"/>
    <cellStyle name="_CurrencySpace_Comdot LBO Short Form - v3 3" xfId="905" xr:uid="{00000000-0005-0000-0000-00005A020000}"/>
    <cellStyle name="_CurrencySpace_contribution_analysis" xfId="906" xr:uid="{00000000-0005-0000-0000-00005B020000}"/>
    <cellStyle name="_CurrencySpace_Copy of Spirent_now" xfId="907" xr:uid="{00000000-0005-0000-0000-00005C020000}"/>
    <cellStyle name="_CurrencySpace_Copy of Spirent_now 2" xfId="908" xr:uid="{00000000-0005-0000-0000-00005D020000}"/>
    <cellStyle name="_CurrencySpace_Copy of Spirent_now 3" xfId="909" xr:uid="{00000000-0005-0000-0000-00005E020000}"/>
    <cellStyle name="_CurrencySpace_CSC AVP Merger Plan" xfId="910" xr:uid="{00000000-0005-0000-0000-00005F020000}"/>
    <cellStyle name="_CurrencySpace_CSC AVP Merger Plan 2" xfId="911" xr:uid="{00000000-0005-0000-0000-000060020000}"/>
    <cellStyle name="_CurrencySpace_CSC AVP Merger Plan 3" xfId="912" xr:uid="{00000000-0005-0000-0000-000061020000}"/>
    <cellStyle name="_CurrencySpace_CSC_Picabia_29062001" xfId="913" xr:uid="{00000000-0005-0000-0000-000062020000}"/>
    <cellStyle name="_CurrencySpace_CSC_Picabia_29062001 2" xfId="914" xr:uid="{00000000-0005-0000-0000-000063020000}"/>
    <cellStyle name="_CurrencySpace_CSC_Picabia_29062001 3" xfId="915" xr:uid="{00000000-0005-0000-0000-000064020000}"/>
    <cellStyle name="_CurrencySpace_Current Valuations" xfId="916" xr:uid="{00000000-0005-0000-0000-000065020000}"/>
    <cellStyle name="_CurrencySpace_Current Valuations 2" xfId="917" xr:uid="{00000000-0005-0000-0000-000066020000}"/>
    <cellStyle name="_CurrencySpace_Current Valuations 3" xfId="918" xr:uid="{00000000-0005-0000-0000-000067020000}"/>
    <cellStyle name="_CurrencySpace_DCF - July 2, 2001" xfId="919" xr:uid="{00000000-0005-0000-0000-000068020000}"/>
    <cellStyle name="_CurrencySpace_DCF - July 2, 2001 2" xfId="920" xr:uid="{00000000-0005-0000-0000-000069020000}"/>
    <cellStyle name="_CurrencySpace_DCF - July 2, 2001 3" xfId="921" xr:uid="{00000000-0005-0000-0000-00006A020000}"/>
    <cellStyle name="_CurrencySpace_DCF Alexander Forbes" xfId="145" xr:uid="{00000000-0005-0000-0000-00006B020000}"/>
    <cellStyle name="_CurrencySpace_Earnings growth track record" xfId="922" xr:uid="{00000000-0005-0000-0000-00006C020000}"/>
    <cellStyle name="_CurrencySpace_Earnings growth track record 2" xfId="923" xr:uid="{00000000-0005-0000-0000-00006D020000}"/>
    <cellStyle name="_CurrencySpace_Earnings growth track record 3" xfId="924" xr:uid="{00000000-0005-0000-0000-00006E020000}"/>
    <cellStyle name="_CurrencySpace_Electrolux CF" xfId="925" xr:uid="{00000000-0005-0000-0000-00006F020000}"/>
    <cellStyle name="_CurrencySpace_Electrolux CF 2" xfId="926" xr:uid="{00000000-0005-0000-0000-000070020000}"/>
    <cellStyle name="_CurrencySpace_Electrolux MW" xfId="927" xr:uid="{00000000-0005-0000-0000-000071020000}"/>
    <cellStyle name="_CurrencySpace_Electrolux MW 2" xfId="928" xr:uid="{00000000-0005-0000-0000-000072020000}"/>
    <cellStyle name="_CurrencySpace_Electrolux Old Nick Paton Mark Wilson Model" xfId="929" xr:uid="{00000000-0005-0000-0000-000073020000}"/>
    <cellStyle name="_CurrencySpace_Electrolux Old Nick Paton Mark Wilson Model 2" xfId="930" xr:uid="{00000000-0005-0000-0000-000074020000}"/>
    <cellStyle name="_CurrencySpace_Electrolux WIP Bhavna" xfId="931" xr:uid="{00000000-0005-0000-0000-000075020000}"/>
    <cellStyle name="_CurrencySpace_Electrolux WIP Bhavna 2" xfId="932" xr:uid="{00000000-0005-0000-0000-000076020000}"/>
    <cellStyle name="_CurrencySpace_Eng" xfId="933" xr:uid="{00000000-0005-0000-0000-000077020000}"/>
    <cellStyle name="_CurrencySpace_Eng 2" xfId="934" xr:uid="{00000000-0005-0000-0000-000078020000}"/>
    <cellStyle name="_CurrencySpace_Eng 3" xfId="935" xr:uid="{00000000-0005-0000-0000-000079020000}"/>
    <cellStyle name="_CurrencySpace_Finmeccanica" xfId="936" xr:uid="{00000000-0005-0000-0000-00007A020000}"/>
    <cellStyle name="_CurrencySpace_Finmeccanica SOP" xfId="937" xr:uid="{00000000-0005-0000-0000-00007B020000}"/>
    <cellStyle name="_CurrencySpace_fmbi counties" xfId="146" xr:uid="{00000000-0005-0000-0000-00007C020000}"/>
    <cellStyle name="_CurrencySpace_FMBI MBHI Graphs" xfId="147" xr:uid="{00000000-0005-0000-0000-00007D020000}"/>
    <cellStyle name="_CurrencySpace_FMBI MBHI Graphs 07102001" xfId="148" xr:uid="{00000000-0005-0000-0000-00007E020000}"/>
    <cellStyle name="_CurrencySpace_FMBI MBHI Graphs_7601" xfId="149" xr:uid="{00000000-0005-0000-0000-00007F020000}"/>
    <cellStyle name="_CurrencySpace_GNW" xfId="150" xr:uid="{00000000-0005-0000-0000-000080020000}"/>
    <cellStyle name="_CurrencySpace_Insurance Brokerage CSC_1Q2002" xfId="151" xr:uid="{00000000-0005-0000-0000-000081020000}"/>
    <cellStyle name="_CurrencySpace_integrated_standalone_ba" xfId="938" xr:uid="{00000000-0005-0000-0000-000082020000}"/>
    <cellStyle name="_CurrencySpace_integrated_standalone_ba 2" xfId="939" xr:uid="{00000000-0005-0000-0000-000083020000}"/>
    <cellStyle name="_CurrencySpace_integrated_standalone_ba 3" xfId="940" xr:uid="{00000000-0005-0000-0000-000084020000}"/>
    <cellStyle name="_CurrencySpace_JP" xfId="152" xr:uid="{00000000-0005-0000-0000-000085020000}"/>
    <cellStyle name="_CurrencySpace_LBO Model Zannier - 04-09-01" xfId="941" xr:uid="{00000000-0005-0000-0000-000086020000}"/>
    <cellStyle name="_CurrencySpace_LBO Model Zannier - 04-09-01 2" xfId="942" xr:uid="{00000000-0005-0000-0000-000087020000}"/>
    <cellStyle name="_CurrencySpace_LBO Model Zannier - 04-09-01 3" xfId="943" xr:uid="{00000000-0005-0000-0000-000088020000}"/>
    <cellStyle name="_CurrencySpace_LNC" xfId="153" xr:uid="{00000000-0005-0000-0000-000089020000}"/>
    <cellStyle name="_CurrencySpace_MET" xfId="154" xr:uid="{00000000-0005-0000-0000-00008A020000}"/>
    <cellStyle name="_CurrencySpace_MET04" xfId="155" xr:uid="{00000000-0005-0000-0000-00008B020000}"/>
    <cellStyle name="_CurrencySpace_Model Vague 07 conso - Dannaud" xfId="944" xr:uid="{00000000-0005-0000-0000-00008C020000}"/>
    <cellStyle name="_CurrencySpace_Model Vague 07 conso - Dannaud 2" xfId="945" xr:uid="{00000000-0005-0000-0000-00008D020000}"/>
    <cellStyle name="_CurrencySpace_Model Vague 07 conso - Dannaud 3" xfId="946" xr:uid="{00000000-0005-0000-0000-00008E020000}"/>
    <cellStyle name="_CurrencySpace_MTU Aero Engines" xfId="947" xr:uid="{00000000-0005-0000-0000-00008F020000}"/>
    <cellStyle name="_CurrencySpace_MTU Aero Engines 2" xfId="948" xr:uid="{00000000-0005-0000-0000-000090020000}"/>
    <cellStyle name="_CurrencySpace_MTU Aero Engines 3" xfId="949" xr:uid="{00000000-0005-0000-0000-000091020000}"/>
    <cellStyle name="_CurrencySpace_MTU Aero EnginesMICHA EVENING6" xfId="950" xr:uid="{00000000-0005-0000-0000-000092020000}"/>
    <cellStyle name="_CurrencySpace_MTU Aero EnginesMICHA EVENING6 2" xfId="951" xr:uid="{00000000-0005-0000-0000-000093020000}"/>
    <cellStyle name="_CurrencySpace_MTU Aero EnginesMICHA EVENING6 3" xfId="952" xr:uid="{00000000-0005-0000-0000-000094020000}"/>
    <cellStyle name="_CurrencySpace_MTU FX sheet" xfId="953" xr:uid="{00000000-0005-0000-0000-000095020000}"/>
    <cellStyle name="_CurrencySpace_MTU FX sheet 2" xfId="954" xr:uid="{00000000-0005-0000-0000-000096020000}"/>
    <cellStyle name="_CurrencySpace_MTU FX sheet 3" xfId="955" xr:uid="{00000000-0005-0000-0000-000097020000}"/>
    <cellStyle name="_CurrencySpace_NFS" xfId="156" xr:uid="{00000000-0005-0000-0000-000098020000}"/>
    <cellStyle name="_CurrencySpace_output" xfId="956" xr:uid="{00000000-0005-0000-0000-000099020000}"/>
    <cellStyle name="_CurrencySpace_output 2" xfId="957" xr:uid="{00000000-0005-0000-0000-00009A020000}"/>
    <cellStyle name="_CurrencySpace_output 3" xfId="958" xr:uid="{00000000-0005-0000-0000-00009B020000}"/>
    <cellStyle name="_CurrencySpace_Overview3" xfId="157" xr:uid="{00000000-0005-0000-0000-00009C020000}"/>
    <cellStyle name="_CurrencySpace_phil data" xfId="158" xr:uid="{00000000-0005-0000-0000-00009D020000}"/>
    <cellStyle name="_CurrencySpace_Price Performance Charts" xfId="159" xr:uid="{00000000-0005-0000-0000-00009E020000}"/>
    <cellStyle name="_CurrencySpace_PRU" xfId="160" xr:uid="{00000000-0005-0000-0000-00009F020000}"/>
    <cellStyle name="_CurrencySpace_PRU04" xfId="161" xr:uid="{00000000-0005-0000-0000-0000A0020000}"/>
    <cellStyle name="_CurrencySpace_RBOC historicals" xfId="959" xr:uid="{00000000-0005-0000-0000-0000A1020000}"/>
    <cellStyle name="_CurrencySpace_RBOC historicals_Copy of IFRS consol ABB Final Version4" xfId="960" xr:uid="{00000000-0005-0000-0000-0000A2020000}"/>
    <cellStyle name="_CurrencySpace_Rheinmetall" xfId="961" xr:uid="{00000000-0005-0000-0000-0000A3020000}"/>
    <cellStyle name="_CurrencySpace_Rheinmetall_1" xfId="962" xr:uid="{00000000-0005-0000-0000-0000A4020000}"/>
    <cellStyle name="_CurrencySpace_Rheinmetall_1 2" xfId="963" xr:uid="{00000000-0005-0000-0000-0000A5020000}"/>
    <cellStyle name="_CurrencySpace_Rheinmetall_1 3" xfId="964" xr:uid="{00000000-0005-0000-0000-0000A6020000}"/>
    <cellStyle name="_CurrencySpace_RHM" xfId="965" xr:uid="{00000000-0005-0000-0000-0000A7020000}"/>
    <cellStyle name="_CurrencySpace_RiskReward" xfId="162" xr:uid="{00000000-0005-0000-0000-0000A8020000}"/>
    <cellStyle name="_CurrencySpace_ROIC" xfId="966" xr:uid="{00000000-0005-0000-0000-0000A9020000}"/>
    <cellStyle name="_CurrencySpace_ROIC 2" xfId="967" xr:uid="{00000000-0005-0000-0000-0000AA020000}"/>
    <cellStyle name="_CurrencySpace_ROIC 3" xfId="968" xr:uid="{00000000-0005-0000-0000-0000AB020000}"/>
    <cellStyle name="_CurrencySpace_Rolls-Royce" xfId="969" xr:uid="{00000000-0005-0000-0000-0000AC020000}"/>
    <cellStyle name="_CurrencySpace_Rolls-Royce Micha" xfId="970" xr:uid="{00000000-0005-0000-0000-0000AD020000}"/>
    <cellStyle name="_CurrencySpace_Rolls-Royce Micha 2" xfId="971" xr:uid="{00000000-0005-0000-0000-0000AE020000}"/>
    <cellStyle name="_CurrencySpace_Rolls-Royce Micha 3" xfId="972" xr:uid="{00000000-0005-0000-0000-0000AF020000}"/>
    <cellStyle name="_CurrencySpace_Rolls-RoyceFINAL130206" xfId="973" xr:uid="{00000000-0005-0000-0000-0000B0020000}"/>
    <cellStyle name="_CurrencySpace_Rolls-RoyceFINAL130206 2" xfId="974" xr:uid="{00000000-0005-0000-0000-0000B1020000}"/>
    <cellStyle name="_CurrencySpace_Rolls-RoyceFINAL130206 3" xfId="975" xr:uid="{00000000-0005-0000-0000-0000B2020000}"/>
    <cellStyle name="_CurrencySpace_RR FY06" xfId="976" xr:uid="{00000000-0005-0000-0000-0000B3020000}"/>
    <cellStyle name="_CurrencySpace_RR FY06 2" xfId="977" xr:uid="{00000000-0005-0000-0000-0000B4020000}"/>
    <cellStyle name="_CurrencySpace_RR FY06 3" xfId="978" xr:uid="{00000000-0005-0000-0000-0000B5020000}"/>
    <cellStyle name="_CurrencySpace_SaabOLD" xfId="979" xr:uid="{00000000-0005-0000-0000-0000B6020000}"/>
    <cellStyle name="_CurrencySpace_Safran" xfId="980" xr:uid="{00000000-0005-0000-0000-0000B7020000}"/>
    <cellStyle name="_CurrencySpace_Safran 2" xfId="981" xr:uid="{00000000-0005-0000-0000-0000B8020000}"/>
    <cellStyle name="_CurrencySpace_Safran 3" xfId="982" xr:uid="{00000000-0005-0000-0000-0000B9020000}"/>
    <cellStyle name="_CurrencySpace_Saft vs Peers" xfId="983" xr:uid="{00000000-0005-0000-0000-0000BA020000}"/>
    <cellStyle name="_CurrencySpace_Saft vs Peers 2" xfId="984" xr:uid="{00000000-0005-0000-0000-0000BB020000}"/>
    <cellStyle name="_CurrencySpace_Saft vs Peers 3" xfId="985" xr:uid="{00000000-0005-0000-0000-0000BC020000}"/>
    <cellStyle name="_CurrencySpace_SFG" xfId="163" xr:uid="{00000000-0005-0000-0000-0000BD020000}"/>
    <cellStyle name="_CurrencySpace_Sheet1" xfId="164" xr:uid="{00000000-0005-0000-0000-0000BE020000}"/>
    <cellStyle name="_CurrencySpace_SIFI OLD" xfId="986" xr:uid="{00000000-0005-0000-0000-0000BF020000}"/>
    <cellStyle name="_CurrencySpace_SIFINEW" xfId="987" xr:uid="{00000000-0005-0000-0000-0000C0020000}"/>
    <cellStyle name="_CurrencySpace_SIFINEW 2" xfId="988" xr:uid="{00000000-0005-0000-0000-0000C1020000}"/>
    <cellStyle name="_CurrencySpace_SIFINEW 3" xfId="989" xr:uid="{00000000-0005-0000-0000-0000C2020000}"/>
    <cellStyle name="_CurrencySpace_Smiths Group" xfId="990" xr:uid="{00000000-0005-0000-0000-0000C3020000}"/>
    <cellStyle name="_CurrencySpace_Smiths Group - OLD" xfId="991" xr:uid="{00000000-0005-0000-0000-0000C4020000}"/>
    <cellStyle name="_CurrencySpace_Status Quo" xfId="992" xr:uid="{00000000-0005-0000-0000-0000C5020000}"/>
    <cellStyle name="_CurrencySpace_Status Quo 2" xfId="993" xr:uid="{00000000-0005-0000-0000-0000C6020000}"/>
    <cellStyle name="_CurrencySpace_Status Quo 3" xfId="994" xr:uid="{00000000-0005-0000-0000-0000C7020000}"/>
    <cellStyle name="_CurrencySpace_Stock-QTR1 FDS" xfId="165" xr:uid="{00000000-0005-0000-0000-0000C8020000}"/>
    <cellStyle name="_CurrencySpace_T - new" xfId="995" xr:uid="{00000000-0005-0000-0000-0000C9020000}"/>
    <cellStyle name="_CurrencySpace_T - new_Copy of IFRS consol ABB Final Version4" xfId="996" xr:uid="{00000000-0005-0000-0000-0000CA020000}"/>
    <cellStyle name="_CurrencySpace_TMK" xfId="166" xr:uid="{00000000-0005-0000-0000-0000CB020000}"/>
    <cellStyle name="_CurrencySpace_Updated Valuation Changes" xfId="167" xr:uid="{00000000-0005-0000-0000-0000CC020000}"/>
    <cellStyle name="_CurrencySpace_Vague LBO Model - 19 July 2001" xfId="997" xr:uid="{00000000-0005-0000-0000-0000CD020000}"/>
    <cellStyle name="_CurrencySpace_Vague LBO Model - 19 July 2001 2" xfId="998" xr:uid="{00000000-0005-0000-0000-0000CE020000}"/>
    <cellStyle name="_CurrencySpace_Vague LBO Model - 19 July 2001 3" xfId="999" xr:uid="{00000000-0005-0000-0000-0000CF020000}"/>
    <cellStyle name="_CurrencySpace_Valuation Graphs" xfId="168" xr:uid="{00000000-0005-0000-0000-0000D0020000}"/>
    <cellStyle name="_CurrencySpace_Veritas Business Cases2" xfId="1000" xr:uid="{00000000-0005-0000-0000-0000D1020000}"/>
    <cellStyle name="_CurrencySpace_Veritas Business Cases2 2" xfId="1001" xr:uid="{00000000-0005-0000-0000-0000D2020000}"/>
    <cellStyle name="_CurrencySpace_Veritas Business Cases2 3" xfId="1002" xr:uid="{00000000-0005-0000-0000-0000D3020000}"/>
    <cellStyle name="_CurrencySpace_Vinci" xfId="1003" xr:uid="{00000000-0005-0000-0000-0000D4020000}"/>
    <cellStyle name="_CurrencySpace_WPP_YNR_merger_plans" xfId="1004" xr:uid="{00000000-0005-0000-0000-0000D5020000}"/>
    <cellStyle name="_CurrencySpace_WPP_YNR_merger_plans 2" xfId="1005" xr:uid="{00000000-0005-0000-0000-0000D6020000}"/>
    <cellStyle name="_CurrencySpace_WPP_YNR_merger_plans 3" xfId="1006" xr:uid="{00000000-0005-0000-0000-0000D7020000}"/>
    <cellStyle name="_CurrencySpace_xratio - historical mkt val" xfId="169" xr:uid="{00000000-0005-0000-0000-0000D8020000}"/>
    <cellStyle name="_DCF" xfId="1007" xr:uid="{00000000-0005-0000-0000-0000D9020000}"/>
    <cellStyle name="_Dollar" xfId="170" xr:uid="{00000000-0005-0000-0000-0000DA020000}"/>
    <cellStyle name="_Dollar 2" xfId="1008" xr:uid="{00000000-0005-0000-0000-0000DB020000}"/>
    <cellStyle name="_Dollar 3" xfId="1009" xr:uid="{00000000-0005-0000-0000-0000DC020000}"/>
    <cellStyle name="_Dollar_October 12 - BIG CSC Auto update" xfId="1010" xr:uid="{00000000-0005-0000-0000-0000DD020000}"/>
    <cellStyle name="_Dollar_October 12 - BIG CSC Auto update 2" xfId="1011" xr:uid="{00000000-0005-0000-0000-0000DE020000}"/>
    <cellStyle name="_Dollar_October 12 - BIG CSC Auto update 3" xfId="1012" xr:uid="{00000000-0005-0000-0000-0000DF020000}"/>
    <cellStyle name="_easyJet1" xfId="1013" xr:uid="{00000000-0005-0000-0000-0000E0020000}"/>
    <cellStyle name="_easyJet1 2" xfId="1014" xr:uid="{00000000-0005-0000-0000-0000E1020000}"/>
    <cellStyle name="_easyJet1 3" xfId="1015" xr:uid="{00000000-0005-0000-0000-0000E2020000}"/>
    <cellStyle name="_Eng" xfId="1016" xr:uid="{00000000-0005-0000-0000-0000E3020000}"/>
    <cellStyle name="_Eng 2" xfId="1017" xr:uid="{00000000-0005-0000-0000-0000E4020000}"/>
    <cellStyle name="_Eng 3" xfId="1018" xr:uid="{00000000-0005-0000-0000-0000E5020000}"/>
    <cellStyle name="_e-plus debt - Machado1" xfId="1019" xr:uid="{00000000-0005-0000-0000-0000E6020000}"/>
    <cellStyle name="_e-plus debt - Machado1 2" xfId="1020" xr:uid="{00000000-0005-0000-0000-0000E7020000}"/>
    <cellStyle name="_e-plus debt - Machado1 3" xfId="1021" xr:uid="{00000000-0005-0000-0000-0000E8020000}"/>
    <cellStyle name="_Euro" xfId="171" xr:uid="{00000000-0005-0000-0000-0000E9020000}"/>
    <cellStyle name="_Euro 2" xfId="1022" xr:uid="{00000000-0005-0000-0000-0000EA020000}"/>
    <cellStyle name="_Euro 3" xfId="1023" xr:uid="{00000000-0005-0000-0000-0000EB020000}"/>
    <cellStyle name="_Euro_Atlas Copco CF" xfId="1024" xr:uid="{00000000-0005-0000-0000-0000EC020000}"/>
    <cellStyle name="_Euro_Atlas Copco CF 2" xfId="1025" xr:uid="{00000000-0005-0000-0000-0000ED020000}"/>
    <cellStyle name="_Euro_Copy of IFRS consol ABB Final Version4" xfId="1026" xr:uid="{00000000-0005-0000-0000-0000EE020000}"/>
    <cellStyle name="_Euro_CROCI" xfId="1027" xr:uid="{00000000-0005-0000-0000-0000EF020000}"/>
    <cellStyle name="_Euro_CROCI 2" xfId="1028" xr:uid="{00000000-0005-0000-0000-0000F0020000}"/>
    <cellStyle name="_Euro_Electrolux CF" xfId="1029" xr:uid="{00000000-0005-0000-0000-0000F1020000}"/>
    <cellStyle name="_Euro_Electrolux CF 2" xfId="1030" xr:uid="{00000000-0005-0000-0000-0000F2020000}"/>
    <cellStyle name="_Euro_Request Template" xfId="1031" xr:uid="{00000000-0005-0000-0000-0000F3020000}"/>
    <cellStyle name="_Europe" xfId="1032" xr:uid="{00000000-0005-0000-0000-0000F4020000}"/>
    <cellStyle name="_Europe 2" xfId="1033" xr:uid="{00000000-0005-0000-0000-0000F5020000}"/>
    <cellStyle name="_Heading" xfId="172" xr:uid="{00000000-0005-0000-0000-0000F6020000}"/>
    <cellStyle name="_Heading_Alstom WIP Bhavna" xfId="1034" xr:uid="{00000000-0005-0000-0000-0000F7020000}"/>
    <cellStyle name="_Heading_Alstom WIP Bhavna 2" xfId="1035" xr:uid="{00000000-0005-0000-0000-0000F8020000}"/>
    <cellStyle name="_Heading_ASF interim sheet" xfId="1036" xr:uid="{00000000-0005-0000-0000-0000F9020000}"/>
    <cellStyle name="_Heading_ASF interim sheet 2" xfId="1037" xr:uid="{00000000-0005-0000-0000-0000FA020000}"/>
    <cellStyle name="_Heading_ASF interim sheet 3" xfId="1038" xr:uid="{00000000-0005-0000-0000-0000FB020000}"/>
    <cellStyle name="_Heading_Assa CF" xfId="1039" xr:uid="{00000000-0005-0000-0000-0000FC020000}"/>
    <cellStyle name="_Heading_Assa CF 2" xfId="1040" xr:uid="{00000000-0005-0000-0000-0000FD020000}"/>
    <cellStyle name="_Heading_Assa CF 3" xfId="1041" xr:uid="{00000000-0005-0000-0000-0000FE020000}"/>
    <cellStyle name="_Heading_Assa Reference" xfId="1042" xr:uid="{00000000-0005-0000-0000-0000FF020000}"/>
    <cellStyle name="_Heading_Assa Reference 2" xfId="1043" xr:uid="{00000000-0005-0000-0000-000000030000}"/>
    <cellStyle name="_Heading_Assa Reference 3" xfId="1044" xr:uid="{00000000-0005-0000-0000-000001030000}"/>
    <cellStyle name="_Heading_BAE Systems" xfId="1045" xr:uid="{00000000-0005-0000-0000-000002030000}"/>
    <cellStyle name="_Heading_BAE Systems 2" xfId="1046" xr:uid="{00000000-0005-0000-0000-000003030000}"/>
    <cellStyle name="_Heading_BAE Systems 3" xfId="1047" xr:uid="{00000000-0005-0000-0000-000004030000}"/>
    <cellStyle name="_Heading_BLS" xfId="1048" xr:uid="{00000000-0005-0000-0000-000005030000}"/>
    <cellStyle name="_Heading_bls roic" xfId="1049" xr:uid="{00000000-0005-0000-0000-000006030000}"/>
    <cellStyle name="_Heading_bls roic 2" xfId="1050" xr:uid="{00000000-0005-0000-0000-000007030000}"/>
    <cellStyle name="_Heading_Book9" xfId="1051" xr:uid="{00000000-0005-0000-0000-000008030000}"/>
    <cellStyle name="_Heading_Broadband Comps" xfId="1052" xr:uid="{00000000-0005-0000-0000-000009030000}"/>
    <cellStyle name="_Heading_capital expenditures 6-18-02" xfId="1053" xr:uid="{00000000-0005-0000-0000-00000A030000}"/>
    <cellStyle name="_Heading_capital expenditures 6-18-02 2" xfId="1054" xr:uid="{00000000-0005-0000-0000-00000B030000}"/>
    <cellStyle name="_Heading_Civil" xfId="1055" xr:uid="{00000000-0005-0000-0000-00000C030000}"/>
    <cellStyle name="_Heading_Civil 2" xfId="1056" xr:uid="{00000000-0005-0000-0000-00000D030000}"/>
    <cellStyle name="_Heading_Civil 3" xfId="1057" xr:uid="{00000000-0005-0000-0000-00000E030000}"/>
    <cellStyle name="_Heading_Copy of IFRS consol ABB Final Version4" xfId="1058" xr:uid="{00000000-0005-0000-0000-00000F030000}"/>
    <cellStyle name="_Heading_CROCI" xfId="1059" xr:uid="{00000000-0005-0000-0000-000010030000}"/>
    <cellStyle name="_Heading_CROCI 2" xfId="1060" xr:uid="{00000000-0005-0000-0000-000011030000}"/>
    <cellStyle name="_Heading_CTCO" xfId="1061" xr:uid="{00000000-0005-0000-0000-000012030000}"/>
    <cellStyle name="_Heading_Date of fillings" xfId="1062" xr:uid="{00000000-0005-0000-0000-000013030000}"/>
    <cellStyle name="_Heading_easyJet1" xfId="1063" xr:uid="{00000000-0005-0000-0000-000014030000}"/>
    <cellStyle name="_Heading_easyJet1 2" xfId="1064" xr:uid="{00000000-0005-0000-0000-000015030000}"/>
    <cellStyle name="_Heading_easyJet1 3" xfId="1065" xr:uid="{00000000-0005-0000-0000-000016030000}"/>
    <cellStyle name="_Heading_Electrolux CF" xfId="1066" xr:uid="{00000000-0005-0000-0000-000017030000}"/>
    <cellStyle name="_Heading_Electrolux MW" xfId="1067" xr:uid="{00000000-0005-0000-0000-000018030000}"/>
    <cellStyle name="_Heading_Electrolux MW 2" xfId="1068" xr:uid="{00000000-0005-0000-0000-000019030000}"/>
    <cellStyle name="_Heading_Electrolux Old Nick Paton Mark Wilson Model" xfId="1069" xr:uid="{00000000-0005-0000-0000-00001A030000}"/>
    <cellStyle name="_Heading_Electrolux WIP Bhavna" xfId="1070" xr:uid="{00000000-0005-0000-0000-00001B030000}"/>
    <cellStyle name="_Heading_Finmeccanica" xfId="1071" xr:uid="{00000000-0005-0000-0000-00001C030000}"/>
    <cellStyle name="_Heading_Finmeccanica 2" xfId="1072" xr:uid="{00000000-0005-0000-0000-00001D030000}"/>
    <cellStyle name="_Heading_Finmeccanica 3" xfId="1073" xr:uid="{00000000-0005-0000-0000-00001E030000}"/>
    <cellStyle name="_Heading_Finmeccanica SOP" xfId="1074" xr:uid="{00000000-0005-0000-0000-00001F030000}"/>
    <cellStyle name="_Heading_Finmeccanica SOP 2" xfId="1075" xr:uid="{00000000-0005-0000-0000-000020030000}"/>
    <cellStyle name="_Heading_Finmeccanica SOP 3" xfId="1076" xr:uid="{00000000-0005-0000-0000-000021030000}"/>
    <cellStyle name="_Heading_prestemp" xfId="173" xr:uid="{00000000-0005-0000-0000-000022030000}"/>
    <cellStyle name="_Heading_Q" xfId="1077" xr:uid="{00000000-0005-0000-0000-000023030000}"/>
    <cellStyle name="_Heading_q - new guidance" xfId="1078" xr:uid="{00000000-0005-0000-0000-000024030000}"/>
    <cellStyle name="_Heading_q - valuation" xfId="1079" xr:uid="{00000000-0005-0000-0000-000025030000}"/>
    <cellStyle name="_Heading_Q model_041802" xfId="1080" xr:uid="{00000000-0005-0000-0000-000026030000}"/>
    <cellStyle name="_Heading_Q_update" xfId="1081" xr:uid="{00000000-0005-0000-0000-000027030000}"/>
    <cellStyle name="_Heading_Qwest Analysis" xfId="1082" xr:uid="{00000000-0005-0000-0000-000028030000}"/>
    <cellStyle name="_Heading_RBOC historicals" xfId="1083" xr:uid="{00000000-0005-0000-0000-000029030000}"/>
    <cellStyle name="_Heading_RBOC historicals 2" xfId="1084" xr:uid="{00000000-0005-0000-0000-00002A030000}"/>
    <cellStyle name="_Heading_Rheinmetall" xfId="1085" xr:uid="{00000000-0005-0000-0000-00002B030000}"/>
    <cellStyle name="_Heading_Rheinmetall 2" xfId="1086" xr:uid="{00000000-0005-0000-0000-00002C030000}"/>
    <cellStyle name="_Heading_Rheinmetall 3" xfId="1087" xr:uid="{00000000-0005-0000-0000-00002D030000}"/>
    <cellStyle name="_Heading_RHM" xfId="1088" xr:uid="{00000000-0005-0000-0000-00002E030000}"/>
    <cellStyle name="_Heading_RHM 2" xfId="1089" xr:uid="{00000000-0005-0000-0000-00002F030000}"/>
    <cellStyle name="_Heading_RHM 3" xfId="1090" xr:uid="{00000000-0005-0000-0000-000030030000}"/>
    <cellStyle name="_Heading_ROIC" xfId="1091" xr:uid="{00000000-0005-0000-0000-000031030000}"/>
    <cellStyle name="_Heading_ROIC 2" xfId="1092" xr:uid="{00000000-0005-0000-0000-000032030000}"/>
    <cellStyle name="_Heading_ROIC 3" xfId="1093" xr:uid="{00000000-0005-0000-0000-000033030000}"/>
    <cellStyle name="_Heading_Rolls-Royce" xfId="1094" xr:uid="{00000000-0005-0000-0000-000034030000}"/>
    <cellStyle name="_Heading_Rolls-Royce 2" xfId="1095" xr:uid="{00000000-0005-0000-0000-000035030000}"/>
    <cellStyle name="_Heading_Rolls-Royce 3" xfId="1096" xr:uid="{00000000-0005-0000-0000-000036030000}"/>
    <cellStyle name="_Heading_Ryanair1" xfId="1097" xr:uid="{00000000-0005-0000-0000-000037030000}"/>
    <cellStyle name="_Heading_Ryanair1 2" xfId="1098" xr:uid="{00000000-0005-0000-0000-000038030000}"/>
    <cellStyle name="_Heading_Ryanair1 3" xfId="1099" xr:uid="{00000000-0005-0000-0000-000039030000}"/>
    <cellStyle name="_Heading_SaabOLD" xfId="1100" xr:uid="{00000000-0005-0000-0000-00003A030000}"/>
    <cellStyle name="_Heading_SaabOLD 2" xfId="1101" xr:uid="{00000000-0005-0000-0000-00003B030000}"/>
    <cellStyle name="_Heading_SaabOLD 3" xfId="1102" xr:uid="{00000000-0005-0000-0000-00003C030000}"/>
    <cellStyle name="_Heading_Sandvik CF - Remodelling" xfId="1103" xr:uid="{00000000-0005-0000-0000-00003D030000}"/>
    <cellStyle name="_Heading_Sandvik CF - Remodelling 2" xfId="1104" xr:uid="{00000000-0005-0000-0000-00003E030000}"/>
    <cellStyle name="_Heading_Sandvik CF - Remodelling 3" xfId="1105" xr:uid="{00000000-0005-0000-0000-00003F030000}"/>
    <cellStyle name="_Heading_SIFI OLD" xfId="1106" xr:uid="{00000000-0005-0000-0000-000040030000}"/>
    <cellStyle name="_Heading_SIFI OLD 2" xfId="1107" xr:uid="{00000000-0005-0000-0000-000041030000}"/>
    <cellStyle name="_Heading_SIFI OLD 3" xfId="1108" xr:uid="{00000000-0005-0000-0000-000042030000}"/>
    <cellStyle name="_Heading_SIFINEW" xfId="1109" xr:uid="{00000000-0005-0000-0000-000043030000}"/>
    <cellStyle name="_Heading_SKF reference" xfId="1110" xr:uid="{00000000-0005-0000-0000-000044030000}"/>
    <cellStyle name="_Heading_SKF reference 2" xfId="1111" xr:uid="{00000000-0005-0000-0000-000045030000}"/>
    <cellStyle name="_Heading_SKF reference 3" xfId="1112" xr:uid="{00000000-0005-0000-0000-000046030000}"/>
    <cellStyle name="_Heading_Smiths Group" xfId="1113" xr:uid="{00000000-0005-0000-0000-000047030000}"/>
    <cellStyle name="_Heading_Smiths Group - OLD" xfId="1114" xr:uid="{00000000-0005-0000-0000-000048030000}"/>
    <cellStyle name="_Heading_Smiths Group - OLD 2" xfId="1115" xr:uid="{00000000-0005-0000-0000-000049030000}"/>
    <cellStyle name="_Heading_Smiths Group - OLD 3" xfId="1116" xr:uid="{00000000-0005-0000-0000-00004A030000}"/>
    <cellStyle name="_Heading_Smiths Group 2" xfId="1117" xr:uid="{00000000-0005-0000-0000-00004B030000}"/>
    <cellStyle name="_Heading_Smiths Group 3" xfId="1118" xr:uid="{00000000-0005-0000-0000-00004C030000}"/>
    <cellStyle name="_Heading_Snecma competitive landscape chart sauvegarde" xfId="1119" xr:uid="{00000000-0005-0000-0000-00004D030000}"/>
    <cellStyle name="_Heading_Snecma competitive landscape chart sauvegarde 2" xfId="1120" xr:uid="{00000000-0005-0000-0000-00004E030000}"/>
    <cellStyle name="_Heading_Snecma competitive landscape chart sauvegarde 3" xfId="1121" xr:uid="{00000000-0005-0000-0000-00004F030000}"/>
    <cellStyle name="_Heading_T - new" xfId="1122" xr:uid="{00000000-0005-0000-0000-000050030000}"/>
    <cellStyle name="_Heading_T - new 2" xfId="1123" xr:uid="{00000000-0005-0000-0000-000051030000}"/>
    <cellStyle name="_Heading_Vinci" xfId="1124" xr:uid="{00000000-0005-0000-0000-000052030000}"/>
    <cellStyle name="_Heading_Vinci 2" xfId="1125" xr:uid="{00000000-0005-0000-0000-000053030000}"/>
    <cellStyle name="_Heading_Vinci 3" xfId="1126" xr:uid="{00000000-0005-0000-0000-000054030000}"/>
    <cellStyle name="_Heading_VZ" xfId="1127" xr:uid="{00000000-0005-0000-0000-000055030000}"/>
    <cellStyle name="_Headline" xfId="1128" xr:uid="{00000000-0005-0000-0000-000056030000}"/>
    <cellStyle name="_Headline 2" xfId="1129" xr:uid="{00000000-0005-0000-0000-000057030000}"/>
    <cellStyle name="_Headline 3" xfId="1130" xr:uid="{00000000-0005-0000-0000-000058030000}"/>
    <cellStyle name="_Highlight" xfId="174" xr:uid="{00000000-0005-0000-0000-000059030000}"/>
    <cellStyle name="_Highlight 2" xfId="1131" xr:uid="{00000000-0005-0000-0000-00005A030000}"/>
    <cellStyle name="_Highlight 3" xfId="1132" xr:uid="{00000000-0005-0000-0000-00005B030000}"/>
    <cellStyle name="_KPN Fixed" xfId="1133" xr:uid="{00000000-0005-0000-0000-00005C030000}"/>
    <cellStyle name="_msft-dcf" xfId="1134" xr:uid="{00000000-0005-0000-0000-00005D030000}"/>
    <cellStyle name="_MTU Aero Engines" xfId="1135" xr:uid="{00000000-0005-0000-0000-00005E030000}"/>
    <cellStyle name="_MTU Aero Engines 2" xfId="1136" xr:uid="{00000000-0005-0000-0000-00005F030000}"/>
    <cellStyle name="_MTU Aero Engines 3" xfId="1137" xr:uid="{00000000-0005-0000-0000-000060030000}"/>
    <cellStyle name="_MTU Aero EnginesMICHA EVENING6" xfId="1138" xr:uid="{00000000-0005-0000-0000-000061030000}"/>
    <cellStyle name="_MTU Aero EnginesMICHA EVENING6 2" xfId="1139" xr:uid="{00000000-0005-0000-0000-000062030000}"/>
    <cellStyle name="_MTU Aero EnginesMICHA EVENING6 3" xfId="1140" xr:uid="{00000000-0005-0000-0000-000063030000}"/>
    <cellStyle name="_Multiple" xfId="175" xr:uid="{00000000-0005-0000-0000-000064030000}"/>
    <cellStyle name="_Multiple 2" xfId="1141" xr:uid="{00000000-0005-0000-0000-000065030000}"/>
    <cellStyle name="_Multiple 3" xfId="1142" xr:uid="{00000000-0005-0000-0000-000066030000}"/>
    <cellStyle name="_Multiple_01 adj for merger plan" xfId="176" xr:uid="{00000000-0005-0000-0000-000067030000}"/>
    <cellStyle name="_Multiple_05 CSC_Picabia_02042002" xfId="1143" xr:uid="{00000000-0005-0000-0000-000068030000}"/>
    <cellStyle name="_Multiple_05 CSC_Picabia_02042002 2" xfId="1144" xr:uid="{00000000-0005-0000-0000-000069030000}"/>
    <cellStyle name="_Multiple_05 CSC_Picabia_02042002 3" xfId="1145" xr:uid="{00000000-0005-0000-0000-00006A030000}"/>
    <cellStyle name="_Multiple_2001 YTD Performance" xfId="1146" xr:uid="{00000000-0005-0000-0000-00006B030000}"/>
    <cellStyle name="_Multiple_2001 YTD Performance 2" xfId="1147" xr:uid="{00000000-0005-0000-0000-00006C030000}"/>
    <cellStyle name="_Multiple_2001 YTD Performance 3" xfId="1148" xr:uid="{00000000-0005-0000-0000-00006D030000}"/>
    <cellStyle name="_Multiple_Ability to Pay Analysis" xfId="177" xr:uid="{00000000-0005-0000-0000-00006E030000}"/>
    <cellStyle name="_Multiple_ABP1" xfId="1149" xr:uid="{00000000-0005-0000-0000-00006F030000}"/>
    <cellStyle name="_Multiple_ABP1 2" xfId="1150" xr:uid="{00000000-0005-0000-0000-000070030000}"/>
    <cellStyle name="_Multiple_ABP1 3" xfId="1151" xr:uid="{00000000-0005-0000-0000-000071030000}"/>
    <cellStyle name="_Multiple_Aero DCF" xfId="1152" xr:uid="{00000000-0005-0000-0000-000072030000}"/>
    <cellStyle name="_Multiple_Aero DCF 2" xfId="1153" xr:uid="{00000000-0005-0000-0000-000073030000}"/>
    <cellStyle name="_Multiple_Aero DCF 3" xfId="1154" xr:uid="{00000000-0005-0000-0000-000074030000}"/>
    <cellStyle name="_Multiple_AFL" xfId="178" xr:uid="{00000000-0005-0000-0000-000075030000}"/>
    <cellStyle name="_Multiple_AIZ" xfId="179" xr:uid="{00000000-0005-0000-0000-000076030000}"/>
    <cellStyle name="_Multiple_Alstom WIP Bhavna" xfId="1155" xr:uid="{00000000-0005-0000-0000-000077030000}"/>
    <cellStyle name="_Multiple_Alstom WIP Bhavna 2" xfId="1156" xr:uid="{00000000-0005-0000-0000-000078030000}"/>
    <cellStyle name="_Multiple_AMP" xfId="180" xr:uid="{00000000-0005-0000-0000-000079030000}"/>
    <cellStyle name="_Multiple_ASF" xfId="1157" xr:uid="{00000000-0005-0000-0000-00007A030000}"/>
    <cellStyle name="_Multiple_ASF 2" xfId="1158" xr:uid="{00000000-0005-0000-0000-00007B030000}"/>
    <cellStyle name="_Multiple_ASF 3" xfId="1159" xr:uid="{00000000-0005-0000-0000-00007C030000}"/>
    <cellStyle name="_Multiple_ASF1" xfId="1160" xr:uid="{00000000-0005-0000-0000-00007D030000}"/>
    <cellStyle name="_Multiple_ASF1 2" xfId="1161" xr:uid="{00000000-0005-0000-0000-00007E030000}"/>
    <cellStyle name="_Multiple_ASF1 3" xfId="1162" xr:uid="{00000000-0005-0000-0000-00007F030000}"/>
    <cellStyle name="_Multiple_Assa CF" xfId="1163" xr:uid="{00000000-0005-0000-0000-000080030000}"/>
    <cellStyle name="_Multiple_Assa CF 2" xfId="1164" xr:uid="{00000000-0005-0000-0000-000081030000}"/>
    <cellStyle name="_Multiple_Assa CF 3" xfId="1165" xr:uid="{00000000-0005-0000-0000-000082030000}"/>
    <cellStyle name="_Multiple_Assa Reference" xfId="1166" xr:uid="{00000000-0005-0000-0000-000083030000}"/>
    <cellStyle name="_Multiple_Assa Reference 2" xfId="1167" xr:uid="{00000000-0005-0000-0000-000084030000}"/>
    <cellStyle name="_Multiple_Assa Reference 3" xfId="1168" xr:uid="{00000000-0005-0000-0000-000085030000}"/>
    <cellStyle name="_Multiple_Assa vs Competition" xfId="1169" xr:uid="{00000000-0005-0000-0000-000086030000}"/>
    <cellStyle name="_Multiple_Assa vs Competition 2" xfId="1170" xr:uid="{00000000-0005-0000-0000-000087030000}"/>
    <cellStyle name="_Multiple_Assa vs Competition 3" xfId="1171" xr:uid="{00000000-0005-0000-0000-000088030000}"/>
    <cellStyle name="_Multiple_Atlas Copco CF" xfId="1172" xr:uid="{00000000-0005-0000-0000-000089030000}"/>
    <cellStyle name="_Multiple_Atlas Copco CF 2" xfId="1173" xr:uid="{00000000-0005-0000-0000-00008A030000}"/>
    <cellStyle name="_Multiple_AVP" xfId="1174" xr:uid="{00000000-0005-0000-0000-00008B030000}"/>
    <cellStyle name="_Multiple_AVP 2" xfId="1175" xr:uid="{00000000-0005-0000-0000-00008C030000}"/>
    <cellStyle name="_Multiple_AVP 3" xfId="1176" xr:uid="{00000000-0005-0000-0000-00008D030000}"/>
    <cellStyle name="_Multiple_BAE_model_new" xfId="1177" xr:uid="{00000000-0005-0000-0000-00008E030000}"/>
    <cellStyle name="_Multiple_BAE_model_new 2" xfId="1178" xr:uid="{00000000-0005-0000-0000-00008F030000}"/>
    <cellStyle name="_Multiple_BAE_model_new 3" xfId="1179" xr:uid="{00000000-0005-0000-0000-000090030000}"/>
    <cellStyle name="_Multiple_Balance Sheet" xfId="181" xr:uid="{00000000-0005-0000-0000-000091030000}"/>
    <cellStyle name="_Multiple_BHI" xfId="1180" xr:uid="{00000000-0005-0000-0000-000092030000}"/>
    <cellStyle name="_Multiple_BHI_Copy of IFRS consol ABB Final Version4" xfId="1181" xr:uid="{00000000-0005-0000-0000-000093030000}"/>
    <cellStyle name="_Multiple_bls roic" xfId="1182" xr:uid="{00000000-0005-0000-0000-000094030000}"/>
    <cellStyle name="_Multiple_bls roic_Copy of IFRS consol ABB Final Version4" xfId="1183" xr:uid="{00000000-0005-0000-0000-000095030000}"/>
    <cellStyle name="_Multiple_Book1" xfId="182" xr:uid="{00000000-0005-0000-0000-000096030000}"/>
    <cellStyle name="_Multiple_Book1 2" xfId="1184" xr:uid="{00000000-0005-0000-0000-000097030000}"/>
    <cellStyle name="_Multiple_Book1 3" xfId="1185" xr:uid="{00000000-0005-0000-0000-000098030000}"/>
    <cellStyle name="_Multiple_Book1_WACC" xfId="1186" xr:uid="{00000000-0005-0000-0000-000099030000}"/>
    <cellStyle name="_Multiple_Book1_WACC 2" xfId="1187" xr:uid="{00000000-0005-0000-0000-00009A030000}"/>
    <cellStyle name="_Multiple_Book1_WACC 3" xfId="1188" xr:uid="{00000000-0005-0000-0000-00009B030000}"/>
    <cellStyle name="_Multiple_Book29" xfId="183" xr:uid="{00000000-0005-0000-0000-00009C030000}"/>
    <cellStyle name="_Multiple_Book3" xfId="184" xr:uid="{00000000-0005-0000-0000-00009D030000}"/>
    <cellStyle name="_Multiple_Book3_1" xfId="185" xr:uid="{00000000-0005-0000-0000-00009E030000}"/>
    <cellStyle name="_Multiple_capital expenditures 6-18-02" xfId="1189" xr:uid="{00000000-0005-0000-0000-00009F030000}"/>
    <cellStyle name="_Multiple_capital expenditures 6-18-02_Copy of IFRS consol ABB Final Version4" xfId="1190" xr:uid="{00000000-0005-0000-0000-0000A0030000}"/>
    <cellStyle name="_Multiple_CNO" xfId="186" xr:uid="{00000000-0005-0000-0000-0000A1030000}"/>
    <cellStyle name="_Multiple_Comdot - gStyle Excel Slides" xfId="1191" xr:uid="{00000000-0005-0000-0000-0000A2030000}"/>
    <cellStyle name="_Multiple_Comdot - gStyle Excel Slides 2" xfId="1192" xr:uid="{00000000-0005-0000-0000-0000A3030000}"/>
    <cellStyle name="_Multiple_Comdot - gStyle Excel Slides 3" xfId="1193" xr:uid="{00000000-0005-0000-0000-0000A4030000}"/>
    <cellStyle name="_Multiple_Comdot LBO Short Form - v3" xfId="1194" xr:uid="{00000000-0005-0000-0000-0000A5030000}"/>
    <cellStyle name="_Multiple_Comdot LBO Short Form - v3 2" xfId="1195" xr:uid="{00000000-0005-0000-0000-0000A6030000}"/>
    <cellStyle name="_Multiple_Comdot LBO Short Form - v3 3" xfId="1196" xr:uid="{00000000-0005-0000-0000-0000A7030000}"/>
    <cellStyle name="_Multiple_contribution_analysis" xfId="1197" xr:uid="{00000000-0005-0000-0000-0000A8030000}"/>
    <cellStyle name="_Multiple_Copy of IFRS consol ABB Final Version4" xfId="1198" xr:uid="{00000000-0005-0000-0000-0000A9030000}"/>
    <cellStyle name="_Multiple_Copy of IFRS consol ABB Final Version4 2" xfId="1199" xr:uid="{00000000-0005-0000-0000-0000AA030000}"/>
    <cellStyle name="_Multiple_Copy of IFRS consol ABB Final Version4_1" xfId="1200" xr:uid="{00000000-0005-0000-0000-0000AB030000}"/>
    <cellStyle name="_Multiple_Copy of IFRS consol ABB Final Version4_1 2" xfId="1201" xr:uid="{00000000-0005-0000-0000-0000AC030000}"/>
    <cellStyle name="_Multiple_Copy of Spirent_now" xfId="1202" xr:uid="{00000000-0005-0000-0000-0000AD030000}"/>
    <cellStyle name="_Multiple_Copy of Spirent_now 2" xfId="1203" xr:uid="{00000000-0005-0000-0000-0000AE030000}"/>
    <cellStyle name="_Multiple_Copy of Spirent_now 3" xfId="1204" xr:uid="{00000000-0005-0000-0000-0000AF030000}"/>
    <cellStyle name="_Multiple_CROCI" xfId="1205" xr:uid="{00000000-0005-0000-0000-0000B0030000}"/>
    <cellStyle name="_Multiple_CROCI 2" xfId="1206" xr:uid="{00000000-0005-0000-0000-0000B1030000}"/>
    <cellStyle name="_Multiple_csc" xfId="1207" xr:uid="{00000000-0005-0000-0000-0000B2030000}"/>
    <cellStyle name="_Multiple_csc 2" xfId="1208" xr:uid="{00000000-0005-0000-0000-0000B3030000}"/>
    <cellStyle name="_Multiple_csc 3" xfId="1209" xr:uid="{00000000-0005-0000-0000-0000B4030000}"/>
    <cellStyle name="_Multiple_CSC_Picabia_29062001" xfId="1210" xr:uid="{00000000-0005-0000-0000-0000B5030000}"/>
    <cellStyle name="_Multiple_CSC_Picabia_29062001 2" xfId="1211" xr:uid="{00000000-0005-0000-0000-0000B6030000}"/>
    <cellStyle name="_Multiple_CSC_Picabia_29062001 3" xfId="1212" xr:uid="{00000000-0005-0000-0000-0000B7030000}"/>
    <cellStyle name="_Multiple_DCF - July 2, 2001" xfId="1213" xr:uid="{00000000-0005-0000-0000-0000B8030000}"/>
    <cellStyle name="_Multiple_DCF - July 2, 2001 2" xfId="1214" xr:uid="{00000000-0005-0000-0000-0000B9030000}"/>
    <cellStyle name="_Multiple_DCF - July 2, 2001 3" xfId="1215" xr:uid="{00000000-0005-0000-0000-0000BA030000}"/>
    <cellStyle name="_Multiple_DCF Alexander Forbes" xfId="187" xr:uid="{00000000-0005-0000-0000-0000BB030000}"/>
    <cellStyle name="_Multiple_DCF Model + WACC" xfId="1216" xr:uid="{00000000-0005-0000-0000-0000BC030000}"/>
    <cellStyle name="_Multiple_DCF Model + WACC 2" xfId="1217" xr:uid="{00000000-0005-0000-0000-0000BD030000}"/>
    <cellStyle name="_Multiple_DCF Model + WACC 3" xfId="1218" xr:uid="{00000000-0005-0000-0000-0000BE030000}"/>
    <cellStyle name="_Multiple_Electrolux CF" xfId="1219" xr:uid="{00000000-0005-0000-0000-0000BF030000}"/>
    <cellStyle name="_Multiple_Electrolux CF 2" xfId="1220" xr:uid="{00000000-0005-0000-0000-0000C0030000}"/>
    <cellStyle name="_Multiple_Electrolux CF_1" xfId="1221" xr:uid="{00000000-0005-0000-0000-0000C1030000}"/>
    <cellStyle name="_Multiple_Electrolux CF_1 2" xfId="1222" xr:uid="{00000000-0005-0000-0000-0000C2030000}"/>
    <cellStyle name="_Multiple_Electrolux MW" xfId="1223" xr:uid="{00000000-0005-0000-0000-0000C3030000}"/>
    <cellStyle name="_Multiple_Electrolux MW 2" xfId="1224" xr:uid="{00000000-0005-0000-0000-0000C4030000}"/>
    <cellStyle name="_Multiple_Electrolux Old Nick Paton Mark Wilson Model" xfId="1225" xr:uid="{00000000-0005-0000-0000-0000C5030000}"/>
    <cellStyle name="_Multiple_Electrolux Old Nick Paton Mark Wilson Model 2" xfId="1226" xr:uid="{00000000-0005-0000-0000-0000C6030000}"/>
    <cellStyle name="_Multiple_Electrolux WIP Bhavna" xfId="1227" xr:uid="{00000000-0005-0000-0000-0000C7030000}"/>
    <cellStyle name="_Multiple_Electrolux WIP Bhavna 2" xfId="1228" xr:uid="{00000000-0005-0000-0000-0000C8030000}"/>
    <cellStyle name="_Multiple_Eng" xfId="1229" xr:uid="{00000000-0005-0000-0000-0000C9030000}"/>
    <cellStyle name="_Multiple_Eng 2" xfId="1230" xr:uid="{00000000-0005-0000-0000-0000CA030000}"/>
    <cellStyle name="_Multiple_Eng 3" xfId="1231" xr:uid="{00000000-0005-0000-0000-0000CB030000}"/>
    <cellStyle name="_Multiple_Finmeccanica" xfId="1232" xr:uid="{00000000-0005-0000-0000-0000CC030000}"/>
    <cellStyle name="_Multiple_Finmeccanica SOP" xfId="1233" xr:uid="{00000000-0005-0000-0000-0000CD030000}"/>
    <cellStyle name="_Multiple_fmbi counties" xfId="188" xr:uid="{00000000-0005-0000-0000-0000CE030000}"/>
    <cellStyle name="_Multiple_FMBI MBHI Graphs" xfId="189" xr:uid="{00000000-0005-0000-0000-0000CF030000}"/>
    <cellStyle name="_Multiple_FMBI MBHI Graphs 07102001" xfId="190" xr:uid="{00000000-0005-0000-0000-0000D0030000}"/>
    <cellStyle name="_Multiple_FMBI MBHI Graphs_7601" xfId="191" xr:uid="{00000000-0005-0000-0000-0000D1030000}"/>
    <cellStyle name="_Multiple_Global ROIC 2007" xfId="1234" xr:uid="{00000000-0005-0000-0000-0000D2030000}"/>
    <cellStyle name="_Multiple_Global ROIC 2007 2" xfId="1235" xr:uid="{00000000-0005-0000-0000-0000D3030000}"/>
    <cellStyle name="_Multiple_Global ROIC 2007_Copy of IFRS consol ABB Final Version4" xfId="1236" xr:uid="{00000000-0005-0000-0000-0000D4030000}"/>
    <cellStyle name="_Multiple_Global ROIC 2007_Copy of IFRS consol ABB Final Version4 2" xfId="1237" xr:uid="{00000000-0005-0000-0000-0000D5030000}"/>
    <cellStyle name="_Multiple_GNW" xfId="192" xr:uid="{00000000-0005-0000-0000-0000D6030000}"/>
    <cellStyle name="_Multiple_Insurance Brokerage CSC_1Q2002" xfId="193" xr:uid="{00000000-0005-0000-0000-0000D7030000}"/>
    <cellStyle name="_Multiple_integrated_standalone_ba" xfId="1238" xr:uid="{00000000-0005-0000-0000-0000D8030000}"/>
    <cellStyle name="_Multiple_integrated_standalone_ba 2" xfId="1239" xr:uid="{00000000-0005-0000-0000-0000D9030000}"/>
    <cellStyle name="_Multiple_integrated_standalone_ba 3" xfId="1240" xr:uid="{00000000-0005-0000-0000-0000DA030000}"/>
    <cellStyle name="_Multiple_JP" xfId="194" xr:uid="{00000000-0005-0000-0000-0000DB030000}"/>
    <cellStyle name="_Multiple_LBO Model Zannier - 04-09-01" xfId="1241" xr:uid="{00000000-0005-0000-0000-0000DC030000}"/>
    <cellStyle name="_Multiple_LBO Model Zannier - 04-09-01 2" xfId="1242" xr:uid="{00000000-0005-0000-0000-0000DD030000}"/>
    <cellStyle name="_Multiple_LBO Model Zannier - 04-09-01 3" xfId="1243" xr:uid="{00000000-0005-0000-0000-0000DE030000}"/>
    <cellStyle name="_Multiple_LNC" xfId="195" xr:uid="{00000000-0005-0000-0000-0000DF030000}"/>
    <cellStyle name="_Multiple_MET" xfId="196" xr:uid="{00000000-0005-0000-0000-0000E0030000}"/>
    <cellStyle name="_Multiple_MET04" xfId="197" xr:uid="{00000000-0005-0000-0000-0000E1030000}"/>
    <cellStyle name="_Multiple_Model Vague 07 conso - Dannaud" xfId="1244" xr:uid="{00000000-0005-0000-0000-0000E2030000}"/>
    <cellStyle name="_Multiple_Model Vague 07 conso - Dannaud 2" xfId="1245" xr:uid="{00000000-0005-0000-0000-0000E3030000}"/>
    <cellStyle name="_Multiple_Model Vague 07 conso - Dannaud 3" xfId="1246" xr:uid="{00000000-0005-0000-0000-0000E4030000}"/>
    <cellStyle name="_Multiple_MTU Aero Engines" xfId="1247" xr:uid="{00000000-0005-0000-0000-0000E5030000}"/>
    <cellStyle name="_Multiple_MTU Aero Engines 2" xfId="1248" xr:uid="{00000000-0005-0000-0000-0000E6030000}"/>
    <cellStyle name="_Multiple_MTU Aero Engines 3" xfId="1249" xr:uid="{00000000-0005-0000-0000-0000E7030000}"/>
    <cellStyle name="_Multiple_MTU Aero EnginesMICHA EVENING6" xfId="1250" xr:uid="{00000000-0005-0000-0000-0000E8030000}"/>
    <cellStyle name="_Multiple_MTU Aero EnginesMICHA EVENING6 2" xfId="1251" xr:uid="{00000000-0005-0000-0000-0000E9030000}"/>
    <cellStyle name="_Multiple_MTU Aero EnginesMICHA EVENING6 3" xfId="1252" xr:uid="{00000000-0005-0000-0000-0000EA030000}"/>
    <cellStyle name="_Multiple_MTU FX sheet" xfId="1253" xr:uid="{00000000-0005-0000-0000-0000EB030000}"/>
    <cellStyle name="_Multiple_MTU FX sheet 2" xfId="1254" xr:uid="{00000000-0005-0000-0000-0000EC030000}"/>
    <cellStyle name="_Multiple_MTU FX sheet 3" xfId="1255" xr:uid="{00000000-0005-0000-0000-0000ED030000}"/>
    <cellStyle name="_Multiple_NFS" xfId="198" xr:uid="{00000000-0005-0000-0000-0000EE030000}"/>
    <cellStyle name="_Multiple_output" xfId="1256" xr:uid="{00000000-0005-0000-0000-0000EF030000}"/>
    <cellStyle name="_Multiple_output 2" xfId="1257" xr:uid="{00000000-0005-0000-0000-0000F0030000}"/>
    <cellStyle name="_Multiple_output 3" xfId="1258" xr:uid="{00000000-0005-0000-0000-0000F1030000}"/>
    <cellStyle name="_Multiple_Overview3" xfId="199" xr:uid="{00000000-0005-0000-0000-0000F2030000}"/>
    <cellStyle name="_Multiple_phil data" xfId="200" xr:uid="{00000000-0005-0000-0000-0000F3030000}"/>
    <cellStyle name="_Multiple_Price Performance Charts" xfId="201" xr:uid="{00000000-0005-0000-0000-0000F4030000}"/>
    <cellStyle name="_Multiple_PRU" xfId="202" xr:uid="{00000000-0005-0000-0000-0000F5030000}"/>
    <cellStyle name="_Multiple_PRU04" xfId="203" xr:uid="{00000000-0005-0000-0000-0000F6030000}"/>
    <cellStyle name="_Multiple_QP_XXX" xfId="1259" xr:uid="{00000000-0005-0000-0000-0000F7030000}"/>
    <cellStyle name="_Multiple_QP_XXX 2" xfId="1260" xr:uid="{00000000-0005-0000-0000-0000F8030000}"/>
    <cellStyle name="_Multiple_QP_XXX_Copy of IFRS consol ABB Final Version4" xfId="1261" xr:uid="{00000000-0005-0000-0000-0000F9030000}"/>
    <cellStyle name="_Multiple_QP_XXX_Copy of IFRS consol ABB Final Version4 2" xfId="1262" xr:uid="{00000000-0005-0000-0000-0000FA030000}"/>
    <cellStyle name="_Multiple_RBOC historicals" xfId="1263" xr:uid="{00000000-0005-0000-0000-0000FB030000}"/>
    <cellStyle name="_Multiple_RBOC historicals_Copy of IFRS consol ABB Final Version4" xfId="1264" xr:uid="{00000000-0005-0000-0000-0000FC030000}"/>
    <cellStyle name="_Multiple_Rheinmetall" xfId="1265" xr:uid="{00000000-0005-0000-0000-0000FD030000}"/>
    <cellStyle name="_Multiple_Rheinmetall_1" xfId="1266" xr:uid="{00000000-0005-0000-0000-0000FE030000}"/>
    <cellStyle name="_Multiple_Rheinmetall_1 2" xfId="1267" xr:uid="{00000000-0005-0000-0000-0000FF030000}"/>
    <cellStyle name="_Multiple_Rheinmetall_1 3" xfId="1268" xr:uid="{00000000-0005-0000-0000-000000040000}"/>
    <cellStyle name="_Multiple_RHM" xfId="1269" xr:uid="{00000000-0005-0000-0000-000001040000}"/>
    <cellStyle name="_Multiple_RiskReward" xfId="204" xr:uid="{00000000-0005-0000-0000-000002040000}"/>
    <cellStyle name="_Multiple_ROIC" xfId="1270" xr:uid="{00000000-0005-0000-0000-000003040000}"/>
    <cellStyle name="_Multiple_ROIC 2" xfId="1271" xr:uid="{00000000-0005-0000-0000-000004040000}"/>
    <cellStyle name="_Multiple_ROIC 3" xfId="1272" xr:uid="{00000000-0005-0000-0000-000005040000}"/>
    <cellStyle name="_Multiple_Rolls-Royce" xfId="1273" xr:uid="{00000000-0005-0000-0000-000006040000}"/>
    <cellStyle name="_Multiple_Rolls-Royce Micha" xfId="1274" xr:uid="{00000000-0005-0000-0000-000007040000}"/>
    <cellStyle name="_Multiple_Rolls-Royce Micha 2" xfId="1275" xr:uid="{00000000-0005-0000-0000-000008040000}"/>
    <cellStyle name="_Multiple_Rolls-Royce Micha 3" xfId="1276" xr:uid="{00000000-0005-0000-0000-000009040000}"/>
    <cellStyle name="_Multiple_Rolls-RoyceFINAL130206" xfId="1277" xr:uid="{00000000-0005-0000-0000-00000A040000}"/>
    <cellStyle name="_Multiple_Rolls-RoyceFINAL130206 2" xfId="1278" xr:uid="{00000000-0005-0000-0000-00000B040000}"/>
    <cellStyle name="_Multiple_Rolls-RoyceFINAL130206 3" xfId="1279" xr:uid="{00000000-0005-0000-0000-00000C040000}"/>
    <cellStyle name="_Multiple_RR FY06" xfId="1280" xr:uid="{00000000-0005-0000-0000-00000D040000}"/>
    <cellStyle name="_Multiple_RR FY06 2" xfId="1281" xr:uid="{00000000-0005-0000-0000-00000E040000}"/>
    <cellStyle name="_Multiple_RR FY06 3" xfId="1282" xr:uid="{00000000-0005-0000-0000-00000F040000}"/>
    <cellStyle name="_Multiple_SaabOLD" xfId="1283" xr:uid="{00000000-0005-0000-0000-000010040000}"/>
    <cellStyle name="_Multiple_Safran" xfId="1284" xr:uid="{00000000-0005-0000-0000-000011040000}"/>
    <cellStyle name="_Multiple_Safran 2" xfId="1285" xr:uid="{00000000-0005-0000-0000-000012040000}"/>
    <cellStyle name="_Multiple_Safran 3" xfId="1286" xr:uid="{00000000-0005-0000-0000-000013040000}"/>
    <cellStyle name="_Multiple_Saft vs Peers" xfId="1287" xr:uid="{00000000-0005-0000-0000-000014040000}"/>
    <cellStyle name="_Multiple_Saft vs Peers 2" xfId="1288" xr:uid="{00000000-0005-0000-0000-000015040000}"/>
    <cellStyle name="_Multiple_Saft vs Peers 3" xfId="1289" xr:uid="{00000000-0005-0000-0000-000016040000}"/>
    <cellStyle name="_Multiple_SFG" xfId="205" xr:uid="{00000000-0005-0000-0000-000017040000}"/>
    <cellStyle name="_Multiple_Sheet1" xfId="206" xr:uid="{00000000-0005-0000-0000-000018040000}"/>
    <cellStyle name="_Multiple_SIFI OLD" xfId="1290" xr:uid="{00000000-0005-0000-0000-000019040000}"/>
    <cellStyle name="_Multiple_SIFINEW" xfId="1291" xr:uid="{00000000-0005-0000-0000-00001A040000}"/>
    <cellStyle name="_Multiple_SIFINEW 2" xfId="1292" xr:uid="{00000000-0005-0000-0000-00001B040000}"/>
    <cellStyle name="_Multiple_SIFINEW 3" xfId="1293" xr:uid="{00000000-0005-0000-0000-00001C040000}"/>
    <cellStyle name="_Multiple_Smiths Group" xfId="1294" xr:uid="{00000000-0005-0000-0000-00001D040000}"/>
    <cellStyle name="_Multiple_Smiths Group - OLD" xfId="1295" xr:uid="{00000000-0005-0000-0000-00001E040000}"/>
    <cellStyle name="_Multiple_Stock-QTR1 FDS" xfId="207" xr:uid="{00000000-0005-0000-0000-00001F040000}"/>
    <cellStyle name="_Multiple_T - new" xfId="1296" xr:uid="{00000000-0005-0000-0000-000020040000}"/>
    <cellStyle name="_Multiple_T - new_Copy of IFRS consol ABB Final Version4" xfId="1297" xr:uid="{00000000-0005-0000-0000-000021040000}"/>
    <cellStyle name="_Multiple_TMK" xfId="208" xr:uid="{00000000-0005-0000-0000-000022040000}"/>
    <cellStyle name="_Multiple_Updated Valuation Changes" xfId="209" xr:uid="{00000000-0005-0000-0000-000023040000}"/>
    <cellStyle name="_Multiple_Vague LBO Model - 19 July 2001" xfId="1298" xr:uid="{00000000-0005-0000-0000-000024040000}"/>
    <cellStyle name="_Multiple_Vague LBO Model - 19 July 2001 2" xfId="1299" xr:uid="{00000000-0005-0000-0000-000025040000}"/>
    <cellStyle name="_Multiple_Vague LBO Model - 19 July 2001 3" xfId="1300" xr:uid="{00000000-0005-0000-0000-000026040000}"/>
    <cellStyle name="_Multiple_Valuation Graphs" xfId="210" xr:uid="{00000000-0005-0000-0000-000027040000}"/>
    <cellStyle name="_Multiple_Vinci" xfId="1301" xr:uid="{00000000-0005-0000-0000-000028040000}"/>
    <cellStyle name="_Multiple_WPP_YNR_merger_plans" xfId="1302" xr:uid="{00000000-0005-0000-0000-000029040000}"/>
    <cellStyle name="_Multiple_WPP_YNR_merger_plans 2" xfId="1303" xr:uid="{00000000-0005-0000-0000-00002A040000}"/>
    <cellStyle name="_Multiple_WPP_YNR_merger_plans 3" xfId="1304" xr:uid="{00000000-0005-0000-0000-00002B040000}"/>
    <cellStyle name="_Multiple_xratio - historical mkt val" xfId="211" xr:uid="{00000000-0005-0000-0000-00002C040000}"/>
    <cellStyle name="_MultipleSpace" xfId="212" xr:uid="{00000000-0005-0000-0000-00002D040000}"/>
    <cellStyle name="_MultipleSpace 2" xfId="1305" xr:uid="{00000000-0005-0000-0000-00002E040000}"/>
    <cellStyle name="_MultipleSpace 3" xfId="1306" xr:uid="{00000000-0005-0000-0000-00002F040000}"/>
    <cellStyle name="_MultipleSpace_01 adj for merger plan" xfId="213" xr:uid="{00000000-0005-0000-0000-000030040000}"/>
    <cellStyle name="_MultipleSpace_05 CSC_Picabia_02042002" xfId="1307" xr:uid="{00000000-0005-0000-0000-000031040000}"/>
    <cellStyle name="_MultipleSpace_05 CSC_Picabia_02042002 2" xfId="1308" xr:uid="{00000000-0005-0000-0000-000032040000}"/>
    <cellStyle name="_MultipleSpace_05 CSC_Picabia_02042002 3" xfId="1309" xr:uid="{00000000-0005-0000-0000-000033040000}"/>
    <cellStyle name="_MultipleSpace_2001 YTD Performance" xfId="1310" xr:uid="{00000000-0005-0000-0000-000034040000}"/>
    <cellStyle name="_MultipleSpace_2001 YTD Performance 2" xfId="1311" xr:uid="{00000000-0005-0000-0000-000035040000}"/>
    <cellStyle name="_MultipleSpace_2001 YTD Performance 3" xfId="1312" xr:uid="{00000000-0005-0000-0000-000036040000}"/>
    <cellStyle name="_MultipleSpace_Ability to Pay Analysis" xfId="214" xr:uid="{00000000-0005-0000-0000-000037040000}"/>
    <cellStyle name="_MultipleSpace_ABP1" xfId="1313" xr:uid="{00000000-0005-0000-0000-000038040000}"/>
    <cellStyle name="_MultipleSpace_ABP1 2" xfId="1314" xr:uid="{00000000-0005-0000-0000-000039040000}"/>
    <cellStyle name="_MultipleSpace_ABP1 3" xfId="1315" xr:uid="{00000000-0005-0000-0000-00003A040000}"/>
    <cellStyle name="_MultipleSpace_Aero DCF" xfId="1316" xr:uid="{00000000-0005-0000-0000-00003B040000}"/>
    <cellStyle name="_MultipleSpace_Aero DCF 2" xfId="1317" xr:uid="{00000000-0005-0000-0000-00003C040000}"/>
    <cellStyle name="_MultipleSpace_Aero DCF 3" xfId="1318" xr:uid="{00000000-0005-0000-0000-00003D040000}"/>
    <cellStyle name="_MultipleSpace_AFL" xfId="215" xr:uid="{00000000-0005-0000-0000-00003E040000}"/>
    <cellStyle name="_MultipleSpace_AIZ" xfId="216" xr:uid="{00000000-0005-0000-0000-00003F040000}"/>
    <cellStyle name="_MultipleSpace_Alstom WIP Bhavna" xfId="1319" xr:uid="{00000000-0005-0000-0000-000040040000}"/>
    <cellStyle name="_MultipleSpace_Alstom WIP Bhavna 2" xfId="1320" xr:uid="{00000000-0005-0000-0000-000041040000}"/>
    <cellStyle name="_MultipleSpace_AMP" xfId="217" xr:uid="{00000000-0005-0000-0000-000042040000}"/>
    <cellStyle name="_MultipleSpace_ASF" xfId="1321" xr:uid="{00000000-0005-0000-0000-000043040000}"/>
    <cellStyle name="_MultipleSpace_ASF 2" xfId="1322" xr:uid="{00000000-0005-0000-0000-000044040000}"/>
    <cellStyle name="_MultipleSpace_ASF 3" xfId="1323" xr:uid="{00000000-0005-0000-0000-000045040000}"/>
    <cellStyle name="_MultipleSpace_ASF1" xfId="1324" xr:uid="{00000000-0005-0000-0000-000046040000}"/>
    <cellStyle name="_MultipleSpace_ASF1 2" xfId="1325" xr:uid="{00000000-0005-0000-0000-000047040000}"/>
    <cellStyle name="_MultipleSpace_ASF1 3" xfId="1326" xr:uid="{00000000-0005-0000-0000-000048040000}"/>
    <cellStyle name="_MultipleSpace_Assa CF" xfId="1327" xr:uid="{00000000-0005-0000-0000-000049040000}"/>
    <cellStyle name="_MultipleSpace_Assa CF 2" xfId="1328" xr:uid="{00000000-0005-0000-0000-00004A040000}"/>
    <cellStyle name="_MultipleSpace_Assa CF 3" xfId="1329" xr:uid="{00000000-0005-0000-0000-00004B040000}"/>
    <cellStyle name="_MultipleSpace_Assa Reference" xfId="1330" xr:uid="{00000000-0005-0000-0000-00004C040000}"/>
    <cellStyle name="_MultipleSpace_Assa Reference 2" xfId="1331" xr:uid="{00000000-0005-0000-0000-00004D040000}"/>
    <cellStyle name="_MultipleSpace_Assa Reference 3" xfId="1332" xr:uid="{00000000-0005-0000-0000-00004E040000}"/>
    <cellStyle name="_MultipleSpace_Assa vs Competition" xfId="1333" xr:uid="{00000000-0005-0000-0000-00004F040000}"/>
    <cellStyle name="_MultipleSpace_Assa vs Competition 2" xfId="1334" xr:uid="{00000000-0005-0000-0000-000050040000}"/>
    <cellStyle name="_MultipleSpace_Assa vs Competition 3" xfId="1335" xr:uid="{00000000-0005-0000-0000-000051040000}"/>
    <cellStyle name="_MultipleSpace_Atlas Copco CF" xfId="1336" xr:uid="{00000000-0005-0000-0000-000052040000}"/>
    <cellStyle name="_MultipleSpace_Atlas Copco CF 2" xfId="1337" xr:uid="{00000000-0005-0000-0000-000053040000}"/>
    <cellStyle name="_MultipleSpace_AVP" xfId="1338" xr:uid="{00000000-0005-0000-0000-000054040000}"/>
    <cellStyle name="_MultipleSpace_AVP 2" xfId="1339" xr:uid="{00000000-0005-0000-0000-000055040000}"/>
    <cellStyle name="_MultipleSpace_AVP 3" xfId="1340" xr:uid="{00000000-0005-0000-0000-000056040000}"/>
    <cellStyle name="_MultipleSpace_BAE_model_new" xfId="1341" xr:uid="{00000000-0005-0000-0000-000057040000}"/>
    <cellStyle name="_MultipleSpace_BAE_model_new 2" xfId="1342" xr:uid="{00000000-0005-0000-0000-000058040000}"/>
    <cellStyle name="_MultipleSpace_BAE_model_new 3" xfId="1343" xr:uid="{00000000-0005-0000-0000-000059040000}"/>
    <cellStyle name="_MultipleSpace_Balance Sheet" xfId="218" xr:uid="{00000000-0005-0000-0000-00005A040000}"/>
    <cellStyle name="_MultipleSpace_BHI" xfId="1344" xr:uid="{00000000-0005-0000-0000-00005B040000}"/>
    <cellStyle name="_MultipleSpace_BHI_Copy of IFRS consol ABB Final Version4" xfId="1345" xr:uid="{00000000-0005-0000-0000-00005C040000}"/>
    <cellStyle name="_MultipleSpace_bls roic" xfId="1346" xr:uid="{00000000-0005-0000-0000-00005D040000}"/>
    <cellStyle name="_MultipleSpace_bls roic_Copy of IFRS consol ABB Final Version4" xfId="1347" xr:uid="{00000000-0005-0000-0000-00005E040000}"/>
    <cellStyle name="_MultipleSpace_Book1" xfId="219" xr:uid="{00000000-0005-0000-0000-00005F040000}"/>
    <cellStyle name="_MultipleSpace_Book1 2" xfId="1348" xr:uid="{00000000-0005-0000-0000-000060040000}"/>
    <cellStyle name="_MultipleSpace_Book1 3" xfId="1349" xr:uid="{00000000-0005-0000-0000-000061040000}"/>
    <cellStyle name="_MultipleSpace_Book1_WACC" xfId="1350" xr:uid="{00000000-0005-0000-0000-000062040000}"/>
    <cellStyle name="_MultipleSpace_Book1_WACC 2" xfId="1351" xr:uid="{00000000-0005-0000-0000-000063040000}"/>
    <cellStyle name="_MultipleSpace_Book1_WACC 3" xfId="1352" xr:uid="{00000000-0005-0000-0000-000064040000}"/>
    <cellStyle name="_MultipleSpace_Book29" xfId="220" xr:uid="{00000000-0005-0000-0000-000065040000}"/>
    <cellStyle name="_MultipleSpace_Book3" xfId="221" xr:uid="{00000000-0005-0000-0000-000066040000}"/>
    <cellStyle name="_MultipleSpace_Book3_1" xfId="222" xr:uid="{00000000-0005-0000-0000-000067040000}"/>
    <cellStyle name="_MultipleSpace_capital expenditures 6-18-02" xfId="1353" xr:uid="{00000000-0005-0000-0000-000068040000}"/>
    <cellStyle name="_MultipleSpace_capital expenditures 6-18-02_Copy of IFRS consol ABB Final Version4" xfId="1354" xr:uid="{00000000-0005-0000-0000-000069040000}"/>
    <cellStyle name="_MultipleSpace_CNO" xfId="223" xr:uid="{00000000-0005-0000-0000-00006A040000}"/>
    <cellStyle name="_MultipleSpace_Comdot - gStyle Excel Slides" xfId="1355" xr:uid="{00000000-0005-0000-0000-00006B040000}"/>
    <cellStyle name="_MultipleSpace_Comdot - gStyle Excel Slides 2" xfId="1356" xr:uid="{00000000-0005-0000-0000-00006C040000}"/>
    <cellStyle name="_MultipleSpace_Comdot - gStyle Excel Slides 3" xfId="1357" xr:uid="{00000000-0005-0000-0000-00006D040000}"/>
    <cellStyle name="_MultipleSpace_contribution_analysis" xfId="1358" xr:uid="{00000000-0005-0000-0000-00006E040000}"/>
    <cellStyle name="_MultipleSpace_Copy of IFRS consol ABB Final Version4" xfId="1359" xr:uid="{00000000-0005-0000-0000-00006F040000}"/>
    <cellStyle name="_MultipleSpace_Copy of IFRS consol ABB Final Version4 2" xfId="1360" xr:uid="{00000000-0005-0000-0000-000070040000}"/>
    <cellStyle name="_MultipleSpace_Copy of IFRS consol ABB Final Version4_1" xfId="1361" xr:uid="{00000000-0005-0000-0000-000071040000}"/>
    <cellStyle name="_MultipleSpace_Copy of IFRS consol ABB Final Version4_1 2" xfId="1362" xr:uid="{00000000-0005-0000-0000-000072040000}"/>
    <cellStyle name="_MultipleSpace_Copy of Spirent_now" xfId="1363" xr:uid="{00000000-0005-0000-0000-000073040000}"/>
    <cellStyle name="_MultipleSpace_Copy of Spirent_now 2" xfId="1364" xr:uid="{00000000-0005-0000-0000-000074040000}"/>
    <cellStyle name="_MultipleSpace_Copy of Spirent_now 3" xfId="1365" xr:uid="{00000000-0005-0000-0000-000075040000}"/>
    <cellStyle name="_MultipleSpace_CROCI" xfId="1366" xr:uid="{00000000-0005-0000-0000-000076040000}"/>
    <cellStyle name="_MultipleSpace_CROCI 2" xfId="1367" xr:uid="{00000000-0005-0000-0000-000077040000}"/>
    <cellStyle name="_MultipleSpace_csc" xfId="1368" xr:uid="{00000000-0005-0000-0000-000078040000}"/>
    <cellStyle name="_MultipleSpace_csc 2" xfId="1369" xr:uid="{00000000-0005-0000-0000-000079040000}"/>
    <cellStyle name="_MultipleSpace_csc 3" xfId="1370" xr:uid="{00000000-0005-0000-0000-00007A040000}"/>
    <cellStyle name="_MultipleSpace_CSC_Picabia_29062001" xfId="1371" xr:uid="{00000000-0005-0000-0000-00007B040000}"/>
    <cellStyle name="_MultipleSpace_CSC_Picabia_29062001 2" xfId="1372" xr:uid="{00000000-0005-0000-0000-00007C040000}"/>
    <cellStyle name="_MultipleSpace_CSC_Picabia_29062001 3" xfId="1373" xr:uid="{00000000-0005-0000-0000-00007D040000}"/>
    <cellStyle name="_MultipleSpace_DCF - July 2, 2001" xfId="1374" xr:uid="{00000000-0005-0000-0000-00007E040000}"/>
    <cellStyle name="_MultipleSpace_DCF - July 2, 2001 2" xfId="1375" xr:uid="{00000000-0005-0000-0000-00007F040000}"/>
    <cellStyle name="_MultipleSpace_DCF - July 2, 2001 3" xfId="1376" xr:uid="{00000000-0005-0000-0000-000080040000}"/>
    <cellStyle name="_MultipleSpace_DCF Alexander Forbes" xfId="224" xr:uid="{00000000-0005-0000-0000-000081040000}"/>
    <cellStyle name="_MultipleSpace_DCF Model + WACC" xfId="1377" xr:uid="{00000000-0005-0000-0000-000082040000}"/>
    <cellStyle name="_MultipleSpace_DCF Model + WACC 2" xfId="1378" xr:uid="{00000000-0005-0000-0000-000083040000}"/>
    <cellStyle name="_MultipleSpace_DCF Model + WACC 3" xfId="1379" xr:uid="{00000000-0005-0000-0000-000084040000}"/>
    <cellStyle name="_MultipleSpace_DCF-Synergies2" xfId="1380" xr:uid="{00000000-0005-0000-0000-000085040000}"/>
    <cellStyle name="_MultipleSpace_DCF-Synergies2 2" xfId="1381" xr:uid="{00000000-0005-0000-0000-000086040000}"/>
    <cellStyle name="_MultipleSpace_DCF-Synergies2 3" xfId="1382" xr:uid="{00000000-0005-0000-0000-000087040000}"/>
    <cellStyle name="_MultipleSpace_Electrolux CF" xfId="1383" xr:uid="{00000000-0005-0000-0000-000088040000}"/>
    <cellStyle name="_MultipleSpace_Electrolux CF 2" xfId="1384" xr:uid="{00000000-0005-0000-0000-000089040000}"/>
    <cellStyle name="_MultipleSpace_Electrolux CF_1" xfId="1385" xr:uid="{00000000-0005-0000-0000-00008A040000}"/>
    <cellStyle name="_MultipleSpace_Electrolux CF_1 2" xfId="1386" xr:uid="{00000000-0005-0000-0000-00008B040000}"/>
    <cellStyle name="_MultipleSpace_Electrolux MW" xfId="1387" xr:uid="{00000000-0005-0000-0000-00008C040000}"/>
    <cellStyle name="_MultipleSpace_Electrolux MW 2" xfId="1388" xr:uid="{00000000-0005-0000-0000-00008D040000}"/>
    <cellStyle name="_MultipleSpace_Electrolux Old Nick Paton Mark Wilson Model" xfId="1389" xr:uid="{00000000-0005-0000-0000-00008E040000}"/>
    <cellStyle name="_MultipleSpace_Electrolux Old Nick Paton Mark Wilson Model 2" xfId="1390" xr:uid="{00000000-0005-0000-0000-00008F040000}"/>
    <cellStyle name="_MultipleSpace_Electrolux WIP Bhavna" xfId="1391" xr:uid="{00000000-0005-0000-0000-000090040000}"/>
    <cellStyle name="_MultipleSpace_Electrolux WIP Bhavna 2" xfId="1392" xr:uid="{00000000-0005-0000-0000-000091040000}"/>
    <cellStyle name="_MultipleSpace_Eng" xfId="1393" xr:uid="{00000000-0005-0000-0000-000092040000}"/>
    <cellStyle name="_MultipleSpace_Eng 2" xfId="1394" xr:uid="{00000000-0005-0000-0000-000093040000}"/>
    <cellStyle name="_MultipleSpace_Eng 3" xfId="1395" xr:uid="{00000000-0005-0000-0000-000094040000}"/>
    <cellStyle name="_MultipleSpace_Finmeccanica" xfId="1396" xr:uid="{00000000-0005-0000-0000-000095040000}"/>
    <cellStyle name="_MultipleSpace_Finmeccanica SOP" xfId="1397" xr:uid="{00000000-0005-0000-0000-000096040000}"/>
    <cellStyle name="_MultipleSpace_fmbi counties" xfId="225" xr:uid="{00000000-0005-0000-0000-000097040000}"/>
    <cellStyle name="_MultipleSpace_FMBI MBHI Graphs" xfId="226" xr:uid="{00000000-0005-0000-0000-000098040000}"/>
    <cellStyle name="_MultipleSpace_FMBI MBHI Graphs 07102001" xfId="227" xr:uid="{00000000-0005-0000-0000-000099040000}"/>
    <cellStyle name="_MultipleSpace_FMBI MBHI Graphs_7601" xfId="228" xr:uid="{00000000-0005-0000-0000-00009A040000}"/>
    <cellStyle name="_MultipleSpace_Global ROIC 2007" xfId="1398" xr:uid="{00000000-0005-0000-0000-00009B040000}"/>
    <cellStyle name="_MultipleSpace_Global ROIC 2007 2" xfId="1399" xr:uid="{00000000-0005-0000-0000-00009C040000}"/>
    <cellStyle name="_MultipleSpace_Global ROIC 2007_Copy of IFRS consol ABB Final Version4" xfId="1400" xr:uid="{00000000-0005-0000-0000-00009D040000}"/>
    <cellStyle name="_MultipleSpace_Global ROIC 2007_Copy of IFRS consol ABB Final Version4 2" xfId="1401" xr:uid="{00000000-0005-0000-0000-00009E040000}"/>
    <cellStyle name="_MultipleSpace_GNW" xfId="229" xr:uid="{00000000-0005-0000-0000-00009F040000}"/>
    <cellStyle name="_MultipleSpace_Insurance Brokerage CSC_1Q2002" xfId="230" xr:uid="{00000000-0005-0000-0000-0000A0040000}"/>
    <cellStyle name="_MultipleSpace_integrated_standalone_ba" xfId="1402" xr:uid="{00000000-0005-0000-0000-0000A1040000}"/>
    <cellStyle name="_MultipleSpace_integrated_standalone_ba 2" xfId="1403" xr:uid="{00000000-0005-0000-0000-0000A2040000}"/>
    <cellStyle name="_MultipleSpace_integrated_standalone_ba 3" xfId="1404" xr:uid="{00000000-0005-0000-0000-0000A3040000}"/>
    <cellStyle name="_MultipleSpace_JP" xfId="231" xr:uid="{00000000-0005-0000-0000-0000A4040000}"/>
    <cellStyle name="_MultipleSpace_LBO Model Zannier - 04-09-01" xfId="1405" xr:uid="{00000000-0005-0000-0000-0000A5040000}"/>
    <cellStyle name="_MultipleSpace_LBO Model Zannier - 04-09-01 2" xfId="1406" xr:uid="{00000000-0005-0000-0000-0000A6040000}"/>
    <cellStyle name="_MultipleSpace_LBO Model Zannier - 04-09-01 3" xfId="1407" xr:uid="{00000000-0005-0000-0000-0000A7040000}"/>
    <cellStyle name="_MultipleSpace_LNC" xfId="232" xr:uid="{00000000-0005-0000-0000-0000A8040000}"/>
    <cellStyle name="_MultipleSpace_MET" xfId="233" xr:uid="{00000000-0005-0000-0000-0000A9040000}"/>
    <cellStyle name="_MultipleSpace_MET04" xfId="234" xr:uid="{00000000-0005-0000-0000-0000AA040000}"/>
    <cellStyle name="_MultipleSpace_Model Vague 07 conso - Dannaud" xfId="1408" xr:uid="{00000000-0005-0000-0000-0000AB040000}"/>
    <cellStyle name="_MultipleSpace_Model Vague 07 conso - Dannaud 2" xfId="1409" xr:uid="{00000000-0005-0000-0000-0000AC040000}"/>
    <cellStyle name="_MultipleSpace_Model Vague 07 conso - Dannaud 3" xfId="1410" xr:uid="{00000000-0005-0000-0000-0000AD040000}"/>
    <cellStyle name="_MultipleSpace_MTU Aero Engines" xfId="1411" xr:uid="{00000000-0005-0000-0000-0000AE040000}"/>
    <cellStyle name="_MultipleSpace_MTU Aero Engines 2" xfId="1412" xr:uid="{00000000-0005-0000-0000-0000AF040000}"/>
    <cellStyle name="_MultipleSpace_MTU Aero Engines 3" xfId="1413" xr:uid="{00000000-0005-0000-0000-0000B0040000}"/>
    <cellStyle name="_MultipleSpace_MTU Aero EnginesMICHA EVENING6" xfId="1414" xr:uid="{00000000-0005-0000-0000-0000B1040000}"/>
    <cellStyle name="_MultipleSpace_MTU Aero EnginesMICHA EVENING6 2" xfId="1415" xr:uid="{00000000-0005-0000-0000-0000B2040000}"/>
    <cellStyle name="_MultipleSpace_MTU Aero EnginesMICHA EVENING6 3" xfId="1416" xr:uid="{00000000-0005-0000-0000-0000B3040000}"/>
    <cellStyle name="_MultipleSpace_MTU FX sheet" xfId="1417" xr:uid="{00000000-0005-0000-0000-0000B4040000}"/>
    <cellStyle name="_MultipleSpace_MTU FX sheet 2" xfId="1418" xr:uid="{00000000-0005-0000-0000-0000B5040000}"/>
    <cellStyle name="_MultipleSpace_MTU FX sheet 3" xfId="1419" xr:uid="{00000000-0005-0000-0000-0000B6040000}"/>
    <cellStyle name="_MultipleSpace_NFS" xfId="235" xr:uid="{00000000-0005-0000-0000-0000B7040000}"/>
    <cellStyle name="_MultipleSpace_output" xfId="1420" xr:uid="{00000000-0005-0000-0000-0000B8040000}"/>
    <cellStyle name="_MultipleSpace_output 2" xfId="1421" xr:uid="{00000000-0005-0000-0000-0000B9040000}"/>
    <cellStyle name="_MultipleSpace_output 3" xfId="1422" xr:uid="{00000000-0005-0000-0000-0000BA040000}"/>
    <cellStyle name="_MultipleSpace_Overview3" xfId="236" xr:uid="{00000000-0005-0000-0000-0000BB040000}"/>
    <cellStyle name="_MultipleSpace_phil data" xfId="237" xr:uid="{00000000-0005-0000-0000-0000BC040000}"/>
    <cellStyle name="_MultipleSpace_Price Performance Charts" xfId="238" xr:uid="{00000000-0005-0000-0000-0000BD040000}"/>
    <cellStyle name="_MultipleSpace_PRU" xfId="239" xr:uid="{00000000-0005-0000-0000-0000BE040000}"/>
    <cellStyle name="_MultipleSpace_PRU04" xfId="240" xr:uid="{00000000-0005-0000-0000-0000BF040000}"/>
    <cellStyle name="_MultipleSpace_QP_XXX" xfId="1423" xr:uid="{00000000-0005-0000-0000-0000C0040000}"/>
    <cellStyle name="_MultipleSpace_QP_XXX 2" xfId="1424" xr:uid="{00000000-0005-0000-0000-0000C1040000}"/>
    <cellStyle name="_MultipleSpace_QP_XXX_Copy of IFRS consol ABB Final Version4" xfId="1425" xr:uid="{00000000-0005-0000-0000-0000C2040000}"/>
    <cellStyle name="_MultipleSpace_QP_XXX_Copy of IFRS consol ABB Final Version4 2" xfId="1426" xr:uid="{00000000-0005-0000-0000-0000C3040000}"/>
    <cellStyle name="_MultipleSpace_RBOC historicals" xfId="1427" xr:uid="{00000000-0005-0000-0000-0000C4040000}"/>
    <cellStyle name="_MultipleSpace_RBOC historicals_Copy of IFRS consol ABB Final Version4" xfId="1428" xr:uid="{00000000-0005-0000-0000-0000C5040000}"/>
    <cellStyle name="_MultipleSpace_Rheinmetall" xfId="1429" xr:uid="{00000000-0005-0000-0000-0000C6040000}"/>
    <cellStyle name="_MultipleSpace_Rheinmetall_1" xfId="1430" xr:uid="{00000000-0005-0000-0000-0000C7040000}"/>
    <cellStyle name="_MultipleSpace_Rheinmetall_1 2" xfId="1431" xr:uid="{00000000-0005-0000-0000-0000C8040000}"/>
    <cellStyle name="_MultipleSpace_Rheinmetall_1 3" xfId="1432" xr:uid="{00000000-0005-0000-0000-0000C9040000}"/>
    <cellStyle name="_MultipleSpace_RHM" xfId="1433" xr:uid="{00000000-0005-0000-0000-0000CA040000}"/>
    <cellStyle name="_MultipleSpace_RiskReward" xfId="241" xr:uid="{00000000-0005-0000-0000-0000CB040000}"/>
    <cellStyle name="_MultipleSpace_ROIC" xfId="1434" xr:uid="{00000000-0005-0000-0000-0000CC040000}"/>
    <cellStyle name="_MultipleSpace_ROIC 2" xfId="1435" xr:uid="{00000000-0005-0000-0000-0000CD040000}"/>
    <cellStyle name="_MultipleSpace_ROIC 3" xfId="1436" xr:uid="{00000000-0005-0000-0000-0000CE040000}"/>
    <cellStyle name="_MultipleSpace_Rolls-Royce" xfId="1437" xr:uid="{00000000-0005-0000-0000-0000CF040000}"/>
    <cellStyle name="_MultipleSpace_Rolls-Royce Micha" xfId="1438" xr:uid="{00000000-0005-0000-0000-0000D0040000}"/>
    <cellStyle name="_MultipleSpace_Rolls-Royce Micha 2" xfId="1439" xr:uid="{00000000-0005-0000-0000-0000D1040000}"/>
    <cellStyle name="_MultipleSpace_Rolls-Royce Micha 3" xfId="1440" xr:uid="{00000000-0005-0000-0000-0000D2040000}"/>
    <cellStyle name="_MultipleSpace_Rolls-RoyceFINAL130206" xfId="1441" xr:uid="{00000000-0005-0000-0000-0000D3040000}"/>
    <cellStyle name="_MultipleSpace_Rolls-RoyceFINAL130206 2" xfId="1442" xr:uid="{00000000-0005-0000-0000-0000D4040000}"/>
    <cellStyle name="_MultipleSpace_Rolls-RoyceFINAL130206 3" xfId="1443" xr:uid="{00000000-0005-0000-0000-0000D5040000}"/>
    <cellStyle name="_MultipleSpace_RR FY06" xfId="1444" xr:uid="{00000000-0005-0000-0000-0000D6040000}"/>
    <cellStyle name="_MultipleSpace_RR FY06 2" xfId="1445" xr:uid="{00000000-0005-0000-0000-0000D7040000}"/>
    <cellStyle name="_MultipleSpace_RR FY06 3" xfId="1446" xr:uid="{00000000-0005-0000-0000-0000D8040000}"/>
    <cellStyle name="_MultipleSpace_SaabOLD" xfId="1447" xr:uid="{00000000-0005-0000-0000-0000D9040000}"/>
    <cellStyle name="_MultipleSpace_Safran" xfId="1448" xr:uid="{00000000-0005-0000-0000-0000DA040000}"/>
    <cellStyle name="_MultipleSpace_Safran 2" xfId="1449" xr:uid="{00000000-0005-0000-0000-0000DB040000}"/>
    <cellStyle name="_MultipleSpace_Safran 3" xfId="1450" xr:uid="{00000000-0005-0000-0000-0000DC040000}"/>
    <cellStyle name="_MultipleSpace_Saft vs Peers" xfId="1451" xr:uid="{00000000-0005-0000-0000-0000DD040000}"/>
    <cellStyle name="_MultipleSpace_Saft vs Peers 2" xfId="1452" xr:uid="{00000000-0005-0000-0000-0000DE040000}"/>
    <cellStyle name="_MultipleSpace_Saft vs Peers 3" xfId="1453" xr:uid="{00000000-0005-0000-0000-0000DF040000}"/>
    <cellStyle name="_MultipleSpace_SFG" xfId="242" xr:uid="{00000000-0005-0000-0000-0000E0040000}"/>
    <cellStyle name="_MultipleSpace_Sheet1" xfId="243" xr:uid="{00000000-0005-0000-0000-0000E1040000}"/>
    <cellStyle name="_MultipleSpace_SIFI OLD" xfId="1454" xr:uid="{00000000-0005-0000-0000-0000E2040000}"/>
    <cellStyle name="_MultipleSpace_SIFINEW" xfId="1455" xr:uid="{00000000-0005-0000-0000-0000E3040000}"/>
    <cellStyle name="_MultipleSpace_SIFINEW 2" xfId="1456" xr:uid="{00000000-0005-0000-0000-0000E4040000}"/>
    <cellStyle name="_MultipleSpace_SIFINEW 3" xfId="1457" xr:uid="{00000000-0005-0000-0000-0000E5040000}"/>
    <cellStyle name="_MultipleSpace_Smiths Group" xfId="1458" xr:uid="{00000000-0005-0000-0000-0000E6040000}"/>
    <cellStyle name="_MultipleSpace_Smiths Group - OLD" xfId="1459" xr:uid="{00000000-0005-0000-0000-0000E7040000}"/>
    <cellStyle name="_MultipleSpace_Stock-QTR1 FDS" xfId="244" xr:uid="{00000000-0005-0000-0000-0000E8040000}"/>
    <cellStyle name="_MultipleSpace_T - new" xfId="1460" xr:uid="{00000000-0005-0000-0000-0000E9040000}"/>
    <cellStyle name="_MultipleSpace_T - new_Copy of IFRS consol ABB Final Version4" xfId="1461" xr:uid="{00000000-0005-0000-0000-0000EA040000}"/>
    <cellStyle name="_MultipleSpace_TMK" xfId="245" xr:uid="{00000000-0005-0000-0000-0000EB040000}"/>
    <cellStyle name="_MultipleSpace_Updated Valuation Changes" xfId="246" xr:uid="{00000000-0005-0000-0000-0000EC040000}"/>
    <cellStyle name="_MultipleSpace_Vague LBO Model - 19 July 2001" xfId="1462" xr:uid="{00000000-0005-0000-0000-0000ED040000}"/>
    <cellStyle name="_MultipleSpace_Vague LBO Model - 19 July 2001 2" xfId="1463" xr:uid="{00000000-0005-0000-0000-0000EE040000}"/>
    <cellStyle name="_MultipleSpace_Vague LBO Model - 19 July 2001 3" xfId="1464" xr:uid="{00000000-0005-0000-0000-0000EF040000}"/>
    <cellStyle name="_MultipleSpace_Valuation Graphs" xfId="247" xr:uid="{00000000-0005-0000-0000-0000F0040000}"/>
    <cellStyle name="_MultipleSpace_Vinci" xfId="1465" xr:uid="{00000000-0005-0000-0000-0000F1040000}"/>
    <cellStyle name="_MultipleSpace_WACC" xfId="1466" xr:uid="{00000000-0005-0000-0000-0000F2040000}"/>
    <cellStyle name="_MultipleSpace_WACC 2" xfId="1467" xr:uid="{00000000-0005-0000-0000-0000F3040000}"/>
    <cellStyle name="_MultipleSpace_WACC 3" xfId="1468" xr:uid="{00000000-0005-0000-0000-0000F4040000}"/>
    <cellStyle name="_MultipleSpace_WACC Analysis" xfId="1469" xr:uid="{00000000-0005-0000-0000-0000F5040000}"/>
    <cellStyle name="_MultipleSpace_WACC Analysis 2" xfId="1470" xr:uid="{00000000-0005-0000-0000-0000F6040000}"/>
    <cellStyle name="_MultipleSpace_WACC Analysis 3" xfId="1471" xr:uid="{00000000-0005-0000-0000-0000F7040000}"/>
    <cellStyle name="_MultipleSpace_xratio - historical mkt val" xfId="248" xr:uid="{00000000-0005-0000-0000-0000F8040000}"/>
    <cellStyle name="_NOK_now" xfId="1472" xr:uid="{00000000-0005-0000-0000-0000F9040000}"/>
    <cellStyle name="_Percent" xfId="249" xr:uid="{00000000-0005-0000-0000-0000FA040000}"/>
    <cellStyle name="_Percent 2" xfId="1473" xr:uid="{00000000-0005-0000-0000-0000FB040000}"/>
    <cellStyle name="_Percent 3" xfId="1474" xr:uid="{00000000-0005-0000-0000-0000FC040000}"/>
    <cellStyle name="_Percent_05 CSC_Picabia_02042002" xfId="1475" xr:uid="{00000000-0005-0000-0000-0000FD040000}"/>
    <cellStyle name="_Percent_05 CSC_Picabia_02042002 2" xfId="1476" xr:uid="{00000000-0005-0000-0000-0000FE040000}"/>
    <cellStyle name="_Percent_05 CSC_Picabia_02042002 3" xfId="1477" xr:uid="{00000000-0005-0000-0000-0000FF040000}"/>
    <cellStyle name="_Percent_Aero DCF" xfId="1478" xr:uid="{00000000-0005-0000-0000-000000050000}"/>
    <cellStyle name="_Percent_Aero DCF 2" xfId="1479" xr:uid="{00000000-0005-0000-0000-000001050000}"/>
    <cellStyle name="_Percent_Aero DCF 3" xfId="1480" xr:uid="{00000000-0005-0000-0000-000002050000}"/>
    <cellStyle name="_Percent_ASF" xfId="1481" xr:uid="{00000000-0005-0000-0000-000003050000}"/>
    <cellStyle name="_Percent_ASF 2" xfId="1482" xr:uid="{00000000-0005-0000-0000-000004050000}"/>
    <cellStyle name="_Percent_ASF 3" xfId="1483" xr:uid="{00000000-0005-0000-0000-000005050000}"/>
    <cellStyle name="_Percent_ASF1" xfId="1484" xr:uid="{00000000-0005-0000-0000-000006050000}"/>
    <cellStyle name="_Percent_ASF1 2" xfId="1485" xr:uid="{00000000-0005-0000-0000-000007050000}"/>
    <cellStyle name="_Percent_ASF1 3" xfId="1486" xr:uid="{00000000-0005-0000-0000-000008050000}"/>
    <cellStyle name="_Percent_Assa CF" xfId="1487" xr:uid="{00000000-0005-0000-0000-000009050000}"/>
    <cellStyle name="_Percent_Assa CF 2" xfId="1488" xr:uid="{00000000-0005-0000-0000-00000A050000}"/>
    <cellStyle name="_Percent_Assa CF 3" xfId="1489" xr:uid="{00000000-0005-0000-0000-00000B050000}"/>
    <cellStyle name="_Percent_Assa Reference" xfId="1490" xr:uid="{00000000-0005-0000-0000-00000C050000}"/>
    <cellStyle name="_Percent_Assa Reference 2" xfId="1491" xr:uid="{00000000-0005-0000-0000-00000D050000}"/>
    <cellStyle name="_Percent_Assa Reference 3" xfId="1492" xr:uid="{00000000-0005-0000-0000-00000E050000}"/>
    <cellStyle name="_Percent_Assa vs Competition" xfId="1493" xr:uid="{00000000-0005-0000-0000-00000F050000}"/>
    <cellStyle name="_Percent_Assa vs Competition 2" xfId="1494" xr:uid="{00000000-0005-0000-0000-000010050000}"/>
    <cellStyle name="_Percent_Assa vs Competition 3" xfId="1495" xr:uid="{00000000-0005-0000-0000-000011050000}"/>
    <cellStyle name="_Percent_Atlas Copco CF" xfId="1496" xr:uid="{00000000-0005-0000-0000-000012050000}"/>
    <cellStyle name="_Percent_Atlas Copco CF 2" xfId="1497" xr:uid="{00000000-0005-0000-0000-000013050000}"/>
    <cellStyle name="_Percent_AVP" xfId="1498" xr:uid="{00000000-0005-0000-0000-000014050000}"/>
    <cellStyle name="_Percent_AVP 2" xfId="1499" xr:uid="{00000000-0005-0000-0000-000015050000}"/>
    <cellStyle name="_Percent_AVP 3" xfId="1500" xr:uid="{00000000-0005-0000-0000-000016050000}"/>
    <cellStyle name="_Percent_BAE_model_new" xfId="1501" xr:uid="{00000000-0005-0000-0000-000017050000}"/>
    <cellStyle name="_Percent_BAE_model_new 2" xfId="1502" xr:uid="{00000000-0005-0000-0000-000018050000}"/>
    <cellStyle name="_Percent_BAE_model_new 3" xfId="1503" xr:uid="{00000000-0005-0000-0000-000019050000}"/>
    <cellStyle name="_Percent_BHI" xfId="1504" xr:uid="{00000000-0005-0000-0000-00001A050000}"/>
    <cellStyle name="_Percent_BHI_Copy of IFRS consol ABB Final Version4" xfId="1505" xr:uid="{00000000-0005-0000-0000-00001B050000}"/>
    <cellStyle name="_Percent_Book1" xfId="1506" xr:uid="{00000000-0005-0000-0000-00001C050000}"/>
    <cellStyle name="_Percent_Book1 2" xfId="1507" xr:uid="{00000000-0005-0000-0000-00001D050000}"/>
    <cellStyle name="_Percent_Book1 3" xfId="1508" xr:uid="{00000000-0005-0000-0000-00001E050000}"/>
    <cellStyle name="_Percent_Comdot - gStyle Excel Slides" xfId="1509" xr:uid="{00000000-0005-0000-0000-00001F050000}"/>
    <cellStyle name="_Percent_Comdot - gStyle Excel Slides 2" xfId="1510" xr:uid="{00000000-0005-0000-0000-000020050000}"/>
    <cellStyle name="_Percent_Comdot - gStyle Excel Slides 3" xfId="1511" xr:uid="{00000000-0005-0000-0000-000021050000}"/>
    <cellStyle name="_Percent_Comdot LBO Short Form - v3" xfId="1512" xr:uid="{00000000-0005-0000-0000-000022050000}"/>
    <cellStyle name="_Percent_Comdot LBO Short Form - v3 2" xfId="1513" xr:uid="{00000000-0005-0000-0000-000023050000}"/>
    <cellStyle name="_Percent_Comdot LBO Short Form - v3 3" xfId="1514" xr:uid="{00000000-0005-0000-0000-000024050000}"/>
    <cellStyle name="_Percent_contribution_analysis" xfId="1515" xr:uid="{00000000-0005-0000-0000-000025050000}"/>
    <cellStyle name="_Percent_Copy of IFRS consol ABB Final Version4" xfId="1516" xr:uid="{00000000-0005-0000-0000-000026050000}"/>
    <cellStyle name="_Percent_Copy of IFRS consol ABB Final Version4 2" xfId="1517" xr:uid="{00000000-0005-0000-0000-000027050000}"/>
    <cellStyle name="_Percent_Copy of IFRS consol ABB Final Version4_1" xfId="1518" xr:uid="{00000000-0005-0000-0000-000028050000}"/>
    <cellStyle name="_Percent_Copy of IFRS consol ABB Final Version4_1 2" xfId="1519" xr:uid="{00000000-0005-0000-0000-000029050000}"/>
    <cellStyle name="_Percent_Copy of Spirent_now" xfId="1520" xr:uid="{00000000-0005-0000-0000-00002A050000}"/>
    <cellStyle name="_Percent_Copy of Spirent_now 2" xfId="1521" xr:uid="{00000000-0005-0000-0000-00002B050000}"/>
    <cellStyle name="_Percent_Copy of Spirent_now 3" xfId="1522" xr:uid="{00000000-0005-0000-0000-00002C050000}"/>
    <cellStyle name="_Percent_CROCI" xfId="1523" xr:uid="{00000000-0005-0000-0000-00002D050000}"/>
    <cellStyle name="_Percent_CROCI 2" xfId="1524" xr:uid="{00000000-0005-0000-0000-00002E050000}"/>
    <cellStyle name="_Percent_DCF - July 2, 2001" xfId="1525" xr:uid="{00000000-0005-0000-0000-00002F050000}"/>
    <cellStyle name="_Percent_DCF - July 2, 2001 2" xfId="1526" xr:uid="{00000000-0005-0000-0000-000030050000}"/>
    <cellStyle name="_Percent_DCF - July 2, 2001 3" xfId="1527" xr:uid="{00000000-0005-0000-0000-000031050000}"/>
    <cellStyle name="_Percent_DCF Alexander Forbes" xfId="250" xr:uid="{00000000-0005-0000-0000-000032050000}"/>
    <cellStyle name="_Percent_Electrolux CF" xfId="1528" xr:uid="{00000000-0005-0000-0000-000033050000}"/>
    <cellStyle name="_Percent_Electrolux CF 2" xfId="1529" xr:uid="{00000000-0005-0000-0000-000034050000}"/>
    <cellStyle name="_Percent_Eng" xfId="1530" xr:uid="{00000000-0005-0000-0000-000035050000}"/>
    <cellStyle name="_Percent_Eng 2" xfId="1531" xr:uid="{00000000-0005-0000-0000-000036050000}"/>
    <cellStyle name="_Percent_Eng 3" xfId="1532" xr:uid="{00000000-0005-0000-0000-000037050000}"/>
    <cellStyle name="_Percent_FMBI MBHI Graphs" xfId="251" xr:uid="{00000000-0005-0000-0000-000038050000}"/>
    <cellStyle name="_Percent_FMBI MBHI Graphs 07102001" xfId="252" xr:uid="{00000000-0005-0000-0000-000039050000}"/>
    <cellStyle name="_Percent_FMBI MBHI Graphs_7601" xfId="253" xr:uid="{00000000-0005-0000-0000-00003A050000}"/>
    <cellStyle name="_Percent_Global ROIC 2007" xfId="1533" xr:uid="{00000000-0005-0000-0000-00003B050000}"/>
    <cellStyle name="_Percent_Global ROIC 2007 2" xfId="1534" xr:uid="{00000000-0005-0000-0000-00003C050000}"/>
    <cellStyle name="_Percent_Global ROIC 2007_Copy of IFRS consol ABB Final Version4" xfId="1535" xr:uid="{00000000-0005-0000-0000-00003D050000}"/>
    <cellStyle name="_Percent_Global ROIC 2007_Copy of IFRS consol ABB Final Version4 2" xfId="1536" xr:uid="{00000000-0005-0000-0000-00003E050000}"/>
    <cellStyle name="_Percent_LBO Model Zannier - 04-09-01" xfId="1537" xr:uid="{00000000-0005-0000-0000-00003F050000}"/>
    <cellStyle name="_Percent_LBO Model Zannier - 04-09-01 2" xfId="1538" xr:uid="{00000000-0005-0000-0000-000040050000}"/>
    <cellStyle name="_Percent_LBO Model Zannier - 04-09-01 3" xfId="1539" xr:uid="{00000000-0005-0000-0000-000041050000}"/>
    <cellStyle name="_Percent_Model Vague 07 conso - Dannaud" xfId="1540" xr:uid="{00000000-0005-0000-0000-000042050000}"/>
    <cellStyle name="_Percent_Model Vague 07 conso - Dannaud 2" xfId="1541" xr:uid="{00000000-0005-0000-0000-000043050000}"/>
    <cellStyle name="_Percent_Model Vague 07 conso - Dannaud 3" xfId="1542" xr:uid="{00000000-0005-0000-0000-000044050000}"/>
    <cellStyle name="_Percent_MTU Aero Engines" xfId="1543" xr:uid="{00000000-0005-0000-0000-000045050000}"/>
    <cellStyle name="_Percent_MTU Aero Engines 2" xfId="1544" xr:uid="{00000000-0005-0000-0000-000046050000}"/>
    <cellStyle name="_Percent_MTU Aero Engines 3" xfId="1545" xr:uid="{00000000-0005-0000-0000-000047050000}"/>
    <cellStyle name="_Percent_MTU Aero EnginesMICHA EVENING6" xfId="1546" xr:uid="{00000000-0005-0000-0000-000048050000}"/>
    <cellStyle name="_Percent_MTU Aero EnginesMICHA EVENING6 2" xfId="1547" xr:uid="{00000000-0005-0000-0000-000049050000}"/>
    <cellStyle name="_Percent_MTU Aero EnginesMICHA EVENING6 3" xfId="1548" xr:uid="{00000000-0005-0000-0000-00004A050000}"/>
    <cellStyle name="_Percent_MTU FX sheet" xfId="1549" xr:uid="{00000000-0005-0000-0000-00004B050000}"/>
    <cellStyle name="_Percent_MTU FX sheet 2" xfId="1550" xr:uid="{00000000-0005-0000-0000-00004C050000}"/>
    <cellStyle name="_Percent_MTU FX sheet 3" xfId="1551" xr:uid="{00000000-0005-0000-0000-00004D050000}"/>
    <cellStyle name="_Percent_QP_XXX" xfId="1552" xr:uid="{00000000-0005-0000-0000-00004E050000}"/>
    <cellStyle name="_Percent_QP_XXX 2" xfId="1553" xr:uid="{00000000-0005-0000-0000-00004F050000}"/>
    <cellStyle name="_Percent_QP_XXX_Copy of IFRS consol ABB Final Version4" xfId="1554" xr:uid="{00000000-0005-0000-0000-000050050000}"/>
    <cellStyle name="_Percent_QP_XXX_Copy of IFRS consol ABB Final Version4 2" xfId="1555" xr:uid="{00000000-0005-0000-0000-000051050000}"/>
    <cellStyle name="_Percent_Rheinmetall" xfId="1556" xr:uid="{00000000-0005-0000-0000-000052050000}"/>
    <cellStyle name="_Percent_Rheinmetall 2" xfId="1557" xr:uid="{00000000-0005-0000-0000-000053050000}"/>
    <cellStyle name="_Percent_Rheinmetall 3" xfId="1558" xr:uid="{00000000-0005-0000-0000-000054050000}"/>
    <cellStyle name="_Percent_ROIC" xfId="1559" xr:uid="{00000000-0005-0000-0000-000055050000}"/>
    <cellStyle name="_Percent_ROIC 2" xfId="1560" xr:uid="{00000000-0005-0000-0000-000056050000}"/>
    <cellStyle name="_Percent_ROIC 3" xfId="1561" xr:uid="{00000000-0005-0000-0000-000057050000}"/>
    <cellStyle name="_Percent_Rolls-Royce" xfId="1562" xr:uid="{00000000-0005-0000-0000-000058050000}"/>
    <cellStyle name="_Percent_Rolls-Royce 2" xfId="1563" xr:uid="{00000000-0005-0000-0000-000059050000}"/>
    <cellStyle name="_Percent_Rolls-Royce 3" xfId="1564" xr:uid="{00000000-0005-0000-0000-00005A050000}"/>
    <cellStyle name="_Percent_Rolls-Royce Micha" xfId="1565" xr:uid="{00000000-0005-0000-0000-00005B050000}"/>
    <cellStyle name="_Percent_Rolls-Royce Micha 2" xfId="1566" xr:uid="{00000000-0005-0000-0000-00005C050000}"/>
    <cellStyle name="_Percent_Rolls-Royce Micha 3" xfId="1567" xr:uid="{00000000-0005-0000-0000-00005D050000}"/>
    <cellStyle name="_Percent_Rolls-RoyceFINAL130206" xfId="1568" xr:uid="{00000000-0005-0000-0000-00005E050000}"/>
    <cellStyle name="_Percent_Rolls-RoyceFINAL130206 2" xfId="1569" xr:uid="{00000000-0005-0000-0000-00005F050000}"/>
    <cellStyle name="_Percent_Rolls-RoyceFINAL130206 3" xfId="1570" xr:uid="{00000000-0005-0000-0000-000060050000}"/>
    <cellStyle name="_Percent_RR FY06" xfId="1571" xr:uid="{00000000-0005-0000-0000-000061050000}"/>
    <cellStyle name="_Percent_RR FY06 2" xfId="1572" xr:uid="{00000000-0005-0000-0000-000062050000}"/>
    <cellStyle name="_Percent_RR FY06 3" xfId="1573" xr:uid="{00000000-0005-0000-0000-000063050000}"/>
    <cellStyle name="_Percent_Safran" xfId="1574" xr:uid="{00000000-0005-0000-0000-000064050000}"/>
    <cellStyle name="_Percent_Safran 2" xfId="1575" xr:uid="{00000000-0005-0000-0000-000065050000}"/>
    <cellStyle name="_Percent_Safran 3" xfId="1576" xr:uid="{00000000-0005-0000-0000-000066050000}"/>
    <cellStyle name="_Percent_Saft vs Peers" xfId="1577" xr:uid="{00000000-0005-0000-0000-000067050000}"/>
    <cellStyle name="_Percent_Saft vs Peers 2" xfId="1578" xr:uid="{00000000-0005-0000-0000-000068050000}"/>
    <cellStyle name="_Percent_Saft vs Peers 3" xfId="1579" xr:uid="{00000000-0005-0000-0000-000069050000}"/>
    <cellStyle name="_Percent_WACC" xfId="1580" xr:uid="{00000000-0005-0000-0000-00006A050000}"/>
    <cellStyle name="_Percent_WACC 2" xfId="1581" xr:uid="{00000000-0005-0000-0000-00006B050000}"/>
    <cellStyle name="_Percent_WACC 3" xfId="1582" xr:uid="{00000000-0005-0000-0000-00006C050000}"/>
    <cellStyle name="_PercentSpace" xfId="254" xr:uid="{00000000-0005-0000-0000-00006D050000}"/>
    <cellStyle name="_PercentSpace 2" xfId="1583" xr:uid="{00000000-0005-0000-0000-00006E050000}"/>
    <cellStyle name="_PercentSpace 3" xfId="1584" xr:uid="{00000000-0005-0000-0000-00006F050000}"/>
    <cellStyle name="_PercentSpace_01 adj for merger plan" xfId="255" xr:uid="{00000000-0005-0000-0000-000070050000}"/>
    <cellStyle name="_PercentSpace_Atlas Copco CF" xfId="1585" xr:uid="{00000000-0005-0000-0000-000071050000}"/>
    <cellStyle name="_PercentSpace_Atlas Copco CF 2" xfId="1586" xr:uid="{00000000-0005-0000-0000-000072050000}"/>
    <cellStyle name="_PercentSpace_AVP" xfId="1587" xr:uid="{00000000-0005-0000-0000-000073050000}"/>
    <cellStyle name="_PercentSpace_AVP 2" xfId="1588" xr:uid="{00000000-0005-0000-0000-000074050000}"/>
    <cellStyle name="_PercentSpace_AVP 3" xfId="1589" xr:uid="{00000000-0005-0000-0000-000075050000}"/>
    <cellStyle name="_PercentSpace_BHI" xfId="1590" xr:uid="{00000000-0005-0000-0000-000076050000}"/>
    <cellStyle name="_PercentSpace_BHI_Copy of IFRS consol ABB Final Version4" xfId="1591" xr:uid="{00000000-0005-0000-0000-000077050000}"/>
    <cellStyle name="_PercentSpace_Book1" xfId="1592" xr:uid="{00000000-0005-0000-0000-000078050000}"/>
    <cellStyle name="_PercentSpace_Book1 2" xfId="1593" xr:uid="{00000000-0005-0000-0000-000079050000}"/>
    <cellStyle name="_PercentSpace_Book1 3" xfId="1594" xr:uid="{00000000-0005-0000-0000-00007A050000}"/>
    <cellStyle name="_PercentSpace_Comdot - gStyle Excel Slides" xfId="1595" xr:uid="{00000000-0005-0000-0000-00007B050000}"/>
    <cellStyle name="_PercentSpace_Comdot - gStyle Excel Slides 2" xfId="1596" xr:uid="{00000000-0005-0000-0000-00007C050000}"/>
    <cellStyle name="_PercentSpace_Comdot - gStyle Excel Slides 3" xfId="1597" xr:uid="{00000000-0005-0000-0000-00007D050000}"/>
    <cellStyle name="_PercentSpace_Comdot LBO Short Form - v3" xfId="1598" xr:uid="{00000000-0005-0000-0000-00007E050000}"/>
    <cellStyle name="_PercentSpace_Comdot LBO Short Form - v3 2" xfId="1599" xr:uid="{00000000-0005-0000-0000-00007F050000}"/>
    <cellStyle name="_PercentSpace_Comdot LBO Short Form - v3 3" xfId="1600" xr:uid="{00000000-0005-0000-0000-000080050000}"/>
    <cellStyle name="_PercentSpace_contribution_analysis" xfId="1601" xr:uid="{00000000-0005-0000-0000-000081050000}"/>
    <cellStyle name="_PercentSpace_Copy of IFRS consol ABB Final Version4" xfId="1602" xr:uid="{00000000-0005-0000-0000-000082050000}"/>
    <cellStyle name="_PercentSpace_Copy of IFRS consol ABB Final Version4 2" xfId="1603" xr:uid="{00000000-0005-0000-0000-000083050000}"/>
    <cellStyle name="_PercentSpace_Copy of IFRS consol ABB Final Version4_1" xfId="1604" xr:uid="{00000000-0005-0000-0000-000084050000}"/>
    <cellStyle name="_PercentSpace_Copy of IFRS consol ABB Final Version4_1 2" xfId="1605" xr:uid="{00000000-0005-0000-0000-000085050000}"/>
    <cellStyle name="_PercentSpace_CROCI" xfId="1606" xr:uid="{00000000-0005-0000-0000-000086050000}"/>
    <cellStyle name="_PercentSpace_CROCI 2" xfId="1607" xr:uid="{00000000-0005-0000-0000-000087050000}"/>
    <cellStyle name="_PercentSpace_DCF - July 2, 2001" xfId="1608" xr:uid="{00000000-0005-0000-0000-000088050000}"/>
    <cellStyle name="_PercentSpace_DCF - July 2, 2001 2" xfId="1609" xr:uid="{00000000-0005-0000-0000-000089050000}"/>
    <cellStyle name="_PercentSpace_DCF - July 2, 2001 3" xfId="1610" xr:uid="{00000000-0005-0000-0000-00008A050000}"/>
    <cellStyle name="_PercentSpace_DCF Alexander Forbes" xfId="256" xr:uid="{00000000-0005-0000-0000-00008B050000}"/>
    <cellStyle name="_PercentSpace_Electrolux CF" xfId="1611" xr:uid="{00000000-0005-0000-0000-00008C050000}"/>
    <cellStyle name="_PercentSpace_Electrolux CF 2" xfId="1612" xr:uid="{00000000-0005-0000-0000-00008D050000}"/>
    <cellStyle name="_PercentSpace_FMBI MBHI Graphs" xfId="257" xr:uid="{00000000-0005-0000-0000-00008E050000}"/>
    <cellStyle name="_PercentSpace_FMBI MBHI Graphs 07102001" xfId="258" xr:uid="{00000000-0005-0000-0000-00008F050000}"/>
    <cellStyle name="_PercentSpace_FMBI MBHI Graphs_7601" xfId="259" xr:uid="{00000000-0005-0000-0000-000090050000}"/>
    <cellStyle name="_PercentSpace_LBO Model Zannier - 04-09-01" xfId="1613" xr:uid="{00000000-0005-0000-0000-000091050000}"/>
    <cellStyle name="_PercentSpace_LBO Model Zannier - 04-09-01 2" xfId="1614" xr:uid="{00000000-0005-0000-0000-000092050000}"/>
    <cellStyle name="_PercentSpace_LBO Model Zannier - 04-09-01 3" xfId="1615" xr:uid="{00000000-0005-0000-0000-000093050000}"/>
    <cellStyle name="_PercentSpace_Model Vague 07 conso - Dannaud" xfId="1616" xr:uid="{00000000-0005-0000-0000-000094050000}"/>
    <cellStyle name="_PercentSpace_Model Vague 07 conso - Dannaud 2" xfId="1617" xr:uid="{00000000-0005-0000-0000-000095050000}"/>
    <cellStyle name="_PercentSpace_Model Vague 07 conso - Dannaud 3" xfId="1618" xr:uid="{00000000-0005-0000-0000-000096050000}"/>
    <cellStyle name="_PercentSpace_QP_XXX" xfId="1619" xr:uid="{00000000-0005-0000-0000-000097050000}"/>
    <cellStyle name="_PercentSpace_QP_XXX 2" xfId="1620" xr:uid="{00000000-0005-0000-0000-000098050000}"/>
    <cellStyle name="_PercentSpace_QP_XXX_Copy of IFRS consol ABB Final Version4" xfId="1621" xr:uid="{00000000-0005-0000-0000-000099050000}"/>
    <cellStyle name="_PercentSpace_QP_XXX_Copy of IFRS consol ABB Final Version4 2" xfId="1622" xr:uid="{00000000-0005-0000-0000-00009A050000}"/>
    <cellStyle name="_PercentSpace_WACC" xfId="1623" xr:uid="{00000000-0005-0000-0000-00009B050000}"/>
    <cellStyle name="_PercentSpace_WACC 2" xfId="1624" xr:uid="{00000000-0005-0000-0000-00009C050000}"/>
    <cellStyle name="_PercentSpace_WACC 3" xfId="1625" xr:uid="{00000000-0005-0000-0000-00009D050000}"/>
    <cellStyle name="_Rheinmetall" xfId="1626" xr:uid="{00000000-0005-0000-0000-00009E050000}"/>
    <cellStyle name="_Rheinmetall 2" xfId="1627" xr:uid="{00000000-0005-0000-0000-00009F050000}"/>
    <cellStyle name="_Rheinmetall 3" xfId="1628" xr:uid="{00000000-0005-0000-0000-0000A0050000}"/>
    <cellStyle name="_Rolls NOW" xfId="1629" xr:uid="{00000000-0005-0000-0000-0000A1050000}"/>
    <cellStyle name="_Rolls-Royce" xfId="1630" xr:uid="{00000000-0005-0000-0000-0000A2050000}"/>
    <cellStyle name="_Rolls-Royce Micha" xfId="1631" xr:uid="{00000000-0005-0000-0000-0000A3050000}"/>
    <cellStyle name="_Rolls-Royce Micha 2" xfId="1632" xr:uid="{00000000-0005-0000-0000-0000A4050000}"/>
    <cellStyle name="_Rolls-Royce Micha 3" xfId="1633" xr:uid="{00000000-0005-0000-0000-0000A5050000}"/>
    <cellStyle name="_Rolls-Royce120208" xfId="1634" xr:uid="{00000000-0005-0000-0000-0000A6050000}"/>
    <cellStyle name="_Rolls-RoyceFINAL130206" xfId="1635" xr:uid="{00000000-0005-0000-0000-0000A7050000}"/>
    <cellStyle name="_RR FY06" xfId="1636" xr:uid="{00000000-0005-0000-0000-0000A8050000}"/>
    <cellStyle name="_Safran" xfId="1637" xr:uid="{00000000-0005-0000-0000-0000A9050000}"/>
    <cellStyle name="_Safran 2" xfId="1638" xr:uid="{00000000-0005-0000-0000-0000AA050000}"/>
    <cellStyle name="_Safran 3" xfId="1639" xr:uid="{00000000-0005-0000-0000-0000AB050000}"/>
    <cellStyle name="_SubHeading" xfId="260" xr:uid="{00000000-0005-0000-0000-0000AC050000}"/>
    <cellStyle name="_SubHeading_Ability to Pay Analysis" xfId="261" xr:uid="{00000000-0005-0000-0000-0000AD050000}"/>
    <cellStyle name="_SubHeading_Alstom WIP Bhavna" xfId="1640" xr:uid="{00000000-0005-0000-0000-0000AE050000}"/>
    <cellStyle name="_SubHeading_Alstom WIP Bhavna 2" xfId="1641" xr:uid="{00000000-0005-0000-0000-0000AF050000}"/>
    <cellStyle name="_SubHeading_ASF interim sheet" xfId="1642" xr:uid="{00000000-0005-0000-0000-0000B0050000}"/>
    <cellStyle name="_SubHeading_ASF interim sheet 2" xfId="1643" xr:uid="{00000000-0005-0000-0000-0000B1050000}"/>
    <cellStyle name="_SubHeading_ASF interim sheet 3" xfId="1644" xr:uid="{00000000-0005-0000-0000-0000B2050000}"/>
    <cellStyle name="_SubHeading_Assa CF" xfId="1645" xr:uid="{00000000-0005-0000-0000-0000B3050000}"/>
    <cellStyle name="_SubHeading_Assa CF 2" xfId="1646" xr:uid="{00000000-0005-0000-0000-0000B4050000}"/>
    <cellStyle name="_SubHeading_Assa CF 3" xfId="1647" xr:uid="{00000000-0005-0000-0000-0000B5050000}"/>
    <cellStyle name="_SubHeading_Assa Reference" xfId="1648" xr:uid="{00000000-0005-0000-0000-0000B6050000}"/>
    <cellStyle name="_SubHeading_Assa Reference 2" xfId="1649" xr:uid="{00000000-0005-0000-0000-0000B7050000}"/>
    <cellStyle name="_SubHeading_Assa Reference 3" xfId="1650" xr:uid="{00000000-0005-0000-0000-0000B8050000}"/>
    <cellStyle name="_SubHeading_BAE Systems" xfId="1651" xr:uid="{00000000-0005-0000-0000-0000B9050000}"/>
    <cellStyle name="_SubHeading_BAE Systems 2" xfId="1652" xr:uid="{00000000-0005-0000-0000-0000BA050000}"/>
    <cellStyle name="_SubHeading_BAE Systems 3" xfId="1653" xr:uid="{00000000-0005-0000-0000-0000BB050000}"/>
    <cellStyle name="_SubHeading_BankUnited Model" xfId="262" xr:uid="{00000000-0005-0000-0000-0000BC050000}"/>
    <cellStyle name="_SubHeading_BLS" xfId="1654" xr:uid="{00000000-0005-0000-0000-0000BD050000}"/>
    <cellStyle name="_SubHeading_bls roic" xfId="1655" xr:uid="{00000000-0005-0000-0000-0000BE050000}"/>
    <cellStyle name="_SubHeading_bls roic 2" xfId="1656" xr:uid="{00000000-0005-0000-0000-0000BF050000}"/>
    <cellStyle name="_SubHeading_Book9" xfId="1657" xr:uid="{00000000-0005-0000-0000-0000C0050000}"/>
    <cellStyle name="_SubHeading_Broadband Comps" xfId="1658" xr:uid="{00000000-0005-0000-0000-0000C1050000}"/>
    <cellStyle name="_SubHeading_capital expenditures 6-18-02" xfId="1659" xr:uid="{00000000-0005-0000-0000-0000C2050000}"/>
    <cellStyle name="_SubHeading_capital expenditures 6-18-02 2" xfId="1660" xr:uid="{00000000-0005-0000-0000-0000C3050000}"/>
    <cellStyle name="_SubHeading_Civil" xfId="1661" xr:uid="{00000000-0005-0000-0000-0000C4050000}"/>
    <cellStyle name="_SubHeading_Civil 2" xfId="1662" xr:uid="{00000000-0005-0000-0000-0000C5050000}"/>
    <cellStyle name="_SubHeading_Civil 3" xfId="1663" xr:uid="{00000000-0005-0000-0000-0000C6050000}"/>
    <cellStyle name="_SubHeading_Copy of IFRS consol ABB Final Version4" xfId="1664" xr:uid="{00000000-0005-0000-0000-0000C7050000}"/>
    <cellStyle name="_SubHeading_CROCI" xfId="1665" xr:uid="{00000000-0005-0000-0000-0000C8050000}"/>
    <cellStyle name="_SubHeading_CROCI 2" xfId="1666" xr:uid="{00000000-0005-0000-0000-0000C9050000}"/>
    <cellStyle name="_SubHeading_CSC_Picabia_29062001" xfId="1667" xr:uid="{00000000-0005-0000-0000-0000CA050000}"/>
    <cellStyle name="_SubHeading_CSC_Picabia_29062001 2" xfId="1668" xr:uid="{00000000-0005-0000-0000-0000CB050000}"/>
    <cellStyle name="_SubHeading_CSC_Picabia_29062001 3" xfId="1669" xr:uid="{00000000-0005-0000-0000-0000CC050000}"/>
    <cellStyle name="_SubHeading_CTCO" xfId="1670" xr:uid="{00000000-0005-0000-0000-0000CD050000}"/>
    <cellStyle name="_SubHeading_Date of fillings" xfId="1671" xr:uid="{00000000-0005-0000-0000-0000CE050000}"/>
    <cellStyle name="_SubHeading_easyJet1" xfId="1672" xr:uid="{00000000-0005-0000-0000-0000CF050000}"/>
    <cellStyle name="_SubHeading_easyJet1 2" xfId="1673" xr:uid="{00000000-0005-0000-0000-0000D0050000}"/>
    <cellStyle name="_SubHeading_easyJet1 3" xfId="1674" xr:uid="{00000000-0005-0000-0000-0000D1050000}"/>
    <cellStyle name="_SubHeading_Electrolux CF" xfId="1675" xr:uid="{00000000-0005-0000-0000-0000D2050000}"/>
    <cellStyle name="_SubHeading_Electrolux MW" xfId="1676" xr:uid="{00000000-0005-0000-0000-0000D3050000}"/>
    <cellStyle name="_SubHeading_Electrolux MW 2" xfId="1677" xr:uid="{00000000-0005-0000-0000-0000D4050000}"/>
    <cellStyle name="_SubHeading_Electrolux Old Nick Paton Mark Wilson Model" xfId="1678" xr:uid="{00000000-0005-0000-0000-0000D5050000}"/>
    <cellStyle name="_SubHeading_Electrolux WIP Bhavna" xfId="1679" xr:uid="{00000000-0005-0000-0000-0000D6050000}"/>
    <cellStyle name="_SubHeading_Finmeccanica" xfId="1680" xr:uid="{00000000-0005-0000-0000-0000D7050000}"/>
    <cellStyle name="_SubHeading_Finmeccanica 2" xfId="1681" xr:uid="{00000000-0005-0000-0000-0000D8050000}"/>
    <cellStyle name="_SubHeading_Finmeccanica 3" xfId="1682" xr:uid="{00000000-0005-0000-0000-0000D9050000}"/>
    <cellStyle name="_SubHeading_Finmeccanica SOP" xfId="1683" xr:uid="{00000000-0005-0000-0000-0000DA050000}"/>
    <cellStyle name="_SubHeading_Finmeccanica SOP 2" xfId="1684" xr:uid="{00000000-0005-0000-0000-0000DB050000}"/>
    <cellStyle name="_SubHeading_Finmeccanica SOP 3" xfId="1685" xr:uid="{00000000-0005-0000-0000-0000DC050000}"/>
    <cellStyle name="_SubHeading_fmbi counties" xfId="263" xr:uid="{00000000-0005-0000-0000-0000DD050000}"/>
    <cellStyle name="_SubHeading_FMBI MBHI Graphs" xfId="264" xr:uid="{00000000-0005-0000-0000-0000DE050000}"/>
    <cellStyle name="_SubHeading_FMBI MBHI Graphs 07102001" xfId="265" xr:uid="{00000000-0005-0000-0000-0000DF050000}"/>
    <cellStyle name="_SubHeading_FMBI MBHI Graphs_7601" xfId="266" xr:uid="{00000000-0005-0000-0000-0000E0050000}"/>
    <cellStyle name="_SubHeading_prestemp" xfId="267" xr:uid="{00000000-0005-0000-0000-0000E1050000}"/>
    <cellStyle name="_SubHeading_prestemp 2" xfId="1686" xr:uid="{00000000-0005-0000-0000-0000E2050000}"/>
    <cellStyle name="_SubHeading_prestemp 3" xfId="1687" xr:uid="{00000000-0005-0000-0000-0000E3050000}"/>
    <cellStyle name="_SubHeading_prestemp_Insurance Brokerage CSC_1Q2002" xfId="268" xr:uid="{00000000-0005-0000-0000-0000E4050000}"/>
    <cellStyle name="_SubHeading_prestemp_Overview3" xfId="269" xr:uid="{00000000-0005-0000-0000-0000E5050000}"/>
    <cellStyle name="_SubHeading_prestemp_Updated Valuation Changes" xfId="270" xr:uid="{00000000-0005-0000-0000-0000E6050000}"/>
    <cellStyle name="_SubHeading_Q" xfId="1688" xr:uid="{00000000-0005-0000-0000-0000E7050000}"/>
    <cellStyle name="_SubHeading_q - new guidance" xfId="1689" xr:uid="{00000000-0005-0000-0000-0000E8050000}"/>
    <cellStyle name="_SubHeading_q - valuation" xfId="1690" xr:uid="{00000000-0005-0000-0000-0000E9050000}"/>
    <cellStyle name="_SubHeading_Q model_041802" xfId="1691" xr:uid="{00000000-0005-0000-0000-0000EA050000}"/>
    <cellStyle name="_SubHeading_Q_update" xfId="1692" xr:uid="{00000000-0005-0000-0000-0000EB050000}"/>
    <cellStyle name="_SubHeading_Qwest Analysis" xfId="1693" xr:uid="{00000000-0005-0000-0000-0000EC050000}"/>
    <cellStyle name="_SubHeading_RBOC historicals" xfId="1694" xr:uid="{00000000-0005-0000-0000-0000ED050000}"/>
    <cellStyle name="_SubHeading_RBOC historicals 2" xfId="1695" xr:uid="{00000000-0005-0000-0000-0000EE050000}"/>
    <cellStyle name="_SubHeading_Rheinmetall" xfId="1696" xr:uid="{00000000-0005-0000-0000-0000EF050000}"/>
    <cellStyle name="_SubHeading_Rheinmetall 2" xfId="1697" xr:uid="{00000000-0005-0000-0000-0000F0050000}"/>
    <cellStyle name="_SubHeading_Rheinmetall 3" xfId="1698" xr:uid="{00000000-0005-0000-0000-0000F1050000}"/>
    <cellStyle name="_SubHeading_RHM" xfId="1699" xr:uid="{00000000-0005-0000-0000-0000F2050000}"/>
    <cellStyle name="_SubHeading_RHM 2" xfId="1700" xr:uid="{00000000-0005-0000-0000-0000F3050000}"/>
    <cellStyle name="_SubHeading_RHM 3" xfId="1701" xr:uid="{00000000-0005-0000-0000-0000F4050000}"/>
    <cellStyle name="_SubHeading_ROIC" xfId="1702" xr:uid="{00000000-0005-0000-0000-0000F5050000}"/>
    <cellStyle name="_SubHeading_ROIC 2" xfId="1703" xr:uid="{00000000-0005-0000-0000-0000F6050000}"/>
    <cellStyle name="_SubHeading_ROIC 3" xfId="1704" xr:uid="{00000000-0005-0000-0000-0000F7050000}"/>
    <cellStyle name="_SubHeading_Rolls-Royce" xfId="1705" xr:uid="{00000000-0005-0000-0000-0000F8050000}"/>
    <cellStyle name="_SubHeading_Rolls-Royce 2" xfId="1706" xr:uid="{00000000-0005-0000-0000-0000F9050000}"/>
    <cellStyle name="_SubHeading_Rolls-Royce 3" xfId="1707" xr:uid="{00000000-0005-0000-0000-0000FA050000}"/>
    <cellStyle name="_SubHeading_Ryanair1" xfId="1708" xr:uid="{00000000-0005-0000-0000-0000FB050000}"/>
    <cellStyle name="_SubHeading_Ryanair1 2" xfId="1709" xr:uid="{00000000-0005-0000-0000-0000FC050000}"/>
    <cellStyle name="_SubHeading_Ryanair1 3" xfId="1710" xr:uid="{00000000-0005-0000-0000-0000FD050000}"/>
    <cellStyle name="_SubHeading_SaabOLD" xfId="1711" xr:uid="{00000000-0005-0000-0000-0000FE050000}"/>
    <cellStyle name="_SubHeading_SaabOLD 2" xfId="1712" xr:uid="{00000000-0005-0000-0000-0000FF050000}"/>
    <cellStyle name="_SubHeading_SaabOLD 3" xfId="1713" xr:uid="{00000000-0005-0000-0000-000000060000}"/>
    <cellStyle name="_SubHeading_Sandvik CF - Remodelling" xfId="1714" xr:uid="{00000000-0005-0000-0000-000001060000}"/>
    <cellStyle name="_SubHeading_Sandvik CF - Remodelling 2" xfId="1715" xr:uid="{00000000-0005-0000-0000-000002060000}"/>
    <cellStyle name="_SubHeading_Sandvik CF - Remodelling 3" xfId="1716" xr:uid="{00000000-0005-0000-0000-000003060000}"/>
    <cellStyle name="_SubHeading_SIFI OLD" xfId="1717" xr:uid="{00000000-0005-0000-0000-000004060000}"/>
    <cellStyle name="_SubHeading_SIFI OLD 2" xfId="1718" xr:uid="{00000000-0005-0000-0000-000005060000}"/>
    <cellStyle name="_SubHeading_SIFI OLD 3" xfId="1719" xr:uid="{00000000-0005-0000-0000-000006060000}"/>
    <cellStyle name="_SubHeading_SIFINEW" xfId="1720" xr:uid="{00000000-0005-0000-0000-000007060000}"/>
    <cellStyle name="_SubHeading_SKF reference" xfId="1721" xr:uid="{00000000-0005-0000-0000-000008060000}"/>
    <cellStyle name="_SubHeading_SKF reference 2" xfId="1722" xr:uid="{00000000-0005-0000-0000-000009060000}"/>
    <cellStyle name="_SubHeading_SKF reference 3" xfId="1723" xr:uid="{00000000-0005-0000-0000-00000A060000}"/>
    <cellStyle name="_SubHeading_Smiths Group" xfId="1724" xr:uid="{00000000-0005-0000-0000-00000B060000}"/>
    <cellStyle name="_SubHeading_Smiths Group - OLD" xfId="1725" xr:uid="{00000000-0005-0000-0000-00000C060000}"/>
    <cellStyle name="_SubHeading_Smiths Group - OLD 2" xfId="1726" xr:uid="{00000000-0005-0000-0000-00000D060000}"/>
    <cellStyle name="_SubHeading_Smiths Group - OLD 3" xfId="1727" xr:uid="{00000000-0005-0000-0000-00000E060000}"/>
    <cellStyle name="_SubHeading_Smiths Group 2" xfId="1728" xr:uid="{00000000-0005-0000-0000-00000F060000}"/>
    <cellStyle name="_SubHeading_Smiths Group 3" xfId="1729" xr:uid="{00000000-0005-0000-0000-000010060000}"/>
    <cellStyle name="_SubHeading_Snecma competitive landscape chart sauvegarde" xfId="1730" xr:uid="{00000000-0005-0000-0000-000011060000}"/>
    <cellStyle name="_SubHeading_Snecma competitive landscape chart sauvegarde 2" xfId="1731" xr:uid="{00000000-0005-0000-0000-000012060000}"/>
    <cellStyle name="_SubHeading_Snecma competitive landscape chart sauvegarde 3" xfId="1732" xr:uid="{00000000-0005-0000-0000-000013060000}"/>
    <cellStyle name="_SubHeading_T - new" xfId="1733" xr:uid="{00000000-0005-0000-0000-000014060000}"/>
    <cellStyle name="_SubHeading_T - new 2" xfId="1734" xr:uid="{00000000-0005-0000-0000-000015060000}"/>
    <cellStyle name="_SubHeading_Vinci" xfId="1735" xr:uid="{00000000-0005-0000-0000-000016060000}"/>
    <cellStyle name="_SubHeading_Vinci 2" xfId="1736" xr:uid="{00000000-0005-0000-0000-000017060000}"/>
    <cellStyle name="_SubHeading_Vinci 3" xfId="1737" xr:uid="{00000000-0005-0000-0000-000018060000}"/>
    <cellStyle name="_SubHeading_VZ" xfId="1738" xr:uid="{00000000-0005-0000-0000-000019060000}"/>
    <cellStyle name="_SubHeading_xratio - historical mkt val" xfId="271" xr:uid="{00000000-0005-0000-0000-00001A060000}"/>
    <cellStyle name="_Table" xfId="272" xr:uid="{00000000-0005-0000-0000-00001B060000}"/>
    <cellStyle name="_Table_Ability to Pay Analysis" xfId="273" xr:uid="{00000000-0005-0000-0000-00001C060000}"/>
    <cellStyle name="_Table_BankUnited Model" xfId="274" xr:uid="{00000000-0005-0000-0000-00001D060000}"/>
    <cellStyle name="_Table_BLS" xfId="1739" xr:uid="{00000000-0005-0000-0000-00001E060000}"/>
    <cellStyle name="_Table_bls roic" xfId="1740" xr:uid="{00000000-0005-0000-0000-00001F060000}"/>
    <cellStyle name="_Table_Book9" xfId="1741" xr:uid="{00000000-0005-0000-0000-000020060000}"/>
    <cellStyle name="_Table_Broadband Comps" xfId="1742" xr:uid="{00000000-0005-0000-0000-000021060000}"/>
    <cellStyle name="_Table_capital expenditures 6-18-02" xfId="1743" xr:uid="{00000000-0005-0000-0000-000022060000}"/>
    <cellStyle name="_Table_Copy of IFRS consol ABB Final Version4" xfId="1744" xr:uid="{00000000-0005-0000-0000-000023060000}"/>
    <cellStyle name="_Table_CSC_Picabia_29062001" xfId="1745" xr:uid="{00000000-0005-0000-0000-000024060000}"/>
    <cellStyle name="_Table_CTCO" xfId="1746" xr:uid="{00000000-0005-0000-0000-000025060000}"/>
    <cellStyle name="_Table_Date of fillings" xfId="1747" xr:uid="{00000000-0005-0000-0000-000026060000}"/>
    <cellStyle name="_Table_Date of fillings 2" xfId="1748" xr:uid="{00000000-0005-0000-0000-000027060000}"/>
    <cellStyle name="_Table_Date of fillings 3" xfId="1749" xr:uid="{00000000-0005-0000-0000-000028060000}"/>
    <cellStyle name="_Table_DCF Model + WACC" xfId="1750" xr:uid="{00000000-0005-0000-0000-000029060000}"/>
    <cellStyle name="_Table_fmbi counties" xfId="275" xr:uid="{00000000-0005-0000-0000-00002A060000}"/>
    <cellStyle name="_Table_Q" xfId="1751" xr:uid="{00000000-0005-0000-0000-00002B060000}"/>
    <cellStyle name="_Table_q - new guidance" xfId="1752" xr:uid="{00000000-0005-0000-0000-00002C060000}"/>
    <cellStyle name="_Table_q - valuation" xfId="1753" xr:uid="{00000000-0005-0000-0000-00002D060000}"/>
    <cellStyle name="_Table_Q model_041802" xfId="1754" xr:uid="{00000000-0005-0000-0000-00002E060000}"/>
    <cellStyle name="_Table_Q_update" xfId="1755" xr:uid="{00000000-0005-0000-0000-00002F060000}"/>
    <cellStyle name="_Table_Qwest Analysis" xfId="1756" xr:uid="{00000000-0005-0000-0000-000030060000}"/>
    <cellStyle name="_Table_RBOC historicals" xfId="1757" xr:uid="{00000000-0005-0000-0000-000031060000}"/>
    <cellStyle name="_Table_T - new" xfId="1758" xr:uid="{00000000-0005-0000-0000-000032060000}"/>
    <cellStyle name="_Table_Vague LBO Model - 31 July 2001_PAI Base Case" xfId="1759" xr:uid="{00000000-0005-0000-0000-000033060000}"/>
    <cellStyle name="_Table_VZ" xfId="1760" xr:uid="{00000000-0005-0000-0000-000034060000}"/>
    <cellStyle name="_Table_WACC" xfId="1761" xr:uid="{00000000-0005-0000-0000-000035060000}"/>
    <cellStyle name="_Table_xratio - historical mkt val" xfId="276" xr:uid="{00000000-0005-0000-0000-000036060000}"/>
    <cellStyle name="_TableHead" xfId="277" xr:uid="{00000000-0005-0000-0000-000037060000}"/>
    <cellStyle name="_TableHead_BLS" xfId="1762" xr:uid="{00000000-0005-0000-0000-000038060000}"/>
    <cellStyle name="_TableHead_bls roic" xfId="1763" xr:uid="{00000000-0005-0000-0000-000039060000}"/>
    <cellStyle name="_TableHead_Book9" xfId="1764" xr:uid="{00000000-0005-0000-0000-00003A060000}"/>
    <cellStyle name="_TableHead_Broadband Comps" xfId="1765" xr:uid="{00000000-0005-0000-0000-00003B060000}"/>
    <cellStyle name="_TableHead_capital expenditures 6-18-02" xfId="1766" xr:uid="{00000000-0005-0000-0000-00003C060000}"/>
    <cellStyle name="_TableHead_Copy of IFRS consol ABB Final Version4" xfId="1767" xr:uid="{00000000-0005-0000-0000-00003D060000}"/>
    <cellStyle name="_TableHead_CTCO" xfId="1768" xr:uid="{00000000-0005-0000-0000-00003E060000}"/>
    <cellStyle name="_TableHead_Date of fillings" xfId="1769" xr:uid="{00000000-0005-0000-0000-00003F060000}"/>
    <cellStyle name="_TableHead_Date of fillings 2" xfId="1770" xr:uid="{00000000-0005-0000-0000-000040060000}"/>
    <cellStyle name="_TableHead_Date of fillings 3" xfId="1771" xr:uid="{00000000-0005-0000-0000-000041060000}"/>
    <cellStyle name="_TableHead_Q" xfId="1772" xr:uid="{00000000-0005-0000-0000-000042060000}"/>
    <cellStyle name="_TableHead_q - new guidance" xfId="1773" xr:uid="{00000000-0005-0000-0000-000043060000}"/>
    <cellStyle name="_TableHead_q - valuation" xfId="1774" xr:uid="{00000000-0005-0000-0000-000044060000}"/>
    <cellStyle name="_TableHead_Q model_041802" xfId="1775" xr:uid="{00000000-0005-0000-0000-000045060000}"/>
    <cellStyle name="_TableHead_Q_update" xfId="1776" xr:uid="{00000000-0005-0000-0000-000046060000}"/>
    <cellStyle name="_TableHead_QP_XXX" xfId="1777" xr:uid="{00000000-0005-0000-0000-000047060000}"/>
    <cellStyle name="_TableHead_Qwest Analysis" xfId="1778" xr:uid="{00000000-0005-0000-0000-000048060000}"/>
    <cellStyle name="_TableHead_RBOC historicals" xfId="1779" xr:uid="{00000000-0005-0000-0000-000049060000}"/>
    <cellStyle name="_TableHead_T - new" xfId="1780" xr:uid="{00000000-0005-0000-0000-00004A060000}"/>
    <cellStyle name="_TableHead_VZ" xfId="1781" xr:uid="{00000000-0005-0000-0000-00004B060000}"/>
    <cellStyle name="_TableHeading" xfId="1782" xr:uid="{00000000-0005-0000-0000-00004C060000}"/>
    <cellStyle name="_TableRowBorder" xfId="1783" xr:uid="{00000000-0005-0000-0000-00004D060000}"/>
    <cellStyle name="_TableRowBorder 2" xfId="1784" xr:uid="{00000000-0005-0000-0000-00004E060000}"/>
    <cellStyle name="_TableRowBorder 3" xfId="1785" xr:uid="{00000000-0005-0000-0000-00004F060000}"/>
    <cellStyle name="_TableRowHead" xfId="278" xr:uid="{00000000-0005-0000-0000-000050060000}"/>
    <cellStyle name="_TableRowHead_BLS" xfId="1786" xr:uid="{00000000-0005-0000-0000-000051060000}"/>
    <cellStyle name="_TableRowHead_bls roic" xfId="1787" xr:uid="{00000000-0005-0000-0000-000052060000}"/>
    <cellStyle name="_TableRowHead_Book9" xfId="1788" xr:uid="{00000000-0005-0000-0000-000053060000}"/>
    <cellStyle name="_TableRowHead_Broadband Comps" xfId="1789" xr:uid="{00000000-0005-0000-0000-000054060000}"/>
    <cellStyle name="_TableRowHead_capital expenditures 6-18-02" xfId="1790" xr:uid="{00000000-0005-0000-0000-000055060000}"/>
    <cellStyle name="_TableRowHead_Copy of IFRS consol ABB Final Version4" xfId="1791" xr:uid="{00000000-0005-0000-0000-000056060000}"/>
    <cellStyle name="_TableRowHead_CTCO" xfId="1792" xr:uid="{00000000-0005-0000-0000-000057060000}"/>
    <cellStyle name="_TableRowHead_Date of fillings" xfId="1793" xr:uid="{00000000-0005-0000-0000-000058060000}"/>
    <cellStyle name="_TableRowHead_Date of fillings 2" xfId="1794" xr:uid="{00000000-0005-0000-0000-000059060000}"/>
    <cellStyle name="_TableRowHead_Date of fillings 3" xfId="1795" xr:uid="{00000000-0005-0000-0000-00005A060000}"/>
    <cellStyle name="_TableRowHead_Q" xfId="1796" xr:uid="{00000000-0005-0000-0000-00005B060000}"/>
    <cellStyle name="_TableRowHead_q - new guidance" xfId="1797" xr:uid="{00000000-0005-0000-0000-00005C060000}"/>
    <cellStyle name="_TableRowHead_q - valuation" xfId="1798" xr:uid="{00000000-0005-0000-0000-00005D060000}"/>
    <cellStyle name="_TableRowHead_Q model_041802" xfId="1799" xr:uid="{00000000-0005-0000-0000-00005E060000}"/>
    <cellStyle name="_TableRowHead_Q_update" xfId="1800" xr:uid="{00000000-0005-0000-0000-00005F060000}"/>
    <cellStyle name="_TableRowHead_QP_XXX" xfId="1801" xr:uid="{00000000-0005-0000-0000-000060060000}"/>
    <cellStyle name="_TableRowHead_Qwest Analysis" xfId="1802" xr:uid="{00000000-0005-0000-0000-000061060000}"/>
    <cellStyle name="_TableRowHead_RBOC historicals" xfId="1803" xr:uid="{00000000-0005-0000-0000-000062060000}"/>
    <cellStyle name="_TableRowHead_T - new" xfId="1804" xr:uid="{00000000-0005-0000-0000-000063060000}"/>
    <cellStyle name="_TableRowHead_VZ" xfId="1805" xr:uid="{00000000-0005-0000-0000-000064060000}"/>
    <cellStyle name="_TableRowHeading" xfId="1806" xr:uid="{00000000-0005-0000-0000-000065060000}"/>
    <cellStyle name="_TableSuperHead" xfId="279" xr:uid="{00000000-0005-0000-0000-000066060000}"/>
    <cellStyle name="_TableSuperHead_Ability to Pay Analysis" xfId="280" xr:uid="{00000000-0005-0000-0000-000067060000}"/>
    <cellStyle name="_TableSuperHead_BankUnited Model" xfId="281" xr:uid="{00000000-0005-0000-0000-000068060000}"/>
    <cellStyle name="_TableSuperHead_BLS" xfId="1807" xr:uid="{00000000-0005-0000-0000-000069060000}"/>
    <cellStyle name="_TableSuperHead_bls roic" xfId="1808" xr:uid="{00000000-0005-0000-0000-00006A060000}"/>
    <cellStyle name="_TableSuperHead_Book9" xfId="1809" xr:uid="{00000000-0005-0000-0000-00006B060000}"/>
    <cellStyle name="_TableSuperHead_Broadband Comps" xfId="1810" xr:uid="{00000000-0005-0000-0000-00006C060000}"/>
    <cellStyle name="_TableSuperHead_capital expenditures 6-18-02" xfId="1811" xr:uid="{00000000-0005-0000-0000-00006D060000}"/>
    <cellStyle name="_TableSuperHead_Copy of IFRS consol ABB Final Version4" xfId="1812" xr:uid="{00000000-0005-0000-0000-00006E060000}"/>
    <cellStyle name="_TableSuperHead_CTCO" xfId="1813" xr:uid="{00000000-0005-0000-0000-00006F060000}"/>
    <cellStyle name="_TableSuperHead_Date of fillings" xfId="1814" xr:uid="{00000000-0005-0000-0000-000070060000}"/>
    <cellStyle name="_TableSuperHead_Date of fillings 2" xfId="1815" xr:uid="{00000000-0005-0000-0000-000071060000}"/>
    <cellStyle name="_TableSuperHead_Date of fillings 3" xfId="1816" xr:uid="{00000000-0005-0000-0000-000072060000}"/>
    <cellStyle name="_TableSuperHead_DCF Model + WACC" xfId="1817" xr:uid="{00000000-0005-0000-0000-000073060000}"/>
    <cellStyle name="_TableSuperHead_fmbi counties" xfId="282" xr:uid="{00000000-0005-0000-0000-000074060000}"/>
    <cellStyle name="_TableSuperHead_Q" xfId="1818" xr:uid="{00000000-0005-0000-0000-000075060000}"/>
    <cellStyle name="_TableSuperHead_q - new guidance" xfId="1819" xr:uid="{00000000-0005-0000-0000-000076060000}"/>
    <cellStyle name="_TableSuperHead_q - valuation" xfId="1820" xr:uid="{00000000-0005-0000-0000-000077060000}"/>
    <cellStyle name="_TableSuperHead_Q model_041802" xfId="1821" xr:uid="{00000000-0005-0000-0000-000078060000}"/>
    <cellStyle name="_TableSuperHead_Q_update" xfId="1822" xr:uid="{00000000-0005-0000-0000-000079060000}"/>
    <cellStyle name="_TableSuperHead_Qwest Analysis" xfId="1823" xr:uid="{00000000-0005-0000-0000-00007A060000}"/>
    <cellStyle name="_TableSuperHead_RBOC historicals" xfId="1824" xr:uid="{00000000-0005-0000-0000-00007B060000}"/>
    <cellStyle name="_TableSuperHead_T - new" xfId="1825" xr:uid="{00000000-0005-0000-0000-00007C060000}"/>
    <cellStyle name="_TableSuperHead_Vague LBO Model - 31 July 2001_PAI Base Case" xfId="1826" xr:uid="{00000000-0005-0000-0000-00007D060000}"/>
    <cellStyle name="_TableSuperHead_VZ" xfId="1827" xr:uid="{00000000-0005-0000-0000-00007E060000}"/>
    <cellStyle name="_TableSuperHead_WACC" xfId="1828" xr:uid="{00000000-0005-0000-0000-00007F060000}"/>
    <cellStyle name="_TableSuperHead_xratio - historical mkt val" xfId="283" xr:uid="{00000000-0005-0000-0000-000080060000}"/>
    <cellStyle name="_TableSuperHeading" xfId="1829" xr:uid="{00000000-0005-0000-0000-000081060000}"/>
    <cellStyle name="_TableText" xfId="1830" xr:uid="{00000000-0005-0000-0000-000082060000}"/>
    <cellStyle name="“ü—Í—“" xfId="2" xr:uid="{00000000-0005-0000-0000-000083060000}"/>
    <cellStyle name="£3places" xfId="1831" xr:uid="{00000000-0005-0000-0000-000084060000}"/>
    <cellStyle name="0" xfId="3" xr:uid="{00000000-0005-0000-0000-000085060000}"/>
    <cellStyle name="0.0" xfId="4" xr:uid="{00000000-0005-0000-0000-000086060000}"/>
    <cellStyle name="0.0%" xfId="5" xr:uid="{00000000-0005-0000-0000-000087060000}"/>
    <cellStyle name="0.0_BAE Systems model" xfId="6" xr:uid="{00000000-0005-0000-0000-000088060000}"/>
    <cellStyle name="0.00" xfId="7" xr:uid="{00000000-0005-0000-0000-000089060000}"/>
    <cellStyle name="0.00%" xfId="8" xr:uid="{00000000-0005-0000-0000-00008A060000}"/>
    <cellStyle name="0.00_BAE Systems model" xfId="9" xr:uid="{00000000-0005-0000-0000-00008B060000}"/>
    <cellStyle name="0.000" xfId="1832" xr:uid="{00000000-0005-0000-0000-00008C060000}"/>
    <cellStyle name="0_BAE Systems model" xfId="10" xr:uid="{00000000-0005-0000-0000-00008D060000}"/>
    <cellStyle name="0_Charts 1" xfId="11" xr:uid="{00000000-0005-0000-0000-00008E060000}"/>
    <cellStyle name="0_CROCI" xfId="12" xr:uid="{00000000-0005-0000-0000-00008F060000}"/>
    <cellStyle name="0_CROCI 2" xfId="13" xr:uid="{00000000-0005-0000-0000-000090060000}"/>
    <cellStyle name="0_Financials" xfId="14" xr:uid="{00000000-0005-0000-0000-000091060000}"/>
    <cellStyle name="0_Financials 2" xfId="15" xr:uid="{00000000-0005-0000-0000-000092060000}"/>
    <cellStyle name="0_Financials 3" xfId="1833" xr:uid="{00000000-0005-0000-0000-000093060000}"/>
    <cellStyle name="0_Structure" xfId="16" xr:uid="{00000000-0005-0000-0000-000094060000}"/>
    <cellStyle name="0_Val" xfId="1834" xr:uid="{00000000-0005-0000-0000-000095060000}"/>
    <cellStyle name="0_Val 2" xfId="1835" xr:uid="{00000000-0005-0000-0000-000096060000}"/>
    <cellStyle name="1parte" xfId="17" xr:uid="{00000000-0005-0000-0000-000097060000}"/>
    <cellStyle name="1parte 2" xfId="18" xr:uid="{00000000-0005-0000-0000-000098060000}"/>
    <cellStyle name="1parte 2 2" xfId="1836" xr:uid="{00000000-0005-0000-0000-000099060000}"/>
    <cellStyle name="1parte 3" xfId="19" xr:uid="{00000000-0005-0000-0000-00009A060000}"/>
    <cellStyle name="20% - Accent1 2" xfId="1837" xr:uid="{00000000-0005-0000-0000-00009B060000}"/>
    <cellStyle name="20% - Accent2 2" xfId="1838" xr:uid="{00000000-0005-0000-0000-00009C060000}"/>
    <cellStyle name="20% - Accent3 2" xfId="1839" xr:uid="{00000000-0005-0000-0000-00009D060000}"/>
    <cellStyle name="20% - Accent4 2" xfId="1840" xr:uid="{00000000-0005-0000-0000-00009E060000}"/>
    <cellStyle name="20% - Accent5 2" xfId="1841" xr:uid="{00000000-0005-0000-0000-00009F060000}"/>
    <cellStyle name="20% - Accent6 2" xfId="1842" xr:uid="{00000000-0005-0000-0000-0000A0060000}"/>
    <cellStyle name="2parte" xfId="20" xr:uid="{00000000-0005-0000-0000-0000A1060000}"/>
    <cellStyle name="2parte 2" xfId="1843" xr:uid="{00000000-0005-0000-0000-0000A2060000}"/>
    <cellStyle name="40% - Accent1 2" xfId="1844" xr:uid="{00000000-0005-0000-0000-0000A3060000}"/>
    <cellStyle name="40% - Accent2 2" xfId="1845" xr:uid="{00000000-0005-0000-0000-0000A4060000}"/>
    <cellStyle name="40% - Accent3 2" xfId="1846" xr:uid="{00000000-0005-0000-0000-0000A5060000}"/>
    <cellStyle name="40% - Accent4 2" xfId="1847" xr:uid="{00000000-0005-0000-0000-0000A6060000}"/>
    <cellStyle name="40% - Accent5 2" xfId="1848" xr:uid="{00000000-0005-0000-0000-0000A7060000}"/>
    <cellStyle name="40% - Accent6 2" xfId="1849" xr:uid="{00000000-0005-0000-0000-0000A8060000}"/>
    <cellStyle name="60% - Accent1 2" xfId="1850" xr:uid="{00000000-0005-0000-0000-0000A9060000}"/>
    <cellStyle name="60% - Accent2 2" xfId="1851" xr:uid="{00000000-0005-0000-0000-0000AA060000}"/>
    <cellStyle name="60% - Accent3 2" xfId="1852" xr:uid="{00000000-0005-0000-0000-0000AB060000}"/>
    <cellStyle name="60% - Accent4 2" xfId="1853" xr:uid="{00000000-0005-0000-0000-0000AC060000}"/>
    <cellStyle name="60% - Accent5 2" xfId="1854" xr:uid="{00000000-0005-0000-0000-0000AD060000}"/>
    <cellStyle name="60% - Accent6 2" xfId="1855" xr:uid="{00000000-0005-0000-0000-0000AE060000}"/>
    <cellStyle name="A$2places" xfId="1856" xr:uid="{00000000-0005-0000-0000-0000AF060000}"/>
    <cellStyle name="A$3places" xfId="1857" xr:uid="{00000000-0005-0000-0000-0000B0060000}"/>
    <cellStyle name="Accent1 2" xfId="1858" xr:uid="{00000000-0005-0000-0000-0000B1060000}"/>
    <cellStyle name="Accent2 2" xfId="1859" xr:uid="{00000000-0005-0000-0000-0000B2060000}"/>
    <cellStyle name="Accent3 2" xfId="1860" xr:uid="{00000000-0005-0000-0000-0000B3060000}"/>
    <cellStyle name="Accent4 2" xfId="1861" xr:uid="{00000000-0005-0000-0000-0000B4060000}"/>
    <cellStyle name="Accent5 2" xfId="1862" xr:uid="{00000000-0005-0000-0000-0000B5060000}"/>
    <cellStyle name="Accent6 2" xfId="1863" xr:uid="{00000000-0005-0000-0000-0000B6060000}"/>
    <cellStyle name="act" xfId="1864" xr:uid="{00000000-0005-0000-0000-0000B7060000}"/>
    <cellStyle name="act 2" xfId="1865" xr:uid="{00000000-0005-0000-0000-0000B8060000}"/>
    <cellStyle name="act 3" xfId="1866" xr:uid="{00000000-0005-0000-0000-0000B9060000}"/>
    <cellStyle name="Actual data" xfId="284" xr:uid="{00000000-0005-0000-0000-0000BA060000}"/>
    <cellStyle name="Actual year" xfId="285" xr:uid="{00000000-0005-0000-0000-0000BB060000}"/>
    <cellStyle name="Actual year 2" xfId="1867" xr:uid="{00000000-0005-0000-0000-0000BC060000}"/>
    <cellStyle name="Actual year 3" xfId="1868" xr:uid="{00000000-0005-0000-0000-0000BD060000}"/>
    <cellStyle name="Actuals Cells" xfId="286" xr:uid="{00000000-0005-0000-0000-0000BE060000}"/>
    <cellStyle name="Adj L1" xfId="1869" xr:uid="{00000000-0005-0000-0000-0000BF060000}"/>
    <cellStyle name="Adj L2" xfId="1870" xr:uid="{00000000-0005-0000-0000-0000C0060000}"/>
    <cellStyle name="Adj L3" xfId="1871" xr:uid="{00000000-0005-0000-0000-0000C1060000}"/>
    <cellStyle name="Adj Space" xfId="1872" xr:uid="{00000000-0005-0000-0000-0000C2060000}"/>
    <cellStyle name="AFE" xfId="287" xr:uid="{00000000-0005-0000-0000-0000C3060000}"/>
    <cellStyle name="afl" xfId="288" xr:uid="{00000000-0005-0000-0000-0000C4060000}"/>
    <cellStyle name="AJHCustom" xfId="1873" xr:uid="{00000000-0005-0000-0000-0000C5060000}"/>
    <cellStyle name="Andre's Title" xfId="289" xr:uid="{00000000-0005-0000-0000-0000C6060000}"/>
    <cellStyle name="Ȧormal_VALC" xfId="1874" xr:uid="{00000000-0005-0000-0000-0000C7060000}"/>
    <cellStyle name="Arial" xfId="1875" xr:uid="{00000000-0005-0000-0000-0000C8060000}"/>
    <cellStyle name="Arial 12" xfId="21" xr:uid="{00000000-0005-0000-0000-0000C9060000}"/>
    <cellStyle name="Arial6Bold" xfId="1876" xr:uid="{00000000-0005-0000-0000-0000CA060000}"/>
    <cellStyle name="Arial8Bold" xfId="1877" xr:uid="{00000000-0005-0000-0000-0000CB060000}"/>
    <cellStyle name="Arial8Bold 2" xfId="1878" xr:uid="{00000000-0005-0000-0000-0000CC060000}"/>
    <cellStyle name="Arial8Italic" xfId="1879" xr:uid="{00000000-0005-0000-0000-0000CD060000}"/>
    <cellStyle name="Arial8Italic 2" xfId="1880" xr:uid="{00000000-0005-0000-0000-0000CE060000}"/>
    <cellStyle name="ArialNormal" xfId="1881" xr:uid="{00000000-0005-0000-0000-0000CF060000}"/>
    <cellStyle name="ArialNormal 2" xfId="1882" xr:uid="{00000000-0005-0000-0000-0000D0060000}"/>
    <cellStyle name="ArialNormal 3" xfId="1883" xr:uid="{00000000-0005-0000-0000-0000D1060000}"/>
    <cellStyle name="Bad" xfId="60" builtinId="27"/>
    <cellStyle name="Bad 2" xfId="1884" xr:uid="{00000000-0005-0000-0000-0000D3060000}"/>
    <cellStyle name="BalanceSheet" xfId="1885" xr:uid="{00000000-0005-0000-0000-0000D4060000}"/>
    <cellStyle name="Banner" xfId="1886" xr:uid="{00000000-0005-0000-0000-0000D5060000}"/>
    <cellStyle name="bbox" xfId="1887" xr:uid="{00000000-0005-0000-0000-0000D6060000}"/>
    <cellStyle name="Blank" xfId="290" xr:uid="{00000000-0005-0000-0000-0000D7060000}"/>
    <cellStyle name="Blue" xfId="291" xr:uid="{00000000-0005-0000-0000-0000D8060000}"/>
    <cellStyle name="blue shading" xfId="1888" xr:uid="{00000000-0005-0000-0000-0000D9060000}"/>
    <cellStyle name="Blue Title" xfId="292" xr:uid="{00000000-0005-0000-0000-0000DA060000}"/>
    <cellStyle name="Blue_CROCI" xfId="1889" xr:uid="{00000000-0005-0000-0000-0000DB060000}"/>
    <cellStyle name="Body_$Numeric" xfId="1890" xr:uid="{00000000-0005-0000-0000-0000DC060000}"/>
    <cellStyle name="bord" xfId="1891" xr:uid="{00000000-0005-0000-0000-0000DD060000}"/>
    <cellStyle name="bord 2" xfId="1892" xr:uid="{00000000-0005-0000-0000-0000DE060000}"/>
    <cellStyle name="bord 3" xfId="1893" xr:uid="{00000000-0005-0000-0000-0000DF060000}"/>
    <cellStyle name="Border Heavy" xfId="1894" xr:uid="{00000000-0005-0000-0000-0000E0060000}"/>
    <cellStyle name="Border Heavy 2" xfId="1895" xr:uid="{00000000-0005-0000-0000-0000E1060000}"/>
    <cellStyle name="Border Heavy 3" xfId="1896" xr:uid="{00000000-0005-0000-0000-0000E2060000}"/>
    <cellStyle name="Border Thin" xfId="1897" xr:uid="{00000000-0005-0000-0000-0000E3060000}"/>
    <cellStyle name="Border Thin 2" xfId="1898" xr:uid="{00000000-0005-0000-0000-0000E4060000}"/>
    <cellStyle name="Border Thin 3" xfId="1899" xr:uid="{00000000-0005-0000-0000-0000E5060000}"/>
    <cellStyle name="c" xfId="1900" xr:uid="{00000000-0005-0000-0000-0000E6060000}"/>
    <cellStyle name="c_Copy of IFRS consol ABB Final Version4" xfId="1901" xr:uid="{00000000-0005-0000-0000-0000E7060000}"/>
    <cellStyle name="C௯mma [0]" xfId="1902" xr:uid="{00000000-0005-0000-0000-0000E8060000}"/>
    <cellStyle name="C௯mma [0] 2" xfId="1903" xr:uid="{00000000-0005-0000-0000-0000E9060000}"/>
    <cellStyle name="C௯mma [0] 3" xfId="1904" xr:uid="{00000000-0005-0000-0000-0000EA060000}"/>
    <cellStyle name="Cabecera 1" xfId="1905" xr:uid="{00000000-0005-0000-0000-0000EB060000}"/>
    <cellStyle name="Cabecera 2" xfId="1906" xr:uid="{00000000-0005-0000-0000-0000EC060000}"/>
    <cellStyle name="Cabecera 2 2" xfId="1907" xr:uid="{00000000-0005-0000-0000-0000ED060000}"/>
    <cellStyle name="Cabecera 2 3" xfId="1908" xr:uid="{00000000-0005-0000-0000-0000EE060000}"/>
    <cellStyle name="Calc Cells" xfId="293" xr:uid="{00000000-0005-0000-0000-0000EF060000}"/>
    <cellStyle name="Calc Currency (0)" xfId="1909" xr:uid="{00000000-0005-0000-0000-0000F0060000}"/>
    <cellStyle name="Calc Currency (0) 2" xfId="1910" xr:uid="{00000000-0005-0000-0000-0000F1060000}"/>
    <cellStyle name="Calculation 2" xfId="1911" xr:uid="{00000000-0005-0000-0000-0000F2060000}"/>
    <cellStyle name="Case" xfId="294" xr:uid="{00000000-0005-0000-0000-0000F3060000}"/>
    <cellStyle name="CashFlow" xfId="1912" xr:uid="{00000000-0005-0000-0000-0000F4060000}"/>
    <cellStyle name="Center" xfId="1913" xr:uid="{00000000-0005-0000-0000-0000F5060000}"/>
    <cellStyle name="Center 2" xfId="1914" xr:uid="{00000000-0005-0000-0000-0000F6060000}"/>
    <cellStyle name="Center 3" xfId="1915" xr:uid="{00000000-0005-0000-0000-0000F7060000}"/>
    <cellStyle name="Changeable" xfId="1916" xr:uid="{00000000-0005-0000-0000-0000F8060000}"/>
    <cellStyle name="check" xfId="1917" xr:uid="{00000000-0005-0000-0000-0000F9060000}"/>
    <cellStyle name="Check Cell 2" xfId="1918" xr:uid="{00000000-0005-0000-0000-0000FA060000}"/>
    <cellStyle name="claire" xfId="1919" xr:uid="{00000000-0005-0000-0000-0000FB060000}"/>
    <cellStyle name="claire 2" xfId="1920" xr:uid="{00000000-0005-0000-0000-0000FC060000}"/>
    <cellStyle name="claire 3" xfId="1921" xr:uid="{00000000-0005-0000-0000-0000FD060000}"/>
    <cellStyle name="Co. Names" xfId="295" xr:uid="{00000000-0005-0000-0000-0000FE060000}"/>
    <cellStyle name="Co. Names - Bold" xfId="296" xr:uid="{00000000-0005-0000-0000-0000FF060000}"/>
    <cellStyle name="Co. Names_Blend" xfId="297" xr:uid="{00000000-0005-0000-0000-000000070000}"/>
    <cellStyle name="Col Head" xfId="298" xr:uid="{00000000-0005-0000-0000-000001070000}"/>
    <cellStyle name="ColHeading" xfId="22" xr:uid="{00000000-0005-0000-0000-000002070000}"/>
    <cellStyle name="Comma" xfId="383" builtinId="3"/>
    <cellStyle name="comma (1)" xfId="1922" xr:uid="{00000000-0005-0000-0000-000004070000}"/>
    <cellStyle name="Comma [1]" xfId="1923" xr:uid="{00000000-0005-0000-0000-000005070000}"/>
    <cellStyle name="Comma 0" xfId="1924" xr:uid="{00000000-0005-0000-0000-000006070000}"/>
    <cellStyle name="Comma 0*" xfId="1925" xr:uid="{00000000-0005-0000-0000-000007070000}"/>
    <cellStyle name="Comma 0_ACCC" xfId="1926" xr:uid="{00000000-0005-0000-0000-000008070000}"/>
    <cellStyle name="Comma 1" xfId="1927" xr:uid="{00000000-0005-0000-0000-000009070000}"/>
    <cellStyle name="Comma 10" xfId="1928" xr:uid="{00000000-0005-0000-0000-00000A070000}"/>
    <cellStyle name="Comma 11" xfId="1929" xr:uid="{00000000-0005-0000-0000-00000B070000}"/>
    <cellStyle name="Comma 12" xfId="1930" xr:uid="{00000000-0005-0000-0000-00000C070000}"/>
    <cellStyle name="Comma 13" xfId="1931" xr:uid="{00000000-0005-0000-0000-00000D070000}"/>
    <cellStyle name="Comma 14" xfId="1932" xr:uid="{00000000-0005-0000-0000-00000E070000}"/>
    <cellStyle name="Comma 15" xfId="1933" xr:uid="{00000000-0005-0000-0000-00000F070000}"/>
    <cellStyle name="Comma 16" xfId="1934" xr:uid="{00000000-0005-0000-0000-000010070000}"/>
    <cellStyle name="Comma 17" xfId="1935" xr:uid="{00000000-0005-0000-0000-000011070000}"/>
    <cellStyle name="Comma 18" xfId="1936" xr:uid="{00000000-0005-0000-0000-000012070000}"/>
    <cellStyle name="Comma 19" xfId="1937" xr:uid="{00000000-0005-0000-0000-000013070000}"/>
    <cellStyle name="Comma 2" xfId="23" xr:uid="{00000000-0005-0000-0000-000014070000}"/>
    <cellStyle name="Comma 20" xfId="2514" xr:uid="{00000000-0005-0000-0000-000015070000}"/>
    <cellStyle name="Comma 20 2" xfId="2524" xr:uid="{9D026E6A-47AB-4F95-8B76-D1D8CBCA7E04}"/>
    <cellStyle name="Comma 21" xfId="2521" xr:uid="{00000000-0005-0000-0000-000016070000}"/>
    <cellStyle name="Comma 22" xfId="2522" xr:uid="{984A5F96-8E9C-4ED2-B035-4C1975AD9ACF}"/>
    <cellStyle name="Comma 23" xfId="2526" xr:uid="{9E0A8AF4-AD05-49BC-B609-4E2F1C8C1502}"/>
    <cellStyle name="Comma 3" xfId="24" xr:uid="{00000000-0005-0000-0000-000017070000}"/>
    <cellStyle name="Comma 3 2" xfId="1938" xr:uid="{00000000-0005-0000-0000-000018070000}"/>
    <cellStyle name="Comma 3 3" xfId="1939" xr:uid="{00000000-0005-0000-0000-000019070000}"/>
    <cellStyle name="Comma 3 4" xfId="2518" xr:uid="{00000000-0005-0000-0000-00001A070000}"/>
    <cellStyle name="Comma 4" xfId="1940" xr:uid="{00000000-0005-0000-0000-00001B070000}"/>
    <cellStyle name="Comma 4 2" xfId="2513" xr:uid="{00000000-0005-0000-0000-00001C070000}"/>
    <cellStyle name="Comma 4 2 2" xfId="2523" xr:uid="{BEED889B-2965-400D-B7B5-6C2404B84BEC}"/>
    <cellStyle name="Comma 5" xfId="1941" xr:uid="{00000000-0005-0000-0000-00001D070000}"/>
    <cellStyle name="Comma 6" xfId="1942" xr:uid="{00000000-0005-0000-0000-00001E070000}"/>
    <cellStyle name="Comma 7" xfId="1943" xr:uid="{00000000-0005-0000-0000-00001F070000}"/>
    <cellStyle name="Comma 8" xfId="1944" xr:uid="{00000000-0005-0000-0000-000020070000}"/>
    <cellStyle name="Comma 9" xfId="1945" xr:uid="{00000000-0005-0000-0000-000021070000}"/>
    <cellStyle name="Comma(0)" xfId="1946" xr:uid="{00000000-0005-0000-0000-000022070000}"/>
    <cellStyle name="Comma(1)" xfId="1947" xr:uid="{00000000-0005-0000-0000-000023070000}"/>
    <cellStyle name="comma(2)" xfId="1948" xr:uid="{00000000-0005-0000-0000-000024070000}"/>
    <cellStyle name="Comma(3)" xfId="1949" xr:uid="{00000000-0005-0000-0000-000025070000}"/>
    <cellStyle name="Comma[0]" xfId="1950" xr:uid="{00000000-0005-0000-0000-000026070000}"/>
    <cellStyle name="Comma0" xfId="299" xr:uid="{00000000-0005-0000-0000-000027070000}"/>
    <cellStyle name="Comma0 2" xfId="1951" xr:uid="{00000000-0005-0000-0000-000028070000}"/>
    <cellStyle name="Company" xfId="25" xr:uid="{00000000-0005-0000-0000-000029070000}"/>
    <cellStyle name="Company name" xfId="300" xr:uid="{00000000-0005-0000-0000-00002A070000}"/>
    <cellStyle name="Company_CROCI" xfId="1952" xr:uid="{00000000-0005-0000-0000-00002B070000}"/>
    <cellStyle name="CompanyTitle" xfId="301" xr:uid="{00000000-0005-0000-0000-00002C070000}"/>
    <cellStyle name="Copied" xfId="1953" xr:uid="{00000000-0005-0000-0000-00002D070000}"/>
    <cellStyle name="Copied 2" xfId="1954" xr:uid="{00000000-0005-0000-0000-00002E070000}"/>
    <cellStyle name="Cover Date" xfId="1955" xr:uid="{00000000-0005-0000-0000-00002F070000}"/>
    <cellStyle name="Cover Subtitle" xfId="1956" xr:uid="{00000000-0005-0000-0000-000030070000}"/>
    <cellStyle name="Cover Title" xfId="1957" xr:uid="{00000000-0005-0000-0000-000031070000}"/>
    <cellStyle name="CurRatio" xfId="26" xr:uid="{00000000-0005-0000-0000-000032070000}"/>
    <cellStyle name="Currency (3)" xfId="1958" xr:uid="{00000000-0005-0000-0000-000033070000}"/>
    <cellStyle name="Currency (B)" xfId="27" xr:uid="{00000000-0005-0000-0000-000034070000}"/>
    <cellStyle name="Currency [2]" xfId="302" xr:uid="{00000000-0005-0000-0000-000035070000}"/>
    <cellStyle name="Currency 0" xfId="1959" xr:uid="{00000000-0005-0000-0000-000036070000}"/>
    <cellStyle name="Currency 1" xfId="1960" xr:uid="{00000000-0005-0000-0000-000037070000}"/>
    <cellStyle name="Currency 2" xfId="1961" xr:uid="{00000000-0005-0000-0000-000038070000}"/>
    <cellStyle name="Currency 3" xfId="1962" xr:uid="{00000000-0005-0000-0000-000039070000}"/>
    <cellStyle name="Currency$" xfId="1963" xr:uid="{00000000-0005-0000-0000-00003A070000}"/>
    <cellStyle name="currency(0)" xfId="1964" xr:uid="{00000000-0005-0000-0000-00003B070000}"/>
    <cellStyle name="Currency(1)" xfId="1965" xr:uid="{00000000-0005-0000-0000-00003C070000}"/>
    <cellStyle name="Currency(2)" xfId="1966" xr:uid="{00000000-0005-0000-0000-00003D070000}"/>
    <cellStyle name="Currency0" xfId="303" xr:uid="{00000000-0005-0000-0000-00003E070000}"/>
    <cellStyle name="Currency0 2" xfId="1967" xr:uid="{00000000-0005-0000-0000-00003F070000}"/>
    <cellStyle name="Currency2" xfId="1968" xr:uid="{00000000-0005-0000-0000-000040070000}"/>
    <cellStyle name="Currencyunder" xfId="1969" xr:uid="{00000000-0005-0000-0000-000041070000}"/>
    <cellStyle name="custom" xfId="1970" xr:uid="{00000000-0005-0000-0000-000042070000}"/>
    <cellStyle name="custom 2" xfId="1971" xr:uid="{00000000-0005-0000-0000-000043070000}"/>
    <cellStyle name="d_yield" xfId="1972" xr:uid="{00000000-0005-0000-0000-000044070000}"/>
    <cellStyle name="d_yield_Copy of IFRS consol ABB Final Version4" xfId="1973" xr:uid="{00000000-0005-0000-0000-000045070000}"/>
    <cellStyle name="Data_0dp" xfId="1974" xr:uid="{00000000-0005-0000-0000-000046070000}"/>
    <cellStyle name="date" xfId="304" xr:uid="{00000000-0005-0000-0000-000047070000}"/>
    <cellStyle name="Date [mmm-yy]" xfId="1975" xr:uid="{00000000-0005-0000-0000-000048070000}"/>
    <cellStyle name="Date 2" xfId="1976" xr:uid="{00000000-0005-0000-0000-000049070000}"/>
    <cellStyle name="Date Aligned" xfId="1977" xr:uid="{00000000-0005-0000-0000-00004A070000}"/>
    <cellStyle name="Date_Copy of IFRS consol ABB Final Version4" xfId="1978" xr:uid="{00000000-0005-0000-0000-00004B070000}"/>
    <cellStyle name="Dates" xfId="1979" xr:uid="{00000000-0005-0000-0000-00004C070000}"/>
    <cellStyle name="DateYear" xfId="1980" xr:uid="{00000000-0005-0000-0000-00004D070000}"/>
    <cellStyle name="days" xfId="1981" xr:uid="{00000000-0005-0000-0000-00004E070000}"/>
    <cellStyle name="Dec_0" xfId="1982" xr:uid="{00000000-0005-0000-0000-00004F070000}"/>
    <cellStyle name="default" xfId="305" xr:uid="{00000000-0005-0000-0000-000050070000}"/>
    <cellStyle name="Derive" xfId="1983" xr:uid="{00000000-0005-0000-0000-000051070000}"/>
    <cellStyle name="DOH" xfId="28" xr:uid="{00000000-0005-0000-0000-000052070000}"/>
    <cellStyle name="Dollar" xfId="306" xr:uid="{00000000-0005-0000-0000-000053070000}"/>
    <cellStyle name="dollar [0]" xfId="1984" xr:uid="{00000000-0005-0000-0000-000054070000}"/>
    <cellStyle name="dollar [1]" xfId="1985" xr:uid="{00000000-0005-0000-0000-000055070000}"/>
    <cellStyle name="Dollar 2" xfId="1986" xr:uid="{00000000-0005-0000-0000-000056070000}"/>
    <cellStyle name="Dollar 3" xfId="1987" xr:uid="{00000000-0005-0000-0000-000057070000}"/>
    <cellStyle name="Dollar_CROCI" xfId="1988" xr:uid="{00000000-0005-0000-0000-000058070000}"/>
    <cellStyle name="Dollars" xfId="1989" xr:uid="{00000000-0005-0000-0000-000059070000}"/>
    <cellStyle name="DollarWhole" xfId="1990" xr:uid="{00000000-0005-0000-0000-00005A070000}"/>
    <cellStyle name="Dotted Line" xfId="1991" xr:uid="{00000000-0005-0000-0000-00005B070000}"/>
    <cellStyle name="Duizenden" xfId="1992" xr:uid="{00000000-0005-0000-0000-00005C070000}"/>
    <cellStyle name="E" xfId="1993" xr:uid="{00000000-0005-0000-0000-00005D070000}"/>
    <cellStyle name="emp" xfId="307" xr:uid="{00000000-0005-0000-0000-00005E070000}"/>
    <cellStyle name="Entered" xfId="1994" xr:uid="{00000000-0005-0000-0000-00005F070000}"/>
    <cellStyle name="Entered 2" xfId="1995" xr:uid="{00000000-0005-0000-0000-000060070000}"/>
    <cellStyle name="Entries" xfId="1996" xr:uid="{00000000-0005-0000-0000-000061070000}"/>
    <cellStyle name="Entry" xfId="1997" xr:uid="{00000000-0005-0000-0000-000062070000}"/>
    <cellStyle name="Entry 2" xfId="1998" xr:uid="{00000000-0005-0000-0000-000063070000}"/>
    <cellStyle name="Entry 3" xfId="1999" xr:uid="{00000000-0005-0000-0000-000064070000}"/>
    <cellStyle name="EPS" xfId="2000" xr:uid="{00000000-0005-0000-0000-000065070000}"/>
    <cellStyle name="eps$" xfId="2001" xr:uid="{00000000-0005-0000-0000-000066070000}"/>
    <cellStyle name="eps$A" xfId="2002" xr:uid="{00000000-0005-0000-0000-000067070000}"/>
    <cellStyle name="eps$E" xfId="2003" xr:uid="{00000000-0005-0000-0000-000068070000}"/>
    <cellStyle name="eps_AOL Model Master" xfId="2004" xr:uid="{00000000-0005-0000-0000-000069070000}"/>
    <cellStyle name="epsA" xfId="2005" xr:uid="{00000000-0005-0000-0000-00006A070000}"/>
    <cellStyle name="EPSActual" xfId="2006" xr:uid="{00000000-0005-0000-0000-00006B070000}"/>
    <cellStyle name="EPSActual 2" xfId="2007" xr:uid="{00000000-0005-0000-0000-00006C070000}"/>
    <cellStyle name="EPSActual 3" xfId="2008" xr:uid="{00000000-0005-0000-0000-00006D070000}"/>
    <cellStyle name="epsE" xfId="2009" xr:uid="{00000000-0005-0000-0000-00006E070000}"/>
    <cellStyle name="EPSEstimate" xfId="2010" xr:uid="{00000000-0005-0000-0000-00006F070000}"/>
    <cellStyle name="EPSEstimate 2" xfId="2011" xr:uid="{00000000-0005-0000-0000-000070070000}"/>
    <cellStyle name="EPSEstimate 3" xfId="2012" xr:uid="{00000000-0005-0000-0000-000071070000}"/>
    <cellStyle name="Euro" xfId="2013" xr:uid="{00000000-0005-0000-0000-000072070000}"/>
    <cellStyle name="Euro 2" xfId="2014" xr:uid="{00000000-0005-0000-0000-000073070000}"/>
    <cellStyle name="Exchange_rates" xfId="2015" xr:uid="{00000000-0005-0000-0000-000074070000}"/>
    <cellStyle name="ExchRate" xfId="2016" xr:uid="{00000000-0005-0000-0000-000075070000}"/>
    <cellStyle name="exp" xfId="2017" xr:uid="{00000000-0005-0000-0000-000076070000}"/>
    <cellStyle name="exp 2" xfId="2018" xr:uid="{00000000-0005-0000-0000-000077070000}"/>
    <cellStyle name="exp 3" xfId="2019" xr:uid="{00000000-0005-0000-0000-000078070000}"/>
    <cellStyle name="Explanatory Text 2" xfId="2020" xr:uid="{00000000-0005-0000-0000-000079070000}"/>
    <cellStyle name="External File Cells" xfId="308" xr:uid="{00000000-0005-0000-0000-00007A070000}"/>
    <cellStyle name="External File Cells 2" xfId="2021" xr:uid="{00000000-0005-0000-0000-00007B070000}"/>
    <cellStyle name="External File Cells 3" xfId="2022" xr:uid="{00000000-0005-0000-0000-00007C070000}"/>
    <cellStyle name="Fecha" xfId="2023" xr:uid="{00000000-0005-0000-0000-00007D070000}"/>
    <cellStyle name="Fecha 2" xfId="2024" xr:uid="{00000000-0005-0000-0000-00007E070000}"/>
    <cellStyle name="Fecha 3" xfId="2025" xr:uid="{00000000-0005-0000-0000-00007F070000}"/>
    <cellStyle name="FF" xfId="2026" xr:uid="{00000000-0005-0000-0000-000080070000}"/>
    <cellStyle name="Fijo" xfId="2027" xr:uid="{00000000-0005-0000-0000-000081070000}"/>
    <cellStyle name="Fijo 2" xfId="2028" xr:uid="{00000000-0005-0000-0000-000082070000}"/>
    <cellStyle name="Fijo 3" xfId="2029" xr:uid="{00000000-0005-0000-0000-000083070000}"/>
    <cellStyle name="Financial" xfId="2030" xr:uid="{00000000-0005-0000-0000-000084070000}"/>
    <cellStyle name="Fit" xfId="309" xr:uid="{00000000-0005-0000-0000-000085070000}"/>
    <cellStyle name="five" xfId="2031" xr:uid="{00000000-0005-0000-0000-000086070000}"/>
    <cellStyle name="Fixed" xfId="310" xr:uid="{00000000-0005-0000-0000-000087070000}"/>
    <cellStyle name="Fixed 2" xfId="2032" xr:uid="{00000000-0005-0000-0000-000088070000}"/>
    <cellStyle name="Footer SBILogo1" xfId="2033" xr:uid="{00000000-0005-0000-0000-000089070000}"/>
    <cellStyle name="Footer SBILogo2" xfId="2034" xr:uid="{00000000-0005-0000-0000-00008A070000}"/>
    <cellStyle name="Footnote" xfId="2035" xr:uid="{00000000-0005-0000-0000-00008B070000}"/>
    <cellStyle name="Footnote Reference" xfId="2036" xr:uid="{00000000-0005-0000-0000-00008C070000}"/>
    <cellStyle name="Footnote_ACCC" xfId="2037" xr:uid="{00000000-0005-0000-0000-00008D070000}"/>
    <cellStyle name="Footnotes" xfId="311" xr:uid="{00000000-0005-0000-0000-00008E070000}"/>
    <cellStyle name="Forecast Cells" xfId="312" xr:uid="{00000000-0005-0000-0000-00008F070000}"/>
    <cellStyle name="four" xfId="2038" xr:uid="{00000000-0005-0000-0000-000090070000}"/>
    <cellStyle name="fourdecplace" xfId="2039" xr:uid="{00000000-0005-0000-0000-000091070000}"/>
    <cellStyle name="fourdecplace 2" xfId="2040" xr:uid="{00000000-0005-0000-0000-000092070000}"/>
    <cellStyle name="fy_eps$" xfId="2041" xr:uid="{00000000-0005-0000-0000-000093070000}"/>
    <cellStyle name="g_rate" xfId="2042" xr:uid="{00000000-0005-0000-0000-000094070000}"/>
    <cellStyle name="g_rate_AOL_Model_Master" xfId="2043" xr:uid="{00000000-0005-0000-0000-000095070000}"/>
    <cellStyle name="g_rate_AOL_Model_Master_Copy of IFRS consol ABB Final Version4" xfId="2044" xr:uid="{00000000-0005-0000-0000-000096070000}"/>
    <cellStyle name="G1_1999 figures" xfId="313" xr:uid="{00000000-0005-0000-0000-000097070000}"/>
    <cellStyle name="gbox" xfId="2045" xr:uid="{00000000-0005-0000-0000-000098070000}"/>
    <cellStyle name="gbox 2" xfId="2046" xr:uid="{00000000-0005-0000-0000-000099070000}"/>
    <cellStyle name="General" xfId="2047" xr:uid="{00000000-0005-0000-0000-00009A070000}"/>
    <cellStyle name="GIRExhibit-Bold" xfId="29" xr:uid="{00000000-0005-0000-0000-00009B070000}"/>
    <cellStyle name="Good" xfId="59" builtinId="26"/>
    <cellStyle name="Good 2" xfId="2048" xr:uid="{00000000-0005-0000-0000-00009D070000}"/>
    <cellStyle name="Grey" xfId="2049" xr:uid="{00000000-0005-0000-0000-00009E070000}"/>
    <cellStyle name="Grey 2" xfId="2050" xr:uid="{00000000-0005-0000-0000-00009F070000}"/>
    <cellStyle name="GrowthRate" xfId="2051" xr:uid="{00000000-0005-0000-0000-0000A0070000}"/>
    <cellStyle name="GrowthSeq" xfId="2052" xr:uid="{00000000-0005-0000-0000-0000A1070000}"/>
    <cellStyle name="H_1998_col_head" xfId="314" xr:uid="{00000000-0005-0000-0000-0000A2070000}"/>
    <cellStyle name="H_1998_col_head 2" xfId="2053" xr:uid="{00000000-0005-0000-0000-0000A3070000}"/>
    <cellStyle name="H_1998_col_head_BHI" xfId="2054" xr:uid="{00000000-0005-0000-0000-0000A4070000}"/>
    <cellStyle name="H_1998_col_head_BHI_Copy of IFRS consol ABB Final Version4" xfId="2055" xr:uid="{00000000-0005-0000-0000-0000A5070000}"/>
    <cellStyle name="H_1998_col_head_BHI_working7" xfId="2056" xr:uid="{00000000-0005-0000-0000-0000A6070000}"/>
    <cellStyle name="H_1998_col_head_BJS" xfId="2057" xr:uid="{00000000-0005-0000-0000-0000A7070000}"/>
    <cellStyle name="H_1998_col_head_BJS_Copy of IFRS consol ABB Final Version4" xfId="2058" xr:uid="{00000000-0005-0000-0000-0000A8070000}"/>
    <cellStyle name="H_1998_col_head_bjs-working9" xfId="2059" xr:uid="{00000000-0005-0000-0000-0000A9070000}"/>
    <cellStyle name="H_1998_col_head_EVA" xfId="2060" xr:uid="{00000000-0005-0000-0000-0000AA070000}"/>
    <cellStyle name="H_1998_col_head_HAL" xfId="2061" xr:uid="{00000000-0005-0000-0000-0000AB070000}"/>
    <cellStyle name="H_1998_col_head_HAL - 7" xfId="2062" xr:uid="{00000000-0005-0000-0000-0000AC070000}"/>
    <cellStyle name="H_1998_col_head_HAL - 7_Copy of IFRS consol ABB Final Version4" xfId="2063" xr:uid="{00000000-0005-0000-0000-0000AD070000}"/>
    <cellStyle name="H_1998_col_head_HAL_Copy of IFRS consol ABB Final Version4" xfId="2064" xr:uid="{00000000-0005-0000-0000-0000AE070000}"/>
    <cellStyle name="H_1998_col_head_HALY_working13" xfId="2065" xr:uid="{00000000-0005-0000-0000-0000AF070000}"/>
    <cellStyle name="H_1998_col_head_IS" xfId="2066" xr:uid="{00000000-0005-0000-0000-0000B0070000}"/>
    <cellStyle name="H_1998_col_head_IS - Rptd" xfId="2067" xr:uid="{00000000-0005-0000-0000-0000B1070000}"/>
    <cellStyle name="H_1998_col_head_IS - Rptd_1" xfId="2068" xr:uid="{00000000-0005-0000-0000-0000B2070000}"/>
    <cellStyle name="H_1998_col_head_IS - Rptd_1_Copy of IFRS consol ABB Final Version4" xfId="2069" xr:uid="{00000000-0005-0000-0000-0000B3070000}"/>
    <cellStyle name="H_1998_col_head_IS_Copy of IFRS consol ABB Final Version4" xfId="2070" xr:uid="{00000000-0005-0000-0000-0000B4070000}"/>
    <cellStyle name="H_1998_col_head_Japanese Peers" xfId="2071" xr:uid="{00000000-0005-0000-0000-0000B5070000}"/>
    <cellStyle name="H_1998_col_head_Japanese Peers 2" xfId="2072" xr:uid="{00000000-0005-0000-0000-0000B6070000}"/>
    <cellStyle name="H_1998_col_head_SII" xfId="2073" xr:uid="{00000000-0005-0000-0000-0000B7070000}"/>
    <cellStyle name="H_1998_col_head_SII-Post 3Q05 v4" xfId="2074" xr:uid="{00000000-0005-0000-0000-0000B8070000}"/>
    <cellStyle name="H_1998_col_head_SLB" xfId="2075" xr:uid="{00000000-0005-0000-0000-0000B9070000}"/>
    <cellStyle name="H_1998_col_head_SLB_Copy of IFRS consol ABB Final Version4" xfId="2076" xr:uid="{00000000-0005-0000-0000-0000BA070000}"/>
    <cellStyle name="H_1998_col_head_SLB-working7" xfId="2077" xr:uid="{00000000-0005-0000-0000-0000BB070000}"/>
    <cellStyle name="H_1999_col_head" xfId="315" xr:uid="{00000000-0005-0000-0000-0000BC070000}"/>
    <cellStyle name="H1_1998 figures" xfId="316" xr:uid="{00000000-0005-0000-0000-0000BD070000}"/>
    <cellStyle name="hard no." xfId="2078" xr:uid="{00000000-0005-0000-0000-0000BE070000}"/>
    <cellStyle name="hard no. 2" xfId="2079" xr:uid="{00000000-0005-0000-0000-0000BF070000}"/>
    <cellStyle name="Hard Percent" xfId="2080" xr:uid="{00000000-0005-0000-0000-0000C0070000}"/>
    <cellStyle name="Header" xfId="2081" xr:uid="{00000000-0005-0000-0000-0000C1070000}"/>
    <cellStyle name="Header Draft Stamp" xfId="2082" xr:uid="{00000000-0005-0000-0000-0000C2070000}"/>
    <cellStyle name="Header_ACCC" xfId="2083" xr:uid="{00000000-0005-0000-0000-0000C3070000}"/>
    <cellStyle name="Header1" xfId="2084" xr:uid="{00000000-0005-0000-0000-0000C4070000}"/>
    <cellStyle name="Header2" xfId="2085" xr:uid="{00000000-0005-0000-0000-0000C5070000}"/>
    <cellStyle name="Heading" xfId="317" xr:uid="{00000000-0005-0000-0000-0000C6070000}"/>
    <cellStyle name="Heading 1 2" xfId="2086" xr:uid="{00000000-0005-0000-0000-0000C7070000}"/>
    <cellStyle name="Heading 1 Above" xfId="2087" xr:uid="{00000000-0005-0000-0000-0000C8070000}"/>
    <cellStyle name="Heading 1+" xfId="2088" xr:uid="{00000000-0005-0000-0000-0000C9070000}"/>
    <cellStyle name="Heading 2 2" xfId="2089" xr:uid="{00000000-0005-0000-0000-0000CA070000}"/>
    <cellStyle name="Heading 2 Below" xfId="2090" xr:uid="{00000000-0005-0000-0000-0000CB070000}"/>
    <cellStyle name="Heading 2+" xfId="2091" xr:uid="{00000000-0005-0000-0000-0000CC070000}"/>
    <cellStyle name="Heading 3 2" xfId="2092" xr:uid="{00000000-0005-0000-0000-0000CD070000}"/>
    <cellStyle name="Heading 3+" xfId="2093" xr:uid="{00000000-0005-0000-0000-0000CE070000}"/>
    <cellStyle name="Heading 4 2" xfId="2094" xr:uid="{00000000-0005-0000-0000-0000CF070000}"/>
    <cellStyle name="Heading1" xfId="30" xr:uid="{00000000-0005-0000-0000-0000D0070000}"/>
    <cellStyle name="Heading1 2" xfId="31" xr:uid="{00000000-0005-0000-0000-0000D1070000}"/>
    <cellStyle name="Heading1 3" xfId="32" xr:uid="{00000000-0005-0000-0000-0000D2070000}"/>
    <cellStyle name="HeadingS" xfId="33" xr:uid="{00000000-0005-0000-0000-0000D3070000}"/>
    <cellStyle name="HeadingS 2" xfId="34" xr:uid="{00000000-0005-0000-0000-0000D4070000}"/>
    <cellStyle name="HeadingS 2 2" xfId="2095" xr:uid="{00000000-0005-0000-0000-0000D5070000}"/>
    <cellStyle name="HeadingS 3" xfId="35" xr:uid="{00000000-0005-0000-0000-0000D6070000}"/>
    <cellStyle name="Hyperlink" xfId="374" builtinId="8"/>
    <cellStyle name="iannumber" xfId="2096" xr:uid="{00000000-0005-0000-0000-0000D8070000}"/>
    <cellStyle name="iannumber 2" xfId="2097" xr:uid="{00000000-0005-0000-0000-0000D9070000}"/>
    <cellStyle name="iannumber 3" xfId="2098" xr:uid="{00000000-0005-0000-0000-0000DA070000}"/>
    <cellStyle name="ianpercent" xfId="2099" xr:uid="{00000000-0005-0000-0000-0000DB070000}"/>
    <cellStyle name="ianpercent 2" xfId="2100" xr:uid="{00000000-0005-0000-0000-0000DC070000}"/>
    <cellStyle name="ianpercent 3" xfId="2101" xr:uid="{00000000-0005-0000-0000-0000DD070000}"/>
    <cellStyle name="IncomeStatement" xfId="2102" xr:uid="{00000000-0005-0000-0000-0000DE070000}"/>
    <cellStyle name="Info_Main" xfId="2103" xr:uid="{00000000-0005-0000-0000-0000DF070000}"/>
    <cellStyle name="Input [yellow]" xfId="2104" xr:uid="{00000000-0005-0000-0000-0000E0070000}"/>
    <cellStyle name="Input [yellow] 2" xfId="2105" xr:uid="{00000000-0005-0000-0000-0000E1070000}"/>
    <cellStyle name="Input 10" xfId="2106" xr:uid="{00000000-0005-0000-0000-0000E2070000}"/>
    <cellStyle name="Input 11" xfId="2107" xr:uid="{00000000-0005-0000-0000-0000E3070000}"/>
    <cellStyle name="Input 12" xfId="2108" xr:uid="{00000000-0005-0000-0000-0000E4070000}"/>
    <cellStyle name="Input 2" xfId="2109" xr:uid="{00000000-0005-0000-0000-0000E5070000}"/>
    <cellStyle name="Input 3" xfId="2110" xr:uid="{00000000-0005-0000-0000-0000E6070000}"/>
    <cellStyle name="Input 4" xfId="2111" xr:uid="{00000000-0005-0000-0000-0000E7070000}"/>
    <cellStyle name="Input 5" xfId="2112" xr:uid="{00000000-0005-0000-0000-0000E8070000}"/>
    <cellStyle name="Input 6" xfId="2113" xr:uid="{00000000-0005-0000-0000-0000E9070000}"/>
    <cellStyle name="Input 7" xfId="2114" xr:uid="{00000000-0005-0000-0000-0000EA070000}"/>
    <cellStyle name="Input 8" xfId="2115" xr:uid="{00000000-0005-0000-0000-0000EB070000}"/>
    <cellStyle name="Input 9" xfId="2116" xr:uid="{00000000-0005-0000-0000-0000EC070000}"/>
    <cellStyle name="Input Cells" xfId="318" xr:uid="{00000000-0005-0000-0000-0000ED070000}"/>
    <cellStyle name="Input Currency" xfId="2117" xr:uid="{00000000-0005-0000-0000-0000EE070000}"/>
    <cellStyle name="Input Currency 2" xfId="2118" xr:uid="{00000000-0005-0000-0000-0000EF070000}"/>
    <cellStyle name="Input Currency_BHI" xfId="2119" xr:uid="{00000000-0005-0000-0000-0000F0070000}"/>
    <cellStyle name="Input Multiple" xfId="2120" xr:uid="{00000000-0005-0000-0000-0000F1070000}"/>
    <cellStyle name="Input Percent" xfId="2121" xr:uid="{00000000-0005-0000-0000-0000F2070000}"/>
    <cellStyle name="InputCurrency" xfId="2122" xr:uid="{00000000-0005-0000-0000-0000F3070000}"/>
    <cellStyle name="InputCurrency2" xfId="2123" xr:uid="{00000000-0005-0000-0000-0000F4070000}"/>
    <cellStyle name="InputDateDMth" xfId="2124" xr:uid="{00000000-0005-0000-0000-0000F5070000}"/>
    <cellStyle name="InputDateNorm" xfId="2125" xr:uid="{00000000-0005-0000-0000-0000F6070000}"/>
    <cellStyle name="InputMultiple1" xfId="2126" xr:uid="{00000000-0005-0000-0000-0000F7070000}"/>
    <cellStyle name="InputPercent1" xfId="2127" xr:uid="{00000000-0005-0000-0000-0000F8070000}"/>
    <cellStyle name="InputUlineNumeric" xfId="2128" xr:uid="{00000000-0005-0000-0000-0000F9070000}"/>
    <cellStyle name="Integer" xfId="36" xr:uid="{00000000-0005-0000-0000-0000FA070000}"/>
    <cellStyle name="IntInputBk" xfId="37" xr:uid="{00000000-0005-0000-0000-0000FB070000}"/>
    <cellStyle name="IntInputBu" xfId="38" xr:uid="{00000000-0005-0000-0000-0000FC070000}"/>
    <cellStyle name="Italics" xfId="2129" xr:uid="{00000000-0005-0000-0000-0000FD070000}"/>
    <cellStyle name="Item" xfId="39" xr:uid="{00000000-0005-0000-0000-0000FE070000}"/>
    <cellStyle name="Item Descriptions" xfId="319" xr:uid="{00000000-0005-0000-0000-0000FF070000}"/>
    <cellStyle name="Items_Optional" xfId="2130" xr:uid="{00000000-0005-0000-0000-000000080000}"/>
    <cellStyle name="ItemTypeClass" xfId="40" xr:uid="{00000000-0005-0000-0000-000001080000}"/>
    <cellStyle name="Jason" xfId="2131" xr:uid="{00000000-0005-0000-0000-000002080000}"/>
    <cellStyle name="Jason 2" xfId="2132" xr:uid="{00000000-0005-0000-0000-000003080000}"/>
    <cellStyle name="Komma_p&amp;l (2)" xfId="2133" xr:uid="{00000000-0005-0000-0000-000004080000}"/>
    <cellStyle name="lead" xfId="2134" xr:uid="{00000000-0005-0000-0000-000005080000}"/>
    <cellStyle name="lead 2" xfId="2135" xr:uid="{00000000-0005-0000-0000-000006080000}"/>
    <cellStyle name="Line" xfId="320" xr:uid="{00000000-0005-0000-0000-000007080000}"/>
    <cellStyle name="linked" xfId="2136" xr:uid="{00000000-0005-0000-0000-000008080000}"/>
    <cellStyle name="Linked Cell 2" xfId="2137" xr:uid="{00000000-0005-0000-0000-000009080000}"/>
    <cellStyle name="LN" xfId="2138" xr:uid="{00000000-0005-0000-0000-00000A080000}"/>
    <cellStyle name="LN 2" xfId="2139" xr:uid="{00000000-0005-0000-0000-00000B080000}"/>
    <cellStyle name="LN 3" xfId="2140" xr:uid="{00000000-0005-0000-0000-00000C080000}"/>
    <cellStyle name="LTGR" xfId="2141" xr:uid="{00000000-0005-0000-0000-00000D080000}"/>
    <cellStyle name="m" xfId="2142" xr:uid="{00000000-0005-0000-0000-00000E080000}"/>
    <cellStyle name="m 2" xfId="2143" xr:uid="{00000000-0005-0000-0000-00000F080000}"/>
    <cellStyle name="m 3" xfId="2144" xr:uid="{00000000-0005-0000-0000-000010080000}"/>
    <cellStyle name="m$" xfId="2145" xr:uid="{00000000-0005-0000-0000-000011080000}"/>
    <cellStyle name="m_AOL_Model_Master" xfId="2146" xr:uid="{00000000-0005-0000-0000-000012080000}"/>
    <cellStyle name="m_AOL_Model_Master_Copy of IFRS consol ABB Final Version4" xfId="2147" xr:uid="{00000000-0005-0000-0000-000013080000}"/>
    <cellStyle name="m_CROCI" xfId="2148" xr:uid="{00000000-0005-0000-0000-000014080000}"/>
    <cellStyle name="Mainhead" xfId="321" xr:uid="{00000000-0005-0000-0000-000015080000}"/>
    <cellStyle name="Major item" xfId="2149" xr:uid="{00000000-0005-0000-0000-000016080000}"/>
    <cellStyle name="Margin" xfId="2150" xr:uid="{00000000-0005-0000-0000-000017080000}"/>
    <cellStyle name="Margin 2" xfId="2151" xr:uid="{00000000-0005-0000-0000-000018080000}"/>
    <cellStyle name="Margin 3" xfId="2152" xr:uid="{00000000-0005-0000-0000-000019080000}"/>
    <cellStyle name="Margins" xfId="2153" xr:uid="{00000000-0005-0000-0000-00001A080000}"/>
    <cellStyle name="Merrill" xfId="322" xr:uid="{00000000-0005-0000-0000-00001B080000}"/>
    <cellStyle name="Migliaia (0)_Bourse" xfId="2154" xr:uid="{00000000-0005-0000-0000-00001C080000}"/>
    <cellStyle name="Migliaia_Bourse" xfId="2155" xr:uid="{00000000-0005-0000-0000-00001D080000}"/>
    <cellStyle name="Milliers [0]_CEP 1605" xfId="2156" xr:uid="{00000000-0005-0000-0000-00001E080000}"/>
    <cellStyle name="Milliers_CEP 1605" xfId="2157" xr:uid="{00000000-0005-0000-0000-00001F080000}"/>
    <cellStyle name="Mix" xfId="323" xr:uid="{00000000-0005-0000-0000-000020080000}"/>
    <cellStyle name="mm" xfId="2158" xr:uid="{00000000-0005-0000-0000-000021080000}"/>
    <cellStyle name="Monétaire [0]_CEP 1605" xfId="2159" xr:uid="{00000000-0005-0000-0000-000022080000}"/>
    <cellStyle name="Monétaire_CEP 1605" xfId="2160" xr:uid="{00000000-0005-0000-0000-000023080000}"/>
    <cellStyle name="Monetario" xfId="2161" xr:uid="{00000000-0005-0000-0000-000024080000}"/>
    <cellStyle name="Monetario 2" xfId="2162" xr:uid="{00000000-0005-0000-0000-000025080000}"/>
    <cellStyle name="Monetario 3" xfId="2163" xr:uid="{00000000-0005-0000-0000-000026080000}"/>
    <cellStyle name="Monetario0" xfId="2164" xr:uid="{00000000-0005-0000-0000-000027080000}"/>
    <cellStyle name="Monetario0 2" xfId="2165" xr:uid="{00000000-0005-0000-0000-000028080000}"/>
    <cellStyle name="Monetario0 3" xfId="2166" xr:uid="{00000000-0005-0000-0000-000029080000}"/>
    <cellStyle name="Monitor" xfId="324" xr:uid="{00000000-0005-0000-0000-00002A080000}"/>
    <cellStyle name="muiltiple" xfId="2167" xr:uid="{00000000-0005-0000-0000-00002B080000}"/>
    <cellStyle name="Multiple" xfId="325" xr:uid="{00000000-0005-0000-0000-00002C080000}"/>
    <cellStyle name="Multiple 2" xfId="2168" xr:uid="{00000000-0005-0000-0000-00002D080000}"/>
    <cellStyle name="Multiple 3" xfId="2169" xr:uid="{00000000-0005-0000-0000-00002E080000}"/>
    <cellStyle name="Multiple1" xfId="2170" xr:uid="{00000000-0005-0000-0000-00002F080000}"/>
    <cellStyle name="MultipleBelow" xfId="2171" xr:uid="{00000000-0005-0000-0000-000030080000}"/>
    <cellStyle name="MultipleSpace" xfId="2172" xr:uid="{00000000-0005-0000-0000-000031080000}"/>
    <cellStyle name="Neutral" xfId="61" builtinId="28"/>
    <cellStyle name="Neutral 2" xfId="2173" xr:uid="{00000000-0005-0000-0000-000033080000}"/>
    <cellStyle name="new style" xfId="2174" xr:uid="{00000000-0005-0000-0000-000034080000}"/>
    <cellStyle name="no dec" xfId="2175" xr:uid="{00000000-0005-0000-0000-000035080000}"/>
    <cellStyle name="no dec 2" xfId="2176" xr:uid="{00000000-0005-0000-0000-000036080000}"/>
    <cellStyle name="nonmultiple" xfId="2177" xr:uid="{00000000-0005-0000-0000-000037080000}"/>
    <cellStyle name="nonmultiple 2" xfId="2178" xr:uid="{00000000-0005-0000-0000-000038080000}"/>
    <cellStyle name="nonmultiple 3" xfId="2179" xr:uid="{00000000-0005-0000-0000-000039080000}"/>
    <cellStyle name="Normal" xfId="0" builtinId="0"/>
    <cellStyle name="Normal - Style1" xfId="326" xr:uid="{00000000-0005-0000-0000-00003B080000}"/>
    <cellStyle name="Normal (B)" xfId="41" xr:uid="{00000000-0005-0000-0000-00003C080000}"/>
    <cellStyle name="Normal (G)" xfId="42" xr:uid="{00000000-0005-0000-0000-00003D080000}"/>
    <cellStyle name="Normal 10" xfId="2180" xr:uid="{00000000-0005-0000-0000-00003E080000}"/>
    <cellStyle name="Normal 10 2" xfId="2181" xr:uid="{00000000-0005-0000-0000-00003F080000}"/>
    <cellStyle name="Normal 10 2 2" xfId="2525" xr:uid="{4F717BDA-2B51-4610-A713-E107921DAFD9}"/>
    <cellStyle name="Normal 10 3" xfId="2182" xr:uid="{00000000-0005-0000-0000-000040080000}"/>
    <cellStyle name="Normal 101" xfId="2519" xr:uid="{00000000-0005-0000-0000-000041080000}"/>
    <cellStyle name="Normal 11" xfId="2183" xr:uid="{00000000-0005-0000-0000-000042080000}"/>
    <cellStyle name="Normal 12" xfId="2184" xr:uid="{00000000-0005-0000-0000-000043080000}"/>
    <cellStyle name="Normal 13" xfId="2185" xr:uid="{00000000-0005-0000-0000-000044080000}"/>
    <cellStyle name="Normal 14" xfId="2186" xr:uid="{00000000-0005-0000-0000-000045080000}"/>
    <cellStyle name="Normal 15" xfId="2187" xr:uid="{00000000-0005-0000-0000-000046080000}"/>
    <cellStyle name="Normal 16" xfId="2188" xr:uid="{00000000-0005-0000-0000-000047080000}"/>
    <cellStyle name="Normal 17" xfId="2189" xr:uid="{00000000-0005-0000-0000-000048080000}"/>
    <cellStyle name="Normal 18" xfId="2190" xr:uid="{00000000-0005-0000-0000-000049080000}"/>
    <cellStyle name="Normal 19" xfId="2191" xr:uid="{00000000-0005-0000-0000-00004A080000}"/>
    <cellStyle name="Normal 2" xfId="1" xr:uid="{00000000-0005-0000-0000-00004B080000}"/>
    <cellStyle name="Normal 2 2" xfId="2517" xr:uid="{00000000-0005-0000-0000-00004C080000}"/>
    <cellStyle name="Normal 20" xfId="2192" xr:uid="{00000000-0005-0000-0000-00004D080000}"/>
    <cellStyle name="Normal 21" xfId="2511" xr:uid="{00000000-0005-0000-0000-00004E080000}"/>
    <cellStyle name="Normal 22" xfId="2512" xr:uid="{00000000-0005-0000-0000-00004F080000}"/>
    <cellStyle name="Normal 3" xfId="43" xr:uid="{00000000-0005-0000-0000-000050080000}"/>
    <cellStyle name="Normal 3 2" xfId="2516" xr:uid="{00000000-0005-0000-0000-000051080000}"/>
    <cellStyle name="Normal 4" xfId="375" xr:uid="{00000000-0005-0000-0000-000052080000}"/>
    <cellStyle name="Normal 5" xfId="380" xr:uid="{00000000-0005-0000-0000-000053080000}"/>
    <cellStyle name="Normal 6" xfId="381" xr:uid="{00000000-0005-0000-0000-000054080000}"/>
    <cellStyle name="Normal 7" xfId="382" xr:uid="{00000000-0005-0000-0000-000055080000}"/>
    <cellStyle name="Normal 8" xfId="2193" xr:uid="{00000000-0005-0000-0000-000056080000}"/>
    <cellStyle name="Normal 9" xfId="2194" xr:uid="{00000000-0005-0000-0000-000057080000}"/>
    <cellStyle name="Normal 9 2" xfId="2195" xr:uid="{00000000-0005-0000-0000-000058080000}"/>
    <cellStyle name="Normal 9 3" xfId="2196" xr:uid="{00000000-0005-0000-0000-000059080000}"/>
    <cellStyle name="Normal Cells" xfId="327" xr:uid="{00000000-0005-0000-0000-00005A080000}"/>
    <cellStyle name="Normal_Q outNEW 2" xfId="2515" xr:uid="{00000000-0005-0000-0000-00005B080000}"/>
    <cellStyle name="Normal_Sector_Summary_Pack_Eur" xfId="2520" xr:uid="{00000000-0005-0000-0000-00005C080000}"/>
    <cellStyle name="Normal2" xfId="2197" xr:uid="{00000000-0005-0000-0000-00005D080000}"/>
    <cellStyle name="Normale_Acesa" xfId="2198" xr:uid="{00000000-0005-0000-0000-00005E080000}"/>
    <cellStyle name="NormalGB" xfId="2199" xr:uid="{00000000-0005-0000-0000-00005F080000}"/>
    <cellStyle name="Normal-HelBold" xfId="2200" xr:uid="{00000000-0005-0000-0000-000060080000}"/>
    <cellStyle name="Normal-HelUnderline" xfId="2201" xr:uid="{00000000-0005-0000-0000-000061080000}"/>
    <cellStyle name="Normal-Helvetica" xfId="2202" xr:uid="{00000000-0005-0000-0000-000062080000}"/>
    <cellStyle name="Normalny_SAQ_NEW" xfId="2203" xr:uid="{00000000-0005-0000-0000-000063080000}"/>
    <cellStyle name="Note 2" xfId="2204" xr:uid="{00000000-0005-0000-0000-000064080000}"/>
    <cellStyle name="Notes" xfId="2205" xr:uid="{00000000-0005-0000-0000-000065080000}"/>
    <cellStyle name="Number" xfId="328" xr:uid="{00000000-0005-0000-0000-000066080000}"/>
    <cellStyle name="number2" xfId="2206" xr:uid="{00000000-0005-0000-0000-000067080000}"/>
    <cellStyle name="Numbers" xfId="329" xr:uid="{00000000-0005-0000-0000-000068080000}"/>
    <cellStyle name="Numbers - Bold" xfId="330" xr:uid="{00000000-0005-0000-0000-000069080000}"/>
    <cellStyle name="Numbers - Bold - Italic" xfId="331" xr:uid="{00000000-0005-0000-0000-00006A080000}"/>
    <cellStyle name="Numbers - Bold_Blend" xfId="332" xr:uid="{00000000-0005-0000-0000-00006B080000}"/>
    <cellStyle name="Numbers - Large" xfId="333" xr:uid="{00000000-0005-0000-0000-00006C080000}"/>
    <cellStyle name="Numbers_Comps" xfId="334" xr:uid="{00000000-0005-0000-0000-00006D080000}"/>
    <cellStyle name="NumberX" xfId="2207" xr:uid="{00000000-0005-0000-0000-00006E080000}"/>
    <cellStyle name="Œ…‹æØ‚è [0.00]_Capital Structure" xfId="2208" xr:uid="{00000000-0005-0000-0000-00006F080000}"/>
    <cellStyle name="Œ…‹æØ‚è_Capital Structure" xfId="2209" xr:uid="{00000000-0005-0000-0000-000070080000}"/>
    <cellStyle name="Original L1" xfId="2210" xr:uid="{00000000-0005-0000-0000-000071080000}"/>
    <cellStyle name="Original L2" xfId="2211" xr:uid="{00000000-0005-0000-0000-000072080000}"/>
    <cellStyle name="Original L3" xfId="2212" xr:uid="{00000000-0005-0000-0000-000073080000}"/>
    <cellStyle name="Original Space" xfId="2213" xr:uid="{00000000-0005-0000-0000-000074080000}"/>
    <cellStyle name="OSW_ColumnLabels" xfId="335" xr:uid="{00000000-0005-0000-0000-000075080000}"/>
    <cellStyle name="Output" xfId="62" builtinId="21"/>
    <cellStyle name="Output 2" xfId="2214" xr:uid="{00000000-0005-0000-0000-000077080000}"/>
    <cellStyle name="p" xfId="2215" xr:uid="{00000000-0005-0000-0000-000078080000}"/>
    <cellStyle name="p 2" xfId="2216" xr:uid="{00000000-0005-0000-0000-000079080000}"/>
    <cellStyle name="p 3" xfId="2217" xr:uid="{00000000-0005-0000-0000-00007A080000}"/>
    <cellStyle name="P/E" xfId="2218" xr:uid="{00000000-0005-0000-0000-00007B080000}"/>
    <cellStyle name="Page" xfId="336" xr:uid="{00000000-0005-0000-0000-00007C080000}"/>
    <cellStyle name="Page header" xfId="337" xr:uid="{00000000-0005-0000-0000-00007D080000}"/>
    <cellStyle name="Page Number" xfId="2219" xr:uid="{00000000-0005-0000-0000-00007E080000}"/>
    <cellStyle name="Palatino" xfId="2220" xr:uid="{00000000-0005-0000-0000-00007F080000}"/>
    <cellStyle name="pe" xfId="2221" xr:uid="{00000000-0005-0000-0000-000080080000}"/>
    <cellStyle name="PE Multiple" xfId="2222" xr:uid="{00000000-0005-0000-0000-000081080000}"/>
    <cellStyle name="PE/LTGR" xfId="2223" xr:uid="{00000000-0005-0000-0000-000082080000}"/>
    <cellStyle name="pe_Copy of IFRS consol ABB Final Version4" xfId="2224" xr:uid="{00000000-0005-0000-0000-000083080000}"/>
    <cellStyle name="PEG" xfId="2225" xr:uid="{00000000-0005-0000-0000-000084080000}"/>
    <cellStyle name="Pence" xfId="2226" xr:uid="{00000000-0005-0000-0000-000085080000}"/>
    <cellStyle name="Per aandeel" xfId="2227" xr:uid="{00000000-0005-0000-0000-000086080000}"/>
    <cellStyle name="Percent" xfId="384" builtinId="5"/>
    <cellStyle name="Percent (M)" xfId="44" xr:uid="{00000000-0005-0000-0000-000088080000}"/>
    <cellStyle name="Percent [1]" xfId="2228" xr:uid="{00000000-0005-0000-0000-000089080000}"/>
    <cellStyle name="Percent [1] 2" xfId="2229" xr:uid="{00000000-0005-0000-0000-00008A080000}"/>
    <cellStyle name="Percent [2]" xfId="2230" xr:uid="{00000000-0005-0000-0000-00008B080000}"/>
    <cellStyle name="Percent [2] 2" xfId="2231" xr:uid="{00000000-0005-0000-0000-00008C080000}"/>
    <cellStyle name="Percent 10" xfId="2232" xr:uid="{00000000-0005-0000-0000-00008D080000}"/>
    <cellStyle name="Percent 11" xfId="2233" xr:uid="{00000000-0005-0000-0000-00008E080000}"/>
    <cellStyle name="Percent 12" xfId="2234" xr:uid="{00000000-0005-0000-0000-00008F080000}"/>
    <cellStyle name="Percent 13" xfId="2235" xr:uid="{00000000-0005-0000-0000-000090080000}"/>
    <cellStyle name="Percent 14" xfId="2236" xr:uid="{00000000-0005-0000-0000-000091080000}"/>
    <cellStyle name="Percent 15" xfId="2237" xr:uid="{00000000-0005-0000-0000-000092080000}"/>
    <cellStyle name="Percent 16" xfId="2238" xr:uid="{00000000-0005-0000-0000-000093080000}"/>
    <cellStyle name="Percent 17" xfId="2239" xr:uid="{00000000-0005-0000-0000-000094080000}"/>
    <cellStyle name="Percent 18" xfId="2240" xr:uid="{00000000-0005-0000-0000-000095080000}"/>
    <cellStyle name="Percent 2" xfId="45" xr:uid="{00000000-0005-0000-0000-000096080000}"/>
    <cellStyle name="Percent 3" xfId="46" xr:uid="{00000000-0005-0000-0000-000097080000}"/>
    <cellStyle name="Percent 4" xfId="378" xr:uid="{00000000-0005-0000-0000-000098080000}"/>
    <cellStyle name="Percent 5" xfId="376" xr:uid="{00000000-0005-0000-0000-000099080000}"/>
    <cellStyle name="Percent 6" xfId="379" xr:uid="{00000000-0005-0000-0000-00009A080000}"/>
    <cellStyle name="Percent 7" xfId="377" xr:uid="{00000000-0005-0000-0000-00009B080000}"/>
    <cellStyle name="Percent 8" xfId="2241" xr:uid="{00000000-0005-0000-0000-00009C080000}"/>
    <cellStyle name="Percent 9" xfId="2242" xr:uid="{00000000-0005-0000-0000-00009D080000}"/>
    <cellStyle name="Percent(1)" xfId="2243" xr:uid="{00000000-0005-0000-0000-00009E080000}"/>
    <cellStyle name="Percent(3)" xfId="2244" xr:uid="{00000000-0005-0000-0000-00009F080000}"/>
    <cellStyle name="Percent1" xfId="2245" xr:uid="{00000000-0005-0000-0000-0000A0080000}"/>
    <cellStyle name="percent3" xfId="2246" xr:uid="{00000000-0005-0000-0000-0000A1080000}"/>
    <cellStyle name="Percentage" xfId="338" xr:uid="{00000000-0005-0000-0000-0000A2080000}"/>
    <cellStyle name="PercentChange" xfId="47" xr:uid="{00000000-0005-0000-0000-0000A3080000}"/>
    <cellStyle name="PercentPresentation" xfId="2247" xr:uid="{00000000-0005-0000-0000-0000A4080000}"/>
    <cellStyle name="PerShare" xfId="2248" xr:uid="{00000000-0005-0000-0000-0000A5080000}"/>
    <cellStyle name="POPS" xfId="2249" xr:uid="{00000000-0005-0000-0000-0000A6080000}"/>
    <cellStyle name="Porcentaje" xfId="2250" xr:uid="{00000000-0005-0000-0000-0000A7080000}"/>
    <cellStyle name="Porcentaje 2" xfId="2251" xr:uid="{00000000-0005-0000-0000-0000A8080000}"/>
    <cellStyle name="Porcentaje 3" xfId="2252" xr:uid="{00000000-0005-0000-0000-0000A9080000}"/>
    <cellStyle name="pound" xfId="2253" xr:uid="{00000000-0005-0000-0000-0000AA080000}"/>
    <cellStyle name="pound 2" xfId="2254" xr:uid="{00000000-0005-0000-0000-0000AB080000}"/>
    <cellStyle name="pound 3" xfId="2255" xr:uid="{00000000-0005-0000-0000-0000AC080000}"/>
    <cellStyle name="Presentation" xfId="2256" xr:uid="{00000000-0005-0000-0000-0000AD080000}"/>
    <cellStyle name="PresentationZero" xfId="2257" xr:uid="{00000000-0005-0000-0000-0000AE080000}"/>
    <cellStyle name="Price" xfId="339" xr:uid="{00000000-0005-0000-0000-0000AF080000}"/>
    <cellStyle name="Procenten" xfId="2258" xr:uid="{00000000-0005-0000-0000-0000B0080000}"/>
    <cellStyle name="Procenten estimate" xfId="2259" xr:uid="{00000000-0005-0000-0000-0000B1080000}"/>
    <cellStyle name="Procenten_EMI" xfId="2260" xr:uid="{00000000-0005-0000-0000-0000B2080000}"/>
    <cellStyle name="ProjectionInput" xfId="48" xr:uid="{00000000-0005-0000-0000-0000B3080000}"/>
    <cellStyle name="prot" xfId="340" xr:uid="{00000000-0005-0000-0000-0000B4080000}"/>
    <cellStyle name="Punto" xfId="341" xr:uid="{00000000-0005-0000-0000-0000B5080000}"/>
    <cellStyle name="Punto 2" xfId="2261" xr:uid="{00000000-0005-0000-0000-0000B6080000}"/>
    <cellStyle name="Punto 3" xfId="2262" xr:uid="{00000000-0005-0000-0000-0000B7080000}"/>
    <cellStyle name="Punto0" xfId="2263" xr:uid="{00000000-0005-0000-0000-0000B8080000}"/>
    <cellStyle name="Punto0 2" xfId="2264" xr:uid="{00000000-0005-0000-0000-0000B9080000}"/>
    <cellStyle name="Punto0 3" xfId="2265" xr:uid="{00000000-0005-0000-0000-0000BA080000}"/>
    <cellStyle name="q" xfId="2266" xr:uid="{00000000-0005-0000-0000-0000BB080000}"/>
    <cellStyle name="q_Copy of IFRS consol ABB Final Version4" xfId="2267" xr:uid="{00000000-0005-0000-0000-0000BC080000}"/>
    <cellStyle name="QEPS-h" xfId="2268" xr:uid="{00000000-0005-0000-0000-0000BD080000}"/>
    <cellStyle name="QEPS-H1" xfId="2269" xr:uid="{00000000-0005-0000-0000-0000BE080000}"/>
    <cellStyle name="qRange" xfId="2270" xr:uid="{00000000-0005-0000-0000-0000BF080000}"/>
    <cellStyle name="r" xfId="342" xr:uid="{00000000-0005-0000-0000-0000C0080000}"/>
    <cellStyle name="R_BUSINESS AREA" xfId="2271" xr:uid="{00000000-0005-0000-0000-0000C1080000}"/>
    <cellStyle name="R_BUSINESS AREA_asbru" xfId="2272" xr:uid="{00000000-0005-0000-0000-0000C2080000}"/>
    <cellStyle name="R_BUSINESS AREA_asbru 2" xfId="2273" xr:uid="{00000000-0005-0000-0000-0000C3080000}"/>
    <cellStyle name="R_BUSINESS AREA_asbru 3" xfId="2274" xr:uid="{00000000-0005-0000-0000-0000C4080000}"/>
    <cellStyle name="R_BUSINESS AREA_Lafarge" xfId="2275" xr:uid="{00000000-0005-0000-0000-0000C5080000}"/>
    <cellStyle name="R_BUSINESS AREA_Scenario Analysis April 2005" xfId="2276" xr:uid="{00000000-0005-0000-0000-0000C6080000}"/>
    <cellStyle name="R_BUSINESS AREA_Scenario Analysis April 2005 2" xfId="2277" xr:uid="{00000000-0005-0000-0000-0000C7080000}"/>
    <cellStyle name="R_BUSINESS AREA_Scenario Analysis April 2005 3" xfId="2278" xr:uid="{00000000-0005-0000-0000-0000C8080000}"/>
    <cellStyle name="R_BUSINESS AREA_Stora Enso Model" xfId="2279" xr:uid="{00000000-0005-0000-0000-0000C9080000}"/>
    <cellStyle name="R_BUSINESS AREA_Stora Enso Model 2" xfId="2280" xr:uid="{00000000-0005-0000-0000-0000CA080000}"/>
    <cellStyle name="R_BUSINESS AREA_Stora Enso Model 3" xfId="2281" xr:uid="{00000000-0005-0000-0000-0000CB080000}"/>
    <cellStyle name="R_BUSINESS AREA_UPM-Kymmene Model" xfId="2282" xr:uid="{00000000-0005-0000-0000-0000CC080000}"/>
    <cellStyle name="r_LAYOUTS bank" xfId="2283" xr:uid="{00000000-0005-0000-0000-0000CD080000}"/>
    <cellStyle name="r_LAYOUTS bank_asbru" xfId="2284" xr:uid="{00000000-0005-0000-0000-0000CE080000}"/>
    <cellStyle name="r_LAYOUTS bank_asbru 2" xfId="2285" xr:uid="{00000000-0005-0000-0000-0000CF080000}"/>
    <cellStyle name="r_LAYOUTS bank_asbru 3" xfId="2286" xr:uid="{00000000-0005-0000-0000-0000D0080000}"/>
    <cellStyle name="r_LAYOUTS bank_exp" xfId="2287" xr:uid="{00000000-0005-0000-0000-0000D1080000}"/>
    <cellStyle name="r_LAYOUTS bank_Lafarge" xfId="2288" xr:uid="{00000000-0005-0000-0000-0000D2080000}"/>
    <cellStyle name="r_LAYOUTS bank_Scenario Analysis April 2005" xfId="2289" xr:uid="{00000000-0005-0000-0000-0000D3080000}"/>
    <cellStyle name="r_LAYOUTS bank_Scenario Analysis April 2005 2" xfId="2290" xr:uid="{00000000-0005-0000-0000-0000D4080000}"/>
    <cellStyle name="r_LAYOUTS bank_Scenario Analysis April 2005 3" xfId="2291" xr:uid="{00000000-0005-0000-0000-0000D5080000}"/>
    <cellStyle name="r_LAYOUTS bank_Stora Enso Model" xfId="2292" xr:uid="{00000000-0005-0000-0000-0000D6080000}"/>
    <cellStyle name="r_LAYOUTS bank_Stora Enso Model 2" xfId="2293" xr:uid="{00000000-0005-0000-0000-0000D7080000}"/>
    <cellStyle name="r_LAYOUTS bank_Stora Enso Model 3" xfId="2294" xr:uid="{00000000-0005-0000-0000-0000D8080000}"/>
    <cellStyle name="r_LAYOUTS bank_UPM-Kymmene Model" xfId="2295" xr:uid="{00000000-0005-0000-0000-0000D9080000}"/>
    <cellStyle name="Randig" xfId="2296" xr:uid="{00000000-0005-0000-0000-0000DA080000}"/>
    <cellStyle name="range" xfId="2297" xr:uid="{00000000-0005-0000-0000-0000DB080000}"/>
    <cellStyle name="RatioX" xfId="49" xr:uid="{00000000-0005-0000-0000-0000DC080000}"/>
    <cellStyle name="Report" xfId="2298" xr:uid="{00000000-0005-0000-0000-0000DD080000}"/>
    <cellStyle name="results" xfId="2299" xr:uid="{00000000-0005-0000-0000-0000DE080000}"/>
    <cellStyle name="results 2" xfId="2300" xr:uid="{00000000-0005-0000-0000-0000DF080000}"/>
    <cellStyle name="Reuters Cells" xfId="343" xr:uid="{00000000-0005-0000-0000-0000E0080000}"/>
    <cellStyle name="revenue_model_q" xfId="50" xr:uid="{00000000-0005-0000-0000-0000E1080000}"/>
    <cellStyle name="RevList" xfId="2301" xr:uid="{00000000-0005-0000-0000-0000E2080000}"/>
    <cellStyle name="s" xfId="344" xr:uid="{00000000-0005-0000-0000-0000E3080000}"/>
    <cellStyle name="Salomon Logo" xfId="2302" xr:uid="{00000000-0005-0000-0000-0000E4080000}"/>
    <cellStyle name="ScripFactor" xfId="51" xr:uid="{00000000-0005-0000-0000-0000E5080000}"/>
    <cellStyle name="SectionHeading" xfId="52" xr:uid="{00000000-0005-0000-0000-0000E6080000}"/>
    <cellStyle name="SEK [1]" xfId="2303" xr:uid="{00000000-0005-0000-0000-0000E7080000}"/>
    <cellStyle name="Shade" xfId="2304" xr:uid="{00000000-0005-0000-0000-0000E8080000}"/>
    <cellStyle name="Shade 2" xfId="2305" xr:uid="{00000000-0005-0000-0000-0000E9080000}"/>
    <cellStyle name="ShadedCells_Database" xfId="345" xr:uid="{00000000-0005-0000-0000-0000EA080000}"/>
    <cellStyle name="Share" xfId="2306" xr:uid="{00000000-0005-0000-0000-0000EB080000}"/>
    <cellStyle name="Shares" xfId="2307" xr:uid="{00000000-0005-0000-0000-0000EC080000}"/>
    <cellStyle name="Sheet Title" xfId="346" xr:uid="{00000000-0005-0000-0000-0000ED080000}"/>
    <cellStyle name="ShOut" xfId="347" xr:uid="{00000000-0005-0000-0000-0000EE080000}"/>
    <cellStyle name="ShOut 2" xfId="2308" xr:uid="{00000000-0005-0000-0000-0000EF080000}"/>
    <cellStyle name="ShOut 3" xfId="2309" xr:uid="{00000000-0005-0000-0000-0000F0080000}"/>
    <cellStyle name="Sing" xfId="2310" xr:uid="{00000000-0005-0000-0000-0000F1080000}"/>
    <cellStyle name="SN" xfId="2311" xr:uid="{00000000-0005-0000-0000-0000F2080000}"/>
    <cellStyle name="SN 2" xfId="2312" xr:uid="{00000000-0005-0000-0000-0000F3080000}"/>
    <cellStyle name="SN 3" xfId="2313" xr:uid="{00000000-0005-0000-0000-0000F4080000}"/>
    <cellStyle name="Source" xfId="2314" xr:uid="{00000000-0005-0000-0000-0000F5080000}"/>
    <cellStyle name="Space" xfId="2315" xr:uid="{00000000-0005-0000-0000-0000F6080000}"/>
    <cellStyle name="SS1000" xfId="2316" xr:uid="{00000000-0005-0000-0000-0000F7080000}"/>
    <cellStyle name="Standaard_Map2" xfId="2317" xr:uid="{00000000-0005-0000-0000-0000F8080000}"/>
    <cellStyle name="Standard_BAE_model_new" xfId="2318" xr:uid="{00000000-0005-0000-0000-0000F9080000}"/>
    <cellStyle name="std" xfId="2319" xr:uid="{00000000-0005-0000-0000-0000FA080000}"/>
    <cellStyle name="sterling [0]" xfId="2320" xr:uid="{00000000-0005-0000-0000-0000FB080000}"/>
    <cellStyle name="sterling [1]" xfId="2321" xr:uid="{00000000-0005-0000-0000-0000FC080000}"/>
    <cellStyle name="Stock price" xfId="2322" xr:uid="{00000000-0005-0000-0000-0000FD080000}"/>
    <cellStyle name="Stock price 2" xfId="2323" xr:uid="{00000000-0005-0000-0000-0000FE080000}"/>
    <cellStyle name="Style 1" xfId="348" xr:uid="{00000000-0005-0000-0000-0000FF080000}"/>
    <cellStyle name="Style 1 2" xfId="2324" xr:uid="{00000000-0005-0000-0000-000000090000}"/>
    <cellStyle name="Style 1 3" xfId="2325" xr:uid="{00000000-0005-0000-0000-000001090000}"/>
    <cellStyle name="Style 10" xfId="2326" xr:uid="{00000000-0005-0000-0000-000002090000}"/>
    <cellStyle name="Style 10 2" xfId="2327" xr:uid="{00000000-0005-0000-0000-000003090000}"/>
    <cellStyle name="Style 10 3" xfId="2328" xr:uid="{00000000-0005-0000-0000-000004090000}"/>
    <cellStyle name="Style 11" xfId="2329" xr:uid="{00000000-0005-0000-0000-000005090000}"/>
    <cellStyle name="Style 11 2" xfId="2330" xr:uid="{00000000-0005-0000-0000-000006090000}"/>
    <cellStyle name="Style 11 3" xfId="2331" xr:uid="{00000000-0005-0000-0000-000007090000}"/>
    <cellStyle name="Style 12" xfId="2332" xr:uid="{00000000-0005-0000-0000-000008090000}"/>
    <cellStyle name="Style 12 2" xfId="2333" xr:uid="{00000000-0005-0000-0000-000009090000}"/>
    <cellStyle name="Style 12 3" xfId="2334" xr:uid="{00000000-0005-0000-0000-00000A090000}"/>
    <cellStyle name="Style 13" xfId="2335" xr:uid="{00000000-0005-0000-0000-00000B090000}"/>
    <cellStyle name="Style 13 2" xfId="2336" xr:uid="{00000000-0005-0000-0000-00000C090000}"/>
    <cellStyle name="Style 13 3" xfId="2337" xr:uid="{00000000-0005-0000-0000-00000D090000}"/>
    <cellStyle name="Style 14" xfId="2338" xr:uid="{00000000-0005-0000-0000-00000E090000}"/>
    <cellStyle name="Style 14 2" xfId="2339" xr:uid="{00000000-0005-0000-0000-00000F090000}"/>
    <cellStyle name="Style 14 3" xfId="2340" xr:uid="{00000000-0005-0000-0000-000010090000}"/>
    <cellStyle name="Style 15" xfId="2341" xr:uid="{00000000-0005-0000-0000-000011090000}"/>
    <cellStyle name="Style 15 2" xfId="2342" xr:uid="{00000000-0005-0000-0000-000012090000}"/>
    <cellStyle name="Style 15 3" xfId="2343" xr:uid="{00000000-0005-0000-0000-000013090000}"/>
    <cellStyle name="Style 16" xfId="2344" xr:uid="{00000000-0005-0000-0000-000014090000}"/>
    <cellStyle name="Style 16 2" xfId="2345" xr:uid="{00000000-0005-0000-0000-000015090000}"/>
    <cellStyle name="Style 16 3" xfId="2346" xr:uid="{00000000-0005-0000-0000-000016090000}"/>
    <cellStyle name="Style 17" xfId="2347" xr:uid="{00000000-0005-0000-0000-000017090000}"/>
    <cellStyle name="Style 17 2" xfId="2348" xr:uid="{00000000-0005-0000-0000-000018090000}"/>
    <cellStyle name="Style 17 3" xfId="2349" xr:uid="{00000000-0005-0000-0000-000019090000}"/>
    <cellStyle name="Style 18" xfId="2350" xr:uid="{00000000-0005-0000-0000-00001A090000}"/>
    <cellStyle name="Style 18 2" xfId="2351" xr:uid="{00000000-0005-0000-0000-00001B090000}"/>
    <cellStyle name="Style 18 3" xfId="2352" xr:uid="{00000000-0005-0000-0000-00001C090000}"/>
    <cellStyle name="Style 19" xfId="2353" xr:uid="{00000000-0005-0000-0000-00001D090000}"/>
    <cellStyle name="Style 19 2" xfId="2354" xr:uid="{00000000-0005-0000-0000-00001E090000}"/>
    <cellStyle name="Style 19 3" xfId="2355" xr:uid="{00000000-0005-0000-0000-00001F090000}"/>
    <cellStyle name="Style 2" xfId="349" xr:uid="{00000000-0005-0000-0000-000020090000}"/>
    <cellStyle name="Style 2 2" xfId="2356" xr:uid="{00000000-0005-0000-0000-000021090000}"/>
    <cellStyle name="Style 2 3" xfId="2357" xr:uid="{00000000-0005-0000-0000-000022090000}"/>
    <cellStyle name="Style 20" xfId="2358" xr:uid="{00000000-0005-0000-0000-000023090000}"/>
    <cellStyle name="Style 20 2" xfId="2359" xr:uid="{00000000-0005-0000-0000-000024090000}"/>
    <cellStyle name="Style 20 3" xfId="2360" xr:uid="{00000000-0005-0000-0000-000025090000}"/>
    <cellStyle name="Style 21" xfId="2361" xr:uid="{00000000-0005-0000-0000-000026090000}"/>
    <cellStyle name="Style 21 2" xfId="2362" xr:uid="{00000000-0005-0000-0000-000027090000}"/>
    <cellStyle name="Style 21 3" xfId="2363" xr:uid="{00000000-0005-0000-0000-000028090000}"/>
    <cellStyle name="Style 22" xfId="2364" xr:uid="{00000000-0005-0000-0000-000029090000}"/>
    <cellStyle name="Style 22 2" xfId="2365" xr:uid="{00000000-0005-0000-0000-00002A090000}"/>
    <cellStyle name="Style 22 3" xfId="2366" xr:uid="{00000000-0005-0000-0000-00002B090000}"/>
    <cellStyle name="Style 23" xfId="2367" xr:uid="{00000000-0005-0000-0000-00002C090000}"/>
    <cellStyle name="Style 23 2" xfId="2368" xr:uid="{00000000-0005-0000-0000-00002D090000}"/>
    <cellStyle name="Style 23 3" xfId="2369" xr:uid="{00000000-0005-0000-0000-00002E090000}"/>
    <cellStyle name="Style 24" xfId="2370" xr:uid="{00000000-0005-0000-0000-00002F090000}"/>
    <cellStyle name="Style 24 2" xfId="2371" xr:uid="{00000000-0005-0000-0000-000030090000}"/>
    <cellStyle name="Style 24 3" xfId="2372" xr:uid="{00000000-0005-0000-0000-000031090000}"/>
    <cellStyle name="Style 25" xfId="2373" xr:uid="{00000000-0005-0000-0000-000032090000}"/>
    <cellStyle name="Style 25 2" xfId="2374" xr:uid="{00000000-0005-0000-0000-000033090000}"/>
    <cellStyle name="Style 25 3" xfId="2375" xr:uid="{00000000-0005-0000-0000-000034090000}"/>
    <cellStyle name="Style 26" xfId="2376" xr:uid="{00000000-0005-0000-0000-000035090000}"/>
    <cellStyle name="Style 26 2" xfId="2377" xr:uid="{00000000-0005-0000-0000-000036090000}"/>
    <cellStyle name="Style 26 3" xfId="2378" xr:uid="{00000000-0005-0000-0000-000037090000}"/>
    <cellStyle name="Style 27" xfId="2379" xr:uid="{00000000-0005-0000-0000-000038090000}"/>
    <cellStyle name="Style 27 2" xfId="2380" xr:uid="{00000000-0005-0000-0000-000039090000}"/>
    <cellStyle name="Style 27 3" xfId="2381" xr:uid="{00000000-0005-0000-0000-00003A090000}"/>
    <cellStyle name="Style 3" xfId="350" xr:uid="{00000000-0005-0000-0000-00003B090000}"/>
    <cellStyle name="Style 3 2" xfId="2382" xr:uid="{00000000-0005-0000-0000-00003C090000}"/>
    <cellStyle name="Style 3 3" xfId="2383" xr:uid="{00000000-0005-0000-0000-00003D090000}"/>
    <cellStyle name="Style 4" xfId="2384" xr:uid="{00000000-0005-0000-0000-00003E090000}"/>
    <cellStyle name="Style 4 2" xfId="2385" xr:uid="{00000000-0005-0000-0000-00003F090000}"/>
    <cellStyle name="Style 4 3" xfId="2386" xr:uid="{00000000-0005-0000-0000-000040090000}"/>
    <cellStyle name="Style 5" xfId="2387" xr:uid="{00000000-0005-0000-0000-000041090000}"/>
    <cellStyle name="Style 5 2" xfId="2388" xr:uid="{00000000-0005-0000-0000-000042090000}"/>
    <cellStyle name="Style 5 3" xfId="2389" xr:uid="{00000000-0005-0000-0000-000043090000}"/>
    <cellStyle name="Style 6" xfId="2390" xr:uid="{00000000-0005-0000-0000-000044090000}"/>
    <cellStyle name="Style 6 2" xfId="2391" xr:uid="{00000000-0005-0000-0000-000045090000}"/>
    <cellStyle name="Style 6 3" xfId="2392" xr:uid="{00000000-0005-0000-0000-000046090000}"/>
    <cellStyle name="Style 7" xfId="2393" xr:uid="{00000000-0005-0000-0000-000047090000}"/>
    <cellStyle name="Style 7 2" xfId="2394" xr:uid="{00000000-0005-0000-0000-000048090000}"/>
    <cellStyle name="Style 7 3" xfId="2395" xr:uid="{00000000-0005-0000-0000-000049090000}"/>
    <cellStyle name="Style 8" xfId="2396" xr:uid="{00000000-0005-0000-0000-00004A090000}"/>
    <cellStyle name="Style 8 2" xfId="2397" xr:uid="{00000000-0005-0000-0000-00004B090000}"/>
    <cellStyle name="Style 8 3" xfId="2398" xr:uid="{00000000-0005-0000-0000-00004C090000}"/>
    <cellStyle name="Style 9" xfId="2399" xr:uid="{00000000-0005-0000-0000-00004D090000}"/>
    <cellStyle name="Style 9 2" xfId="2400" xr:uid="{00000000-0005-0000-0000-00004E090000}"/>
    <cellStyle name="Style 9 3" xfId="2401" xr:uid="{00000000-0005-0000-0000-00004F090000}"/>
    <cellStyle name="Style D green" xfId="351" xr:uid="{00000000-0005-0000-0000-000050090000}"/>
    <cellStyle name="Style D green 2" xfId="2402" xr:uid="{00000000-0005-0000-0000-000051090000}"/>
    <cellStyle name="Style D green 3" xfId="2403" xr:uid="{00000000-0005-0000-0000-000052090000}"/>
    <cellStyle name="Style E" xfId="352" xr:uid="{00000000-0005-0000-0000-000053090000}"/>
    <cellStyle name="Style H" xfId="353" xr:uid="{00000000-0005-0000-0000-000054090000}"/>
    <cellStyle name="Sub total" xfId="354" xr:uid="{00000000-0005-0000-0000-000055090000}"/>
    <cellStyle name="SubHeading1" xfId="53" xr:uid="{00000000-0005-0000-0000-000056090000}"/>
    <cellStyle name="Subtotal" xfId="2404" xr:uid="{00000000-0005-0000-0000-000057090000}"/>
    <cellStyle name="Subtotal 2" xfId="2405" xr:uid="{00000000-0005-0000-0000-000058090000}"/>
    <cellStyle name="Sum" xfId="355" xr:uid="{00000000-0005-0000-0000-000059090000}"/>
    <cellStyle name="Swiss" xfId="356" xr:uid="{00000000-0005-0000-0000-00005A090000}"/>
    <cellStyle name="swisses" xfId="2406" xr:uid="{00000000-0005-0000-0000-00005B090000}"/>
    <cellStyle name="swisses 2" xfId="2407" xr:uid="{00000000-0005-0000-0000-00005C090000}"/>
    <cellStyle name="swisses 3" xfId="2408" xr:uid="{00000000-0005-0000-0000-00005D090000}"/>
    <cellStyle name="SymbolBlue" xfId="2409" xr:uid="{00000000-0005-0000-0000-00005E090000}"/>
    <cellStyle name="Synopsis" xfId="2410" xr:uid="{00000000-0005-0000-0000-00005F090000}"/>
    <cellStyle name="Synopsis 2" xfId="2411" xr:uid="{00000000-0005-0000-0000-000060090000}"/>
    <cellStyle name="t" xfId="357" xr:uid="{00000000-0005-0000-0000-000061090000}"/>
    <cellStyle name="Table end" xfId="358" xr:uid="{00000000-0005-0000-0000-000062090000}"/>
    <cellStyle name="Table head" xfId="359" xr:uid="{00000000-0005-0000-0000-000063090000}"/>
    <cellStyle name="Table Head Aligned" xfId="2412" xr:uid="{00000000-0005-0000-0000-000064090000}"/>
    <cellStyle name="Table Head Blue" xfId="2413" xr:uid="{00000000-0005-0000-0000-000065090000}"/>
    <cellStyle name="Table Head Green" xfId="2414" xr:uid="{00000000-0005-0000-0000-000066090000}"/>
    <cellStyle name="Table Head_4. Debt Schedule" xfId="2415" xr:uid="{00000000-0005-0000-0000-000067090000}"/>
    <cellStyle name="Table Source" xfId="2416" xr:uid="{00000000-0005-0000-0000-000068090000}"/>
    <cellStyle name="Table Sub Head" xfId="2417" xr:uid="{00000000-0005-0000-0000-000069090000}"/>
    <cellStyle name="Table Text" xfId="2418" xr:uid="{00000000-0005-0000-0000-00006A090000}"/>
    <cellStyle name="table text bold" xfId="360" xr:uid="{00000000-0005-0000-0000-00006B090000}"/>
    <cellStyle name="table text bold green" xfId="361" xr:uid="{00000000-0005-0000-0000-00006C090000}"/>
    <cellStyle name="table text bold_BHI" xfId="2419" xr:uid="{00000000-0005-0000-0000-00006D090000}"/>
    <cellStyle name="table text light" xfId="362" xr:uid="{00000000-0005-0000-0000-00006E090000}"/>
    <cellStyle name="Table Text_Copy of IFRS consol ABB Final Version4" xfId="2420" xr:uid="{00000000-0005-0000-0000-00006F090000}"/>
    <cellStyle name="Table Title" xfId="363" xr:uid="{00000000-0005-0000-0000-000070090000}"/>
    <cellStyle name="Table Units" xfId="364" xr:uid="{00000000-0005-0000-0000-000071090000}"/>
    <cellStyle name="Table_Title" xfId="2421" xr:uid="{00000000-0005-0000-0000-000072090000}"/>
    <cellStyle name="TableBody" xfId="2422" xr:uid="{00000000-0005-0000-0000-000073090000}"/>
    <cellStyle name="TableBodyR" xfId="2423" xr:uid="{00000000-0005-0000-0000-000074090000}"/>
    <cellStyle name="TableColHeads" xfId="2424" xr:uid="{00000000-0005-0000-0000-000075090000}"/>
    <cellStyle name="tcn" xfId="2425" xr:uid="{00000000-0005-0000-0000-000076090000}"/>
    <cellStyle name="Teksti" xfId="2426" xr:uid="{00000000-0005-0000-0000-000077090000}"/>
    <cellStyle name="Text" xfId="2427" xr:uid="{00000000-0005-0000-0000-000078090000}"/>
    <cellStyle name="Text 1" xfId="2428" xr:uid="{00000000-0005-0000-0000-000079090000}"/>
    <cellStyle name="Text 2" xfId="2429" xr:uid="{00000000-0005-0000-0000-00007A090000}"/>
    <cellStyle name="Text Head" xfId="2430" xr:uid="{00000000-0005-0000-0000-00007B090000}"/>
    <cellStyle name="Text Head 1" xfId="2431" xr:uid="{00000000-0005-0000-0000-00007C090000}"/>
    <cellStyle name="Text Head 2" xfId="2432" xr:uid="{00000000-0005-0000-0000-00007D090000}"/>
    <cellStyle name="Text Head_BHI" xfId="2433" xr:uid="{00000000-0005-0000-0000-00007E090000}"/>
    <cellStyle name="Text Indent 1" xfId="2434" xr:uid="{00000000-0005-0000-0000-00007F090000}"/>
    <cellStyle name="Text Indent 2" xfId="2435" xr:uid="{00000000-0005-0000-0000-000080090000}"/>
    <cellStyle name="Text_Copy of IFRS consol ABB Final Version4" xfId="2436" xr:uid="{00000000-0005-0000-0000-000081090000}"/>
    <cellStyle name="threedecplace" xfId="2437" xr:uid="{00000000-0005-0000-0000-000082090000}"/>
    <cellStyle name="threedecplace 2" xfId="2438" xr:uid="{00000000-0005-0000-0000-000083090000}"/>
    <cellStyle name="Time" xfId="365" xr:uid="{00000000-0005-0000-0000-000084090000}"/>
    <cellStyle name="times" xfId="2439" xr:uid="{00000000-0005-0000-0000-000085090000}"/>
    <cellStyle name="times [2]" xfId="2440" xr:uid="{00000000-0005-0000-0000-000086090000}"/>
    <cellStyle name="times 2" xfId="2441" xr:uid="{00000000-0005-0000-0000-000087090000}"/>
    <cellStyle name="times 3" xfId="2442" xr:uid="{00000000-0005-0000-0000-000088090000}"/>
    <cellStyle name="Times_Snecma competitive landscape chart sauvegarde" xfId="2443" xr:uid="{00000000-0005-0000-0000-000089090000}"/>
    <cellStyle name="times2" xfId="2444" xr:uid="{00000000-0005-0000-0000-00008A090000}"/>
    <cellStyle name="times2 2" xfId="2445" xr:uid="{00000000-0005-0000-0000-00008B090000}"/>
    <cellStyle name="times2 3" xfId="2446" xr:uid="{00000000-0005-0000-0000-00008C090000}"/>
    <cellStyle name="timesales2under" xfId="2447" xr:uid="{00000000-0005-0000-0000-00008D090000}"/>
    <cellStyle name="Title - PROJECT" xfId="366" xr:uid="{00000000-0005-0000-0000-00008E090000}"/>
    <cellStyle name="Title - Underline" xfId="367" xr:uid="{00000000-0005-0000-0000-00008F090000}"/>
    <cellStyle name="Title 10" xfId="2448" xr:uid="{00000000-0005-0000-0000-000090090000}"/>
    <cellStyle name="Title 11" xfId="2449" xr:uid="{00000000-0005-0000-0000-000091090000}"/>
    <cellStyle name="Title 12" xfId="2450" xr:uid="{00000000-0005-0000-0000-000092090000}"/>
    <cellStyle name="Title 2" xfId="2451" xr:uid="{00000000-0005-0000-0000-000093090000}"/>
    <cellStyle name="Title 3" xfId="2452" xr:uid="{00000000-0005-0000-0000-000094090000}"/>
    <cellStyle name="Title 4" xfId="2453" xr:uid="{00000000-0005-0000-0000-000095090000}"/>
    <cellStyle name="Title 5" xfId="2454" xr:uid="{00000000-0005-0000-0000-000096090000}"/>
    <cellStyle name="Title 6" xfId="2455" xr:uid="{00000000-0005-0000-0000-000097090000}"/>
    <cellStyle name="Title 7" xfId="2456" xr:uid="{00000000-0005-0000-0000-000098090000}"/>
    <cellStyle name="Title 8" xfId="2457" xr:uid="{00000000-0005-0000-0000-000099090000}"/>
    <cellStyle name="Title 9" xfId="2458" xr:uid="{00000000-0005-0000-0000-00009A090000}"/>
    <cellStyle name="Title1" xfId="368" xr:uid="{00000000-0005-0000-0000-00009B090000}"/>
    <cellStyle name="Title2" xfId="369" xr:uid="{00000000-0005-0000-0000-00009C090000}"/>
    <cellStyle name="TitleII" xfId="2459" xr:uid="{00000000-0005-0000-0000-00009D090000}"/>
    <cellStyle name="Titles" xfId="54" xr:uid="{00000000-0005-0000-0000-00009E090000}"/>
    <cellStyle name="Titles - Col. Headings" xfId="370" xr:uid="{00000000-0005-0000-0000-00009F090000}"/>
    <cellStyle name="Titles - Other" xfId="371" xr:uid="{00000000-0005-0000-0000-0000A0090000}"/>
    <cellStyle name="tn" xfId="2460" xr:uid="{00000000-0005-0000-0000-0000A1090000}"/>
    <cellStyle name="TOC 1" xfId="2461" xr:uid="{00000000-0005-0000-0000-0000A2090000}"/>
    <cellStyle name="TOC 2" xfId="2462" xr:uid="{00000000-0005-0000-0000-0000A3090000}"/>
    <cellStyle name="Topline" xfId="2463" xr:uid="{00000000-0005-0000-0000-0000A4090000}"/>
    <cellStyle name="Total 2" xfId="2464" xr:uid="{00000000-0005-0000-0000-0000A5090000}"/>
    <cellStyle name="Total Currency" xfId="2465" xr:uid="{00000000-0005-0000-0000-0000A6090000}"/>
    <cellStyle name="Total Normal" xfId="2466" xr:uid="{00000000-0005-0000-0000-0000A7090000}"/>
    <cellStyle name="TotalCurrency" xfId="2467" xr:uid="{00000000-0005-0000-0000-0000A8090000}"/>
    <cellStyle name="TR 8" xfId="2468" xr:uid="{00000000-0005-0000-0000-0000A9090000}"/>
    <cellStyle name="TR 8 2" xfId="2469" xr:uid="{00000000-0005-0000-0000-0000AA090000}"/>
    <cellStyle name="TR 8B" xfId="2470" xr:uid="{00000000-0005-0000-0000-0000AB090000}"/>
    <cellStyle name="TR 8B 2" xfId="2471" xr:uid="{00000000-0005-0000-0000-0000AC090000}"/>
    <cellStyle name="triple space" xfId="2472" xr:uid="{00000000-0005-0000-0000-0000AD090000}"/>
    <cellStyle name="Tusental (0)_laroux" xfId="2473" xr:uid="{00000000-0005-0000-0000-0000AE090000}"/>
    <cellStyle name="Tusental_laroux" xfId="2474" xr:uid="{00000000-0005-0000-0000-0000AF090000}"/>
    <cellStyle name="twodecplace" xfId="2475" xr:uid="{00000000-0005-0000-0000-0000B0090000}"/>
    <cellStyle name="twodecplace 2" xfId="2476" xr:uid="{00000000-0005-0000-0000-0000B1090000}"/>
    <cellStyle name="twodecplace 3" xfId="2477" xr:uid="{00000000-0005-0000-0000-0000B2090000}"/>
    <cellStyle name="Twodig" xfId="2478" xr:uid="{00000000-0005-0000-0000-0000B3090000}"/>
    <cellStyle name="Underline" xfId="2479" xr:uid="{00000000-0005-0000-0000-0000B4090000}"/>
    <cellStyle name="undernum" xfId="2480" xr:uid="{00000000-0005-0000-0000-0000B5090000}"/>
    <cellStyle name="unm" xfId="372" xr:uid="{00000000-0005-0000-0000-0000B6090000}"/>
    <cellStyle name="Upper Line" xfId="2481" xr:uid="{00000000-0005-0000-0000-0000B7090000}"/>
    <cellStyle name="Upper Line 2" xfId="2482" xr:uid="{00000000-0005-0000-0000-0000B8090000}"/>
    <cellStyle name="Upper Line 3" xfId="2483" xr:uid="{00000000-0005-0000-0000-0000B9090000}"/>
    <cellStyle name="Use_1dp" xfId="2484" xr:uid="{00000000-0005-0000-0000-0000BA090000}"/>
    <cellStyle name="UseB_1dp" xfId="2485" xr:uid="{00000000-0005-0000-0000-0000BB090000}"/>
    <cellStyle name="Validation" xfId="2486" xr:uid="{00000000-0005-0000-0000-0000BC090000}"/>
    <cellStyle name="Validation 2" xfId="2487" xr:uid="{00000000-0005-0000-0000-0000BD090000}"/>
    <cellStyle name="Validation 3" xfId="2488" xr:uid="{00000000-0005-0000-0000-0000BE090000}"/>
    <cellStyle name="Valuta (0)_Bourse" xfId="2489" xr:uid="{00000000-0005-0000-0000-0000BF090000}"/>
    <cellStyle name="Valuta_Bourse" xfId="2490" xr:uid="{00000000-0005-0000-0000-0000C0090000}"/>
    <cellStyle name="Warning Text 2" xfId="2491" xr:uid="{00000000-0005-0000-0000-0000C1090000}"/>
    <cellStyle name="weden" xfId="2492" xr:uid="{00000000-0005-0000-0000-0000C2090000}"/>
    <cellStyle name="WhiteCells" xfId="2493" xr:uid="{00000000-0005-0000-0000-0000C3090000}"/>
    <cellStyle name="WholeNumber" xfId="2494" xr:uid="{00000000-0005-0000-0000-0000C4090000}"/>
    <cellStyle name="wild guess" xfId="2495" xr:uid="{00000000-0005-0000-0000-0000C5090000}"/>
    <cellStyle name="Wildguess" xfId="2496" xr:uid="{00000000-0005-0000-0000-0000C6090000}"/>
    <cellStyle name="WingdingsBlack" xfId="2497" xr:uid="{00000000-0005-0000-0000-0000C7090000}"/>
    <cellStyle name="WingdingsRed" xfId="2498" xr:uid="{00000000-0005-0000-0000-0000C8090000}"/>
    <cellStyle name="WingdingsWhite" xfId="2499" xr:uid="{00000000-0005-0000-0000-0000C9090000}"/>
    <cellStyle name="x" xfId="2500" xr:uid="{00000000-0005-0000-0000-0000CA090000}"/>
    <cellStyle name="x_Copy of IFRS consol ABB Final Version4" xfId="2501" xr:uid="{00000000-0005-0000-0000-0000CB090000}"/>
    <cellStyle name="Year" xfId="373" xr:uid="{00000000-0005-0000-0000-0000CC090000}"/>
    <cellStyle name="Year Estimate" xfId="2502" xr:uid="{00000000-0005-0000-0000-0000CD090000}"/>
    <cellStyle name="Year Estimate 2" xfId="2503" xr:uid="{00000000-0005-0000-0000-0000CE090000}"/>
    <cellStyle name="year_BHI" xfId="2504" xr:uid="{00000000-0005-0000-0000-0000CF090000}"/>
    <cellStyle name="YearInput" xfId="55" xr:uid="{00000000-0005-0000-0000-0000D0090000}"/>
    <cellStyle name="YearInputBk" xfId="56" xr:uid="{00000000-0005-0000-0000-0000D1090000}"/>
    <cellStyle name="YearInputBu" xfId="57" xr:uid="{00000000-0005-0000-0000-0000D2090000}"/>
    <cellStyle name="years" xfId="58" xr:uid="{00000000-0005-0000-0000-0000D3090000}"/>
    <cellStyle name="yen" xfId="2505" xr:uid="{00000000-0005-0000-0000-0000D4090000}"/>
    <cellStyle name="yen 2" xfId="2506" xr:uid="{00000000-0005-0000-0000-0000D5090000}"/>
    <cellStyle name="yläots" xfId="2507" xr:uid="{00000000-0005-0000-0000-0000D6090000}"/>
    <cellStyle name="ynergos" xfId="2508" xr:uid="{00000000-0005-0000-0000-0000D7090000}"/>
    <cellStyle name="常规_全进度数据" xfId="2509" xr:uid="{00000000-0005-0000-0000-0000D8090000}"/>
    <cellStyle name="標準_6472 NTN" xfId="2510" xr:uid="{00000000-0005-0000-0000-0000D9090000}"/>
  </cellStyles>
  <dxfs count="14"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>
          <bgColor rgb="FFA5A5A5"/>
        </patternFill>
      </fill>
    </dxf>
    <dxf>
      <fill>
        <patternFill>
          <bgColor rgb="FFA5A5A5"/>
        </patternFill>
      </fill>
    </dxf>
    <dxf>
      <fill>
        <patternFill>
          <bgColor rgb="FFCCCCCC"/>
        </patternFill>
      </fill>
    </dxf>
    <dxf>
      <fill>
        <patternFill>
          <bgColor rgb="FFCCFFCC"/>
        </patternFill>
      </fill>
    </dxf>
    <dxf>
      <font>
        <b val="0"/>
        <i val="0"/>
        <color rgb="FF000000"/>
      </font>
      <fill>
        <patternFill>
          <bgColor rgb="FFFFC000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>
          <bgColor rgb="FFA5A5A5"/>
        </patternFill>
      </fill>
    </dxf>
    <dxf>
      <fill>
        <patternFill>
          <bgColor rgb="FFA5A5A5"/>
        </patternFill>
      </fill>
    </dxf>
    <dxf>
      <fill>
        <patternFill>
          <bgColor rgb="FFCCCCCC"/>
        </patternFill>
      </fill>
    </dxf>
    <dxf>
      <fill>
        <patternFill>
          <bgColor rgb="FFCCFFCC"/>
        </patternFill>
      </fill>
    </dxf>
    <dxf>
      <font>
        <b val="0"/>
        <i val="0"/>
        <color rgb="FF000000"/>
      </font>
      <fill>
        <patternFill>
          <bgColor rgb="FFFFC000"/>
        </patternFill>
      </fill>
    </dxf>
    <dxf>
      <font>
        <b val="0"/>
        <i val="0"/>
        <color rgb="FF00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1C5020-C1CD-4022-8711-D0E9B2C20E14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E76AA"/>
      <rgbColor rgb="00CFD6E6"/>
      <rgbColor rgb="009EADCC"/>
      <rgbColor rgb="00EFF1F6"/>
      <rgbColor rgb="00BFC8DD"/>
      <rgbColor rgb="008E9FC4"/>
      <rgbColor rgb="00DFE4EE"/>
      <rgbColor rgb="00AEBAD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  <color rgb="FF00FFFF"/>
      <color rgb="FFF67F26"/>
      <color rgb="FFD8D8D8"/>
      <color rgb="FFEBF6FF"/>
      <color rgb="FFACD4F1"/>
      <color rgb="FFD5ECFF"/>
      <color rgb="FF00355F"/>
      <color rgb="FF007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100" b="1"/>
              <a:t>Safran</a:t>
            </a:r>
            <a:r>
              <a:rPr lang="en-GB" sz="1100" b="1" baseline="0"/>
              <a:t> </a:t>
            </a:r>
          </a:p>
          <a:p>
            <a:pPr>
              <a:defRPr sz="1100" b="1"/>
            </a:pPr>
            <a:r>
              <a:rPr lang="en-GB" sz="1100" b="0" baseline="0"/>
              <a:t>GS modelled returns</a:t>
            </a:r>
            <a:endParaRPr lang="en-GB" sz="1100" b="0"/>
          </a:p>
        </c:rich>
      </c:tx>
      <c:layout>
        <c:manualLayout>
          <c:xMode val="edge"/>
          <c:yMode val="edge"/>
          <c:x val="0.350673395282049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59898450937756E-2"/>
          <c:y val="0.2937475341898052"/>
          <c:w val="0.90856245577243921"/>
          <c:h val="0.57376742644011591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Multiples!$I$55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Multiples!$J$55:$O$55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8EA-4EBC-B19A-4750A58054E4}"/>
            </c:ext>
          </c:extLst>
        </c:ser>
        <c:ser>
          <c:idx val="3"/>
          <c:order val="2"/>
          <c:tx>
            <c:strRef>
              <c:f>Multiples!$I$56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Multiples!$J$56:$O$56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88EA-4EBC-B19A-4750A58054E4}"/>
            </c:ext>
          </c:extLst>
        </c:ser>
        <c:ser>
          <c:idx val="1"/>
          <c:order val="3"/>
          <c:tx>
            <c:strRef>
              <c:f>Multiples!$I$54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Multiples!$J$54:$O$54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88EA-4EBC-B19A-4750A5805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41808591"/>
        <c:axId val="741799023"/>
      </c:barChart>
      <c:lineChart>
        <c:grouping val="standard"/>
        <c:varyColors val="0"/>
        <c:ser>
          <c:idx val="0"/>
          <c:order val="0"/>
          <c:tx>
            <c:strRef>
              <c:f>Multiples!$I$57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Multiples!$J$57:$O$57</c:f>
              <c:numCache>
                <c:formatCode>0.0%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EA-4EBC-B19A-4750A5805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08591"/>
        <c:axId val="741799023"/>
      </c:lineChart>
      <c:catAx>
        <c:axId val="7418085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1799023"/>
        <c:crosses val="autoZero"/>
        <c:auto val="1"/>
        <c:lblAlgn val="ctr"/>
        <c:lblOffset val="100"/>
        <c:noMultiLvlLbl val="0"/>
      </c:catAx>
      <c:valAx>
        <c:axId val="74179902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180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7431314920894"/>
          <c:y val="1.2324906755076663E-2"/>
          <c:w val="0.3476329151192401"/>
          <c:h val="0.244127641939494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200" b="1"/>
              <a:t>Safran</a:t>
            </a:r>
            <a:r>
              <a:rPr lang="en-GB" sz="1200" b="1" baseline="0"/>
              <a:t> </a:t>
            </a:r>
          </a:p>
          <a:p>
            <a:pPr>
              <a:defRPr sz="1200" b="1"/>
            </a:pPr>
            <a:r>
              <a:rPr lang="en-GB" sz="1200" b="0" baseline="0"/>
              <a:t>GS modelled returns</a:t>
            </a:r>
            <a:endParaRPr lang="en-GB" sz="1200" b="0"/>
          </a:p>
        </c:rich>
      </c:tx>
      <c:layout>
        <c:manualLayout>
          <c:xMode val="edge"/>
          <c:yMode val="edge"/>
          <c:x val="0.350673395282049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59898450937756E-2"/>
          <c:y val="0.2937475341898052"/>
          <c:w val="0.82152537182852148"/>
          <c:h val="0.57376742644011591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Multiples!$I$55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Multiples!$J$55:$O$55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4B3-44ED-AB45-185234583218}"/>
            </c:ext>
          </c:extLst>
        </c:ser>
        <c:ser>
          <c:idx val="3"/>
          <c:order val="2"/>
          <c:tx>
            <c:strRef>
              <c:f>Multiples!$I$56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Multiples!$J$56:$O$56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74B3-44ED-AB45-185234583218}"/>
            </c:ext>
          </c:extLst>
        </c:ser>
        <c:ser>
          <c:idx val="1"/>
          <c:order val="3"/>
          <c:tx>
            <c:strRef>
              <c:f>Multiples!$I$54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Multiples!$J$54:$O$54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74B3-44ED-AB45-18523458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41808591"/>
        <c:axId val="741799023"/>
      </c:barChart>
      <c:lineChart>
        <c:grouping val="standard"/>
        <c:varyColors val="0"/>
        <c:ser>
          <c:idx val="0"/>
          <c:order val="0"/>
          <c:tx>
            <c:strRef>
              <c:f>Multiples!$I$57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Multiples!$J$52:$O$52</c:f>
              <c:numCache>
                <c:formatCode>0</c:formatCode>
                <c:ptCount val="6"/>
              </c:numCache>
            </c:numRef>
          </c:cat>
          <c:val>
            <c:numRef>
              <c:f>Multiples!$J$57:$O$57</c:f>
              <c:numCache>
                <c:formatCode>0.0%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B3-44ED-AB45-18523458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08591"/>
        <c:axId val="741799023"/>
      </c:lineChart>
      <c:catAx>
        <c:axId val="7418085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1799023"/>
        <c:crosses val="autoZero"/>
        <c:auto val="1"/>
        <c:lblAlgn val="ctr"/>
        <c:lblOffset val="100"/>
        <c:noMultiLvlLbl val="0"/>
      </c:catAx>
      <c:valAx>
        <c:axId val="74179902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180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7431314920894"/>
          <c:y val="1.2324906755076663E-2"/>
          <c:w val="0.3476329151192401"/>
          <c:h val="0.244127641939494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200026</xdr:colOff>
      <xdr:row>1</xdr:row>
      <xdr:rowOff>76199</xdr:rowOff>
    </xdr:from>
    <xdr:ext cx="701039" cy="657226"/>
    <xdr:pic>
      <xdr:nvPicPr>
        <xdr:cNvPr id="2" name="Picture 1" descr="GS Logo - 65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6" y="200024"/>
          <a:ext cx="701039" cy="6572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200026</xdr:colOff>
      <xdr:row>1</xdr:row>
      <xdr:rowOff>76199</xdr:rowOff>
    </xdr:from>
    <xdr:ext cx="701039" cy="657226"/>
    <xdr:pic>
      <xdr:nvPicPr>
        <xdr:cNvPr id="3" name="Picture 2" descr="GS Logo - 65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6" y="200024"/>
          <a:ext cx="701039" cy="6572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485775</xdr:colOff>
      <xdr:row>51</xdr:row>
      <xdr:rowOff>133350</xdr:rowOff>
    </xdr:from>
    <xdr:to>
      <xdr:col>28</xdr:col>
      <xdr:colOff>66675</xdr:colOff>
      <xdr:row>56</xdr:row>
      <xdr:rowOff>104775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0145375" y="9982200"/>
          <a:ext cx="266700" cy="933450"/>
        </a:xfrm>
        <a:prstGeom prst="straightConnector1">
          <a:avLst/>
        </a:prstGeom>
        <a:ln>
          <a:solidFill>
            <a:schemeClr val="bg2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495300</xdr:colOff>
      <xdr:row>21</xdr:row>
      <xdr:rowOff>133350</xdr:rowOff>
    </xdr:from>
    <xdr:to>
      <xdr:col>28</xdr:col>
      <xdr:colOff>76200</xdr:colOff>
      <xdr:row>26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20154900" y="4181475"/>
          <a:ext cx="266700" cy="933450"/>
        </a:xfrm>
        <a:prstGeom prst="straightConnector1">
          <a:avLst/>
        </a:prstGeom>
        <a:ln>
          <a:solidFill>
            <a:schemeClr val="bg2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47625</xdr:colOff>
      <xdr:row>7</xdr:row>
      <xdr:rowOff>152400</xdr:rowOff>
    </xdr:from>
    <xdr:to>
      <xdr:col>30</xdr:col>
      <xdr:colOff>666750</xdr:colOff>
      <xdr:row>8</xdr:row>
      <xdr:rowOff>38100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 flipV="1">
          <a:off x="21764625" y="1495425"/>
          <a:ext cx="619125" cy="85725"/>
        </a:xfrm>
        <a:prstGeom prst="straightConnector1">
          <a:avLst/>
        </a:prstGeom>
        <a:ln>
          <a:solidFill>
            <a:schemeClr val="bg2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457200</xdr:colOff>
      <xdr:row>59</xdr:row>
      <xdr:rowOff>133350</xdr:rowOff>
    </xdr:from>
    <xdr:to>
      <xdr:col>11</xdr:col>
      <xdr:colOff>458525</xdr:colOff>
      <xdr:row>76</xdr:row>
      <xdr:rowOff>59690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89F64F-6A90-442B-A528-1700D80B1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552449</xdr:colOff>
      <xdr:row>77</xdr:row>
      <xdr:rowOff>28575</xdr:rowOff>
    </xdr:from>
    <xdr:to>
      <xdr:col>13</xdr:col>
      <xdr:colOff>518159</xdr:colOff>
      <xdr:row>100</xdr:row>
      <xdr:rowOff>136169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8F7FEA-2D06-4519-90EB-6FB087D1B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0.40934</cdr:x>
      <cdr:y>0.22421</cdr:y>
    </cdr:from>
    <cdr:to>
      <cdr:x>0.51561</cdr:x>
      <cdr:y>0.99158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51CAB77-0799-D661-940C-D08372A25E21}"/>
            </a:ext>
          </a:extLst>
        </cdr:cNvPr>
        <cdr:cNvSpPr/>
      </cdr:nvSpPr>
      <cdr:spPr>
        <a:xfrm xmlns:a="http://schemas.openxmlformats.org/drawingml/2006/main">
          <a:off x="1981200" y="676275"/>
          <a:ext cx="514350" cy="2314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0.34439</cdr:x>
      <cdr:y>0.13684</cdr:y>
    </cdr:from>
    <cdr:to>
      <cdr:x>0.60417</cdr:x>
      <cdr:y>0.23053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01FF3619-9817-16A5-E0A6-1BC4859A5401}"/>
            </a:ext>
          </a:extLst>
        </cdr:cNvPr>
        <cdr:cNvSpPr txBox="1"/>
      </cdr:nvSpPr>
      <cdr:spPr>
        <a:xfrm xmlns:a="http://schemas.openxmlformats.org/drawingml/2006/main">
          <a:off x="1666875" y="412750"/>
          <a:ext cx="1257300" cy="282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 b="1">
              <a:solidFill>
                <a:schemeClr val="bg2"/>
              </a:solidFill>
            </a:rPr>
            <a:t>CL period (+50%)</a:t>
          </a:r>
        </a:p>
      </cdr:txBody>
    </cdr:sp>
  </cdr:relSizeAnchor>
  <cdr:relSizeAnchor xmlns:cdr="http://schemas.openxmlformats.org/drawingml/2006/chartDrawing">
    <cdr:from>
      <cdr:x>0.53988</cdr:x>
      <cdr:y>0.31368</cdr:y>
    </cdr:from>
    <cdr:to>
      <cdr:x>0.79965</cdr:x>
      <cdr:y>0.40737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BA584CCE-ADCB-3FFC-2D1C-EE8698F7D844}"/>
            </a:ext>
          </a:extLst>
        </cdr:cNvPr>
        <cdr:cNvSpPr txBox="1"/>
      </cdr:nvSpPr>
      <cdr:spPr>
        <a:xfrm xmlns:a="http://schemas.openxmlformats.org/drawingml/2006/main">
          <a:off x="2613025" y="946150"/>
          <a:ext cx="1257300" cy="282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 b="1">
              <a:solidFill>
                <a:schemeClr val="bg2"/>
              </a:solidFill>
            </a:rPr>
            <a:t>We are here</a:t>
          </a:r>
        </a:p>
      </cdr:txBody>
    </cdr:sp>
  </cdr:relSizeAnchor>
  <cdr:relSizeAnchor xmlns:cdr="http://schemas.openxmlformats.org/drawingml/2006/chartDrawing">
    <cdr:from>
      <cdr:x>0.61204</cdr:x>
      <cdr:y>0.38632</cdr:y>
    </cdr:from>
    <cdr:to>
      <cdr:x>0.61269</cdr:x>
      <cdr:y>0.46105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C0CCC947-51DF-9E64-BDBA-CA27B413D184}"/>
            </a:ext>
          </a:extLst>
        </cdr:cNvPr>
        <cdr:cNvCxnSpPr/>
      </cdr:nvCxnSpPr>
      <cdr:spPr>
        <a:xfrm xmlns:a="http://schemas.openxmlformats.org/drawingml/2006/main" flipH="1">
          <a:off x="2962275" y="1165225"/>
          <a:ext cx="3175" cy="22542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0.343</cdr:x>
      <cdr:y>0.18587</cdr:y>
    </cdr:from>
    <cdr:to>
      <cdr:x>0.54861</cdr:x>
      <cdr:y>0.26521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01FF3619-9817-16A5-E0A6-1BC4859A5401}"/>
            </a:ext>
          </a:extLst>
        </cdr:cNvPr>
        <cdr:cNvSpPr txBox="1"/>
      </cdr:nvSpPr>
      <cdr:spPr>
        <a:xfrm xmlns:a="http://schemas.openxmlformats.org/drawingml/2006/main">
          <a:off x="2352294" y="794380"/>
          <a:ext cx="1410073" cy="3390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>
              <a:solidFill>
                <a:schemeClr val="bg2"/>
              </a:solidFill>
            </a:rPr>
            <a:t>CL period (+c.50%)</a:t>
          </a:r>
        </a:p>
      </cdr:txBody>
    </cdr:sp>
  </cdr:relSizeAnchor>
  <cdr:relSizeAnchor xmlns:cdr="http://schemas.openxmlformats.org/drawingml/2006/chartDrawing">
    <cdr:from>
      <cdr:x>0.38056</cdr:x>
      <cdr:y>0.26796</cdr:y>
    </cdr:from>
    <cdr:to>
      <cdr:x>0.48334</cdr:x>
      <cdr:y>0.29196</cdr:y>
    </cdr:to>
    <cdr:sp macro="" textlink="">
      <cdr:nvSpPr>
        <cdr:cNvPr id="6" name="Right Brace 5">
          <a:extLst xmlns:a="http://schemas.openxmlformats.org/drawingml/2006/main">
            <a:ext uri="{FF2B5EF4-FFF2-40B4-BE49-F238E27FC236}">
              <a16:creationId xmlns:a16="http://schemas.microsoft.com/office/drawing/2014/main" id="{22F084F3-6749-6372-C196-1C1BA96F4C32}"/>
            </a:ext>
          </a:extLst>
        </cdr:cNvPr>
        <cdr:cNvSpPr/>
      </cdr:nvSpPr>
      <cdr:spPr>
        <a:xfrm xmlns:a="http://schemas.openxmlformats.org/drawingml/2006/main" rot="5400000" flipH="1">
          <a:off x="2910997" y="844077"/>
          <a:ext cx="102572" cy="704865"/>
        </a:xfrm>
        <a:prstGeom xmlns:a="http://schemas.openxmlformats.org/drawingml/2006/main" prst="rightBrace">
          <a:avLst/>
        </a:prstGeom>
        <a:ln xmlns:a="http://schemas.openxmlformats.org/drawingml/2006/main" w="19050">
          <a:solidFill>
            <a:schemeClr val="bg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0.08519</cdr:x>
      <cdr:y>0.70426</cdr:y>
    </cdr:from>
    <cdr:to>
      <cdr:x>0.90278</cdr:x>
      <cdr:y>0.70426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9B3DA0A9-5939-1479-6F20-4FD49EFD527C}"/>
            </a:ext>
          </a:extLst>
        </cdr:cNvPr>
        <cdr:cNvCxnSpPr/>
      </cdr:nvCxnSpPr>
      <cdr:spPr>
        <a:xfrm xmlns:a="http://schemas.openxmlformats.org/drawingml/2006/main">
          <a:off x="584200" y="3009900"/>
          <a:ext cx="5607051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2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0.91667</cdr:x>
      <cdr:y>0.67603</cdr:y>
    </cdr:from>
    <cdr:to>
      <cdr:x>1</cdr:x>
      <cdr:y>0.75775</cdr:y>
    </cdr:to>
    <cdr:sp macro="" textlink="">
      <cdr:nvSpPr>
        <cdr:cNvPr id="7" name="TextBox 8">
          <a:extLst xmlns:a="http://schemas.openxmlformats.org/drawingml/2006/main">
            <a:ext uri="{FF2B5EF4-FFF2-40B4-BE49-F238E27FC236}">
              <a16:creationId xmlns:a16="http://schemas.microsoft.com/office/drawing/2014/main" id="{6E24C7F8-DEE1-0E9A-FF4A-3AE76C1A602D}"/>
            </a:ext>
          </a:extLst>
        </cdr:cNvPr>
        <cdr:cNvSpPr txBox="1"/>
      </cdr:nvSpPr>
      <cdr:spPr>
        <a:xfrm xmlns:a="http://schemas.openxmlformats.org/drawingml/2006/main">
          <a:off x="6286500" y="2889250"/>
          <a:ext cx="571499" cy="3492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>
              <a:solidFill>
                <a:schemeClr val="tx2"/>
              </a:solidFill>
            </a:rPr>
            <a:t>GS Multis WACC</a:t>
          </a:r>
        </a:p>
      </cdr:txBody>
    </cdr:sp>
  </cdr:relSizeAnchor>
  <cdr:relSizeAnchor xmlns:cdr="http://schemas.openxmlformats.org/drawingml/2006/chartDrawing">
    <cdr:from>
      <cdr:x>0.91667</cdr:x>
      <cdr:y>0.62923</cdr:y>
    </cdr:from>
    <cdr:to>
      <cdr:x>1</cdr:x>
      <cdr:y>0.76444</cdr:y>
    </cdr:to>
    <cdr:sp macro="" textlink="">
      <cdr:nvSpPr>
        <cdr:cNvPr id="8" name="TextBox 8">
          <a:extLst xmlns:a="http://schemas.openxmlformats.org/drawingml/2006/main">
            <a:ext uri="{FF2B5EF4-FFF2-40B4-BE49-F238E27FC236}">
              <a16:creationId xmlns:a16="http://schemas.microsoft.com/office/drawing/2014/main" id="{5EB5AE12-A743-EB48-4B0D-DCF7E86968CC}"/>
            </a:ext>
          </a:extLst>
        </cdr:cNvPr>
        <cdr:cNvSpPr txBox="1"/>
      </cdr:nvSpPr>
      <cdr:spPr>
        <a:xfrm xmlns:a="http://schemas.openxmlformats.org/drawingml/2006/main">
          <a:off x="6286501" y="2689225"/>
          <a:ext cx="571499" cy="577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>
              <a:solidFill>
                <a:schemeClr val="tx2">
                  <a:lumMod val="40000"/>
                  <a:lumOff val="60000"/>
                </a:schemeClr>
              </a:solidFill>
            </a:rPr>
            <a:t>CoE</a:t>
          </a:r>
        </a:p>
      </cdr:txBody>
    </cdr:sp>
  </cdr:relSizeAnchor>
  <cdr:relSizeAnchor xmlns:cdr="http://schemas.openxmlformats.org/drawingml/2006/chartDrawing">
    <cdr:from>
      <cdr:x>0.08565</cdr:x>
      <cdr:y>0.67603</cdr:y>
    </cdr:from>
    <cdr:to>
      <cdr:x>0.90324</cdr:x>
      <cdr:y>0.67603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0CAB74AE-CE5D-58AA-D2F7-3DFE48CB6AA9}"/>
            </a:ext>
          </a:extLst>
        </cdr:cNvPr>
        <cdr:cNvCxnSpPr/>
      </cdr:nvCxnSpPr>
      <cdr:spPr>
        <a:xfrm xmlns:a="http://schemas.openxmlformats.org/drawingml/2006/main">
          <a:off x="587375" y="2889250"/>
          <a:ext cx="5607051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2">
              <a:lumMod val="40000"/>
              <a:lumOff val="60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A&amp;D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GIR Product">
      <a:majorFont>
        <a:latin typeface="Univers LT Std 65 Bold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Jpan" typeface="MS Gothic"/>
      </a:majorFont>
      <a:minorFont>
        <a:latin typeface="Univers LT Std 55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IR Produc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BA4FC3-3097-491A-B015-11821CC3BB4E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ustomProperty" Target="../customProperty4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2.bin"/><Relationship Id="rId7" Type="http://schemas.openxmlformats.org/officeDocument/2006/relationships/comments" Target="../comments1.xml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2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2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7.bin"/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9.bin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file:///\\fwln050ns.eu.fw.gs.com\moronj_london_firmwide\home\Downloads\Consensus%20Q3%202025%20&amp;%20FY%202025.pdf" TargetMode="External"/><Relationship Id="rId4" Type="http://schemas.openxmlformats.org/officeDocument/2006/relationships/customProperty" Target="../customProperty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2.bin"/><Relationship Id="rId2" Type="http://schemas.openxmlformats.org/officeDocument/2006/relationships/customProperty" Target="../customProperty31.bin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4.bin"/><Relationship Id="rId2" Type="http://schemas.openxmlformats.org/officeDocument/2006/relationships/customProperty" Target="../customProperty33.bin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6.bin"/><Relationship Id="rId2" Type="http://schemas.openxmlformats.org/officeDocument/2006/relationships/customProperty" Target="../customProperty35.bin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20"/>
  <sheetViews>
    <sheetView workbookViewId="0"/>
  </sheetViews>
  <sheetFormatPr defaultColWidth="9" defaultRowHeight="12.75"/>
  <cols>
    <col min="1" max="16384" width="9" style="1"/>
  </cols>
  <sheetData>
    <row r="1" spans="1:36">
      <c r="A1" s="1">
        <v>1311101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 t="s">
        <v>331</v>
      </c>
      <c r="O1" s="1" t="s">
        <v>330</v>
      </c>
      <c r="P1" s="1">
        <v>2006</v>
      </c>
      <c r="Q1" s="1" t="s">
        <v>329</v>
      </c>
      <c r="R1" s="1" t="s">
        <v>328</v>
      </c>
      <c r="S1" s="1">
        <v>2007</v>
      </c>
      <c r="T1" s="1" t="s">
        <v>327</v>
      </c>
      <c r="U1" s="1" t="s">
        <v>326</v>
      </c>
      <c r="V1" s="1">
        <v>2008</v>
      </c>
      <c r="W1" s="1" t="s">
        <v>325</v>
      </c>
      <c r="X1" s="1" t="s">
        <v>324</v>
      </c>
      <c r="Y1" s="1">
        <v>2009</v>
      </c>
      <c r="Z1" s="1" t="s">
        <v>323</v>
      </c>
      <c r="AA1" s="1" t="s">
        <v>322</v>
      </c>
      <c r="AB1" s="1">
        <v>2010</v>
      </c>
      <c r="AC1" s="1" t="s">
        <v>321</v>
      </c>
      <c r="AD1" s="1" t="s">
        <v>320</v>
      </c>
      <c r="AE1" s="1">
        <v>2011</v>
      </c>
      <c r="AF1" s="1">
        <v>2012</v>
      </c>
      <c r="AG1" s="1">
        <v>2013</v>
      </c>
      <c r="AH1" s="1">
        <v>2014</v>
      </c>
      <c r="AI1" s="1">
        <v>2015</v>
      </c>
      <c r="AJ1" s="1">
        <v>2016</v>
      </c>
    </row>
    <row r="2" spans="1:36" ht="15.75">
      <c r="A2" s="3" t="s">
        <v>319</v>
      </c>
    </row>
    <row r="4" spans="1:36">
      <c r="B4" s="1" t="s">
        <v>318</v>
      </c>
      <c r="D4" s="1" t="s">
        <v>0</v>
      </c>
      <c r="F4" s="2">
        <v>36160</v>
      </c>
      <c r="G4" s="2">
        <v>36525</v>
      </c>
      <c r="H4" s="2">
        <v>36891</v>
      </c>
      <c r="I4" s="2">
        <v>37256</v>
      </c>
      <c r="J4" s="2">
        <v>37621</v>
      </c>
      <c r="K4" s="2">
        <v>37986</v>
      </c>
      <c r="L4" s="2">
        <v>38352</v>
      </c>
      <c r="M4" s="2">
        <v>38717</v>
      </c>
      <c r="N4" s="2">
        <v>38898</v>
      </c>
      <c r="O4" s="2">
        <v>39082</v>
      </c>
      <c r="P4" s="2">
        <v>39082</v>
      </c>
      <c r="Q4" s="2">
        <v>39263</v>
      </c>
      <c r="R4" s="2">
        <v>39447</v>
      </c>
      <c r="S4" s="2">
        <v>39447</v>
      </c>
      <c r="T4" s="2">
        <v>39629</v>
      </c>
      <c r="U4" s="2">
        <v>39813</v>
      </c>
      <c r="V4" s="2">
        <v>39813</v>
      </c>
      <c r="W4" s="2">
        <v>39994</v>
      </c>
      <c r="X4" s="2">
        <v>40178</v>
      </c>
      <c r="Y4" s="2">
        <v>40178</v>
      </c>
      <c r="Z4" s="2">
        <v>40359</v>
      </c>
      <c r="AA4" s="2">
        <v>40543</v>
      </c>
      <c r="AB4" s="2">
        <v>40543</v>
      </c>
      <c r="AC4" s="2">
        <v>40724</v>
      </c>
      <c r="AD4" s="2">
        <v>40908</v>
      </c>
      <c r="AE4" s="2">
        <v>40908</v>
      </c>
      <c r="AF4" s="2">
        <v>41274</v>
      </c>
      <c r="AG4" s="2">
        <v>41639</v>
      </c>
      <c r="AH4" s="2">
        <v>42004</v>
      </c>
      <c r="AI4" s="2">
        <v>42369</v>
      </c>
      <c r="AJ4" s="2">
        <v>42735</v>
      </c>
    </row>
    <row r="5" spans="1:36">
      <c r="B5" s="1" t="s">
        <v>317</v>
      </c>
      <c r="D5" s="1" t="s">
        <v>0</v>
      </c>
    </row>
    <row r="6" spans="1:36">
      <c r="B6" s="1" t="s">
        <v>316</v>
      </c>
      <c r="D6" s="1" t="s">
        <v>0</v>
      </c>
    </row>
    <row r="7" spans="1:36">
      <c r="B7" s="1" t="s">
        <v>315</v>
      </c>
      <c r="D7" s="1" t="s">
        <v>0</v>
      </c>
      <c r="E7" s="1" t="s">
        <v>314</v>
      </c>
    </row>
    <row r="8" spans="1:36">
      <c r="B8" s="1" t="s">
        <v>313</v>
      </c>
      <c r="D8" s="1" t="s">
        <v>0</v>
      </c>
    </row>
    <row r="9" spans="1:36">
      <c r="B9" s="1" t="s">
        <v>312</v>
      </c>
      <c r="D9" s="1" t="s">
        <v>0</v>
      </c>
    </row>
    <row r="10" spans="1:36">
      <c r="B10" s="1" t="s">
        <v>311</v>
      </c>
      <c r="D10" s="1" t="s">
        <v>0</v>
      </c>
      <c r="E10" s="1">
        <v>404.73546099999999</v>
      </c>
    </row>
    <row r="11" spans="1:36">
      <c r="B11" s="1" t="s">
        <v>310</v>
      </c>
      <c r="D11" s="1" t="s">
        <v>0</v>
      </c>
      <c r="E11" s="1">
        <v>0.46600000000000003</v>
      </c>
    </row>
    <row r="12" spans="1:36">
      <c r="B12" s="1" t="s">
        <v>309</v>
      </c>
      <c r="D12" s="1" t="s">
        <v>0</v>
      </c>
      <c r="M12" s="1">
        <v>10.963250964557</v>
      </c>
      <c r="P12" s="1">
        <v>10.404537606127001</v>
      </c>
      <c r="S12" s="1">
        <v>10.402139694717</v>
      </c>
      <c r="V12" s="1">
        <v>9.35175367101</v>
      </c>
      <c r="Y12" s="1">
        <v>10.900212845874</v>
      </c>
      <c r="AB12" s="1">
        <v>10.862538685355</v>
      </c>
      <c r="AE12" s="1">
        <v>11.912823882747</v>
      </c>
    </row>
    <row r="13" spans="1:36">
      <c r="B13" s="1" t="s">
        <v>308</v>
      </c>
      <c r="D13" s="1" t="s">
        <v>0</v>
      </c>
      <c r="M13" s="1">
        <v>0.35968671143600001</v>
      </c>
      <c r="P13" s="1">
        <v>0.22060784968</v>
      </c>
      <c r="S13" s="1">
        <v>0.400451205398</v>
      </c>
      <c r="V13" s="1">
        <v>0.25</v>
      </c>
      <c r="Y13" s="1">
        <v>0.38</v>
      </c>
      <c r="AB13" s="1">
        <v>0.5</v>
      </c>
      <c r="AE13" s="1">
        <v>0.62</v>
      </c>
    </row>
    <row r="14" spans="1:36">
      <c r="B14" s="1" t="s">
        <v>307</v>
      </c>
      <c r="D14" s="1" t="s">
        <v>0</v>
      </c>
      <c r="M14" s="1">
        <v>1019</v>
      </c>
      <c r="P14" s="1">
        <v>884</v>
      </c>
      <c r="S14" s="1">
        <v>1069</v>
      </c>
      <c r="V14" s="1">
        <v>1182</v>
      </c>
      <c r="Y14" s="1">
        <v>1107</v>
      </c>
      <c r="AB14" s="1">
        <v>1313.5</v>
      </c>
      <c r="AE14" s="1">
        <v>1681</v>
      </c>
    </row>
    <row r="15" spans="1:36">
      <c r="B15" s="1" t="s">
        <v>306</v>
      </c>
      <c r="D15" s="1" t="s">
        <v>0</v>
      </c>
      <c r="M15" s="1">
        <v>1.224003551047</v>
      </c>
      <c r="P15" s="1">
        <v>0.43202980097600002</v>
      </c>
      <c r="S15" s="1">
        <v>0.98837801590300001</v>
      </c>
      <c r="V15" s="1">
        <v>0.63154612047400005</v>
      </c>
      <c r="Y15" s="1">
        <v>0.94172621239900001</v>
      </c>
      <c r="AB15" s="1">
        <v>1.2714210673270001</v>
      </c>
      <c r="AE15" s="1">
        <v>1.591162776814</v>
      </c>
    </row>
    <row r="16" spans="1:36">
      <c r="B16" s="1" t="s">
        <v>305</v>
      </c>
      <c r="D16" s="1" t="s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v>486.33239692817102</v>
      </c>
      <c r="N16" s="1">
        <v>0</v>
      </c>
      <c r="O16" s="1">
        <v>0</v>
      </c>
      <c r="P16" s="1">
        <v>838.35458228661003</v>
      </c>
      <c r="Q16" s="1">
        <v>0</v>
      </c>
      <c r="S16" s="1">
        <v>1109.3545822866099</v>
      </c>
      <c r="V16" s="1">
        <v>1064.3545822866099</v>
      </c>
      <c r="Y16" s="1">
        <v>1044.3545822866099</v>
      </c>
      <c r="AB16" s="1">
        <v>1100.3545822866099</v>
      </c>
      <c r="AE16" s="1">
        <v>1144.3545822866099</v>
      </c>
    </row>
    <row r="17" spans="2:31">
      <c r="B17" s="1" t="s">
        <v>304</v>
      </c>
      <c r="D17" s="1" t="s">
        <v>0</v>
      </c>
      <c r="M17" s="1">
        <v>473</v>
      </c>
      <c r="P17" s="1">
        <v>419</v>
      </c>
      <c r="S17" s="1">
        <v>169</v>
      </c>
      <c r="V17" s="1">
        <v>635</v>
      </c>
      <c r="W17" s="1">
        <v>-690</v>
      </c>
      <c r="X17" s="1">
        <v>498</v>
      </c>
      <c r="Y17" s="1">
        <v>498</v>
      </c>
      <c r="AB17" s="1">
        <v>-24</v>
      </c>
      <c r="AE17" s="1">
        <v>997</v>
      </c>
    </row>
    <row r="18" spans="2:31">
      <c r="B18" s="1" t="s">
        <v>303</v>
      </c>
      <c r="D18" s="1" t="s">
        <v>0</v>
      </c>
      <c r="M18" s="1">
        <v>501</v>
      </c>
      <c r="P18" s="1">
        <v>177</v>
      </c>
      <c r="S18" s="1">
        <v>406</v>
      </c>
      <c r="V18" s="1">
        <v>256</v>
      </c>
      <c r="W18" s="1">
        <v>207</v>
      </c>
      <c r="X18" s="1">
        <v>169</v>
      </c>
      <c r="Y18" s="1">
        <v>376</v>
      </c>
      <c r="Z18" s="1">
        <v>261</v>
      </c>
      <c r="AA18" s="1">
        <v>247</v>
      </c>
      <c r="AB18" s="1">
        <v>508</v>
      </c>
      <c r="AC18" s="1">
        <v>317.057484662577</v>
      </c>
      <c r="AD18" s="1">
        <v>321.61599999999999</v>
      </c>
      <c r="AE18" s="1">
        <v>644</v>
      </c>
    </row>
    <row r="19" spans="2:31">
      <c r="B19" s="1" t="s">
        <v>302</v>
      </c>
      <c r="D19" s="1" t="s">
        <v>0</v>
      </c>
      <c r="M19" s="1">
        <v>762</v>
      </c>
      <c r="P19" s="1">
        <v>465</v>
      </c>
      <c r="S19" s="1">
        <v>706</v>
      </c>
      <c r="V19" s="1">
        <v>798</v>
      </c>
      <c r="W19" s="1">
        <v>347</v>
      </c>
      <c r="X19" s="1">
        <v>351</v>
      </c>
      <c r="Y19" s="1">
        <v>698</v>
      </c>
      <c r="Z19" s="1">
        <v>428</v>
      </c>
      <c r="AA19" s="1">
        <v>450</v>
      </c>
      <c r="AB19" s="1">
        <v>878</v>
      </c>
      <c r="AC19" s="1">
        <v>554.05748466257705</v>
      </c>
      <c r="AD19" s="1">
        <v>632.61599999999999</v>
      </c>
      <c r="AE19" s="1">
        <v>1189</v>
      </c>
    </row>
    <row r="20" spans="2:31">
      <c r="B20" s="1" t="s">
        <v>301</v>
      </c>
      <c r="D20" s="1" t="s">
        <v>0</v>
      </c>
      <c r="M20" s="1">
        <v>678</v>
      </c>
      <c r="P20" s="1">
        <v>391</v>
      </c>
      <c r="S20" s="1">
        <v>645</v>
      </c>
      <c r="V20" s="1">
        <v>605</v>
      </c>
      <c r="W20" s="1">
        <v>265</v>
      </c>
      <c r="X20" s="1">
        <v>227</v>
      </c>
      <c r="Y20" s="1">
        <v>492</v>
      </c>
      <c r="Z20" s="1">
        <v>337</v>
      </c>
      <c r="AA20" s="1">
        <v>369</v>
      </c>
      <c r="AB20" s="1">
        <v>706</v>
      </c>
      <c r="AC20" s="1">
        <v>442.057484662577</v>
      </c>
      <c r="AD20" s="1">
        <v>510.61599999999999</v>
      </c>
      <c r="AE20" s="1">
        <v>955</v>
      </c>
    </row>
    <row r="21" spans="2:31">
      <c r="B21" s="1" t="s">
        <v>300</v>
      </c>
      <c r="D21" s="1" t="s">
        <v>0</v>
      </c>
      <c r="M21" s="1">
        <v>10577</v>
      </c>
      <c r="P21" s="1">
        <v>11329</v>
      </c>
      <c r="S21" s="1">
        <v>12003</v>
      </c>
      <c r="V21" s="1">
        <v>10329</v>
      </c>
      <c r="W21" s="1">
        <v>5149</v>
      </c>
      <c r="X21" s="1">
        <v>5299</v>
      </c>
      <c r="Y21" s="1">
        <v>10448</v>
      </c>
      <c r="Z21" s="1">
        <v>5197</v>
      </c>
      <c r="AA21" s="1">
        <v>5563</v>
      </c>
      <c r="AB21" s="1">
        <v>10760</v>
      </c>
      <c r="AC21" s="1">
        <v>5622</v>
      </c>
      <c r="AD21" s="1">
        <v>6114</v>
      </c>
      <c r="AE21" s="1">
        <v>11736</v>
      </c>
    </row>
    <row r="22" spans="2:31">
      <c r="B22" s="1" t="s">
        <v>299</v>
      </c>
      <c r="D22" s="1" t="s">
        <v>0</v>
      </c>
      <c r="M22" s="1">
        <v>4736</v>
      </c>
      <c r="P22" s="1">
        <v>4512</v>
      </c>
      <c r="S22" s="1">
        <v>4505</v>
      </c>
      <c r="V22" s="1">
        <v>3874</v>
      </c>
      <c r="Y22" s="1">
        <v>4501</v>
      </c>
      <c r="AB22" s="1">
        <v>4705</v>
      </c>
      <c r="AE22" s="1">
        <v>5122</v>
      </c>
    </row>
    <row r="23" spans="2:31">
      <c r="B23" s="1" t="s">
        <v>298</v>
      </c>
      <c r="D23" s="1" t="s">
        <v>0</v>
      </c>
      <c r="M23" s="1">
        <v>10577</v>
      </c>
      <c r="P23" s="1">
        <v>11329</v>
      </c>
      <c r="S23" s="1">
        <v>12003</v>
      </c>
      <c r="V23" s="1">
        <v>10329</v>
      </c>
      <c r="Y23" s="1">
        <v>10448</v>
      </c>
      <c r="AB23" s="1">
        <v>10760</v>
      </c>
      <c r="AE23" s="1">
        <v>11736</v>
      </c>
    </row>
    <row r="24" spans="2:31">
      <c r="B24" s="1" t="s">
        <v>297</v>
      </c>
      <c r="D24" s="1" t="s">
        <v>0</v>
      </c>
    </row>
    <row r="25" spans="2:31">
      <c r="B25" s="1" t="s">
        <v>296</v>
      </c>
      <c r="D25" s="1" t="s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S25" s="1">
        <v>0</v>
      </c>
    </row>
    <row r="26" spans="2:31">
      <c r="B26" s="1" t="s">
        <v>295</v>
      </c>
      <c r="D26" s="1" t="s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M26" s="1">
        <v>-9558</v>
      </c>
      <c r="N26" s="1">
        <v>0</v>
      </c>
      <c r="O26" s="1">
        <v>0</v>
      </c>
      <c r="P26" s="1">
        <v>-10445</v>
      </c>
      <c r="Q26" s="1">
        <v>0</v>
      </c>
      <c r="S26" s="1">
        <v>-10934</v>
      </c>
      <c r="V26" s="1">
        <v>-8708</v>
      </c>
      <c r="Y26" s="1">
        <v>-8847</v>
      </c>
      <c r="AB26" s="1">
        <v>-9040.5</v>
      </c>
      <c r="AE26" s="1">
        <v>-9560</v>
      </c>
    </row>
    <row r="27" spans="2:31">
      <c r="B27" s="1" t="s">
        <v>294</v>
      </c>
      <c r="D27" s="1" t="s">
        <v>0</v>
      </c>
    </row>
    <row r="28" spans="2:31">
      <c r="B28" s="1" t="s">
        <v>293</v>
      </c>
      <c r="D28" s="1" t="s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0</v>
      </c>
      <c r="O28" s="1">
        <v>0</v>
      </c>
      <c r="Q28" s="1">
        <v>0</v>
      </c>
      <c r="V28" s="1">
        <v>-439</v>
      </c>
      <c r="Y28" s="1">
        <v>-494</v>
      </c>
      <c r="AB28" s="1">
        <v>-406</v>
      </c>
      <c r="AE28" s="1">
        <v>-495</v>
      </c>
    </row>
    <row r="29" spans="2:31">
      <c r="B29" s="1" t="s">
        <v>292</v>
      </c>
      <c r="D29" s="1" t="s">
        <v>0</v>
      </c>
      <c r="M29" s="1">
        <v>-9815</v>
      </c>
      <c r="P29" s="1">
        <v>-10864</v>
      </c>
      <c r="S29" s="1">
        <v>-11297</v>
      </c>
      <c r="V29" s="1">
        <v>-9531</v>
      </c>
      <c r="Y29" s="1">
        <v>-9750</v>
      </c>
      <c r="AB29" s="1">
        <v>-9882</v>
      </c>
      <c r="AE29" s="1">
        <v>-10547</v>
      </c>
    </row>
    <row r="30" spans="2:31">
      <c r="B30" s="1" t="s">
        <v>291</v>
      </c>
      <c r="D30" s="1" t="s">
        <v>0</v>
      </c>
      <c r="M30" s="1">
        <v>-9558</v>
      </c>
      <c r="P30" s="1">
        <v>-10445</v>
      </c>
      <c r="S30" s="1">
        <v>-10934</v>
      </c>
      <c r="V30" s="1">
        <v>-9147</v>
      </c>
      <c r="Y30" s="1">
        <v>-9341</v>
      </c>
      <c r="AB30" s="1">
        <v>-9446.5</v>
      </c>
      <c r="AE30" s="1">
        <v>-10055</v>
      </c>
    </row>
    <row r="31" spans="2:31">
      <c r="B31" s="1" t="s">
        <v>290</v>
      </c>
      <c r="D31" s="1" t="s">
        <v>0</v>
      </c>
      <c r="M31" s="1">
        <v>1019</v>
      </c>
      <c r="P31" s="1">
        <v>884</v>
      </c>
      <c r="S31" s="1">
        <v>1069</v>
      </c>
      <c r="V31" s="1">
        <v>1182</v>
      </c>
      <c r="Y31" s="1">
        <v>1107</v>
      </c>
      <c r="AB31" s="1">
        <v>1313.5</v>
      </c>
      <c r="AE31" s="1">
        <v>1681</v>
      </c>
    </row>
    <row r="32" spans="2:31">
      <c r="B32" s="1" t="s">
        <v>289</v>
      </c>
      <c r="D32" s="1" t="s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M32" s="1">
        <v>-257</v>
      </c>
      <c r="N32" s="1">
        <v>0</v>
      </c>
      <c r="O32" s="1">
        <v>0</v>
      </c>
      <c r="P32" s="1">
        <v>-306</v>
      </c>
      <c r="Q32" s="1">
        <v>0</v>
      </c>
      <c r="S32" s="1">
        <v>-287</v>
      </c>
      <c r="V32" s="1">
        <v>-278</v>
      </c>
      <c r="Y32" s="1">
        <v>-279</v>
      </c>
      <c r="AB32" s="1">
        <v>-291</v>
      </c>
      <c r="AE32" s="1">
        <v>-321</v>
      </c>
    </row>
    <row r="33" spans="2:31">
      <c r="B33" s="1" t="s">
        <v>288</v>
      </c>
      <c r="D33" s="1" t="s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0</v>
      </c>
      <c r="O33" s="1">
        <v>0</v>
      </c>
      <c r="P33" s="1">
        <v>-113</v>
      </c>
      <c r="Q33" s="1">
        <v>0</v>
      </c>
      <c r="S33" s="1">
        <v>-76</v>
      </c>
      <c r="V33" s="1">
        <v>-106</v>
      </c>
      <c r="Y33" s="1">
        <v>-130</v>
      </c>
      <c r="AB33" s="1">
        <v>-144.5</v>
      </c>
      <c r="AE33" s="1">
        <v>-171</v>
      </c>
    </row>
    <row r="34" spans="2:31">
      <c r="B34" s="1" t="s">
        <v>287</v>
      </c>
      <c r="D34" s="1" t="s">
        <v>0</v>
      </c>
      <c r="M34" s="1">
        <v>762</v>
      </c>
      <c r="P34" s="1">
        <v>465</v>
      </c>
      <c r="S34" s="1">
        <v>706</v>
      </c>
      <c r="V34" s="1">
        <v>798</v>
      </c>
      <c r="Y34" s="1">
        <v>698</v>
      </c>
      <c r="AB34" s="1">
        <v>878</v>
      </c>
      <c r="AE34" s="1">
        <v>1189</v>
      </c>
    </row>
    <row r="35" spans="2:31">
      <c r="B35" s="1" t="s">
        <v>286</v>
      </c>
      <c r="D35" s="1" t="s">
        <v>0</v>
      </c>
    </row>
    <row r="36" spans="2:31">
      <c r="B36" s="1" t="s">
        <v>285</v>
      </c>
      <c r="D36" s="1" t="s">
        <v>0</v>
      </c>
    </row>
    <row r="37" spans="2:31">
      <c r="B37" s="1" t="s">
        <v>284</v>
      </c>
      <c r="D37" s="1" t="s">
        <v>0</v>
      </c>
      <c r="M37" s="1">
        <v>-87</v>
      </c>
      <c r="P37" s="1">
        <v>-78</v>
      </c>
      <c r="S37" s="1">
        <v>-65</v>
      </c>
      <c r="V37" s="1">
        <v>-203</v>
      </c>
      <c r="Y37" s="1">
        <v>-174</v>
      </c>
      <c r="AB37" s="1">
        <v>-168</v>
      </c>
      <c r="AE37" s="1">
        <v>-215</v>
      </c>
    </row>
    <row r="38" spans="2:31">
      <c r="B38" s="1" t="s">
        <v>283</v>
      </c>
      <c r="D38" s="1" t="s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</v>
      </c>
      <c r="N38" s="1">
        <v>0</v>
      </c>
      <c r="O38" s="1">
        <v>0</v>
      </c>
      <c r="P38" s="1">
        <v>4</v>
      </c>
      <c r="Q38" s="1">
        <v>0</v>
      </c>
      <c r="S38" s="1">
        <v>4</v>
      </c>
      <c r="V38" s="1">
        <v>10</v>
      </c>
      <c r="Y38" s="1">
        <v>3</v>
      </c>
      <c r="AB38" s="1">
        <v>9</v>
      </c>
      <c r="AE38" s="1">
        <v>10</v>
      </c>
    </row>
    <row r="39" spans="2:31">
      <c r="B39" s="1" t="s">
        <v>282</v>
      </c>
      <c r="D39" s="1" t="s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S39" s="1">
        <v>0</v>
      </c>
    </row>
    <row r="40" spans="2:31">
      <c r="B40" s="1" t="s">
        <v>281</v>
      </c>
      <c r="D40" s="1" t="s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S40" s="1">
        <v>0</v>
      </c>
      <c r="AB40" s="1">
        <v>-13</v>
      </c>
      <c r="AE40" s="1">
        <v>-29</v>
      </c>
    </row>
    <row r="41" spans="2:31">
      <c r="B41" s="1" t="s">
        <v>280</v>
      </c>
      <c r="D41" s="1" t="s">
        <v>0</v>
      </c>
      <c r="M41" s="1">
        <v>678</v>
      </c>
      <c r="P41" s="1">
        <v>391</v>
      </c>
      <c r="S41" s="1">
        <v>645</v>
      </c>
      <c r="V41" s="1">
        <v>605</v>
      </c>
      <c r="Y41" s="1">
        <v>527</v>
      </c>
      <c r="AB41" s="1">
        <v>706</v>
      </c>
      <c r="AE41" s="1">
        <v>955</v>
      </c>
    </row>
    <row r="42" spans="2:31">
      <c r="B42" s="1" t="s">
        <v>279</v>
      </c>
      <c r="D42" s="1" t="s">
        <v>0</v>
      </c>
      <c r="M42" s="1">
        <v>-170</v>
      </c>
      <c r="P42" s="1">
        <v>-199</v>
      </c>
      <c r="S42" s="1">
        <v>-224</v>
      </c>
      <c r="V42" s="1">
        <v>-101</v>
      </c>
      <c r="Y42" s="1">
        <v>-98</v>
      </c>
      <c r="AB42" s="1">
        <v>-173</v>
      </c>
      <c r="AE42" s="1">
        <v>-289</v>
      </c>
    </row>
    <row r="43" spans="2:31">
      <c r="B43" s="1" t="s">
        <v>278</v>
      </c>
      <c r="D43" s="1" t="s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M43" s="1">
        <v>-7</v>
      </c>
      <c r="N43" s="1">
        <v>0</v>
      </c>
      <c r="O43" s="1">
        <v>0</v>
      </c>
      <c r="P43" s="1">
        <v>-15</v>
      </c>
      <c r="Q43" s="1">
        <v>0</v>
      </c>
      <c r="S43" s="1">
        <v>-15</v>
      </c>
      <c r="V43" s="1">
        <v>-15</v>
      </c>
      <c r="Y43" s="1">
        <v>-14</v>
      </c>
      <c r="AB43" s="1">
        <v>-20</v>
      </c>
      <c r="AE43" s="1">
        <v>-25</v>
      </c>
    </row>
    <row r="44" spans="2:31">
      <c r="B44" s="1" t="s">
        <v>277</v>
      </c>
      <c r="D44" s="1" t="s">
        <v>0</v>
      </c>
      <c r="M44" s="1">
        <v>501</v>
      </c>
      <c r="P44" s="1">
        <v>177</v>
      </c>
      <c r="S44" s="1">
        <v>406</v>
      </c>
      <c r="V44" s="1">
        <v>489</v>
      </c>
      <c r="Y44" s="1">
        <v>415</v>
      </c>
      <c r="AB44" s="1">
        <v>513</v>
      </c>
      <c r="AE44" s="1">
        <v>641</v>
      </c>
    </row>
    <row r="45" spans="2:31">
      <c r="B45" s="1" t="s">
        <v>276</v>
      </c>
      <c r="D45" s="1" t="s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S45" s="1">
        <v>0</v>
      </c>
    </row>
    <row r="46" spans="2:31">
      <c r="B46" s="1" t="s">
        <v>275</v>
      </c>
      <c r="D46" s="1" t="s">
        <v>0</v>
      </c>
      <c r="M46" s="1">
        <v>501</v>
      </c>
      <c r="P46" s="1">
        <v>177</v>
      </c>
      <c r="S46" s="1">
        <v>406</v>
      </c>
      <c r="V46" s="1">
        <v>489</v>
      </c>
      <c r="Y46" s="1">
        <v>415</v>
      </c>
      <c r="AB46" s="1">
        <v>513</v>
      </c>
      <c r="AE46" s="1">
        <v>641</v>
      </c>
    </row>
    <row r="47" spans="2:31">
      <c r="B47" s="1" t="s">
        <v>274</v>
      </c>
      <c r="D47" s="1" t="s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0</v>
      </c>
      <c r="O47" s="1">
        <v>0</v>
      </c>
      <c r="Q47" s="1">
        <v>0</v>
      </c>
      <c r="V47" s="1">
        <v>-233</v>
      </c>
    </row>
    <row r="48" spans="2:31">
      <c r="B48" s="1" t="s">
        <v>273</v>
      </c>
      <c r="D48" s="1" t="s">
        <v>0</v>
      </c>
      <c r="M48" s="1">
        <v>501</v>
      </c>
      <c r="P48" s="1">
        <v>177</v>
      </c>
      <c r="S48" s="1">
        <v>406</v>
      </c>
      <c r="V48" s="1">
        <v>256</v>
      </c>
      <c r="Y48" s="1">
        <v>415</v>
      </c>
      <c r="AB48" s="1">
        <v>513</v>
      </c>
      <c r="AE48" s="1">
        <v>641</v>
      </c>
    </row>
    <row r="49" spans="2:31">
      <c r="B49" s="1" t="s">
        <v>272</v>
      </c>
      <c r="D49" s="1" t="s">
        <v>0</v>
      </c>
      <c r="M49" s="1">
        <v>1.224003551047</v>
      </c>
      <c r="P49" s="1">
        <v>0.43202980097600002</v>
      </c>
      <c r="S49" s="1">
        <v>0.98837801590300001</v>
      </c>
      <c r="V49" s="1">
        <v>1.206351769186</v>
      </c>
      <c r="Y49" s="1">
        <v>1.0394052610260001</v>
      </c>
      <c r="AB49" s="1">
        <v>1.2839350542100001</v>
      </c>
      <c r="AE49" s="1">
        <v>1.5837505278540001</v>
      </c>
    </row>
    <row r="50" spans="2:31">
      <c r="B50" s="1" t="s">
        <v>271</v>
      </c>
      <c r="D50" s="1" t="s">
        <v>0</v>
      </c>
      <c r="M50" s="1">
        <v>1.2207229399990001</v>
      </c>
      <c r="P50" s="1">
        <v>0.430867254137</v>
      </c>
      <c r="S50" s="1">
        <v>0.98780595878400002</v>
      </c>
      <c r="V50" s="1">
        <v>1.206351769186</v>
      </c>
      <c r="Y50" s="1">
        <v>1.0347028386679999</v>
      </c>
      <c r="AB50" s="1">
        <v>1.271272874381</v>
      </c>
      <c r="AE50" s="1">
        <v>1.5774981606639999</v>
      </c>
    </row>
    <row r="51" spans="2:31">
      <c r="B51" s="1" t="s">
        <v>270</v>
      </c>
      <c r="D51" s="1" t="s">
        <v>0</v>
      </c>
      <c r="M51" s="1">
        <v>1.224003551047</v>
      </c>
      <c r="P51" s="1">
        <v>0.43202980097600002</v>
      </c>
      <c r="S51" s="1">
        <v>0.98837801590300001</v>
      </c>
      <c r="V51" s="1">
        <v>0.63154612047400005</v>
      </c>
      <c r="Y51" s="1">
        <v>1.0394052610260001</v>
      </c>
      <c r="AB51" s="1">
        <v>1.2839350542100001</v>
      </c>
      <c r="AE51" s="1">
        <v>1.5837505278540001</v>
      </c>
    </row>
    <row r="52" spans="2:31">
      <c r="B52" s="1" t="s">
        <v>269</v>
      </c>
      <c r="D52" s="1" t="s">
        <v>0</v>
      </c>
      <c r="M52" s="1">
        <v>1.2207229399990001</v>
      </c>
      <c r="P52" s="1">
        <v>0.430867254137</v>
      </c>
      <c r="S52" s="1">
        <v>0.98780595878400002</v>
      </c>
      <c r="V52" s="1">
        <v>0.63154612047400005</v>
      </c>
      <c r="Y52" s="1">
        <v>1.0347028386679999</v>
      </c>
      <c r="AB52" s="1">
        <v>1.271272874381</v>
      </c>
      <c r="AE52" s="1">
        <v>1.5774981606639999</v>
      </c>
    </row>
    <row r="53" spans="2:31">
      <c r="B53" s="1" t="s">
        <v>268</v>
      </c>
      <c r="D53" s="1" t="s">
        <v>0</v>
      </c>
      <c r="M53" s="1">
        <v>-150</v>
      </c>
      <c r="P53" s="1">
        <v>-92</v>
      </c>
      <c r="S53" s="1">
        <v>-167</v>
      </c>
      <c r="V53" s="1">
        <v>-104</v>
      </c>
      <c r="Y53" s="1">
        <v>-158</v>
      </c>
      <c r="AB53" s="1">
        <v>-202</v>
      </c>
      <c r="AE53" s="1">
        <v>-260</v>
      </c>
    </row>
    <row r="54" spans="2:31">
      <c r="B54" s="1" t="s">
        <v>267</v>
      </c>
      <c r="D54" s="1" t="s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M54" s="1">
        <v>0.35968671143600001</v>
      </c>
      <c r="N54" s="1">
        <v>0</v>
      </c>
      <c r="O54" s="1">
        <v>0</v>
      </c>
      <c r="P54" s="1">
        <v>0.22060784968</v>
      </c>
      <c r="Q54" s="1">
        <v>0</v>
      </c>
      <c r="S54" s="1">
        <v>0.400451205398</v>
      </c>
      <c r="V54" s="1">
        <v>0.25</v>
      </c>
      <c r="Y54" s="1">
        <v>0.38</v>
      </c>
      <c r="AB54" s="1">
        <v>0.5</v>
      </c>
      <c r="AE54" s="1">
        <v>0.62</v>
      </c>
    </row>
    <row r="55" spans="2:31">
      <c r="B55" s="1" t="s">
        <v>266</v>
      </c>
      <c r="D55" s="1" t="s">
        <v>0</v>
      </c>
      <c r="M55" s="1">
        <v>409.31253800000002</v>
      </c>
      <c r="P55" s="1">
        <v>409.69396</v>
      </c>
      <c r="S55" s="1">
        <v>410.77400899999998</v>
      </c>
      <c r="V55" s="1">
        <v>405.35440199999999</v>
      </c>
      <c r="Y55" s="1">
        <v>399.26678800000002</v>
      </c>
      <c r="AB55" s="1">
        <v>399.55291999999997</v>
      </c>
      <c r="AE55" s="1">
        <v>404.73546099999999</v>
      </c>
    </row>
    <row r="56" spans="2:31">
      <c r="B56" s="1" t="s">
        <v>265</v>
      </c>
      <c r="D56" s="1" t="s">
        <v>0</v>
      </c>
      <c r="M56" s="1">
        <v>410.41253799999998</v>
      </c>
      <c r="P56" s="1">
        <v>410.79937799999999</v>
      </c>
      <c r="S56" s="1">
        <v>411.01189599999998</v>
      </c>
      <c r="V56" s="1">
        <v>405.35440199999999</v>
      </c>
      <c r="Y56" s="1">
        <v>401.08133900000001</v>
      </c>
      <c r="AB56" s="1">
        <v>403.53256199999998</v>
      </c>
      <c r="AE56" s="1">
        <v>406.33961799999997</v>
      </c>
    </row>
    <row r="57" spans="2:31">
      <c r="B57" s="1" t="s">
        <v>264</v>
      </c>
      <c r="D57" s="1" t="s">
        <v>0</v>
      </c>
      <c r="M57" s="1">
        <v>417.029585</v>
      </c>
      <c r="P57" s="1">
        <v>417.029585</v>
      </c>
      <c r="S57" s="1">
        <v>417.029585</v>
      </c>
      <c r="V57" s="1">
        <v>399.176468</v>
      </c>
      <c r="Y57" s="1">
        <v>399.35</v>
      </c>
      <c r="AB57" s="1">
        <v>417.029585</v>
      </c>
      <c r="AE57" s="1">
        <v>417.029585</v>
      </c>
    </row>
    <row r="58" spans="2:31">
      <c r="B58" s="1" t="s">
        <v>263</v>
      </c>
      <c r="D58" s="1" t="s">
        <v>0</v>
      </c>
    </row>
    <row r="59" spans="2:31">
      <c r="B59" s="1" t="s">
        <v>262</v>
      </c>
      <c r="D59" s="1" t="s">
        <v>0</v>
      </c>
    </row>
    <row r="60" spans="2:31">
      <c r="B60" s="1" t="s">
        <v>261</v>
      </c>
      <c r="D60" s="1" t="s">
        <v>0</v>
      </c>
    </row>
    <row r="61" spans="2:31">
      <c r="B61" s="1" t="s">
        <v>260</v>
      </c>
      <c r="D61" s="1" t="s">
        <v>0</v>
      </c>
    </row>
    <row r="62" spans="2:31">
      <c r="B62" s="1" t="s">
        <v>259</v>
      </c>
      <c r="D62" s="1" t="s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S62" s="1">
        <v>0</v>
      </c>
    </row>
    <row r="63" spans="2:31">
      <c r="B63" s="1" t="s">
        <v>258</v>
      </c>
      <c r="D63" s="1" t="s">
        <v>0</v>
      </c>
      <c r="F63" s="1">
        <v>0.33333299999999999</v>
      </c>
      <c r="G63" s="1">
        <v>0.33333299999999999</v>
      </c>
      <c r="H63" s="1">
        <v>0.33333299999999999</v>
      </c>
      <c r="I63" s="1">
        <v>0.33333299999999999</v>
      </c>
      <c r="J63" s="1">
        <v>0.33333299999999999</v>
      </c>
      <c r="K63" s="1">
        <v>0.33333299999999999</v>
      </c>
      <c r="L63" s="1">
        <v>0.33333299999999999</v>
      </c>
      <c r="M63" s="1">
        <v>0.33333299999999999</v>
      </c>
      <c r="N63" s="1">
        <v>0.33333299999999999</v>
      </c>
      <c r="O63" s="1">
        <v>0.33333299999999999</v>
      </c>
      <c r="P63" s="1">
        <v>0.33333299999999999</v>
      </c>
      <c r="Q63" s="1">
        <v>0.33333299999999999</v>
      </c>
      <c r="S63" s="1">
        <v>0.33333299999999999</v>
      </c>
    </row>
    <row r="64" spans="2:31">
      <c r="B64" s="1" t="s">
        <v>257</v>
      </c>
      <c r="D64" s="1" t="s">
        <v>0</v>
      </c>
      <c r="F64" s="1">
        <v>0.66666700000000001</v>
      </c>
      <c r="G64" s="1">
        <v>0.66666700000000001</v>
      </c>
      <c r="H64" s="1">
        <v>0.66666700000000001</v>
      </c>
      <c r="I64" s="1">
        <v>0.66666700000000001</v>
      </c>
      <c r="J64" s="1">
        <v>0.66666700000000001</v>
      </c>
      <c r="K64" s="1">
        <v>0.66666700000000001</v>
      </c>
      <c r="L64" s="1">
        <v>0.66666700000000001</v>
      </c>
      <c r="M64" s="1">
        <v>0.66666700000000001</v>
      </c>
      <c r="N64" s="1">
        <v>0.66666700000000001</v>
      </c>
      <c r="O64" s="1">
        <v>0.66666700000000001</v>
      </c>
      <c r="P64" s="1">
        <v>0.66666700000000001</v>
      </c>
      <c r="Q64" s="1">
        <v>0.66666700000000001</v>
      </c>
      <c r="S64" s="1">
        <v>0.66666700000000001</v>
      </c>
    </row>
    <row r="65" spans="2:31">
      <c r="B65" s="1" t="s">
        <v>256</v>
      </c>
      <c r="D65" s="1" t="s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N65" s="1">
        <v>0</v>
      </c>
      <c r="O65" s="1">
        <v>0</v>
      </c>
      <c r="Q65" s="1">
        <v>0</v>
      </c>
    </row>
    <row r="66" spans="2:31">
      <c r="B66" s="1" t="s">
        <v>255</v>
      </c>
      <c r="D66" s="1" t="s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S66" s="1">
        <v>0</v>
      </c>
    </row>
    <row r="67" spans="2:31">
      <c r="B67" s="1" t="s">
        <v>254</v>
      </c>
      <c r="D67" s="1" t="s">
        <v>0</v>
      </c>
    </row>
    <row r="68" spans="2:31">
      <c r="B68" s="1" t="s">
        <v>253</v>
      </c>
      <c r="D68" s="1" t="s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S68" s="1">
        <v>0</v>
      </c>
    </row>
    <row r="69" spans="2:31">
      <c r="B69" s="1" t="s">
        <v>252</v>
      </c>
      <c r="D69" s="1" t="s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M69" s="1">
        <v>0.25073746312700002</v>
      </c>
      <c r="N69" s="1">
        <v>0</v>
      </c>
      <c r="O69" s="1">
        <v>0</v>
      </c>
      <c r="P69" s="1">
        <v>0.50895140665000005</v>
      </c>
      <c r="Q69" s="1">
        <v>0</v>
      </c>
      <c r="S69" s="1">
        <v>0.34728682170500003</v>
      </c>
      <c r="V69" s="1">
        <v>0.16694214875999999</v>
      </c>
      <c r="Y69" s="1">
        <v>0.19918699187</v>
      </c>
      <c r="AB69" s="1">
        <v>0.24504249291800001</v>
      </c>
      <c r="AE69" s="1">
        <v>0.30261780104699998</v>
      </c>
    </row>
    <row r="70" spans="2:31">
      <c r="B70" s="1" t="s">
        <v>251</v>
      </c>
      <c r="D70" s="1" t="s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M70" s="1">
        <v>936</v>
      </c>
      <c r="N70" s="1">
        <v>0</v>
      </c>
      <c r="O70" s="1">
        <v>0</v>
      </c>
      <c r="P70" s="1">
        <v>743</v>
      </c>
      <c r="Q70" s="1">
        <v>0</v>
      </c>
      <c r="S70" s="1">
        <v>730</v>
      </c>
      <c r="V70" s="1">
        <v>919</v>
      </c>
      <c r="Y70" s="1">
        <v>2080</v>
      </c>
      <c r="AB70" s="1">
        <v>2062</v>
      </c>
      <c r="AE70" s="1">
        <v>1431</v>
      </c>
    </row>
    <row r="71" spans="2:31">
      <c r="B71" s="1" t="s">
        <v>250</v>
      </c>
      <c r="D71" s="1" t="s">
        <v>0</v>
      </c>
      <c r="M71" s="1">
        <v>4052</v>
      </c>
      <c r="P71" s="1">
        <v>4218</v>
      </c>
      <c r="S71" s="1">
        <v>3926</v>
      </c>
      <c r="V71" s="1">
        <v>3881</v>
      </c>
      <c r="Y71" s="1">
        <v>3994</v>
      </c>
      <c r="AB71" s="1">
        <v>3921</v>
      </c>
      <c r="AE71" s="1">
        <v>5005</v>
      </c>
    </row>
    <row r="72" spans="2:31">
      <c r="B72" s="1" t="s">
        <v>249</v>
      </c>
      <c r="D72" s="1" t="s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M72" s="1">
        <v>2904</v>
      </c>
      <c r="N72" s="1">
        <v>0</v>
      </c>
      <c r="O72" s="1">
        <v>0</v>
      </c>
      <c r="P72" s="1">
        <v>3240</v>
      </c>
      <c r="Q72" s="1">
        <v>0</v>
      </c>
      <c r="S72" s="1">
        <v>3420</v>
      </c>
      <c r="V72" s="1">
        <v>3673</v>
      </c>
      <c r="Y72" s="1">
        <v>3382</v>
      </c>
      <c r="AB72" s="1">
        <v>3508</v>
      </c>
      <c r="AE72" s="1">
        <v>3799</v>
      </c>
    </row>
    <row r="73" spans="2:31">
      <c r="B73" s="1" t="s">
        <v>248</v>
      </c>
      <c r="D73" s="1" t="s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M73" s="1">
        <v>213</v>
      </c>
      <c r="N73" s="1">
        <v>0</v>
      </c>
      <c r="O73" s="1">
        <v>0</v>
      </c>
      <c r="P73" s="1">
        <v>219</v>
      </c>
      <c r="Q73" s="1">
        <v>0</v>
      </c>
      <c r="S73" s="1">
        <v>210</v>
      </c>
      <c r="V73" s="1">
        <v>330</v>
      </c>
      <c r="Y73" s="1">
        <v>309</v>
      </c>
      <c r="AB73" s="1">
        <v>444</v>
      </c>
      <c r="AE73" s="1">
        <v>494</v>
      </c>
    </row>
    <row r="74" spans="2:31">
      <c r="B74" s="1" t="s">
        <v>247</v>
      </c>
      <c r="D74" s="1" t="s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M74" s="1">
        <v>8105</v>
      </c>
      <c r="N74" s="1">
        <v>0</v>
      </c>
      <c r="O74" s="1">
        <v>0</v>
      </c>
      <c r="P74" s="1">
        <v>8420</v>
      </c>
      <c r="Q74" s="1">
        <v>0</v>
      </c>
      <c r="S74" s="1">
        <v>8286</v>
      </c>
      <c r="V74" s="1">
        <v>8803</v>
      </c>
      <c r="Y74" s="1">
        <v>9765</v>
      </c>
      <c r="AB74" s="1">
        <v>9935</v>
      </c>
      <c r="AE74" s="1">
        <v>10729</v>
      </c>
    </row>
    <row r="75" spans="2:31">
      <c r="B75" s="1" t="s">
        <v>246</v>
      </c>
      <c r="D75" s="1" t="s">
        <v>0</v>
      </c>
      <c r="M75" s="1">
        <v>4772</v>
      </c>
      <c r="P75" s="1">
        <v>4871</v>
      </c>
      <c r="S75" s="1">
        <v>4881</v>
      </c>
      <c r="V75" s="1">
        <v>5238</v>
      </c>
      <c r="Y75" s="1">
        <v>5436</v>
      </c>
      <c r="AB75" s="1">
        <v>5750</v>
      </c>
      <c r="AE75" s="1">
        <v>6434</v>
      </c>
    </row>
    <row r="76" spans="2:31">
      <c r="B76" s="1" t="s">
        <v>245</v>
      </c>
      <c r="D76" s="1" t="s">
        <v>0</v>
      </c>
      <c r="M76" s="1">
        <v>-2974</v>
      </c>
      <c r="P76" s="1">
        <v>-3045</v>
      </c>
      <c r="S76" s="1">
        <v>-3034</v>
      </c>
      <c r="V76" s="1">
        <v>-3131</v>
      </c>
      <c r="Y76" s="1">
        <v>-3235</v>
      </c>
      <c r="AB76" s="1">
        <v>-3497</v>
      </c>
      <c r="AE76" s="1">
        <v>-3948</v>
      </c>
    </row>
    <row r="77" spans="2:31">
      <c r="B77" s="1" t="s">
        <v>244</v>
      </c>
      <c r="D77" s="1" t="s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M77" s="1">
        <v>1798</v>
      </c>
      <c r="N77" s="1">
        <v>0</v>
      </c>
      <c r="O77" s="1">
        <v>0</v>
      </c>
      <c r="P77" s="1">
        <v>1826</v>
      </c>
      <c r="Q77" s="1">
        <v>0</v>
      </c>
      <c r="S77" s="1">
        <v>1847</v>
      </c>
      <c r="V77" s="1">
        <v>2107</v>
      </c>
      <c r="Y77" s="1">
        <v>2201</v>
      </c>
      <c r="AB77" s="1">
        <v>2253</v>
      </c>
      <c r="AE77" s="1">
        <v>2486</v>
      </c>
    </row>
    <row r="78" spans="2:31">
      <c r="B78" s="1" t="s">
        <v>243</v>
      </c>
      <c r="D78" s="1" t="s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M78" s="1">
        <v>4977</v>
      </c>
      <c r="N78" s="1">
        <v>0</v>
      </c>
      <c r="O78" s="1">
        <v>0</v>
      </c>
      <c r="P78" s="1">
        <v>5404</v>
      </c>
      <c r="Q78" s="1">
        <v>0</v>
      </c>
      <c r="S78" s="1">
        <v>5591</v>
      </c>
      <c r="V78" s="1">
        <v>6187</v>
      </c>
      <c r="Y78" s="1">
        <v>7048</v>
      </c>
      <c r="AB78" s="1">
        <v>7339</v>
      </c>
      <c r="AE78" s="1">
        <v>8923</v>
      </c>
    </row>
    <row r="79" spans="2:31">
      <c r="B79" s="1" t="s">
        <v>242</v>
      </c>
      <c r="D79" s="1" t="s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M79" s="1">
        <v>-438</v>
      </c>
      <c r="P79" s="1">
        <v>-759</v>
      </c>
      <c r="S79" s="1">
        <v>-1049</v>
      </c>
      <c r="V79" s="1">
        <v>-1319</v>
      </c>
      <c r="Y79" s="1">
        <v>-1705</v>
      </c>
      <c r="AB79" s="1">
        <v>-1911</v>
      </c>
      <c r="AE79" s="1">
        <v>-2299</v>
      </c>
    </row>
    <row r="80" spans="2:31">
      <c r="B80" s="1" t="s">
        <v>241</v>
      </c>
      <c r="D80" s="1" t="s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M80" s="1">
        <v>4539</v>
      </c>
      <c r="N80" s="1">
        <v>0</v>
      </c>
      <c r="O80" s="1">
        <v>0</v>
      </c>
      <c r="P80" s="1">
        <v>4645</v>
      </c>
      <c r="Q80" s="1">
        <v>0</v>
      </c>
      <c r="S80" s="1">
        <v>4542</v>
      </c>
      <c r="V80" s="1">
        <v>4868</v>
      </c>
      <c r="Y80" s="1">
        <v>5343</v>
      </c>
      <c r="AB80" s="1">
        <v>5428</v>
      </c>
      <c r="AE80" s="1">
        <v>6624</v>
      </c>
    </row>
    <row r="81" spans="2:31">
      <c r="B81" s="1" t="s">
        <v>240</v>
      </c>
      <c r="D81" s="1" t="s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37</v>
      </c>
      <c r="N81" s="1">
        <v>0</v>
      </c>
      <c r="O81" s="1">
        <v>0</v>
      </c>
      <c r="P81" s="1">
        <v>32</v>
      </c>
      <c r="Q81" s="1">
        <v>0</v>
      </c>
      <c r="S81" s="1">
        <v>34</v>
      </c>
      <c r="V81" s="1">
        <v>244</v>
      </c>
      <c r="Y81" s="1">
        <v>238</v>
      </c>
      <c r="AB81" s="1">
        <v>236</v>
      </c>
      <c r="AE81" s="1">
        <v>253</v>
      </c>
    </row>
    <row r="82" spans="2:31">
      <c r="B82" s="1" t="s">
        <v>239</v>
      </c>
      <c r="D82" s="1" t="s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N82" s="1">
        <v>0</v>
      </c>
      <c r="O82" s="1">
        <v>0</v>
      </c>
      <c r="Q82" s="1">
        <v>0</v>
      </c>
    </row>
    <row r="83" spans="2:31">
      <c r="B83" s="1" t="s">
        <v>238</v>
      </c>
      <c r="D83" s="1" t="s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M83" s="1">
        <v>1064</v>
      </c>
      <c r="N83" s="1">
        <v>0</v>
      </c>
      <c r="O83" s="1">
        <v>0</v>
      </c>
      <c r="P83" s="1">
        <v>1005</v>
      </c>
      <c r="Q83" s="1">
        <v>0</v>
      </c>
      <c r="S83" s="1">
        <v>1466</v>
      </c>
      <c r="V83" s="1">
        <v>814</v>
      </c>
      <c r="Y83" s="1">
        <v>622</v>
      </c>
      <c r="AB83" s="1">
        <v>659</v>
      </c>
      <c r="AE83" s="1">
        <v>610</v>
      </c>
    </row>
    <row r="84" spans="2:31">
      <c r="B84" s="1" t="s">
        <v>237</v>
      </c>
      <c r="D84" s="1" t="s">
        <v>0</v>
      </c>
      <c r="M84" s="1">
        <v>15543</v>
      </c>
      <c r="N84" s="1">
        <v>0</v>
      </c>
      <c r="O84" s="1">
        <v>0</v>
      </c>
      <c r="P84" s="1">
        <v>15928</v>
      </c>
      <c r="Q84" s="1">
        <v>0</v>
      </c>
      <c r="S84" s="1">
        <v>16175</v>
      </c>
      <c r="V84" s="1">
        <v>16836</v>
      </c>
      <c r="Y84" s="1">
        <v>18169</v>
      </c>
      <c r="AB84" s="1">
        <v>18511</v>
      </c>
      <c r="AE84" s="1">
        <v>20702</v>
      </c>
    </row>
    <row r="85" spans="2:31">
      <c r="B85" s="1" t="s">
        <v>236</v>
      </c>
      <c r="D85" s="1" t="s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M85" s="1">
        <v>5898</v>
      </c>
      <c r="N85" s="1">
        <v>0</v>
      </c>
      <c r="O85" s="1">
        <v>0</v>
      </c>
      <c r="P85" s="1">
        <v>6390</v>
      </c>
      <c r="Q85" s="1">
        <v>0</v>
      </c>
      <c r="S85" s="1">
        <v>6517</v>
      </c>
      <c r="V85" s="1">
        <v>6786</v>
      </c>
      <c r="Y85" s="1">
        <v>6805</v>
      </c>
      <c r="AB85" s="1">
        <v>7236</v>
      </c>
      <c r="AE85" s="1">
        <v>8348</v>
      </c>
    </row>
    <row r="86" spans="2:31">
      <c r="B86" s="1" t="s">
        <v>235</v>
      </c>
      <c r="D86" s="1" t="s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M86" s="1">
        <v>877</v>
      </c>
      <c r="N86" s="1">
        <v>0</v>
      </c>
      <c r="O86" s="1">
        <v>0</v>
      </c>
      <c r="P86" s="1">
        <v>699</v>
      </c>
      <c r="Q86" s="1">
        <v>0</v>
      </c>
      <c r="S86" s="1">
        <v>502</v>
      </c>
      <c r="V86" s="1">
        <v>1136</v>
      </c>
      <c r="Y86" s="1">
        <v>1367</v>
      </c>
      <c r="AB86" s="1">
        <v>568</v>
      </c>
      <c r="AE86" s="1">
        <v>998</v>
      </c>
    </row>
    <row r="87" spans="2:31">
      <c r="B87" s="1" t="s">
        <v>234</v>
      </c>
      <c r="D87" s="1" t="s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M87" s="1">
        <v>1156</v>
      </c>
      <c r="N87" s="1">
        <v>0</v>
      </c>
      <c r="O87" s="1">
        <v>0</v>
      </c>
      <c r="P87" s="1">
        <v>1274</v>
      </c>
      <c r="Q87" s="1">
        <v>0</v>
      </c>
      <c r="S87" s="1">
        <v>1771</v>
      </c>
      <c r="V87" s="1">
        <v>2089</v>
      </c>
      <c r="Y87" s="1">
        <v>1234</v>
      </c>
      <c r="AB87" s="1">
        <v>1637</v>
      </c>
      <c r="AE87" s="1">
        <v>1814</v>
      </c>
    </row>
    <row r="88" spans="2:31">
      <c r="B88" s="1" t="s">
        <v>233</v>
      </c>
      <c r="D88" s="1" t="s">
        <v>0</v>
      </c>
      <c r="M88" s="1">
        <v>7931</v>
      </c>
      <c r="P88" s="1">
        <v>8363</v>
      </c>
      <c r="S88" s="1">
        <v>8790</v>
      </c>
      <c r="V88" s="1">
        <v>10011</v>
      </c>
      <c r="Y88" s="1">
        <v>9406</v>
      </c>
      <c r="AB88" s="1">
        <v>9441</v>
      </c>
      <c r="AE88" s="1">
        <v>11160</v>
      </c>
    </row>
    <row r="89" spans="2:31">
      <c r="B89" s="1" t="s">
        <v>232</v>
      </c>
      <c r="D89" s="1" t="s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M89" s="1">
        <v>532</v>
      </c>
      <c r="N89" s="1">
        <v>0</v>
      </c>
      <c r="O89" s="1">
        <v>0</v>
      </c>
      <c r="P89" s="1">
        <v>463</v>
      </c>
      <c r="Q89" s="1">
        <v>0</v>
      </c>
      <c r="S89" s="1">
        <v>397</v>
      </c>
      <c r="V89" s="1">
        <v>418</v>
      </c>
      <c r="Y89" s="1">
        <v>1208</v>
      </c>
      <c r="AB89" s="1">
        <v>1483</v>
      </c>
      <c r="AE89" s="1">
        <v>1447</v>
      </c>
    </row>
    <row r="90" spans="2:31">
      <c r="B90" s="1" t="s">
        <v>231</v>
      </c>
      <c r="D90" s="1" t="s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M90" s="1">
        <v>2344</v>
      </c>
      <c r="N90" s="1">
        <v>0</v>
      </c>
      <c r="O90" s="1">
        <v>0</v>
      </c>
      <c r="P90" s="1">
        <v>2590</v>
      </c>
      <c r="Q90" s="1">
        <v>0</v>
      </c>
      <c r="S90" s="1">
        <v>2483</v>
      </c>
      <c r="V90" s="1">
        <v>2533</v>
      </c>
      <c r="Y90" s="1">
        <v>3054</v>
      </c>
      <c r="AB90" s="1">
        <v>2882</v>
      </c>
      <c r="AE90" s="1">
        <v>2973</v>
      </c>
    </row>
    <row r="91" spans="2:31">
      <c r="B91" s="1" t="s">
        <v>230</v>
      </c>
      <c r="D91" s="1" t="s">
        <v>0</v>
      </c>
      <c r="M91" s="1">
        <v>2876</v>
      </c>
      <c r="P91" s="1">
        <v>3053</v>
      </c>
      <c r="S91" s="1">
        <v>2880</v>
      </c>
      <c r="V91" s="1">
        <v>2951</v>
      </c>
      <c r="Y91" s="1">
        <v>4262</v>
      </c>
      <c r="AB91" s="1">
        <v>4365</v>
      </c>
      <c r="AE91" s="1">
        <v>4420</v>
      </c>
    </row>
    <row r="92" spans="2:31">
      <c r="B92" s="1" t="s">
        <v>229</v>
      </c>
      <c r="D92" s="1" t="s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M92" s="1">
        <v>10807</v>
      </c>
      <c r="N92" s="1">
        <v>0</v>
      </c>
      <c r="O92" s="1">
        <v>0</v>
      </c>
      <c r="P92" s="1">
        <v>11416</v>
      </c>
      <c r="Q92" s="1">
        <v>0</v>
      </c>
      <c r="S92" s="1">
        <v>11670</v>
      </c>
      <c r="V92" s="1">
        <v>12962</v>
      </c>
      <c r="Y92" s="1">
        <v>13668</v>
      </c>
      <c r="AB92" s="1">
        <v>13806</v>
      </c>
      <c r="AE92" s="1">
        <v>15580</v>
      </c>
    </row>
    <row r="93" spans="2:31">
      <c r="B93" s="1" t="s">
        <v>228</v>
      </c>
      <c r="D93" s="1" t="s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S93" s="1">
        <v>0</v>
      </c>
    </row>
    <row r="94" spans="2:31">
      <c r="B94" s="1" t="s">
        <v>227</v>
      </c>
      <c r="D94" s="1" t="s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M94" s="1">
        <v>4572</v>
      </c>
      <c r="N94" s="1">
        <v>0</v>
      </c>
      <c r="O94" s="1">
        <v>0</v>
      </c>
      <c r="P94" s="1">
        <v>4339</v>
      </c>
      <c r="Q94" s="1">
        <v>0</v>
      </c>
      <c r="S94" s="1">
        <v>4338</v>
      </c>
      <c r="V94" s="1">
        <v>3733</v>
      </c>
      <c r="Y94" s="1">
        <v>4353</v>
      </c>
      <c r="AB94" s="1">
        <v>4530</v>
      </c>
      <c r="AE94" s="1">
        <v>4968</v>
      </c>
    </row>
    <row r="95" spans="2:31">
      <c r="B95" s="1" t="s">
        <v>226</v>
      </c>
      <c r="D95" s="1" t="s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M95" s="1">
        <v>164</v>
      </c>
      <c r="N95" s="1">
        <v>0</v>
      </c>
      <c r="O95" s="1">
        <v>0</v>
      </c>
      <c r="P95" s="1">
        <v>173</v>
      </c>
      <c r="Q95" s="1">
        <v>0</v>
      </c>
      <c r="S95" s="1">
        <v>167</v>
      </c>
      <c r="V95" s="1">
        <v>141</v>
      </c>
      <c r="Y95" s="1">
        <v>148</v>
      </c>
      <c r="AB95" s="1">
        <v>175</v>
      </c>
      <c r="AE95" s="1">
        <v>154</v>
      </c>
    </row>
    <row r="96" spans="2:31">
      <c r="B96" s="1" t="s">
        <v>225</v>
      </c>
      <c r="D96" s="1" t="s">
        <v>0</v>
      </c>
      <c r="M96" s="1">
        <v>4736</v>
      </c>
      <c r="P96" s="1">
        <v>4512</v>
      </c>
      <c r="S96" s="1">
        <v>4505</v>
      </c>
      <c r="V96" s="1">
        <v>3874</v>
      </c>
      <c r="Y96" s="1">
        <v>4501</v>
      </c>
      <c r="AB96" s="1">
        <v>4705</v>
      </c>
      <c r="AE96" s="1">
        <v>5122</v>
      </c>
    </row>
    <row r="97" spans="2:31">
      <c r="B97" s="1" t="s">
        <v>224</v>
      </c>
      <c r="D97" s="1" t="s">
        <v>0</v>
      </c>
      <c r="M97" s="1">
        <v>15543</v>
      </c>
      <c r="P97" s="1">
        <v>15928</v>
      </c>
      <c r="S97" s="1">
        <v>16175</v>
      </c>
      <c r="V97" s="1">
        <v>16836</v>
      </c>
      <c r="Y97" s="1">
        <v>18169</v>
      </c>
      <c r="AB97" s="1">
        <v>18511</v>
      </c>
      <c r="AE97" s="1">
        <v>20702</v>
      </c>
    </row>
    <row r="98" spans="2:31">
      <c r="B98" s="1" t="s">
        <v>223</v>
      </c>
      <c r="D98" s="1" t="s">
        <v>0</v>
      </c>
      <c r="M98" s="1">
        <v>10.963250964557</v>
      </c>
      <c r="P98" s="1">
        <v>10.404537606127001</v>
      </c>
      <c r="S98" s="1">
        <v>10.402139694717</v>
      </c>
      <c r="V98" s="1">
        <v>9.35175367101</v>
      </c>
      <c r="Y98" s="1">
        <v>10.900212845874</v>
      </c>
      <c r="AB98" s="1">
        <v>10.862538685355</v>
      </c>
      <c r="AE98" s="1">
        <v>11.912823882747</v>
      </c>
    </row>
    <row r="99" spans="2:31">
      <c r="B99" s="1" t="s">
        <v>222</v>
      </c>
      <c r="D99" s="1" t="s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M99" s="1">
        <v>473</v>
      </c>
      <c r="N99" s="1">
        <v>0</v>
      </c>
      <c r="O99" s="1">
        <v>0</v>
      </c>
      <c r="P99" s="1">
        <v>419</v>
      </c>
      <c r="Q99" s="1">
        <v>0</v>
      </c>
      <c r="S99" s="1">
        <v>169</v>
      </c>
      <c r="V99" s="1">
        <v>635</v>
      </c>
      <c r="Y99" s="1">
        <v>498</v>
      </c>
      <c r="AB99" s="1">
        <v>-24</v>
      </c>
      <c r="AE99" s="1">
        <v>997</v>
      </c>
    </row>
    <row r="100" spans="2:31">
      <c r="B100" s="1" t="s">
        <v>221</v>
      </c>
      <c r="D100" s="1" t="s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S100" s="1">
        <v>0</v>
      </c>
    </row>
    <row r="101" spans="2:31">
      <c r="B101" s="1" t="s">
        <v>220</v>
      </c>
      <c r="D101" s="1" t="s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S101" s="1">
        <v>0</v>
      </c>
    </row>
    <row r="102" spans="2:31">
      <c r="B102" s="1" t="s">
        <v>219</v>
      </c>
      <c r="D102" s="1" t="s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S102" s="1">
        <v>0</v>
      </c>
    </row>
    <row r="103" spans="2:31">
      <c r="B103" s="1" t="s">
        <v>218</v>
      </c>
      <c r="D103" s="1" t="s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S103" s="1">
        <v>0</v>
      </c>
    </row>
    <row r="104" spans="2:31">
      <c r="B104" s="1" t="s">
        <v>217</v>
      </c>
      <c r="D104" s="1" t="s">
        <v>0</v>
      </c>
      <c r="Y104" s="1">
        <v>9.5000000000000001E-2</v>
      </c>
      <c r="AB104" s="1">
        <v>9.5000000000000001E-2</v>
      </c>
      <c r="AE104" s="1">
        <v>9.5000000000000001E-2</v>
      </c>
    </row>
    <row r="105" spans="2:31">
      <c r="B105" s="1" t="s">
        <v>216</v>
      </c>
      <c r="D105" s="1" t="s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M105" s="1">
        <v>-375</v>
      </c>
      <c r="N105" s="1">
        <v>0</v>
      </c>
      <c r="O105" s="1">
        <v>0</v>
      </c>
      <c r="P105" s="1">
        <v>-475</v>
      </c>
      <c r="Q105" s="1">
        <v>0</v>
      </c>
      <c r="S105" s="1">
        <v>-452</v>
      </c>
      <c r="V105" s="1">
        <v>-427</v>
      </c>
      <c r="Y105" s="1">
        <v>-387</v>
      </c>
      <c r="AB105" s="1">
        <v>-366</v>
      </c>
      <c r="AE105" s="1">
        <v>-418</v>
      </c>
    </row>
    <row r="106" spans="2:31">
      <c r="B106" s="1" t="s">
        <v>215</v>
      </c>
      <c r="D106" s="1" t="s">
        <v>0</v>
      </c>
    </row>
    <row r="107" spans="2:31">
      <c r="B107" s="1" t="s">
        <v>214</v>
      </c>
      <c r="D107" s="1" t="s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M107" s="1">
        <v>486.33239692817102</v>
      </c>
      <c r="N107" s="1">
        <v>0</v>
      </c>
      <c r="O107" s="1">
        <v>0</v>
      </c>
      <c r="P107" s="1">
        <v>838.35458228661003</v>
      </c>
      <c r="Q107" s="1">
        <v>0</v>
      </c>
      <c r="S107" s="1">
        <v>1109.3545822866099</v>
      </c>
      <c r="V107" s="1">
        <v>1064.3545822866099</v>
      </c>
      <c r="Y107" s="1">
        <v>1044.3545822866099</v>
      </c>
      <c r="AB107" s="1">
        <v>1100.3545822866099</v>
      </c>
      <c r="AE107" s="1">
        <v>1144.3545822866099</v>
      </c>
    </row>
    <row r="108" spans="2:31">
      <c r="B108" s="1" t="s">
        <v>213</v>
      </c>
      <c r="D108" s="1" t="s">
        <v>0</v>
      </c>
    </row>
    <row r="109" spans="2:31">
      <c r="B109" s="1" t="s">
        <v>212</v>
      </c>
      <c r="D109" s="1" t="s">
        <v>0</v>
      </c>
    </row>
    <row r="110" spans="2:31">
      <c r="B110" s="1" t="s">
        <v>211</v>
      </c>
      <c r="D110" s="1" t="s">
        <v>0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S110" s="1">
        <v>1</v>
      </c>
    </row>
    <row r="111" spans="2:31">
      <c r="B111" s="1" t="s">
        <v>210</v>
      </c>
      <c r="D111" s="1" t="s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N111" s="1">
        <v>0</v>
      </c>
      <c r="O111" s="1">
        <v>0</v>
      </c>
      <c r="Q111" s="1">
        <v>0</v>
      </c>
    </row>
    <row r="112" spans="2:31">
      <c r="B112" s="1" t="s">
        <v>209</v>
      </c>
      <c r="D112" s="1" t="s">
        <v>0</v>
      </c>
      <c r="M112" s="1">
        <v>501</v>
      </c>
      <c r="P112" s="1">
        <v>177</v>
      </c>
      <c r="S112" s="1">
        <v>406</v>
      </c>
      <c r="V112" s="1">
        <v>256</v>
      </c>
      <c r="Y112" s="1">
        <v>376</v>
      </c>
      <c r="AB112" s="1">
        <v>508</v>
      </c>
      <c r="AE112" s="1">
        <v>644</v>
      </c>
    </row>
    <row r="113" spans="2:31">
      <c r="B113" s="1" t="s">
        <v>208</v>
      </c>
      <c r="D113" s="1" t="s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M113" s="1">
        <v>7</v>
      </c>
      <c r="N113" s="1">
        <v>0</v>
      </c>
      <c r="O113" s="1">
        <v>0</v>
      </c>
      <c r="P113" s="1">
        <v>15</v>
      </c>
      <c r="Q113" s="1">
        <v>0</v>
      </c>
      <c r="S113" s="1">
        <v>15</v>
      </c>
      <c r="V113" s="1">
        <v>15</v>
      </c>
      <c r="Y113" s="1">
        <v>14</v>
      </c>
      <c r="AB113" s="1">
        <v>20</v>
      </c>
      <c r="AE113" s="1">
        <v>25</v>
      </c>
    </row>
    <row r="114" spans="2:31">
      <c r="B114" s="1" t="s">
        <v>207</v>
      </c>
      <c r="D114" s="1" t="s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M114" s="1">
        <v>0</v>
      </c>
      <c r="N114" s="1">
        <v>0</v>
      </c>
      <c r="O114" s="1">
        <v>0</v>
      </c>
      <c r="P114" s="1">
        <v>411</v>
      </c>
      <c r="Q114" s="1">
        <v>0</v>
      </c>
      <c r="S114" s="1">
        <v>357</v>
      </c>
      <c r="V114" s="1">
        <v>379</v>
      </c>
      <c r="Y114" s="1">
        <v>573</v>
      </c>
      <c r="AB114" s="1">
        <v>606</v>
      </c>
      <c r="AE114" s="1">
        <v>662</v>
      </c>
    </row>
    <row r="115" spans="2:31">
      <c r="B115" s="1" t="s">
        <v>206</v>
      </c>
      <c r="D115" s="1" t="s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252</v>
      </c>
      <c r="N115" s="1">
        <v>0</v>
      </c>
      <c r="O115" s="1">
        <v>0</v>
      </c>
      <c r="P115" s="1">
        <v>-149</v>
      </c>
      <c r="Q115" s="1">
        <v>0</v>
      </c>
      <c r="S115" s="1">
        <v>-118</v>
      </c>
      <c r="V115" s="1">
        <v>-103</v>
      </c>
      <c r="Y115" s="1">
        <v>361</v>
      </c>
      <c r="AB115" s="1">
        <v>317</v>
      </c>
      <c r="AE115" s="1">
        <v>62</v>
      </c>
    </row>
    <row r="116" spans="2:31">
      <c r="B116" s="1" t="s">
        <v>205</v>
      </c>
      <c r="D116" s="1" t="s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M116" s="1">
        <v>566</v>
      </c>
      <c r="N116" s="1">
        <v>0</v>
      </c>
      <c r="O116" s="1">
        <v>0</v>
      </c>
      <c r="P116" s="1">
        <v>400</v>
      </c>
      <c r="Q116" s="1">
        <v>0</v>
      </c>
      <c r="S116" s="1">
        <v>353</v>
      </c>
      <c r="V116" s="1">
        <v>173</v>
      </c>
      <c r="Y116" s="1">
        <v>79</v>
      </c>
      <c r="AB116" s="1">
        <v>8</v>
      </c>
      <c r="AE116" s="1">
        <v>-146</v>
      </c>
    </row>
    <row r="117" spans="2:31">
      <c r="B117" s="1" t="s">
        <v>204</v>
      </c>
      <c r="D117" s="1" t="s">
        <v>0</v>
      </c>
      <c r="M117" s="1">
        <v>1326</v>
      </c>
      <c r="P117" s="1">
        <v>854</v>
      </c>
      <c r="S117" s="1">
        <v>1013</v>
      </c>
      <c r="V117" s="1">
        <v>720</v>
      </c>
      <c r="Y117" s="1">
        <v>1403</v>
      </c>
      <c r="AB117" s="1">
        <v>1459</v>
      </c>
      <c r="AE117" s="1">
        <v>1247</v>
      </c>
    </row>
    <row r="118" spans="2:31">
      <c r="B118" s="1" t="s">
        <v>203</v>
      </c>
      <c r="D118" s="1" t="s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-699</v>
      </c>
      <c r="N118" s="1">
        <v>0</v>
      </c>
      <c r="O118" s="1">
        <v>0</v>
      </c>
      <c r="P118" s="1">
        <v>-689</v>
      </c>
      <c r="Q118" s="1">
        <v>0</v>
      </c>
      <c r="S118" s="1">
        <v>-639</v>
      </c>
      <c r="V118" s="1">
        <v>-671</v>
      </c>
      <c r="Y118" s="1">
        <v>-585</v>
      </c>
      <c r="AB118" s="1">
        <v>-525</v>
      </c>
      <c r="AE118" s="1">
        <v>-715</v>
      </c>
    </row>
    <row r="119" spans="2:31">
      <c r="B119" s="1" t="s">
        <v>202</v>
      </c>
      <c r="D119" s="1" t="s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-144</v>
      </c>
      <c r="N119" s="1">
        <v>0</v>
      </c>
      <c r="O119" s="1">
        <v>0</v>
      </c>
      <c r="P119" s="1">
        <v>-53</v>
      </c>
      <c r="Q119" s="1">
        <v>0</v>
      </c>
      <c r="S119" s="1">
        <v>-74</v>
      </c>
      <c r="V119" s="1">
        <v>-521</v>
      </c>
      <c r="Y119" s="1">
        <v>-569</v>
      </c>
      <c r="AB119" s="1">
        <v>-175</v>
      </c>
      <c r="AE119" s="1">
        <v>-1402</v>
      </c>
    </row>
    <row r="120" spans="2:31">
      <c r="B120" s="1" t="s">
        <v>201</v>
      </c>
      <c r="D120" s="1" t="s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159</v>
      </c>
      <c r="N120" s="1">
        <v>0</v>
      </c>
      <c r="O120" s="1">
        <v>0</v>
      </c>
      <c r="P120" s="1">
        <v>27</v>
      </c>
      <c r="Q120" s="1">
        <v>0</v>
      </c>
      <c r="S120" s="1">
        <v>-20</v>
      </c>
      <c r="V120" s="1">
        <v>300</v>
      </c>
      <c r="Y120" s="1">
        <v>0</v>
      </c>
      <c r="AB120" s="1">
        <v>0</v>
      </c>
      <c r="AE120" s="1">
        <v>0</v>
      </c>
    </row>
    <row r="121" spans="2:31">
      <c r="B121" s="1" t="s">
        <v>200</v>
      </c>
      <c r="D121" s="1" t="s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S121" s="1">
        <v>0</v>
      </c>
    </row>
    <row r="122" spans="2:31">
      <c r="B122" s="1" t="s">
        <v>199</v>
      </c>
      <c r="D122" s="1" t="s">
        <v>0</v>
      </c>
      <c r="M122" s="1">
        <v>-684</v>
      </c>
      <c r="P122" s="1">
        <v>-715</v>
      </c>
      <c r="S122" s="1">
        <v>-733</v>
      </c>
      <c r="V122" s="1">
        <v>-892</v>
      </c>
      <c r="Y122" s="1">
        <v>-1154</v>
      </c>
      <c r="AB122" s="1">
        <v>-700</v>
      </c>
      <c r="AE122" s="1">
        <v>-2117</v>
      </c>
    </row>
    <row r="123" spans="2:31">
      <c r="B123" s="1" t="s">
        <v>198</v>
      </c>
      <c r="D123" s="1" t="s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-91</v>
      </c>
      <c r="N123" s="1">
        <v>0</v>
      </c>
      <c r="O123" s="1">
        <v>0</v>
      </c>
      <c r="P123" s="1">
        <v>-155</v>
      </c>
      <c r="Q123" s="1">
        <v>0</v>
      </c>
      <c r="S123" s="1">
        <v>-96</v>
      </c>
      <c r="V123" s="1">
        <v>-202</v>
      </c>
      <c r="Y123" s="1">
        <v>-73</v>
      </c>
      <c r="AB123" s="1">
        <v>-161</v>
      </c>
      <c r="AE123" s="1">
        <v>-317</v>
      </c>
    </row>
    <row r="124" spans="2:31">
      <c r="B124" s="1" t="s">
        <v>197</v>
      </c>
      <c r="D124" s="1" t="s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7</v>
      </c>
      <c r="N124" s="1">
        <v>0</v>
      </c>
      <c r="O124" s="1">
        <v>0</v>
      </c>
      <c r="P124" s="1">
        <v>8</v>
      </c>
      <c r="Q124" s="1">
        <v>0</v>
      </c>
      <c r="S124" s="1">
        <v>19</v>
      </c>
      <c r="V124" s="1">
        <v>-151</v>
      </c>
      <c r="Y124" s="1">
        <v>6</v>
      </c>
      <c r="AB124" s="1">
        <v>6</v>
      </c>
      <c r="AE124" s="1">
        <v>181</v>
      </c>
    </row>
    <row r="125" spans="2:31">
      <c r="B125" s="1" t="s">
        <v>196</v>
      </c>
      <c r="D125" s="1" t="s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-919</v>
      </c>
      <c r="N125" s="1">
        <v>0</v>
      </c>
      <c r="O125" s="1">
        <v>0</v>
      </c>
      <c r="P125" s="1">
        <v>-247</v>
      </c>
      <c r="Q125" s="1">
        <v>0</v>
      </c>
      <c r="S125" s="1">
        <v>-263</v>
      </c>
      <c r="V125" s="1">
        <v>655</v>
      </c>
      <c r="Y125" s="1">
        <v>1021</v>
      </c>
      <c r="AB125" s="1">
        <v>-524</v>
      </c>
      <c r="AE125" s="1">
        <v>394</v>
      </c>
    </row>
    <row r="126" spans="2:31">
      <c r="B126" s="1" t="s">
        <v>195</v>
      </c>
      <c r="D126" s="1" t="s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30</v>
      </c>
      <c r="N126" s="1">
        <v>0</v>
      </c>
      <c r="O126" s="1">
        <v>0</v>
      </c>
      <c r="P126" s="1">
        <v>25</v>
      </c>
      <c r="Q126" s="1">
        <v>0</v>
      </c>
      <c r="S126" s="1">
        <v>-16</v>
      </c>
      <c r="V126" s="1">
        <v>81</v>
      </c>
      <c r="Y126" s="1">
        <v>33</v>
      </c>
      <c r="AB126" s="1">
        <v>-18</v>
      </c>
      <c r="AE126" s="1">
        <v>-15</v>
      </c>
    </row>
    <row r="127" spans="2:31">
      <c r="B127" s="1" t="s">
        <v>194</v>
      </c>
      <c r="D127" s="1" t="s">
        <v>0</v>
      </c>
      <c r="M127" s="1">
        <v>-973</v>
      </c>
      <c r="P127" s="1">
        <v>-369</v>
      </c>
      <c r="S127" s="1">
        <v>-356</v>
      </c>
      <c r="V127" s="1">
        <v>383</v>
      </c>
      <c r="Y127" s="1">
        <v>987</v>
      </c>
      <c r="AB127" s="1">
        <v>-697</v>
      </c>
      <c r="AE127" s="1">
        <v>243</v>
      </c>
    </row>
    <row r="128" spans="2:31">
      <c r="B128" s="1" t="s">
        <v>193</v>
      </c>
      <c r="D128" s="1" t="s">
        <v>0</v>
      </c>
      <c r="P128" s="1">
        <v>37</v>
      </c>
      <c r="S128" s="1">
        <v>63</v>
      </c>
      <c r="V128" s="1">
        <v>-22</v>
      </c>
      <c r="Y128" s="1">
        <v>-75</v>
      </c>
      <c r="AB128" s="1">
        <v>-80</v>
      </c>
      <c r="AE128" s="1">
        <v>-4</v>
      </c>
    </row>
    <row r="129" spans="2:31">
      <c r="B129" s="1" t="s">
        <v>192</v>
      </c>
      <c r="D129" s="1" t="s">
        <v>0</v>
      </c>
      <c r="M129" s="1">
        <v>-331</v>
      </c>
      <c r="P129" s="1">
        <v>-193</v>
      </c>
      <c r="S129" s="1">
        <v>-13</v>
      </c>
      <c r="V129" s="1">
        <v>189</v>
      </c>
      <c r="Y129" s="1">
        <v>1161</v>
      </c>
      <c r="AB129" s="1">
        <v>-18</v>
      </c>
      <c r="AE129" s="1">
        <v>-631</v>
      </c>
    </row>
    <row r="130" spans="2:31">
      <c r="B130" s="1" t="s">
        <v>191</v>
      </c>
      <c r="D130" s="1" t="s">
        <v>0</v>
      </c>
    </row>
    <row r="131" spans="2:31">
      <c r="B131" s="1" t="s">
        <v>190</v>
      </c>
      <c r="D131" s="1" t="s">
        <v>0</v>
      </c>
    </row>
    <row r="132" spans="2:31">
      <c r="B132" s="1" t="s">
        <v>189</v>
      </c>
      <c r="D132" s="1" t="s">
        <v>0</v>
      </c>
    </row>
    <row r="133" spans="2:31">
      <c r="B133" s="1" t="s">
        <v>188</v>
      </c>
      <c r="D133" s="1" t="s">
        <v>0</v>
      </c>
    </row>
    <row r="134" spans="2:31">
      <c r="B134" s="1" t="s">
        <v>187</v>
      </c>
      <c r="D134" s="1" t="s">
        <v>0</v>
      </c>
    </row>
    <row r="135" spans="2:31">
      <c r="B135" s="1" t="s">
        <v>186</v>
      </c>
      <c r="D135" s="1" t="s">
        <v>0</v>
      </c>
    </row>
    <row r="136" spans="2:31">
      <c r="B136" s="1" t="s">
        <v>185</v>
      </c>
      <c r="D136" s="1" t="s">
        <v>0</v>
      </c>
    </row>
    <row r="137" spans="2:31">
      <c r="B137" s="1" t="s">
        <v>184</v>
      </c>
      <c r="D137" s="1" t="s">
        <v>0</v>
      </c>
    </row>
    <row r="138" spans="2:31">
      <c r="B138" s="1" t="s">
        <v>183</v>
      </c>
      <c r="D138" s="1" t="s">
        <v>0</v>
      </c>
    </row>
    <row r="139" spans="2:31">
      <c r="B139" s="1" t="s">
        <v>182</v>
      </c>
      <c r="D139" s="1" t="s">
        <v>0</v>
      </c>
    </row>
    <row r="140" spans="2:31">
      <c r="B140" s="1" t="s">
        <v>181</v>
      </c>
      <c r="D140" s="1" t="s">
        <v>0</v>
      </c>
    </row>
    <row r="141" spans="2:31">
      <c r="B141" s="1" t="s">
        <v>180</v>
      </c>
      <c r="D141" s="1" t="s">
        <v>0</v>
      </c>
    </row>
    <row r="142" spans="2:31">
      <c r="B142" s="1" t="s">
        <v>179</v>
      </c>
      <c r="D142" s="1" t="s">
        <v>0</v>
      </c>
    </row>
    <row r="143" spans="2:31">
      <c r="B143" s="1" t="s">
        <v>178</v>
      </c>
      <c r="D143" s="1" t="s">
        <v>0</v>
      </c>
    </row>
    <row r="144" spans="2:31">
      <c r="B144" s="1" t="s">
        <v>177</v>
      </c>
      <c r="D144" s="1" t="s">
        <v>0</v>
      </c>
    </row>
    <row r="145" spans="2:31">
      <c r="B145" s="1" t="s">
        <v>176</v>
      </c>
      <c r="D145" s="1" t="s">
        <v>0</v>
      </c>
    </row>
    <row r="146" spans="2:31">
      <c r="B146" s="1" t="s">
        <v>175</v>
      </c>
      <c r="D146" s="1" t="s">
        <v>0</v>
      </c>
    </row>
    <row r="147" spans="2:31">
      <c r="B147" s="1" t="s">
        <v>174</v>
      </c>
      <c r="D147" s="1" t="s">
        <v>0</v>
      </c>
      <c r="E147" s="1" t="s">
        <v>0</v>
      </c>
    </row>
    <row r="148" spans="2:31">
      <c r="B148" s="1" t="s">
        <v>173</v>
      </c>
      <c r="D148" s="1" t="s">
        <v>0</v>
      </c>
      <c r="E148" s="1" t="s">
        <v>0</v>
      </c>
    </row>
    <row r="149" spans="2:31">
      <c r="B149" s="1" t="s">
        <v>172</v>
      </c>
      <c r="D149" s="1" t="s">
        <v>0</v>
      </c>
      <c r="E149" s="1" t="s">
        <v>0</v>
      </c>
    </row>
    <row r="150" spans="2:31">
      <c r="B150" s="1" t="s">
        <v>171</v>
      </c>
      <c r="D150" s="1" t="s">
        <v>0</v>
      </c>
      <c r="Y150" s="1">
        <v>0.3</v>
      </c>
      <c r="AB150" s="1">
        <v>0.3</v>
      </c>
      <c r="AE150" s="1">
        <v>0.27402862985699999</v>
      </c>
    </row>
    <row r="151" spans="2:31">
      <c r="B151" s="1" t="s">
        <v>170</v>
      </c>
      <c r="D151" s="1" t="s">
        <v>0</v>
      </c>
      <c r="Y151" s="1">
        <v>0.23</v>
      </c>
      <c r="AB151" s="1">
        <v>0.23</v>
      </c>
      <c r="AE151" s="1">
        <v>0.27402862985699999</v>
      </c>
    </row>
    <row r="152" spans="2:31">
      <c r="B152" s="1" t="s">
        <v>169</v>
      </c>
      <c r="D152" s="1" t="s">
        <v>0</v>
      </c>
      <c r="Y152" s="1">
        <v>0.02</v>
      </c>
      <c r="AB152" s="1">
        <v>0.02</v>
      </c>
    </row>
    <row r="153" spans="2:31">
      <c r="B153" s="1" t="s">
        <v>168</v>
      </c>
      <c r="D153" s="1" t="s">
        <v>0</v>
      </c>
      <c r="Y153" s="1">
        <v>0.03</v>
      </c>
      <c r="AB153" s="1">
        <v>0.03</v>
      </c>
    </row>
    <row r="154" spans="2:31">
      <c r="B154" s="1" t="s">
        <v>167</v>
      </c>
      <c r="D154" s="1" t="s">
        <v>0</v>
      </c>
      <c r="Y154" s="1">
        <v>0.02</v>
      </c>
      <c r="AB154" s="1">
        <v>0.02</v>
      </c>
      <c r="AD154" s="1">
        <v>0</v>
      </c>
      <c r="AE154" s="1">
        <v>0</v>
      </c>
    </row>
    <row r="155" spans="2:31">
      <c r="B155" s="1" t="s">
        <v>166</v>
      </c>
      <c r="D155" s="1" t="s">
        <v>0</v>
      </c>
      <c r="Y155" s="1">
        <v>0.6</v>
      </c>
      <c r="AB155" s="1">
        <v>0.6</v>
      </c>
      <c r="AE155" s="1">
        <v>0.48372528970700002</v>
      </c>
    </row>
    <row r="156" spans="2:31">
      <c r="B156" s="1" t="s">
        <v>165</v>
      </c>
      <c r="D156" s="1" t="s">
        <v>0</v>
      </c>
      <c r="Y156" s="1">
        <v>7.0000000000000007E-2</v>
      </c>
      <c r="AB156" s="1">
        <v>7.0000000000000007E-2</v>
      </c>
    </row>
    <row r="157" spans="2:31">
      <c r="B157" s="1" t="s">
        <v>164</v>
      </c>
      <c r="D157" s="1" t="s">
        <v>0</v>
      </c>
      <c r="Y157" s="1">
        <v>0.45</v>
      </c>
      <c r="AB157" s="1">
        <v>0.45</v>
      </c>
    </row>
    <row r="158" spans="2:31">
      <c r="B158" s="1" t="s">
        <v>163</v>
      </c>
      <c r="D158" s="1" t="s">
        <v>0</v>
      </c>
    </row>
    <row r="159" spans="2:31">
      <c r="B159" s="1" t="s">
        <v>162</v>
      </c>
      <c r="D159" s="1" t="s">
        <v>0</v>
      </c>
    </row>
    <row r="160" spans="2:31">
      <c r="B160" s="1" t="s">
        <v>161</v>
      </c>
      <c r="D160" s="1" t="s">
        <v>0</v>
      </c>
    </row>
    <row r="161" spans="2:28">
      <c r="B161" s="1" t="s">
        <v>160</v>
      </c>
      <c r="D161" s="1" t="s">
        <v>0</v>
      </c>
    </row>
    <row r="162" spans="2:28">
      <c r="B162" s="1" t="s">
        <v>159</v>
      </c>
      <c r="D162" s="1" t="s">
        <v>0</v>
      </c>
    </row>
    <row r="163" spans="2:28">
      <c r="B163" s="1" t="s">
        <v>158</v>
      </c>
      <c r="D163" s="1" t="s">
        <v>0</v>
      </c>
    </row>
    <row r="164" spans="2:28">
      <c r="B164" s="1" t="s">
        <v>157</v>
      </c>
      <c r="D164" s="1" t="s">
        <v>0</v>
      </c>
    </row>
    <row r="165" spans="2:28">
      <c r="B165" s="1" t="s">
        <v>156</v>
      </c>
      <c r="D165" s="1" t="s">
        <v>0</v>
      </c>
    </row>
    <row r="166" spans="2:28">
      <c r="B166" s="1" t="s">
        <v>155</v>
      </c>
      <c r="D166" s="1" t="s">
        <v>0</v>
      </c>
    </row>
    <row r="167" spans="2:28">
      <c r="B167" s="1" t="s">
        <v>154</v>
      </c>
      <c r="D167" s="1" t="s">
        <v>0</v>
      </c>
    </row>
    <row r="168" spans="2:28">
      <c r="B168" s="1" t="s">
        <v>153</v>
      </c>
      <c r="D168" s="1" t="s">
        <v>0</v>
      </c>
    </row>
    <row r="169" spans="2:28">
      <c r="B169" s="1" t="s">
        <v>152</v>
      </c>
      <c r="D169" s="1" t="s">
        <v>0</v>
      </c>
    </row>
    <row r="170" spans="2:28">
      <c r="B170" s="1" t="s">
        <v>151</v>
      </c>
      <c r="D170" s="1" t="s">
        <v>0</v>
      </c>
    </row>
    <row r="171" spans="2:28">
      <c r="B171" s="1" t="s">
        <v>150</v>
      </c>
      <c r="D171" s="1" t="s">
        <v>0</v>
      </c>
    </row>
    <row r="172" spans="2:28">
      <c r="B172" s="1" t="s">
        <v>149</v>
      </c>
      <c r="D172" s="1" t="s">
        <v>0</v>
      </c>
    </row>
    <row r="173" spans="2:28">
      <c r="B173" s="1" t="s">
        <v>148</v>
      </c>
      <c r="D173" s="1" t="s">
        <v>0</v>
      </c>
    </row>
    <row r="174" spans="2:28">
      <c r="B174" s="1" t="s">
        <v>147</v>
      </c>
      <c r="D174" s="1" t="s">
        <v>0</v>
      </c>
      <c r="Y174" s="1">
        <v>0.02</v>
      </c>
      <c r="AB174" s="1">
        <v>0.02</v>
      </c>
    </row>
    <row r="175" spans="2:28">
      <c r="B175" s="1" t="s">
        <v>146</v>
      </c>
      <c r="D175" s="1" t="s">
        <v>0</v>
      </c>
      <c r="Y175" s="1">
        <v>0.03</v>
      </c>
      <c r="AB175" s="1">
        <v>0.03</v>
      </c>
    </row>
    <row r="176" spans="2:28">
      <c r="B176" s="1" t="s">
        <v>145</v>
      </c>
      <c r="D176" s="1" t="s">
        <v>0</v>
      </c>
      <c r="Y176" s="1">
        <v>0.01</v>
      </c>
      <c r="AB176" s="1">
        <v>0.01</v>
      </c>
    </row>
    <row r="177" spans="2:31">
      <c r="B177" s="1" t="s">
        <v>144</v>
      </c>
      <c r="D177" s="1" t="s">
        <v>0</v>
      </c>
      <c r="Y177" s="1">
        <v>0.02</v>
      </c>
      <c r="AB177" s="1">
        <v>0.02</v>
      </c>
      <c r="AD177" s="1">
        <v>0.48372528970700002</v>
      </c>
      <c r="AE177" s="1">
        <v>0.48372528970700002</v>
      </c>
    </row>
    <row r="178" spans="2:31">
      <c r="B178" s="1" t="s">
        <v>143</v>
      </c>
      <c r="D178" s="1" t="s">
        <v>0</v>
      </c>
      <c r="Y178" s="1">
        <v>0.09</v>
      </c>
      <c r="AB178" s="1">
        <v>0.09</v>
      </c>
      <c r="AE178" s="1">
        <v>0.15516359918200001</v>
      </c>
    </row>
    <row r="179" spans="2:31">
      <c r="B179" s="1" t="s">
        <v>142</v>
      </c>
      <c r="D179" s="1" t="s">
        <v>0</v>
      </c>
      <c r="Y179" s="1">
        <v>0.01</v>
      </c>
      <c r="AB179" s="1">
        <v>0.01</v>
      </c>
    </row>
    <row r="180" spans="2:31">
      <c r="B180" s="1" t="s">
        <v>141</v>
      </c>
      <c r="D180" s="1" t="s">
        <v>0</v>
      </c>
      <c r="Y180" s="1">
        <v>0.02</v>
      </c>
      <c r="AB180" s="1">
        <v>0.02</v>
      </c>
    </row>
    <row r="181" spans="2:31">
      <c r="B181" s="1" t="s">
        <v>140</v>
      </c>
      <c r="D181" s="1" t="s">
        <v>0</v>
      </c>
      <c r="Y181" s="1">
        <v>0.02</v>
      </c>
      <c r="AB181" s="1">
        <v>0.02</v>
      </c>
    </row>
    <row r="182" spans="2:31">
      <c r="B182" s="1" t="s">
        <v>139</v>
      </c>
      <c r="D182" s="1" t="s">
        <v>0</v>
      </c>
      <c r="Y182" s="1">
        <v>0.01</v>
      </c>
      <c r="AB182" s="1">
        <v>0.01</v>
      </c>
    </row>
    <row r="183" spans="2:31">
      <c r="B183" s="1" t="s">
        <v>138</v>
      </c>
      <c r="D183" s="1" t="s">
        <v>0</v>
      </c>
    </row>
    <row r="184" spans="2:31">
      <c r="B184" s="1" t="s">
        <v>137</v>
      </c>
      <c r="D184" s="1" t="s">
        <v>0</v>
      </c>
    </row>
    <row r="185" spans="2:31">
      <c r="B185" s="1" t="s">
        <v>136</v>
      </c>
      <c r="D185" s="1" t="s">
        <v>0</v>
      </c>
      <c r="Y185" s="1">
        <v>0.03</v>
      </c>
      <c r="AB185" s="1">
        <v>0.03</v>
      </c>
      <c r="AD185" s="1">
        <v>0.15516359918200001</v>
      </c>
      <c r="AE185" s="1">
        <v>0.15516359918200001</v>
      </c>
    </row>
    <row r="186" spans="2:31">
      <c r="B186" s="1" t="s">
        <v>135</v>
      </c>
      <c r="D186" s="1" t="s">
        <v>0</v>
      </c>
      <c r="Y186" s="1">
        <v>0.01</v>
      </c>
      <c r="AB186" s="1">
        <v>0.01</v>
      </c>
      <c r="AE186" s="1">
        <v>8.7082481254000005E-2</v>
      </c>
    </row>
    <row r="187" spans="2:31">
      <c r="B187" s="1" t="s">
        <v>134</v>
      </c>
      <c r="D187" s="1" t="s">
        <v>0</v>
      </c>
      <c r="AE187" s="1">
        <v>0.27402862985699999</v>
      </c>
    </row>
    <row r="188" spans="2:31">
      <c r="B188" s="1" t="s">
        <v>133</v>
      </c>
      <c r="D188" s="1" t="s">
        <v>0</v>
      </c>
      <c r="AE188" s="1">
        <v>0.27402862985699999</v>
      </c>
    </row>
    <row r="189" spans="2:31">
      <c r="B189" s="1" t="s">
        <v>132</v>
      </c>
      <c r="D189" s="1" t="s">
        <v>0</v>
      </c>
    </row>
    <row r="190" spans="2:31">
      <c r="B190" s="1" t="s">
        <v>131</v>
      </c>
      <c r="D190" s="1" t="s">
        <v>0</v>
      </c>
    </row>
    <row r="191" spans="2:31">
      <c r="B191" s="1" t="s">
        <v>130</v>
      </c>
      <c r="D191" s="1" t="s">
        <v>0</v>
      </c>
    </row>
    <row r="192" spans="2:31">
      <c r="B192" s="1" t="s">
        <v>129</v>
      </c>
      <c r="D192" s="1" t="s">
        <v>0</v>
      </c>
      <c r="AE192" s="1">
        <v>0.48372528970700002</v>
      </c>
    </row>
    <row r="193" spans="2:4">
      <c r="B193" s="1" t="s">
        <v>128</v>
      </c>
      <c r="D193" s="1" t="s">
        <v>0</v>
      </c>
    </row>
    <row r="194" spans="2:4">
      <c r="B194" s="1" t="s">
        <v>127</v>
      </c>
      <c r="D194" s="1" t="s">
        <v>0</v>
      </c>
    </row>
    <row r="195" spans="2:4">
      <c r="B195" s="1" t="s">
        <v>126</v>
      </c>
      <c r="D195" s="1" t="s">
        <v>0</v>
      </c>
    </row>
    <row r="196" spans="2:4">
      <c r="B196" s="1" t="s">
        <v>125</v>
      </c>
      <c r="D196" s="1" t="s">
        <v>0</v>
      </c>
    </row>
    <row r="197" spans="2:4">
      <c r="B197" s="1" t="s">
        <v>124</v>
      </c>
      <c r="D197" s="1" t="s">
        <v>0</v>
      </c>
    </row>
    <row r="198" spans="2:4">
      <c r="B198" s="1" t="s">
        <v>123</v>
      </c>
      <c r="D198" s="1" t="s">
        <v>0</v>
      </c>
    </row>
    <row r="199" spans="2:4">
      <c r="B199" s="1" t="s">
        <v>122</v>
      </c>
      <c r="D199" s="1" t="s">
        <v>0</v>
      </c>
    </row>
    <row r="200" spans="2:4">
      <c r="B200" s="1" t="s">
        <v>121</v>
      </c>
      <c r="D200" s="1" t="s">
        <v>0</v>
      </c>
    </row>
    <row r="201" spans="2:4">
      <c r="B201" s="1" t="s">
        <v>120</v>
      </c>
      <c r="D201" s="1" t="s">
        <v>0</v>
      </c>
    </row>
    <row r="202" spans="2:4">
      <c r="B202" s="1" t="s">
        <v>119</v>
      </c>
      <c r="D202" s="1" t="s">
        <v>0</v>
      </c>
    </row>
    <row r="203" spans="2:4">
      <c r="B203" s="1" t="s">
        <v>118</v>
      </c>
      <c r="D203" s="1" t="s">
        <v>0</v>
      </c>
    </row>
    <row r="204" spans="2:4">
      <c r="B204" s="1" t="s">
        <v>117</v>
      </c>
      <c r="D204" s="1" t="s">
        <v>0</v>
      </c>
    </row>
    <row r="205" spans="2:4">
      <c r="B205" s="1" t="s">
        <v>116</v>
      </c>
      <c r="D205" s="1" t="s">
        <v>0</v>
      </c>
    </row>
    <row r="206" spans="2:4">
      <c r="B206" s="1" t="s">
        <v>115</v>
      </c>
      <c r="D206" s="1" t="s">
        <v>0</v>
      </c>
    </row>
    <row r="207" spans="2:4">
      <c r="B207" s="1" t="s">
        <v>114</v>
      </c>
      <c r="D207" s="1" t="s">
        <v>0</v>
      </c>
    </row>
    <row r="208" spans="2:4">
      <c r="B208" s="1" t="s">
        <v>113</v>
      </c>
      <c r="D208" s="1" t="s">
        <v>0</v>
      </c>
    </row>
    <row r="209" spans="2:31">
      <c r="B209" s="1" t="s">
        <v>112</v>
      </c>
      <c r="D209" s="1" t="s">
        <v>0</v>
      </c>
    </row>
    <row r="210" spans="2:31">
      <c r="B210" s="1" t="s">
        <v>111</v>
      </c>
      <c r="D210" s="1" t="s">
        <v>0</v>
      </c>
    </row>
    <row r="211" spans="2:31">
      <c r="B211" s="1" t="s">
        <v>110</v>
      </c>
      <c r="D211" s="1" t="s">
        <v>0</v>
      </c>
    </row>
    <row r="212" spans="2:31">
      <c r="B212" s="1" t="s">
        <v>109</v>
      </c>
      <c r="D212" s="1" t="s">
        <v>0</v>
      </c>
    </row>
    <row r="213" spans="2:31">
      <c r="B213" s="1" t="s">
        <v>108</v>
      </c>
      <c r="D213" s="1" t="s">
        <v>0</v>
      </c>
    </row>
    <row r="214" spans="2:31">
      <c r="B214" s="1" t="s">
        <v>107</v>
      </c>
      <c r="D214" s="1" t="s">
        <v>0</v>
      </c>
      <c r="AE214" s="1">
        <v>0.48372528970700002</v>
      </c>
    </row>
    <row r="215" spans="2:31">
      <c r="B215" s="1" t="s">
        <v>106</v>
      </c>
      <c r="D215" s="1" t="s">
        <v>0</v>
      </c>
      <c r="AE215" s="1">
        <v>0.15516359918200001</v>
      </c>
    </row>
    <row r="216" spans="2:31">
      <c r="B216" s="1" t="s">
        <v>105</v>
      </c>
      <c r="D216" s="1" t="s">
        <v>0</v>
      </c>
    </row>
    <row r="217" spans="2:31">
      <c r="B217" s="1" t="s">
        <v>104</v>
      </c>
      <c r="D217" s="1" t="s">
        <v>0</v>
      </c>
    </row>
    <row r="218" spans="2:31">
      <c r="B218" s="1" t="s">
        <v>103</v>
      </c>
      <c r="D218" s="1" t="s">
        <v>0</v>
      </c>
    </row>
    <row r="219" spans="2:31">
      <c r="B219" s="1" t="s">
        <v>102</v>
      </c>
      <c r="D219" s="1" t="s">
        <v>0</v>
      </c>
    </row>
    <row r="220" spans="2:31">
      <c r="B220" s="1" t="s">
        <v>101</v>
      </c>
      <c r="D220" s="1" t="s">
        <v>0</v>
      </c>
    </row>
    <row r="221" spans="2:31">
      <c r="B221" s="1" t="s">
        <v>100</v>
      </c>
      <c r="D221" s="1" t="s">
        <v>0</v>
      </c>
    </row>
    <row r="222" spans="2:31">
      <c r="B222" s="1" t="s">
        <v>99</v>
      </c>
      <c r="D222" s="1" t="s">
        <v>0</v>
      </c>
      <c r="AE222" s="1">
        <v>0.15516359918200001</v>
      </c>
    </row>
    <row r="223" spans="2:31">
      <c r="B223" s="1" t="s">
        <v>98</v>
      </c>
      <c r="D223" s="1" t="s">
        <v>0</v>
      </c>
      <c r="AE223" s="1">
        <v>8.7082481254000005E-2</v>
      </c>
    </row>
    <row r="224" spans="2:31">
      <c r="B224" s="1" t="s">
        <v>97</v>
      </c>
      <c r="D224" s="1" t="s">
        <v>0</v>
      </c>
    </row>
    <row r="225" spans="2:4">
      <c r="B225" s="1" t="s">
        <v>96</v>
      </c>
      <c r="D225" s="1" t="s">
        <v>0</v>
      </c>
    </row>
    <row r="226" spans="2:4">
      <c r="B226" s="1" t="s">
        <v>95</v>
      </c>
      <c r="D226" s="1" t="s">
        <v>0</v>
      </c>
    </row>
    <row r="227" spans="2:4">
      <c r="B227" s="1" t="s">
        <v>94</v>
      </c>
      <c r="D227" s="1" t="s">
        <v>0</v>
      </c>
    </row>
    <row r="228" spans="2:4">
      <c r="B228" s="1" t="s">
        <v>93</v>
      </c>
      <c r="D228" s="1" t="s">
        <v>0</v>
      </c>
    </row>
    <row r="229" spans="2:4">
      <c r="B229" s="1" t="s">
        <v>92</v>
      </c>
      <c r="D229" s="1" t="s">
        <v>0</v>
      </c>
    </row>
    <row r="230" spans="2:4">
      <c r="B230" s="1" t="s">
        <v>91</v>
      </c>
      <c r="D230" s="1" t="s">
        <v>0</v>
      </c>
    </row>
    <row r="231" spans="2:4">
      <c r="B231" s="1" t="s">
        <v>90</v>
      </c>
      <c r="D231" s="1" t="s">
        <v>0</v>
      </c>
    </row>
    <row r="232" spans="2:4">
      <c r="B232" s="1" t="s">
        <v>89</v>
      </c>
      <c r="D232" s="1" t="s">
        <v>0</v>
      </c>
    </row>
    <row r="233" spans="2:4">
      <c r="B233" s="1" t="s">
        <v>88</v>
      </c>
      <c r="D233" s="1" t="s">
        <v>0</v>
      </c>
    </row>
    <row r="234" spans="2:4">
      <c r="B234" s="1" t="s">
        <v>87</v>
      </c>
      <c r="D234" s="1" t="s">
        <v>0</v>
      </c>
    </row>
    <row r="235" spans="2:4">
      <c r="B235" s="1" t="s">
        <v>86</v>
      </c>
      <c r="D235" s="1" t="s">
        <v>0</v>
      </c>
    </row>
    <row r="236" spans="2:4">
      <c r="B236" s="1" t="s">
        <v>85</v>
      </c>
      <c r="D236" s="1" t="s">
        <v>0</v>
      </c>
    </row>
    <row r="237" spans="2:4">
      <c r="B237" s="1" t="s">
        <v>84</v>
      </c>
      <c r="D237" s="1" t="s">
        <v>0</v>
      </c>
    </row>
    <row r="238" spans="2:4">
      <c r="B238" s="1" t="s">
        <v>83</v>
      </c>
      <c r="D238" s="1" t="s">
        <v>0</v>
      </c>
    </row>
    <row r="239" spans="2:4">
      <c r="B239" s="1" t="s">
        <v>82</v>
      </c>
      <c r="D239" s="1" t="s">
        <v>0</v>
      </c>
    </row>
    <row r="240" spans="2:4">
      <c r="B240" s="1" t="s">
        <v>81</v>
      </c>
      <c r="D240" s="1" t="s">
        <v>0</v>
      </c>
    </row>
    <row r="241" spans="2:4">
      <c r="B241" s="1" t="s">
        <v>80</v>
      </c>
      <c r="D241" s="1" t="s">
        <v>0</v>
      </c>
    </row>
    <row r="242" spans="2:4">
      <c r="B242" s="1" t="s">
        <v>79</v>
      </c>
      <c r="D242" s="1" t="s">
        <v>0</v>
      </c>
    </row>
    <row r="243" spans="2:4">
      <c r="B243" s="1" t="s">
        <v>78</v>
      </c>
      <c r="D243" s="1" t="s">
        <v>0</v>
      </c>
    </row>
    <row r="244" spans="2:4">
      <c r="B244" s="1" t="s">
        <v>77</v>
      </c>
      <c r="D244" s="1" t="s">
        <v>0</v>
      </c>
    </row>
    <row r="245" spans="2:4">
      <c r="B245" s="1" t="s">
        <v>76</v>
      </c>
      <c r="D245" s="1" t="s">
        <v>0</v>
      </c>
    </row>
    <row r="246" spans="2:4">
      <c r="B246" s="1" t="s">
        <v>75</v>
      </c>
      <c r="D246" s="1" t="s">
        <v>0</v>
      </c>
    </row>
    <row r="247" spans="2:4">
      <c r="B247" s="1" t="s">
        <v>74</v>
      </c>
      <c r="D247" s="1" t="s">
        <v>0</v>
      </c>
    </row>
    <row r="248" spans="2:4">
      <c r="B248" s="1" t="s">
        <v>73</v>
      </c>
      <c r="D248" s="1" t="s">
        <v>0</v>
      </c>
    </row>
    <row r="249" spans="2:4">
      <c r="B249" s="1" t="s">
        <v>72</v>
      </c>
      <c r="D249" s="1" t="s">
        <v>0</v>
      </c>
    </row>
    <row r="250" spans="2:4">
      <c r="B250" s="1" t="s">
        <v>71</v>
      </c>
      <c r="D250" s="1" t="s">
        <v>0</v>
      </c>
    </row>
    <row r="251" spans="2:4">
      <c r="B251" s="1" t="s">
        <v>70</v>
      </c>
      <c r="D251" s="1" t="s">
        <v>0</v>
      </c>
    </row>
    <row r="252" spans="2:4">
      <c r="B252" s="1" t="s">
        <v>69</v>
      </c>
      <c r="D252" s="1" t="s">
        <v>0</v>
      </c>
    </row>
    <row r="253" spans="2:4">
      <c r="B253" s="1" t="s">
        <v>68</v>
      </c>
      <c r="D253" s="1" t="s">
        <v>0</v>
      </c>
    </row>
    <row r="254" spans="2:4">
      <c r="B254" s="1" t="s">
        <v>67</v>
      </c>
      <c r="D254" s="1" t="s">
        <v>0</v>
      </c>
    </row>
    <row r="255" spans="2:4">
      <c r="B255" s="1" t="s">
        <v>66</v>
      </c>
      <c r="D255" s="1" t="s">
        <v>0</v>
      </c>
    </row>
    <row r="256" spans="2:4">
      <c r="B256" s="1" t="s">
        <v>65</v>
      </c>
      <c r="D256" s="1" t="s">
        <v>0</v>
      </c>
    </row>
    <row r="257" spans="2:28">
      <c r="B257" s="1" t="s">
        <v>64</v>
      </c>
      <c r="D257" s="1" t="s">
        <v>0</v>
      </c>
    </row>
    <row r="258" spans="2:28">
      <c r="B258" s="1" t="s">
        <v>63</v>
      </c>
      <c r="D258" s="1" t="s">
        <v>0</v>
      </c>
    </row>
    <row r="259" spans="2:28">
      <c r="B259" s="1" t="s">
        <v>62</v>
      </c>
      <c r="D259" s="1" t="s">
        <v>0</v>
      </c>
    </row>
    <row r="260" spans="2:28">
      <c r="B260" s="1" t="s">
        <v>61</v>
      </c>
      <c r="D260" s="1" t="s">
        <v>0</v>
      </c>
    </row>
    <row r="261" spans="2:28">
      <c r="B261" s="1" t="s">
        <v>60</v>
      </c>
      <c r="D261" s="1" t="s">
        <v>0</v>
      </c>
      <c r="Y261" s="1">
        <v>0</v>
      </c>
      <c r="AB261" s="1">
        <v>0</v>
      </c>
    </row>
    <row r="262" spans="2:28">
      <c r="B262" s="1" t="s">
        <v>59</v>
      </c>
      <c r="D262" s="1" t="s">
        <v>0</v>
      </c>
      <c r="Y262" s="1">
        <v>0.76</v>
      </c>
      <c r="AB262" s="1">
        <v>0.76</v>
      </c>
    </row>
    <row r="263" spans="2:28">
      <c r="B263" s="1" t="s">
        <v>58</v>
      </c>
      <c r="D263" s="1" t="s">
        <v>0</v>
      </c>
      <c r="Y263" s="1">
        <v>0.24</v>
      </c>
      <c r="AB263" s="1">
        <v>0.24</v>
      </c>
    </row>
    <row r="264" spans="2:28">
      <c r="B264" s="1" t="s">
        <v>57</v>
      </c>
      <c r="D264" s="1" t="s">
        <v>0</v>
      </c>
    </row>
    <row r="265" spans="2:28">
      <c r="B265" s="1" t="s">
        <v>56</v>
      </c>
      <c r="D265" s="1" t="s">
        <v>0</v>
      </c>
    </row>
    <row r="266" spans="2:28">
      <c r="B266" s="1" t="s">
        <v>55</v>
      </c>
      <c r="D266" s="1" t="s">
        <v>0</v>
      </c>
    </row>
    <row r="267" spans="2:28">
      <c r="B267" s="1" t="s">
        <v>54</v>
      </c>
      <c r="D267" s="1" t="s">
        <v>0</v>
      </c>
    </row>
    <row r="268" spans="2:28">
      <c r="B268" s="1" t="s">
        <v>53</v>
      </c>
      <c r="D268" s="1" t="s">
        <v>0</v>
      </c>
    </row>
    <row r="269" spans="2:28">
      <c r="B269" s="1" t="s">
        <v>52</v>
      </c>
      <c r="D269" s="1" t="s">
        <v>0</v>
      </c>
    </row>
    <row r="270" spans="2:28">
      <c r="B270" s="1" t="s">
        <v>51</v>
      </c>
      <c r="D270" s="1" t="s">
        <v>0</v>
      </c>
    </row>
    <row r="271" spans="2:28">
      <c r="B271" s="1" t="s">
        <v>50</v>
      </c>
      <c r="D271" s="1" t="s">
        <v>0</v>
      </c>
    </row>
    <row r="272" spans="2:28">
      <c r="B272" s="1" t="s">
        <v>49</v>
      </c>
      <c r="D272" s="1" t="s">
        <v>0</v>
      </c>
    </row>
    <row r="273" spans="2:31">
      <c r="B273" s="1" t="s">
        <v>48</v>
      </c>
      <c r="D273" s="1" t="s">
        <v>0</v>
      </c>
    </row>
    <row r="274" spans="2:31">
      <c r="B274" s="1" t="s">
        <v>47</v>
      </c>
      <c r="D274" s="1" t="s">
        <v>0</v>
      </c>
    </row>
    <row r="275" spans="2:31">
      <c r="B275" s="1" t="s">
        <v>46</v>
      </c>
      <c r="D275" s="1" t="s">
        <v>0</v>
      </c>
    </row>
    <row r="276" spans="2:31">
      <c r="B276" s="1" t="s">
        <v>45</v>
      </c>
      <c r="D276" s="1" t="s">
        <v>0</v>
      </c>
    </row>
    <row r="277" spans="2:31">
      <c r="B277" s="1" t="s">
        <v>44</v>
      </c>
      <c r="D277" s="1" t="s">
        <v>0</v>
      </c>
    </row>
    <row r="278" spans="2:31">
      <c r="B278" s="1" t="s">
        <v>43</v>
      </c>
      <c r="D278" s="1" t="s">
        <v>0</v>
      </c>
    </row>
    <row r="279" spans="2:31">
      <c r="B279" s="1" t="s">
        <v>42</v>
      </c>
      <c r="D279" s="1" t="s">
        <v>0</v>
      </c>
    </row>
    <row r="280" spans="2:31">
      <c r="B280" s="1" t="s">
        <v>41</v>
      </c>
      <c r="D280" s="1" t="s">
        <v>0</v>
      </c>
    </row>
    <row r="281" spans="2:31">
      <c r="B281" s="1" t="s">
        <v>40</v>
      </c>
      <c r="D281" s="1" t="s">
        <v>0</v>
      </c>
    </row>
    <row r="282" spans="2:31">
      <c r="B282" s="1" t="s">
        <v>39</v>
      </c>
      <c r="D282" s="1" t="s">
        <v>0</v>
      </c>
      <c r="AE282" s="1">
        <v>0</v>
      </c>
    </row>
    <row r="283" spans="2:31">
      <c r="B283" s="1" t="s">
        <v>38</v>
      </c>
      <c r="D283" s="1" t="s">
        <v>0</v>
      </c>
      <c r="AE283" s="1">
        <v>0.76</v>
      </c>
    </row>
    <row r="284" spans="2:31">
      <c r="B284" s="1" t="s">
        <v>37</v>
      </c>
      <c r="D284" s="1" t="s">
        <v>0</v>
      </c>
      <c r="AE284" s="1">
        <v>0.24</v>
      </c>
    </row>
    <row r="285" spans="2:31">
      <c r="B285" s="1" t="s">
        <v>36</v>
      </c>
      <c r="D285" s="1" t="s">
        <v>0</v>
      </c>
    </row>
    <row r="286" spans="2:31">
      <c r="B286" s="1" t="s">
        <v>35</v>
      </c>
      <c r="D286" s="1" t="s">
        <v>0</v>
      </c>
    </row>
    <row r="287" spans="2:31">
      <c r="B287" s="1" t="s">
        <v>34</v>
      </c>
      <c r="D287" s="1" t="s">
        <v>0</v>
      </c>
    </row>
    <row r="288" spans="2:31">
      <c r="B288" s="1" t="s">
        <v>33</v>
      </c>
      <c r="D288" s="1" t="s">
        <v>0</v>
      </c>
    </row>
    <row r="289" spans="2:4">
      <c r="B289" s="1" t="s">
        <v>32</v>
      </c>
      <c r="D289" s="1" t="s">
        <v>0</v>
      </c>
    </row>
    <row r="290" spans="2:4">
      <c r="B290" s="1" t="s">
        <v>31</v>
      </c>
      <c r="D290" s="1" t="s">
        <v>0</v>
      </c>
    </row>
    <row r="291" spans="2:4">
      <c r="B291" s="1" t="s">
        <v>30</v>
      </c>
      <c r="D291" s="1" t="s">
        <v>0</v>
      </c>
    </row>
    <row r="292" spans="2:4">
      <c r="B292" s="1" t="s">
        <v>29</v>
      </c>
      <c r="D292" s="1" t="s">
        <v>0</v>
      </c>
    </row>
    <row r="293" spans="2:4">
      <c r="B293" s="1" t="s">
        <v>28</v>
      </c>
      <c r="D293" s="1" t="s">
        <v>0</v>
      </c>
    </row>
    <row r="294" spans="2:4">
      <c r="B294" s="1" t="s">
        <v>27</v>
      </c>
      <c r="D294" s="1" t="s">
        <v>0</v>
      </c>
    </row>
    <row r="295" spans="2:4">
      <c r="B295" s="1" t="s">
        <v>26</v>
      </c>
      <c r="D295" s="1" t="s">
        <v>0</v>
      </c>
    </row>
    <row r="296" spans="2:4">
      <c r="B296" s="1" t="s">
        <v>25</v>
      </c>
      <c r="D296" s="1" t="s">
        <v>0</v>
      </c>
    </row>
    <row r="297" spans="2:4">
      <c r="B297" s="1" t="s">
        <v>24</v>
      </c>
      <c r="D297" s="1" t="s">
        <v>0</v>
      </c>
    </row>
    <row r="298" spans="2:4">
      <c r="B298" s="1" t="s">
        <v>23</v>
      </c>
      <c r="D298" s="1" t="s">
        <v>0</v>
      </c>
    </row>
    <row r="299" spans="2:4">
      <c r="B299" s="1" t="s">
        <v>22</v>
      </c>
      <c r="D299" s="1" t="s">
        <v>0</v>
      </c>
    </row>
    <row r="300" spans="2:4">
      <c r="B300" s="1" t="s">
        <v>21</v>
      </c>
      <c r="D300" s="1" t="s">
        <v>0</v>
      </c>
    </row>
    <row r="301" spans="2:4">
      <c r="B301" s="1" t="s">
        <v>20</v>
      </c>
      <c r="D301" s="1" t="s">
        <v>0</v>
      </c>
    </row>
    <row r="302" spans="2:4">
      <c r="B302" s="1" t="s">
        <v>19</v>
      </c>
      <c r="D302" s="1" t="s">
        <v>0</v>
      </c>
    </row>
    <row r="303" spans="2:4">
      <c r="B303" s="1" t="s">
        <v>18</v>
      </c>
      <c r="D303" s="1" t="s">
        <v>0</v>
      </c>
    </row>
    <row r="304" spans="2:4">
      <c r="B304" s="1" t="s">
        <v>17</v>
      </c>
      <c r="D304" s="1" t="s">
        <v>0</v>
      </c>
    </row>
    <row r="305" spans="2:4">
      <c r="B305" s="1" t="s">
        <v>16</v>
      </c>
      <c r="D305" s="1" t="s">
        <v>0</v>
      </c>
    </row>
    <row r="306" spans="2:4">
      <c r="B306" s="1" t="s">
        <v>15</v>
      </c>
      <c r="D306" s="1" t="s">
        <v>0</v>
      </c>
    </row>
    <row r="307" spans="2:4">
      <c r="B307" s="1" t="s">
        <v>14</v>
      </c>
      <c r="D307" s="1" t="s">
        <v>0</v>
      </c>
    </row>
    <row r="308" spans="2:4">
      <c r="B308" s="1" t="s">
        <v>13</v>
      </c>
      <c r="D308" s="1" t="s">
        <v>0</v>
      </c>
    </row>
    <row r="309" spans="2:4">
      <c r="B309" s="1" t="s">
        <v>12</v>
      </c>
      <c r="D309" s="1" t="s">
        <v>0</v>
      </c>
    </row>
    <row r="310" spans="2:4">
      <c r="B310" s="1" t="s">
        <v>11</v>
      </c>
      <c r="D310" s="1" t="s">
        <v>0</v>
      </c>
    </row>
    <row r="311" spans="2:4">
      <c r="B311" s="1" t="s">
        <v>10</v>
      </c>
      <c r="D311" s="1" t="s">
        <v>0</v>
      </c>
    </row>
    <row r="312" spans="2:4">
      <c r="B312" s="1" t="s">
        <v>9</v>
      </c>
      <c r="D312" s="1" t="s">
        <v>0</v>
      </c>
    </row>
    <row r="313" spans="2:4">
      <c r="B313" s="1" t="s">
        <v>8</v>
      </c>
      <c r="D313" s="1" t="s">
        <v>0</v>
      </c>
    </row>
    <row r="314" spans="2:4">
      <c r="B314" s="1" t="s">
        <v>7</v>
      </c>
      <c r="D314" s="1" t="s">
        <v>0</v>
      </c>
    </row>
    <row r="315" spans="2:4">
      <c r="B315" s="1" t="s">
        <v>6</v>
      </c>
      <c r="D315" s="1" t="s">
        <v>0</v>
      </c>
    </row>
    <row r="316" spans="2:4">
      <c r="B316" s="1" t="s">
        <v>5</v>
      </c>
      <c r="D316" s="1" t="s">
        <v>0</v>
      </c>
    </row>
    <row r="317" spans="2:4">
      <c r="B317" s="1" t="s">
        <v>4</v>
      </c>
      <c r="D317" s="1" t="s">
        <v>0</v>
      </c>
    </row>
    <row r="318" spans="2:4">
      <c r="B318" s="1" t="s">
        <v>3</v>
      </c>
      <c r="D318" s="1" t="s">
        <v>0</v>
      </c>
    </row>
    <row r="319" spans="2:4">
      <c r="B319" s="1" t="s">
        <v>2</v>
      </c>
      <c r="D319" s="1" t="s">
        <v>0</v>
      </c>
    </row>
    <row r="320" spans="2:4">
      <c r="B320" s="1" t="s">
        <v>1</v>
      </c>
      <c r="D320" s="1" t="s">
        <v>0</v>
      </c>
    </row>
  </sheetData>
  <pageMargins left="0.7" right="0.7" top="0.75" bottom="0.75" header="0.3" footer="0.3"/>
  <pageSetup paperSize="9" orientation="portrait" r:id="rId1"/>
  <customProperties>
    <customPr name="LIVENUMBERS" r:id="rId2"/>
    <customPr name="Password" r:id="rId3"/>
    <customPr name="Qube.Worksheet.Visibility" r:id="rId4"/>
    <customPr name="REORDER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</sheetPr>
  <dimension ref="A1:I27"/>
  <sheetViews>
    <sheetView showGridLines="0" tabSelected="1" workbookViewId="0"/>
  </sheetViews>
  <sheetFormatPr defaultColWidth="0" defaultRowHeight="12.75" customHeight="1" zeroHeight="1"/>
  <cols>
    <col min="1" max="1" width="8" style="145" customWidth="1"/>
    <col min="2" max="2" width="35" style="145" customWidth="1"/>
    <col min="3" max="3" width="15.875" style="145" customWidth="1"/>
    <col min="4" max="5" width="20" style="145" customWidth="1"/>
    <col min="6" max="16384" width="8" style="145" hidden="1"/>
  </cols>
  <sheetData>
    <row r="1" spans="1:9" ht="9.75" customHeight="1"/>
    <row r="2" spans="1:9" ht="21">
      <c r="A2" s="146" t="s">
        <v>1206</v>
      </c>
      <c r="B2" s="147"/>
      <c r="C2" s="147"/>
      <c r="D2" s="147"/>
      <c r="E2" s="147"/>
    </row>
    <row r="3" spans="1:9" ht="21">
      <c r="A3" s="146" t="s">
        <v>1207</v>
      </c>
      <c r="B3" s="147"/>
      <c r="C3" s="147"/>
      <c r="D3" s="147"/>
      <c r="E3" s="147"/>
    </row>
    <row r="4" spans="1:9" ht="21">
      <c r="A4" s="146" t="s">
        <v>1208</v>
      </c>
      <c r="B4" s="147"/>
      <c r="C4" s="147"/>
      <c r="D4" s="147"/>
      <c r="E4" s="147"/>
    </row>
    <row r="5" spans="1:9" ht="6" customHeight="1"/>
    <row r="6" spans="1:9" s="151" customFormat="1" ht="18" customHeight="1">
      <c r="A6" s="148"/>
      <c r="B6" s="149" t="s">
        <v>734</v>
      </c>
      <c r="C6" s="150"/>
      <c r="D6" s="148"/>
      <c r="E6" s="148"/>
    </row>
    <row r="7" spans="1:9" s="155" customFormat="1" ht="18" customHeight="1">
      <c r="A7" s="152"/>
      <c r="B7" s="153" t="s">
        <v>1209</v>
      </c>
      <c r="C7" s="154">
        <v>45968</v>
      </c>
      <c r="D7" s="152"/>
      <c r="E7" s="152"/>
      <c r="I7" s="155" t="s">
        <v>1210</v>
      </c>
    </row>
    <row r="8" spans="1:9" ht="6" customHeight="1"/>
    <row r="9" spans="1:9" s="157" customFormat="1" ht="18" customHeight="1">
      <c r="A9" s="148"/>
      <c r="B9" s="156" t="s">
        <v>1211</v>
      </c>
      <c r="C9" s="148"/>
      <c r="D9" s="148"/>
      <c r="E9" s="148"/>
    </row>
    <row r="10" spans="1:9" s="155" customFormat="1" ht="18" customHeight="1">
      <c r="A10" s="152"/>
      <c r="B10" s="158" t="s">
        <v>1724</v>
      </c>
      <c r="C10" s="152"/>
      <c r="D10" s="152"/>
      <c r="E10" s="152"/>
    </row>
    <row r="11" spans="1:9" s="155" customFormat="1" ht="18" customHeight="1">
      <c r="A11" s="152"/>
      <c r="B11" s="159" t="s">
        <v>1725</v>
      </c>
      <c r="C11" s="160"/>
      <c r="D11" s="160"/>
      <c r="E11" s="160"/>
    </row>
    <row r="12" spans="1:9" s="155" customFormat="1" ht="18" customHeight="1">
      <c r="A12" s="152"/>
      <c r="B12" s="158" t="s">
        <v>1336</v>
      </c>
      <c r="C12" s="152"/>
      <c r="D12" s="152"/>
      <c r="E12" s="152"/>
    </row>
    <row r="13" spans="1:9" s="155" customFormat="1" ht="18" customHeight="1">
      <c r="A13" s="152"/>
      <c r="B13" s="1265" t="s">
        <v>1726</v>
      </c>
      <c r="C13" s="152"/>
      <c r="D13" s="152"/>
      <c r="E13" s="152"/>
    </row>
    <row r="14" spans="1:9" s="155" customFormat="1" ht="18" customHeight="1">
      <c r="A14" s="152"/>
      <c r="B14" s="159" t="s">
        <v>1727</v>
      </c>
      <c r="C14" s="152"/>
      <c r="D14" s="152"/>
      <c r="E14" s="152"/>
    </row>
    <row r="15" spans="1:9" s="155" customFormat="1" ht="18" customHeight="1">
      <c r="A15" s="152"/>
      <c r="B15" s="161"/>
      <c r="C15" s="152"/>
      <c r="D15" s="152"/>
      <c r="E15" s="152"/>
    </row>
    <row r="16" spans="1:9" s="155" customFormat="1" ht="18" customHeight="1">
      <c r="A16" s="152"/>
      <c r="B16" s="161"/>
      <c r="C16" s="160"/>
      <c r="D16" s="160"/>
      <c r="E16" s="160"/>
    </row>
    <row r="17" spans="1:5" s="155" customFormat="1" ht="18" customHeight="1">
      <c r="A17" s="145"/>
      <c r="B17" s="145"/>
      <c r="C17" s="145"/>
      <c r="D17" s="145"/>
      <c r="E17" s="145"/>
    </row>
    <row r="18" spans="1:5" hidden="1"/>
    <row r="19" spans="1:5" hidden="1"/>
    <row r="20" spans="1:5" hidden="1"/>
    <row r="21" spans="1:5" hidden="1"/>
    <row r="22" spans="1:5" hidden="1"/>
    <row r="23" spans="1:5" hidden="1"/>
    <row r="24" spans="1:5" hidden="1"/>
    <row r="25" spans="1:5" hidden="1"/>
    <row r="26" spans="1:5" hidden="1"/>
    <row r="27" spans="1:5" hidden="1"/>
  </sheetData>
  <protectedRanges>
    <protectedRange password="EFD2" sqref="C10:E10 C7:E8 C12:E15" name="Cover_2_1"/>
    <protectedRange password="EFD2" sqref="C11:E11" name="Cover_1_1_1"/>
    <protectedRange password="EFD2" sqref="B10" name="Cover_2_1_1_1_1"/>
    <protectedRange password="EFD2" sqref="B12" name="Cover_2_1_1_1_1_1_1"/>
  </protectedRanges>
  <pageMargins left="0.7" right="0.7" top="0.75" bottom="0.75" header="0.3" footer="0.3"/>
  <pageSetup paperSize="9" orientation="portrait" r:id="rId1"/>
  <customProperties>
    <customPr name="Qube.Worksheet.Visibility" r:id="rId2"/>
    <customPr name="QXL_SHEET_ID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3339-EC58-4CA5-842D-836DC86427BE}">
  <sheetPr>
    <tabColor rgb="FF002060"/>
    <pageSetUpPr fitToPage="1"/>
  </sheetPr>
  <dimension ref="A1:Q46"/>
  <sheetViews>
    <sheetView showGridLines="0" zoomScale="115" zoomScaleNormal="115" workbookViewId="0"/>
  </sheetViews>
  <sheetFormatPr defaultColWidth="9" defaultRowHeight="12.75"/>
  <cols>
    <col min="1" max="1" width="9" style="1199"/>
    <col min="2" max="2" width="25" style="1199" bestFit="1" customWidth="1"/>
    <col min="3" max="14" width="10.625" style="1199" customWidth="1"/>
    <col min="15" max="15" width="9" style="1199"/>
    <col min="16" max="17" width="12.625" style="1199" customWidth="1"/>
    <col min="18" max="18" width="9" style="1199"/>
    <col min="19" max="19" width="22.25" style="1199" bestFit="1" customWidth="1"/>
    <col min="20" max="16384" width="9" style="1199"/>
  </cols>
  <sheetData>
    <row r="1" spans="1:17">
      <c r="A1" s="1198"/>
    </row>
    <row r="3" spans="1:17">
      <c r="O3" s="1475"/>
      <c r="P3" s="1475"/>
      <c r="Q3" s="1475"/>
    </row>
    <row r="4" spans="1:17">
      <c r="B4" s="1200" t="s">
        <v>1531</v>
      </c>
      <c r="C4" s="1200">
        <v>2026</v>
      </c>
      <c r="D4" s="1200">
        <v>2027</v>
      </c>
      <c r="E4" s="1200">
        <v>2028</v>
      </c>
      <c r="F4" s="1200">
        <v>2029</v>
      </c>
      <c r="G4" s="1200">
        <v>2030</v>
      </c>
      <c r="H4" s="1200">
        <v>2031</v>
      </c>
      <c r="I4" s="1200">
        <v>2032</v>
      </c>
      <c r="J4" s="1200">
        <v>2033</v>
      </c>
      <c r="K4" s="1200">
        <v>2034</v>
      </c>
      <c r="L4" s="1200">
        <v>2035</v>
      </c>
      <c r="M4" s="1201"/>
      <c r="O4" s="1476"/>
      <c r="P4" s="1476"/>
      <c r="Q4" s="1475"/>
    </row>
    <row r="5" spans="1:17">
      <c r="B5" s="1199" t="s">
        <v>1421</v>
      </c>
      <c r="C5" s="1202">
        <f>'DCF Feed'!C4</f>
        <v>6143.363786419126</v>
      </c>
      <c r="D5" s="1202">
        <f>'DCF Feed'!D4</f>
        <v>6980.0221694088314</v>
      </c>
      <c r="E5" s="1202">
        <f>'DCF Feed'!E4</f>
        <v>7702.6228418575593</v>
      </c>
      <c r="F5" s="1202">
        <f>'DCF Feed'!F4</f>
        <v>8235.9280636556377</v>
      </c>
      <c r="G5" s="1202">
        <f>'DCF Feed'!G4</f>
        <v>8787.0464606278074</v>
      </c>
      <c r="H5" s="1202"/>
      <c r="I5" s="1202"/>
      <c r="J5" s="1202"/>
      <c r="K5" s="1202"/>
      <c r="L5" s="1202"/>
      <c r="M5" s="1203"/>
      <c r="O5" s="1477"/>
      <c r="P5" s="1477"/>
      <c r="Q5" s="1475"/>
    </row>
    <row r="6" spans="1:17">
      <c r="B6" s="1204" t="s">
        <v>1695</v>
      </c>
      <c r="C6" s="1205">
        <f>-'DCF Feed'!C10</f>
        <v>0.25</v>
      </c>
      <c r="D6" s="1205">
        <f>-'DCF Feed'!D10</f>
        <v>0.25</v>
      </c>
      <c r="E6" s="1205">
        <f>-'DCF Feed'!E10</f>
        <v>0.25</v>
      </c>
      <c r="F6" s="1205">
        <f>-'DCF Feed'!F10</f>
        <v>0.25</v>
      </c>
      <c r="G6" s="1205">
        <f>-'DCF Feed'!G10</f>
        <v>0.25</v>
      </c>
      <c r="H6" s="1205"/>
      <c r="I6" s="1205"/>
      <c r="J6" s="1205"/>
      <c r="K6" s="1205"/>
      <c r="L6" s="1205"/>
      <c r="O6" s="1476"/>
      <c r="P6" s="1476"/>
      <c r="Q6" s="1475"/>
    </row>
    <row r="7" spans="1:17">
      <c r="B7" s="1199" t="s">
        <v>1625</v>
      </c>
      <c r="C7" s="1202">
        <f>C5*(1-C6)</f>
        <v>4607.5228398143445</v>
      </c>
      <c r="D7" s="1202">
        <f t="shared" ref="D7:G7" si="0">D5*(1-D6)</f>
        <v>5235.0166270566233</v>
      </c>
      <c r="E7" s="1202">
        <f t="shared" si="0"/>
        <v>5776.9671313931694</v>
      </c>
      <c r="F7" s="1202">
        <f t="shared" si="0"/>
        <v>6176.9460477417288</v>
      </c>
      <c r="G7" s="1202">
        <f t="shared" si="0"/>
        <v>6590.2848454708555</v>
      </c>
      <c r="H7" s="1202"/>
      <c r="I7" s="1202"/>
      <c r="J7" s="1202"/>
      <c r="K7" s="1202"/>
      <c r="L7" s="1202"/>
      <c r="O7" s="1478"/>
      <c r="P7" s="1478"/>
      <c r="Q7" s="1475"/>
    </row>
    <row r="8" spans="1:17">
      <c r="B8" s="1199" t="s">
        <v>973</v>
      </c>
      <c r="C8" s="1203">
        <f>INDEX('Income Statement'!192:192, MATCH('DCF Valuation'!C4,'Income Statement'!3:3,0))</f>
        <v>1878.8709620865352</v>
      </c>
      <c r="D8" s="1203">
        <f>INDEX('Income Statement'!192:192, MATCH('DCF Valuation'!D4,'Income Statement'!3:3,0))</f>
        <v>1989.0011414826163</v>
      </c>
      <c r="E8" s="1203">
        <f>INDEX('Income Statement'!192:192, MATCH('DCF Valuation'!E4,'Income Statement'!3:3,0))</f>
        <v>2143.6064003484435</v>
      </c>
      <c r="F8" s="1203">
        <f>INDEX('Income Statement'!192:192, MATCH('DCF Valuation'!F4,'Income Statement'!3:3,0))</f>
        <v>2262.1660050140031</v>
      </c>
      <c r="G8" s="1203">
        <f>INDEX('Income Statement'!192:192, MATCH('DCF Valuation'!G4,'Income Statement'!3:3,0))</f>
        <v>2371.9983741584856</v>
      </c>
      <c r="H8" s="1202"/>
      <c r="I8" s="1202"/>
      <c r="J8" s="1202"/>
      <c r="K8" s="1202"/>
      <c r="L8" s="1202"/>
      <c r="O8" s="1479"/>
      <c r="P8" s="1476"/>
      <c r="Q8" s="1475"/>
    </row>
    <row r="9" spans="1:17">
      <c r="B9" s="1199" t="s">
        <v>1696</v>
      </c>
      <c r="C9" s="1203">
        <f>INDEX('Cashflow Statement'!22:22, MATCH('DCF Valuation'!C4,'Cashflow Statement'!2:2,0))</f>
        <v>254.32099211830064</v>
      </c>
      <c r="D9" s="1203">
        <f>INDEX('Cashflow Statement'!22:22, MATCH('DCF Valuation'!D4,'Cashflow Statement'!2:2,0))</f>
        <v>-104.50791004743405</v>
      </c>
      <c r="E9" s="1203">
        <f>INDEX('Cashflow Statement'!22:22, MATCH('DCF Valuation'!E4,'Cashflow Statement'!2:2,0))</f>
        <v>-454.17325615563095</v>
      </c>
      <c r="F9" s="1203">
        <f>INDEX('Cashflow Statement'!22:22, MATCH('DCF Valuation'!F4,'Cashflow Statement'!2:2,0))</f>
        <v>-643.49967763408313</v>
      </c>
      <c r="G9" s="1203">
        <f>INDEX('Cashflow Statement'!22:22, MATCH('DCF Valuation'!G4,'Cashflow Statement'!2:2,0))</f>
        <v>-903.40250488856145</v>
      </c>
      <c r="H9" s="1203"/>
      <c r="I9" s="1203"/>
      <c r="J9" s="1203"/>
      <c r="K9" s="1203"/>
      <c r="L9" s="1203"/>
      <c r="O9" s="1475"/>
      <c r="P9" s="1475"/>
      <c r="Q9" s="1475"/>
    </row>
    <row r="10" spans="1:17">
      <c r="B10" s="1199" t="s">
        <v>1697</v>
      </c>
      <c r="C10" s="1203">
        <f>(INDEX('Cashflow Statement'!69:69, MATCH('DCF Valuation'!C4,'Cashflow Statement'!2:2,0)))+INDEX('Cashflow Statement'!70:70, MATCH('DCF Valuation'!C4,'Cashflow Statement'!2:2,0))</f>
        <v>-2154.417929989625</v>
      </c>
      <c r="D10" s="1203">
        <f>(INDEX('Cashflow Statement'!69:69, MATCH('DCF Valuation'!D4,'Cashflow Statement'!2:2,0)))+INDEX('Cashflow Statement'!70:70, MATCH('DCF Valuation'!D4,'Cashflow Statement'!2:2,0))</f>
        <v>-2119.3017315579068</v>
      </c>
      <c r="E10" s="1203">
        <f>(INDEX('Cashflow Statement'!69:69, MATCH('DCF Valuation'!E4,'Cashflow Statement'!2:2,0)))+INDEX('Cashflow Statement'!70:70, MATCH('DCF Valuation'!E4,'Cashflow Statement'!2:2,0))</f>
        <v>-2029.8732489266761</v>
      </c>
      <c r="F10" s="1203">
        <f>(INDEX('Cashflow Statement'!69:69, MATCH('DCF Valuation'!F4,'Cashflow Statement'!2:2,0)))+INDEX('Cashflow Statement'!70:70, MATCH('DCF Valuation'!F4,'Cashflow Statement'!2:2,0))</f>
        <v>-1888.6195291825081</v>
      </c>
      <c r="G10" s="1203">
        <f>(INDEX('Cashflow Statement'!69:69, MATCH('DCF Valuation'!G4,'Cashflow Statement'!2:2,0)))+INDEX('Cashflow Statement'!70:70, MATCH('DCF Valuation'!G4,'Cashflow Statement'!2:2,0))</f>
        <v>-1719.6766652697722</v>
      </c>
      <c r="H10" s="1203"/>
      <c r="I10" s="1203"/>
      <c r="J10" s="1203"/>
      <c r="K10" s="1203"/>
      <c r="L10" s="1203"/>
      <c r="O10" s="1475"/>
      <c r="P10" s="1475"/>
      <c r="Q10" s="1475"/>
    </row>
    <row r="11" spans="1:17">
      <c r="B11" s="1206" t="s">
        <v>1720</v>
      </c>
      <c r="C11" s="1207">
        <f>C7+C8+C9+C10</f>
        <v>4586.2968640295558</v>
      </c>
      <c r="D11" s="1207">
        <f>D7+D8+D9+D10</f>
        <v>5000.2081269338978</v>
      </c>
      <c r="E11" s="1207">
        <f>E7+E8+E9+E10</f>
        <v>5436.5270266593061</v>
      </c>
      <c r="F11" s="1207">
        <f t="shared" ref="F11:G11" si="1">F7+F8+F9+F10</f>
        <v>5906.9928459391413</v>
      </c>
      <c r="G11" s="1207">
        <f t="shared" si="1"/>
        <v>6339.2040494710081</v>
      </c>
      <c r="H11" s="1207">
        <f>G11*(1+H12)</f>
        <v>6763.4005634305104</v>
      </c>
      <c r="I11" s="1207">
        <f>H11*(1+I12)</f>
        <v>7153.5627207986436</v>
      </c>
      <c r="J11" s="1207">
        <f>I11*(1+J12)</f>
        <v>7500.2113810476476</v>
      </c>
      <c r="K11" s="1207">
        <f>J11*(1+K12)</f>
        <v>7794.4378642091524</v>
      </c>
      <c r="L11" s="1207">
        <f>K11*(1+L12)</f>
        <v>8028.2710001354271</v>
      </c>
      <c r="O11" s="1475"/>
      <c r="P11" s="1475"/>
      <c r="Q11" s="1475"/>
    </row>
    <row r="12" spans="1:17">
      <c r="B12" s="1199" t="s">
        <v>1534</v>
      </c>
      <c r="C12" s="1208"/>
      <c r="D12" s="1208">
        <f>'DCF Feed'!D5</f>
        <v>0.13618896944362469</v>
      </c>
      <c r="E12" s="1208">
        <f>'DCF Feed'!E5</f>
        <v>0.10352412283382884</v>
      </c>
      <c r="F12" s="1208">
        <f>'DCF Feed'!F5</f>
        <v>6.9236834354655663E-2</v>
      </c>
      <c r="G12" s="1209">
        <f>'DCF Feed'!G5</f>
        <v>6.6916368466621634E-2</v>
      </c>
      <c r="H12" s="1209">
        <f>G12</f>
        <v>6.6916368466621634E-2</v>
      </c>
      <c r="I12" s="1209">
        <f>H12+(($L$12-$H$12)/4)</f>
        <v>5.7687276349966225E-2</v>
      </c>
      <c r="J12" s="1209">
        <f>I12+(($L$12-$H$12)/4)</f>
        <v>4.8458184233310816E-2</v>
      </c>
      <c r="K12" s="1209">
        <f>J12+(($L$12-$H$12)/4)</f>
        <v>3.9229092116655408E-2</v>
      </c>
      <c r="L12" s="1209">
        <f>$D$33</f>
        <v>0.03</v>
      </c>
      <c r="O12" s="1475"/>
      <c r="P12" s="1475"/>
      <c r="Q12" s="1475"/>
    </row>
    <row r="13" spans="1:17">
      <c r="B13" s="1199" t="s">
        <v>1199</v>
      </c>
      <c r="C13" s="1209"/>
      <c r="D13" s="1209">
        <f t="shared" ref="D13:L13" si="2">$D$32</f>
        <v>7.46E-2</v>
      </c>
      <c r="E13" s="1209">
        <f t="shared" si="2"/>
        <v>7.46E-2</v>
      </c>
      <c r="F13" s="1209">
        <f t="shared" si="2"/>
        <v>7.46E-2</v>
      </c>
      <c r="G13" s="1209">
        <f t="shared" si="2"/>
        <v>7.46E-2</v>
      </c>
      <c r="H13" s="1209">
        <f t="shared" si="2"/>
        <v>7.46E-2</v>
      </c>
      <c r="I13" s="1209">
        <f t="shared" si="2"/>
        <v>7.46E-2</v>
      </c>
      <c r="J13" s="1209">
        <f t="shared" si="2"/>
        <v>7.46E-2</v>
      </c>
      <c r="K13" s="1209">
        <f t="shared" si="2"/>
        <v>7.46E-2</v>
      </c>
      <c r="L13" s="1209">
        <f t="shared" si="2"/>
        <v>7.46E-2</v>
      </c>
      <c r="O13" s="1475"/>
      <c r="P13" s="1475"/>
      <c r="Q13" s="1475"/>
    </row>
    <row r="14" spans="1:17">
      <c r="B14" s="1199" t="s">
        <v>1698</v>
      </c>
      <c r="C14" s="1233"/>
      <c r="D14" s="1246">
        <v>1</v>
      </c>
      <c r="E14" s="1246">
        <f>D14+1</f>
        <v>2</v>
      </c>
      <c r="F14" s="1246">
        <f t="shared" ref="F14:L14" si="3">E14+1</f>
        <v>3</v>
      </c>
      <c r="G14" s="1246">
        <f t="shared" si="3"/>
        <v>4</v>
      </c>
      <c r="H14" s="1246">
        <f t="shared" si="3"/>
        <v>5</v>
      </c>
      <c r="I14" s="1246">
        <f t="shared" si="3"/>
        <v>6</v>
      </c>
      <c r="J14" s="1246">
        <f t="shared" si="3"/>
        <v>7</v>
      </c>
      <c r="K14" s="1246">
        <f t="shared" si="3"/>
        <v>8</v>
      </c>
      <c r="L14" s="1246">
        <f t="shared" si="3"/>
        <v>9</v>
      </c>
      <c r="O14" s="1475"/>
      <c r="P14" s="1475"/>
      <c r="Q14" s="1475"/>
    </row>
    <row r="15" spans="1:17">
      <c r="B15" s="1199" t="s">
        <v>1699</v>
      </c>
      <c r="C15" s="1202"/>
      <c r="D15" s="1202">
        <f t="shared" ref="D15:L15" si="4">D11/((1+D13)^D14)</f>
        <v>4653.0877786468436</v>
      </c>
      <c r="E15" s="1202">
        <f t="shared" si="4"/>
        <v>4707.9070403018623</v>
      </c>
      <c r="F15" s="1202">
        <f t="shared" si="4"/>
        <v>4760.2080690383846</v>
      </c>
      <c r="G15" s="1202">
        <f t="shared" si="4"/>
        <v>4753.8709312795518</v>
      </c>
      <c r="H15" s="1202">
        <f t="shared" si="4"/>
        <v>4719.8796856130803</v>
      </c>
      <c r="I15" s="1202">
        <f t="shared" si="4"/>
        <v>4645.5952813843605</v>
      </c>
      <c r="J15" s="1202">
        <f t="shared" si="4"/>
        <v>4532.5817917393288</v>
      </c>
      <c r="K15" s="1202">
        <f t="shared" si="4"/>
        <v>4383.3899687081203</v>
      </c>
      <c r="L15" s="1202">
        <f t="shared" si="4"/>
        <v>4201.4625607382877</v>
      </c>
      <c r="M15" s="1202">
        <f>SUM(C15:L15)</f>
        <v>41357.983107449822</v>
      </c>
    </row>
    <row r="16" spans="1:17">
      <c r="E16" s="1210"/>
      <c r="F16" s="1210"/>
      <c r="G16" s="1210"/>
    </row>
    <row r="18" spans="2:4">
      <c r="B18" s="1211" t="s">
        <v>1700</v>
      </c>
      <c r="C18" s="1212"/>
      <c r="D18" s="1213"/>
    </row>
    <row r="19" spans="2:4">
      <c r="B19" s="1214" t="s">
        <v>1701</v>
      </c>
      <c r="C19" s="1215" t="s">
        <v>1702</v>
      </c>
      <c r="D19" s="1216">
        <v>3.5000000000000003E-2</v>
      </c>
    </row>
    <row r="20" spans="2:4">
      <c r="B20" s="1214" t="s">
        <v>1703</v>
      </c>
      <c r="C20" s="1215" t="s">
        <v>1702</v>
      </c>
      <c r="D20" s="1216">
        <v>4.4999999999999998E-2</v>
      </c>
    </row>
    <row r="21" spans="2:4">
      <c r="B21" s="1214"/>
      <c r="C21" s="1215"/>
      <c r="D21" s="1216"/>
    </row>
    <row r="22" spans="2:4">
      <c r="B22" s="1214" t="s">
        <v>569</v>
      </c>
      <c r="C22" s="1215" t="s">
        <v>979</v>
      </c>
      <c r="D22" s="1217">
        <v>0.88</v>
      </c>
    </row>
    <row r="23" spans="2:4">
      <c r="B23" s="1218" t="s">
        <v>1704</v>
      </c>
      <c r="C23" s="1219" t="s">
        <v>1702</v>
      </c>
      <c r="D23" s="1220">
        <f>D19+D22*(D20)</f>
        <v>7.46E-2</v>
      </c>
    </row>
    <row r="24" spans="2:4">
      <c r="B24" s="1214"/>
      <c r="C24" s="1215"/>
      <c r="D24" s="1221"/>
    </row>
    <row r="25" spans="2:4">
      <c r="B25" s="1214" t="s">
        <v>1705</v>
      </c>
      <c r="C25" s="1215" t="s">
        <v>1702</v>
      </c>
      <c r="D25" s="1216">
        <v>0.04</v>
      </c>
    </row>
    <row r="26" spans="2:4">
      <c r="B26" s="1214" t="s">
        <v>1706</v>
      </c>
      <c r="C26" s="1215" t="s">
        <v>1702</v>
      </c>
      <c r="D26" s="1222">
        <f>C6</f>
        <v>0.25</v>
      </c>
    </row>
    <row r="27" spans="2:4">
      <c r="B27" s="1218" t="s">
        <v>1707</v>
      </c>
      <c r="C27" s="1219" t="s">
        <v>1702</v>
      </c>
      <c r="D27" s="1220">
        <f>D25*(1-D26)</f>
        <v>0.03</v>
      </c>
    </row>
    <row r="28" spans="2:4">
      <c r="B28" s="1214"/>
      <c r="C28" s="1215"/>
      <c r="D28" s="1221"/>
    </row>
    <row r="29" spans="2:4">
      <c r="B29" s="1214" t="s">
        <v>1708</v>
      </c>
      <c r="C29" s="1215" t="s">
        <v>1702</v>
      </c>
      <c r="D29" s="1223">
        <v>1</v>
      </c>
    </row>
    <row r="30" spans="2:4">
      <c r="B30" s="1214" t="s">
        <v>1709</v>
      </c>
      <c r="C30" s="1215" t="s">
        <v>1702</v>
      </c>
      <c r="D30" s="1216">
        <v>0</v>
      </c>
    </row>
    <row r="31" spans="2:4">
      <c r="B31" s="1214"/>
      <c r="C31" s="1215"/>
      <c r="D31" s="1221"/>
    </row>
    <row r="32" spans="2:4">
      <c r="B32" s="1218" t="s">
        <v>1199</v>
      </c>
      <c r="C32" s="1219" t="s">
        <v>1702</v>
      </c>
      <c r="D32" s="1220">
        <f>(D23*D29)+(D30*D27)</f>
        <v>7.46E-2</v>
      </c>
    </row>
    <row r="33" spans="2:4">
      <c r="B33" s="1224" t="s">
        <v>1710</v>
      </c>
      <c r="C33" s="1225" t="s">
        <v>1702</v>
      </c>
      <c r="D33" s="1226">
        <v>0.03</v>
      </c>
    </row>
    <row r="35" spans="2:4" ht="14.25">
      <c r="B35" s="1227" t="s">
        <v>1700</v>
      </c>
      <c r="C35" s="1228"/>
      <c r="D35" s="1229"/>
    </row>
    <row r="36" spans="2:4">
      <c r="B36" s="1230" t="s">
        <v>1711</v>
      </c>
      <c r="C36" s="1236" t="s">
        <v>1712</v>
      </c>
      <c r="D36" s="1234">
        <f>M15</f>
        <v>41357.983107449822</v>
      </c>
    </row>
    <row r="37" spans="2:4">
      <c r="B37" s="1230" t="s">
        <v>1713</v>
      </c>
      <c r="C37" s="1236" t="s">
        <v>1712</v>
      </c>
      <c r="D37" s="1234">
        <f>L11/(D32-D33)</f>
        <v>180006.07623622034</v>
      </c>
    </row>
    <row r="38" spans="2:4">
      <c r="B38" s="1230" t="s">
        <v>1714</v>
      </c>
      <c r="C38" s="1236" t="s">
        <v>1712</v>
      </c>
      <c r="D38" s="1234">
        <f>D37/(1+L13)^L14</f>
        <v>94203.196429109594</v>
      </c>
    </row>
    <row r="39" spans="2:4">
      <c r="B39" s="1231" t="s">
        <v>1715</v>
      </c>
      <c r="C39" s="1145" t="s">
        <v>1712</v>
      </c>
      <c r="D39" s="1251">
        <f>D36+D38</f>
        <v>135561.17953655942</v>
      </c>
    </row>
    <row r="40" spans="2:4">
      <c r="B40" s="1230" t="s">
        <v>1723</v>
      </c>
      <c r="C40" s="1236" t="s">
        <v>1712</v>
      </c>
      <c r="D40" s="1234">
        <f>'DCF Feed'!C8</f>
        <v>3593.394366591212</v>
      </c>
    </row>
    <row r="41" spans="2:4">
      <c r="B41" s="1230" t="s">
        <v>1523</v>
      </c>
      <c r="C41" s="1236" t="s">
        <v>1712</v>
      </c>
      <c r="D41" s="1234">
        <f>'DCF Feed'!C9</f>
        <v>-23</v>
      </c>
    </row>
    <row r="42" spans="2:4">
      <c r="B42" s="1230" t="s">
        <v>1540</v>
      </c>
      <c r="C42" s="1236" t="s">
        <v>1712</v>
      </c>
      <c r="D42" s="1234">
        <f>-D41*(D26)</f>
        <v>5.75</v>
      </c>
    </row>
    <row r="43" spans="2:4">
      <c r="B43" s="1231" t="s">
        <v>1716</v>
      </c>
      <c r="C43" s="1145" t="s">
        <v>1712</v>
      </c>
      <c r="D43" s="1248">
        <f>SUM(D39:D42)</f>
        <v>139137.32390315062</v>
      </c>
    </row>
    <row r="44" spans="2:4">
      <c r="B44" s="1230" t="s">
        <v>1117</v>
      </c>
      <c r="C44" s="1236" t="s">
        <v>1717</v>
      </c>
      <c r="D44" s="1235">
        <f>'DCF Feed'!C12</f>
        <v>411.74891437832019</v>
      </c>
    </row>
    <row r="45" spans="2:4">
      <c r="B45" s="1232" t="s">
        <v>1718</v>
      </c>
      <c r="C45" s="1249" t="s">
        <v>1721</v>
      </c>
      <c r="D45" s="1250">
        <f>ROUND(D43/D44,-1)</f>
        <v>340</v>
      </c>
    </row>
    <row r="46" spans="2:4">
      <c r="D46" s="1247"/>
    </row>
  </sheetData>
  <printOptions horizontalCentered="1" verticalCentered="1"/>
  <pageMargins left="0.7" right="0.7" top="0.75" bottom="0.75" header="0.3" footer="0.3"/>
  <pageSetup paperSize="0" scale="20" orientation="portrait" r:id="rId1"/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7"/>
  <dimension ref="A1"/>
  <sheetViews>
    <sheetView workbookViewId="0"/>
  </sheetViews>
  <sheetFormatPr defaultRowHeight="14.25"/>
  <sheetData/>
  <pageMargins left="0.7" right="0.7" top="0.75" bottom="0.75" header="0.3" footer="0.3"/>
  <pageSetup paperSize="0" orientation="portrait" r:id="rId1"/>
  <customProperties>
    <customPr name="Qube.Worksheet.Visibility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8"/>
  <dimension ref="F1:AJ1"/>
  <sheetViews>
    <sheetView workbookViewId="0"/>
  </sheetViews>
  <sheetFormatPr defaultRowHeight="14.25"/>
  <cols>
    <col min="6" max="36" width="8.875" style="4" customWidth="1"/>
  </cols>
  <sheetData/>
  <pageMargins left="0.7" right="0.7" top="0.75" bottom="0.75" header="0.3" footer="0.3"/>
  <pageSetup paperSize="0" orientation="portrait" r:id="rId1"/>
  <customProperties>
    <customPr name="Qube.Worksheet.Visibility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2:S7"/>
  <sheetViews>
    <sheetView workbookViewId="0"/>
  </sheetViews>
  <sheetFormatPr defaultColWidth="9" defaultRowHeight="14.25"/>
  <cols>
    <col min="1" max="1" width="22.875" style="37" customWidth="1"/>
    <col min="2" max="2" width="14" style="37" customWidth="1"/>
    <col min="3" max="3" width="23.375" style="37" customWidth="1"/>
    <col min="4" max="4" width="9.25" style="37" customWidth="1"/>
    <col min="5" max="5" width="55.5" style="37" customWidth="1"/>
    <col min="6" max="6" width="35.75" style="37" customWidth="1"/>
    <col min="7" max="7" width="26.125" style="37" customWidth="1"/>
    <col min="8" max="8" width="22.875" style="37" customWidth="1"/>
    <col min="9" max="16384" width="9" style="37"/>
  </cols>
  <sheetData>
    <row r="2" spans="1:19" ht="25.5">
      <c r="B2" s="1408" t="s">
        <v>909</v>
      </c>
      <c r="C2" s="1408"/>
      <c r="D2" s="1408"/>
      <c r="E2" s="1408"/>
      <c r="F2" s="42" t="str">
        <f>HYPERLINK("[cleanSafran model WIP.xlsx]SAF.PA_Exchange_Sheet!$A$1","SAF.PA_Exchange_Sheet")</f>
        <v>SAF.PA_Exchange_Sheet</v>
      </c>
    </row>
    <row r="3" spans="1:19" ht="23.25">
      <c r="B3" s="38" t="s">
        <v>914</v>
      </c>
      <c r="C3" s="38"/>
      <c r="D3" s="38"/>
      <c r="E3" s="38"/>
      <c r="F3" s="43" t="str">
        <f>HYPERLINK("[cleanSafran model WIP.xlsx]QP_SAF.PA_migrated!$A$1","QP_SAF.PA_migrated")</f>
        <v>QP_SAF.PA_migrated</v>
      </c>
    </row>
    <row r="5" spans="1:19" ht="25.5">
      <c r="A5" s="39"/>
      <c r="B5" s="1409" t="s">
        <v>910</v>
      </c>
      <c r="C5" s="1410"/>
      <c r="D5" s="1410"/>
      <c r="E5" s="1410"/>
      <c r="F5" s="141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6" spans="1:19" ht="15">
      <c r="B6" s="40" t="s">
        <v>911</v>
      </c>
      <c r="C6" s="1411" t="s">
        <v>912</v>
      </c>
      <c r="D6" s="1412"/>
      <c r="E6" s="1413" t="s">
        <v>913</v>
      </c>
      <c r="F6" s="1412"/>
    </row>
    <row r="7" spans="1:19">
      <c r="C7" s="41"/>
      <c r="D7" s="41"/>
    </row>
  </sheetData>
  <mergeCells count="4">
    <mergeCell ref="B2:E2"/>
    <mergeCell ref="B5:F5"/>
    <mergeCell ref="C6:D6"/>
    <mergeCell ref="E6:F6"/>
  </mergeCells>
  <conditionalFormatting sqref="B2:E2">
    <cfRule type="containsText" dxfId="13" priority="1" operator="containsText" text="error">
      <formula>NOT(ISERROR(SEARCH("error",B2)))</formula>
    </cfRule>
  </conditionalFormatting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AO409"/>
  <sheetViews>
    <sheetView workbookViewId="0"/>
  </sheetViews>
  <sheetFormatPr defaultColWidth="9" defaultRowHeight="14.25"/>
  <cols>
    <col min="1" max="1" width="3.25" style="4" customWidth="1"/>
    <col min="2" max="2" width="22.5" style="4" customWidth="1"/>
    <col min="3" max="3" width="22.25" style="4" customWidth="1"/>
    <col min="4" max="4" width="9" style="4"/>
    <col min="5" max="5" width="14.25" style="4" customWidth="1"/>
    <col min="6" max="36" width="8.625" customWidth="1"/>
    <col min="37" max="16384" width="9" style="4"/>
  </cols>
  <sheetData>
    <row r="1" spans="1:40" s="35" customFormat="1" ht="11.25">
      <c r="A1" s="36" t="s">
        <v>741</v>
      </c>
      <c r="F1" s="35">
        <v>1998</v>
      </c>
      <c r="G1" s="35">
        <v>1999</v>
      </c>
      <c r="H1" s="35">
        <v>2000</v>
      </c>
      <c r="I1" s="35">
        <v>2001</v>
      </c>
      <c r="J1" s="35">
        <v>2002</v>
      </c>
      <c r="K1" s="35">
        <v>2003</v>
      </c>
      <c r="L1" s="35">
        <v>2004</v>
      </c>
      <c r="M1" s="35">
        <v>2005</v>
      </c>
      <c r="N1" s="35" t="s">
        <v>331</v>
      </c>
      <c r="O1" s="35" t="s">
        <v>330</v>
      </c>
      <c r="P1" s="35">
        <v>2006</v>
      </c>
      <c r="Q1" s="35" t="s">
        <v>329</v>
      </c>
      <c r="R1" s="35" t="s">
        <v>328</v>
      </c>
      <c r="S1" s="35">
        <v>2007</v>
      </c>
      <c r="T1" s="35" t="s">
        <v>327</v>
      </c>
      <c r="U1" s="35" t="s">
        <v>326</v>
      </c>
      <c r="V1" s="35">
        <v>2008</v>
      </c>
      <c r="W1" s="35" t="s">
        <v>325</v>
      </c>
      <c r="X1" s="35" t="s">
        <v>324</v>
      </c>
      <c r="Y1" s="35">
        <v>2009</v>
      </c>
      <c r="Z1" s="35" t="s">
        <v>323</v>
      </c>
      <c r="AA1" s="35" t="s">
        <v>322</v>
      </c>
      <c r="AB1" s="35">
        <v>2010</v>
      </c>
      <c r="AC1" s="35" t="s">
        <v>321</v>
      </c>
      <c r="AD1" s="35" t="s">
        <v>320</v>
      </c>
      <c r="AE1" s="35">
        <v>2011</v>
      </c>
      <c r="AF1" s="35">
        <v>2012</v>
      </c>
      <c r="AG1" s="35">
        <v>2013</v>
      </c>
      <c r="AH1" s="35">
        <v>2014</v>
      </c>
      <c r="AI1" s="35">
        <v>2015</v>
      </c>
      <c r="AJ1" s="35">
        <v>2016</v>
      </c>
      <c r="AK1" s="35">
        <v>2017</v>
      </c>
      <c r="AL1" s="35">
        <v>2018</v>
      </c>
      <c r="AM1" s="35">
        <v>2019</v>
      </c>
      <c r="AN1" s="35">
        <v>2020</v>
      </c>
    </row>
    <row r="2" spans="1:40" s="34" customFormat="1" ht="11.25">
      <c r="F2" s="34" t="s">
        <v>740</v>
      </c>
      <c r="G2" s="34" t="s">
        <v>740</v>
      </c>
      <c r="H2" s="34" t="s">
        <v>740</v>
      </c>
      <c r="I2" s="34" t="s">
        <v>740</v>
      </c>
      <c r="J2" s="34" t="s">
        <v>740</v>
      </c>
      <c r="K2" s="34" t="s">
        <v>740</v>
      </c>
      <c r="L2" s="34" t="s">
        <v>740</v>
      </c>
      <c r="M2" s="34" t="s">
        <v>740</v>
      </c>
      <c r="N2" s="34" t="s">
        <v>740</v>
      </c>
      <c r="O2" s="34" t="s">
        <v>740</v>
      </c>
      <c r="P2" s="34" t="s">
        <v>740</v>
      </c>
      <c r="Q2" s="34" t="s">
        <v>740</v>
      </c>
      <c r="R2" s="34" t="s">
        <v>740</v>
      </c>
      <c r="S2" s="34" t="s">
        <v>740</v>
      </c>
      <c r="T2" s="34" t="s">
        <v>740</v>
      </c>
      <c r="U2" s="34" t="s">
        <v>740</v>
      </c>
      <c r="V2" s="34" t="s">
        <v>740</v>
      </c>
      <c r="W2" s="34" t="s">
        <v>740</v>
      </c>
      <c r="X2" s="34" t="s">
        <v>740</v>
      </c>
      <c r="Y2" s="34" t="s">
        <v>740</v>
      </c>
      <c r="Z2" s="34" t="s">
        <v>740</v>
      </c>
      <c r="AA2" s="34" t="s">
        <v>740</v>
      </c>
      <c r="AB2" s="34" t="s">
        <v>740</v>
      </c>
      <c r="AC2" s="34" t="s">
        <v>740</v>
      </c>
      <c r="AD2" s="34" t="s">
        <v>740</v>
      </c>
      <c r="AE2" s="34" t="s">
        <v>740</v>
      </c>
      <c r="AF2" s="34" t="s">
        <v>740</v>
      </c>
      <c r="AG2" s="34" t="s">
        <v>739</v>
      </c>
      <c r="AH2" s="34" t="s">
        <v>739</v>
      </c>
      <c r="AI2" s="34" t="s">
        <v>739</v>
      </c>
      <c r="AJ2" s="34" t="s">
        <v>739</v>
      </c>
      <c r="AK2" s="34" t="s">
        <v>739</v>
      </c>
      <c r="AL2" s="34" t="s">
        <v>739</v>
      </c>
      <c r="AM2" s="34" t="s">
        <v>739</v>
      </c>
      <c r="AN2" s="34" t="s">
        <v>739</v>
      </c>
    </row>
    <row r="3" spans="1:40" s="33" customFormat="1" ht="11.25">
      <c r="F3" s="33">
        <v>36160</v>
      </c>
      <c r="G3" s="33">
        <v>36525</v>
      </c>
      <c r="H3" s="33">
        <v>36891</v>
      </c>
      <c r="I3" s="33">
        <v>37256</v>
      </c>
      <c r="J3" s="33">
        <v>37621</v>
      </c>
      <c r="K3" s="33">
        <v>37986</v>
      </c>
      <c r="L3" s="33">
        <v>38352</v>
      </c>
      <c r="M3" s="33">
        <v>38717</v>
      </c>
      <c r="N3" s="33">
        <v>38898</v>
      </c>
      <c r="O3" s="33">
        <v>39082</v>
      </c>
      <c r="P3" s="33">
        <v>39082</v>
      </c>
      <c r="Q3" s="33">
        <v>39263</v>
      </c>
      <c r="R3" s="33">
        <v>39447</v>
      </c>
      <c r="S3" s="33">
        <v>39447</v>
      </c>
      <c r="T3" s="33">
        <v>39629</v>
      </c>
      <c r="U3" s="33">
        <v>39813</v>
      </c>
      <c r="V3" s="33">
        <v>39813</v>
      </c>
      <c r="W3" s="33">
        <v>39994</v>
      </c>
      <c r="X3" s="33">
        <v>40178</v>
      </c>
      <c r="Y3" s="33">
        <v>40178</v>
      </c>
      <c r="Z3" s="33">
        <v>40359</v>
      </c>
      <c r="AA3" s="33">
        <v>40543</v>
      </c>
      <c r="AB3" s="33">
        <v>40543</v>
      </c>
      <c r="AC3" s="33">
        <v>40724</v>
      </c>
      <c r="AD3" s="33">
        <v>40908</v>
      </c>
      <c r="AE3" s="33">
        <v>40908</v>
      </c>
      <c r="AF3" s="33">
        <v>41274</v>
      </c>
      <c r="AG3" s="33">
        <v>41639</v>
      </c>
      <c r="AH3" s="33">
        <v>42004</v>
      </c>
      <c r="AI3" s="33">
        <v>42369</v>
      </c>
      <c r="AJ3" s="33">
        <v>42735</v>
      </c>
      <c r="AK3" s="33">
        <v>43100</v>
      </c>
      <c r="AL3" s="33">
        <v>43465</v>
      </c>
      <c r="AM3" s="33">
        <v>43830</v>
      </c>
      <c r="AN3" s="33">
        <v>44196</v>
      </c>
    </row>
    <row r="4" spans="1:40" ht="11.25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40" s="8" customFormat="1" ht="15.75">
      <c r="A5" s="8" t="s">
        <v>738</v>
      </c>
      <c r="D5" s="9" t="s">
        <v>737</v>
      </c>
    </row>
    <row r="6" spans="1:40" ht="11.25">
      <c r="B6" s="4" t="s">
        <v>736</v>
      </c>
      <c r="C6" s="4" t="s">
        <v>735</v>
      </c>
      <c r="E6" s="32" t="s">
        <v>734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40" ht="11.25">
      <c r="B7" s="4" t="s">
        <v>733</v>
      </c>
      <c r="C7" s="4" t="s">
        <v>733</v>
      </c>
      <c r="E7" s="32" t="s">
        <v>732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40" ht="11.25">
      <c r="B8" s="4" t="s">
        <v>731</v>
      </c>
      <c r="C8" s="4" t="s">
        <v>731</v>
      </c>
      <c r="E8" s="32" t="s">
        <v>730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40" ht="11.25">
      <c r="B9" s="4" t="s">
        <v>729</v>
      </c>
      <c r="C9" s="4" t="s">
        <v>729</v>
      </c>
      <c r="E9" s="32" t="s"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40" ht="11.25">
      <c r="B10" s="4" t="s">
        <v>728</v>
      </c>
      <c r="C10" s="4" t="s">
        <v>728</v>
      </c>
      <c r="E10" s="32" t="s"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40" ht="11.25">
      <c r="B11" s="4" t="s">
        <v>727</v>
      </c>
      <c r="C11" s="4" t="s">
        <v>726</v>
      </c>
      <c r="E11" s="32" t="s"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40" ht="11.25"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40" s="8" customFormat="1" ht="15.75">
      <c r="A13" s="8" t="s">
        <v>725</v>
      </c>
      <c r="D13" s="9" t="s">
        <v>724</v>
      </c>
    </row>
    <row r="14" spans="1:40">
      <c r="B14" s="4" t="s">
        <v>723</v>
      </c>
      <c r="C14" s="4" t="s">
        <v>317</v>
      </c>
    </row>
    <row r="15" spans="1:40">
      <c r="B15" s="4" t="s">
        <v>722</v>
      </c>
      <c r="C15" s="4" t="s">
        <v>316</v>
      </c>
    </row>
    <row r="16" spans="1:40">
      <c r="B16" s="4" t="s">
        <v>721</v>
      </c>
      <c r="C16" s="4" t="s">
        <v>315</v>
      </c>
    </row>
    <row r="17" spans="1:41">
      <c r="B17" s="4" t="s">
        <v>720</v>
      </c>
      <c r="C17" s="4" t="s">
        <v>313</v>
      </c>
      <c r="D17" s="4" t="s">
        <v>0</v>
      </c>
    </row>
    <row r="18" spans="1:41">
      <c r="B18" s="4" t="s">
        <v>719</v>
      </c>
      <c r="C18" s="4" t="s">
        <v>312</v>
      </c>
    </row>
    <row r="19" spans="1:41">
      <c r="B19" s="4" t="s">
        <v>718</v>
      </c>
      <c r="C19" s="4" t="s">
        <v>311</v>
      </c>
    </row>
    <row r="20" spans="1:41">
      <c r="B20" s="4" t="s">
        <v>717</v>
      </c>
      <c r="C20" s="4" t="s">
        <v>310</v>
      </c>
    </row>
    <row r="21" spans="1:41" ht="11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41" s="8" customFormat="1" ht="15.75">
      <c r="A22" s="8" t="s">
        <v>716</v>
      </c>
      <c r="D22" s="9" t="s">
        <v>715</v>
      </c>
    </row>
    <row r="23" spans="1:41">
      <c r="B23" s="4" t="s">
        <v>714</v>
      </c>
      <c r="C23" s="4" t="s">
        <v>309</v>
      </c>
      <c r="D23" s="4" t="s">
        <v>0</v>
      </c>
      <c r="AK23" s="28" t="e">
        <f>AK116/AK75</f>
        <v>#REF!</v>
      </c>
      <c r="AL23" s="28" t="e">
        <f>AL116/AL75</f>
        <v>#REF!</v>
      </c>
      <c r="AM23" s="28" t="e">
        <f>AM116/AM75</f>
        <v>#REF!</v>
      </c>
      <c r="AN23" s="28" t="e">
        <f>AN116/AN75</f>
        <v>#REF!</v>
      </c>
    </row>
    <row r="24" spans="1:41">
      <c r="B24" s="4" t="s">
        <v>713</v>
      </c>
      <c r="C24" s="4" t="s">
        <v>308</v>
      </c>
      <c r="D24" s="4" t="s">
        <v>0</v>
      </c>
      <c r="AK24" s="28" t="e">
        <f>#REF!</f>
        <v>#REF!</v>
      </c>
      <c r="AL24" s="28" t="e">
        <f>#REF!</f>
        <v>#REF!</v>
      </c>
      <c r="AM24" s="28" t="e">
        <f>#REF!</f>
        <v>#REF!</v>
      </c>
      <c r="AN24" s="28" t="e">
        <f>#REF!</f>
        <v>#REF!</v>
      </c>
    </row>
    <row r="25" spans="1:41">
      <c r="B25" s="4" t="s">
        <v>703</v>
      </c>
      <c r="C25" s="4" t="s">
        <v>307</v>
      </c>
      <c r="D25" s="4" t="s">
        <v>0</v>
      </c>
      <c r="AK25" s="29" t="e">
        <f>#REF!</f>
        <v>#REF!</v>
      </c>
      <c r="AL25" s="29" t="e">
        <f>#REF!</f>
        <v>#REF!</v>
      </c>
      <c r="AM25" s="29" t="e">
        <f>#REF!</f>
        <v>#REF!</v>
      </c>
      <c r="AN25" s="29" t="e">
        <f>#REF!</f>
        <v>#REF!</v>
      </c>
      <c r="AO25" s="31" t="s">
        <v>712</v>
      </c>
    </row>
    <row r="26" spans="1:41">
      <c r="B26" s="4" t="s">
        <v>700</v>
      </c>
      <c r="C26" s="4" t="s">
        <v>306</v>
      </c>
      <c r="D26" s="4" t="s">
        <v>0</v>
      </c>
      <c r="AK26" s="28" t="e">
        <f>#REF!</f>
        <v>#REF!</v>
      </c>
      <c r="AL26" s="28" t="e">
        <f>#REF!</f>
        <v>#REF!</v>
      </c>
      <c r="AM26" s="28" t="e">
        <f>#REF!</f>
        <v>#REF!</v>
      </c>
      <c r="AN26" s="28" t="e">
        <f>#REF!</f>
        <v>#REF!</v>
      </c>
    </row>
    <row r="27" spans="1:41">
      <c r="B27" s="4" t="s">
        <v>711</v>
      </c>
      <c r="C27" s="4" t="s">
        <v>305</v>
      </c>
      <c r="D27" s="4" t="s">
        <v>0</v>
      </c>
      <c r="AK27" s="25"/>
      <c r="AL27" s="25"/>
      <c r="AM27" s="25"/>
      <c r="AN27" s="25"/>
    </row>
    <row r="28" spans="1:41" s="10" customFormat="1" ht="11.25">
      <c r="B28" s="10" t="s">
        <v>710</v>
      </c>
      <c r="E28" s="14"/>
      <c r="P28" s="19"/>
      <c r="S28" s="19"/>
      <c r="V28" s="19"/>
      <c r="Y28" s="19"/>
      <c r="AB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 spans="1:41">
      <c r="B29" s="4" t="s">
        <v>709</v>
      </c>
      <c r="C29" s="4" t="s">
        <v>304</v>
      </c>
      <c r="D29" s="4" t="s">
        <v>0</v>
      </c>
      <c r="AK29" s="25" t="e">
        <f>#REF!</f>
        <v>#REF!</v>
      </c>
      <c r="AL29" s="25" t="e">
        <f>#REF!</f>
        <v>#REF!</v>
      </c>
      <c r="AM29" s="25" t="e">
        <f>#REF!</f>
        <v>#REF!</v>
      </c>
      <c r="AN29" s="25" t="e">
        <f>#REF!</f>
        <v>#REF!</v>
      </c>
    </row>
    <row r="30" spans="1:41">
      <c r="B30" s="4" t="s">
        <v>701</v>
      </c>
      <c r="C30" s="4" t="s">
        <v>303</v>
      </c>
      <c r="D30" s="4" t="s">
        <v>0</v>
      </c>
      <c r="AK30" s="25" t="e">
        <f>#REF!</f>
        <v>#REF!</v>
      </c>
      <c r="AL30" s="25" t="e">
        <f>#REF!</f>
        <v>#REF!</v>
      </c>
      <c r="AM30" s="25" t="e">
        <f>#REF!</f>
        <v>#REF!</v>
      </c>
      <c r="AN30" s="25" t="e">
        <f>#REF!</f>
        <v>#REF!</v>
      </c>
    </row>
    <row r="31" spans="1:41">
      <c r="B31" s="4" t="s">
        <v>708</v>
      </c>
      <c r="C31" s="4" t="s">
        <v>302</v>
      </c>
      <c r="D31" s="4" t="s">
        <v>0</v>
      </c>
      <c r="AK31" s="25" t="e">
        <f>#REF!</f>
        <v>#REF!</v>
      </c>
      <c r="AL31" s="25" t="e">
        <f>#REF!</f>
        <v>#REF!</v>
      </c>
      <c r="AM31" s="25" t="e">
        <f>#REF!</f>
        <v>#REF!</v>
      </c>
      <c r="AN31" s="25" t="e">
        <f>#REF!</f>
        <v>#REF!</v>
      </c>
    </row>
    <row r="32" spans="1:41">
      <c r="B32" s="4" t="s">
        <v>702</v>
      </c>
      <c r="C32" s="4" t="s">
        <v>301</v>
      </c>
      <c r="D32" s="4" t="s">
        <v>0</v>
      </c>
      <c r="AK32" s="25" t="e">
        <f>#REF!</f>
        <v>#REF!</v>
      </c>
      <c r="AL32" s="25" t="e">
        <f>#REF!</f>
        <v>#REF!</v>
      </c>
      <c r="AM32" s="25" t="e">
        <f>#REF!</f>
        <v>#REF!</v>
      </c>
      <c r="AN32" s="25" t="e">
        <f>#REF!</f>
        <v>#REF!</v>
      </c>
    </row>
    <row r="33" spans="1:40">
      <c r="B33" s="4" t="s">
        <v>707</v>
      </c>
      <c r="C33" s="4" t="s">
        <v>300</v>
      </c>
      <c r="D33" s="4" t="s">
        <v>0</v>
      </c>
      <c r="AK33" s="29" t="e">
        <f>#REF!</f>
        <v>#REF!</v>
      </c>
      <c r="AL33" s="29" t="e">
        <f>#REF!</f>
        <v>#REF!</v>
      </c>
      <c r="AM33" s="29" t="e">
        <f>#REF!</f>
        <v>#REF!</v>
      </c>
      <c r="AN33" s="29" t="e">
        <f>#REF!</f>
        <v>#REF!</v>
      </c>
    </row>
    <row r="34" spans="1:40">
      <c r="B34" s="4" t="s">
        <v>706</v>
      </c>
      <c r="C34" s="4" t="s">
        <v>299</v>
      </c>
      <c r="D34" s="4" t="s">
        <v>0</v>
      </c>
      <c r="AK34" s="25" t="e">
        <f>AK116</f>
        <v>#REF!</v>
      </c>
      <c r="AL34" s="25" t="e">
        <f>AL116</f>
        <v>#REF!</v>
      </c>
      <c r="AM34" s="25" t="e">
        <f>AM116</f>
        <v>#REF!</v>
      </c>
      <c r="AN34" s="25" t="e">
        <f>AN116</f>
        <v>#REF!</v>
      </c>
    </row>
    <row r="35" spans="1:40" ht="11.25">
      <c r="F35" s="4"/>
      <c r="G35" s="4"/>
      <c r="H35" s="4"/>
      <c r="I35" s="4"/>
      <c r="J35" s="4"/>
      <c r="K35" s="4"/>
      <c r="L35" s="4"/>
      <c r="M35" s="4"/>
      <c r="N35" s="4"/>
      <c r="O35" s="4"/>
      <c r="P35" s="30"/>
      <c r="Q35" s="4"/>
      <c r="R35" s="4"/>
      <c r="S35" s="30"/>
      <c r="T35" s="4"/>
      <c r="U35" s="4"/>
      <c r="V35" s="30"/>
      <c r="W35" s="4"/>
      <c r="X35" s="4"/>
      <c r="Y35" s="30"/>
      <c r="Z35" s="4"/>
      <c r="AA35" s="4"/>
      <c r="AB35" s="30"/>
      <c r="AC35" s="4"/>
      <c r="AD35" s="4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spans="1:40" s="21" customFormat="1" ht="15.75">
      <c r="A36" s="21" t="s">
        <v>705</v>
      </c>
      <c r="D36" s="23" t="s">
        <v>704</v>
      </c>
      <c r="P36" s="22"/>
      <c r="S36" s="22"/>
      <c r="V36" s="22"/>
      <c r="Y36" s="22"/>
      <c r="AB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</row>
    <row r="37" spans="1:40" s="10" customFormat="1" ht="11.25">
      <c r="B37" s="10" t="s">
        <v>703</v>
      </c>
      <c r="D37" s="10" t="s">
        <v>0</v>
      </c>
      <c r="F37" s="12"/>
      <c r="G37" s="12"/>
      <c r="H37" s="12"/>
      <c r="I37" s="12"/>
      <c r="J37" s="12"/>
      <c r="K37" s="12"/>
      <c r="L37" s="12"/>
      <c r="M37" s="12">
        <v>724</v>
      </c>
      <c r="N37" s="12"/>
      <c r="O37" s="12"/>
      <c r="P37" s="11"/>
      <c r="Q37" s="12"/>
      <c r="R37" s="12"/>
      <c r="S37" s="11"/>
      <c r="T37" s="12"/>
      <c r="U37" s="12"/>
      <c r="V37" s="11"/>
      <c r="W37" s="12"/>
      <c r="X37" s="12"/>
      <c r="Y37" s="11"/>
      <c r="Z37" s="12"/>
      <c r="AA37" s="12"/>
      <c r="AB37" s="11"/>
      <c r="AC37" s="12"/>
      <c r="AD37" s="12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s="10" customFormat="1" ht="11.25">
      <c r="B38" s="10" t="s">
        <v>702</v>
      </c>
      <c r="D38" s="10" t="s">
        <v>0</v>
      </c>
      <c r="F38" s="12"/>
      <c r="G38" s="12"/>
      <c r="H38" s="12"/>
      <c r="I38" s="12"/>
      <c r="J38" s="12"/>
      <c r="K38" s="12"/>
      <c r="L38" s="12"/>
      <c r="M38" s="12">
        <v>383</v>
      </c>
      <c r="N38" s="12"/>
      <c r="O38" s="12"/>
      <c r="P38" s="11"/>
      <c r="Q38" s="12"/>
      <c r="R38" s="12"/>
      <c r="S38" s="11"/>
      <c r="T38" s="12"/>
      <c r="U38" s="12"/>
      <c r="V38" s="11"/>
      <c r="W38" s="12"/>
      <c r="X38" s="12"/>
      <c r="Y38" s="11"/>
      <c r="Z38" s="12"/>
      <c r="AA38" s="12"/>
      <c r="AB38" s="11"/>
      <c r="AC38" s="12"/>
      <c r="AD38" s="12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s="10" customFormat="1" ht="11.25">
      <c r="B39" s="10" t="s">
        <v>701</v>
      </c>
      <c r="D39" s="10" t="s">
        <v>0</v>
      </c>
      <c r="F39" s="12"/>
      <c r="G39" s="12"/>
      <c r="H39" s="12"/>
      <c r="I39" s="12"/>
      <c r="J39" s="12"/>
      <c r="K39" s="12"/>
      <c r="L39" s="12"/>
      <c r="M39" s="12">
        <v>279.96755162241891</v>
      </c>
      <c r="N39" s="12"/>
      <c r="O39" s="12"/>
      <c r="P39" s="11"/>
      <c r="Q39" s="12"/>
      <c r="R39" s="12"/>
      <c r="S39" s="11"/>
      <c r="T39" s="12"/>
      <c r="U39" s="12"/>
      <c r="V39" s="11"/>
      <c r="W39" s="12"/>
      <c r="X39" s="12"/>
      <c r="Y39" s="11"/>
      <c r="Z39" s="12"/>
      <c r="AA39" s="12"/>
      <c r="AB39" s="11"/>
      <c r="AC39" s="12"/>
      <c r="AD39" s="12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s="10" customFormat="1" ht="11.25">
      <c r="B40" s="10" t="s">
        <v>700</v>
      </c>
      <c r="D40" s="10" t="s">
        <v>0</v>
      </c>
      <c r="F40" s="18"/>
      <c r="G40" s="18"/>
      <c r="H40" s="18"/>
      <c r="I40" s="18"/>
      <c r="J40" s="18"/>
      <c r="K40" s="18"/>
      <c r="L40" s="18"/>
      <c r="M40" s="18">
        <v>0.68399456559627525</v>
      </c>
      <c r="N40" s="18"/>
      <c r="O40" s="18"/>
      <c r="P40" s="17"/>
      <c r="Q40" s="18"/>
      <c r="R40" s="18"/>
      <c r="S40" s="17"/>
      <c r="T40" s="18"/>
      <c r="U40" s="18"/>
      <c r="V40" s="17"/>
      <c r="W40" s="18"/>
      <c r="X40" s="18"/>
      <c r="Y40" s="17"/>
      <c r="Z40" s="18"/>
      <c r="AA40" s="18"/>
      <c r="AB40" s="17"/>
      <c r="AC40" s="18"/>
      <c r="AD40" s="18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ht="11.25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40" s="8" customFormat="1" ht="15.75">
      <c r="A42" s="8" t="s">
        <v>699</v>
      </c>
      <c r="D42" s="9" t="s">
        <v>698</v>
      </c>
    </row>
    <row r="43" spans="1:40">
      <c r="B43" s="4" t="s">
        <v>697</v>
      </c>
      <c r="C43" s="4" t="s">
        <v>298</v>
      </c>
      <c r="D43" s="4" t="s">
        <v>0</v>
      </c>
      <c r="AK43" s="29" t="e">
        <f>#REF!</f>
        <v>#REF!</v>
      </c>
      <c r="AL43" s="29" t="e">
        <f>#REF!</f>
        <v>#REF!</v>
      </c>
      <c r="AM43" s="29" t="e">
        <f>#REF!</f>
        <v>#REF!</v>
      </c>
      <c r="AN43" s="29" t="e">
        <f>#REF!</f>
        <v>#REF!</v>
      </c>
    </row>
    <row r="44" spans="1:40">
      <c r="B44" s="4" t="s">
        <v>696</v>
      </c>
      <c r="C44" s="4" t="s">
        <v>297</v>
      </c>
      <c r="D44" s="4" t="s">
        <v>0</v>
      </c>
      <c r="AK44" s="25"/>
      <c r="AL44" s="25"/>
      <c r="AM44" s="25"/>
      <c r="AN44" s="25"/>
    </row>
    <row r="45" spans="1:40">
      <c r="B45" s="4" t="s">
        <v>695</v>
      </c>
      <c r="C45" s="4" t="s">
        <v>296</v>
      </c>
      <c r="D45" s="4" t="s">
        <v>0</v>
      </c>
      <c r="AK45" s="25"/>
      <c r="AL45" s="25"/>
      <c r="AM45" s="25"/>
      <c r="AN45" s="25"/>
    </row>
    <row r="46" spans="1:40">
      <c r="B46" s="4" t="s">
        <v>694</v>
      </c>
      <c r="C46" s="4" t="s">
        <v>295</v>
      </c>
      <c r="D46" s="4" t="s">
        <v>0</v>
      </c>
      <c r="AK46" s="25" t="e">
        <f>AK51-AK48-AK43</f>
        <v>#REF!</v>
      </c>
      <c r="AL46" s="25" t="e">
        <f>AL51-AL48-AL43</f>
        <v>#REF!</v>
      </c>
      <c r="AM46" s="25" t="e">
        <f>AM51-AM48-AM43</f>
        <v>#REF!</v>
      </c>
      <c r="AN46" s="25" t="e">
        <f>AN51-AN48-AN43</f>
        <v>#REF!</v>
      </c>
    </row>
    <row r="47" spans="1:40">
      <c r="B47" s="4" t="s">
        <v>693</v>
      </c>
      <c r="C47" s="4" t="s">
        <v>294</v>
      </c>
      <c r="D47" s="4" t="s">
        <v>0</v>
      </c>
      <c r="AK47" s="25" t="e">
        <f>-#REF!</f>
        <v>#REF!</v>
      </c>
      <c r="AL47" s="25" t="e">
        <f>-#REF!</f>
        <v>#REF!</v>
      </c>
      <c r="AM47" s="25" t="e">
        <f>-#REF!</f>
        <v>#REF!</v>
      </c>
      <c r="AN47" s="25" t="e">
        <f>-#REF!</f>
        <v>#REF!</v>
      </c>
    </row>
    <row r="48" spans="1:40" ht="10.5" customHeight="1">
      <c r="B48" s="4" t="s">
        <v>692</v>
      </c>
      <c r="C48" s="4" t="s">
        <v>293</v>
      </c>
      <c r="D48" s="4" t="s">
        <v>0</v>
      </c>
      <c r="AK48" s="25"/>
      <c r="AL48" s="25"/>
      <c r="AM48" s="25"/>
      <c r="AN48" s="25"/>
    </row>
    <row r="49" spans="2:41">
      <c r="B49" s="4" t="s">
        <v>691</v>
      </c>
      <c r="C49" s="4" t="s">
        <v>292</v>
      </c>
      <c r="D49" s="4" t="s">
        <v>0</v>
      </c>
      <c r="AK49" s="25" t="e">
        <f>AK46+AK48+AK52+AK53</f>
        <v>#REF!</v>
      </c>
      <c r="AL49" s="25" t="e">
        <f>AL46+AL48+AL52+AL53</f>
        <v>#REF!</v>
      </c>
      <c r="AM49" s="25" t="e">
        <f>AM46+AM48+AM52+AM53</f>
        <v>#REF!</v>
      </c>
      <c r="AN49" s="25" t="e">
        <f>AN46+AN48+AN52+AN53</f>
        <v>#REF!</v>
      </c>
    </row>
    <row r="50" spans="2:41">
      <c r="B50" s="4" t="s">
        <v>690</v>
      </c>
      <c r="C50" s="4" t="s">
        <v>291</v>
      </c>
      <c r="D50" s="4" t="s">
        <v>0</v>
      </c>
      <c r="AK50" s="25" t="e">
        <f>AK46+AK48</f>
        <v>#REF!</v>
      </c>
      <c r="AL50" s="25" t="e">
        <f>AL46+AL48</f>
        <v>#REF!</v>
      </c>
      <c r="AM50" s="25" t="e">
        <f>AM46+AM48</f>
        <v>#REF!</v>
      </c>
      <c r="AN50" s="25" t="e">
        <f>AN46+AN48</f>
        <v>#REF!</v>
      </c>
    </row>
    <row r="51" spans="2:41">
      <c r="B51" s="4" t="s">
        <v>689</v>
      </c>
      <c r="C51" s="4" t="s">
        <v>290</v>
      </c>
      <c r="D51" s="4" t="s">
        <v>0</v>
      </c>
      <c r="AK51" s="25" t="e">
        <f>AK25</f>
        <v>#REF!</v>
      </c>
      <c r="AL51" s="25" t="e">
        <f>AL25</f>
        <v>#REF!</v>
      </c>
      <c r="AM51" s="25" t="e">
        <f>AM25</f>
        <v>#REF!</v>
      </c>
      <c r="AN51" s="25" t="e">
        <f>AN25</f>
        <v>#REF!</v>
      </c>
    </row>
    <row r="52" spans="2:41">
      <c r="B52" s="4" t="s">
        <v>688</v>
      </c>
      <c r="C52" s="4" t="s">
        <v>289</v>
      </c>
      <c r="D52" s="4" t="s">
        <v>0</v>
      </c>
      <c r="AK52" s="25" t="e">
        <f>-#REF!</f>
        <v>#REF!</v>
      </c>
      <c r="AL52" s="25" t="e">
        <f>-#REF!</f>
        <v>#REF!</v>
      </c>
      <c r="AM52" s="25" t="e">
        <f>-#REF!</f>
        <v>#REF!</v>
      </c>
      <c r="AN52" s="25" t="e">
        <f>-#REF!</f>
        <v>#REF!</v>
      </c>
    </row>
    <row r="53" spans="2:41">
      <c r="B53" s="4" t="s">
        <v>687</v>
      </c>
      <c r="C53" s="4" t="s">
        <v>288</v>
      </c>
      <c r="D53" s="4" t="s">
        <v>0</v>
      </c>
      <c r="AK53" s="25" t="e">
        <f>-#REF!-#REF!</f>
        <v>#REF!</v>
      </c>
      <c r="AL53" s="25" t="e">
        <f>-#REF!-#REF!</f>
        <v>#REF!</v>
      </c>
      <c r="AM53" s="25" t="e">
        <f>-#REF!-#REF!</f>
        <v>#REF!</v>
      </c>
      <c r="AN53" s="25" t="e">
        <f>-#REF!-#REF!</f>
        <v>#REF!</v>
      </c>
      <c r="AO53" s="4" t="s">
        <v>686</v>
      </c>
    </row>
    <row r="54" spans="2:41">
      <c r="B54" s="4" t="s">
        <v>685</v>
      </c>
      <c r="C54" s="4" t="s">
        <v>287</v>
      </c>
      <c r="D54" s="4" t="s">
        <v>0</v>
      </c>
      <c r="AK54" s="25" t="e">
        <f>AK51+AK52+AK53</f>
        <v>#REF!</v>
      </c>
      <c r="AL54" s="25" t="e">
        <f>AL51+AL52+AL53</f>
        <v>#REF!</v>
      </c>
      <c r="AM54" s="25" t="e">
        <f>AM51+AM52+AM53</f>
        <v>#REF!</v>
      </c>
      <c r="AN54" s="25" t="e">
        <f>AN51+AN52+AN53</f>
        <v>#REF!</v>
      </c>
    </row>
    <row r="55" spans="2:41">
      <c r="B55" s="4" t="s">
        <v>684</v>
      </c>
      <c r="C55" s="4" t="s">
        <v>286</v>
      </c>
      <c r="D55" s="4" t="s">
        <v>0</v>
      </c>
      <c r="AK55" s="25"/>
      <c r="AL55" s="25"/>
      <c r="AM55" s="25"/>
      <c r="AN55" s="25"/>
    </row>
    <row r="56" spans="2:41">
      <c r="B56" s="4" t="s">
        <v>683</v>
      </c>
      <c r="C56" s="4" t="s">
        <v>285</v>
      </c>
      <c r="D56" s="4" t="s">
        <v>0</v>
      </c>
      <c r="AK56" s="25"/>
      <c r="AL56" s="25"/>
      <c r="AM56" s="25"/>
      <c r="AN56" s="25"/>
    </row>
    <row r="57" spans="2:41">
      <c r="B57" s="4" t="s">
        <v>682</v>
      </c>
      <c r="C57" s="4" t="s">
        <v>284</v>
      </c>
      <c r="D57" s="4" t="s">
        <v>0</v>
      </c>
      <c r="AK57" s="25" t="e">
        <f>#REF!</f>
        <v>#REF!</v>
      </c>
      <c r="AL57" s="25" t="e">
        <f>#REF!</f>
        <v>#REF!</v>
      </c>
      <c r="AM57" s="25" t="e">
        <f>#REF!</f>
        <v>#REF!</v>
      </c>
      <c r="AN57" s="25" t="e">
        <f>#REF!</f>
        <v>#REF!</v>
      </c>
    </row>
    <row r="58" spans="2:41">
      <c r="B58" s="4" t="s">
        <v>681</v>
      </c>
      <c r="C58" s="4" t="s">
        <v>283</v>
      </c>
      <c r="D58" s="4" t="s">
        <v>0</v>
      </c>
      <c r="AK58" s="25" t="e">
        <f>#REF!</f>
        <v>#REF!</v>
      </c>
      <c r="AL58" s="25" t="e">
        <f>#REF!</f>
        <v>#REF!</v>
      </c>
      <c r="AM58" s="25" t="e">
        <f>#REF!</f>
        <v>#REF!</v>
      </c>
      <c r="AN58" s="25" t="e">
        <f>#REF!</f>
        <v>#REF!</v>
      </c>
    </row>
    <row r="59" spans="2:41">
      <c r="B59" s="4" t="s">
        <v>680</v>
      </c>
      <c r="C59" s="4" t="s">
        <v>282</v>
      </c>
      <c r="D59" s="4" t="s">
        <v>0</v>
      </c>
      <c r="AK59" s="25"/>
      <c r="AL59" s="25"/>
      <c r="AM59" s="25"/>
      <c r="AN59" s="25"/>
    </row>
    <row r="60" spans="2:41">
      <c r="B60" s="4" t="s">
        <v>679</v>
      </c>
      <c r="C60" s="4" t="s">
        <v>281</v>
      </c>
      <c r="D60" s="4" t="s">
        <v>0</v>
      </c>
      <c r="AK60" s="25"/>
      <c r="AL60" s="25"/>
      <c r="AM60" s="25"/>
      <c r="AN60" s="25"/>
    </row>
    <row r="61" spans="2:41">
      <c r="B61" s="4" t="s">
        <v>678</v>
      </c>
      <c r="C61" s="4" t="s">
        <v>280</v>
      </c>
      <c r="D61" s="4" t="s">
        <v>0</v>
      </c>
      <c r="AK61" s="25" t="e">
        <f>AK54+AK57+AK58</f>
        <v>#REF!</v>
      </c>
      <c r="AL61" s="25" t="e">
        <f>AL54+AL57+AL58</f>
        <v>#REF!</v>
      </c>
      <c r="AM61" s="25" t="e">
        <f>AM54+AM57+AM58</f>
        <v>#REF!</v>
      </c>
      <c r="AN61" s="25" t="e">
        <f>AN54+AN57+AN58</f>
        <v>#REF!</v>
      </c>
    </row>
    <row r="62" spans="2:41">
      <c r="B62" s="4" t="s">
        <v>677</v>
      </c>
      <c r="C62" s="4" t="s">
        <v>279</v>
      </c>
      <c r="D62" s="4" t="s">
        <v>0</v>
      </c>
      <c r="AK62" s="25" t="e">
        <f>#REF!</f>
        <v>#REF!</v>
      </c>
      <c r="AL62" s="25" t="e">
        <f>#REF!</f>
        <v>#REF!</v>
      </c>
      <c r="AM62" s="25" t="e">
        <f>#REF!</f>
        <v>#REF!</v>
      </c>
      <c r="AN62" s="25" t="e">
        <f>#REF!</f>
        <v>#REF!</v>
      </c>
    </row>
    <row r="63" spans="2:41">
      <c r="B63" s="4" t="s">
        <v>608</v>
      </c>
      <c r="C63" s="4" t="s">
        <v>278</v>
      </c>
      <c r="D63" s="4" t="s">
        <v>0</v>
      </c>
      <c r="AK63" s="25" t="e">
        <f>#REF!</f>
        <v>#REF!</v>
      </c>
      <c r="AL63" s="25" t="e">
        <f>#REF!</f>
        <v>#REF!</v>
      </c>
      <c r="AM63" s="25" t="e">
        <f>#REF!</f>
        <v>#REF!</v>
      </c>
      <c r="AN63" s="25" t="e">
        <f>#REF!</f>
        <v>#REF!</v>
      </c>
    </row>
    <row r="64" spans="2:41">
      <c r="B64" s="4" t="s">
        <v>605</v>
      </c>
      <c r="C64" s="4" t="s">
        <v>277</v>
      </c>
      <c r="D64" s="4" t="s">
        <v>0</v>
      </c>
      <c r="AK64" s="25" t="e">
        <f>AK61+AK62+AK63</f>
        <v>#REF!</v>
      </c>
      <c r="AL64" s="25" t="e">
        <f>AL61+AL62+AL63</f>
        <v>#REF!</v>
      </c>
      <c r="AM64" s="25" t="e">
        <f>AM61+AM62+AM63</f>
        <v>#REF!</v>
      </c>
      <c r="AN64" s="25" t="e">
        <f>AN61+AN62+AN63</f>
        <v>#REF!</v>
      </c>
    </row>
    <row r="65" spans="1:41">
      <c r="B65" s="4" t="s">
        <v>676</v>
      </c>
      <c r="C65" s="4" t="s">
        <v>276</v>
      </c>
      <c r="D65" s="4" t="s">
        <v>0</v>
      </c>
      <c r="AK65" s="25"/>
      <c r="AL65" s="25"/>
      <c r="AM65" s="25"/>
      <c r="AN65" s="25"/>
    </row>
    <row r="66" spans="1:41">
      <c r="B66" s="4" t="s">
        <v>675</v>
      </c>
      <c r="C66" s="4" t="s">
        <v>275</v>
      </c>
      <c r="D66" s="4" t="s">
        <v>0</v>
      </c>
      <c r="AK66" s="25" t="e">
        <f>AK64+AK65</f>
        <v>#REF!</v>
      </c>
      <c r="AL66" s="25" t="e">
        <f>AL64+AL65</f>
        <v>#REF!</v>
      </c>
      <c r="AM66" s="25" t="e">
        <f>AM64+AM65</f>
        <v>#REF!</v>
      </c>
      <c r="AN66" s="25" t="e">
        <f>AN64+AN65</f>
        <v>#REF!</v>
      </c>
    </row>
    <row r="67" spans="1:41">
      <c r="B67" s="4" t="s">
        <v>674</v>
      </c>
      <c r="C67" s="4" t="s">
        <v>274</v>
      </c>
      <c r="D67" s="4" t="s">
        <v>0</v>
      </c>
      <c r="AK67" s="25" t="e">
        <f>#REF!</f>
        <v>#REF!</v>
      </c>
      <c r="AL67" s="25" t="e">
        <f>#REF!</f>
        <v>#REF!</v>
      </c>
      <c r="AM67" s="25" t="e">
        <f>#REF!</f>
        <v>#REF!</v>
      </c>
      <c r="AN67" s="25" t="e">
        <f>#REF!</f>
        <v>#REF!</v>
      </c>
      <c r="AO67" s="4" t="s">
        <v>673</v>
      </c>
    </row>
    <row r="68" spans="1:41">
      <c r="B68" s="4" t="s">
        <v>672</v>
      </c>
      <c r="C68" s="4" t="s">
        <v>273</v>
      </c>
      <c r="D68" s="4" t="s">
        <v>0</v>
      </c>
      <c r="AK68" s="25" t="e">
        <f>AK66+AK67</f>
        <v>#REF!</v>
      </c>
      <c r="AL68" s="25" t="e">
        <f>AL66+AL67</f>
        <v>#REF!</v>
      </c>
      <c r="AM68" s="25" t="e">
        <f>AM66+AM67</f>
        <v>#REF!</v>
      </c>
      <c r="AN68" s="25" t="e">
        <f>AN66+AN67</f>
        <v>#REF!</v>
      </c>
    </row>
    <row r="69" spans="1:41">
      <c r="B69" s="4" t="s">
        <v>671</v>
      </c>
      <c r="C69" s="4" t="s">
        <v>272</v>
      </c>
      <c r="D69" s="4" t="s">
        <v>0</v>
      </c>
      <c r="AK69" s="28" t="e">
        <f>AK66/AK75</f>
        <v>#REF!</v>
      </c>
      <c r="AL69" s="28" t="e">
        <f>AL66/AL75</f>
        <v>#REF!</v>
      </c>
      <c r="AM69" s="28" t="e">
        <f>AM66/AM75</f>
        <v>#REF!</v>
      </c>
      <c r="AN69" s="28" t="e">
        <f>AN66/AN75</f>
        <v>#REF!</v>
      </c>
    </row>
    <row r="70" spans="1:41">
      <c r="B70" s="4" t="s">
        <v>670</v>
      </c>
      <c r="C70" s="4" t="s">
        <v>271</v>
      </c>
      <c r="D70" s="4" t="s">
        <v>0</v>
      </c>
      <c r="AK70" s="28" t="e">
        <f>AK66/AK76</f>
        <v>#REF!</v>
      </c>
      <c r="AL70" s="28" t="e">
        <f>AL66/AL76</f>
        <v>#REF!</v>
      </c>
      <c r="AM70" s="28" t="e">
        <f>AM66/AM76</f>
        <v>#REF!</v>
      </c>
      <c r="AN70" s="28" t="e">
        <f>AN66/AN76</f>
        <v>#REF!</v>
      </c>
    </row>
    <row r="71" spans="1:41">
      <c r="B71" s="4" t="s">
        <v>669</v>
      </c>
      <c r="C71" s="4" t="s">
        <v>270</v>
      </c>
      <c r="D71" s="4" t="s">
        <v>0</v>
      </c>
      <c r="AK71" s="28" t="e">
        <f>AK68/AK75</f>
        <v>#REF!</v>
      </c>
      <c r="AL71" s="28" t="e">
        <f>AL68/AL75</f>
        <v>#REF!</v>
      </c>
      <c r="AM71" s="28" t="e">
        <f>AM68/AM75</f>
        <v>#REF!</v>
      </c>
      <c r="AN71" s="28" t="e">
        <f>AN68/AN75</f>
        <v>#REF!</v>
      </c>
    </row>
    <row r="72" spans="1:41">
      <c r="B72" s="4" t="s">
        <v>668</v>
      </c>
      <c r="C72" s="4" t="s">
        <v>269</v>
      </c>
      <c r="D72" s="4" t="s">
        <v>0</v>
      </c>
      <c r="AK72" s="28" t="e">
        <f>AK68/AK76</f>
        <v>#REF!</v>
      </c>
      <c r="AL72" s="28" t="e">
        <f>AL68/AL76</f>
        <v>#REF!</v>
      </c>
      <c r="AM72" s="28" t="e">
        <f>AM68/AM76</f>
        <v>#REF!</v>
      </c>
      <c r="AN72" s="28" t="e">
        <f>AN68/AN76</f>
        <v>#REF!</v>
      </c>
    </row>
    <row r="73" spans="1:41">
      <c r="B73" s="4" t="s">
        <v>667</v>
      </c>
      <c r="C73" s="4" t="s">
        <v>268</v>
      </c>
      <c r="D73" s="4" t="s">
        <v>0</v>
      </c>
      <c r="AK73" s="25" t="e">
        <f>-(#REF!*#REF!)/1000</f>
        <v>#REF!</v>
      </c>
      <c r="AL73" s="25" t="e">
        <f>-(#REF!*#REF!)/1000</f>
        <v>#REF!</v>
      </c>
      <c r="AM73" s="25" t="e">
        <f>-(#REF!*#REF!)/1000</f>
        <v>#REF!</v>
      </c>
      <c r="AN73" s="25" t="e">
        <f>-(#REF!*#REF!)/1000</f>
        <v>#REF!</v>
      </c>
    </row>
    <row r="74" spans="1:41">
      <c r="B74" s="4" t="s">
        <v>666</v>
      </c>
      <c r="C74" s="4" t="s">
        <v>267</v>
      </c>
      <c r="D74" s="4" t="s">
        <v>0</v>
      </c>
      <c r="AK74" s="28" t="e">
        <f>#REF!</f>
        <v>#REF!</v>
      </c>
      <c r="AL74" s="28" t="e">
        <f>#REF!</f>
        <v>#REF!</v>
      </c>
      <c r="AM74" s="28" t="e">
        <f>#REF!</f>
        <v>#REF!</v>
      </c>
      <c r="AN74" s="28" t="e">
        <f>#REF!</f>
        <v>#REF!</v>
      </c>
    </row>
    <row r="75" spans="1:41">
      <c r="B75" s="4" t="s">
        <v>665</v>
      </c>
      <c r="C75" s="4" t="s">
        <v>266</v>
      </c>
      <c r="AK75" s="25" t="e">
        <f>#REF!/1000</f>
        <v>#REF!</v>
      </c>
      <c r="AL75" s="25" t="e">
        <f>#REF!/1000</f>
        <v>#REF!</v>
      </c>
      <c r="AM75" s="25" t="e">
        <f>#REF!/1000</f>
        <v>#REF!</v>
      </c>
      <c r="AN75" s="25" t="e">
        <f>#REF!/1000</f>
        <v>#REF!</v>
      </c>
    </row>
    <row r="76" spans="1:41">
      <c r="B76" s="4" t="s">
        <v>664</v>
      </c>
      <c r="C76" s="4" t="s">
        <v>265</v>
      </c>
      <c r="AK76" s="25" t="e">
        <f>#REF!/1000</f>
        <v>#REF!</v>
      </c>
      <c r="AL76" s="25" t="e">
        <f>#REF!/1000</f>
        <v>#REF!</v>
      </c>
      <c r="AM76" s="25" t="e">
        <f>#REF!/1000</f>
        <v>#REF!</v>
      </c>
      <c r="AN76" s="25" t="e">
        <f>#REF!/1000</f>
        <v>#REF!</v>
      </c>
    </row>
    <row r="77" spans="1:41">
      <c r="B77" s="4" t="s">
        <v>663</v>
      </c>
      <c r="C77" s="4" t="s">
        <v>264</v>
      </c>
      <c r="AK77" s="25" t="e">
        <f>#REF!/1000</f>
        <v>#REF!</v>
      </c>
      <c r="AL77" s="25" t="e">
        <f>#REF!/1000</f>
        <v>#REF!</v>
      </c>
      <c r="AM77" s="25" t="e">
        <f>#REF!/1000</f>
        <v>#REF!</v>
      </c>
      <c r="AN77" s="25" t="e">
        <f>#REF!/1000</f>
        <v>#REF!</v>
      </c>
    </row>
    <row r="78" spans="1:41" ht="11.25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41" s="8" customFormat="1" ht="15.75">
      <c r="A79" s="8" t="s">
        <v>662</v>
      </c>
      <c r="D79" s="9" t="s">
        <v>661</v>
      </c>
    </row>
    <row r="80" spans="1:41">
      <c r="B80" s="4" t="s">
        <v>660</v>
      </c>
      <c r="C80" s="4" t="s">
        <v>259</v>
      </c>
      <c r="D80" s="4" t="s">
        <v>0</v>
      </c>
      <c r="AK80" s="25"/>
      <c r="AL80" s="25"/>
      <c r="AM80" s="25"/>
      <c r="AN80" s="25"/>
    </row>
    <row r="81" spans="1:40">
      <c r="B81" s="4" t="s">
        <v>659</v>
      </c>
      <c r="C81" s="4" t="s">
        <v>258</v>
      </c>
      <c r="D81" s="4" t="s">
        <v>0</v>
      </c>
      <c r="AK81" s="25"/>
      <c r="AL81" s="25"/>
      <c r="AM81" s="25"/>
      <c r="AN81" s="25"/>
    </row>
    <row r="82" spans="1:40">
      <c r="B82" s="4" t="s">
        <v>658</v>
      </c>
      <c r="C82" s="4" t="s">
        <v>257</v>
      </c>
      <c r="D82" s="4" t="s">
        <v>0</v>
      </c>
      <c r="AK82" s="25"/>
      <c r="AL82" s="25"/>
      <c r="AM82" s="25"/>
      <c r="AN82" s="25"/>
    </row>
    <row r="83" spans="1:40">
      <c r="B83" s="4" t="s">
        <v>657</v>
      </c>
      <c r="C83" s="4" t="s">
        <v>256</v>
      </c>
      <c r="D83" s="4" t="s">
        <v>0</v>
      </c>
      <c r="AK83" s="25"/>
      <c r="AL83" s="25"/>
      <c r="AM83" s="25"/>
      <c r="AN83" s="25"/>
    </row>
    <row r="84" spans="1:40">
      <c r="B84" s="4" t="s">
        <v>656</v>
      </c>
      <c r="C84" s="4" t="s">
        <v>255</v>
      </c>
      <c r="D84" s="4" t="s">
        <v>0</v>
      </c>
      <c r="AK84" s="25"/>
      <c r="AL84" s="25"/>
      <c r="AM84" s="25"/>
      <c r="AN84" s="25"/>
    </row>
    <row r="85" spans="1:40">
      <c r="B85" s="4" t="s">
        <v>655</v>
      </c>
      <c r="C85" s="4" t="s">
        <v>254</v>
      </c>
      <c r="D85" s="4" t="s">
        <v>0</v>
      </c>
      <c r="AK85" s="25"/>
      <c r="AL85" s="25"/>
      <c r="AM85" s="25"/>
      <c r="AN85" s="25"/>
    </row>
    <row r="86" spans="1:40">
      <c r="B86" s="4" t="s">
        <v>654</v>
      </c>
      <c r="C86" s="4" t="s">
        <v>253</v>
      </c>
      <c r="D86" s="4" t="s">
        <v>0</v>
      </c>
      <c r="AK86" s="25"/>
      <c r="AL86" s="25"/>
      <c r="AM86" s="25"/>
      <c r="AN86" s="25"/>
    </row>
    <row r="87" spans="1:40">
      <c r="B87" s="4" t="s">
        <v>653</v>
      </c>
      <c r="C87" s="4" t="s">
        <v>252</v>
      </c>
      <c r="AK87" s="26" t="e">
        <f>1-#REF!</f>
        <v>#REF!</v>
      </c>
      <c r="AL87" s="26" t="e">
        <f>1-#REF!</f>
        <v>#REF!</v>
      </c>
      <c r="AM87" s="26" t="e">
        <f>1-#REF!</f>
        <v>#REF!</v>
      </c>
      <c r="AN87" s="26" t="e">
        <f>1-#REF!</f>
        <v>#REF!</v>
      </c>
    </row>
    <row r="88" spans="1:40" ht="11.25"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40" s="8" customFormat="1" ht="15.75">
      <c r="A89" s="8" t="s">
        <v>652</v>
      </c>
      <c r="D89" s="9" t="s">
        <v>651</v>
      </c>
    </row>
    <row r="90" spans="1:40">
      <c r="B90" s="4" t="s">
        <v>650</v>
      </c>
      <c r="C90" s="4" t="s">
        <v>251</v>
      </c>
      <c r="D90" s="4" t="s">
        <v>0</v>
      </c>
      <c r="AK90" s="29" t="e">
        <f>#REF!</f>
        <v>#REF!</v>
      </c>
      <c r="AL90" s="29" t="e">
        <f>#REF!</f>
        <v>#REF!</v>
      </c>
      <c r="AM90" s="29" t="e">
        <f>#REF!</f>
        <v>#REF!</v>
      </c>
      <c r="AN90" s="29" t="e">
        <f>#REF!</f>
        <v>#REF!</v>
      </c>
    </row>
    <row r="91" spans="1:40">
      <c r="B91" s="4" t="s">
        <v>649</v>
      </c>
      <c r="C91" s="4" t="s">
        <v>250</v>
      </c>
      <c r="D91" s="4" t="s">
        <v>0</v>
      </c>
      <c r="AK91" s="29" t="e">
        <f>#REF!</f>
        <v>#REF!</v>
      </c>
      <c r="AL91" s="29" t="e">
        <f>#REF!</f>
        <v>#REF!</v>
      </c>
      <c r="AM91" s="29" t="e">
        <f>#REF!</f>
        <v>#REF!</v>
      </c>
      <c r="AN91" s="29" t="e">
        <f>#REF!</f>
        <v>#REF!</v>
      </c>
    </row>
    <row r="92" spans="1:40">
      <c r="B92" s="4" t="s">
        <v>648</v>
      </c>
      <c r="C92" s="4" t="s">
        <v>249</v>
      </c>
      <c r="D92" s="4" t="s">
        <v>0</v>
      </c>
      <c r="AK92" s="25" t="e">
        <f>#REF!</f>
        <v>#REF!</v>
      </c>
      <c r="AL92" s="25" t="e">
        <f>#REF!</f>
        <v>#REF!</v>
      </c>
      <c r="AM92" s="25" t="e">
        <f>#REF!</f>
        <v>#REF!</v>
      </c>
      <c r="AN92" s="25" t="e">
        <f>#REF!</f>
        <v>#REF!</v>
      </c>
    </row>
    <row r="93" spans="1:40">
      <c r="B93" s="4" t="s">
        <v>647</v>
      </c>
      <c r="C93" s="4" t="s">
        <v>248</v>
      </c>
      <c r="D93" s="4" t="s">
        <v>0</v>
      </c>
      <c r="AK93" s="25" t="e">
        <f>AK94-AK92-AK91</f>
        <v>#REF!</v>
      </c>
      <c r="AL93" s="25" t="e">
        <f>AL94-AL92-AL91</f>
        <v>#REF!</v>
      </c>
      <c r="AM93" s="25" t="e">
        <f>AM94-AM92-AM91</f>
        <v>#REF!</v>
      </c>
      <c r="AN93" s="25" t="e">
        <f>AN94-AN92-AN91</f>
        <v>#REF!</v>
      </c>
    </row>
    <row r="94" spans="1:40">
      <c r="B94" s="4" t="s">
        <v>646</v>
      </c>
      <c r="C94" s="4" t="s">
        <v>247</v>
      </c>
      <c r="D94" s="4" t="s">
        <v>0</v>
      </c>
      <c r="AK94" s="25" t="e">
        <f>#REF!</f>
        <v>#REF!</v>
      </c>
      <c r="AL94" s="25" t="e">
        <f>#REF!</f>
        <v>#REF!</v>
      </c>
      <c r="AM94" s="25" t="e">
        <f>#REF!</f>
        <v>#REF!</v>
      </c>
      <c r="AN94" s="25" t="e">
        <f>#REF!</f>
        <v>#REF!</v>
      </c>
    </row>
    <row r="95" spans="1:40">
      <c r="B95" s="4" t="s">
        <v>645</v>
      </c>
      <c r="C95" s="4" t="s">
        <v>246</v>
      </c>
      <c r="D95" s="4" t="s">
        <v>0</v>
      </c>
      <c r="AK95" s="25" t="e">
        <f>#REF!</f>
        <v>#REF!</v>
      </c>
      <c r="AL95" s="25" t="e">
        <f>#REF!</f>
        <v>#REF!</v>
      </c>
      <c r="AM95" s="25" t="e">
        <f>#REF!</f>
        <v>#REF!</v>
      </c>
      <c r="AN95" s="25" t="e">
        <f>#REF!</f>
        <v>#REF!</v>
      </c>
    </row>
    <row r="96" spans="1:40">
      <c r="B96" s="4" t="s">
        <v>644</v>
      </c>
      <c r="C96" s="4" t="s">
        <v>245</v>
      </c>
      <c r="D96" s="4" t="s">
        <v>0</v>
      </c>
      <c r="AK96" s="25" t="e">
        <f>AK97-AK95</f>
        <v>#REF!</v>
      </c>
      <c r="AL96" s="25" t="e">
        <f>AL97-AL95</f>
        <v>#REF!</v>
      </c>
      <c r="AM96" s="25" t="e">
        <f>AM97-AM95</f>
        <v>#REF!</v>
      </c>
      <c r="AN96" s="25" t="e">
        <f>AN97-AN95</f>
        <v>#REF!</v>
      </c>
    </row>
    <row r="97" spans="2:40">
      <c r="B97" s="4" t="s">
        <v>643</v>
      </c>
      <c r="C97" s="4" t="s">
        <v>244</v>
      </c>
      <c r="D97" s="4" t="s">
        <v>0</v>
      </c>
      <c r="AK97" s="25" t="e">
        <f>#REF!</f>
        <v>#REF!</v>
      </c>
      <c r="AL97" s="25" t="e">
        <f>#REF!</f>
        <v>#REF!</v>
      </c>
      <c r="AM97" s="25" t="e">
        <f>#REF!</f>
        <v>#REF!</v>
      </c>
      <c r="AN97" s="25" t="e">
        <f>#REF!</f>
        <v>#REF!</v>
      </c>
    </row>
    <row r="98" spans="2:40">
      <c r="B98" s="4" t="s">
        <v>642</v>
      </c>
      <c r="C98" s="4" t="s">
        <v>243</v>
      </c>
      <c r="D98" s="4" t="s">
        <v>0</v>
      </c>
      <c r="AK98" s="25" t="e">
        <f>#REF!</f>
        <v>#REF!</v>
      </c>
      <c r="AL98" s="25" t="e">
        <f>#REF!</f>
        <v>#REF!</v>
      </c>
      <c r="AM98" s="25" t="e">
        <f>#REF!</f>
        <v>#REF!</v>
      </c>
      <c r="AN98" s="25" t="e">
        <f>#REF!</f>
        <v>#REF!</v>
      </c>
    </row>
    <row r="99" spans="2:40">
      <c r="B99" s="4" t="s">
        <v>641</v>
      </c>
      <c r="C99" s="4" t="s">
        <v>242</v>
      </c>
      <c r="D99" s="4" t="s">
        <v>0</v>
      </c>
      <c r="AK99" s="25" t="e">
        <f>AK100-AK98</f>
        <v>#REF!</v>
      </c>
      <c r="AL99" s="25" t="e">
        <f>AL100-AL98</f>
        <v>#REF!</v>
      </c>
      <c r="AM99" s="25" t="e">
        <f>AM100-AM98</f>
        <v>#REF!</v>
      </c>
      <c r="AN99" s="25" t="e">
        <f>AN100-AN98</f>
        <v>#REF!</v>
      </c>
    </row>
    <row r="100" spans="2:40">
      <c r="B100" s="4" t="s">
        <v>640</v>
      </c>
      <c r="C100" s="4" t="s">
        <v>241</v>
      </c>
      <c r="D100" s="4" t="s">
        <v>0</v>
      </c>
      <c r="AK100" s="25" t="e">
        <f>#REF!</f>
        <v>#REF!</v>
      </c>
      <c r="AL100" s="25" t="e">
        <f>#REF!</f>
        <v>#REF!</v>
      </c>
      <c r="AM100" s="25" t="e">
        <f>#REF!</f>
        <v>#REF!</v>
      </c>
      <c r="AN100" s="25" t="e">
        <f>#REF!</f>
        <v>#REF!</v>
      </c>
    </row>
    <row r="101" spans="2:40">
      <c r="B101" s="4" t="s">
        <v>639</v>
      </c>
      <c r="C101" s="4" t="s">
        <v>240</v>
      </c>
      <c r="D101" s="4" t="s">
        <v>0</v>
      </c>
      <c r="AK101" s="25" t="e">
        <f>#REF!</f>
        <v>#REF!</v>
      </c>
      <c r="AL101" s="25" t="e">
        <f>#REF!</f>
        <v>#REF!</v>
      </c>
      <c r="AM101" s="25" t="e">
        <f>#REF!</f>
        <v>#REF!</v>
      </c>
      <c r="AN101" s="25" t="e">
        <f>#REF!</f>
        <v>#REF!</v>
      </c>
    </row>
    <row r="102" spans="2:40">
      <c r="B102" s="4" t="s">
        <v>638</v>
      </c>
      <c r="C102" s="4" t="s">
        <v>239</v>
      </c>
      <c r="D102" s="4" t="s">
        <v>0</v>
      </c>
      <c r="AK102" s="25"/>
      <c r="AL102" s="25"/>
      <c r="AM102" s="25"/>
      <c r="AN102" s="25"/>
    </row>
    <row r="103" spans="2:40">
      <c r="B103" s="4" t="s">
        <v>637</v>
      </c>
      <c r="C103" s="4" t="s">
        <v>238</v>
      </c>
      <c r="D103" s="4" t="s">
        <v>0</v>
      </c>
      <c r="AK103" s="25" t="e">
        <f>AK104-AK97-AK100-AK101-AK102-AK94</f>
        <v>#REF!</v>
      </c>
      <c r="AL103" s="25" t="e">
        <f>AL104-AL97-AL100-AL101-AL102-AL94</f>
        <v>#REF!</v>
      </c>
      <c r="AM103" s="25" t="e">
        <f>AM104-AM97-AM100-AM101-AM102-AM94</f>
        <v>#REF!</v>
      </c>
      <c r="AN103" s="25" t="e">
        <f>AN104-AN97-AN100-AN101-AN102-AN94</f>
        <v>#REF!</v>
      </c>
    </row>
    <row r="104" spans="2:40">
      <c r="B104" s="4" t="s">
        <v>636</v>
      </c>
      <c r="C104" s="4" t="s">
        <v>237</v>
      </c>
      <c r="D104" s="4" t="s">
        <v>0</v>
      </c>
      <c r="AK104" s="29" t="e">
        <f>AK94+#REF!</f>
        <v>#REF!</v>
      </c>
      <c r="AL104" s="29" t="e">
        <f>AL94+#REF!</f>
        <v>#REF!</v>
      </c>
      <c r="AM104" s="29" t="e">
        <f>AM94+#REF!</f>
        <v>#REF!</v>
      </c>
      <c r="AN104" s="29" t="e">
        <f>AN94+#REF!</f>
        <v>#REF!</v>
      </c>
    </row>
    <row r="105" spans="2:40">
      <c r="B105" s="4" t="s">
        <v>563</v>
      </c>
      <c r="C105" s="4" t="s">
        <v>236</v>
      </c>
      <c r="D105" s="4" t="s">
        <v>0</v>
      </c>
      <c r="AK105" s="25" t="e">
        <f>-#REF!</f>
        <v>#REF!</v>
      </c>
      <c r="AL105" s="25" t="e">
        <f>-#REF!</f>
        <v>#REF!</v>
      </c>
      <c r="AM105" s="25" t="e">
        <f>-#REF!</f>
        <v>#REF!</v>
      </c>
      <c r="AN105" s="25" t="e">
        <f>-#REF!</f>
        <v>#REF!</v>
      </c>
    </row>
    <row r="106" spans="2:40">
      <c r="B106" s="4" t="s">
        <v>635</v>
      </c>
      <c r="C106" s="4" t="s">
        <v>235</v>
      </c>
      <c r="D106" s="4" t="s">
        <v>0</v>
      </c>
      <c r="AK106" s="25" t="e">
        <f>-#REF!</f>
        <v>#REF!</v>
      </c>
      <c r="AL106" s="25" t="e">
        <f>-#REF!</f>
        <v>#REF!</v>
      </c>
      <c r="AM106" s="25" t="e">
        <f>-#REF!</f>
        <v>#REF!</v>
      </c>
      <c r="AN106" s="25" t="e">
        <f>-#REF!</f>
        <v>#REF!</v>
      </c>
    </row>
    <row r="107" spans="2:40">
      <c r="B107" s="4" t="s">
        <v>634</v>
      </c>
      <c r="C107" s="4" t="s">
        <v>234</v>
      </c>
      <c r="D107" s="4" t="s">
        <v>0</v>
      </c>
      <c r="AK107" s="25"/>
      <c r="AL107" s="25"/>
      <c r="AM107" s="25"/>
      <c r="AN107" s="25"/>
    </row>
    <row r="108" spans="2:40">
      <c r="B108" s="4" t="s">
        <v>633</v>
      </c>
      <c r="C108" s="4" t="s">
        <v>233</v>
      </c>
      <c r="D108" s="4" t="s">
        <v>0</v>
      </c>
      <c r="AK108" s="25" t="e">
        <f>-#REF!</f>
        <v>#REF!</v>
      </c>
      <c r="AL108" s="25" t="e">
        <f>-#REF!</f>
        <v>#REF!</v>
      </c>
      <c r="AM108" s="25" t="e">
        <f>-#REF!</f>
        <v>#REF!</v>
      </c>
      <c r="AN108" s="25" t="e">
        <f>-#REF!</f>
        <v>#REF!</v>
      </c>
    </row>
    <row r="109" spans="2:40">
      <c r="B109" s="4" t="s">
        <v>632</v>
      </c>
      <c r="C109" s="4" t="s">
        <v>232</v>
      </c>
      <c r="D109" s="4" t="s">
        <v>0</v>
      </c>
      <c r="AK109" s="25"/>
      <c r="AL109" s="25"/>
      <c r="AM109" s="25"/>
      <c r="AN109" s="25"/>
    </row>
    <row r="110" spans="2:40">
      <c r="B110" s="4" t="s">
        <v>631</v>
      </c>
      <c r="C110" s="4" t="s">
        <v>231</v>
      </c>
      <c r="D110" s="4" t="s">
        <v>0</v>
      </c>
      <c r="AK110" s="25"/>
      <c r="AL110" s="25"/>
      <c r="AM110" s="25"/>
      <c r="AN110" s="25"/>
    </row>
    <row r="111" spans="2:40">
      <c r="B111" s="4" t="s">
        <v>630</v>
      </c>
      <c r="C111" s="4" t="s">
        <v>230</v>
      </c>
      <c r="D111" s="4" t="s">
        <v>0</v>
      </c>
      <c r="AK111" s="25">
        <f>AK109+AK110</f>
        <v>0</v>
      </c>
      <c r="AL111" s="25">
        <f>AL109+AL110</f>
        <v>0</v>
      </c>
      <c r="AM111" s="25">
        <f>AM109+AM110</f>
        <v>0</v>
      </c>
      <c r="AN111" s="25">
        <f>AN109+AN110</f>
        <v>0</v>
      </c>
    </row>
    <row r="112" spans="2:40">
      <c r="B112" s="4" t="s">
        <v>629</v>
      </c>
      <c r="C112" s="4" t="s">
        <v>229</v>
      </c>
      <c r="D112" s="4" t="s">
        <v>0</v>
      </c>
      <c r="AK112" s="25" t="e">
        <f>AK108-#REF!</f>
        <v>#REF!</v>
      </c>
      <c r="AL112" s="25" t="e">
        <f>AL108-#REF!</f>
        <v>#REF!</v>
      </c>
      <c r="AM112" s="25" t="e">
        <f>AM108-#REF!</f>
        <v>#REF!</v>
      </c>
      <c r="AN112" s="25" t="e">
        <f>AN108-#REF!</f>
        <v>#REF!</v>
      </c>
    </row>
    <row r="113" spans="1:41">
      <c r="B113" s="4" t="s">
        <v>628</v>
      </c>
      <c r="C113" s="4" t="s">
        <v>228</v>
      </c>
      <c r="D113" s="4" t="s">
        <v>0</v>
      </c>
      <c r="AK113" s="25"/>
      <c r="AL113" s="25"/>
      <c r="AM113" s="25"/>
      <c r="AN113" s="25"/>
    </row>
    <row r="114" spans="1:41">
      <c r="B114" s="4" t="s">
        <v>627</v>
      </c>
      <c r="C114" s="4" t="s">
        <v>227</v>
      </c>
      <c r="D114" s="4" t="s">
        <v>0</v>
      </c>
      <c r="AK114" s="25" t="e">
        <f>#REF!-#REF!</f>
        <v>#REF!</v>
      </c>
      <c r="AL114" s="25" t="e">
        <f>#REF!-#REF!</f>
        <v>#REF!</v>
      </c>
      <c r="AM114" s="25" t="e">
        <f>#REF!-#REF!</f>
        <v>#REF!</v>
      </c>
      <c r="AN114" s="25" t="e">
        <f>#REF!-#REF!</f>
        <v>#REF!</v>
      </c>
    </row>
    <row r="115" spans="1:41">
      <c r="B115" s="4" t="s">
        <v>608</v>
      </c>
      <c r="C115" s="4" t="s">
        <v>226</v>
      </c>
      <c r="D115" s="4" t="s">
        <v>0</v>
      </c>
      <c r="AK115" s="25" t="e">
        <f>#REF!</f>
        <v>#REF!</v>
      </c>
      <c r="AL115" s="25" t="e">
        <f>#REF!</f>
        <v>#REF!</v>
      </c>
      <c r="AM115" s="25" t="e">
        <f>#REF!</f>
        <v>#REF!</v>
      </c>
      <c r="AN115" s="25" t="e">
        <f>#REF!</f>
        <v>#REF!</v>
      </c>
    </row>
    <row r="116" spans="1:41">
      <c r="B116" s="4" t="s">
        <v>626</v>
      </c>
      <c r="C116" s="4" t="s">
        <v>225</v>
      </c>
      <c r="D116" s="4" t="s">
        <v>0</v>
      </c>
      <c r="AK116" s="25" t="e">
        <f>AK114+AK115</f>
        <v>#REF!</v>
      </c>
      <c r="AL116" s="25" t="e">
        <f>AL114+AL115</f>
        <v>#REF!</v>
      </c>
      <c r="AM116" s="25" t="e">
        <f>AM114+AM115</f>
        <v>#REF!</v>
      </c>
      <c r="AN116" s="25" t="e">
        <f>AN114+AN115</f>
        <v>#REF!</v>
      </c>
    </row>
    <row r="117" spans="1:41">
      <c r="B117" s="4" t="s">
        <v>625</v>
      </c>
      <c r="C117" s="4" t="s">
        <v>224</v>
      </c>
      <c r="D117" s="4" t="s">
        <v>0</v>
      </c>
      <c r="AK117" s="29" t="e">
        <f>AK112+AK116</f>
        <v>#REF!</v>
      </c>
      <c r="AL117" s="29" t="e">
        <f>AL112+AL116</f>
        <v>#REF!</v>
      </c>
      <c r="AM117" s="29" t="e">
        <f>AM112+AM116</f>
        <v>#REF!</v>
      </c>
      <c r="AN117" s="29" t="e">
        <f>AN112+AN116</f>
        <v>#REF!</v>
      </c>
    </row>
    <row r="118" spans="1:41">
      <c r="B118" s="4" t="s">
        <v>624</v>
      </c>
      <c r="C118" s="4" t="s">
        <v>223</v>
      </c>
      <c r="D118" s="4" t="s">
        <v>0</v>
      </c>
      <c r="AK118" s="28" t="e">
        <f>AK23</f>
        <v>#REF!</v>
      </c>
      <c r="AL118" s="28" t="e">
        <f>AL23</f>
        <v>#REF!</v>
      </c>
      <c r="AM118" s="28" t="e">
        <f>AM23</f>
        <v>#REF!</v>
      </c>
      <c r="AN118" s="28" t="e">
        <f>AN23</f>
        <v>#REF!</v>
      </c>
    </row>
    <row r="119" spans="1:41" ht="11.25"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27" t="e">
        <f>#REF!-#REF!</f>
        <v>#REF!</v>
      </c>
      <c r="Q119" s="4"/>
      <c r="R119" s="4"/>
      <c r="S119" s="27" t="e">
        <f>#REF!-#REF!</f>
        <v>#REF!</v>
      </c>
      <c r="T119" s="4"/>
      <c r="U119" s="4"/>
      <c r="V119" s="27" t="e">
        <f>#REF!-#REF!</f>
        <v>#REF!</v>
      </c>
      <c r="W119" s="4"/>
      <c r="X119" s="4"/>
      <c r="Y119" s="27" t="e">
        <f>#REF!-#REF!</f>
        <v>#REF!</v>
      </c>
      <c r="Z119" s="4"/>
      <c r="AA119" s="4"/>
      <c r="AB119" s="27" t="e">
        <f>#REF!-#REF!</f>
        <v>#REF!</v>
      </c>
      <c r="AC119" s="4"/>
      <c r="AD119" s="4"/>
      <c r="AE119" s="27" t="e">
        <f>#REF!-#REF!</f>
        <v>#REF!</v>
      </c>
      <c r="AF119" s="27" t="e">
        <f>#REF!-#REF!</f>
        <v>#REF!</v>
      </c>
      <c r="AG119" s="27" t="e">
        <f>#REF!-#REF!</f>
        <v>#REF!</v>
      </c>
      <c r="AH119" s="27" t="e">
        <f>#REF!-#REF!</f>
        <v>#REF!</v>
      </c>
      <c r="AI119" s="27" t="e">
        <f>#REF!-#REF!</f>
        <v>#REF!</v>
      </c>
      <c r="AJ119" s="27" t="e">
        <f>#REF!-#REF!</f>
        <v>#REF!</v>
      </c>
      <c r="AK119" s="27" t="e">
        <f>AK117-AK104</f>
        <v>#REF!</v>
      </c>
      <c r="AL119" s="27" t="e">
        <f>AL117-AL104</f>
        <v>#REF!</v>
      </c>
      <c r="AM119" s="27" t="e">
        <f>AM117-AM104</f>
        <v>#REF!</v>
      </c>
      <c r="AN119" s="27" t="e">
        <f>AN117-AN104</f>
        <v>#REF!</v>
      </c>
    </row>
    <row r="120" spans="1:41" s="8" customFormat="1" ht="15.75">
      <c r="A120" s="8" t="s">
        <v>623</v>
      </c>
      <c r="D120" s="9" t="s">
        <v>622</v>
      </c>
    </row>
    <row r="121" spans="1:41">
      <c r="B121" s="4" t="s">
        <v>621</v>
      </c>
      <c r="C121" s="4" t="s">
        <v>222</v>
      </c>
      <c r="D121" s="4" t="s">
        <v>0</v>
      </c>
      <c r="AK121" s="25" t="e">
        <f>#REF!</f>
        <v>#REF!</v>
      </c>
      <c r="AL121" s="25" t="e">
        <f>#REF!</f>
        <v>#REF!</v>
      </c>
      <c r="AM121" s="25" t="e">
        <f>#REF!</f>
        <v>#REF!</v>
      </c>
      <c r="AN121" s="25" t="e">
        <f>#REF!</f>
        <v>#REF!</v>
      </c>
      <c r="AO121" s="4" t="s">
        <v>620</v>
      </c>
    </row>
    <row r="122" spans="1:41">
      <c r="B122" s="4" t="s">
        <v>619</v>
      </c>
      <c r="C122" s="4" t="s">
        <v>221</v>
      </c>
      <c r="D122" s="4" t="s">
        <v>0</v>
      </c>
      <c r="AK122" s="24"/>
      <c r="AL122" s="24"/>
      <c r="AM122" s="24"/>
      <c r="AN122" s="24"/>
    </row>
    <row r="123" spans="1:41">
      <c r="B123" s="4" t="s">
        <v>618</v>
      </c>
      <c r="C123" s="4" t="s">
        <v>220</v>
      </c>
      <c r="D123" s="4" t="s">
        <v>0</v>
      </c>
      <c r="AK123" s="24"/>
      <c r="AL123" s="24"/>
      <c r="AM123" s="24"/>
      <c r="AN123" s="24"/>
    </row>
    <row r="124" spans="1:41">
      <c r="B124" s="4" t="s">
        <v>617</v>
      </c>
      <c r="C124" s="4" t="s">
        <v>219</v>
      </c>
      <c r="D124" s="4" t="s">
        <v>0</v>
      </c>
      <c r="AK124" s="24"/>
      <c r="AL124" s="24"/>
      <c r="AM124" s="24"/>
      <c r="AN124" s="24"/>
    </row>
    <row r="125" spans="1:41">
      <c r="B125" s="4" t="s">
        <v>616</v>
      </c>
      <c r="C125" s="4" t="s">
        <v>218</v>
      </c>
      <c r="D125" s="4" t="s">
        <v>0</v>
      </c>
      <c r="AK125" s="24"/>
      <c r="AL125" s="24"/>
      <c r="AM125" s="24"/>
      <c r="AN125" s="24"/>
    </row>
    <row r="126" spans="1:41">
      <c r="B126" s="4" t="s">
        <v>615</v>
      </c>
      <c r="C126" s="4" t="s">
        <v>217</v>
      </c>
      <c r="AK126" s="24"/>
      <c r="AL126" s="24"/>
      <c r="AM126" s="24"/>
      <c r="AN126" s="24"/>
    </row>
    <row r="127" spans="1:41">
      <c r="B127" s="4" t="s">
        <v>614</v>
      </c>
      <c r="C127" s="4" t="s">
        <v>216</v>
      </c>
      <c r="D127" s="4" t="s">
        <v>0</v>
      </c>
      <c r="AK127" s="24"/>
      <c r="AL127" s="24"/>
      <c r="AM127" s="24"/>
      <c r="AN127" s="24"/>
    </row>
    <row r="128" spans="1:41">
      <c r="B128" s="4" t="s">
        <v>613</v>
      </c>
      <c r="C128" s="4" t="s">
        <v>215</v>
      </c>
      <c r="D128" s="4" t="s">
        <v>0</v>
      </c>
      <c r="AK128" s="24"/>
      <c r="AL128" s="24"/>
      <c r="AM128" s="24"/>
      <c r="AN128" s="24"/>
    </row>
    <row r="129" spans="1:40">
      <c r="B129" s="4" t="s">
        <v>612</v>
      </c>
      <c r="C129" s="4" t="s">
        <v>214</v>
      </c>
      <c r="D129" s="4" t="s">
        <v>0</v>
      </c>
      <c r="AK129" s="24"/>
      <c r="AL129" s="24"/>
      <c r="AM129" s="24"/>
      <c r="AN129" s="24"/>
    </row>
    <row r="130" spans="1:40">
      <c r="B130" s="4" t="s">
        <v>611</v>
      </c>
      <c r="C130" s="4" t="s">
        <v>213</v>
      </c>
      <c r="D130" s="4" t="s">
        <v>0</v>
      </c>
      <c r="AK130" s="24"/>
      <c r="AL130" s="24"/>
      <c r="AM130" s="24"/>
      <c r="AN130" s="24"/>
    </row>
    <row r="131" spans="1:40" s="1" customFormat="1" ht="12.75">
      <c r="B131" s="1" t="s">
        <v>610</v>
      </c>
      <c r="C131" s="1" t="s">
        <v>212</v>
      </c>
      <c r="D131" s="1" t="s">
        <v>0</v>
      </c>
      <c r="AK131" s="7"/>
      <c r="AL131" s="7"/>
      <c r="AM131" s="7"/>
      <c r="AN131" s="7"/>
    </row>
    <row r="132" spans="1:40">
      <c r="B132" s="4" t="s">
        <v>609</v>
      </c>
      <c r="C132" s="4" t="s">
        <v>211</v>
      </c>
      <c r="AK132" s="24"/>
      <c r="AL132" s="24"/>
      <c r="AM132" s="24"/>
      <c r="AN132" s="24"/>
    </row>
    <row r="133" spans="1:40">
      <c r="B133" s="4" t="s">
        <v>608</v>
      </c>
      <c r="C133" s="4" t="s">
        <v>210</v>
      </c>
      <c r="D133" s="4" t="s">
        <v>0</v>
      </c>
      <c r="AK133" s="24"/>
      <c r="AL133" s="24"/>
      <c r="AM133" s="24"/>
      <c r="AN133" s="24"/>
    </row>
    <row r="134" spans="1:40" ht="11.25"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40" s="8" customFormat="1" ht="15.75">
      <c r="A135" s="8" t="s">
        <v>607</v>
      </c>
      <c r="D135" s="9" t="s">
        <v>606</v>
      </c>
    </row>
    <row r="136" spans="1:40">
      <c r="B136" s="4" t="s">
        <v>605</v>
      </c>
      <c r="C136" s="4" t="s">
        <v>209</v>
      </c>
      <c r="D136" s="4" t="s">
        <v>0</v>
      </c>
      <c r="AK136" s="25" t="e">
        <f>AK30</f>
        <v>#REF!</v>
      </c>
      <c r="AL136" s="25" t="e">
        <f>AL30</f>
        <v>#REF!</v>
      </c>
      <c r="AM136" s="25" t="e">
        <f>AM30</f>
        <v>#REF!</v>
      </c>
      <c r="AN136" s="25" t="e">
        <f>AN30</f>
        <v>#REF!</v>
      </c>
    </row>
    <row r="137" spans="1:40">
      <c r="B137" s="4" t="s">
        <v>604</v>
      </c>
      <c r="C137" s="4" t="s">
        <v>208</v>
      </c>
      <c r="D137" s="4" t="s">
        <v>0</v>
      </c>
      <c r="AK137" s="25" t="e">
        <f>-AK63</f>
        <v>#REF!</v>
      </c>
      <c r="AL137" s="25" t="e">
        <f>-AL63</f>
        <v>#REF!</v>
      </c>
      <c r="AM137" s="25" t="e">
        <f>-AM63</f>
        <v>#REF!</v>
      </c>
      <c r="AN137" s="25" t="e">
        <f>-AN63</f>
        <v>#REF!</v>
      </c>
    </row>
    <row r="138" spans="1:40">
      <c r="B138" s="4" t="s">
        <v>603</v>
      </c>
      <c r="C138" s="4" t="s">
        <v>207</v>
      </c>
      <c r="D138" s="4" t="s">
        <v>0</v>
      </c>
      <c r="AK138" s="25" t="e">
        <f>#REF!+#REF!-#REF!-#REF!</f>
        <v>#REF!</v>
      </c>
      <c r="AL138" s="25" t="e">
        <f>#REF!+#REF!-#REF!-#REF!</f>
        <v>#REF!</v>
      </c>
      <c r="AM138" s="25" t="e">
        <f>#REF!+#REF!-#REF!-#REF!</f>
        <v>#REF!</v>
      </c>
      <c r="AN138" s="25" t="e">
        <f>#REF!+#REF!-#REF!-#REF!</f>
        <v>#REF!</v>
      </c>
    </row>
    <row r="139" spans="1:40">
      <c r="B139" s="4" t="s">
        <v>602</v>
      </c>
      <c r="C139" s="4" t="s">
        <v>206</v>
      </c>
      <c r="D139" s="4" t="s">
        <v>0</v>
      </c>
      <c r="AK139" s="25" t="e">
        <f>SUM(#REF!)</f>
        <v>#REF!</v>
      </c>
      <c r="AL139" s="25" t="e">
        <f>SUM(#REF!)</f>
        <v>#REF!</v>
      </c>
      <c r="AM139" s="25" t="e">
        <f>SUM(#REF!)</f>
        <v>#REF!</v>
      </c>
      <c r="AN139" s="25" t="e">
        <f>SUM(#REF!)</f>
        <v>#REF!</v>
      </c>
    </row>
    <row r="140" spans="1:40">
      <c r="B140" s="4" t="s">
        <v>601</v>
      </c>
      <c r="C140" s="4" t="s">
        <v>205</v>
      </c>
      <c r="D140" s="4" t="s">
        <v>0</v>
      </c>
      <c r="AK140" s="25" t="e">
        <f>AK141-AK136-AK137-AK138-AK139</f>
        <v>#REF!</v>
      </c>
      <c r="AL140" s="25" t="e">
        <f>AL141-AL136-AL137-AL138-AL139</f>
        <v>#REF!</v>
      </c>
      <c r="AM140" s="25" t="e">
        <f>AM141-AM136-AM137-AM138-AM139</f>
        <v>#REF!</v>
      </c>
      <c r="AN140" s="25" t="e">
        <f>AN141-AN136-AN137-AN138-AN139</f>
        <v>#REF!</v>
      </c>
    </row>
    <row r="141" spans="1:40">
      <c r="B141" s="4" t="s">
        <v>600</v>
      </c>
      <c r="C141" s="4" t="s">
        <v>204</v>
      </c>
      <c r="D141" s="4" t="s">
        <v>0</v>
      </c>
      <c r="AK141" s="25" t="e">
        <f>#REF!</f>
        <v>#REF!</v>
      </c>
      <c r="AL141" s="25" t="e">
        <f>#REF!</f>
        <v>#REF!</v>
      </c>
      <c r="AM141" s="25" t="e">
        <f>#REF!</f>
        <v>#REF!</v>
      </c>
      <c r="AN141" s="25" t="e">
        <f>#REF!</f>
        <v>#REF!</v>
      </c>
    </row>
    <row r="142" spans="1:40">
      <c r="B142" s="4" t="s">
        <v>599</v>
      </c>
      <c r="C142" s="4" t="s">
        <v>203</v>
      </c>
      <c r="D142" s="4" t="s">
        <v>0</v>
      </c>
      <c r="AK142" s="25" t="e">
        <f>#REF!+#REF!</f>
        <v>#REF!</v>
      </c>
      <c r="AL142" s="25" t="e">
        <f>#REF!+#REF!</f>
        <v>#REF!</v>
      </c>
      <c r="AM142" s="25" t="e">
        <f>#REF!+#REF!</f>
        <v>#REF!</v>
      </c>
      <c r="AN142" s="25" t="e">
        <f>#REF!+#REF!</f>
        <v>#REF!</v>
      </c>
    </row>
    <row r="143" spans="1:40">
      <c r="B143" s="4" t="s">
        <v>598</v>
      </c>
      <c r="C143" s="4" t="s">
        <v>202</v>
      </c>
      <c r="D143" s="4" t="s">
        <v>0</v>
      </c>
      <c r="AK143" s="25" t="e">
        <f>#REF!</f>
        <v>#REF!</v>
      </c>
      <c r="AL143" s="25" t="e">
        <f>#REF!</f>
        <v>#REF!</v>
      </c>
      <c r="AM143" s="25" t="e">
        <f>#REF!</f>
        <v>#REF!</v>
      </c>
      <c r="AN143" s="25" t="e">
        <f>#REF!</f>
        <v>#REF!</v>
      </c>
    </row>
    <row r="144" spans="1:40">
      <c r="B144" s="4" t="s">
        <v>597</v>
      </c>
      <c r="C144" s="4" t="s">
        <v>201</v>
      </c>
      <c r="D144" s="4" t="s">
        <v>0</v>
      </c>
      <c r="AK144" s="25" t="e">
        <f>#REF!</f>
        <v>#REF!</v>
      </c>
      <c r="AL144" s="25" t="e">
        <f>#REF!</f>
        <v>#REF!</v>
      </c>
      <c r="AM144" s="25" t="e">
        <f>#REF!</f>
        <v>#REF!</v>
      </c>
      <c r="AN144" s="25" t="e">
        <f>#REF!</f>
        <v>#REF!</v>
      </c>
    </row>
    <row r="145" spans="1:40">
      <c r="B145" s="4" t="s">
        <v>596</v>
      </c>
      <c r="C145" s="4" t="s">
        <v>200</v>
      </c>
      <c r="D145" s="4" t="s">
        <v>0</v>
      </c>
      <c r="AK145" s="25" t="e">
        <f>AK146-AK142-AK143-AK144</f>
        <v>#REF!</v>
      </c>
      <c r="AL145" s="25" t="e">
        <f>AL146-AL142-AL143-AL144</f>
        <v>#REF!</v>
      </c>
      <c r="AM145" s="25" t="e">
        <f>AM146-AM142-AM143-AM144</f>
        <v>#REF!</v>
      </c>
      <c r="AN145" s="25" t="e">
        <f>AN146-AN142-AN143-AN144</f>
        <v>#REF!</v>
      </c>
    </row>
    <row r="146" spans="1:40">
      <c r="B146" s="4" t="s">
        <v>595</v>
      </c>
      <c r="C146" s="4" t="s">
        <v>199</v>
      </c>
      <c r="D146" s="4" t="s">
        <v>0</v>
      </c>
      <c r="AK146" s="25" t="e">
        <f>#REF!</f>
        <v>#REF!</v>
      </c>
      <c r="AL146" s="25" t="e">
        <f>#REF!</f>
        <v>#REF!</v>
      </c>
      <c r="AM146" s="25" t="e">
        <f>#REF!</f>
        <v>#REF!</v>
      </c>
      <c r="AN146" s="25" t="e">
        <f>#REF!</f>
        <v>#REF!</v>
      </c>
    </row>
    <row r="147" spans="1:40">
      <c r="B147" s="4" t="s">
        <v>594</v>
      </c>
      <c r="C147" s="4" t="s">
        <v>198</v>
      </c>
      <c r="D147" s="4" t="s">
        <v>0</v>
      </c>
      <c r="AK147" s="25" t="e">
        <f>#REF!+#REF!</f>
        <v>#REF!</v>
      </c>
      <c r="AL147" s="25" t="e">
        <f>#REF!+#REF!</f>
        <v>#REF!</v>
      </c>
      <c r="AM147" s="25" t="e">
        <f>#REF!+#REF!</f>
        <v>#REF!</v>
      </c>
      <c r="AN147" s="25" t="e">
        <f>#REF!+#REF!</f>
        <v>#REF!</v>
      </c>
    </row>
    <row r="148" spans="1:40">
      <c r="B148" s="4" t="s">
        <v>593</v>
      </c>
      <c r="C148" s="4" t="s">
        <v>197</v>
      </c>
      <c r="D148" s="4" t="s">
        <v>0</v>
      </c>
      <c r="AK148" s="25" t="e">
        <f>#REF!+#REF!</f>
        <v>#REF!</v>
      </c>
      <c r="AL148" s="25" t="e">
        <f>#REF!+#REF!</f>
        <v>#REF!</v>
      </c>
      <c r="AM148" s="25" t="e">
        <f>#REF!+#REF!</f>
        <v>#REF!</v>
      </c>
      <c r="AN148" s="25" t="e">
        <f>#REF!+#REF!</f>
        <v>#REF!</v>
      </c>
    </row>
    <row r="149" spans="1:40">
      <c r="B149" s="4" t="s">
        <v>592</v>
      </c>
      <c r="C149" s="4" t="s">
        <v>196</v>
      </c>
      <c r="D149" s="4" t="s">
        <v>0</v>
      </c>
      <c r="AK149" s="25" t="e">
        <f>#REF!+#REF!+#REF!</f>
        <v>#REF!</v>
      </c>
      <c r="AL149" s="25" t="e">
        <f>#REF!+#REF!+#REF!</f>
        <v>#REF!</v>
      </c>
      <c r="AM149" s="25" t="e">
        <f>#REF!+#REF!+#REF!</f>
        <v>#REF!</v>
      </c>
      <c r="AN149" s="25" t="e">
        <f>#REF!+#REF!+#REF!</f>
        <v>#REF!</v>
      </c>
    </row>
    <row r="150" spans="1:40">
      <c r="B150" s="4" t="s">
        <v>591</v>
      </c>
      <c r="C150" s="4" t="s">
        <v>195</v>
      </c>
      <c r="D150" s="4" t="s">
        <v>0</v>
      </c>
      <c r="AK150" s="25" t="e">
        <f>AK151-AK147-AK148-AK149</f>
        <v>#REF!</v>
      </c>
      <c r="AL150" s="25" t="e">
        <f>AL151-AL147-AL148-AL149</f>
        <v>#REF!</v>
      </c>
      <c r="AM150" s="25" t="e">
        <f>AM151-AM147-AM148-AM149</f>
        <v>#REF!</v>
      </c>
      <c r="AN150" s="25" t="e">
        <f>AN151-AN147-AN148-AN149</f>
        <v>#REF!</v>
      </c>
    </row>
    <row r="151" spans="1:40">
      <c r="B151" s="4" t="s">
        <v>590</v>
      </c>
      <c r="C151" s="4" t="s">
        <v>194</v>
      </c>
      <c r="D151" s="4" t="s">
        <v>0</v>
      </c>
      <c r="AK151" s="25" t="e">
        <f>#REF!</f>
        <v>#REF!</v>
      </c>
      <c r="AL151" s="25" t="e">
        <f>#REF!</f>
        <v>#REF!</v>
      </c>
      <c r="AM151" s="25" t="e">
        <f>#REF!</f>
        <v>#REF!</v>
      </c>
      <c r="AN151" s="25" t="e">
        <f>#REF!</f>
        <v>#REF!</v>
      </c>
    </row>
    <row r="152" spans="1:40">
      <c r="B152" s="4" t="s">
        <v>589</v>
      </c>
      <c r="C152" s="4" t="s">
        <v>193</v>
      </c>
      <c r="D152" s="4" t="s">
        <v>0</v>
      </c>
      <c r="AK152" s="25" t="e">
        <f>AK153-AK151-AK146-AK141</f>
        <v>#REF!</v>
      </c>
      <c r="AL152" s="25" t="e">
        <f>AL153-AL151-AL146-AL141</f>
        <v>#REF!</v>
      </c>
      <c r="AM152" s="25" t="e">
        <f>AM153-AM151-AM146-AM141</f>
        <v>#REF!</v>
      </c>
      <c r="AN152" s="25" t="e">
        <f>AN153-AN151-AN146-AN141</f>
        <v>#REF!</v>
      </c>
    </row>
    <row r="153" spans="1:40">
      <c r="B153" s="4" t="s">
        <v>588</v>
      </c>
      <c r="C153" s="4" t="s">
        <v>192</v>
      </c>
      <c r="D153" s="4" t="s">
        <v>0</v>
      </c>
      <c r="AK153" s="25" t="e">
        <f>AK90-#REF!</f>
        <v>#REF!</v>
      </c>
      <c r="AL153" s="25" t="e">
        <f>AL90-AK90</f>
        <v>#REF!</v>
      </c>
      <c r="AM153" s="25" t="e">
        <f>AM90-AL90</f>
        <v>#REF!</v>
      </c>
      <c r="AN153" s="25" t="e">
        <f>AN90-AM90</f>
        <v>#REF!</v>
      </c>
    </row>
    <row r="154" spans="1:40" ht="11.25"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40" s="8" customFormat="1" ht="15.75">
      <c r="A155" s="8" t="s">
        <v>587</v>
      </c>
      <c r="D155" s="9" t="s">
        <v>586</v>
      </c>
    </row>
    <row r="156" spans="1:40">
      <c r="B156" s="4" t="s">
        <v>585</v>
      </c>
      <c r="C156" s="4" t="s">
        <v>191</v>
      </c>
      <c r="D156" s="4" t="s">
        <v>0</v>
      </c>
      <c r="AK156" s="24"/>
      <c r="AL156" s="24"/>
      <c r="AM156" s="24"/>
      <c r="AN156" s="24"/>
    </row>
    <row r="157" spans="1:40">
      <c r="B157" s="4" t="s">
        <v>584</v>
      </c>
      <c r="C157" s="4" t="s">
        <v>190</v>
      </c>
      <c r="D157" s="4" t="s">
        <v>0</v>
      </c>
      <c r="AK157" s="24"/>
      <c r="AL157" s="24"/>
      <c r="AM157" s="24"/>
      <c r="AN157" s="24"/>
    </row>
    <row r="158" spans="1:40">
      <c r="B158" s="4" t="s">
        <v>583</v>
      </c>
      <c r="C158" s="4" t="s">
        <v>189</v>
      </c>
      <c r="D158" s="4" t="s">
        <v>0</v>
      </c>
      <c r="AK158" s="24"/>
      <c r="AL158" s="24"/>
      <c r="AM158" s="24"/>
      <c r="AN158" s="24"/>
    </row>
    <row r="159" spans="1:40">
      <c r="B159" s="4" t="s">
        <v>582</v>
      </c>
      <c r="C159" s="4" t="s">
        <v>188</v>
      </c>
      <c r="D159" s="4" t="s">
        <v>0</v>
      </c>
      <c r="AK159" s="24"/>
      <c r="AL159" s="24"/>
      <c r="AM159" s="24"/>
      <c r="AN159" s="24"/>
    </row>
    <row r="160" spans="1:40">
      <c r="B160" s="4" t="s">
        <v>581</v>
      </c>
      <c r="C160" s="4" t="s">
        <v>187</v>
      </c>
      <c r="D160" s="4" t="s">
        <v>0</v>
      </c>
      <c r="AK160" s="24"/>
      <c r="AL160" s="24"/>
      <c r="AM160" s="24"/>
      <c r="AN160" s="24"/>
    </row>
    <row r="161" spans="1:40" s="1" customFormat="1" ht="12.75">
      <c r="B161" s="1" t="s">
        <v>580</v>
      </c>
      <c r="C161" s="1" t="s">
        <v>186</v>
      </c>
      <c r="D161" s="1" t="s">
        <v>0</v>
      </c>
      <c r="AK161" s="7"/>
      <c r="AL161" s="7"/>
      <c r="AM161" s="7"/>
      <c r="AN161" s="7"/>
    </row>
    <row r="162" spans="1:40">
      <c r="B162" s="4" t="s">
        <v>579</v>
      </c>
      <c r="C162" s="4" t="s">
        <v>185</v>
      </c>
      <c r="D162" s="4" t="s">
        <v>0</v>
      </c>
      <c r="AK162" s="24"/>
      <c r="AL162" s="24"/>
      <c r="AM162" s="24"/>
      <c r="AN162" s="24"/>
    </row>
    <row r="163" spans="1:40">
      <c r="B163" s="4" t="s">
        <v>578</v>
      </c>
      <c r="C163" s="4" t="s">
        <v>184</v>
      </c>
      <c r="D163" s="4" t="s">
        <v>0</v>
      </c>
      <c r="AK163" s="24"/>
      <c r="AL163" s="24"/>
      <c r="AM163" s="24"/>
      <c r="AN163" s="24"/>
    </row>
    <row r="164" spans="1:40">
      <c r="B164" s="4" t="s">
        <v>577</v>
      </c>
      <c r="C164" s="4" t="s">
        <v>183</v>
      </c>
      <c r="D164" s="4" t="s">
        <v>0</v>
      </c>
      <c r="AK164" s="24"/>
      <c r="AL164" s="24"/>
      <c r="AM164" s="24"/>
      <c r="AN164" s="24"/>
    </row>
    <row r="165" spans="1:40">
      <c r="B165" s="4" t="s">
        <v>576</v>
      </c>
      <c r="C165" s="4" t="s">
        <v>182</v>
      </c>
      <c r="D165" s="4" t="s">
        <v>0</v>
      </c>
      <c r="AK165" s="24"/>
      <c r="AL165" s="24"/>
      <c r="AM165" s="24"/>
      <c r="AN165" s="24"/>
    </row>
    <row r="166" spans="1:40">
      <c r="B166" s="4" t="s">
        <v>575</v>
      </c>
      <c r="C166" s="4" t="s">
        <v>181</v>
      </c>
      <c r="D166" s="4" t="s">
        <v>0</v>
      </c>
      <c r="AK166" s="24"/>
      <c r="AL166" s="24"/>
      <c r="AM166" s="24"/>
      <c r="AN166" s="24"/>
    </row>
    <row r="167" spans="1:40">
      <c r="B167" s="4" t="s">
        <v>574</v>
      </c>
      <c r="C167" s="4" t="s">
        <v>180</v>
      </c>
      <c r="D167" s="4" t="s">
        <v>0</v>
      </c>
      <c r="AK167" s="24"/>
      <c r="AL167" s="24"/>
      <c r="AM167" s="24"/>
      <c r="AN167" s="24"/>
    </row>
    <row r="168" spans="1:40">
      <c r="B168" s="4" t="s">
        <v>573</v>
      </c>
      <c r="C168" s="4" t="s">
        <v>179</v>
      </c>
      <c r="D168" s="4" t="s">
        <v>0</v>
      </c>
      <c r="AK168" s="24"/>
      <c r="AL168" s="24"/>
      <c r="AM168" s="24"/>
      <c r="AN168" s="24"/>
    </row>
    <row r="169" spans="1:40" ht="11.25"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40" s="8" customFormat="1" ht="15.75">
      <c r="A170" s="8" t="s">
        <v>572</v>
      </c>
      <c r="D170" s="9" t="s">
        <v>571</v>
      </c>
    </row>
    <row r="171" spans="1:40">
      <c r="B171" s="4" t="s">
        <v>570</v>
      </c>
      <c r="C171" s="4" t="s">
        <v>178</v>
      </c>
      <c r="AK171" s="24"/>
      <c r="AL171" s="24"/>
      <c r="AM171" s="24"/>
      <c r="AN171" s="24"/>
    </row>
    <row r="172" spans="1:40">
      <c r="B172" s="4" t="s">
        <v>569</v>
      </c>
      <c r="C172" s="4" t="s">
        <v>177</v>
      </c>
    </row>
    <row r="173" spans="1:40">
      <c r="B173" s="4" t="s">
        <v>568</v>
      </c>
      <c r="C173" s="4" t="s">
        <v>176</v>
      </c>
    </row>
    <row r="174" spans="1:40">
      <c r="B174" s="4" t="s">
        <v>567</v>
      </c>
      <c r="C174" s="4" t="s">
        <v>175</v>
      </c>
    </row>
    <row r="175" spans="1:40" ht="11.25"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40" s="21" customFormat="1" ht="15.75">
      <c r="A176" s="21" t="s">
        <v>566</v>
      </c>
      <c r="D176" s="23" t="s">
        <v>565</v>
      </c>
      <c r="P176" s="22"/>
      <c r="S176" s="22"/>
      <c r="V176" s="22"/>
      <c r="Y176" s="22"/>
      <c r="AB176" s="22"/>
      <c r="AE176" s="22"/>
      <c r="AF176" s="22"/>
      <c r="AG176" s="22"/>
      <c r="AH176" s="22"/>
      <c r="AI176" s="22"/>
      <c r="AJ176" s="22"/>
    </row>
    <row r="177" spans="2:36" s="10" customFormat="1" ht="11.25">
      <c r="B177" s="10" t="s">
        <v>564</v>
      </c>
      <c r="E177" s="20"/>
      <c r="P177" s="19"/>
      <c r="S177" s="19"/>
      <c r="V177" s="19"/>
      <c r="Y177" s="19"/>
      <c r="AB177" s="19"/>
      <c r="AE177" s="19"/>
      <c r="AF177" s="19"/>
      <c r="AG177" s="19"/>
      <c r="AH177" s="19"/>
      <c r="AI177" s="19"/>
      <c r="AJ177" s="19"/>
    </row>
    <row r="178" spans="2:36" s="10" customFormat="1" ht="11.25">
      <c r="B178" s="10" t="s">
        <v>563</v>
      </c>
      <c r="D178" s="10" t="s">
        <v>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1"/>
      <c r="Q178" s="12"/>
      <c r="R178" s="12"/>
      <c r="S178" s="11"/>
      <c r="T178" s="12"/>
      <c r="U178" s="12"/>
      <c r="V178" s="11"/>
      <c r="W178" s="12"/>
      <c r="X178" s="12"/>
      <c r="Y178" s="11"/>
      <c r="Z178" s="12"/>
      <c r="AA178" s="12"/>
      <c r="AB178" s="11"/>
      <c r="AC178" s="12"/>
      <c r="AD178" s="12"/>
      <c r="AE178" s="11"/>
      <c r="AF178" s="11"/>
      <c r="AG178" s="11"/>
      <c r="AH178" s="11"/>
      <c r="AI178" s="11"/>
      <c r="AJ178" s="11"/>
    </row>
    <row r="179" spans="2:36" s="10" customFormat="1" ht="11.25">
      <c r="B179" s="10" t="s">
        <v>562</v>
      </c>
      <c r="D179" s="10" t="s">
        <v>0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1"/>
      <c r="Q179" s="12"/>
      <c r="R179" s="12"/>
      <c r="S179" s="11"/>
      <c r="T179" s="12"/>
      <c r="U179" s="12"/>
      <c r="V179" s="11"/>
      <c r="W179" s="12"/>
      <c r="X179" s="12"/>
      <c r="Y179" s="11"/>
      <c r="Z179" s="12"/>
      <c r="AA179" s="12"/>
      <c r="AB179" s="11"/>
      <c r="AC179" s="12"/>
      <c r="AD179" s="12"/>
      <c r="AE179" s="11"/>
      <c r="AF179" s="11"/>
      <c r="AG179" s="11"/>
      <c r="AH179" s="11"/>
      <c r="AI179" s="11"/>
      <c r="AJ179" s="11"/>
    </row>
    <row r="180" spans="2:36" s="10" customFormat="1" ht="11.25">
      <c r="B180" s="10" t="s">
        <v>561</v>
      </c>
      <c r="D180" s="10" t="s">
        <v>0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1"/>
      <c r="Q180" s="12"/>
      <c r="R180" s="12"/>
      <c r="S180" s="11"/>
      <c r="T180" s="12"/>
      <c r="U180" s="12"/>
      <c r="V180" s="11"/>
      <c r="W180" s="12"/>
      <c r="X180" s="12"/>
      <c r="Y180" s="11"/>
      <c r="Z180" s="12"/>
      <c r="AA180" s="12"/>
      <c r="AB180" s="11"/>
      <c r="AC180" s="12"/>
      <c r="AD180" s="12"/>
      <c r="AE180" s="11"/>
      <c r="AF180" s="11"/>
      <c r="AG180" s="11"/>
      <c r="AH180" s="11"/>
      <c r="AI180" s="11"/>
      <c r="AJ180" s="11"/>
    </row>
    <row r="181" spans="2:36" s="10" customFormat="1" ht="11.25">
      <c r="B181" s="10" t="s">
        <v>560</v>
      </c>
      <c r="D181" s="10" t="s">
        <v>0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1"/>
      <c r="Q181" s="12"/>
      <c r="R181" s="12"/>
      <c r="S181" s="11"/>
      <c r="T181" s="12"/>
      <c r="U181" s="12"/>
      <c r="V181" s="11"/>
      <c r="W181" s="12"/>
      <c r="X181" s="12"/>
      <c r="Y181" s="11"/>
      <c r="Z181" s="12"/>
      <c r="AA181" s="12"/>
      <c r="AB181" s="11"/>
      <c r="AC181" s="12"/>
      <c r="AD181" s="12"/>
      <c r="AE181" s="11"/>
      <c r="AF181" s="11"/>
      <c r="AG181" s="11"/>
      <c r="AH181" s="11"/>
      <c r="AI181" s="11"/>
      <c r="AJ181" s="11"/>
    </row>
    <row r="182" spans="2:36" s="10" customFormat="1" ht="11.25">
      <c r="B182" s="10" t="s">
        <v>559</v>
      </c>
      <c r="D182" s="10" t="s">
        <v>0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1"/>
      <c r="Q182" s="12"/>
      <c r="R182" s="12"/>
      <c r="S182" s="11"/>
      <c r="T182" s="12"/>
      <c r="U182" s="12"/>
      <c r="V182" s="11"/>
      <c r="W182" s="12"/>
      <c r="X182" s="12"/>
      <c r="Y182" s="11"/>
      <c r="Z182" s="12"/>
      <c r="AA182" s="12"/>
      <c r="AB182" s="11"/>
      <c r="AC182" s="12"/>
      <c r="AD182" s="12"/>
      <c r="AE182" s="11"/>
      <c r="AF182" s="11"/>
      <c r="AG182" s="11"/>
      <c r="AH182" s="11"/>
      <c r="AI182" s="11"/>
      <c r="AJ182" s="11"/>
    </row>
    <row r="183" spans="2:36" s="10" customFormat="1" ht="11.25">
      <c r="B183" s="10" t="s">
        <v>558</v>
      </c>
      <c r="D183" s="10" t="s">
        <v>0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1"/>
      <c r="Q183" s="12"/>
      <c r="R183" s="12"/>
      <c r="S183" s="11"/>
      <c r="T183" s="12"/>
      <c r="U183" s="12"/>
      <c r="V183" s="11"/>
      <c r="W183" s="12"/>
      <c r="X183" s="12"/>
      <c r="Y183" s="11"/>
      <c r="Z183" s="12"/>
      <c r="AA183" s="12"/>
      <c r="AB183" s="11"/>
      <c r="AC183" s="12"/>
      <c r="AD183" s="12"/>
      <c r="AE183" s="11"/>
      <c r="AF183" s="11"/>
      <c r="AG183" s="11"/>
      <c r="AH183" s="11"/>
      <c r="AI183" s="11"/>
      <c r="AJ183" s="11"/>
    </row>
    <row r="184" spans="2:36" s="10" customFormat="1" ht="11.25">
      <c r="B184" s="10" t="s">
        <v>557</v>
      </c>
      <c r="D184" s="10" t="s">
        <v>0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7"/>
      <c r="Q184" s="18"/>
      <c r="R184" s="18"/>
      <c r="S184" s="17"/>
      <c r="T184" s="18"/>
      <c r="U184" s="18"/>
      <c r="V184" s="17"/>
      <c r="W184" s="18"/>
      <c r="X184" s="18"/>
      <c r="Y184" s="17"/>
      <c r="Z184" s="18"/>
      <c r="AA184" s="18"/>
      <c r="AB184" s="17"/>
      <c r="AC184" s="18"/>
      <c r="AD184" s="18"/>
      <c r="AE184" s="17"/>
      <c r="AF184" s="17"/>
      <c r="AG184" s="17"/>
      <c r="AH184" s="17"/>
      <c r="AI184" s="17"/>
      <c r="AJ184" s="17"/>
    </row>
    <row r="185" spans="2:36" s="10" customFormat="1" ht="11.25">
      <c r="B185" s="10" t="s">
        <v>556</v>
      </c>
      <c r="D185" s="10" t="s">
        <v>0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1"/>
      <c r="Q185" s="12"/>
      <c r="R185" s="12"/>
      <c r="S185" s="11"/>
      <c r="T185" s="12"/>
      <c r="U185" s="12"/>
      <c r="V185" s="11"/>
      <c r="W185" s="12"/>
      <c r="X185" s="12"/>
      <c r="Y185" s="11"/>
      <c r="Z185" s="12"/>
      <c r="AA185" s="12"/>
      <c r="AB185" s="11"/>
      <c r="AC185" s="12"/>
      <c r="AD185" s="12"/>
      <c r="AE185" s="11"/>
      <c r="AF185" s="11"/>
      <c r="AG185" s="11"/>
      <c r="AH185" s="11"/>
      <c r="AI185" s="11"/>
      <c r="AJ185" s="11"/>
    </row>
    <row r="186" spans="2:36" s="10" customFormat="1" ht="11.25">
      <c r="B186" s="10" t="s">
        <v>555</v>
      </c>
      <c r="D186" s="10" t="s">
        <v>0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1"/>
      <c r="Q186" s="12"/>
      <c r="R186" s="12"/>
      <c r="S186" s="11"/>
      <c r="T186" s="12"/>
      <c r="U186" s="12"/>
      <c r="V186" s="11"/>
      <c r="W186" s="12"/>
      <c r="X186" s="12"/>
      <c r="Y186" s="11"/>
      <c r="Z186" s="12"/>
      <c r="AA186" s="12"/>
      <c r="AB186" s="11"/>
      <c r="AC186" s="12"/>
      <c r="AD186" s="12"/>
      <c r="AE186" s="11"/>
      <c r="AF186" s="11"/>
      <c r="AG186" s="11"/>
      <c r="AH186" s="11"/>
      <c r="AI186" s="11"/>
      <c r="AJ186" s="11"/>
    </row>
    <row r="187" spans="2:36" s="10" customFormat="1" ht="11.25">
      <c r="B187" s="10" t="s">
        <v>554</v>
      </c>
      <c r="D187" s="10" t="s">
        <v>0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1"/>
      <c r="Q187" s="12"/>
      <c r="R187" s="12"/>
      <c r="S187" s="11"/>
      <c r="T187" s="12"/>
      <c r="U187" s="12"/>
      <c r="V187" s="11"/>
      <c r="W187" s="12"/>
      <c r="X187" s="12"/>
      <c r="Y187" s="11"/>
      <c r="Z187" s="12"/>
      <c r="AA187" s="12"/>
      <c r="AB187" s="11"/>
      <c r="AC187" s="12"/>
      <c r="AD187" s="12"/>
      <c r="AE187" s="11"/>
      <c r="AF187" s="11"/>
      <c r="AG187" s="11"/>
      <c r="AH187" s="11"/>
      <c r="AI187" s="11"/>
      <c r="AJ187" s="11"/>
    </row>
    <row r="188" spans="2:36" s="10" customFormat="1" ht="11.25">
      <c r="B188" s="10" t="s">
        <v>553</v>
      </c>
      <c r="D188" s="10" t="s">
        <v>0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1"/>
      <c r="Q188" s="12"/>
      <c r="R188" s="12"/>
      <c r="S188" s="11"/>
      <c r="T188" s="12"/>
      <c r="U188" s="12"/>
      <c r="V188" s="11"/>
      <c r="W188" s="12"/>
      <c r="X188" s="12"/>
      <c r="Y188" s="11"/>
      <c r="Z188" s="12"/>
      <c r="AA188" s="12"/>
      <c r="AB188" s="11"/>
      <c r="AC188" s="12"/>
      <c r="AD188" s="12"/>
      <c r="AE188" s="11"/>
      <c r="AF188" s="11"/>
      <c r="AG188" s="11"/>
      <c r="AH188" s="11"/>
      <c r="AI188" s="11"/>
      <c r="AJ188" s="11"/>
    </row>
    <row r="189" spans="2:36" s="10" customFormat="1" ht="11.25">
      <c r="B189" s="10" t="s">
        <v>552</v>
      </c>
      <c r="D189" s="10" t="s">
        <v>0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1"/>
      <c r="Q189" s="12"/>
      <c r="R189" s="12"/>
      <c r="S189" s="11"/>
      <c r="T189" s="12"/>
      <c r="U189" s="12"/>
      <c r="V189" s="11"/>
      <c r="W189" s="12"/>
      <c r="X189" s="12"/>
      <c r="Y189" s="11"/>
      <c r="Z189" s="12"/>
      <c r="AA189" s="12"/>
      <c r="AB189" s="11"/>
      <c r="AC189" s="12"/>
      <c r="AD189" s="12"/>
      <c r="AE189" s="11"/>
      <c r="AF189" s="11"/>
      <c r="AG189" s="11"/>
      <c r="AH189" s="11"/>
      <c r="AI189" s="11"/>
      <c r="AJ189" s="11"/>
    </row>
    <row r="190" spans="2:36" s="10" customFormat="1" ht="11.25">
      <c r="B190" s="10" t="s">
        <v>551</v>
      </c>
      <c r="D190" s="10" t="s">
        <v>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1"/>
      <c r="Q190" s="12"/>
      <c r="R190" s="12"/>
      <c r="S190" s="11"/>
      <c r="T190" s="12"/>
      <c r="U190" s="12"/>
      <c r="V190" s="11"/>
      <c r="W190" s="12"/>
      <c r="X190" s="12"/>
      <c r="Y190" s="11"/>
      <c r="Z190" s="12"/>
      <c r="AA190" s="12"/>
      <c r="AB190" s="11"/>
      <c r="AC190" s="12"/>
      <c r="AD190" s="12"/>
      <c r="AE190" s="11"/>
      <c r="AF190" s="11"/>
      <c r="AG190" s="11"/>
      <c r="AH190" s="11"/>
      <c r="AI190" s="11"/>
      <c r="AJ190" s="11"/>
    </row>
    <row r="191" spans="2:36" s="10" customFormat="1" ht="11.25">
      <c r="B191" s="10" t="s">
        <v>550</v>
      </c>
      <c r="D191" s="10" t="s">
        <v>0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1"/>
      <c r="Q191" s="12"/>
      <c r="R191" s="12"/>
      <c r="S191" s="11"/>
      <c r="T191" s="12"/>
      <c r="U191" s="12"/>
      <c r="V191" s="11"/>
      <c r="W191" s="12"/>
      <c r="X191" s="12"/>
      <c r="Y191" s="11"/>
      <c r="Z191" s="12"/>
      <c r="AA191" s="12"/>
      <c r="AB191" s="11"/>
      <c r="AC191" s="12"/>
      <c r="AD191" s="12"/>
      <c r="AE191" s="11"/>
      <c r="AF191" s="11"/>
      <c r="AG191" s="11"/>
      <c r="AH191" s="11"/>
      <c r="AI191" s="11"/>
      <c r="AJ191" s="11"/>
    </row>
    <row r="192" spans="2:36" s="10" customFormat="1" ht="11.25">
      <c r="B192" s="10" t="s">
        <v>549</v>
      </c>
      <c r="D192" s="10" t="s">
        <v>0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1"/>
      <c r="Q192" s="12"/>
      <c r="R192" s="12"/>
      <c r="S192" s="11"/>
      <c r="T192" s="12"/>
      <c r="U192" s="12"/>
      <c r="V192" s="11"/>
      <c r="W192" s="12"/>
      <c r="X192" s="12"/>
      <c r="Y192" s="11"/>
      <c r="Z192" s="12"/>
      <c r="AA192" s="12"/>
      <c r="AB192" s="11"/>
      <c r="AC192" s="12"/>
      <c r="AD192" s="12"/>
      <c r="AE192" s="11"/>
      <c r="AF192" s="11"/>
      <c r="AG192" s="11"/>
      <c r="AH192" s="11"/>
      <c r="AI192" s="11"/>
      <c r="AJ192" s="11"/>
    </row>
    <row r="193" spans="2:36" s="10" customFormat="1" ht="11.25">
      <c r="B193" s="10" t="s">
        <v>548</v>
      </c>
      <c r="D193" s="10" t="s">
        <v>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1"/>
      <c r="Q193" s="12"/>
      <c r="R193" s="12"/>
      <c r="S193" s="11"/>
      <c r="T193" s="12"/>
      <c r="U193" s="12"/>
      <c r="V193" s="11"/>
      <c r="W193" s="12"/>
      <c r="X193" s="12"/>
      <c r="Y193" s="11"/>
      <c r="Z193" s="12"/>
      <c r="AA193" s="12"/>
      <c r="AB193" s="11"/>
      <c r="AC193" s="12"/>
      <c r="AD193" s="12"/>
      <c r="AE193" s="11"/>
      <c r="AF193" s="11"/>
      <c r="AG193" s="11"/>
      <c r="AH193" s="11"/>
      <c r="AI193" s="11"/>
      <c r="AJ193" s="11"/>
    </row>
    <row r="194" spans="2:36" s="10" customFormat="1" ht="11.25">
      <c r="B194" s="10" t="s">
        <v>547</v>
      </c>
      <c r="D194" s="10" t="s">
        <v>0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1"/>
      <c r="Q194" s="12"/>
      <c r="R194" s="12"/>
      <c r="S194" s="11"/>
      <c r="T194" s="12"/>
      <c r="U194" s="12"/>
      <c r="V194" s="11"/>
      <c r="W194" s="12"/>
      <c r="X194" s="12"/>
      <c r="Y194" s="11"/>
      <c r="Z194" s="12"/>
      <c r="AA194" s="12"/>
      <c r="AB194" s="11"/>
      <c r="AC194" s="12"/>
      <c r="AD194" s="12"/>
      <c r="AE194" s="11"/>
      <c r="AF194" s="11"/>
      <c r="AG194" s="11"/>
      <c r="AH194" s="11"/>
      <c r="AI194" s="11"/>
      <c r="AJ194" s="11"/>
    </row>
    <row r="195" spans="2:36" s="10" customFormat="1" ht="11.25">
      <c r="B195" s="10" t="s">
        <v>546</v>
      </c>
      <c r="D195" s="10" t="s">
        <v>0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1"/>
      <c r="Q195" s="12"/>
      <c r="R195" s="12"/>
      <c r="S195" s="11"/>
      <c r="T195" s="12"/>
      <c r="U195" s="12"/>
      <c r="V195" s="11"/>
      <c r="W195" s="12"/>
      <c r="X195" s="12"/>
      <c r="Y195" s="11"/>
      <c r="Z195" s="12"/>
      <c r="AA195" s="12"/>
      <c r="AB195" s="11"/>
      <c r="AC195" s="12"/>
      <c r="AD195" s="12"/>
      <c r="AE195" s="11"/>
      <c r="AF195" s="11"/>
      <c r="AG195" s="11"/>
      <c r="AH195" s="11"/>
      <c r="AI195" s="11"/>
      <c r="AJ195" s="11"/>
    </row>
    <row r="196" spans="2:36" s="10" customFormat="1" ht="11.25">
      <c r="B196" s="10" t="s">
        <v>545</v>
      </c>
      <c r="D196" s="10" t="s">
        <v>0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1"/>
      <c r="Q196" s="12"/>
      <c r="R196" s="12"/>
      <c r="S196" s="11"/>
      <c r="T196" s="12"/>
      <c r="U196" s="12"/>
      <c r="V196" s="11"/>
      <c r="W196" s="12"/>
      <c r="X196" s="12"/>
      <c r="Y196" s="11"/>
      <c r="Z196" s="12"/>
      <c r="AA196" s="12"/>
      <c r="AB196" s="11"/>
      <c r="AC196" s="12"/>
      <c r="AD196" s="12"/>
      <c r="AE196" s="11"/>
      <c r="AF196" s="11"/>
      <c r="AG196" s="11"/>
      <c r="AH196" s="11"/>
      <c r="AI196" s="11"/>
      <c r="AJ196" s="11"/>
    </row>
    <row r="197" spans="2:36" s="10" customFormat="1" ht="11.25">
      <c r="B197" s="10" t="s">
        <v>544</v>
      </c>
      <c r="D197" s="10" t="s">
        <v>0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1"/>
      <c r="Q197" s="12"/>
      <c r="R197" s="12"/>
      <c r="S197" s="11"/>
      <c r="T197" s="12"/>
      <c r="U197" s="12"/>
      <c r="V197" s="11"/>
      <c r="W197" s="12"/>
      <c r="X197" s="12"/>
      <c r="Y197" s="11"/>
      <c r="Z197" s="12"/>
      <c r="AA197" s="12"/>
      <c r="AB197" s="11"/>
      <c r="AC197" s="12"/>
      <c r="AD197" s="12"/>
      <c r="AE197" s="11"/>
      <c r="AF197" s="11"/>
      <c r="AG197" s="11"/>
      <c r="AH197" s="11"/>
      <c r="AI197" s="11"/>
      <c r="AJ197" s="11"/>
    </row>
    <row r="198" spans="2:36" s="10" customFormat="1" ht="11.25">
      <c r="B198" s="10" t="s">
        <v>543</v>
      </c>
      <c r="D198" s="10" t="s">
        <v>0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1"/>
      <c r="Q198" s="12"/>
      <c r="R198" s="12"/>
      <c r="S198" s="11"/>
      <c r="T198" s="12"/>
      <c r="U198" s="12"/>
      <c r="V198" s="11"/>
      <c r="W198" s="12"/>
      <c r="X198" s="12"/>
      <c r="Y198" s="11"/>
      <c r="Z198" s="12"/>
      <c r="AA198" s="12"/>
      <c r="AB198" s="11"/>
      <c r="AC198" s="12"/>
      <c r="AD198" s="12"/>
      <c r="AE198" s="11"/>
      <c r="AF198" s="11"/>
      <c r="AG198" s="11"/>
      <c r="AH198" s="11"/>
      <c r="AI198" s="11"/>
      <c r="AJ198" s="11"/>
    </row>
    <row r="199" spans="2:36" s="10" customFormat="1" ht="11.25">
      <c r="B199" s="10" t="s">
        <v>542</v>
      </c>
      <c r="D199" s="10" t="s">
        <v>0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1"/>
      <c r="Q199" s="12"/>
      <c r="R199" s="12"/>
      <c r="S199" s="11"/>
      <c r="T199" s="12"/>
      <c r="U199" s="12"/>
      <c r="V199" s="11"/>
      <c r="W199" s="12"/>
      <c r="X199" s="12"/>
      <c r="Y199" s="11"/>
      <c r="Z199" s="12"/>
      <c r="AA199" s="12"/>
      <c r="AB199" s="11"/>
      <c r="AC199" s="12"/>
      <c r="AD199" s="12"/>
      <c r="AE199" s="11"/>
      <c r="AF199" s="11"/>
      <c r="AG199" s="11"/>
      <c r="AH199" s="11"/>
      <c r="AI199" s="11"/>
      <c r="AJ199" s="11"/>
    </row>
    <row r="200" spans="2:36" s="10" customFormat="1" ht="11.25">
      <c r="B200" s="10" t="s">
        <v>541</v>
      </c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5"/>
      <c r="Q200" s="16"/>
      <c r="R200" s="16"/>
      <c r="S200" s="15"/>
      <c r="T200" s="16"/>
      <c r="U200" s="16"/>
      <c r="V200" s="15"/>
      <c r="W200" s="16"/>
      <c r="X200" s="16"/>
      <c r="Y200" s="15"/>
      <c r="Z200" s="16"/>
      <c r="AA200" s="16"/>
      <c r="AB200" s="15"/>
      <c r="AC200" s="16"/>
      <c r="AD200" s="16"/>
      <c r="AE200" s="15"/>
      <c r="AF200" s="15"/>
      <c r="AG200" s="15"/>
      <c r="AH200" s="15"/>
      <c r="AI200" s="15"/>
      <c r="AJ200" s="15"/>
    </row>
    <row r="201" spans="2:36" s="10" customFormat="1" ht="11.25">
      <c r="B201" s="10" t="s">
        <v>540</v>
      </c>
      <c r="D201" s="10" t="s">
        <v>0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1"/>
      <c r="Q201" s="12"/>
      <c r="R201" s="12"/>
      <c r="S201" s="11"/>
      <c r="T201" s="12"/>
      <c r="U201" s="12"/>
      <c r="V201" s="11"/>
      <c r="W201" s="12"/>
      <c r="X201" s="12"/>
      <c r="Y201" s="11"/>
      <c r="Z201" s="12"/>
      <c r="AA201" s="12"/>
      <c r="AB201" s="11"/>
      <c r="AC201" s="12"/>
      <c r="AD201" s="12"/>
      <c r="AE201" s="11"/>
      <c r="AF201" s="11"/>
      <c r="AG201" s="11"/>
      <c r="AH201" s="11"/>
      <c r="AI201" s="11"/>
      <c r="AJ201" s="11"/>
    </row>
    <row r="202" spans="2:36" s="10" customFormat="1" ht="11.25">
      <c r="B202" s="10" t="s">
        <v>539</v>
      </c>
      <c r="D202" s="10" t="s">
        <v>0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1"/>
      <c r="Q202" s="12"/>
      <c r="R202" s="12"/>
      <c r="S202" s="11"/>
      <c r="T202" s="12"/>
      <c r="U202" s="12"/>
      <c r="V202" s="11"/>
      <c r="W202" s="12"/>
      <c r="X202" s="12"/>
      <c r="Y202" s="11"/>
      <c r="Z202" s="12"/>
      <c r="AA202" s="12"/>
      <c r="AB202" s="11"/>
      <c r="AC202" s="12"/>
      <c r="AD202" s="12"/>
      <c r="AE202" s="11"/>
      <c r="AF202" s="11"/>
      <c r="AG202" s="11"/>
      <c r="AH202" s="11"/>
      <c r="AI202" s="11"/>
      <c r="AJ202" s="11"/>
    </row>
    <row r="203" spans="2:36" s="10" customFormat="1" ht="11.25">
      <c r="B203" s="10" t="s">
        <v>538</v>
      </c>
      <c r="D203" s="10" t="s">
        <v>0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1"/>
      <c r="Q203" s="12"/>
      <c r="R203" s="12"/>
      <c r="S203" s="11"/>
      <c r="T203" s="12"/>
      <c r="U203" s="12"/>
      <c r="V203" s="11"/>
      <c r="W203" s="12"/>
      <c r="X203" s="12"/>
      <c r="Y203" s="11"/>
      <c r="Z203" s="12"/>
      <c r="AA203" s="12"/>
      <c r="AB203" s="11"/>
      <c r="AC203" s="12"/>
      <c r="AD203" s="12"/>
      <c r="AE203" s="11"/>
      <c r="AF203" s="11"/>
      <c r="AG203" s="11"/>
      <c r="AH203" s="11"/>
      <c r="AI203" s="11"/>
      <c r="AJ203" s="11"/>
    </row>
    <row r="204" spans="2:36" s="10" customFormat="1" ht="11.25">
      <c r="B204" s="10" t="s">
        <v>537</v>
      </c>
      <c r="D204" s="10" t="s">
        <v>0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1"/>
      <c r="Q204" s="12"/>
      <c r="R204" s="12"/>
      <c r="S204" s="11"/>
      <c r="T204" s="12"/>
      <c r="U204" s="12"/>
      <c r="V204" s="11"/>
      <c r="W204" s="12"/>
      <c r="X204" s="12"/>
      <c r="Y204" s="11"/>
      <c r="Z204" s="12"/>
      <c r="AA204" s="12"/>
      <c r="AB204" s="11"/>
      <c r="AC204" s="12"/>
      <c r="AD204" s="12"/>
      <c r="AE204" s="11"/>
      <c r="AF204" s="11"/>
      <c r="AG204" s="11"/>
      <c r="AH204" s="11"/>
      <c r="AI204" s="11"/>
      <c r="AJ204" s="11"/>
    </row>
    <row r="205" spans="2:36" s="10" customFormat="1" ht="11.25">
      <c r="B205" s="10" t="s">
        <v>536</v>
      </c>
      <c r="D205" s="10" t="s">
        <v>0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1"/>
      <c r="Q205" s="12"/>
      <c r="R205" s="12"/>
      <c r="S205" s="11"/>
      <c r="T205" s="12"/>
      <c r="U205" s="12"/>
      <c r="V205" s="11"/>
      <c r="W205" s="12"/>
      <c r="X205" s="12"/>
      <c r="Y205" s="11"/>
      <c r="Z205" s="12"/>
      <c r="AA205" s="12"/>
      <c r="AB205" s="11"/>
      <c r="AC205" s="12"/>
      <c r="AD205" s="12"/>
      <c r="AE205" s="11"/>
      <c r="AF205" s="11"/>
      <c r="AG205" s="11"/>
      <c r="AH205" s="11"/>
      <c r="AI205" s="11"/>
      <c r="AJ205" s="11"/>
    </row>
    <row r="206" spans="2:36" s="10" customFormat="1" ht="11.25">
      <c r="B206" s="10" t="s">
        <v>535</v>
      </c>
      <c r="D206" s="10" t="s">
        <v>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1"/>
      <c r="Q206" s="12"/>
      <c r="R206" s="12"/>
      <c r="S206" s="11"/>
      <c r="T206" s="12"/>
      <c r="U206" s="12"/>
      <c r="V206" s="11"/>
      <c r="W206" s="12"/>
      <c r="X206" s="12"/>
      <c r="Y206" s="11"/>
      <c r="Z206" s="12"/>
      <c r="AA206" s="12"/>
      <c r="AB206" s="11"/>
      <c r="AC206" s="12"/>
      <c r="AD206" s="12"/>
      <c r="AE206" s="11"/>
      <c r="AF206" s="11"/>
      <c r="AG206" s="11"/>
      <c r="AH206" s="11"/>
      <c r="AI206" s="11"/>
      <c r="AJ206" s="11"/>
    </row>
    <row r="207" spans="2:36" s="10" customFormat="1" ht="11.25">
      <c r="B207" s="10" t="s">
        <v>534</v>
      </c>
      <c r="D207" s="10" t="s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1"/>
      <c r="Q207" s="12"/>
      <c r="R207" s="12"/>
      <c r="S207" s="11"/>
      <c r="T207" s="12"/>
      <c r="U207" s="12"/>
      <c r="V207" s="11"/>
      <c r="W207" s="12"/>
      <c r="X207" s="12"/>
      <c r="Y207" s="11"/>
      <c r="Z207" s="12"/>
      <c r="AA207" s="12"/>
      <c r="AB207" s="11"/>
      <c r="AC207" s="12"/>
      <c r="AD207" s="12"/>
      <c r="AE207" s="11"/>
      <c r="AF207" s="11"/>
      <c r="AG207" s="11"/>
      <c r="AH207" s="11"/>
      <c r="AI207" s="11"/>
      <c r="AJ207" s="11"/>
    </row>
    <row r="208" spans="2:36" s="10" customFormat="1" ht="11.25">
      <c r="B208" s="10" t="s">
        <v>533</v>
      </c>
      <c r="D208" s="10" t="s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1"/>
      <c r="Q208" s="12"/>
      <c r="R208" s="12"/>
      <c r="S208" s="11"/>
      <c r="T208" s="12"/>
      <c r="U208" s="12"/>
      <c r="V208" s="11"/>
      <c r="W208" s="12"/>
      <c r="X208" s="12"/>
      <c r="Y208" s="11"/>
      <c r="Z208" s="12"/>
      <c r="AA208" s="12"/>
      <c r="AB208" s="11"/>
      <c r="AC208" s="12"/>
      <c r="AD208" s="12"/>
      <c r="AE208" s="11"/>
      <c r="AF208" s="11"/>
      <c r="AG208" s="11"/>
      <c r="AH208" s="11"/>
      <c r="AI208" s="11"/>
      <c r="AJ208" s="11"/>
    </row>
    <row r="209" spans="2:36" s="10" customFormat="1" ht="11.25">
      <c r="B209" s="10" t="s">
        <v>532</v>
      </c>
      <c r="D209" s="10" t="s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1"/>
      <c r="Q209" s="12"/>
      <c r="R209" s="12"/>
      <c r="S209" s="11"/>
      <c r="T209" s="12"/>
      <c r="U209" s="12"/>
      <c r="V209" s="11"/>
      <c r="W209" s="12"/>
      <c r="X209" s="12"/>
      <c r="Y209" s="11"/>
      <c r="Z209" s="12"/>
      <c r="AA209" s="12"/>
      <c r="AB209" s="11"/>
      <c r="AC209" s="12"/>
      <c r="AD209" s="12"/>
      <c r="AE209" s="11"/>
      <c r="AF209" s="11"/>
      <c r="AG209" s="11"/>
      <c r="AH209" s="11"/>
      <c r="AI209" s="11"/>
      <c r="AJ209" s="11"/>
    </row>
    <row r="210" spans="2:36" s="10" customFormat="1" ht="11.25">
      <c r="B210" s="10" t="s">
        <v>531</v>
      </c>
      <c r="D210" s="10" t="s">
        <v>0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1"/>
      <c r="Q210" s="12"/>
      <c r="R210" s="12"/>
      <c r="S210" s="11"/>
      <c r="T210" s="12"/>
      <c r="U210" s="12"/>
      <c r="V210" s="11"/>
      <c r="W210" s="12"/>
      <c r="X210" s="12"/>
      <c r="Y210" s="11"/>
      <c r="Z210" s="12"/>
      <c r="AA210" s="12"/>
      <c r="AB210" s="11"/>
      <c r="AC210" s="12"/>
      <c r="AD210" s="12"/>
      <c r="AE210" s="11"/>
      <c r="AF210" s="11"/>
      <c r="AG210" s="11"/>
      <c r="AH210" s="11"/>
      <c r="AI210" s="11"/>
      <c r="AJ210" s="11"/>
    </row>
    <row r="211" spans="2:36" s="10" customFormat="1" ht="11.25">
      <c r="B211" s="10" t="s">
        <v>530</v>
      </c>
      <c r="D211" s="10" t="s">
        <v>0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1"/>
      <c r="Q211" s="12"/>
      <c r="R211" s="12"/>
      <c r="S211" s="11"/>
      <c r="T211" s="12"/>
      <c r="U211" s="12"/>
      <c r="V211" s="11"/>
      <c r="W211" s="12"/>
      <c r="X211" s="12"/>
      <c r="Y211" s="11"/>
      <c r="Z211" s="12"/>
      <c r="AA211" s="12"/>
      <c r="AB211" s="11"/>
      <c r="AC211" s="12"/>
      <c r="AD211" s="12"/>
      <c r="AE211" s="11"/>
      <c r="AF211" s="11"/>
      <c r="AG211" s="11"/>
      <c r="AH211" s="11"/>
      <c r="AI211" s="11"/>
      <c r="AJ211" s="11"/>
    </row>
    <row r="212" spans="2:36" s="10" customFormat="1" ht="11.25">
      <c r="B212" s="10" t="s">
        <v>529</v>
      </c>
      <c r="D212" s="10" t="s">
        <v>0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1"/>
      <c r="Q212" s="12"/>
      <c r="R212" s="12"/>
      <c r="S212" s="11"/>
      <c r="T212" s="12"/>
      <c r="U212" s="12"/>
      <c r="V212" s="11"/>
      <c r="W212" s="12"/>
      <c r="X212" s="12"/>
      <c r="Y212" s="11"/>
      <c r="Z212" s="12"/>
      <c r="AA212" s="12"/>
      <c r="AB212" s="11"/>
      <c r="AC212" s="12"/>
      <c r="AD212" s="12"/>
      <c r="AE212" s="11"/>
      <c r="AF212" s="11"/>
      <c r="AG212" s="11"/>
      <c r="AH212" s="11"/>
      <c r="AI212" s="11"/>
      <c r="AJ212" s="11"/>
    </row>
    <row r="213" spans="2:36" s="10" customFormat="1" ht="11.25">
      <c r="B213" s="10" t="s">
        <v>528</v>
      </c>
      <c r="D213" s="10" t="s">
        <v>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1"/>
      <c r="Q213" s="12"/>
      <c r="R213" s="12"/>
      <c r="S213" s="11"/>
      <c r="T213" s="12"/>
      <c r="U213" s="12"/>
      <c r="V213" s="11"/>
      <c r="W213" s="12"/>
      <c r="X213" s="12"/>
      <c r="Y213" s="11"/>
      <c r="Z213" s="12"/>
      <c r="AA213" s="12"/>
      <c r="AB213" s="11"/>
      <c r="AC213" s="12"/>
      <c r="AD213" s="12"/>
      <c r="AE213" s="11"/>
      <c r="AF213" s="11"/>
      <c r="AG213" s="11"/>
      <c r="AH213" s="11"/>
      <c r="AI213" s="11"/>
      <c r="AJ213" s="11"/>
    </row>
    <row r="214" spans="2:36" s="10" customFormat="1" ht="11.25">
      <c r="B214" s="10" t="s">
        <v>527</v>
      </c>
      <c r="D214" s="10" t="s">
        <v>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1"/>
      <c r="Q214" s="12"/>
      <c r="R214" s="12"/>
      <c r="S214" s="11"/>
      <c r="T214" s="12"/>
      <c r="U214" s="12"/>
      <c r="V214" s="11"/>
      <c r="W214" s="12"/>
      <c r="X214" s="12"/>
      <c r="Y214" s="11"/>
      <c r="Z214" s="12"/>
      <c r="AA214" s="12"/>
      <c r="AB214" s="11"/>
      <c r="AC214" s="12"/>
      <c r="AD214" s="12"/>
      <c r="AE214" s="11"/>
      <c r="AF214" s="11"/>
      <c r="AG214" s="11"/>
      <c r="AH214" s="11"/>
      <c r="AI214" s="11"/>
      <c r="AJ214" s="11"/>
    </row>
    <row r="215" spans="2:36" s="10" customFormat="1" ht="11.25">
      <c r="B215" s="10" t="s">
        <v>526</v>
      </c>
      <c r="D215" s="10" t="s">
        <v>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1"/>
      <c r="Q215" s="12"/>
      <c r="R215" s="12"/>
      <c r="S215" s="11"/>
      <c r="T215" s="12"/>
      <c r="U215" s="12"/>
      <c r="V215" s="11"/>
      <c r="W215" s="12"/>
      <c r="X215" s="12"/>
      <c r="Y215" s="11"/>
      <c r="Z215" s="12"/>
      <c r="AA215" s="12"/>
      <c r="AB215" s="11"/>
      <c r="AC215" s="12"/>
      <c r="AD215" s="12"/>
      <c r="AE215" s="11"/>
      <c r="AF215" s="11"/>
      <c r="AG215" s="11"/>
      <c r="AH215" s="11"/>
      <c r="AI215" s="11"/>
      <c r="AJ215" s="11"/>
    </row>
    <row r="216" spans="2:36" s="10" customFormat="1" ht="11.25">
      <c r="B216" s="10" t="s">
        <v>525</v>
      </c>
      <c r="D216" s="10" t="s">
        <v>0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1"/>
      <c r="Q216" s="12"/>
      <c r="R216" s="12"/>
      <c r="S216" s="11"/>
      <c r="T216" s="12"/>
      <c r="U216" s="12"/>
      <c r="V216" s="11"/>
      <c r="W216" s="12"/>
      <c r="X216" s="12"/>
      <c r="Y216" s="11"/>
      <c r="Z216" s="12"/>
      <c r="AA216" s="12"/>
      <c r="AB216" s="11"/>
      <c r="AC216" s="12"/>
      <c r="AD216" s="12"/>
      <c r="AE216" s="11"/>
      <c r="AF216" s="11"/>
      <c r="AG216" s="11"/>
      <c r="AH216" s="11"/>
      <c r="AI216" s="11"/>
      <c r="AJ216" s="11"/>
    </row>
    <row r="217" spans="2:36" s="10" customFormat="1" ht="11.25">
      <c r="B217" s="10" t="s">
        <v>524</v>
      </c>
      <c r="D217" s="10" t="s">
        <v>0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1"/>
      <c r="Q217" s="12"/>
      <c r="R217" s="12"/>
      <c r="S217" s="11"/>
      <c r="T217" s="12"/>
      <c r="U217" s="12"/>
      <c r="V217" s="11"/>
      <c r="W217" s="12"/>
      <c r="X217" s="12"/>
      <c r="Y217" s="11"/>
      <c r="Z217" s="12"/>
      <c r="AA217" s="12"/>
      <c r="AB217" s="11"/>
      <c r="AC217" s="12"/>
      <c r="AD217" s="12"/>
      <c r="AE217" s="11"/>
      <c r="AF217" s="11"/>
      <c r="AG217" s="11"/>
      <c r="AH217" s="11"/>
      <c r="AI217" s="11"/>
      <c r="AJ217" s="11"/>
    </row>
    <row r="218" spans="2:36" s="10" customFormat="1" ht="11.25">
      <c r="B218" s="10" t="s">
        <v>523</v>
      </c>
      <c r="D218" s="10" t="s">
        <v>0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1"/>
      <c r="Q218" s="12"/>
      <c r="R218" s="12"/>
      <c r="S218" s="11"/>
      <c r="T218" s="12"/>
      <c r="U218" s="12"/>
      <c r="V218" s="11"/>
      <c r="W218" s="12"/>
      <c r="X218" s="12"/>
      <c r="Y218" s="11"/>
      <c r="Z218" s="12"/>
      <c r="AA218" s="12"/>
      <c r="AB218" s="11"/>
      <c r="AC218" s="12"/>
      <c r="AD218" s="12"/>
      <c r="AE218" s="11"/>
      <c r="AF218" s="11"/>
      <c r="AG218" s="11"/>
      <c r="AH218" s="11"/>
      <c r="AI218" s="11"/>
      <c r="AJ218" s="11"/>
    </row>
    <row r="219" spans="2:36" s="10" customFormat="1" ht="11.25">
      <c r="B219" s="10" t="s">
        <v>522</v>
      </c>
      <c r="D219" s="10" t="s">
        <v>0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1"/>
      <c r="Q219" s="12"/>
      <c r="R219" s="12"/>
      <c r="S219" s="11"/>
      <c r="T219" s="12"/>
      <c r="U219" s="12"/>
      <c r="V219" s="11"/>
      <c r="W219" s="12"/>
      <c r="X219" s="12"/>
      <c r="Y219" s="11"/>
      <c r="Z219" s="12"/>
      <c r="AA219" s="12"/>
      <c r="AB219" s="11"/>
      <c r="AC219" s="12"/>
      <c r="AD219" s="12"/>
      <c r="AE219" s="11"/>
      <c r="AF219" s="11"/>
      <c r="AG219" s="11"/>
      <c r="AH219" s="11"/>
      <c r="AI219" s="11"/>
      <c r="AJ219" s="11"/>
    </row>
    <row r="220" spans="2:36" s="10" customFormat="1" ht="11.25">
      <c r="B220" s="10" t="s">
        <v>521</v>
      </c>
      <c r="D220" s="10" t="s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1"/>
      <c r="Q220" s="12"/>
      <c r="R220" s="12"/>
      <c r="S220" s="11"/>
      <c r="T220" s="12"/>
      <c r="U220" s="12"/>
      <c r="V220" s="11"/>
      <c r="W220" s="12"/>
      <c r="X220" s="12"/>
      <c r="Y220" s="11"/>
      <c r="Z220" s="12"/>
      <c r="AA220" s="12"/>
      <c r="AB220" s="11"/>
      <c r="AC220" s="12"/>
      <c r="AD220" s="12"/>
      <c r="AE220" s="11"/>
      <c r="AF220" s="11"/>
      <c r="AG220" s="11"/>
      <c r="AH220" s="11"/>
      <c r="AI220" s="11"/>
      <c r="AJ220" s="11"/>
    </row>
    <row r="221" spans="2:36" s="10" customFormat="1" ht="11.25">
      <c r="B221" s="10" t="s">
        <v>520</v>
      </c>
      <c r="D221" s="10" t="s">
        <v>0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1"/>
      <c r="Q221" s="12"/>
      <c r="R221" s="12"/>
      <c r="S221" s="11"/>
      <c r="T221" s="12"/>
      <c r="U221" s="12"/>
      <c r="V221" s="11"/>
      <c r="W221" s="12"/>
      <c r="X221" s="12"/>
      <c r="Y221" s="11"/>
      <c r="Z221" s="12"/>
      <c r="AA221" s="12"/>
      <c r="AB221" s="11"/>
      <c r="AC221" s="12"/>
      <c r="AD221" s="12"/>
      <c r="AE221" s="11"/>
      <c r="AF221" s="11"/>
      <c r="AG221" s="11"/>
      <c r="AH221" s="11"/>
      <c r="AI221" s="11"/>
      <c r="AJ221" s="11"/>
    </row>
    <row r="222" spans="2:36" s="10" customFormat="1" ht="11.25">
      <c r="B222" s="10" t="s">
        <v>519</v>
      </c>
      <c r="D222" s="10" t="s">
        <v>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1"/>
      <c r="Q222" s="12"/>
      <c r="R222" s="12"/>
      <c r="S222" s="11"/>
      <c r="T222" s="12"/>
      <c r="U222" s="12"/>
      <c r="V222" s="11"/>
      <c r="W222" s="12"/>
      <c r="X222" s="12"/>
      <c r="Y222" s="11"/>
      <c r="Z222" s="12"/>
      <c r="AA222" s="12"/>
      <c r="AB222" s="11"/>
      <c r="AC222" s="12"/>
      <c r="AD222" s="12"/>
      <c r="AE222" s="11"/>
      <c r="AF222" s="11"/>
      <c r="AG222" s="11"/>
      <c r="AH222" s="11"/>
      <c r="AI222" s="11"/>
      <c r="AJ222" s="11"/>
    </row>
    <row r="223" spans="2:36" s="10" customFormat="1" ht="11.25">
      <c r="B223" s="10" t="s">
        <v>518</v>
      </c>
      <c r="D223" s="10" t="s">
        <v>0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1"/>
      <c r="Q223" s="12"/>
      <c r="R223" s="12"/>
      <c r="S223" s="11"/>
      <c r="T223" s="12"/>
      <c r="U223" s="12"/>
      <c r="V223" s="11"/>
      <c r="W223" s="12"/>
      <c r="X223" s="12"/>
      <c r="Y223" s="11"/>
      <c r="Z223" s="12"/>
      <c r="AA223" s="12"/>
      <c r="AB223" s="11"/>
      <c r="AC223" s="12"/>
      <c r="AD223" s="12"/>
      <c r="AE223" s="11"/>
      <c r="AF223" s="11"/>
      <c r="AG223" s="11"/>
      <c r="AH223" s="11"/>
      <c r="AI223" s="11"/>
      <c r="AJ223" s="11"/>
    </row>
    <row r="224" spans="2:36" s="10" customFormat="1" ht="11.25">
      <c r="B224" s="10" t="s">
        <v>517</v>
      </c>
      <c r="D224" s="10" t="s">
        <v>0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1"/>
      <c r="Q224" s="12"/>
      <c r="R224" s="12"/>
      <c r="S224" s="11"/>
      <c r="T224" s="12"/>
      <c r="U224" s="12"/>
      <c r="V224" s="11"/>
      <c r="W224" s="12"/>
      <c r="X224" s="12"/>
      <c r="Y224" s="11"/>
      <c r="Z224" s="12"/>
      <c r="AA224" s="12"/>
      <c r="AB224" s="11"/>
      <c r="AC224" s="12"/>
      <c r="AD224" s="12"/>
      <c r="AE224" s="11"/>
      <c r="AF224" s="11"/>
      <c r="AG224" s="11"/>
      <c r="AH224" s="11"/>
      <c r="AI224" s="11"/>
      <c r="AJ224" s="11"/>
    </row>
    <row r="225" spans="1:40" s="10" customFormat="1" ht="11.25">
      <c r="B225" s="10" t="s">
        <v>516</v>
      </c>
      <c r="D225" s="10" t="s">
        <v>0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1"/>
      <c r="Q225" s="12"/>
      <c r="R225" s="12"/>
      <c r="S225" s="11"/>
      <c r="T225" s="12"/>
      <c r="U225" s="12"/>
      <c r="V225" s="11"/>
      <c r="W225" s="12"/>
      <c r="X225" s="12"/>
      <c r="Y225" s="11"/>
      <c r="Z225" s="12"/>
      <c r="AA225" s="12"/>
      <c r="AB225" s="11"/>
      <c r="AC225" s="12"/>
      <c r="AD225" s="12"/>
      <c r="AE225" s="11"/>
      <c r="AF225" s="11"/>
      <c r="AG225" s="11"/>
      <c r="AH225" s="11"/>
      <c r="AI225" s="11"/>
      <c r="AJ225" s="11"/>
    </row>
    <row r="226" spans="1:40" s="10" customFormat="1" ht="11.25">
      <c r="B226" s="10" t="s">
        <v>515</v>
      </c>
      <c r="D226" s="10" t="s">
        <v>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1"/>
      <c r="Q226" s="12"/>
      <c r="R226" s="12"/>
      <c r="S226" s="11"/>
      <c r="T226" s="12"/>
      <c r="U226" s="12"/>
      <c r="V226" s="11"/>
      <c r="W226" s="12"/>
      <c r="X226" s="12"/>
      <c r="Y226" s="11"/>
      <c r="Z226" s="12"/>
      <c r="AA226" s="12"/>
      <c r="AB226" s="11"/>
      <c r="AC226" s="12"/>
      <c r="AD226" s="12"/>
      <c r="AE226" s="11"/>
      <c r="AF226" s="11"/>
      <c r="AG226" s="11"/>
      <c r="AH226" s="11"/>
      <c r="AI226" s="11"/>
      <c r="AJ226" s="11"/>
    </row>
    <row r="227" spans="1:40" s="10" customFormat="1" ht="11.25">
      <c r="B227" s="10" t="s">
        <v>514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3"/>
      <c r="Q227" s="14"/>
      <c r="R227" s="14"/>
      <c r="S227" s="13"/>
      <c r="T227" s="14"/>
      <c r="U227" s="14"/>
      <c r="V227" s="13"/>
      <c r="W227" s="14"/>
      <c r="X227" s="14"/>
      <c r="Y227" s="13"/>
      <c r="Z227" s="14"/>
      <c r="AA227" s="14"/>
      <c r="AB227" s="13"/>
      <c r="AC227" s="14"/>
      <c r="AD227" s="14"/>
      <c r="AE227" s="13"/>
      <c r="AF227" s="13"/>
      <c r="AG227" s="13"/>
      <c r="AH227" s="13"/>
      <c r="AI227" s="13"/>
      <c r="AJ227" s="13"/>
    </row>
    <row r="228" spans="1:40" s="10" customFormat="1" ht="11.25">
      <c r="B228" s="10" t="s">
        <v>513</v>
      </c>
      <c r="D228" s="10" t="s">
        <v>0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1"/>
      <c r="Q228" s="12"/>
      <c r="R228" s="12"/>
      <c r="S228" s="11"/>
      <c r="T228" s="12"/>
      <c r="U228" s="12"/>
      <c r="V228" s="11"/>
      <c r="W228" s="12"/>
      <c r="X228" s="12"/>
      <c r="Y228" s="11"/>
      <c r="Z228" s="12"/>
      <c r="AA228" s="12"/>
      <c r="AB228" s="11"/>
      <c r="AC228" s="12"/>
      <c r="AD228" s="12"/>
      <c r="AE228" s="11"/>
      <c r="AF228" s="11"/>
      <c r="AG228" s="11"/>
      <c r="AH228" s="11"/>
      <c r="AI228" s="11"/>
      <c r="AJ228" s="11"/>
    </row>
    <row r="229" spans="1:40" s="10" customFormat="1" ht="11.25">
      <c r="B229" s="10" t="s">
        <v>512</v>
      </c>
      <c r="D229" s="10" t="s">
        <v>0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1"/>
      <c r="Q229" s="12"/>
      <c r="R229" s="12"/>
      <c r="S229" s="11"/>
      <c r="T229" s="12"/>
      <c r="U229" s="12"/>
      <c r="V229" s="11"/>
      <c r="W229" s="12"/>
      <c r="X229" s="12"/>
      <c r="Y229" s="11"/>
      <c r="Z229" s="12"/>
      <c r="AA229" s="12"/>
      <c r="AB229" s="11"/>
      <c r="AC229" s="12"/>
      <c r="AD229" s="12"/>
      <c r="AE229" s="11"/>
      <c r="AF229" s="11"/>
      <c r="AG229" s="11"/>
      <c r="AH229" s="11"/>
      <c r="AI229" s="11"/>
      <c r="AJ229" s="11"/>
    </row>
    <row r="230" spans="1:40" s="10" customFormat="1" ht="11.25">
      <c r="B230" s="10" t="s">
        <v>511</v>
      </c>
      <c r="D230" s="10" t="s">
        <v>0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1"/>
      <c r="Q230" s="12"/>
      <c r="R230" s="12"/>
      <c r="S230" s="11"/>
      <c r="T230" s="12"/>
      <c r="U230" s="12"/>
      <c r="V230" s="11"/>
      <c r="W230" s="12"/>
      <c r="X230" s="12"/>
      <c r="Y230" s="11"/>
      <c r="Z230" s="12"/>
      <c r="AA230" s="12"/>
      <c r="AB230" s="11"/>
      <c r="AC230" s="12"/>
      <c r="AD230" s="12"/>
      <c r="AE230" s="11"/>
      <c r="AF230" s="11"/>
      <c r="AG230" s="11"/>
      <c r="AH230" s="11"/>
      <c r="AI230" s="11"/>
      <c r="AJ230" s="11"/>
    </row>
    <row r="231" spans="1:40" s="10" customFormat="1" ht="11.25">
      <c r="B231" s="10" t="s">
        <v>510</v>
      </c>
      <c r="D231" s="10" t="s">
        <v>0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1"/>
      <c r="Q231" s="12"/>
      <c r="R231" s="12"/>
      <c r="S231" s="11"/>
      <c r="T231" s="12"/>
      <c r="U231" s="12"/>
      <c r="V231" s="11"/>
      <c r="W231" s="12"/>
      <c r="X231" s="12"/>
      <c r="Y231" s="11"/>
      <c r="Z231" s="12"/>
      <c r="AA231" s="12"/>
      <c r="AB231" s="11"/>
      <c r="AC231" s="12"/>
      <c r="AD231" s="12"/>
      <c r="AE231" s="11"/>
      <c r="AF231" s="11"/>
      <c r="AG231" s="11"/>
      <c r="AH231" s="11"/>
      <c r="AI231" s="11"/>
      <c r="AJ231" s="11"/>
    </row>
    <row r="232" spans="1:40" s="10" customFormat="1" ht="11.25">
      <c r="B232" s="10" t="s">
        <v>509</v>
      </c>
      <c r="D232" s="10" t="s">
        <v>0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1"/>
      <c r="Q232" s="12"/>
      <c r="R232" s="12"/>
      <c r="S232" s="11"/>
      <c r="T232" s="12"/>
      <c r="U232" s="12"/>
      <c r="V232" s="11"/>
      <c r="W232" s="12"/>
      <c r="X232" s="12"/>
      <c r="Y232" s="11"/>
      <c r="Z232" s="12"/>
      <c r="AA232" s="12"/>
      <c r="AB232" s="11"/>
      <c r="AC232" s="12"/>
      <c r="AD232" s="12"/>
      <c r="AE232" s="11"/>
      <c r="AF232" s="11"/>
      <c r="AG232" s="11"/>
      <c r="AH232" s="11"/>
      <c r="AI232" s="11"/>
      <c r="AJ232" s="11"/>
    </row>
    <row r="233" spans="1:40" ht="11.25"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40" s="8" customFormat="1" ht="15.75">
      <c r="A234" s="8" t="s">
        <v>508</v>
      </c>
      <c r="D234" s="9" t="s">
        <v>507</v>
      </c>
    </row>
    <row r="235" spans="1:40" s="1" customFormat="1" ht="12.75">
      <c r="B235" s="1" t="s">
        <v>506</v>
      </c>
      <c r="C235" s="1" t="s">
        <v>171</v>
      </c>
      <c r="AK235" s="7"/>
      <c r="AL235" s="7"/>
      <c r="AM235" s="7"/>
      <c r="AN235" s="7"/>
    </row>
    <row r="236" spans="1:40" s="1" customFormat="1" ht="12.75">
      <c r="B236" s="1" t="s">
        <v>505</v>
      </c>
      <c r="C236" s="1" t="s">
        <v>170</v>
      </c>
      <c r="AK236" s="7"/>
      <c r="AL236" s="7"/>
      <c r="AM236" s="7"/>
      <c r="AN236" s="7"/>
    </row>
    <row r="237" spans="1:40" s="1" customFormat="1" ht="12.75">
      <c r="B237" s="1" t="s">
        <v>504</v>
      </c>
      <c r="C237" s="1" t="s">
        <v>169</v>
      </c>
      <c r="AK237" s="7"/>
      <c r="AL237" s="7"/>
      <c r="AM237" s="7"/>
      <c r="AN237" s="7"/>
    </row>
    <row r="238" spans="1:40" s="1" customFormat="1" ht="12.75">
      <c r="B238" s="1" t="s">
        <v>503</v>
      </c>
      <c r="C238" s="1" t="s">
        <v>168</v>
      </c>
      <c r="AK238" s="7"/>
      <c r="AL238" s="7"/>
      <c r="AM238" s="7"/>
      <c r="AN238" s="7"/>
    </row>
    <row r="239" spans="1:40" s="1" customFormat="1" ht="12.75">
      <c r="B239" s="1" t="s">
        <v>502</v>
      </c>
      <c r="C239" s="1" t="s">
        <v>167</v>
      </c>
      <c r="AK239" s="7"/>
      <c r="AL239" s="7"/>
      <c r="AM239" s="7"/>
      <c r="AN239" s="7"/>
    </row>
    <row r="240" spans="1:40" s="1" customFormat="1" ht="12.75">
      <c r="B240" s="1" t="s">
        <v>501</v>
      </c>
      <c r="C240" s="1" t="s">
        <v>166</v>
      </c>
      <c r="AK240" s="7"/>
      <c r="AL240" s="7"/>
      <c r="AM240" s="7"/>
      <c r="AN240" s="7"/>
    </row>
    <row r="241" spans="2:40" s="1" customFormat="1" ht="12.75">
      <c r="B241" s="1" t="s">
        <v>500</v>
      </c>
      <c r="C241" s="1" t="s">
        <v>165</v>
      </c>
      <c r="AK241" s="7"/>
      <c r="AL241" s="7"/>
      <c r="AM241" s="7"/>
      <c r="AN241" s="7"/>
    </row>
    <row r="242" spans="2:40" s="1" customFormat="1" ht="12.75">
      <c r="B242" s="1" t="s">
        <v>499</v>
      </c>
      <c r="C242" s="1" t="s">
        <v>164</v>
      </c>
      <c r="AK242" s="7"/>
      <c r="AL242" s="7"/>
      <c r="AM242" s="7"/>
      <c r="AN242" s="7"/>
    </row>
    <row r="243" spans="2:40" s="1" customFormat="1" ht="12.75">
      <c r="B243" s="1" t="s">
        <v>498</v>
      </c>
      <c r="C243" s="1" t="s">
        <v>147</v>
      </c>
      <c r="AK243" s="7"/>
      <c r="AL243" s="7"/>
      <c r="AM243" s="7"/>
      <c r="AN243" s="7"/>
    </row>
    <row r="244" spans="2:40" s="1" customFormat="1" ht="12.75">
      <c r="B244" s="1" t="s">
        <v>497</v>
      </c>
      <c r="C244" s="1" t="s">
        <v>146</v>
      </c>
      <c r="AK244" s="7"/>
      <c r="AL244" s="7"/>
      <c r="AM244" s="7"/>
      <c r="AN244" s="7"/>
    </row>
    <row r="245" spans="2:40" s="1" customFormat="1" ht="12.75">
      <c r="B245" s="1" t="s">
        <v>496</v>
      </c>
      <c r="C245" s="1" t="s">
        <v>145</v>
      </c>
      <c r="AK245" s="7"/>
      <c r="AL245" s="7"/>
      <c r="AM245" s="7"/>
      <c r="AN245" s="7"/>
    </row>
    <row r="246" spans="2:40" s="1" customFormat="1" ht="12.75">
      <c r="B246" s="1" t="s">
        <v>495</v>
      </c>
      <c r="C246" s="1" t="s">
        <v>144</v>
      </c>
      <c r="AK246" s="7"/>
      <c r="AL246" s="7"/>
      <c r="AM246" s="7"/>
      <c r="AN246" s="7"/>
    </row>
    <row r="247" spans="2:40" s="1" customFormat="1" ht="12.75">
      <c r="B247" s="1" t="s">
        <v>494</v>
      </c>
      <c r="C247" s="1" t="s">
        <v>143</v>
      </c>
      <c r="AK247" s="7"/>
      <c r="AL247" s="7"/>
      <c r="AM247" s="7"/>
      <c r="AN247" s="7"/>
    </row>
    <row r="248" spans="2:40" s="1" customFormat="1" ht="12.75">
      <c r="B248" s="1" t="s">
        <v>493</v>
      </c>
      <c r="C248" s="1" t="s">
        <v>142</v>
      </c>
      <c r="AK248" s="7"/>
      <c r="AL248" s="7"/>
      <c r="AM248" s="7"/>
      <c r="AN248" s="7"/>
    </row>
    <row r="249" spans="2:40" s="1" customFormat="1" ht="12.75">
      <c r="B249" s="1" t="s">
        <v>492</v>
      </c>
      <c r="C249" s="1" t="s">
        <v>141</v>
      </c>
      <c r="AK249" s="7"/>
      <c r="AL249" s="7"/>
      <c r="AM249" s="7"/>
      <c r="AN249" s="7"/>
    </row>
    <row r="250" spans="2:40" s="1" customFormat="1" ht="12.75">
      <c r="B250" s="1" t="s">
        <v>491</v>
      </c>
      <c r="C250" s="1" t="s">
        <v>140</v>
      </c>
      <c r="AK250" s="7"/>
      <c r="AL250" s="7"/>
      <c r="AM250" s="7"/>
      <c r="AN250" s="7"/>
    </row>
    <row r="251" spans="2:40" s="1" customFormat="1" ht="12.75">
      <c r="B251" s="1" t="s">
        <v>490</v>
      </c>
      <c r="C251" s="1" t="s">
        <v>139</v>
      </c>
      <c r="AK251" s="7"/>
      <c r="AL251" s="7"/>
      <c r="AM251" s="7"/>
      <c r="AN251" s="7"/>
    </row>
    <row r="252" spans="2:40" s="1" customFormat="1" ht="12.75">
      <c r="B252" s="1" t="s">
        <v>489</v>
      </c>
      <c r="C252" s="1" t="s">
        <v>136</v>
      </c>
      <c r="AK252" s="7"/>
      <c r="AL252" s="7"/>
      <c r="AM252" s="7"/>
      <c r="AN252" s="7"/>
    </row>
    <row r="253" spans="2:40" s="1" customFormat="1" ht="12.75">
      <c r="B253" s="1" t="s">
        <v>488</v>
      </c>
      <c r="C253" s="1" t="s">
        <v>135</v>
      </c>
      <c r="AK253" s="7"/>
      <c r="AL253" s="7"/>
      <c r="AM253" s="7"/>
      <c r="AN253" s="7"/>
    </row>
    <row r="254" spans="2:40" s="1" customFormat="1" ht="12.75">
      <c r="B254" s="1" t="s">
        <v>487</v>
      </c>
      <c r="C254" s="1" t="s">
        <v>97</v>
      </c>
      <c r="AK254" s="7"/>
      <c r="AL254" s="7"/>
      <c r="AM254" s="7"/>
      <c r="AN254" s="7"/>
    </row>
    <row r="255" spans="2:40" s="1" customFormat="1" ht="12.75">
      <c r="B255" s="1" t="s">
        <v>486</v>
      </c>
      <c r="C255" s="1" t="s">
        <v>96</v>
      </c>
      <c r="AK255" s="7"/>
      <c r="AL255" s="7"/>
      <c r="AM255" s="7"/>
      <c r="AN255" s="7"/>
    </row>
    <row r="256" spans="2:40" s="1" customFormat="1" ht="12.75">
      <c r="B256" s="1" t="s">
        <v>485</v>
      </c>
      <c r="C256" s="1" t="s">
        <v>95</v>
      </c>
      <c r="AK256" s="7"/>
      <c r="AL256" s="7"/>
      <c r="AM256" s="7"/>
      <c r="AN256" s="7"/>
    </row>
    <row r="257" spans="2:40" s="1" customFormat="1" ht="12.75">
      <c r="B257" s="1" t="s">
        <v>484</v>
      </c>
      <c r="C257" s="1" t="s">
        <v>94</v>
      </c>
      <c r="AK257" s="7"/>
      <c r="AL257" s="7"/>
      <c r="AM257" s="7"/>
      <c r="AN257" s="7"/>
    </row>
    <row r="258" spans="2:40" s="1" customFormat="1" ht="12.75">
      <c r="B258" s="1" t="s">
        <v>483</v>
      </c>
      <c r="C258" s="1" t="s">
        <v>93</v>
      </c>
      <c r="AK258" s="7"/>
      <c r="AL258" s="7"/>
      <c r="AM258" s="7"/>
      <c r="AN258" s="7"/>
    </row>
    <row r="259" spans="2:40" s="1" customFormat="1" ht="12.75">
      <c r="B259" s="1" t="s">
        <v>482</v>
      </c>
      <c r="C259" s="1" t="s">
        <v>92</v>
      </c>
      <c r="AK259" s="7"/>
      <c r="AL259" s="7"/>
      <c r="AM259" s="7"/>
      <c r="AN259" s="7"/>
    </row>
    <row r="260" spans="2:40" s="1" customFormat="1" ht="12.75">
      <c r="B260" s="1" t="s">
        <v>481</v>
      </c>
      <c r="C260" s="1" t="s">
        <v>91</v>
      </c>
      <c r="AK260" s="7"/>
      <c r="AL260" s="7"/>
      <c r="AM260" s="7"/>
      <c r="AN260" s="7"/>
    </row>
    <row r="261" spans="2:40" s="1" customFormat="1" ht="12.75">
      <c r="B261" s="1" t="s">
        <v>480</v>
      </c>
      <c r="C261" s="1" t="s">
        <v>90</v>
      </c>
      <c r="AK261" s="7"/>
      <c r="AL261" s="7"/>
      <c r="AM261" s="7"/>
      <c r="AN261" s="7"/>
    </row>
    <row r="262" spans="2:40" s="1" customFormat="1" ht="12.75">
      <c r="B262" s="1" t="s">
        <v>479</v>
      </c>
      <c r="C262" s="1" t="s">
        <v>73</v>
      </c>
      <c r="AK262" s="7"/>
      <c r="AL262" s="7"/>
      <c r="AM262" s="7"/>
      <c r="AN262" s="7"/>
    </row>
    <row r="263" spans="2:40" s="1" customFormat="1" ht="12.75">
      <c r="B263" s="1" t="s">
        <v>478</v>
      </c>
      <c r="C263" s="1" t="s">
        <v>72</v>
      </c>
      <c r="AK263" s="7"/>
      <c r="AL263" s="7"/>
      <c r="AM263" s="7"/>
      <c r="AN263" s="7"/>
    </row>
    <row r="264" spans="2:40" s="1" customFormat="1" ht="12.75">
      <c r="B264" s="1" t="s">
        <v>477</v>
      </c>
      <c r="C264" s="1" t="s">
        <v>71</v>
      </c>
      <c r="AK264" s="7"/>
      <c r="AL264" s="7"/>
      <c r="AM264" s="7"/>
      <c r="AN264" s="7"/>
    </row>
    <row r="265" spans="2:40" s="1" customFormat="1" ht="12.75">
      <c r="B265" s="1" t="s">
        <v>476</v>
      </c>
      <c r="C265" s="1" t="s">
        <v>70</v>
      </c>
      <c r="AK265" s="7"/>
      <c r="AL265" s="7"/>
      <c r="AM265" s="7"/>
      <c r="AN265" s="7"/>
    </row>
    <row r="266" spans="2:40" s="1" customFormat="1" ht="12.75">
      <c r="B266" s="1" t="s">
        <v>475</v>
      </c>
      <c r="C266" s="1" t="s">
        <v>69</v>
      </c>
      <c r="AK266" s="7"/>
      <c r="AL266" s="7"/>
      <c r="AM266" s="7"/>
      <c r="AN266" s="7"/>
    </row>
    <row r="267" spans="2:40" s="1" customFormat="1" ht="12.75">
      <c r="B267" s="1" t="s">
        <v>474</v>
      </c>
      <c r="C267" s="1" t="s">
        <v>68</v>
      </c>
      <c r="AK267" s="7"/>
      <c r="AL267" s="7"/>
      <c r="AM267" s="7"/>
      <c r="AN267" s="7"/>
    </row>
    <row r="268" spans="2:40" s="1" customFormat="1" ht="12.75">
      <c r="B268" s="1" t="s">
        <v>473</v>
      </c>
      <c r="C268" s="1" t="s">
        <v>67</v>
      </c>
      <c r="AK268" s="7"/>
      <c r="AL268" s="7"/>
      <c r="AM268" s="7"/>
      <c r="AN268" s="7"/>
    </row>
    <row r="269" spans="2:40" s="1" customFormat="1" ht="12.75">
      <c r="B269" s="1" t="s">
        <v>472</v>
      </c>
      <c r="C269" s="1" t="s">
        <v>66</v>
      </c>
      <c r="AK269" s="7"/>
      <c r="AL269" s="7"/>
      <c r="AM269" s="7"/>
      <c r="AN269" s="7"/>
    </row>
    <row r="270" spans="2:40" s="1" customFormat="1" ht="12.75">
      <c r="B270" s="1" t="s">
        <v>471</v>
      </c>
      <c r="C270" s="1" t="s">
        <v>65</v>
      </c>
      <c r="AK270" s="7"/>
      <c r="AL270" s="7"/>
      <c r="AM270" s="7"/>
      <c r="AN270" s="7"/>
    </row>
    <row r="271" spans="2:40" s="1" customFormat="1" ht="12.75">
      <c r="B271" s="1" t="s">
        <v>470</v>
      </c>
      <c r="C271" s="1" t="s">
        <v>62</v>
      </c>
      <c r="AK271" s="7"/>
      <c r="AL271" s="7"/>
      <c r="AM271" s="7"/>
      <c r="AN271" s="7"/>
    </row>
    <row r="272" spans="2:40" s="1" customFormat="1" ht="12.75">
      <c r="B272" s="1" t="s">
        <v>469</v>
      </c>
      <c r="C272" s="1" t="s">
        <v>61</v>
      </c>
      <c r="AK272" s="7"/>
      <c r="AL272" s="7"/>
      <c r="AM272" s="7"/>
      <c r="AN272" s="7"/>
    </row>
    <row r="273" spans="2:40" s="1" customFormat="1" ht="12.75">
      <c r="B273" s="1" t="s">
        <v>468</v>
      </c>
      <c r="C273" s="1" t="s">
        <v>60</v>
      </c>
      <c r="AK273" s="7"/>
      <c r="AL273" s="7"/>
      <c r="AM273" s="7"/>
      <c r="AN273" s="7"/>
    </row>
    <row r="274" spans="2:40" s="1" customFormat="1" ht="12.75">
      <c r="B274" s="1" t="s">
        <v>467</v>
      </c>
      <c r="C274" s="1" t="s">
        <v>59</v>
      </c>
      <c r="AK274" s="7"/>
      <c r="AL274" s="7"/>
      <c r="AM274" s="7"/>
      <c r="AN274" s="7"/>
    </row>
    <row r="275" spans="2:40" s="1" customFormat="1" ht="12.75">
      <c r="B275" s="1" t="s">
        <v>466</v>
      </c>
      <c r="C275" s="1" t="s">
        <v>58</v>
      </c>
      <c r="AK275" s="7"/>
      <c r="AL275" s="7"/>
      <c r="AM275" s="7"/>
      <c r="AN275" s="7"/>
    </row>
    <row r="276" spans="2:40" s="1" customFormat="1" ht="12.75">
      <c r="B276" s="1" t="s">
        <v>465</v>
      </c>
      <c r="C276" s="1" t="s">
        <v>57</v>
      </c>
      <c r="AK276" s="7"/>
      <c r="AL276" s="7"/>
      <c r="AM276" s="7"/>
      <c r="AN276" s="7"/>
    </row>
    <row r="277" spans="2:40" s="1" customFormat="1" ht="12.75">
      <c r="B277" s="1" t="s">
        <v>464</v>
      </c>
      <c r="C277" s="1" t="s">
        <v>56</v>
      </c>
      <c r="AK277" s="7"/>
      <c r="AL277" s="7"/>
      <c r="AM277" s="7"/>
      <c r="AN277" s="7"/>
    </row>
    <row r="278" spans="2:40" s="1" customFormat="1" ht="12.75">
      <c r="B278" s="1" t="s">
        <v>463</v>
      </c>
      <c r="C278" s="1" t="s">
        <v>55</v>
      </c>
      <c r="AK278" s="7"/>
      <c r="AL278" s="7"/>
      <c r="AM278" s="7"/>
      <c r="AN278" s="7"/>
    </row>
    <row r="279" spans="2:40" s="1" customFormat="1" ht="12.75">
      <c r="B279" s="1" t="s">
        <v>462</v>
      </c>
      <c r="C279" s="1" t="s">
        <v>54</v>
      </c>
      <c r="AK279" s="7"/>
      <c r="AL279" s="7"/>
      <c r="AM279" s="7"/>
      <c r="AN279" s="7"/>
    </row>
    <row r="280" spans="2:40" s="1" customFormat="1" ht="12.75">
      <c r="B280" s="1" t="s">
        <v>461</v>
      </c>
      <c r="C280" s="1" t="s">
        <v>53</v>
      </c>
      <c r="AK280" s="7"/>
      <c r="AL280" s="7"/>
      <c r="AM280" s="7"/>
      <c r="AN280" s="7"/>
    </row>
    <row r="281" spans="2:40" s="1" customFormat="1" ht="12.75">
      <c r="B281" s="1" t="s">
        <v>460</v>
      </c>
      <c r="C281" s="1" t="s">
        <v>52</v>
      </c>
      <c r="AK281" s="7"/>
      <c r="AL281" s="7"/>
      <c r="AM281" s="7"/>
      <c r="AN281" s="7"/>
    </row>
    <row r="282" spans="2:40" s="1" customFormat="1" ht="12.75">
      <c r="B282" s="1" t="s">
        <v>459</v>
      </c>
      <c r="C282" s="1" t="s">
        <v>51</v>
      </c>
      <c r="AK282" s="7"/>
      <c r="AL282" s="7"/>
      <c r="AM282" s="7"/>
      <c r="AN282" s="7"/>
    </row>
    <row r="283" spans="2:40" s="1" customFormat="1" ht="12.75">
      <c r="B283" s="1" t="s">
        <v>458</v>
      </c>
      <c r="C283" s="1" t="s">
        <v>50</v>
      </c>
      <c r="AK283" s="7"/>
      <c r="AL283" s="7"/>
      <c r="AM283" s="7"/>
      <c r="AN283" s="7"/>
    </row>
    <row r="284" spans="2:40" s="1" customFormat="1" ht="12.75">
      <c r="B284" s="1" t="s">
        <v>457</v>
      </c>
      <c r="C284" s="1" t="s">
        <v>49</v>
      </c>
      <c r="AK284" s="7"/>
      <c r="AL284" s="7"/>
      <c r="AM284" s="7"/>
      <c r="AN284" s="7"/>
    </row>
    <row r="285" spans="2:40" s="1" customFormat="1" ht="12.75">
      <c r="B285" s="1" t="s">
        <v>456</v>
      </c>
      <c r="C285" s="1" t="s">
        <v>48</v>
      </c>
      <c r="AK285" s="7"/>
      <c r="AL285" s="7"/>
      <c r="AM285" s="7"/>
      <c r="AN285" s="7"/>
    </row>
    <row r="286" spans="2:40" s="1" customFormat="1" ht="12.75">
      <c r="B286" s="1" t="s">
        <v>455</v>
      </c>
      <c r="C286" s="1" t="s">
        <v>47</v>
      </c>
      <c r="AK286" s="7"/>
      <c r="AL286" s="7"/>
      <c r="AM286" s="7"/>
      <c r="AN286" s="7"/>
    </row>
    <row r="287" spans="2:40" s="1" customFormat="1" ht="12.75">
      <c r="B287" s="1" t="s">
        <v>454</v>
      </c>
      <c r="C287" s="1" t="s">
        <v>46</v>
      </c>
      <c r="AK287" s="7"/>
      <c r="AL287" s="7"/>
      <c r="AM287" s="7"/>
      <c r="AN287" s="7"/>
    </row>
    <row r="288" spans="2:40" s="1" customFormat="1" ht="12.75">
      <c r="B288" s="1" t="s">
        <v>453</v>
      </c>
      <c r="C288" s="1" t="s">
        <v>45</v>
      </c>
      <c r="AK288" s="7"/>
      <c r="AL288" s="7"/>
      <c r="AM288" s="7"/>
      <c r="AN288" s="7"/>
    </row>
    <row r="289" spans="2:40" s="1" customFormat="1" ht="12.75">
      <c r="B289" s="1" t="s">
        <v>452</v>
      </c>
      <c r="C289" s="1" t="s">
        <v>44</v>
      </c>
      <c r="AK289" s="7"/>
      <c r="AL289" s="7"/>
      <c r="AM289" s="7"/>
      <c r="AN289" s="7"/>
    </row>
    <row r="290" spans="2:40" s="1" customFormat="1" ht="12.75">
      <c r="B290" s="1" t="s">
        <v>451</v>
      </c>
      <c r="C290" s="1" t="s">
        <v>43</v>
      </c>
      <c r="AK290" s="7"/>
      <c r="AL290" s="7"/>
      <c r="AM290" s="7"/>
      <c r="AN290" s="7"/>
    </row>
    <row r="291" spans="2:40" s="1" customFormat="1" ht="12.75">
      <c r="B291" s="1" t="s">
        <v>450</v>
      </c>
      <c r="C291" s="1" t="s">
        <v>42</v>
      </c>
      <c r="AK291" s="7"/>
      <c r="AL291" s="7"/>
      <c r="AM291" s="7"/>
      <c r="AN291" s="7"/>
    </row>
    <row r="292" spans="2:40" s="1" customFormat="1" ht="12.75">
      <c r="B292" s="1" t="s">
        <v>449</v>
      </c>
      <c r="C292" s="1" t="s">
        <v>41</v>
      </c>
      <c r="AK292" s="7"/>
      <c r="AL292" s="7"/>
      <c r="AM292" s="7"/>
      <c r="AN292" s="7"/>
    </row>
    <row r="293" spans="2:40" s="1" customFormat="1" ht="12.75">
      <c r="B293" s="1" t="s">
        <v>448</v>
      </c>
      <c r="C293" s="1" t="s">
        <v>40</v>
      </c>
      <c r="AK293" s="7"/>
      <c r="AL293" s="7"/>
      <c r="AM293" s="7"/>
      <c r="AN293" s="7"/>
    </row>
    <row r="294" spans="2:40" s="1" customFormat="1" ht="12.75">
      <c r="B294" s="1" t="s">
        <v>447</v>
      </c>
      <c r="C294" s="1" t="s">
        <v>24</v>
      </c>
      <c r="AK294" s="7"/>
      <c r="AL294" s="7"/>
      <c r="AM294" s="7"/>
      <c r="AN294" s="7"/>
    </row>
    <row r="295" spans="2:40" s="1" customFormat="1" ht="12.75">
      <c r="B295" s="1" t="s">
        <v>446</v>
      </c>
      <c r="C295" s="1" t="s">
        <v>23</v>
      </c>
      <c r="AK295" s="7"/>
      <c r="AL295" s="7"/>
      <c r="AM295" s="7"/>
      <c r="AN295" s="7"/>
    </row>
    <row r="296" spans="2:40" s="1" customFormat="1" ht="12.75">
      <c r="B296" s="1" t="s">
        <v>445</v>
      </c>
      <c r="C296" s="1" t="s">
        <v>22</v>
      </c>
      <c r="AK296" s="7"/>
      <c r="AL296" s="7"/>
      <c r="AM296" s="7"/>
      <c r="AN296" s="7"/>
    </row>
    <row r="297" spans="2:40" s="1" customFormat="1" ht="12.75">
      <c r="B297" s="1" t="s">
        <v>444</v>
      </c>
      <c r="C297" s="1" t="s">
        <v>21</v>
      </c>
      <c r="AK297" s="7"/>
      <c r="AL297" s="7"/>
      <c r="AM297" s="7"/>
      <c r="AN297" s="7"/>
    </row>
    <row r="298" spans="2:40" s="1" customFormat="1" ht="12.75">
      <c r="B298" s="1" t="s">
        <v>443</v>
      </c>
      <c r="C298" s="1" t="s">
        <v>20</v>
      </c>
      <c r="AK298" s="7"/>
      <c r="AL298" s="7"/>
      <c r="AM298" s="7"/>
      <c r="AN298" s="7"/>
    </row>
    <row r="299" spans="2:40" s="1" customFormat="1" ht="12.75">
      <c r="B299" s="1" t="s">
        <v>442</v>
      </c>
      <c r="C299" s="1" t="s">
        <v>19</v>
      </c>
      <c r="AK299" s="7"/>
      <c r="AL299" s="7"/>
      <c r="AM299" s="7"/>
      <c r="AN299" s="7"/>
    </row>
    <row r="300" spans="2:40" s="1" customFormat="1" ht="12.75">
      <c r="B300" s="1" t="s">
        <v>441</v>
      </c>
      <c r="C300" s="1" t="s">
        <v>18</v>
      </c>
      <c r="AK300" s="7"/>
      <c r="AL300" s="7"/>
      <c r="AM300" s="7"/>
      <c r="AN300" s="7"/>
    </row>
    <row r="301" spans="2:40" s="1" customFormat="1" ht="12.75">
      <c r="B301" s="1" t="s">
        <v>440</v>
      </c>
      <c r="C301" s="1" t="s">
        <v>17</v>
      </c>
      <c r="AK301" s="7"/>
      <c r="AL301" s="7"/>
      <c r="AM301" s="7"/>
      <c r="AN301" s="7"/>
    </row>
    <row r="302" spans="2:40" s="1" customFormat="1" ht="12.75">
      <c r="B302" s="1" t="s">
        <v>439</v>
      </c>
      <c r="C302" s="1" t="s">
        <v>16</v>
      </c>
      <c r="AK302" s="7"/>
      <c r="AL302" s="7"/>
      <c r="AM302" s="7"/>
      <c r="AN302" s="7"/>
    </row>
    <row r="303" spans="2:40" s="1" customFormat="1" ht="12.75">
      <c r="B303" s="1" t="s">
        <v>438</v>
      </c>
      <c r="C303" s="1" t="s">
        <v>15</v>
      </c>
      <c r="AK303" s="7"/>
      <c r="AL303" s="7"/>
      <c r="AM303" s="7"/>
      <c r="AN303" s="7"/>
    </row>
    <row r="304" spans="2:40" s="1" customFormat="1" ht="12.75">
      <c r="B304" s="1" t="s">
        <v>437</v>
      </c>
      <c r="C304" s="1" t="s">
        <v>14</v>
      </c>
      <c r="AK304" s="7"/>
      <c r="AL304" s="7"/>
      <c r="AM304" s="7"/>
      <c r="AN304" s="7"/>
    </row>
    <row r="305" spans="2:40" s="1" customFormat="1" ht="12.75">
      <c r="B305" s="1" t="s">
        <v>436</v>
      </c>
      <c r="C305" s="1" t="s">
        <v>13</v>
      </c>
      <c r="AK305" s="7"/>
      <c r="AL305" s="7"/>
      <c r="AM305" s="7"/>
      <c r="AN305" s="7"/>
    </row>
    <row r="306" spans="2:40" s="1" customFormat="1" ht="12.75">
      <c r="B306" s="1" t="s">
        <v>435</v>
      </c>
      <c r="C306" s="1" t="s">
        <v>12</v>
      </c>
      <c r="AK306" s="7"/>
      <c r="AL306" s="7"/>
      <c r="AM306" s="7"/>
      <c r="AN306" s="7"/>
    </row>
    <row r="307" spans="2:40" s="1" customFormat="1" ht="12.75">
      <c r="B307" s="1" t="s">
        <v>434</v>
      </c>
      <c r="C307" s="1" t="s">
        <v>11</v>
      </c>
      <c r="AK307" s="7"/>
      <c r="AL307" s="7"/>
      <c r="AM307" s="7"/>
      <c r="AN307" s="7"/>
    </row>
    <row r="308" spans="2:40" s="1" customFormat="1" ht="12.75">
      <c r="B308" s="1" t="s">
        <v>433</v>
      </c>
      <c r="C308" s="1" t="s">
        <v>10</v>
      </c>
      <c r="AK308" s="7"/>
      <c r="AL308" s="7"/>
      <c r="AM308" s="7"/>
      <c r="AN308" s="7"/>
    </row>
    <row r="309" spans="2:40" s="1" customFormat="1" ht="12.75">
      <c r="B309" s="1" t="s">
        <v>432</v>
      </c>
      <c r="C309" s="1" t="s">
        <v>9</v>
      </c>
      <c r="AK309" s="7"/>
      <c r="AL309" s="7"/>
      <c r="AM309" s="7"/>
      <c r="AN309" s="7"/>
    </row>
    <row r="310" spans="2:40" s="1" customFormat="1" ht="12.75">
      <c r="B310" s="1" t="s">
        <v>431</v>
      </c>
      <c r="C310" s="1" t="s">
        <v>8</v>
      </c>
      <c r="AK310" s="7"/>
      <c r="AL310" s="7"/>
      <c r="AM310" s="7"/>
      <c r="AN310" s="7"/>
    </row>
    <row r="311" spans="2:40" s="1" customFormat="1" ht="12.75">
      <c r="B311" s="1" t="s">
        <v>430</v>
      </c>
      <c r="C311" s="1" t="s">
        <v>7</v>
      </c>
      <c r="AK311" s="7"/>
      <c r="AL311" s="7"/>
      <c r="AM311" s="7"/>
      <c r="AN311" s="7"/>
    </row>
    <row r="312" spans="2:40" s="1" customFormat="1" ht="12.75">
      <c r="B312" s="1" t="s">
        <v>429</v>
      </c>
      <c r="C312" s="1" t="s">
        <v>6</v>
      </c>
      <c r="AK312" s="7"/>
      <c r="AL312" s="7"/>
      <c r="AM312" s="7"/>
      <c r="AN312" s="7"/>
    </row>
    <row r="313" spans="2:40" s="1" customFormat="1" ht="12.75">
      <c r="B313" s="1" t="s">
        <v>428</v>
      </c>
      <c r="C313" s="1" t="s">
        <v>5</v>
      </c>
      <c r="AK313" s="7"/>
      <c r="AL313" s="7"/>
      <c r="AM313" s="7"/>
      <c r="AN313" s="7"/>
    </row>
    <row r="314" spans="2:40" s="1" customFormat="1" ht="12.75">
      <c r="B314" s="1" t="s">
        <v>427</v>
      </c>
      <c r="C314" s="1" t="s">
        <v>4</v>
      </c>
      <c r="AK314" s="7"/>
      <c r="AL314" s="7"/>
      <c r="AM314" s="7"/>
      <c r="AN314" s="7"/>
    </row>
    <row r="315" spans="2:40" s="1" customFormat="1" ht="12.75">
      <c r="B315" s="1" t="s">
        <v>426</v>
      </c>
      <c r="C315" s="1" t="s">
        <v>3</v>
      </c>
      <c r="AK315" s="7"/>
      <c r="AL315" s="7"/>
      <c r="AM315" s="7"/>
      <c r="AN315" s="7"/>
    </row>
    <row r="316" spans="2:40" s="1" customFormat="1" ht="12.75">
      <c r="B316" s="1" t="s">
        <v>425</v>
      </c>
      <c r="C316" s="1" t="s">
        <v>2</v>
      </c>
      <c r="AK316" s="7"/>
      <c r="AL316" s="7"/>
      <c r="AM316" s="7"/>
      <c r="AN316" s="7"/>
    </row>
    <row r="317" spans="2:40" s="1" customFormat="1" ht="12.75">
      <c r="B317" s="1" t="s">
        <v>424</v>
      </c>
      <c r="C317" s="1" t="s">
        <v>1</v>
      </c>
      <c r="AK317" s="7"/>
      <c r="AL317" s="7"/>
      <c r="AM317" s="7"/>
      <c r="AN317" s="7"/>
    </row>
    <row r="318" spans="2:40" s="1" customFormat="1" ht="12.75">
      <c r="B318" s="1" t="s">
        <v>423</v>
      </c>
      <c r="C318" s="1" t="s">
        <v>163</v>
      </c>
      <c r="AK318" s="7"/>
      <c r="AL318" s="7"/>
      <c r="AM318" s="7"/>
      <c r="AN318" s="7"/>
    </row>
    <row r="319" spans="2:40" s="1" customFormat="1" ht="12.75">
      <c r="B319" s="1" t="s">
        <v>422</v>
      </c>
      <c r="C319" s="1" t="s">
        <v>162</v>
      </c>
      <c r="AK319" s="7"/>
      <c r="AL319" s="7"/>
      <c r="AM319" s="7"/>
      <c r="AN319" s="7"/>
    </row>
    <row r="320" spans="2:40" s="1" customFormat="1" ht="12.75">
      <c r="B320" s="1" t="s">
        <v>421</v>
      </c>
      <c r="C320" s="1" t="s">
        <v>161</v>
      </c>
      <c r="AK320" s="7"/>
      <c r="AL320" s="7"/>
      <c r="AM320" s="7"/>
      <c r="AN320" s="7"/>
    </row>
    <row r="321" spans="2:40" s="1" customFormat="1" ht="12.75">
      <c r="B321" s="1" t="s">
        <v>420</v>
      </c>
      <c r="C321" s="1" t="s">
        <v>160</v>
      </c>
      <c r="AK321" s="7"/>
      <c r="AL321" s="7"/>
      <c r="AM321" s="7"/>
      <c r="AN321" s="7"/>
    </row>
    <row r="322" spans="2:40" s="1" customFormat="1" ht="12.75">
      <c r="B322" s="1" t="s">
        <v>419</v>
      </c>
      <c r="C322" s="1" t="s">
        <v>159</v>
      </c>
      <c r="AK322" s="7"/>
      <c r="AL322" s="7"/>
      <c r="AM322" s="7"/>
      <c r="AN322" s="7"/>
    </row>
    <row r="323" spans="2:40" s="1" customFormat="1" ht="12.75">
      <c r="B323" s="1" t="s">
        <v>418</v>
      </c>
      <c r="C323" s="1" t="s">
        <v>158</v>
      </c>
      <c r="AK323" s="7"/>
      <c r="AL323" s="7"/>
      <c r="AM323" s="7"/>
      <c r="AN323" s="7"/>
    </row>
    <row r="324" spans="2:40" s="1" customFormat="1" ht="12.75">
      <c r="B324" s="1" t="s">
        <v>417</v>
      </c>
      <c r="C324" s="1" t="s">
        <v>157</v>
      </c>
      <c r="AK324" s="7"/>
      <c r="AL324" s="7"/>
      <c r="AM324" s="7"/>
      <c r="AN324" s="7"/>
    </row>
    <row r="325" spans="2:40" s="1" customFormat="1" ht="12.75">
      <c r="B325" s="1" t="s">
        <v>416</v>
      </c>
      <c r="C325" s="1" t="s">
        <v>156</v>
      </c>
      <c r="AK325" s="7"/>
      <c r="AL325" s="7"/>
      <c r="AM325" s="7"/>
      <c r="AN325" s="7"/>
    </row>
    <row r="326" spans="2:40" s="1" customFormat="1" ht="12.75">
      <c r="B326" s="1" t="s">
        <v>415</v>
      </c>
      <c r="C326" s="1" t="s">
        <v>155</v>
      </c>
      <c r="AK326" s="7"/>
      <c r="AL326" s="7"/>
      <c r="AM326" s="7"/>
      <c r="AN326" s="7"/>
    </row>
    <row r="327" spans="2:40" s="1" customFormat="1" ht="12.75">
      <c r="B327" s="1" t="s">
        <v>414</v>
      </c>
      <c r="C327" s="1" t="s">
        <v>154</v>
      </c>
      <c r="AK327" s="7"/>
      <c r="AL327" s="7"/>
      <c r="AM327" s="7"/>
      <c r="AN327" s="7"/>
    </row>
    <row r="328" spans="2:40" s="1" customFormat="1" ht="12.75">
      <c r="B328" s="1" t="s">
        <v>413</v>
      </c>
      <c r="C328" s="1" t="s">
        <v>153</v>
      </c>
      <c r="AK328" s="7"/>
      <c r="AL328" s="7"/>
      <c r="AM328" s="7"/>
      <c r="AN328" s="7"/>
    </row>
    <row r="329" spans="2:40" s="1" customFormat="1" ht="12.75">
      <c r="B329" s="1" t="s">
        <v>412</v>
      </c>
      <c r="C329" s="1" t="s">
        <v>152</v>
      </c>
      <c r="AK329" s="7"/>
      <c r="AL329" s="7"/>
      <c r="AM329" s="7"/>
      <c r="AN329" s="7"/>
    </row>
    <row r="330" spans="2:40" s="1" customFormat="1" ht="12.75">
      <c r="B330" s="1" t="s">
        <v>411</v>
      </c>
      <c r="C330" s="1" t="s">
        <v>151</v>
      </c>
      <c r="AK330" s="7"/>
      <c r="AL330" s="7"/>
      <c r="AM330" s="7"/>
      <c r="AN330" s="7"/>
    </row>
    <row r="331" spans="2:40" s="1" customFormat="1" ht="12.75">
      <c r="B331" s="1" t="s">
        <v>410</v>
      </c>
      <c r="C331" s="1" t="s">
        <v>150</v>
      </c>
      <c r="AK331" s="7"/>
      <c r="AL331" s="7"/>
      <c r="AM331" s="7"/>
      <c r="AN331" s="7"/>
    </row>
    <row r="332" spans="2:40" s="1" customFormat="1" ht="12.75">
      <c r="B332" s="1" t="s">
        <v>409</v>
      </c>
      <c r="C332" s="1" t="s">
        <v>149</v>
      </c>
      <c r="AK332" s="7"/>
      <c r="AL332" s="7"/>
      <c r="AM332" s="7"/>
      <c r="AN332" s="7"/>
    </row>
    <row r="333" spans="2:40" s="1" customFormat="1" ht="12.75">
      <c r="B333" s="1" t="s">
        <v>408</v>
      </c>
      <c r="C333" s="1" t="s">
        <v>148</v>
      </c>
      <c r="AK333" s="7"/>
      <c r="AL333" s="7"/>
      <c r="AM333" s="7"/>
      <c r="AN333" s="7"/>
    </row>
    <row r="334" spans="2:40" s="1" customFormat="1" ht="12.75">
      <c r="B334" s="1" t="s">
        <v>407</v>
      </c>
      <c r="C334" s="1" t="s">
        <v>138</v>
      </c>
      <c r="AK334" s="7"/>
      <c r="AL334" s="7"/>
      <c r="AM334" s="7"/>
      <c r="AN334" s="7"/>
    </row>
    <row r="335" spans="2:40" s="1" customFormat="1" ht="12.75">
      <c r="B335" s="1" t="s">
        <v>406</v>
      </c>
      <c r="C335" s="1" t="s">
        <v>137</v>
      </c>
      <c r="AK335" s="7"/>
      <c r="AL335" s="7"/>
      <c r="AM335" s="7"/>
      <c r="AN335" s="7"/>
    </row>
    <row r="336" spans="2:40" s="1" customFormat="1" ht="12.75">
      <c r="B336" s="1" t="s">
        <v>405</v>
      </c>
      <c r="C336" s="1" t="s">
        <v>89</v>
      </c>
      <c r="AK336" s="7"/>
      <c r="AL336" s="7"/>
      <c r="AM336" s="7"/>
      <c r="AN336" s="7"/>
    </row>
    <row r="337" spans="2:40" s="1" customFormat="1" ht="12.75">
      <c r="B337" s="1" t="s">
        <v>404</v>
      </c>
      <c r="C337" s="1" t="s">
        <v>88</v>
      </c>
      <c r="AK337" s="7"/>
      <c r="AL337" s="7"/>
      <c r="AM337" s="7"/>
      <c r="AN337" s="7"/>
    </row>
    <row r="338" spans="2:40" s="1" customFormat="1" ht="12.75">
      <c r="B338" s="1" t="s">
        <v>403</v>
      </c>
      <c r="C338" s="1" t="s">
        <v>87</v>
      </c>
      <c r="AK338" s="7"/>
      <c r="AL338" s="7"/>
      <c r="AM338" s="7"/>
      <c r="AN338" s="7"/>
    </row>
    <row r="339" spans="2:40" s="1" customFormat="1" ht="12.75">
      <c r="B339" s="1" t="s">
        <v>402</v>
      </c>
      <c r="C339" s="1" t="s">
        <v>86</v>
      </c>
      <c r="AK339" s="7"/>
      <c r="AL339" s="7"/>
      <c r="AM339" s="7"/>
      <c r="AN339" s="7"/>
    </row>
    <row r="340" spans="2:40" s="1" customFormat="1" ht="12.75">
      <c r="B340" s="1" t="s">
        <v>401</v>
      </c>
      <c r="C340" s="1" t="s">
        <v>85</v>
      </c>
      <c r="AK340" s="7"/>
      <c r="AL340" s="7"/>
      <c r="AM340" s="7"/>
      <c r="AN340" s="7"/>
    </row>
    <row r="341" spans="2:40" s="1" customFormat="1" ht="12.75">
      <c r="B341" s="1" t="s">
        <v>400</v>
      </c>
      <c r="C341" s="1" t="s">
        <v>84</v>
      </c>
      <c r="AK341" s="7"/>
      <c r="AL341" s="7"/>
      <c r="AM341" s="7"/>
      <c r="AN341" s="7"/>
    </row>
    <row r="342" spans="2:40" s="1" customFormat="1" ht="12.75">
      <c r="B342" s="1" t="s">
        <v>399</v>
      </c>
      <c r="C342" s="1" t="s">
        <v>83</v>
      </c>
      <c r="AK342" s="7"/>
      <c r="AL342" s="7"/>
      <c r="AM342" s="7"/>
      <c r="AN342" s="7"/>
    </row>
    <row r="343" spans="2:40" s="1" customFormat="1" ht="12.75">
      <c r="B343" s="1" t="s">
        <v>398</v>
      </c>
      <c r="C343" s="1" t="s">
        <v>82</v>
      </c>
      <c r="AK343" s="7"/>
      <c r="AL343" s="7"/>
      <c r="AM343" s="7"/>
      <c r="AN343" s="7"/>
    </row>
    <row r="344" spans="2:40" s="1" customFormat="1" ht="12.75">
      <c r="B344" s="1" t="s">
        <v>397</v>
      </c>
      <c r="C344" s="1" t="s">
        <v>81</v>
      </c>
      <c r="AK344" s="7"/>
      <c r="AL344" s="7"/>
      <c r="AM344" s="7"/>
      <c r="AN344" s="7"/>
    </row>
    <row r="345" spans="2:40" s="1" customFormat="1" ht="12.75">
      <c r="B345" s="1" t="s">
        <v>396</v>
      </c>
      <c r="C345" s="1" t="s">
        <v>80</v>
      </c>
      <c r="AK345" s="7"/>
      <c r="AL345" s="7"/>
      <c r="AM345" s="7"/>
      <c r="AN345" s="7"/>
    </row>
    <row r="346" spans="2:40" s="1" customFormat="1" ht="12.75">
      <c r="B346" s="1" t="s">
        <v>395</v>
      </c>
      <c r="C346" s="1" t="s">
        <v>79</v>
      </c>
      <c r="AK346" s="7"/>
      <c r="AL346" s="7"/>
      <c r="AM346" s="7"/>
      <c r="AN346" s="7"/>
    </row>
    <row r="347" spans="2:40" s="1" customFormat="1" ht="12.75">
      <c r="B347" s="1" t="s">
        <v>394</v>
      </c>
      <c r="C347" s="1" t="s">
        <v>78</v>
      </c>
      <c r="AK347" s="7"/>
      <c r="AL347" s="7"/>
      <c r="AM347" s="7"/>
      <c r="AN347" s="7"/>
    </row>
    <row r="348" spans="2:40" s="1" customFormat="1" ht="12.75">
      <c r="B348" s="1" t="s">
        <v>393</v>
      </c>
      <c r="C348" s="1" t="s">
        <v>77</v>
      </c>
      <c r="AK348" s="7"/>
      <c r="AL348" s="7"/>
      <c r="AM348" s="7"/>
      <c r="AN348" s="7"/>
    </row>
    <row r="349" spans="2:40" s="1" customFormat="1" ht="12.75">
      <c r="B349" s="1" t="s">
        <v>392</v>
      </c>
      <c r="C349" s="1" t="s">
        <v>76</v>
      </c>
      <c r="AK349" s="7"/>
      <c r="AL349" s="7"/>
      <c r="AM349" s="7"/>
      <c r="AN349" s="7"/>
    </row>
    <row r="350" spans="2:40" s="1" customFormat="1" ht="12.75">
      <c r="B350" s="1" t="s">
        <v>391</v>
      </c>
      <c r="C350" s="1" t="s">
        <v>75</v>
      </c>
      <c r="AK350" s="7"/>
      <c r="AL350" s="7"/>
      <c r="AM350" s="7"/>
      <c r="AN350" s="7"/>
    </row>
    <row r="351" spans="2:40" s="1" customFormat="1" ht="12.75">
      <c r="B351" s="1" t="s">
        <v>390</v>
      </c>
      <c r="C351" s="1" t="s">
        <v>74</v>
      </c>
      <c r="AK351" s="7"/>
      <c r="AL351" s="7"/>
      <c r="AM351" s="7"/>
      <c r="AN351" s="7"/>
    </row>
    <row r="352" spans="2:40" s="1" customFormat="1" ht="12.75">
      <c r="B352" s="1" t="s">
        <v>389</v>
      </c>
      <c r="C352" s="1" t="s">
        <v>64</v>
      </c>
      <c r="AK352" s="7"/>
      <c r="AL352" s="7"/>
      <c r="AM352" s="7"/>
      <c r="AN352" s="7"/>
    </row>
    <row r="353" spans="2:40" s="1" customFormat="1" ht="12.75">
      <c r="B353" s="1" t="s">
        <v>388</v>
      </c>
      <c r="C353" s="1" t="s">
        <v>63</v>
      </c>
      <c r="AK353" s="7"/>
      <c r="AL353" s="7"/>
      <c r="AM353" s="7"/>
      <c r="AN353" s="7"/>
    </row>
    <row r="354" spans="2:40" s="1" customFormat="1" ht="12.75">
      <c r="B354" s="1" t="s">
        <v>387</v>
      </c>
      <c r="C354" s="1" t="s">
        <v>260</v>
      </c>
      <c r="AK354" s="7"/>
      <c r="AL354" s="7"/>
      <c r="AM354" s="7"/>
      <c r="AN354" s="7"/>
    </row>
    <row r="355" spans="2:40" s="1" customFormat="1" ht="12.75">
      <c r="B355" s="1" t="s">
        <v>386</v>
      </c>
      <c r="C355" s="1" t="s">
        <v>134</v>
      </c>
      <c r="AK355" s="7"/>
      <c r="AL355" s="7"/>
      <c r="AM355" s="7"/>
      <c r="AN355" s="7"/>
    </row>
    <row r="356" spans="2:40" s="1" customFormat="1" ht="12.75">
      <c r="B356" s="1" t="s">
        <v>385</v>
      </c>
      <c r="C356" s="1" t="s">
        <v>133</v>
      </c>
      <c r="AK356" s="7"/>
      <c r="AL356" s="7"/>
      <c r="AM356" s="7"/>
      <c r="AN356" s="7"/>
    </row>
    <row r="357" spans="2:40" s="1" customFormat="1" ht="12.75">
      <c r="B357" s="1" t="s">
        <v>384</v>
      </c>
      <c r="C357" s="1" t="s">
        <v>132</v>
      </c>
      <c r="AK357" s="7"/>
      <c r="AL357" s="7"/>
      <c r="AM357" s="7"/>
      <c r="AN357" s="7"/>
    </row>
    <row r="358" spans="2:40" s="1" customFormat="1" ht="12.75">
      <c r="B358" s="1" t="s">
        <v>383</v>
      </c>
      <c r="C358" s="1" t="s">
        <v>131</v>
      </c>
      <c r="AK358" s="7"/>
      <c r="AL358" s="7"/>
      <c r="AM358" s="7"/>
      <c r="AN358" s="7"/>
    </row>
    <row r="359" spans="2:40" s="1" customFormat="1" ht="12.75">
      <c r="B359" s="1" t="s">
        <v>382</v>
      </c>
      <c r="C359" s="1" t="s">
        <v>130</v>
      </c>
      <c r="AK359" s="7"/>
      <c r="AL359" s="7"/>
      <c r="AM359" s="7"/>
      <c r="AN359" s="7"/>
    </row>
    <row r="360" spans="2:40" s="1" customFormat="1" ht="12.75">
      <c r="B360" s="1" t="s">
        <v>381</v>
      </c>
      <c r="C360" s="1" t="s">
        <v>129</v>
      </c>
      <c r="AK360" s="7"/>
      <c r="AL360" s="7"/>
      <c r="AM360" s="7"/>
      <c r="AN360" s="7"/>
    </row>
    <row r="361" spans="2:40" s="1" customFormat="1" ht="12.75">
      <c r="B361" s="1" t="s">
        <v>380</v>
      </c>
      <c r="C361" s="1" t="s">
        <v>128</v>
      </c>
      <c r="AK361" s="7"/>
      <c r="AL361" s="7"/>
      <c r="AM361" s="7"/>
      <c r="AN361" s="7"/>
    </row>
    <row r="362" spans="2:40" s="1" customFormat="1" ht="12.75">
      <c r="B362" s="1" t="s">
        <v>379</v>
      </c>
      <c r="C362" s="1" t="s">
        <v>127</v>
      </c>
      <c r="AK362" s="7"/>
      <c r="AL362" s="7"/>
      <c r="AM362" s="7"/>
      <c r="AN362" s="7"/>
    </row>
    <row r="363" spans="2:40" s="1" customFormat="1" ht="12.75">
      <c r="B363" s="1" t="s">
        <v>378</v>
      </c>
      <c r="C363" s="1" t="s">
        <v>126</v>
      </c>
      <c r="AK363" s="7"/>
      <c r="AL363" s="7"/>
      <c r="AM363" s="7"/>
      <c r="AN363" s="7"/>
    </row>
    <row r="364" spans="2:40" s="1" customFormat="1" ht="12.75">
      <c r="B364" s="1" t="s">
        <v>377</v>
      </c>
      <c r="C364" s="1" t="s">
        <v>125</v>
      </c>
      <c r="AK364" s="7"/>
      <c r="AL364" s="7"/>
      <c r="AM364" s="7"/>
      <c r="AN364" s="7"/>
    </row>
    <row r="365" spans="2:40" s="1" customFormat="1" ht="12.75">
      <c r="B365" s="1" t="s">
        <v>376</v>
      </c>
      <c r="C365" s="1" t="s">
        <v>124</v>
      </c>
      <c r="AK365" s="7"/>
      <c r="AL365" s="7"/>
      <c r="AM365" s="7"/>
      <c r="AN365" s="7"/>
    </row>
    <row r="366" spans="2:40" s="1" customFormat="1" ht="12.75">
      <c r="B366" s="1" t="s">
        <v>375</v>
      </c>
      <c r="C366" s="1" t="s">
        <v>123</v>
      </c>
      <c r="AK366" s="7"/>
      <c r="AL366" s="7"/>
      <c r="AM366" s="7"/>
      <c r="AN366" s="7"/>
    </row>
    <row r="367" spans="2:40" s="1" customFormat="1" ht="12.75">
      <c r="B367" s="1" t="s">
        <v>374</v>
      </c>
      <c r="C367" s="1" t="s">
        <v>122</v>
      </c>
      <c r="AK367" s="7"/>
      <c r="AL367" s="7"/>
      <c r="AM367" s="7"/>
      <c r="AN367" s="7"/>
    </row>
    <row r="368" spans="2:40" s="1" customFormat="1" ht="12.75">
      <c r="B368" s="1" t="s">
        <v>373</v>
      </c>
      <c r="C368" s="1" t="s">
        <v>121</v>
      </c>
      <c r="AK368" s="7"/>
      <c r="AL368" s="7"/>
      <c r="AM368" s="7"/>
      <c r="AN368" s="7"/>
    </row>
    <row r="369" spans="2:40" s="1" customFormat="1" ht="12.75">
      <c r="B369" s="1" t="s">
        <v>372</v>
      </c>
      <c r="C369" s="1" t="s">
        <v>120</v>
      </c>
      <c r="AK369" s="7"/>
      <c r="AL369" s="7"/>
      <c r="AM369" s="7"/>
      <c r="AN369" s="7"/>
    </row>
    <row r="370" spans="2:40" s="1" customFormat="1" ht="12.75">
      <c r="B370" s="1" t="s">
        <v>371</v>
      </c>
      <c r="C370" s="1" t="s">
        <v>119</v>
      </c>
      <c r="AK370" s="7"/>
      <c r="AL370" s="7"/>
      <c r="AM370" s="7"/>
      <c r="AN370" s="7"/>
    </row>
    <row r="371" spans="2:40" s="1" customFormat="1" ht="12.75">
      <c r="B371" s="1" t="s">
        <v>370</v>
      </c>
      <c r="C371" s="1" t="s">
        <v>118</v>
      </c>
      <c r="AK371" s="7"/>
      <c r="AL371" s="7"/>
      <c r="AM371" s="7"/>
      <c r="AN371" s="7"/>
    </row>
    <row r="372" spans="2:40" s="1" customFormat="1" ht="12.75">
      <c r="B372" s="1" t="s">
        <v>369</v>
      </c>
      <c r="C372" s="1" t="s">
        <v>117</v>
      </c>
      <c r="AK372" s="7"/>
      <c r="AL372" s="7"/>
      <c r="AM372" s="7"/>
      <c r="AN372" s="7"/>
    </row>
    <row r="373" spans="2:40" s="1" customFormat="1" ht="12.75">
      <c r="B373" s="1" t="s">
        <v>368</v>
      </c>
      <c r="C373" s="1" t="s">
        <v>116</v>
      </c>
      <c r="AK373" s="7"/>
      <c r="AL373" s="7"/>
      <c r="AM373" s="7"/>
      <c r="AN373" s="7"/>
    </row>
    <row r="374" spans="2:40" s="1" customFormat="1" ht="12.75">
      <c r="B374" s="1" t="s">
        <v>367</v>
      </c>
      <c r="C374" s="1" t="s">
        <v>115</v>
      </c>
      <c r="AK374" s="7"/>
      <c r="AL374" s="7"/>
      <c r="AM374" s="7"/>
      <c r="AN374" s="7"/>
    </row>
    <row r="375" spans="2:40" s="1" customFormat="1" ht="12.75">
      <c r="B375" s="1" t="s">
        <v>366</v>
      </c>
      <c r="C375" s="1" t="s">
        <v>114</v>
      </c>
      <c r="AK375" s="7"/>
      <c r="AL375" s="7"/>
      <c r="AM375" s="7"/>
      <c r="AN375" s="7"/>
    </row>
    <row r="376" spans="2:40" s="1" customFormat="1" ht="12.75">
      <c r="B376" s="1" t="s">
        <v>365</v>
      </c>
      <c r="C376" s="1" t="s">
        <v>113</v>
      </c>
      <c r="AK376" s="7"/>
      <c r="AL376" s="7"/>
      <c r="AM376" s="7"/>
      <c r="AN376" s="7"/>
    </row>
    <row r="377" spans="2:40" s="1" customFormat="1" ht="12.75">
      <c r="B377" s="1" t="s">
        <v>364</v>
      </c>
      <c r="C377" s="1" t="s">
        <v>112</v>
      </c>
      <c r="AK377" s="7"/>
      <c r="AL377" s="7"/>
      <c r="AM377" s="7"/>
      <c r="AN377" s="7"/>
    </row>
    <row r="378" spans="2:40" s="1" customFormat="1" ht="12.75">
      <c r="B378" s="1" t="s">
        <v>363</v>
      </c>
      <c r="C378" s="1" t="s">
        <v>111</v>
      </c>
      <c r="AK378" s="7"/>
      <c r="AL378" s="7"/>
      <c r="AM378" s="7"/>
      <c r="AN378" s="7"/>
    </row>
    <row r="379" spans="2:40" s="1" customFormat="1" ht="12.75">
      <c r="B379" s="1" t="s">
        <v>362</v>
      </c>
      <c r="C379" s="1" t="s">
        <v>110</v>
      </c>
      <c r="AK379" s="7"/>
      <c r="AL379" s="7"/>
      <c r="AM379" s="7"/>
      <c r="AN379" s="7"/>
    </row>
    <row r="380" spans="2:40" s="1" customFormat="1" ht="12.75">
      <c r="B380" s="1" t="s">
        <v>361</v>
      </c>
      <c r="C380" s="1" t="s">
        <v>109</v>
      </c>
      <c r="AK380" s="7"/>
      <c r="AL380" s="7"/>
      <c r="AM380" s="7"/>
      <c r="AN380" s="7"/>
    </row>
    <row r="381" spans="2:40" s="1" customFormat="1" ht="12.75">
      <c r="B381" s="1" t="s">
        <v>360</v>
      </c>
      <c r="C381" s="1" t="s">
        <v>108</v>
      </c>
      <c r="AK381" s="7"/>
      <c r="AL381" s="7"/>
      <c r="AM381" s="7"/>
      <c r="AN381" s="7"/>
    </row>
    <row r="382" spans="2:40" s="1" customFormat="1" ht="12.75">
      <c r="B382" s="1" t="s">
        <v>359</v>
      </c>
      <c r="C382" s="1" t="s">
        <v>107</v>
      </c>
      <c r="AK382" s="7"/>
      <c r="AL382" s="7"/>
      <c r="AM382" s="7"/>
      <c r="AN382" s="7"/>
    </row>
    <row r="383" spans="2:40" s="1" customFormat="1" ht="12.75">
      <c r="B383" s="1" t="s">
        <v>358</v>
      </c>
      <c r="C383" s="1" t="s">
        <v>106</v>
      </c>
      <c r="AK383" s="7"/>
      <c r="AL383" s="7"/>
      <c r="AM383" s="7"/>
      <c r="AN383" s="7"/>
    </row>
    <row r="384" spans="2:40" s="1" customFormat="1" ht="12.75">
      <c r="B384" s="1" t="s">
        <v>357</v>
      </c>
      <c r="C384" s="1" t="s">
        <v>105</v>
      </c>
      <c r="AK384" s="7"/>
      <c r="AL384" s="7"/>
      <c r="AM384" s="7"/>
      <c r="AN384" s="7"/>
    </row>
    <row r="385" spans="2:40" s="1" customFormat="1" ht="12.75">
      <c r="B385" s="1" t="s">
        <v>356</v>
      </c>
      <c r="C385" s="1" t="s">
        <v>104</v>
      </c>
      <c r="AK385" s="7"/>
      <c r="AL385" s="7"/>
      <c r="AM385" s="7"/>
      <c r="AN385" s="7"/>
    </row>
    <row r="386" spans="2:40" s="1" customFormat="1" ht="12.75">
      <c r="B386" s="1" t="s">
        <v>355</v>
      </c>
      <c r="C386" s="1" t="s">
        <v>103</v>
      </c>
      <c r="AK386" s="7"/>
      <c r="AL386" s="7"/>
      <c r="AM386" s="7"/>
      <c r="AN386" s="7"/>
    </row>
    <row r="387" spans="2:40" s="1" customFormat="1" ht="12.75">
      <c r="B387" s="1" t="s">
        <v>354</v>
      </c>
      <c r="C387" s="1" t="s">
        <v>102</v>
      </c>
      <c r="AK387" s="7"/>
      <c r="AL387" s="7"/>
      <c r="AM387" s="7"/>
      <c r="AN387" s="7"/>
    </row>
    <row r="388" spans="2:40" s="1" customFormat="1" ht="12.75">
      <c r="B388" s="1" t="s">
        <v>353</v>
      </c>
      <c r="C388" s="1" t="s">
        <v>101</v>
      </c>
      <c r="AK388" s="7"/>
      <c r="AL388" s="7"/>
      <c r="AM388" s="7"/>
      <c r="AN388" s="7"/>
    </row>
    <row r="389" spans="2:40" s="1" customFormat="1" ht="12.75">
      <c r="B389" s="1" t="s">
        <v>352</v>
      </c>
      <c r="C389" s="1" t="s">
        <v>100</v>
      </c>
      <c r="AK389" s="7"/>
      <c r="AL389" s="7"/>
      <c r="AM389" s="7"/>
      <c r="AN389" s="7"/>
    </row>
    <row r="390" spans="2:40" s="1" customFormat="1" ht="12.75">
      <c r="B390" s="1" t="s">
        <v>351</v>
      </c>
      <c r="C390" s="1" t="s">
        <v>99</v>
      </c>
      <c r="AK390" s="7"/>
      <c r="AL390" s="7"/>
      <c r="AM390" s="7"/>
      <c r="AN390" s="7"/>
    </row>
    <row r="391" spans="2:40" s="1" customFormat="1" ht="12.75">
      <c r="B391" s="1" t="s">
        <v>350</v>
      </c>
      <c r="C391" s="1" t="s">
        <v>98</v>
      </c>
      <c r="AK391" s="7"/>
      <c r="AL391" s="7"/>
      <c r="AM391" s="7"/>
      <c r="AN391" s="7"/>
    </row>
    <row r="392" spans="2:40" s="1" customFormat="1" ht="12.75">
      <c r="B392" s="1" t="s">
        <v>349</v>
      </c>
      <c r="C392" s="1" t="s">
        <v>39</v>
      </c>
      <c r="AK392" s="7"/>
      <c r="AL392" s="7"/>
      <c r="AM392" s="7"/>
      <c r="AN392" s="7"/>
    </row>
    <row r="393" spans="2:40" s="1" customFormat="1" ht="12.75">
      <c r="B393" s="1" t="s">
        <v>348</v>
      </c>
      <c r="C393" s="1" t="s">
        <v>38</v>
      </c>
      <c r="AK393" s="7"/>
      <c r="AL393" s="7"/>
      <c r="AM393" s="7"/>
      <c r="AN393" s="7"/>
    </row>
    <row r="394" spans="2:40" s="1" customFormat="1" ht="12.75">
      <c r="B394" s="1" t="s">
        <v>347</v>
      </c>
      <c r="C394" s="1" t="s">
        <v>37</v>
      </c>
      <c r="AK394" s="7"/>
      <c r="AL394" s="7"/>
      <c r="AM394" s="7"/>
      <c r="AN394" s="7"/>
    </row>
    <row r="395" spans="2:40" s="1" customFormat="1" ht="12.75">
      <c r="B395" s="1" t="s">
        <v>346</v>
      </c>
      <c r="C395" s="1" t="s">
        <v>36</v>
      </c>
      <c r="AK395" s="7"/>
      <c r="AL395" s="7"/>
      <c r="AM395" s="7"/>
      <c r="AN395" s="7"/>
    </row>
    <row r="396" spans="2:40" s="1" customFormat="1" ht="12.75">
      <c r="B396" s="1" t="s">
        <v>345</v>
      </c>
      <c r="C396" s="1" t="s">
        <v>35</v>
      </c>
      <c r="AK396" s="7"/>
      <c r="AL396" s="7"/>
      <c r="AM396" s="7"/>
      <c r="AN396" s="7"/>
    </row>
    <row r="397" spans="2:40" s="1" customFormat="1" ht="12.75">
      <c r="B397" s="1" t="s">
        <v>344</v>
      </c>
      <c r="C397" s="1" t="s">
        <v>34</v>
      </c>
      <c r="AK397" s="7"/>
      <c r="AL397" s="7"/>
      <c r="AM397" s="7"/>
      <c r="AN397" s="7"/>
    </row>
    <row r="398" spans="2:40" s="1" customFormat="1" ht="12.75">
      <c r="B398" s="1" t="s">
        <v>343</v>
      </c>
      <c r="C398" s="1" t="s">
        <v>33</v>
      </c>
      <c r="AK398" s="7"/>
      <c r="AL398" s="7"/>
      <c r="AM398" s="7"/>
      <c r="AN398" s="7"/>
    </row>
    <row r="399" spans="2:40" s="1" customFormat="1" ht="12.75">
      <c r="B399" s="1" t="s">
        <v>342</v>
      </c>
      <c r="C399" s="1" t="s">
        <v>32</v>
      </c>
      <c r="AK399" s="7"/>
      <c r="AL399" s="7"/>
      <c r="AM399" s="7"/>
      <c r="AN399" s="7"/>
    </row>
    <row r="400" spans="2:40" s="1" customFormat="1" ht="12.75">
      <c r="B400" s="1" t="s">
        <v>341</v>
      </c>
      <c r="C400" s="1" t="s">
        <v>31</v>
      </c>
      <c r="AK400" s="7"/>
      <c r="AL400" s="7"/>
      <c r="AM400" s="7"/>
      <c r="AN400" s="7"/>
    </row>
    <row r="401" spans="2:40" s="1" customFormat="1" ht="12.75">
      <c r="B401" s="1" t="s">
        <v>340</v>
      </c>
      <c r="C401" s="1" t="s">
        <v>30</v>
      </c>
      <c r="AK401" s="7"/>
      <c r="AL401" s="7"/>
      <c r="AM401" s="7"/>
      <c r="AN401" s="7"/>
    </row>
    <row r="402" spans="2:40" s="1" customFormat="1" ht="12.75">
      <c r="B402" s="1" t="s">
        <v>339</v>
      </c>
      <c r="C402" s="1" t="s">
        <v>29</v>
      </c>
      <c r="AK402" s="7"/>
      <c r="AL402" s="7"/>
      <c r="AM402" s="7"/>
      <c r="AN402" s="7"/>
    </row>
    <row r="403" spans="2:40" s="1" customFormat="1" ht="12.75">
      <c r="B403" s="1" t="s">
        <v>338</v>
      </c>
      <c r="C403" s="1" t="s">
        <v>28</v>
      </c>
      <c r="AK403" s="7"/>
      <c r="AL403" s="7"/>
      <c r="AM403" s="7"/>
      <c r="AN403" s="7"/>
    </row>
    <row r="404" spans="2:40" s="1" customFormat="1" ht="12.75">
      <c r="B404" s="1" t="s">
        <v>337</v>
      </c>
      <c r="C404" s="1" t="s">
        <v>27</v>
      </c>
      <c r="AK404" s="7"/>
      <c r="AL404" s="7"/>
      <c r="AM404" s="7"/>
      <c r="AN404" s="7"/>
    </row>
    <row r="405" spans="2:40" s="1" customFormat="1" ht="12.75">
      <c r="B405" s="1" t="s">
        <v>336</v>
      </c>
      <c r="C405" s="1" t="s">
        <v>26</v>
      </c>
      <c r="AK405" s="7"/>
      <c r="AL405" s="7"/>
      <c r="AM405" s="7"/>
      <c r="AN405" s="7"/>
    </row>
    <row r="406" spans="2:40" s="1" customFormat="1" ht="12.75">
      <c r="B406" s="1" t="s">
        <v>335</v>
      </c>
      <c r="C406" s="1" t="s">
        <v>25</v>
      </c>
      <c r="AK406" s="7"/>
      <c r="AL406" s="7"/>
      <c r="AM406" s="7"/>
      <c r="AN406" s="7"/>
    </row>
    <row r="407" spans="2:40" s="1" customFormat="1" ht="12.75">
      <c r="B407" s="1" t="s">
        <v>334</v>
      </c>
      <c r="C407" s="1" t="s">
        <v>263</v>
      </c>
      <c r="D407" s="1" t="s">
        <v>0</v>
      </c>
      <c r="AK407" s="5"/>
      <c r="AL407" s="5"/>
      <c r="AM407" s="5"/>
      <c r="AN407" s="5"/>
    </row>
    <row r="408" spans="2:40" s="1" customFormat="1" ht="12.75">
      <c r="B408" s="1" t="s">
        <v>333</v>
      </c>
      <c r="C408" s="1" t="s">
        <v>262</v>
      </c>
      <c r="D408" s="1" t="s">
        <v>0</v>
      </c>
      <c r="AK408" s="6"/>
      <c r="AL408" s="6"/>
      <c r="AM408" s="6"/>
      <c r="AN408" s="6"/>
    </row>
    <row r="409" spans="2:40" s="1" customFormat="1" ht="12.75">
      <c r="B409" s="1" t="s">
        <v>332</v>
      </c>
      <c r="C409" s="1" t="s">
        <v>261</v>
      </c>
      <c r="D409" s="1" t="s">
        <v>0</v>
      </c>
      <c r="AK409" s="5"/>
      <c r="AL409" s="5"/>
      <c r="AM409" s="5"/>
      <c r="AN409" s="5"/>
    </row>
  </sheetData>
  <sheetProtection formatCells="0" formatColumns="0" formatRows="0"/>
  <pageMargins left="0.75" right="0.75" top="1" bottom="1" header="0.5" footer="0.5"/>
  <pageSetup paperSize="9" orientation="portrait" r:id="rId1"/>
  <headerFooter alignWithMargins="0"/>
  <customProperties>
    <customPr name="Password" r:id="rId2"/>
    <customPr name="Qube.Worksheet.Visibility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A295-B346-4D47-AECA-5ED4B15CF5B5}">
  <sheetPr codeName="Sheet3">
    <tabColor rgb="FF002060"/>
    <pageSetUpPr fitToPage="1"/>
  </sheetPr>
  <dimension ref="B1:Z54"/>
  <sheetViews>
    <sheetView showGridLines="0" workbookViewId="0"/>
  </sheetViews>
  <sheetFormatPr defaultColWidth="9" defaultRowHeight="12"/>
  <cols>
    <col min="1" max="1" width="9" style="782"/>
    <col min="2" max="2" width="17.5" style="782" customWidth="1"/>
    <col min="3" max="3" width="8.625" style="782" bestFit="1" customWidth="1"/>
    <col min="4" max="13" width="9" style="782"/>
    <col min="14" max="14" width="14.125" style="782" bestFit="1" customWidth="1"/>
    <col min="15" max="16384" width="9" style="782"/>
  </cols>
  <sheetData>
    <row r="1" spans="2:26">
      <c r="B1" s="1027">
        <f ca="1">C34</f>
        <v>309</v>
      </c>
      <c r="Z1" s="1028" t="s">
        <v>734</v>
      </c>
    </row>
    <row r="2" spans="2:26" ht="12.75" thickBot="1">
      <c r="B2" s="1029" t="s">
        <v>1526</v>
      </c>
      <c r="C2" s="1070">
        <v>45918</v>
      </c>
    </row>
    <row r="3" spans="2:26">
      <c r="B3" s="1030" t="s">
        <v>1527</v>
      </c>
      <c r="C3" s="1031">
        <f>'DCF Feed'!H4</f>
        <v>0.10989743443268152</v>
      </c>
    </row>
    <row r="4" spans="2:26">
      <c r="B4" s="1032" t="s">
        <v>1528</v>
      </c>
      <c r="C4" s="1033">
        <v>0.1</v>
      </c>
    </row>
    <row r="5" spans="2:26">
      <c r="B5" s="1032" t="s">
        <v>1529</v>
      </c>
      <c r="C5" s="1034">
        <v>0.03</v>
      </c>
    </row>
    <row r="6" spans="2:26">
      <c r="B6" s="1032" t="s">
        <v>1530</v>
      </c>
      <c r="C6" s="1034">
        <v>0.09</v>
      </c>
    </row>
    <row r="7" spans="2:26">
      <c r="B7" s="1032" t="s">
        <v>514</v>
      </c>
      <c r="C7" s="1034">
        <f>-'DCF Feed'!E10</f>
        <v>0.25</v>
      </c>
    </row>
    <row r="8" spans="2:26">
      <c r="B8" s="1032" t="s">
        <v>745</v>
      </c>
      <c r="C8" s="1033">
        <v>1.05</v>
      </c>
    </row>
    <row r="9" spans="2:26" ht="12.75" thickBot="1">
      <c r="B9" s="1035" t="s">
        <v>1510</v>
      </c>
      <c r="C9" s="1185">
        <f ca="1">N19*(1-C7)</f>
        <v>23.443403054596413</v>
      </c>
    </row>
    <row r="11" spans="2:26" ht="12.75" thickBot="1"/>
    <row r="12" spans="2:26">
      <c r="B12" s="1071" t="s">
        <v>1531</v>
      </c>
      <c r="C12" s="1072">
        <f ca="1">YEAR(TODAY())</f>
        <v>2025</v>
      </c>
      <c r="D12" s="1072">
        <f ca="1">C12+1</f>
        <v>2026</v>
      </c>
      <c r="E12" s="1072">
        <f t="shared" ref="E12:M13" ca="1" si="0">D12+1</f>
        <v>2027</v>
      </c>
      <c r="F12" s="1072">
        <f t="shared" ca="1" si="0"/>
        <v>2028</v>
      </c>
      <c r="G12" s="1072">
        <f t="shared" ca="1" si="0"/>
        <v>2029</v>
      </c>
      <c r="H12" s="1072">
        <f t="shared" ca="1" si="0"/>
        <v>2030</v>
      </c>
      <c r="I12" s="1072">
        <f t="shared" ca="1" si="0"/>
        <v>2031</v>
      </c>
      <c r="J12" s="1072">
        <f t="shared" ca="1" si="0"/>
        <v>2032</v>
      </c>
      <c r="K12" s="1072">
        <f t="shared" ca="1" si="0"/>
        <v>2033</v>
      </c>
      <c r="L12" s="1072">
        <f t="shared" ca="1" si="0"/>
        <v>2034</v>
      </c>
      <c r="M12" s="1072">
        <f t="shared" ca="1" si="0"/>
        <v>2035</v>
      </c>
      <c r="N12" s="1073" t="s">
        <v>1532</v>
      </c>
    </row>
    <row r="13" spans="2:26">
      <c r="B13" s="1074"/>
      <c r="C13" s="1067">
        <v>0</v>
      </c>
      <c r="D13" s="1067">
        <f>C13+1</f>
        <v>1</v>
      </c>
      <c r="E13" s="1067">
        <f t="shared" si="0"/>
        <v>2</v>
      </c>
      <c r="F13" s="1067">
        <f t="shared" si="0"/>
        <v>3</v>
      </c>
      <c r="G13" s="1067">
        <f t="shared" si="0"/>
        <v>4</v>
      </c>
      <c r="H13" s="1067">
        <f t="shared" si="0"/>
        <v>5</v>
      </c>
      <c r="I13" s="1067">
        <f t="shared" si="0"/>
        <v>6</v>
      </c>
      <c r="J13" s="1067">
        <f t="shared" si="0"/>
        <v>7</v>
      </c>
      <c r="K13" s="1067">
        <f t="shared" si="0"/>
        <v>8</v>
      </c>
      <c r="L13" s="1067">
        <f t="shared" si="0"/>
        <v>9</v>
      </c>
      <c r="M13" s="1067">
        <f t="shared" si="0"/>
        <v>10</v>
      </c>
      <c r="N13" s="1075"/>
    </row>
    <row r="14" spans="2:26">
      <c r="B14" s="1076">
        <f>C2+365</f>
        <v>46283</v>
      </c>
      <c r="C14" s="1068">
        <v>45809</v>
      </c>
      <c r="D14" s="1068">
        <f>C14+365</f>
        <v>46174</v>
      </c>
      <c r="E14" s="1068">
        <f t="shared" ref="E14:M14" si="1">D14+365</f>
        <v>46539</v>
      </c>
      <c r="F14" s="1068">
        <f t="shared" si="1"/>
        <v>46904</v>
      </c>
      <c r="G14" s="1068">
        <f t="shared" si="1"/>
        <v>47269</v>
      </c>
      <c r="H14" s="1068">
        <f t="shared" si="1"/>
        <v>47634</v>
      </c>
      <c r="I14" s="1068">
        <f t="shared" si="1"/>
        <v>47999</v>
      </c>
      <c r="J14" s="1068">
        <f t="shared" si="1"/>
        <v>48364</v>
      </c>
      <c r="K14" s="1068">
        <f t="shared" si="1"/>
        <v>48729</v>
      </c>
      <c r="L14" s="1068">
        <f t="shared" si="1"/>
        <v>49094</v>
      </c>
      <c r="M14" s="1068">
        <f t="shared" si="1"/>
        <v>49459</v>
      </c>
      <c r="N14" s="1075"/>
    </row>
    <row r="15" spans="2:26">
      <c r="B15" s="1074" t="s">
        <v>1533</v>
      </c>
      <c r="C15" s="1069">
        <v>1</v>
      </c>
      <c r="D15" s="1069">
        <f ca="1">C15*(1+D16)</f>
        <v>1.177545096140421</v>
      </c>
      <c r="E15" s="1069">
        <f t="shared" ref="E15:G15" ca="1" si="2">D15*(1+E16)</f>
        <v>1.3379137492571789</v>
      </c>
      <c r="F15" s="1069">
        <f t="shared" ca="1" si="2"/>
        <v>1.4764200965763474</v>
      </c>
      <c r="G15" s="1069">
        <f t="shared" ca="1" si="2"/>
        <v>1.5786427502408886</v>
      </c>
      <c r="H15" s="1069">
        <f>C15*(1+C3)^5</f>
        <v>1.6842797901931699</v>
      </c>
      <c r="I15" s="1069">
        <f t="shared" ref="I15:M15" si="3">H15*(1+I16)</f>
        <v>1.8527077692124869</v>
      </c>
      <c r="J15" s="1069">
        <f t="shared" si="3"/>
        <v>2.0055561601725169</v>
      </c>
      <c r="K15" s="1069">
        <f t="shared" si="3"/>
        <v>2.1359173105837304</v>
      </c>
      <c r="L15" s="1069">
        <f t="shared" si="3"/>
        <v>2.2373733828364579</v>
      </c>
      <c r="M15" s="1069">
        <f t="shared" si="3"/>
        <v>2.3044945843215516</v>
      </c>
      <c r="N15" s="1077">
        <f>M15/(C6-C5)</f>
        <v>38.408243072025861</v>
      </c>
    </row>
    <row r="16" spans="2:26">
      <c r="B16" s="1074" t="s">
        <v>1534</v>
      </c>
      <c r="C16" s="1067"/>
      <c r="D16" s="1069">
        <f ca="1">INDEX('DCF Feed'!5:5,MATCH(DCF!D12,'DCF Feed'!1:1,0))</f>
        <v>0.17754509614042102</v>
      </c>
      <c r="E16" s="1069">
        <f ca="1">INDEX('DCF Feed'!5:5,MATCH(DCF!E12,'DCF Feed'!1:1,0))</f>
        <v>0.13618896944362469</v>
      </c>
      <c r="F16" s="1069">
        <f ca="1">INDEX('DCF Feed'!5:5,MATCH(DCF!F12,'DCF Feed'!1:1,0))</f>
        <v>0.10352412283382884</v>
      </c>
      <c r="G16" s="1069">
        <f ca="1">INDEX('DCF Feed'!5:5,MATCH(DCF!G12,'DCF Feed'!1:1,0))</f>
        <v>6.9236834354655663E-2</v>
      </c>
      <c r="H16" s="1069">
        <f ca="1">INDEX('DCF Feed'!5:5,MATCH(DCF!H12,'DCF Feed'!1:1,0))</f>
        <v>6.6916368466621634E-2</v>
      </c>
      <c r="I16" s="1069">
        <f>$C$4</f>
        <v>0.1</v>
      </c>
      <c r="J16" s="1069">
        <f>I16+(($M$16-$I$16)/4)</f>
        <v>8.2500000000000004E-2</v>
      </c>
      <c r="K16" s="1069">
        <f t="shared" ref="K16:L16" si="4">J16+(($M$16-$I$16)/4)</f>
        <v>6.5000000000000002E-2</v>
      </c>
      <c r="L16" s="1069">
        <f t="shared" si="4"/>
        <v>4.7500000000000001E-2</v>
      </c>
      <c r="M16" s="1069">
        <f>$C$5</f>
        <v>0.03</v>
      </c>
      <c r="N16" s="1075"/>
    </row>
    <row r="17" spans="2:14">
      <c r="B17" s="1074" t="s">
        <v>745</v>
      </c>
      <c r="C17" s="1067"/>
      <c r="D17" s="1069">
        <f ca="1">INDEX('DCF Feed'!7:7,MATCH(DCF!D12,'DCF Feed'!1:1,0))</f>
        <v>0.96065356365263821</v>
      </c>
      <c r="E17" s="1069">
        <f ca="1">INDEX('DCF Feed'!7:7,MATCH(DCF!E12,'DCF Feed'!1:1,0))</f>
        <v>0.97047348456592353</v>
      </c>
      <c r="F17" s="1069">
        <f ca="1">INDEX('DCF Feed'!7:7,MATCH(DCF!F12,'DCF Feed'!1:1,0))</f>
        <v>0.95855700013880585</v>
      </c>
      <c r="G17" s="1069">
        <f ca="1">INDEX('DCF Feed'!7:7,MATCH(DCF!G12,'DCF Feed'!1:1,0))</f>
        <v>0.96911592424679227</v>
      </c>
      <c r="H17" s="1069">
        <f ca="1">INDEX('DCF Feed'!7:7,MATCH(DCF!H12,'DCF Feed'!1:1,0))</f>
        <v>0.97251994151871191</v>
      </c>
      <c r="I17" s="1069">
        <f>$C$8</f>
        <v>1.05</v>
      </c>
      <c r="J17" s="1069">
        <f t="shared" ref="J17:M17" si="5">$C$8</f>
        <v>1.05</v>
      </c>
      <c r="K17" s="1069">
        <f t="shared" si="5"/>
        <v>1.05</v>
      </c>
      <c r="L17" s="1069">
        <f t="shared" si="5"/>
        <v>1.05</v>
      </c>
      <c r="M17" s="1069">
        <f t="shared" si="5"/>
        <v>1.05</v>
      </c>
      <c r="N17" s="1075"/>
    </row>
    <row r="18" spans="2:14">
      <c r="B18" s="1074" t="s">
        <v>1535</v>
      </c>
      <c r="C18" s="1069"/>
      <c r="D18" s="1069">
        <f>1/(1+$C$6)^((D14-$B$14)/365)</f>
        <v>1.0260692680957979</v>
      </c>
      <c r="E18" s="1069">
        <f t="shared" ref="E18:M18" si="6">1/(1+$C$6)^((E14-$B$14)/365)</f>
        <v>0.94134795238146596</v>
      </c>
      <c r="F18" s="1069">
        <f t="shared" si="6"/>
        <v>0.86362197466189539</v>
      </c>
      <c r="G18" s="1069">
        <f t="shared" si="6"/>
        <v>0.7923137382219223</v>
      </c>
      <c r="H18" s="1069">
        <f t="shared" si="6"/>
        <v>0.72689333781827725</v>
      </c>
      <c r="I18" s="1069">
        <f t="shared" si="6"/>
        <v>0.66687462185163049</v>
      </c>
      <c r="J18" s="1069">
        <f t="shared" si="6"/>
        <v>0.6118115796803949</v>
      </c>
      <c r="K18" s="1069">
        <f t="shared" si="6"/>
        <v>0.56129502722972002</v>
      </c>
      <c r="L18" s="1069">
        <f t="shared" si="6"/>
        <v>0.51494956626579813</v>
      </c>
      <c r="M18" s="1069">
        <f t="shared" si="6"/>
        <v>0.4724307947392643</v>
      </c>
      <c r="N18" s="1075"/>
    </row>
    <row r="19" spans="2:14" ht="12.75" thickBot="1">
      <c r="B19" s="1078" t="s">
        <v>1536</v>
      </c>
      <c r="C19" s="1079"/>
      <c r="D19" s="1080">
        <f ca="1">D15*D17*D18</f>
        <v>1.1607027851492155</v>
      </c>
      <c r="E19" s="1080">
        <f t="shared" ref="E19:L19" ca="1" si="7">E15*E17*E18</f>
        <v>1.2222554237995404</v>
      </c>
      <c r="F19" s="1080">
        <f t="shared" ca="1" si="7"/>
        <v>1.2222261615083103</v>
      </c>
      <c r="G19" s="1080">
        <f t="shared" ca="1" si="7"/>
        <v>1.2121511440273991</v>
      </c>
      <c r="H19" s="1080">
        <f t="shared" ca="1" si="7"/>
        <v>1.1906481493912742</v>
      </c>
      <c r="I19" s="1080">
        <f t="shared" si="7"/>
        <v>1.297299982644913</v>
      </c>
      <c r="J19" s="1080">
        <f t="shared" si="7"/>
        <v>1.2883736066175395</v>
      </c>
      <c r="K19" s="1080">
        <f t="shared" si="7"/>
        <v>1.2588237532547515</v>
      </c>
      <c r="L19" s="1080">
        <f t="shared" si="7"/>
        <v>1.2097411757195895</v>
      </c>
      <c r="M19" s="1080">
        <f>(M15+N15)*M17*M18</f>
        <v>20.195648557349351</v>
      </c>
      <c r="N19" s="1081">
        <f ca="1">SUM(D19:M19)</f>
        <v>31.257870739461882</v>
      </c>
    </row>
    <row r="23" spans="2:14" ht="12.75" thickBot="1"/>
    <row r="24" spans="2:14" ht="13.5" thickBot="1">
      <c r="B24" s="1196" t="s">
        <v>1537</v>
      </c>
      <c r="C24" s="1197">
        <f ca="1">C12</f>
        <v>2025</v>
      </c>
    </row>
    <row r="25" spans="2:14" ht="12.75">
      <c r="B25" s="1187" t="s">
        <v>1538</v>
      </c>
      <c r="C25" s="1188">
        <f ca="1">C9</f>
        <v>23.443403054596413</v>
      </c>
    </row>
    <row r="26" spans="2:14" ht="12.75">
      <c r="B26" s="1187" t="s">
        <v>287</v>
      </c>
      <c r="C26" s="1189">
        <f ca="1">INDEX('DCF Feed'!4:4,MATCH(DCF!$C$24,'DCF Feed'!$1:$1,0))</f>
        <v>5217.0942807667525</v>
      </c>
    </row>
    <row r="27" spans="2:14" ht="12.75">
      <c r="B27" s="1187" t="s">
        <v>1539</v>
      </c>
      <c r="C27" s="1189">
        <f ca="1">C25*C26</f>
        <v>122306.44399784476</v>
      </c>
    </row>
    <row r="28" spans="2:14" ht="12.75">
      <c r="B28" s="1187" t="s">
        <v>1573</v>
      </c>
      <c r="C28" s="1189">
        <f>'DCF Feed'!B8</f>
        <v>2263.351789321775</v>
      </c>
    </row>
    <row r="29" spans="2:14" ht="12.75" hidden="1">
      <c r="B29" s="1187" t="s">
        <v>752</v>
      </c>
      <c r="C29" s="1190"/>
    </row>
    <row r="30" spans="2:14" ht="12.75">
      <c r="B30" s="1187" t="s">
        <v>1523</v>
      </c>
      <c r="C30" s="1189">
        <f ca="1">INDEX('DCF Feed'!9:9,MATCH(DCF!C24,'DCF Feed'!1:1,0))</f>
        <v>-23</v>
      </c>
    </row>
    <row r="31" spans="2:14" ht="12.75">
      <c r="B31" s="1187" t="s">
        <v>1540</v>
      </c>
      <c r="C31" s="1191">
        <f ca="1">-C30*C7</f>
        <v>5.75</v>
      </c>
    </row>
    <row r="32" spans="2:14" ht="12.75">
      <c r="B32" s="1187" t="s">
        <v>1541</v>
      </c>
      <c r="C32" s="1189">
        <f ca="1">SUM(C27:C31)</f>
        <v>124552.54578716654</v>
      </c>
    </row>
    <row r="33" spans="2:8" ht="12.75">
      <c r="B33" s="1187" t="s">
        <v>1117</v>
      </c>
      <c r="C33" s="1189">
        <f>'DCF Feed'!E12</f>
        <v>402.77547575664045</v>
      </c>
    </row>
    <row r="34" spans="2:8" ht="12.75">
      <c r="B34" s="1192" t="s">
        <v>720</v>
      </c>
      <c r="C34" s="1193">
        <f ca="1">MROUND(C32/C33,1)</f>
        <v>309</v>
      </c>
    </row>
    <row r="35" spans="2:8" ht="12.75">
      <c r="B35" s="1187" t="s">
        <v>1542</v>
      </c>
      <c r="C35" s="1190" t="s">
        <v>1780</v>
      </c>
    </row>
    <row r="36" spans="2:8" ht="13.5" thickBot="1">
      <c r="B36" s="1194" t="s">
        <v>1657</v>
      </c>
      <c r="C36" s="1195" t="e">
        <f ca="1">C34/C35-1</f>
        <v>#VALUE!</v>
      </c>
    </row>
    <row r="38" spans="2:8" ht="12.75" thickBot="1"/>
    <row r="39" spans="2:8" ht="15">
      <c r="B39" s="1416" t="s">
        <v>1323</v>
      </c>
      <c r="C39" s="1417"/>
      <c r="D39" s="1404" t="s">
        <v>1199</v>
      </c>
      <c r="E39" s="1405"/>
      <c r="F39" s="1405"/>
      <c r="G39" s="1405"/>
      <c r="H39" s="1406"/>
    </row>
    <row r="40" spans="2:8" ht="14.25">
      <c r="B40" s="1130"/>
      <c r="C40" s="1131">
        <f ca="1">$C$34</f>
        <v>309</v>
      </c>
      <c r="D40" s="1132">
        <f>E40-0.5%</f>
        <v>7.9999999999999988E-2</v>
      </c>
      <c r="E40" s="1132">
        <f>F40-0.5%</f>
        <v>8.4999999999999992E-2</v>
      </c>
      <c r="F40" s="1132">
        <v>0.09</v>
      </c>
      <c r="G40" s="1132">
        <f>F40+0.5%</f>
        <v>9.5000000000000001E-2</v>
      </c>
      <c r="H40" s="1132">
        <f>G40+0.5%</f>
        <v>0.1</v>
      </c>
    </row>
    <row r="41" spans="2:8">
      <c r="B41" s="1414" t="s">
        <v>1658</v>
      </c>
      <c r="C41" s="1136">
        <f>C42-2%</f>
        <v>6.3919899894331139E-2</v>
      </c>
      <c r="D41" s="1134">
        <f t="dataTable" ref="D41:H45" dt2D="1" dtr="1" r1="C6" r2="C3" ca="1"/>
        <v>309</v>
      </c>
      <c r="E41" s="1134">
        <v>282</v>
      </c>
      <c r="F41" s="1134">
        <v>260</v>
      </c>
      <c r="G41" s="1134">
        <v>241</v>
      </c>
      <c r="H41" s="1135">
        <v>225</v>
      </c>
    </row>
    <row r="42" spans="2:8" ht="12.75" thickBot="1">
      <c r="B42" s="1415"/>
      <c r="C42" s="1136">
        <f>C43-2%</f>
        <v>8.3919899894331143E-2</v>
      </c>
      <c r="D42" s="1134">
        <v>334</v>
      </c>
      <c r="E42" s="1134">
        <v>305</v>
      </c>
      <c r="F42" s="1134">
        <v>281</v>
      </c>
      <c r="G42" s="1134">
        <v>260</v>
      </c>
      <c r="H42" s="1135">
        <v>242</v>
      </c>
    </row>
    <row r="43" spans="2:8" ht="12.75" thickBot="1">
      <c r="B43" s="1415" t="s">
        <v>1659</v>
      </c>
      <c r="C43" s="1136">
        <v>0.10391989989433115</v>
      </c>
      <c r="D43" s="1134">
        <v>361</v>
      </c>
      <c r="E43" s="1134">
        <v>329</v>
      </c>
      <c r="F43" s="1137">
        <v>302</v>
      </c>
      <c r="G43" s="1134">
        <v>280</v>
      </c>
      <c r="H43" s="1135">
        <v>261</v>
      </c>
    </row>
    <row r="44" spans="2:8">
      <c r="B44" s="1415"/>
      <c r="C44" s="1136">
        <f>C43+2%</f>
        <v>0.12391989989433115</v>
      </c>
      <c r="D44" s="1134">
        <v>390</v>
      </c>
      <c r="E44" s="1134">
        <v>355</v>
      </c>
      <c r="F44" s="1134">
        <v>326</v>
      </c>
      <c r="G44" s="1134">
        <v>301</v>
      </c>
      <c r="H44" s="1135">
        <v>280</v>
      </c>
    </row>
    <row r="45" spans="2:8" ht="12.75" thickBot="1">
      <c r="B45" s="1407"/>
      <c r="C45" s="1136">
        <f>C44+2%</f>
        <v>0.14391989989433115</v>
      </c>
      <c r="D45" s="1139">
        <v>421</v>
      </c>
      <c r="E45" s="1139">
        <v>383</v>
      </c>
      <c r="F45" s="1139">
        <v>351</v>
      </c>
      <c r="G45" s="1139">
        <v>324</v>
      </c>
      <c r="H45" s="1140">
        <v>301</v>
      </c>
    </row>
    <row r="46" spans="2:8" ht="14.25">
      <c r="B46"/>
      <c r="C46"/>
      <c r="D46"/>
      <c r="E46"/>
      <c r="F46"/>
      <c r="G46"/>
      <c r="H46"/>
    </row>
    <row r="47" spans="2:8" ht="15" thickBot="1">
      <c r="B47"/>
      <c r="C47"/>
      <c r="D47"/>
      <c r="E47"/>
      <c r="F47"/>
      <c r="G47"/>
      <c r="H47"/>
    </row>
    <row r="48" spans="2:8" ht="15">
      <c r="B48" s="1416"/>
      <c r="C48" s="1417"/>
      <c r="D48" s="1404" t="s">
        <v>1660</v>
      </c>
      <c r="E48" s="1405"/>
      <c r="F48" s="1405" t="s">
        <v>1661</v>
      </c>
      <c r="G48" s="1405"/>
      <c r="H48" s="1406"/>
    </row>
    <row r="49" spans="2:8" ht="14.25">
      <c r="B49" s="1130"/>
      <c r="C49" s="1131">
        <f ca="1">$C$34</f>
        <v>309</v>
      </c>
      <c r="D49" s="1141">
        <f>E49-10%</f>
        <v>0.85000000000000009</v>
      </c>
      <c r="E49" s="1141">
        <f>F49-10%</f>
        <v>0.95000000000000007</v>
      </c>
      <c r="F49" s="1141">
        <v>1.05</v>
      </c>
      <c r="G49" s="1141">
        <f>F49+10%</f>
        <v>1.1500000000000001</v>
      </c>
      <c r="H49" s="1141">
        <f>G49+10%</f>
        <v>1.2500000000000002</v>
      </c>
    </row>
    <row r="50" spans="2:8">
      <c r="B50" s="1414" t="s">
        <v>1658</v>
      </c>
      <c r="C50" s="1133">
        <f>C51-3%</f>
        <v>4.3919899894331149E-2</v>
      </c>
      <c r="D50" s="1142">
        <f t="dataTable" ref="D50:H54" dt2D="1" dtr="1" r1="C8" r2="C3" ca="1"/>
        <v>207</v>
      </c>
      <c r="E50" s="1142">
        <v>224</v>
      </c>
      <c r="F50" s="1142">
        <v>241</v>
      </c>
      <c r="G50" s="1142">
        <v>259</v>
      </c>
      <c r="H50" s="1143">
        <v>276</v>
      </c>
    </row>
    <row r="51" spans="2:8" ht="12.75" thickBot="1">
      <c r="B51" s="1415"/>
      <c r="C51" s="1136">
        <f>C52-3%</f>
        <v>7.3919899894331148E-2</v>
      </c>
      <c r="D51" s="1134">
        <v>231</v>
      </c>
      <c r="E51" s="1134">
        <v>250</v>
      </c>
      <c r="F51" s="1134">
        <v>270</v>
      </c>
      <c r="G51" s="1134">
        <v>290</v>
      </c>
      <c r="H51" s="1135">
        <v>310</v>
      </c>
    </row>
    <row r="52" spans="2:8" ht="12.75" thickBot="1">
      <c r="B52" s="1415" t="s">
        <v>1659</v>
      </c>
      <c r="C52" s="1136">
        <v>0.10391989989433115</v>
      </c>
      <c r="D52" s="1134">
        <v>257</v>
      </c>
      <c r="E52" s="1134">
        <v>280</v>
      </c>
      <c r="F52" s="1137">
        <v>302</v>
      </c>
      <c r="G52" s="1134">
        <v>325</v>
      </c>
      <c r="H52" s="1135">
        <v>348</v>
      </c>
    </row>
    <row r="53" spans="2:8">
      <c r="B53" s="1415"/>
      <c r="C53" s="1136">
        <f>C52+3%</f>
        <v>0.13391989989433115</v>
      </c>
      <c r="D53" s="1134">
        <v>286</v>
      </c>
      <c r="E53" s="1134">
        <v>312</v>
      </c>
      <c r="F53" s="1134">
        <v>338</v>
      </c>
      <c r="G53" s="1134">
        <v>364</v>
      </c>
      <c r="H53" s="1135">
        <v>390</v>
      </c>
    </row>
    <row r="54" spans="2:8" ht="12.75" thickBot="1">
      <c r="B54" s="1407"/>
      <c r="C54" s="1138">
        <f>C53+3%</f>
        <v>0.16391989989433114</v>
      </c>
      <c r="D54" s="1139">
        <v>319</v>
      </c>
      <c r="E54" s="1139">
        <v>349</v>
      </c>
      <c r="F54" s="1139">
        <v>378</v>
      </c>
      <c r="G54" s="1139">
        <v>408</v>
      </c>
      <c r="H54" s="1140">
        <v>437</v>
      </c>
    </row>
  </sheetData>
  <mergeCells count="6">
    <mergeCell ref="B50:B54"/>
    <mergeCell ref="B39:C39"/>
    <mergeCell ref="D39:H39"/>
    <mergeCell ref="B41:B45"/>
    <mergeCell ref="B48:C48"/>
    <mergeCell ref="D48:H48"/>
  </mergeCells>
  <conditionalFormatting sqref="D41:H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7" right="0.7" top="0.75" bottom="0.75" header="0.3" footer="0.3"/>
  <pageSetup paperSize="0" scale="19" orientation="portrait" r:id="rId1"/>
  <customProperties>
    <customPr name="Qube.Worksheet.ID" r:id="rId2"/>
    <customPr name="Qube.Worksheet.Visibility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B709-9C98-4EAA-A2B6-885350DFE9E8}">
  <sheetPr codeName="Sheet9">
    <tabColor rgb="FF002060"/>
  </sheetPr>
  <dimension ref="A1:H12"/>
  <sheetViews>
    <sheetView showGridLines="0" workbookViewId="0"/>
  </sheetViews>
  <sheetFormatPr defaultColWidth="9" defaultRowHeight="12"/>
  <cols>
    <col min="1" max="1" width="20.125" style="782" bestFit="1" customWidth="1"/>
    <col min="2" max="16384" width="9" style="782"/>
  </cols>
  <sheetData>
    <row r="1" spans="1:8">
      <c r="A1" s="1082" t="s">
        <v>1519</v>
      </c>
      <c r="B1" s="1082">
        <v>2025</v>
      </c>
      <c r="C1" s="1082">
        <f>B1+1</f>
        <v>2026</v>
      </c>
      <c r="D1" s="1082">
        <f t="shared" ref="D1:G1" si="0">C1+1</f>
        <v>2027</v>
      </c>
      <c r="E1" s="1082">
        <f t="shared" si="0"/>
        <v>2028</v>
      </c>
      <c r="F1" s="1082">
        <f t="shared" si="0"/>
        <v>2029</v>
      </c>
      <c r="G1" s="1082">
        <f t="shared" si="0"/>
        <v>2030</v>
      </c>
      <c r="H1" s="1082" t="s">
        <v>1520</v>
      </c>
    </row>
    <row r="2" spans="1:8">
      <c r="A2" s="1067" t="s">
        <v>757</v>
      </c>
      <c r="B2" s="1083">
        <f>INDEX('Income Statement'!39:39,MATCH(B1,'Income Statement'!38:38,0))</f>
        <v>31556.568615283002</v>
      </c>
      <c r="C2" s="1083">
        <f>INDEX('Income Statement'!39:39,MATCH(C1,'Income Statement'!38:38,0))</f>
        <v>35653.731777547211</v>
      </c>
      <c r="D2" s="1083">
        <f>INDEX('Income Statement'!39:39,MATCH(D1,'Income Statement'!38:38,0))</f>
        <v>39232.543288947665</v>
      </c>
      <c r="E2" s="1083">
        <f>INDEX('Income Statement'!39:39,MATCH(E1,'Income Statement'!38:38,0))</f>
        <v>42282.092826476444</v>
      </c>
      <c r="F2" s="1083">
        <f>INDEX('Income Statement'!39:39,MATCH(F1,'Income Statement'!38:38,0))</f>
        <v>44620.650972750256</v>
      </c>
      <c r="G2" s="1083">
        <f>INDEX('Income Statement'!39:39,MATCH(G1,'Income Statement'!38:38,0))</f>
        <v>46787.066610790876</v>
      </c>
      <c r="H2" s="1069">
        <f>(G2/B2)^(1/5)-1</f>
        <v>8.1950043876753087E-2</v>
      </c>
    </row>
    <row r="3" spans="1:8">
      <c r="A3" s="1084" t="s">
        <v>1521</v>
      </c>
      <c r="B3" s="1084"/>
      <c r="C3" s="1085">
        <f>C2/B2-1</f>
        <v>0.12983550943748479</v>
      </c>
      <c r="D3" s="1085">
        <f t="shared" ref="D3:G3" si="1">D2/C2-1</f>
        <v>0.10037691240091151</v>
      </c>
      <c r="E3" s="1085">
        <f t="shared" si="1"/>
        <v>7.7730100622558362E-2</v>
      </c>
      <c r="F3" s="1085">
        <f t="shared" si="1"/>
        <v>5.5308476708358256E-2</v>
      </c>
      <c r="G3" s="1085">
        <f t="shared" si="1"/>
        <v>4.8551860871856034E-2</v>
      </c>
      <c r="H3" s="1067"/>
    </row>
    <row r="4" spans="1:8">
      <c r="A4" s="1067" t="s">
        <v>1421</v>
      </c>
      <c r="B4" s="1083">
        <f>INDEX('Income Statement'!74:74,MATCH(B1,'Income Statement'!$38:$38,0))</f>
        <v>5217.0942807667525</v>
      </c>
      <c r="C4" s="1083">
        <f>INDEX('Income Statement'!74:74,MATCH(C1,'Income Statement'!$38:$38,0))</f>
        <v>6143.363786419126</v>
      </c>
      <c r="D4" s="1083">
        <f>INDEX('Income Statement'!74:74,MATCH(D1,'Income Statement'!$38:$38,0))</f>
        <v>6980.0221694088314</v>
      </c>
      <c r="E4" s="1083">
        <f>INDEX('Income Statement'!74:74,MATCH(E1,'Income Statement'!$38:$38,0))</f>
        <v>7702.6228418575593</v>
      </c>
      <c r="F4" s="1083">
        <f>INDEX('Income Statement'!74:74,MATCH(F1,'Income Statement'!$38:$38,0))</f>
        <v>8235.9280636556377</v>
      </c>
      <c r="G4" s="1083">
        <f>INDEX('Income Statement'!74:74,MATCH(G1,'Income Statement'!$38:$38,0))</f>
        <v>8787.0464606278074</v>
      </c>
      <c r="H4" s="1069">
        <f>(G4/B4)^(1/5)-1</f>
        <v>0.10989743443268152</v>
      </c>
    </row>
    <row r="5" spans="1:8">
      <c r="A5" s="1084" t="s">
        <v>747</v>
      </c>
      <c r="B5" s="1084"/>
      <c r="C5" s="1085">
        <f>C4/B4-1</f>
        <v>0.17754509614042102</v>
      </c>
      <c r="D5" s="1085">
        <f t="shared" ref="D5:G5" si="2">D4/C4-1</f>
        <v>0.13618896944362469</v>
      </c>
      <c r="E5" s="1085">
        <f t="shared" si="2"/>
        <v>0.10352412283382884</v>
      </c>
      <c r="F5" s="1085">
        <f t="shared" si="2"/>
        <v>6.9236834354655663E-2</v>
      </c>
      <c r="G5" s="1085">
        <f t="shared" si="2"/>
        <v>6.6916368466621634E-2</v>
      </c>
      <c r="H5" s="1067"/>
    </row>
    <row r="6" spans="1:8">
      <c r="A6" s="1067" t="s">
        <v>1664</v>
      </c>
      <c r="B6" s="1083">
        <f>INDEX('Cashflow Statement'!71:71, MATCH('DCF Feed'!B1,'Cashflow Statement'!2:2,0))</f>
        <v>4875.1457961671349</v>
      </c>
      <c r="C6" s="1083">
        <f>INDEX('Cashflow Statement'!71:71, MATCH('DCF Feed'!C1,'Cashflow Statement'!2:2,0))</f>
        <v>5901.6443142380986</v>
      </c>
      <c r="D6" s="1083">
        <f>INDEX('Cashflow Statement'!71:71, MATCH('DCF Feed'!D1,'Cashflow Statement'!2:2,0))</f>
        <v>6773.9264370935853</v>
      </c>
      <c r="E6" s="1083">
        <f>INDEX('Cashflow Statement'!71:71, MATCH('DCF Feed'!E1,'Cashflow Statement'!2:2,0))</f>
        <v>7383.4030444916252</v>
      </c>
      <c r="F6" s="1083">
        <f>INDEX('Cashflow Statement'!71:71, MATCH('DCF Feed'!F1,'Cashflow Statement'!2:2,0))</f>
        <v>7981.5690374397273</v>
      </c>
      <c r="G6" s="1083">
        <f>INDEX('Cashflow Statement'!71:71, MATCH('DCF Feed'!G1,'Cashflow Statement'!2:2,0))</f>
        <v>8545.5779100119598</v>
      </c>
      <c r="H6" s="1069">
        <f>(G6/B6)^(1/5)-1</f>
        <v>0.11879564183684832</v>
      </c>
    </row>
    <row r="7" spans="1:8">
      <c r="A7" s="1067" t="s">
        <v>1522</v>
      </c>
      <c r="B7" s="1069">
        <f>B6/B4</f>
        <v>0.93445614240474073</v>
      </c>
      <c r="C7" s="1069">
        <f>C6/C4</f>
        <v>0.96065356365263821</v>
      </c>
      <c r="D7" s="1069">
        <f t="shared" ref="D7:G7" si="3">D6/D4</f>
        <v>0.97047348456592353</v>
      </c>
      <c r="E7" s="1069">
        <f t="shared" si="3"/>
        <v>0.95855700013880585</v>
      </c>
      <c r="F7" s="1069">
        <f t="shared" si="3"/>
        <v>0.96911592424679227</v>
      </c>
      <c r="G7" s="1069">
        <f t="shared" si="3"/>
        <v>0.97251994151871191</v>
      </c>
      <c r="H7" s="1069">
        <f>AVERAGE(B7:G7)</f>
        <v>0.9609626760879354</v>
      </c>
    </row>
    <row r="8" spans="1:8">
      <c r="A8" s="1067" t="s">
        <v>1573</v>
      </c>
      <c r="B8" s="1083">
        <f>INDEX('Balance Sheet'!$93:$93,MATCH('DCF Feed'!B1,'Balance Sheet'!$88:$88,0))</f>
        <v>2263.351789321775</v>
      </c>
      <c r="C8" s="1083">
        <f>INDEX('Balance Sheet'!93:93,MATCH('DCF Feed'!C1,'Balance Sheet'!88:88,0))</f>
        <v>3593.394366591212</v>
      </c>
      <c r="D8" s="1083">
        <f>INDEX('Balance Sheet'!93:93,MATCH('DCF Feed'!D1,'Balance Sheet'!88:88,0))</f>
        <v>5128.5417198403047</v>
      </c>
      <c r="E8" s="1083">
        <f>INDEX('Balance Sheet'!93:93,MATCH('DCF Feed'!E1,'Balance Sheet'!88:88,0))</f>
        <v>7063.3546011351882</v>
      </c>
      <c r="F8" s="1083">
        <f>INDEX('Balance Sheet'!93:93,MATCH('DCF Feed'!F1,'Balance Sheet'!88:88,0))</f>
        <v>10517.022431859103</v>
      </c>
      <c r="G8" s="1083">
        <f>INDEX('Balance Sheet'!93:93,MATCH('DCF Feed'!G1,'Balance Sheet'!88:88,0))</f>
        <v>14268.617563934884</v>
      </c>
      <c r="H8" s="1083"/>
    </row>
    <row r="9" spans="1:8">
      <c r="A9" s="1067" t="s">
        <v>1523</v>
      </c>
      <c r="B9" s="1083">
        <f>INDEX('Balance Sheet'!$140:$140,MATCH('DCF Feed'!B1,'Balance Sheet'!$88:$88,0))</f>
        <v>-23</v>
      </c>
      <c r="C9" s="1083">
        <f>INDEX('Balance Sheet'!$140:$140,MATCH('DCF Feed'!C1,'Balance Sheet'!$88:$88,0))</f>
        <v>-23</v>
      </c>
      <c r="D9" s="1083">
        <f>INDEX('Balance Sheet'!$140:$140,MATCH('DCF Feed'!D1,'Balance Sheet'!$88:$88,0))</f>
        <v>-23</v>
      </c>
      <c r="E9" s="1083">
        <f>INDEX('Balance Sheet'!$140:$140,MATCH('DCF Feed'!E1,'Balance Sheet'!$88:$88,0))</f>
        <v>-23</v>
      </c>
      <c r="F9" s="1083">
        <f>INDEX('Balance Sheet'!$140:$140,MATCH('DCF Feed'!F1,'Balance Sheet'!$88:$88,0))</f>
        <v>-23</v>
      </c>
      <c r="G9" s="1083">
        <f>INDEX('Balance Sheet'!$140:$140,MATCH('DCF Feed'!G1,'Balance Sheet'!$88:$88,0))</f>
        <v>-23</v>
      </c>
      <c r="H9" s="1067"/>
    </row>
    <row r="10" spans="1:8">
      <c r="A10" s="1067" t="s">
        <v>1524</v>
      </c>
      <c r="B10" s="1085">
        <f>INDEX('Income Statement'!91:91,MATCH(B1,'Income Statement'!$38:$38,0))</f>
        <v>-0.32</v>
      </c>
      <c r="C10" s="1085">
        <f>INDEX('Income Statement'!91:91,MATCH(C1,'Income Statement'!$38:$38,0))</f>
        <v>-0.25</v>
      </c>
      <c r="D10" s="1085">
        <f>INDEX('Income Statement'!91:91,MATCH(D1,'Income Statement'!$38:$38,0))</f>
        <v>-0.25</v>
      </c>
      <c r="E10" s="1085">
        <f>INDEX('Income Statement'!91:91,MATCH(E1,'Income Statement'!$38:$38,0))</f>
        <v>-0.25</v>
      </c>
      <c r="F10" s="1085">
        <f>INDEX('Income Statement'!91:91,MATCH(F1,'Income Statement'!$38:$38,0))</f>
        <v>-0.25</v>
      </c>
      <c r="G10" s="1085">
        <f>INDEX('Income Statement'!91:91,MATCH(G1,'Income Statement'!$38:$38,0))</f>
        <v>-0.25</v>
      </c>
      <c r="H10" s="1067"/>
    </row>
    <row r="11" spans="1:8">
      <c r="A11" s="1067" t="s">
        <v>752</v>
      </c>
      <c r="B11" s="1067"/>
      <c r="C11" s="1067"/>
      <c r="D11" s="1067"/>
      <c r="E11" s="1067"/>
      <c r="F11" s="1067"/>
      <c r="G11" s="1067"/>
      <c r="H11" s="1067"/>
    </row>
    <row r="12" spans="1:8">
      <c r="A12" s="1067" t="s">
        <v>1525</v>
      </c>
      <c r="B12" s="1083">
        <f>INDEX('Income Statement'!117:117,MATCH(B1,'Income Statement'!$38:$38,0))/1000</f>
        <v>416.23563368916012</v>
      </c>
      <c r="C12" s="1083">
        <f>INDEX('Income Statement'!117:117,MATCH(C1,'Income Statement'!$38:$38,0))/1000</f>
        <v>411.74891437832019</v>
      </c>
      <c r="D12" s="1083">
        <f>INDEX('Income Statement'!117:117,MATCH(D1,'Income Statement'!$38:$38,0))/1000</f>
        <v>407.26219506748032</v>
      </c>
      <c r="E12" s="1083">
        <f>INDEX('Income Statement'!117:117,MATCH(E1,'Income Statement'!$38:$38,0))/1000</f>
        <v>402.77547575664045</v>
      </c>
      <c r="F12" s="1083">
        <f>INDEX('Income Statement'!117:117,MATCH(F1,'Income Statement'!$38:$38,0))/1000</f>
        <v>402.77547575664045</v>
      </c>
      <c r="G12" s="1083">
        <f>INDEX('Income Statement'!117:117,MATCH(G1,'Income Statement'!$38:$38,0))/1000</f>
        <v>402.77547575664045</v>
      </c>
      <c r="H12" s="1067"/>
    </row>
  </sheetData>
  <pageMargins left="0.7" right="0.7" top="0.75" bottom="0.75" header="0.3" footer="0.3"/>
  <customProperties>
    <customPr name="Qube.Worksheet.Visibility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9D13-51FE-4B7A-8342-667015593D28}">
  <sheetPr codeName="Sheet4">
    <tabColor rgb="FF002060"/>
  </sheetPr>
  <dimension ref="A1:AM196"/>
  <sheetViews>
    <sheetView showGridLines="0" zoomScaleNormal="100" workbookViewId="0">
      <pane xSplit="1" ySplit="3" topLeftCell="W135" activePane="bottomRight" state="frozen"/>
      <selection pane="topRight" activeCell="B1" sqref="B1"/>
      <selection pane="bottomLeft" activeCell="A4" sqref="A4"/>
      <selection pane="bottomRight" activeCell="W4" sqref="W4"/>
    </sheetView>
  </sheetViews>
  <sheetFormatPr defaultRowHeight="14.25" outlineLevelRow="1" outlineLevelCol="1"/>
  <cols>
    <col min="1" max="1" width="40.5" bestFit="1" customWidth="1"/>
    <col min="2" max="6" width="8.75" hidden="1" customWidth="1" outlineLevel="1"/>
    <col min="7" max="7" width="9" hidden="1" customWidth="1" outlineLevel="1"/>
    <col min="8" max="17" width="8.75" hidden="1" customWidth="1" outlineLevel="1"/>
    <col min="18" max="22" width="9" hidden="1" customWidth="1" outlineLevel="1"/>
    <col min="23" max="23" width="9" collapsed="1"/>
    <col min="33" max="33" width="14" style="1431" bestFit="1" customWidth="1"/>
  </cols>
  <sheetData>
    <row r="1" spans="1:39" ht="15">
      <c r="A1" s="924">
        <f>'DCF Valuation'!D45</f>
        <v>340</v>
      </c>
    </row>
    <row r="2" spans="1:39">
      <c r="A2" s="257" t="s">
        <v>1511</v>
      </c>
    </row>
    <row r="3" spans="1:39">
      <c r="A3" s="257" t="s">
        <v>1095</v>
      </c>
      <c r="B3" s="257">
        <f>B38</f>
        <v>2000</v>
      </c>
      <c r="C3" s="257">
        <f t="shared" ref="C3:Z3" si="0">C38</f>
        <v>2001</v>
      </c>
      <c r="D3" s="257">
        <f t="shared" si="0"/>
        <v>2002</v>
      </c>
      <c r="E3" s="257">
        <f t="shared" si="0"/>
        <v>2003</v>
      </c>
      <c r="F3" s="257">
        <f t="shared" si="0"/>
        <v>2004</v>
      </c>
      <c r="G3" s="257">
        <f t="shared" si="0"/>
        <v>2005</v>
      </c>
      <c r="H3" s="257">
        <f t="shared" si="0"/>
        <v>2006</v>
      </c>
      <c r="I3" s="257">
        <f t="shared" si="0"/>
        <v>2007</v>
      </c>
      <c r="J3" s="257">
        <f t="shared" si="0"/>
        <v>2008</v>
      </c>
      <c r="K3" s="257">
        <f t="shared" si="0"/>
        <v>2009</v>
      </c>
      <c r="L3" s="257">
        <f t="shared" si="0"/>
        <v>2010</v>
      </c>
      <c r="M3" s="257">
        <f t="shared" si="0"/>
        <v>2011</v>
      </c>
      <c r="N3" s="257">
        <f t="shared" si="0"/>
        <v>2012</v>
      </c>
      <c r="O3" s="257">
        <f t="shared" si="0"/>
        <v>2013</v>
      </c>
      <c r="P3" s="257">
        <f t="shared" si="0"/>
        <v>2014</v>
      </c>
      <c r="Q3" s="257">
        <f t="shared" si="0"/>
        <v>2015</v>
      </c>
      <c r="R3" s="257">
        <f t="shared" si="0"/>
        <v>2016</v>
      </c>
      <c r="S3" s="257">
        <f t="shared" si="0"/>
        <v>2017</v>
      </c>
      <c r="T3" s="257">
        <f t="shared" si="0"/>
        <v>2018</v>
      </c>
      <c r="U3" s="257">
        <f t="shared" si="0"/>
        <v>2019</v>
      </c>
      <c r="V3" s="257">
        <f t="shared" si="0"/>
        <v>2020</v>
      </c>
      <c r="W3" s="257">
        <f t="shared" si="0"/>
        <v>2021</v>
      </c>
      <c r="X3" s="257">
        <f t="shared" si="0"/>
        <v>2022</v>
      </c>
      <c r="Y3" s="257">
        <f t="shared" si="0"/>
        <v>2023</v>
      </c>
      <c r="Z3" s="257">
        <f t="shared" si="0"/>
        <v>2024</v>
      </c>
      <c r="AA3" s="945">
        <f>Z3+1</f>
        <v>2025</v>
      </c>
      <c r="AB3" s="945">
        <f t="shared" ref="AB3:AF3" si="1">AA3+1</f>
        <v>2026</v>
      </c>
      <c r="AC3" s="945">
        <f t="shared" si="1"/>
        <v>2027</v>
      </c>
      <c r="AD3" s="945">
        <f t="shared" si="1"/>
        <v>2028</v>
      </c>
      <c r="AE3" s="945">
        <f t="shared" si="1"/>
        <v>2029</v>
      </c>
      <c r="AF3" s="945">
        <f t="shared" si="1"/>
        <v>2030</v>
      </c>
      <c r="AG3" s="1433"/>
      <c r="AH3" s="180"/>
      <c r="AI3" s="180"/>
      <c r="AJ3" s="180"/>
      <c r="AK3" s="180"/>
      <c r="AL3" s="180"/>
      <c r="AM3" s="180"/>
    </row>
    <row r="4" spans="1:39">
      <c r="A4" s="258" t="s">
        <v>756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1433"/>
      <c r="AH4" s="180"/>
      <c r="AI4" s="180"/>
      <c r="AJ4" s="180"/>
      <c r="AK4" s="180"/>
      <c r="AL4" s="180"/>
      <c r="AM4" s="180"/>
    </row>
    <row r="5" spans="1:39">
      <c r="A5" s="19" t="s">
        <v>900</v>
      </c>
      <c r="B5" s="173"/>
      <c r="C5" s="173"/>
      <c r="D5" s="173"/>
      <c r="E5" s="173"/>
      <c r="F5" s="173"/>
      <c r="G5" s="173"/>
      <c r="H5" s="178">
        <v>5073</v>
      </c>
      <c r="I5" s="178">
        <v>5917</v>
      </c>
      <c r="J5" s="178">
        <v>5803</v>
      </c>
      <c r="K5" s="178">
        <v>5673</v>
      </c>
      <c r="L5" s="178">
        <v>5604</v>
      </c>
      <c r="M5" s="178">
        <v>6110</v>
      </c>
      <c r="N5" s="178">
        <v>7005</v>
      </c>
      <c r="O5" s="173">
        <f>'Aerospace Propulsion Division'!O6</f>
        <v>7589</v>
      </c>
      <c r="P5" s="173">
        <f>'Aerospace Propulsion Division'!P6</f>
        <v>8153</v>
      </c>
      <c r="Q5" s="173">
        <f>'Aerospace Propulsion Division'!Q6</f>
        <v>9319</v>
      </c>
      <c r="R5" s="173">
        <f>'Aerospace Propulsion Division'!R6</f>
        <v>9391</v>
      </c>
      <c r="S5" s="173">
        <f>'Aerospace Propulsion Division'!S6</f>
        <v>9357</v>
      </c>
      <c r="T5" s="173">
        <f>'Aerospace Propulsion Division'!T6</f>
        <v>10579</v>
      </c>
      <c r="U5" s="173">
        <f>'Aerospace Propulsion Division'!U6</f>
        <v>12045</v>
      </c>
      <c r="V5" s="173">
        <f>'Aerospace Propulsion Division'!V6</f>
        <v>7663</v>
      </c>
      <c r="W5" s="173">
        <f>'Aerospace Propulsion Division'!W6</f>
        <v>7439</v>
      </c>
      <c r="X5" s="173">
        <f>'Aerospace Propulsion Division'!X6</f>
        <v>9506</v>
      </c>
      <c r="Y5" s="173">
        <f>'Aerospace Propulsion Division'!Y6</f>
        <v>11876</v>
      </c>
      <c r="Z5" s="173">
        <f>'Aerospace Propulsion Division'!Z6</f>
        <v>13652</v>
      </c>
      <c r="AA5" s="173">
        <f>Z5*(1+AA12)</f>
        <v>15834.377060424713</v>
      </c>
      <c r="AB5" s="173">
        <f t="shared" ref="AB5:AF5" si="2">AA5*(1+AB12)</f>
        <v>17806.596817035024</v>
      </c>
      <c r="AC5" s="173">
        <f t="shared" si="2"/>
        <v>19932.222204194346</v>
      </c>
      <c r="AD5" s="173">
        <f t="shared" si="2"/>
        <v>21615.123364652041</v>
      </c>
      <c r="AE5" s="173">
        <f t="shared" si="2"/>
        <v>22915.426191351562</v>
      </c>
      <c r="AF5" s="173">
        <f t="shared" si="2"/>
        <v>24191.628720664365</v>
      </c>
      <c r="AG5" s="1433"/>
      <c r="AH5" s="180"/>
      <c r="AI5" s="180"/>
      <c r="AJ5" s="180"/>
      <c r="AK5" s="180"/>
      <c r="AL5" s="180"/>
      <c r="AM5" s="180"/>
    </row>
    <row r="6" spans="1:39">
      <c r="A6" s="19" t="s">
        <v>1572</v>
      </c>
      <c r="B6" s="173"/>
      <c r="C6" s="173"/>
      <c r="D6" s="173"/>
      <c r="E6" s="173"/>
      <c r="F6" s="173"/>
      <c r="G6" s="173"/>
      <c r="H6" s="178"/>
      <c r="I6" s="178"/>
      <c r="J6" s="178"/>
      <c r="K6" s="178"/>
      <c r="L6" s="178"/>
      <c r="M6" s="178"/>
      <c r="N6" s="178"/>
      <c r="O6" s="173"/>
      <c r="P6" s="173"/>
      <c r="Q6" s="173"/>
      <c r="R6" s="173"/>
      <c r="S6" s="173"/>
      <c r="T6" s="173">
        <f>'Equipment and Defense'!T6</f>
        <v>7942</v>
      </c>
      <c r="U6" s="173">
        <f>'Equipment and Defense'!U6</f>
        <v>9256</v>
      </c>
      <c r="V6" s="173">
        <f>'Equipment and Defense'!V6</f>
        <v>6893</v>
      </c>
      <c r="W6" s="173">
        <f>'Equipment and Defense'!W6</f>
        <v>6325</v>
      </c>
      <c r="X6" s="173">
        <f>'Equipment and Defense'!X6</f>
        <v>7535</v>
      </c>
      <c r="Y6" s="173">
        <f>'Equipment and Defense'!Y6</f>
        <v>8835</v>
      </c>
      <c r="Z6" s="173">
        <f>'Equipment and Defense'!Z6</f>
        <v>10618</v>
      </c>
      <c r="AA6" s="173">
        <f>Z6*(1+AA13)</f>
        <v>12288.33155485829</v>
      </c>
      <c r="AB6" s="173">
        <f t="shared" ref="AB6:AF7" si="3">AA6*(1+AB13)</f>
        <v>14054.009960512189</v>
      </c>
      <c r="AC6" s="173">
        <f t="shared" si="3"/>
        <v>15155.733002753315</v>
      </c>
      <c r="AD6" s="173">
        <f t="shared" si="3"/>
        <v>16185.1078488444</v>
      </c>
      <c r="AE6" s="173">
        <f t="shared" si="3"/>
        <v>17078.607862393696</v>
      </c>
      <c r="AF6" s="173">
        <f t="shared" si="3"/>
        <v>17837.765981105636</v>
      </c>
      <c r="AG6" s="1433"/>
      <c r="AH6" s="180"/>
      <c r="AI6" s="180"/>
      <c r="AJ6" s="180"/>
      <c r="AK6" s="180"/>
      <c r="AL6" s="180"/>
      <c r="AM6" s="180"/>
    </row>
    <row r="7" spans="1:39">
      <c r="A7" s="19" t="s">
        <v>1093</v>
      </c>
      <c r="B7" s="173"/>
      <c r="C7" s="173"/>
      <c r="D7" s="173"/>
      <c r="E7" s="173"/>
      <c r="F7" s="173"/>
      <c r="G7" s="173"/>
      <c r="H7" s="178"/>
      <c r="I7" s="178"/>
      <c r="J7" s="178"/>
      <c r="K7" s="178"/>
      <c r="L7" s="178"/>
      <c r="M7" s="178"/>
      <c r="N7" s="178"/>
      <c r="O7" s="173"/>
      <c r="P7" s="173"/>
      <c r="Q7" s="173"/>
      <c r="R7" s="173"/>
      <c r="S7" s="173"/>
      <c r="T7" s="173">
        <f>'Aircraft Interiors Division'!H6</f>
        <v>2511</v>
      </c>
      <c r="U7" s="173">
        <f>'Aircraft Interiors Division'!I6</f>
        <v>3321</v>
      </c>
      <c r="V7" s="173">
        <f>'Aircraft Interiors Division'!J6</f>
        <v>1922</v>
      </c>
      <c r="W7" s="173">
        <f>'Aircraft Interiors Division'!K6</f>
        <v>1475</v>
      </c>
      <c r="X7" s="173">
        <f>'Aircraft Interiors Division'!L6</f>
        <v>1978</v>
      </c>
      <c r="Y7" s="173">
        <f>'Aircraft Interiors Division'!M6</f>
        <v>2477</v>
      </c>
      <c r="Z7" s="173">
        <f>'Aircraft Interiors Division'!N6</f>
        <v>3037</v>
      </c>
      <c r="AA7" s="173">
        <f>Z7*(1+AA14)</f>
        <v>3423.86</v>
      </c>
      <c r="AB7" s="173">
        <f t="shared" si="3"/>
        <v>3783.125</v>
      </c>
      <c r="AC7" s="173">
        <f t="shared" si="3"/>
        <v>4134.5880820000002</v>
      </c>
      <c r="AD7" s="173">
        <f t="shared" si="3"/>
        <v>4471.8616129800002</v>
      </c>
      <c r="AE7" s="173">
        <f t="shared" si="3"/>
        <v>4616.6169190049995</v>
      </c>
      <c r="AF7" s="173">
        <f t="shared" si="3"/>
        <v>4747.6719090208799</v>
      </c>
      <c r="AG7" s="1433"/>
      <c r="AH7" s="180"/>
      <c r="AI7" s="180"/>
      <c r="AJ7" s="180"/>
      <c r="AK7" s="180"/>
      <c r="AL7" s="180"/>
      <c r="AM7" s="180"/>
    </row>
    <row r="8" spans="1:39">
      <c r="A8" s="19" t="s">
        <v>752</v>
      </c>
      <c r="B8" s="173"/>
      <c r="C8" s="173"/>
      <c r="D8" s="173"/>
      <c r="E8" s="173"/>
      <c r="F8" s="173"/>
      <c r="G8" s="173"/>
      <c r="H8" s="178">
        <f t="shared" ref="H8:S8" si="4">H9-H5</f>
        <v>6256</v>
      </c>
      <c r="I8" s="178">
        <f t="shared" si="4"/>
        <v>4305</v>
      </c>
      <c r="J8" s="178">
        <f t="shared" si="4"/>
        <v>4526</v>
      </c>
      <c r="K8" s="178">
        <f t="shared" si="4"/>
        <v>4775</v>
      </c>
      <c r="L8" s="178">
        <f t="shared" si="4"/>
        <v>5156</v>
      </c>
      <c r="M8" s="178">
        <f t="shared" si="4"/>
        <v>5626</v>
      </c>
      <c r="N8" s="178">
        <f t="shared" si="4"/>
        <v>6555</v>
      </c>
      <c r="O8" s="178">
        <f t="shared" si="4"/>
        <v>6774</v>
      </c>
      <c r="P8" s="178">
        <f t="shared" si="4"/>
        <v>7202</v>
      </c>
      <c r="Q8" s="178">
        <f t="shared" si="4"/>
        <v>8095</v>
      </c>
      <c r="R8" s="178">
        <f t="shared" si="4"/>
        <v>6390</v>
      </c>
      <c r="S8" s="178">
        <f t="shared" si="4"/>
        <v>6596</v>
      </c>
      <c r="T8" s="178">
        <v>18</v>
      </c>
      <c r="U8" s="178">
        <v>18</v>
      </c>
      <c r="V8" s="178">
        <v>20</v>
      </c>
      <c r="W8" s="178">
        <v>18</v>
      </c>
      <c r="X8" s="178">
        <v>16</v>
      </c>
      <c r="Y8" s="178">
        <v>11</v>
      </c>
      <c r="Z8" s="178">
        <v>10</v>
      </c>
      <c r="AA8" s="173">
        <f t="shared" ref="AA8:AF8" si="5">Z8</f>
        <v>10</v>
      </c>
      <c r="AB8" s="173">
        <f t="shared" si="5"/>
        <v>10</v>
      </c>
      <c r="AC8" s="173">
        <f t="shared" si="5"/>
        <v>10</v>
      </c>
      <c r="AD8" s="173">
        <f t="shared" si="5"/>
        <v>10</v>
      </c>
      <c r="AE8" s="173">
        <f t="shared" si="5"/>
        <v>10</v>
      </c>
      <c r="AF8" s="173">
        <f t="shared" si="5"/>
        <v>10</v>
      </c>
      <c r="AG8" s="1433"/>
      <c r="AH8" s="180"/>
      <c r="AI8" s="180"/>
      <c r="AJ8" s="180"/>
      <c r="AK8" s="180"/>
      <c r="AL8" s="180"/>
      <c r="AM8" s="180"/>
    </row>
    <row r="9" spans="1:39">
      <c r="A9" s="181" t="s">
        <v>916</v>
      </c>
      <c r="B9" s="167"/>
      <c r="C9" s="167"/>
      <c r="D9" s="167"/>
      <c r="E9" s="167"/>
      <c r="F9" s="167"/>
      <c r="G9" s="167"/>
      <c r="H9" s="167">
        <v>11329</v>
      </c>
      <c r="I9" s="167">
        <v>10222</v>
      </c>
      <c r="J9" s="167">
        <v>10329</v>
      </c>
      <c r="K9" s="167">
        <v>10448</v>
      </c>
      <c r="L9" s="167">
        <v>10760</v>
      </c>
      <c r="M9" s="167">
        <v>11736</v>
      </c>
      <c r="N9" s="167">
        <v>13560</v>
      </c>
      <c r="O9" s="167">
        <v>14363</v>
      </c>
      <c r="P9" s="167">
        <v>15355</v>
      </c>
      <c r="Q9" s="167">
        <v>17414</v>
      </c>
      <c r="R9" s="167">
        <v>15781</v>
      </c>
      <c r="S9" s="167">
        <v>15953</v>
      </c>
      <c r="T9" s="167">
        <f t="shared" ref="T9:AF9" si="6">SUM(T5,T6,T7,T8)</f>
        <v>21050</v>
      </c>
      <c r="U9" s="167">
        <f t="shared" si="6"/>
        <v>24640</v>
      </c>
      <c r="V9" s="167">
        <f t="shared" si="6"/>
        <v>16498</v>
      </c>
      <c r="W9" s="167">
        <f t="shared" si="6"/>
        <v>15257</v>
      </c>
      <c r="X9" s="167">
        <f t="shared" si="6"/>
        <v>19035</v>
      </c>
      <c r="Y9" s="167">
        <f t="shared" si="6"/>
        <v>23199</v>
      </c>
      <c r="Z9" s="167">
        <f t="shared" si="6"/>
        <v>27317</v>
      </c>
      <c r="AA9" s="167">
        <f t="shared" si="6"/>
        <v>31556.568615283002</v>
      </c>
      <c r="AB9" s="167">
        <f t="shared" si="6"/>
        <v>35653.731777547211</v>
      </c>
      <c r="AC9" s="167">
        <f t="shared" si="6"/>
        <v>39232.543288947665</v>
      </c>
      <c r="AD9" s="167">
        <f t="shared" si="6"/>
        <v>42282.092826476444</v>
      </c>
      <c r="AE9" s="167">
        <f t="shared" si="6"/>
        <v>44620.650972750256</v>
      </c>
      <c r="AF9" s="167">
        <f t="shared" si="6"/>
        <v>46787.066610790876</v>
      </c>
      <c r="AG9" s="1433"/>
      <c r="AH9" s="1433"/>
      <c r="AI9" s="1433"/>
      <c r="AJ9" s="1433"/>
      <c r="AK9" s="1433"/>
      <c r="AL9" s="1433"/>
      <c r="AM9" s="180"/>
    </row>
    <row r="10" spans="1:39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768"/>
      <c r="AB10" s="180"/>
      <c r="AC10" s="180"/>
      <c r="AD10" s="180"/>
      <c r="AE10" s="180"/>
      <c r="AF10" s="180"/>
      <c r="AG10" s="1433"/>
      <c r="AH10" s="1433"/>
      <c r="AI10" s="1433"/>
      <c r="AJ10" s="1433"/>
      <c r="AK10" s="1433"/>
      <c r="AL10" s="1433"/>
      <c r="AM10" s="180"/>
    </row>
    <row r="11" spans="1:39">
      <c r="A11" s="258" t="s">
        <v>1222</v>
      </c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1433"/>
      <c r="AH11" s="1433"/>
      <c r="AI11" s="1433"/>
      <c r="AJ11" s="1433"/>
      <c r="AK11" s="1433"/>
      <c r="AL11" s="1433"/>
      <c r="AM11" s="180"/>
    </row>
    <row r="12" spans="1:39">
      <c r="A12" s="19" t="s">
        <v>900</v>
      </c>
      <c r="B12" s="180"/>
      <c r="C12" s="180"/>
      <c r="D12" s="180"/>
      <c r="E12" s="180"/>
      <c r="F12" s="180"/>
      <c r="G12" s="180"/>
      <c r="H12" s="180"/>
      <c r="I12" s="278">
        <f t="shared" ref="I12:Z12" si="7">I5/H5-1</f>
        <v>0.16637098363887248</v>
      </c>
      <c r="J12" s="278">
        <f t="shared" si="7"/>
        <v>-1.9266520196045245E-2</v>
      </c>
      <c r="K12" s="278">
        <f t="shared" si="7"/>
        <v>-2.2402205755643667E-2</v>
      </c>
      <c r="L12" s="278">
        <f t="shared" si="7"/>
        <v>-1.2162876784770016E-2</v>
      </c>
      <c r="M12" s="278">
        <f t="shared" si="7"/>
        <v>9.0292648108494022E-2</v>
      </c>
      <c r="N12" s="278">
        <f t="shared" si="7"/>
        <v>0.146481178396072</v>
      </c>
      <c r="O12" s="278">
        <f t="shared" si="7"/>
        <v>8.3369022127051995E-2</v>
      </c>
      <c r="P12" s="278">
        <f t="shared" si="7"/>
        <v>7.4318091975227318E-2</v>
      </c>
      <c r="Q12" s="278">
        <f t="shared" si="7"/>
        <v>0.14301484116276209</v>
      </c>
      <c r="R12" s="278">
        <f t="shared" si="7"/>
        <v>7.7261508745574137E-3</v>
      </c>
      <c r="S12" s="278">
        <f t="shared" si="7"/>
        <v>-3.6204877009903269E-3</v>
      </c>
      <c r="T12" s="278">
        <f t="shared" si="7"/>
        <v>0.13059741370097244</v>
      </c>
      <c r="U12" s="278">
        <f t="shared" si="7"/>
        <v>0.13857642499291045</v>
      </c>
      <c r="V12" s="278">
        <f t="shared" si="7"/>
        <v>-0.36380240763802407</v>
      </c>
      <c r="W12" s="278">
        <f t="shared" si="7"/>
        <v>-2.9231371525512251E-2</v>
      </c>
      <c r="X12" s="278">
        <f t="shared" si="7"/>
        <v>0.27785992740959808</v>
      </c>
      <c r="Y12" s="278">
        <f t="shared" si="7"/>
        <v>0.24931622133389442</v>
      </c>
      <c r="Z12" s="278">
        <f t="shared" si="7"/>
        <v>0.14954530144829903</v>
      </c>
      <c r="AA12" s="1086">
        <f>'Aerospace Propulsion Division'!AA7</f>
        <v>0.15985768095698161</v>
      </c>
      <c r="AB12" s="1086">
        <f>'Aerospace Propulsion Division'!AB7</f>
        <v>0.12455303729879796</v>
      </c>
      <c r="AC12" s="1086">
        <f>'Aerospace Propulsion Division'!AC7</f>
        <v>0.11937291606028855</v>
      </c>
      <c r="AD12" s="1086">
        <f>'Aerospace Propulsion Division'!AD7</f>
        <v>8.4431186007125847E-2</v>
      </c>
      <c r="AE12" s="1086">
        <f>'Aerospace Propulsion Division'!AE7</f>
        <v>6.0157085609141125E-2</v>
      </c>
      <c r="AF12" s="1086">
        <f>'Aerospace Propulsion Division'!AF7</f>
        <v>5.5691852233341832E-2</v>
      </c>
      <c r="AG12" s="1433"/>
      <c r="AH12" s="1433"/>
      <c r="AI12" s="1433"/>
      <c r="AJ12" s="1433"/>
      <c r="AK12" s="1433"/>
      <c r="AL12" s="1433"/>
      <c r="AM12" s="180"/>
    </row>
    <row r="13" spans="1:39">
      <c r="A13" s="19" t="s">
        <v>1572</v>
      </c>
      <c r="B13" s="180"/>
      <c r="C13" s="180"/>
      <c r="D13" s="180"/>
      <c r="E13" s="180"/>
      <c r="F13" s="180"/>
      <c r="G13" s="180"/>
      <c r="H13" s="180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>
        <f t="shared" ref="U13:Z13" si="8">U6/T6-1</f>
        <v>0.16544950893981358</v>
      </c>
      <c r="V13" s="278">
        <f t="shared" si="8"/>
        <v>-0.25529386343993088</v>
      </c>
      <c r="W13" s="278">
        <f t="shared" si="8"/>
        <v>-8.2402437255186367E-2</v>
      </c>
      <c r="X13" s="278">
        <f t="shared" si="8"/>
        <v>0.19130434782608696</v>
      </c>
      <c r="Y13" s="278">
        <f t="shared" si="8"/>
        <v>0.17252820172528205</v>
      </c>
      <c r="Z13" s="278">
        <f t="shared" si="8"/>
        <v>0.20181097906055467</v>
      </c>
      <c r="AA13" s="1086">
        <f>'Equipment and Defense'!AA7</f>
        <v>0.1573113161478894</v>
      </c>
      <c r="AB13" s="1086">
        <f>'Equipment and Defense'!AB7</f>
        <v>0.14368739952787357</v>
      </c>
      <c r="AC13" s="1086">
        <f>'Equipment and Defense'!AC7</f>
        <v>7.8392077801044513E-2</v>
      </c>
      <c r="AD13" s="1086">
        <f>'Equipment and Defense'!AD7</f>
        <v>6.7919832442553618E-2</v>
      </c>
      <c r="AE13" s="1086">
        <f>'Equipment and Defense'!AE7</f>
        <v>5.5205070110984078E-2</v>
      </c>
      <c r="AF13" s="1086">
        <f>'Equipment and Defense'!AF7</f>
        <v>4.4450819693774513E-2</v>
      </c>
      <c r="AG13" s="1433"/>
      <c r="AH13" s="1433"/>
      <c r="AI13" s="1433"/>
      <c r="AJ13" s="1433"/>
      <c r="AK13" s="1433"/>
      <c r="AL13" s="1433"/>
      <c r="AM13" s="180"/>
    </row>
    <row r="14" spans="1:39">
      <c r="A14" s="19" t="s">
        <v>1093</v>
      </c>
      <c r="B14" s="180"/>
      <c r="C14" s="180"/>
      <c r="D14" s="180"/>
      <c r="E14" s="180"/>
      <c r="F14" s="180"/>
      <c r="G14" s="180"/>
      <c r="H14" s="180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>
        <f t="shared" ref="U14:Z14" si="9">U7/T7-1</f>
        <v>0.32258064516129026</v>
      </c>
      <c r="V14" s="278">
        <f t="shared" si="9"/>
        <v>-0.42125865703101473</v>
      </c>
      <c r="W14" s="278">
        <f t="shared" si="9"/>
        <v>-0.2325702393340271</v>
      </c>
      <c r="X14" s="278">
        <f t="shared" si="9"/>
        <v>0.34101694915254233</v>
      </c>
      <c r="Y14" s="278">
        <f t="shared" si="9"/>
        <v>0.25227502527805856</v>
      </c>
      <c r="Z14" s="278">
        <f t="shared" si="9"/>
        <v>0.22607993540573279</v>
      </c>
      <c r="AA14" s="1086">
        <f>'Aircraft Interiors Division'!O7</f>
        <v>0.12738228514981897</v>
      </c>
      <c r="AB14" s="1086">
        <f>'Aircraft Interiors Division'!P7</f>
        <v>0.10492981605556295</v>
      </c>
      <c r="AC14" s="1086">
        <f>'Aircraft Interiors Division'!Q7</f>
        <v>9.2902846720634535E-2</v>
      </c>
      <c r="AD14" s="1086">
        <f>'Aircraft Interiors Division'!R7</f>
        <v>8.1573671739713527E-2</v>
      </c>
      <c r="AE14" s="1086">
        <f>'Aircraft Interiors Division'!S7</f>
        <v>3.2370256182533419E-2</v>
      </c>
      <c r="AF14" s="1086">
        <f>'Aircraft Interiors Division'!T7</f>
        <v>2.8387668354368456E-2</v>
      </c>
      <c r="AG14" s="1433"/>
      <c r="AH14" s="1433"/>
      <c r="AI14" s="1433"/>
      <c r="AJ14" s="1433"/>
      <c r="AK14" s="1433"/>
      <c r="AL14" s="1433"/>
      <c r="AM14" s="180"/>
    </row>
    <row r="15" spans="1:39">
      <c r="A15" s="19" t="s">
        <v>752</v>
      </c>
      <c r="B15" s="180"/>
      <c r="C15" s="180"/>
      <c r="D15" s="180"/>
      <c r="E15" s="180"/>
      <c r="F15" s="180"/>
      <c r="G15" s="180"/>
      <c r="H15" s="180"/>
      <c r="I15" s="278"/>
      <c r="J15" s="278"/>
      <c r="K15" s="278">
        <f t="shared" ref="K15:T15" si="10">K8/J8-1</f>
        <v>5.5015466195315943E-2</v>
      </c>
      <c r="L15" s="278">
        <f t="shared" si="10"/>
        <v>7.9790575916230289E-2</v>
      </c>
      <c r="M15" s="278">
        <f t="shared" si="10"/>
        <v>9.1155934833204055E-2</v>
      </c>
      <c r="N15" s="278">
        <f t="shared" si="10"/>
        <v>0.16512619978670462</v>
      </c>
      <c r="O15" s="278">
        <f t="shared" si="10"/>
        <v>3.3409610983981652E-2</v>
      </c>
      <c r="P15" s="278">
        <f t="shared" si="10"/>
        <v>6.3182757602598061E-2</v>
      </c>
      <c r="Q15" s="278">
        <f t="shared" si="10"/>
        <v>0.12399333518467093</v>
      </c>
      <c r="R15" s="278">
        <f t="shared" si="10"/>
        <v>-0.21062384187770233</v>
      </c>
      <c r="S15" s="278">
        <f t="shared" si="10"/>
        <v>3.2237871674491325E-2</v>
      </c>
      <c r="T15" s="278">
        <f t="shared" si="10"/>
        <v>-0.99727107337780474</v>
      </c>
      <c r="U15" s="278">
        <f t="shared" ref="U15:Z15" si="11">U8/T8-1</f>
        <v>0</v>
      </c>
      <c r="V15" s="278">
        <f t="shared" si="11"/>
        <v>0.11111111111111116</v>
      </c>
      <c r="W15" s="278">
        <f t="shared" si="11"/>
        <v>-9.9999999999999978E-2</v>
      </c>
      <c r="X15" s="278">
        <f t="shared" si="11"/>
        <v>-0.11111111111111116</v>
      </c>
      <c r="Y15" s="278">
        <f t="shared" si="11"/>
        <v>-0.3125</v>
      </c>
      <c r="Z15" s="278">
        <f t="shared" si="11"/>
        <v>-9.0909090909090939E-2</v>
      </c>
      <c r="AA15" s="278">
        <f t="shared" ref="AA15" si="12">AA8/Z8-1</f>
        <v>0</v>
      </c>
      <c r="AB15" s="278">
        <f t="shared" ref="AB15" si="13">AB8/AA8-1</f>
        <v>0</v>
      </c>
      <c r="AC15" s="278">
        <f t="shared" ref="AC15" si="14">AC8/AB8-1</f>
        <v>0</v>
      </c>
      <c r="AD15" s="278">
        <f t="shared" ref="AD15" si="15">AD8/AC8-1</f>
        <v>0</v>
      </c>
      <c r="AE15" s="278">
        <f t="shared" ref="AE15" si="16">AE8/AD8-1</f>
        <v>0</v>
      </c>
      <c r="AF15" s="278">
        <f t="shared" ref="AF15" si="17">AF8/AE8-1</f>
        <v>0</v>
      </c>
      <c r="AG15" s="1433"/>
      <c r="AH15" s="1433"/>
      <c r="AI15" s="1433"/>
      <c r="AJ15" s="1433"/>
      <c r="AK15" s="1433"/>
      <c r="AL15" s="1433"/>
      <c r="AM15" s="180"/>
    </row>
    <row r="16" spans="1:39">
      <c r="A16" s="181" t="s">
        <v>916</v>
      </c>
      <c r="B16" s="180"/>
      <c r="C16" s="180"/>
      <c r="D16" s="180"/>
      <c r="E16" s="180"/>
      <c r="F16" s="180"/>
      <c r="G16" s="180"/>
      <c r="H16" s="180"/>
      <c r="I16" s="279">
        <f>I9/H9-1</f>
        <v>-9.7713831759202008E-2</v>
      </c>
      <c r="J16" s="279">
        <f>J9/I9-1</f>
        <v>1.046761886127956E-2</v>
      </c>
      <c r="K16" s="279">
        <f t="shared" ref="K16:T16" si="18">K9/J9-1</f>
        <v>1.1520960402749525E-2</v>
      </c>
      <c r="L16" s="279">
        <f t="shared" si="18"/>
        <v>2.9862174578866751E-2</v>
      </c>
      <c r="M16" s="279">
        <f t="shared" si="18"/>
        <v>9.0706319702602123E-2</v>
      </c>
      <c r="N16" s="279">
        <f t="shared" si="18"/>
        <v>0.15541922290388555</v>
      </c>
      <c r="O16" s="279">
        <f t="shared" si="18"/>
        <v>5.9218289085545717E-2</v>
      </c>
      <c r="P16" s="279">
        <f t="shared" si="18"/>
        <v>6.906635104086889E-2</v>
      </c>
      <c r="Q16" s="279">
        <f t="shared" si="18"/>
        <v>0.13409312927385209</v>
      </c>
      <c r="R16" s="279">
        <f t="shared" si="18"/>
        <v>-9.3775123463879617E-2</v>
      </c>
      <c r="S16" s="279">
        <f t="shared" si="18"/>
        <v>1.0899182561307841E-2</v>
      </c>
      <c r="T16" s="279">
        <f t="shared" si="18"/>
        <v>0.31950103428822163</v>
      </c>
      <c r="U16" s="279">
        <f t="shared" ref="U16:AF16" si="19">U9/T9-1</f>
        <v>0.17054631828978617</v>
      </c>
      <c r="V16" s="279">
        <f t="shared" si="19"/>
        <v>-0.33043831168831173</v>
      </c>
      <c r="W16" s="279">
        <f t="shared" si="19"/>
        <v>-7.5221238938053103E-2</v>
      </c>
      <c r="X16" s="279">
        <f t="shared" si="19"/>
        <v>0.24762404142360883</v>
      </c>
      <c r="Y16" s="279">
        <f t="shared" si="19"/>
        <v>0.21875492513790395</v>
      </c>
      <c r="Z16" s="279">
        <f t="shared" si="19"/>
        <v>0.17750765119186163</v>
      </c>
      <c r="AA16" s="279">
        <f t="shared" si="19"/>
        <v>0.15519890966368943</v>
      </c>
      <c r="AB16" s="279">
        <f t="shared" si="19"/>
        <v>0.12983550943748479</v>
      </c>
      <c r="AC16" s="279">
        <f t="shared" si="19"/>
        <v>0.10037691240091151</v>
      </c>
      <c r="AD16" s="279">
        <f t="shared" si="19"/>
        <v>7.7730100622558362E-2</v>
      </c>
      <c r="AE16" s="279">
        <f t="shared" si="19"/>
        <v>5.5308476708358256E-2</v>
      </c>
      <c r="AF16" s="279">
        <f t="shared" si="19"/>
        <v>4.8551860871856034E-2</v>
      </c>
      <c r="AG16" s="1433"/>
      <c r="AH16" s="1433"/>
      <c r="AI16" s="1433"/>
      <c r="AJ16" s="1433"/>
      <c r="AK16" s="1433"/>
      <c r="AL16" s="1433"/>
      <c r="AM16" s="180"/>
    </row>
    <row r="17" spans="1:39">
      <c r="A17" s="181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279"/>
      <c r="AB17" s="279"/>
      <c r="AC17" s="279"/>
      <c r="AD17" s="279"/>
      <c r="AE17" s="279"/>
      <c r="AF17" s="279"/>
      <c r="AG17" s="1433"/>
      <c r="AH17" s="1433"/>
      <c r="AI17" s="1433"/>
      <c r="AJ17" s="1433"/>
      <c r="AK17" s="1433"/>
      <c r="AL17" s="1433"/>
      <c r="AM17" s="180"/>
    </row>
    <row r="18" spans="1:39">
      <c r="A18" s="258" t="s">
        <v>1421</v>
      </c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H18" s="1431"/>
      <c r="AI18" s="1431"/>
      <c r="AJ18" s="1431"/>
      <c r="AK18" s="1431"/>
      <c r="AL18" s="1431"/>
    </row>
    <row r="19" spans="1:39">
      <c r="A19" s="19" t="s">
        <v>900</v>
      </c>
      <c r="B19" s="180"/>
      <c r="C19" s="180"/>
      <c r="D19" s="180"/>
      <c r="E19" s="180"/>
      <c r="F19" s="180"/>
      <c r="G19" s="180"/>
      <c r="H19" s="280">
        <v>561</v>
      </c>
      <c r="I19" s="280">
        <v>636</v>
      </c>
      <c r="J19" s="280">
        <v>584</v>
      </c>
      <c r="K19" s="280">
        <v>628</v>
      </c>
      <c r="L19" s="280">
        <v>663</v>
      </c>
      <c r="M19" s="280">
        <v>909</v>
      </c>
      <c r="N19" s="280">
        <v>1076</v>
      </c>
      <c r="O19" s="281">
        <f>'Aerospace Propulsion Division'!O19</f>
        <v>0</v>
      </c>
      <c r="P19" s="281">
        <f>'Aerospace Propulsion Division'!P19</f>
        <v>0</v>
      </c>
      <c r="Q19" s="281">
        <f>'Aerospace Propulsion Division'!Q19</f>
        <v>0</v>
      </c>
      <c r="R19" s="281">
        <f>'Aerospace Propulsion Division'!R19</f>
        <v>0</v>
      </c>
      <c r="S19" s="281">
        <v>1516</v>
      </c>
      <c r="T19" s="281">
        <f>'Aerospace Propulsion Division'!T19</f>
        <v>2030</v>
      </c>
      <c r="U19" s="281">
        <f>'Aerospace Propulsion Division'!U19</f>
        <v>2485</v>
      </c>
      <c r="V19" s="281">
        <f>'Aerospace Propulsion Division'!V19</f>
        <v>1192</v>
      </c>
      <c r="W19" s="281">
        <f>'Aerospace Propulsion Division'!W19</f>
        <v>1342</v>
      </c>
      <c r="X19" s="281">
        <f>'Aerospace Propulsion Division'!X19</f>
        <v>1710</v>
      </c>
      <c r="Y19" s="281">
        <f>'Aerospace Propulsion Division'!Y19</f>
        <v>2390</v>
      </c>
      <c r="Z19" s="281">
        <f>'Aerospace Propulsion Division'!Z19</f>
        <v>2819</v>
      </c>
      <c r="AA19" s="281">
        <f>AA5*AA26</f>
        <v>3573.190883274262</v>
      </c>
      <c r="AB19" s="281">
        <f t="shared" ref="AB19:AF21" si="20">AB5*AB26</f>
        <v>4022.7156495722697</v>
      </c>
      <c r="AC19" s="281">
        <f t="shared" si="20"/>
        <v>4530.2242218427427</v>
      </c>
      <c r="AD19" s="281">
        <f t="shared" si="20"/>
        <v>4955.6890119088566</v>
      </c>
      <c r="AE19" s="281">
        <f t="shared" si="20"/>
        <v>5298.5022462866154</v>
      </c>
      <c r="AF19" s="281">
        <f t="shared" si="20"/>
        <v>5689.8015205137017</v>
      </c>
      <c r="AG19" s="1433"/>
      <c r="AH19" s="1433"/>
      <c r="AI19" s="1433"/>
      <c r="AJ19" s="1433"/>
      <c r="AK19" s="1433"/>
      <c r="AL19" s="1433"/>
      <c r="AM19" s="180"/>
    </row>
    <row r="20" spans="1:39">
      <c r="A20" s="19" t="s">
        <v>1572</v>
      </c>
      <c r="B20" s="180"/>
      <c r="C20" s="180"/>
      <c r="D20" s="180"/>
      <c r="E20" s="180"/>
      <c r="F20" s="180"/>
      <c r="G20" s="1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>
        <v>619</v>
      </c>
      <c r="T20" s="266">
        <f>'Equipment and Defense'!T14</f>
        <v>992</v>
      </c>
      <c r="U20" s="266">
        <f>'Equipment and Defense'!U14</f>
        <v>1209</v>
      </c>
      <c r="V20" s="266">
        <f>'Equipment and Defense'!V14</f>
        <v>687</v>
      </c>
      <c r="W20" s="266">
        <f>'Equipment and Defense'!W14</f>
        <v>650</v>
      </c>
      <c r="X20" s="266">
        <f>'Equipment and Defense'!X14</f>
        <v>874</v>
      </c>
      <c r="Y20" s="266">
        <f>'Equipment and Defense'!Y14</f>
        <v>992</v>
      </c>
      <c r="Z20" s="266">
        <f>'Equipment and Defense'!Z14</f>
        <v>1298</v>
      </c>
      <c r="AA20" s="281">
        <f>AA6*AA27</f>
        <v>1566.0905547253578</v>
      </c>
      <c r="AB20" s="281">
        <f t="shared" si="20"/>
        <v>1952.7463492974887</v>
      </c>
      <c r="AC20" s="281">
        <f t="shared" si="20"/>
        <v>2176.3224869626247</v>
      </c>
      <c r="AD20" s="281">
        <f t="shared" si="20"/>
        <v>2384.4682977314997</v>
      </c>
      <c r="AE20" s="281">
        <f t="shared" si="20"/>
        <v>2546.3490319259013</v>
      </c>
      <c r="AF20" s="281">
        <f t="shared" si="20"/>
        <v>2693.8536423182982</v>
      </c>
      <c r="AG20" s="1433"/>
      <c r="AH20" s="1433"/>
      <c r="AI20" s="1433"/>
      <c r="AJ20" s="1433"/>
      <c r="AK20" s="1433"/>
      <c r="AL20" s="1433"/>
      <c r="AM20" s="180"/>
    </row>
    <row r="21" spans="1:39">
      <c r="A21" s="19" t="s">
        <v>1093</v>
      </c>
      <c r="B21" s="180"/>
      <c r="C21" s="180"/>
      <c r="D21" s="180"/>
      <c r="E21" s="180"/>
      <c r="F21" s="180"/>
      <c r="G21" s="1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>
        <v>93</v>
      </c>
      <c r="T21" s="266">
        <f>'Aircraft Interiors Division'!H19</f>
        <v>81</v>
      </c>
      <c r="U21" s="266">
        <f>'Aircraft Interiors Division'!I19</f>
        <v>188</v>
      </c>
      <c r="V21" s="266">
        <f>'Aircraft Interiors Division'!J19</f>
        <v>-174</v>
      </c>
      <c r="W21" s="266">
        <f>'Aircraft Interiors Division'!K19</f>
        <v>-167</v>
      </c>
      <c r="X21" s="266">
        <f>'Aircraft Interiors Division'!L19</f>
        <v>-140</v>
      </c>
      <c r="Y21" s="266">
        <f>'Aircraft Interiors Division'!M19</f>
        <v>-116</v>
      </c>
      <c r="Z21" s="266">
        <f>'Aircraft Interiors Division'!N19</f>
        <v>27</v>
      </c>
      <c r="AA21" s="281">
        <f>AA7*AA28</f>
        <v>106.69281550872572</v>
      </c>
      <c r="AB21" s="281">
        <f t="shared" si="20"/>
        <v>200.53140626440566</v>
      </c>
      <c r="AC21" s="281">
        <f t="shared" si="20"/>
        <v>309.38033969793548</v>
      </c>
      <c r="AD21" s="281">
        <f t="shared" si="20"/>
        <v>401.1613011765312</v>
      </c>
      <c r="AE21" s="281">
        <f t="shared" si="20"/>
        <v>431.91275843864668</v>
      </c>
      <c r="AF21" s="281">
        <f t="shared" si="20"/>
        <v>446.20993327077412</v>
      </c>
      <c r="AG21" s="1433"/>
      <c r="AH21" s="1433"/>
      <c r="AI21" s="1433"/>
      <c r="AJ21" s="1433"/>
      <c r="AK21" s="1433"/>
      <c r="AL21" s="1433"/>
      <c r="AM21" s="180"/>
    </row>
    <row r="22" spans="1:39">
      <c r="A22" s="19" t="s">
        <v>752</v>
      </c>
      <c r="B22" s="180"/>
      <c r="C22" s="180"/>
      <c r="D22" s="180"/>
      <c r="E22" s="180"/>
      <c r="F22" s="180"/>
      <c r="G22" s="180"/>
      <c r="H22" s="280">
        <v>-16</v>
      </c>
      <c r="I22" s="280">
        <v>-23</v>
      </c>
      <c r="J22" s="280">
        <v>82</v>
      </c>
      <c r="K22" s="280">
        <v>-67</v>
      </c>
      <c r="L22" s="280">
        <v>-95</v>
      </c>
      <c r="M22" s="280">
        <v>-119</v>
      </c>
      <c r="N22" s="280">
        <v>-142</v>
      </c>
      <c r="O22" s="280">
        <v>-158</v>
      </c>
      <c r="P22" s="280">
        <v>-175</v>
      </c>
      <c r="Q22" s="280">
        <v>-82</v>
      </c>
      <c r="R22" s="280">
        <v>-25</v>
      </c>
      <c r="S22" s="280">
        <v>-36</v>
      </c>
      <c r="T22" s="280">
        <v>-80</v>
      </c>
      <c r="U22" s="256">
        <v>-62</v>
      </c>
      <c r="V22" s="256">
        <v>-19</v>
      </c>
      <c r="W22" s="256">
        <v>-20</v>
      </c>
      <c r="X22" s="256">
        <v>-36</v>
      </c>
      <c r="Y22" s="256">
        <v>-100</v>
      </c>
      <c r="Z22" s="256">
        <v>-25</v>
      </c>
      <c r="AA22" s="304">
        <f t="shared" ref="AA22:AF22" si="21">Z22*(AA9/Z9)</f>
        <v>-28.879972741592237</v>
      </c>
      <c r="AB22" s="304">
        <f t="shared" si="21"/>
        <v>-32.629618715037537</v>
      </c>
      <c r="AC22" s="304">
        <f t="shared" si="21"/>
        <v>-35.904879094472001</v>
      </c>
      <c r="AD22" s="304">
        <f t="shared" si="21"/>
        <v>-38.695768959326102</v>
      </c>
      <c r="AE22" s="304">
        <f t="shared" si="21"/>
        <v>-40.835972995525005</v>
      </c>
      <c r="AF22" s="304">
        <f t="shared" si="21"/>
        <v>-42.818635474970606</v>
      </c>
      <c r="AG22" s="1433"/>
      <c r="AH22" s="1433"/>
      <c r="AI22" s="1433"/>
      <c r="AJ22" s="1433"/>
      <c r="AK22" s="1433"/>
      <c r="AL22" s="1433"/>
      <c r="AM22" s="180"/>
    </row>
    <row r="23" spans="1:39">
      <c r="A23" s="181" t="s">
        <v>916</v>
      </c>
      <c r="B23" s="180"/>
      <c r="C23" s="180"/>
      <c r="D23" s="180"/>
      <c r="E23" s="180"/>
      <c r="F23" s="180"/>
      <c r="G23" s="180"/>
      <c r="H23" s="282">
        <f t="shared" ref="H23:S23" si="22">SUM(H19:H22)</f>
        <v>545</v>
      </c>
      <c r="I23" s="282">
        <f t="shared" si="22"/>
        <v>613</v>
      </c>
      <c r="J23" s="282">
        <f t="shared" si="22"/>
        <v>666</v>
      </c>
      <c r="K23" s="282">
        <f t="shared" si="22"/>
        <v>561</v>
      </c>
      <c r="L23" s="282">
        <f t="shared" si="22"/>
        <v>568</v>
      </c>
      <c r="M23" s="282">
        <f t="shared" si="22"/>
        <v>790</v>
      </c>
      <c r="N23" s="282">
        <f t="shared" si="22"/>
        <v>934</v>
      </c>
      <c r="O23" s="282">
        <f t="shared" si="22"/>
        <v>-158</v>
      </c>
      <c r="P23" s="282">
        <f t="shared" si="22"/>
        <v>-175</v>
      </c>
      <c r="Q23" s="282">
        <f t="shared" si="22"/>
        <v>-82</v>
      </c>
      <c r="R23" s="282">
        <f t="shared" si="22"/>
        <v>-25</v>
      </c>
      <c r="S23" s="282">
        <f t="shared" si="22"/>
        <v>2192</v>
      </c>
      <c r="T23" s="282">
        <f t="shared" ref="T23:AF23" si="23">SUM(T19,T20,T21,T22)</f>
        <v>3023</v>
      </c>
      <c r="U23" s="282">
        <f t="shared" si="23"/>
        <v>3820</v>
      </c>
      <c r="V23" s="282">
        <f t="shared" si="23"/>
        <v>1686</v>
      </c>
      <c r="W23" s="282">
        <f t="shared" si="23"/>
        <v>1805</v>
      </c>
      <c r="X23" s="282">
        <f t="shared" si="23"/>
        <v>2408</v>
      </c>
      <c r="Y23" s="282">
        <f t="shared" si="23"/>
        <v>3166</v>
      </c>
      <c r="Z23" s="282">
        <f t="shared" si="23"/>
        <v>4119</v>
      </c>
      <c r="AA23" s="282">
        <f t="shared" si="23"/>
        <v>5217.0942807667525</v>
      </c>
      <c r="AB23" s="282">
        <f t="shared" si="23"/>
        <v>6143.3637864191269</v>
      </c>
      <c r="AC23" s="282">
        <f t="shared" si="23"/>
        <v>6980.0221694088314</v>
      </c>
      <c r="AD23" s="282">
        <f t="shared" si="23"/>
        <v>7702.6228418575611</v>
      </c>
      <c r="AE23" s="282">
        <f t="shared" si="23"/>
        <v>8235.9280636556377</v>
      </c>
      <c r="AF23" s="282">
        <f t="shared" si="23"/>
        <v>8787.0464606278038</v>
      </c>
      <c r="AG23" s="1433"/>
      <c r="AH23" s="1433"/>
      <c r="AI23" s="1433"/>
      <c r="AJ23" s="1433"/>
      <c r="AK23" s="1433"/>
      <c r="AL23" s="1433"/>
      <c r="AM23" s="180"/>
    </row>
    <row r="24" spans="1:39">
      <c r="A24" s="180"/>
      <c r="B24" s="180"/>
      <c r="C24" s="180"/>
      <c r="D24" s="180"/>
      <c r="E24" s="180"/>
      <c r="F24" s="180"/>
      <c r="G24" s="180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768"/>
      <c r="AB24" s="180"/>
      <c r="AC24" s="180"/>
      <c r="AD24" s="180"/>
      <c r="AE24" s="180"/>
      <c r="AF24" s="180"/>
      <c r="AG24" s="1433"/>
      <c r="AH24" s="1433"/>
      <c r="AI24" s="1433"/>
      <c r="AJ24" s="1433"/>
      <c r="AK24" s="1433"/>
      <c r="AL24" s="1433"/>
      <c r="AM24" s="180"/>
    </row>
    <row r="25" spans="1:39">
      <c r="A25" s="258" t="s">
        <v>1566</v>
      </c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1433"/>
      <c r="AH25" s="1433"/>
      <c r="AI25" s="1433"/>
      <c r="AJ25" s="1433"/>
      <c r="AK25" s="1433"/>
      <c r="AL25" s="1433"/>
      <c r="AM25" s="180"/>
    </row>
    <row r="26" spans="1:39">
      <c r="A26" s="19" t="s">
        <v>900</v>
      </c>
      <c r="B26" s="180"/>
      <c r="C26" s="180"/>
      <c r="D26" s="180"/>
      <c r="E26" s="180"/>
      <c r="F26" s="180"/>
      <c r="G26" s="180"/>
      <c r="H26" s="283">
        <f t="shared" ref="H26:Z26" si="24">H19/H5</f>
        <v>0.11058545239503252</v>
      </c>
      <c r="I26" s="283">
        <f t="shared" si="24"/>
        <v>0.10748690214635795</v>
      </c>
      <c r="J26" s="283">
        <f t="shared" si="24"/>
        <v>0.10063760124073755</v>
      </c>
      <c r="K26" s="283">
        <f t="shared" si="24"/>
        <v>0.11069980609906575</v>
      </c>
      <c r="L26" s="283">
        <f t="shared" si="24"/>
        <v>0.1183083511777302</v>
      </c>
      <c r="M26" s="283">
        <f t="shared" si="24"/>
        <v>0.14877250409165302</v>
      </c>
      <c r="N26" s="283">
        <f t="shared" si="24"/>
        <v>0.15360456816559601</v>
      </c>
      <c r="O26" s="283">
        <f t="shared" si="24"/>
        <v>0</v>
      </c>
      <c r="P26" s="283">
        <f t="shared" si="24"/>
        <v>0</v>
      </c>
      <c r="Q26" s="283">
        <f t="shared" si="24"/>
        <v>0</v>
      </c>
      <c r="R26" s="283">
        <f t="shared" si="24"/>
        <v>0</v>
      </c>
      <c r="S26" s="283">
        <f t="shared" si="24"/>
        <v>0.1620177407288661</v>
      </c>
      <c r="T26" s="283">
        <f t="shared" si="24"/>
        <v>0.19188959258909161</v>
      </c>
      <c r="U26" s="283">
        <f t="shared" si="24"/>
        <v>0.20630967206309672</v>
      </c>
      <c r="V26" s="283">
        <f t="shared" si="24"/>
        <v>0.15555265561790421</v>
      </c>
      <c r="W26" s="283">
        <f t="shared" si="24"/>
        <v>0.1804005914773491</v>
      </c>
      <c r="X26" s="283">
        <f t="shared" si="24"/>
        <v>0.17988638754470859</v>
      </c>
      <c r="Y26" s="283">
        <f t="shared" si="24"/>
        <v>0.20124621084540248</v>
      </c>
      <c r="Z26" s="283">
        <f t="shared" si="24"/>
        <v>0.20648989159097569</v>
      </c>
      <c r="AA26" s="271">
        <f>'Aerospace Propulsion Division'!AA20</f>
        <v>0.22566033823994469</v>
      </c>
      <c r="AB26" s="271">
        <f>'Aerospace Propulsion Division'!AB20</f>
        <v>0.22591153665723823</v>
      </c>
      <c r="AC26" s="271">
        <f>'Aerospace Propulsion Division'!AC20</f>
        <v>0.22728144285334356</v>
      </c>
      <c r="AD26" s="271">
        <f>'Aerospace Propulsion Division'!AD20</f>
        <v>0.22926952246837815</v>
      </c>
      <c r="AE26" s="271">
        <f>'Aerospace Propulsion Division'!AE20</f>
        <v>0.23121988664065546</v>
      </c>
      <c r="AF26" s="271">
        <f>'Aerospace Propulsion Division'!AF20</f>
        <v>0.23519712484895663</v>
      </c>
      <c r="AG26" s="1433"/>
      <c r="AH26" s="1433"/>
      <c r="AI26" s="1433"/>
      <c r="AJ26" s="1433"/>
      <c r="AK26" s="1433"/>
      <c r="AL26" s="1433"/>
      <c r="AM26" s="180"/>
    </row>
    <row r="27" spans="1:39">
      <c r="A27" s="19" t="s">
        <v>1572</v>
      </c>
      <c r="B27" s="180"/>
      <c r="C27" s="180"/>
      <c r="D27" s="180"/>
      <c r="E27" s="180"/>
      <c r="F27" s="180"/>
      <c r="G27" s="180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>
        <f t="shared" ref="T27:Z27" si="25">T20/T6</f>
        <v>0.12490556534877864</v>
      </c>
      <c r="U27" s="283">
        <f t="shared" si="25"/>
        <v>0.1306179775280899</v>
      </c>
      <c r="V27" s="283">
        <f t="shared" si="25"/>
        <v>9.966632815900188E-2</v>
      </c>
      <c r="W27" s="283">
        <f t="shared" si="25"/>
        <v>0.10276679841897234</v>
      </c>
      <c r="X27" s="283">
        <f t="shared" si="25"/>
        <v>0.11599203715992037</v>
      </c>
      <c r="Y27" s="283">
        <f t="shared" si="25"/>
        <v>0.11228070175438597</v>
      </c>
      <c r="Z27" s="283">
        <f t="shared" si="25"/>
        <v>0.12224524392540968</v>
      </c>
      <c r="AA27" s="271">
        <f>'Equipment and Defense'!AA15</f>
        <v>0.12744533688189683</v>
      </c>
      <c r="AB27" s="271">
        <f>'Equipment and Defense'!AB15</f>
        <v>0.1389458492475924</v>
      </c>
      <c r="AC27" s="271">
        <f>'Equipment and Defense'!AC15</f>
        <v>0.14359730978153654</v>
      </c>
      <c r="AD27" s="271">
        <f>'Equipment and Defense'!AD15</f>
        <v>0.14732483218527012</v>
      </c>
      <c r="AE27" s="271">
        <f>'Equipment and Defense'!AE15</f>
        <v>0.14909581931047461</v>
      </c>
      <c r="AF27" s="271">
        <f>'Equipment and Defense'!AF15</f>
        <v>0.15101967618432258</v>
      </c>
      <c r="AG27" s="1433"/>
      <c r="AH27" s="1433"/>
      <c r="AI27" s="1433"/>
      <c r="AJ27" s="1433"/>
      <c r="AK27" s="1433"/>
      <c r="AL27" s="1433"/>
      <c r="AM27" s="180"/>
    </row>
    <row r="28" spans="1:39">
      <c r="A28" s="19" t="s">
        <v>1093</v>
      </c>
      <c r="B28" s="180"/>
      <c r="C28" s="180"/>
      <c r="D28" s="180"/>
      <c r="E28" s="180"/>
      <c r="F28" s="180"/>
      <c r="G28" s="180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>
        <f t="shared" ref="T28:Z28" si="26">T21/T7</f>
        <v>3.2258064516129031E-2</v>
      </c>
      <c r="U28" s="283">
        <f t="shared" si="26"/>
        <v>5.6609454983438723E-2</v>
      </c>
      <c r="V28" s="283">
        <f t="shared" si="26"/>
        <v>-9.053069719042664E-2</v>
      </c>
      <c r="W28" s="283">
        <f t="shared" si="26"/>
        <v>-0.11322033898305085</v>
      </c>
      <c r="X28" s="283">
        <f t="shared" si="26"/>
        <v>-7.0778564206268962E-2</v>
      </c>
      <c r="Y28" s="283">
        <f t="shared" si="26"/>
        <v>-4.6830843762616065E-2</v>
      </c>
      <c r="Z28" s="283">
        <f t="shared" si="26"/>
        <v>8.8903523213697735E-3</v>
      </c>
      <c r="AA28" s="271">
        <f>'Aircraft Interiors Division'!O20</f>
        <v>3.1161559032415378E-2</v>
      </c>
      <c r="AB28" s="271">
        <f>'Aircraft Interiors Division'!P20</f>
        <v>5.3006814806385111E-2</v>
      </c>
      <c r="AC28" s="271">
        <f>'Aircraft Interiors Division'!Q20</f>
        <v>7.4827366973950343E-2</v>
      </c>
      <c r="AD28" s="271">
        <f>'Aircraft Interiors Division'!R20</f>
        <v>8.9707897044962806E-2</v>
      </c>
      <c r="AE28" s="271">
        <f>'Aircraft Interiors Division'!S20</f>
        <v>9.3556118260671076E-2</v>
      </c>
      <c r="AF28" s="271">
        <f>'Aircraft Interiors Division'!T20</f>
        <v>9.3984997662316716E-2</v>
      </c>
      <c r="AG28" s="1433"/>
      <c r="AH28" s="1433"/>
      <c r="AI28" s="1433"/>
      <c r="AJ28" s="1433"/>
      <c r="AK28" s="1433"/>
      <c r="AL28" s="1433"/>
      <c r="AM28" s="180"/>
    </row>
    <row r="29" spans="1:39">
      <c r="A29" s="181" t="s">
        <v>916</v>
      </c>
      <c r="B29" s="180"/>
      <c r="C29" s="180"/>
      <c r="D29" s="180"/>
      <c r="E29" s="180"/>
      <c r="F29" s="180"/>
      <c r="G29" s="180"/>
      <c r="H29" s="284">
        <f t="shared" ref="H29:AF29" si="27">H23/H9</f>
        <v>4.8106629005207874E-2</v>
      </c>
      <c r="I29" s="284">
        <f t="shared" si="27"/>
        <v>5.9968694971629821E-2</v>
      </c>
      <c r="J29" s="284">
        <f t="shared" si="27"/>
        <v>6.4478652338077258E-2</v>
      </c>
      <c r="K29" s="284">
        <f t="shared" si="27"/>
        <v>5.3694486983154668E-2</v>
      </c>
      <c r="L29" s="284">
        <f t="shared" si="27"/>
        <v>5.2788104089219329E-2</v>
      </c>
      <c r="M29" s="284">
        <f t="shared" si="27"/>
        <v>6.7314246762099517E-2</v>
      </c>
      <c r="N29" s="284">
        <f t="shared" si="27"/>
        <v>6.8879056047197643E-2</v>
      </c>
      <c r="O29" s="284">
        <f t="shared" si="27"/>
        <v>-1.10004873633642E-2</v>
      </c>
      <c r="P29" s="284">
        <f t="shared" si="27"/>
        <v>-1.1396939107782481E-2</v>
      </c>
      <c r="Q29" s="284">
        <f t="shared" si="27"/>
        <v>-4.7088549442976914E-3</v>
      </c>
      <c r="R29" s="284">
        <f t="shared" si="27"/>
        <v>-1.5841835118180091E-3</v>
      </c>
      <c r="S29" s="284">
        <f t="shared" si="27"/>
        <v>0.13740362314298252</v>
      </c>
      <c r="T29" s="284">
        <f t="shared" si="27"/>
        <v>0.14361045130641331</v>
      </c>
      <c r="U29" s="284">
        <f t="shared" si="27"/>
        <v>0.15503246753246752</v>
      </c>
      <c r="V29" s="284">
        <f t="shared" si="27"/>
        <v>0.10219420535822524</v>
      </c>
      <c r="W29" s="284">
        <f t="shared" si="27"/>
        <v>0.11830635118306351</v>
      </c>
      <c r="X29" s="284">
        <f t="shared" si="27"/>
        <v>0.12650380877331233</v>
      </c>
      <c r="Y29" s="284">
        <f t="shared" si="27"/>
        <v>0.13647139962929436</v>
      </c>
      <c r="Z29" s="284">
        <f t="shared" si="27"/>
        <v>0.15078522531756783</v>
      </c>
      <c r="AA29" s="284">
        <f t="shared" si="27"/>
        <v>0.16532514496015541</v>
      </c>
      <c r="AB29" s="284">
        <f t="shared" si="27"/>
        <v>0.17230633317009145</v>
      </c>
      <c r="AC29" s="284">
        <f t="shared" si="27"/>
        <v>0.17791408826088512</v>
      </c>
      <c r="AD29" s="284">
        <f t="shared" si="27"/>
        <v>0.18217222296608479</v>
      </c>
      <c r="AE29" s="284">
        <f t="shared" si="27"/>
        <v>0.18457660038813201</v>
      </c>
      <c r="AF29" s="284">
        <f t="shared" si="27"/>
        <v>0.18780930494584966</v>
      </c>
      <c r="AG29" s="1433"/>
      <c r="AH29" s="1433"/>
      <c r="AI29" s="1433"/>
      <c r="AJ29" s="1433"/>
      <c r="AK29" s="1433"/>
      <c r="AL29" s="1433"/>
      <c r="AM29" s="180"/>
    </row>
    <row r="30" spans="1:39">
      <c r="A30" s="181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1433"/>
      <c r="AH30" s="1433"/>
      <c r="AI30" s="1433"/>
      <c r="AJ30" s="1433"/>
      <c r="AK30" s="1433"/>
      <c r="AL30" s="1433"/>
      <c r="AM30" s="180"/>
    </row>
    <row r="31" spans="1:39">
      <c r="A31" s="258" t="s">
        <v>1571</v>
      </c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380"/>
      <c r="AB31" s="260"/>
      <c r="AC31" s="260"/>
      <c r="AD31" s="260"/>
      <c r="AE31" s="260"/>
      <c r="AF31" s="260"/>
      <c r="AG31" s="1433"/>
      <c r="AH31" s="180"/>
      <c r="AI31" s="180"/>
      <c r="AJ31" s="180"/>
      <c r="AK31" s="180"/>
      <c r="AL31" s="180"/>
      <c r="AM31" s="180"/>
    </row>
    <row r="32" spans="1:39">
      <c r="A32" s="19" t="s">
        <v>900</v>
      </c>
      <c r="B32" s="180"/>
      <c r="C32" s="180"/>
      <c r="D32" s="180"/>
      <c r="E32" s="180"/>
      <c r="F32" s="180"/>
      <c r="G32" s="180"/>
      <c r="H32" s="180"/>
      <c r="I32" s="278">
        <f t="shared" ref="I32:AF32" si="28">I19/H19-1</f>
        <v>0.1336898395721926</v>
      </c>
      <c r="J32" s="278">
        <f t="shared" si="28"/>
        <v>-8.1761006289308158E-2</v>
      </c>
      <c r="K32" s="278">
        <f t="shared" si="28"/>
        <v>7.5342465753424737E-2</v>
      </c>
      <c r="L32" s="278">
        <f t="shared" si="28"/>
        <v>5.5732484076433053E-2</v>
      </c>
      <c r="M32" s="278">
        <f t="shared" si="28"/>
        <v>0.37104072398190047</v>
      </c>
      <c r="N32" s="278">
        <f t="shared" si="28"/>
        <v>0.18371837183718376</v>
      </c>
      <c r="O32" s="278">
        <f t="shared" si="28"/>
        <v>-1</v>
      </c>
      <c r="P32" s="278" t="e">
        <f t="shared" si="28"/>
        <v>#DIV/0!</v>
      </c>
      <c r="Q32" s="278" t="e">
        <f t="shared" si="28"/>
        <v>#DIV/0!</v>
      </c>
      <c r="R32" s="278" t="e">
        <f t="shared" si="28"/>
        <v>#DIV/0!</v>
      </c>
      <c r="S32" s="278" t="e">
        <f t="shared" si="28"/>
        <v>#DIV/0!</v>
      </c>
      <c r="T32" s="278">
        <f t="shared" si="28"/>
        <v>0.33905013192612143</v>
      </c>
      <c r="U32" s="278">
        <f t="shared" si="28"/>
        <v>0.22413793103448265</v>
      </c>
      <c r="V32" s="278">
        <f t="shared" si="28"/>
        <v>-0.52032193158953721</v>
      </c>
      <c r="W32" s="278">
        <f t="shared" si="28"/>
        <v>0.12583892617449655</v>
      </c>
      <c r="X32" s="278">
        <f t="shared" si="28"/>
        <v>0.27421758569299559</v>
      </c>
      <c r="Y32" s="278">
        <f t="shared" si="28"/>
        <v>0.39766081871345027</v>
      </c>
      <c r="Z32" s="278">
        <f t="shared" si="28"/>
        <v>0.1794979079497907</v>
      </c>
      <c r="AA32" s="278">
        <f t="shared" si="28"/>
        <v>0.26753844741903587</v>
      </c>
      <c r="AB32" s="278">
        <f t="shared" si="28"/>
        <v>0.1258048564945653</v>
      </c>
      <c r="AC32" s="278">
        <f t="shared" si="28"/>
        <v>0.1261606875754282</v>
      </c>
      <c r="AD32" s="278">
        <f t="shared" si="28"/>
        <v>9.3916938595381305E-2</v>
      </c>
      <c r="AE32" s="278">
        <f t="shared" si="28"/>
        <v>6.9175695559982708E-2</v>
      </c>
      <c r="AF32" s="278">
        <f t="shared" si="28"/>
        <v>7.3850921645135292E-2</v>
      </c>
      <c r="AG32" s="1433"/>
      <c r="AH32" s="180"/>
      <c r="AI32" s="180"/>
      <c r="AJ32" s="180"/>
      <c r="AK32" s="180"/>
      <c r="AL32" s="180"/>
      <c r="AM32" s="180"/>
    </row>
    <row r="33" spans="1:39">
      <c r="A33" s="19" t="s">
        <v>1572</v>
      </c>
      <c r="B33" s="180"/>
      <c r="C33" s="180"/>
      <c r="D33" s="180"/>
      <c r="E33" s="180"/>
      <c r="F33" s="180"/>
      <c r="G33" s="180"/>
      <c r="H33" s="180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>
        <f t="shared" ref="U33:AF33" si="29">U20/T20-1</f>
        <v>0.21875</v>
      </c>
      <c r="V33" s="278">
        <f t="shared" si="29"/>
        <v>-0.43176178660049624</v>
      </c>
      <c r="W33" s="278">
        <f t="shared" si="29"/>
        <v>-5.3857350800582293E-2</v>
      </c>
      <c r="X33" s="278">
        <f t="shared" si="29"/>
        <v>0.34461538461538455</v>
      </c>
      <c r="Y33" s="278">
        <f t="shared" si="29"/>
        <v>0.13501144164759715</v>
      </c>
      <c r="Z33" s="278">
        <f t="shared" si="29"/>
        <v>0.30846774193548376</v>
      </c>
      <c r="AA33" s="278">
        <f t="shared" si="29"/>
        <v>0.20654125941861157</v>
      </c>
      <c r="AB33" s="278">
        <f t="shared" si="29"/>
        <v>0.24689236098479506</v>
      </c>
      <c r="AC33" s="278">
        <f t="shared" si="29"/>
        <v>0.11449317918098711</v>
      </c>
      <c r="AD33" s="278">
        <f t="shared" si="29"/>
        <v>9.5641069747605556E-2</v>
      </c>
      <c r="AE33" s="278">
        <f t="shared" si="29"/>
        <v>6.7889656720707681E-2</v>
      </c>
      <c r="AF33" s="278">
        <f t="shared" si="29"/>
        <v>5.7927883625927601E-2</v>
      </c>
      <c r="AG33" s="1433"/>
      <c r="AH33" s="180"/>
      <c r="AI33" s="180"/>
      <c r="AJ33" s="180"/>
      <c r="AK33" s="180"/>
      <c r="AL33" s="180"/>
      <c r="AM33" s="180"/>
    </row>
    <row r="34" spans="1:39">
      <c r="A34" s="19" t="s">
        <v>1093</v>
      </c>
      <c r="B34" s="180"/>
      <c r="C34" s="180"/>
      <c r="D34" s="180"/>
      <c r="E34" s="180"/>
      <c r="F34" s="180"/>
      <c r="G34" s="180"/>
      <c r="H34" s="180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>
        <f>U21/T21-1</f>
        <v>1.3209876543209877</v>
      </c>
      <c r="V34" s="278">
        <f>V21/U21-1</f>
        <v>-1.925531914893617</v>
      </c>
      <c r="W34" s="278">
        <f>W21/V21-1</f>
        <v>-4.0229885057471271E-2</v>
      </c>
      <c r="X34" s="278">
        <f>-(X21/W21-1)</f>
        <v>0.16167664670658688</v>
      </c>
      <c r="Y34" s="278">
        <f>-(Y21/X21-1)</f>
        <v>0.17142857142857137</v>
      </c>
      <c r="Z34" s="278">
        <f>-(Z21/Y21-1)</f>
        <v>1.2327586206896552</v>
      </c>
      <c r="AA34" s="278">
        <f>(AA21/Z21-1)</f>
        <v>2.951585759582434</v>
      </c>
      <c r="AB34" s="278">
        <f>AB21/AA21-1</f>
        <v>0.87952117776857697</v>
      </c>
      <c r="AC34" s="278">
        <f>AC21/AB21-1</f>
        <v>0.54280242412507596</v>
      </c>
      <c r="AD34" s="278">
        <f>AD21/AC21-1</f>
        <v>0.2966606138198904</v>
      </c>
      <c r="AE34" s="278">
        <f>AE21/AD21-1</f>
        <v>7.665609113323546E-2</v>
      </c>
      <c r="AF34" s="278">
        <f>AF21/AE21-1</f>
        <v>3.3101996995438032E-2</v>
      </c>
      <c r="AG34" s="1433"/>
      <c r="AH34" s="180"/>
      <c r="AI34" s="180"/>
      <c r="AJ34" s="180"/>
      <c r="AK34" s="180"/>
      <c r="AL34" s="180"/>
      <c r="AM34" s="180"/>
    </row>
    <row r="35" spans="1:39">
      <c r="A35" s="181" t="s">
        <v>916</v>
      </c>
      <c r="B35" s="180"/>
      <c r="C35" s="180"/>
      <c r="D35" s="180"/>
      <c r="E35" s="180"/>
      <c r="F35" s="180"/>
      <c r="G35" s="180"/>
      <c r="H35" s="180"/>
      <c r="I35" s="279">
        <f t="shared" ref="I35:AF35" si="30">I23/H23-1</f>
        <v>0.12477064220183487</v>
      </c>
      <c r="J35" s="279">
        <f t="shared" si="30"/>
        <v>8.6460032626427319E-2</v>
      </c>
      <c r="K35" s="279">
        <f t="shared" si="30"/>
        <v>-0.15765765765765771</v>
      </c>
      <c r="L35" s="279">
        <f t="shared" si="30"/>
        <v>1.2477718360071277E-2</v>
      </c>
      <c r="M35" s="279">
        <f t="shared" si="30"/>
        <v>0.39084507042253525</v>
      </c>
      <c r="N35" s="279">
        <f t="shared" si="30"/>
        <v>0.18227848101265831</v>
      </c>
      <c r="O35" s="279">
        <f t="shared" si="30"/>
        <v>-1.1691648822269807</v>
      </c>
      <c r="P35" s="279">
        <f t="shared" si="30"/>
        <v>0.10759493670886067</v>
      </c>
      <c r="Q35" s="279">
        <f t="shared" si="30"/>
        <v>-0.53142857142857136</v>
      </c>
      <c r="R35" s="279">
        <f t="shared" si="30"/>
        <v>-0.69512195121951215</v>
      </c>
      <c r="S35" s="279">
        <f t="shared" si="30"/>
        <v>-88.68</v>
      </c>
      <c r="T35" s="279">
        <f t="shared" si="30"/>
        <v>0.37910583941605847</v>
      </c>
      <c r="U35" s="279">
        <f t="shared" si="30"/>
        <v>0.26364538537876281</v>
      </c>
      <c r="V35" s="279">
        <f t="shared" si="30"/>
        <v>-0.55863874345549736</v>
      </c>
      <c r="W35" s="279">
        <f t="shared" si="30"/>
        <v>7.0581257413997678E-2</v>
      </c>
      <c r="X35" s="279">
        <f t="shared" si="30"/>
        <v>0.33407202216066478</v>
      </c>
      <c r="Y35" s="279">
        <f t="shared" si="30"/>
        <v>0.3147840531561461</v>
      </c>
      <c r="Z35" s="279">
        <f t="shared" si="30"/>
        <v>0.30101073910296905</v>
      </c>
      <c r="AA35" s="279">
        <f t="shared" si="30"/>
        <v>0.26659244495429779</v>
      </c>
      <c r="AB35" s="279">
        <f t="shared" si="30"/>
        <v>0.17754509614042124</v>
      </c>
      <c r="AC35" s="279">
        <f t="shared" si="30"/>
        <v>0.13618896944362469</v>
      </c>
      <c r="AD35" s="279">
        <f t="shared" si="30"/>
        <v>0.10352412283382906</v>
      </c>
      <c r="AE35" s="279">
        <f t="shared" si="30"/>
        <v>6.9236834354655441E-2</v>
      </c>
      <c r="AF35" s="279">
        <f t="shared" si="30"/>
        <v>6.691636846662119E-2</v>
      </c>
      <c r="AG35" s="1433"/>
      <c r="AH35" s="180"/>
      <c r="AI35" s="180"/>
      <c r="AJ35" s="180"/>
      <c r="AK35" s="180"/>
      <c r="AL35" s="180"/>
      <c r="AM35" s="180"/>
    </row>
    <row r="36" spans="1:39">
      <c r="A36" s="19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433"/>
      <c r="AH36" s="180"/>
      <c r="AI36" s="180"/>
      <c r="AJ36" s="180"/>
      <c r="AK36" s="180"/>
      <c r="AL36" s="180"/>
      <c r="AM36" s="180"/>
    </row>
    <row r="37" spans="1:39">
      <c r="AG37" s="1433"/>
      <c r="AH37" s="180"/>
      <c r="AI37" s="180"/>
      <c r="AJ37" s="180"/>
      <c r="AK37" s="180"/>
      <c r="AL37" s="180"/>
      <c r="AM37" s="180"/>
    </row>
    <row r="38" spans="1:39">
      <c r="A38" s="257" t="s">
        <v>1104</v>
      </c>
      <c r="B38" s="257">
        <v>2000</v>
      </c>
      <c r="C38" s="257">
        <v>2001</v>
      </c>
      <c r="D38" s="257">
        <v>2002</v>
      </c>
      <c r="E38" s="257">
        <v>2003</v>
      </c>
      <c r="F38" s="257">
        <v>2004</v>
      </c>
      <c r="G38" s="257">
        <v>2005</v>
      </c>
      <c r="H38" s="257">
        <v>2006</v>
      </c>
      <c r="I38" s="257">
        <v>2007</v>
      </c>
      <c r="J38" s="257">
        <v>2008</v>
      </c>
      <c r="K38" s="257">
        <v>2009</v>
      </c>
      <c r="L38" s="257">
        <v>2010</v>
      </c>
      <c r="M38" s="257">
        <v>2011</v>
      </c>
      <c r="N38" s="257">
        <v>2012</v>
      </c>
      <c r="O38" s="257">
        <v>2013</v>
      </c>
      <c r="P38" s="257">
        <v>2014</v>
      </c>
      <c r="Q38" s="257">
        <v>2015</v>
      </c>
      <c r="R38" s="257">
        <v>2016</v>
      </c>
      <c r="S38" s="257">
        <v>2017</v>
      </c>
      <c r="T38" s="257">
        <v>2018</v>
      </c>
      <c r="U38" s="257">
        <v>2019</v>
      </c>
      <c r="V38" s="257">
        <v>2020</v>
      </c>
      <c r="W38" s="257">
        <v>2021</v>
      </c>
      <c r="X38" s="257">
        <v>2022</v>
      </c>
      <c r="Y38" s="257">
        <v>2023</v>
      </c>
      <c r="Z38" s="257">
        <v>2024</v>
      </c>
      <c r="AA38" s="945">
        <f>Z38+1</f>
        <v>2025</v>
      </c>
      <c r="AB38" s="945">
        <f t="shared" ref="AB38:AF38" si="31">AA38+1</f>
        <v>2026</v>
      </c>
      <c r="AC38" s="945">
        <f t="shared" si="31"/>
        <v>2027</v>
      </c>
      <c r="AD38" s="945">
        <f t="shared" si="31"/>
        <v>2028</v>
      </c>
      <c r="AE38" s="945">
        <f t="shared" si="31"/>
        <v>2029</v>
      </c>
      <c r="AF38" s="945">
        <f t="shared" si="31"/>
        <v>2030</v>
      </c>
      <c r="AG38" s="1433"/>
      <c r="AH38" s="180"/>
      <c r="AI38" s="180"/>
      <c r="AJ38" s="180"/>
      <c r="AK38" s="180"/>
      <c r="AL38" s="180"/>
      <c r="AM38" s="180"/>
    </row>
    <row r="39" spans="1:39">
      <c r="A39" s="181" t="s">
        <v>1554</v>
      </c>
      <c r="B39" s="57"/>
      <c r="C39" s="57"/>
      <c r="D39" s="57"/>
      <c r="E39" s="57"/>
      <c r="F39" s="57"/>
      <c r="G39" s="57"/>
      <c r="H39" s="311">
        <f t="shared" ref="H39:AF39" si="32">H9</f>
        <v>11329</v>
      </c>
      <c r="I39" s="311">
        <f t="shared" si="32"/>
        <v>10222</v>
      </c>
      <c r="J39" s="311">
        <f t="shared" si="32"/>
        <v>10329</v>
      </c>
      <c r="K39" s="311">
        <f t="shared" si="32"/>
        <v>10448</v>
      </c>
      <c r="L39" s="311">
        <f t="shared" si="32"/>
        <v>10760</v>
      </c>
      <c r="M39" s="311">
        <f t="shared" si="32"/>
        <v>11736</v>
      </c>
      <c r="N39" s="311">
        <f t="shared" si="32"/>
        <v>13560</v>
      </c>
      <c r="O39" s="311">
        <f t="shared" si="32"/>
        <v>14363</v>
      </c>
      <c r="P39" s="311">
        <f t="shared" si="32"/>
        <v>15355</v>
      </c>
      <c r="Q39" s="311">
        <f t="shared" si="32"/>
        <v>17414</v>
      </c>
      <c r="R39" s="311">
        <f t="shared" si="32"/>
        <v>15781</v>
      </c>
      <c r="S39" s="311">
        <f t="shared" si="32"/>
        <v>15953</v>
      </c>
      <c r="T39" s="311">
        <f t="shared" si="32"/>
        <v>21050</v>
      </c>
      <c r="U39" s="311">
        <f t="shared" si="32"/>
        <v>24640</v>
      </c>
      <c r="V39" s="311">
        <f t="shared" si="32"/>
        <v>16498</v>
      </c>
      <c r="W39" s="311">
        <f t="shared" si="32"/>
        <v>15257</v>
      </c>
      <c r="X39" s="311">
        <f t="shared" si="32"/>
        <v>19035</v>
      </c>
      <c r="Y39" s="311">
        <f t="shared" si="32"/>
        <v>23199</v>
      </c>
      <c r="Z39" s="311">
        <f t="shared" si="32"/>
        <v>27317</v>
      </c>
      <c r="AA39" s="311">
        <f t="shared" si="32"/>
        <v>31556.568615283002</v>
      </c>
      <c r="AB39" s="311">
        <f t="shared" si="32"/>
        <v>35653.731777547211</v>
      </c>
      <c r="AC39" s="311">
        <f t="shared" si="32"/>
        <v>39232.543288947665</v>
      </c>
      <c r="AD39" s="311">
        <f t="shared" si="32"/>
        <v>42282.092826476444</v>
      </c>
      <c r="AE39" s="311">
        <f t="shared" si="32"/>
        <v>44620.650972750256</v>
      </c>
      <c r="AF39" s="311">
        <f t="shared" si="32"/>
        <v>46787.066610790876</v>
      </c>
      <c r="AG39" s="1433"/>
      <c r="AH39" s="180"/>
      <c r="AI39" s="180"/>
      <c r="AJ39" s="180"/>
      <c r="AK39" s="180"/>
      <c r="AL39" s="180"/>
      <c r="AM39" s="180"/>
    </row>
    <row r="40" spans="1:39">
      <c r="A40" s="993" t="s">
        <v>1555</v>
      </c>
      <c r="B40" s="180"/>
      <c r="C40" s="180"/>
      <c r="D40" s="180"/>
      <c r="E40" s="180"/>
      <c r="F40" s="180"/>
      <c r="G40" s="180"/>
      <c r="H40" s="281"/>
      <c r="I40" s="281"/>
      <c r="J40" s="281"/>
      <c r="K40" s="281"/>
      <c r="L40" s="281">
        <v>268</v>
      </c>
      <c r="M40" s="281">
        <v>-78</v>
      </c>
      <c r="N40" s="281">
        <v>55</v>
      </c>
      <c r="O40" s="281">
        <v>127</v>
      </c>
      <c r="P40" s="281">
        <v>-311</v>
      </c>
      <c r="Q40" s="281">
        <v>-1192</v>
      </c>
      <c r="R40" s="281">
        <v>701</v>
      </c>
      <c r="S40" s="281">
        <v>423</v>
      </c>
      <c r="T40" s="281">
        <v>-25</v>
      </c>
      <c r="U40" s="281">
        <v>458</v>
      </c>
      <c r="V40" s="281">
        <v>133</v>
      </c>
      <c r="W40" s="224">
        <v>-124</v>
      </c>
      <c r="X40" s="224">
        <v>488</v>
      </c>
      <c r="Y40" s="224">
        <v>452</v>
      </c>
      <c r="Z40" s="224">
        <v>399</v>
      </c>
      <c r="AA40" s="224">
        <v>0</v>
      </c>
      <c r="AB40" s="224">
        <f>AA40</f>
        <v>0</v>
      </c>
      <c r="AC40" s="224">
        <f t="shared" ref="AC40:AF40" si="33">AB40</f>
        <v>0</v>
      </c>
      <c r="AD40" s="224">
        <f t="shared" si="33"/>
        <v>0</v>
      </c>
      <c r="AE40" s="224">
        <f t="shared" si="33"/>
        <v>0</v>
      </c>
      <c r="AF40" s="224">
        <f t="shared" si="33"/>
        <v>0</v>
      </c>
    </row>
    <row r="41" spans="1:39">
      <c r="A41" s="181" t="s">
        <v>1300</v>
      </c>
      <c r="B41" s="180"/>
      <c r="C41" s="180"/>
      <c r="D41" s="180"/>
      <c r="E41" s="180"/>
      <c r="F41" s="180"/>
      <c r="G41" s="180"/>
      <c r="H41" s="224">
        <v>10841</v>
      </c>
      <c r="I41" s="224">
        <v>9714</v>
      </c>
      <c r="J41" s="224">
        <v>10281</v>
      </c>
      <c r="K41" s="224">
        <v>10559</v>
      </c>
      <c r="L41" s="224">
        <v>11028</v>
      </c>
      <c r="M41" s="224">
        <v>11658</v>
      </c>
      <c r="N41" s="224">
        <v>13615</v>
      </c>
      <c r="O41" s="224">
        <v>14490</v>
      </c>
      <c r="P41" s="224">
        <v>15044</v>
      </c>
      <c r="Q41" s="224">
        <v>16222</v>
      </c>
      <c r="R41" s="224">
        <v>16482</v>
      </c>
      <c r="S41" s="224">
        <v>16376</v>
      </c>
      <c r="T41" s="224">
        <v>21025</v>
      </c>
      <c r="U41" s="224">
        <v>25098</v>
      </c>
      <c r="V41" s="224">
        <v>16631</v>
      </c>
      <c r="W41" s="224">
        <v>15133</v>
      </c>
      <c r="X41" s="224">
        <v>19523</v>
      </c>
      <c r="Y41" s="224">
        <v>23651</v>
      </c>
      <c r="Z41" s="224">
        <v>27716</v>
      </c>
      <c r="AA41" s="223">
        <f>'Income Statement'!AA9</f>
        <v>31556.568615283002</v>
      </c>
      <c r="AB41" s="223">
        <f>'Income Statement'!AB9</f>
        <v>35653.731777547211</v>
      </c>
      <c r="AC41" s="223">
        <f>'Income Statement'!AC9</f>
        <v>39232.543288947665</v>
      </c>
      <c r="AD41" s="223">
        <f>'Income Statement'!AD9</f>
        <v>42282.092826476444</v>
      </c>
      <c r="AE41" s="223">
        <f>'Income Statement'!AE9</f>
        <v>44620.650972750256</v>
      </c>
      <c r="AF41" s="223">
        <f>'Income Statement'!AF9</f>
        <v>46787.066610790876</v>
      </c>
      <c r="AG41" s="1434"/>
      <c r="AH41" s="169"/>
      <c r="AI41" s="169"/>
      <c r="AJ41" s="169"/>
      <c r="AK41" s="169"/>
      <c r="AL41" s="169"/>
      <c r="AM41" s="169"/>
    </row>
    <row r="42" spans="1:39" s="992" customFormat="1" ht="15">
      <c r="A42" s="19" t="s">
        <v>893</v>
      </c>
      <c r="B42" s="180"/>
      <c r="C42" s="180"/>
      <c r="D42" s="180"/>
      <c r="E42" s="180"/>
      <c r="F42" s="180"/>
      <c r="G42" s="180"/>
      <c r="H42" s="180"/>
      <c r="I42" s="283">
        <f t="shared" ref="I42:AF42" si="34">I41/H41-1</f>
        <v>-0.10395719952033944</v>
      </c>
      <c r="J42" s="283">
        <f t="shared" si="34"/>
        <v>5.836936380481772E-2</v>
      </c>
      <c r="K42" s="283">
        <f t="shared" si="34"/>
        <v>2.7040171189572915E-2</v>
      </c>
      <c r="L42" s="283">
        <f t="shared" si="34"/>
        <v>4.4417084951226427E-2</v>
      </c>
      <c r="M42" s="283">
        <f t="shared" si="34"/>
        <v>5.7127312295973898E-2</v>
      </c>
      <c r="N42" s="283">
        <f t="shared" si="34"/>
        <v>0.16786755875793458</v>
      </c>
      <c r="O42" s="283">
        <f t="shared" si="34"/>
        <v>6.4267352185090054E-2</v>
      </c>
      <c r="P42" s="283">
        <f t="shared" si="34"/>
        <v>3.8233264320220783E-2</v>
      </c>
      <c r="Q42" s="283">
        <f t="shared" si="34"/>
        <v>7.8303642648231753E-2</v>
      </c>
      <c r="R42" s="283">
        <f t="shared" si="34"/>
        <v>1.6027616816668644E-2</v>
      </c>
      <c r="S42" s="283">
        <f t="shared" si="34"/>
        <v>-6.4312583424341874E-3</v>
      </c>
      <c r="T42" s="283">
        <f t="shared" si="34"/>
        <v>0.28389106008793363</v>
      </c>
      <c r="U42" s="283">
        <f t="shared" si="34"/>
        <v>0.19372175980975026</v>
      </c>
      <c r="V42" s="283">
        <f t="shared" si="34"/>
        <v>-0.33735755837118497</v>
      </c>
      <c r="W42" s="283">
        <f t="shared" si="34"/>
        <v>-9.0072755697191975E-2</v>
      </c>
      <c r="X42" s="283">
        <f t="shared" si="34"/>
        <v>0.29009449547346855</v>
      </c>
      <c r="Y42" s="283">
        <f t="shared" si="34"/>
        <v>0.21144291348665667</v>
      </c>
      <c r="Z42" s="283">
        <f t="shared" si="34"/>
        <v>0.17187433935140173</v>
      </c>
      <c r="AA42" s="283">
        <f t="shared" si="34"/>
        <v>0.13856864682071746</v>
      </c>
      <c r="AB42" s="283">
        <f t="shared" si="34"/>
        <v>0.12983550943748479</v>
      </c>
      <c r="AC42" s="283">
        <f t="shared" si="34"/>
        <v>0.10037691240091151</v>
      </c>
      <c r="AD42" s="283">
        <f t="shared" si="34"/>
        <v>7.7730100622558362E-2</v>
      </c>
      <c r="AE42" s="283">
        <f t="shared" si="34"/>
        <v>5.5308476708358256E-2</v>
      </c>
      <c r="AF42" s="283">
        <f t="shared" si="34"/>
        <v>4.8551860871856034E-2</v>
      </c>
      <c r="AG42" s="1436"/>
      <c r="AH42" s="57"/>
      <c r="AI42" s="57"/>
      <c r="AJ42" s="57"/>
      <c r="AK42" s="57"/>
      <c r="AL42" s="57"/>
      <c r="AM42" s="57"/>
    </row>
    <row r="43" spans="1:39">
      <c r="A43" s="19" t="s">
        <v>892</v>
      </c>
      <c r="B43" s="180"/>
      <c r="C43" s="180"/>
      <c r="D43" s="180"/>
      <c r="E43" s="180"/>
      <c r="F43" s="180"/>
      <c r="G43" s="180"/>
      <c r="H43" s="224">
        <v>74</v>
      </c>
      <c r="I43" s="224">
        <v>66</v>
      </c>
      <c r="J43" s="224">
        <v>127</v>
      </c>
      <c r="K43" s="224">
        <v>156</v>
      </c>
      <c r="L43" s="224">
        <v>200</v>
      </c>
      <c r="M43" s="224">
        <v>216</v>
      </c>
      <c r="N43" s="224">
        <v>209</v>
      </c>
      <c r="O43" s="224">
        <v>264</v>
      </c>
      <c r="P43" s="224">
        <v>291</v>
      </c>
      <c r="Q43" s="224">
        <v>285</v>
      </c>
      <c r="R43" s="224">
        <v>277</v>
      </c>
      <c r="S43" s="224">
        <v>280</v>
      </c>
      <c r="T43" s="224">
        <v>321</v>
      </c>
      <c r="U43" s="224">
        <v>297</v>
      </c>
      <c r="V43" s="224">
        <v>267</v>
      </c>
      <c r="W43" s="224">
        <v>373</v>
      </c>
      <c r="X43" s="224">
        <v>440</v>
      </c>
      <c r="Y43" s="224">
        <v>474</v>
      </c>
      <c r="Z43" s="224">
        <v>438</v>
      </c>
      <c r="AA43" s="254">
        <f t="shared" ref="AA43:AF43" si="35">AA44*AA41</f>
        <v>498.69306730747422</v>
      </c>
      <c r="AB43" s="254">
        <f t="shared" si="35"/>
        <v>563.44113575428196</v>
      </c>
      <c r="AC43" s="254">
        <f t="shared" si="35"/>
        <v>619.99761728095962</v>
      </c>
      <c r="AD43" s="254">
        <f t="shared" si="35"/>
        <v>668.19009445795507</v>
      </c>
      <c r="AE43" s="254">
        <f t="shared" si="35"/>
        <v>705.14667073403859</v>
      </c>
      <c r="AF43" s="254">
        <f t="shared" si="35"/>
        <v>739.38285378577007</v>
      </c>
      <c r="AG43" s="1446"/>
      <c r="AH43" s="180"/>
      <c r="AI43" s="180"/>
      <c r="AJ43" s="180"/>
      <c r="AK43" s="180"/>
      <c r="AL43" s="180"/>
      <c r="AM43" s="180"/>
    </row>
    <row r="44" spans="1:39">
      <c r="A44" s="286" t="s">
        <v>755</v>
      </c>
      <c r="B44" s="312"/>
      <c r="C44" s="312"/>
      <c r="D44" s="312"/>
      <c r="E44" s="312"/>
      <c r="F44" s="312"/>
      <c r="G44" s="312"/>
      <c r="H44" s="994">
        <f t="shared" ref="H44:Z44" si="36">H43/H$41</f>
        <v>6.8259385665529011E-3</v>
      </c>
      <c r="I44" s="994">
        <f t="shared" si="36"/>
        <v>6.7943174799258805E-3</v>
      </c>
      <c r="J44" s="994">
        <f t="shared" si="36"/>
        <v>1.2352883960704211E-2</v>
      </c>
      <c r="K44" s="994">
        <f t="shared" si="36"/>
        <v>1.4774126337721375E-2</v>
      </c>
      <c r="L44" s="994">
        <f t="shared" si="36"/>
        <v>1.8135654697134566E-2</v>
      </c>
      <c r="M44" s="994">
        <f t="shared" si="36"/>
        <v>1.8528049408131755E-2</v>
      </c>
      <c r="N44" s="994">
        <f t="shared" si="36"/>
        <v>1.5350716121924348E-2</v>
      </c>
      <c r="O44" s="994">
        <f t="shared" si="36"/>
        <v>1.8219461697722567E-2</v>
      </c>
      <c r="P44" s="994">
        <f t="shared" si="36"/>
        <v>1.9343259771337409E-2</v>
      </c>
      <c r="Q44" s="994">
        <f t="shared" si="36"/>
        <v>1.7568733818271485E-2</v>
      </c>
      <c r="R44" s="994">
        <f t="shared" si="36"/>
        <v>1.6806212838247785E-2</v>
      </c>
      <c r="S44" s="994">
        <f t="shared" si="36"/>
        <v>1.709819247679531E-2</v>
      </c>
      <c r="T44" s="994">
        <f t="shared" si="36"/>
        <v>1.5267538644470868E-2</v>
      </c>
      <c r="U44" s="994">
        <f t="shared" si="36"/>
        <v>1.1833612240019125E-2</v>
      </c>
      <c r="V44" s="994">
        <f t="shared" si="36"/>
        <v>1.6054356322530213E-2</v>
      </c>
      <c r="W44" s="994">
        <f t="shared" si="36"/>
        <v>2.4648120002643228E-2</v>
      </c>
      <c r="X44" s="994">
        <f t="shared" si="36"/>
        <v>2.2537519848383956E-2</v>
      </c>
      <c r="Y44" s="994">
        <f t="shared" si="36"/>
        <v>2.0041435880089636E-2</v>
      </c>
      <c r="Z44" s="994">
        <f t="shared" si="36"/>
        <v>1.5803146197142445E-2</v>
      </c>
      <c r="AA44" s="995">
        <f t="shared" ref="AA44:AF44" si="37">Z44</f>
        <v>1.5803146197142445E-2</v>
      </c>
      <c r="AB44" s="995">
        <f t="shared" si="37"/>
        <v>1.5803146197142445E-2</v>
      </c>
      <c r="AC44" s="995">
        <f t="shared" si="37"/>
        <v>1.5803146197142445E-2</v>
      </c>
      <c r="AD44" s="995">
        <f t="shared" si="37"/>
        <v>1.5803146197142445E-2</v>
      </c>
      <c r="AE44" s="995">
        <f t="shared" si="37"/>
        <v>1.5803146197142445E-2</v>
      </c>
      <c r="AF44" s="995">
        <f t="shared" si="37"/>
        <v>1.5803146197142445E-2</v>
      </c>
      <c r="AG44" s="1433"/>
      <c r="AH44" s="180"/>
      <c r="AI44" s="180"/>
      <c r="AJ44" s="180"/>
      <c r="AK44" s="180"/>
      <c r="AL44" s="180"/>
      <c r="AM44" s="180"/>
    </row>
    <row r="45" spans="1:39">
      <c r="A45" s="19" t="s">
        <v>891</v>
      </c>
      <c r="B45" s="180"/>
      <c r="C45" s="180"/>
      <c r="D45" s="180"/>
      <c r="E45" s="180"/>
      <c r="F45" s="180"/>
      <c r="G45" s="180"/>
      <c r="H45" s="224">
        <v>360</v>
      </c>
      <c r="I45" s="224">
        <v>316</v>
      </c>
      <c r="J45" s="224">
        <v>276</v>
      </c>
      <c r="K45" s="224">
        <v>-268</v>
      </c>
      <c r="L45" s="224">
        <v>-43</v>
      </c>
      <c r="M45" s="224">
        <v>125</v>
      </c>
      <c r="N45" s="224">
        <v>340</v>
      </c>
      <c r="O45" s="224">
        <v>-32</v>
      </c>
      <c r="P45" s="224">
        <v>255</v>
      </c>
      <c r="Q45" s="224">
        <v>257</v>
      </c>
      <c r="R45" s="224">
        <v>308</v>
      </c>
      <c r="S45" s="224">
        <v>195</v>
      </c>
      <c r="T45" s="224">
        <v>3</v>
      </c>
      <c r="U45" s="224">
        <v>453</v>
      </c>
      <c r="V45" s="224">
        <v>-865</v>
      </c>
      <c r="W45" s="224">
        <v>-199</v>
      </c>
      <c r="X45" s="224">
        <v>1204</v>
      </c>
      <c r="Y45" s="224">
        <v>1000</v>
      </c>
      <c r="Z45" s="224">
        <v>989</v>
      </c>
      <c r="AA45" s="298">
        <f t="shared" ref="AA45:AF45" si="38">AA46*AA$41</f>
        <v>1126.0443917056893</v>
      </c>
      <c r="AB45" s="298">
        <f t="shared" si="38"/>
        <v>1272.24493895202</v>
      </c>
      <c r="AC45" s="298">
        <f t="shared" si="38"/>
        <v>1399.94895774171</v>
      </c>
      <c r="AD45" s="298">
        <f t="shared" si="38"/>
        <v>1508.767131093419</v>
      </c>
      <c r="AE45" s="298">
        <f t="shared" si="38"/>
        <v>1592.2147428218357</v>
      </c>
      <c r="AF45" s="298">
        <f t="shared" si="38"/>
        <v>1669.5197314934396</v>
      </c>
      <c r="AG45" s="1433"/>
      <c r="AH45" s="180"/>
      <c r="AI45" s="180"/>
      <c r="AJ45" s="180"/>
      <c r="AK45" s="180"/>
      <c r="AL45" s="180"/>
      <c r="AM45" s="180"/>
    </row>
    <row r="46" spans="1:39">
      <c r="A46" s="286" t="s">
        <v>755</v>
      </c>
      <c r="B46" s="312"/>
      <c r="C46" s="312"/>
      <c r="D46" s="312"/>
      <c r="E46" s="312"/>
      <c r="F46" s="312"/>
      <c r="G46" s="312"/>
      <c r="H46" s="994">
        <f t="shared" ref="H46:Z46" si="39">H45/H$41</f>
        <v>3.3207268702149247E-2</v>
      </c>
      <c r="I46" s="994">
        <f t="shared" si="39"/>
        <v>3.2530368540251181E-2</v>
      </c>
      <c r="J46" s="994">
        <f t="shared" si="39"/>
        <v>2.6845637583892617E-2</v>
      </c>
      <c r="K46" s="994">
        <f t="shared" si="39"/>
        <v>-2.5381191400700824E-2</v>
      </c>
      <c r="L46" s="994">
        <f t="shared" si="39"/>
        <v>-3.8991657598839318E-3</v>
      </c>
      <c r="M46" s="994">
        <f t="shared" si="39"/>
        <v>1.0722250814891062E-2</v>
      </c>
      <c r="N46" s="994">
        <f t="shared" si="39"/>
        <v>2.4972456849063532E-2</v>
      </c>
      <c r="O46" s="994">
        <f t="shared" si="39"/>
        <v>-2.2084195997239477E-3</v>
      </c>
      <c r="P46" s="994">
        <f t="shared" si="39"/>
        <v>1.6950279181068863E-2</v>
      </c>
      <c r="Q46" s="994">
        <f t="shared" si="39"/>
        <v>1.584268277647639E-2</v>
      </c>
      <c r="R46" s="994">
        <f t="shared" si="39"/>
        <v>1.8687052542167213E-2</v>
      </c>
      <c r="S46" s="994">
        <f t="shared" si="39"/>
        <v>1.1907669760625305E-2</v>
      </c>
      <c r="T46" s="994">
        <f t="shared" si="39"/>
        <v>1.4268727705112961E-4</v>
      </c>
      <c r="U46" s="994">
        <f t="shared" si="39"/>
        <v>1.8049246951948362E-2</v>
      </c>
      <c r="V46" s="994">
        <f t="shared" si="39"/>
        <v>-5.2011304190968673E-2</v>
      </c>
      <c r="W46" s="994">
        <f t="shared" si="39"/>
        <v>-1.3150069384788212E-2</v>
      </c>
      <c r="X46" s="994">
        <f t="shared" si="39"/>
        <v>6.1670849766941559E-2</v>
      </c>
      <c r="Y46" s="994">
        <f t="shared" si="39"/>
        <v>4.2281510295547754E-2</v>
      </c>
      <c r="Z46" s="994">
        <f t="shared" si="39"/>
        <v>3.56833597921778E-2</v>
      </c>
      <c r="AA46" s="995">
        <f t="shared" ref="AA46:AF46" si="40">Z46</f>
        <v>3.56833597921778E-2</v>
      </c>
      <c r="AB46" s="995">
        <f t="shared" si="40"/>
        <v>3.56833597921778E-2</v>
      </c>
      <c r="AC46" s="995">
        <f t="shared" si="40"/>
        <v>3.56833597921778E-2</v>
      </c>
      <c r="AD46" s="995">
        <f t="shared" si="40"/>
        <v>3.56833597921778E-2</v>
      </c>
      <c r="AE46" s="995">
        <f t="shared" si="40"/>
        <v>3.56833597921778E-2</v>
      </c>
      <c r="AF46" s="995">
        <f t="shared" si="40"/>
        <v>3.56833597921778E-2</v>
      </c>
      <c r="AG46" s="1433"/>
      <c r="AH46" s="180"/>
      <c r="AI46" s="180"/>
      <c r="AJ46" s="180"/>
      <c r="AK46" s="180"/>
      <c r="AL46" s="180"/>
      <c r="AM46" s="180"/>
    </row>
    <row r="47" spans="1:39">
      <c r="A47" s="19" t="s">
        <v>890</v>
      </c>
      <c r="B47" s="180"/>
      <c r="C47" s="180"/>
      <c r="D47" s="180"/>
      <c r="E47" s="180"/>
      <c r="F47" s="180"/>
      <c r="G47" s="180"/>
      <c r="H47" s="224">
        <v>350</v>
      </c>
      <c r="I47" s="224">
        <v>277</v>
      </c>
      <c r="J47" s="224">
        <v>298</v>
      </c>
      <c r="K47" s="224">
        <v>242</v>
      </c>
      <c r="L47" s="224">
        <v>243</v>
      </c>
      <c r="M47" s="224">
        <v>371</v>
      </c>
      <c r="N47" s="224">
        <v>642</v>
      </c>
      <c r="O47" s="224">
        <v>911</v>
      </c>
      <c r="P47" s="224">
        <v>998</v>
      </c>
      <c r="Q47" s="224">
        <v>946</v>
      </c>
      <c r="R47" s="224">
        <v>624</v>
      </c>
      <c r="S47" s="224">
        <v>522</v>
      </c>
      <c r="T47" s="224">
        <v>447</v>
      </c>
      <c r="U47" s="224">
        <v>438</v>
      </c>
      <c r="V47" s="224">
        <v>329</v>
      </c>
      <c r="W47" s="224">
        <v>372</v>
      </c>
      <c r="X47" s="224">
        <v>382</v>
      </c>
      <c r="Y47" s="224">
        <v>480</v>
      </c>
      <c r="Z47" s="224">
        <v>526</v>
      </c>
      <c r="AA47" s="298">
        <f t="shared" ref="AA47:AF47" si="41">AA48*AA$41</f>
        <v>598.88710822769724</v>
      </c>
      <c r="AB47" s="298">
        <f t="shared" si="41"/>
        <v>676.64392101998237</v>
      </c>
      <c r="AC47" s="298">
        <f t="shared" si="41"/>
        <v>744.56334860681454</v>
      </c>
      <c r="AD47" s="298">
        <f t="shared" si="41"/>
        <v>802.43833261389125</v>
      </c>
      <c r="AE47" s="298">
        <f t="shared" si="41"/>
        <v>846.81997444316039</v>
      </c>
      <c r="AF47" s="298">
        <f t="shared" si="41"/>
        <v>887.93466002583341</v>
      </c>
      <c r="AG47" s="1433"/>
      <c r="AH47" s="180"/>
      <c r="AI47" s="180"/>
      <c r="AJ47" s="180"/>
      <c r="AK47" s="180"/>
      <c r="AL47" s="180"/>
      <c r="AM47" s="180"/>
    </row>
    <row r="48" spans="1:39">
      <c r="A48" s="286" t="s">
        <v>755</v>
      </c>
      <c r="B48" s="312"/>
      <c r="C48" s="312"/>
      <c r="D48" s="312"/>
      <c r="E48" s="312"/>
      <c r="F48" s="312"/>
      <c r="G48" s="312"/>
      <c r="H48" s="994">
        <f t="shared" ref="H48:Z48" si="42">H47/H$41</f>
        <v>3.2284844571533994E-2</v>
      </c>
      <c r="I48" s="994">
        <f t="shared" si="42"/>
        <v>2.8515544574840436E-2</v>
      </c>
      <c r="J48" s="994">
        <f t="shared" si="42"/>
        <v>2.8985507246376812E-2</v>
      </c>
      <c r="K48" s="994">
        <f t="shared" si="42"/>
        <v>2.2918837011080596E-2</v>
      </c>
      <c r="L48" s="994">
        <f t="shared" si="42"/>
        <v>2.20348204570185E-2</v>
      </c>
      <c r="M48" s="994">
        <f t="shared" si="42"/>
        <v>3.1823640418596671E-2</v>
      </c>
      <c r="N48" s="994">
        <f t="shared" si="42"/>
        <v>4.7153874403231731E-2</v>
      </c>
      <c r="O48" s="994">
        <f t="shared" si="42"/>
        <v>6.287094547964113E-2</v>
      </c>
      <c r="P48" s="994">
        <f t="shared" si="42"/>
        <v>6.6338739696889124E-2</v>
      </c>
      <c r="Q48" s="994">
        <f t="shared" si="42"/>
        <v>5.8315867340648503E-2</v>
      </c>
      <c r="R48" s="994">
        <f t="shared" si="42"/>
        <v>3.7859483072442662E-2</v>
      </c>
      <c r="S48" s="994">
        <f t="shared" si="42"/>
        <v>3.187591597459697E-2</v>
      </c>
      <c r="T48" s="994">
        <f t="shared" si="42"/>
        <v>2.126040428061831E-2</v>
      </c>
      <c r="U48" s="994">
        <f t="shared" si="42"/>
        <v>1.7451589768109014E-2</v>
      </c>
      <c r="V48" s="994">
        <f t="shared" si="42"/>
        <v>1.9782334195177682E-2</v>
      </c>
      <c r="W48" s="994">
        <f t="shared" si="42"/>
        <v>2.4582039251965903E-2</v>
      </c>
      <c r="X48" s="994">
        <f t="shared" si="42"/>
        <v>1.95666649592788E-2</v>
      </c>
      <c r="Y48" s="994">
        <f t="shared" si="42"/>
        <v>2.0295124941862922E-2</v>
      </c>
      <c r="Z48" s="994">
        <f t="shared" si="42"/>
        <v>1.8978207533554625E-2</v>
      </c>
      <c r="AA48" s="995">
        <f t="shared" ref="AA48:AF48" si="43">Z48</f>
        <v>1.8978207533554625E-2</v>
      </c>
      <c r="AB48" s="995">
        <f t="shared" si="43"/>
        <v>1.8978207533554625E-2</v>
      </c>
      <c r="AC48" s="995">
        <f t="shared" si="43"/>
        <v>1.8978207533554625E-2</v>
      </c>
      <c r="AD48" s="995">
        <f t="shared" si="43"/>
        <v>1.8978207533554625E-2</v>
      </c>
      <c r="AE48" s="995">
        <f t="shared" si="43"/>
        <v>1.8978207533554625E-2</v>
      </c>
      <c r="AF48" s="995">
        <f t="shared" si="43"/>
        <v>1.8978207533554625E-2</v>
      </c>
      <c r="AG48" s="1433"/>
      <c r="AH48" s="180"/>
      <c r="AI48" s="180"/>
      <c r="AJ48" s="180"/>
      <c r="AK48" s="180"/>
      <c r="AL48" s="180"/>
      <c r="AM48" s="180"/>
    </row>
    <row r="49" spans="1:39">
      <c r="A49" s="19" t="s">
        <v>889</v>
      </c>
      <c r="B49" s="180"/>
      <c r="C49" s="180"/>
      <c r="D49" s="180"/>
      <c r="E49" s="180"/>
      <c r="F49" s="180"/>
      <c r="G49" s="180"/>
      <c r="H49" s="224">
        <v>-7341</v>
      </c>
      <c r="I49" s="224">
        <v>-6098</v>
      </c>
      <c r="J49" s="224">
        <v>-6475</v>
      </c>
      <c r="K49" s="224">
        <v>-5948</v>
      </c>
      <c r="L49" s="224">
        <v>-6254</v>
      </c>
      <c r="M49" s="224">
        <v>-6834</v>
      </c>
      <c r="N49" s="224">
        <v>-8160</v>
      </c>
      <c r="O49" s="224">
        <v>-8648</v>
      </c>
      <c r="P49" s="224">
        <v>-9048</v>
      </c>
      <c r="Q49" s="224">
        <v>-9275</v>
      </c>
      <c r="R49" s="224">
        <v>-9340</v>
      </c>
      <c r="S49" s="224">
        <v>-9449</v>
      </c>
      <c r="T49" s="224">
        <v>-12440</v>
      </c>
      <c r="U49" s="224">
        <v>-14448</v>
      </c>
      <c r="V49" s="224">
        <v>-8450</v>
      </c>
      <c r="W49" s="224">
        <v>-7999</v>
      </c>
      <c r="X49" s="224">
        <v>-11724</v>
      </c>
      <c r="Y49" s="224">
        <v>-14072</v>
      </c>
      <c r="Z49" s="224">
        <v>-15960</v>
      </c>
      <c r="AA49" s="298">
        <f t="shared" ref="AA49:AF49" si="44">AA50*AA$41</f>
        <v>-18171.55560325865</v>
      </c>
      <c r="AB49" s="298">
        <f t="shared" si="44"/>
        <v>-20530.868782279314</v>
      </c>
      <c r="AC49" s="298">
        <f t="shared" si="44"/>
        <v>-22591.693999552775</v>
      </c>
      <c r="AD49" s="298">
        <f t="shared" si="44"/>
        <v>-24347.74864737206</v>
      </c>
      <c r="AE49" s="298">
        <f t="shared" si="44"/>
        <v>-25694.385536336198</v>
      </c>
      <c r="AF49" s="298">
        <f t="shared" si="44"/>
        <v>-26941.895768084225</v>
      </c>
      <c r="AG49" s="1433"/>
      <c r="AH49" s="180"/>
      <c r="AI49" s="180"/>
      <c r="AJ49" s="180"/>
      <c r="AK49" s="180"/>
      <c r="AL49" s="180"/>
      <c r="AM49" s="180"/>
    </row>
    <row r="50" spans="1:39">
      <c r="A50" s="286" t="s">
        <v>755</v>
      </c>
      <c r="B50" s="312"/>
      <c r="C50" s="312"/>
      <c r="D50" s="312"/>
      <c r="E50" s="312"/>
      <c r="F50" s="312"/>
      <c r="G50" s="312"/>
      <c r="H50" s="994">
        <f t="shared" ref="H50:Z50" si="45">H49/H$41</f>
        <v>-0.67715155428466012</v>
      </c>
      <c r="I50" s="994">
        <f t="shared" si="45"/>
        <v>-0.62775375746345485</v>
      </c>
      <c r="J50" s="994">
        <f t="shared" si="45"/>
        <v>-0.62980254839023442</v>
      </c>
      <c r="K50" s="994">
        <f t="shared" si="45"/>
        <v>-0.56331091959465862</v>
      </c>
      <c r="L50" s="994">
        <f t="shared" si="45"/>
        <v>-0.56710192237939794</v>
      </c>
      <c r="M50" s="994">
        <f t="shared" si="45"/>
        <v>-0.58620689655172409</v>
      </c>
      <c r="N50" s="994">
        <f t="shared" si="45"/>
        <v>-0.59933896437752476</v>
      </c>
      <c r="O50" s="994">
        <f t="shared" si="45"/>
        <v>-0.59682539682539681</v>
      </c>
      <c r="P50" s="994">
        <f t="shared" si="45"/>
        <v>-0.60143578835416112</v>
      </c>
      <c r="Q50" s="994">
        <f t="shared" si="45"/>
        <v>-0.57175440759462459</v>
      </c>
      <c r="R50" s="994">
        <f t="shared" si="45"/>
        <v>-0.56667880111636937</v>
      </c>
      <c r="S50" s="994">
        <f t="shared" si="45"/>
        <v>-0.57700293111871026</v>
      </c>
      <c r="T50" s="994">
        <f t="shared" si="45"/>
        <v>-0.5916765755053508</v>
      </c>
      <c r="U50" s="994">
        <f t="shared" si="45"/>
        <v>-0.57566339947406164</v>
      </c>
      <c r="V50" s="994">
        <f t="shared" si="45"/>
        <v>-0.50808730683663039</v>
      </c>
      <c r="W50" s="994">
        <f t="shared" si="45"/>
        <v>-0.52857992466794423</v>
      </c>
      <c r="X50" s="994">
        <f t="shared" si="45"/>
        <v>-0.60052246068739434</v>
      </c>
      <c r="Y50" s="994">
        <f t="shared" si="45"/>
        <v>-0.59498541287894802</v>
      </c>
      <c r="Z50" s="994">
        <f t="shared" si="45"/>
        <v>-0.57584066964930003</v>
      </c>
      <c r="AA50" s="995">
        <f t="shared" ref="AA50:AF50" si="46">Z50</f>
        <v>-0.57584066964930003</v>
      </c>
      <c r="AB50" s="995">
        <f t="shared" si="46"/>
        <v>-0.57584066964930003</v>
      </c>
      <c r="AC50" s="995">
        <f t="shared" si="46"/>
        <v>-0.57584066964930003</v>
      </c>
      <c r="AD50" s="995">
        <f t="shared" si="46"/>
        <v>-0.57584066964930003</v>
      </c>
      <c r="AE50" s="995">
        <f t="shared" si="46"/>
        <v>-0.57584066964930003</v>
      </c>
      <c r="AF50" s="995">
        <f t="shared" si="46"/>
        <v>-0.57584066964930003</v>
      </c>
      <c r="AG50" s="1433"/>
      <c r="AH50" s="180"/>
      <c r="AI50" s="180"/>
      <c r="AJ50" s="180"/>
      <c r="AK50" s="180"/>
      <c r="AL50" s="180"/>
      <c r="AM50" s="180"/>
    </row>
    <row r="51" spans="1:39">
      <c r="A51" s="19" t="s">
        <v>888</v>
      </c>
      <c r="B51" s="180"/>
      <c r="C51" s="180"/>
      <c r="D51" s="180"/>
      <c r="E51" s="180"/>
      <c r="F51" s="180"/>
      <c r="G51" s="180"/>
      <c r="H51" s="224">
        <v>-3170</v>
      </c>
      <c r="I51" s="224">
        <v>-3032</v>
      </c>
      <c r="J51" s="224">
        <v>-3133</v>
      </c>
      <c r="K51" s="224">
        <v>-3276</v>
      </c>
      <c r="L51" s="224">
        <v>-3459</v>
      </c>
      <c r="M51" s="224">
        <v>-3808</v>
      </c>
      <c r="N51" s="224">
        <v>-4205</v>
      </c>
      <c r="O51" s="224">
        <v>-4506</v>
      </c>
      <c r="P51" s="224">
        <v>-4744</v>
      </c>
      <c r="Q51" s="224">
        <v>-4524</v>
      </c>
      <c r="R51" s="224">
        <v>-4406</v>
      </c>
      <c r="S51" s="224">
        <v>-4353</v>
      </c>
      <c r="T51" s="224">
        <v>-5665</v>
      </c>
      <c r="U51" s="224">
        <v>-6349</v>
      </c>
      <c r="V51" s="224">
        <v>-5028</v>
      </c>
      <c r="W51" s="224">
        <v>-4919</v>
      </c>
      <c r="X51" s="224">
        <v>-5792</v>
      </c>
      <c r="Y51" s="224">
        <v>-6767</v>
      </c>
      <c r="Z51" s="224">
        <v>-7801</v>
      </c>
      <c r="AA51" s="298">
        <f t="shared" ref="AA51:AF51" si="47">AA23-SUM(AA41+AA43+AA45+AA47+AA49+AA53+AA55+AA58+AA60+AA62)</f>
        <v>-8430.9280886731867</v>
      </c>
      <c r="AB51" s="298">
        <f t="shared" si="47"/>
        <v>-9276.6565201712365</v>
      </c>
      <c r="AC51" s="298">
        <f t="shared" si="47"/>
        <v>-9987.8121647164335</v>
      </c>
      <c r="AD51" s="298">
        <f t="shared" si="47"/>
        <v>-10584.122962406154</v>
      </c>
      <c r="AE51" s="298">
        <f t="shared" si="47"/>
        <v>-11062.229794994868</v>
      </c>
      <c r="AF51" s="298">
        <f t="shared" si="47"/>
        <v>-11448.072873459016</v>
      </c>
      <c r="AG51" s="1433"/>
      <c r="AH51" s="180"/>
      <c r="AI51" s="180"/>
      <c r="AJ51" s="180"/>
      <c r="AK51" s="180"/>
      <c r="AL51" s="180"/>
      <c r="AM51" s="180"/>
    </row>
    <row r="52" spans="1:39">
      <c r="A52" s="286" t="s">
        <v>755</v>
      </c>
      <c r="B52" s="312"/>
      <c r="C52" s="312"/>
      <c r="D52" s="312"/>
      <c r="E52" s="312"/>
      <c r="F52" s="312"/>
      <c r="G52" s="312"/>
      <c r="H52" s="994">
        <f t="shared" ref="H52:O52" si="48">H51/H$41</f>
        <v>-0.29240844940503641</v>
      </c>
      <c r="I52" s="994">
        <f t="shared" si="48"/>
        <v>-0.31212682725962526</v>
      </c>
      <c r="J52" s="994">
        <f t="shared" si="48"/>
        <v>-0.30473689329831727</v>
      </c>
      <c r="K52" s="994">
        <f t="shared" si="48"/>
        <v>-0.31025665309214889</v>
      </c>
      <c r="L52" s="994">
        <f t="shared" si="48"/>
        <v>-0.3136561479869423</v>
      </c>
      <c r="M52" s="994">
        <f t="shared" si="48"/>
        <v>-0.32664264882484129</v>
      </c>
      <c r="N52" s="994">
        <f t="shared" si="48"/>
        <v>-0.3088505325009181</v>
      </c>
      <c r="O52" s="994">
        <f t="shared" si="48"/>
        <v>-0.31097308488612835</v>
      </c>
      <c r="P52" s="994">
        <f t="shared" ref="P52:AF52" si="49">P51/P41</f>
        <v>-0.31534166445094391</v>
      </c>
      <c r="Q52" s="994">
        <f t="shared" si="49"/>
        <v>-0.27888053261003576</v>
      </c>
      <c r="R52" s="994">
        <f t="shared" si="49"/>
        <v>-0.2673219269506128</v>
      </c>
      <c r="S52" s="994">
        <f t="shared" si="49"/>
        <v>-0.26581582804103565</v>
      </c>
      <c r="T52" s="994">
        <f t="shared" si="49"/>
        <v>-0.26944114149821641</v>
      </c>
      <c r="U52" s="994">
        <f t="shared" si="49"/>
        <v>-0.25296836401306877</v>
      </c>
      <c r="V52" s="994">
        <f t="shared" si="49"/>
        <v>-0.30232697973663641</v>
      </c>
      <c r="W52" s="994">
        <f t="shared" si="49"/>
        <v>-0.32505121258177494</v>
      </c>
      <c r="X52" s="994">
        <f t="shared" si="49"/>
        <v>-0.29667571582236335</v>
      </c>
      <c r="Y52" s="994">
        <f t="shared" si="49"/>
        <v>-0.28611898016997167</v>
      </c>
      <c r="Z52" s="994">
        <f t="shared" si="49"/>
        <v>-0.28146197142444795</v>
      </c>
      <c r="AA52" s="995">
        <f t="shared" si="49"/>
        <v>-0.26716872139862657</v>
      </c>
      <c r="AB52" s="995">
        <f t="shared" si="49"/>
        <v>-0.26018753318869059</v>
      </c>
      <c r="AC52" s="995">
        <f t="shared" si="49"/>
        <v>-0.25457977809789695</v>
      </c>
      <c r="AD52" s="995">
        <f t="shared" si="49"/>
        <v>-0.25032164339269714</v>
      </c>
      <c r="AE52" s="995">
        <f t="shared" si="49"/>
        <v>-0.24791726597065</v>
      </c>
      <c r="AF52" s="995">
        <f t="shared" si="49"/>
        <v>-0.24468456141293232</v>
      </c>
      <c r="AG52" s="1433"/>
      <c r="AH52" s="180"/>
      <c r="AI52" s="180"/>
      <c r="AJ52" s="180"/>
      <c r="AK52" s="180"/>
      <c r="AL52" s="180"/>
      <c r="AM52" s="180"/>
    </row>
    <row r="53" spans="1:39">
      <c r="A53" s="19" t="s">
        <v>887</v>
      </c>
      <c r="B53" s="180"/>
      <c r="C53" s="180"/>
      <c r="D53" s="180"/>
      <c r="E53" s="180"/>
      <c r="F53" s="180"/>
      <c r="G53" s="180"/>
      <c r="H53" s="224">
        <v>-229</v>
      </c>
      <c r="I53" s="224">
        <v>-207</v>
      </c>
      <c r="J53" s="224">
        <v>-221</v>
      </c>
      <c r="K53" s="224">
        <v>-238</v>
      </c>
      <c r="L53" s="224">
        <v>-217</v>
      </c>
      <c r="M53" s="224">
        <v>-235</v>
      </c>
      <c r="N53" s="224">
        <v>-270</v>
      </c>
      <c r="O53" s="224">
        <v>-276</v>
      </c>
      <c r="P53" s="224">
        <v>-275</v>
      </c>
      <c r="Q53" s="224">
        <v>-277</v>
      </c>
      <c r="R53" s="224">
        <v>-286</v>
      </c>
      <c r="S53" s="224">
        <v>-284</v>
      </c>
      <c r="T53" s="224">
        <v>-295</v>
      </c>
      <c r="U53" s="224">
        <v>-388</v>
      </c>
      <c r="V53" s="224">
        <v>-326</v>
      </c>
      <c r="W53" s="224">
        <v>-257</v>
      </c>
      <c r="X53" s="224">
        <v>-290</v>
      </c>
      <c r="Y53" s="224">
        <v>-308</v>
      </c>
      <c r="Z53" s="224">
        <v>-337</v>
      </c>
      <c r="AA53" s="365">
        <f t="shared" ref="AA53:AF53" si="50">AA54*AA$41</f>
        <v>-383.69763397858173</v>
      </c>
      <c r="AB53" s="365">
        <f t="shared" si="50"/>
        <v>-433.5152117561484</v>
      </c>
      <c r="AC53" s="365">
        <f t="shared" si="50"/>
        <v>-477.03013019105794</v>
      </c>
      <c r="AD53" s="365">
        <f t="shared" si="50"/>
        <v>-514.10973021080099</v>
      </c>
      <c r="AE53" s="365">
        <f t="shared" si="50"/>
        <v>-542.5443562497054</v>
      </c>
      <c r="AF53" s="365">
        <f t="shared" si="50"/>
        <v>-568.88589435115182</v>
      </c>
      <c r="AG53" s="1433"/>
      <c r="AH53" s="180"/>
      <c r="AI53" s="180"/>
      <c r="AJ53" s="180"/>
      <c r="AK53" s="180"/>
      <c r="AL53" s="180"/>
      <c r="AM53" s="180"/>
    </row>
    <row r="54" spans="1:39">
      <c r="A54" s="286" t="s">
        <v>755</v>
      </c>
      <c r="B54" s="312"/>
      <c r="C54" s="312"/>
      <c r="D54" s="312"/>
      <c r="E54" s="312"/>
      <c r="F54" s="312"/>
      <c r="G54" s="312"/>
      <c r="H54" s="994">
        <f t="shared" ref="H54:Z54" si="51">H53/H$41</f>
        <v>-2.1123512591089383E-2</v>
      </c>
      <c r="I54" s="994">
        <f t="shared" si="51"/>
        <v>-2.1309450277949352E-2</v>
      </c>
      <c r="J54" s="994">
        <f t="shared" si="51"/>
        <v>-2.1495963427682133E-2</v>
      </c>
      <c r="K54" s="994">
        <f t="shared" si="51"/>
        <v>-2.2540013258831329E-2</v>
      </c>
      <c r="L54" s="994">
        <f t="shared" si="51"/>
        <v>-1.9677185346391006E-2</v>
      </c>
      <c r="M54" s="994">
        <f t="shared" si="51"/>
        <v>-2.0157831531995195E-2</v>
      </c>
      <c r="N54" s="994">
        <f t="shared" si="51"/>
        <v>-1.9831068674256335E-2</v>
      </c>
      <c r="O54" s="994">
        <f t="shared" si="51"/>
        <v>-1.9047619047619049E-2</v>
      </c>
      <c r="P54" s="994">
        <f t="shared" si="51"/>
        <v>-1.8279712842329168E-2</v>
      </c>
      <c r="Q54" s="994">
        <f t="shared" si="51"/>
        <v>-1.7075576377758601E-2</v>
      </c>
      <c r="R54" s="994">
        <f t="shared" si="51"/>
        <v>-1.7352263074869555E-2</v>
      </c>
      <c r="S54" s="994">
        <f t="shared" si="51"/>
        <v>-1.7342452369320957E-2</v>
      </c>
      <c r="T54" s="994">
        <f t="shared" si="51"/>
        <v>-1.4030915576694411E-2</v>
      </c>
      <c r="U54" s="994">
        <f t="shared" si="51"/>
        <v>-1.5459399155311181E-2</v>
      </c>
      <c r="V54" s="994">
        <f t="shared" si="51"/>
        <v>-1.9601948169081836E-2</v>
      </c>
      <c r="W54" s="994">
        <f t="shared" si="51"/>
        <v>-1.6982752924073218E-2</v>
      </c>
      <c r="X54" s="994">
        <f t="shared" si="51"/>
        <v>-1.4854274445525791E-2</v>
      </c>
      <c r="Y54" s="994">
        <f t="shared" si="51"/>
        <v>-1.3022705171028709E-2</v>
      </c>
      <c r="Z54" s="994">
        <f t="shared" si="51"/>
        <v>-1.2159041708760282E-2</v>
      </c>
      <c r="AA54" s="995">
        <f t="shared" ref="AA54:AF54" si="52">Z54</f>
        <v>-1.2159041708760282E-2</v>
      </c>
      <c r="AB54" s="995">
        <f t="shared" si="52"/>
        <v>-1.2159041708760282E-2</v>
      </c>
      <c r="AC54" s="995">
        <f t="shared" si="52"/>
        <v>-1.2159041708760282E-2</v>
      </c>
      <c r="AD54" s="995">
        <f t="shared" si="52"/>
        <v>-1.2159041708760282E-2</v>
      </c>
      <c r="AE54" s="995">
        <f t="shared" si="52"/>
        <v>-1.2159041708760282E-2</v>
      </c>
      <c r="AF54" s="995">
        <f t="shared" si="52"/>
        <v>-1.2159041708760282E-2</v>
      </c>
      <c r="AG54" s="1433"/>
      <c r="AH54" s="180"/>
      <c r="AI54" s="180"/>
      <c r="AJ54" s="180"/>
      <c r="AK54" s="180"/>
      <c r="AL54" s="180"/>
      <c r="AM54" s="180"/>
    </row>
    <row r="55" spans="1:39">
      <c r="A55" s="19" t="s">
        <v>998</v>
      </c>
      <c r="B55" s="180"/>
      <c r="C55" s="180"/>
      <c r="D55" s="180"/>
      <c r="E55" s="180"/>
      <c r="F55" s="180"/>
      <c r="G55" s="180"/>
      <c r="H55" s="224">
        <f>-583-284</f>
        <v>-867</v>
      </c>
      <c r="I55" s="224">
        <v>-718</v>
      </c>
      <c r="J55" s="224">
        <v>-595</v>
      </c>
      <c r="K55" s="224">
        <v>-606</v>
      </c>
      <c r="L55" s="224">
        <v>-575</v>
      </c>
      <c r="M55" s="224">
        <v>-579</v>
      </c>
      <c r="N55" s="224">
        <v>-854</v>
      </c>
      <c r="O55" s="224">
        <v>-790</v>
      </c>
      <c r="P55" s="224">
        <v>-894</v>
      </c>
      <c r="Q55" s="224">
        <v>-763</v>
      </c>
      <c r="R55" s="224">
        <v>-634</v>
      </c>
      <c r="S55" s="224">
        <v>-1012</v>
      </c>
      <c r="T55" s="224">
        <v>-1176</v>
      </c>
      <c r="U55" s="224">
        <v>-1600</v>
      </c>
      <c r="V55" s="224">
        <v>-1212</v>
      </c>
      <c r="W55" s="224">
        <v>-1509</v>
      </c>
      <c r="X55" s="224">
        <v>-1174</v>
      </c>
      <c r="Y55" s="224">
        <v>-1282</v>
      </c>
      <c r="Z55" s="224">
        <v>-1578</v>
      </c>
      <c r="AA55" s="298">
        <f t="shared" ref="AA55:AF55" si="53">AA56*AA$41</f>
        <v>-1796.6613246830921</v>
      </c>
      <c r="AB55" s="298">
        <f t="shared" si="53"/>
        <v>-2029.9317630599473</v>
      </c>
      <c r="AC55" s="298">
        <f t="shared" si="53"/>
        <v>-2233.6900458204436</v>
      </c>
      <c r="AD55" s="298">
        <f t="shared" si="53"/>
        <v>-2407.3149978416736</v>
      </c>
      <c r="AE55" s="298">
        <f t="shared" si="53"/>
        <v>-2540.4599233294812</v>
      </c>
      <c r="AF55" s="298">
        <f t="shared" si="53"/>
        <v>-2663.8039800775005</v>
      </c>
      <c r="AG55" s="1433"/>
      <c r="AH55" s="180"/>
      <c r="AI55" s="180"/>
      <c r="AJ55" s="180"/>
      <c r="AK55" s="180"/>
      <c r="AL55" s="180"/>
      <c r="AM55" s="180"/>
    </row>
    <row r="56" spans="1:39">
      <c r="A56" s="286" t="s">
        <v>755</v>
      </c>
      <c r="B56" s="312"/>
      <c r="C56" s="312"/>
      <c r="D56" s="312"/>
      <c r="E56" s="312"/>
      <c r="F56" s="312"/>
      <c r="G56" s="312"/>
      <c r="H56" s="994">
        <f t="shared" ref="H56:Z56" si="54">H55/H$41</f>
        <v>-7.9974172124342768E-2</v>
      </c>
      <c r="I56" s="994">
        <f t="shared" si="54"/>
        <v>-7.3913938645254279E-2</v>
      </c>
      <c r="J56" s="994">
        <f t="shared" si="54"/>
        <v>-5.7873747689913435E-2</v>
      </c>
      <c r="K56" s="994">
        <f t="shared" si="54"/>
        <v>-5.7391798465763803E-2</v>
      </c>
      <c r="L56" s="994">
        <f t="shared" si="54"/>
        <v>-5.2140007254261878E-2</v>
      </c>
      <c r="M56" s="994">
        <f t="shared" si="54"/>
        <v>-4.9665465774575396E-2</v>
      </c>
      <c r="N56" s="994">
        <f t="shared" si="54"/>
        <v>-6.2724935732647813E-2</v>
      </c>
      <c r="O56" s="994">
        <f t="shared" si="54"/>
        <v>-5.4520358868184952E-2</v>
      </c>
      <c r="P56" s="994">
        <f t="shared" si="54"/>
        <v>-5.9425684658335552E-2</v>
      </c>
      <c r="Q56" s="994">
        <f t="shared" si="54"/>
        <v>-4.7034890888916284E-2</v>
      </c>
      <c r="R56" s="994">
        <f t="shared" si="54"/>
        <v>-3.8466205557577966E-2</v>
      </c>
      <c r="S56" s="994">
        <f t="shared" si="54"/>
        <v>-6.1797752808988762E-2</v>
      </c>
      <c r="T56" s="994">
        <f t="shared" si="54"/>
        <v>-5.5933412604042804E-2</v>
      </c>
      <c r="U56" s="994">
        <f t="shared" si="54"/>
        <v>-6.3750099609530639E-2</v>
      </c>
      <c r="V56" s="994">
        <f t="shared" si="54"/>
        <v>-7.287595454272143E-2</v>
      </c>
      <c r="W56" s="994">
        <f t="shared" si="54"/>
        <v>-9.9715852772087485E-2</v>
      </c>
      <c r="X56" s="994">
        <f t="shared" si="54"/>
        <v>-6.0134200686369925E-2</v>
      </c>
      <c r="Y56" s="994">
        <f t="shared" si="54"/>
        <v>-5.4204896198892225E-2</v>
      </c>
      <c r="Z56" s="994">
        <f t="shared" si="54"/>
        <v>-5.6934622600663877E-2</v>
      </c>
      <c r="AA56" s="995">
        <f t="shared" ref="AA56:AF56" si="55">Z56</f>
        <v>-5.6934622600663877E-2</v>
      </c>
      <c r="AB56" s="995">
        <f t="shared" si="55"/>
        <v>-5.6934622600663877E-2</v>
      </c>
      <c r="AC56" s="995">
        <f t="shared" si="55"/>
        <v>-5.6934622600663877E-2</v>
      </c>
      <c r="AD56" s="995">
        <f t="shared" si="55"/>
        <v>-5.6934622600663877E-2</v>
      </c>
      <c r="AE56" s="995">
        <f t="shared" si="55"/>
        <v>-5.6934622600663877E-2</v>
      </c>
      <c r="AF56" s="995">
        <f t="shared" si="55"/>
        <v>-5.6934622600663877E-2</v>
      </c>
      <c r="AG56" s="1433"/>
      <c r="AH56" s="180"/>
      <c r="AI56" s="180"/>
      <c r="AJ56" s="180"/>
      <c r="AK56" s="180"/>
      <c r="AL56" s="180"/>
      <c r="AM56" s="180"/>
    </row>
    <row r="57" spans="1:39">
      <c r="A57" s="286" t="s">
        <v>1684</v>
      </c>
      <c r="B57" s="312"/>
      <c r="C57" s="312"/>
      <c r="D57" s="312"/>
      <c r="E57" s="312"/>
      <c r="F57" s="312"/>
      <c r="G57" s="312"/>
      <c r="H57" s="994"/>
      <c r="I57" s="994"/>
      <c r="J57" s="994"/>
      <c r="K57" s="994"/>
      <c r="L57" s="994"/>
      <c r="M57" s="994"/>
      <c r="N57" s="994"/>
      <c r="O57" s="994"/>
      <c r="P57" s="994"/>
      <c r="Q57" s="994"/>
      <c r="R57" s="993">
        <v>-92</v>
      </c>
      <c r="S57" s="993">
        <v>224</v>
      </c>
      <c r="T57" s="993">
        <v>-33</v>
      </c>
      <c r="U57" s="993">
        <v>137</v>
      </c>
      <c r="V57" s="993">
        <v>-235</v>
      </c>
      <c r="W57" s="993">
        <v>129</v>
      </c>
      <c r="X57" s="993">
        <v>-199</v>
      </c>
      <c r="Y57" s="993">
        <v>-54</v>
      </c>
      <c r="Z57" s="993">
        <v>172</v>
      </c>
      <c r="AA57" s="1170">
        <f>AA55+'Cashflow Statement'!AA5+'Cashflow Statement'!AA7</f>
        <v>-195.83380725316351</v>
      </c>
      <c r="AB57" s="1170">
        <f>AB55+'Cashflow Statement'!AB5+'Cashflow Statement'!AB7</f>
        <v>-151.06080097341237</v>
      </c>
      <c r="AC57" s="1170">
        <f>AC55+'Cashflow Statement'!AC5+'Cashflow Statement'!AC7</f>
        <v>-244.68890433782735</v>
      </c>
      <c r="AD57" s="1170">
        <f>AD55+'Cashflow Statement'!AD5+'Cashflow Statement'!AD7</f>
        <v>-263.70859749323017</v>
      </c>
      <c r="AE57" s="1170">
        <f>AE55+'Cashflow Statement'!AE5+'Cashflow Statement'!AE7</f>
        <v>-278.29391831547809</v>
      </c>
      <c r="AF57" s="1170">
        <f>AF55+'Cashflow Statement'!AF5+'Cashflow Statement'!AF7</f>
        <v>-291.80560591901485</v>
      </c>
      <c r="AG57" s="1433"/>
      <c r="AH57" s="180"/>
      <c r="AI57" s="180"/>
      <c r="AJ57" s="180"/>
      <c r="AK57" s="180"/>
      <c r="AL57" s="180"/>
      <c r="AM57" s="180"/>
    </row>
    <row r="58" spans="1:39">
      <c r="A58" s="19" t="s">
        <v>886</v>
      </c>
      <c r="B58" s="180"/>
      <c r="C58" s="180"/>
      <c r="D58" s="180"/>
      <c r="E58" s="180"/>
      <c r="F58" s="180"/>
      <c r="G58" s="180"/>
      <c r="H58" s="224">
        <v>-157</v>
      </c>
      <c r="I58" s="224">
        <v>-178</v>
      </c>
      <c r="J58" s="224">
        <v>-40</v>
      </c>
      <c r="K58" s="224">
        <v>-34</v>
      </c>
      <c r="L58" s="224">
        <v>7</v>
      </c>
      <c r="M58" s="224">
        <v>-65</v>
      </c>
      <c r="N58" s="224">
        <v>-29</v>
      </c>
      <c r="O58" s="224">
        <v>-82</v>
      </c>
      <c r="P58" s="224">
        <v>-59</v>
      </c>
      <c r="Q58" s="224">
        <v>-179</v>
      </c>
      <c r="R58" s="224">
        <v>-237</v>
      </c>
      <c r="S58" s="224">
        <v>-60</v>
      </c>
      <c r="T58" s="224">
        <v>62</v>
      </c>
      <c r="U58" s="224">
        <v>57</v>
      </c>
      <c r="V58" s="224">
        <v>-149</v>
      </c>
      <c r="W58" s="224">
        <v>78</v>
      </c>
      <c r="X58" s="224">
        <v>-252</v>
      </c>
      <c r="Y58" s="224">
        <v>-50</v>
      </c>
      <c r="Z58" s="224">
        <v>18</v>
      </c>
      <c r="AA58" s="298">
        <f t="shared" ref="AA58:AF58" si="56">AA59*AA$41</f>
        <v>20.494235642772914</v>
      </c>
      <c r="AB58" s="298">
        <f t="shared" si="56"/>
        <v>23.155115167984192</v>
      </c>
      <c r="AC58" s="298">
        <f t="shared" si="56"/>
        <v>25.479354134833958</v>
      </c>
      <c r="AD58" s="298">
        <f t="shared" si="56"/>
        <v>27.4598668955324</v>
      </c>
      <c r="AE58" s="298">
        <f t="shared" si="56"/>
        <v>28.978630304138573</v>
      </c>
      <c r="AF58" s="298">
        <f t="shared" si="56"/>
        <v>30.38559673092206</v>
      </c>
      <c r="AG58" s="1433"/>
      <c r="AH58" s="180"/>
      <c r="AI58" s="180"/>
      <c r="AJ58" s="180"/>
      <c r="AK58" s="180"/>
      <c r="AL58" s="180"/>
      <c r="AM58" s="180"/>
    </row>
    <row r="59" spans="1:39">
      <c r="A59" s="286" t="s">
        <v>755</v>
      </c>
      <c r="B59" s="312"/>
      <c r="C59" s="312"/>
      <c r="D59" s="312"/>
      <c r="E59" s="312"/>
      <c r="F59" s="312"/>
      <c r="G59" s="312"/>
      <c r="H59" s="994">
        <f t="shared" ref="H59:Z59" si="57">H58/H$41</f>
        <v>-1.4482058850659533E-2</v>
      </c>
      <c r="I59" s="994">
        <f t="shared" si="57"/>
        <v>-1.8324068354951616E-2</v>
      </c>
      <c r="J59" s="994">
        <f t="shared" si="57"/>
        <v>-3.8906721136076259E-3</v>
      </c>
      <c r="K59" s="994">
        <f t="shared" si="57"/>
        <v>-3.2200018941187613E-3</v>
      </c>
      <c r="L59" s="994">
        <f t="shared" si="57"/>
        <v>6.3474791439970988E-4</v>
      </c>
      <c r="M59" s="994">
        <f t="shared" si="57"/>
        <v>-5.5755704237433522E-3</v>
      </c>
      <c r="N59" s="994">
        <f t="shared" si="57"/>
        <v>-2.1300036724201249E-3</v>
      </c>
      <c r="O59" s="994">
        <f t="shared" si="57"/>
        <v>-5.6590752242926153E-3</v>
      </c>
      <c r="P59" s="994">
        <f t="shared" si="57"/>
        <v>-3.9218293007178941E-3</v>
      </c>
      <c r="Q59" s="994">
        <f t="shared" si="57"/>
        <v>-1.1034397731475774E-2</v>
      </c>
      <c r="R59" s="994">
        <f t="shared" si="57"/>
        <v>-1.437932289770659E-2</v>
      </c>
      <c r="S59" s="994">
        <f t="shared" si="57"/>
        <v>-3.6638983878847092E-3</v>
      </c>
      <c r="T59" s="994">
        <f t="shared" si="57"/>
        <v>2.9488703923900117E-3</v>
      </c>
      <c r="U59" s="994">
        <f t="shared" si="57"/>
        <v>2.2710972985895291E-3</v>
      </c>
      <c r="V59" s="994">
        <f t="shared" si="57"/>
        <v>-8.9591726294269737E-3</v>
      </c>
      <c r="W59" s="994">
        <f t="shared" si="57"/>
        <v>5.1542985528315599E-3</v>
      </c>
      <c r="X59" s="994">
        <f t="shared" si="57"/>
        <v>-1.2907852276801721E-2</v>
      </c>
      <c r="Y59" s="994">
        <f t="shared" si="57"/>
        <v>-2.1140755147773878E-3</v>
      </c>
      <c r="Z59" s="994">
        <f t="shared" si="57"/>
        <v>6.4944436426612789E-4</v>
      </c>
      <c r="AA59" s="995">
        <f t="shared" ref="AA59:AF59" si="58">Z59</f>
        <v>6.4944436426612789E-4</v>
      </c>
      <c r="AB59" s="995">
        <f t="shared" si="58"/>
        <v>6.4944436426612789E-4</v>
      </c>
      <c r="AC59" s="995">
        <f t="shared" si="58"/>
        <v>6.4944436426612789E-4</v>
      </c>
      <c r="AD59" s="995">
        <f t="shared" si="58"/>
        <v>6.4944436426612789E-4</v>
      </c>
      <c r="AE59" s="995">
        <f t="shared" si="58"/>
        <v>6.4944436426612789E-4</v>
      </c>
      <c r="AF59" s="995">
        <f t="shared" si="58"/>
        <v>6.4944436426612789E-4</v>
      </c>
      <c r="AG59" s="1433"/>
      <c r="AH59" s="180"/>
      <c r="AI59" s="180"/>
      <c r="AJ59" s="180"/>
      <c r="AK59" s="180"/>
      <c r="AL59" s="180"/>
      <c r="AM59" s="180"/>
    </row>
    <row r="60" spans="1:39">
      <c r="A60" s="19" t="s">
        <v>885</v>
      </c>
      <c r="B60" s="180"/>
      <c r="C60" s="180"/>
      <c r="D60" s="180"/>
      <c r="E60" s="180"/>
      <c r="F60" s="180"/>
      <c r="G60" s="180"/>
      <c r="H60" s="224">
        <v>-47</v>
      </c>
      <c r="I60" s="224">
        <v>-11</v>
      </c>
      <c r="J60" s="224">
        <v>85</v>
      </c>
      <c r="K60" s="224">
        <v>42</v>
      </c>
      <c r="L60" s="224">
        <v>21</v>
      </c>
      <c r="M60" s="224">
        <v>15</v>
      </c>
      <c r="N60" s="224">
        <v>-45</v>
      </c>
      <c r="O60" s="224">
        <v>-36</v>
      </c>
      <c r="P60" s="224">
        <v>-113</v>
      </c>
      <c r="Q60" s="224">
        <v>118</v>
      </c>
      <c r="R60" s="224">
        <v>115</v>
      </c>
      <c r="S60" s="224">
        <v>159</v>
      </c>
      <c r="T60" s="224">
        <v>-191</v>
      </c>
      <c r="U60" s="224">
        <v>102</v>
      </c>
      <c r="V60" s="224">
        <v>148</v>
      </c>
      <c r="W60" s="224">
        <v>156</v>
      </c>
      <c r="X60" s="224">
        <v>103</v>
      </c>
      <c r="Y60" s="224">
        <v>84</v>
      </c>
      <c r="Z60" s="224">
        <v>39</v>
      </c>
      <c r="AA60" s="298">
        <f t="shared" ref="AA60:AF60" si="59">AA61*AA$41</f>
        <v>44.404177226007974</v>
      </c>
      <c r="AB60" s="298">
        <f t="shared" si="59"/>
        <v>50.169416197299078</v>
      </c>
      <c r="AC60" s="298">
        <f t="shared" si="59"/>
        <v>55.205267292140242</v>
      </c>
      <c r="AD60" s="298">
        <f t="shared" si="59"/>
        <v>59.496378273653534</v>
      </c>
      <c r="AE60" s="298">
        <f t="shared" si="59"/>
        <v>62.787032325633568</v>
      </c>
      <c r="AF60" s="298">
        <f t="shared" si="59"/>
        <v>65.835459583664459</v>
      </c>
      <c r="AG60" s="1433"/>
      <c r="AH60" s="180"/>
      <c r="AI60" s="180"/>
      <c r="AJ60" s="180"/>
      <c r="AK60" s="180"/>
      <c r="AL60" s="180"/>
      <c r="AM60" s="180"/>
    </row>
    <row r="61" spans="1:39">
      <c r="A61" s="286" t="s">
        <v>755</v>
      </c>
      <c r="B61" s="312"/>
      <c r="C61" s="312"/>
      <c r="D61" s="312"/>
      <c r="E61" s="312"/>
      <c r="F61" s="312"/>
      <c r="G61" s="312"/>
      <c r="H61" s="994">
        <f t="shared" ref="H61:Z61" si="60">H60/H$41</f>
        <v>-4.3353934138917073E-3</v>
      </c>
      <c r="I61" s="994">
        <f t="shared" si="60"/>
        <v>-1.1323862466543133E-3</v>
      </c>
      <c r="J61" s="994">
        <f t="shared" si="60"/>
        <v>8.2676782414162053E-3</v>
      </c>
      <c r="K61" s="994">
        <f t="shared" si="60"/>
        <v>3.9776493986172935E-3</v>
      </c>
      <c r="L61" s="994">
        <f t="shared" si="60"/>
        <v>1.9042437431991295E-3</v>
      </c>
      <c r="M61" s="994">
        <f t="shared" si="60"/>
        <v>1.2866700977869274E-3</v>
      </c>
      <c r="N61" s="994">
        <f t="shared" si="60"/>
        <v>-3.3051781123760557E-3</v>
      </c>
      <c r="O61" s="994">
        <f t="shared" si="60"/>
        <v>-2.4844720496894411E-3</v>
      </c>
      <c r="P61" s="994">
        <f t="shared" si="60"/>
        <v>-7.5113001861207129E-3</v>
      </c>
      <c r="Q61" s="994">
        <f t="shared" si="60"/>
        <v>7.2740722475650348E-3</v>
      </c>
      <c r="R61" s="994">
        <f t="shared" si="60"/>
        <v>6.9773085790559401E-3</v>
      </c>
      <c r="S61" s="994">
        <f t="shared" si="60"/>
        <v>9.7093307278944795E-3</v>
      </c>
      <c r="T61" s="994">
        <f t="shared" si="60"/>
        <v>-9.0844233055885851E-3</v>
      </c>
      <c r="U61" s="994">
        <f t="shared" si="60"/>
        <v>4.0640688501075786E-3</v>
      </c>
      <c r="V61" s="994">
        <f t="shared" si="60"/>
        <v>8.8990439540616913E-3</v>
      </c>
      <c r="W61" s="994">
        <f t="shared" si="60"/>
        <v>1.030859710566312E-2</v>
      </c>
      <c r="X61" s="994">
        <f t="shared" si="60"/>
        <v>5.2758285099626084E-3</v>
      </c>
      <c r="Y61" s="994">
        <f t="shared" si="60"/>
        <v>3.5516468648260115E-3</v>
      </c>
      <c r="Z61" s="994">
        <f t="shared" si="60"/>
        <v>1.4071294559099437E-3</v>
      </c>
      <c r="AA61" s="995">
        <f t="shared" ref="AA61:AF61" si="61">Z61</f>
        <v>1.4071294559099437E-3</v>
      </c>
      <c r="AB61" s="995">
        <f t="shared" si="61"/>
        <v>1.4071294559099437E-3</v>
      </c>
      <c r="AC61" s="995">
        <f t="shared" si="61"/>
        <v>1.4071294559099437E-3</v>
      </c>
      <c r="AD61" s="995">
        <f t="shared" si="61"/>
        <v>1.4071294559099437E-3</v>
      </c>
      <c r="AE61" s="995">
        <f t="shared" si="61"/>
        <v>1.4071294559099437E-3</v>
      </c>
      <c r="AF61" s="995">
        <f t="shared" si="61"/>
        <v>1.4071294559099437E-3</v>
      </c>
      <c r="AG61" s="1433"/>
      <c r="AH61" s="180"/>
      <c r="AI61" s="180"/>
      <c r="AJ61" s="180"/>
      <c r="AK61" s="180"/>
      <c r="AL61" s="180"/>
      <c r="AM61" s="180"/>
    </row>
    <row r="62" spans="1:39">
      <c r="A62" s="19" t="s">
        <v>989</v>
      </c>
      <c r="B62" s="180"/>
      <c r="C62" s="180"/>
      <c r="D62" s="180"/>
      <c r="E62" s="180"/>
      <c r="F62" s="180"/>
      <c r="G62" s="180"/>
      <c r="H62" s="19"/>
      <c r="I62" s="19"/>
      <c r="J62" s="19"/>
      <c r="K62" s="19"/>
      <c r="L62" s="19"/>
      <c r="M62" s="19"/>
      <c r="N62" s="19"/>
      <c r="O62" s="19"/>
      <c r="P62" s="224">
        <v>45</v>
      </c>
      <c r="Q62" s="224">
        <v>44</v>
      </c>
      <c r="R62" s="224">
        <v>87</v>
      </c>
      <c r="S62" s="224">
        <v>144</v>
      </c>
      <c r="T62" s="224">
        <v>189</v>
      </c>
      <c r="U62" s="224">
        <v>164</v>
      </c>
      <c r="V62" s="224">
        <v>48</v>
      </c>
      <c r="W62" s="224">
        <v>40</v>
      </c>
      <c r="X62" s="224">
        <v>73</v>
      </c>
      <c r="Y62" s="224">
        <v>99</v>
      </c>
      <c r="Z62" s="224">
        <v>136</v>
      </c>
      <c r="AA62" s="298">
        <f t="shared" ref="AA62:AF62" si="62">AA63*AA$41</f>
        <v>154.84533596761756</v>
      </c>
      <c r="AB62" s="298">
        <f t="shared" si="62"/>
        <v>174.94975904699166</v>
      </c>
      <c r="AC62" s="298">
        <f t="shared" si="62"/>
        <v>192.51067568541214</v>
      </c>
      <c r="AD62" s="298">
        <f t="shared" si="62"/>
        <v>207.47454987735591</v>
      </c>
      <c r="AE62" s="298">
        <f t="shared" si="62"/>
        <v>218.94965118682478</v>
      </c>
      <c r="AF62" s="298">
        <f t="shared" si="62"/>
        <v>229.5800641891889</v>
      </c>
      <c r="AG62" s="1433"/>
      <c r="AH62" s="180"/>
      <c r="AI62" s="180"/>
      <c r="AJ62" s="180"/>
      <c r="AK62" s="180"/>
      <c r="AL62" s="180"/>
      <c r="AM62" s="180"/>
    </row>
    <row r="63" spans="1:39">
      <c r="A63" s="286" t="s">
        <v>755</v>
      </c>
      <c r="B63" s="312"/>
      <c r="C63" s="312"/>
      <c r="D63" s="312"/>
      <c r="E63" s="312"/>
      <c r="F63" s="312"/>
      <c r="G63" s="312"/>
      <c r="H63" s="993"/>
      <c r="I63" s="993"/>
      <c r="J63" s="993"/>
      <c r="K63" s="993"/>
      <c r="L63" s="993"/>
      <c r="M63" s="993"/>
      <c r="N63" s="993"/>
      <c r="O63" s="993"/>
      <c r="P63" s="994">
        <f t="shared" ref="P63:Z63" si="63">P62/P$41</f>
        <v>2.991225737835682E-3</v>
      </c>
      <c r="Q63" s="994">
        <f t="shared" si="63"/>
        <v>2.7123659228208605E-3</v>
      </c>
      <c r="R63" s="994">
        <f t="shared" si="63"/>
        <v>5.278485620677102E-3</v>
      </c>
      <c r="S63" s="994">
        <f t="shared" si="63"/>
        <v>8.7933561309233021E-3</v>
      </c>
      <c r="T63" s="994">
        <f t="shared" si="63"/>
        <v>8.9892984542211656E-3</v>
      </c>
      <c r="U63" s="994">
        <f t="shared" si="63"/>
        <v>6.5343852099768902E-3</v>
      </c>
      <c r="V63" s="994">
        <f t="shared" si="63"/>
        <v>2.8861764175335219E-3</v>
      </c>
      <c r="W63" s="994">
        <f t="shared" si="63"/>
        <v>2.6432300270931076E-3</v>
      </c>
      <c r="X63" s="994">
        <f t="shared" si="63"/>
        <v>3.7391794293909746E-3</v>
      </c>
      <c r="Y63" s="994">
        <f t="shared" si="63"/>
        <v>4.1858695192592277E-3</v>
      </c>
      <c r="Z63" s="994">
        <f t="shared" si="63"/>
        <v>4.9069129744551887E-3</v>
      </c>
      <c r="AA63" s="995">
        <f t="shared" ref="AA63:AF63" si="64">Z63</f>
        <v>4.9069129744551887E-3</v>
      </c>
      <c r="AB63" s="995">
        <f t="shared" si="64"/>
        <v>4.9069129744551887E-3</v>
      </c>
      <c r="AC63" s="995">
        <f t="shared" si="64"/>
        <v>4.9069129744551887E-3</v>
      </c>
      <c r="AD63" s="995">
        <f t="shared" si="64"/>
        <v>4.9069129744551887E-3</v>
      </c>
      <c r="AE63" s="995">
        <f t="shared" si="64"/>
        <v>4.9069129744551887E-3</v>
      </c>
      <c r="AF63" s="995">
        <f t="shared" si="64"/>
        <v>4.9069129744551887E-3</v>
      </c>
      <c r="AG63" s="1433"/>
      <c r="AH63" s="180"/>
      <c r="AI63" s="180"/>
      <c r="AJ63" s="180"/>
      <c r="AK63" s="180"/>
      <c r="AL63" s="180"/>
      <c r="AM63" s="180"/>
    </row>
    <row r="64" spans="1:39">
      <c r="A64" s="1087" t="s">
        <v>1644</v>
      </c>
      <c r="B64" s="376"/>
      <c r="C64" s="376"/>
      <c r="D64" s="376"/>
      <c r="E64" s="376"/>
      <c r="F64" s="376"/>
      <c r="G64" s="376"/>
      <c r="H64" s="1088">
        <f t="shared" ref="H64:O64" si="65">H41+H43+H45+H47+H49+H51+H53+H55+H58+H60</f>
        <v>-186</v>
      </c>
      <c r="I64" s="1088">
        <f t="shared" si="65"/>
        <v>129</v>
      </c>
      <c r="J64" s="1088">
        <f t="shared" si="65"/>
        <v>603</v>
      </c>
      <c r="K64" s="1088">
        <f t="shared" si="65"/>
        <v>629</v>
      </c>
      <c r="L64" s="1088">
        <f t="shared" si="65"/>
        <v>951</v>
      </c>
      <c r="M64" s="1088">
        <f t="shared" si="65"/>
        <v>864</v>
      </c>
      <c r="N64" s="1088">
        <f t="shared" si="65"/>
        <v>1243</v>
      </c>
      <c r="O64" s="1088">
        <f t="shared" si="65"/>
        <v>1295</v>
      </c>
      <c r="P64" s="1088">
        <f t="shared" ref="P64:AF64" si="66">P41+P43+P45+P47+P49+P51+P53+P55+P58+P60+P62</f>
        <v>1500</v>
      </c>
      <c r="Q64" s="1088">
        <f t="shared" si="66"/>
        <v>2854</v>
      </c>
      <c r="R64" s="1088">
        <f t="shared" si="66"/>
        <v>2990</v>
      </c>
      <c r="S64" s="1088">
        <f t="shared" si="66"/>
        <v>2518</v>
      </c>
      <c r="T64" s="1088">
        <f t="shared" si="66"/>
        <v>2280</v>
      </c>
      <c r="U64" s="1088">
        <f t="shared" si="66"/>
        <v>3824</v>
      </c>
      <c r="V64" s="1088">
        <f t="shared" si="66"/>
        <v>1393</v>
      </c>
      <c r="W64" s="1088">
        <f t="shared" si="66"/>
        <v>1269</v>
      </c>
      <c r="X64" s="1088">
        <f t="shared" si="66"/>
        <v>2493</v>
      </c>
      <c r="Y64" s="1088">
        <f t="shared" si="66"/>
        <v>3309</v>
      </c>
      <c r="Z64" s="1088">
        <f t="shared" si="66"/>
        <v>4186</v>
      </c>
      <c r="AA64" s="1088">
        <f t="shared" si="66"/>
        <v>5217.0942807667525</v>
      </c>
      <c r="AB64" s="1088">
        <f t="shared" si="66"/>
        <v>6143.363786419126</v>
      </c>
      <c r="AC64" s="1088">
        <f t="shared" si="66"/>
        <v>6980.0221694088314</v>
      </c>
      <c r="AD64" s="1088">
        <f t="shared" si="66"/>
        <v>7702.6228418575593</v>
      </c>
      <c r="AE64" s="1088">
        <f t="shared" si="66"/>
        <v>8235.9280636556377</v>
      </c>
      <c r="AF64" s="1088">
        <f t="shared" si="66"/>
        <v>8787.0464606278074</v>
      </c>
      <c r="AG64" s="1433"/>
      <c r="AH64" s="180"/>
      <c r="AI64" s="180"/>
      <c r="AJ64" s="180"/>
      <c r="AK64" s="180"/>
      <c r="AL64" s="180"/>
      <c r="AM64" s="180"/>
    </row>
    <row r="65" spans="1:39">
      <c r="A65" s="1102" t="s">
        <v>1643</v>
      </c>
      <c r="B65" s="180"/>
      <c r="C65" s="180"/>
      <c r="D65" s="180"/>
      <c r="E65" s="180"/>
      <c r="F65" s="180"/>
      <c r="G65" s="180"/>
      <c r="H65" s="223"/>
      <c r="I65" s="223"/>
      <c r="J65" s="223"/>
      <c r="K65" s="223"/>
      <c r="L65" s="223"/>
      <c r="M65" s="223"/>
      <c r="N65" s="223"/>
      <c r="O65" s="223"/>
      <c r="P65" s="223"/>
      <c r="Q65" s="996">
        <f t="shared" ref="Q65:V65" si="67">Q64/Q$41</f>
        <v>0.17593391690297128</v>
      </c>
      <c r="R65" s="996">
        <f t="shared" si="67"/>
        <v>0.18141002305545442</v>
      </c>
      <c r="S65" s="996">
        <f t="shared" si="67"/>
        <v>0.15376160234489497</v>
      </c>
      <c r="T65" s="996">
        <f t="shared" si="67"/>
        <v>0.1084423305588585</v>
      </c>
      <c r="U65" s="996">
        <f t="shared" si="67"/>
        <v>0.15236273806677822</v>
      </c>
      <c r="V65" s="996">
        <f t="shared" si="67"/>
        <v>8.3759244783837408E-2</v>
      </c>
      <c r="W65" s="996">
        <f t="shared" ref="W65:AF65" si="68">W64/W$41</f>
        <v>8.3856472609528845E-2</v>
      </c>
      <c r="X65" s="996">
        <f t="shared" si="68"/>
        <v>0.12769553859550273</v>
      </c>
      <c r="Y65" s="996">
        <f t="shared" si="68"/>
        <v>0.13990951756796752</v>
      </c>
      <c r="Z65" s="996">
        <f t="shared" si="68"/>
        <v>0.15103189493433397</v>
      </c>
      <c r="AA65" s="997">
        <f t="shared" si="68"/>
        <v>0.16532514496015541</v>
      </c>
      <c r="AB65" s="997">
        <f t="shared" si="68"/>
        <v>0.17230633317009142</v>
      </c>
      <c r="AC65" s="997">
        <f t="shared" si="68"/>
        <v>0.17791408826088512</v>
      </c>
      <c r="AD65" s="997">
        <f t="shared" si="68"/>
        <v>0.18217222296608473</v>
      </c>
      <c r="AE65" s="997">
        <f t="shared" si="68"/>
        <v>0.18457660038813201</v>
      </c>
      <c r="AF65" s="997">
        <f t="shared" si="68"/>
        <v>0.18780930494584971</v>
      </c>
      <c r="AG65" s="1433"/>
      <c r="AH65" s="180"/>
      <c r="AI65" s="180"/>
      <c r="AJ65" s="180"/>
      <c r="AK65" s="180"/>
      <c r="AL65" s="180"/>
      <c r="AM65" s="180"/>
    </row>
    <row r="66" spans="1:39" outlineLevel="1">
      <c r="A66" s="286" t="s">
        <v>1556</v>
      </c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256"/>
      <c r="R66" s="256">
        <v>-722</v>
      </c>
      <c r="S66" s="256">
        <v>-463</v>
      </c>
      <c r="T66" s="256">
        <v>11</v>
      </c>
      <c r="U66" s="256">
        <v>-449</v>
      </c>
      <c r="V66" s="256">
        <v>-134</v>
      </c>
      <c r="W66" s="256">
        <v>136</v>
      </c>
      <c r="X66" s="256">
        <v>-478</v>
      </c>
      <c r="Y66" s="256">
        <v>-455</v>
      </c>
      <c r="Z66" s="256">
        <v>-404</v>
      </c>
      <c r="AA66" s="256"/>
      <c r="AB66" s="256"/>
      <c r="AC66" s="256"/>
      <c r="AD66" s="256"/>
      <c r="AE66" s="256"/>
      <c r="AF66" s="256"/>
      <c r="AG66" s="1472"/>
      <c r="AH66" s="180"/>
      <c r="AI66" s="180"/>
      <c r="AJ66" s="180"/>
      <c r="AK66" s="180"/>
      <c r="AL66" s="180"/>
      <c r="AM66" s="180"/>
    </row>
    <row r="67" spans="1:39" outlineLevel="1">
      <c r="A67" s="286" t="s">
        <v>1557</v>
      </c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256"/>
      <c r="R67" s="256">
        <v>10</v>
      </c>
      <c r="S67" s="256">
        <v>7</v>
      </c>
      <c r="T67" s="256">
        <v>-2</v>
      </c>
      <c r="U67" s="256">
        <v>-1</v>
      </c>
      <c r="V67" s="256">
        <v>5</v>
      </c>
      <c r="W67" s="256">
        <v>5</v>
      </c>
      <c r="X67" s="256">
        <v>3</v>
      </c>
      <c r="Y67" s="256">
        <v>-7</v>
      </c>
      <c r="Z67" s="256">
        <v>10</v>
      </c>
      <c r="AA67" s="256"/>
      <c r="AB67" s="256"/>
      <c r="AC67" s="256"/>
      <c r="AD67" s="256"/>
      <c r="AE67" s="256"/>
      <c r="AF67" s="256"/>
      <c r="AG67" s="1433"/>
      <c r="AH67" s="180"/>
      <c r="AI67" s="180"/>
      <c r="AJ67" s="180"/>
      <c r="AK67" s="180"/>
      <c r="AL67" s="180"/>
      <c r="AM67" s="180"/>
    </row>
    <row r="68" spans="1:39" s="992" customFormat="1" ht="15" outlineLevel="1">
      <c r="A68" s="286" t="s">
        <v>1558</v>
      </c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256"/>
      <c r="R68" s="256">
        <v>70</v>
      </c>
      <c r="S68" s="256">
        <v>67</v>
      </c>
      <c r="T68" s="256">
        <v>56</v>
      </c>
      <c r="U68" s="256">
        <v>51</v>
      </c>
      <c r="V68" s="256">
        <v>46</v>
      </c>
      <c r="W68" s="256">
        <v>39</v>
      </c>
      <c r="X68" s="256">
        <v>38</v>
      </c>
      <c r="Y68" s="256">
        <v>38</v>
      </c>
      <c r="Z68" s="256">
        <v>41</v>
      </c>
      <c r="AA68" s="256"/>
      <c r="AB68" s="256"/>
      <c r="AC68" s="256"/>
      <c r="AD68" s="256"/>
      <c r="AE68" s="256"/>
      <c r="AF68" s="256"/>
      <c r="AG68" s="1436"/>
      <c r="AH68" s="57"/>
      <c r="AI68" s="57"/>
      <c r="AJ68" s="57"/>
      <c r="AK68" s="57"/>
      <c r="AL68" s="57"/>
      <c r="AM68" s="57"/>
    </row>
    <row r="69" spans="1:39" outlineLevel="1">
      <c r="A69" s="286" t="s">
        <v>1559</v>
      </c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256"/>
      <c r="R69" s="256">
        <v>56</v>
      </c>
      <c r="S69" s="256">
        <v>63</v>
      </c>
      <c r="T69" s="256">
        <v>678</v>
      </c>
      <c r="U69" s="256">
        <v>395</v>
      </c>
      <c r="V69" s="256">
        <v>376</v>
      </c>
      <c r="W69" s="256">
        <v>356</v>
      </c>
      <c r="X69" s="256">
        <v>352</v>
      </c>
      <c r="Y69" s="256">
        <v>281</v>
      </c>
      <c r="Z69" s="256">
        <v>286</v>
      </c>
      <c r="AA69" s="256"/>
      <c r="AB69" s="256"/>
      <c r="AC69" s="256"/>
      <c r="AD69" s="256"/>
      <c r="AE69" s="256"/>
      <c r="AF69" s="256"/>
      <c r="AG69" s="1433"/>
      <c r="AH69" s="180"/>
      <c r="AI69" s="180"/>
      <c r="AJ69" s="180"/>
      <c r="AK69" s="180"/>
      <c r="AL69" s="180"/>
      <c r="AM69" s="180"/>
    </row>
    <row r="70" spans="1:39">
      <c r="A70" s="1087" t="s">
        <v>1645</v>
      </c>
      <c r="B70" s="376"/>
      <c r="C70" s="376"/>
      <c r="D70" s="376"/>
      <c r="E70" s="376"/>
      <c r="F70" s="376"/>
      <c r="G70" s="376"/>
      <c r="H70" s="1087"/>
      <c r="I70" s="1087"/>
      <c r="J70" s="1087"/>
      <c r="K70" s="1089"/>
      <c r="L70" s="1089"/>
      <c r="M70" s="1089"/>
      <c r="N70" s="1089"/>
      <c r="O70" s="1090"/>
      <c r="P70" s="1090"/>
      <c r="Q70" s="1090"/>
      <c r="R70" s="1090">
        <f t="shared" ref="R70:AF70" si="69">R64+SUM(R66:R69)</f>
        <v>2404</v>
      </c>
      <c r="S70" s="1090">
        <f t="shared" si="69"/>
        <v>2192</v>
      </c>
      <c r="T70" s="1090">
        <f t="shared" si="69"/>
        <v>3023</v>
      </c>
      <c r="U70" s="1090">
        <f t="shared" si="69"/>
        <v>3820</v>
      </c>
      <c r="V70" s="1090">
        <f t="shared" si="69"/>
        <v>1686</v>
      </c>
      <c r="W70" s="1090">
        <f t="shared" si="69"/>
        <v>1805</v>
      </c>
      <c r="X70" s="1090">
        <f t="shared" si="69"/>
        <v>2408</v>
      </c>
      <c r="Y70" s="1090">
        <f t="shared" si="69"/>
        <v>3166</v>
      </c>
      <c r="Z70" s="1090">
        <f t="shared" si="69"/>
        <v>4119</v>
      </c>
      <c r="AA70" s="1090">
        <f t="shared" si="69"/>
        <v>5217.0942807667525</v>
      </c>
      <c r="AB70" s="1090">
        <f t="shared" si="69"/>
        <v>6143.363786419126</v>
      </c>
      <c r="AC70" s="1090">
        <f t="shared" si="69"/>
        <v>6980.0221694088314</v>
      </c>
      <c r="AD70" s="1090">
        <f t="shared" si="69"/>
        <v>7702.6228418575593</v>
      </c>
      <c r="AE70" s="1090">
        <f t="shared" si="69"/>
        <v>8235.9280636556377</v>
      </c>
      <c r="AF70" s="1090">
        <f t="shared" si="69"/>
        <v>8787.0464606278074</v>
      </c>
      <c r="AG70" s="1433"/>
      <c r="AH70" s="180"/>
      <c r="AI70" s="180"/>
      <c r="AJ70" s="180"/>
      <c r="AK70" s="180"/>
      <c r="AL70" s="180"/>
      <c r="AM70" s="180"/>
    </row>
    <row r="71" spans="1:39" s="1003" customFormat="1">
      <c r="A71" s="1123" t="s">
        <v>1646</v>
      </c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1121">
        <f t="shared" ref="Q71:AF71" si="70">Q70/Q39</f>
        <v>0</v>
      </c>
      <c r="R71" s="1121">
        <f t="shared" si="70"/>
        <v>0.15233508649641975</v>
      </c>
      <c r="S71" s="1121">
        <f t="shared" si="70"/>
        <v>0.13740362314298252</v>
      </c>
      <c r="T71" s="1121">
        <f t="shared" si="70"/>
        <v>0.14361045130641331</v>
      </c>
      <c r="U71" s="1121">
        <f t="shared" si="70"/>
        <v>0.15503246753246752</v>
      </c>
      <c r="V71" s="1121">
        <f t="shared" si="70"/>
        <v>0.10219420535822524</v>
      </c>
      <c r="W71" s="1121">
        <f t="shared" si="70"/>
        <v>0.11830635118306351</v>
      </c>
      <c r="X71" s="1121">
        <f t="shared" si="70"/>
        <v>0.12650380877331233</v>
      </c>
      <c r="Y71" s="1121">
        <f t="shared" si="70"/>
        <v>0.13647139962929436</v>
      </c>
      <c r="Z71" s="1121">
        <f t="shared" si="70"/>
        <v>0.15078522531756783</v>
      </c>
      <c r="AA71" s="1121">
        <f t="shared" si="70"/>
        <v>0.16532514496015541</v>
      </c>
      <c r="AB71" s="1121">
        <f t="shared" si="70"/>
        <v>0.17230633317009142</v>
      </c>
      <c r="AC71" s="1121">
        <f t="shared" si="70"/>
        <v>0.17791408826088512</v>
      </c>
      <c r="AD71" s="1121">
        <f t="shared" si="70"/>
        <v>0.18217222296608473</v>
      </c>
      <c r="AE71" s="1121">
        <f t="shared" si="70"/>
        <v>0.18457660038813201</v>
      </c>
      <c r="AF71" s="1121">
        <f t="shared" si="70"/>
        <v>0.18780930494584971</v>
      </c>
      <c r="AG71" s="1473"/>
      <c r="AH71" s="312"/>
      <c r="AI71" s="312"/>
      <c r="AJ71" s="312"/>
      <c r="AK71" s="312"/>
      <c r="AL71" s="312"/>
      <c r="AM71" s="312"/>
    </row>
    <row r="72" spans="1:39">
      <c r="A72" s="19" t="s">
        <v>884</v>
      </c>
      <c r="B72" s="180"/>
      <c r="C72" s="180"/>
      <c r="D72" s="180"/>
      <c r="E72" s="180"/>
      <c r="F72" s="180"/>
      <c r="G72" s="180"/>
      <c r="H72" s="19"/>
      <c r="I72" s="19"/>
      <c r="J72" s="19"/>
      <c r="K72" s="224">
        <v>-35</v>
      </c>
      <c r="L72" s="224">
        <v>-13</v>
      </c>
      <c r="M72" s="224">
        <v>-29</v>
      </c>
      <c r="N72" s="224">
        <v>-56</v>
      </c>
      <c r="O72" s="224">
        <v>185</v>
      </c>
      <c r="P72" s="224">
        <v>-107</v>
      </c>
      <c r="Q72" s="224">
        <v>-778</v>
      </c>
      <c r="R72" s="224">
        <v>349</v>
      </c>
      <c r="S72" s="224">
        <v>-90</v>
      </c>
      <c r="T72" s="224">
        <v>-115</v>
      </c>
      <c r="U72" s="224">
        <v>13</v>
      </c>
      <c r="V72" s="224">
        <v>-466</v>
      </c>
      <c r="W72" s="224">
        <v>-405</v>
      </c>
      <c r="X72" s="224">
        <v>-450</v>
      </c>
      <c r="Y72" s="224">
        <v>-511</v>
      </c>
      <c r="Z72" s="224">
        <v>6</v>
      </c>
      <c r="AA72" s="224">
        <v>0</v>
      </c>
      <c r="AB72" s="224">
        <v>0</v>
      </c>
      <c r="AC72" s="224">
        <v>0</v>
      </c>
      <c r="AD72" s="224">
        <v>0</v>
      </c>
      <c r="AE72" s="224">
        <v>0</v>
      </c>
      <c r="AF72" s="224">
        <v>0</v>
      </c>
      <c r="AG72" s="1433"/>
      <c r="AH72" s="180"/>
      <c r="AI72" s="180"/>
      <c r="AJ72" s="180"/>
      <c r="AK72" s="180"/>
      <c r="AL72" s="180"/>
      <c r="AM72" s="180"/>
    </row>
    <row r="73" spans="1:39">
      <c r="A73" s="1087" t="s">
        <v>1656</v>
      </c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1088">
        <f t="shared" ref="P73:Y73" si="71">P64+P72</f>
        <v>1393</v>
      </c>
      <c r="Q73" s="1088">
        <f t="shared" si="71"/>
        <v>2076</v>
      </c>
      <c r="R73" s="1088">
        <f t="shared" si="71"/>
        <v>3339</v>
      </c>
      <c r="S73" s="1088">
        <f t="shared" si="71"/>
        <v>2428</v>
      </c>
      <c r="T73" s="1088">
        <f t="shared" si="71"/>
        <v>2165</v>
      </c>
      <c r="U73" s="1088">
        <f t="shared" si="71"/>
        <v>3837</v>
      </c>
      <c r="V73" s="1088">
        <f t="shared" si="71"/>
        <v>927</v>
      </c>
      <c r="W73" s="1088">
        <f t="shared" si="71"/>
        <v>864</v>
      </c>
      <c r="X73" s="1088">
        <f t="shared" si="71"/>
        <v>2043</v>
      </c>
      <c r="Y73" s="1088">
        <f t="shared" si="71"/>
        <v>2798</v>
      </c>
      <c r="Z73" s="1088">
        <f>Z64+Z72</f>
        <v>4192</v>
      </c>
      <c r="AA73" s="1088">
        <f t="shared" ref="AA73:AF73" si="72">AA64+AA72</f>
        <v>5217.0942807667525</v>
      </c>
      <c r="AB73" s="1088">
        <f t="shared" si="72"/>
        <v>6143.363786419126</v>
      </c>
      <c r="AC73" s="1088">
        <f t="shared" si="72"/>
        <v>6980.0221694088314</v>
      </c>
      <c r="AD73" s="1088">
        <f t="shared" si="72"/>
        <v>7702.6228418575593</v>
      </c>
      <c r="AE73" s="1088">
        <f t="shared" si="72"/>
        <v>8235.9280636556377</v>
      </c>
      <c r="AF73" s="1088">
        <f t="shared" si="72"/>
        <v>8787.0464606278074</v>
      </c>
      <c r="AG73" s="1433"/>
      <c r="AH73" s="180"/>
      <c r="AI73" s="180"/>
      <c r="AJ73" s="180"/>
      <c r="AK73" s="180"/>
      <c r="AL73" s="180"/>
      <c r="AM73" s="180"/>
    </row>
    <row r="74" spans="1:39">
      <c r="A74" s="1087" t="s">
        <v>1421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1088"/>
      <c r="Q74" s="1088"/>
      <c r="R74" s="1088">
        <f t="shared" ref="R74:W74" si="73">R70+R72</f>
        <v>2753</v>
      </c>
      <c r="S74" s="1088">
        <f t="shared" si="73"/>
        <v>2102</v>
      </c>
      <c r="T74" s="1088">
        <f t="shared" si="73"/>
        <v>2908</v>
      </c>
      <c r="U74" s="1088">
        <f t="shared" si="73"/>
        <v>3833</v>
      </c>
      <c r="V74" s="1088">
        <f t="shared" si="73"/>
        <v>1220</v>
      </c>
      <c r="W74" s="1088">
        <f t="shared" si="73"/>
        <v>1400</v>
      </c>
      <c r="X74" s="1088">
        <f t="shared" ref="X74:AF74" si="74">X70+X72</f>
        <v>1958</v>
      </c>
      <c r="Y74" s="1088">
        <f t="shared" si="74"/>
        <v>2655</v>
      </c>
      <c r="Z74" s="1088">
        <f t="shared" si="74"/>
        <v>4125</v>
      </c>
      <c r="AA74" s="1088">
        <f t="shared" si="74"/>
        <v>5217.0942807667525</v>
      </c>
      <c r="AB74" s="1088">
        <f t="shared" si="74"/>
        <v>6143.363786419126</v>
      </c>
      <c r="AC74" s="1088">
        <f t="shared" si="74"/>
        <v>6980.0221694088314</v>
      </c>
      <c r="AD74" s="1088">
        <f t="shared" si="74"/>
        <v>7702.6228418575593</v>
      </c>
      <c r="AE74" s="1088">
        <f t="shared" si="74"/>
        <v>8235.9280636556377</v>
      </c>
      <c r="AF74" s="1088">
        <f t="shared" si="74"/>
        <v>8787.0464606278074</v>
      </c>
      <c r="AG74" s="1433"/>
      <c r="AH74" s="226"/>
      <c r="AI74" s="226"/>
      <c r="AJ74" s="226"/>
      <c r="AK74" s="226"/>
      <c r="AL74" s="180"/>
      <c r="AM74" s="180"/>
    </row>
    <row r="75" spans="1:39" s="992" customFormat="1" ht="15">
      <c r="A75" s="181" t="s">
        <v>883</v>
      </c>
      <c r="B75" s="57"/>
      <c r="C75" s="57"/>
      <c r="D75" s="57"/>
      <c r="E75" s="57"/>
      <c r="F75" s="57"/>
      <c r="G75" s="57"/>
      <c r="H75" s="234">
        <f t="shared" ref="H75:N75" si="75">H76+H77+H78</f>
        <v>312</v>
      </c>
      <c r="I75" s="234">
        <f t="shared" si="75"/>
        <v>34</v>
      </c>
      <c r="J75" s="234">
        <f t="shared" si="75"/>
        <v>-716</v>
      </c>
      <c r="K75" s="234">
        <f t="shared" si="75"/>
        <v>296</v>
      </c>
      <c r="L75" s="234">
        <f t="shared" si="75"/>
        <v>-703</v>
      </c>
      <c r="M75" s="234">
        <f t="shared" si="75"/>
        <v>-150</v>
      </c>
      <c r="N75" s="234">
        <f t="shared" si="75"/>
        <v>533</v>
      </c>
      <c r="O75" s="234">
        <f t="shared" ref="O75:AF75" si="76">SUM(O76:O78)</f>
        <v>439</v>
      </c>
      <c r="P75" s="234">
        <f t="shared" si="76"/>
        <v>-1771</v>
      </c>
      <c r="Q75" s="234">
        <f t="shared" si="76"/>
        <v>-3408</v>
      </c>
      <c r="R75" s="234">
        <f t="shared" si="76"/>
        <v>-1052</v>
      </c>
      <c r="S75" s="234">
        <f t="shared" si="76"/>
        <v>3012</v>
      </c>
      <c r="T75" s="234">
        <f t="shared" si="76"/>
        <v>-476</v>
      </c>
      <c r="U75" s="234">
        <f t="shared" si="76"/>
        <v>-363</v>
      </c>
      <c r="V75" s="234">
        <f t="shared" si="76"/>
        <v>-357</v>
      </c>
      <c r="W75" s="234">
        <f t="shared" si="76"/>
        <v>-596</v>
      </c>
      <c r="X75" s="234">
        <f t="shared" si="76"/>
        <v>-5163</v>
      </c>
      <c r="Y75" s="234">
        <f t="shared" si="76"/>
        <v>1958</v>
      </c>
      <c r="Z75" s="234">
        <f t="shared" si="76"/>
        <v>-5051</v>
      </c>
      <c r="AA75" s="998">
        <f t="shared" si="76"/>
        <v>113.98500000000001</v>
      </c>
      <c r="AB75" s="998">
        <f t="shared" si="76"/>
        <v>128.5245970689017</v>
      </c>
      <c r="AC75" s="998">
        <f t="shared" si="76"/>
        <v>148.70104984327952</v>
      </c>
      <c r="AD75" s="998">
        <f t="shared" si="76"/>
        <v>175.34642134960728</v>
      </c>
      <c r="AE75" s="998">
        <f t="shared" si="76"/>
        <v>204.65437767661587</v>
      </c>
      <c r="AF75" s="998">
        <f t="shared" si="76"/>
        <v>251.72900097228268</v>
      </c>
      <c r="AG75" s="1436"/>
      <c r="AH75" s="57"/>
      <c r="AI75" s="57"/>
      <c r="AJ75" s="57"/>
      <c r="AK75" s="57"/>
      <c r="AL75" s="57"/>
      <c r="AM75" s="57"/>
    </row>
    <row r="76" spans="1:39" s="992" customFormat="1" ht="15">
      <c r="A76" s="249" t="s">
        <v>1580</v>
      </c>
      <c r="B76" s="180"/>
      <c r="C76" s="180"/>
      <c r="D76" s="180"/>
      <c r="E76" s="180"/>
      <c r="F76" s="180"/>
      <c r="G76" s="180"/>
      <c r="H76" s="224">
        <v>-22</v>
      </c>
      <c r="I76" s="224">
        <v>-10</v>
      </c>
      <c r="J76" s="224">
        <v>-19</v>
      </c>
      <c r="K76" s="224">
        <v>-38</v>
      </c>
      <c r="L76" s="224">
        <v>-36</v>
      </c>
      <c r="M76" s="224">
        <v>-42</v>
      </c>
      <c r="N76" s="224">
        <v>-54</v>
      </c>
      <c r="O76" s="224">
        <v>-42</v>
      </c>
      <c r="P76" s="224">
        <v>-42</v>
      </c>
      <c r="Q76" s="224">
        <v>-29</v>
      </c>
      <c r="R76" s="224">
        <v>-51</v>
      </c>
      <c r="S76" s="224">
        <v>-57</v>
      </c>
      <c r="T76" s="224">
        <v>-67</v>
      </c>
      <c r="U76" s="224">
        <v>-33</v>
      </c>
      <c r="V76" s="224">
        <v>-58</v>
      </c>
      <c r="W76" s="224">
        <v>-85</v>
      </c>
      <c r="X76" s="224">
        <v>-56</v>
      </c>
      <c r="Y76" s="224">
        <v>112</v>
      </c>
      <c r="Z76" s="224">
        <v>157</v>
      </c>
      <c r="AA76" s="1184">
        <f>AA120</f>
        <v>113.98500000000001</v>
      </c>
      <c r="AB76" s="255">
        <f>AB120</f>
        <v>128.5245970689017</v>
      </c>
      <c r="AC76" s="255">
        <f t="shared" ref="AC76:AF76" si="77">AC120</f>
        <v>148.70104984327952</v>
      </c>
      <c r="AD76" s="255">
        <f t="shared" si="77"/>
        <v>175.34642134960728</v>
      </c>
      <c r="AE76" s="255">
        <f t="shared" si="77"/>
        <v>204.65437767661587</v>
      </c>
      <c r="AF76" s="255">
        <f t="shared" si="77"/>
        <v>251.72900097228268</v>
      </c>
      <c r="AG76" s="1436"/>
      <c r="AH76" s="57"/>
      <c r="AI76" s="57"/>
      <c r="AJ76" s="57"/>
      <c r="AK76" s="57"/>
      <c r="AL76" s="57"/>
      <c r="AM76" s="57"/>
    </row>
    <row r="77" spans="1:39">
      <c r="A77" s="249" t="s">
        <v>753</v>
      </c>
      <c r="B77" s="180"/>
      <c r="C77" s="180"/>
      <c r="D77" s="180"/>
      <c r="E77" s="180"/>
      <c r="F77" s="180"/>
      <c r="G77" s="180"/>
      <c r="H77" s="224"/>
      <c r="I77" s="224"/>
      <c r="J77" s="224"/>
      <c r="K77" s="224">
        <v>479</v>
      </c>
      <c r="L77" s="224">
        <v>-531</v>
      </c>
      <c r="M77" s="224">
        <v>19</v>
      </c>
      <c r="N77" s="224">
        <v>709</v>
      </c>
      <c r="O77" s="224">
        <v>551</v>
      </c>
      <c r="P77" s="224">
        <v>-1654</v>
      </c>
      <c r="Q77" s="224">
        <v>-3270</v>
      </c>
      <c r="R77" s="224">
        <v>-943</v>
      </c>
      <c r="S77" s="224">
        <v>3071</v>
      </c>
      <c r="T77" s="224">
        <v>-351</v>
      </c>
      <c r="U77" s="224">
        <v>-283</v>
      </c>
      <c r="V77" s="224">
        <v>-257</v>
      </c>
      <c r="W77" s="224">
        <v>-497</v>
      </c>
      <c r="X77" s="224">
        <v>-5072</v>
      </c>
      <c r="Y77" s="224">
        <v>1850</v>
      </c>
      <c r="Z77" s="224">
        <v>-5180</v>
      </c>
      <c r="AA77" s="4"/>
      <c r="AB77" s="4"/>
      <c r="AC77" s="4"/>
      <c r="AD77" s="4"/>
      <c r="AE77" s="4"/>
      <c r="AF77" s="4"/>
      <c r="AG77" s="1433"/>
      <c r="AH77" s="180"/>
      <c r="AI77" s="180"/>
      <c r="AJ77" s="180"/>
      <c r="AK77" s="180"/>
      <c r="AL77" s="180"/>
      <c r="AM77" s="180"/>
    </row>
    <row r="78" spans="1:39">
      <c r="A78" s="249" t="s">
        <v>752</v>
      </c>
      <c r="B78" s="180"/>
      <c r="C78" s="180"/>
      <c r="D78" s="180"/>
      <c r="E78" s="180"/>
      <c r="F78" s="180"/>
      <c r="G78" s="180"/>
      <c r="H78" s="224">
        <v>334</v>
      </c>
      <c r="I78" s="224">
        <v>44</v>
      </c>
      <c r="J78" s="224">
        <v>-697</v>
      </c>
      <c r="K78" s="224">
        <v>-145</v>
      </c>
      <c r="L78" s="224">
        <v>-136</v>
      </c>
      <c r="M78" s="224">
        <v>-127</v>
      </c>
      <c r="N78" s="224">
        <v>-122</v>
      </c>
      <c r="O78" s="224">
        <v>-70</v>
      </c>
      <c r="P78" s="224">
        <v>-75</v>
      </c>
      <c r="Q78" s="224">
        <v>-109</v>
      </c>
      <c r="R78" s="224">
        <v>-58</v>
      </c>
      <c r="S78" s="224">
        <v>-2</v>
      </c>
      <c r="T78" s="224">
        <v>-58</v>
      </c>
      <c r="U78" s="224">
        <v>-47</v>
      </c>
      <c r="V78" s="224">
        <v>-42</v>
      </c>
      <c r="W78" s="224">
        <v>-14</v>
      </c>
      <c r="X78" s="224">
        <v>-35</v>
      </c>
      <c r="Y78" s="224">
        <v>-4</v>
      </c>
      <c r="Z78" s="224">
        <v>-28</v>
      </c>
      <c r="AA78" s="4"/>
      <c r="AB78" s="4"/>
      <c r="AC78" s="4"/>
      <c r="AD78" s="4"/>
      <c r="AE78" s="4"/>
      <c r="AF78" s="4"/>
      <c r="AG78" s="1433"/>
      <c r="AH78" s="180"/>
      <c r="AI78" s="180"/>
      <c r="AJ78" s="180"/>
      <c r="AK78" s="180"/>
      <c r="AL78" s="180"/>
      <c r="AM78" s="180"/>
    </row>
    <row r="79" spans="1:39" s="992" customFormat="1" ht="15">
      <c r="A79" s="181" t="s">
        <v>1562</v>
      </c>
      <c r="B79" s="318"/>
      <c r="C79" s="318"/>
      <c r="D79" s="318"/>
      <c r="E79" s="318"/>
      <c r="F79" s="318"/>
      <c r="G79" s="318"/>
      <c r="H79" s="996"/>
      <c r="I79" s="996"/>
      <c r="J79" s="996"/>
      <c r="K79" s="996"/>
      <c r="L79" s="996"/>
      <c r="M79" s="996"/>
      <c r="N79" s="996"/>
      <c r="O79" s="996"/>
      <c r="P79" s="996"/>
      <c r="Q79" s="996"/>
      <c r="R79" s="236">
        <v>-144</v>
      </c>
      <c r="S79" s="236">
        <v>7</v>
      </c>
      <c r="T79" s="236">
        <v>-211</v>
      </c>
      <c r="U79" s="236">
        <v>-89</v>
      </c>
      <c r="V79" s="236">
        <v>-7</v>
      </c>
      <c r="W79" s="234">
        <f>W75+SUM(W80:W81)</f>
        <v>-204</v>
      </c>
      <c r="X79" s="234">
        <f>X75+SUM(X80:X81)</f>
        <v>-186</v>
      </c>
      <c r="Y79" s="234">
        <f>Y75+SUM(Y80:Y81)</f>
        <v>174</v>
      </c>
      <c r="Z79" s="234">
        <f>Z75+SUM(Z80:Z81)</f>
        <v>23</v>
      </c>
      <c r="AA79" s="234">
        <f t="shared" ref="AA79:AF79" si="78">AA75+SUM(AA80:AA81)</f>
        <v>113.98500000000001</v>
      </c>
      <c r="AB79" s="234">
        <f t="shared" si="78"/>
        <v>128.5245970689017</v>
      </c>
      <c r="AC79" s="234">
        <f t="shared" si="78"/>
        <v>148.70104984327952</v>
      </c>
      <c r="AD79" s="234">
        <f t="shared" si="78"/>
        <v>175.34642134960728</v>
      </c>
      <c r="AE79" s="234">
        <f t="shared" si="78"/>
        <v>204.65437767661587</v>
      </c>
      <c r="AF79" s="234">
        <f t="shared" si="78"/>
        <v>251.72900097228268</v>
      </c>
      <c r="AG79" s="1436"/>
      <c r="AH79" s="57"/>
      <c r="AI79" s="57"/>
      <c r="AJ79" s="57"/>
      <c r="AK79" s="57"/>
      <c r="AL79" s="57"/>
      <c r="AM79" s="57"/>
    </row>
    <row r="80" spans="1:39" outlineLevel="1">
      <c r="A80" s="286" t="s">
        <v>1556</v>
      </c>
      <c r="B80" s="318"/>
      <c r="C80" s="318"/>
      <c r="D80" s="318"/>
      <c r="E80" s="318"/>
      <c r="F80" s="318"/>
      <c r="G80" s="318"/>
      <c r="H80" s="996"/>
      <c r="I80" s="996"/>
      <c r="J80" s="996"/>
      <c r="K80" s="996"/>
      <c r="L80" s="996"/>
      <c r="M80" s="996"/>
      <c r="N80" s="996"/>
      <c r="O80" s="996"/>
      <c r="P80" s="996"/>
      <c r="Q80" s="996"/>
      <c r="R80" s="996"/>
      <c r="S80" s="996"/>
      <c r="T80" s="996"/>
      <c r="U80" s="996"/>
      <c r="V80" s="996"/>
      <c r="W80" s="224">
        <v>-136</v>
      </c>
      <c r="X80" s="224">
        <v>478</v>
      </c>
      <c r="Y80" s="224">
        <v>455</v>
      </c>
      <c r="Z80" s="224">
        <v>404</v>
      </c>
      <c r="AA80" s="997"/>
      <c r="AB80" s="997"/>
      <c r="AC80" s="997"/>
      <c r="AD80" s="997"/>
      <c r="AE80" s="997"/>
      <c r="AF80" s="997"/>
      <c r="AG80" s="1433"/>
      <c r="AH80" s="180"/>
      <c r="AI80" s="180"/>
      <c r="AJ80" s="180"/>
      <c r="AK80" s="180"/>
      <c r="AL80" s="180"/>
      <c r="AM80" s="180"/>
    </row>
    <row r="81" spans="1:39" outlineLevel="1">
      <c r="A81" s="286" t="s">
        <v>1557</v>
      </c>
      <c r="B81" s="318"/>
      <c r="C81" s="318"/>
      <c r="D81" s="318"/>
      <c r="E81" s="318"/>
      <c r="F81" s="318"/>
      <c r="G81" s="318"/>
      <c r="H81" s="996"/>
      <c r="I81" s="996"/>
      <c r="J81" s="996"/>
      <c r="K81" s="996"/>
      <c r="L81" s="996"/>
      <c r="M81" s="996"/>
      <c r="N81" s="996"/>
      <c r="O81" s="996"/>
      <c r="P81" s="996"/>
      <c r="Q81" s="996"/>
      <c r="R81" s="996"/>
      <c r="S81" s="996"/>
      <c r="T81" s="996"/>
      <c r="U81" s="996"/>
      <c r="V81" s="996"/>
      <c r="W81" s="224">
        <v>528</v>
      </c>
      <c r="X81" s="224">
        <v>4499</v>
      </c>
      <c r="Y81" s="224">
        <v>-2239</v>
      </c>
      <c r="Z81" s="224">
        <v>4670</v>
      </c>
      <c r="AA81" s="997"/>
      <c r="AB81" s="997"/>
      <c r="AC81" s="997"/>
      <c r="AD81" s="997"/>
      <c r="AE81" s="997"/>
      <c r="AF81" s="997"/>
      <c r="AG81" s="1433"/>
      <c r="AH81" s="180"/>
      <c r="AI81" s="180"/>
      <c r="AJ81" s="180"/>
      <c r="AK81" s="180"/>
      <c r="AL81" s="180"/>
      <c r="AM81" s="180"/>
    </row>
    <row r="82" spans="1:39">
      <c r="A82" s="249" t="s">
        <v>882</v>
      </c>
      <c r="B82" s="180"/>
      <c r="C82" s="180"/>
      <c r="D82" s="180"/>
      <c r="E82" s="180"/>
      <c r="F82" s="180"/>
      <c r="G82" s="180"/>
      <c r="H82" s="19"/>
      <c r="I82" s="19"/>
      <c r="J82" s="19"/>
      <c r="K82" s="19"/>
      <c r="L82" s="19"/>
      <c r="M82" s="19"/>
      <c r="N82" s="19"/>
      <c r="O82" s="287"/>
      <c r="P82" s="287"/>
      <c r="Q82" s="287"/>
      <c r="R82" s="287"/>
      <c r="S82" s="287"/>
      <c r="T82" s="287"/>
      <c r="U82" s="287"/>
      <c r="V82" s="287"/>
      <c r="W82" s="254"/>
      <c r="X82" s="254"/>
      <c r="Y82" s="254"/>
      <c r="Z82" s="254"/>
      <c r="AA82" s="364"/>
      <c r="AB82" s="364"/>
      <c r="AC82" s="364"/>
      <c r="AD82" s="364"/>
      <c r="AE82" s="364"/>
      <c r="AF82" s="364"/>
      <c r="AG82" s="1433"/>
      <c r="AH82" s="180"/>
      <c r="AI82" s="180"/>
      <c r="AJ82" s="180"/>
      <c r="AK82" s="180"/>
      <c r="AL82" s="180"/>
      <c r="AM82" s="180"/>
    </row>
    <row r="83" spans="1:39">
      <c r="A83" s="19" t="s">
        <v>881</v>
      </c>
      <c r="B83" s="180"/>
      <c r="C83" s="180"/>
      <c r="D83" s="180"/>
      <c r="E83" s="180"/>
      <c r="F83" s="180"/>
      <c r="G83" s="180"/>
      <c r="H83" s="250">
        <v>4</v>
      </c>
      <c r="I83" s="250">
        <v>4</v>
      </c>
      <c r="J83" s="250">
        <v>10</v>
      </c>
      <c r="K83" s="250">
        <v>3</v>
      </c>
      <c r="L83" s="250">
        <v>9</v>
      </c>
      <c r="M83" s="250">
        <v>10</v>
      </c>
      <c r="N83" s="250">
        <v>19</v>
      </c>
      <c r="O83" s="288">
        <v>15</v>
      </c>
      <c r="P83" s="288">
        <v>18</v>
      </c>
      <c r="Q83" s="288">
        <v>0</v>
      </c>
      <c r="R83" s="288">
        <v>0</v>
      </c>
      <c r="S83" s="288">
        <v>0</v>
      </c>
      <c r="T83" s="288">
        <v>0</v>
      </c>
      <c r="U83" s="288">
        <v>0</v>
      </c>
      <c r="V83" s="288">
        <v>0</v>
      </c>
      <c r="W83" s="288">
        <v>0</v>
      </c>
      <c r="X83" s="288">
        <f>W83*1.05</f>
        <v>0</v>
      </c>
      <c r="Y83" s="288">
        <v>0</v>
      </c>
      <c r="Z83" s="288">
        <v>0</v>
      </c>
      <c r="AA83" s="180">
        <f t="shared" ref="AA83:AF83" si="79">Z83*1.05</f>
        <v>0</v>
      </c>
      <c r="AB83" s="180">
        <f t="shared" si="79"/>
        <v>0</v>
      </c>
      <c r="AC83" s="180">
        <f t="shared" si="79"/>
        <v>0</v>
      </c>
      <c r="AD83" s="180">
        <f t="shared" si="79"/>
        <v>0</v>
      </c>
      <c r="AE83" s="180">
        <f t="shared" si="79"/>
        <v>0</v>
      </c>
      <c r="AF83" s="180">
        <f t="shared" si="79"/>
        <v>0</v>
      </c>
      <c r="AG83" s="1433"/>
      <c r="AH83" s="180"/>
      <c r="AI83" s="180"/>
      <c r="AJ83" s="180"/>
      <c r="AK83" s="180"/>
      <c r="AL83" s="180"/>
      <c r="AM83" s="180"/>
    </row>
    <row r="84" spans="1:39" s="992" customFormat="1" ht="15">
      <c r="A84" s="1087" t="s">
        <v>880</v>
      </c>
      <c r="B84" s="376"/>
      <c r="C84" s="376"/>
      <c r="D84" s="376"/>
      <c r="E84" s="376"/>
      <c r="F84" s="376"/>
      <c r="G84" s="376"/>
      <c r="H84" s="1088">
        <f t="shared" ref="H84:AF84" si="80">H64+H72+H75</f>
        <v>126</v>
      </c>
      <c r="I84" s="1088">
        <f t="shared" si="80"/>
        <v>163</v>
      </c>
      <c r="J84" s="1088">
        <f t="shared" si="80"/>
        <v>-113</v>
      </c>
      <c r="K84" s="1088">
        <f t="shared" si="80"/>
        <v>890</v>
      </c>
      <c r="L84" s="1088">
        <f t="shared" si="80"/>
        <v>235</v>
      </c>
      <c r="M84" s="1088">
        <f t="shared" si="80"/>
        <v>685</v>
      </c>
      <c r="N84" s="1088">
        <f t="shared" si="80"/>
        <v>1720</v>
      </c>
      <c r="O84" s="1088">
        <f t="shared" si="80"/>
        <v>1919</v>
      </c>
      <c r="P84" s="1088">
        <f t="shared" si="80"/>
        <v>-378</v>
      </c>
      <c r="Q84" s="1088">
        <f t="shared" si="80"/>
        <v>-1332</v>
      </c>
      <c r="R84" s="1088">
        <f t="shared" si="80"/>
        <v>2287</v>
      </c>
      <c r="S84" s="1088">
        <f t="shared" si="80"/>
        <v>5440</v>
      </c>
      <c r="T84" s="1088">
        <f t="shared" si="80"/>
        <v>1689</v>
      </c>
      <c r="U84" s="1088">
        <f t="shared" si="80"/>
        <v>3474</v>
      </c>
      <c r="V84" s="1088">
        <f t="shared" si="80"/>
        <v>570</v>
      </c>
      <c r="W84" s="1088">
        <f t="shared" si="80"/>
        <v>268</v>
      </c>
      <c r="X84" s="1088">
        <f t="shared" si="80"/>
        <v>-3120</v>
      </c>
      <c r="Y84" s="1088">
        <f t="shared" si="80"/>
        <v>4756</v>
      </c>
      <c r="Z84" s="1088">
        <f t="shared" si="80"/>
        <v>-859</v>
      </c>
      <c r="AA84" s="1088">
        <f t="shared" si="80"/>
        <v>5331.0792807667522</v>
      </c>
      <c r="AB84" s="1088">
        <f t="shared" si="80"/>
        <v>6271.888383488028</v>
      </c>
      <c r="AC84" s="1088">
        <f t="shared" si="80"/>
        <v>7128.7232192521105</v>
      </c>
      <c r="AD84" s="1088">
        <f t="shared" si="80"/>
        <v>7877.9692632071665</v>
      </c>
      <c r="AE84" s="1088">
        <f t="shared" si="80"/>
        <v>8440.5824413322534</v>
      </c>
      <c r="AF84" s="1088">
        <f t="shared" si="80"/>
        <v>9038.7754616000893</v>
      </c>
      <c r="AG84" s="1436"/>
      <c r="AH84" s="57"/>
      <c r="AI84" s="57"/>
      <c r="AJ84" s="57"/>
      <c r="AK84" s="57"/>
      <c r="AL84" s="57"/>
      <c r="AM84" s="57"/>
    </row>
    <row r="85" spans="1:39" s="992" customFormat="1" ht="15">
      <c r="A85" s="1087" t="s">
        <v>1561</v>
      </c>
      <c r="B85" s="376"/>
      <c r="C85" s="376"/>
      <c r="D85" s="376"/>
      <c r="E85" s="376"/>
      <c r="F85" s="376"/>
      <c r="G85" s="376"/>
      <c r="H85" s="1088"/>
      <c r="I85" s="1088"/>
      <c r="J85" s="1088"/>
      <c r="K85" s="1088"/>
      <c r="L85" s="1088"/>
      <c r="M85" s="1088"/>
      <c r="N85" s="1088"/>
      <c r="O85" s="1088"/>
      <c r="P85" s="1088"/>
      <c r="Q85" s="1088"/>
      <c r="R85" s="1088">
        <f t="shared" ref="R85:V85" si="81">R70+R72+R79</f>
        <v>2609</v>
      </c>
      <c r="S85" s="1088">
        <f t="shared" si="81"/>
        <v>2109</v>
      </c>
      <c r="T85" s="1088">
        <f t="shared" si="81"/>
        <v>2697</v>
      </c>
      <c r="U85" s="1088">
        <f t="shared" si="81"/>
        <v>3744</v>
      </c>
      <c r="V85" s="1088">
        <f t="shared" si="81"/>
        <v>1213</v>
      </c>
      <c r="W85" s="1088">
        <f t="shared" ref="W85:AF85" si="82">W70+W72+W79</f>
        <v>1196</v>
      </c>
      <c r="X85" s="1088">
        <f t="shared" si="82"/>
        <v>1772</v>
      </c>
      <c r="Y85" s="1088">
        <f t="shared" si="82"/>
        <v>2829</v>
      </c>
      <c r="Z85" s="1088">
        <f t="shared" si="82"/>
        <v>4148</v>
      </c>
      <c r="AA85" s="1088">
        <f t="shared" si="82"/>
        <v>5331.0792807667522</v>
      </c>
      <c r="AB85" s="1088">
        <f t="shared" si="82"/>
        <v>6271.888383488028</v>
      </c>
      <c r="AC85" s="1088">
        <f t="shared" si="82"/>
        <v>7128.7232192521105</v>
      </c>
      <c r="AD85" s="1088">
        <f t="shared" si="82"/>
        <v>7877.9692632071665</v>
      </c>
      <c r="AE85" s="1088">
        <f t="shared" si="82"/>
        <v>8440.5824413322534</v>
      </c>
      <c r="AF85" s="1088">
        <f t="shared" si="82"/>
        <v>9038.7754616000893</v>
      </c>
      <c r="AG85" s="1436"/>
      <c r="AH85" s="57"/>
      <c r="AI85" s="57"/>
      <c r="AJ85" s="57"/>
      <c r="AK85" s="57"/>
      <c r="AL85" s="57"/>
      <c r="AM85" s="57"/>
    </row>
    <row r="86" spans="1:39" s="992" customFormat="1" ht="15">
      <c r="A86" s="181" t="s">
        <v>1564</v>
      </c>
      <c r="B86" s="57"/>
      <c r="C86" s="57"/>
      <c r="D86" s="57"/>
      <c r="E86" s="57"/>
      <c r="F86" s="57"/>
      <c r="G86" s="57"/>
      <c r="H86" s="236">
        <v>-109</v>
      </c>
      <c r="I86" s="236">
        <v>-25</v>
      </c>
      <c r="J86" s="236">
        <v>142</v>
      </c>
      <c r="K86" s="236">
        <v>-235</v>
      </c>
      <c r="L86" s="236">
        <v>-14</v>
      </c>
      <c r="M86" s="236">
        <v>-201</v>
      </c>
      <c r="N86" s="236">
        <v>-433</v>
      </c>
      <c r="O86" s="236">
        <v>-650</v>
      </c>
      <c r="P86" s="236">
        <v>292</v>
      </c>
      <c r="Q86" s="236">
        <v>505</v>
      </c>
      <c r="R86" s="236">
        <v>-398</v>
      </c>
      <c r="S86" s="236">
        <v>-1660</v>
      </c>
      <c r="T86" s="236">
        <v>-348</v>
      </c>
      <c r="U86" s="236">
        <v>-962</v>
      </c>
      <c r="V86" s="236">
        <v>-184</v>
      </c>
      <c r="W86" s="236">
        <v>-200</v>
      </c>
      <c r="X86" s="236">
        <v>694</v>
      </c>
      <c r="Y86" s="236">
        <v>-1236</v>
      </c>
      <c r="Z86" s="236">
        <v>284</v>
      </c>
      <c r="AA86" s="242">
        <f t="shared" ref="AA86:AF86" si="83">AA87*AA84</f>
        <v>-1824.2953298783825</v>
      </c>
      <c r="AB86" s="242">
        <f t="shared" si="83"/>
        <v>-1888.4655922682455</v>
      </c>
      <c r="AC86" s="242">
        <f t="shared" si="83"/>
        <v>-1853.4680370055487</v>
      </c>
      <c r="AD86" s="242">
        <f t="shared" si="83"/>
        <v>-2048.2720084338634</v>
      </c>
      <c r="AE86" s="242">
        <f t="shared" si="83"/>
        <v>-2194.5514347463859</v>
      </c>
      <c r="AF86" s="242">
        <f t="shared" si="83"/>
        <v>-2350.0816200160234</v>
      </c>
      <c r="AG86" s="1436"/>
      <c r="AH86" s="57"/>
      <c r="AI86" s="57"/>
      <c r="AJ86" s="57"/>
      <c r="AK86" s="57"/>
      <c r="AL86" s="57"/>
      <c r="AM86" s="57"/>
    </row>
    <row r="87" spans="1:39" s="1003" customFormat="1">
      <c r="A87" s="993" t="s">
        <v>879</v>
      </c>
      <c r="B87" s="312"/>
      <c r="C87" s="312"/>
      <c r="D87" s="312"/>
      <c r="E87" s="312"/>
      <c r="F87" s="312"/>
      <c r="G87" s="312"/>
      <c r="H87" s="994">
        <f t="shared" ref="H87:O87" si="84">H86/H84</f>
        <v>-0.86507936507936511</v>
      </c>
      <c r="I87" s="994">
        <f t="shared" si="84"/>
        <v>-0.15337423312883436</v>
      </c>
      <c r="J87" s="994">
        <f t="shared" si="84"/>
        <v>-1.2566371681415929</v>
      </c>
      <c r="K87" s="994">
        <f t="shared" si="84"/>
        <v>-0.2640449438202247</v>
      </c>
      <c r="L87" s="994">
        <f t="shared" si="84"/>
        <v>-5.9574468085106386E-2</v>
      </c>
      <c r="M87" s="994">
        <f t="shared" si="84"/>
        <v>-0.29343065693430659</v>
      </c>
      <c r="N87" s="994">
        <f t="shared" si="84"/>
        <v>-0.25174418604651161</v>
      </c>
      <c r="O87" s="994">
        <f t="shared" si="84"/>
        <v>-0.33871808233454925</v>
      </c>
      <c r="P87" s="1001">
        <v>-0.25</v>
      </c>
      <c r="Q87" s="994">
        <f>P87</f>
        <v>-0.25</v>
      </c>
      <c r="R87" s="994">
        <f t="shared" ref="R87:Z87" si="85">R86/R84</f>
        <v>-0.17402710975076519</v>
      </c>
      <c r="S87" s="994">
        <f t="shared" si="85"/>
        <v>-0.30514705882352944</v>
      </c>
      <c r="T87" s="994">
        <f t="shared" si="85"/>
        <v>-0.20603907637655416</v>
      </c>
      <c r="U87" s="994">
        <f t="shared" si="85"/>
        <v>-0.27691421991940124</v>
      </c>
      <c r="V87" s="994">
        <f t="shared" si="85"/>
        <v>-0.32280701754385965</v>
      </c>
      <c r="W87" s="994">
        <f t="shared" si="85"/>
        <v>-0.74626865671641796</v>
      </c>
      <c r="X87" s="994">
        <f t="shared" si="85"/>
        <v>-0.22243589743589742</v>
      </c>
      <c r="Y87" s="994">
        <f t="shared" si="85"/>
        <v>-0.25988225399495374</v>
      </c>
      <c r="Z87" s="994">
        <f t="shared" si="85"/>
        <v>-0.33061699650756693</v>
      </c>
      <c r="AA87" s="1002">
        <v>-0.3422</v>
      </c>
      <c r="AB87" s="1002">
        <v>-0.30110000000000003</v>
      </c>
      <c r="AC87" s="1002">
        <v>-0.26</v>
      </c>
      <c r="AD87" s="1002">
        <v>-0.26</v>
      </c>
      <c r="AE87" s="1002">
        <v>-0.26</v>
      </c>
      <c r="AF87" s="1002">
        <v>-0.26</v>
      </c>
      <c r="AG87" s="1473"/>
      <c r="AH87" s="312"/>
      <c r="AI87" s="312"/>
      <c r="AJ87" s="312"/>
      <c r="AK87" s="312"/>
      <c r="AL87" s="312"/>
      <c r="AM87" s="312"/>
    </row>
    <row r="88" spans="1:39" s="992" customFormat="1" ht="15">
      <c r="A88" s="181" t="s">
        <v>1565</v>
      </c>
      <c r="B88" s="57"/>
      <c r="C88" s="57"/>
      <c r="D88" s="57"/>
      <c r="E88" s="57"/>
      <c r="F88" s="57"/>
      <c r="G88" s="57"/>
      <c r="H88" s="999"/>
      <c r="I88" s="999"/>
      <c r="J88" s="999"/>
      <c r="K88" s="999"/>
      <c r="L88" s="999"/>
      <c r="M88" s="999"/>
      <c r="N88" s="999"/>
      <c r="O88" s="999"/>
      <c r="P88" s="1000"/>
      <c r="Q88" s="999"/>
      <c r="R88" s="181">
        <f>-498</f>
        <v>-498</v>
      </c>
      <c r="S88" s="181">
        <v>-485</v>
      </c>
      <c r="T88" s="181">
        <v>-638</v>
      </c>
      <c r="U88" s="181">
        <v>-1012</v>
      </c>
      <c r="V88" s="181">
        <v>-334</v>
      </c>
      <c r="W88" s="242">
        <f t="shared" ref="W88:Y88" si="86">W86+SUM(W89:W90)</f>
        <v>-412</v>
      </c>
      <c r="X88" s="242">
        <f t="shared" si="86"/>
        <v>-557</v>
      </c>
      <c r="Y88" s="242">
        <f t="shared" si="86"/>
        <v>-724</v>
      </c>
      <c r="Z88" s="242">
        <f>Z86+SUM(Z89:Z90)</f>
        <v>-987</v>
      </c>
      <c r="AA88" s="242">
        <f t="shared" ref="AA88:AF88" si="87">AA85*AA91</f>
        <v>-1705.9453698453608</v>
      </c>
      <c r="AB88" s="242">
        <f t="shared" si="87"/>
        <v>-1567.972095872007</v>
      </c>
      <c r="AC88" s="242">
        <f t="shared" si="87"/>
        <v>-1782.1808048130276</v>
      </c>
      <c r="AD88" s="242">
        <f t="shared" si="87"/>
        <v>-1969.4923158017916</v>
      </c>
      <c r="AE88" s="242">
        <f t="shared" si="87"/>
        <v>-2110.1456103330634</v>
      </c>
      <c r="AF88" s="242">
        <f t="shared" si="87"/>
        <v>-2259.6938654000223</v>
      </c>
      <c r="AG88" s="1436"/>
      <c r="AH88" s="57"/>
      <c r="AI88" s="57"/>
      <c r="AJ88" s="57"/>
      <c r="AK88" s="57"/>
      <c r="AL88" s="57"/>
      <c r="AM88" s="57"/>
    </row>
    <row r="89" spans="1:39" s="992" customFormat="1" ht="15" outlineLevel="1">
      <c r="A89" s="286" t="s">
        <v>1556</v>
      </c>
      <c r="B89" s="57"/>
      <c r="C89" s="57"/>
      <c r="D89" s="57"/>
      <c r="E89" s="57"/>
      <c r="F89" s="57"/>
      <c r="G89" s="57"/>
      <c r="H89" s="999"/>
      <c r="I89" s="999"/>
      <c r="J89" s="999"/>
      <c r="K89" s="999"/>
      <c r="L89" s="999"/>
      <c r="M89" s="999"/>
      <c r="N89" s="999"/>
      <c r="O89" s="999"/>
      <c r="P89" s="1000"/>
      <c r="Q89" s="999"/>
      <c r="R89" s="999"/>
      <c r="S89" s="999"/>
      <c r="T89" s="999"/>
      <c r="U89" s="999"/>
      <c r="V89" s="999"/>
      <c r="W89" s="224">
        <v>-138</v>
      </c>
      <c r="X89" s="224">
        <v>-1163</v>
      </c>
      <c r="Y89" s="224">
        <v>581</v>
      </c>
      <c r="Z89" s="224">
        <v>-1209</v>
      </c>
      <c r="AA89" s="1007"/>
      <c r="AB89" s="1007"/>
      <c r="AC89" s="1007"/>
      <c r="AD89" s="1007"/>
      <c r="AE89" s="1007"/>
      <c r="AF89" s="1007"/>
      <c r="AG89" s="1436"/>
      <c r="AH89" s="57"/>
      <c r="AI89" s="57"/>
      <c r="AJ89" s="57"/>
      <c r="AK89" s="57"/>
      <c r="AL89" s="57"/>
      <c r="AM89" s="57"/>
    </row>
    <row r="90" spans="1:39" s="992" customFormat="1" ht="15" outlineLevel="1">
      <c r="A90" s="286" t="s">
        <v>752</v>
      </c>
      <c r="B90" s="57"/>
      <c r="C90" s="57"/>
      <c r="D90" s="57"/>
      <c r="E90" s="57"/>
      <c r="F90" s="57"/>
      <c r="G90" s="57"/>
      <c r="H90" s="999"/>
      <c r="I90" s="999"/>
      <c r="J90" s="999"/>
      <c r="K90" s="999"/>
      <c r="L90" s="999"/>
      <c r="M90" s="999"/>
      <c r="N90" s="999"/>
      <c r="O90" s="999"/>
      <c r="P90" s="1000"/>
      <c r="Q90" s="999"/>
      <c r="R90" s="999"/>
      <c r="S90" s="999"/>
      <c r="T90" s="999"/>
      <c r="U90" s="999"/>
      <c r="V90" s="999"/>
      <c r="W90" s="224">
        <f>-11+-63</f>
        <v>-74</v>
      </c>
      <c r="X90" s="224">
        <f>-10+-78</f>
        <v>-88</v>
      </c>
      <c r="Y90" s="224">
        <f>-10+-59</f>
        <v>-69</v>
      </c>
      <c r="Z90" s="224">
        <f>-11+-51</f>
        <v>-62</v>
      </c>
      <c r="AA90" s="1007"/>
      <c r="AB90" s="1007"/>
      <c r="AC90" s="1007"/>
      <c r="AD90" s="1007"/>
      <c r="AE90" s="1007"/>
      <c r="AF90" s="1007"/>
      <c r="AG90" s="1436"/>
      <c r="AH90" s="57"/>
      <c r="AI90" s="57"/>
      <c r="AJ90" s="57"/>
      <c r="AK90" s="57"/>
      <c r="AL90" s="57"/>
      <c r="AM90" s="57"/>
    </row>
    <row r="91" spans="1:39" s="1006" customFormat="1">
      <c r="A91" s="993" t="s">
        <v>1563</v>
      </c>
      <c r="B91" s="318"/>
      <c r="C91" s="318"/>
      <c r="D91" s="318"/>
      <c r="E91" s="318"/>
      <c r="F91" s="318"/>
      <c r="G91" s="318"/>
      <c r="H91" s="996"/>
      <c r="I91" s="996"/>
      <c r="J91" s="996"/>
      <c r="K91" s="996"/>
      <c r="L91" s="996"/>
      <c r="M91" s="996"/>
      <c r="N91" s="996"/>
      <c r="O91" s="996"/>
      <c r="P91" s="1004"/>
      <c r="Q91" s="996"/>
      <c r="R91" s="994">
        <f t="shared" ref="R91:V91" si="88">R88/R85</f>
        <v>-0.19087773093139135</v>
      </c>
      <c r="S91" s="994">
        <f t="shared" si="88"/>
        <v>-0.22996680891417734</v>
      </c>
      <c r="T91" s="994">
        <f t="shared" si="88"/>
        <v>-0.23655913978494625</v>
      </c>
      <c r="U91" s="994">
        <f t="shared" si="88"/>
        <v>-0.27029914529914528</v>
      </c>
      <c r="V91" s="994">
        <f t="shared" si="88"/>
        <v>-0.27535037098103876</v>
      </c>
      <c r="W91" s="994">
        <f>W88/W85</f>
        <v>-0.34448160535117056</v>
      </c>
      <c r="X91" s="994">
        <f>X88/X85</f>
        <v>-0.31433408577878102</v>
      </c>
      <c r="Y91" s="994">
        <f>Y88/Y85</f>
        <v>-0.25592082007776601</v>
      </c>
      <c r="Z91" s="994">
        <f>Z88/Z85</f>
        <v>-0.23794599807135969</v>
      </c>
      <c r="AA91" s="1005">
        <v>-0.32</v>
      </c>
      <c r="AB91" s="1005">
        <v>-0.25</v>
      </c>
      <c r="AC91" s="1005">
        <v>-0.25</v>
      </c>
      <c r="AD91" s="1005">
        <f t="shared" ref="AD91:AF91" si="89">AC91</f>
        <v>-0.25</v>
      </c>
      <c r="AE91" s="1005">
        <f t="shared" si="89"/>
        <v>-0.25</v>
      </c>
      <c r="AF91" s="1005">
        <f t="shared" si="89"/>
        <v>-0.25</v>
      </c>
      <c r="AG91" s="1474"/>
      <c r="AH91" s="318"/>
      <c r="AI91" s="318"/>
      <c r="AJ91" s="318"/>
      <c r="AK91" s="318"/>
      <c r="AL91" s="318"/>
      <c r="AM91" s="318"/>
    </row>
    <row r="92" spans="1:39" s="992" customFormat="1" ht="15">
      <c r="A92" s="1087" t="s">
        <v>1493</v>
      </c>
      <c r="B92" s="376"/>
      <c r="C92" s="376"/>
      <c r="D92" s="376"/>
      <c r="E92" s="376"/>
      <c r="F92" s="376"/>
      <c r="G92" s="376"/>
      <c r="H92" s="1088">
        <f t="shared" ref="H92:P92" si="90">H84+H86+H83</f>
        <v>21</v>
      </c>
      <c r="I92" s="1088">
        <f t="shared" si="90"/>
        <v>142</v>
      </c>
      <c r="J92" s="1088">
        <f t="shared" si="90"/>
        <v>39</v>
      </c>
      <c r="K92" s="1088">
        <f t="shared" si="90"/>
        <v>658</v>
      </c>
      <c r="L92" s="1088">
        <f t="shared" si="90"/>
        <v>230</v>
      </c>
      <c r="M92" s="1088">
        <f t="shared" si="90"/>
        <v>494</v>
      </c>
      <c r="N92" s="1088">
        <f t="shared" si="90"/>
        <v>1306</v>
      </c>
      <c r="O92" s="1088">
        <f t="shared" si="90"/>
        <v>1284</v>
      </c>
      <c r="P92" s="1088">
        <f t="shared" si="90"/>
        <v>-68</v>
      </c>
      <c r="Q92" s="1088">
        <f>Q84+Q86+Q83+421</f>
        <v>-406</v>
      </c>
      <c r="R92" s="1088">
        <f t="shared" ref="R92:AF92" si="91">R84+R86+R83</f>
        <v>1889</v>
      </c>
      <c r="S92" s="1088">
        <f t="shared" si="91"/>
        <v>3780</v>
      </c>
      <c r="T92" s="1088">
        <f t="shared" si="91"/>
        <v>1341</v>
      </c>
      <c r="U92" s="1088">
        <f t="shared" si="91"/>
        <v>2512</v>
      </c>
      <c r="V92" s="1088">
        <f t="shared" si="91"/>
        <v>386</v>
      </c>
      <c r="W92" s="1088">
        <f t="shared" si="91"/>
        <v>68</v>
      </c>
      <c r="X92" s="1091">
        <f t="shared" si="91"/>
        <v>-2426</v>
      </c>
      <c r="Y92" s="1091">
        <f t="shared" si="91"/>
        <v>3520</v>
      </c>
      <c r="Z92" s="1091">
        <f t="shared" si="91"/>
        <v>-575</v>
      </c>
      <c r="AA92" s="1091">
        <f t="shared" si="91"/>
        <v>3506.7839508883699</v>
      </c>
      <c r="AB92" s="1091">
        <f t="shared" si="91"/>
        <v>4383.4227912197821</v>
      </c>
      <c r="AC92" s="1091">
        <f t="shared" si="91"/>
        <v>5275.2551822465621</v>
      </c>
      <c r="AD92" s="1091">
        <f t="shared" si="91"/>
        <v>5829.697254773303</v>
      </c>
      <c r="AE92" s="1091">
        <f t="shared" si="91"/>
        <v>6246.0310065858675</v>
      </c>
      <c r="AF92" s="1091">
        <f t="shared" si="91"/>
        <v>6688.6938415840659</v>
      </c>
      <c r="AG92" s="1436"/>
      <c r="AH92" s="57"/>
      <c r="AI92" s="57"/>
      <c r="AJ92" s="57"/>
      <c r="AK92" s="57"/>
      <c r="AL92" s="57"/>
      <c r="AM92" s="57"/>
    </row>
    <row r="93" spans="1:39" s="992" customFormat="1" ht="15">
      <c r="A93" s="1087" t="s">
        <v>1560</v>
      </c>
      <c r="B93" s="376"/>
      <c r="C93" s="376"/>
      <c r="D93" s="376"/>
      <c r="E93" s="376"/>
      <c r="F93" s="376"/>
      <c r="G93" s="376"/>
      <c r="H93" s="1088"/>
      <c r="I93" s="1088"/>
      <c r="J93" s="1088"/>
      <c r="K93" s="1088"/>
      <c r="L93" s="1088"/>
      <c r="M93" s="1088"/>
      <c r="N93" s="1088"/>
      <c r="O93" s="1088"/>
      <c r="P93" s="1088"/>
      <c r="Q93" s="1088"/>
      <c r="R93" s="1088">
        <f t="shared" ref="R93:V93" si="92">R85+R88+R83</f>
        <v>2111</v>
      </c>
      <c r="S93" s="1088">
        <f t="shared" si="92"/>
        <v>1624</v>
      </c>
      <c r="T93" s="1088">
        <f t="shared" si="92"/>
        <v>2059</v>
      </c>
      <c r="U93" s="1088">
        <f t="shared" si="92"/>
        <v>2732</v>
      </c>
      <c r="V93" s="1088">
        <f t="shared" si="92"/>
        <v>879</v>
      </c>
      <c r="W93" s="1088">
        <f t="shared" ref="W93:AF93" si="93">W85+W88+W83</f>
        <v>784</v>
      </c>
      <c r="X93" s="1088">
        <f t="shared" si="93"/>
        <v>1215</v>
      </c>
      <c r="Y93" s="1088">
        <f t="shared" si="93"/>
        <v>2105</v>
      </c>
      <c r="Z93" s="1088">
        <f t="shared" si="93"/>
        <v>3161</v>
      </c>
      <c r="AA93" s="1088">
        <f t="shared" si="93"/>
        <v>3625.1339109213914</v>
      </c>
      <c r="AB93" s="1088">
        <f t="shared" si="93"/>
        <v>4703.9162876160208</v>
      </c>
      <c r="AC93" s="1088">
        <f t="shared" si="93"/>
        <v>5346.5424144390827</v>
      </c>
      <c r="AD93" s="1088">
        <f t="shared" si="93"/>
        <v>5908.4769474053746</v>
      </c>
      <c r="AE93" s="1088">
        <f t="shared" si="93"/>
        <v>6330.4368309991896</v>
      </c>
      <c r="AF93" s="1088">
        <f t="shared" si="93"/>
        <v>6779.081596200067</v>
      </c>
      <c r="AG93" s="1436"/>
      <c r="AH93" s="57"/>
      <c r="AI93" s="57"/>
      <c r="AJ93" s="57"/>
      <c r="AK93" s="57"/>
      <c r="AL93" s="57"/>
      <c r="AM93" s="57"/>
    </row>
    <row r="94" spans="1:39">
      <c r="A94" s="19" t="s">
        <v>877</v>
      </c>
      <c r="B94" s="180"/>
      <c r="C94" s="180"/>
      <c r="D94" s="180"/>
      <c r="E94" s="180"/>
      <c r="F94" s="180"/>
      <c r="G94" s="180"/>
      <c r="H94" s="250">
        <v>0</v>
      </c>
      <c r="I94" s="250">
        <v>-96</v>
      </c>
      <c r="J94" s="250">
        <v>-233</v>
      </c>
      <c r="K94" s="250">
        <v>-4</v>
      </c>
      <c r="L94" s="250">
        <v>-5</v>
      </c>
      <c r="M94" s="250">
        <v>3</v>
      </c>
      <c r="N94" s="250">
        <v>0</v>
      </c>
      <c r="O94" s="250">
        <v>0</v>
      </c>
      <c r="P94" s="250">
        <v>0</v>
      </c>
      <c r="Q94" s="250">
        <v>29</v>
      </c>
      <c r="R94" s="250">
        <v>74</v>
      </c>
      <c r="S94" s="250">
        <v>831</v>
      </c>
      <c r="T94" s="194">
        <v>0</v>
      </c>
      <c r="U94" s="194">
        <v>0</v>
      </c>
      <c r="V94" s="194">
        <v>0</v>
      </c>
      <c r="W94" s="194">
        <v>0</v>
      </c>
      <c r="X94" s="194">
        <v>0</v>
      </c>
      <c r="Y94" s="194">
        <v>0</v>
      </c>
      <c r="Z94" s="194">
        <v>0</v>
      </c>
      <c r="AA94" s="300">
        <v>0</v>
      </c>
      <c r="AB94" s="300">
        <v>0</v>
      </c>
      <c r="AC94" s="300">
        <v>0</v>
      </c>
      <c r="AD94" s="300">
        <v>0</v>
      </c>
      <c r="AE94" s="300">
        <v>0</v>
      </c>
      <c r="AF94" s="300">
        <v>0</v>
      </c>
      <c r="AG94" s="1433"/>
      <c r="AH94" s="180"/>
      <c r="AI94" s="180"/>
      <c r="AJ94" s="180"/>
      <c r="AK94" s="180"/>
      <c r="AL94" s="180"/>
      <c r="AM94" s="180"/>
    </row>
    <row r="95" spans="1:39">
      <c r="A95" s="19" t="s">
        <v>876</v>
      </c>
      <c r="B95" s="180"/>
      <c r="C95" s="180"/>
      <c r="D95" s="180"/>
      <c r="E95" s="180"/>
      <c r="F95" s="180"/>
      <c r="G95" s="180"/>
      <c r="H95" s="250">
        <v>-12</v>
      </c>
      <c r="I95" s="250">
        <v>-7</v>
      </c>
      <c r="J95" s="250">
        <v>-11</v>
      </c>
      <c r="K95" s="250">
        <v>13</v>
      </c>
      <c r="L95" s="250">
        <v>18</v>
      </c>
      <c r="M95" s="250">
        <v>19</v>
      </c>
      <c r="N95" s="250">
        <v>24</v>
      </c>
      <c r="O95" s="250">
        <v>29</v>
      </c>
      <c r="P95" s="250">
        <v>58</v>
      </c>
      <c r="Q95" s="251">
        <v>47</v>
      </c>
      <c r="R95" s="251">
        <v>55</v>
      </c>
      <c r="S95" s="251">
        <v>61</v>
      </c>
      <c r="T95" s="251">
        <v>58</v>
      </c>
      <c r="U95" s="251">
        <v>65</v>
      </c>
      <c r="V95" s="251">
        <v>34</v>
      </c>
      <c r="W95" s="251">
        <v>25</v>
      </c>
      <c r="X95" s="251">
        <v>33</v>
      </c>
      <c r="Y95" s="251">
        <v>76</v>
      </c>
      <c r="Z95" s="251">
        <v>92</v>
      </c>
      <c r="AA95" s="27">
        <f t="shared" ref="AA95:AF95" si="94">AA39*AA96</f>
        <v>104.74831550750601</v>
      </c>
      <c r="AB95" s="27">
        <f t="shared" si="94"/>
        <v>118.34836641414142</v>
      </c>
      <c r="AC95" s="27">
        <f t="shared" si="94"/>
        <v>130.22781002248468</v>
      </c>
      <c r="AD95" s="27">
        <f t="shared" si="94"/>
        <v>140.35043079938782</v>
      </c>
      <c r="AE95" s="27">
        <f t="shared" si="94"/>
        <v>148.11299933226383</v>
      </c>
      <c r="AF95" s="27">
        <f t="shared" si="94"/>
        <v>155.3041610691572</v>
      </c>
      <c r="AG95" s="1433"/>
      <c r="AH95" s="180"/>
      <c r="AI95" s="180"/>
      <c r="AJ95" s="180"/>
      <c r="AK95" s="180"/>
      <c r="AL95" s="180"/>
      <c r="AM95" s="180"/>
    </row>
    <row r="96" spans="1:39">
      <c r="A96" s="19" t="s">
        <v>755</v>
      </c>
      <c r="B96" s="180"/>
      <c r="C96" s="180"/>
      <c r="D96" s="180"/>
      <c r="E96" s="180"/>
      <c r="F96" s="180"/>
      <c r="G96" s="180"/>
      <c r="H96" s="250"/>
      <c r="I96" s="250"/>
      <c r="J96" s="250"/>
      <c r="K96" s="250"/>
      <c r="L96" s="250"/>
      <c r="M96" s="250"/>
      <c r="N96" s="250"/>
      <c r="O96" s="250"/>
      <c r="P96" s="250"/>
      <c r="Q96" s="251"/>
      <c r="R96" s="251"/>
      <c r="S96" s="251"/>
      <c r="T96" s="251"/>
      <c r="U96" s="251"/>
      <c r="V96" s="251"/>
      <c r="W96" s="1008">
        <f>W95/W41</f>
        <v>1.6520187669331924E-3</v>
      </c>
      <c r="X96" s="1008">
        <f>X95/X41</f>
        <v>1.6903139886287968E-3</v>
      </c>
      <c r="Y96" s="1008">
        <f>Y95/Y41</f>
        <v>3.2133947824616294E-3</v>
      </c>
      <c r="Z96" s="1008">
        <f>Z95/Z41</f>
        <v>3.3193823062490982E-3</v>
      </c>
      <c r="AA96" s="1009">
        <f>Z96</f>
        <v>3.3193823062490982E-3</v>
      </c>
      <c r="AB96" s="1009">
        <f t="shared" ref="AB96:AF96" si="95">AA96</f>
        <v>3.3193823062490982E-3</v>
      </c>
      <c r="AC96" s="1009">
        <f t="shared" si="95"/>
        <v>3.3193823062490982E-3</v>
      </c>
      <c r="AD96" s="1009">
        <f t="shared" si="95"/>
        <v>3.3193823062490982E-3</v>
      </c>
      <c r="AE96" s="1009">
        <f t="shared" si="95"/>
        <v>3.3193823062490982E-3</v>
      </c>
      <c r="AF96" s="1009">
        <f t="shared" si="95"/>
        <v>3.3193823062490982E-3</v>
      </c>
      <c r="AG96" s="1433"/>
      <c r="AH96" s="180"/>
      <c r="AI96" s="180"/>
      <c r="AJ96" s="180"/>
      <c r="AK96" s="180"/>
      <c r="AL96" s="180"/>
      <c r="AM96" s="180"/>
    </row>
    <row r="97" spans="1:39">
      <c r="A97" s="1087" t="s">
        <v>1647</v>
      </c>
      <c r="B97" s="1124"/>
      <c r="C97" s="1124"/>
      <c r="D97" s="1124"/>
      <c r="E97" s="1124"/>
      <c r="F97" s="1124"/>
      <c r="G97" s="1124"/>
      <c r="H97" s="1091">
        <f t="shared" ref="H97:Y97" si="96">H92+H94-H95</f>
        <v>33</v>
      </c>
      <c r="I97" s="1091">
        <f t="shared" si="96"/>
        <v>53</v>
      </c>
      <c r="J97" s="1091">
        <f t="shared" si="96"/>
        <v>-183</v>
      </c>
      <c r="K97" s="1091">
        <f t="shared" si="96"/>
        <v>641</v>
      </c>
      <c r="L97" s="1091">
        <f t="shared" si="96"/>
        <v>207</v>
      </c>
      <c r="M97" s="1091">
        <f t="shared" si="96"/>
        <v>478</v>
      </c>
      <c r="N97" s="1091">
        <f t="shared" si="96"/>
        <v>1282</v>
      </c>
      <c r="O97" s="1091">
        <f t="shared" si="96"/>
        <v>1255</v>
      </c>
      <c r="P97" s="1091">
        <f t="shared" si="96"/>
        <v>-126</v>
      </c>
      <c r="Q97" s="1091">
        <f t="shared" si="96"/>
        <v>-424</v>
      </c>
      <c r="R97" s="1091">
        <f t="shared" si="96"/>
        <v>1908</v>
      </c>
      <c r="S97" s="1091">
        <f t="shared" si="96"/>
        <v>4550</v>
      </c>
      <c r="T97" s="1091">
        <f t="shared" si="96"/>
        <v>1283</v>
      </c>
      <c r="U97" s="1091">
        <f t="shared" si="96"/>
        <v>2447</v>
      </c>
      <c r="V97" s="1091">
        <f t="shared" si="96"/>
        <v>352</v>
      </c>
      <c r="W97" s="1091">
        <f t="shared" si="96"/>
        <v>43</v>
      </c>
      <c r="X97" s="1091">
        <f t="shared" si="96"/>
        <v>-2459</v>
      </c>
      <c r="Y97" s="1091">
        <f t="shared" si="96"/>
        <v>3444</v>
      </c>
      <c r="Z97" s="1091">
        <f>Z92+Z94-Z95</f>
        <v>-667</v>
      </c>
      <c r="AA97" s="1091">
        <f t="shared" ref="AA97:AF97" si="97">AA92+AA94-AA95</f>
        <v>3402.0356353808638</v>
      </c>
      <c r="AB97" s="1091">
        <f t="shared" si="97"/>
        <v>4265.0744248056408</v>
      </c>
      <c r="AC97" s="1091">
        <f t="shared" si="97"/>
        <v>5145.0273722240772</v>
      </c>
      <c r="AD97" s="1091">
        <f t="shared" si="97"/>
        <v>5689.346823973915</v>
      </c>
      <c r="AE97" s="1091">
        <f t="shared" si="97"/>
        <v>6097.9180072536037</v>
      </c>
      <c r="AF97" s="1091">
        <f t="shared" si="97"/>
        <v>6533.3896805149088</v>
      </c>
      <c r="AG97" s="1433"/>
      <c r="AH97" s="180"/>
      <c r="AI97" s="180"/>
      <c r="AJ97" s="180"/>
      <c r="AK97" s="180"/>
      <c r="AL97" s="180"/>
      <c r="AM97" s="180"/>
    </row>
    <row r="98" spans="1:39">
      <c r="A98" s="1087" t="s">
        <v>1648</v>
      </c>
      <c r="B98" s="1124"/>
      <c r="C98" s="1124"/>
      <c r="D98" s="1124"/>
      <c r="E98" s="1124"/>
      <c r="F98" s="1124"/>
      <c r="G98" s="1124"/>
      <c r="H98" s="1088">
        <f t="shared" ref="H98:X98" si="98">H93+H94-H95</f>
        <v>12</v>
      </c>
      <c r="I98" s="1088">
        <f t="shared" si="98"/>
        <v>-89</v>
      </c>
      <c r="J98" s="1088">
        <f t="shared" si="98"/>
        <v>-222</v>
      </c>
      <c r="K98" s="1088">
        <f t="shared" si="98"/>
        <v>-17</v>
      </c>
      <c r="L98" s="1088">
        <f t="shared" si="98"/>
        <v>-23</v>
      </c>
      <c r="M98" s="1088">
        <f t="shared" si="98"/>
        <v>-16</v>
      </c>
      <c r="N98" s="1088">
        <f t="shared" si="98"/>
        <v>-24</v>
      </c>
      <c r="O98" s="1088">
        <f t="shared" si="98"/>
        <v>-29</v>
      </c>
      <c r="P98" s="1088">
        <f t="shared" si="98"/>
        <v>-58</v>
      </c>
      <c r="Q98" s="1088">
        <f t="shared" si="98"/>
        <v>-18</v>
      </c>
      <c r="R98" s="1088">
        <f t="shared" si="98"/>
        <v>2130</v>
      </c>
      <c r="S98" s="1088">
        <f>S93+S94-S95-1</f>
        <v>2393</v>
      </c>
      <c r="T98" s="1088">
        <f t="shared" si="98"/>
        <v>2001</v>
      </c>
      <c r="U98" s="1088">
        <f t="shared" si="98"/>
        <v>2667</v>
      </c>
      <c r="V98" s="1088">
        <f t="shared" si="98"/>
        <v>845</v>
      </c>
      <c r="W98" s="1088">
        <f t="shared" si="98"/>
        <v>759</v>
      </c>
      <c r="X98" s="1088">
        <f t="shared" si="98"/>
        <v>1182</v>
      </c>
      <c r="Y98" s="1088">
        <f>Y93+Y94-Y95-1</f>
        <v>2028</v>
      </c>
      <c r="Z98" s="1088">
        <f>Z93+Z94-Z95</f>
        <v>3069</v>
      </c>
      <c r="AA98" s="1088">
        <f t="shared" ref="AA98:AF98" si="99">AA93+AA94-AA95</f>
        <v>3520.3855954138853</v>
      </c>
      <c r="AB98" s="1088">
        <f t="shared" si="99"/>
        <v>4585.5679212018795</v>
      </c>
      <c r="AC98" s="1088">
        <f t="shared" si="99"/>
        <v>5216.3146044165978</v>
      </c>
      <c r="AD98" s="1088">
        <f t="shared" si="99"/>
        <v>5768.1265166059866</v>
      </c>
      <c r="AE98" s="1088">
        <f t="shared" si="99"/>
        <v>6182.3238316669258</v>
      </c>
      <c r="AF98" s="1088">
        <f t="shared" si="99"/>
        <v>6623.7774351309099</v>
      </c>
      <c r="AG98" s="1433"/>
      <c r="AH98" s="180"/>
      <c r="AI98" s="180"/>
      <c r="AJ98" s="180"/>
      <c r="AK98" s="180"/>
      <c r="AL98" s="180"/>
      <c r="AM98" s="180"/>
    </row>
    <row r="99" spans="1:39">
      <c r="A99" s="19"/>
      <c r="B99" s="180"/>
      <c r="C99" s="180"/>
      <c r="D99" s="180"/>
      <c r="E99" s="180"/>
      <c r="F99" s="180"/>
      <c r="G99" s="180"/>
      <c r="H99" s="19"/>
      <c r="I99" s="19"/>
      <c r="J99" s="19"/>
      <c r="K99" s="19"/>
      <c r="L99" s="19"/>
      <c r="M99" s="19"/>
      <c r="N99" s="19"/>
      <c r="O99" s="19"/>
      <c r="P99" s="19"/>
      <c r="Q99" s="247"/>
      <c r="R99" s="19"/>
      <c r="S99" s="19"/>
      <c r="T99" s="19"/>
      <c r="U99" s="19"/>
      <c r="V99" s="19"/>
      <c r="W99" s="19"/>
      <c r="X99" s="180"/>
      <c r="Y99" s="180"/>
      <c r="Z99" s="180"/>
      <c r="AA99" s="180"/>
      <c r="AB99" s="223"/>
      <c r="AC99" s="223"/>
      <c r="AD99" s="223"/>
      <c r="AE99" s="223"/>
      <c r="AF99" s="223"/>
      <c r="AG99" s="1433"/>
      <c r="AH99" s="180"/>
      <c r="AI99" s="180"/>
      <c r="AJ99" s="180"/>
      <c r="AK99" s="180"/>
      <c r="AL99" s="180"/>
      <c r="AM99" s="180"/>
    </row>
    <row r="100" spans="1:39">
      <c r="A100" s="19" t="s">
        <v>875</v>
      </c>
      <c r="B100" s="180"/>
      <c r="C100" s="180"/>
      <c r="D100" s="180"/>
      <c r="E100" s="180"/>
      <c r="F100" s="180"/>
      <c r="G100" s="180"/>
      <c r="H100" s="250">
        <v>0.02</v>
      </c>
      <c r="I100" s="250">
        <v>0.09</v>
      </c>
      <c r="J100" s="250">
        <v>-0.51</v>
      </c>
      <c r="K100" s="250">
        <v>1.61</v>
      </c>
      <c r="L100" s="250">
        <v>0.52</v>
      </c>
      <c r="M100" s="250">
        <v>1.18</v>
      </c>
      <c r="N100" s="250">
        <v>3.09</v>
      </c>
      <c r="O100" s="289">
        <f t="shared" ref="O100:AF100" si="100">((O92-O95)/O116)*1000</f>
        <v>3.0147054980080172</v>
      </c>
      <c r="P100" s="289">
        <f t="shared" si="100"/>
        <v>-0.30258394586410103</v>
      </c>
      <c r="Q100" s="289">
        <f t="shared" si="100"/>
        <v>-1.0848505668994404</v>
      </c>
      <c r="R100" s="289">
        <f t="shared" si="100"/>
        <v>4.4052110254851344</v>
      </c>
      <c r="S100" s="289">
        <f t="shared" si="100"/>
        <v>9.0654020689977628</v>
      </c>
      <c r="T100" s="289">
        <f t="shared" si="100"/>
        <v>2.9774073725201449</v>
      </c>
      <c r="U100" s="289">
        <f t="shared" si="100"/>
        <v>5.6943609760187766</v>
      </c>
      <c r="V100" s="289">
        <f t="shared" si="100"/>
        <v>0.82622177803621399</v>
      </c>
      <c r="W100" s="289">
        <f t="shared" si="100"/>
        <v>0.10078508652604765</v>
      </c>
      <c r="X100" s="289">
        <f t="shared" si="100"/>
        <v>-5.7630922791046508</v>
      </c>
      <c r="Y100" s="289">
        <f t="shared" si="100"/>
        <v>8.2432674979652472</v>
      </c>
      <c r="Z100" s="289">
        <f t="shared" si="100"/>
        <v>-1.6027892666369226</v>
      </c>
      <c r="AA100" s="301">
        <f t="shared" si="100"/>
        <v>8.2641315830437883</v>
      </c>
      <c r="AB100" s="301">
        <f t="shared" si="100"/>
        <v>10.474766360588751</v>
      </c>
      <c r="AC100" s="301">
        <f t="shared" si="100"/>
        <v>12.776665412867921</v>
      </c>
      <c r="AD100" s="301">
        <f t="shared" si="100"/>
        <v>14.28756635494071</v>
      </c>
      <c r="AE100" s="301">
        <f t="shared" si="100"/>
        <v>15.313604681032388</v>
      </c>
      <c r="AF100" s="301">
        <f t="shared" si="100"/>
        <v>16.407197780542557</v>
      </c>
      <c r="AG100" s="1433"/>
      <c r="AH100" s="180"/>
      <c r="AI100" s="180"/>
      <c r="AJ100" s="180"/>
      <c r="AK100" s="180"/>
      <c r="AL100" s="180"/>
      <c r="AM100" s="180"/>
    </row>
    <row r="101" spans="1:39">
      <c r="A101" s="19" t="s">
        <v>874</v>
      </c>
      <c r="B101" s="180"/>
      <c r="C101" s="180"/>
      <c r="D101" s="180"/>
      <c r="E101" s="180"/>
      <c r="F101" s="180"/>
      <c r="G101" s="180"/>
      <c r="H101" s="250">
        <v>0.02</v>
      </c>
      <c r="I101" s="250">
        <v>0.09</v>
      </c>
      <c r="J101" s="250">
        <v>-0.51</v>
      </c>
      <c r="K101" s="250">
        <v>1.6</v>
      </c>
      <c r="L101" s="250">
        <v>0.51</v>
      </c>
      <c r="M101" s="250">
        <v>1.18</v>
      </c>
      <c r="N101" s="250">
        <v>3.08</v>
      </c>
      <c r="O101" s="289">
        <f t="shared" ref="O101:AF101" si="101">((O92-O95)/O117)*1000</f>
        <v>3.0137463165085996</v>
      </c>
      <c r="P101" s="289">
        <f t="shared" si="101"/>
        <v>-0.30258394586410103</v>
      </c>
      <c r="Q101" s="289">
        <f t="shared" si="101"/>
        <v>-1.0848505668994404</v>
      </c>
      <c r="R101" s="289">
        <f t="shared" si="101"/>
        <v>4.3293625288923581</v>
      </c>
      <c r="S101" s="289">
        <f t="shared" si="101"/>
        <v>8.907395108632473</v>
      </c>
      <c r="T101" s="289">
        <f t="shared" si="101"/>
        <v>2.940397044952765</v>
      </c>
      <c r="U101" s="289">
        <f t="shared" si="101"/>
        <v>5.6255882541653097</v>
      </c>
      <c r="V101" s="289">
        <f t="shared" si="101"/>
        <v>0.7991636117105122</v>
      </c>
      <c r="W101" s="289">
        <f t="shared" si="101"/>
        <v>9.7707946761593834E-2</v>
      </c>
      <c r="X101" s="289">
        <f t="shared" si="101"/>
        <v>-5.586605772103348</v>
      </c>
      <c r="Y101" s="289">
        <f>((Y92-Y95+36)/Y117)*1000</f>
        <v>8.0672538018620017</v>
      </c>
      <c r="Z101" s="289">
        <f>(((Z92-Z95)/Z117)*1000)-0.01</f>
        <v>-1.5953685815452741</v>
      </c>
      <c r="AA101" s="301">
        <f t="shared" si="101"/>
        <v>8.1733406753960534</v>
      </c>
      <c r="AB101" s="301">
        <f t="shared" si="101"/>
        <v>10.358435143041651</v>
      </c>
      <c r="AC101" s="301">
        <f t="shared" si="101"/>
        <v>12.633206407414232</v>
      </c>
      <c r="AD101" s="301">
        <f t="shared" si="101"/>
        <v>14.125355604846844</v>
      </c>
      <c r="AE101" s="301">
        <f t="shared" si="101"/>
        <v>15.139745029903473</v>
      </c>
      <c r="AF101" s="301">
        <f t="shared" si="101"/>
        <v>16.220922260079274</v>
      </c>
      <c r="AG101" s="1433"/>
      <c r="AH101" s="180"/>
      <c r="AI101" s="180"/>
      <c r="AJ101" s="180"/>
      <c r="AK101" s="180"/>
      <c r="AL101" s="180"/>
      <c r="AM101" s="180"/>
    </row>
    <row r="102" spans="1:39">
      <c r="A102" s="19" t="s">
        <v>873</v>
      </c>
      <c r="B102" s="180"/>
      <c r="C102" s="180"/>
      <c r="D102" s="180"/>
      <c r="E102" s="180"/>
      <c r="F102" s="180"/>
      <c r="G102" s="180"/>
      <c r="H102" s="250">
        <v>0.02</v>
      </c>
      <c r="I102" s="250">
        <v>-0.24</v>
      </c>
      <c r="J102" s="250">
        <v>-0.57999999999999996</v>
      </c>
      <c r="K102" s="250">
        <v>1.62</v>
      </c>
      <c r="L102" s="250">
        <v>0.53</v>
      </c>
      <c r="M102" s="250">
        <v>1.17</v>
      </c>
      <c r="N102" s="250">
        <v>3.14</v>
      </c>
      <c r="O102" s="289">
        <f t="shared" ref="O102:AF102" si="102">((O92-O94-O95)/O116)*1000</f>
        <v>3.0147054980080172</v>
      </c>
      <c r="P102" s="289">
        <f t="shared" si="102"/>
        <v>-0.30258394586410103</v>
      </c>
      <c r="Q102" s="289">
        <f t="shared" si="102"/>
        <v>-1.1543001616899122</v>
      </c>
      <c r="R102" s="289">
        <f t="shared" si="102"/>
        <v>4.2274653243477855</v>
      </c>
      <c r="S102" s="289">
        <f t="shared" si="102"/>
        <v>7.0397636932684966</v>
      </c>
      <c r="T102" s="289">
        <f t="shared" si="102"/>
        <v>2.9774073725201449</v>
      </c>
      <c r="U102" s="289">
        <f t="shared" si="102"/>
        <v>5.6943609760187766</v>
      </c>
      <c r="V102" s="289">
        <f t="shared" si="102"/>
        <v>0.82622177803621399</v>
      </c>
      <c r="W102" s="289">
        <f t="shared" si="102"/>
        <v>0.10078508652604765</v>
      </c>
      <c r="X102" s="289">
        <f t="shared" si="102"/>
        <v>-5.7630922791046508</v>
      </c>
      <c r="Y102" s="289">
        <f t="shared" si="102"/>
        <v>8.2432674979652472</v>
      </c>
      <c r="Z102" s="289">
        <f t="shared" si="102"/>
        <v>-1.6027892666369226</v>
      </c>
      <c r="AA102" s="301">
        <f t="shared" si="102"/>
        <v>8.2641315830437883</v>
      </c>
      <c r="AB102" s="301">
        <f t="shared" si="102"/>
        <v>10.474766360588751</v>
      </c>
      <c r="AC102" s="301">
        <f t="shared" si="102"/>
        <v>12.776665412867921</v>
      </c>
      <c r="AD102" s="301">
        <f t="shared" si="102"/>
        <v>14.28756635494071</v>
      </c>
      <c r="AE102" s="301">
        <f t="shared" si="102"/>
        <v>15.313604681032388</v>
      </c>
      <c r="AF102" s="301">
        <f t="shared" si="102"/>
        <v>16.407197780542557</v>
      </c>
      <c r="AG102" s="1433"/>
      <c r="AH102" s="180"/>
      <c r="AI102" s="180"/>
      <c r="AJ102" s="180"/>
      <c r="AK102" s="180"/>
      <c r="AL102" s="180"/>
      <c r="AM102" s="180"/>
    </row>
    <row r="103" spans="1:39">
      <c r="A103" s="19" t="s">
        <v>872</v>
      </c>
      <c r="B103" s="180"/>
      <c r="C103" s="180"/>
      <c r="D103" s="180"/>
      <c r="E103" s="180"/>
      <c r="F103" s="180"/>
      <c r="G103" s="180"/>
      <c r="H103" s="250">
        <v>0.02</v>
      </c>
      <c r="I103" s="250">
        <v>-0.24</v>
      </c>
      <c r="J103" s="250">
        <v>-0.57999999999999996</v>
      </c>
      <c r="K103" s="250">
        <v>1.61</v>
      </c>
      <c r="L103" s="250">
        <v>0.52</v>
      </c>
      <c r="M103" s="250">
        <v>1.17</v>
      </c>
      <c r="N103" s="250">
        <v>3.13</v>
      </c>
      <c r="O103" s="289">
        <f t="shared" ref="O103:AF103" si="103">((O92-O94-O95)/O117)*1000</f>
        <v>3.0137463165085996</v>
      </c>
      <c r="P103" s="289">
        <f t="shared" si="103"/>
        <v>-0.30258394586410103</v>
      </c>
      <c r="Q103" s="289">
        <f t="shared" si="103"/>
        <v>-1.1543001616899122</v>
      </c>
      <c r="R103" s="289">
        <f t="shared" si="103"/>
        <v>4.1546772360144759</v>
      </c>
      <c r="S103" s="289">
        <f t="shared" si="103"/>
        <v>6.9170629399652013</v>
      </c>
      <c r="T103" s="289">
        <f t="shared" si="103"/>
        <v>2.940397044952765</v>
      </c>
      <c r="U103" s="289">
        <f t="shared" si="103"/>
        <v>5.6255882541653097</v>
      </c>
      <c r="V103" s="289">
        <f t="shared" si="103"/>
        <v>0.7991636117105122</v>
      </c>
      <c r="W103" s="289">
        <f t="shared" si="103"/>
        <v>9.7707946761593834E-2</v>
      </c>
      <c r="X103" s="289">
        <f t="shared" si="103"/>
        <v>-5.586605772103348</v>
      </c>
      <c r="Y103" s="289">
        <f>((Y92-Y94-Y95+36)/Y117)*1000</f>
        <v>8.0672538018620017</v>
      </c>
      <c r="Z103" s="289">
        <f>(((Z92-Z94-Z95)/Z117)*1000)-0.01</f>
        <v>-1.5953685815452741</v>
      </c>
      <c r="AA103" s="301">
        <f t="shared" si="103"/>
        <v>8.1733406753960534</v>
      </c>
      <c r="AB103" s="301">
        <f t="shared" si="103"/>
        <v>10.358435143041651</v>
      </c>
      <c r="AC103" s="301">
        <f t="shared" si="103"/>
        <v>12.633206407414232</v>
      </c>
      <c r="AD103" s="301">
        <f t="shared" si="103"/>
        <v>14.125355604846844</v>
      </c>
      <c r="AE103" s="301">
        <f t="shared" si="103"/>
        <v>15.139745029903473</v>
      </c>
      <c r="AF103" s="301">
        <f t="shared" si="103"/>
        <v>16.220922260079274</v>
      </c>
      <c r="AG103" s="1433"/>
      <c r="AH103" s="180"/>
      <c r="AI103" s="180"/>
      <c r="AJ103" s="180"/>
      <c r="AK103" s="180"/>
      <c r="AL103" s="180"/>
      <c r="AM103" s="180"/>
    </row>
    <row r="104" spans="1:39">
      <c r="A104" s="19" t="s">
        <v>1569</v>
      </c>
      <c r="B104" s="180"/>
      <c r="C104" s="180"/>
      <c r="D104" s="180"/>
      <c r="E104" s="180"/>
      <c r="F104" s="180"/>
      <c r="G104" s="180"/>
      <c r="H104" s="250"/>
      <c r="I104" s="250"/>
      <c r="J104" s="250"/>
      <c r="K104" s="250"/>
      <c r="L104" s="250"/>
      <c r="M104" s="250"/>
      <c r="N104" s="250"/>
      <c r="O104" s="289"/>
      <c r="P104" s="289"/>
      <c r="Q104" s="289">
        <f t="shared" ref="Q104:V104" si="104">(Q93-Q95)/Q116*1000</f>
        <v>-0.11255623983283376</v>
      </c>
      <c r="R104" s="289">
        <f t="shared" si="104"/>
        <v>4.9384481288971855</v>
      </c>
      <c r="S104" s="289">
        <f>(S93-S95-S94)/S116*1000</f>
        <v>1.7843168363824582</v>
      </c>
      <c r="T104" s="289">
        <f>(T93-T95-20)/T116*1000</f>
        <v>4.5972283748732714</v>
      </c>
      <c r="U104" s="289">
        <f>(U93-U95-2)/U116*1000</f>
        <v>6.2016640789088857</v>
      </c>
      <c r="V104" s="289">
        <f t="shared" si="104"/>
        <v>1.9834017114789799</v>
      </c>
      <c r="W104" s="289">
        <f t="shared" ref="W104:AF104" si="105">(W93-W95)/W116*1000</f>
        <v>1.7789739691458177</v>
      </c>
      <c r="X104" s="289">
        <f>(X93-X95-4)/X116*1000</f>
        <v>2.760846972259162</v>
      </c>
      <c r="Y104" s="289">
        <f t="shared" si="105"/>
        <v>4.8564430178198279</v>
      </c>
      <c r="Z104" s="289">
        <f t="shared" si="105"/>
        <v>7.3747530124568437</v>
      </c>
      <c r="AA104" s="289">
        <f t="shared" si="105"/>
        <v>8.5516240573697857</v>
      </c>
      <c r="AB104" s="289">
        <f t="shared" si="105"/>
        <v>11.261879118882948</v>
      </c>
      <c r="AC104" s="289">
        <f t="shared" si="105"/>
        <v>12.953693258987919</v>
      </c>
      <c r="AD104" s="289">
        <f t="shared" si="105"/>
        <v>14.485404546340749</v>
      </c>
      <c r="AE104" s="289">
        <f t="shared" si="105"/>
        <v>15.525571687854178</v>
      </c>
      <c r="AF104" s="289">
        <f t="shared" si="105"/>
        <v>16.634187113713171</v>
      </c>
      <c r="AG104" s="1433"/>
      <c r="AH104" s="180"/>
      <c r="AI104" s="180"/>
      <c r="AJ104" s="180"/>
      <c r="AK104" s="180"/>
      <c r="AL104" s="180"/>
      <c r="AM104" s="180"/>
    </row>
    <row r="105" spans="1:39">
      <c r="A105" s="19" t="s">
        <v>1570</v>
      </c>
      <c r="B105" s="180"/>
      <c r="C105" s="180"/>
      <c r="D105" s="180"/>
      <c r="E105" s="180"/>
      <c r="F105" s="180"/>
      <c r="G105" s="180"/>
      <c r="H105" s="250"/>
      <c r="I105" s="250"/>
      <c r="J105" s="250"/>
      <c r="K105" s="250"/>
      <c r="L105" s="250"/>
      <c r="M105" s="250"/>
      <c r="N105" s="250"/>
      <c r="O105" s="289"/>
      <c r="P105" s="289"/>
      <c r="Q105" s="289">
        <f t="shared" ref="Q105:V105" si="106">(Q93-Q95)/Q117*1000</f>
        <v>-0.11255623983283376</v>
      </c>
      <c r="R105" s="289">
        <f t="shared" si="106"/>
        <v>4.8534184075260018</v>
      </c>
      <c r="S105" s="289">
        <f>(S93-S95-S94)/S117*1000</f>
        <v>1.7532167839523987</v>
      </c>
      <c r="T105" s="289">
        <f>(T93-T95-20)/T117*1000</f>
        <v>4.5400830444672069</v>
      </c>
      <c r="U105" s="289">
        <f t="shared" si="106"/>
        <v>6.1313624331258199</v>
      </c>
      <c r="V105" s="289">
        <f t="shared" si="106"/>
        <v>1.9184467383391557</v>
      </c>
      <c r="W105" s="289">
        <f>(W93-W95+1)/W117*1000</f>
        <v>1.7269311520653794</v>
      </c>
      <c r="X105" s="289">
        <f>(X93-X95-4)/X117*1000</f>
        <v>2.6762999591450773</v>
      </c>
      <c r="Y105" s="289">
        <f t="shared" ref="Y105:AF105" si="107">(Y93-Y95)/Y117*1000</f>
        <v>4.703579874706322</v>
      </c>
      <c r="Z105" s="289">
        <f t="shared" si="107"/>
        <v>7.2945969666603379</v>
      </c>
      <c r="AA105" s="289">
        <f t="shared" si="107"/>
        <v>8.4576747171119617</v>
      </c>
      <c r="AB105" s="289">
        <f t="shared" si="107"/>
        <v>11.136806342587221</v>
      </c>
      <c r="AC105" s="289">
        <f t="shared" si="107"/>
        <v>12.808246548767665</v>
      </c>
      <c r="AD105" s="289">
        <f t="shared" si="107"/>
        <v>14.320947683744096</v>
      </c>
      <c r="AE105" s="289">
        <f t="shared" si="107"/>
        <v>15.349305515816276</v>
      </c>
      <c r="AF105" s="289">
        <f t="shared" si="107"/>
        <v>16.44533451965442</v>
      </c>
      <c r="AG105" s="1433"/>
      <c r="AH105" s="180"/>
      <c r="AI105" s="180"/>
      <c r="AJ105" s="180"/>
      <c r="AK105" s="180"/>
      <c r="AL105" s="180"/>
      <c r="AM105" s="180"/>
    </row>
    <row r="106" spans="1:39">
      <c r="A106" s="19" t="s">
        <v>1567</v>
      </c>
      <c r="B106" s="180"/>
      <c r="C106" s="180"/>
      <c r="D106" s="180"/>
      <c r="E106" s="180"/>
      <c r="F106" s="180"/>
      <c r="G106" s="180"/>
      <c r="H106" s="250"/>
      <c r="I106" s="250"/>
      <c r="J106" s="250"/>
      <c r="K106" s="250"/>
      <c r="L106" s="250"/>
      <c r="M106" s="250"/>
      <c r="N106" s="250"/>
      <c r="O106" s="289"/>
      <c r="P106" s="289"/>
      <c r="Q106" s="289">
        <f t="shared" ref="Q106:V106" si="108">(Q93-Q94-Q95)/Q116*1000</f>
        <v>-0.18200583462330566</v>
      </c>
      <c r="R106" s="289">
        <f t="shared" si="108"/>
        <v>4.7607024277598358</v>
      </c>
      <c r="S106" s="289">
        <f>(S93-S95)/S116*1000</f>
        <v>3.8099552121117242</v>
      </c>
      <c r="T106" s="289">
        <f>(T93-T94-T95-20)/T116*1000</f>
        <v>4.5972283748732714</v>
      </c>
      <c r="U106" s="289">
        <f>(U93-U94-U95-2)/U116*1000</f>
        <v>6.2016640789088857</v>
      </c>
      <c r="V106" s="289">
        <f t="shared" si="108"/>
        <v>1.9834017114789799</v>
      </c>
      <c r="W106" s="289">
        <f>(W93-W94-W95)/W116*1000</f>
        <v>1.7789739691458177</v>
      </c>
      <c r="X106" s="289">
        <f>(X93-X94-X95-4)/X116*1000</f>
        <v>2.760846972259162</v>
      </c>
      <c r="Y106" s="289">
        <f t="shared" ref="Y106:AF106" si="109">(Y93-Y94-Y95)/Y116*1000</f>
        <v>4.8564430178198279</v>
      </c>
      <c r="Z106" s="289">
        <f t="shared" si="109"/>
        <v>7.3747530124568437</v>
      </c>
      <c r="AA106" s="289">
        <f t="shared" si="109"/>
        <v>8.5516240573697857</v>
      </c>
      <c r="AB106" s="289">
        <f t="shared" si="109"/>
        <v>11.261879118882948</v>
      </c>
      <c r="AC106" s="289">
        <f t="shared" si="109"/>
        <v>12.953693258987919</v>
      </c>
      <c r="AD106" s="289">
        <f t="shared" si="109"/>
        <v>14.485404546340749</v>
      </c>
      <c r="AE106" s="289">
        <f t="shared" si="109"/>
        <v>15.525571687854178</v>
      </c>
      <c r="AF106" s="289">
        <f t="shared" si="109"/>
        <v>16.634187113713171</v>
      </c>
      <c r="AG106" s="1433"/>
      <c r="AH106" s="180"/>
      <c r="AI106" s="180"/>
      <c r="AJ106" s="180"/>
      <c r="AK106" s="180"/>
      <c r="AL106" s="180"/>
      <c r="AM106" s="180"/>
    </row>
    <row r="107" spans="1:39">
      <c r="A107" s="19" t="s">
        <v>1568</v>
      </c>
      <c r="B107" s="180"/>
      <c r="C107" s="180"/>
      <c r="D107" s="180"/>
      <c r="E107" s="180"/>
      <c r="F107" s="180"/>
      <c r="G107" s="180"/>
      <c r="H107" s="250"/>
      <c r="I107" s="250"/>
      <c r="J107" s="250"/>
      <c r="K107" s="250"/>
      <c r="L107" s="250"/>
      <c r="M107" s="250"/>
      <c r="N107" s="250"/>
      <c r="O107" s="289"/>
      <c r="P107" s="289"/>
      <c r="Q107" s="289">
        <f t="shared" ref="Q107:V107" si="110">(Q93-Q94-Q95)/Q117*1000</f>
        <v>-0.18200583462330566</v>
      </c>
      <c r="R107" s="289">
        <f t="shared" si="110"/>
        <v>4.6787331146481197</v>
      </c>
      <c r="S107" s="289">
        <f>(S93-S95)/S117*1000</f>
        <v>3.7435489526196708</v>
      </c>
      <c r="T107" s="289">
        <f>(T93-T94-T95-20)/T117*1000</f>
        <v>4.5400830444672069</v>
      </c>
      <c r="U107" s="289">
        <f t="shared" si="110"/>
        <v>6.1313624331258199</v>
      </c>
      <c r="V107" s="289">
        <f t="shared" si="110"/>
        <v>1.9184467383391557</v>
      </c>
      <c r="W107" s="289">
        <f>(W93-W94-W95+1)/W117*1000</f>
        <v>1.7269311520653794</v>
      </c>
      <c r="X107" s="289">
        <f>(X93-X94-X95-4)/X117*1000</f>
        <v>2.6762999591450773</v>
      </c>
      <c r="Y107" s="289">
        <f t="shared" ref="Y107:AF107" si="111">(Y93-Y94-Y95)/Y117*1000</f>
        <v>4.703579874706322</v>
      </c>
      <c r="Z107" s="289">
        <f t="shared" si="111"/>
        <v>7.2945969666603379</v>
      </c>
      <c r="AA107" s="289">
        <f t="shared" si="111"/>
        <v>8.4576747171119617</v>
      </c>
      <c r="AB107" s="289">
        <f t="shared" si="111"/>
        <v>11.136806342587221</v>
      </c>
      <c r="AC107" s="289">
        <f t="shared" si="111"/>
        <v>12.808246548767665</v>
      </c>
      <c r="AD107" s="289">
        <f t="shared" si="111"/>
        <v>14.320947683744096</v>
      </c>
      <c r="AE107" s="289">
        <f t="shared" si="111"/>
        <v>15.349305515816276</v>
      </c>
      <c r="AF107" s="289">
        <f t="shared" si="111"/>
        <v>16.44533451965442</v>
      </c>
      <c r="AG107" s="1433"/>
      <c r="AH107" s="180"/>
      <c r="AI107" s="180"/>
      <c r="AJ107" s="180"/>
      <c r="AK107" s="180"/>
      <c r="AL107" s="180"/>
      <c r="AM107" s="180"/>
    </row>
    <row r="108" spans="1:39">
      <c r="A108" s="19"/>
      <c r="B108" s="180"/>
      <c r="C108" s="180"/>
      <c r="D108" s="180"/>
      <c r="E108" s="180"/>
      <c r="F108" s="180"/>
      <c r="G108" s="180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919"/>
      <c r="AA108" s="4"/>
      <c r="AB108" s="4"/>
      <c r="AC108" s="4"/>
      <c r="AD108" s="4"/>
      <c r="AE108" s="4"/>
      <c r="AF108" s="4"/>
      <c r="AG108" s="1433"/>
      <c r="AH108" s="180"/>
      <c r="AI108" s="180"/>
      <c r="AJ108" s="180"/>
      <c r="AK108" s="180"/>
      <c r="AL108" s="180"/>
      <c r="AM108" s="180"/>
    </row>
    <row r="109" spans="1:39">
      <c r="A109" s="19" t="s">
        <v>267</v>
      </c>
      <c r="B109" s="180"/>
      <c r="C109" s="180"/>
      <c r="D109" s="180"/>
      <c r="E109" s="180"/>
      <c r="F109" s="180"/>
      <c r="G109" s="180"/>
      <c r="H109" s="250">
        <v>0.22</v>
      </c>
      <c r="I109" s="250">
        <v>0.4</v>
      </c>
      <c r="J109" s="19">
        <f>0.08+0.25</f>
        <v>0.33</v>
      </c>
      <c r="K109" s="19">
        <f>'Cashflow Statement'!L44</f>
        <v>0.38</v>
      </c>
      <c r="L109" s="290">
        <f>'Cashflow Statement'!M44</f>
        <v>0.5</v>
      </c>
      <c r="M109" s="250">
        <v>0.62</v>
      </c>
      <c r="N109" s="291">
        <v>0.96</v>
      </c>
      <c r="O109" s="291">
        <v>1.1200000000000001</v>
      </c>
      <c r="P109" s="291">
        <v>1.2</v>
      </c>
      <c r="Q109" s="291">
        <v>1.38</v>
      </c>
      <c r="R109" s="291">
        <v>1.52</v>
      </c>
      <c r="S109" s="291">
        <v>1.6</v>
      </c>
      <c r="T109" s="291">
        <v>1.82</v>
      </c>
      <c r="U109" s="291">
        <v>0</v>
      </c>
      <c r="V109" s="291">
        <v>0.43</v>
      </c>
      <c r="W109" s="291">
        <v>0.5</v>
      </c>
      <c r="X109" s="291">
        <v>1.35</v>
      </c>
      <c r="Y109" s="291">
        <v>2.2000000000000002</v>
      </c>
      <c r="Z109" s="291">
        <v>2.9</v>
      </c>
      <c r="AA109" s="301">
        <f>AA110*AA104</f>
        <v>3.4206496229479146</v>
      </c>
      <c r="AB109" s="301">
        <f t="shared" ref="AB109:AF109" si="112">AB110*AB104</f>
        <v>4.448442251958765</v>
      </c>
      <c r="AC109" s="301">
        <f t="shared" si="112"/>
        <v>5.1167088373002283</v>
      </c>
      <c r="AD109" s="301">
        <f t="shared" si="112"/>
        <v>5.7217347958045961</v>
      </c>
      <c r="AE109" s="301">
        <f t="shared" si="112"/>
        <v>6.1326008167024009</v>
      </c>
      <c r="AF109" s="301">
        <f t="shared" si="112"/>
        <v>6.5705039099167033</v>
      </c>
      <c r="AG109" s="1433"/>
      <c r="AH109" s="180"/>
      <c r="AI109" s="180"/>
      <c r="AJ109" s="180"/>
      <c r="AK109" s="180"/>
      <c r="AL109" s="180"/>
      <c r="AM109" s="180"/>
    </row>
    <row r="110" spans="1:39">
      <c r="A110" s="19" t="s">
        <v>988</v>
      </c>
      <c r="B110" s="180"/>
      <c r="C110" s="180"/>
      <c r="D110" s="180"/>
      <c r="E110" s="180"/>
      <c r="F110" s="180"/>
      <c r="G110" s="180"/>
      <c r="H110" s="292"/>
      <c r="I110" s="292"/>
      <c r="J110" s="292"/>
      <c r="K110" s="292"/>
      <c r="L110" s="292"/>
      <c r="M110" s="292"/>
      <c r="N110" s="292"/>
      <c r="O110" s="292">
        <v>-0.61918707081009305</v>
      </c>
      <c r="P110" s="292">
        <v>-0.49182681259842526</v>
      </c>
      <c r="Q110" s="292">
        <v>-0.55783665322362053</v>
      </c>
      <c r="R110" s="292">
        <v>-0.85515429643243257</v>
      </c>
      <c r="S110" s="292">
        <v>-0.92972474334277622</v>
      </c>
      <c r="T110" s="292">
        <v>0.3958907088339223</v>
      </c>
      <c r="U110" s="292">
        <v>0</v>
      </c>
      <c r="V110" s="292">
        <v>0.21705611938388628</v>
      </c>
      <c r="W110" s="292">
        <v>0.28069106907894736</v>
      </c>
      <c r="X110" s="292">
        <v>0.48898037941426148</v>
      </c>
      <c r="Y110" s="292">
        <v>0.45322982366863912</v>
      </c>
      <c r="Z110" s="292">
        <v>0.39336168089960888</v>
      </c>
      <c r="AA110" s="927">
        <v>0.4</v>
      </c>
      <c r="AB110" s="927">
        <v>0.39500000000000002</v>
      </c>
      <c r="AC110" s="927">
        <f>AB110</f>
        <v>0.39500000000000002</v>
      </c>
      <c r="AD110" s="927">
        <f>AC110</f>
        <v>0.39500000000000002</v>
      </c>
      <c r="AE110" s="927">
        <f t="shared" ref="AE110:AF110" si="113">AD110</f>
        <v>0.39500000000000002</v>
      </c>
      <c r="AF110" s="927">
        <f t="shared" si="113"/>
        <v>0.39500000000000002</v>
      </c>
      <c r="AG110" s="1433"/>
      <c r="AH110" s="180"/>
      <c r="AI110" s="180"/>
      <c r="AJ110" s="180"/>
      <c r="AK110" s="180"/>
      <c r="AL110" s="180"/>
      <c r="AM110" s="180"/>
    </row>
    <row r="111" spans="1:39">
      <c r="A111" s="19"/>
      <c r="B111" s="180"/>
      <c r="C111" s="180"/>
      <c r="D111" s="180"/>
      <c r="E111" s="180"/>
      <c r="F111" s="180"/>
      <c r="G111" s="180"/>
      <c r="H111" s="19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292"/>
      <c r="AB111" s="292"/>
      <c r="AC111" s="292"/>
      <c r="AD111" s="292"/>
      <c r="AE111" s="292"/>
      <c r="AF111" s="292"/>
      <c r="AG111" s="1433"/>
      <c r="AH111" s="180"/>
      <c r="AI111" s="180"/>
      <c r="AJ111" s="180"/>
      <c r="AK111" s="180"/>
      <c r="AL111" s="180"/>
      <c r="AM111" s="180"/>
    </row>
    <row r="112" spans="1:39">
      <c r="A112" s="19" t="s">
        <v>1642</v>
      </c>
      <c r="B112" s="180"/>
      <c r="C112" s="180"/>
      <c r="D112" s="180"/>
      <c r="E112" s="180"/>
      <c r="F112" s="180"/>
      <c r="G112" s="180"/>
      <c r="H112" s="19"/>
      <c r="I112" s="19"/>
      <c r="J112" s="19"/>
      <c r="K112" s="19"/>
      <c r="L112" s="19"/>
      <c r="M112" s="19"/>
      <c r="N112" s="19"/>
      <c r="O112" s="293">
        <v>40.948582375478907</v>
      </c>
      <c r="P112" s="293">
        <v>60.9</v>
      </c>
      <c r="Q112" s="293">
        <v>64.8</v>
      </c>
      <c r="R112" s="293">
        <v>68.42</v>
      </c>
      <c r="S112" s="293">
        <v>85.2</v>
      </c>
      <c r="T112" s="293">
        <v>110.7</v>
      </c>
      <c r="U112" s="293">
        <v>132.15</v>
      </c>
      <c r="V112" s="293">
        <v>90</v>
      </c>
      <c r="W112" s="293">
        <v>107.66</v>
      </c>
      <c r="X112" s="293">
        <v>105.3</v>
      </c>
      <c r="Y112" s="293">
        <v>142.71392307692312</v>
      </c>
      <c r="Z112" s="293">
        <v>201.14664122137407</v>
      </c>
      <c r="AA112" s="928">
        <v>278.60000000000002</v>
      </c>
      <c r="AB112" s="928">
        <v>278.60000000000002</v>
      </c>
      <c r="AC112" s="928">
        <v>278.60000000000002</v>
      </c>
      <c r="AD112" s="928">
        <v>278.60000000000002</v>
      </c>
      <c r="AE112" s="928">
        <v>278.60000000000002</v>
      </c>
      <c r="AF112" s="928">
        <v>278.60000000000002</v>
      </c>
      <c r="AG112" s="1433"/>
      <c r="AH112" s="180"/>
      <c r="AI112" s="180"/>
      <c r="AJ112" s="180"/>
      <c r="AK112" s="180"/>
      <c r="AL112" s="180"/>
      <c r="AM112" s="180"/>
    </row>
    <row r="113" spans="1:39">
      <c r="A113" s="19" t="s">
        <v>871</v>
      </c>
      <c r="B113" s="180"/>
      <c r="C113" s="180"/>
      <c r="D113" s="180"/>
      <c r="E113" s="180"/>
      <c r="F113" s="180"/>
      <c r="G113" s="180"/>
      <c r="H113" s="19"/>
      <c r="I113" s="19"/>
      <c r="J113" s="19"/>
      <c r="K113" s="19"/>
      <c r="L113" s="19"/>
      <c r="M113" s="19"/>
      <c r="N113" s="19"/>
      <c r="O113" s="246">
        <f t="shared" ref="O113:AF113" si="114">O109/O112</f>
        <v>2.7351374211935741E-2</v>
      </c>
      <c r="P113" s="246">
        <f t="shared" si="114"/>
        <v>1.9704433497536946E-2</v>
      </c>
      <c r="Q113" s="246">
        <f t="shared" si="114"/>
        <v>2.1296296296296296E-2</v>
      </c>
      <c r="R113" s="246">
        <f t="shared" si="114"/>
        <v>2.2215726395790704E-2</v>
      </c>
      <c r="S113" s="246">
        <f t="shared" si="114"/>
        <v>1.8779342723004695E-2</v>
      </c>
      <c r="T113" s="246">
        <f t="shared" si="114"/>
        <v>1.6440831074977416E-2</v>
      </c>
      <c r="U113" s="246">
        <f t="shared" si="114"/>
        <v>0</v>
      </c>
      <c r="V113" s="246">
        <f t="shared" si="114"/>
        <v>4.7777777777777775E-3</v>
      </c>
      <c r="W113" s="246">
        <f t="shared" si="114"/>
        <v>4.6442504179825374E-3</v>
      </c>
      <c r="X113" s="246">
        <f t="shared" si="114"/>
        <v>1.2820512820512822E-2</v>
      </c>
      <c r="Y113" s="246">
        <f t="shared" si="114"/>
        <v>1.5415454586124686E-2</v>
      </c>
      <c r="Z113" s="246">
        <f t="shared" si="114"/>
        <v>1.4417342404481785E-2</v>
      </c>
      <c r="AA113" s="246">
        <f t="shared" si="114"/>
        <v>1.2277995775118141E-2</v>
      </c>
      <c r="AB113" s="246">
        <f t="shared" si="114"/>
        <v>1.5967129404015665E-2</v>
      </c>
      <c r="AC113" s="246">
        <f t="shared" si="114"/>
        <v>1.8365789078608141E-2</v>
      </c>
      <c r="AD113" s="246">
        <f t="shared" si="114"/>
        <v>2.053745439987292E-2</v>
      </c>
      <c r="AE113" s="246">
        <f t="shared" si="114"/>
        <v>2.2012206807977028E-2</v>
      </c>
      <c r="AF113" s="246">
        <f t="shared" si="114"/>
        <v>2.3584005419657942E-2</v>
      </c>
      <c r="AG113" s="1433"/>
      <c r="AH113" s="180"/>
      <c r="AI113" s="180"/>
      <c r="AJ113" s="180"/>
      <c r="AK113" s="180"/>
      <c r="AL113" s="180"/>
      <c r="AM113" s="180"/>
    </row>
    <row r="114" spans="1:39">
      <c r="A114" s="19" t="s">
        <v>901</v>
      </c>
      <c r="B114" s="180"/>
      <c r="C114" s="180"/>
      <c r="D114" s="180"/>
      <c r="E114" s="180"/>
      <c r="F114" s="180"/>
      <c r="G114" s="180"/>
      <c r="H114" s="19"/>
      <c r="I114" s="19"/>
      <c r="J114" s="19"/>
      <c r="K114" s="19"/>
      <c r="L114" s="19"/>
      <c r="M114" s="19"/>
      <c r="N114" s="19"/>
      <c r="O114" s="1122">
        <f>'Cashflow Statement'!O57</f>
        <v>712</v>
      </c>
      <c r="P114" s="1122">
        <f>'Cashflow Statement'!P57</f>
        <v>740</v>
      </c>
      <c r="Q114" s="1122">
        <f>'Cashflow Statement'!Q57</f>
        <v>929</v>
      </c>
      <c r="R114" s="1122">
        <f>'Cashflow Statement'!R57</f>
        <v>1455</v>
      </c>
      <c r="S114" s="1122">
        <f>'Cashflow Statement'!S57</f>
        <v>1438</v>
      </c>
      <c r="T114" s="1122">
        <f>'Cashflow Statement'!T57</f>
        <v>1781</v>
      </c>
      <c r="U114" s="1122">
        <f>'Cashflow Statement'!U57</f>
        <v>1983</v>
      </c>
      <c r="V114" s="1122">
        <f>'Cashflow Statement'!V57</f>
        <v>1073</v>
      </c>
      <c r="W114" s="1122">
        <f>'Cashflow Statement'!W57</f>
        <v>1680</v>
      </c>
      <c r="X114" s="1122">
        <f>'Cashflow Statement'!X57</f>
        <v>2666</v>
      </c>
      <c r="Y114" s="1122">
        <f>'Cashflow Statement'!Y57</f>
        <v>2945</v>
      </c>
      <c r="Z114" s="1122">
        <f>'Cashflow Statement'!Z57</f>
        <v>3189</v>
      </c>
      <c r="AA114" s="1122">
        <f>'Cashflow Statement'!AA57</f>
        <v>3613.1854263217751</v>
      </c>
      <c r="AB114" s="1122">
        <f>'Cashflow Statement'!AB57</f>
        <v>4332.1968154349925</v>
      </c>
      <c r="AC114" s="1122">
        <f>'Cashflow Statement'!AC57</f>
        <v>4940.4466821238366</v>
      </c>
      <c r="AD114" s="1122">
        <f>'Cashflow Statement'!AD57</f>
        <v>5589.2571500394397</v>
      </c>
      <c r="AE114" s="1122">
        <f>'Cashflow Statement'!AE57</f>
        <v>6076.0778047832791</v>
      </c>
      <c r="AF114" s="1122">
        <f>'Cashflow Statement'!AF57</f>
        <v>6537.6130455842185</v>
      </c>
      <c r="AG114" s="1433"/>
      <c r="AH114" s="180"/>
      <c r="AI114" s="180"/>
      <c r="AJ114" s="180"/>
      <c r="AK114" s="180"/>
      <c r="AL114" s="180"/>
      <c r="AM114" s="180"/>
    </row>
    <row r="115" spans="1:39">
      <c r="A115" s="19"/>
      <c r="B115" s="180"/>
      <c r="C115" s="180"/>
      <c r="D115" s="180"/>
      <c r="E115" s="180"/>
      <c r="F115" s="180"/>
      <c r="G115" s="180"/>
      <c r="H115" s="19"/>
      <c r="I115" s="19"/>
      <c r="J115" s="19"/>
      <c r="K115" s="19"/>
      <c r="L115" s="19"/>
      <c r="M115" s="19"/>
      <c r="N115" s="19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  <c r="AF115" s="246"/>
      <c r="AG115" s="1433"/>
      <c r="AH115" s="180"/>
      <c r="AI115" s="180"/>
      <c r="AJ115" s="180"/>
      <c r="AK115" s="180"/>
      <c r="AL115" s="180"/>
      <c r="AM115" s="180"/>
    </row>
    <row r="116" spans="1:39">
      <c r="A116" s="19" t="s">
        <v>963</v>
      </c>
      <c r="B116" s="180"/>
      <c r="C116" s="180"/>
      <c r="D116" s="180"/>
      <c r="E116" s="180"/>
      <c r="F116" s="180"/>
      <c r="G116" s="180"/>
      <c r="H116" s="251">
        <v>410774.00900000002</v>
      </c>
      <c r="I116" s="251">
        <v>410774.00900000002</v>
      </c>
      <c r="J116" s="251">
        <v>405354.402</v>
      </c>
      <c r="K116" s="251">
        <v>399266.788</v>
      </c>
      <c r="L116" s="251">
        <v>399552.92</v>
      </c>
      <c r="M116" s="251">
        <v>404735.46100000001</v>
      </c>
      <c r="N116" s="251">
        <v>415280.826</v>
      </c>
      <c r="O116" s="251">
        <v>416292.73599999998</v>
      </c>
      <c r="P116" s="251">
        <v>416413.36800000002</v>
      </c>
      <c r="Q116" s="251">
        <v>417569.03100000002</v>
      </c>
      <c r="R116" s="251">
        <v>416325.11800000002</v>
      </c>
      <c r="S116" s="251">
        <v>410241.04300000001</v>
      </c>
      <c r="T116" s="251">
        <v>430911.81</v>
      </c>
      <c r="U116" s="251">
        <v>429723.37199999997</v>
      </c>
      <c r="V116" s="251">
        <v>426035.73200000002</v>
      </c>
      <c r="W116" s="251">
        <v>426650.42499999999</v>
      </c>
      <c r="X116" s="251">
        <v>426680.65700000001</v>
      </c>
      <c r="Y116" s="251">
        <v>417795.49200000003</v>
      </c>
      <c r="Z116" s="251">
        <v>416149.53</v>
      </c>
      <c r="AA116" s="273">
        <f>Z116+'Cashflow Statement'!AA47/AA112*1000</f>
        <v>411662.81068916013</v>
      </c>
      <c r="AB116" s="273">
        <f>AA116+'Cashflow Statement'!AB47/AB112*1000</f>
        <v>407176.09137832024</v>
      </c>
      <c r="AC116" s="273">
        <f>AB116+'Cashflow Statement'!AC47/AC112*1000</f>
        <v>402689.37206748035</v>
      </c>
      <c r="AD116" s="273">
        <f>AC116+'Cashflow Statement'!AD47/AD112*1000</f>
        <v>398202.65275664045</v>
      </c>
      <c r="AE116" s="273">
        <f>AD116+'Cashflow Statement'!AE47/AE112*1000</f>
        <v>398202.65275664045</v>
      </c>
      <c r="AF116" s="273">
        <f>AE116+'Cashflow Statement'!AF47/AF112*1000</f>
        <v>398202.65275664045</v>
      </c>
      <c r="AG116" s="1433"/>
      <c r="AH116" s="180"/>
      <c r="AI116" s="180"/>
      <c r="AJ116" s="180"/>
      <c r="AK116" s="180"/>
      <c r="AL116" s="180"/>
      <c r="AM116" s="180"/>
    </row>
    <row r="117" spans="1:39">
      <c r="A117" s="19" t="s">
        <v>964</v>
      </c>
      <c r="B117" s="180"/>
      <c r="C117" s="180"/>
      <c r="D117" s="180"/>
      <c r="E117" s="180"/>
      <c r="F117" s="180"/>
      <c r="G117" s="180"/>
      <c r="H117" s="251">
        <v>411011.89600000001</v>
      </c>
      <c r="I117" s="251">
        <v>411011.89600000001</v>
      </c>
      <c r="J117" s="251">
        <v>405354.402</v>
      </c>
      <c r="K117" s="251">
        <v>401081.33899999998</v>
      </c>
      <c r="L117" s="251">
        <v>403532.56199999998</v>
      </c>
      <c r="M117" s="251">
        <v>406339.61800000002</v>
      </c>
      <c r="N117" s="251">
        <v>415919.88500000001</v>
      </c>
      <c r="O117" s="251">
        <v>416425.22899999999</v>
      </c>
      <c r="P117" s="251">
        <v>416413.36800000002</v>
      </c>
      <c r="Q117" s="251">
        <v>417569.03100000002</v>
      </c>
      <c r="R117" s="251">
        <v>423618.94799999997</v>
      </c>
      <c r="S117" s="251">
        <v>417518.24800000002</v>
      </c>
      <c r="T117" s="251">
        <v>436335.63099999999</v>
      </c>
      <c r="U117" s="251">
        <v>434976.73300000001</v>
      </c>
      <c r="V117" s="251">
        <v>440460.495</v>
      </c>
      <c r="W117" s="251">
        <v>440087.02899999998</v>
      </c>
      <c r="X117" s="251">
        <v>440159.929</v>
      </c>
      <c r="Y117" s="251">
        <v>431373.56099999999</v>
      </c>
      <c r="Z117" s="251">
        <v>420722.353</v>
      </c>
      <c r="AA117" s="273">
        <f t="shared" ref="AA117:AF117" si="115">Z117+(AA116-Z116)</f>
        <v>416235.63368916011</v>
      </c>
      <c r="AB117" s="273">
        <f t="shared" si="115"/>
        <v>411748.91437832022</v>
      </c>
      <c r="AC117" s="273">
        <f t="shared" si="115"/>
        <v>407262.19506748032</v>
      </c>
      <c r="AD117" s="273">
        <f t="shared" si="115"/>
        <v>402775.47575664043</v>
      </c>
      <c r="AE117" s="273">
        <f t="shared" si="115"/>
        <v>402775.47575664043</v>
      </c>
      <c r="AF117" s="273">
        <f t="shared" si="115"/>
        <v>402775.47575664043</v>
      </c>
      <c r="AG117" s="1433"/>
      <c r="AH117" s="180"/>
      <c r="AI117" s="180"/>
      <c r="AJ117" s="180"/>
      <c r="AK117" s="180"/>
      <c r="AL117" s="180"/>
      <c r="AM117" s="180"/>
    </row>
    <row r="118" spans="1:39">
      <c r="AG118" s="1433"/>
      <c r="AH118" s="180"/>
      <c r="AI118" s="180"/>
      <c r="AJ118" s="180"/>
      <c r="AK118" s="180"/>
      <c r="AL118" s="180"/>
      <c r="AM118" s="180"/>
    </row>
    <row r="119" spans="1:39">
      <c r="A119" s="257" t="s">
        <v>807</v>
      </c>
      <c r="B119" s="257"/>
      <c r="C119" s="257"/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182"/>
      <c r="X119" s="182"/>
      <c r="Y119" s="182"/>
      <c r="Z119" s="182"/>
      <c r="AA119" s="170"/>
      <c r="AB119" s="170"/>
      <c r="AC119" s="170"/>
      <c r="AD119" s="170"/>
      <c r="AE119" s="170"/>
      <c r="AF119" s="170"/>
      <c r="AG119" s="1433"/>
      <c r="AH119" s="180"/>
      <c r="AI119" s="180"/>
      <c r="AJ119" s="180"/>
      <c r="AK119" s="180"/>
      <c r="AL119" s="180"/>
      <c r="AM119" s="180"/>
    </row>
    <row r="120" spans="1:39">
      <c r="A120" s="19" t="s">
        <v>754</v>
      </c>
      <c r="B120" s="19"/>
      <c r="C120" s="19"/>
      <c r="D120" s="19"/>
      <c r="E120" s="19"/>
      <c r="F120" s="19"/>
      <c r="G120" s="19"/>
      <c r="H120" s="247">
        <f t="shared" ref="H120:S120" si="116">H121+H122</f>
        <v>-22</v>
      </c>
      <c r="I120" s="247">
        <f t="shared" si="116"/>
        <v>-10</v>
      </c>
      <c r="J120" s="247">
        <f t="shared" si="116"/>
        <v>-19</v>
      </c>
      <c r="K120" s="247">
        <f t="shared" si="116"/>
        <v>-38</v>
      </c>
      <c r="L120" s="247">
        <f t="shared" si="116"/>
        <v>-36</v>
      </c>
      <c r="M120" s="247">
        <f t="shared" si="116"/>
        <v>-42</v>
      </c>
      <c r="N120" s="247">
        <f t="shared" si="116"/>
        <v>-54</v>
      </c>
      <c r="O120" s="247">
        <f t="shared" si="116"/>
        <v>-42</v>
      </c>
      <c r="P120" s="247">
        <f t="shared" si="116"/>
        <v>-42</v>
      </c>
      <c r="Q120" s="247">
        <f t="shared" si="116"/>
        <v>-28</v>
      </c>
      <c r="R120" s="247">
        <f t="shared" si="116"/>
        <v>-51</v>
      </c>
      <c r="S120" s="247">
        <f t="shared" si="116"/>
        <v>-48</v>
      </c>
      <c r="T120" s="194">
        <v>-67</v>
      </c>
      <c r="U120" s="194">
        <v>-33</v>
      </c>
      <c r="V120" s="27">
        <f t="shared" ref="V120:AF120" si="117">V121+V122</f>
        <v>-58</v>
      </c>
      <c r="W120" s="27">
        <f t="shared" si="117"/>
        <v>-85</v>
      </c>
      <c r="X120" s="27">
        <f t="shared" si="117"/>
        <v>-56</v>
      </c>
      <c r="Y120" s="27">
        <f t="shared" si="117"/>
        <v>112</v>
      </c>
      <c r="Z120" s="27">
        <f t="shared" si="117"/>
        <v>157</v>
      </c>
      <c r="AA120" s="27">
        <f t="shared" si="117"/>
        <v>113.98500000000001</v>
      </c>
      <c r="AB120" s="27">
        <f t="shared" si="117"/>
        <v>128.5245970689017</v>
      </c>
      <c r="AC120" s="27">
        <f t="shared" si="117"/>
        <v>148.70104984327952</v>
      </c>
      <c r="AD120" s="27">
        <f t="shared" si="117"/>
        <v>175.34642134960728</v>
      </c>
      <c r="AE120" s="27">
        <f t="shared" si="117"/>
        <v>204.65437767661587</v>
      </c>
      <c r="AF120" s="27">
        <f t="shared" si="117"/>
        <v>251.72900097228268</v>
      </c>
      <c r="AG120" s="1433"/>
      <c r="AH120" s="180"/>
      <c r="AI120" s="180"/>
      <c r="AJ120" s="180"/>
      <c r="AK120" s="180"/>
      <c r="AL120" s="180"/>
      <c r="AM120" s="180"/>
    </row>
    <row r="121" spans="1:39">
      <c r="A121" s="249" t="s">
        <v>806</v>
      </c>
      <c r="B121" s="250"/>
      <c r="C121" s="250"/>
      <c r="D121" s="250"/>
      <c r="E121" s="250"/>
      <c r="F121" s="250"/>
      <c r="G121" s="250"/>
      <c r="H121" s="251">
        <v>-58</v>
      </c>
      <c r="I121" s="251">
        <v>-56</v>
      </c>
      <c r="J121" s="251">
        <v>-54</v>
      </c>
      <c r="K121" s="251">
        <v>-56</v>
      </c>
      <c r="L121" s="251">
        <v>-60</v>
      </c>
      <c r="M121" s="251">
        <v>-71</v>
      </c>
      <c r="N121" s="251">
        <v>-97</v>
      </c>
      <c r="O121" s="251">
        <v>-85</v>
      </c>
      <c r="P121" s="251">
        <v>-80</v>
      </c>
      <c r="Q121" s="251">
        <v>-61</v>
      </c>
      <c r="R121" s="251">
        <v>-71</v>
      </c>
      <c r="S121" s="251">
        <v>-72</v>
      </c>
      <c r="T121" s="251">
        <v>-95</v>
      </c>
      <c r="U121" s="251">
        <v>-81</v>
      </c>
      <c r="V121" s="251">
        <v>-80</v>
      </c>
      <c r="W121" s="251">
        <v>-100</v>
      </c>
      <c r="X121" s="251">
        <v>-94</v>
      </c>
      <c r="Y121" s="251">
        <v>-118</v>
      </c>
      <c r="Z121" s="251">
        <v>-92</v>
      </c>
      <c r="AA121" s="247">
        <f>Z141*AA144</f>
        <v>-121.82499999999999</v>
      </c>
      <c r="AB121" s="247">
        <f t="shared" ref="AB121:AF121" si="118">AA141*AB144</f>
        <v>-105.07199999999999</v>
      </c>
      <c r="AC121" s="247">
        <f t="shared" si="118"/>
        <v>-105.07199999999999</v>
      </c>
      <c r="AD121" s="247">
        <f t="shared" si="118"/>
        <v>-105.07199999999999</v>
      </c>
      <c r="AE121" s="247">
        <f t="shared" si="118"/>
        <v>-105.07199999999999</v>
      </c>
      <c r="AF121" s="247">
        <f t="shared" si="118"/>
        <v>-105.07199999999999</v>
      </c>
    </row>
    <row r="122" spans="1:39">
      <c r="A122" s="249" t="s">
        <v>805</v>
      </c>
      <c r="B122" s="250"/>
      <c r="C122" s="250"/>
      <c r="D122" s="250"/>
      <c r="E122" s="250"/>
      <c r="F122" s="250"/>
      <c r="G122" s="250"/>
      <c r="H122" s="251">
        <v>36</v>
      </c>
      <c r="I122" s="251">
        <v>46</v>
      </c>
      <c r="J122" s="251">
        <v>35</v>
      </c>
      <c r="K122" s="251">
        <v>18</v>
      </c>
      <c r="L122" s="251">
        <v>24</v>
      </c>
      <c r="M122" s="251">
        <v>29</v>
      </c>
      <c r="N122" s="251">
        <v>43</v>
      </c>
      <c r="O122" s="251">
        <v>43</v>
      </c>
      <c r="P122" s="251">
        <v>38</v>
      </c>
      <c r="Q122" s="251">
        <v>33</v>
      </c>
      <c r="R122" s="251">
        <v>20</v>
      </c>
      <c r="S122" s="251">
        <v>24</v>
      </c>
      <c r="T122" s="251">
        <v>28</v>
      </c>
      <c r="U122" s="251">
        <v>48</v>
      </c>
      <c r="V122" s="251">
        <v>22</v>
      </c>
      <c r="W122" s="251">
        <v>15</v>
      </c>
      <c r="X122" s="251">
        <v>38</v>
      </c>
      <c r="Y122" s="251">
        <v>230</v>
      </c>
      <c r="Z122" s="251">
        <v>249</v>
      </c>
      <c r="AA122" s="247">
        <f>Z142*AA145</f>
        <v>235.81</v>
      </c>
      <c r="AB122" s="247">
        <f t="shared" ref="AB122:AF122" si="119">AA142*AB145</f>
        <v>233.5965970689017</v>
      </c>
      <c r="AC122" s="247">
        <f t="shared" si="119"/>
        <v>253.77304984327949</v>
      </c>
      <c r="AD122" s="247">
        <f t="shared" si="119"/>
        <v>280.41842134960729</v>
      </c>
      <c r="AE122" s="247">
        <f t="shared" si="119"/>
        <v>309.72637767661587</v>
      </c>
      <c r="AF122" s="247">
        <f t="shared" si="119"/>
        <v>356.80100097228268</v>
      </c>
      <c r="AG122" s="1433"/>
      <c r="AH122" s="180"/>
      <c r="AI122" s="180"/>
      <c r="AJ122" s="180"/>
      <c r="AK122" s="180"/>
      <c r="AL122" s="180"/>
      <c r="AM122" s="180"/>
    </row>
    <row r="123" spans="1:39">
      <c r="A123" s="19"/>
      <c r="B123" s="19"/>
      <c r="C123" s="19"/>
      <c r="D123" s="19"/>
      <c r="E123" s="19"/>
      <c r="F123" s="19"/>
      <c r="G123" s="19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19"/>
      <c r="Y123" s="19"/>
      <c r="Z123" s="19"/>
      <c r="AA123" s="19"/>
      <c r="AB123" s="19"/>
      <c r="AC123" s="19"/>
      <c r="AD123" s="19"/>
      <c r="AE123" s="19"/>
      <c r="AF123" s="19"/>
      <c r="AG123" s="1433"/>
      <c r="AH123" s="180"/>
      <c r="AI123" s="180"/>
      <c r="AJ123" s="180"/>
      <c r="AK123" s="180"/>
      <c r="AL123" s="180"/>
      <c r="AM123" s="180"/>
    </row>
    <row r="124" spans="1:39">
      <c r="A124" s="19" t="s">
        <v>753</v>
      </c>
      <c r="B124" s="19"/>
      <c r="C124" s="19"/>
      <c r="D124" s="19"/>
      <c r="E124" s="19"/>
      <c r="F124" s="19"/>
      <c r="G124" s="19"/>
      <c r="H124" s="247">
        <f t="shared" ref="H124:R124" si="120">H125+H126+H127</f>
        <v>373</v>
      </c>
      <c r="I124" s="247">
        <f t="shared" si="120"/>
        <v>94</v>
      </c>
      <c r="J124" s="247">
        <f t="shared" si="120"/>
        <v>-635</v>
      </c>
      <c r="K124" s="247">
        <f t="shared" si="120"/>
        <v>479</v>
      </c>
      <c r="L124" s="247">
        <f t="shared" si="120"/>
        <v>-531</v>
      </c>
      <c r="M124" s="247">
        <f t="shared" si="120"/>
        <v>19</v>
      </c>
      <c r="N124" s="247">
        <f t="shared" si="120"/>
        <v>709</v>
      </c>
      <c r="O124" s="247">
        <f t="shared" si="120"/>
        <v>551</v>
      </c>
      <c r="P124" s="247">
        <f t="shared" si="120"/>
        <v>-1654</v>
      </c>
      <c r="Q124" s="247">
        <f t="shared" si="120"/>
        <v>-3248</v>
      </c>
      <c r="R124" s="247">
        <f t="shared" si="120"/>
        <v>-943</v>
      </c>
      <c r="S124" s="251">
        <v>3143</v>
      </c>
      <c r="T124" s="247">
        <f t="shared" ref="T124:Z124" si="121">SUM(T125:T127)</f>
        <v>-351</v>
      </c>
      <c r="U124" s="247">
        <f t="shared" si="121"/>
        <v>-283</v>
      </c>
      <c r="V124" s="247">
        <f t="shared" si="121"/>
        <v>-257</v>
      </c>
      <c r="W124" s="247">
        <f t="shared" si="121"/>
        <v>-497</v>
      </c>
      <c r="X124" s="247">
        <f t="shared" si="121"/>
        <v>-5072</v>
      </c>
      <c r="Y124" s="247">
        <f t="shared" si="121"/>
        <v>1850</v>
      </c>
      <c r="Z124" s="247">
        <f t="shared" si="121"/>
        <v>-5180</v>
      </c>
      <c r="AA124" s="19">
        <f t="shared" ref="AA124:AF124" si="122">AA125+AA126+AA127</f>
        <v>0</v>
      </c>
      <c r="AB124" s="19">
        <f t="shared" si="122"/>
        <v>0</v>
      </c>
      <c r="AC124" s="19">
        <f t="shared" si="122"/>
        <v>0</v>
      </c>
      <c r="AD124" s="19">
        <f t="shared" si="122"/>
        <v>0</v>
      </c>
      <c r="AE124" s="19">
        <f t="shared" si="122"/>
        <v>0</v>
      </c>
      <c r="AF124" s="19">
        <f t="shared" si="122"/>
        <v>0</v>
      </c>
      <c r="AG124" s="1433"/>
      <c r="AH124" s="180"/>
      <c r="AI124" s="180"/>
      <c r="AJ124" s="180"/>
      <c r="AK124" s="180"/>
      <c r="AL124" s="180"/>
      <c r="AM124" s="180"/>
    </row>
    <row r="125" spans="1:39">
      <c r="A125" s="249" t="s">
        <v>804</v>
      </c>
      <c r="B125" s="250"/>
      <c r="C125" s="250"/>
      <c r="D125" s="250"/>
      <c r="E125" s="250"/>
      <c r="F125" s="250"/>
      <c r="G125" s="250"/>
      <c r="H125" s="251">
        <v>-45</v>
      </c>
      <c r="I125" s="251">
        <v>-287</v>
      </c>
      <c r="J125" s="251">
        <v>-626</v>
      </c>
      <c r="K125" s="251">
        <v>576</v>
      </c>
      <c r="L125" s="251">
        <v>-275</v>
      </c>
      <c r="M125" s="251">
        <v>-11</v>
      </c>
      <c r="N125" s="251">
        <v>742</v>
      </c>
      <c r="O125" s="251">
        <v>374</v>
      </c>
      <c r="P125" s="251">
        <v>-1922</v>
      </c>
      <c r="Q125" s="251">
        <v>-2485</v>
      </c>
      <c r="R125" s="251">
        <v>-186</v>
      </c>
      <c r="S125" s="251">
        <v>3476</v>
      </c>
      <c r="T125" s="251">
        <v>-232</v>
      </c>
      <c r="U125" s="251">
        <v>175</v>
      </c>
      <c r="V125" s="251">
        <v>-216</v>
      </c>
      <c r="W125" s="251">
        <v>-528</v>
      </c>
      <c r="X125" s="251">
        <v>-4499</v>
      </c>
      <c r="Y125" s="251">
        <v>2239</v>
      </c>
      <c r="Z125" s="251">
        <v>-4670</v>
      </c>
      <c r="AA125" s="19"/>
      <c r="AB125" s="19"/>
      <c r="AC125" s="19"/>
      <c r="AD125" s="19"/>
      <c r="AE125" s="19"/>
      <c r="AF125" s="19"/>
      <c r="AG125" s="1433"/>
      <c r="AH125" s="180"/>
      <c r="AI125" s="180"/>
      <c r="AJ125" s="180"/>
      <c r="AK125" s="180"/>
      <c r="AL125" s="180"/>
      <c r="AM125" s="180"/>
    </row>
    <row r="126" spans="1:39">
      <c r="A126" s="249" t="s">
        <v>803</v>
      </c>
      <c r="B126" s="19"/>
      <c r="C126" s="19"/>
      <c r="D126" s="19"/>
      <c r="E126" s="19"/>
      <c r="F126" s="19"/>
      <c r="G126" s="19"/>
      <c r="H126" s="247">
        <f>1618-1245</f>
        <v>373</v>
      </c>
      <c r="I126" s="251">
        <v>342</v>
      </c>
      <c r="J126" s="251">
        <v>10</v>
      </c>
      <c r="K126" s="251">
        <v>-112</v>
      </c>
      <c r="L126" s="251">
        <v>-220</v>
      </c>
      <c r="M126" s="251">
        <v>45</v>
      </c>
      <c r="N126" s="251">
        <v>-42</v>
      </c>
      <c r="O126" s="251">
        <v>155</v>
      </c>
      <c r="P126" s="251">
        <v>343</v>
      </c>
      <c r="Q126" s="251">
        <v>-679</v>
      </c>
      <c r="R126" s="251">
        <v>-730</v>
      </c>
      <c r="S126" s="251">
        <v>-248</v>
      </c>
      <c r="T126" s="251">
        <v>-89</v>
      </c>
      <c r="U126" s="251">
        <v>-445</v>
      </c>
      <c r="V126" s="251">
        <v>-125</v>
      </c>
      <c r="W126" s="251">
        <v>106</v>
      </c>
      <c r="X126" s="251">
        <v>-518</v>
      </c>
      <c r="Y126" s="251">
        <v>-417</v>
      </c>
      <c r="Z126" s="251">
        <v>-463</v>
      </c>
      <c r="AA126" s="19"/>
      <c r="AB126" s="19"/>
      <c r="AC126" s="19"/>
      <c r="AD126" s="19"/>
      <c r="AE126" s="19"/>
      <c r="AF126" s="19"/>
      <c r="AG126" s="1433"/>
      <c r="AH126" s="180"/>
      <c r="AI126" s="180"/>
      <c r="AJ126" s="180"/>
      <c r="AK126" s="180"/>
      <c r="AL126" s="180"/>
      <c r="AM126" s="180"/>
    </row>
    <row r="127" spans="1:39">
      <c r="A127" s="249" t="s">
        <v>802</v>
      </c>
      <c r="B127" s="250"/>
      <c r="C127" s="250"/>
      <c r="D127" s="250"/>
      <c r="E127" s="250"/>
      <c r="F127" s="250"/>
      <c r="G127" s="250"/>
      <c r="H127" s="251">
        <v>45</v>
      </c>
      <c r="I127" s="251">
        <v>39</v>
      </c>
      <c r="J127" s="251">
        <v>-19</v>
      </c>
      <c r="K127" s="251">
        <v>15</v>
      </c>
      <c r="L127" s="251">
        <v>-36</v>
      </c>
      <c r="M127" s="251">
        <v>-15</v>
      </c>
      <c r="N127" s="251">
        <v>9</v>
      </c>
      <c r="O127" s="251">
        <v>22</v>
      </c>
      <c r="P127" s="251">
        <v>-75</v>
      </c>
      <c r="Q127" s="251">
        <v>-84</v>
      </c>
      <c r="R127" s="251">
        <v>-27</v>
      </c>
      <c r="S127" s="251">
        <v>95</v>
      </c>
      <c r="T127" s="251">
        <v>-30</v>
      </c>
      <c r="U127" s="251">
        <v>-13</v>
      </c>
      <c r="V127" s="251">
        <v>84</v>
      </c>
      <c r="W127" s="251">
        <v>-75</v>
      </c>
      <c r="X127" s="251">
        <v>-55</v>
      </c>
      <c r="Y127" s="251">
        <v>28</v>
      </c>
      <c r="Z127" s="251">
        <v>-47</v>
      </c>
      <c r="AA127" s="19"/>
      <c r="AB127" s="19"/>
      <c r="AC127" s="19"/>
      <c r="AD127" s="19"/>
      <c r="AE127" s="19"/>
      <c r="AF127" s="19"/>
      <c r="AG127" s="1433"/>
      <c r="AH127" s="180"/>
      <c r="AI127" s="180"/>
      <c r="AJ127" s="180"/>
      <c r="AK127" s="180"/>
      <c r="AL127" s="180"/>
      <c r="AM127" s="180"/>
    </row>
    <row r="128" spans="1:39">
      <c r="A128" s="19"/>
      <c r="B128" s="19"/>
      <c r="C128" s="19"/>
      <c r="D128" s="19"/>
      <c r="E128" s="19"/>
      <c r="F128" s="19"/>
      <c r="G128" s="19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19"/>
      <c r="Y128" s="19"/>
      <c r="Z128" s="19"/>
      <c r="AA128" s="19"/>
      <c r="AB128" s="19"/>
      <c r="AC128" s="19"/>
      <c r="AD128" s="19"/>
      <c r="AE128" s="19"/>
      <c r="AF128" s="19"/>
      <c r="AG128" s="1433"/>
      <c r="AH128" s="180"/>
      <c r="AI128" s="180"/>
      <c r="AJ128" s="180"/>
      <c r="AK128" s="180"/>
      <c r="AL128" s="180"/>
      <c r="AM128" s="180"/>
    </row>
    <row r="129" spans="1:39">
      <c r="A129" s="19" t="s">
        <v>752</v>
      </c>
      <c r="B129" s="19"/>
      <c r="C129" s="19"/>
      <c r="D129" s="19"/>
      <c r="E129" s="19"/>
      <c r="F129" s="19"/>
      <c r="G129" s="19"/>
      <c r="H129" s="247">
        <f t="shared" ref="H129:R129" si="123">SUM(H130:H136)</f>
        <v>-39</v>
      </c>
      <c r="I129" s="247">
        <f t="shared" si="123"/>
        <v>-50</v>
      </c>
      <c r="J129" s="247">
        <f t="shared" si="123"/>
        <v>-62</v>
      </c>
      <c r="K129" s="247">
        <f t="shared" si="123"/>
        <v>-145</v>
      </c>
      <c r="L129" s="247">
        <f t="shared" si="123"/>
        <v>-136</v>
      </c>
      <c r="M129" s="247">
        <f t="shared" si="123"/>
        <v>-127</v>
      </c>
      <c r="N129" s="247">
        <f t="shared" si="123"/>
        <v>-122</v>
      </c>
      <c r="O129" s="247">
        <f t="shared" si="123"/>
        <v>-70</v>
      </c>
      <c r="P129" s="247">
        <f t="shared" si="123"/>
        <v>-75</v>
      </c>
      <c r="Q129" s="247">
        <f t="shared" si="123"/>
        <v>-111</v>
      </c>
      <c r="R129" s="247">
        <f t="shared" si="123"/>
        <v>-58</v>
      </c>
      <c r="S129" s="251">
        <v>-22</v>
      </c>
      <c r="T129" s="251">
        <v>-58</v>
      </c>
      <c r="U129" s="251">
        <v>-47</v>
      </c>
      <c r="V129" s="251">
        <v>-42</v>
      </c>
      <c r="W129" s="251">
        <v>-14</v>
      </c>
      <c r="X129" s="4">
        <f>SUM(X131:X136)</f>
        <v>-35</v>
      </c>
      <c r="Y129" s="4">
        <f>SUM(Y131:Y136)</f>
        <v>-4</v>
      </c>
      <c r="Z129" s="4">
        <f>SUM(Z131:Z136)</f>
        <v>-28</v>
      </c>
      <c r="AA129" s="19">
        <f t="shared" ref="AA129:AF129" si="124">Z129</f>
        <v>-28</v>
      </c>
      <c r="AB129" s="19">
        <f t="shared" si="124"/>
        <v>-28</v>
      </c>
      <c r="AC129" s="19">
        <f t="shared" si="124"/>
        <v>-28</v>
      </c>
      <c r="AD129" s="19">
        <f t="shared" si="124"/>
        <v>-28</v>
      </c>
      <c r="AE129" s="19">
        <f t="shared" si="124"/>
        <v>-28</v>
      </c>
      <c r="AF129" s="19">
        <f t="shared" si="124"/>
        <v>-28</v>
      </c>
      <c r="AG129" s="1433"/>
      <c r="AH129" s="180"/>
      <c r="AI129" s="180"/>
      <c r="AJ129" s="180"/>
      <c r="AK129" s="180"/>
      <c r="AL129" s="180"/>
      <c r="AM129" s="180"/>
    </row>
    <row r="130" spans="1:39">
      <c r="A130" s="249" t="s">
        <v>801</v>
      </c>
      <c r="B130" s="19"/>
      <c r="C130" s="19"/>
      <c r="D130" s="19"/>
      <c r="E130" s="19"/>
      <c r="F130" s="19"/>
      <c r="G130" s="19"/>
      <c r="H130" s="247"/>
      <c r="I130" s="247"/>
      <c r="J130" s="247"/>
      <c r="K130" s="251">
        <v>0</v>
      </c>
      <c r="L130" s="251">
        <v>-19</v>
      </c>
      <c r="M130" s="251">
        <v>-9</v>
      </c>
      <c r="N130" s="251">
        <v>-1</v>
      </c>
      <c r="O130" s="251">
        <v>-6</v>
      </c>
      <c r="P130" s="251">
        <v>-11</v>
      </c>
      <c r="Q130" s="251">
        <v>-40</v>
      </c>
      <c r="R130" s="251">
        <v>15</v>
      </c>
      <c r="S130" s="251">
        <v>4</v>
      </c>
      <c r="T130" s="251">
        <v>4</v>
      </c>
      <c r="U130" s="247">
        <f>2+6-1</f>
        <v>7</v>
      </c>
      <c r="V130" s="251">
        <v>-13</v>
      </c>
      <c r="W130" s="251">
        <v>-1</v>
      </c>
      <c r="X130" s="251"/>
      <c r="Y130" s="251"/>
      <c r="Z130" s="251"/>
      <c r="AA130" s="19"/>
      <c r="AB130" s="19"/>
      <c r="AC130" s="19"/>
      <c r="AD130" s="19"/>
      <c r="AE130" s="19"/>
      <c r="AF130" s="19"/>
      <c r="AG130" s="1433"/>
      <c r="AH130" s="180"/>
      <c r="AI130" s="180"/>
      <c r="AJ130" s="180"/>
      <c r="AK130" s="180"/>
      <c r="AL130" s="180"/>
      <c r="AM130" s="180"/>
    </row>
    <row r="131" spans="1:39">
      <c r="A131" s="249" t="s">
        <v>800</v>
      </c>
      <c r="B131" s="19"/>
      <c r="C131" s="19"/>
      <c r="D131" s="19"/>
      <c r="E131" s="19"/>
      <c r="F131" s="19"/>
      <c r="G131" s="19"/>
      <c r="H131" s="247"/>
      <c r="I131" s="247"/>
      <c r="J131" s="247"/>
      <c r="K131" s="251">
        <v>-17</v>
      </c>
      <c r="L131" s="251">
        <v>-6</v>
      </c>
      <c r="M131" s="251">
        <v>-9</v>
      </c>
      <c r="N131" s="251">
        <v>-3</v>
      </c>
      <c r="O131" s="251">
        <v>-8</v>
      </c>
      <c r="P131" s="251">
        <v>-1</v>
      </c>
      <c r="Q131" s="251">
        <v>-3</v>
      </c>
      <c r="R131" s="251">
        <v>-3</v>
      </c>
      <c r="S131" s="251">
        <v>-2</v>
      </c>
      <c r="T131" s="251">
        <v>1</v>
      </c>
      <c r="U131" s="251">
        <v>-5</v>
      </c>
      <c r="V131" s="247"/>
      <c r="W131" s="247"/>
      <c r="X131" s="247"/>
      <c r="Y131" s="247"/>
      <c r="Z131" s="247"/>
      <c r="AA131" s="19"/>
      <c r="AB131" s="19"/>
      <c r="AC131" s="19"/>
      <c r="AD131" s="19"/>
      <c r="AE131" s="19"/>
      <c r="AF131" s="19"/>
      <c r="AG131" s="1433"/>
      <c r="AH131" s="180"/>
      <c r="AI131" s="180"/>
      <c r="AJ131" s="180"/>
      <c r="AK131" s="180"/>
      <c r="AL131" s="180"/>
      <c r="AM131" s="180"/>
    </row>
    <row r="132" spans="1:39">
      <c r="A132" s="249" t="s">
        <v>799</v>
      </c>
      <c r="B132" s="19"/>
      <c r="C132" s="19"/>
      <c r="D132" s="19"/>
      <c r="E132" s="19"/>
      <c r="F132" s="19"/>
      <c r="G132" s="19"/>
      <c r="H132" s="247"/>
      <c r="I132" s="247"/>
      <c r="J132" s="247"/>
      <c r="K132" s="251">
        <v>6</v>
      </c>
      <c r="L132" s="251">
        <v>3</v>
      </c>
      <c r="M132" s="251">
        <v>3</v>
      </c>
      <c r="N132" s="251">
        <v>2</v>
      </c>
      <c r="O132" s="251">
        <v>3</v>
      </c>
      <c r="P132" s="251">
        <v>3</v>
      </c>
      <c r="Q132" s="251">
        <v>6</v>
      </c>
      <c r="R132" s="251">
        <v>2</v>
      </c>
      <c r="S132" s="251">
        <v>3</v>
      </c>
      <c r="T132" s="251">
        <v>1</v>
      </c>
      <c r="U132" s="251">
        <v>3</v>
      </c>
      <c r="V132" s="251">
        <v>2</v>
      </c>
      <c r="W132" s="251">
        <v>4</v>
      </c>
      <c r="X132" s="251">
        <v>7</v>
      </c>
      <c r="Y132" s="251">
        <v>7</v>
      </c>
      <c r="Z132" s="251">
        <v>8</v>
      </c>
      <c r="AA132" s="19"/>
      <c r="AB132" s="19"/>
      <c r="AC132" s="19"/>
      <c r="AD132" s="19"/>
      <c r="AE132" s="19"/>
      <c r="AF132" s="19"/>
      <c r="AG132" s="1433"/>
      <c r="AH132" s="180"/>
      <c r="AI132" s="180"/>
      <c r="AJ132" s="180"/>
      <c r="AK132" s="180"/>
      <c r="AL132" s="180"/>
      <c r="AM132" s="180"/>
    </row>
    <row r="133" spans="1:39">
      <c r="A133" s="249" t="s">
        <v>798</v>
      </c>
      <c r="B133" s="19"/>
      <c r="C133" s="19"/>
      <c r="D133" s="19"/>
      <c r="E133" s="19"/>
      <c r="F133" s="19"/>
      <c r="G133" s="19"/>
      <c r="H133" s="247">
        <f>29-2</f>
        <v>27</v>
      </c>
      <c r="I133" s="251">
        <v>-4</v>
      </c>
      <c r="J133" s="247">
        <f>-122+91</f>
        <v>-31</v>
      </c>
      <c r="K133" s="251">
        <v>-4</v>
      </c>
      <c r="L133" s="251">
        <v>-1</v>
      </c>
      <c r="M133" s="251">
        <v>-7</v>
      </c>
      <c r="N133" s="247"/>
      <c r="O133" s="251">
        <v>2</v>
      </c>
      <c r="P133" s="251">
        <v>-3</v>
      </c>
      <c r="Q133" s="251">
        <v>-4</v>
      </c>
      <c r="R133" s="251">
        <v>4</v>
      </c>
      <c r="S133" s="251">
        <v>0</v>
      </c>
      <c r="T133" s="251">
        <v>-1</v>
      </c>
      <c r="U133" s="251">
        <v>1</v>
      </c>
      <c r="V133" s="247"/>
      <c r="W133" s="247">
        <v>1</v>
      </c>
      <c r="X133" s="247">
        <v>-1</v>
      </c>
      <c r="Y133" s="247">
        <v>-2</v>
      </c>
      <c r="Z133" s="247">
        <v>-3</v>
      </c>
      <c r="AA133" s="19"/>
      <c r="AB133" s="19"/>
      <c r="AC133" s="19"/>
      <c r="AD133" s="19"/>
      <c r="AE133" s="19"/>
      <c r="AF133" s="19"/>
      <c r="AG133" s="1433"/>
      <c r="AH133" s="180"/>
      <c r="AI133" s="180"/>
      <c r="AJ133" s="180"/>
      <c r="AK133" s="180"/>
      <c r="AL133" s="180"/>
      <c r="AM133" s="180"/>
    </row>
    <row r="134" spans="1:39">
      <c r="A134" s="249" t="s">
        <v>797</v>
      </c>
      <c r="B134" s="19"/>
      <c r="C134" s="19"/>
      <c r="D134" s="19"/>
      <c r="E134" s="19"/>
      <c r="F134" s="19"/>
      <c r="G134" s="19"/>
      <c r="H134" s="247"/>
      <c r="I134" s="247"/>
      <c r="J134" s="247"/>
      <c r="K134" s="251">
        <v>-20</v>
      </c>
      <c r="L134" s="251">
        <v>-20</v>
      </c>
      <c r="M134" s="251">
        <v>-17</v>
      </c>
      <c r="N134" s="251">
        <v>-23</v>
      </c>
      <c r="O134" s="251">
        <v>-24</v>
      </c>
      <c r="P134" s="251">
        <v>-25</v>
      </c>
      <c r="Q134" s="251">
        <v>-19</v>
      </c>
      <c r="R134" s="251">
        <v>-16</v>
      </c>
      <c r="S134" s="251">
        <v>-12</v>
      </c>
      <c r="T134" s="251">
        <v>-14</v>
      </c>
      <c r="U134" s="251">
        <v>-13</v>
      </c>
      <c r="V134" s="251">
        <v>-7</v>
      </c>
      <c r="W134" s="251">
        <v>-5</v>
      </c>
      <c r="X134" s="251">
        <v>-6</v>
      </c>
      <c r="Y134" s="251">
        <v>-18</v>
      </c>
      <c r="Z134" s="251">
        <v>-19</v>
      </c>
      <c r="AA134" s="19"/>
      <c r="AB134" s="19"/>
      <c r="AC134" s="19"/>
      <c r="AD134" s="19"/>
      <c r="AE134" s="19"/>
      <c r="AF134" s="19"/>
      <c r="AG134" s="1433"/>
      <c r="AH134" s="180"/>
      <c r="AI134" s="180"/>
      <c r="AJ134" s="180"/>
      <c r="AK134" s="180"/>
      <c r="AL134" s="180"/>
      <c r="AM134" s="180"/>
    </row>
    <row r="135" spans="1:39">
      <c r="A135" s="249" t="s">
        <v>796</v>
      </c>
      <c r="B135" s="250"/>
      <c r="C135" s="250"/>
      <c r="D135" s="250"/>
      <c r="E135" s="250"/>
      <c r="F135" s="250"/>
      <c r="G135" s="250"/>
      <c r="H135" s="251">
        <v>-35</v>
      </c>
      <c r="I135" s="251">
        <v>-30</v>
      </c>
      <c r="J135" s="251">
        <v>-35</v>
      </c>
      <c r="K135" s="251">
        <v>-118</v>
      </c>
      <c r="L135" s="251">
        <v>-74</v>
      </c>
      <c r="M135" s="251">
        <v>-69</v>
      </c>
      <c r="N135" s="251">
        <v>-90</v>
      </c>
      <c r="O135" s="251">
        <v>-50</v>
      </c>
      <c r="P135" s="251">
        <v>-55</v>
      </c>
      <c r="Q135" s="251">
        <v>-60</v>
      </c>
      <c r="R135" s="251">
        <v>-71</v>
      </c>
      <c r="S135" s="251">
        <v>-35</v>
      </c>
      <c r="T135" s="251">
        <v>-26</v>
      </c>
      <c r="U135" s="251">
        <v>-39</v>
      </c>
      <c r="V135" s="251">
        <v>-28</v>
      </c>
      <c r="W135" s="251">
        <v>-9</v>
      </c>
      <c r="X135" s="251">
        <v>29</v>
      </c>
      <c r="Y135" s="251">
        <v>-16</v>
      </c>
      <c r="Z135" s="251">
        <v>-18</v>
      </c>
      <c r="AA135" s="19"/>
      <c r="AB135" s="19"/>
      <c r="AC135" s="19"/>
      <c r="AD135" s="19"/>
      <c r="AE135" s="19"/>
      <c r="AF135" s="19"/>
      <c r="AG135" s="1433"/>
      <c r="AH135" s="180"/>
      <c r="AI135" s="180"/>
      <c r="AJ135" s="180"/>
      <c r="AK135" s="180"/>
      <c r="AL135" s="180"/>
      <c r="AM135" s="180"/>
    </row>
    <row r="136" spans="1:39">
      <c r="A136" s="249" t="s">
        <v>752</v>
      </c>
      <c r="B136" s="19"/>
      <c r="C136" s="19"/>
      <c r="D136" s="19"/>
      <c r="E136" s="19"/>
      <c r="F136" s="19"/>
      <c r="G136" s="19"/>
      <c r="H136" s="247">
        <f>-29-2</f>
        <v>-31</v>
      </c>
      <c r="I136" s="247">
        <f>-1-15</f>
        <v>-16</v>
      </c>
      <c r="J136" s="251">
        <v>4</v>
      </c>
      <c r="K136" s="247">
        <f>-6-2+16</f>
        <v>8</v>
      </c>
      <c r="L136" s="247">
        <f>-6-1-12</f>
        <v>-19</v>
      </c>
      <c r="M136" s="251">
        <v>-19</v>
      </c>
      <c r="N136" s="251">
        <v>-7</v>
      </c>
      <c r="O136" s="247">
        <f>12+1</f>
        <v>13</v>
      </c>
      <c r="P136" s="247">
        <f>19-5+3</f>
        <v>17</v>
      </c>
      <c r="Q136" s="247">
        <f>5+4</f>
        <v>9</v>
      </c>
      <c r="R136" s="251">
        <v>11</v>
      </c>
      <c r="S136" s="247">
        <f>3+17</f>
        <v>20</v>
      </c>
      <c r="T136" s="251">
        <v>-23</v>
      </c>
      <c r="U136" s="251">
        <v>-1</v>
      </c>
      <c r="V136" s="251">
        <v>4</v>
      </c>
      <c r="W136" s="251">
        <v>-4</v>
      </c>
      <c r="X136" s="251">
        <f>-6-52-13+6+1</f>
        <v>-64</v>
      </c>
      <c r="Y136" s="251">
        <f>12+15-1-1</f>
        <v>25</v>
      </c>
      <c r="Z136" s="251">
        <f>-21+7+18</f>
        <v>4</v>
      </c>
      <c r="AA136" s="19"/>
      <c r="AB136" s="19"/>
      <c r="AC136" s="19"/>
      <c r="AD136" s="19"/>
      <c r="AE136" s="19"/>
      <c r="AF136" s="19"/>
      <c r="AG136" s="1433"/>
      <c r="AH136" s="180"/>
      <c r="AI136" s="180"/>
      <c r="AJ136" s="180"/>
      <c r="AK136" s="180"/>
      <c r="AL136" s="180"/>
      <c r="AM136" s="180"/>
    </row>
    <row r="137" spans="1:39">
      <c r="A137" s="19"/>
      <c r="B137" s="19"/>
      <c r="C137" s="19"/>
      <c r="D137" s="19"/>
      <c r="E137" s="19"/>
      <c r="F137" s="19"/>
      <c r="G137" s="19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19"/>
      <c r="Y137" s="19"/>
      <c r="Z137" s="19"/>
      <c r="AA137" s="19"/>
      <c r="AB137" s="19"/>
      <c r="AC137" s="19"/>
      <c r="AD137" s="19"/>
      <c r="AE137" s="19"/>
      <c r="AF137" s="19"/>
      <c r="AG137" s="1433"/>
      <c r="AH137" s="180"/>
      <c r="AI137" s="180"/>
      <c r="AJ137" s="180"/>
      <c r="AK137" s="180"/>
      <c r="AL137" s="180"/>
      <c r="AM137" s="180"/>
    </row>
    <row r="138" spans="1:39">
      <c r="A138" s="19" t="s">
        <v>795</v>
      </c>
      <c r="B138" s="245"/>
      <c r="C138" s="245"/>
      <c r="D138" s="245"/>
      <c r="E138" s="245"/>
      <c r="F138" s="245"/>
      <c r="G138" s="245"/>
      <c r="H138" s="247">
        <f>'Balance Sheet'!H39+'Balance Sheet'!H31+'Balance Sheet'!H30</f>
        <v>-1735</v>
      </c>
      <c r="I138" s="247">
        <f>'Balance Sheet'!I39+'Balance Sheet'!I31+'Balance Sheet'!I30</f>
        <v>-1489</v>
      </c>
      <c r="J138" s="247">
        <f>'Balance Sheet'!J39+'Balance Sheet'!J31+'Balance Sheet'!J30</f>
        <v>-2252</v>
      </c>
      <c r="K138" s="247">
        <f>'Balance Sheet'!K39+'Balance Sheet'!K31+'Balance Sheet'!K30</f>
        <v>-3271</v>
      </c>
      <c r="L138" s="247">
        <f>'Balance Sheet'!L39+'Balance Sheet'!L31+'Balance Sheet'!L30</f>
        <v>-2752</v>
      </c>
      <c r="M138" s="247">
        <f>'Balance Sheet'!M39+'Balance Sheet'!M31+'Balance Sheet'!M30</f>
        <v>-3127</v>
      </c>
      <c r="N138" s="247">
        <f>'Balance Sheet'!N39+'Balance Sheet'!N31+'Balance Sheet'!N30</f>
        <v>-3845</v>
      </c>
      <c r="O138" s="247">
        <f>'Balance Sheet'!O39+'Balance Sheet'!O31+'Balance Sheet'!O30</f>
        <v>-3406</v>
      </c>
      <c r="P138" s="247">
        <f>'Balance Sheet'!P39+'Balance Sheet'!P31+'Balance Sheet'!P30</f>
        <v>-3878</v>
      </c>
      <c r="Q138" s="247">
        <f>'Balance Sheet'!Q39+'Balance Sheet'!Q31+'Balance Sheet'!Q30</f>
        <v>-3336</v>
      </c>
      <c r="R138" s="247">
        <f>'Balance Sheet'!R39+'Balance Sheet'!R31+'Balance Sheet'!R30</f>
        <v>-4036</v>
      </c>
      <c r="S138" s="247">
        <f>'Balance Sheet'!S39+'Balance Sheet'!S31+16</f>
        <v>-4620</v>
      </c>
      <c r="T138" s="247">
        <f>'Balance Sheet'!T39+'Balance Sheet'!T31</f>
        <v>-5605</v>
      </c>
      <c r="U138" s="247">
        <f>'Balance Sheet'!U39+'Balance Sheet'!U31</f>
        <v>-6779</v>
      </c>
      <c r="V138" s="247">
        <f>'Balance Sheet'!V39+'Balance Sheet'!V31</f>
        <v>-6591</v>
      </c>
      <c r="W138" s="247">
        <f>'Balance Sheet'!W39+'Balance Sheet'!W31</f>
        <v>-6814</v>
      </c>
      <c r="X138" s="245">
        <f>'Balance Sheet'!X39+'Balance Sheet'!X31</f>
        <v>-6655</v>
      </c>
      <c r="Y138" s="245">
        <f>'Balance Sheet'!Y39+'Balance Sheet'!Y31</f>
        <v>-6299</v>
      </c>
      <c r="Z138" s="245">
        <f>'Balance Sheet'!Z39+'Balance Sheet'!Z31</f>
        <v>-4776</v>
      </c>
      <c r="AA138" s="274">
        <f>'Balance Sheet'!AA39+'Balance Sheet'!AA31</f>
        <v>-4776</v>
      </c>
      <c r="AB138" s="274">
        <f>'Balance Sheet'!AB39+'Balance Sheet'!AB31</f>
        <v>-4776</v>
      </c>
      <c r="AC138" s="274">
        <f>'Balance Sheet'!AC39+'Balance Sheet'!AC31</f>
        <v>-4776</v>
      </c>
      <c r="AD138" s="274">
        <f>'Balance Sheet'!AD39+'Balance Sheet'!AD31</f>
        <v>-4776</v>
      </c>
      <c r="AE138" s="274">
        <f>'Balance Sheet'!AE39+'Balance Sheet'!AE31</f>
        <v>-4776</v>
      </c>
      <c r="AF138" s="274">
        <f>'Balance Sheet'!AF39+'Balance Sheet'!AF31</f>
        <v>-4776</v>
      </c>
      <c r="AG138" s="1433"/>
      <c r="AH138" s="180"/>
      <c r="AI138" s="180"/>
      <c r="AJ138" s="180"/>
      <c r="AK138" s="180"/>
      <c r="AL138" s="180"/>
      <c r="AM138" s="180"/>
    </row>
    <row r="139" spans="1:39">
      <c r="A139" s="19" t="s">
        <v>751</v>
      </c>
      <c r="B139" s="245"/>
      <c r="C139" s="245"/>
      <c r="D139" s="245"/>
      <c r="E139" s="245"/>
      <c r="F139" s="245"/>
      <c r="G139" s="245"/>
      <c r="H139" s="247">
        <f>'Balance Sheet'!H23</f>
        <v>743</v>
      </c>
      <c r="I139" s="247">
        <f>'Balance Sheet'!I23</f>
        <v>730</v>
      </c>
      <c r="J139" s="247">
        <f>'Balance Sheet'!J23</f>
        <v>919</v>
      </c>
      <c r="K139" s="247">
        <f>'Balance Sheet'!K23</f>
        <v>2080</v>
      </c>
      <c r="L139" s="247">
        <f>'Balance Sheet'!L23</f>
        <v>2062</v>
      </c>
      <c r="M139" s="247">
        <f>'Balance Sheet'!M23</f>
        <v>1431</v>
      </c>
      <c r="N139" s="247">
        <f>'Balance Sheet'!N23</f>
        <v>2193</v>
      </c>
      <c r="O139" s="247">
        <f>'Balance Sheet'!O23</f>
        <v>1547</v>
      </c>
      <c r="P139" s="247">
        <f>'Balance Sheet'!P23</f>
        <v>1633</v>
      </c>
      <c r="Q139" s="247">
        <f>'Balance Sheet'!Q23</f>
        <v>1845</v>
      </c>
      <c r="R139" s="247">
        <f>'Balance Sheet'!R23</f>
        <v>1926</v>
      </c>
      <c r="S139" s="247">
        <f>'Balance Sheet'!S23</f>
        <v>4914</v>
      </c>
      <c r="T139" s="247">
        <f>'Balance Sheet'!T23</f>
        <v>2330</v>
      </c>
      <c r="U139" s="247">
        <f>'Balance Sheet'!U23</f>
        <v>2632</v>
      </c>
      <c r="V139" s="247">
        <f>'Balance Sheet'!V23</f>
        <v>3747</v>
      </c>
      <c r="W139" s="247">
        <f>'Balance Sheet'!W23</f>
        <v>5247</v>
      </c>
      <c r="X139" s="245">
        <f>'Balance Sheet'!X23</f>
        <v>6687</v>
      </c>
      <c r="Y139" s="245">
        <f>'Balance Sheet'!Y23</f>
        <v>6676</v>
      </c>
      <c r="Z139" s="245">
        <f>'Balance Sheet'!Z23</f>
        <v>6514</v>
      </c>
      <c r="AA139" s="274">
        <f>'Balance Sheet'!AA23</f>
        <v>7326.351789321775</v>
      </c>
      <c r="AB139" s="274">
        <f>'Balance Sheet'!AB23</f>
        <v>8656.394366591212</v>
      </c>
      <c r="AC139" s="274">
        <f>'Balance Sheet'!AC23</f>
        <v>10191.541719840305</v>
      </c>
      <c r="AD139" s="274">
        <f>'Balance Sheet'!AD23</f>
        <v>12126.354601135188</v>
      </c>
      <c r="AE139" s="274">
        <f>'Balance Sheet'!AE23</f>
        <v>15580.022431859103</v>
      </c>
      <c r="AF139" s="274">
        <f>'Balance Sheet'!AF23</f>
        <v>19331.617563934884</v>
      </c>
      <c r="AG139" s="1433"/>
      <c r="AH139" s="180"/>
      <c r="AI139" s="180"/>
      <c r="AJ139" s="180"/>
      <c r="AK139" s="180"/>
      <c r="AL139" s="180"/>
      <c r="AM139" s="180"/>
    </row>
    <row r="140" spans="1:39">
      <c r="A140" s="19"/>
      <c r="B140" s="245"/>
      <c r="C140" s="245"/>
      <c r="D140" s="245"/>
      <c r="E140" s="245"/>
      <c r="F140" s="245"/>
      <c r="G140" s="245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1433"/>
      <c r="AH140" s="180"/>
      <c r="AI140" s="180"/>
      <c r="AJ140" s="180"/>
      <c r="AK140" s="180"/>
      <c r="AL140" s="180"/>
      <c r="AM140" s="180"/>
    </row>
    <row r="141" spans="1:39">
      <c r="A141" s="19" t="s">
        <v>794</v>
      </c>
      <c r="B141" s="245"/>
      <c r="C141" s="245"/>
      <c r="D141" s="245"/>
      <c r="E141" s="245"/>
      <c r="F141" s="245"/>
      <c r="G141" s="245"/>
      <c r="H141" s="247">
        <f>AVERAGE(H138)</f>
        <v>-1735</v>
      </c>
      <c r="I141" s="247">
        <f t="shared" ref="I141:Z141" si="125">AVERAGE(H138:I138)</f>
        <v>-1612</v>
      </c>
      <c r="J141" s="247">
        <f t="shared" si="125"/>
        <v>-1870.5</v>
      </c>
      <c r="K141" s="247">
        <f t="shared" si="125"/>
        <v>-2761.5</v>
      </c>
      <c r="L141" s="247">
        <f t="shared" si="125"/>
        <v>-3011.5</v>
      </c>
      <c r="M141" s="247">
        <f t="shared" si="125"/>
        <v>-2939.5</v>
      </c>
      <c r="N141" s="247">
        <f t="shared" si="125"/>
        <v>-3486</v>
      </c>
      <c r="O141" s="247">
        <f t="shared" si="125"/>
        <v>-3625.5</v>
      </c>
      <c r="P141" s="247">
        <f t="shared" si="125"/>
        <v>-3642</v>
      </c>
      <c r="Q141" s="247">
        <f t="shared" si="125"/>
        <v>-3607</v>
      </c>
      <c r="R141" s="247">
        <f t="shared" si="125"/>
        <v>-3686</v>
      </c>
      <c r="S141" s="247">
        <f t="shared" si="125"/>
        <v>-4328</v>
      </c>
      <c r="T141" s="247">
        <f t="shared" si="125"/>
        <v>-5112.5</v>
      </c>
      <c r="U141" s="247">
        <f t="shared" si="125"/>
        <v>-6192</v>
      </c>
      <c r="V141" s="247">
        <f t="shared" si="125"/>
        <v>-6685</v>
      </c>
      <c r="W141" s="247">
        <f t="shared" si="125"/>
        <v>-6702.5</v>
      </c>
      <c r="X141" s="245">
        <f t="shared" si="125"/>
        <v>-6734.5</v>
      </c>
      <c r="Y141" s="245">
        <f t="shared" si="125"/>
        <v>-6477</v>
      </c>
      <c r="Z141" s="245">
        <f t="shared" si="125"/>
        <v>-5537.5</v>
      </c>
      <c r="AA141" s="245">
        <f t="shared" ref="AA141:AA142" si="126">AVERAGE(Z138:AA138)</f>
        <v>-4776</v>
      </c>
      <c r="AB141" s="245">
        <f t="shared" ref="AB141:AB142" si="127">AVERAGE(AA138:AB138)</f>
        <v>-4776</v>
      </c>
      <c r="AC141" s="245">
        <f t="shared" ref="AC141:AC142" si="128">AVERAGE(AB138:AC138)</f>
        <v>-4776</v>
      </c>
      <c r="AD141" s="245">
        <f t="shared" ref="AD141:AD142" si="129">AVERAGE(AC138:AD138)</f>
        <v>-4776</v>
      </c>
      <c r="AE141" s="245">
        <f t="shared" ref="AE141:AE142" si="130">AVERAGE(AD138:AE138)</f>
        <v>-4776</v>
      </c>
      <c r="AF141" s="245">
        <f t="shared" ref="AF141:AF142" si="131">AVERAGE(AE138:AF138)</f>
        <v>-4776</v>
      </c>
      <c r="AG141" s="1433"/>
      <c r="AH141" s="180"/>
      <c r="AI141" s="180"/>
      <c r="AJ141" s="180"/>
      <c r="AK141" s="180"/>
      <c r="AL141" s="180"/>
      <c r="AM141" s="180"/>
    </row>
    <row r="142" spans="1:39">
      <c r="A142" s="19" t="s">
        <v>793</v>
      </c>
      <c r="B142" s="245"/>
      <c r="C142" s="245"/>
      <c r="D142" s="245"/>
      <c r="E142" s="245"/>
      <c r="F142" s="245"/>
      <c r="G142" s="245"/>
      <c r="H142" s="247"/>
      <c r="I142" s="247">
        <f t="shared" ref="I142:Z142" si="132">AVERAGE(H139:I139)</f>
        <v>736.5</v>
      </c>
      <c r="J142" s="247">
        <f t="shared" si="132"/>
        <v>824.5</v>
      </c>
      <c r="K142" s="247">
        <f t="shared" si="132"/>
        <v>1499.5</v>
      </c>
      <c r="L142" s="247">
        <f t="shared" si="132"/>
        <v>2071</v>
      </c>
      <c r="M142" s="247">
        <f t="shared" si="132"/>
        <v>1746.5</v>
      </c>
      <c r="N142" s="247">
        <f t="shared" si="132"/>
        <v>1812</v>
      </c>
      <c r="O142" s="247">
        <f t="shared" si="132"/>
        <v>1870</v>
      </c>
      <c r="P142" s="247">
        <f t="shared" si="132"/>
        <v>1590</v>
      </c>
      <c r="Q142" s="247">
        <f t="shared" si="132"/>
        <v>1739</v>
      </c>
      <c r="R142" s="247">
        <f t="shared" si="132"/>
        <v>1885.5</v>
      </c>
      <c r="S142" s="247">
        <f t="shared" si="132"/>
        <v>3420</v>
      </c>
      <c r="T142" s="247">
        <f t="shared" si="132"/>
        <v>3622</v>
      </c>
      <c r="U142" s="247">
        <f t="shared" si="132"/>
        <v>2481</v>
      </c>
      <c r="V142" s="247">
        <f t="shared" si="132"/>
        <v>3189.5</v>
      </c>
      <c r="W142" s="247">
        <f t="shared" si="132"/>
        <v>4497</v>
      </c>
      <c r="X142" s="245">
        <f t="shared" si="132"/>
        <v>5967</v>
      </c>
      <c r="Y142" s="245">
        <f t="shared" si="132"/>
        <v>6681.5</v>
      </c>
      <c r="Z142" s="245">
        <f t="shared" si="132"/>
        <v>6595</v>
      </c>
      <c r="AA142" s="245">
        <f t="shared" si="126"/>
        <v>6920.1758946608879</v>
      </c>
      <c r="AB142" s="245">
        <f t="shared" si="127"/>
        <v>7991.3730779564939</v>
      </c>
      <c r="AC142" s="245">
        <f t="shared" si="128"/>
        <v>9423.9680432157584</v>
      </c>
      <c r="AD142" s="245">
        <f t="shared" si="129"/>
        <v>11158.948160487747</v>
      </c>
      <c r="AE142" s="245">
        <f t="shared" si="130"/>
        <v>13853.188516497146</v>
      </c>
      <c r="AF142" s="245">
        <f t="shared" si="131"/>
        <v>17455.819997896993</v>
      </c>
      <c r="AG142" s="1433"/>
      <c r="AH142" s="180"/>
      <c r="AI142" s="180"/>
      <c r="AJ142" s="180"/>
      <c r="AK142" s="180"/>
      <c r="AL142" s="180"/>
      <c r="AM142" s="180"/>
    </row>
    <row r="143" spans="1:3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433"/>
      <c r="AH143" s="180"/>
      <c r="AI143" s="180"/>
      <c r="AJ143" s="180"/>
      <c r="AK143" s="180"/>
      <c r="AL143" s="180"/>
      <c r="AM143" s="180"/>
    </row>
    <row r="144" spans="1:39">
      <c r="A144" s="19" t="s">
        <v>792</v>
      </c>
      <c r="B144" s="246"/>
      <c r="C144" s="246"/>
      <c r="D144" s="246"/>
      <c r="E144" s="246"/>
      <c r="F144" s="246"/>
      <c r="G144" s="246"/>
      <c r="H144" s="246">
        <f t="shared" ref="H144:Z144" si="133">H121/H141</f>
        <v>3.3429394812680112E-2</v>
      </c>
      <c r="I144" s="246">
        <f t="shared" si="133"/>
        <v>3.4739454094292806E-2</v>
      </c>
      <c r="J144" s="246">
        <f t="shared" si="133"/>
        <v>2.8869286287089013E-2</v>
      </c>
      <c r="K144" s="246">
        <f t="shared" si="133"/>
        <v>2.0278833967046894E-2</v>
      </c>
      <c r="L144" s="246">
        <f t="shared" si="133"/>
        <v>1.992362609995019E-2</v>
      </c>
      <c r="M144" s="246">
        <f t="shared" si="133"/>
        <v>2.415376764755911E-2</v>
      </c>
      <c r="N144" s="246">
        <f t="shared" si="133"/>
        <v>2.7825588066551922E-2</v>
      </c>
      <c r="O144" s="246">
        <f t="shared" si="133"/>
        <v>2.3445042063163703E-2</v>
      </c>
      <c r="P144" s="246">
        <f t="shared" si="133"/>
        <v>2.1965952773201538E-2</v>
      </c>
      <c r="Q144" s="246">
        <f t="shared" si="133"/>
        <v>1.6911560853895204E-2</v>
      </c>
      <c r="R144" s="246">
        <f t="shared" si="133"/>
        <v>1.9262072707542051E-2</v>
      </c>
      <c r="S144" s="246">
        <f t="shared" si="133"/>
        <v>1.6635859519408502E-2</v>
      </c>
      <c r="T144" s="246">
        <f t="shared" si="133"/>
        <v>1.8581907090464547E-2</v>
      </c>
      <c r="U144" s="246">
        <f t="shared" si="133"/>
        <v>1.308139534883721E-2</v>
      </c>
      <c r="V144" s="246">
        <f t="shared" si="133"/>
        <v>1.1967090501121914E-2</v>
      </c>
      <c r="W144" s="246">
        <f t="shared" si="133"/>
        <v>1.4919806042521447E-2</v>
      </c>
      <c r="X144" s="246">
        <f t="shared" si="133"/>
        <v>1.3957977578142402E-2</v>
      </c>
      <c r="Y144" s="246">
        <f t="shared" si="133"/>
        <v>1.8218310946425814E-2</v>
      </c>
      <c r="Z144" s="246">
        <f t="shared" si="133"/>
        <v>1.6613995485327313E-2</v>
      </c>
      <c r="AA144" s="926">
        <v>2.1999999999999999E-2</v>
      </c>
      <c r="AB144" s="926">
        <f t="shared" ref="AB144:AF144" si="134">AA144</f>
        <v>2.1999999999999999E-2</v>
      </c>
      <c r="AC144" s="926">
        <f t="shared" si="134"/>
        <v>2.1999999999999999E-2</v>
      </c>
      <c r="AD144" s="926">
        <f t="shared" si="134"/>
        <v>2.1999999999999999E-2</v>
      </c>
      <c r="AE144" s="926">
        <f t="shared" si="134"/>
        <v>2.1999999999999999E-2</v>
      </c>
      <c r="AF144" s="926">
        <f t="shared" si="134"/>
        <v>2.1999999999999999E-2</v>
      </c>
      <c r="AG144" s="1433"/>
      <c r="AH144" s="180"/>
      <c r="AI144" s="180"/>
      <c r="AJ144" s="180"/>
      <c r="AK144" s="180"/>
      <c r="AL144" s="180"/>
      <c r="AM144" s="180"/>
    </row>
    <row r="145" spans="1:39">
      <c r="A145" s="19" t="s">
        <v>791</v>
      </c>
      <c r="B145" s="19"/>
      <c r="C145" s="19"/>
      <c r="D145" s="19"/>
      <c r="E145" s="19"/>
      <c r="F145" s="19"/>
      <c r="G145" s="19"/>
      <c r="H145" s="19"/>
      <c r="I145" s="246">
        <f t="shared" ref="I145:Z145" si="135">I122/I142</f>
        <v>6.2457569585879155E-2</v>
      </c>
      <c r="J145" s="246">
        <f t="shared" si="135"/>
        <v>4.2449969678593089E-2</v>
      </c>
      <c r="K145" s="246">
        <f t="shared" si="135"/>
        <v>1.2004001333777926E-2</v>
      </c>
      <c r="L145" s="246">
        <f t="shared" si="135"/>
        <v>1.1588604538870111E-2</v>
      </c>
      <c r="M145" s="246">
        <f t="shared" si="135"/>
        <v>1.6604637847122818E-2</v>
      </c>
      <c r="N145" s="246">
        <f t="shared" si="135"/>
        <v>2.3730684326710817E-2</v>
      </c>
      <c r="O145" s="246">
        <f t="shared" si="135"/>
        <v>2.2994652406417113E-2</v>
      </c>
      <c r="P145" s="246">
        <f t="shared" si="135"/>
        <v>2.3899371069182392E-2</v>
      </c>
      <c r="Q145" s="246">
        <f t="shared" si="135"/>
        <v>1.8976423231742381E-2</v>
      </c>
      <c r="R145" s="246">
        <f t="shared" si="135"/>
        <v>1.0607265977194379E-2</v>
      </c>
      <c r="S145" s="246">
        <f t="shared" si="135"/>
        <v>7.0175438596491229E-3</v>
      </c>
      <c r="T145" s="246">
        <f t="shared" si="135"/>
        <v>7.730535615681944E-3</v>
      </c>
      <c r="U145" s="246">
        <f t="shared" si="135"/>
        <v>1.9347037484885126E-2</v>
      </c>
      <c r="V145" s="246">
        <f t="shared" si="135"/>
        <v>6.8976328578147046E-3</v>
      </c>
      <c r="W145" s="246">
        <f t="shared" si="135"/>
        <v>3.3355570380253501E-3</v>
      </c>
      <c r="X145" s="246">
        <f t="shared" si="135"/>
        <v>6.3683593095357803E-3</v>
      </c>
      <c r="Y145" s="246">
        <f t="shared" si="135"/>
        <v>3.4423407917383818E-2</v>
      </c>
      <c r="Z145" s="246">
        <f t="shared" si="135"/>
        <v>3.7755875663381351E-2</v>
      </c>
      <c r="AA145" s="926">
        <f t="shared" ref="AA145:AF145" si="136">Z145-0.002</f>
        <v>3.5755875663381349E-2</v>
      </c>
      <c r="AB145" s="926">
        <f t="shared" si="136"/>
        <v>3.3755875663381348E-2</v>
      </c>
      <c r="AC145" s="926">
        <f t="shared" si="136"/>
        <v>3.1755875663381346E-2</v>
      </c>
      <c r="AD145" s="926">
        <f t="shared" si="136"/>
        <v>2.9755875663381344E-2</v>
      </c>
      <c r="AE145" s="926">
        <f t="shared" si="136"/>
        <v>2.7755875663381342E-2</v>
      </c>
      <c r="AF145" s="926">
        <f t="shared" si="136"/>
        <v>2.575587566338134E-2</v>
      </c>
      <c r="AG145" s="1433"/>
      <c r="AH145" s="180"/>
      <c r="AI145" s="180"/>
      <c r="AJ145" s="180"/>
      <c r="AK145" s="180"/>
      <c r="AL145" s="180"/>
      <c r="AM145" s="180"/>
    </row>
    <row r="146" spans="1:39">
      <c r="AG146" s="1433"/>
      <c r="AH146" s="180"/>
      <c r="AI146" s="180"/>
      <c r="AJ146" s="180"/>
      <c r="AK146" s="180"/>
      <c r="AL146" s="180"/>
      <c r="AM146" s="180"/>
    </row>
    <row r="147" spans="1:39">
      <c r="A147" s="257" t="s">
        <v>753</v>
      </c>
      <c r="B147" s="257"/>
      <c r="C147" s="257"/>
      <c r="D147" s="257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182"/>
      <c r="X147" s="182"/>
      <c r="Y147" s="182"/>
      <c r="Z147" s="182"/>
      <c r="AA147" s="170"/>
      <c r="AB147" s="170"/>
      <c r="AC147" s="170"/>
      <c r="AD147" s="170"/>
      <c r="AE147" s="170"/>
      <c r="AF147" s="170"/>
    </row>
    <row r="148" spans="1:39">
      <c r="A148" s="258" t="s">
        <v>1219</v>
      </c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</row>
    <row r="149" spans="1:39">
      <c r="A149" s="180" t="s">
        <v>977</v>
      </c>
      <c r="B149" s="168"/>
      <c r="C149" s="168"/>
      <c r="D149" s="168"/>
      <c r="E149" s="168"/>
      <c r="F149" s="168"/>
      <c r="G149" s="168"/>
      <c r="H149" s="372">
        <v>1.2561</v>
      </c>
      <c r="I149" s="372">
        <v>1.3706</v>
      </c>
      <c r="J149" s="372">
        <v>1.4705999999999999</v>
      </c>
      <c r="K149" s="372">
        <v>1.3942000000000001</v>
      </c>
      <c r="L149" s="372">
        <v>1.3267</v>
      </c>
      <c r="M149" s="372">
        <v>1.3924000000000001</v>
      </c>
      <c r="N149" s="262">
        <v>1.2855785440613019</v>
      </c>
      <c r="O149" s="262">
        <v>1.3283</v>
      </c>
      <c r="P149" s="262">
        <v>1.3284</v>
      </c>
      <c r="Q149" s="262">
        <v>1.1095999999999999</v>
      </c>
      <c r="R149" s="373">
        <v>1.1067</v>
      </c>
      <c r="S149" s="373">
        <v>1.1296999999999999</v>
      </c>
      <c r="T149" s="373">
        <v>1.1808000000000001</v>
      </c>
      <c r="U149" s="373">
        <v>1.1202219216417912</v>
      </c>
      <c r="V149" s="373">
        <v>1.1417730410447762</v>
      </c>
      <c r="W149" s="373">
        <v>1.1826485576923091</v>
      </c>
      <c r="X149" s="373">
        <v>1.0535101224253887</v>
      </c>
      <c r="Y149" s="373">
        <v>1.0813423257273662</v>
      </c>
      <c r="Z149" s="373">
        <v>1.0866374605926854</v>
      </c>
      <c r="AA149" s="1099">
        <v>1.1220845624527969</v>
      </c>
      <c r="AB149" s="1099">
        <v>1.18469</v>
      </c>
      <c r="AC149" s="1099">
        <v>1.18469</v>
      </c>
      <c r="AD149" s="1099">
        <v>1.18469</v>
      </c>
      <c r="AE149" s="1099">
        <v>1.18469</v>
      </c>
      <c r="AF149" s="1099">
        <v>1.18469</v>
      </c>
    </row>
    <row r="150" spans="1:39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</row>
    <row r="151" spans="1:39">
      <c r="A151" s="258" t="s">
        <v>1308</v>
      </c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</row>
    <row r="152" spans="1:39">
      <c r="A152" s="180" t="s">
        <v>992</v>
      </c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2">
        <v>1.26</v>
      </c>
      <c r="Q152" s="262">
        <v>1.25</v>
      </c>
      <c r="R152" s="262">
        <v>1.24</v>
      </c>
      <c r="S152" s="262">
        <v>1.21</v>
      </c>
      <c r="T152" s="262">
        <v>1.18</v>
      </c>
      <c r="U152" s="262">
        <v>1.18</v>
      </c>
      <c r="V152" s="262">
        <v>1.1599999999999999</v>
      </c>
      <c r="W152" s="262">
        <v>1.1599999999999999</v>
      </c>
      <c r="X152" s="262">
        <v>1.1499999999999999</v>
      </c>
      <c r="Y152" s="262">
        <v>1.1299999999999999</v>
      </c>
      <c r="Z152" s="262">
        <v>1.1200000000000001</v>
      </c>
      <c r="AA152" s="1100">
        <v>1.1200000000000001</v>
      </c>
      <c r="AB152" s="1100">
        <v>1.1200000000000001</v>
      </c>
      <c r="AC152" s="1100">
        <v>1.1200000000000001</v>
      </c>
      <c r="AD152" s="1100">
        <v>1.1200000000000001</v>
      </c>
      <c r="AE152" s="1100">
        <v>1.1200000000000001</v>
      </c>
      <c r="AF152" s="1100">
        <v>1.1200000000000001</v>
      </c>
    </row>
    <row r="153" spans="1:39">
      <c r="A153" s="180" t="s">
        <v>993</v>
      </c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4">
        <v>0.65</v>
      </c>
      <c r="Q153" s="264">
        <v>0.65</v>
      </c>
      <c r="R153" s="264">
        <v>0.65</v>
      </c>
      <c r="S153" s="264">
        <v>0.65</v>
      </c>
      <c r="T153" s="264">
        <v>0.65</v>
      </c>
      <c r="U153" s="264">
        <v>0.65</v>
      </c>
      <c r="V153" s="264">
        <v>0.4</v>
      </c>
      <c r="W153" s="264">
        <v>0.5</v>
      </c>
      <c r="X153" s="264">
        <v>0.55000000000000004</v>
      </c>
      <c r="Y153" s="264">
        <v>0.60000000000000009</v>
      </c>
      <c r="Z153" s="264">
        <v>0.65000000000000013</v>
      </c>
      <c r="AA153" s="937">
        <v>0.65</v>
      </c>
      <c r="AB153" s="937">
        <v>0.65</v>
      </c>
      <c r="AC153" s="937">
        <v>0.65</v>
      </c>
      <c r="AD153" s="937">
        <v>0.65</v>
      </c>
      <c r="AE153" s="937">
        <v>0.65</v>
      </c>
      <c r="AF153" s="937">
        <v>0.65</v>
      </c>
    </row>
    <row r="154" spans="1:39">
      <c r="A154" s="180" t="s">
        <v>994</v>
      </c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174">
        <f t="shared" ref="P154:AF154" si="137">1-P153</f>
        <v>0.35</v>
      </c>
      <c r="Q154" s="174">
        <f t="shared" si="137"/>
        <v>0.35</v>
      </c>
      <c r="R154" s="174">
        <f t="shared" si="137"/>
        <v>0.35</v>
      </c>
      <c r="S154" s="174">
        <f t="shared" si="137"/>
        <v>0.35</v>
      </c>
      <c r="T154" s="174">
        <f t="shared" si="137"/>
        <v>0.35</v>
      </c>
      <c r="U154" s="174">
        <f t="shared" si="137"/>
        <v>0.35</v>
      </c>
      <c r="V154" s="174">
        <f t="shared" si="137"/>
        <v>0.6</v>
      </c>
      <c r="W154" s="174">
        <f t="shared" si="137"/>
        <v>0.5</v>
      </c>
      <c r="X154" s="174">
        <f t="shared" si="137"/>
        <v>0.44999999999999996</v>
      </c>
      <c r="Y154" s="174">
        <f t="shared" si="137"/>
        <v>0.39999999999999991</v>
      </c>
      <c r="Z154" s="174">
        <f t="shared" si="137"/>
        <v>0.34999999999999987</v>
      </c>
      <c r="AA154" s="931">
        <f t="shared" si="137"/>
        <v>0.35</v>
      </c>
      <c r="AB154" s="931">
        <f t="shared" si="137"/>
        <v>0.35</v>
      </c>
      <c r="AC154" s="931">
        <f t="shared" si="137"/>
        <v>0.35</v>
      </c>
      <c r="AD154" s="931">
        <f t="shared" si="137"/>
        <v>0.35</v>
      </c>
      <c r="AE154" s="931">
        <f t="shared" si="137"/>
        <v>0.35</v>
      </c>
      <c r="AF154" s="931">
        <f t="shared" si="137"/>
        <v>0.35</v>
      </c>
    </row>
    <row r="155" spans="1:39">
      <c r="A155" s="57" t="s">
        <v>1220</v>
      </c>
      <c r="B155" s="265"/>
      <c r="C155" s="265"/>
      <c r="D155" s="265"/>
      <c r="E155" s="265"/>
      <c r="F155" s="265"/>
      <c r="G155" s="265"/>
      <c r="H155" s="265">
        <f t="shared" ref="H155:O155" si="138">H149</f>
        <v>1.2561</v>
      </c>
      <c r="I155" s="265">
        <f t="shared" si="138"/>
        <v>1.3706</v>
      </c>
      <c r="J155" s="265">
        <f t="shared" si="138"/>
        <v>1.4705999999999999</v>
      </c>
      <c r="K155" s="265">
        <f t="shared" si="138"/>
        <v>1.3942000000000001</v>
      </c>
      <c r="L155" s="265">
        <f t="shared" si="138"/>
        <v>1.3267</v>
      </c>
      <c r="M155" s="265">
        <f t="shared" si="138"/>
        <v>1.3924000000000001</v>
      </c>
      <c r="N155" s="265">
        <f t="shared" si="138"/>
        <v>1.2855785440613019</v>
      </c>
      <c r="O155" s="265">
        <f t="shared" si="138"/>
        <v>1.3283</v>
      </c>
      <c r="P155" s="265">
        <f t="shared" ref="P155:AF155" si="139">P152*P153+P154*P149</f>
        <v>1.2839400000000001</v>
      </c>
      <c r="Q155" s="265">
        <f t="shared" si="139"/>
        <v>1.20086</v>
      </c>
      <c r="R155" s="265">
        <f t="shared" si="139"/>
        <v>1.1933450000000001</v>
      </c>
      <c r="S155" s="265">
        <f t="shared" si="139"/>
        <v>1.1818949999999999</v>
      </c>
      <c r="T155" s="265">
        <f t="shared" si="139"/>
        <v>1.18028</v>
      </c>
      <c r="U155" s="265">
        <f t="shared" si="139"/>
        <v>1.159077672574627</v>
      </c>
      <c r="V155" s="265">
        <f t="shared" si="139"/>
        <v>1.1490638246268656</v>
      </c>
      <c r="W155" s="265">
        <f t="shared" si="139"/>
        <v>1.1713242788461544</v>
      </c>
      <c r="X155" s="265">
        <f t="shared" si="139"/>
        <v>1.1065795550914248</v>
      </c>
      <c r="Y155" s="265">
        <f t="shared" si="139"/>
        <v>1.1105369302909465</v>
      </c>
      <c r="Z155" s="265">
        <f t="shared" si="139"/>
        <v>1.1083231112074399</v>
      </c>
      <c r="AA155" s="265">
        <f t="shared" si="139"/>
        <v>1.1207295968584789</v>
      </c>
      <c r="AB155" s="265">
        <f t="shared" si="139"/>
        <v>1.1426415000000001</v>
      </c>
      <c r="AC155" s="265">
        <f t="shared" si="139"/>
        <v>1.1426415000000001</v>
      </c>
      <c r="AD155" s="265">
        <f t="shared" si="139"/>
        <v>1.1426415000000001</v>
      </c>
      <c r="AE155" s="265">
        <f t="shared" si="139"/>
        <v>1.1426415000000001</v>
      </c>
      <c r="AF155" s="265">
        <f t="shared" si="139"/>
        <v>1.1426415000000001</v>
      </c>
    </row>
    <row r="156" spans="1:39">
      <c r="A156" s="180" t="s">
        <v>1071</v>
      </c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173"/>
      <c r="S156" s="173"/>
      <c r="T156" s="178">
        <v>7700</v>
      </c>
      <c r="U156" s="178">
        <v>11000</v>
      </c>
      <c r="V156" s="178">
        <v>8000</v>
      </c>
      <c r="W156" s="178">
        <v>7500</v>
      </c>
      <c r="X156" s="178">
        <v>9000</v>
      </c>
      <c r="Y156" s="178">
        <v>10400</v>
      </c>
      <c r="Z156" s="178">
        <v>12400</v>
      </c>
      <c r="AA156" s="178">
        <v>14000</v>
      </c>
      <c r="AB156" s="178">
        <v>14000</v>
      </c>
      <c r="AC156" s="178">
        <v>14000</v>
      </c>
      <c r="AD156" s="178">
        <v>14000</v>
      </c>
      <c r="AE156" s="178">
        <v>14000</v>
      </c>
      <c r="AF156" s="178">
        <v>14000</v>
      </c>
    </row>
    <row r="157" spans="1:39">
      <c r="A157" s="180" t="s">
        <v>1062</v>
      </c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173">
        <v>7500</v>
      </c>
      <c r="S157" s="178">
        <v>7300</v>
      </c>
      <c r="T157" s="178">
        <v>7700</v>
      </c>
      <c r="U157" s="178">
        <v>11000</v>
      </c>
      <c r="V157" s="178">
        <v>8000</v>
      </c>
      <c r="W157" s="178">
        <v>7500</v>
      </c>
      <c r="X157" s="178">
        <v>9000</v>
      </c>
      <c r="Y157" s="178">
        <v>10400</v>
      </c>
      <c r="Z157" s="178">
        <v>12400</v>
      </c>
      <c r="AA157" s="178">
        <v>13000</v>
      </c>
      <c r="AB157" s="178">
        <v>13000</v>
      </c>
      <c r="AC157" s="178">
        <v>13000</v>
      </c>
      <c r="AD157" s="178">
        <v>13000</v>
      </c>
      <c r="AE157" s="178">
        <v>13000</v>
      </c>
      <c r="AF157" s="178">
        <v>13000</v>
      </c>
    </row>
    <row r="158" spans="1:39">
      <c r="A158" s="180" t="s">
        <v>1063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4">
        <v>1</v>
      </c>
      <c r="S158" s="264">
        <v>1</v>
      </c>
      <c r="T158" s="264">
        <v>1</v>
      </c>
      <c r="U158" s="264">
        <v>1</v>
      </c>
      <c r="V158" s="264">
        <v>1</v>
      </c>
      <c r="W158" s="264">
        <v>1</v>
      </c>
      <c r="X158" s="264">
        <f t="shared" ref="X158:AF158" si="140">X157/X156</f>
        <v>1</v>
      </c>
      <c r="Y158" s="264">
        <f t="shared" si="140"/>
        <v>1</v>
      </c>
      <c r="Z158" s="264">
        <f t="shared" si="140"/>
        <v>1</v>
      </c>
      <c r="AA158" s="187">
        <f t="shared" si="140"/>
        <v>0.9285714285714286</v>
      </c>
      <c r="AB158" s="187">
        <f t="shared" si="140"/>
        <v>0.9285714285714286</v>
      </c>
      <c r="AC158" s="187">
        <f t="shared" si="140"/>
        <v>0.9285714285714286</v>
      </c>
      <c r="AD158" s="187">
        <f t="shared" si="140"/>
        <v>0.9285714285714286</v>
      </c>
      <c r="AE158" s="187">
        <f t="shared" si="140"/>
        <v>0.9285714285714286</v>
      </c>
      <c r="AF158" s="187">
        <f t="shared" si="140"/>
        <v>0.9285714285714286</v>
      </c>
    </row>
    <row r="159" spans="1:39">
      <c r="A159" s="180" t="s">
        <v>1307</v>
      </c>
      <c r="B159" s="261"/>
      <c r="C159" s="261"/>
      <c r="D159" s="261"/>
      <c r="E159" s="261"/>
      <c r="F159" s="261"/>
      <c r="G159" s="261"/>
      <c r="H159" s="261">
        <f t="shared" ref="H159:R159" si="141">H149</f>
        <v>1.2561</v>
      </c>
      <c r="I159" s="261">
        <f t="shared" si="141"/>
        <v>1.3706</v>
      </c>
      <c r="J159" s="261">
        <f t="shared" si="141"/>
        <v>1.4705999999999999</v>
      </c>
      <c r="K159" s="261">
        <f t="shared" si="141"/>
        <v>1.3942000000000001</v>
      </c>
      <c r="L159" s="261">
        <f t="shared" si="141"/>
        <v>1.3267</v>
      </c>
      <c r="M159" s="261">
        <f t="shared" si="141"/>
        <v>1.3924000000000001</v>
      </c>
      <c r="N159" s="261">
        <f t="shared" si="141"/>
        <v>1.2855785440613019</v>
      </c>
      <c r="O159" s="261">
        <f t="shared" si="141"/>
        <v>1.3283</v>
      </c>
      <c r="P159" s="261">
        <f t="shared" si="141"/>
        <v>1.3284</v>
      </c>
      <c r="Q159" s="261">
        <f t="shared" si="141"/>
        <v>1.1095999999999999</v>
      </c>
      <c r="R159" s="261">
        <f t="shared" si="141"/>
        <v>1.1067</v>
      </c>
      <c r="S159" s="373">
        <v>1.1296999999999999</v>
      </c>
      <c r="T159" s="373">
        <v>1.1808000000000001</v>
      </c>
      <c r="U159" s="373">
        <v>1.1202219216417912</v>
      </c>
      <c r="V159" s="373">
        <v>1.1417730410447762</v>
      </c>
      <c r="W159" s="373">
        <v>1.1826485576923091</v>
      </c>
      <c r="X159" s="373">
        <v>1.0535101224253887</v>
      </c>
      <c r="Y159" s="373">
        <v>1.0813423257273662</v>
      </c>
      <c r="Z159" s="373">
        <v>1.0664389999999999</v>
      </c>
      <c r="AA159" s="1099">
        <v>1.1124499999999999</v>
      </c>
      <c r="AB159" s="1099">
        <v>1.1295360000000001</v>
      </c>
      <c r="AC159" s="1099">
        <v>1.1439509999999999</v>
      </c>
      <c r="AD159" s="1099">
        <v>1.1439509999999999</v>
      </c>
      <c r="AE159" s="1099">
        <v>1.1439509999999999</v>
      </c>
      <c r="AF159" s="1099">
        <v>1.1439509999999999</v>
      </c>
    </row>
    <row r="160" spans="1:39">
      <c r="A160" s="57" t="s">
        <v>1221</v>
      </c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>
        <f t="shared" ref="R160:AF160" si="142">R158*R152+(1-R158)*R159</f>
        <v>1.24</v>
      </c>
      <c r="S160" s="265">
        <f t="shared" si="142"/>
        <v>1.21</v>
      </c>
      <c r="T160" s="265">
        <f t="shared" si="142"/>
        <v>1.18</v>
      </c>
      <c r="U160" s="265">
        <f t="shared" si="142"/>
        <v>1.18</v>
      </c>
      <c r="V160" s="265">
        <f t="shared" si="142"/>
        <v>1.1599999999999999</v>
      </c>
      <c r="W160" s="265">
        <f t="shared" si="142"/>
        <v>1.1599999999999999</v>
      </c>
      <c r="X160" s="265">
        <f t="shared" si="142"/>
        <v>1.1499999999999999</v>
      </c>
      <c r="Y160" s="265">
        <f t="shared" si="142"/>
        <v>1.1299999999999999</v>
      </c>
      <c r="Z160" s="265">
        <f t="shared" si="142"/>
        <v>1.1200000000000001</v>
      </c>
      <c r="AA160" s="265">
        <f t="shared" si="142"/>
        <v>1.1194607142857143</v>
      </c>
      <c r="AB160" s="265">
        <f t="shared" si="142"/>
        <v>1.1206811428571428</v>
      </c>
      <c r="AC160" s="265">
        <f t="shared" si="142"/>
        <v>1.1217107857142856</v>
      </c>
      <c r="AD160" s="265">
        <f t="shared" si="142"/>
        <v>1.1217107857142856</v>
      </c>
      <c r="AE160" s="265">
        <f t="shared" si="142"/>
        <v>1.1217107857142856</v>
      </c>
      <c r="AF160" s="265">
        <f t="shared" si="142"/>
        <v>1.1217107857142856</v>
      </c>
    </row>
    <row r="161" spans="1:32">
      <c r="A161" s="180" t="s">
        <v>1064</v>
      </c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173">
        <f t="shared" ref="S161:AF161" si="143">(S157/S160)-(S157/R160)</f>
        <v>145.96107704612132</v>
      </c>
      <c r="T161" s="173">
        <f t="shared" si="143"/>
        <v>161.78736517719608</v>
      </c>
      <c r="U161" s="173">
        <f t="shared" si="143"/>
        <v>0</v>
      </c>
      <c r="V161" s="173">
        <f t="shared" si="143"/>
        <v>116.89070718877792</v>
      </c>
      <c r="W161" s="173">
        <f t="shared" si="143"/>
        <v>0</v>
      </c>
      <c r="X161" s="173">
        <f t="shared" si="143"/>
        <v>67.466266866566912</v>
      </c>
      <c r="Y161" s="173">
        <f t="shared" si="143"/>
        <v>160.06156213928443</v>
      </c>
      <c r="Z161" s="173">
        <f t="shared" si="143"/>
        <v>97.977243994941091</v>
      </c>
      <c r="AA161" s="173">
        <f t="shared" si="143"/>
        <v>5.5915908853712608</v>
      </c>
      <c r="AB161" s="173">
        <f t="shared" si="143"/>
        <v>-12.646338347993151</v>
      </c>
      <c r="AC161" s="173">
        <f t="shared" si="143"/>
        <v>-10.647974519342824</v>
      </c>
      <c r="AD161" s="173">
        <f t="shared" si="143"/>
        <v>0</v>
      </c>
      <c r="AE161" s="173">
        <f t="shared" si="143"/>
        <v>0</v>
      </c>
      <c r="AF161" s="173">
        <f t="shared" si="143"/>
        <v>0</v>
      </c>
    </row>
    <row r="163" spans="1:32">
      <c r="A163" s="243" t="s">
        <v>779</v>
      </c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170"/>
      <c r="AB163" s="170"/>
      <c r="AC163" s="170"/>
      <c r="AD163" s="170"/>
      <c r="AE163" s="170"/>
      <c r="AF163" s="170"/>
    </row>
    <row r="164" spans="1:32">
      <c r="A164" s="19" t="s">
        <v>778</v>
      </c>
      <c r="B164" s="250"/>
      <c r="C164" s="250"/>
      <c r="D164" s="250"/>
      <c r="E164" s="250"/>
      <c r="F164" s="250"/>
      <c r="G164" s="250"/>
      <c r="H164" s="251">
        <v>581</v>
      </c>
      <c r="I164" s="251">
        <v>687</v>
      </c>
      <c r="J164" s="251">
        <v>480</v>
      </c>
      <c r="K164" s="251">
        <v>508</v>
      </c>
      <c r="L164" s="251">
        <v>458</v>
      </c>
      <c r="M164" s="251">
        <v>526</v>
      </c>
      <c r="N164" s="251">
        <v>599</v>
      </c>
      <c r="O164" s="251">
        <v>605</v>
      </c>
      <c r="P164" s="251">
        <v>747</v>
      </c>
      <c r="Q164" s="251">
        <v>791</v>
      </c>
      <c r="R164" s="194">
        <v>728</v>
      </c>
      <c r="S164" s="194">
        <v>840</v>
      </c>
      <c r="T164" s="251">
        <v>973</v>
      </c>
      <c r="U164" s="251">
        <v>1116</v>
      </c>
      <c r="V164" s="251">
        <v>756</v>
      </c>
      <c r="W164" s="251">
        <v>678</v>
      </c>
      <c r="X164" s="251">
        <v>826</v>
      </c>
      <c r="Y164" s="251">
        <v>993</v>
      </c>
      <c r="Z164" s="251">
        <v>1128</v>
      </c>
      <c r="AA164" s="247">
        <f>'Income Statement'!AA181</f>
        <v>1209.4847448988739</v>
      </c>
      <c r="AB164" s="247">
        <f>'Income Statement'!AB181</f>
        <v>1386.4951016860871</v>
      </c>
      <c r="AC164" s="247">
        <f>'Income Statement'!AC181</f>
        <v>1528.9659936863522</v>
      </c>
      <c r="AD164" s="247">
        <f>'Income Statement'!AD181</f>
        <v>1674.5785860973485</v>
      </c>
      <c r="AE164" s="247">
        <f>'Income Statement'!AE181</f>
        <v>1787.1263605037832</v>
      </c>
      <c r="AF164" s="247">
        <f>'Income Statement'!AF181</f>
        <v>1877.5960663393798</v>
      </c>
    </row>
    <row r="165" spans="1:32">
      <c r="A165" s="19" t="s">
        <v>777</v>
      </c>
      <c r="B165" s="250"/>
      <c r="C165" s="250"/>
      <c r="D165" s="250"/>
      <c r="E165" s="250"/>
      <c r="F165" s="250"/>
      <c r="G165" s="250"/>
      <c r="H165" s="251">
        <v>165</v>
      </c>
      <c r="I165" s="251">
        <v>102</v>
      </c>
      <c r="J165" s="251">
        <v>58</v>
      </c>
      <c r="K165" s="251">
        <v>84</v>
      </c>
      <c r="L165" s="251">
        <v>72</v>
      </c>
      <c r="M165" s="251">
        <v>90</v>
      </c>
      <c r="N165" s="251">
        <v>68</v>
      </c>
      <c r="O165" s="251">
        <v>76</v>
      </c>
      <c r="P165" s="251">
        <v>78</v>
      </c>
      <c r="Q165" s="251">
        <v>95</v>
      </c>
      <c r="R165" s="194">
        <v>104</v>
      </c>
      <c r="S165" s="194">
        <v>202</v>
      </c>
      <c r="T165" s="251">
        <v>218</v>
      </c>
      <c r="U165" s="251">
        <v>270</v>
      </c>
      <c r="V165" s="251">
        <v>320</v>
      </c>
      <c r="W165" s="251">
        <v>225</v>
      </c>
      <c r="X165" s="251">
        <v>236</v>
      </c>
      <c r="Y165" s="251">
        <v>255</v>
      </c>
      <c r="Z165" s="251">
        <v>283</v>
      </c>
      <c r="AA165" s="247">
        <f>AA174*'Income Statement'!AA$41</f>
        <v>322.21492705026299</v>
      </c>
      <c r="AB165" s="247">
        <f>AB174*'Income Statement'!AB$41</f>
        <v>364.04986625219584</v>
      </c>
      <c r="AC165" s="247">
        <f>AC174*'Income Statement'!AC$41</f>
        <v>400.59206778655607</v>
      </c>
      <c r="AD165" s="247">
        <f>AD174*'Income Statement'!AD$41</f>
        <v>431.73012952420379</v>
      </c>
      <c r="AE165" s="247">
        <f>AE174*'Income Statement'!AE$41</f>
        <v>455.60846533728972</v>
      </c>
      <c r="AF165" s="247">
        <f>AF174*'Income Statement'!AF$41</f>
        <v>477.72910415838567</v>
      </c>
    </row>
    <row r="166" spans="1:32">
      <c r="A166" s="19" t="s">
        <v>776</v>
      </c>
      <c r="B166" s="250"/>
      <c r="C166" s="250"/>
      <c r="D166" s="250"/>
      <c r="E166" s="250"/>
      <c r="F166" s="250"/>
      <c r="G166" s="250"/>
      <c r="H166" s="251">
        <v>284</v>
      </c>
      <c r="I166" s="251">
        <v>200</v>
      </c>
      <c r="J166" s="251">
        <v>228</v>
      </c>
      <c r="K166" s="251">
        <v>182</v>
      </c>
      <c r="L166" s="251">
        <v>179</v>
      </c>
      <c r="M166" s="251">
        <v>282</v>
      </c>
      <c r="N166" s="251">
        <v>504</v>
      </c>
      <c r="O166" s="251">
        <v>694</v>
      </c>
      <c r="P166" s="251">
        <v>644</v>
      </c>
      <c r="Q166" s="251">
        <v>495</v>
      </c>
      <c r="R166" s="194">
        <v>343</v>
      </c>
      <c r="S166" s="194">
        <v>345</v>
      </c>
      <c r="T166" s="251">
        <v>320</v>
      </c>
      <c r="U166" s="251">
        <v>325</v>
      </c>
      <c r="V166" s="251">
        <v>279</v>
      </c>
      <c r="W166" s="251">
        <v>311</v>
      </c>
      <c r="X166" s="251">
        <v>283</v>
      </c>
      <c r="Y166" s="251">
        <v>323</v>
      </c>
      <c r="Z166" s="251">
        <v>328</v>
      </c>
      <c r="AA166" s="247">
        <f>'Income Statement'!AA183</f>
        <v>378.90524236969014</v>
      </c>
      <c r="AB166" s="247">
        <f>'Income Statement'!AB183</f>
        <v>428.10059754129247</v>
      </c>
      <c r="AC166" s="247">
        <f>'Income Statement'!AC183</f>
        <v>471.07201371947264</v>
      </c>
      <c r="AD166" s="247">
        <f>'Income Statement'!AD183</f>
        <v>507.68848874635847</v>
      </c>
      <c r="AE166" s="247">
        <f>'Income Statement'!AE183</f>
        <v>535.76796570128806</v>
      </c>
      <c r="AF166" s="247">
        <f>'Income Statement'!AF183</f>
        <v>561.78049743161432</v>
      </c>
    </row>
    <row r="167" spans="1:32">
      <c r="A167" s="19" t="s">
        <v>775</v>
      </c>
      <c r="B167" s="19"/>
      <c r="C167" s="19"/>
      <c r="D167" s="19"/>
      <c r="E167" s="19"/>
      <c r="F167" s="19"/>
      <c r="G167" s="19"/>
      <c r="H167" s="247">
        <f t="shared" ref="H167:AF167" si="144">H164-H165+H166</f>
        <v>700</v>
      </c>
      <c r="I167" s="247">
        <f t="shared" si="144"/>
        <v>785</v>
      </c>
      <c r="J167" s="247">
        <f t="shared" si="144"/>
        <v>650</v>
      </c>
      <c r="K167" s="247">
        <f t="shared" si="144"/>
        <v>606</v>
      </c>
      <c r="L167" s="247">
        <f t="shared" si="144"/>
        <v>565</v>
      </c>
      <c r="M167" s="247">
        <f t="shared" si="144"/>
        <v>718</v>
      </c>
      <c r="N167" s="247">
        <f t="shared" si="144"/>
        <v>1035</v>
      </c>
      <c r="O167" s="247">
        <f t="shared" si="144"/>
        <v>1223</v>
      </c>
      <c r="P167" s="247">
        <f t="shared" si="144"/>
        <v>1313</v>
      </c>
      <c r="Q167" s="247">
        <f t="shared" si="144"/>
        <v>1191</v>
      </c>
      <c r="R167" s="247">
        <f t="shared" si="144"/>
        <v>967</v>
      </c>
      <c r="S167" s="247">
        <f t="shared" si="144"/>
        <v>983</v>
      </c>
      <c r="T167" s="247">
        <f t="shared" si="144"/>
        <v>1075</v>
      </c>
      <c r="U167" s="247">
        <f t="shared" si="144"/>
        <v>1171</v>
      </c>
      <c r="V167" s="247">
        <f t="shared" si="144"/>
        <v>715</v>
      </c>
      <c r="W167" s="247">
        <f t="shared" si="144"/>
        <v>764</v>
      </c>
      <c r="X167" s="247">
        <f t="shared" si="144"/>
        <v>873</v>
      </c>
      <c r="Y167" s="247">
        <f t="shared" si="144"/>
        <v>1061</v>
      </c>
      <c r="Z167" s="247">
        <f t="shared" si="144"/>
        <v>1173</v>
      </c>
      <c r="AA167" s="247">
        <f t="shared" si="144"/>
        <v>1266.175060218301</v>
      </c>
      <c r="AB167" s="247">
        <f t="shared" si="144"/>
        <v>1450.5458329751837</v>
      </c>
      <c r="AC167" s="247">
        <f t="shared" si="144"/>
        <v>1599.4459396192688</v>
      </c>
      <c r="AD167" s="247">
        <f t="shared" si="144"/>
        <v>1750.536945319503</v>
      </c>
      <c r="AE167" s="247">
        <f t="shared" si="144"/>
        <v>1867.2858608677816</v>
      </c>
      <c r="AF167" s="247">
        <f t="shared" si="144"/>
        <v>1961.6474596126084</v>
      </c>
    </row>
    <row r="168" spans="1:32">
      <c r="A168" s="19" t="s">
        <v>1112</v>
      </c>
      <c r="B168" s="19"/>
      <c r="C168" s="19"/>
      <c r="D168" s="19"/>
      <c r="E168" s="19"/>
      <c r="F168" s="19"/>
      <c r="G168" s="19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51">
        <v>140</v>
      </c>
      <c r="T168" s="251">
        <v>151</v>
      </c>
      <c r="U168" s="251">
        <v>166</v>
      </c>
      <c r="V168" s="251">
        <v>149</v>
      </c>
      <c r="W168" s="251">
        <v>160</v>
      </c>
      <c r="X168" s="251">
        <v>151</v>
      </c>
      <c r="Y168" s="251">
        <v>159</v>
      </c>
      <c r="Z168" s="251">
        <v>178</v>
      </c>
      <c r="AA168" s="273">
        <f t="shared" ref="AA168:AF168" si="145">AA169-AA167</f>
        <v>451.92502783416148</v>
      </c>
      <c r="AB168" s="273">
        <f t="shared" si="145"/>
        <v>490.6246552741577</v>
      </c>
      <c r="AC168" s="273">
        <f t="shared" si="145"/>
        <v>536.57324868431124</v>
      </c>
      <c r="AD168" s="273">
        <f t="shared" si="145"/>
        <v>551.51522942263</v>
      </c>
      <c r="AE168" s="273">
        <f t="shared" si="145"/>
        <v>562.08931296250194</v>
      </c>
      <c r="AF168" s="273">
        <f t="shared" si="145"/>
        <v>585.67839966302449</v>
      </c>
    </row>
    <row r="169" spans="1:32">
      <c r="A169" s="19" t="s">
        <v>774</v>
      </c>
      <c r="B169" s="19"/>
      <c r="C169" s="19"/>
      <c r="D169" s="19"/>
      <c r="E169" s="19"/>
      <c r="F169" s="19"/>
      <c r="G169" s="19"/>
      <c r="H169" s="247">
        <f t="shared" ref="H169:R169" si="146">H164+H166</f>
        <v>865</v>
      </c>
      <c r="I169" s="247">
        <f t="shared" si="146"/>
        <v>887</v>
      </c>
      <c r="J169" s="247">
        <f t="shared" si="146"/>
        <v>708</v>
      </c>
      <c r="K169" s="247">
        <f t="shared" si="146"/>
        <v>690</v>
      </c>
      <c r="L169" s="247">
        <f t="shared" si="146"/>
        <v>637</v>
      </c>
      <c r="M169" s="247">
        <f t="shared" si="146"/>
        <v>808</v>
      </c>
      <c r="N169" s="247">
        <f t="shared" si="146"/>
        <v>1103</v>
      </c>
      <c r="O169" s="247">
        <f t="shared" si="146"/>
        <v>1299</v>
      </c>
      <c r="P169" s="247">
        <f t="shared" si="146"/>
        <v>1391</v>
      </c>
      <c r="Q169" s="247">
        <f t="shared" si="146"/>
        <v>1286</v>
      </c>
      <c r="R169" s="247">
        <f t="shared" si="146"/>
        <v>1071</v>
      </c>
      <c r="S169" s="247">
        <f>S171-S170</f>
        <v>1123</v>
      </c>
      <c r="T169" s="247">
        <f>T171-T170</f>
        <v>1226</v>
      </c>
      <c r="U169" s="251">
        <v>1337</v>
      </c>
      <c r="V169" s="251">
        <v>864</v>
      </c>
      <c r="W169" s="251">
        <v>924</v>
      </c>
      <c r="X169" s="251">
        <v>1219</v>
      </c>
      <c r="Y169" s="251">
        <v>1421</v>
      </c>
      <c r="Z169" s="251">
        <v>1509</v>
      </c>
      <c r="AA169" s="247">
        <f t="shared" ref="AA169:AF169" si="147">AA171-AA170</f>
        <v>1718.1000880524625</v>
      </c>
      <c r="AB169" s="247">
        <f t="shared" si="147"/>
        <v>1941.1704882493414</v>
      </c>
      <c r="AC169" s="247">
        <f t="shared" si="147"/>
        <v>2136.01918830358</v>
      </c>
      <c r="AD169" s="247">
        <f t="shared" si="147"/>
        <v>2302.052174742133</v>
      </c>
      <c r="AE169" s="247">
        <f t="shared" si="147"/>
        <v>2429.3751738302835</v>
      </c>
      <c r="AF169" s="247">
        <f t="shared" si="147"/>
        <v>2547.3258592756329</v>
      </c>
    </row>
    <row r="170" spans="1:32">
      <c r="A170" s="19" t="s">
        <v>773</v>
      </c>
      <c r="B170" s="254"/>
      <c r="C170" s="254"/>
      <c r="D170" s="254"/>
      <c r="E170" s="254"/>
      <c r="F170" s="254"/>
      <c r="G170" s="254"/>
      <c r="H170" s="247">
        <f>H169/0.6*0.4</f>
        <v>576.66666666666674</v>
      </c>
      <c r="I170" s="247">
        <f>I169/0.61*0.39</f>
        <v>567.09836065573768</v>
      </c>
      <c r="J170" s="247">
        <f>J169/0.6*0.4</f>
        <v>472</v>
      </c>
      <c r="K170" s="247">
        <f>K169/0.6*0.4</f>
        <v>460</v>
      </c>
      <c r="L170" s="247">
        <f>L169/0.53*0.47</f>
        <v>564.88679245283015</v>
      </c>
      <c r="M170" s="251">
        <v>469</v>
      </c>
      <c r="N170" s="251">
        <v>491</v>
      </c>
      <c r="O170" s="251">
        <v>522</v>
      </c>
      <c r="P170" s="251">
        <v>526</v>
      </c>
      <c r="Q170" s="251">
        <v>701</v>
      </c>
      <c r="R170" s="194">
        <v>602</v>
      </c>
      <c r="S170" s="251">
        <v>244</v>
      </c>
      <c r="T170" s="251">
        <v>246</v>
      </c>
      <c r="U170" s="247">
        <f t="shared" ref="U170:Z170" si="148">U171-U169</f>
        <v>388</v>
      </c>
      <c r="V170" s="247">
        <f t="shared" si="148"/>
        <v>349</v>
      </c>
      <c r="W170" s="247">
        <f t="shared" si="148"/>
        <v>506</v>
      </c>
      <c r="X170" s="247">
        <f t="shared" si="148"/>
        <v>321</v>
      </c>
      <c r="Y170" s="247">
        <f t="shared" si="148"/>
        <v>397</v>
      </c>
      <c r="Z170" s="247">
        <f t="shared" si="148"/>
        <v>471</v>
      </c>
      <c r="AA170" s="247">
        <f>AA178*'Income Statement'!AA$41</f>
        <v>536.26583265255795</v>
      </c>
      <c r="AB170" s="247">
        <f>AB178*'Income Statement'!AB$41</f>
        <v>605.89218022891964</v>
      </c>
      <c r="AC170" s="247">
        <f>AC178*'Income Statement'!AC$41</f>
        <v>666.70976652815523</v>
      </c>
      <c r="AD170" s="247">
        <f>AD178*'Income Statement'!AD$41</f>
        <v>718.53318376643119</v>
      </c>
      <c r="AE170" s="247">
        <f>AE178*'Income Statement'!AE$41</f>
        <v>758.27415962495934</v>
      </c>
      <c r="AF170" s="247">
        <f>AF178*'Income Statement'!AF$41</f>
        <v>795.08978112579393</v>
      </c>
    </row>
    <row r="171" spans="1:32">
      <c r="A171" s="19" t="s">
        <v>1111</v>
      </c>
      <c r="B171" s="254"/>
      <c r="C171" s="254"/>
      <c r="D171" s="254"/>
      <c r="E171" s="254"/>
      <c r="F171" s="254"/>
      <c r="G171" s="254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7"/>
      <c r="S171" s="251">
        <v>1367</v>
      </c>
      <c r="T171" s="251">
        <v>1472</v>
      </c>
      <c r="U171" s="251">
        <v>1725</v>
      </c>
      <c r="V171" s="251">
        <v>1213</v>
      </c>
      <c r="W171" s="251">
        <v>1430</v>
      </c>
      <c r="X171" s="251">
        <v>1540</v>
      </c>
      <c r="Y171" s="251">
        <v>1818</v>
      </c>
      <c r="Z171" s="251">
        <v>1980</v>
      </c>
      <c r="AA171" s="247">
        <f>AA179*'Income Statement'!AA$41</f>
        <v>2254.3659207050205</v>
      </c>
      <c r="AB171" s="247">
        <f>AB179*'Income Statement'!AB$41</f>
        <v>2547.062668478261</v>
      </c>
      <c r="AC171" s="247">
        <f>AC179*'Income Statement'!AC$41</f>
        <v>2802.7289548317353</v>
      </c>
      <c r="AD171" s="247">
        <f>AD179*'Income Statement'!AD$41</f>
        <v>3020.5853585085642</v>
      </c>
      <c r="AE171" s="247">
        <f>AE179*'Income Statement'!AE$41</f>
        <v>3187.6493334552429</v>
      </c>
      <c r="AF171" s="247">
        <f>AF179*'Income Statement'!AF$41</f>
        <v>3342.4156404014266</v>
      </c>
    </row>
    <row r="172" spans="1:3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247"/>
      <c r="T172" s="19"/>
      <c r="U172" s="19"/>
      <c r="V172" s="19"/>
      <c r="W172" s="19"/>
      <c r="X172" s="247"/>
      <c r="Y172" s="247"/>
      <c r="Z172" s="247"/>
      <c r="AA172" s="19"/>
      <c r="AB172" s="19"/>
      <c r="AC172" s="19"/>
      <c r="AD172" s="19"/>
      <c r="AE172" s="19"/>
      <c r="AF172" s="19"/>
    </row>
    <row r="173" spans="1:32">
      <c r="A173" s="19" t="s">
        <v>772</v>
      </c>
      <c r="B173" s="246"/>
      <c r="C173" s="246"/>
      <c r="D173" s="246"/>
      <c r="E173" s="246"/>
      <c r="F173" s="246"/>
      <c r="G173" s="246"/>
      <c r="H173" s="246">
        <f>H164/'Income Statement'!H$41</f>
        <v>5.3592841988746427E-2</v>
      </c>
      <c r="I173" s="246">
        <f>I164/'Income Statement'!I$41</f>
        <v>7.072266831377394E-2</v>
      </c>
      <c r="J173" s="246">
        <f>J164/'Income Statement'!J$41</f>
        <v>4.6688065363291509E-2</v>
      </c>
      <c r="K173" s="246">
        <f>K164/'Income Statement'!K$41</f>
        <v>4.8110616535656785E-2</v>
      </c>
      <c r="L173" s="246">
        <f>L164/'Income Statement'!L$41</f>
        <v>4.1530649256438158E-2</v>
      </c>
      <c r="M173" s="246">
        <f>M164/'Income Statement'!M$41</f>
        <v>4.5119231429061588E-2</v>
      </c>
      <c r="N173" s="246">
        <f>N164/'Income Statement'!N$41</f>
        <v>4.3995593095850168E-2</v>
      </c>
      <c r="O173" s="246">
        <f>O164/'Income Statement'!O$41</f>
        <v>4.175293305728088E-2</v>
      </c>
      <c r="P173" s="246">
        <f>P164/'Income Statement'!P$41</f>
        <v>4.9654347248072321E-2</v>
      </c>
      <c r="Q173" s="246">
        <f>Q164/'Income Statement'!Q$41</f>
        <v>4.8760941930711378E-2</v>
      </c>
      <c r="R173" s="246">
        <f>R164/'Income Statement'!R$41</f>
        <v>4.4169396917849775E-2</v>
      </c>
      <c r="S173" s="246">
        <f>S164/'Income Statement'!S$41</f>
        <v>5.1294577430385929E-2</v>
      </c>
      <c r="T173" s="246">
        <f>T164/'Income Statement'!T$41</f>
        <v>4.6278240190249703E-2</v>
      </c>
      <c r="U173" s="246">
        <f>U164/'Income Statement'!U$41</f>
        <v>4.4465694477647623E-2</v>
      </c>
      <c r="V173" s="246">
        <f>V164/'Income Statement'!V$41</f>
        <v>4.5457278576152969E-2</v>
      </c>
      <c r="W173" s="246">
        <f>W164/'Income Statement'!W$41</f>
        <v>4.4802748959228179E-2</v>
      </c>
      <c r="X173" s="246">
        <f>X164/'Income Statement'!X$41</f>
        <v>4.2309071351738975E-2</v>
      </c>
      <c r="Y173" s="246">
        <f>Y164/'Income Statement'!Y$41</f>
        <v>4.1985539723478925E-2</v>
      </c>
      <c r="Z173" s="246">
        <f>Z164/'Income Statement'!Z$41</f>
        <v>4.0698513494010678E-2</v>
      </c>
      <c r="AA173" s="246">
        <f>AA164/'Income Statement'!AA$41</f>
        <v>3.8327511449173041E-2</v>
      </c>
      <c r="AB173" s="246">
        <f>AB164/'Income Statement'!AB$41</f>
        <v>3.8887797505652036E-2</v>
      </c>
      <c r="AC173" s="246">
        <f>AC164/'Income Statement'!AC$41</f>
        <v>3.8971880625365489E-2</v>
      </c>
      <c r="AD173" s="246">
        <f>AD164/'Income Statement'!AD$41</f>
        <v>3.9604912485522746E-2</v>
      </c>
      <c r="AE173" s="246">
        <f>AE164/'Income Statement'!AE$41</f>
        <v>4.0051552847025419E-2</v>
      </c>
      <c r="AF173" s="246">
        <f>AF164/'Income Statement'!AF$41</f>
        <v>4.013066435557075E-2</v>
      </c>
    </row>
    <row r="174" spans="1:32">
      <c r="A174" s="19" t="s">
        <v>771</v>
      </c>
      <c r="B174" s="246"/>
      <c r="C174" s="246"/>
      <c r="D174" s="246"/>
      <c r="E174" s="246"/>
      <c r="F174" s="246"/>
      <c r="G174" s="246"/>
      <c r="H174" s="246">
        <f>H165/'Income Statement'!H$41</f>
        <v>1.5219998155151739E-2</v>
      </c>
      <c r="I174" s="246">
        <f>I165/'Income Statement'!I$41</f>
        <v>1.0500308832612723E-2</v>
      </c>
      <c r="J174" s="246">
        <f>J165/'Income Statement'!J$41</f>
        <v>5.6414745647310575E-3</v>
      </c>
      <c r="K174" s="246">
        <f>K165/'Income Statement'!K$41</f>
        <v>7.9552987972345869E-3</v>
      </c>
      <c r="L174" s="246">
        <f>L165/'Income Statement'!L$41</f>
        <v>6.5288356909684441E-3</v>
      </c>
      <c r="M174" s="246">
        <f>M165/'Income Statement'!M$41</f>
        <v>7.7200205867215647E-3</v>
      </c>
      <c r="N174" s="246">
        <f>N165/'Income Statement'!N$41</f>
        <v>4.9944913698127067E-3</v>
      </c>
      <c r="O174" s="246">
        <f>O165/'Income Statement'!O$41</f>
        <v>5.2449965493443756E-3</v>
      </c>
      <c r="P174" s="246">
        <f>P165/'Income Statement'!P$41</f>
        <v>5.184791278915182E-3</v>
      </c>
      <c r="Q174" s="246">
        <f>Q165/'Income Statement'!Q$41</f>
        <v>5.8562446060904947E-3</v>
      </c>
      <c r="R174" s="246">
        <f>R165/'Income Statement'!R$41</f>
        <v>6.309913845407111E-3</v>
      </c>
      <c r="S174" s="246">
        <f>S165/'Income Statement'!S$41</f>
        <v>1.2335124572545188E-2</v>
      </c>
      <c r="T174" s="246">
        <f>T165/'Income Statement'!T$41</f>
        <v>1.0368608799048752E-2</v>
      </c>
      <c r="U174" s="246">
        <f>U165/'Income Statement'!U$41</f>
        <v>1.0757829309108296E-2</v>
      </c>
      <c r="V174" s="246">
        <f>V165/'Income Statement'!V$41</f>
        <v>1.9241176116890146E-2</v>
      </c>
      <c r="W174" s="246">
        <f>W165/'Income Statement'!W$41</f>
        <v>1.4868168902398731E-2</v>
      </c>
      <c r="X174" s="246">
        <f>X165/'Income Statement'!X$41</f>
        <v>1.208830610049685E-2</v>
      </c>
      <c r="Y174" s="246">
        <f>Y165/'Income Statement'!Y$41</f>
        <v>1.0781785125364677E-2</v>
      </c>
      <c r="Z174" s="246">
        <f>Z165/'Income Statement'!Z$41</f>
        <v>1.0210708615961898E-2</v>
      </c>
      <c r="AA174" s="275">
        <f t="shared" ref="AA174:AF174" si="149">Z174</f>
        <v>1.0210708615961898E-2</v>
      </c>
      <c r="AB174" s="275">
        <f t="shared" si="149"/>
        <v>1.0210708615961898E-2</v>
      </c>
      <c r="AC174" s="275">
        <f t="shared" si="149"/>
        <v>1.0210708615961898E-2</v>
      </c>
      <c r="AD174" s="275">
        <f t="shared" si="149"/>
        <v>1.0210708615961898E-2</v>
      </c>
      <c r="AE174" s="275">
        <f t="shared" si="149"/>
        <v>1.0210708615961898E-2</v>
      </c>
      <c r="AF174" s="275">
        <f t="shared" si="149"/>
        <v>1.0210708615961898E-2</v>
      </c>
    </row>
    <row r="175" spans="1:32">
      <c r="A175" s="19" t="s">
        <v>770</v>
      </c>
      <c r="B175" s="246"/>
      <c r="C175" s="246"/>
      <c r="D175" s="246"/>
      <c r="E175" s="246"/>
      <c r="F175" s="246"/>
      <c r="G175" s="246"/>
      <c r="H175" s="246">
        <f>H166/'Income Statement'!H$41</f>
        <v>2.6196845309473298E-2</v>
      </c>
      <c r="I175" s="246">
        <f>I166/'Income Statement'!I$41</f>
        <v>2.0588840848260244E-2</v>
      </c>
      <c r="J175" s="246">
        <f>J166/'Income Statement'!J$41</f>
        <v>2.2176831047563468E-2</v>
      </c>
      <c r="K175" s="246">
        <f>K166/'Income Statement'!K$41</f>
        <v>1.7236480727341606E-2</v>
      </c>
      <c r="L175" s="246">
        <f>L166/'Income Statement'!L$41</f>
        <v>1.6231410953935436E-2</v>
      </c>
      <c r="M175" s="246">
        <f>M166/'Income Statement'!M$41</f>
        <v>2.4189397838394237E-2</v>
      </c>
      <c r="N175" s="246">
        <f>N166/'Income Statement'!N$41</f>
        <v>3.7017994858611826E-2</v>
      </c>
      <c r="O175" s="246">
        <f>O166/'Income Statement'!O$41</f>
        <v>4.7895100069013111E-2</v>
      </c>
      <c r="P175" s="246">
        <f>P166/'Income Statement'!P$41</f>
        <v>4.2807763892581757E-2</v>
      </c>
      <c r="Q175" s="246">
        <f>Q166/'Income Statement'!Q$41</f>
        <v>3.0514116631734683E-2</v>
      </c>
      <c r="R175" s="246">
        <f>R166/'Income Statement'!R$41</f>
        <v>2.081058124014076E-2</v>
      </c>
      <c r="S175" s="246">
        <f>S166/'Income Statement'!S$41</f>
        <v>2.1067415730337078E-2</v>
      </c>
      <c r="T175" s="246">
        <f>T166/'Income Statement'!T$41</f>
        <v>1.5219976218787158E-2</v>
      </c>
      <c r="U175" s="246">
        <f>U166/'Income Statement'!U$41</f>
        <v>1.2949238983185911E-2</v>
      </c>
      <c r="V175" s="246">
        <f>V166/'Income Statement'!V$41</f>
        <v>1.6775900426913595E-2</v>
      </c>
      <c r="W175" s="246">
        <f>W166/'Income Statement'!W$41</f>
        <v>2.0551113460648914E-2</v>
      </c>
      <c r="X175" s="246">
        <f>X166/'Income Statement'!X$41</f>
        <v>1.4495722993392409E-2</v>
      </c>
      <c r="Y175" s="246">
        <f>Y166/'Income Statement'!Y$41</f>
        <v>1.3656927825461926E-2</v>
      </c>
      <c r="Z175" s="246">
        <f>Z166/'Income Statement'!Z$41</f>
        <v>1.1834319526627219E-2</v>
      </c>
      <c r="AA175" s="246">
        <f>AA166/'Income Statement'!AA$41</f>
        <v>1.2007175019218802E-2</v>
      </c>
      <c r="AB175" s="246">
        <f>AB166/'Income Statement'!AB$41</f>
        <v>1.2007175019218802E-2</v>
      </c>
      <c r="AC175" s="246">
        <f>AC166/'Income Statement'!AC$41</f>
        <v>1.2007175019218802E-2</v>
      </c>
      <c r="AD175" s="246">
        <f>AD166/'Income Statement'!AD$41</f>
        <v>1.2007175019218802E-2</v>
      </c>
      <c r="AE175" s="246">
        <f>AE166/'Income Statement'!AE$41</f>
        <v>1.2007175019218804E-2</v>
      </c>
      <c r="AF175" s="246">
        <f>AF166/'Income Statement'!AF$41</f>
        <v>1.2007175019218802E-2</v>
      </c>
    </row>
    <row r="176" spans="1:32">
      <c r="A176" s="19" t="s">
        <v>769</v>
      </c>
      <c r="B176" s="246"/>
      <c r="C176" s="246"/>
      <c r="D176" s="246"/>
      <c r="E176" s="246"/>
      <c r="F176" s="246"/>
      <c r="G176" s="246"/>
      <c r="H176" s="246">
        <f>H167/'Income Statement'!H$41</f>
        <v>6.4569689143067988E-2</v>
      </c>
      <c r="I176" s="246">
        <f>I167/'Income Statement'!I$41</f>
        <v>8.0811200329421448E-2</v>
      </c>
      <c r="J176" s="246">
        <f>J167/'Income Statement'!J$41</f>
        <v>6.3223421846123923E-2</v>
      </c>
      <c r="K176" s="246">
        <f>K167/'Income Statement'!K$41</f>
        <v>5.7391798465763803E-2</v>
      </c>
      <c r="L176" s="246">
        <f>L167/'Income Statement'!L$41</f>
        <v>5.1233224519405152E-2</v>
      </c>
      <c r="M176" s="246">
        <f>M167/'Income Statement'!M$41</f>
        <v>6.1588608680734257E-2</v>
      </c>
      <c r="N176" s="246">
        <f>N167/'Income Statement'!N$41</f>
        <v>7.6019096584649282E-2</v>
      </c>
      <c r="O176" s="246">
        <f>O167/'Income Statement'!O$41</f>
        <v>8.4403036576949614E-2</v>
      </c>
      <c r="P176" s="246">
        <f>P167/'Income Statement'!P$41</f>
        <v>8.7277319861738895E-2</v>
      </c>
      <c r="Q176" s="246">
        <f>Q167/'Income Statement'!Q$41</f>
        <v>7.3418813956355564E-2</v>
      </c>
      <c r="R176" s="246">
        <f>R167/'Income Statement'!R$41</f>
        <v>5.8670064312583425E-2</v>
      </c>
      <c r="S176" s="246">
        <f>S167/'Income Statement'!S$41</f>
        <v>6.0026868588177823E-2</v>
      </c>
      <c r="T176" s="246">
        <f>T167/'Income Statement'!T$41</f>
        <v>5.1129607609988109E-2</v>
      </c>
      <c r="U176" s="246">
        <f>U167/'Income Statement'!U$41</f>
        <v>4.6657104151725234E-2</v>
      </c>
      <c r="V176" s="246">
        <f>V167/'Income Statement'!V$41</f>
        <v>4.2992002886176418E-2</v>
      </c>
      <c r="W176" s="246">
        <f>W167/'Income Statement'!W$41</f>
        <v>5.0485693517478357E-2</v>
      </c>
      <c r="X176" s="246">
        <f>X167/'Income Statement'!X$41</f>
        <v>4.4716488244634534E-2</v>
      </c>
      <c r="Y176" s="246">
        <f>Y167/'Income Statement'!Y$41</f>
        <v>4.4860682423576173E-2</v>
      </c>
      <c r="Z176" s="246">
        <f>Z167/'Income Statement'!Z$41</f>
        <v>4.2322124404675997E-2</v>
      </c>
      <c r="AA176" s="246">
        <f>AA167/'Income Statement'!AA$41</f>
        <v>4.0123977852429944E-2</v>
      </c>
      <c r="AB176" s="246">
        <f>AB167/'Income Statement'!AB$41</f>
        <v>4.0684263908908939E-2</v>
      </c>
      <c r="AC176" s="246">
        <f>AC167/'Income Statement'!AC$41</f>
        <v>4.0768347028622386E-2</v>
      </c>
      <c r="AD176" s="246">
        <f>AD167/'Income Statement'!AD$41</f>
        <v>4.1401378888779643E-2</v>
      </c>
      <c r="AE176" s="246">
        <f>AE167/'Income Statement'!AE$41</f>
        <v>4.184801925028233E-2</v>
      </c>
      <c r="AF176" s="246">
        <f>AF167/'Income Statement'!AF$41</f>
        <v>4.1927130758827653E-2</v>
      </c>
    </row>
    <row r="177" spans="1:39">
      <c r="A177" s="19" t="s">
        <v>768</v>
      </c>
      <c r="B177" s="246"/>
      <c r="C177" s="246"/>
      <c r="D177" s="246"/>
      <c r="E177" s="246"/>
      <c r="F177" s="246"/>
      <c r="G177" s="246"/>
      <c r="H177" s="246">
        <f>H169/'Income Statement'!H$41</f>
        <v>7.9789687298219725E-2</v>
      </c>
      <c r="I177" s="246">
        <f>I169/'Income Statement'!I$41</f>
        <v>9.1311509162034177E-2</v>
      </c>
      <c r="J177" s="246">
        <f>J169/'Income Statement'!J$41</f>
        <v>6.886489641085497E-2</v>
      </c>
      <c r="K177" s="246">
        <f>K169/'Income Statement'!K$41</f>
        <v>6.5347097262998394E-2</v>
      </c>
      <c r="L177" s="246">
        <f>L169/'Income Statement'!L$41</f>
        <v>5.7762060210373598E-2</v>
      </c>
      <c r="M177" s="246">
        <f>M169/'Income Statement'!M$41</f>
        <v>6.9308629267455818E-2</v>
      </c>
      <c r="N177" s="246">
        <f>N169/'Income Statement'!N$41</f>
        <v>8.1013587954461994E-2</v>
      </c>
      <c r="O177" s="246">
        <f>O169/'Income Statement'!O$41</f>
        <v>8.9648033126293991E-2</v>
      </c>
      <c r="P177" s="246">
        <f>P169/'Income Statement'!P$41</f>
        <v>9.2462111140654085E-2</v>
      </c>
      <c r="Q177" s="246">
        <f>Q169/'Income Statement'!Q$41</f>
        <v>7.9275058562446057E-2</v>
      </c>
      <c r="R177" s="246">
        <f>R169/'Income Statement'!R$41</f>
        <v>6.4979978157990531E-2</v>
      </c>
      <c r="S177" s="246">
        <f>S169/'Income Statement'!S$41</f>
        <v>6.8575964826575478E-2</v>
      </c>
      <c r="T177" s="246">
        <f>T169/'Income Statement'!T$41</f>
        <v>5.8311533888228302E-2</v>
      </c>
      <c r="U177" s="246">
        <f>U169/'Income Statement'!U$41</f>
        <v>5.3271176986214044E-2</v>
      </c>
      <c r="V177" s="246">
        <f>V169/'Income Statement'!V$41</f>
        <v>5.1951175515603389E-2</v>
      </c>
      <c r="W177" s="246">
        <f>W169/'Income Statement'!W$41</f>
        <v>6.1058613625850792E-2</v>
      </c>
      <c r="X177" s="246">
        <f>X169/'Income Statement'!X$41</f>
        <v>6.2439174307227376E-2</v>
      </c>
      <c r="Y177" s="246">
        <f>Y169/'Income Statement'!Y$41</f>
        <v>6.0082026129973362E-2</v>
      </c>
      <c r="Z177" s="246">
        <f>Z169/'Income Statement'!Z$41</f>
        <v>5.4445085870977052E-2</v>
      </c>
      <c r="AA177" s="246">
        <f>AA169/'Income Statement'!AA$41</f>
        <v>5.4445085870977052E-2</v>
      </c>
      <c r="AB177" s="246">
        <f>AB169/'Income Statement'!AB$41</f>
        <v>5.4445085870977059E-2</v>
      </c>
      <c r="AC177" s="246">
        <f>AC169/'Income Statement'!AC$41</f>
        <v>5.4445085870977052E-2</v>
      </c>
      <c r="AD177" s="246">
        <f>AD169/'Income Statement'!AD$41</f>
        <v>5.4445085870977059E-2</v>
      </c>
      <c r="AE177" s="246">
        <f>AE169/'Income Statement'!AE$41</f>
        <v>5.4445085870977052E-2</v>
      </c>
      <c r="AF177" s="246">
        <f>AF169/'Income Statement'!AF$41</f>
        <v>5.4445085870977059E-2</v>
      </c>
    </row>
    <row r="178" spans="1:39">
      <c r="A178" s="19" t="s">
        <v>767</v>
      </c>
      <c r="B178" s="246"/>
      <c r="C178" s="246"/>
      <c r="D178" s="246"/>
      <c r="E178" s="246"/>
      <c r="F178" s="246"/>
      <c r="G178" s="246"/>
      <c r="H178" s="246">
        <f>H170/'Income Statement'!H$41</f>
        <v>5.3193124865479821E-2</v>
      </c>
      <c r="I178" s="246">
        <f>I170/'Income Statement'!I$41</f>
        <v>5.8379489464251359E-2</v>
      </c>
      <c r="J178" s="246">
        <f>J170/'Income Statement'!J$41</f>
        <v>4.5909930940569985E-2</v>
      </c>
      <c r="K178" s="246">
        <f>K170/'Income Statement'!K$41</f>
        <v>4.3564731508665591E-2</v>
      </c>
      <c r="L178" s="246">
        <f>L170/'Income Statement'!L$41</f>
        <v>5.1222959054482244E-2</v>
      </c>
      <c r="M178" s="246">
        <f>M170/'Income Statement'!M$41</f>
        <v>4.0229885057471264E-2</v>
      </c>
      <c r="N178" s="246">
        <f>N170/'Income Statement'!N$41</f>
        <v>3.6063165626147628E-2</v>
      </c>
      <c r="O178" s="246">
        <f>O170/'Income Statement'!O$41</f>
        <v>3.6024844720496892E-2</v>
      </c>
      <c r="P178" s="246">
        <f>P170/'Income Statement'!P$41</f>
        <v>3.4964105291145971E-2</v>
      </c>
      <c r="Q178" s="246">
        <f>Q170/'Income Statement'!Q$41</f>
        <v>4.3212920724941435E-2</v>
      </c>
      <c r="R178" s="246">
        <f>R170/'Income Statement'!R$41</f>
        <v>3.6524693605145007E-2</v>
      </c>
      <c r="S178" s="246">
        <f>S170/'Income Statement'!S$41</f>
        <v>1.4899853444064484E-2</v>
      </c>
      <c r="T178" s="246">
        <f>T170/'Income Statement'!T$41</f>
        <v>1.1700356718192627E-2</v>
      </c>
      <c r="U178" s="246">
        <f>U170/'Income Statement'!U$41</f>
        <v>1.5459399155311181E-2</v>
      </c>
      <c r="V178" s="246">
        <f>V170/'Income Statement'!V$41</f>
        <v>2.0984907702483315E-2</v>
      </c>
      <c r="W178" s="246">
        <f>W170/'Income Statement'!W$41</f>
        <v>3.343685984272781E-2</v>
      </c>
      <c r="X178" s="246">
        <f>X170/'Income Statement'!X$41</f>
        <v>1.6442145162116478E-2</v>
      </c>
      <c r="Y178" s="246">
        <f>Y170/'Income Statement'!Y$41</f>
        <v>1.6785759587332461E-2</v>
      </c>
      <c r="Z178" s="246">
        <f>Z170/'Income Statement'!Z$41</f>
        <v>1.6993794198297014E-2</v>
      </c>
      <c r="AA178" s="275">
        <f t="shared" ref="AA178:AF179" si="150">Z178</f>
        <v>1.6993794198297014E-2</v>
      </c>
      <c r="AB178" s="275">
        <f t="shared" si="150"/>
        <v>1.6993794198297014E-2</v>
      </c>
      <c r="AC178" s="275">
        <f t="shared" si="150"/>
        <v>1.6993794198297014E-2</v>
      </c>
      <c r="AD178" s="275">
        <f t="shared" si="150"/>
        <v>1.6993794198297014E-2</v>
      </c>
      <c r="AE178" s="275">
        <f t="shared" si="150"/>
        <v>1.6993794198297014E-2</v>
      </c>
      <c r="AF178" s="275">
        <f t="shared" si="150"/>
        <v>1.6993794198297014E-2</v>
      </c>
    </row>
    <row r="179" spans="1:39">
      <c r="A179" s="19" t="s">
        <v>1113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246">
        <f>S171/'Income Statement'!S$41</f>
        <v>8.3475818270639962E-2</v>
      </c>
      <c r="T179" s="246">
        <f>T171/'Income Statement'!T$41</f>
        <v>7.0011890606420921E-2</v>
      </c>
      <c r="U179" s="246">
        <f>U171/'Income Statement'!U$41</f>
        <v>6.8730576141525224E-2</v>
      </c>
      <c r="V179" s="246">
        <f>V171/'Income Statement'!V$41</f>
        <v>7.29360832180867E-2</v>
      </c>
      <c r="W179" s="246">
        <f>W171/'Income Statement'!W$41</f>
        <v>9.4495473468578603E-2</v>
      </c>
      <c r="X179" s="246">
        <f>X171/'Income Statement'!X$41</f>
        <v>7.8881319469343847E-2</v>
      </c>
      <c r="Y179" s="246">
        <f>Y171/'Income Statement'!Y$41</f>
        <v>7.686778571730582E-2</v>
      </c>
      <c r="Z179" s="246">
        <f>Z171/'Income Statement'!Z$41</f>
        <v>7.1438880069274069E-2</v>
      </c>
      <c r="AA179" s="275">
        <f t="shared" si="150"/>
        <v>7.1438880069274069E-2</v>
      </c>
      <c r="AB179" s="275">
        <f t="shared" si="150"/>
        <v>7.1438880069274069E-2</v>
      </c>
      <c r="AC179" s="275">
        <f t="shared" si="150"/>
        <v>7.1438880069274069E-2</v>
      </c>
      <c r="AD179" s="275">
        <f t="shared" si="150"/>
        <v>7.1438880069274069E-2</v>
      </c>
      <c r="AE179" s="275">
        <f t="shared" si="150"/>
        <v>7.1438880069274069E-2</v>
      </c>
      <c r="AF179" s="275">
        <f t="shared" si="150"/>
        <v>7.1438880069274069E-2</v>
      </c>
    </row>
    <row r="180" spans="1:39">
      <c r="A180" s="240" t="s">
        <v>958</v>
      </c>
      <c r="B180" s="57"/>
      <c r="C180" s="57"/>
      <c r="D180" s="57"/>
      <c r="E180" s="57"/>
      <c r="F180" s="57"/>
      <c r="G180" s="57"/>
      <c r="H180" s="272">
        <f>'Cashflow Statement'!H24</f>
        <v>854</v>
      </c>
      <c r="I180" s="272">
        <f>'Cashflow Statement'!I24</f>
        <v>1108</v>
      </c>
      <c r="J180" s="272">
        <f>'Cashflow Statement'!J24</f>
        <v>626</v>
      </c>
      <c r="K180" s="272">
        <f>'Cashflow Statement'!K24</f>
        <v>1408</v>
      </c>
      <c r="L180" s="272">
        <f>'Cashflow Statement'!L24</f>
        <v>1430</v>
      </c>
      <c r="M180" s="272">
        <f>'Cashflow Statement'!M24</f>
        <v>1237</v>
      </c>
      <c r="N180" s="272">
        <f>'Cashflow Statement'!N24</f>
        <v>1617</v>
      </c>
      <c r="O180" s="272">
        <f>'Cashflow Statement'!O24</f>
        <v>2139</v>
      </c>
      <c r="P180" s="272">
        <f>'Cashflow Statement'!P24</f>
        <v>2357</v>
      </c>
      <c r="Q180" s="272">
        <f>'Cashflow Statement'!Q24</f>
        <v>2631</v>
      </c>
      <c r="R180" s="272">
        <f>'Cashflow Statement'!R24</f>
        <v>2483</v>
      </c>
      <c r="S180" s="272">
        <f>'Cashflow Statement'!S24</f>
        <v>2752</v>
      </c>
      <c r="T180" s="272">
        <f>'Cashflow Statement'!T24</f>
        <v>3071</v>
      </c>
      <c r="U180" s="272">
        <f>'Cashflow Statement'!U24</f>
        <v>3145</v>
      </c>
      <c r="V180" s="272">
        <f>'Cashflow Statement'!V24</f>
        <v>1866</v>
      </c>
      <c r="W180" s="272">
        <f>'Cashflow Statement'!W24</f>
        <v>2436</v>
      </c>
      <c r="X180" s="272">
        <f>'Cashflow Statement'!X24</f>
        <v>3545</v>
      </c>
      <c r="Y180" s="272">
        <f>'Cashflow Statement'!Y24</f>
        <v>4270</v>
      </c>
      <c r="Z180" s="272">
        <f>'Cashflow Statement'!Z24</f>
        <v>4733</v>
      </c>
      <c r="AA180" s="272">
        <f>'Cashflow Statement'!AA24</f>
        <v>5741.0138570859253</v>
      </c>
      <c r="AB180" s="272">
        <f>'Cashflow Statement'!AB24</f>
        <v>6486.6147454246175</v>
      </c>
      <c r="AC180" s="272">
        <f>'Cashflow Statement'!AC24</f>
        <v>7059.7484136817438</v>
      </c>
      <c r="AD180" s="272">
        <f>'Cashflow Statement'!AD24</f>
        <v>7619.1303989661155</v>
      </c>
      <c r="AE180" s="272">
        <f>'Cashflow Statement'!AE24</f>
        <v>7964.697333965787</v>
      </c>
      <c r="AF180" s="272">
        <f>'Cashflow Statement'!AF24</f>
        <v>8257.289710853991</v>
      </c>
    </row>
    <row r="181" spans="1:39">
      <c r="A181" s="249" t="s">
        <v>778</v>
      </c>
      <c r="B181" s="180"/>
      <c r="C181" s="180"/>
      <c r="D181" s="180"/>
      <c r="E181" s="180"/>
      <c r="F181" s="180"/>
      <c r="G181" s="180"/>
      <c r="H181" s="267">
        <f>'Income Statement'!H164</f>
        <v>581</v>
      </c>
      <c r="I181" s="267">
        <f>'Income Statement'!I164</f>
        <v>687</v>
      </c>
      <c r="J181" s="267">
        <f>'Income Statement'!J164</f>
        <v>480</v>
      </c>
      <c r="K181" s="267">
        <f>'Income Statement'!K164</f>
        <v>508</v>
      </c>
      <c r="L181" s="267">
        <f>'Income Statement'!L164</f>
        <v>458</v>
      </c>
      <c r="M181" s="267">
        <f>'Income Statement'!M164</f>
        <v>526</v>
      </c>
      <c r="N181" s="267">
        <f>'Income Statement'!N164</f>
        <v>599</v>
      </c>
      <c r="O181" s="267">
        <f>'Income Statement'!O164</f>
        <v>605</v>
      </c>
      <c r="P181" s="267">
        <f>'Income Statement'!P164</f>
        <v>747</v>
      </c>
      <c r="Q181" s="267">
        <f>'Income Statement'!Q164</f>
        <v>791</v>
      </c>
      <c r="R181" s="267">
        <f>'Income Statement'!R164</f>
        <v>728</v>
      </c>
      <c r="S181" s="267">
        <f>'Income Statement'!S164</f>
        <v>840</v>
      </c>
      <c r="T181" s="267">
        <f>'Income Statement'!T164</f>
        <v>973</v>
      </c>
      <c r="U181" s="267">
        <f>'Income Statement'!U164</f>
        <v>1116</v>
      </c>
      <c r="V181" s="267">
        <f>'Income Statement'!V164</f>
        <v>756</v>
      </c>
      <c r="W181" s="267">
        <f>'Income Statement'!W164</f>
        <v>678</v>
      </c>
      <c r="X181" s="267">
        <f>'Income Statement'!X164</f>
        <v>826</v>
      </c>
      <c r="Y181" s="267">
        <f>'Income Statement'!Y164</f>
        <v>993</v>
      </c>
      <c r="Z181" s="267">
        <f>'Income Statement'!Z164</f>
        <v>1128</v>
      </c>
      <c r="AA181" s="268">
        <f>-('Aerospace Propulsion Division'!AA311+'Equipment and Defense'!AA37+'Aircraft Interiors Division'!O43)</f>
        <v>1209.4847448988739</v>
      </c>
      <c r="AB181" s="268">
        <f>-('Aerospace Propulsion Division'!AB311+'Equipment and Defense'!AB37+'Aircraft Interiors Division'!P43)</f>
        <v>1386.4951016860871</v>
      </c>
      <c r="AC181" s="268">
        <f>-('Aerospace Propulsion Division'!AC311+'Equipment and Defense'!AC37+'Aircraft Interiors Division'!Q43)</f>
        <v>1528.9659936863522</v>
      </c>
      <c r="AD181" s="268">
        <f>-('Aerospace Propulsion Division'!AD311+'Equipment and Defense'!AD37+'Aircraft Interiors Division'!R43)</f>
        <v>1674.5785860973485</v>
      </c>
      <c r="AE181" s="268">
        <f>-('Aerospace Propulsion Division'!AE311+'Equipment and Defense'!AE37+'Aircraft Interiors Division'!S43)</f>
        <v>1787.1263605037832</v>
      </c>
      <c r="AF181" s="268">
        <f>-('Aerospace Propulsion Division'!AF311+'Equipment and Defense'!AF37+'Aircraft Interiors Division'!T43)</f>
        <v>1877.5960663393798</v>
      </c>
    </row>
    <row r="182" spans="1:39">
      <c r="A182" s="303" t="s">
        <v>959</v>
      </c>
      <c r="B182" s="180"/>
      <c r="C182" s="180"/>
      <c r="D182" s="180"/>
      <c r="E182" s="180"/>
      <c r="F182" s="180"/>
      <c r="G182" s="180"/>
      <c r="H182" s="267">
        <f>'Income Statement'!H165</f>
        <v>165</v>
      </c>
      <c r="I182" s="267">
        <f>'Income Statement'!I165</f>
        <v>102</v>
      </c>
      <c r="J182" s="267">
        <f>'Income Statement'!J165</f>
        <v>58</v>
      </c>
      <c r="K182" s="267">
        <f>'Income Statement'!K165</f>
        <v>84</v>
      </c>
      <c r="L182" s="267">
        <f>'Income Statement'!L165</f>
        <v>72</v>
      </c>
      <c r="M182" s="267">
        <f>'Income Statement'!M165</f>
        <v>90</v>
      </c>
      <c r="N182" s="267">
        <f>'Income Statement'!N165</f>
        <v>68</v>
      </c>
      <c r="O182" s="267">
        <f>'Income Statement'!O165</f>
        <v>76</v>
      </c>
      <c r="P182" s="267">
        <f>'Income Statement'!P165</f>
        <v>78</v>
      </c>
      <c r="Q182" s="267">
        <f>'Income Statement'!Q165</f>
        <v>95</v>
      </c>
      <c r="R182" s="267">
        <f>'Income Statement'!R165</f>
        <v>104</v>
      </c>
      <c r="S182" s="267">
        <f>'Income Statement'!S165</f>
        <v>202</v>
      </c>
      <c r="T182" s="267">
        <f>'Income Statement'!T165</f>
        <v>218</v>
      </c>
      <c r="U182" s="267">
        <f>'Income Statement'!U165</f>
        <v>270</v>
      </c>
      <c r="V182" s="267">
        <f>'Income Statement'!V165</f>
        <v>320</v>
      </c>
      <c r="W182" s="267">
        <f>'Income Statement'!W165</f>
        <v>225</v>
      </c>
      <c r="X182" s="267">
        <f>'Income Statement'!X165</f>
        <v>236</v>
      </c>
      <c r="Y182" s="267">
        <f>'Income Statement'!Y165</f>
        <v>255</v>
      </c>
      <c r="Z182" s="267">
        <f>'Income Statement'!Z165</f>
        <v>283</v>
      </c>
      <c r="AA182" s="267">
        <f>'Income Statement'!AA165</f>
        <v>322.21492705026299</v>
      </c>
      <c r="AB182" s="267">
        <f>'Income Statement'!AB165</f>
        <v>364.04986625219584</v>
      </c>
      <c r="AC182" s="267">
        <f>'Income Statement'!AC165</f>
        <v>400.59206778655607</v>
      </c>
      <c r="AD182" s="267">
        <f>'Income Statement'!AD165</f>
        <v>431.73012952420379</v>
      </c>
      <c r="AE182" s="267">
        <f>'Income Statement'!AE165</f>
        <v>455.60846533728972</v>
      </c>
      <c r="AF182" s="267">
        <f>'Income Statement'!AF165</f>
        <v>477.72910415838567</v>
      </c>
    </row>
    <row r="183" spans="1:39">
      <c r="A183" s="249" t="s">
        <v>776</v>
      </c>
      <c r="B183" s="180"/>
      <c r="C183" s="180"/>
      <c r="D183" s="180"/>
      <c r="E183" s="180"/>
      <c r="F183" s="180"/>
      <c r="G183" s="180"/>
      <c r="H183" s="267">
        <f>'Income Statement'!H166</f>
        <v>284</v>
      </c>
      <c r="I183" s="267">
        <f>'Income Statement'!I166</f>
        <v>200</v>
      </c>
      <c r="J183" s="267">
        <f>'Income Statement'!J166</f>
        <v>228</v>
      </c>
      <c r="K183" s="267">
        <f>'Income Statement'!K166</f>
        <v>182</v>
      </c>
      <c r="L183" s="267">
        <f>'Income Statement'!L166</f>
        <v>179</v>
      </c>
      <c r="M183" s="267">
        <f>'Income Statement'!M166</f>
        <v>282</v>
      </c>
      <c r="N183" s="267">
        <f>'Income Statement'!N166</f>
        <v>504</v>
      </c>
      <c r="O183" s="267">
        <f>'Income Statement'!O166</f>
        <v>694</v>
      </c>
      <c r="P183" s="267">
        <f>'Income Statement'!P166</f>
        <v>644</v>
      </c>
      <c r="Q183" s="267">
        <f>'Income Statement'!Q166</f>
        <v>495</v>
      </c>
      <c r="R183" s="267">
        <f>'Income Statement'!R166</f>
        <v>343</v>
      </c>
      <c r="S183" s="267">
        <f>'Income Statement'!S166</f>
        <v>345</v>
      </c>
      <c r="T183" s="267">
        <f>'Income Statement'!T166</f>
        <v>320</v>
      </c>
      <c r="U183" s="267">
        <f>'Income Statement'!U166</f>
        <v>325</v>
      </c>
      <c r="V183" s="267">
        <f>'Income Statement'!V166</f>
        <v>279</v>
      </c>
      <c r="W183" s="267">
        <f>'Income Statement'!W166</f>
        <v>311</v>
      </c>
      <c r="X183" s="267">
        <f>'Income Statement'!X166</f>
        <v>283</v>
      </c>
      <c r="Y183" s="267">
        <f>'Income Statement'!Y166</f>
        <v>323</v>
      </c>
      <c r="Z183" s="267">
        <f>'Income Statement'!Z166</f>
        <v>328</v>
      </c>
      <c r="AA183" s="268">
        <f>AA184*'Income Statement'!AA9</f>
        <v>378.90524236969014</v>
      </c>
      <c r="AB183" s="268">
        <f>AB184*'Income Statement'!AB9</f>
        <v>428.10059754129247</v>
      </c>
      <c r="AC183" s="268">
        <f>AC184*'Income Statement'!AC9</f>
        <v>471.07201371947264</v>
      </c>
      <c r="AD183" s="268">
        <f>AD184*'Income Statement'!AD9</f>
        <v>507.68848874635847</v>
      </c>
      <c r="AE183" s="268">
        <f>AE184*'Income Statement'!AE9</f>
        <v>535.76796570128806</v>
      </c>
      <c r="AF183" s="268">
        <f>AF184*'Income Statement'!AF9</f>
        <v>561.78049743161432</v>
      </c>
    </row>
    <row r="184" spans="1:39">
      <c r="A184" s="303" t="s">
        <v>755</v>
      </c>
      <c r="B184" s="180"/>
      <c r="C184" s="180"/>
      <c r="D184" s="180"/>
      <c r="E184" s="180"/>
      <c r="F184" s="180"/>
      <c r="G184" s="180"/>
      <c r="H184" s="270">
        <f>H183/'Income Statement'!H9</f>
        <v>2.5068408509135845E-2</v>
      </c>
      <c r="I184" s="270">
        <f>I183/'Income Statement'!I9</f>
        <v>1.9565642731363724E-2</v>
      </c>
      <c r="J184" s="270">
        <f>J183/'Income Statement'!J9</f>
        <v>2.2073772872494919E-2</v>
      </c>
      <c r="K184" s="270">
        <f>K183/'Income Statement'!K9</f>
        <v>1.7419601837672282E-2</v>
      </c>
      <c r="L184" s="270">
        <f>L183/'Income Statement'!L9</f>
        <v>1.6635687732342006E-2</v>
      </c>
      <c r="M184" s="270">
        <f>M183/'Income Statement'!M9</f>
        <v>2.4028629856850715E-2</v>
      </c>
      <c r="N184" s="270">
        <f>N183/'Income Statement'!N9</f>
        <v>3.7168141592920353E-2</v>
      </c>
      <c r="O184" s="270">
        <f>O183/'Income Statement'!O9</f>
        <v>4.8318596393511104E-2</v>
      </c>
      <c r="P184" s="270">
        <f>P183/'Income Statement'!P9</f>
        <v>4.1940735916639528E-2</v>
      </c>
      <c r="Q184" s="270">
        <f>Q183/'Income Statement'!Q9</f>
        <v>2.8425404846675089E-2</v>
      </c>
      <c r="R184" s="270">
        <f>R183/'Income Statement'!R9</f>
        <v>2.1734997782143082E-2</v>
      </c>
      <c r="S184" s="270">
        <f>S183/'Income Statement'!S9</f>
        <v>2.1626026452704821E-2</v>
      </c>
      <c r="T184" s="270">
        <f>T183/'Income Statement'!T9</f>
        <v>1.5201900237529691E-2</v>
      </c>
      <c r="U184" s="270">
        <f>U183/'Income Statement'!U9</f>
        <v>1.3189935064935064E-2</v>
      </c>
      <c r="V184" s="270">
        <f>V183/'Income Statement'!V9</f>
        <v>1.6911140744332646E-2</v>
      </c>
      <c r="W184" s="270">
        <f>W183/'Income Statement'!W9</f>
        <v>2.0384085993314545E-2</v>
      </c>
      <c r="X184" s="270">
        <f>X183/'Income Statement'!X9</f>
        <v>1.4867349619122668E-2</v>
      </c>
      <c r="Y184" s="270">
        <f>Y183/'Income Statement'!Y9</f>
        <v>1.3923013923013924E-2</v>
      </c>
      <c r="Z184" s="270">
        <f>Z183/'Income Statement'!Z9</f>
        <v>1.2007175019218802E-2</v>
      </c>
      <c r="AA184" s="271">
        <f t="shared" ref="AA184:AF184" si="151">Z184</f>
        <v>1.2007175019218802E-2</v>
      </c>
      <c r="AB184" s="271">
        <f t="shared" si="151"/>
        <v>1.2007175019218802E-2</v>
      </c>
      <c r="AC184" s="271">
        <f t="shared" si="151"/>
        <v>1.2007175019218802E-2</v>
      </c>
      <c r="AD184" s="271">
        <f t="shared" si="151"/>
        <v>1.2007175019218802E-2</v>
      </c>
      <c r="AE184" s="271">
        <f t="shared" si="151"/>
        <v>1.2007175019218802E-2</v>
      </c>
      <c r="AF184" s="271">
        <f t="shared" si="151"/>
        <v>1.2007175019218802E-2</v>
      </c>
    </row>
    <row r="185" spans="1:39">
      <c r="A185" s="249" t="s">
        <v>960</v>
      </c>
      <c r="B185" s="180"/>
      <c r="C185" s="180"/>
      <c r="D185" s="180"/>
      <c r="E185" s="180"/>
      <c r="F185" s="180"/>
      <c r="G185" s="180"/>
      <c r="H185" s="267">
        <f t="shared" ref="H185:AF185" si="152">H181-H182+H183</f>
        <v>700</v>
      </c>
      <c r="I185" s="267">
        <f t="shared" si="152"/>
        <v>785</v>
      </c>
      <c r="J185" s="267">
        <f t="shared" si="152"/>
        <v>650</v>
      </c>
      <c r="K185" s="267">
        <f t="shared" si="152"/>
        <v>606</v>
      </c>
      <c r="L185" s="267">
        <f t="shared" si="152"/>
        <v>565</v>
      </c>
      <c r="M185" s="267">
        <f t="shared" si="152"/>
        <v>718</v>
      </c>
      <c r="N185" s="267">
        <f t="shared" si="152"/>
        <v>1035</v>
      </c>
      <c r="O185" s="267">
        <f t="shared" si="152"/>
        <v>1223</v>
      </c>
      <c r="P185" s="267">
        <f t="shared" si="152"/>
        <v>1313</v>
      </c>
      <c r="Q185" s="267">
        <f t="shared" si="152"/>
        <v>1191</v>
      </c>
      <c r="R185" s="267">
        <f t="shared" si="152"/>
        <v>967</v>
      </c>
      <c r="S185" s="267">
        <f t="shared" si="152"/>
        <v>983</v>
      </c>
      <c r="T185" s="267">
        <f t="shared" si="152"/>
        <v>1075</v>
      </c>
      <c r="U185" s="267">
        <f t="shared" si="152"/>
        <v>1171</v>
      </c>
      <c r="V185" s="267">
        <f t="shared" si="152"/>
        <v>715</v>
      </c>
      <c r="W185" s="267">
        <f t="shared" si="152"/>
        <v>764</v>
      </c>
      <c r="X185" s="267">
        <f t="shared" si="152"/>
        <v>873</v>
      </c>
      <c r="Y185" s="267">
        <f t="shared" si="152"/>
        <v>1061</v>
      </c>
      <c r="Z185" s="267">
        <f t="shared" si="152"/>
        <v>1173</v>
      </c>
      <c r="AA185" s="267">
        <f t="shared" si="152"/>
        <v>1266.175060218301</v>
      </c>
      <c r="AB185" s="267">
        <f t="shared" si="152"/>
        <v>1450.5458329751837</v>
      </c>
      <c r="AC185" s="267">
        <f t="shared" si="152"/>
        <v>1599.4459396192688</v>
      </c>
      <c r="AD185" s="267">
        <f t="shared" si="152"/>
        <v>1750.536945319503</v>
      </c>
      <c r="AE185" s="267">
        <f t="shared" si="152"/>
        <v>1867.2858608677816</v>
      </c>
      <c r="AF185" s="267">
        <f t="shared" si="152"/>
        <v>1961.6474596126084</v>
      </c>
    </row>
    <row r="186" spans="1:39">
      <c r="A186" s="240" t="s">
        <v>961</v>
      </c>
      <c r="B186" s="57"/>
      <c r="C186" s="57"/>
      <c r="D186" s="57"/>
      <c r="E186" s="57"/>
      <c r="F186" s="57"/>
      <c r="G186" s="57"/>
      <c r="H186" s="272">
        <f t="shared" ref="H186:AF186" si="153">H180+H181-H182</f>
        <v>1270</v>
      </c>
      <c r="I186" s="272">
        <f t="shared" si="153"/>
        <v>1693</v>
      </c>
      <c r="J186" s="272">
        <f t="shared" si="153"/>
        <v>1048</v>
      </c>
      <c r="K186" s="272">
        <f t="shared" si="153"/>
        <v>1832</v>
      </c>
      <c r="L186" s="272">
        <f t="shared" si="153"/>
        <v>1816</v>
      </c>
      <c r="M186" s="272">
        <f t="shared" si="153"/>
        <v>1673</v>
      </c>
      <c r="N186" s="272">
        <f t="shared" si="153"/>
        <v>2148</v>
      </c>
      <c r="O186" s="272">
        <f t="shared" si="153"/>
        <v>2668</v>
      </c>
      <c r="P186" s="272">
        <f t="shared" si="153"/>
        <v>3026</v>
      </c>
      <c r="Q186" s="272">
        <f t="shared" si="153"/>
        <v>3327</v>
      </c>
      <c r="R186" s="272">
        <f t="shared" si="153"/>
        <v>3107</v>
      </c>
      <c r="S186" s="272">
        <f t="shared" si="153"/>
        <v>3390</v>
      </c>
      <c r="T186" s="272">
        <f t="shared" si="153"/>
        <v>3826</v>
      </c>
      <c r="U186" s="272">
        <f t="shared" si="153"/>
        <v>3991</v>
      </c>
      <c r="V186" s="272">
        <f t="shared" si="153"/>
        <v>2302</v>
      </c>
      <c r="W186" s="272">
        <f t="shared" si="153"/>
        <v>2889</v>
      </c>
      <c r="X186" s="272">
        <f t="shared" si="153"/>
        <v>4135</v>
      </c>
      <c r="Y186" s="272">
        <f t="shared" si="153"/>
        <v>5008</v>
      </c>
      <c r="Z186" s="272">
        <f t="shared" si="153"/>
        <v>5578</v>
      </c>
      <c r="AA186" s="272">
        <f t="shared" si="153"/>
        <v>6628.2836749345361</v>
      </c>
      <c r="AB186" s="272">
        <f t="shared" si="153"/>
        <v>7509.0599808585084</v>
      </c>
      <c r="AC186" s="272">
        <f t="shared" si="153"/>
        <v>8188.1223395815396</v>
      </c>
      <c r="AD186" s="272">
        <f t="shared" si="153"/>
        <v>8861.9788555392606</v>
      </c>
      <c r="AE186" s="272">
        <f t="shared" si="153"/>
        <v>9296.2152291322818</v>
      </c>
      <c r="AF186" s="272">
        <f t="shared" si="153"/>
        <v>9657.1566730349859</v>
      </c>
    </row>
    <row r="188" spans="1:39">
      <c r="A188" s="243" t="s">
        <v>1675</v>
      </c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170"/>
      <c r="AB188" s="170"/>
      <c r="AC188" s="170"/>
      <c r="AD188" s="170"/>
      <c r="AE188" s="170"/>
      <c r="AF188" s="170"/>
    </row>
    <row r="189" spans="1:39" s="1169" customFormat="1">
      <c r="A189" s="19" t="s">
        <v>1667</v>
      </c>
      <c r="B189" s="253"/>
      <c r="C189" s="253"/>
      <c r="D189" s="253"/>
      <c r="E189" s="253"/>
      <c r="F189" s="253"/>
      <c r="G189" s="253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>
        <f t="shared" ref="R189:Y189" si="154">R70</f>
        <v>2404</v>
      </c>
      <c r="S189" s="27">
        <f t="shared" si="154"/>
        <v>2192</v>
      </c>
      <c r="T189" s="27">
        <f t="shared" si="154"/>
        <v>3023</v>
      </c>
      <c r="U189" s="27">
        <f t="shared" si="154"/>
        <v>3820</v>
      </c>
      <c r="V189" s="27">
        <f t="shared" si="154"/>
        <v>1686</v>
      </c>
      <c r="W189" s="27">
        <f t="shared" si="154"/>
        <v>1805</v>
      </c>
      <c r="X189" s="27">
        <f t="shared" si="154"/>
        <v>2408</v>
      </c>
      <c r="Y189" s="27">
        <f t="shared" si="154"/>
        <v>3166</v>
      </c>
      <c r="Z189" s="27">
        <f>Z70</f>
        <v>4119</v>
      </c>
      <c r="AA189" s="27">
        <f t="shared" ref="AA189:AF189" si="155">AA70</f>
        <v>5217.0942807667525</v>
      </c>
      <c r="AB189" s="27">
        <f t="shared" si="155"/>
        <v>6143.363786419126</v>
      </c>
      <c r="AC189" s="27">
        <f t="shared" si="155"/>
        <v>6980.0221694088314</v>
      </c>
      <c r="AD189" s="27">
        <f t="shared" si="155"/>
        <v>7702.6228418575593</v>
      </c>
      <c r="AE189" s="27">
        <f t="shared" si="155"/>
        <v>8235.9280636556377</v>
      </c>
      <c r="AF189" s="27">
        <f t="shared" si="155"/>
        <v>8787.0464606278074</v>
      </c>
      <c r="AG189" s="1431"/>
    </row>
    <row r="190" spans="1:39" s="1169" customFormat="1">
      <c r="A190" s="19" t="s">
        <v>1676</v>
      </c>
      <c r="B190" s="253"/>
      <c r="C190" s="253"/>
      <c r="D190" s="253"/>
      <c r="E190" s="253"/>
      <c r="F190" s="253"/>
      <c r="G190" s="253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>
        <f>'Cashflow Statement'!R5</f>
        <v>324.83618581907086</v>
      </c>
      <c r="S190" s="294">
        <f>'Cashflow Statement'!S5</f>
        <v>352.57701711491438</v>
      </c>
      <c r="T190" s="294">
        <f>'Cashflow Statement'!T5</f>
        <v>540.94621026894856</v>
      </c>
      <c r="U190" s="294">
        <f>'Cashflow Statement'!U5</f>
        <v>654.59413202933968</v>
      </c>
      <c r="V190" s="294">
        <f>'Cashflow Statement'!V5</f>
        <v>647.4352078239607</v>
      </c>
      <c r="W190" s="294">
        <f>'Cashflow Statement'!W5</f>
        <v>617.45721271393631</v>
      </c>
      <c r="X190" s="294">
        <f>'Cashflow Statement'!X5</f>
        <v>614.32518337408294</v>
      </c>
      <c r="Y190" s="294">
        <f>'Cashflow Statement'!Y5</f>
        <v>597.77017114914406</v>
      </c>
      <c r="Z190" s="294">
        <f>'Cashflow Statement'!Z5</f>
        <v>629.09046454767702</v>
      </c>
      <c r="AA190" s="294">
        <f>'Cashflow Statement'!AA5</f>
        <v>716.26267894786508</v>
      </c>
      <c r="AB190" s="294">
        <f>'Cashflow Statement'!AB5</f>
        <v>809.25900876011872</v>
      </c>
      <c r="AC190" s="294">
        <f>'Cashflow Statement'!AC5</f>
        <v>890.48992939208165</v>
      </c>
      <c r="AD190" s="294">
        <f>'Cashflow Statement'!AD5</f>
        <v>959.7078012071031</v>
      </c>
      <c r="AE190" s="294">
        <f>'Cashflow Statement'!AE5</f>
        <v>1012.7877777769959</v>
      </c>
      <c r="AF190" s="294">
        <f>'Cashflow Statement'!AF5</f>
        <v>1061.9605090563409</v>
      </c>
      <c r="AG190" s="1431"/>
    </row>
    <row r="191" spans="1:39" s="1169" customFormat="1">
      <c r="A191" s="19" t="s">
        <v>1677</v>
      </c>
      <c r="B191" s="253"/>
      <c r="C191" s="253"/>
      <c r="D191" s="253"/>
      <c r="E191" s="253"/>
      <c r="F191" s="253"/>
      <c r="G191" s="253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>
        <f>'Cashflow Statement'!R7</f>
        <v>401.16381418092914</v>
      </c>
      <c r="S191" s="294">
        <f>'Cashflow Statement'!S7</f>
        <v>435.42298288508562</v>
      </c>
      <c r="T191" s="294">
        <f>'Cashflow Statement'!T7</f>
        <v>668.05378973105144</v>
      </c>
      <c r="U191" s="294">
        <f>'Cashflow Statement'!U7</f>
        <v>808.40586797066032</v>
      </c>
      <c r="V191" s="294">
        <f>'Cashflow Statement'!V7</f>
        <v>799.5647921760393</v>
      </c>
      <c r="W191" s="294">
        <f>'Cashflow Statement'!W7</f>
        <v>762.54278728606369</v>
      </c>
      <c r="X191" s="294">
        <f>'Cashflow Statement'!X7</f>
        <v>758.67481662591706</v>
      </c>
      <c r="Y191" s="294">
        <f>'Cashflow Statement'!Y7</f>
        <v>738.22982885085594</v>
      </c>
      <c r="Z191" s="294">
        <f>'Cashflow Statement'!Z7</f>
        <v>776.90953545232298</v>
      </c>
      <c r="AA191" s="294">
        <f>'Cashflow Statement'!AA7</f>
        <v>884.56483848206358</v>
      </c>
      <c r="AB191" s="294">
        <f>'Cashflow Statement'!AB7</f>
        <v>1069.6119533264164</v>
      </c>
      <c r="AC191" s="294">
        <f>'Cashflow Statement'!AC7</f>
        <v>1098.5112120905346</v>
      </c>
      <c r="AD191" s="294">
        <f>'Cashflow Statement'!AD7</f>
        <v>1183.8985991413404</v>
      </c>
      <c r="AE191" s="294">
        <f>'Cashflow Statement'!AE7</f>
        <v>1249.3782272370072</v>
      </c>
      <c r="AF191" s="294">
        <f>'Cashflow Statement'!AF7</f>
        <v>1310.0378651021447</v>
      </c>
      <c r="AG191" s="1431"/>
    </row>
    <row r="192" spans="1:39" s="1003" customFormat="1">
      <c r="A192" s="993" t="s">
        <v>973</v>
      </c>
      <c r="B192" s="1173"/>
      <c r="C192" s="1173"/>
      <c r="D192" s="1173"/>
      <c r="E192" s="1173"/>
      <c r="F192" s="1173"/>
      <c r="G192" s="1173"/>
      <c r="H192" s="1174"/>
      <c r="I192" s="1174"/>
      <c r="J192" s="1174"/>
      <c r="K192" s="1174"/>
      <c r="L192" s="1174"/>
      <c r="M192" s="1174"/>
      <c r="N192" s="1174"/>
      <c r="O192" s="1174"/>
      <c r="P192" s="1174"/>
      <c r="Q192" s="1174"/>
      <c r="R192" s="1174">
        <f t="shared" ref="R192:Y192" si="156">R190+R191</f>
        <v>726</v>
      </c>
      <c r="S192" s="1174">
        <f t="shared" si="156"/>
        <v>788</v>
      </c>
      <c r="T192" s="1174">
        <f t="shared" si="156"/>
        <v>1209</v>
      </c>
      <c r="U192" s="1174">
        <f t="shared" si="156"/>
        <v>1463</v>
      </c>
      <c r="V192" s="1174">
        <f t="shared" si="156"/>
        <v>1447</v>
      </c>
      <c r="W192" s="1174">
        <f t="shared" si="156"/>
        <v>1380</v>
      </c>
      <c r="X192" s="1174">
        <f t="shared" si="156"/>
        <v>1373</v>
      </c>
      <c r="Y192" s="1174">
        <f t="shared" si="156"/>
        <v>1336</v>
      </c>
      <c r="Z192" s="1174">
        <f>Z190+Z191</f>
        <v>1406</v>
      </c>
      <c r="AA192" s="1174">
        <f t="shared" ref="AA192:AF192" si="157">AA190+AA191</f>
        <v>1600.8275174299288</v>
      </c>
      <c r="AB192" s="1174">
        <f t="shared" si="157"/>
        <v>1878.8709620865352</v>
      </c>
      <c r="AC192" s="1174">
        <f t="shared" si="157"/>
        <v>1989.0011414826163</v>
      </c>
      <c r="AD192" s="1174">
        <f t="shared" si="157"/>
        <v>2143.6064003484435</v>
      </c>
      <c r="AE192" s="1174">
        <f t="shared" si="157"/>
        <v>2262.1660050140031</v>
      </c>
      <c r="AF192" s="1174">
        <f t="shared" si="157"/>
        <v>2371.9983741584856</v>
      </c>
      <c r="AG192" s="1473"/>
      <c r="AH192" s="312"/>
      <c r="AI192" s="312"/>
      <c r="AJ192" s="312"/>
      <c r="AK192" s="312"/>
      <c r="AL192" s="312"/>
      <c r="AM192" s="312"/>
    </row>
    <row r="193" spans="1:39" s="992" customFormat="1" ht="15">
      <c r="A193" s="181" t="s">
        <v>1678</v>
      </c>
      <c r="B193" s="1010"/>
      <c r="C193" s="1010"/>
      <c r="D193" s="1010"/>
      <c r="E193" s="1010"/>
      <c r="F193" s="1010"/>
      <c r="G193" s="1010"/>
      <c r="H193" s="1011"/>
      <c r="I193" s="1011"/>
      <c r="J193" s="1011"/>
      <c r="K193" s="1011"/>
      <c r="L193" s="1011"/>
      <c r="M193" s="1011"/>
      <c r="N193" s="1011"/>
      <c r="O193" s="1011"/>
      <c r="P193" s="1011"/>
      <c r="Q193" s="1011"/>
      <c r="R193" s="1011">
        <f t="shared" ref="R193:Y193" si="158">SUM(R189:R191)</f>
        <v>3130</v>
      </c>
      <c r="S193" s="1011">
        <f t="shared" si="158"/>
        <v>2980</v>
      </c>
      <c r="T193" s="1011">
        <f t="shared" si="158"/>
        <v>4232</v>
      </c>
      <c r="U193" s="1011">
        <f t="shared" si="158"/>
        <v>5283</v>
      </c>
      <c r="V193" s="1011">
        <f t="shared" si="158"/>
        <v>3133</v>
      </c>
      <c r="W193" s="1011">
        <f t="shared" si="158"/>
        <v>3185</v>
      </c>
      <c r="X193" s="1011">
        <f t="shared" si="158"/>
        <v>3781</v>
      </c>
      <c r="Y193" s="1011">
        <f t="shared" si="158"/>
        <v>4502</v>
      </c>
      <c r="Z193" s="1011">
        <f>SUM(Z189:Z191)</f>
        <v>5525</v>
      </c>
      <c r="AA193" s="1011">
        <f t="shared" ref="AA193:AF193" si="159">SUM(AA189:AA191)</f>
        <v>6817.9217981966813</v>
      </c>
      <c r="AB193" s="1011">
        <f t="shared" si="159"/>
        <v>8022.2347485056607</v>
      </c>
      <c r="AC193" s="1011">
        <f t="shared" si="159"/>
        <v>8969.0233108914472</v>
      </c>
      <c r="AD193" s="1011">
        <f t="shared" si="159"/>
        <v>9846.2292422060036</v>
      </c>
      <c r="AE193" s="1011">
        <f t="shared" si="159"/>
        <v>10498.094068669641</v>
      </c>
      <c r="AF193" s="1011">
        <f t="shared" si="159"/>
        <v>11159.044834786295</v>
      </c>
      <c r="AG193" s="1436"/>
      <c r="AH193" s="57"/>
      <c r="AI193" s="57"/>
      <c r="AJ193" s="57"/>
      <c r="AK193" s="57"/>
      <c r="AL193" s="57"/>
      <c r="AM193" s="57"/>
    </row>
    <row r="194" spans="1:39">
      <c r="A194" s="286" t="s">
        <v>1679</v>
      </c>
      <c r="B194" s="312"/>
      <c r="C194" s="312"/>
      <c r="D194" s="312"/>
      <c r="E194" s="312"/>
      <c r="F194" s="312"/>
      <c r="G194" s="312"/>
      <c r="H194" s="994"/>
      <c r="I194" s="994"/>
      <c r="J194" s="994"/>
      <c r="K194" s="994"/>
      <c r="L194" s="994"/>
      <c r="M194" s="994"/>
      <c r="N194" s="994"/>
      <c r="O194" s="994"/>
      <c r="P194" s="994"/>
      <c r="Q194" s="994"/>
      <c r="R194" s="994">
        <f t="shared" ref="R194:Y194" si="160">R193/R$39</f>
        <v>0.19833977567961472</v>
      </c>
      <c r="S194" s="994">
        <f t="shared" si="160"/>
        <v>0.18679872124365324</v>
      </c>
      <c r="T194" s="994">
        <f t="shared" si="160"/>
        <v>0.20104513064133017</v>
      </c>
      <c r="U194" s="994">
        <f t="shared" si="160"/>
        <v>0.21440746753246753</v>
      </c>
      <c r="V194" s="994">
        <f t="shared" si="160"/>
        <v>0.18990180627954903</v>
      </c>
      <c r="W194" s="994">
        <f t="shared" si="160"/>
        <v>0.20875663629809268</v>
      </c>
      <c r="X194" s="994">
        <f t="shared" si="160"/>
        <v>0.19863409508799579</v>
      </c>
      <c r="Y194" s="994">
        <f t="shared" si="160"/>
        <v>0.1940600887969309</v>
      </c>
      <c r="Z194" s="994">
        <f>Z193/Z$39</f>
        <v>0.20225500604019475</v>
      </c>
      <c r="AA194" s="994">
        <f t="shared" ref="AA194:AF194" si="161">AA193/AA$39</f>
        <v>0.21605396585783182</v>
      </c>
      <c r="AB194" s="994">
        <f t="shared" si="161"/>
        <v>0.22500406965976083</v>
      </c>
      <c r="AC194" s="994">
        <f t="shared" si="161"/>
        <v>0.22861182475055453</v>
      </c>
      <c r="AD194" s="994">
        <f t="shared" si="161"/>
        <v>0.23286995945575417</v>
      </c>
      <c r="AE194" s="994">
        <f t="shared" si="161"/>
        <v>0.23527433687780142</v>
      </c>
      <c r="AF194" s="994">
        <f t="shared" si="161"/>
        <v>0.23850704143551918</v>
      </c>
      <c r="AG194" s="1433"/>
      <c r="AH194" s="180"/>
      <c r="AI194" s="180"/>
      <c r="AJ194" s="180"/>
      <c r="AK194" s="180"/>
      <c r="AL194" s="180"/>
      <c r="AM194" s="180"/>
    </row>
    <row r="195" spans="1:39">
      <c r="A195" s="19" t="s">
        <v>1683</v>
      </c>
      <c r="R195" s="294">
        <v>-92</v>
      </c>
      <c r="S195" s="294">
        <v>224</v>
      </c>
      <c r="T195" s="294">
        <v>-33</v>
      </c>
      <c r="U195" s="294">
        <v>137</v>
      </c>
      <c r="V195" s="294">
        <v>-235</v>
      </c>
      <c r="W195" s="294">
        <v>129</v>
      </c>
      <c r="X195" s="294">
        <v>-199</v>
      </c>
      <c r="Y195" s="294">
        <v>-54</v>
      </c>
      <c r="Z195" s="294">
        <v>172</v>
      </c>
      <c r="AA195" s="294">
        <v>191.6102116868492</v>
      </c>
      <c r="AB195" s="294">
        <v>143.77186413367463</v>
      </c>
      <c r="AC195" s="294">
        <v>232.04020614810906</v>
      </c>
      <c r="AD195" s="294">
        <v>250.32193915494781</v>
      </c>
      <c r="AE195" s="294">
        <v>265.90096269794503</v>
      </c>
      <c r="AF195" s="294">
        <v>283.39468627589349</v>
      </c>
    </row>
    <row r="196" spans="1:39">
      <c r="A196" s="19"/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61FD-E617-4198-8B6C-12101725EC61}">
  <sheetPr codeName="Sheet11">
    <tabColor rgb="FF002060"/>
  </sheetPr>
  <dimension ref="A1:AS140"/>
  <sheetViews>
    <sheetView showGridLines="0" zoomScaleNormal="100" workbookViewId="0">
      <pane ySplit="2" topLeftCell="A105" activePane="bottomLeft" state="frozen"/>
      <selection activeCell="Y89" sqref="Y89"/>
      <selection pane="bottomLeft" activeCell="A3" sqref="A3"/>
    </sheetView>
  </sheetViews>
  <sheetFormatPr defaultRowHeight="14.25" outlineLevelCol="1"/>
  <cols>
    <col min="1" max="1" width="35.75" bestFit="1" customWidth="1"/>
    <col min="2" max="18" width="8.75" hidden="1" customWidth="1" outlineLevel="1"/>
    <col min="19" max="22" width="9" hidden="1" customWidth="1" outlineLevel="1"/>
    <col min="23" max="23" width="9" collapsed="1"/>
    <col min="34" max="34" width="9" style="37"/>
    <col min="35" max="35" width="9" style="1431"/>
    <col min="37" max="39" width="9" style="37"/>
  </cols>
  <sheetData>
    <row r="1" spans="1:45" ht="15">
      <c r="A1" s="924">
        <f>'DCF Valuation'!D45</f>
        <v>340</v>
      </c>
    </row>
    <row r="2" spans="1:45">
      <c r="A2" s="257" t="s">
        <v>652</v>
      </c>
      <c r="B2" s="257">
        <v>2000</v>
      </c>
      <c r="C2" s="257">
        <v>2001</v>
      </c>
      <c r="D2" s="257">
        <v>2002</v>
      </c>
      <c r="E2" s="257">
        <v>2003</v>
      </c>
      <c r="F2" s="257">
        <v>2004</v>
      </c>
      <c r="G2" s="257">
        <v>2005</v>
      </c>
      <c r="H2" s="257">
        <v>2006</v>
      </c>
      <c r="I2" s="257">
        <v>2007</v>
      </c>
      <c r="J2" s="257">
        <v>2008</v>
      </c>
      <c r="K2" s="257">
        <v>2009</v>
      </c>
      <c r="L2" s="257">
        <v>2010</v>
      </c>
      <c r="M2" s="257">
        <v>2011</v>
      </c>
      <c r="N2" s="257">
        <v>2012</v>
      </c>
      <c r="O2" s="257">
        <v>2013</v>
      </c>
      <c r="P2" s="257">
        <v>2014</v>
      </c>
      <c r="Q2" s="257">
        <v>2015</v>
      </c>
      <c r="R2" s="257">
        <v>2016</v>
      </c>
      <c r="S2" s="257">
        <v>2017</v>
      </c>
      <c r="T2" s="257">
        <v>2018</v>
      </c>
      <c r="U2" s="257">
        <v>2019</v>
      </c>
      <c r="V2" s="257">
        <v>2020</v>
      </c>
      <c r="W2" s="257">
        <v>2021</v>
      </c>
      <c r="X2" s="257">
        <v>2022</v>
      </c>
      <c r="Y2" s="257">
        <v>2023</v>
      </c>
      <c r="Z2" s="257">
        <v>2024</v>
      </c>
      <c r="AA2" s="170" t="s">
        <v>894</v>
      </c>
      <c r="AB2" s="170" t="s">
        <v>1196</v>
      </c>
      <c r="AC2" s="171" t="s">
        <v>1212</v>
      </c>
      <c r="AD2" s="171" t="s">
        <v>1213</v>
      </c>
      <c r="AE2" s="171" t="s">
        <v>1214</v>
      </c>
      <c r="AF2" s="171" t="s">
        <v>1215</v>
      </c>
      <c r="AG2" s="172"/>
      <c r="AH2" s="1012"/>
      <c r="AI2" s="1432" t="s">
        <v>1155</v>
      </c>
      <c r="AJ2" s="169"/>
      <c r="AK2" s="1019"/>
      <c r="AL2" s="1019"/>
      <c r="AM2" s="1020"/>
      <c r="AN2" s="169"/>
      <c r="AO2" s="169"/>
      <c r="AP2" s="169"/>
      <c r="AQ2" s="169"/>
      <c r="AR2" s="169"/>
      <c r="AS2" s="169"/>
    </row>
    <row r="3" spans="1:45">
      <c r="A3" s="19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012"/>
      <c r="AI3" s="1433"/>
      <c r="AJ3" s="180"/>
      <c r="AK3" s="227"/>
      <c r="AL3" s="227"/>
      <c r="AM3" s="227"/>
      <c r="AN3" s="180"/>
      <c r="AO3" s="180"/>
      <c r="AP3" s="180"/>
      <c r="AQ3" s="180"/>
      <c r="AR3" s="180"/>
      <c r="AS3" s="180"/>
    </row>
    <row r="4" spans="1:45">
      <c r="A4" s="19" t="s">
        <v>839</v>
      </c>
      <c r="B4" s="180"/>
      <c r="C4" s="180"/>
      <c r="D4" s="180"/>
      <c r="E4" s="180"/>
      <c r="F4" s="180"/>
      <c r="G4" s="180"/>
      <c r="H4" s="300">
        <v>1589</v>
      </c>
      <c r="I4" s="300">
        <v>1561</v>
      </c>
      <c r="J4" s="300">
        <v>1756</v>
      </c>
      <c r="K4" s="300">
        <v>2126</v>
      </c>
      <c r="L4" s="300">
        <v>2298</v>
      </c>
      <c r="M4" s="300">
        <v>3126</v>
      </c>
      <c r="N4" s="300">
        <v>3078</v>
      </c>
      <c r="O4" s="300">
        <v>3399</v>
      </c>
      <c r="P4" s="194">
        <v>3420</v>
      </c>
      <c r="Q4" s="194">
        <v>3590</v>
      </c>
      <c r="R4" s="194">
        <v>1864</v>
      </c>
      <c r="S4" s="194">
        <v>1831</v>
      </c>
      <c r="T4" s="194">
        <v>5173</v>
      </c>
      <c r="U4" s="194">
        <v>5199</v>
      </c>
      <c r="V4" s="194">
        <v>5060</v>
      </c>
      <c r="W4" s="194">
        <v>5068</v>
      </c>
      <c r="X4" s="194">
        <v>4994</v>
      </c>
      <c r="Y4" s="194">
        <v>4706</v>
      </c>
      <c r="Z4" s="194">
        <v>4937</v>
      </c>
      <c r="AA4" s="273">
        <f>Z4-'Cashflow Statement'!AA32-'Cashflow Statement'!AA9</f>
        <v>5109</v>
      </c>
      <c r="AB4" s="273">
        <f>AA4-'Cashflow Statement'!AB32-'Cashflow Statement'!AB9</f>
        <v>5281</v>
      </c>
      <c r="AC4" s="273">
        <f>AB4-'Cashflow Statement'!AC32-'Cashflow Statement'!AC9</f>
        <v>5453</v>
      </c>
      <c r="AD4" s="273">
        <f>AC4-'Cashflow Statement'!AD32-'Cashflow Statement'!AD9</f>
        <v>5625</v>
      </c>
      <c r="AE4" s="273">
        <f>AD4-'Cashflow Statement'!AE32-'Cashflow Statement'!AE9</f>
        <v>5797</v>
      </c>
      <c r="AF4" s="273">
        <f>AE4-'Cashflow Statement'!AF32-'Cashflow Statement'!AF9</f>
        <v>5969</v>
      </c>
      <c r="AG4" s="180"/>
      <c r="AH4" s="1012"/>
      <c r="AI4" s="1433"/>
      <c r="AJ4" s="180"/>
      <c r="AK4" s="227"/>
      <c r="AL4" s="227"/>
      <c r="AM4" s="227"/>
      <c r="AN4" s="180"/>
      <c r="AO4" s="180"/>
      <c r="AP4" s="180"/>
      <c r="AQ4" s="180"/>
      <c r="AR4" s="180"/>
      <c r="AS4" s="180"/>
    </row>
    <row r="5" spans="1:45">
      <c r="A5" s="19" t="s">
        <v>838</v>
      </c>
      <c r="B5" s="180"/>
      <c r="C5" s="180"/>
      <c r="D5" s="180"/>
      <c r="E5" s="180"/>
      <c r="F5" s="180"/>
      <c r="G5" s="180"/>
      <c r="H5" s="300">
        <v>3056</v>
      </c>
      <c r="I5" s="300">
        <v>2981</v>
      </c>
      <c r="J5" s="300">
        <v>3112</v>
      </c>
      <c r="K5" s="300">
        <v>3217</v>
      </c>
      <c r="L5" s="300">
        <v>3130</v>
      </c>
      <c r="M5" s="300">
        <v>3498</v>
      </c>
      <c r="N5" s="300">
        <v>3872</v>
      </c>
      <c r="O5" s="4">
        <f>4641-200</f>
        <v>4441</v>
      </c>
      <c r="P5" s="300">
        <v>5536</v>
      </c>
      <c r="Q5" s="300">
        <v>5321</v>
      </c>
      <c r="R5" s="194">
        <v>5178</v>
      </c>
      <c r="S5" s="194">
        <v>5596</v>
      </c>
      <c r="T5" s="194">
        <v>9757</v>
      </c>
      <c r="U5" s="194">
        <v>9479</v>
      </c>
      <c r="V5" s="194">
        <v>8676</v>
      </c>
      <c r="W5" s="194">
        <v>8382</v>
      </c>
      <c r="X5" s="194">
        <v>8096</v>
      </c>
      <c r="Y5" s="194">
        <v>7830</v>
      </c>
      <c r="Z5" s="194">
        <v>7947</v>
      </c>
      <c r="AA5" s="273">
        <f>Z5-'Cashflow Statement'!AA7-'Cashflow Statement'!AA26</f>
        <v>7612.4351615179366</v>
      </c>
      <c r="AB5" s="273">
        <f>AA5-'Cashflow Statement'!AB7-'Cashflow Statement'!AB26</f>
        <v>7092.8232081915203</v>
      </c>
      <c r="AC5" s="273">
        <f>AB5-'Cashflow Statement'!AC7-'Cashflow Statement'!AC26</f>
        <v>6544.3119961009852</v>
      </c>
      <c r="AD5" s="273">
        <f>AC5-'Cashflow Statement'!AD7-'Cashflow Statement'!AD26</f>
        <v>5910.4133969596451</v>
      </c>
      <c r="AE5" s="273">
        <f>AD5-'Cashflow Statement'!AE7-'Cashflow Statement'!AE26</f>
        <v>5211.0351697226379</v>
      </c>
      <c r="AF5" s="273">
        <f>AE5-'Cashflow Statement'!AF7-'Cashflow Statement'!AF26</f>
        <v>4450.9973046204932</v>
      </c>
      <c r="AG5" s="180"/>
      <c r="AH5" s="1012"/>
      <c r="AI5" s="1433"/>
      <c r="AJ5" s="180"/>
      <c r="AK5" s="227"/>
      <c r="AL5" s="227"/>
      <c r="AM5" s="227"/>
      <c r="AN5" s="180"/>
      <c r="AO5" s="180"/>
      <c r="AP5" s="180"/>
      <c r="AQ5" s="180"/>
      <c r="AR5" s="180"/>
      <c r="AS5" s="180"/>
    </row>
    <row r="6" spans="1:45">
      <c r="A6" s="19" t="s">
        <v>837</v>
      </c>
      <c r="B6" s="180"/>
      <c r="C6" s="180"/>
      <c r="D6" s="180"/>
      <c r="E6" s="180"/>
      <c r="F6" s="180"/>
      <c r="G6" s="180"/>
      <c r="H6" s="300">
        <v>1826</v>
      </c>
      <c r="I6" s="300">
        <v>1847</v>
      </c>
      <c r="J6" s="300">
        <v>2107</v>
      </c>
      <c r="K6" s="300">
        <v>2201</v>
      </c>
      <c r="L6" s="300">
        <v>2253</v>
      </c>
      <c r="M6" s="300">
        <v>2486</v>
      </c>
      <c r="N6" s="300">
        <v>2604</v>
      </c>
      <c r="O6" s="4">
        <f>2740-98</f>
        <v>2642</v>
      </c>
      <c r="P6" s="300">
        <v>2928</v>
      </c>
      <c r="Q6" s="300">
        <v>3272</v>
      </c>
      <c r="R6" s="194">
        <v>3169</v>
      </c>
      <c r="S6" s="194">
        <v>3518</v>
      </c>
      <c r="T6" s="194">
        <v>4454</v>
      </c>
      <c r="U6" s="194">
        <v>4398</v>
      </c>
      <c r="V6" s="194">
        <v>4055</v>
      </c>
      <c r="W6" s="194">
        <v>3937</v>
      </c>
      <c r="X6" s="194">
        <v>3847</v>
      </c>
      <c r="Y6" s="194">
        <v>4121</v>
      </c>
      <c r="Z6" s="194">
        <v>4629</v>
      </c>
      <c r="AA6" s="273">
        <f>Z6-'Cashflow Statement'!AA5-'Cashflow Statement'!AA28-'Cashflow Statement'!AA31</f>
        <v>5662.5657518162852</v>
      </c>
      <c r="AB6" s="273">
        <f>AA6-'Cashflow Statement'!AB5-'Cashflow Statement'!AB28-'Cashflow Statement'!AB31</f>
        <v>6629.7246730457919</v>
      </c>
      <c r="AC6" s="273">
        <f>AB6-'Cashflow Statement'!AC5-'Cashflow Statement'!AC28-'Cashflow Statement'!AC31</f>
        <v>7480.5364752116166</v>
      </c>
      <c r="AD6" s="273">
        <f>AC6-'Cashflow Statement'!AD5-'Cashflow Statement'!AD28-'Cashflow Statement'!AD31</f>
        <v>8172.7019229311891</v>
      </c>
      <c r="AE6" s="273">
        <f>AD6-'Cashflow Statement'!AE5-'Cashflow Statement'!AE28-'Cashflow Statement'!AE31</f>
        <v>8670.5336743367006</v>
      </c>
      <c r="AF6" s="273">
        <f>AE6-'Cashflow Statement'!AF5-'Cashflow Statement'!AF28-'Cashflow Statement'!AF31</f>
        <v>8950.2498305501322</v>
      </c>
      <c r="AG6" s="180"/>
      <c r="AH6" s="1012"/>
      <c r="AI6" s="1433"/>
      <c r="AJ6" s="180"/>
      <c r="AK6" s="227"/>
      <c r="AL6" s="227"/>
      <c r="AM6" s="227"/>
      <c r="AN6" s="180"/>
      <c r="AO6" s="180"/>
      <c r="AP6" s="180"/>
      <c r="AQ6" s="180"/>
      <c r="AR6" s="180"/>
      <c r="AS6" s="180"/>
    </row>
    <row r="7" spans="1:45">
      <c r="A7" s="19" t="s">
        <v>836</v>
      </c>
      <c r="B7" s="180"/>
      <c r="C7" s="180"/>
      <c r="D7" s="180"/>
      <c r="E7" s="180"/>
      <c r="F7" s="180"/>
      <c r="G7" s="180"/>
      <c r="H7" s="300">
        <v>364</v>
      </c>
      <c r="I7" s="300">
        <v>286</v>
      </c>
      <c r="J7" s="300">
        <v>203</v>
      </c>
      <c r="K7" s="300">
        <v>220</v>
      </c>
      <c r="L7" s="300">
        <v>215</v>
      </c>
      <c r="M7" s="300">
        <v>246</v>
      </c>
      <c r="N7" s="300">
        <v>281</v>
      </c>
      <c r="O7" s="194">
        <v>384</v>
      </c>
      <c r="P7" s="194">
        <v>446</v>
      </c>
      <c r="Q7" s="194">
        <v>419</v>
      </c>
      <c r="R7" s="194">
        <v>382</v>
      </c>
      <c r="S7" s="194">
        <v>324</v>
      </c>
      <c r="T7" s="194">
        <v>416</v>
      </c>
      <c r="U7" s="194">
        <v>429</v>
      </c>
      <c r="V7" s="194">
        <v>431</v>
      </c>
      <c r="W7" s="194">
        <v>688</v>
      </c>
      <c r="X7" s="194">
        <v>752</v>
      </c>
      <c r="Y7" s="194">
        <v>997</v>
      </c>
      <c r="Z7" s="194">
        <v>1073</v>
      </c>
      <c r="AA7" s="27">
        <f t="shared" ref="AA7:AF12" si="0">Z7</f>
        <v>1073</v>
      </c>
      <c r="AB7" s="27">
        <f t="shared" si="0"/>
        <v>1073</v>
      </c>
      <c r="AC7" s="27">
        <f t="shared" si="0"/>
        <v>1073</v>
      </c>
      <c r="AD7" s="27">
        <f t="shared" si="0"/>
        <v>1073</v>
      </c>
      <c r="AE7" s="27">
        <f t="shared" si="0"/>
        <v>1073</v>
      </c>
      <c r="AF7" s="27">
        <f t="shared" si="0"/>
        <v>1073</v>
      </c>
      <c r="AG7" s="180"/>
      <c r="AH7" s="1012"/>
      <c r="AI7" s="1433"/>
      <c r="AJ7" s="180"/>
      <c r="AK7" s="227"/>
      <c r="AL7" s="227"/>
      <c r="AM7" s="227"/>
      <c r="AN7" s="180"/>
      <c r="AO7" s="180"/>
      <c r="AP7" s="180"/>
      <c r="AQ7" s="180"/>
      <c r="AR7" s="180"/>
      <c r="AS7" s="180"/>
    </row>
    <row r="8" spans="1:45">
      <c r="A8" s="19" t="s">
        <v>835</v>
      </c>
      <c r="B8" s="180"/>
      <c r="C8" s="180"/>
      <c r="D8" s="180"/>
      <c r="E8" s="180"/>
      <c r="F8" s="180"/>
      <c r="G8" s="180"/>
      <c r="H8" s="300">
        <v>32</v>
      </c>
      <c r="I8" s="300">
        <v>34</v>
      </c>
      <c r="J8" s="300">
        <v>244</v>
      </c>
      <c r="K8" s="300">
        <v>238</v>
      </c>
      <c r="L8" s="300">
        <v>236</v>
      </c>
      <c r="M8" s="300">
        <v>253</v>
      </c>
      <c r="N8" s="300">
        <v>281</v>
      </c>
      <c r="O8" s="194">
        <v>680</v>
      </c>
      <c r="P8" s="194">
        <v>771</v>
      </c>
      <c r="Q8" s="194">
        <v>765</v>
      </c>
      <c r="R8" s="194">
        <v>2175</v>
      </c>
      <c r="S8" s="194">
        <v>2127</v>
      </c>
      <c r="T8" s="194">
        <v>2253</v>
      </c>
      <c r="U8" s="194">
        <v>2211</v>
      </c>
      <c r="V8" s="194">
        <v>2126</v>
      </c>
      <c r="W8" s="194">
        <v>1969</v>
      </c>
      <c r="X8" s="194">
        <v>1974</v>
      </c>
      <c r="Y8" s="194">
        <v>1928</v>
      </c>
      <c r="Z8" s="194">
        <v>1894</v>
      </c>
      <c r="AA8" s="27">
        <f t="shared" si="0"/>
        <v>1894</v>
      </c>
      <c r="AB8" s="27">
        <f t="shared" si="0"/>
        <v>1894</v>
      </c>
      <c r="AC8" s="27">
        <f t="shared" si="0"/>
        <v>1894</v>
      </c>
      <c r="AD8" s="27">
        <f t="shared" si="0"/>
        <v>1894</v>
      </c>
      <c r="AE8" s="27">
        <f t="shared" si="0"/>
        <v>1894</v>
      </c>
      <c r="AF8" s="27">
        <f t="shared" si="0"/>
        <v>1894</v>
      </c>
      <c r="AG8" s="180"/>
      <c r="AH8" s="1012"/>
      <c r="AI8" s="1433"/>
      <c r="AJ8" s="180"/>
      <c r="AK8" s="227"/>
      <c r="AL8" s="227"/>
      <c r="AM8" s="227"/>
      <c r="AN8" s="180"/>
      <c r="AO8" s="180"/>
      <c r="AP8" s="180"/>
      <c r="AQ8" s="180"/>
      <c r="AR8" s="180"/>
      <c r="AS8" s="180"/>
    </row>
    <row r="9" spans="1:45">
      <c r="A9" s="19" t="s">
        <v>823</v>
      </c>
      <c r="B9" s="180"/>
      <c r="C9" s="180"/>
      <c r="D9" s="180"/>
      <c r="E9" s="180"/>
      <c r="F9" s="180"/>
      <c r="G9" s="180"/>
      <c r="H9" s="4"/>
      <c r="I9" s="4"/>
      <c r="J9" s="4"/>
      <c r="K9" s="4"/>
      <c r="L9" s="4"/>
      <c r="M9" s="300">
        <v>20</v>
      </c>
      <c r="N9" s="300">
        <v>62</v>
      </c>
      <c r="O9" s="194">
        <v>0</v>
      </c>
      <c r="P9" s="194">
        <v>29</v>
      </c>
      <c r="Q9" s="194">
        <v>35</v>
      </c>
      <c r="R9" s="194">
        <v>28</v>
      </c>
      <c r="S9" s="194">
        <v>16</v>
      </c>
      <c r="T9" s="194">
        <v>13</v>
      </c>
      <c r="U9" s="194">
        <v>33</v>
      </c>
      <c r="V9" s="194">
        <v>52</v>
      </c>
      <c r="W9" s="194">
        <v>23</v>
      </c>
      <c r="X9" s="194">
        <v>18</v>
      </c>
      <c r="Y9" s="194">
        <v>0</v>
      </c>
      <c r="Z9" s="194">
        <v>4</v>
      </c>
      <c r="AA9" s="27">
        <f t="shared" si="0"/>
        <v>4</v>
      </c>
      <c r="AB9" s="27">
        <f t="shared" si="0"/>
        <v>4</v>
      </c>
      <c r="AC9" s="27">
        <f t="shared" si="0"/>
        <v>4</v>
      </c>
      <c r="AD9" s="27">
        <f t="shared" si="0"/>
        <v>4</v>
      </c>
      <c r="AE9" s="27">
        <f t="shared" si="0"/>
        <v>4</v>
      </c>
      <c r="AF9" s="27">
        <f t="shared" si="0"/>
        <v>4</v>
      </c>
      <c r="AG9" s="180"/>
      <c r="AH9" s="1012"/>
      <c r="AI9" s="1433"/>
      <c r="AJ9" s="180"/>
      <c r="AK9" s="227"/>
      <c r="AL9" s="227"/>
      <c r="AM9" s="227"/>
      <c r="AN9" s="180"/>
      <c r="AO9" s="180"/>
      <c r="AP9" s="180"/>
      <c r="AQ9" s="180"/>
      <c r="AR9" s="180"/>
      <c r="AS9" s="180"/>
    </row>
    <row r="10" spans="1:45">
      <c r="A10" s="19" t="s">
        <v>834</v>
      </c>
      <c r="B10" s="180"/>
      <c r="C10" s="180"/>
      <c r="D10" s="180"/>
      <c r="E10" s="180"/>
      <c r="F10" s="180"/>
      <c r="G10" s="180"/>
      <c r="H10" s="300">
        <v>120</v>
      </c>
      <c r="I10" s="300">
        <v>158</v>
      </c>
      <c r="J10" s="300">
        <v>295</v>
      </c>
      <c r="K10" s="300">
        <v>263</v>
      </c>
      <c r="L10" s="300">
        <v>194</v>
      </c>
      <c r="M10" s="300">
        <v>251</v>
      </c>
      <c r="N10" s="300">
        <v>243</v>
      </c>
      <c r="O10" s="194">
        <v>201</v>
      </c>
      <c r="P10" s="194">
        <v>228</v>
      </c>
      <c r="Q10" s="194">
        <v>984</v>
      </c>
      <c r="R10" s="194">
        <v>1351</v>
      </c>
      <c r="S10" s="194">
        <v>251</v>
      </c>
      <c r="T10" s="194">
        <v>391</v>
      </c>
      <c r="U10" s="194">
        <v>251</v>
      </c>
      <c r="V10" s="194">
        <v>316</v>
      </c>
      <c r="W10" s="194">
        <v>449</v>
      </c>
      <c r="X10" s="194">
        <v>1576</v>
      </c>
      <c r="Y10" s="194">
        <v>1122</v>
      </c>
      <c r="Z10" s="194">
        <v>2349</v>
      </c>
      <c r="AA10" s="27">
        <f t="shared" si="0"/>
        <v>2349</v>
      </c>
      <c r="AB10" s="27">
        <f t="shared" si="0"/>
        <v>2349</v>
      </c>
      <c r="AC10" s="27">
        <f t="shared" si="0"/>
        <v>2349</v>
      </c>
      <c r="AD10" s="27">
        <f t="shared" si="0"/>
        <v>2349</v>
      </c>
      <c r="AE10" s="27">
        <f t="shared" si="0"/>
        <v>2349</v>
      </c>
      <c r="AF10" s="27">
        <f t="shared" si="0"/>
        <v>2349</v>
      </c>
      <c r="AG10" s="180"/>
      <c r="AH10" s="1012"/>
      <c r="AI10" s="1433"/>
      <c r="AJ10" s="180"/>
      <c r="AK10" s="227"/>
      <c r="AL10" s="227"/>
      <c r="AM10" s="227"/>
      <c r="AN10" s="180"/>
      <c r="AO10" s="180"/>
      <c r="AP10" s="180"/>
      <c r="AQ10" s="180"/>
      <c r="AR10" s="180"/>
      <c r="AS10" s="180"/>
    </row>
    <row r="11" spans="1:45">
      <c r="A11" s="19" t="s">
        <v>1102</v>
      </c>
      <c r="B11" s="180"/>
      <c r="C11" s="180"/>
      <c r="D11" s="180"/>
      <c r="E11" s="180"/>
      <c r="F11" s="180"/>
      <c r="G11" s="180"/>
      <c r="H11" s="4"/>
      <c r="I11" s="4"/>
      <c r="J11" s="4"/>
      <c r="K11" s="4"/>
      <c r="L11" s="4"/>
      <c r="M11" s="4"/>
      <c r="N11" s="4"/>
      <c r="O11" s="27"/>
      <c r="P11" s="27"/>
      <c r="Q11" s="27"/>
      <c r="R11" s="27"/>
      <c r="S11" s="27"/>
      <c r="T11" s="27"/>
      <c r="U11" s="194">
        <v>732</v>
      </c>
      <c r="V11" s="194">
        <v>623</v>
      </c>
      <c r="W11" s="194">
        <v>606</v>
      </c>
      <c r="X11" s="194">
        <v>566</v>
      </c>
      <c r="Y11" s="194">
        <v>582</v>
      </c>
      <c r="Z11" s="194">
        <v>653</v>
      </c>
      <c r="AA11" s="27">
        <f t="shared" si="0"/>
        <v>653</v>
      </c>
      <c r="AB11" s="27">
        <f t="shared" si="0"/>
        <v>653</v>
      </c>
      <c r="AC11" s="27">
        <f t="shared" si="0"/>
        <v>653</v>
      </c>
      <c r="AD11" s="27">
        <f t="shared" si="0"/>
        <v>653</v>
      </c>
      <c r="AE11" s="27">
        <f t="shared" si="0"/>
        <v>653</v>
      </c>
      <c r="AF11" s="27">
        <f t="shared" si="0"/>
        <v>653</v>
      </c>
      <c r="AG11" s="180"/>
      <c r="AH11" s="1012"/>
      <c r="AI11" s="1433"/>
      <c r="AJ11" s="180"/>
      <c r="AK11" s="227"/>
      <c r="AL11" s="227"/>
      <c r="AM11" s="227"/>
      <c r="AN11" s="180"/>
      <c r="AO11" s="180"/>
      <c r="AP11" s="180"/>
      <c r="AQ11" s="180"/>
      <c r="AR11" s="180"/>
      <c r="AS11" s="180"/>
    </row>
    <row r="12" spans="1:45">
      <c r="A12" s="19" t="s">
        <v>833</v>
      </c>
      <c r="B12" s="180"/>
      <c r="C12" s="180"/>
      <c r="D12" s="180"/>
      <c r="E12" s="180"/>
      <c r="F12" s="180"/>
      <c r="G12" s="180"/>
      <c r="H12" s="300">
        <v>16</v>
      </c>
      <c r="I12" s="300">
        <v>10</v>
      </c>
      <c r="J12" s="300">
        <v>9</v>
      </c>
      <c r="K12" s="300">
        <v>1</v>
      </c>
      <c r="L12" s="300">
        <v>12</v>
      </c>
      <c r="M12" s="300">
        <v>12</v>
      </c>
      <c r="N12" s="300">
        <v>13</v>
      </c>
      <c r="O12" s="194">
        <v>0</v>
      </c>
      <c r="P12" s="194">
        <v>0</v>
      </c>
      <c r="Q12" s="27">
        <f>P12</f>
        <v>0</v>
      </c>
      <c r="R12" s="27">
        <f>Q12</f>
        <v>0</v>
      </c>
      <c r="S12" s="27">
        <f>R12</f>
        <v>0</v>
      </c>
      <c r="T12" s="194">
        <v>4</v>
      </c>
      <c r="U12" s="27">
        <f>T12</f>
        <v>4</v>
      </c>
      <c r="V12" s="194">
        <v>4</v>
      </c>
      <c r="W12" s="194">
        <v>11</v>
      </c>
      <c r="X12" s="194">
        <v>8</v>
      </c>
      <c r="Y12" s="194">
        <v>7</v>
      </c>
      <c r="Z12" s="194">
        <v>3</v>
      </c>
      <c r="AA12" s="27">
        <f t="shared" si="0"/>
        <v>3</v>
      </c>
      <c r="AB12" s="27">
        <f t="shared" si="0"/>
        <v>3</v>
      </c>
      <c r="AC12" s="27">
        <f t="shared" si="0"/>
        <v>3</v>
      </c>
      <c r="AD12" s="27">
        <f t="shared" si="0"/>
        <v>3</v>
      </c>
      <c r="AE12" s="27">
        <f t="shared" si="0"/>
        <v>3</v>
      </c>
      <c r="AF12" s="27">
        <f t="shared" si="0"/>
        <v>3</v>
      </c>
      <c r="AG12" s="180"/>
      <c r="AH12" s="1012"/>
      <c r="AI12" s="1433"/>
      <c r="AJ12" s="180"/>
      <c r="AK12" s="227"/>
      <c r="AL12" s="227"/>
      <c r="AM12" s="227"/>
      <c r="AN12" s="180"/>
      <c r="AO12" s="180"/>
      <c r="AP12" s="180"/>
      <c r="AQ12" s="180"/>
      <c r="AR12" s="180"/>
      <c r="AS12" s="180"/>
    </row>
    <row r="13" spans="1:45">
      <c r="A13" s="19" t="s">
        <v>832</v>
      </c>
      <c r="B13" s="180"/>
      <c r="C13" s="180"/>
      <c r="D13" s="180"/>
      <c r="E13" s="180"/>
      <c r="F13" s="180"/>
      <c r="G13" s="180"/>
      <c r="H13" s="298">
        <f t="shared" ref="H13:Z13" si="1">H14-SUM(H4:H12)</f>
        <v>0</v>
      </c>
      <c r="I13" s="298">
        <f t="shared" si="1"/>
        <v>0</v>
      </c>
      <c r="J13" s="298">
        <f t="shared" si="1"/>
        <v>0</v>
      </c>
      <c r="K13" s="298">
        <f t="shared" si="1"/>
        <v>0</v>
      </c>
      <c r="L13" s="298">
        <f t="shared" si="1"/>
        <v>0</v>
      </c>
      <c r="M13" s="298">
        <f t="shared" si="1"/>
        <v>0</v>
      </c>
      <c r="N13" s="298">
        <f t="shared" si="1"/>
        <v>0</v>
      </c>
      <c r="O13" s="27">
        <f t="shared" si="1"/>
        <v>0</v>
      </c>
      <c r="P13" s="27">
        <f t="shared" si="1"/>
        <v>0</v>
      </c>
      <c r="Q13" s="27">
        <f t="shared" si="1"/>
        <v>0</v>
      </c>
      <c r="R13" s="27">
        <f t="shared" si="1"/>
        <v>0</v>
      </c>
      <c r="S13" s="27">
        <f t="shared" si="1"/>
        <v>0</v>
      </c>
      <c r="T13" s="27">
        <f t="shared" si="1"/>
        <v>0</v>
      </c>
      <c r="U13" s="27">
        <f t="shared" si="1"/>
        <v>0</v>
      </c>
      <c r="V13" s="27">
        <f t="shared" si="1"/>
        <v>0</v>
      </c>
      <c r="W13" s="27">
        <f t="shared" si="1"/>
        <v>0</v>
      </c>
      <c r="X13" s="27">
        <f t="shared" si="1"/>
        <v>0</v>
      </c>
      <c r="Y13" s="27">
        <f t="shared" si="1"/>
        <v>0</v>
      </c>
      <c r="Z13" s="27">
        <f t="shared" si="1"/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180"/>
      <c r="AH13" s="1012"/>
      <c r="AI13" s="1433"/>
      <c r="AJ13" s="180"/>
      <c r="AK13" s="227"/>
      <c r="AL13" s="227"/>
      <c r="AM13" s="227"/>
      <c r="AN13" s="180"/>
      <c r="AO13" s="180"/>
      <c r="AP13" s="180"/>
      <c r="AQ13" s="180"/>
      <c r="AR13" s="180"/>
      <c r="AS13" s="180"/>
    </row>
    <row r="14" spans="1:45">
      <c r="A14" s="181" t="s">
        <v>831</v>
      </c>
      <c r="B14" s="57"/>
      <c r="C14" s="57"/>
      <c r="D14" s="57"/>
      <c r="E14" s="57"/>
      <c r="F14" s="57"/>
      <c r="G14" s="57"/>
      <c r="H14" s="241">
        <v>7003</v>
      </c>
      <c r="I14" s="241">
        <v>6877</v>
      </c>
      <c r="J14" s="241">
        <v>7726</v>
      </c>
      <c r="K14" s="241">
        <v>8266</v>
      </c>
      <c r="L14" s="241">
        <v>8338</v>
      </c>
      <c r="M14" s="241">
        <v>9892</v>
      </c>
      <c r="N14" s="241">
        <v>10434</v>
      </c>
      <c r="O14" s="242">
        <f>(3399+7083+680+585)</f>
        <v>11747</v>
      </c>
      <c r="P14" s="241">
        <v>13358</v>
      </c>
      <c r="Q14" s="241">
        <v>14386</v>
      </c>
      <c r="R14" s="242">
        <f t="shared" ref="R14:Z14" si="2">SUM(R4:R12)</f>
        <v>14147</v>
      </c>
      <c r="S14" s="242">
        <f t="shared" si="2"/>
        <v>13663</v>
      </c>
      <c r="T14" s="242">
        <f t="shared" si="2"/>
        <v>22461</v>
      </c>
      <c r="U14" s="242">
        <f t="shared" si="2"/>
        <v>22736</v>
      </c>
      <c r="V14" s="242">
        <f t="shared" si="2"/>
        <v>21343</v>
      </c>
      <c r="W14" s="242">
        <f t="shared" si="2"/>
        <v>21133</v>
      </c>
      <c r="X14" s="242">
        <f t="shared" si="2"/>
        <v>21831</v>
      </c>
      <c r="Y14" s="242">
        <f t="shared" si="2"/>
        <v>21293</v>
      </c>
      <c r="Z14" s="242">
        <f t="shared" si="2"/>
        <v>23489</v>
      </c>
      <c r="AA14" s="242">
        <f>SUM(AA4:AA13)</f>
        <v>24360.000913334221</v>
      </c>
      <c r="AB14" s="242">
        <f t="shared" ref="AB14:AF14" si="3">SUM(AB4:AB13)</f>
        <v>24979.547881237311</v>
      </c>
      <c r="AC14" s="242">
        <f t="shared" si="3"/>
        <v>25453.848471312602</v>
      </c>
      <c r="AD14" s="242">
        <f t="shared" si="3"/>
        <v>25684.115319890832</v>
      </c>
      <c r="AE14" s="242">
        <f t="shared" si="3"/>
        <v>25654.568844059337</v>
      </c>
      <c r="AF14" s="242">
        <f t="shared" si="3"/>
        <v>25346.247135170626</v>
      </c>
      <c r="AG14" s="180"/>
      <c r="AH14" s="1012"/>
      <c r="AI14" s="1433"/>
      <c r="AJ14" s="180"/>
      <c r="AK14" s="227"/>
      <c r="AL14" s="227"/>
      <c r="AM14" s="227"/>
      <c r="AN14" s="180"/>
      <c r="AO14" s="180"/>
      <c r="AP14" s="180"/>
      <c r="AQ14" s="180"/>
      <c r="AR14" s="180"/>
      <c r="AS14" s="180"/>
    </row>
    <row r="15" spans="1:45">
      <c r="A15" s="19"/>
      <c r="B15" s="180"/>
      <c r="C15" s="180"/>
      <c r="D15" s="180"/>
      <c r="E15" s="180"/>
      <c r="F15" s="180"/>
      <c r="G15" s="180"/>
      <c r="H15" s="4"/>
      <c r="I15" s="4"/>
      <c r="J15" s="4"/>
      <c r="K15" s="4"/>
      <c r="L15" s="4"/>
      <c r="M15" s="4"/>
      <c r="N15" s="4"/>
      <c r="O15" s="27"/>
      <c r="P15" s="27"/>
      <c r="Q15" s="27"/>
      <c r="R15" s="27"/>
      <c r="S15" s="27"/>
      <c r="T15" s="27"/>
      <c r="U15" s="27"/>
      <c r="V15" s="27"/>
      <c r="W15" s="27"/>
      <c r="X15" s="247"/>
      <c r="Y15" s="247"/>
      <c r="Z15" s="247"/>
      <c r="AA15" s="27"/>
      <c r="AB15" s="27"/>
      <c r="AC15" s="27"/>
      <c r="AD15" s="27"/>
      <c r="AE15" s="27"/>
      <c r="AF15" s="27"/>
      <c r="AG15" s="180"/>
      <c r="AH15" s="1012"/>
      <c r="AI15" s="1433"/>
      <c r="AJ15" s="180"/>
      <c r="AK15" s="227"/>
      <c r="AL15" s="227"/>
      <c r="AM15" s="227"/>
      <c r="AN15" s="180"/>
      <c r="AO15" s="180"/>
      <c r="AP15" s="180"/>
      <c r="AQ15" s="180"/>
      <c r="AR15" s="180"/>
      <c r="AS15" s="180"/>
    </row>
    <row r="16" spans="1:45">
      <c r="A16" s="19" t="s">
        <v>830</v>
      </c>
      <c r="B16" s="180"/>
      <c r="C16" s="180"/>
      <c r="D16" s="180"/>
      <c r="E16" s="180"/>
      <c r="F16" s="180"/>
      <c r="G16" s="180"/>
      <c r="H16" s="300">
        <v>108</v>
      </c>
      <c r="I16" s="300">
        <v>107</v>
      </c>
      <c r="J16" s="300">
        <v>108</v>
      </c>
      <c r="K16" s="300">
        <v>75</v>
      </c>
      <c r="L16" s="300">
        <v>110</v>
      </c>
      <c r="M16" s="300">
        <v>101</v>
      </c>
      <c r="N16" s="300">
        <v>176</v>
      </c>
      <c r="O16" s="300">
        <v>198</v>
      </c>
      <c r="P16" s="194">
        <v>221</v>
      </c>
      <c r="Q16" s="194">
        <v>247</v>
      </c>
      <c r="R16" s="194">
        <v>147</v>
      </c>
      <c r="S16" s="194">
        <v>2113</v>
      </c>
      <c r="T16" s="194">
        <v>185</v>
      </c>
      <c r="U16" s="194">
        <v>143</v>
      </c>
      <c r="V16" s="194">
        <v>126</v>
      </c>
      <c r="W16" s="194">
        <v>104</v>
      </c>
      <c r="X16" s="194">
        <v>242</v>
      </c>
      <c r="Y16" s="194">
        <v>270</v>
      </c>
      <c r="Z16" s="194">
        <v>243</v>
      </c>
      <c r="AA16" s="27">
        <f t="shared" ref="AA16:AF17" si="4">Z16</f>
        <v>243</v>
      </c>
      <c r="AB16" s="27">
        <f t="shared" si="4"/>
        <v>243</v>
      </c>
      <c r="AC16" s="27">
        <f t="shared" si="4"/>
        <v>243</v>
      </c>
      <c r="AD16" s="27">
        <f t="shared" si="4"/>
        <v>243</v>
      </c>
      <c r="AE16" s="27">
        <f t="shared" si="4"/>
        <v>243</v>
      </c>
      <c r="AF16" s="27">
        <f t="shared" si="4"/>
        <v>243</v>
      </c>
      <c r="AG16" s="180"/>
      <c r="AH16" s="1012"/>
      <c r="AI16" s="1433"/>
      <c r="AJ16" s="180"/>
      <c r="AK16" s="227"/>
      <c r="AL16" s="227"/>
      <c r="AM16" s="227"/>
      <c r="AN16" s="180"/>
      <c r="AO16" s="180"/>
      <c r="AP16" s="180"/>
      <c r="AQ16" s="180"/>
      <c r="AR16" s="180"/>
      <c r="AS16" s="180"/>
    </row>
    <row r="17" spans="1:45">
      <c r="A17" s="19" t="s">
        <v>816</v>
      </c>
      <c r="B17" s="180"/>
      <c r="C17" s="180"/>
      <c r="D17" s="180"/>
      <c r="E17" s="180"/>
      <c r="F17" s="180"/>
      <c r="G17" s="180"/>
      <c r="H17" s="300">
        <v>397</v>
      </c>
      <c r="I17" s="300">
        <v>126</v>
      </c>
      <c r="J17" s="300">
        <v>138</v>
      </c>
      <c r="K17" s="300">
        <v>63</v>
      </c>
      <c r="L17" s="300">
        <v>128</v>
      </c>
      <c r="M17" s="300">
        <v>259</v>
      </c>
      <c r="N17" s="300">
        <v>585</v>
      </c>
      <c r="O17" s="300">
        <v>864</v>
      </c>
      <c r="P17" s="194">
        <v>377</v>
      </c>
      <c r="Q17" s="194">
        <v>373</v>
      </c>
      <c r="R17" s="194">
        <v>592</v>
      </c>
      <c r="S17" s="194">
        <v>566</v>
      </c>
      <c r="T17" s="194">
        <v>740</v>
      </c>
      <c r="U17" s="194">
        <v>674</v>
      </c>
      <c r="V17" s="194">
        <v>694</v>
      </c>
      <c r="W17" s="194">
        <v>705</v>
      </c>
      <c r="X17" s="194">
        <v>540</v>
      </c>
      <c r="Y17" s="194">
        <v>1577</v>
      </c>
      <c r="Z17" s="194">
        <v>952</v>
      </c>
      <c r="AA17" s="27">
        <f t="shared" si="4"/>
        <v>952</v>
      </c>
      <c r="AB17" s="27">
        <f t="shared" si="4"/>
        <v>952</v>
      </c>
      <c r="AC17" s="27">
        <f t="shared" si="4"/>
        <v>952</v>
      </c>
      <c r="AD17" s="27">
        <f t="shared" si="4"/>
        <v>952</v>
      </c>
      <c r="AE17" s="27">
        <f t="shared" si="4"/>
        <v>952</v>
      </c>
      <c r="AF17" s="27">
        <f t="shared" si="4"/>
        <v>952</v>
      </c>
      <c r="AG17" s="180"/>
      <c r="AH17" s="1012"/>
      <c r="AI17" s="1433"/>
      <c r="AJ17" s="180"/>
      <c r="AK17" s="227"/>
      <c r="AL17" s="227"/>
      <c r="AM17" s="227"/>
      <c r="AN17" s="180"/>
      <c r="AO17" s="180"/>
      <c r="AP17" s="180"/>
      <c r="AQ17" s="180"/>
      <c r="AR17" s="180"/>
      <c r="AS17" s="180"/>
    </row>
    <row r="18" spans="1:45">
      <c r="A18" s="19" t="s">
        <v>829</v>
      </c>
      <c r="B18" s="180"/>
      <c r="C18" s="180"/>
      <c r="D18" s="180"/>
      <c r="E18" s="180"/>
      <c r="F18" s="180"/>
      <c r="G18" s="180"/>
      <c r="H18" s="300">
        <v>3240</v>
      </c>
      <c r="I18" s="300">
        <v>3240</v>
      </c>
      <c r="J18" s="300">
        <v>3673</v>
      </c>
      <c r="K18" s="300">
        <v>3382</v>
      </c>
      <c r="L18" s="300">
        <v>3508</v>
      </c>
      <c r="M18" s="300">
        <v>3799</v>
      </c>
      <c r="N18" s="300">
        <v>4131</v>
      </c>
      <c r="O18" s="300">
        <v>3998</v>
      </c>
      <c r="P18" s="255">
        <v>4265</v>
      </c>
      <c r="Q18" s="255">
        <v>4518</v>
      </c>
      <c r="R18" s="194">
        <v>4247</v>
      </c>
      <c r="S18" s="194">
        <v>3954</v>
      </c>
      <c r="T18" s="194">
        <v>5558</v>
      </c>
      <c r="U18" s="194">
        <v>6312</v>
      </c>
      <c r="V18" s="194">
        <v>5190</v>
      </c>
      <c r="W18" s="194">
        <v>5063</v>
      </c>
      <c r="X18" s="194">
        <v>6408</v>
      </c>
      <c r="Y18" s="194">
        <v>7903</v>
      </c>
      <c r="Z18" s="194">
        <v>9491</v>
      </c>
      <c r="AA18" s="273">
        <f>-AA19*'Income Statement'!AA49/365</f>
        <v>10156.157104287026</v>
      </c>
      <c r="AB18" s="273">
        <f>-AB19*'Income Statement'!AB49/365</f>
        <v>10293.558868923603</v>
      </c>
      <c r="AC18" s="273">
        <f>-AC19*'Income Statement'!AC49/365</f>
        <v>11141.109369642465</v>
      </c>
      <c r="AD18" s="273">
        <f>-AD19*'Income Statement'!AD49/365</f>
        <v>12007.108921991701</v>
      </c>
      <c r="AE18" s="273">
        <f>-AE19*'Income Statement'!AE49/365</f>
        <v>12811.994979762158</v>
      </c>
      <c r="AF18" s="273">
        <f>-AF19*'Income Statement'!AF49/365</f>
        <v>13507.854590573736</v>
      </c>
      <c r="AG18" s="180"/>
      <c r="AH18" s="1012"/>
      <c r="AI18" s="1433"/>
      <c r="AJ18" s="180"/>
      <c r="AK18" s="227"/>
      <c r="AL18" s="227"/>
      <c r="AM18" s="227"/>
      <c r="AN18" s="180"/>
      <c r="AO18" s="180"/>
      <c r="AP18" s="180"/>
      <c r="AQ18" s="180"/>
      <c r="AR18" s="180"/>
      <c r="AS18" s="180"/>
    </row>
    <row r="19" spans="1:45">
      <c r="A19" s="993" t="s">
        <v>1575</v>
      </c>
      <c r="B19" s="180"/>
      <c r="C19" s="180"/>
      <c r="D19" s="180"/>
      <c r="E19" s="180"/>
      <c r="F19" s="180"/>
      <c r="G19" s="180"/>
      <c r="H19" s="300"/>
      <c r="I19" s="300"/>
      <c r="J19" s="300"/>
      <c r="K19" s="300"/>
      <c r="L19" s="300"/>
      <c r="M19" s="300"/>
      <c r="N19" s="300"/>
      <c r="O19" s="300"/>
      <c r="P19" s="255"/>
      <c r="Q19" s="255"/>
      <c r="R19" s="194"/>
      <c r="S19" s="194"/>
      <c r="T19" s="194"/>
      <c r="U19" s="194"/>
      <c r="V19" s="194"/>
      <c r="W19" s="1092">
        <f>-W18/'Income Statement'!W49*365</f>
        <v>231.02825353169146</v>
      </c>
      <c r="X19" s="1092">
        <f>-X18/'Income Statement'!X49*365</f>
        <v>199.49846468781985</v>
      </c>
      <c r="Y19" s="1092">
        <f>-Y18/'Income Statement'!Y49*365</f>
        <v>204.98827458783401</v>
      </c>
      <c r="Z19" s="1092">
        <f>-Z18/'Income Statement'!Z49*365</f>
        <v>217.0560776942356</v>
      </c>
      <c r="AA19" s="1093">
        <v>204</v>
      </c>
      <c r="AB19" s="1093">
        <v>183</v>
      </c>
      <c r="AC19" s="1093">
        <v>180</v>
      </c>
      <c r="AD19" s="1093">
        <v>180</v>
      </c>
      <c r="AE19" s="1093">
        <v>182</v>
      </c>
      <c r="AF19" s="1093">
        <v>183</v>
      </c>
      <c r="AG19" s="180"/>
      <c r="AH19" s="1012"/>
      <c r="AI19" s="1433"/>
      <c r="AJ19" s="180"/>
      <c r="AK19" s="227"/>
      <c r="AL19" s="227"/>
      <c r="AM19" s="227"/>
      <c r="AN19" s="180"/>
      <c r="AO19" s="180"/>
      <c r="AP19" s="180"/>
      <c r="AQ19" s="180"/>
      <c r="AR19" s="180"/>
      <c r="AS19" s="180"/>
    </row>
    <row r="20" spans="1:45">
      <c r="A20" s="19" t="s">
        <v>828</v>
      </c>
      <c r="B20" s="180"/>
      <c r="C20" s="180"/>
      <c r="D20" s="180"/>
      <c r="E20" s="180"/>
      <c r="F20" s="180"/>
      <c r="G20" s="180"/>
      <c r="H20" s="300">
        <v>4218</v>
      </c>
      <c r="I20" s="300">
        <v>3926</v>
      </c>
      <c r="J20" s="300">
        <v>3881</v>
      </c>
      <c r="K20" s="300">
        <v>4158</v>
      </c>
      <c r="L20" s="300">
        <v>4219</v>
      </c>
      <c r="M20" s="300">
        <v>5005</v>
      </c>
      <c r="N20" s="300">
        <v>5025</v>
      </c>
      <c r="O20" s="300">
        <v>4967</v>
      </c>
      <c r="P20" s="255">
        <v>5827</v>
      </c>
      <c r="Q20" s="255">
        <v>6515</v>
      </c>
      <c r="R20" s="194">
        <v>6252</v>
      </c>
      <c r="S20" s="194">
        <v>4952</v>
      </c>
      <c r="T20" s="194">
        <v>6580</v>
      </c>
      <c r="U20" s="194">
        <v>7639</v>
      </c>
      <c r="V20" s="194">
        <v>5769</v>
      </c>
      <c r="W20" s="194">
        <v>6504</v>
      </c>
      <c r="X20" s="194">
        <v>7904</v>
      </c>
      <c r="Y20" s="194">
        <v>9417</v>
      </c>
      <c r="Z20" s="194">
        <v>10572</v>
      </c>
      <c r="AA20" s="273">
        <f>'Income Statement'!AA39*'Balance Sheet'!AA21/365</f>
        <v>11152.869455812348</v>
      </c>
      <c r="AB20" s="273">
        <f>'Income Statement'!AB39*'Balance Sheet'!AB21/365</f>
        <v>12503.226486372721</v>
      </c>
      <c r="AC20" s="273">
        <f>'Income Statement'!AC39*'Balance Sheet'!AC21/365</f>
        <v>13435.802496214954</v>
      </c>
      <c r="AD20" s="273">
        <f>'Income Statement'!AD39*'Balance Sheet'!AD21/365</f>
        <v>14364.327425981037</v>
      </c>
      <c r="AE20" s="273">
        <f>'Income Statement'!AE39*'Balance Sheet'!AE21/365</f>
        <v>15158.796494852142</v>
      </c>
      <c r="AF20" s="273">
        <f>'Income Statement'!AF39*'Balance Sheet'!AF21/365</f>
        <v>15894.784273254983</v>
      </c>
      <c r="AG20" s="180"/>
      <c r="AH20" s="1012"/>
      <c r="AI20" s="1433"/>
      <c r="AJ20" s="180"/>
      <c r="AK20" s="227"/>
      <c r="AL20" s="227"/>
      <c r="AM20" s="227"/>
      <c r="AN20" s="180"/>
      <c r="AO20" s="180"/>
      <c r="AP20" s="180"/>
      <c r="AQ20" s="180"/>
      <c r="AR20" s="180"/>
      <c r="AS20" s="180"/>
    </row>
    <row r="21" spans="1:45">
      <c r="A21" s="993" t="s">
        <v>1574</v>
      </c>
      <c r="B21" s="180"/>
      <c r="C21" s="180"/>
      <c r="D21" s="180"/>
      <c r="E21" s="180"/>
      <c r="F21" s="180"/>
      <c r="G21" s="180"/>
      <c r="H21" s="300"/>
      <c r="I21" s="300"/>
      <c r="J21" s="300"/>
      <c r="K21" s="300"/>
      <c r="L21" s="300"/>
      <c r="M21" s="300"/>
      <c r="N21" s="300"/>
      <c r="O21" s="300"/>
      <c r="P21" s="255"/>
      <c r="Q21" s="255"/>
      <c r="R21" s="194"/>
      <c r="S21" s="194"/>
      <c r="T21" s="194"/>
      <c r="U21" s="194"/>
      <c r="V21" s="194"/>
      <c r="W21" s="1092">
        <f>W20/'Income Statement'!W39*365</f>
        <v>155.59808612440193</v>
      </c>
      <c r="X21" s="1092">
        <f>X20/'Income Statement'!X39*365</f>
        <v>151.56080903598635</v>
      </c>
      <c r="Y21" s="1092">
        <f>Y20/'Income Statement'!Y39*365</f>
        <v>148.1617742144058</v>
      </c>
      <c r="Z21" s="1092">
        <f>Z20/'Income Statement'!Z39*365</f>
        <v>141.25928908738149</v>
      </c>
      <c r="AA21" s="1093">
        <v>129</v>
      </c>
      <c r="AB21" s="1093">
        <v>128</v>
      </c>
      <c r="AC21" s="1093">
        <v>125</v>
      </c>
      <c r="AD21" s="1093">
        <v>124</v>
      </c>
      <c r="AE21" s="1093">
        <f>AD21</f>
        <v>124</v>
      </c>
      <c r="AF21" s="1093">
        <f>AE21</f>
        <v>124</v>
      </c>
      <c r="AG21" s="180"/>
      <c r="AH21" s="1012"/>
      <c r="AI21" s="1433"/>
      <c r="AJ21" s="180"/>
      <c r="AK21" s="227"/>
      <c r="AL21" s="227"/>
      <c r="AM21" s="227"/>
      <c r="AN21" s="180"/>
      <c r="AO21" s="180"/>
      <c r="AP21" s="180"/>
      <c r="AQ21" s="180"/>
      <c r="AR21" s="180"/>
      <c r="AS21" s="180"/>
    </row>
    <row r="22" spans="1:45">
      <c r="A22" s="19" t="s">
        <v>827</v>
      </c>
      <c r="B22" s="180"/>
      <c r="C22" s="180"/>
      <c r="D22" s="180"/>
      <c r="E22" s="180"/>
      <c r="F22" s="180"/>
      <c r="G22" s="180"/>
      <c r="H22" s="300">
        <v>68</v>
      </c>
      <c r="I22" s="300">
        <v>27</v>
      </c>
      <c r="J22" s="300">
        <v>127</v>
      </c>
      <c r="K22" s="300">
        <v>145</v>
      </c>
      <c r="L22" s="300">
        <v>146</v>
      </c>
      <c r="M22" s="300">
        <v>215</v>
      </c>
      <c r="N22" s="300">
        <v>421</v>
      </c>
      <c r="O22" s="300">
        <v>392</v>
      </c>
      <c r="P22" s="194">
        <v>452</v>
      </c>
      <c r="Q22" s="194">
        <v>623</v>
      </c>
      <c r="R22" s="194">
        <v>513</v>
      </c>
      <c r="S22" s="194">
        <v>596</v>
      </c>
      <c r="T22" s="194">
        <v>752</v>
      </c>
      <c r="U22" s="194">
        <v>458</v>
      </c>
      <c r="V22" s="194">
        <v>481</v>
      </c>
      <c r="W22" s="194">
        <v>555</v>
      </c>
      <c r="X22" s="194">
        <v>358</v>
      </c>
      <c r="Y22" s="194">
        <v>422</v>
      </c>
      <c r="Z22" s="194">
        <v>364</v>
      </c>
      <c r="AA22" s="27">
        <f t="shared" ref="AA22:AF22" si="5">Z22</f>
        <v>364</v>
      </c>
      <c r="AB22" s="27">
        <f t="shared" si="5"/>
        <v>364</v>
      </c>
      <c r="AC22" s="27">
        <f t="shared" si="5"/>
        <v>364</v>
      </c>
      <c r="AD22" s="27">
        <f t="shared" si="5"/>
        <v>364</v>
      </c>
      <c r="AE22" s="27">
        <f t="shared" si="5"/>
        <v>364</v>
      </c>
      <c r="AF22" s="27">
        <f t="shared" si="5"/>
        <v>364</v>
      </c>
      <c r="AG22" s="180"/>
      <c r="AH22" s="1012"/>
      <c r="AI22" s="1433"/>
      <c r="AJ22" s="180"/>
      <c r="AK22" s="227"/>
      <c r="AL22" s="227"/>
      <c r="AM22" s="227"/>
      <c r="AN22" s="180"/>
      <c r="AO22" s="180"/>
      <c r="AP22" s="180"/>
      <c r="AQ22" s="180"/>
      <c r="AR22" s="180"/>
      <c r="AS22" s="180"/>
    </row>
    <row r="23" spans="1:45">
      <c r="A23" s="19" t="s">
        <v>826</v>
      </c>
      <c r="B23" s="180"/>
      <c r="C23" s="180"/>
      <c r="D23" s="180"/>
      <c r="E23" s="180"/>
      <c r="F23" s="180"/>
      <c r="G23" s="180"/>
      <c r="H23" s="300">
        <v>743</v>
      </c>
      <c r="I23" s="300">
        <v>730</v>
      </c>
      <c r="J23" s="300">
        <v>919</v>
      </c>
      <c r="K23" s="300">
        <v>2080</v>
      </c>
      <c r="L23" s="300">
        <v>2062</v>
      </c>
      <c r="M23" s="300">
        <v>1431</v>
      </c>
      <c r="N23" s="300">
        <v>2193</v>
      </c>
      <c r="O23" s="300">
        <v>1547</v>
      </c>
      <c r="P23" s="300">
        <v>1633</v>
      </c>
      <c r="Q23" s="300">
        <v>1845</v>
      </c>
      <c r="R23" s="194">
        <v>1926</v>
      </c>
      <c r="S23" s="194">
        <v>4914</v>
      </c>
      <c r="T23" s="194">
        <v>2330</v>
      </c>
      <c r="U23" s="194">
        <v>2632</v>
      </c>
      <c r="V23" s="194">
        <v>3747</v>
      </c>
      <c r="W23" s="194">
        <v>5247</v>
      </c>
      <c r="X23" s="194">
        <v>6687</v>
      </c>
      <c r="Y23" s="194">
        <v>6676</v>
      </c>
      <c r="Z23" s="194">
        <v>6514</v>
      </c>
      <c r="AA23" s="273">
        <f>'Cashflow Statement'!AA55</f>
        <v>7326.351789321775</v>
      </c>
      <c r="AB23" s="273">
        <f>'Cashflow Statement'!AB55</f>
        <v>8656.394366591212</v>
      </c>
      <c r="AC23" s="273">
        <f>'Cashflow Statement'!AC55</f>
        <v>10191.541719840305</v>
      </c>
      <c r="AD23" s="273">
        <f>'Cashflow Statement'!AD55</f>
        <v>12126.354601135188</v>
      </c>
      <c r="AE23" s="273">
        <f>'Cashflow Statement'!AE55</f>
        <v>15580.022431859103</v>
      </c>
      <c r="AF23" s="273">
        <f>'Cashflow Statement'!AF55</f>
        <v>19331.617563934884</v>
      </c>
      <c r="AG23" s="180"/>
      <c r="AH23" s="1012"/>
      <c r="AI23" s="1433"/>
      <c r="AJ23" s="180"/>
      <c r="AK23" s="227"/>
      <c r="AL23" s="227"/>
      <c r="AM23" s="227"/>
      <c r="AN23" s="180"/>
      <c r="AO23" s="180"/>
      <c r="AP23" s="180"/>
      <c r="AQ23" s="180"/>
      <c r="AR23" s="180"/>
      <c r="AS23" s="180"/>
    </row>
    <row r="24" spans="1:45">
      <c r="A24" s="19" t="s">
        <v>1098</v>
      </c>
      <c r="B24" s="180"/>
      <c r="C24" s="180"/>
      <c r="D24" s="180"/>
      <c r="E24" s="180"/>
      <c r="F24" s="180"/>
      <c r="G24" s="180"/>
      <c r="H24" s="4"/>
      <c r="I24" s="4"/>
      <c r="J24" s="4"/>
      <c r="K24" s="4"/>
      <c r="L24" s="4"/>
      <c r="M24" s="4"/>
      <c r="N24" s="4"/>
      <c r="O24" s="4"/>
      <c r="P24" s="4"/>
      <c r="Q24" s="4"/>
      <c r="R24" s="27"/>
      <c r="S24" s="194">
        <v>261</v>
      </c>
      <c r="T24" s="194">
        <v>470</v>
      </c>
      <c r="U24" s="194">
        <v>471</v>
      </c>
      <c r="V24" s="194">
        <v>486</v>
      </c>
      <c r="W24" s="194">
        <v>552</v>
      </c>
      <c r="X24" s="194">
        <v>664</v>
      </c>
      <c r="Y24" s="194">
        <v>753</v>
      </c>
      <c r="Z24" s="194">
        <v>884</v>
      </c>
      <c r="AA24" s="27">
        <f t="shared" ref="AA24:AF25" si="6">Z24</f>
        <v>884</v>
      </c>
      <c r="AB24" s="27">
        <f t="shared" si="6"/>
        <v>884</v>
      </c>
      <c r="AC24" s="27">
        <f t="shared" si="6"/>
        <v>884</v>
      </c>
      <c r="AD24" s="27">
        <f t="shared" si="6"/>
        <v>884</v>
      </c>
      <c r="AE24" s="27">
        <f t="shared" si="6"/>
        <v>884</v>
      </c>
      <c r="AF24" s="27">
        <f t="shared" si="6"/>
        <v>884</v>
      </c>
      <c r="AG24" s="180"/>
      <c r="AH24" s="1012"/>
      <c r="AI24" s="1433"/>
      <c r="AJ24" s="180"/>
      <c r="AK24" s="227"/>
      <c r="AL24" s="227"/>
      <c r="AM24" s="227"/>
      <c r="AN24" s="180"/>
      <c r="AO24" s="180"/>
      <c r="AP24" s="180"/>
      <c r="AQ24" s="180"/>
      <c r="AR24" s="180"/>
      <c r="AS24" s="180"/>
    </row>
    <row r="25" spans="1:45">
      <c r="A25" s="19" t="s">
        <v>1099</v>
      </c>
      <c r="B25" s="180"/>
      <c r="C25" s="180"/>
      <c r="D25" s="180"/>
      <c r="E25" s="180"/>
      <c r="F25" s="180"/>
      <c r="G25" s="180"/>
      <c r="H25" s="4"/>
      <c r="I25" s="4"/>
      <c r="J25" s="4"/>
      <c r="K25" s="4"/>
      <c r="L25" s="4"/>
      <c r="M25" s="4"/>
      <c r="N25" s="4"/>
      <c r="O25" s="4"/>
      <c r="P25" s="4"/>
      <c r="Q25" s="4"/>
      <c r="R25" s="27"/>
      <c r="S25" s="194">
        <v>1366</v>
      </c>
      <c r="T25" s="194">
        <v>1544</v>
      </c>
      <c r="U25" s="194">
        <v>1743</v>
      </c>
      <c r="V25" s="194">
        <v>1695</v>
      </c>
      <c r="W25" s="194">
        <v>1853</v>
      </c>
      <c r="X25" s="194">
        <v>1982</v>
      </c>
      <c r="Y25" s="194">
        <v>2157</v>
      </c>
      <c r="Z25" s="194">
        <v>2503</v>
      </c>
      <c r="AA25" s="27">
        <f>Z25</f>
        <v>2503</v>
      </c>
      <c r="AB25" s="27">
        <f t="shared" si="6"/>
        <v>2503</v>
      </c>
      <c r="AC25" s="27">
        <f t="shared" si="6"/>
        <v>2503</v>
      </c>
      <c r="AD25" s="27">
        <f t="shared" si="6"/>
        <v>2503</v>
      </c>
      <c r="AE25" s="27">
        <f t="shared" si="6"/>
        <v>2503</v>
      </c>
      <c r="AF25" s="27">
        <f t="shared" si="6"/>
        <v>2503</v>
      </c>
      <c r="AG25" s="180"/>
      <c r="AH25" s="1012"/>
      <c r="AI25" s="1433"/>
      <c r="AJ25" s="180"/>
      <c r="AK25" s="227"/>
      <c r="AL25" s="227"/>
      <c r="AM25" s="227"/>
      <c r="AN25" s="180"/>
      <c r="AO25" s="180"/>
      <c r="AP25" s="180"/>
      <c r="AQ25" s="180"/>
      <c r="AR25" s="180"/>
      <c r="AS25" s="180"/>
    </row>
    <row r="26" spans="1:45">
      <c r="A26" s="19" t="s">
        <v>752</v>
      </c>
      <c r="B26" s="180"/>
      <c r="C26" s="180"/>
      <c r="D26" s="180"/>
      <c r="E26" s="180"/>
      <c r="F26" s="180"/>
      <c r="G26" s="180"/>
      <c r="H26" s="4">
        <f t="shared" ref="H26:Q26" si="7">H27-SUM(H16:H23)</f>
        <v>151</v>
      </c>
      <c r="I26" s="4">
        <f t="shared" si="7"/>
        <v>1142</v>
      </c>
      <c r="J26" s="4">
        <f t="shared" si="7"/>
        <v>264</v>
      </c>
      <c r="K26" s="4">
        <f t="shared" si="7"/>
        <v>0</v>
      </c>
      <c r="L26" s="4">
        <f t="shared" si="7"/>
        <v>0</v>
      </c>
      <c r="M26" s="298">
        <f t="shared" si="7"/>
        <v>0</v>
      </c>
      <c r="N26" s="4">
        <f t="shared" si="7"/>
        <v>0</v>
      </c>
      <c r="O26" s="27">
        <f t="shared" si="7"/>
        <v>-15</v>
      </c>
      <c r="P26" s="27">
        <f t="shared" si="7"/>
        <v>0</v>
      </c>
      <c r="Q26" s="27">
        <f t="shared" si="7"/>
        <v>0</v>
      </c>
      <c r="R26" s="194">
        <v>3234</v>
      </c>
      <c r="S26" s="194">
        <v>0</v>
      </c>
      <c r="T26" s="27">
        <f>S26</f>
        <v>0</v>
      </c>
      <c r="U26" s="194">
        <v>0</v>
      </c>
      <c r="V26" s="27"/>
      <c r="W26" s="27"/>
      <c r="X26" s="251">
        <v>212</v>
      </c>
      <c r="Y26" s="251">
        <v>0</v>
      </c>
      <c r="Z26" s="251">
        <v>0</v>
      </c>
      <c r="AA26" s="27">
        <f t="shared" ref="AA26:AF26" si="8">Z26</f>
        <v>0</v>
      </c>
      <c r="AB26" s="27">
        <f t="shared" si="8"/>
        <v>0</v>
      </c>
      <c r="AC26" s="27">
        <f t="shared" si="8"/>
        <v>0</v>
      </c>
      <c r="AD26" s="27">
        <f t="shared" si="8"/>
        <v>0</v>
      </c>
      <c r="AE26" s="27">
        <f t="shared" si="8"/>
        <v>0</v>
      </c>
      <c r="AF26" s="27">
        <f t="shared" si="8"/>
        <v>0</v>
      </c>
      <c r="AG26" s="180"/>
      <c r="AH26" s="1012"/>
      <c r="AI26" s="1433"/>
      <c r="AJ26" s="180"/>
      <c r="AK26" s="227"/>
      <c r="AL26" s="227"/>
      <c r="AM26" s="227"/>
      <c r="AN26" s="180"/>
      <c r="AO26" s="180"/>
      <c r="AP26" s="180"/>
      <c r="AQ26" s="180"/>
      <c r="AR26" s="180"/>
      <c r="AS26" s="180"/>
    </row>
    <row r="27" spans="1:45">
      <c r="A27" s="181" t="s">
        <v>825</v>
      </c>
      <c r="B27" s="57"/>
      <c r="C27" s="57"/>
      <c r="D27" s="57"/>
      <c r="E27" s="57"/>
      <c r="F27" s="57"/>
      <c r="G27" s="57"/>
      <c r="H27" s="241">
        <v>8925</v>
      </c>
      <c r="I27" s="242">
        <f>8519+779</f>
        <v>9298</v>
      </c>
      <c r="J27" s="242">
        <f>9049+61</f>
        <v>9110</v>
      </c>
      <c r="K27" s="241">
        <v>9903</v>
      </c>
      <c r="L27" s="241">
        <v>10173</v>
      </c>
      <c r="M27" s="241">
        <v>10810</v>
      </c>
      <c r="N27" s="241">
        <v>12531</v>
      </c>
      <c r="O27" s="242">
        <f>(864+3998+4967+1547+575)</f>
        <v>11951</v>
      </c>
      <c r="P27" s="241">
        <v>12775</v>
      </c>
      <c r="Q27" s="241">
        <v>14121</v>
      </c>
      <c r="R27" s="242">
        <f t="shared" ref="R27:V27" si="9">SUM(R16:R26)</f>
        <v>16911</v>
      </c>
      <c r="S27" s="242">
        <f t="shared" si="9"/>
        <v>18722</v>
      </c>
      <c r="T27" s="242">
        <f t="shared" si="9"/>
        <v>18159</v>
      </c>
      <c r="U27" s="242">
        <f t="shared" si="9"/>
        <v>20072</v>
      </c>
      <c r="V27" s="242">
        <f t="shared" si="9"/>
        <v>18188</v>
      </c>
      <c r="W27" s="242">
        <f>SUM(W16:W26)-W19-W21</f>
        <v>20583</v>
      </c>
      <c r="X27" s="242">
        <f t="shared" ref="X27:AF27" si="10">SUM(X16:X26)-X19-X21</f>
        <v>24997</v>
      </c>
      <c r="Y27" s="242">
        <f t="shared" si="10"/>
        <v>29175</v>
      </c>
      <c r="Z27" s="242">
        <f t="shared" si="10"/>
        <v>31523</v>
      </c>
      <c r="AA27" s="242">
        <f t="shared" si="10"/>
        <v>33581.378349421153</v>
      </c>
      <c r="AB27" s="242">
        <f t="shared" si="10"/>
        <v>36399.179721887536</v>
      </c>
      <c r="AC27" s="242">
        <f t="shared" si="10"/>
        <v>39714.453585697724</v>
      </c>
      <c r="AD27" s="242">
        <f t="shared" si="10"/>
        <v>43443.790949107926</v>
      </c>
      <c r="AE27" s="242">
        <f t="shared" si="10"/>
        <v>48496.813906473399</v>
      </c>
      <c r="AF27" s="242">
        <f t="shared" si="10"/>
        <v>53680.256427763597</v>
      </c>
      <c r="AG27" s="180"/>
      <c r="AH27" s="1012"/>
      <c r="AI27" s="1433"/>
      <c r="AJ27" s="180"/>
      <c r="AK27" s="227"/>
      <c r="AL27" s="227"/>
      <c r="AM27" s="227"/>
      <c r="AN27" s="180"/>
      <c r="AO27" s="180"/>
      <c r="AP27" s="180"/>
      <c r="AQ27" s="180"/>
      <c r="AR27" s="180"/>
      <c r="AS27" s="180"/>
    </row>
    <row r="28" spans="1:45">
      <c r="A28" s="19"/>
      <c r="B28" s="180"/>
      <c r="C28" s="180"/>
      <c r="D28" s="180"/>
      <c r="E28" s="180"/>
      <c r="F28" s="180"/>
      <c r="G28" s="180"/>
      <c r="H28" s="4"/>
      <c r="I28" s="4"/>
      <c r="J28" s="4"/>
      <c r="K28" s="4"/>
      <c r="L28" s="4"/>
      <c r="M28" s="4"/>
      <c r="N28" s="4"/>
      <c r="O28" s="27"/>
      <c r="P28" s="27"/>
      <c r="Q28" s="27"/>
      <c r="R28" s="27"/>
      <c r="S28" s="27"/>
      <c r="T28" s="27"/>
      <c r="U28" s="27"/>
      <c r="V28" s="27"/>
      <c r="W28" s="27"/>
      <c r="X28" s="247"/>
      <c r="Y28" s="247"/>
      <c r="Z28" s="247"/>
      <c r="AA28" s="27"/>
      <c r="AB28" s="27"/>
      <c r="AC28" s="27"/>
      <c r="AD28" s="27"/>
      <c r="AE28" s="27"/>
      <c r="AF28" s="27"/>
      <c r="AG28" s="180"/>
      <c r="AH28" s="1012"/>
      <c r="AI28" s="1433"/>
      <c r="AJ28" s="180"/>
      <c r="AK28" s="227"/>
      <c r="AL28" s="227"/>
      <c r="AM28" s="227"/>
      <c r="AN28" s="180"/>
      <c r="AO28" s="180"/>
      <c r="AP28" s="180"/>
      <c r="AQ28" s="180"/>
      <c r="AR28" s="180"/>
      <c r="AS28" s="180"/>
    </row>
    <row r="29" spans="1:45">
      <c r="A29" s="19" t="s">
        <v>785</v>
      </c>
      <c r="B29" s="180"/>
      <c r="C29" s="180"/>
      <c r="D29" s="180"/>
      <c r="E29" s="180"/>
      <c r="F29" s="180"/>
      <c r="G29" s="180"/>
      <c r="H29" s="300">
        <v>-976</v>
      </c>
      <c r="I29" s="300">
        <v>-1052</v>
      </c>
      <c r="J29" s="300">
        <v>-1078</v>
      </c>
      <c r="K29" s="300">
        <v>-1315</v>
      </c>
      <c r="L29" s="300">
        <v>-1310</v>
      </c>
      <c r="M29" s="300">
        <v>-1374</v>
      </c>
      <c r="N29" s="300">
        <v>-1823</v>
      </c>
      <c r="O29" s="4">
        <f>-1751+10</f>
        <v>-1741</v>
      </c>
      <c r="P29" s="300">
        <v>-1870</v>
      </c>
      <c r="Q29" s="300">
        <v>-1802</v>
      </c>
      <c r="R29" s="194">
        <v>-1706</v>
      </c>
      <c r="S29" s="194">
        <v>-1263</v>
      </c>
      <c r="T29" s="194">
        <v>-1588</v>
      </c>
      <c r="U29" s="194">
        <v>-2093</v>
      </c>
      <c r="V29" s="194">
        <v>-1942</v>
      </c>
      <c r="W29" s="194">
        <v>-1798</v>
      </c>
      <c r="X29" s="194">
        <v>-1549</v>
      </c>
      <c r="Y29" s="194">
        <v>-1547</v>
      </c>
      <c r="Z29" s="194">
        <v>-1835</v>
      </c>
      <c r="AA29" s="273">
        <f>Z29-'Cashflow Statement'!AA10</f>
        <v>-1935</v>
      </c>
      <c r="AB29" s="273">
        <f>AA29-'Cashflow Statement'!AB10</f>
        <v>-2035</v>
      </c>
      <c r="AC29" s="273">
        <f>AB29-'Cashflow Statement'!AC10</f>
        <v>-2135</v>
      </c>
      <c r="AD29" s="273">
        <f>AC29-'Cashflow Statement'!AD10</f>
        <v>-2235</v>
      </c>
      <c r="AE29" s="273">
        <f>AD29-'Cashflow Statement'!AE10</f>
        <v>-2335</v>
      </c>
      <c r="AF29" s="273">
        <f>AE29-'Cashflow Statement'!AF10</f>
        <v>-2435</v>
      </c>
      <c r="AG29" s="180"/>
      <c r="AH29" s="1012"/>
      <c r="AI29" s="1433"/>
      <c r="AJ29" s="180"/>
      <c r="AK29" s="227"/>
      <c r="AL29" s="227"/>
      <c r="AM29" s="227"/>
      <c r="AN29" s="180"/>
      <c r="AO29" s="180"/>
      <c r="AP29" s="180"/>
      <c r="AQ29" s="180"/>
      <c r="AR29" s="180"/>
      <c r="AS29" s="180"/>
    </row>
    <row r="30" spans="1:45">
      <c r="A30" s="19" t="s">
        <v>824</v>
      </c>
      <c r="B30" s="180"/>
      <c r="C30" s="180"/>
      <c r="D30" s="180"/>
      <c r="E30" s="180"/>
      <c r="F30" s="180"/>
      <c r="G30" s="180"/>
      <c r="H30" s="300">
        <v>-573</v>
      </c>
      <c r="I30" s="300">
        <v>-590</v>
      </c>
      <c r="J30" s="300">
        <v>-698</v>
      </c>
      <c r="K30" s="300">
        <v>-696</v>
      </c>
      <c r="L30" s="300">
        <v>-701</v>
      </c>
      <c r="M30" s="300">
        <v>-682</v>
      </c>
      <c r="N30" s="300">
        <v>-670</v>
      </c>
      <c r="O30" s="300">
        <v>-670</v>
      </c>
      <c r="P30" s="194">
        <v>-713</v>
      </c>
      <c r="Q30" s="194">
        <v>-708</v>
      </c>
      <c r="R30" s="194">
        <v>-699</v>
      </c>
      <c r="S30" s="194">
        <v>-569</v>
      </c>
      <c r="T30" s="194">
        <v>-585</v>
      </c>
      <c r="U30" s="194">
        <v>-505</v>
      </c>
      <c r="V30" s="194">
        <v>-426</v>
      </c>
      <c r="W30" s="194">
        <v>-327</v>
      </c>
      <c r="X30" s="194">
        <v>-302</v>
      </c>
      <c r="Y30" s="194">
        <v>-292</v>
      </c>
      <c r="Z30" s="194">
        <v>-287</v>
      </c>
      <c r="AA30" s="27">
        <f t="shared" ref="AA30:AF30" si="11">Z30</f>
        <v>-287</v>
      </c>
      <c r="AB30" s="27">
        <f t="shared" si="11"/>
        <v>-287</v>
      </c>
      <c r="AC30" s="27">
        <f t="shared" si="11"/>
        <v>-287</v>
      </c>
      <c r="AD30" s="27">
        <f t="shared" si="11"/>
        <v>-287</v>
      </c>
      <c r="AE30" s="27">
        <f t="shared" si="11"/>
        <v>-287</v>
      </c>
      <c r="AF30" s="27">
        <f t="shared" si="11"/>
        <v>-287</v>
      </c>
      <c r="AG30" s="180"/>
      <c r="AH30" s="1012"/>
      <c r="AI30" s="1433"/>
      <c r="AJ30" s="180"/>
      <c r="AK30" s="227"/>
      <c r="AL30" s="227"/>
      <c r="AM30" s="227"/>
      <c r="AN30" s="180"/>
      <c r="AO30" s="180"/>
      <c r="AP30" s="180"/>
      <c r="AQ30" s="180"/>
      <c r="AR30" s="180"/>
      <c r="AS30" s="180"/>
    </row>
    <row r="31" spans="1:45">
      <c r="A31" s="19" t="s">
        <v>1105</v>
      </c>
      <c r="B31" s="180"/>
      <c r="C31" s="180"/>
      <c r="D31" s="180"/>
      <c r="E31" s="180"/>
      <c r="F31" s="180"/>
      <c r="G31" s="180"/>
      <c r="H31" s="300">
        <v>-463</v>
      </c>
      <c r="I31" s="300">
        <v>-397</v>
      </c>
      <c r="J31" s="300">
        <v>-418</v>
      </c>
      <c r="K31" s="300">
        <v>-1208</v>
      </c>
      <c r="L31" s="300">
        <v>-1483</v>
      </c>
      <c r="M31" s="300">
        <v>-1447</v>
      </c>
      <c r="N31" s="300">
        <v>-2259</v>
      </c>
      <c r="O31" s="4">
        <f>-1295-6</f>
        <v>-1301</v>
      </c>
      <c r="P31" s="194">
        <v>-1658</v>
      </c>
      <c r="Q31" s="194">
        <v>-1752</v>
      </c>
      <c r="R31" s="194">
        <v>-2392</v>
      </c>
      <c r="S31" s="194">
        <v>-3246</v>
      </c>
      <c r="T31" s="194">
        <v>-3384</v>
      </c>
      <c r="U31" s="194">
        <v>-3239</v>
      </c>
      <c r="V31" s="194">
        <v>-4082</v>
      </c>
      <c r="W31" s="194">
        <v>-5094</v>
      </c>
      <c r="X31" s="194">
        <v>-5378</v>
      </c>
      <c r="Y31" s="194">
        <v>-4691</v>
      </c>
      <c r="Z31" s="194">
        <v>-3788</v>
      </c>
      <c r="AA31" s="273">
        <f>Z31-'Cashflow Statement'!AA39</f>
        <v>-3788</v>
      </c>
      <c r="AB31" s="273">
        <f>AA31-'Cashflow Statement'!AB39</f>
        <v>-3788</v>
      </c>
      <c r="AC31" s="273">
        <f>AB31-'Cashflow Statement'!AC39</f>
        <v>-3788</v>
      </c>
      <c r="AD31" s="273">
        <f>AC31-'Cashflow Statement'!AD39</f>
        <v>-3788</v>
      </c>
      <c r="AE31" s="273">
        <f>AD31-'Cashflow Statement'!AE39</f>
        <v>-3788</v>
      </c>
      <c r="AF31" s="273">
        <f>AE31-'Cashflow Statement'!AF39</f>
        <v>-3788</v>
      </c>
      <c r="AG31" s="180"/>
      <c r="AH31" s="1012"/>
      <c r="AI31" s="1433"/>
      <c r="AJ31" s="180"/>
      <c r="AK31" s="227"/>
      <c r="AL31" s="227"/>
      <c r="AM31" s="227"/>
      <c r="AN31" s="180"/>
      <c r="AO31" s="180"/>
      <c r="AP31" s="180"/>
      <c r="AQ31" s="180"/>
      <c r="AR31" s="180"/>
      <c r="AS31" s="180"/>
    </row>
    <row r="32" spans="1:45">
      <c r="A32" s="19" t="s">
        <v>823</v>
      </c>
      <c r="B32" s="180"/>
      <c r="C32" s="180"/>
      <c r="D32" s="180"/>
      <c r="E32" s="180"/>
      <c r="F32" s="180"/>
      <c r="G32" s="180"/>
      <c r="H32" s="4"/>
      <c r="I32" s="4"/>
      <c r="J32" s="4"/>
      <c r="K32" s="4"/>
      <c r="L32" s="4"/>
      <c r="M32" s="300">
        <v>-5</v>
      </c>
      <c r="N32" s="300">
        <v>-12</v>
      </c>
      <c r="O32" s="300">
        <v>-36</v>
      </c>
      <c r="P32" s="27"/>
      <c r="Q32" s="27"/>
      <c r="R32" s="194">
        <v>0</v>
      </c>
      <c r="S32" s="27">
        <f>R32</f>
        <v>0</v>
      </c>
      <c r="T32" s="194">
        <v>-7</v>
      </c>
      <c r="U32" s="194">
        <v>-5</v>
      </c>
      <c r="V32" s="194">
        <v>-18</v>
      </c>
      <c r="W32" s="194">
        <v>-8</v>
      </c>
      <c r="X32" s="194">
        <v>-18</v>
      </c>
      <c r="Y32" s="194">
        <v>-8</v>
      </c>
      <c r="Z32" s="194">
        <v>-15</v>
      </c>
      <c r="AA32" s="27">
        <f t="shared" ref="AA32:AF32" si="12">Z32</f>
        <v>-15</v>
      </c>
      <c r="AB32" s="27">
        <f t="shared" si="12"/>
        <v>-15</v>
      </c>
      <c r="AC32" s="27">
        <f t="shared" si="12"/>
        <v>-15</v>
      </c>
      <c r="AD32" s="27">
        <f t="shared" si="12"/>
        <v>-15</v>
      </c>
      <c r="AE32" s="27">
        <f t="shared" si="12"/>
        <v>-15</v>
      </c>
      <c r="AF32" s="27">
        <f t="shared" si="12"/>
        <v>-15</v>
      </c>
      <c r="AG32" s="180"/>
      <c r="AH32" s="1012"/>
      <c r="AI32" s="1433"/>
      <c r="AJ32" s="180"/>
      <c r="AK32" s="227"/>
      <c r="AL32" s="227"/>
      <c r="AM32" s="227"/>
      <c r="AN32" s="180"/>
      <c r="AO32" s="180"/>
      <c r="AP32" s="180"/>
      <c r="AQ32" s="180"/>
      <c r="AR32" s="180"/>
      <c r="AS32" s="180"/>
    </row>
    <row r="33" spans="1:45">
      <c r="A33" s="19" t="s">
        <v>822</v>
      </c>
      <c r="B33" s="180"/>
      <c r="C33" s="180"/>
      <c r="D33" s="180"/>
      <c r="E33" s="180"/>
      <c r="F33" s="180"/>
      <c r="G33" s="180"/>
      <c r="H33" s="300">
        <v>-929</v>
      </c>
      <c r="I33" s="300">
        <v>-745</v>
      </c>
      <c r="J33" s="300">
        <v>-618</v>
      </c>
      <c r="K33" s="300">
        <v>-833</v>
      </c>
      <c r="L33" s="300">
        <v>-685</v>
      </c>
      <c r="M33" s="300">
        <v>-718</v>
      </c>
      <c r="N33" s="300">
        <v>-981</v>
      </c>
      <c r="O33" s="300">
        <v>-1293</v>
      </c>
      <c r="P33" s="194">
        <v>-728</v>
      </c>
      <c r="Q33" s="194">
        <v>-677</v>
      </c>
      <c r="R33" s="194">
        <v>-987</v>
      </c>
      <c r="S33" s="194">
        <v>-674</v>
      </c>
      <c r="T33" s="194">
        <v>-1662</v>
      </c>
      <c r="U33" s="194">
        <v>-1340</v>
      </c>
      <c r="V33" s="194">
        <v>-1285</v>
      </c>
      <c r="W33" s="194">
        <v>-1275</v>
      </c>
      <c r="X33" s="194">
        <v>-1164</v>
      </c>
      <c r="Y33" s="194">
        <v>-1022</v>
      </c>
      <c r="Z33" s="194">
        <v>-911</v>
      </c>
      <c r="AA33" s="273">
        <f>Z33-('Cashflow Statement'!AA17)</f>
        <v>-1241</v>
      </c>
      <c r="AB33" s="273">
        <f>AA33-('Cashflow Statement'!AB17)</f>
        <v>-1111</v>
      </c>
      <c r="AC33" s="273">
        <f>AB33-('Cashflow Statement'!AC17)</f>
        <v>-911</v>
      </c>
      <c r="AD33" s="273">
        <f>AC33-('Cashflow Statement'!AD17)</f>
        <v>-911</v>
      </c>
      <c r="AE33" s="273">
        <f>AD33-('Cashflow Statement'!AE17)</f>
        <v>-911</v>
      </c>
      <c r="AF33" s="273">
        <f>AE33-('Cashflow Statement'!AF17)</f>
        <v>-911</v>
      </c>
      <c r="AG33" s="180"/>
      <c r="AH33" s="1012"/>
      <c r="AI33" s="1433"/>
      <c r="AJ33" s="180"/>
      <c r="AK33" s="227"/>
      <c r="AL33" s="227"/>
      <c r="AM33" s="227"/>
      <c r="AN33" s="180"/>
      <c r="AO33" s="180"/>
      <c r="AP33" s="180"/>
      <c r="AQ33" s="180"/>
      <c r="AR33" s="180"/>
      <c r="AS33" s="180"/>
    </row>
    <row r="34" spans="1:45">
      <c r="A34" s="19" t="s">
        <v>821</v>
      </c>
      <c r="B34" s="180"/>
      <c r="C34" s="180"/>
      <c r="D34" s="180"/>
      <c r="E34" s="180"/>
      <c r="F34" s="180"/>
      <c r="G34" s="180"/>
      <c r="H34" s="300">
        <v>-112</v>
      </c>
      <c r="I34" s="300">
        <v>-96</v>
      </c>
      <c r="J34" s="300">
        <v>-139</v>
      </c>
      <c r="K34" s="300">
        <v>-208</v>
      </c>
      <c r="L34" s="300">
        <v>-186</v>
      </c>
      <c r="M34" s="300">
        <v>-199</v>
      </c>
      <c r="N34" s="300">
        <v>-81</v>
      </c>
      <c r="O34" s="4">
        <f>-119+8</f>
        <v>-111</v>
      </c>
      <c r="P34" s="194">
        <v>-101</v>
      </c>
      <c r="Q34" s="194">
        <v>-26</v>
      </c>
      <c r="R34" s="194">
        <v>-5</v>
      </c>
      <c r="S34" s="194">
        <v>-8</v>
      </c>
      <c r="T34" s="194">
        <v>-2</v>
      </c>
      <c r="U34" s="194">
        <v>-2</v>
      </c>
      <c r="V34" s="194">
        <v>-2</v>
      </c>
      <c r="W34" s="194">
        <v>-116</v>
      </c>
      <c r="X34" s="194">
        <v>-75</v>
      </c>
      <c r="Y34" s="194">
        <v>-43</v>
      </c>
      <c r="Z34" s="194">
        <v>-11</v>
      </c>
      <c r="AA34" s="27">
        <f t="shared" ref="AA34:AF35" si="13">Z34</f>
        <v>-11</v>
      </c>
      <c r="AB34" s="27">
        <f t="shared" si="13"/>
        <v>-11</v>
      </c>
      <c r="AC34" s="27">
        <f t="shared" si="13"/>
        <v>-11</v>
      </c>
      <c r="AD34" s="27">
        <f t="shared" si="13"/>
        <v>-11</v>
      </c>
      <c r="AE34" s="27">
        <f t="shared" si="13"/>
        <v>-11</v>
      </c>
      <c r="AF34" s="27">
        <f t="shared" si="13"/>
        <v>-11</v>
      </c>
      <c r="AG34" s="180"/>
      <c r="AH34" s="1012"/>
      <c r="AI34" s="1433"/>
      <c r="AJ34" s="180"/>
      <c r="AK34" s="227"/>
      <c r="AL34" s="227"/>
      <c r="AM34" s="227"/>
      <c r="AN34" s="180"/>
      <c r="AO34" s="180"/>
      <c r="AP34" s="180"/>
      <c r="AQ34" s="180"/>
      <c r="AR34" s="180"/>
      <c r="AS34" s="180"/>
    </row>
    <row r="35" spans="1:45">
      <c r="A35" s="19" t="s">
        <v>752</v>
      </c>
      <c r="B35" s="180"/>
      <c r="C35" s="180"/>
      <c r="D35" s="180"/>
      <c r="E35" s="180"/>
      <c r="F35" s="180"/>
      <c r="G35" s="180"/>
      <c r="H35" s="4">
        <f t="shared" ref="H35:R35" si="14">H36-SUM(H29:H34)</f>
        <v>0</v>
      </c>
      <c r="I35" s="4">
        <f t="shared" si="14"/>
        <v>0</v>
      </c>
      <c r="J35" s="4">
        <f t="shared" si="14"/>
        <v>0</v>
      </c>
      <c r="K35" s="4">
        <f t="shared" si="14"/>
        <v>0</v>
      </c>
      <c r="L35" s="4">
        <f t="shared" si="14"/>
        <v>0</v>
      </c>
      <c r="M35" s="298">
        <f t="shared" si="14"/>
        <v>0</v>
      </c>
      <c r="N35" s="4">
        <f t="shared" si="14"/>
        <v>0</v>
      </c>
      <c r="O35" s="4">
        <f t="shared" si="14"/>
        <v>13</v>
      </c>
      <c r="P35" s="27">
        <f t="shared" si="14"/>
        <v>0</v>
      </c>
      <c r="Q35" s="27">
        <f t="shared" si="14"/>
        <v>0</v>
      </c>
      <c r="R35" s="27">
        <f t="shared" si="14"/>
        <v>0</v>
      </c>
      <c r="S35" s="194">
        <v>0</v>
      </c>
      <c r="T35" s="194">
        <v>0</v>
      </c>
      <c r="U35" s="27">
        <f>U36-SUM(U29:U34)</f>
        <v>0</v>
      </c>
      <c r="V35" s="27">
        <f>V36-SUM(V29:V34)</f>
        <v>0</v>
      </c>
      <c r="W35" s="27">
        <f>W36-SUM(W29:W34)</f>
        <v>0</v>
      </c>
      <c r="X35" s="27">
        <v>-49</v>
      </c>
      <c r="Y35" s="27">
        <v>0</v>
      </c>
      <c r="Z35" s="27">
        <f>Y35</f>
        <v>0</v>
      </c>
      <c r="AA35" s="27">
        <f t="shared" si="13"/>
        <v>0</v>
      </c>
      <c r="AB35" s="27">
        <f t="shared" si="13"/>
        <v>0</v>
      </c>
      <c r="AC35" s="27">
        <f t="shared" si="13"/>
        <v>0</v>
      </c>
      <c r="AD35" s="27">
        <f t="shared" si="13"/>
        <v>0</v>
      </c>
      <c r="AE35" s="27">
        <f t="shared" si="13"/>
        <v>0</v>
      </c>
      <c r="AF35" s="27">
        <f t="shared" si="13"/>
        <v>0</v>
      </c>
      <c r="AG35" s="180"/>
      <c r="AH35" s="1012"/>
      <c r="AI35" s="1433"/>
      <c r="AJ35" s="180"/>
      <c r="AK35" s="227"/>
      <c r="AL35" s="227"/>
      <c r="AM35" s="227"/>
      <c r="AN35" s="180"/>
      <c r="AO35" s="180"/>
      <c r="AP35" s="180"/>
      <c r="AQ35" s="180"/>
      <c r="AR35" s="180"/>
      <c r="AS35" s="180"/>
    </row>
    <row r="36" spans="1:45">
      <c r="A36" s="181" t="s">
        <v>820</v>
      </c>
      <c r="B36" s="57"/>
      <c r="C36" s="57"/>
      <c r="D36" s="57"/>
      <c r="E36" s="57"/>
      <c r="F36" s="57"/>
      <c r="G36" s="57"/>
      <c r="H36" s="241">
        <v>-3053</v>
      </c>
      <c r="I36" s="241">
        <v>-2880</v>
      </c>
      <c r="J36" s="241">
        <v>-2951</v>
      </c>
      <c r="K36" s="241">
        <v>-4260</v>
      </c>
      <c r="L36" s="241">
        <v>-4365</v>
      </c>
      <c r="M36" s="241">
        <v>-4425</v>
      </c>
      <c r="N36" s="241">
        <v>-5826</v>
      </c>
      <c r="O36" s="242">
        <v>-5139</v>
      </c>
      <c r="P36" s="241">
        <v>-5070</v>
      </c>
      <c r="Q36" s="241">
        <v>-4965</v>
      </c>
      <c r="R36" s="242">
        <f t="shared" ref="R36:W36" si="15">SUM(R29:R34)</f>
        <v>-5789</v>
      </c>
      <c r="S36" s="242">
        <f t="shared" si="15"/>
        <v>-5760</v>
      </c>
      <c r="T36" s="242">
        <f t="shared" si="15"/>
        <v>-7228</v>
      </c>
      <c r="U36" s="242">
        <f t="shared" si="15"/>
        <v>-7184</v>
      </c>
      <c r="V36" s="242">
        <f t="shared" si="15"/>
        <v>-7755</v>
      </c>
      <c r="W36" s="242">
        <f t="shared" si="15"/>
        <v>-8618</v>
      </c>
      <c r="X36" s="242">
        <f t="shared" ref="X36:AF36" si="16">SUM(X29:X35)</f>
        <v>-8535</v>
      </c>
      <c r="Y36" s="242">
        <f t="shared" si="16"/>
        <v>-7603</v>
      </c>
      <c r="Z36" s="242">
        <f t="shared" si="16"/>
        <v>-6847</v>
      </c>
      <c r="AA36" s="242">
        <f t="shared" si="16"/>
        <v>-7277</v>
      </c>
      <c r="AB36" s="242">
        <f t="shared" si="16"/>
        <v>-7247</v>
      </c>
      <c r="AC36" s="242">
        <f t="shared" si="16"/>
        <v>-7147</v>
      </c>
      <c r="AD36" s="242">
        <f t="shared" si="16"/>
        <v>-7247</v>
      </c>
      <c r="AE36" s="242">
        <f t="shared" si="16"/>
        <v>-7347</v>
      </c>
      <c r="AF36" s="242">
        <f t="shared" si="16"/>
        <v>-7447</v>
      </c>
      <c r="AG36" s="180"/>
      <c r="AH36" s="1012"/>
      <c r="AI36" s="1433"/>
      <c r="AJ36" s="180"/>
      <c r="AK36" s="227"/>
      <c r="AL36" s="227"/>
      <c r="AM36" s="227"/>
      <c r="AN36" s="180"/>
      <c r="AO36" s="180"/>
      <c r="AP36" s="180"/>
      <c r="AQ36" s="180"/>
      <c r="AR36" s="180"/>
      <c r="AS36" s="180"/>
    </row>
    <row r="37" spans="1:45">
      <c r="A37" s="19"/>
      <c r="B37" s="180"/>
      <c r="C37" s="180"/>
      <c r="D37" s="180"/>
      <c r="E37" s="180"/>
      <c r="F37" s="180"/>
      <c r="G37" s="180"/>
      <c r="H37" s="4"/>
      <c r="I37" s="4"/>
      <c r="J37" s="4"/>
      <c r="K37" s="4"/>
      <c r="L37" s="4"/>
      <c r="M37" s="4"/>
      <c r="N37" s="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180"/>
      <c r="AH37" s="1012"/>
      <c r="AI37" s="1433"/>
      <c r="AJ37" s="180"/>
      <c r="AK37" s="227"/>
      <c r="AL37" s="227"/>
      <c r="AM37" s="227"/>
      <c r="AN37" s="180"/>
      <c r="AO37" s="180"/>
      <c r="AP37" s="180"/>
      <c r="AQ37" s="180"/>
      <c r="AR37" s="180"/>
      <c r="AS37" s="180"/>
    </row>
    <row r="38" spans="1:45">
      <c r="A38" s="19" t="s">
        <v>785</v>
      </c>
      <c r="B38" s="180"/>
      <c r="C38" s="180"/>
      <c r="D38" s="180"/>
      <c r="E38" s="180"/>
      <c r="F38" s="180"/>
      <c r="G38" s="180"/>
      <c r="H38" s="300">
        <v>-1101</v>
      </c>
      <c r="I38" s="300">
        <v>-1133</v>
      </c>
      <c r="J38" s="300">
        <v>-1278</v>
      </c>
      <c r="K38" s="300">
        <v>-1039</v>
      </c>
      <c r="L38" s="300">
        <v>-1114</v>
      </c>
      <c r="M38" s="300">
        <v>-1064</v>
      </c>
      <c r="N38" s="300">
        <v>-1064</v>
      </c>
      <c r="O38" s="4">
        <f>-1224+7</f>
        <v>-1217</v>
      </c>
      <c r="P38" s="194">
        <v>-1459</v>
      </c>
      <c r="Q38" s="194">
        <v>-1654</v>
      </c>
      <c r="R38" s="194">
        <v>-1558</v>
      </c>
      <c r="S38" s="194">
        <v>-925</v>
      </c>
      <c r="T38" s="194">
        <v>-1189</v>
      </c>
      <c r="U38" s="194">
        <v>-990</v>
      </c>
      <c r="V38" s="194">
        <v>-905</v>
      </c>
      <c r="W38" s="194">
        <v>-1058</v>
      </c>
      <c r="X38" s="194">
        <v>-1018</v>
      </c>
      <c r="Y38" s="194">
        <v>-1064</v>
      </c>
      <c r="Z38" s="194">
        <v>-1173</v>
      </c>
      <c r="AA38" s="27">
        <f t="shared" ref="AA38:AF39" si="17">Z38</f>
        <v>-1173</v>
      </c>
      <c r="AB38" s="27">
        <f t="shared" si="17"/>
        <v>-1173</v>
      </c>
      <c r="AC38" s="27">
        <f t="shared" si="17"/>
        <v>-1173</v>
      </c>
      <c r="AD38" s="27">
        <f t="shared" si="17"/>
        <v>-1173</v>
      </c>
      <c r="AE38" s="27">
        <f t="shared" si="17"/>
        <v>-1173</v>
      </c>
      <c r="AF38" s="27">
        <f t="shared" si="17"/>
        <v>-1173</v>
      </c>
      <c r="AG38" s="180"/>
      <c r="AH38" s="1012"/>
      <c r="AI38" s="1433"/>
      <c r="AJ38" s="180"/>
      <c r="AK38" s="227"/>
      <c r="AL38" s="227"/>
      <c r="AM38" s="227"/>
      <c r="AN38" s="180"/>
      <c r="AO38" s="180"/>
      <c r="AP38" s="180"/>
      <c r="AQ38" s="180"/>
      <c r="AR38" s="180"/>
      <c r="AS38" s="180"/>
    </row>
    <row r="39" spans="1:45">
      <c r="A39" s="19" t="s">
        <v>819</v>
      </c>
      <c r="B39" s="180"/>
      <c r="C39" s="180"/>
      <c r="D39" s="180"/>
      <c r="E39" s="180"/>
      <c r="F39" s="180"/>
      <c r="G39" s="180"/>
      <c r="H39" s="300">
        <v>-699</v>
      </c>
      <c r="I39" s="4">
        <f>-502</f>
        <v>-502</v>
      </c>
      <c r="J39" s="300">
        <v>-1136</v>
      </c>
      <c r="K39" s="300">
        <v>-1367</v>
      </c>
      <c r="L39" s="300">
        <v>-568</v>
      </c>
      <c r="M39" s="300">
        <v>-998</v>
      </c>
      <c r="N39" s="300">
        <v>-916</v>
      </c>
      <c r="O39" s="300">
        <v>-1435</v>
      </c>
      <c r="P39" s="194">
        <v>-1507</v>
      </c>
      <c r="Q39" s="194">
        <v>-876</v>
      </c>
      <c r="R39" s="194">
        <v>-945</v>
      </c>
      <c r="S39" s="194">
        <v>-1390</v>
      </c>
      <c r="T39" s="194">
        <v>-2221</v>
      </c>
      <c r="U39" s="194">
        <v>-3540</v>
      </c>
      <c r="V39" s="194">
        <v>-2509</v>
      </c>
      <c r="W39" s="194">
        <v>-1720</v>
      </c>
      <c r="X39" s="194">
        <v>-1277</v>
      </c>
      <c r="Y39" s="194">
        <v>-1608</v>
      </c>
      <c r="Z39" s="194">
        <v>-988</v>
      </c>
      <c r="AA39" s="27">
        <f t="shared" si="17"/>
        <v>-988</v>
      </c>
      <c r="AB39" s="27">
        <f t="shared" si="17"/>
        <v>-988</v>
      </c>
      <c r="AC39" s="27">
        <f t="shared" si="17"/>
        <v>-988</v>
      </c>
      <c r="AD39" s="27">
        <f t="shared" si="17"/>
        <v>-988</v>
      </c>
      <c r="AE39" s="27">
        <f t="shared" si="17"/>
        <v>-988</v>
      </c>
      <c r="AF39" s="27">
        <f t="shared" si="17"/>
        <v>-988</v>
      </c>
      <c r="AG39" s="180"/>
      <c r="AH39" s="1012"/>
      <c r="AI39" s="1433"/>
      <c r="AJ39" s="180"/>
      <c r="AK39" s="227"/>
      <c r="AL39" s="227"/>
      <c r="AM39" s="227"/>
      <c r="AN39" s="180"/>
      <c r="AO39" s="180"/>
      <c r="AP39" s="180"/>
      <c r="AQ39" s="180"/>
      <c r="AR39" s="180"/>
      <c r="AS39" s="180"/>
    </row>
    <row r="40" spans="1:45">
      <c r="A40" s="19" t="s">
        <v>818</v>
      </c>
      <c r="B40" s="180"/>
      <c r="C40" s="180"/>
      <c r="D40" s="180"/>
      <c r="E40" s="180"/>
      <c r="F40" s="180"/>
      <c r="G40" s="180"/>
      <c r="H40" s="300">
        <v>-6390</v>
      </c>
      <c r="I40" s="300">
        <v>-6517</v>
      </c>
      <c r="J40" s="300">
        <v>-6786</v>
      </c>
      <c r="K40" s="300">
        <v>-6936</v>
      </c>
      <c r="L40" s="300">
        <v>-7236</v>
      </c>
      <c r="M40" s="300">
        <v>-8348</v>
      </c>
      <c r="N40" s="300">
        <v>-8767</v>
      </c>
      <c r="O40" s="300">
        <v>-8668</v>
      </c>
      <c r="P40" s="300">
        <v>-9638</v>
      </c>
      <c r="Q40" s="255">
        <v>-10602</v>
      </c>
      <c r="R40" s="194">
        <v>-10242</v>
      </c>
      <c r="S40" s="194">
        <v>-4409</v>
      </c>
      <c r="T40" s="194">
        <v>-5650</v>
      </c>
      <c r="U40" s="194">
        <v>-6164</v>
      </c>
      <c r="V40" s="194">
        <v>-4353</v>
      </c>
      <c r="W40" s="194">
        <v>-4950</v>
      </c>
      <c r="X40" s="194">
        <v>-6298</v>
      </c>
      <c r="Y40" s="194">
        <v>-8097</v>
      </c>
      <c r="Z40" s="194">
        <v>-9802</v>
      </c>
      <c r="AA40" s="273">
        <f>AA41*'Income Statement'!AA49/365</f>
        <v>-11251.428948867</v>
      </c>
      <c r="AB40" s="273">
        <f>AB41*'Income Statement'!AB49/365</f>
        <v>-12993.508736182252</v>
      </c>
      <c r="AC40" s="273">
        <f>AC41*'Income Statement'!AC49/365</f>
        <v>-14669.127336695912</v>
      </c>
      <c r="AD40" s="273">
        <f>AD41*'Income Statement'!AD49/365</f>
        <v>-16009.4785626556</v>
      </c>
      <c r="AE40" s="273">
        <f>AE41*'Income Statement'!AE49/365</f>
        <v>-16965.334011663079</v>
      </c>
      <c r="AF40" s="273">
        <f>AF41*'Income Statement'!AF49/365</f>
        <v>-17493.778895988937</v>
      </c>
      <c r="AG40" s="180"/>
      <c r="AH40" s="1012"/>
      <c r="AI40" s="1433"/>
      <c r="AJ40" s="180"/>
      <c r="AK40" s="227"/>
      <c r="AL40" s="227"/>
      <c r="AM40" s="227"/>
      <c r="AN40" s="180"/>
      <c r="AO40" s="180"/>
      <c r="AP40" s="180"/>
      <c r="AQ40" s="180"/>
      <c r="AR40" s="180"/>
      <c r="AS40" s="180"/>
    </row>
    <row r="41" spans="1:45">
      <c r="A41" s="993" t="s">
        <v>1576</v>
      </c>
      <c r="B41" s="180"/>
      <c r="C41" s="180"/>
      <c r="D41" s="180"/>
      <c r="E41" s="180"/>
      <c r="F41" s="180"/>
      <c r="G41" s="180"/>
      <c r="H41" s="300"/>
      <c r="I41" s="300"/>
      <c r="J41" s="300"/>
      <c r="K41" s="300"/>
      <c r="L41" s="300"/>
      <c r="M41" s="300"/>
      <c r="N41" s="300"/>
      <c r="O41" s="300"/>
      <c r="P41" s="300"/>
      <c r="Q41" s="255"/>
      <c r="R41" s="194"/>
      <c r="S41" s="194"/>
      <c r="T41" s="194"/>
      <c r="U41" s="194"/>
      <c r="V41" s="194"/>
      <c r="W41" s="1092">
        <f>W40/'Income Statement'!W49*365</f>
        <v>225.87198399799973</v>
      </c>
      <c r="X41" s="1092">
        <f>X40/'Income Statement'!X49*365</f>
        <v>196.07386557488911</v>
      </c>
      <c r="Y41" s="1092">
        <f>Y40/'Income Statement'!Y49*365</f>
        <v>210.0202529846504</v>
      </c>
      <c r="Z41" s="1092">
        <f>Z40/'Income Statement'!Z49*365</f>
        <v>224.16854636591478</v>
      </c>
      <c r="AA41" s="1094">
        <v>226</v>
      </c>
      <c r="AB41" s="1094">
        <v>231</v>
      </c>
      <c r="AC41" s="1094">
        <v>237</v>
      </c>
      <c r="AD41" s="1094">
        <v>240</v>
      </c>
      <c r="AE41" s="1094">
        <v>241</v>
      </c>
      <c r="AF41" s="1094">
        <v>237</v>
      </c>
      <c r="AG41" s="180"/>
      <c r="AH41" s="1012"/>
      <c r="AI41" s="1433"/>
      <c r="AJ41" s="180"/>
      <c r="AK41" s="227"/>
      <c r="AL41" s="227"/>
      <c r="AM41" s="227"/>
      <c r="AN41" s="180"/>
      <c r="AO41" s="180"/>
      <c r="AP41" s="180"/>
      <c r="AQ41" s="180"/>
      <c r="AR41" s="180"/>
      <c r="AS41" s="180"/>
    </row>
    <row r="42" spans="1:45">
      <c r="A42" s="19" t="s">
        <v>817</v>
      </c>
      <c r="B42" s="180"/>
      <c r="C42" s="180"/>
      <c r="D42" s="180"/>
      <c r="E42" s="180"/>
      <c r="F42" s="180"/>
      <c r="G42" s="180"/>
      <c r="H42" s="300">
        <v>-21</v>
      </c>
      <c r="I42" s="300">
        <v>-43</v>
      </c>
      <c r="J42" s="300">
        <v>-39</v>
      </c>
      <c r="K42" s="300">
        <v>-53</v>
      </c>
      <c r="L42" s="300">
        <v>-72</v>
      </c>
      <c r="M42" s="300">
        <v>-92</v>
      </c>
      <c r="N42" s="300">
        <v>-156</v>
      </c>
      <c r="O42" s="300">
        <v>-202</v>
      </c>
      <c r="P42" s="194">
        <v>-220</v>
      </c>
      <c r="Q42" s="194">
        <v>-287</v>
      </c>
      <c r="R42" s="194">
        <v>-179</v>
      </c>
      <c r="S42" s="194">
        <v>-214</v>
      </c>
      <c r="T42" s="194">
        <v>-210</v>
      </c>
      <c r="U42" s="194">
        <v>-111</v>
      </c>
      <c r="V42" s="194">
        <v>-118</v>
      </c>
      <c r="W42" s="194">
        <v>-109</v>
      </c>
      <c r="X42" s="194">
        <v>-105</v>
      </c>
      <c r="Y42" s="194">
        <v>-104</v>
      </c>
      <c r="Z42" s="194">
        <v>-105</v>
      </c>
      <c r="AA42" s="27">
        <f t="shared" ref="AA42:AF44" si="18">Z42</f>
        <v>-105</v>
      </c>
      <c r="AB42" s="27">
        <f t="shared" si="18"/>
        <v>-105</v>
      </c>
      <c r="AC42" s="27">
        <f t="shared" si="18"/>
        <v>-105</v>
      </c>
      <c r="AD42" s="27">
        <f t="shared" si="18"/>
        <v>-105</v>
      </c>
      <c r="AE42" s="27">
        <f t="shared" si="18"/>
        <v>-105</v>
      </c>
      <c r="AF42" s="27">
        <f t="shared" si="18"/>
        <v>-105</v>
      </c>
      <c r="AG42" s="180"/>
      <c r="AH42" s="1012"/>
      <c r="AI42" s="1433"/>
      <c r="AJ42" s="180"/>
      <c r="AK42" s="227"/>
      <c r="AL42" s="227"/>
      <c r="AM42" s="227"/>
      <c r="AN42" s="180"/>
      <c r="AO42" s="180"/>
      <c r="AP42" s="180"/>
      <c r="AQ42" s="180"/>
      <c r="AR42" s="180"/>
      <c r="AS42" s="180"/>
    </row>
    <row r="43" spans="1:45">
      <c r="A43" s="19" t="s">
        <v>816</v>
      </c>
      <c r="B43" s="180"/>
      <c r="C43" s="180"/>
      <c r="D43" s="180"/>
      <c r="E43" s="180"/>
      <c r="F43" s="180"/>
      <c r="G43" s="180"/>
      <c r="H43" s="300">
        <v>-2</v>
      </c>
      <c r="I43" s="300">
        <v>-4</v>
      </c>
      <c r="J43" s="300">
        <v>-577</v>
      </c>
      <c r="K43" s="300">
        <v>-13</v>
      </c>
      <c r="L43" s="300">
        <v>-451</v>
      </c>
      <c r="M43" s="300">
        <v>-653</v>
      </c>
      <c r="N43" s="300">
        <v>-213</v>
      </c>
      <c r="O43" s="300">
        <v>-150</v>
      </c>
      <c r="P43" s="194">
        <v>-1636</v>
      </c>
      <c r="Q43" s="194">
        <v>-4108</v>
      </c>
      <c r="R43" s="194">
        <v>-4385</v>
      </c>
      <c r="S43" s="194">
        <v>-805</v>
      </c>
      <c r="T43" s="194">
        <v>-1255</v>
      </c>
      <c r="U43" s="194">
        <v>-1033</v>
      </c>
      <c r="V43" s="194">
        <v>-1244</v>
      </c>
      <c r="W43" s="194">
        <v>-1788</v>
      </c>
      <c r="X43" s="194">
        <v>-5848</v>
      </c>
      <c r="Y43" s="194">
        <v>-4735</v>
      </c>
      <c r="Z43" s="194">
        <v>-8803</v>
      </c>
      <c r="AA43" s="27">
        <f t="shared" si="18"/>
        <v>-8803</v>
      </c>
      <c r="AB43" s="27">
        <f t="shared" si="18"/>
        <v>-8803</v>
      </c>
      <c r="AC43" s="27">
        <f t="shared" si="18"/>
        <v>-8803</v>
      </c>
      <c r="AD43" s="27">
        <f t="shared" si="18"/>
        <v>-8803</v>
      </c>
      <c r="AE43" s="27">
        <f t="shared" si="18"/>
        <v>-8803</v>
      </c>
      <c r="AF43" s="27">
        <f t="shared" si="18"/>
        <v>-8803</v>
      </c>
      <c r="AG43" s="180"/>
      <c r="AH43" s="1012"/>
      <c r="AI43" s="1433"/>
      <c r="AJ43" s="180"/>
      <c r="AK43" s="227"/>
      <c r="AL43" s="227"/>
      <c r="AM43" s="227"/>
      <c r="AN43" s="180"/>
      <c r="AO43" s="180"/>
      <c r="AP43" s="180"/>
      <c r="AQ43" s="180"/>
      <c r="AR43" s="180"/>
      <c r="AS43" s="180"/>
    </row>
    <row r="44" spans="1:45">
      <c r="A44" s="19" t="s">
        <v>1100</v>
      </c>
      <c r="B44" s="180"/>
      <c r="C44" s="180"/>
      <c r="D44" s="180"/>
      <c r="E44" s="180"/>
      <c r="F44" s="180"/>
      <c r="G44" s="180"/>
      <c r="H44" s="4"/>
      <c r="I44" s="4"/>
      <c r="J44" s="4"/>
      <c r="K44" s="4"/>
      <c r="L44" s="4"/>
      <c r="M44" s="4"/>
      <c r="N44" s="4"/>
      <c r="O44" s="4"/>
      <c r="P44" s="27"/>
      <c r="Q44" s="27"/>
      <c r="R44" s="27"/>
      <c r="S44" s="194">
        <v>-9090</v>
      </c>
      <c r="T44" s="194">
        <v>-10453</v>
      </c>
      <c r="U44" s="194">
        <v>-10923</v>
      </c>
      <c r="V44" s="194">
        <v>-9838</v>
      </c>
      <c r="W44" s="194">
        <v>-10141</v>
      </c>
      <c r="X44" s="194">
        <v>-12756</v>
      </c>
      <c r="Y44" s="194">
        <v>-15029</v>
      </c>
      <c r="Z44" s="194">
        <v>-16421</v>
      </c>
      <c r="AA44" s="27">
        <f>Z44</f>
        <v>-16421</v>
      </c>
      <c r="AB44" s="27">
        <f t="shared" si="18"/>
        <v>-16421</v>
      </c>
      <c r="AC44" s="27">
        <f t="shared" si="18"/>
        <v>-16421</v>
      </c>
      <c r="AD44" s="27">
        <f t="shared" si="18"/>
        <v>-16421</v>
      </c>
      <c r="AE44" s="27">
        <f t="shared" si="18"/>
        <v>-16421</v>
      </c>
      <c r="AF44" s="27">
        <f t="shared" si="18"/>
        <v>-16421</v>
      </c>
      <c r="AG44" s="180"/>
      <c r="AH44" s="1012"/>
      <c r="AI44" s="1433"/>
      <c r="AJ44" s="180"/>
      <c r="AK44" s="227"/>
      <c r="AL44" s="227"/>
      <c r="AM44" s="227"/>
      <c r="AN44" s="180"/>
      <c r="AO44" s="180"/>
      <c r="AP44" s="180"/>
      <c r="AQ44" s="180"/>
      <c r="AR44" s="180"/>
      <c r="AS44" s="180"/>
    </row>
    <row r="45" spans="1:45">
      <c r="A45" s="993" t="s">
        <v>1601</v>
      </c>
      <c r="B45" s="180"/>
      <c r="C45" s="180"/>
      <c r="D45" s="180"/>
      <c r="E45" s="180"/>
      <c r="F45" s="180"/>
      <c r="G45" s="180"/>
      <c r="H45" s="4"/>
      <c r="I45" s="4"/>
      <c r="J45" s="4"/>
      <c r="K45" s="4"/>
      <c r="L45" s="4"/>
      <c r="M45" s="4"/>
      <c r="N45" s="4"/>
      <c r="O45" s="4"/>
      <c r="P45" s="27"/>
      <c r="Q45" s="27"/>
      <c r="R45" s="27"/>
      <c r="S45" s="194"/>
      <c r="T45" s="194"/>
      <c r="U45" s="194"/>
      <c r="V45" s="194"/>
      <c r="W45" s="194"/>
      <c r="X45" s="194"/>
      <c r="Y45" s="194"/>
      <c r="Z45" s="194"/>
      <c r="AA45" s="27"/>
      <c r="AB45" s="27"/>
      <c r="AC45" s="27"/>
      <c r="AD45" s="27"/>
      <c r="AE45" s="27"/>
      <c r="AF45" s="27"/>
      <c r="AG45" s="180"/>
      <c r="AH45" s="1012"/>
      <c r="AI45" s="1433"/>
      <c r="AJ45" s="180"/>
      <c r="AK45" s="227"/>
      <c r="AL45" s="227"/>
      <c r="AM45" s="227"/>
      <c r="AN45" s="180"/>
      <c r="AO45" s="180"/>
      <c r="AP45" s="180"/>
      <c r="AQ45" s="180"/>
      <c r="AR45" s="180"/>
      <c r="AS45" s="180"/>
    </row>
    <row r="46" spans="1:45">
      <c r="A46" s="19" t="s">
        <v>752</v>
      </c>
      <c r="B46" s="180"/>
      <c r="C46" s="180"/>
      <c r="D46" s="180"/>
      <c r="E46" s="180"/>
      <c r="F46" s="180"/>
      <c r="G46" s="180"/>
      <c r="H46" s="298">
        <f t="shared" ref="H46:N46" si="19">H47-SUM(H38:H43)</f>
        <v>-150</v>
      </c>
      <c r="I46" s="298">
        <f t="shared" si="19"/>
        <v>-591</v>
      </c>
      <c r="J46" s="298">
        <f t="shared" si="19"/>
        <v>-195</v>
      </c>
      <c r="K46" s="298">
        <f t="shared" si="19"/>
        <v>0</v>
      </c>
      <c r="L46" s="298">
        <f t="shared" si="19"/>
        <v>0</v>
      </c>
      <c r="M46" s="298">
        <f t="shared" si="19"/>
        <v>0</v>
      </c>
      <c r="N46" s="298">
        <f t="shared" si="19"/>
        <v>-26</v>
      </c>
      <c r="O46" s="298">
        <f>-64+3</f>
        <v>-61</v>
      </c>
      <c r="P46" s="194">
        <v>-125</v>
      </c>
      <c r="Q46" s="194">
        <v>-122</v>
      </c>
      <c r="R46" s="27">
        <f>-357-794</f>
        <v>-1151</v>
      </c>
      <c r="S46" s="194">
        <v>-144</v>
      </c>
      <c r="T46" s="194">
        <v>-113</v>
      </c>
      <c r="U46" s="194">
        <v>-115</v>
      </c>
      <c r="V46" s="194">
        <v>-59</v>
      </c>
      <c r="W46" s="194">
        <v>-62</v>
      </c>
      <c r="X46" s="194">
        <v>-125</v>
      </c>
      <c r="Y46" s="194">
        <v>-140</v>
      </c>
      <c r="Z46" s="194">
        <v>-148</v>
      </c>
      <c r="AA46" s="27">
        <f t="shared" ref="AA46:AF46" si="20">Z46</f>
        <v>-148</v>
      </c>
      <c r="AB46" s="27">
        <f t="shared" si="20"/>
        <v>-148</v>
      </c>
      <c r="AC46" s="27">
        <f t="shared" si="20"/>
        <v>-148</v>
      </c>
      <c r="AD46" s="27">
        <f t="shared" si="20"/>
        <v>-148</v>
      </c>
      <c r="AE46" s="27">
        <f t="shared" si="20"/>
        <v>-148</v>
      </c>
      <c r="AF46" s="27">
        <f t="shared" si="20"/>
        <v>-148</v>
      </c>
      <c r="AG46" s="180"/>
      <c r="AH46" s="1012"/>
      <c r="AI46" s="1433"/>
      <c r="AJ46" s="180"/>
      <c r="AK46" s="227"/>
      <c r="AL46" s="227"/>
      <c r="AM46" s="227"/>
      <c r="AN46" s="180"/>
      <c r="AO46" s="180"/>
      <c r="AP46" s="180"/>
      <c r="AQ46" s="180"/>
      <c r="AR46" s="180"/>
      <c r="AS46" s="180"/>
    </row>
    <row r="47" spans="1:45">
      <c r="A47" s="181" t="s">
        <v>815</v>
      </c>
      <c r="B47" s="57"/>
      <c r="C47" s="57"/>
      <c r="D47" s="57"/>
      <c r="E47" s="57"/>
      <c r="F47" s="57"/>
      <c r="G47" s="57"/>
      <c r="H47" s="241">
        <v>-8363</v>
      </c>
      <c r="I47" s="242">
        <f>-8338-452</f>
        <v>-8790</v>
      </c>
      <c r="J47" s="242">
        <f>-9972-39</f>
        <v>-10011</v>
      </c>
      <c r="K47" s="241">
        <v>-9408</v>
      </c>
      <c r="L47" s="241">
        <v>-9441</v>
      </c>
      <c r="M47" s="241">
        <v>-11155</v>
      </c>
      <c r="N47" s="241">
        <v>-11142</v>
      </c>
      <c r="O47" s="242">
        <v>-11746</v>
      </c>
      <c r="P47" s="241">
        <v>-14585</v>
      </c>
      <c r="Q47" s="241">
        <v>-17649</v>
      </c>
      <c r="R47" s="242">
        <f t="shared" ref="R47:V47" si="21">SUM(R38:R46)</f>
        <v>-18460</v>
      </c>
      <c r="S47" s="242">
        <f t="shared" si="21"/>
        <v>-16977</v>
      </c>
      <c r="T47" s="242">
        <f t="shared" si="21"/>
        <v>-21091</v>
      </c>
      <c r="U47" s="242">
        <f t="shared" si="21"/>
        <v>-22876</v>
      </c>
      <c r="V47" s="242">
        <f t="shared" si="21"/>
        <v>-19026</v>
      </c>
      <c r="W47" s="242">
        <f>SUM(W38:W40,W42:W44,W46)</f>
        <v>-19828</v>
      </c>
      <c r="X47" s="242">
        <f t="shared" ref="X47:AF47" si="22">SUM(X38:X40,X42:X44,X46)</f>
        <v>-27427</v>
      </c>
      <c r="Y47" s="242">
        <f t="shared" si="22"/>
        <v>-30777</v>
      </c>
      <c r="Z47" s="242">
        <f t="shared" si="22"/>
        <v>-37440</v>
      </c>
      <c r="AA47" s="242">
        <f t="shared" si="22"/>
        <v>-38889.428948867004</v>
      </c>
      <c r="AB47" s="242">
        <f t="shared" si="22"/>
        <v>-40631.508736182252</v>
      </c>
      <c r="AC47" s="242">
        <f t="shared" si="22"/>
        <v>-42307.127336695914</v>
      </c>
      <c r="AD47" s="242">
        <f t="shared" si="22"/>
        <v>-43647.478562655597</v>
      </c>
      <c r="AE47" s="242">
        <f t="shared" si="22"/>
        <v>-44603.334011663079</v>
      </c>
      <c r="AF47" s="242">
        <f t="shared" si="22"/>
        <v>-45131.778895988937</v>
      </c>
      <c r="AG47" s="180"/>
      <c r="AH47" s="1012"/>
      <c r="AI47" s="1433"/>
      <c r="AJ47" s="180"/>
      <c r="AK47" s="227"/>
      <c r="AL47" s="227"/>
      <c r="AM47" s="227"/>
      <c r="AN47" s="180"/>
      <c r="AO47" s="180"/>
      <c r="AP47" s="180"/>
      <c r="AQ47" s="180"/>
      <c r="AR47" s="180"/>
      <c r="AS47" s="180"/>
    </row>
    <row r="48" spans="1:45">
      <c r="A48" s="19"/>
      <c r="B48" s="180"/>
      <c r="C48" s="180"/>
      <c r="D48" s="180"/>
      <c r="E48" s="180"/>
      <c r="F48" s="180"/>
      <c r="G48" s="180"/>
      <c r="H48" s="4"/>
      <c r="I48" s="4"/>
      <c r="J48" s="4"/>
      <c r="K48" s="4"/>
      <c r="L48" s="4"/>
      <c r="M48" s="4"/>
      <c r="N48" s="4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180"/>
      <c r="AH48" s="1012"/>
      <c r="AI48" s="1433"/>
      <c r="AJ48" s="180"/>
      <c r="AK48" s="227"/>
      <c r="AL48" s="227"/>
      <c r="AM48" s="227"/>
      <c r="AN48" s="180"/>
      <c r="AO48" s="180"/>
      <c r="AP48" s="180"/>
      <c r="AQ48" s="180"/>
      <c r="AR48" s="180"/>
      <c r="AS48" s="180"/>
    </row>
    <row r="49" spans="1:45">
      <c r="A49" s="19" t="s">
        <v>814</v>
      </c>
      <c r="B49" s="180"/>
      <c r="C49" s="180"/>
      <c r="D49" s="180"/>
      <c r="E49" s="180"/>
      <c r="F49" s="180"/>
      <c r="G49" s="180"/>
      <c r="H49" s="300">
        <v>83</v>
      </c>
      <c r="I49" s="300">
        <v>83</v>
      </c>
      <c r="J49" s="300">
        <v>83</v>
      </c>
      <c r="K49" s="300">
        <v>83</v>
      </c>
      <c r="L49" s="300">
        <v>83</v>
      </c>
      <c r="M49" s="300">
        <v>83</v>
      </c>
      <c r="N49" s="300">
        <v>83</v>
      </c>
      <c r="O49" s="27">
        <f>N49</f>
        <v>83</v>
      </c>
      <c r="P49" s="27">
        <f>O49</f>
        <v>83</v>
      </c>
      <c r="Q49" s="194">
        <v>83</v>
      </c>
      <c r="R49" s="27">
        <f>Q49</f>
        <v>83</v>
      </c>
      <c r="S49" s="194">
        <v>83</v>
      </c>
      <c r="T49" s="194">
        <v>87</v>
      </c>
      <c r="U49" s="194">
        <v>85</v>
      </c>
      <c r="V49" s="194">
        <v>85</v>
      </c>
      <c r="W49" s="194">
        <v>85</v>
      </c>
      <c r="X49" s="194">
        <v>85</v>
      </c>
      <c r="Y49" s="194">
        <v>85</v>
      </c>
      <c r="Z49" s="194">
        <v>85</v>
      </c>
      <c r="AA49" s="27">
        <f t="shared" ref="AA49:AF49" si="23">Z49</f>
        <v>85</v>
      </c>
      <c r="AB49" s="27">
        <f t="shared" si="23"/>
        <v>85</v>
      </c>
      <c r="AC49" s="27">
        <f t="shared" si="23"/>
        <v>85</v>
      </c>
      <c r="AD49" s="27">
        <f t="shared" si="23"/>
        <v>85</v>
      </c>
      <c r="AE49" s="27">
        <f t="shared" si="23"/>
        <v>85</v>
      </c>
      <c r="AF49" s="27">
        <f t="shared" si="23"/>
        <v>85</v>
      </c>
      <c r="AG49" s="180"/>
      <c r="AH49" s="1012"/>
      <c r="AI49" s="1433"/>
      <c r="AJ49" s="180"/>
      <c r="AK49" s="227"/>
      <c r="AL49" s="227"/>
      <c r="AM49" s="227"/>
      <c r="AN49" s="180"/>
      <c r="AO49" s="180"/>
      <c r="AP49" s="180"/>
      <c r="AQ49" s="180"/>
      <c r="AR49" s="180"/>
      <c r="AS49" s="180"/>
    </row>
    <row r="50" spans="1:45">
      <c r="A50" s="19" t="s">
        <v>813</v>
      </c>
      <c r="B50" s="180"/>
      <c r="C50" s="180"/>
      <c r="D50" s="180"/>
      <c r="E50" s="180"/>
      <c r="F50" s="180"/>
      <c r="G50" s="180"/>
      <c r="H50" s="300">
        <v>4296</v>
      </c>
      <c r="I50" s="300">
        <v>4189</v>
      </c>
      <c r="J50" s="300">
        <v>3902</v>
      </c>
      <c r="K50" s="300">
        <v>3619</v>
      </c>
      <c r="L50" s="300">
        <v>4214</v>
      </c>
      <c r="M50" s="300">
        <v>4387</v>
      </c>
      <c r="N50" s="300">
        <v>4444</v>
      </c>
      <c r="O50" s="27">
        <f>5138-1</f>
        <v>5137</v>
      </c>
      <c r="P50" s="194">
        <v>6246</v>
      </c>
      <c r="Q50" s="194">
        <v>5927</v>
      </c>
      <c r="R50" s="194">
        <v>4495</v>
      </c>
      <c r="S50" s="194">
        <v>4686</v>
      </c>
      <c r="T50" s="194">
        <v>10585</v>
      </c>
      <c r="U50" s="194">
        <v>9839</v>
      </c>
      <c r="V50" s="194">
        <v>11912</v>
      </c>
      <c r="W50" s="194">
        <v>12713</v>
      </c>
      <c r="X50" s="194">
        <v>12785</v>
      </c>
      <c r="Y50" s="194">
        <v>8048</v>
      </c>
      <c r="Z50" s="194">
        <v>10758</v>
      </c>
      <c r="AA50" s="273">
        <f>Z50+'Income Statement'!Z92+'Income Statement'!Z94-'Income Statement'!Z95-'Income Statement'!AA83+'Cashflow Statement'!AA43+'Cashflow Statement'!AA47</f>
        <v>7634.1663630000003</v>
      </c>
      <c r="AB50" s="273">
        <f>AA50+'Income Statement'!AA92+'Income Statement'!AA94-'Income Statement'!AA95-'Income Statement'!AB83+'Cashflow Statement'!AB43+'Cashflow Statement'!AB47</f>
        <v>8378.0477602153096</v>
      </c>
      <c r="AC50" s="273">
        <f>AB50+'Income Statement'!AB92+'Income Statement'!AB94-'Income Statement'!AB95-'Income Statement'!AC83+'Cashflow Statement'!AC43+'Cashflow Statement'!AC47</f>
        <v>9581.8228561462074</v>
      </c>
      <c r="AD50" s="273">
        <f>AC50+'Income Statement'!AC92+'Income Statement'!AC94-'Income Statement'!AC95-'Income Statement'!AD83+'Cashflow Statement'!AD43+'Cashflow Statement'!AD47</f>
        <v>11416.405959625728</v>
      </c>
      <c r="AE50" s="273">
        <f>AD50+'Income Statement'!AD92+'Income Statement'!AD94-'Income Statement'!AD95-'Income Statement'!AE83+'Cashflow Statement'!AE43+'Cashflow Statement'!AE47</f>
        <v>14827.34280954028</v>
      </c>
      <c r="AF50" s="273">
        <f>AE50+'Income Statement'!AE92+'Income Statement'!AE94-'Income Statement'!AE95-'Income Statement'!AF83+'Cashflow Statement'!AF43+'Cashflow Statement'!AF47</f>
        <v>18483.242903285445</v>
      </c>
      <c r="AG50" s="180"/>
      <c r="AH50" s="1012"/>
      <c r="AI50" s="1433"/>
      <c r="AJ50" s="180"/>
      <c r="AK50" s="227"/>
      <c r="AL50" s="227"/>
      <c r="AM50" s="227"/>
      <c r="AN50" s="180"/>
      <c r="AO50" s="180"/>
      <c r="AP50" s="180"/>
      <c r="AQ50" s="180"/>
      <c r="AR50" s="180"/>
      <c r="AS50" s="180"/>
    </row>
    <row r="51" spans="1:45">
      <c r="A51" s="19" t="s">
        <v>812</v>
      </c>
      <c r="B51" s="180"/>
      <c r="C51" s="180"/>
      <c r="D51" s="180"/>
      <c r="E51" s="180"/>
      <c r="F51" s="180"/>
      <c r="G51" s="180"/>
      <c r="H51" s="300">
        <v>27</v>
      </c>
      <c r="I51" s="300">
        <v>27</v>
      </c>
      <c r="J51" s="300">
        <v>-15</v>
      </c>
      <c r="K51" s="300">
        <v>10</v>
      </c>
      <c r="L51" s="300">
        <v>26</v>
      </c>
      <c r="M51" s="300">
        <v>20</v>
      </c>
      <c r="N51" s="300">
        <v>25</v>
      </c>
      <c r="O51" s="194">
        <v>29</v>
      </c>
      <c r="P51" s="194">
        <v>50</v>
      </c>
      <c r="Q51" s="194">
        <v>41</v>
      </c>
      <c r="R51" s="194">
        <v>35</v>
      </c>
      <c r="S51" s="194">
        <v>28</v>
      </c>
      <c r="T51" s="194">
        <v>0</v>
      </c>
      <c r="U51" s="194">
        <v>0</v>
      </c>
      <c r="V51" s="27"/>
      <c r="W51" s="27"/>
      <c r="X51" s="27"/>
      <c r="Y51" s="27">
        <f>X51</f>
        <v>0</v>
      </c>
      <c r="Z51" s="27">
        <v>0</v>
      </c>
      <c r="AA51" s="27">
        <f t="shared" ref="AA51:AF51" si="24">Z51</f>
        <v>0</v>
      </c>
      <c r="AB51" s="27">
        <f t="shared" si="24"/>
        <v>0</v>
      </c>
      <c r="AC51" s="27">
        <f t="shared" si="24"/>
        <v>0</v>
      </c>
      <c r="AD51" s="27">
        <f t="shared" si="24"/>
        <v>0</v>
      </c>
      <c r="AE51" s="27">
        <f t="shared" si="24"/>
        <v>0</v>
      </c>
      <c r="AF51" s="27">
        <f t="shared" si="24"/>
        <v>0</v>
      </c>
      <c r="AG51" s="180"/>
      <c r="AH51" s="1012"/>
      <c r="AI51" s="1433"/>
      <c r="AJ51" s="180"/>
      <c r="AK51" s="227"/>
      <c r="AL51" s="227"/>
      <c r="AM51" s="227"/>
      <c r="AN51" s="180"/>
      <c r="AO51" s="180"/>
      <c r="AP51" s="180"/>
      <c r="AQ51" s="180"/>
      <c r="AR51" s="180"/>
      <c r="AS51" s="180"/>
    </row>
    <row r="52" spans="1:45">
      <c r="A52" s="19" t="s">
        <v>811</v>
      </c>
      <c r="B52" s="180"/>
      <c r="C52" s="180"/>
      <c r="D52" s="180"/>
      <c r="E52" s="180"/>
      <c r="F52" s="180"/>
      <c r="G52" s="180"/>
      <c r="H52" s="300">
        <v>9</v>
      </c>
      <c r="I52" s="300">
        <v>39</v>
      </c>
      <c r="J52" s="300">
        <v>-205</v>
      </c>
      <c r="K52" s="300">
        <v>641</v>
      </c>
      <c r="L52" s="300">
        <v>207</v>
      </c>
      <c r="M52" s="298">
        <f>'Cashflow Statement'!M4</f>
        <v>478</v>
      </c>
      <c r="N52" s="298">
        <f>'Cashflow Statement'!N4</f>
        <v>1282</v>
      </c>
      <c r="O52" s="27">
        <f>'Cashflow Statement'!O4</f>
        <v>1255</v>
      </c>
      <c r="P52" s="194">
        <v>-126</v>
      </c>
      <c r="Q52" s="194">
        <v>-424</v>
      </c>
      <c r="R52" s="27">
        <f>'Cashflow Statement'!R4</f>
        <v>1908</v>
      </c>
      <c r="S52" s="194">
        <v>4550</v>
      </c>
      <c r="T52" s="194">
        <v>1283</v>
      </c>
      <c r="U52" s="194">
        <v>2447</v>
      </c>
      <c r="V52" s="194">
        <v>352</v>
      </c>
      <c r="W52" s="194">
        <v>43</v>
      </c>
      <c r="X52" s="194">
        <v>-2459</v>
      </c>
      <c r="Y52" s="194">
        <v>3444</v>
      </c>
      <c r="Z52" s="194">
        <v>-667</v>
      </c>
      <c r="AA52" s="273">
        <f>'Cashflow Statement'!AA4</f>
        <v>3402.0356353808638</v>
      </c>
      <c r="AB52" s="273">
        <f>'Cashflow Statement'!AB4</f>
        <v>4265.0744248056408</v>
      </c>
      <c r="AC52" s="273">
        <f>'Cashflow Statement'!AC4</f>
        <v>5145.0273722240772</v>
      </c>
      <c r="AD52" s="273">
        <f>'Cashflow Statement'!AD4</f>
        <v>5689.346823973915</v>
      </c>
      <c r="AE52" s="273">
        <f>'Cashflow Statement'!AE4</f>
        <v>6097.9180072536037</v>
      </c>
      <c r="AF52" s="273">
        <f>'Cashflow Statement'!AF4</f>
        <v>6533.3896805149088</v>
      </c>
      <c r="AG52" s="180"/>
      <c r="AH52" s="1012"/>
      <c r="AI52" s="1433"/>
      <c r="AJ52" s="180"/>
      <c r="AK52" s="227"/>
      <c r="AL52" s="227"/>
      <c r="AM52" s="227"/>
      <c r="AN52" s="180"/>
      <c r="AO52" s="180"/>
      <c r="AP52" s="180"/>
      <c r="AQ52" s="180"/>
      <c r="AR52" s="180"/>
      <c r="AS52" s="180"/>
    </row>
    <row r="53" spans="1:45">
      <c r="A53" s="19" t="s">
        <v>810</v>
      </c>
      <c r="B53" s="180"/>
      <c r="C53" s="180"/>
      <c r="D53" s="180"/>
      <c r="E53" s="180"/>
      <c r="F53" s="180"/>
      <c r="G53" s="180"/>
      <c r="H53" s="300">
        <v>173</v>
      </c>
      <c r="I53" s="300">
        <v>167</v>
      </c>
      <c r="J53" s="300">
        <v>141</v>
      </c>
      <c r="K53" s="300">
        <v>148</v>
      </c>
      <c r="L53" s="300">
        <v>175</v>
      </c>
      <c r="M53" s="300">
        <v>154</v>
      </c>
      <c r="N53" s="300">
        <v>163</v>
      </c>
      <c r="O53" s="194">
        <v>178</v>
      </c>
      <c r="P53" s="194">
        <v>225</v>
      </c>
      <c r="Q53" s="194">
        <v>266</v>
      </c>
      <c r="R53" s="194">
        <v>288</v>
      </c>
      <c r="S53" s="194">
        <v>301</v>
      </c>
      <c r="T53" s="194">
        <v>346</v>
      </c>
      <c r="U53" s="194">
        <v>377</v>
      </c>
      <c r="V53" s="194">
        <v>401</v>
      </c>
      <c r="W53" s="194">
        <v>429</v>
      </c>
      <c r="X53" s="194">
        <v>455</v>
      </c>
      <c r="Y53" s="194">
        <v>511</v>
      </c>
      <c r="Z53" s="194">
        <v>549</v>
      </c>
      <c r="AA53" s="273">
        <f>Z53+'Income Statement'!AA95</f>
        <v>653.74831550750605</v>
      </c>
      <c r="AB53" s="273">
        <f>AA53+'Income Statement'!AB95</f>
        <v>772.09668192164747</v>
      </c>
      <c r="AC53" s="273">
        <f>AB53+'Income Statement'!AC95</f>
        <v>902.32449194413221</v>
      </c>
      <c r="AD53" s="273">
        <f>AC53+'Income Statement'!AD95</f>
        <v>1042.67492274352</v>
      </c>
      <c r="AE53" s="273">
        <f>AD53+'Income Statement'!AE95</f>
        <v>1190.7879220757839</v>
      </c>
      <c r="AF53" s="273">
        <f>AE53+'Income Statement'!AF95</f>
        <v>1346.0920831449412</v>
      </c>
      <c r="AG53" s="180"/>
      <c r="AH53" s="1012"/>
      <c r="AI53" s="1433"/>
      <c r="AJ53" s="180"/>
      <c r="AK53" s="227"/>
      <c r="AL53" s="227"/>
      <c r="AM53" s="227"/>
      <c r="AN53" s="180"/>
      <c r="AO53" s="180"/>
      <c r="AP53" s="180"/>
      <c r="AQ53" s="180"/>
      <c r="AR53" s="180"/>
      <c r="AS53" s="180"/>
    </row>
    <row r="54" spans="1:45">
      <c r="A54" s="181" t="s">
        <v>809</v>
      </c>
      <c r="B54" s="57"/>
      <c r="C54" s="57"/>
      <c r="D54" s="57"/>
      <c r="E54" s="57"/>
      <c r="F54" s="57"/>
      <c r="G54" s="57"/>
      <c r="H54" s="242">
        <f>SUM(H49:H53)-76</f>
        <v>4512</v>
      </c>
      <c r="I54" s="242">
        <f>SUM(I49:I53)</f>
        <v>4505</v>
      </c>
      <c r="J54" s="242">
        <f>SUM(J49:J53)-32</f>
        <v>3874</v>
      </c>
      <c r="K54" s="242">
        <f t="shared" ref="K54:P54" si="25">SUM(K49:K53)</f>
        <v>4501</v>
      </c>
      <c r="L54" s="242">
        <f t="shared" si="25"/>
        <v>4705</v>
      </c>
      <c r="M54" s="242">
        <f t="shared" si="25"/>
        <v>5122</v>
      </c>
      <c r="N54" s="242">
        <f t="shared" si="25"/>
        <v>5997</v>
      </c>
      <c r="O54" s="242">
        <v>6813</v>
      </c>
      <c r="P54" s="242">
        <f t="shared" si="25"/>
        <v>6478</v>
      </c>
      <c r="Q54" s="241">
        <v>5893</v>
      </c>
      <c r="R54" s="242">
        <f t="shared" ref="R54:AF54" si="26">SUM(R49:R53)</f>
        <v>6809</v>
      </c>
      <c r="S54" s="242">
        <f t="shared" si="26"/>
        <v>9648</v>
      </c>
      <c r="T54" s="242">
        <f t="shared" si="26"/>
        <v>12301</v>
      </c>
      <c r="U54" s="242">
        <f t="shared" si="26"/>
        <v>12748</v>
      </c>
      <c r="V54" s="242">
        <f t="shared" si="26"/>
        <v>12750</v>
      </c>
      <c r="W54" s="242">
        <f t="shared" si="26"/>
        <v>13270</v>
      </c>
      <c r="X54" s="242">
        <f t="shared" si="26"/>
        <v>10866</v>
      </c>
      <c r="Y54" s="242">
        <f t="shared" si="26"/>
        <v>12088</v>
      </c>
      <c r="Z54" s="242">
        <f t="shared" si="26"/>
        <v>10725</v>
      </c>
      <c r="AA54" s="242">
        <f t="shared" si="26"/>
        <v>11774.95031388837</v>
      </c>
      <c r="AB54" s="242">
        <f t="shared" si="26"/>
        <v>13500.2188669426</v>
      </c>
      <c r="AC54" s="242">
        <f t="shared" si="26"/>
        <v>15714.174720314415</v>
      </c>
      <c r="AD54" s="242">
        <f t="shared" si="26"/>
        <v>18233.427706343165</v>
      </c>
      <c r="AE54" s="242">
        <f t="shared" si="26"/>
        <v>22201.048738869664</v>
      </c>
      <c r="AF54" s="242">
        <f t="shared" si="26"/>
        <v>26447.724666945294</v>
      </c>
      <c r="AG54" s="180"/>
      <c r="AH54" s="1012"/>
      <c r="AI54" s="1433"/>
      <c r="AJ54" s="180"/>
      <c r="AK54" s="227"/>
      <c r="AL54" s="227"/>
      <c r="AM54" s="227"/>
      <c r="AN54" s="180"/>
      <c r="AO54" s="180"/>
      <c r="AP54" s="180"/>
      <c r="AQ54" s="180"/>
      <c r="AR54" s="180"/>
      <c r="AS54" s="180"/>
    </row>
    <row r="55" spans="1:45">
      <c r="A55" s="19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247"/>
      <c r="Y55" s="247"/>
      <c r="Z55" s="247"/>
      <c r="AA55" s="19"/>
      <c r="AB55" s="19"/>
      <c r="AC55" s="19"/>
      <c r="AD55" s="19"/>
      <c r="AE55" s="19"/>
      <c r="AF55" s="19"/>
      <c r="AG55" s="180"/>
      <c r="AH55" s="1012"/>
      <c r="AI55" s="1433"/>
      <c r="AJ55" s="180"/>
      <c r="AK55" s="227"/>
      <c r="AL55" s="227"/>
      <c r="AM55" s="227"/>
      <c r="AN55" s="180"/>
      <c r="AO55" s="180"/>
      <c r="AP55" s="180"/>
      <c r="AQ55" s="180"/>
      <c r="AR55" s="180"/>
      <c r="AS55" s="180"/>
    </row>
    <row r="56" spans="1:45">
      <c r="A56" s="19" t="s">
        <v>808</v>
      </c>
      <c r="B56" s="180"/>
      <c r="C56" s="180"/>
      <c r="D56" s="180"/>
      <c r="E56" s="180"/>
      <c r="F56" s="180"/>
      <c r="G56" s="180"/>
      <c r="H56" s="245">
        <f t="shared" ref="H56:AE56" si="27">H14+H27+H36+H47-H54</f>
        <v>0</v>
      </c>
      <c r="I56" s="245">
        <f t="shared" si="27"/>
        <v>0</v>
      </c>
      <c r="J56" s="245">
        <f t="shared" si="27"/>
        <v>0</v>
      </c>
      <c r="K56" s="245">
        <f t="shared" si="27"/>
        <v>0</v>
      </c>
      <c r="L56" s="245">
        <f t="shared" si="27"/>
        <v>0</v>
      </c>
      <c r="M56" s="245">
        <f t="shared" si="27"/>
        <v>0</v>
      </c>
      <c r="N56" s="245">
        <f t="shared" si="27"/>
        <v>0</v>
      </c>
      <c r="O56" s="289">
        <f t="shared" si="27"/>
        <v>0</v>
      </c>
      <c r="P56" s="289">
        <f t="shared" si="27"/>
        <v>0</v>
      </c>
      <c r="Q56" s="289">
        <f t="shared" si="27"/>
        <v>0</v>
      </c>
      <c r="R56" s="289">
        <f t="shared" si="27"/>
        <v>0</v>
      </c>
      <c r="S56" s="289">
        <f t="shared" si="27"/>
        <v>0</v>
      </c>
      <c r="T56" s="289">
        <f t="shared" si="27"/>
        <v>0</v>
      </c>
      <c r="U56" s="289">
        <f t="shared" si="27"/>
        <v>0</v>
      </c>
      <c r="V56" s="289">
        <f t="shared" si="27"/>
        <v>0</v>
      </c>
      <c r="W56" s="289">
        <f t="shared" si="27"/>
        <v>0</v>
      </c>
      <c r="X56" s="289">
        <f t="shared" si="27"/>
        <v>0</v>
      </c>
      <c r="Y56" s="289">
        <f t="shared" si="27"/>
        <v>0</v>
      </c>
      <c r="Z56" s="289">
        <f t="shared" si="27"/>
        <v>0</v>
      </c>
      <c r="AA56" s="289">
        <f t="shared" si="27"/>
        <v>0</v>
      </c>
      <c r="AB56" s="289">
        <f t="shared" si="27"/>
        <v>0</v>
      </c>
      <c r="AC56" s="289">
        <f t="shared" si="27"/>
        <v>0</v>
      </c>
      <c r="AD56" s="289">
        <f t="shared" si="27"/>
        <v>0</v>
      </c>
      <c r="AE56" s="289">
        <f t="shared" si="27"/>
        <v>0</v>
      </c>
      <c r="AF56" s="289">
        <f>AF14+AF27+AF36+AF47-AF54</f>
        <v>0</v>
      </c>
      <c r="AG56" s="180"/>
      <c r="AH56" s="1012"/>
      <c r="AI56" s="1433"/>
      <c r="AJ56" s="180"/>
      <c r="AK56" s="227"/>
      <c r="AL56" s="227"/>
      <c r="AM56" s="227"/>
      <c r="AN56" s="180"/>
      <c r="AO56" s="180"/>
      <c r="AP56" s="180"/>
      <c r="AQ56" s="180"/>
      <c r="AR56" s="180"/>
      <c r="AS56" s="180"/>
    </row>
    <row r="58" spans="1:45">
      <c r="A58" s="243" t="s">
        <v>790</v>
      </c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542"/>
      <c r="AB58" s="542"/>
      <c r="AC58" s="542"/>
      <c r="AD58" s="542"/>
      <c r="AE58" s="542"/>
      <c r="AF58" s="542"/>
      <c r="AG58" s="180"/>
      <c r="AH58" s="1012"/>
      <c r="AI58" s="1433"/>
      <c r="AJ58" s="180"/>
      <c r="AK58" s="227"/>
      <c r="AL58" s="227"/>
      <c r="AM58" s="227"/>
      <c r="AN58" s="180"/>
      <c r="AO58" s="180"/>
      <c r="AP58" s="180"/>
      <c r="AQ58" s="180"/>
      <c r="AR58" s="180"/>
      <c r="AS58" s="180"/>
    </row>
    <row r="59" spans="1:45">
      <c r="A59" s="295" t="s">
        <v>648</v>
      </c>
      <c r="B59" s="298"/>
      <c r="C59" s="298"/>
      <c r="D59" s="298"/>
      <c r="E59" s="298"/>
      <c r="F59" s="298"/>
      <c r="G59" s="298"/>
      <c r="H59" s="27">
        <f>H18</f>
        <v>3240</v>
      </c>
      <c r="I59" s="27">
        <f t="shared" ref="I59:AF59" si="28">I18</f>
        <v>3240</v>
      </c>
      <c r="J59" s="27">
        <f t="shared" si="28"/>
        <v>3673</v>
      </c>
      <c r="K59" s="27">
        <f t="shared" si="28"/>
        <v>3382</v>
      </c>
      <c r="L59" s="27">
        <f t="shared" si="28"/>
        <v>3508</v>
      </c>
      <c r="M59" s="27">
        <f t="shared" si="28"/>
        <v>3799</v>
      </c>
      <c r="N59" s="27">
        <f t="shared" si="28"/>
        <v>4131</v>
      </c>
      <c r="O59" s="27">
        <f t="shared" si="28"/>
        <v>3998</v>
      </c>
      <c r="P59" s="27">
        <f t="shared" si="28"/>
        <v>4265</v>
      </c>
      <c r="Q59" s="27">
        <f t="shared" si="28"/>
        <v>4518</v>
      </c>
      <c r="R59" s="27">
        <f t="shared" si="28"/>
        <v>4247</v>
      </c>
      <c r="S59" s="27">
        <f t="shared" si="28"/>
        <v>3954</v>
      </c>
      <c r="T59" s="27">
        <f t="shared" si="28"/>
        <v>5558</v>
      </c>
      <c r="U59" s="27">
        <f t="shared" si="28"/>
        <v>6312</v>
      </c>
      <c r="V59" s="27">
        <f t="shared" si="28"/>
        <v>5190</v>
      </c>
      <c r="W59" s="27">
        <f t="shared" si="28"/>
        <v>5063</v>
      </c>
      <c r="X59" s="27">
        <f t="shared" si="28"/>
        <v>6408</v>
      </c>
      <c r="Y59" s="27">
        <f t="shared" si="28"/>
        <v>7903</v>
      </c>
      <c r="Z59" s="27">
        <f t="shared" si="28"/>
        <v>9491</v>
      </c>
      <c r="AA59" s="27">
        <f t="shared" si="28"/>
        <v>10156.157104287026</v>
      </c>
      <c r="AB59" s="27">
        <f t="shared" si="28"/>
        <v>10293.558868923603</v>
      </c>
      <c r="AC59" s="27">
        <f t="shared" si="28"/>
        <v>11141.109369642465</v>
      </c>
      <c r="AD59" s="27">
        <f t="shared" si="28"/>
        <v>12007.108921991701</v>
      </c>
      <c r="AE59" s="27">
        <f t="shared" si="28"/>
        <v>12811.994979762158</v>
      </c>
      <c r="AF59" s="27">
        <f t="shared" si="28"/>
        <v>13507.854590573736</v>
      </c>
      <c r="AG59" s="180"/>
      <c r="AH59" s="1012"/>
      <c r="AI59" s="1433"/>
      <c r="AJ59" s="180"/>
      <c r="AK59" s="227"/>
      <c r="AL59" s="227"/>
      <c r="AM59" s="227"/>
      <c r="AN59" s="180"/>
      <c r="AO59" s="180"/>
      <c r="AP59" s="180"/>
      <c r="AQ59" s="180"/>
      <c r="AR59" s="180"/>
      <c r="AS59" s="180"/>
    </row>
    <row r="60" spans="1:45">
      <c r="A60" s="295" t="s">
        <v>789</v>
      </c>
      <c r="B60" s="298"/>
      <c r="C60" s="298"/>
      <c r="D60" s="298"/>
      <c r="E60" s="298"/>
      <c r="F60" s="298"/>
      <c r="G60" s="298"/>
      <c r="H60" s="27">
        <f>H20</f>
        <v>4218</v>
      </c>
      <c r="I60" s="27">
        <f t="shared" ref="I60:AF60" si="29">I20</f>
        <v>3926</v>
      </c>
      <c r="J60" s="27">
        <f t="shared" si="29"/>
        <v>3881</v>
      </c>
      <c r="K60" s="27">
        <f t="shared" si="29"/>
        <v>4158</v>
      </c>
      <c r="L60" s="27">
        <f t="shared" si="29"/>
        <v>4219</v>
      </c>
      <c r="M60" s="27">
        <f t="shared" si="29"/>
        <v>5005</v>
      </c>
      <c r="N60" s="27">
        <f t="shared" si="29"/>
        <v>5025</v>
      </c>
      <c r="O60" s="27">
        <f t="shared" si="29"/>
        <v>4967</v>
      </c>
      <c r="P60" s="27">
        <f t="shared" si="29"/>
        <v>5827</v>
      </c>
      <c r="Q60" s="27">
        <f t="shared" si="29"/>
        <v>6515</v>
      </c>
      <c r="R60" s="27">
        <f t="shared" si="29"/>
        <v>6252</v>
      </c>
      <c r="S60" s="27">
        <f t="shared" si="29"/>
        <v>4952</v>
      </c>
      <c r="T60" s="27">
        <f t="shared" si="29"/>
        <v>6580</v>
      </c>
      <c r="U60" s="27">
        <f t="shared" si="29"/>
        <v>7639</v>
      </c>
      <c r="V60" s="27">
        <f t="shared" si="29"/>
        <v>5769</v>
      </c>
      <c r="W60" s="27">
        <f t="shared" si="29"/>
        <v>6504</v>
      </c>
      <c r="X60" s="27">
        <f t="shared" si="29"/>
        <v>7904</v>
      </c>
      <c r="Y60" s="27">
        <f t="shared" si="29"/>
        <v>9417</v>
      </c>
      <c r="Z60" s="27">
        <f t="shared" si="29"/>
        <v>10572</v>
      </c>
      <c r="AA60" s="27">
        <f t="shared" si="29"/>
        <v>11152.869455812348</v>
      </c>
      <c r="AB60" s="27">
        <f t="shared" si="29"/>
        <v>12503.226486372721</v>
      </c>
      <c r="AC60" s="27">
        <f t="shared" si="29"/>
        <v>13435.802496214954</v>
      </c>
      <c r="AD60" s="27">
        <f t="shared" si="29"/>
        <v>14364.327425981037</v>
      </c>
      <c r="AE60" s="27">
        <f t="shared" si="29"/>
        <v>15158.796494852142</v>
      </c>
      <c r="AF60" s="27">
        <f t="shared" si="29"/>
        <v>15894.784273254983</v>
      </c>
      <c r="AG60" s="180"/>
      <c r="AH60" s="1012"/>
      <c r="AI60" s="1433"/>
      <c r="AJ60" s="180"/>
      <c r="AK60" s="227"/>
      <c r="AL60" s="227"/>
      <c r="AM60" s="227"/>
      <c r="AN60" s="180"/>
      <c r="AO60" s="180"/>
      <c r="AP60" s="180"/>
      <c r="AQ60" s="180"/>
      <c r="AR60" s="180"/>
      <c r="AS60" s="180"/>
    </row>
    <row r="61" spans="1:45">
      <c r="A61" s="295" t="s">
        <v>788</v>
      </c>
      <c r="B61" s="298"/>
      <c r="C61" s="298"/>
      <c r="D61" s="298"/>
      <c r="E61" s="298"/>
      <c r="F61" s="298"/>
      <c r="G61" s="298"/>
      <c r="H61" s="27">
        <f>'Balance Sheet'!H22</f>
        <v>68</v>
      </c>
      <c r="I61" s="27">
        <f>'Balance Sheet'!I22</f>
        <v>27</v>
      </c>
      <c r="J61" s="27">
        <f>'Balance Sheet'!J22</f>
        <v>127</v>
      </c>
      <c r="K61" s="27">
        <f>'Balance Sheet'!K22</f>
        <v>145</v>
      </c>
      <c r="L61" s="27">
        <f>'Balance Sheet'!L22</f>
        <v>146</v>
      </c>
      <c r="M61" s="27">
        <f>'Balance Sheet'!M22</f>
        <v>215</v>
      </c>
      <c r="N61" s="27">
        <f>'Balance Sheet'!N22</f>
        <v>421</v>
      </c>
      <c r="O61" s="27">
        <f>'Balance Sheet'!O22</f>
        <v>392</v>
      </c>
      <c r="P61" s="27">
        <f>'Balance Sheet'!P22</f>
        <v>452</v>
      </c>
      <c r="Q61" s="27">
        <f>'Balance Sheet'!Q22</f>
        <v>623</v>
      </c>
      <c r="R61" s="27">
        <f>'Balance Sheet'!R22</f>
        <v>513</v>
      </c>
      <c r="S61" s="27">
        <f>'Balance Sheet'!S22</f>
        <v>596</v>
      </c>
      <c r="T61" s="27">
        <f>'Balance Sheet'!T22</f>
        <v>752</v>
      </c>
      <c r="U61" s="27">
        <f>'Balance Sheet'!U22</f>
        <v>458</v>
      </c>
      <c r="V61" s="27">
        <f>'Balance Sheet'!V22</f>
        <v>481</v>
      </c>
      <c r="W61" s="27">
        <f>'Balance Sheet'!W22</f>
        <v>555</v>
      </c>
      <c r="X61" s="27">
        <f>'Balance Sheet'!X22</f>
        <v>358</v>
      </c>
      <c r="Y61" s="27">
        <f>'Balance Sheet'!Y22</f>
        <v>422</v>
      </c>
      <c r="Z61" s="27">
        <f>'Balance Sheet'!Z22</f>
        <v>364</v>
      </c>
      <c r="AA61" s="27">
        <f>'Balance Sheet'!AA22</f>
        <v>364</v>
      </c>
      <c r="AB61" s="27">
        <f>'Balance Sheet'!AB22</f>
        <v>364</v>
      </c>
      <c r="AC61" s="27">
        <f>'Balance Sheet'!AC22</f>
        <v>364</v>
      </c>
      <c r="AD61" s="27">
        <f>'Balance Sheet'!AD22</f>
        <v>364</v>
      </c>
      <c r="AE61" s="27">
        <f>'Balance Sheet'!AE22</f>
        <v>364</v>
      </c>
      <c r="AF61" s="27">
        <f>'Balance Sheet'!AF22</f>
        <v>364</v>
      </c>
      <c r="AG61" s="180"/>
      <c r="AH61" s="1012"/>
      <c r="AI61" s="1433"/>
      <c r="AJ61" s="180"/>
      <c r="AK61" s="227"/>
      <c r="AL61" s="227"/>
      <c r="AM61" s="227"/>
      <c r="AN61" s="180"/>
      <c r="AO61" s="180"/>
      <c r="AP61" s="180"/>
      <c r="AQ61" s="180"/>
      <c r="AR61" s="180"/>
      <c r="AS61" s="180"/>
    </row>
    <row r="62" spans="1:45">
      <c r="A62" s="295" t="s">
        <v>1106</v>
      </c>
      <c r="B62" s="298"/>
      <c r="C62" s="298"/>
      <c r="D62" s="298"/>
      <c r="E62" s="298"/>
      <c r="F62" s="298"/>
      <c r="G62" s="298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>
        <f>'Balance Sheet'!S25</f>
        <v>1366</v>
      </c>
      <c r="T62" s="27">
        <f>'Balance Sheet'!T25</f>
        <v>1544</v>
      </c>
      <c r="U62" s="27">
        <f>'Balance Sheet'!U25</f>
        <v>1743</v>
      </c>
      <c r="V62" s="27">
        <f>'Balance Sheet'!V25</f>
        <v>1695</v>
      </c>
      <c r="W62" s="27">
        <f>'Balance Sheet'!W25</f>
        <v>1853</v>
      </c>
      <c r="X62" s="27">
        <f>'Balance Sheet'!X25</f>
        <v>1982</v>
      </c>
      <c r="Y62" s="27">
        <f>'Balance Sheet'!Y25</f>
        <v>2157</v>
      </c>
      <c r="Z62" s="27">
        <f>'Balance Sheet'!Z25</f>
        <v>2503</v>
      </c>
      <c r="AA62" s="27">
        <f>AA76*'Income Statement'!AA$41</f>
        <v>2849.8373229922554</v>
      </c>
      <c r="AB62" s="27">
        <f>AB76*'Income Statement'!AB$41</f>
        <v>3219.8474036369125</v>
      </c>
      <c r="AC62" s="27">
        <f>AC76*'Income Statement'!AC$41</f>
        <v>3543.0457444160775</v>
      </c>
      <c r="AD62" s="27">
        <f>AD76*'Income Statement'!AD$41</f>
        <v>3818.4470466398666</v>
      </c>
      <c r="AE62" s="27">
        <f>AE76*'Income Statement'!AE$41</f>
        <v>4029.6395361810469</v>
      </c>
      <c r="AF62" s="27">
        <f>AF76*'Income Statement'!AF$41</f>
        <v>4225.2860343054399</v>
      </c>
      <c r="AG62" s="180"/>
      <c r="AH62" s="1012"/>
      <c r="AI62" s="1433"/>
      <c r="AJ62" s="180"/>
      <c r="AK62" s="227"/>
      <c r="AL62" s="227"/>
      <c r="AM62" s="227"/>
      <c r="AN62" s="180"/>
      <c r="AO62" s="180"/>
      <c r="AP62" s="180"/>
      <c r="AQ62" s="180"/>
      <c r="AR62" s="180"/>
      <c r="AS62" s="180"/>
    </row>
    <row r="63" spans="1:45">
      <c r="A63" s="295" t="s">
        <v>752</v>
      </c>
      <c r="B63" s="298"/>
      <c r="C63" s="298"/>
      <c r="D63" s="298"/>
      <c r="E63" s="298"/>
      <c r="F63" s="298"/>
      <c r="G63" s="298"/>
      <c r="H63" s="27">
        <f>'Balance Sheet'!H26</f>
        <v>151</v>
      </c>
      <c r="I63" s="27">
        <f>'Balance Sheet'!I26-779</f>
        <v>363</v>
      </c>
      <c r="J63" s="27">
        <f>'Balance Sheet'!J26-61</f>
        <v>203</v>
      </c>
      <c r="K63" s="27">
        <f>'Balance Sheet'!K26</f>
        <v>0</v>
      </c>
      <c r="L63" s="27">
        <f>'Balance Sheet'!L26</f>
        <v>0</v>
      </c>
      <c r="M63" s="27">
        <f>'Balance Sheet'!M26</f>
        <v>0</v>
      </c>
      <c r="N63" s="27">
        <f>'Balance Sheet'!N26</f>
        <v>0</v>
      </c>
      <c r="O63" s="27">
        <f>'Balance Sheet'!O26</f>
        <v>-15</v>
      </c>
      <c r="P63" s="27">
        <f>'Balance Sheet'!P26</f>
        <v>0</v>
      </c>
      <c r="Q63" s="27">
        <f>'Balance Sheet'!Q26</f>
        <v>0</v>
      </c>
      <c r="R63" s="27">
        <f>'Balance Sheet'!R26-3234</f>
        <v>0</v>
      </c>
      <c r="S63" s="27">
        <f>'Balance Sheet'!S26</f>
        <v>0</v>
      </c>
      <c r="T63" s="27">
        <f>'Balance Sheet'!T26</f>
        <v>0</v>
      </c>
      <c r="U63" s="27">
        <f>'Balance Sheet'!U26</f>
        <v>0</v>
      </c>
      <c r="V63" s="27">
        <f>'Balance Sheet'!V26</f>
        <v>0</v>
      </c>
      <c r="W63" s="27">
        <f>'Balance Sheet'!W26</f>
        <v>0</v>
      </c>
      <c r="X63" s="27">
        <f>'Balance Sheet'!X26</f>
        <v>212</v>
      </c>
      <c r="Y63" s="27">
        <f>'Balance Sheet'!Y26</f>
        <v>0</v>
      </c>
      <c r="Z63" s="27">
        <f>'Balance Sheet'!Z26</f>
        <v>0</v>
      </c>
      <c r="AA63" s="27">
        <f>'Balance Sheet'!AA26</f>
        <v>0</v>
      </c>
      <c r="AB63" s="27">
        <f>'Balance Sheet'!AB26</f>
        <v>0</v>
      </c>
      <c r="AC63" s="27">
        <f>'Balance Sheet'!AC26</f>
        <v>0</v>
      </c>
      <c r="AD63" s="27">
        <f>'Balance Sheet'!AD26</f>
        <v>0</v>
      </c>
      <c r="AE63" s="27">
        <f>'Balance Sheet'!AE26</f>
        <v>0</v>
      </c>
      <c r="AF63" s="27">
        <f>'Balance Sheet'!AF26</f>
        <v>0</v>
      </c>
      <c r="AG63" s="180"/>
      <c r="AH63" s="1012"/>
      <c r="AI63" s="1433"/>
      <c r="AJ63" s="180"/>
      <c r="AK63" s="227"/>
      <c r="AL63" s="227"/>
      <c r="AM63" s="227"/>
      <c r="AN63" s="180"/>
      <c r="AO63" s="180"/>
      <c r="AP63" s="180"/>
      <c r="AQ63" s="180"/>
      <c r="AR63" s="180"/>
      <c r="AS63" s="180"/>
    </row>
    <row r="64" spans="1:45">
      <c r="A64" s="4" t="s">
        <v>787</v>
      </c>
      <c r="B64" s="298"/>
      <c r="C64" s="298"/>
      <c r="D64" s="298"/>
      <c r="E64" s="298"/>
      <c r="F64" s="298"/>
      <c r="G64" s="298"/>
      <c r="H64" s="27">
        <f t="shared" ref="H64:AF64" si="30">SUM(H59:H63)</f>
        <v>7677</v>
      </c>
      <c r="I64" s="27">
        <f t="shared" si="30"/>
        <v>7556</v>
      </c>
      <c r="J64" s="27">
        <f t="shared" si="30"/>
        <v>7884</v>
      </c>
      <c r="K64" s="27">
        <f t="shared" si="30"/>
        <v>7685</v>
      </c>
      <c r="L64" s="27">
        <f t="shared" si="30"/>
        <v>7873</v>
      </c>
      <c r="M64" s="27">
        <f t="shared" si="30"/>
        <v>9019</v>
      </c>
      <c r="N64" s="27">
        <f t="shared" si="30"/>
        <v>9577</v>
      </c>
      <c r="O64" s="27">
        <f t="shared" si="30"/>
        <v>9342</v>
      </c>
      <c r="P64" s="27">
        <f t="shared" si="30"/>
        <v>10544</v>
      </c>
      <c r="Q64" s="27">
        <f t="shared" si="30"/>
        <v>11656</v>
      </c>
      <c r="R64" s="27">
        <f t="shared" si="30"/>
        <v>11012</v>
      </c>
      <c r="S64" s="27">
        <f t="shared" si="30"/>
        <v>10868</v>
      </c>
      <c r="T64" s="27">
        <f t="shared" si="30"/>
        <v>14434</v>
      </c>
      <c r="U64" s="27">
        <f t="shared" si="30"/>
        <v>16152</v>
      </c>
      <c r="V64" s="27">
        <f t="shared" si="30"/>
        <v>13135</v>
      </c>
      <c r="W64" s="27">
        <f t="shared" si="30"/>
        <v>13975</v>
      </c>
      <c r="X64" s="27">
        <f t="shared" si="30"/>
        <v>16864</v>
      </c>
      <c r="Y64" s="27">
        <f t="shared" si="30"/>
        <v>19899</v>
      </c>
      <c r="Z64" s="27">
        <f t="shared" si="30"/>
        <v>22930</v>
      </c>
      <c r="AA64" s="27">
        <f t="shared" si="30"/>
        <v>24522.863883091628</v>
      </c>
      <c r="AB64" s="27">
        <f t="shared" si="30"/>
        <v>26380.632758933236</v>
      </c>
      <c r="AC64" s="27">
        <f t="shared" si="30"/>
        <v>28483.957610273497</v>
      </c>
      <c r="AD64" s="27">
        <f t="shared" si="30"/>
        <v>30553.883394612607</v>
      </c>
      <c r="AE64" s="27">
        <f t="shared" si="30"/>
        <v>32364.431010795346</v>
      </c>
      <c r="AF64" s="27">
        <f t="shared" si="30"/>
        <v>33991.924898134159</v>
      </c>
      <c r="AG64" s="180"/>
      <c r="AH64" s="1012"/>
      <c r="AI64" s="1433"/>
      <c r="AJ64" s="180"/>
      <c r="AK64" s="227"/>
      <c r="AL64" s="227"/>
      <c r="AM64" s="227"/>
      <c r="AN64" s="180"/>
      <c r="AO64" s="180"/>
      <c r="AP64" s="180"/>
      <c r="AQ64" s="180"/>
      <c r="AR64" s="180"/>
      <c r="AS64" s="180"/>
    </row>
    <row r="65" spans="1:45">
      <c r="A65" s="4"/>
      <c r="B65" s="298"/>
      <c r="C65" s="298"/>
      <c r="D65" s="298"/>
      <c r="E65" s="298"/>
      <c r="F65" s="298"/>
      <c r="G65" s="298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180"/>
      <c r="AH65" s="1012"/>
      <c r="AI65" s="1433"/>
      <c r="AJ65" s="180"/>
      <c r="AK65" s="227"/>
      <c r="AL65" s="227"/>
      <c r="AM65" s="227"/>
      <c r="AN65" s="180"/>
      <c r="AO65" s="180"/>
      <c r="AP65" s="180"/>
      <c r="AQ65" s="180"/>
      <c r="AR65" s="180"/>
      <c r="AS65" s="180"/>
    </row>
    <row r="66" spans="1:45">
      <c r="A66" s="295" t="s">
        <v>786</v>
      </c>
      <c r="B66" s="298"/>
      <c r="C66" s="298"/>
      <c r="D66" s="298"/>
      <c r="E66" s="298"/>
      <c r="F66" s="298"/>
      <c r="G66" s="298"/>
      <c r="H66" s="27">
        <f>H40</f>
        <v>-6390</v>
      </c>
      <c r="I66" s="27">
        <f t="shared" ref="I66:AF66" si="31">I40</f>
        <v>-6517</v>
      </c>
      <c r="J66" s="27">
        <f t="shared" si="31"/>
        <v>-6786</v>
      </c>
      <c r="K66" s="27">
        <f t="shared" si="31"/>
        <v>-6936</v>
      </c>
      <c r="L66" s="27">
        <f t="shared" si="31"/>
        <v>-7236</v>
      </c>
      <c r="M66" s="27">
        <f t="shared" si="31"/>
        <v>-8348</v>
      </c>
      <c r="N66" s="27">
        <f t="shared" si="31"/>
        <v>-8767</v>
      </c>
      <c r="O66" s="27">
        <f t="shared" si="31"/>
        <v>-8668</v>
      </c>
      <c r="P66" s="27">
        <f t="shared" si="31"/>
        <v>-9638</v>
      </c>
      <c r="Q66" s="27">
        <f t="shared" si="31"/>
        <v>-10602</v>
      </c>
      <c r="R66" s="27">
        <f t="shared" si="31"/>
        <v>-10242</v>
      </c>
      <c r="S66" s="27">
        <f t="shared" si="31"/>
        <v>-4409</v>
      </c>
      <c r="T66" s="27">
        <f t="shared" si="31"/>
        <v>-5650</v>
      </c>
      <c r="U66" s="27">
        <f t="shared" si="31"/>
        <v>-6164</v>
      </c>
      <c r="V66" s="27">
        <f t="shared" si="31"/>
        <v>-4353</v>
      </c>
      <c r="W66" s="27">
        <f t="shared" si="31"/>
        <v>-4950</v>
      </c>
      <c r="X66" s="27">
        <f t="shared" si="31"/>
        <v>-6298</v>
      </c>
      <c r="Y66" s="27">
        <f t="shared" si="31"/>
        <v>-8097</v>
      </c>
      <c r="Z66" s="27">
        <f t="shared" si="31"/>
        <v>-9802</v>
      </c>
      <c r="AA66" s="27">
        <f t="shared" si="31"/>
        <v>-11251.428948867</v>
      </c>
      <c r="AB66" s="27">
        <f t="shared" si="31"/>
        <v>-12993.508736182252</v>
      </c>
      <c r="AC66" s="27">
        <f t="shared" si="31"/>
        <v>-14669.127336695912</v>
      </c>
      <c r="AD66" s="27">
        <f t="shared" si="31"/>
        <v>-16009.4785626556</v>
      </c>
      <c r="AE66" s="27">
        <f t="shared" si="31"/>
        <v>-16965.334011663079</v>
      </c>
      <c r="AF66" s="27">
        <f t="shared" si="31"/>
        <v>-17493.778895988937</v>
      </c>
      <c r="AG66" s="180"/>
      <c r="AH66" s="1012"/>
      <c r="AI66" s="1433"/>
      <c r="AJ66" s="180"/>
      <c r="AK66" s="227"/>
      <c r="AL66" s="227"/>
      <c r="AM66" s="227"/>
      <c r="AN66" s="180"/>
      <c r="AO66" s="180"/>
      <c r="AP66" s="180"/>
      <c r="AQ66" s="180"/>
      <c r="AR66" s="180"/>
      <c r="AS66" s="180"/>
    </row>
    <row r="67" spans="1:45">
      <c r="A67" s="295" t="s">
        <v>785</v>
      </c>
      <c r="B67" s="298"/>
      <c r="C67" s="298"/>
      <c r="D67" s="298"/>
      <c r="E67" s="298"/>
      <c r="F67" s="298"/>
      <c r="G67" s="298"/>
      <c r="H67" s="27">
        <f>'Balance Sheet'!H38</f>
        <v>-1101</v>
      </c>
      <c r="I67" s="27">
        <f>'Balance Sheet'!I38</f>
        <v>-1133</v>
      </c>
      <c r="J67" s="27">
        <f>'Balance Sheet'!J38</f>
        <v>-1278</v>
      </c>
      <c r="K67" s="27">
        <f>'Balance Sheet'!K38</f>
        <v>-1039</v>
      </c>
      <c r="L67" s="27">
        <f>'Balance Sheet'!L38</f>
        <v>-1114</v>
      </c>
      <c r="M67" s="27">
        <f>'Balance Sheet'!M38</f>
        <v>-1064</v>
      </c>
      <c r="N67" s="27">
        <f>'Balance Sheet'!N38</f>
        <v>-1064</v>
      </c>
      <c r="O67" s="27">
        <f>'Balance Sheet'!O38</f>
        <v>-1217</v>
      </c>
      <c r="P67" s="27">
        <f>'Balance Sheet'!P38</f>
        <v>-1459</v>
      </c>
      <c r="Q67" s="27">
        <f>'Balance Sheet'!Q38</f>
        <v>-1654</v>
      </c>
      <c r="R67" s="27">
        <f>'Balance Sheet'!R38</f>
        <v>-1558</v>
      </c>
      <c r="S67" s="27">
        <f>'Balance Sheet'!S38</f>
        <v>-925</v>
      </c>
      <c r="T67" s="27">
        <f>'Balance Sheet'!T38</f>
        <v>-1189</v>
      </c>
      <c r="U67" s="27">
        <f>'Balance Sheet'!U38</f>
        <v>-990</v>
      </c>
      <c r="V67" s="27">
        <f>'Balance Sheet'!V38</f>
        <v>-905</v>
      </c>
      <c r="W67" s="27">
        <f>'Balance Sheet'!W38</f>
        <v>-1058</v>
      </c>
      <c r="X67" s="27">
        <f>'Balance Sheet'!X38</f>
        <v>-1018</v>
      </c>
      <c r="Y67" s="27">
        <f>'Balance Sheet'!Y38</f>
        <v>-1064</v>
      </c>
      <c r="Z67" s="27">
        <f>'Balance Sheet'!Z38</f>
        <v>-1173</v>
      </c>
      <c r="AA67" s="27">
        <f>'Balance Sheet'!AA38</f>
        <v>-1173</v>
      </c>
      <c r="AB67" s="27">
        <f>'Balance Sheet'!AB38</f>
        <v>-1173</v>
      </c>
      <c r="AC67" s="27">
        <f>'Balance Sheet'!AC38</f>
        <v>-1173</v>
      </c>
      <c r="AD67" s="27">
        <f>'Balance Sheet'!AD38</f>
        <v>-1173</v>
      </c>
      <c r="AE67" s="27">
        <f>'Balance Sheet'!AE38</f>
        <v>-1173</v>
      </c>
      <c r="AF67" s="27">
        <f>'Balance Sheet'!AF38</f>
        <v>-1173</v>
      </c>
      <c r="AG67" s="180"/>
      <c r="AH67" s="1012"/>
      <c r="AI67" s="1433"/>
      <c r="AJ67" s="180"/>
      <c r="AK67" s="227"/>
      <c r="AL67" s="227"/>
      <c r="AM67" s="227"/>
      <c r="AN67" s="180"/>
      <c r="AO67" s="180"/>
      <c r="AP67" s="180"/>
      <c r="AQ67" s="180"/>
      <c r="AR67" s="180"/>
      <c r="AS67" s="180"/>
    </row>
    <row r="68" spans="1:45">
      <c r="A68" s="295" t="s">
        <v>784</v>
      </c>
      <c r="B68" s="298"/>
      <c r="C68" s="298"/>
      <c r="D68" s="298"/>
      <c r="E68" s="298"/>
      <c r="F68" s="298"/>
      <c r="G68" s="298"/>
      <c r="H68" s="27">
        <f>'Balance Sheet'!H42</f>
        <v>-21</v>
      </c>
      <c r="I68" s="27">
        <f>'Balance Sheet'!I42</f>
        <v>-43</v>
      </c>
      <c r="J68" s="27">
        <f>'Balance Sheet'!J42</f>
        <v>-39</v>
      </c>
      <c r="K68" s="27">
        <f>'Balance Sheet'!K42</f>
        <v>-53</v>
      </c>
      <c r="L68" s="27">
        <f>'Balance Sheet'!L42</f>
        <v>-72</v>
      </c>
      <c r="M68" s="27">
        <f>'Balance Sheet'!M42</f>
        <v>-92</v>
      </c>
      <c r="N68" s="27">
        <f>'Balance Sheet'!N42</f>
        <v>-156</v>
      </c>
      <c r="O68" s="27">
        <f>'Balance Sheet'!O42</f>
        <v>-202</v>
      </c>
      <c r="P68" s="27">
        <f>'Balance Sheet'!P42</f>
        <v>-220</v>
      </c>
      <c r="Q68" s="27">
        <f>'Balance Sheet'!Q42</f>
        <v>-287</v>
      </c>
      <c r="R68" s="27">
        <f>'Balance Sheet'!R42</f>
        <v>-179</v>
      </c>
      <c r="S68" s="27">
        <f>'Balance Sheet'!S42</f>
        <v>-214</v>
      </c>
      <c r="T68" s="27">
        <f>'Balance Sheet'!T42</f>
        <v>-210</v>
      </c>
      <c r="U68" s="27">
        <f>'Balance Sheet'!U42</f>
        <v>-111</v>
      </c>
      <c r="V68" s="27">
        <f>'Balance Sheet'!V42</f>
        <v>-118</v>
      </c>
      <c r="W68" s="27">
        <f>'Balance Sheet'!W42</f>
        <v>-109</v>
      </c>
      <c r="X68" s="27">
        <f>'Balance Sheet'!X42</f>
        <v>-105</v>
      </c>
      <c r="Y68" s="27">
        <f>'Balance Sheet'!Y42</f>
        <v>-104</v>
      </c>
      <c r="Z68" s="27">
        <f>'Balance Sheet'!Z42</f>
        <v>-105</v>
      </c>
      <c r="AA68" s="27">
        <f>'Balance Sheet'!AA42</f>
        <v>-105</v>
      </c>
      <c r="AB68" s="27">
        <f>'Balance Sheet'!AB42</f>
        <v>-105</v>
      </c>
      <c r="AC68" s="27">
        <f>'Balance Sheet'!AC42</f>
        <v>-105</v>
      </c>
      <c r="AD68" s="27">
        <f>'Balance Sheet'!AD42</f>
        <v>-105</v>
      </c>
      <c r="AE68" s="27">
        <f>'Balance Sheet'!AE42</f>
        <v>-105</v>
      </c>
      <c r="AF68" s="27">
        <f>'Balance Sheet'!AF42</f>
        <v>-105</v>
      </c>
      <c r="AG68" s="180"/>
      <c r="AH68" s="1012"/>
      <c r="AI68" s="1433"/>
      <c r="AJ68" s="180"/>
      <c r="AK68" s="227"/>
      <c r="AL68" s="227"/>
      <c r="AM68" s="227"/>
      <c r="AN68" s="180"/>
      <c r="AO68" s="180"/>
      <c r="AP68" s="180"/>
      <c r="AQ68" s="180"/>
      <c r="AR68" s="180"/>
      <c r="AS68" s="180"/>
    </row>
    <row r="69" spans="1:45">
      <c r="A69" s="295" t="s">
        <v>1101</v>
      </c>
      <c r="B69" s="298"/>
      <c r="C69" s="298"/>
      <c r="D69" s="298"/>
      <c r="E69" s="298"/>
      <c r="F69" s="298"/>
      <c r="G69" s="298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>
        <f>'Balance Sheet'!S44</f>
        <v>-9090</v>
      </c>
      <c r="T69" s="27">
        <f>'Balance Sheet'!T44</f>
        <v>-10453</v>
      </c>
      <c r="U69" s="27">
        <f>'Balance Sheet'!U44</f>
        <v>-10923</v>
      </c>
      <c r="V69" s="27">
        <f>'Balance Sheet'!V44</f>
        <v>-9838</v>
      </c>
      <c r="W69" s="27">
        <f>'Balance Sheet'!W44</f>
        <v>-10141</v>
      </c>
      <c r="X69" s="27">
        <f>'Balance Sheet'!X44</f>
        <v>-12756</v>
      </c>
      <c r="Y69" s="27">
        <f>'Balance Sheet'!Y44</f>
        <v>-15029</v>
      </c>
      <c r="Z69" s="27">
        <f>'Balance Sheet'!Z44</f>
        <v>-16421</v>
      </c>
      <c r="AA69" s="27">
        <f>AA44</f>
        <v>-16421</v>
      </c>
      <c r="AB69" s="27">
        <f t="shared" ref="AB69:AF69" si="32">AB44</f>
        <v>-16421</v>
      </c>
      <c r="AC69" s="27">
        <f t="shared" si="32"/>
        <v>-16421</v>
      </c>
      <c r="AD69" s="27">
        <f t="shared" si="32"/>
        <v>-16421</v>
      </c>
      <c r="AE69" s="27">
        <f t="shared" si="32"/>
        <v>-16421</v>
      </c>
      <c r="AF69" s="27">
        <f t="shared" si="32"/>
        <v>-16421</v>
      </c>
      <c r="AG69" s="180"/>
      <c r="AH69" s="1012"/>
      <c r="AI69" s="1433" t="s">
        <v>1398</v>
      </c>
      <c r="AJ69" s="180"/>
      <c r="AK69" s="227"/>
      <c r="AL69" s="227"/>
      <c r="AM69" s="227"/>
      <c r="AN69" s="180"/>
      <c r="AO69" s="180"/>
      <c r="AP69" s="180"/>
      <c r="AQ69" s="180"/>
      <c r="AR69" s="180"/>
      <c r="AS69" s="180"/>
    </row>
    <row r="70" spans="1:45">
      <c r="A70" s="295" t="s">
        <v>752</v>
      </c>
      <c r="B70" s="298"/>
      <c r="C70" s="298"/>
      <c r="D70" s="298"/>
      <c r="E70" s="298"/>
      <c r="F70" s="298"/>
      <c r="G70" s="298"/>
      <c r="H70" s="27">
        <f>'Balance Sheet'!H46+'Balance Sheet'!H43</f>
        <v>-152</v>
      </c>
      <c r="I70" s="27">
        <f>'Balance Sheet'!I46+'Balance Sheet'!I43+452</f>
        <v>-143</v>
      </c>
      <c r="J70" s="27">
        <f>'Balance Sheet'!J46+'Balance Sheet'!J43+39</f>
        <v>-733</v>
      </c>
      <c r="K70" s="27">
        <f>'Balance Sheet'!K46+'Balance Sheet'!K43</f>
        <v>-13</v>
      </c>
      <c r="L70" s="27">
        <f>'Balance Sheet'!L46+'Balance Sheet'!L43</f>
        <v>-451</v>
      </c>
      <c r="M70" s="27">
        <f>'Balance Sheet'!M46+'Balance Sheet'!M43</f>
        <v>-653</v>
      </c>
      <c r="N70" s="27">
        <f>'Balance Sheet'!N46+'Balance Sheet'!N43</f>
        <v>-239</v>
      </c>
      <c r="O70" s="27">
        <f>'Balance Sheet'!O46+'Balance Sheet'!O43</f>
        <v>-211</v>
      </c>
      <c r="P70" s="27">
        <f>'Balance Sheet'!P46+'Balance Sheet'!P43</f>
        <v>-1761</v>
      </c>
      <c r="Q70" s="27">
        <f>'Balance Sheet'!Q46+'Balance Sheet'!Q43</f>
        <v>-4230</v>
      </c>
      <c r="R70" s="27">
        <f>'Balance Sheet'!R46+'Balance Sheet'!R43+794</f>
        <v>-4742</v>
      </c>
      <c r="S70" s="27">
        <f>'Balance Sheet'!S46+'Balance Sheet'!S43+794</f>
        <v>-155</v>
      </c>
      <c r="T70" s="27">
        <f>'Balance Sheet'!T46+'Balance Sheet'!T43</f>
        <v>-1368</v>
      </c>
      <c r="U70" s="27">
        <f>'Balance Sheet'!U46+'Balance Sheet'!U43</f>
        <v>-1148</v>
      </c>
      <c r="V70" s="27">
        <f>'Balance Sheet'!V46+'Balance Sheet'!V43</f>
        <v>-1303</v>
      </c>
      <c r="W70" s="27">
        <f>'Balance Sheet'!W46+'Balance Sheet'!W43</f>
        <v>-1850</v>
      </c>
      <c r="X70" s="27">
        <f>'Balance Sheet'!X46+'Balance Sheet'!X43</f>
        <v>-5973</v>
      </c>
      <c r="Y70" s="27">
        <f>'Balance Sheet'!Y46+'Balance Sheet'!Y43</f>
        <v>-4875</v>
      </c>
      <c r="Z70" s="27">
        <f>'Balance Sheet'!Z46+'Balance Sheet'!Z43</f>
        <v>-8951</v>
      </c>
      <c r="AA70" s="27">
        <f>'Balance Sheet'!AA46+'Balance Sheet'!AA43</f>
        <v>-8951</v>
      </c>
      <c r="AB70" s="27">
        <f>'Balance Sheet'!AB46+'Balance Sheet'!AB43</f>
        <v>-8951</v>
      </c>
      <c r="AC70" s="27">
        <f>'Balance Sheet'!AC46+'Balance Sheet'!AC43</f>
        <v>-8951</v>
      </c>
      <c r="AD70" s="27">
        <f>'Balance Sheet'!AD46+'Balance Sheet'!AD43</f>
        <v>-8951</v>
      </c>
      <c r="AE70" s="27">
        <f>'Balance Sheet'!AE46+'Balance Sheet'!AE43</f>
        <v>-8951</v>
      </c>
      <c r="AF70" s="27">
        <f>'Balance Sheet'!AF46+'Balance Sheet'!AF43</f>
        <v>-8951</v>
      </c>
      <c r="AG70" s="180"/>
      <c r="AH70" s="1012"/>
      <c r="AI70" s="1433"/>
      <c r="AJ70" s="180"/>
      <c r="AK70" s="227"/>
      <c r="AL70" s="227"/>
      <c r="AM70" s="227"/>
      <c r="AN70" s="180"/>
      <c r="AO70" s="180"/>
      <c r="AP70" s="180"/>
      <c r="AQ70" s="180"/>
      <c r="AR70" s="180"/>
      <c r="AS70" s="180"/>
    </row>
    <row r="71" spans="1:45">
      <c r="A71" s="4" t="s">
        <v>783</v>
      </c>
      <c r="B71" s="298"/>
      <c r="C71" s="298"/>
      <c r="D71" s="298"/>
      <c r="E71" s="298"/>
      <c r="F71" s="298"/>
      <c r="G71" s="298"/>
      <c r="H71" s="27">
        <f t="shared" ref="H71:AF71" si="33">SUM(H66:H70)</f>
        <v>-7664</v>
      </c>
      <c r="I71" s="27">
        <f t="shared" si="33"/>
        <v>-7836</v>
      </c>
      <c r="J71" s="27">
        <f t="shared" si="33"/>
        <v>-8836</v>
      </c>
      <c r="K71" s="27">
        <f t="shared" si="33"/>
        <v>-8041</v>
      </c>
      <c r="L71" s="27">
        <f t="shared" si="33"/>
        <v>-8873</v>
      </c>
      <c r="M71" s="27">
        <f t="shared" si="33"/>
        <v>-10157</v>
      </c>
      <c r="N71" s="27">
        <f t="shared" si="33"/>
        <v>-10226</v>
      </c>
      <c r="O71" s="27">
        <f t="shared" si="33"/>
        <v>-10298</v>
      </c>
      <c r="P71" s="27">
        <f t="shared" si="33"/>
        <v>-13078</v>
      </c>
      <c r="Q71" s="27">
        <f t="shared" si="33"/>
        <v>-16773</v>
      </c>
      <c r="R71" s="27">
        <f t="shared" si="33"/>
        <v>-16721</v>
      </c>
      <c r="S71" s="27">
        <f t="shared" si="33"/>
        <v>-14793</v>
      </c>
      <c r="T71" s="27">
        <f t="shared" si="33"/>
        <v>-18870</v>
      </c>
      <c r="U71" s="27">
        <f t="shared" si="33"/>
        <v>-19336</v>
      </c>
      <c r="V71" s="27">
        <f t="shared" si="33"/>
        <v>-16517</v>
      </c>
      <c r="W71" s="27">
        <f t="shared" si="33"/>
        <v>-18108</v>
      </c>
      <c r="X71" s="27">
        <f t="shared" si="33"/>
        <v>-26150</v>
      </c>
      <c r="Y71" s="27">
        <f t="shared" si="33"/>
        <v>-29169</v>
      </c>
      <c r="Z71" s="27">
        <f t="shared" si="33"/>
        <v>-36452</v>
      </c>
      <c r="AA71" s="27">
        <f t="shared" si="33"/>
        <v>-37901.428948867004</v>
      </c>
      <c r="AB71" s="27">
        <f t="shared" si="33"/>
        <v>-39643.508736182252</v>
      </c>
      <c r="AC71" s="27">
        <f t="shared" si="33"/>
        <v>-41319.127336695914</v>
      </c>
      <c r="AD71" s="27">
        <f t="shared" si="33"/>
        <v>-42659.478562655597</v>
      </c>
      <c r="AE71" s="27">
        <f t="shared" si="33"/>
        <v>-43615.334011663079</v>
      </c>
      <c r="AF71" s="27">
        <f t="shared" si="33"/>
        <v>-44143.778895988937</v>
      </c>
      <c r="AG71" s="180"/>
      <c r="AH71" s="1012"/>
      <c r="AI71" s="1433"/>
      <c r="AJ71" s="180"/>
      <c r="AK71" s="227"/>
      <c r="AL71" s="227"/>
      <c r="AM71" s="227"/>
      <c r="AN71" s="180"/>
      <c r="AO71" s="180"/>
      <c r="AP71" s="180"/>
      <c r="AQ71" s="180"/>
      <c r="AR71" s="180"/>
      <c r="AS71" s="180"/>
    </row>
    <row r="72" spans="1:45">
      <c r="A72" s="4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>
        <f t="shared" ref="S72:AF72" si="34">SUM(S66:S69)+SUM(S59:S62)</f>
        <v>-3770</v>
      </c>
      <c r="T72" s="298">
        <f t="shared" si="34"/>
        <v>-3068</v>
      </c>
      <c r="U72" s="298">
        <f t="shared" si="34"/>
        <v>-2036</v>
      </c>
      <c r="V72" s="298">
        <f t="shared" si="34"/>
        <v>-2079</v>
      </c>
      <c r="W72" s="298">
        <f t="shared" si="34"/>
        <v>-2283</v>
      </c>
      <c r="X72" s="298">
        <f t="shared" si="34"/>
        <v>-3525</v>
      </c>
      <c r="Y72" s="298">
        <f t="shared" si="34"/>
        <v>-4395</v>
      </c>
      <c r="Z72" s="298">
        <f t="shared" si="34"/>
        <v>-4571</v>
      </c>
      <c r="AA72" s="298">
        <f t="shared" si="34"/>
        <v>-4427.5650657753722</v>
      </c>
      <c r="AB72" s="298">
        <f t="shared" si="34"/>
        <v>-4311.8759772490157</v>
      </c>
      <c r="AC72" s="298">
        <f t="shared" si="34"/>
        <v>-3884.1697264224167</v>
      </c>
      <c r="AD72" s="298">
        <f t="shared" si="34"/>
        <v>-3154.5951680429898</v>
      </c>
      <c r="AE72" s="298">
        <f t="shared" si="34"/>
        <v>-2299.9030008677328</v>
      </c>
      <c r="AF72" s="298">
        <f t="shared" si="34"/>
        <v>-1200.8539978547778</v>
      </c>
      <c r="AG72" s="180"/>
      <c r="AH72" s="1012"/>
      <c r="AI72" s="1433"/>
      <c r="AJ72" s="180"/>
      <c r="AK72" s="227"/>
      <c r="AL72" s="227"/>
      <c r="AM72" s="227"/>
      <c r="AN72" s="180"/>
      <c r="AO72" s="180"/>
      <c r="AP72" s="180"/>
      <c r="AQ72" s="180"/>
      <c r="AR72" s="180"/>
      <c r="AS72" s="180"/>
    </row>
    <row r="73" spans="1:45">
      <c r="A73" s="253" t="s">
        <v>759</v>
      </c>
      <c r="B73" s="1095"/>
      <c r="C73" s="1095"/>
      <c r="D73" s="1095"/>
      <c r="E73" s="1095"/>
      <c r="F73" s="1095"/>
      <c r="G73" s="1095"/>
      <c r="H73" s="242">
        <f t="shared" ref="H73:AF73" si="35">H71+H64</f>
        <v>13</v>
      </c>
      <c r="I73" s="242">
        <f t="shared" si="35"/>
        <v>-280</v>
      </c>
      <c r="J73" s="242">
        <f t="shared" si="35"/>
        <v>-952</v>
      </c>
      <c r="K73" s="242">
        <f t="shared" si="35"/>
        <v>-356</v>
      </c>
      <c r="L73" s="242">
        <f t="shared" si="35"/>
        <v>-1000</v>
      </c>
      <c r="M73" s="242">
        <f t="shared" si="35"/>
        <v>-1138</v>
      </c>
      <c r="N73" s="242">
        <f t="shared" si="35"/>
        <v>-649</v>
      </c>
      <c r="O73" s="242">
        <f t="shared" si="35"/>
        <v>-956</v>
      </c>
      <c r="P73" s="242">
        <f t="shared" si="35"/>
        <v>-2534</v>
      </c>
      <c r="Q73" s="242">
        <f t="shared" si="35"/>
        <v>-5117</v>
      </c>
      <c r="R73" s="242">
        <f t="shared" si="35"/>
        <v>-5709</v>
      </c>
      <c r="S73" s="242">
        <f t="shared" si="35"/>
        <v>-3925</v>
      </c>
      <c r="T73" s="242">
        <f t="shared" si="35"/>
        <v>-4436</v>
      </c>
      <c r="U73" s="242">
        <f t="shared" si="35"/>
        <v>-3184</v>
      </c>
      <c r="V73" s="242">
        <f t="shared" si="35"/>
        <v>-3382</v>
      </c>
      <c r="W73" s="242">
        <f t="shared" si="35"/>
        <v>-4133</v>
      </c>
      <c r="X73" s="242">
        <f t="shared" si="35"/>
        <v>-9286</v>
      </c>
      <c r="Y73" s="242">
        <f t="shared" si="35"/>
        <v>-9270</v>
      </c>
      <c r="Z73" s="242">
        <f t="shared" si="35"/>
        <v>-13522</v>
      </c>
      <c r="AA73" s="242">
        <f t="shared" si="35"/>
        <v>-13378.565065775376</v>
      </c>
      <c r="AB73" s="242">
        <f t="shared" si="35"/>
        <v>-13262.875977249016</v>
      </c>
      <c r="AC73" s="242">
        <f t="shared" si="35"/>
        <v>-12835.169726422417</v>
      </c>
      <c r="AD73" s="242">
        <f t="shared" si="35"/>
        <v>-12105.59516804299</v>
      </c>
      <c r="AE73" s="242">
        <f t="shared" si="35"/>
        <v>-11250.903000867733</v>
      </c>
      <c r="AF73" s="242">
        <f t="shared" si="35"/>
        <v>-10151.853997854778</v>
      </c>
      <c r="AG73" s="180"/>
      <c r="AH73" s="1012"/>
      <c r="AI73" s="1433"/>
      <c r="AJ73" s="180"/>
      <c r="AK73" s="227"/>
      <c r="AL73" s="227"/>
      <c r="AM73" s="227"/>
      <c r="AN73" s="180"/>
      <c r="AO73" s="180"/>
      <c r="AP73" s="180"/>
      <c r="AQ73" s="180"/>
      <c r="AR73" s="180"/>
      <c r="AS73" s="180"/>
    </row>
    <row r="74" spans="1:45">
      <c r="A74" s="295" t="s">
        <v>1301</v>
      </c>
      <c r="B74" s="298"/>
      <c r="C74" s="298"/>
      <c r="D74" s="298"/>
      <c r="E74" s="298"/>
      <c r="F74" s="298"/>
      <c r="G74" s="298"/>
      <c r="H74" s="27">
        <f>H73-115</f>
        <v>-102</v>
      </c>
      <c r="I74" s="27">
        <f t="shared" ref="I74:AF74" si="36">I73-H73</f>
        <v>-293</v>
      </c>
      <c r="J74" s="27">
        <f t="shared" si="36"/>
        <v>-672</v>
      </c>
      <c r="K74" s="27">
        <f t="shared" si="36"/>
        <v>596</v>
      </c>
      <c r="L74" s="27">
        <f t="shared" si="36"/>
        <v>-644</v>
      </c>
      <c r="M74" s="27">
        <f t="shared" si="36"/>
        <v>-138</v>
      </c>
      <c r="N74" s="27">
        <f t="shared" si="36"/>
        <v>489</v>
      </c>
      <c r="O74" s="27">
        <f t="shared" si="36"/>
        <v>-307</v>
      </c>
      <c r="P74" s="27">
        <f t="shared" si="36"/>
        <v>-1578</v>
      </c>
      <c r="Q74" s="27">
        <f t="shared" si="36"/>
        <v>-2583</v>
      </c>
      <c r="R74" s="27">
        <f t="shared" si="36"/>
        <v>-592</v>
      </c>
      <c r="S74" s="27">
        <f t="shared" si="36"/>
        <v>1784</v>
      </c>
      <c r="T74" s="27">
        <f t="shared" si="36"/>
        <v>-511</v>
      </c>
      <c r="U74" s="27">
        <f t="shared" si="36"/>
        <v>1252</v>
      </c>
      <c r="V74" s="27">
        <f t="shared" si="36"/>
        <v>-198</v>
      </c>
      <c r="W74" s="27">
        <f t="shared" si="36"/>
        <v>-751</v>
      </c>
      <c r="X74" s="27">
        <f t="shared" si="36"/>
        <v>-5153</v>
      </c>
      <c r="Y74" s="27">
        <f t="shared" si="36"/>
        <v>16</v>
      </c>
      <c r="Z74" s="27">
        <f t="shared" si="36"/>
        <v>-4252</v>
      </c>
      <c r="AA74" s="27">
        <f t="shared" si="36"/>
        <v>143.43493422462416</v>
      </c>
      <c r="AB74" s="27">
        <f t="shared" si="36"/>
        <v>115.68908852636014</v>
      </c>
      <c r="AC74" s="27">
        <f t="shared" si="36"/>
        <v>427.70625082659899</v>
      </c>
      <c r="AD74" s="27">
        <f t="shared" si="36"/>
        <v>729.57455837942689</v>
      </c>
      <c r="AE74" s="27">
        <f t="shared" si="36"/>
        <v>854.69216717525705</v>
      </c>
      <c r="AF74" s="27">
        <f t="shared" si="36"/>
        <v>1099.0490030129549</v>
      </c>
      <c r="AG74" s="180"/>
      <c r="AH74" s="1012"/>
      <c r="AI74" s="1433"/>
      <c r="AJ74" s="180"/>
      <c r="AK74" s="227"/>
      <c r="AL74" s="227"/>
      <c r="AM74" s="227"/>
      <c r="AN74" s="180"/>
      <c r="AO74" s="180"/>
      <c r="AP74" s="180"/>
      <c r="AQ74" s="180"/>
      <c r="AR74" s="180"/>
      <c r="AS74" s="180"/>
    </row>
    <row r="75" spans="1:4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180"/>
      <c r="AH75" s="1012"/>
      <c r="AI75" s="1433" t="s">
        <v>1305</v>
      </c>
      <c r="AJ75" s="180"/>
      <c r="AK75" s="227"/>
      <c r="AL75" s="227"/>
      <c r="AM75" s="227"/>
      <c r="AN75" s="180"/>
      <c r="AO75" s="180"/>
      <c r="AP75" s="180"/>
      <c r="AQ75" s="180"/>
      <c r="AR75" s="180"/>
      <c r="AS75" s="180"/>
    </row>
    <row r="76" spans="1:45">
      <c r="A76" s="4" t="s">
        <v>1107</v>
      </c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363">
        <f>S62/'Income Statement'!S$41</f>
        <v>8.3414753297508554E-2</v>
      </c>
      <c r="T76" s="363">
        <f>T62/'Income Statement'!T$41</f>
        <v>7.3436385255648037E-2</v>
      </c>
      <c r="U76" s="363">
        <f>U62/'Income Statement'!U$41</f>
        <v>6.9447764762132436E-2</v>
      </c>
      <c r="V76" s="363">
        <f>V62/'Income Statement'!V$41</f>
        <v>0.10191810474415249</v>
      </c>
      <c r="W76" s="363">
        <f>W62/'Income Statement'!W$41</f>
        <v>0.12244763100508822</v>
      </c>
      <c r="X76" s="363">
        <f>X62/'Income Statement'!X$41</f>
        <v>0.10152128258976592</v>
      </c>
      <c r="Y76" s="363">
        <f>Y62/'Income Statement'!Y$41</f>
        <v>9.1201217707496507E-2</v>
      </c>
      <c r="Z76" s="363">
        <f>Z62/'Income Statement'!Z$41</f>
        <v>9.0308846875451002E-2</v>
      </c>
      <c r="AA76" s="292">
        <f>Z76</f>
        <v>9.0308846875451002E-2</v>
      </c>
      <c r="AB76" s="292">
        <f t="shared" ref="AB76:AF76" si="37">AA76</f>
        <v>9.0308846875451002E-2</v>
      </c>
      <c r="AC76" s="292">
        <f t="shared" si="37"/>
        <v>9.0308846875451002E-2</v>
      </c>
      <c r="AD76" s="292">
        <f t="shared" si="37"/>
        <v>9.0308846875451002E-2</v>
      </c>
      <c r="AE76" s="292">
        <f t="shared" si="37"/>
        <v>9.0308846875451002E-2</v>
      </c>
      <c r="AF76" s="292">
        <f t="shared" si="37"/>
        <v>9.0308846875451002E-2</v>
      </c>
      <c r="AG76" s="180"/>
      <c r="AH76" s="1012"/>
      <c r="AI76" s="1433"/>
      <c r="AJ76" s="180"/>
      <c r="AK76" s="227"/>
      <c r="AL76" s="227"/>
      <c r="AM76" s="227"/>
      <c r="AN76" s="180"/>
      <c r="AO76" s="180"/>
      <c r="AP76" s="180"/>
      <c r="AQ76" s="180"/>
      <c r="AR76" s="180"/>
      <c r="AS76" s="180"/>
    </row>
    <row r="77" spans="1:45">
      <c r="A77" s="4" t="s">
        <v>1108</v>
      </c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363">
        <f>S69/'Income Statement'!S$41</f>
        <v>-0.55508060576453344</v>
      </c>
      <c r="T77" s="363">
        <f>T69/'Income Statement'!T$41</f>
        <v>-0.49717003567181928</v>
      </c>
      <c r="U77" s="363">
        <f>U69/'Income Statement'!U$41</f>
        <v>-0.4352139612718145</v>
      </c>
      <c r="V77" s="363">
        <f>V69/'Income Statement'!V$41</f>
        <v>-0.59154590824364139</v>
      </c>
      <c r="W77" s="363">
        <f>W69/'Income Statement'!W$41</f>
        <v>-0.67012489261878017</v>
      </c>
      <c r="X77" s="363">
        <f>X69/'Income Statement'!X$41</f>
        <v>-0.65338318905905857</v>
      </c>
      <c r="Y77" s="363">
        <f>Y69/'Income Statement'!Y$41</f>
        <v>-0.63544881823178723</v>
      </c>
      <c r="Z77" s="363">
        <f>Z69/'Income Statement'!Z$41</f>
        <v>-0.59247366142300473</v>
      </c>
      <c r="AA77" s="1096">
        <v>-0.54</v>
      </c>
      <c r="AB77" s="1096">
        <f>AA77+0.025</f>
        <v>-0.51500000000000001</v>
      </c>
      <c r="AC77" s="1096">
        <f>AB77+0.025</f>
        <v>-0.49</v>
      </c>
      <c r="AD77" s="1096">
        <f>AC77+0.025</f>
        <v>-0.46499999999999997</v>
      </c>
      <c r="AE77" s="1096">
        <f>AD77+0.025</f>
        <v>-0.43999999999999995</v>
      </c>
      <c r="AF77" s="1096">
        <f>AE77+0.025</f>
        <v>-0.41499999999999992</v>
      </c>
      <c r="AG77" s="180"/>
      <c r="AH77" s="1012"/>
      <c r="AI77" s="1433" t="s">
        <v>1315</v>
      </c>
      <c r="AJ77" s="180"/>
      <c r="AK77" s="227"/>
      <c r="AL77" s="227"/>
      <c r="AM77" s="227"/>
      <c r="AN77" s="180"/>
      <c r="AO77" s="180"/>
      <c r="AP77" s="180"/>
      <c r="AQ77" s="180"/>
      <c r="AR77" s="180"/>
      <c r="AS77" s="180"/>
    </row>
    <row r="78" spans="1:45">
      <c r="A78" s="4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  <c r="AD78" s="301"/>
      <c r="AE78" s="301"/>
      <c r="AF78" s="301"/>
      <c r="AG78" s="180"/>
      <c r="AH78" s="1012"/>
      <c r="AI78" s="1433"/>
      <c r="AJ78" s="180"/>
      <c r="AK78" s="227"/>
      <c r="AL78" s="227"/>
      <c r="AM78" s="227"/>
      <c r="AN78" s="180"/>
      <c r="AO78" s="180"/>
      <c r="AP78" s="180"/>
      <c r="AQ78" s="180"/>
      <c r="AR78" s="180"/>
      <c r="AS78" s="180"/>
    </row>
    <row r="79" spans="1:45">
      <c r="A79" s="295" t="s">
        <v>1103</v>
      </c>
      <c r="B79" s="4"/>
      <c r="C79" s="4"/>
      <c r="D79" s="4"/>
      <c r="E79" s="4"/>
      <c r="F79" s="4"/>
      <c r="G79" s="4"/>
      <c r="H79" s="4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194">
        <v>-800</v>
      </c>
      <c r="V79" s="194">
        <v>0</v>
      </c>
      <c r="W79" s="194">
        <v>0</v>
      </c>
      <c r="X79" s="194">
        <v>0</v>
      </c>
      <c r="Y79" s="1097"/>
      <c r="Z79" s="1097"/>
      <c r="AA79" s="292"/>
      <c r="AB79" s="292"/>
      <c r="AC79" s="292"/>
      <c r="AD79" s="292"/>
      <c r="AE79" s="292"/>
      <c r="AF79" s="292"/>
      <c r="AG79" s="180"/>
      <c r="AH79" s="1012"/>
      <c r="AI79" s="1433"/>
      <c r="AJ79" s="180"/>
      <c r="AK79" s="227"/>
      <c r="AL79" s="227"/>
      <c r="AM79" s="227"/>
      <c r="AN79" s="180"/>
      <c r="AO79" s="180"/>
      <c r="AP79" s="180"/>
      <c r="AQ79" s="180"/>
      <c r="AR79" s="180"/>
      <c r="AS79" s="180"/>
    </row>
    <row r="80" spans="1:45">
      <c r="A80" s="4" t="s">
        <v>782</v>
      </c>
      <c r="B80" s="4"/>
      <c r="C80" s="4"/>
      <c r="D80" s="4"/>
      <c r="E80" s="4"/>
      <c r="F80" s="4"/>
      <c r="G80" s="4"/>
      <c r="H80" s="4"/>
      <c r="I80" s="27">
        <f t="shared" ref="I80:AF80" si="38">I60-H60</f>
        <v>-292</v>
      </c>
      <c r="J80" s="27">
        <f t="shared" si="38"/>
        <v>-45</v>
      </c>
      <c r="K80" s="27">
        <f t="shared" si="38"/>
        <v>277</v>
      </c>
      <c r="L80" s="27">
        <f t="shared" si="38"/>
        <v>61</v>
      </c>
      <c r="M80" s="27">
        <f t="shared" si="38"/>
        <v>786</v>
      </c>
      <c r="N80" s="27">
        <f t="shared" si="38"/>
        <v>20</v>
      </c>
      <c r="O80" s="27">
        <f t="shared" si="38"/>
        <v>-58</v>
      </c>
      <c r="P80" s="27">
        <f t="shared" si="38"/>
        <v>860</v>
      </c>
      <c r="Q80" s="27">
        <f t="shared" si="38"/>
        <v>688</v>
      </c>
      <c r="R80" s="27">
        <f t="shared" si="38"/>
        <v>-263</v>
      </c>
      <c r="S80" s="27">
        <f t="shared" si="38"/>
        <v>-1300</v>
      </c>
      <c r="T80" s="27">
        <f t="shared" si="38"/>
        <v>1628</v>
      </c>
      <c r="U80" s="27">
        <f t="shared" si="38"/>
        <v>1059</v>
      </c>
      <c r="V80" s="27">
        <f t="shared" si="38"/>
        <v>-1870</v>
      </c>
      <c r="W80" s="27">
        <f t="shared" si="38"/>
        <v>735</v>
      </c>
      <c r="X80" s="27">
        <f t="shared" si="38"/>
        <v>1400</v>
      </c>
      <c r="Y80" s="27">
        <f t="shared" si="38"/>
        <v>1513</v>
      </c>
      <c r="Z80" s="27">
        <f t="shared" si="38"/>
        <v>1155</v>
      </c>
      <c r="AA80" s="27">
        <f t="shared" si="38"/>
        <v>580.86945581234795</v>
      </c>
      <c r="AB80" s="27">
        <f t="shared" si="38"/>
        <v>1350.3570305603735</v>
      </c>
      <c r="AC80" s="27">
        <f t="shared" si="38"/>
        <v>932.57600984223245</v>
      </c>
      <c r="AD80" s="27">
        <f t="shared" si="38"/>
        <v>928.52492976608301</v>
      </c>
      <c r="AE80" s="27">
        <f t="shared" si="38"/>
        <v>794.46906887110526</v>
      </c>
      <c r="AF80" s="27">
        <f t="shared" si="38"/>
        <v>735.98777840284129</v>
      </c>
      <c r="AG80" s="180"/>
      <c r="AH80" s="1012"/>
      <c r="AI80" s="1433"/>
      <c r="AJ80" s="180"/>
      <c r="AK80" s="227"/>
      <c r="AL80" s="227"/>
      <c r="AM80" s="227"/>
      <c r="AN80" s="180"/>
      <c r="AO80" s="180"/>
      <c r="AP80" s="180"/>
      <c r="AQ80" s="180"/>
      <c r="AR80" s="180"/>
      <c r="AS80" s="180"/>
    </row>
    <row r="81" spans="1:45">
      <c r="A81" s="4" t="s">
        <v>781</v>
      </c>
      <c r="B81" s="4"/>
      <c r="C81" s="4"/>
      <c r="D81" s="4"/>
      <c r="E81" s="4"/>
      <c r="F81" s="4"/>
      <c r="G81" s="4"/>
      <c r="H81" s="4"/>
      <c r="I81" s="27">
        <f t="shared" ref="I81:AF81" si="39">I66-H66</f>
        <v>-127</v>
      </c>
      <c r="J81" s="27">
        <f t="shared" si="39"/>
        <v>-269</v>
      </c>
      <c r="K81" s="27">
        <f t="shared" si="39"/>
        <v>-150</v>
      </c>
      <c r="L81" s="27">
        <f t="shared" si="39"/>
        <v>-300</v>
      </c>
      <c r="M81" s="27">
        <f t="shared" si="39"/>
        <v>-1112</v>
      </c>
      <c r="N81" s="27">
        <f t="shared" si="39"/>
        <v>-419</v>
      </c>
      <c r="O81" s="27">
        <f t="shared" si="39"/>
        <v>99</v>
      </c>
      <c r="P81" s="27">
        <f t="shared" si="39"/>
        <v>-970</v>
      </c>
      <c r="Q81" s="27">
        <f t="shared" si="39"/>
        <v>-964</v>
      </c>
      <c r="R81" s="27">
        <f t="shared" si="39"/>
        <v>360</v>
      </c>
      <c r="S81" s="27">
        <f t="shared" si="39"/>
        <v>5833</v>
      </c>
      <c r="T81" s="27">
        <f t="shared" si="39"/>
        <v>-1241</v>
      </c>
      <c r="U81" s="27">
        <f t="shared" si="39"/>
        <v>-514</v>
      </c>
      <c r="V81" s="27">
        <f t="shared" si="39"/>
        <v>1811</v>
      </c>
      <c r="W81" s="27">
        <f t="shared" si="39"/>
        <v>-597</v>
      </c>
      <c r="X81" s="27">
        <f t="shared" si="39"/>
        <v>-1348</v>
      </c>
      <c r="Y81" s="27">
        <f t="shared" si="39"/>
        <v>-1799</v>
      </c>
      <c r="Z81" s="27">
        <f t="shared" si="39"/>
        <v>-1705</v>
      </c>
      <c r="AA81" s="27">
        <f t="shared" si="39"/>
        <v>-1449.4289488670001</v>
      </c>
      <c r="AB81" s="27">
        <f t="shared" si="39"/>
        <v>-1742.0797873152515</v>
      </c>
      <c r="AC81" s="27">
        <f t="shared" si="39"/>
        <v>-1675.6186005136606</v>
      </c>
      <c r="AD81" s="27">
        <f t="shared" si="39"/>
        <v>-1340.3512259596882</v>
      </c>
      <c r="AE81" s="27">
        <f t="shared" si="39"/>
        <v>-955.85544900747846</v>
      </c>
      <c r="AF81" s="27">
        <f t="shared" si="39"/>
        <v>-528.44488432585786</v>
      </c>
      <c r="AG81" s="180"/>
      <c r="AH81" s="1012"/>
      <c r="AI81" s="1433"/>
      <c r="AJ81" s="180"/>
      <c r="AK81" s="227"/>
      <c r="AL81" s="227"/>
      <c r="AM81" s="227"/>
      <c r="AN81" s="180"/>
      <c r="AO81" s="180"/>
      <c r="AP81" s="180"/>
      <c r="AQ81" s="180"/>
      <c r="AR81" s="180"/>
      <c r="AS81" s="180"/>
    </row>
    <row r="82" spans="1:45">
      <c r="A82" s="4" t="s">
        <v>1109</v>
      </c>
      <c r="B82" s="4"/>
      <c r="C82" s="4"/>
      <c r="D82" s="4"/>
      <c r="E82" s="4"/>
      <c r="F82" s="4"/>
      <c r="G82" s="4"/>
      <c r="H82" s="4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>
        <f t="shared" ref="T82:AF82" si="40">T62-S62</f>
        <v>178</v>
      </c>
      <c r="U82" s="27">
        <f t="shared" si="40"/>
        <v>199</v>
      </c>
      <c r="V82" s="27">
        <f t="shared" si="40"/>
        <v>-48</v>
      </c>
      <c r="W82" s="27">
        <f t="shared" si="40"/>
        <v>158</v>
      </c>
      <c r="X82" s="27">
        <f t="shared" si="40"/>
        <v>129</v>
      </c>
      <c r="Y82" s="27">
        <f t="shared" si="40"/>
        <v>175</v>
      </c>
      <c r="Z82" s="27">
        <f t="shared" si="40"/>
        <v>346</v>
      </c>
      <c r="AA82" s="27">
        <f t="shared" si="40"/>
        <v>346.83732299225539</v>
      </c>
      <c r="AB82" s="27">
        <f t="shared" si="40"/>
        <v>370.01008064465714</v>
      </c>
      <c r="AC82" s="27">
        <f t="shared" si="40"/>
        <v>323.19834077916494</v>
      </c>
      <c r="AD82" s="27">
        <f t="shared" si="40"/>
        <v>275.40130222378912</v>
      </c>
      <c r="AE82" s="27">
        <f t="shared" si="40"/>
        <v>211.19248954118029</v>
      </c>
      <c r="AF82" s="27">
        <f t="shared" si="40"/>
        <v>195.64649812439302</v>
      </c>
      <c r="AG82" s="180"/>
      <c r="AH82" s="1012"/>
      <c r="AI82" s="1433"/>
      <c r="AJ82" s="180"/>
      <c r="AK82" s="227"/>
      <c r="AL82" s="227"/>
      <c r="AM82" s="227"/>
      <c r="AN82" s="180"/>
      <c r="AO82" s="180"/>
      <c r="AP82" s="180"/>
      <c r="AQ82" s="180"/>
      <c r="AR82" s="180"/>
      <c r="AS82" s="180"/>
    </row>
    <row r="83" spans="1:45">
      <c r="A83" s="4" t="s">
        <v>1110</v>
      </c>
      <c r="B83" s="4"/>
      <c r="C83" s="4"/>
      <c r="D83" s="4"/>
      <c r="E83" s="4"/>
      <c r="F83" s="4"/>
      <c r="G83" s="4"/>
      <c r="H83" s="4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>
        <f t="shared" ref="T83:AF83" si="41">T69-S69</f>
        <v>-1363</v>
      </c>
      <c r="U83" s="27">
        <f t="shared" si="41"/>
        <v>-470</v>
      </c>
      <c r="V83" s="27">
        <f t="shared" si="41"/>
        <v>1085</v>
      </c>
      <c r="W83" s="27">
        <f t="shared" si="41"/>
        <v>-303</v>
      </c>
      <c r="X83" s="27">
        <f t="shared" si="41"/>
        <v>-2615</v>
      </c>
      <c r="Y83" s="27">
        <f t="shared" si="41"/>
        <v>-2273</v>
      </c>
      <c r="Z83" s="27">
        <f t="shared" si="41"/>
        <v>-1392</v>
      </c>
      <c r="AA83" s="27">
        <f t="shared" si="41"/>
        <v>0</v>
      </c>
      <c r="AB83" s="27">
        <f t="shared" si="41"/>
        <v>0</v>
      </c>
      <c r="AC83" s="27">
        <f t="shared" si="41"/>
        <v>0</v>
      </c>
      <c r="AD83" s="27">
        <f t="shared" si="41"/>
        <v>0</v>
      </c>
      <c r="AE83" s="27">
        <f t="shared" si="41"/>
        <v>0</v>
      </c>
      <c r="AF83" s="27">
        <f t="shared" si="41"/>
        <v>0</v>
      </c>
      <c r="AG83" s="180"/>
      <c r="AH83" s="1012"/>
      <c r="AI83" s="1433"/>
      <c r="AJ83" s="180"/>
      <c r="AK83" s="227"/>
      <c r="AL83" s="227"/>
      <c r="AM83" s="227"/>
      <c r="AN83" s="180"/>
      <c r="AO83" s="180"/>
      <c r="AP83" s="180"/>
      <c r="AQ83" s="180"/>
      <c r="AR83" s="180"/>
      <c r="AS83" s="180"/>
    </row>
    <row r="84" spans="1:45">
      <c r="A84" s="4"/>
      <c r="B84" s="4"/>
      <c r="C84" s="4"/>
      <c r="D84" s="4"/>
      <c r="E84" s="4"/>
      <c r="F84" s="4"/>
      <c r="G84" s="4"/>
      <c r="H84" s="4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301"/>
      <c r="W84" s="301"/>
      <c r="X84" s="180"/>
      <c r="Y84" s="180"/>
      <c r="Z84" s="180"/>
      <c r="AA84" s="223">
        <f>'Cashflow Statement'!AA57</f>
        <v>3613.1854263217751</v>
      </c>
      <c r="AB84" s="223">
        <f>'Cashflow Statement'!AB57</f>
        <v>4332.1968154349925</v>
      </c>
      <c r="AC84" s="223">
        <f>'Cashflow Statement'!AC57</f>
        <v>4940.4466821238366</v>
      </c>
      <c r="AD84" s="223">
        <f>'Cashflow Statement'!AD57</f>
        <v>5589.2571500394397</v>
      </c>
      <c r="AE84" s="223">
        <f>'Cashflow Statement'!AE57</f>
        <v>6076.0778047832791</v>
      </c>
      <c r="AF84" s="223">
        <f>'Cashflow Statement'!AF57</f>
        <v>6537.6130455842185</v>
      </c>
      <c r="AG84" s="180"/>
      <c r="AH84" s="1012"/>
      <c r="AI84" s="1433"/>
      <c r="AJ84" s="180"/>
      <c r="AK84" s="227"/>
      <c r="AL84" s="227"/>
      <c r="AM84" s="227"/>
      <c r="AN84" s="180"/>
      <c r="AO84" s="180"/>
      <c r="AP84" s="180"/>
      <c r="AQ84" s="180"/>
      <c r="AR84" s="180"/>
      <c r="AS84" s="180"/>
    </row>
    <row r="85" spans="1:45">
      <c r="A85" s="4" t="s">
        <v>1480</v>
      </c>
      <c r="B85" s="298"/>
      <c r="C85" s="298"/>
      <c r="D85" s="298"/>
      <c r="E85" s="298"/>
      <c r="F85" s="298"/>
      <c r="G85" s="298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194">
        <v>3905</v>
      </c>
      <c r="U85" s="194">
        <v>4313</v>
      </c>
      <c r="V85" s="194">
        <v>4142</v>
      </c>
      <c r="W85" s="194">
        <v>4450</v>
      </c>
      <c r="X85" s="194">
        <v>5101</v>
      </c>
      <c r="Y85" s="194">
        <v>5818</v>
      </c>
      <c r="Z85" s="194">
        <v>6459</v>
      </c>
      <c r="AA85" s="27"/>
      <c r="AB85" s="27"/>
      <c r="AC85" s="27"/>
      <c r="AD85" s="27"/>
      <c r="AE85" s="27"/>
      <c r="AF85" s="27"/>
      <c r="AG85" s="180"/>
      <c r="AH85" s="1012"/>
      <c r="AI85" s="1433"/>
      <c r="AJ85" s="180"/>
      <c r="AK85" s="227"/>
      <c r="AL85" s="227"/>
      <c r="AM85" s="227"/>
      <c r="AN85" s="180"/>
      <c r="AO85" s="180"/>
      <c r="AP85" s="180"/>
      <c r="AQ85" s="180"/>
      <c r="AR85" s="180"/>
      <c r="AS85" s="180"/>
    </row>
    <row r="86" spans="1:45">
      <c r="A86" s="295" t="s">
        <v>1481</v>
      </c>
      <c r="B86" s="4"/>
      <c r="C86" s="4"/>
      <c r="D86" s="4"/>
      <c r="E86" s="4"/>
      <c r="F86" s="4"/>
      <c r="G86" s="4"/>
      <c r="H86" s="4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23"/>
      <c r="V86" s="223">
        <v>3600</v>
      </c>
      <c r="W86" s="223"/>
      <c r="X86" s="223"/>
      <c r="Y86" s="1098"/>
      <c r="Z86" s="1098"/>
      <c r="AA86" s="223"/>
      <c r="AB86" s="223"/>
      <c r="AC86" s="223"/>
      <c r="AD86" s="223"/>
      <c r="AE86" s="223"/>
      <c r="AF86" s="223"/>
      <c r="AG86" s="180"/>
      <c r="AH86" s="1012"/>
      <c r="AI86" s="1433"/>
      <c r="AJ86" s="180"/>
      <c r="AK86" s="227"/>
      <c r="AL86" s="227"/>
      <c r="AM86" s="227"/>
      <c r="AN86" s="180"/>
      <c r="AO86" s="180"/>
      <c r="AP86" s="180"/>
      <c r="AQ86" s="180"/>
      <c r="AR86" s="180"/>
      <c r="AS86" s="180"/>
    </row>
    <row r="87" spans="1:45">
      <c r="A87" s="295" t="s">
        <v>1482</v>
      </c>
      <c r="B87" s="4"/>
      <c r="C87" s="4"/>
      <c r="D87" s="4"/>
      <c r="E87" s="4"/>
      <c r="F87" s="4"/>
      <c r="G87" s="4"/>
      <c r="H87" s="4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23"/>
      <c r="V87" s="223">
        <f>V85-V86</f>
        <v>542</v>
      </c>
      <c r="W87" s="223">
        <f>V87*1.1</f>
        <v>596.20000000000005</v>
      </c>
      <c r="X87" s="223">
        <f>W87*1.1</f>
        <v>655.82</v>
      </c>
      <c r="Y87" s="223">
        <f>X87*1.1</f>
        <v>721.40200000000016</v>
      </c>
      <c r="Z87" s="223">
        <f>Y87*1.1</f>
        <v>793.54220000000021</v>
      </c>
      <c r="AA87" s="223">
        <f>Z87*1.1</f>
        <v>872.89642000000026</v>
      </c>
      <c r="AB87" s="223"/>
      <c r="AC87" s="223"/>
      <c r="AD87" s="223"/>
      <c r="AE87" s="223"/>
      <c r="AF87" s="223"/>
      <c r="AG87" s="180"/>
      <c r="AH87" s="1012"/>
      <c r="AI87" s="1433"/>
      <c r="AJ87" s="180"/>
      <c r="AK87" s="227"/>
      <c r="AL87" s="227"/>
      <c r="AM87" s="227"/>
      <c r="AN87" s="180"/>
      <c r="AO87" s="180"/>
      <c r="AP87" s="180"/>
      <c r="AQ87" s="180"/>
      <c r="AR87" s="180"/>
      <c r="AS87" s="180"/>
    </row>
    <row r="88" spans="1:45">
      <c r="A88" s="243" t="s">
        <v>780</v>
      </c>
      <c r="B88" s="257">
        <f t="shared" ref="B88:H88" si="42">B2</f>
        <v>2000</v>
      </c>
      <c r="C88" s="257">
        <f t="shared" si="42"/>
        <v>2001</v>
      </c>
      <c r="D88" s="257">
        <f t="shared" si="42"/>
        <v>2002</v>
      </c>
      <c r="E88" s="257">
        <f t="shared" si="42"/>
        <v>2003</v>
      </c>
      <c r="F88" s="257">
        <f t="shared" si="42"/>
        <v>2004</v>
      </c>
      <c r="G88" s="257">
        <f t="shared" si="42"/>
        <v>2005</v>
      </c>
      <c r="H88" s="257">
        <f t="shared" si="42"/>
        <v>2006</v>
      </c>
      <c r="I88" s="257">
        <f>I2</f>
        <v>2007</v>
      </c>
      <c r="J88" s="257">
        <f t="shared" ref="J88:Z88" si="43">J2</f>
        <v>2008</v>
      </c>
      <c r="K88" s="257">
        <f t="shared" si="43"/>
        <v>2009</v>
      </c>
      <c r="L88" s="257">
        <f t="shared" si="43"/>
        <v>2010</v>
      </c>
      <c r="M88" s="257">
        <f t="shared" si="43"/>
        <v>2011</v>
      </c>
      <c r="N88" s="257">
        <f t="shared" si="43"/>
        <v>2012</v>
      </c>
      <c r="O88" s="257">
        <f t="shared" si="43"/>
        <v>2013</v>
      </c>
      <c r="P88" s="257">
        <f t="shared" si="43"/>
        <v>2014</v>
      </c>
      <c r="Q88" s="257">
        <f t="shared" si="43"/>
        <v>2015</v>
      </c>
      <c r="R88" s="257">
        <f t="shared" si="43"/>
        <v>2016</v>
      </c>
      <c r="S88" s="257">
        <f t="shared" si="43"/>
        <v>2017</v>
      </c>
      <c r="T88" s="257">
        <f t="shared" si="43"/>
        <v>2018</v>
      </c>
      <c r="U88" s="257">
        <f t="shared" si="43"/>
        <v>2019</v>
      </c>
      <c r="V88" s="257">
        <f t="shared" si="43"/>
        <v>2020</v>
      </c>
      <c r="W88" s="257">
        <f t="shared" si="43"/>
        <v>2021</v>
      </c>
      <c r="X88" s="257">
        <f t="shared" si="43"/>
        <v>2022</v>
      </c>
      <c r="Y88" s="257">
        <f t="shared" si="43"/>
        <v>2023</v>
      </c>
      <c r="Z88" s="257">
        <f t="shared" si="43"/>
        <v>2024</v>
      </c>
      <c r="AA88" s="945">
        <f>Z88+1</f>
        <v>2025</v>
      </c>
      <c r="AB88" s="945">
        <f t="shared" ref="AB88:AF88" si="44">AA88+1</f>
        <v>2026</v>
      </c>
      <c r="AC88" s="945">
        <f t="shared" si="44"/>
        <v>2027</v>
      </c>
      <c r="AD88" s="945">
        <f t="shared" si="44"/>
        <v>2028</v>
      </c>
      <c r="AE88" s="945">
        <f t="shared" si="44"/>
        <v>2029</v>
      </c>
      <c r="AF88" s="945">
        <f t="shared" si="44"/>
        <v>2030</v>
      </c>
      <c r="AG88" s="180"/>
      <c r="AH88" s="1012"/>
      <c r="AI88" s="1433"/>
      <c r="AJ88" s="180"/>
      <c r="AK88" s="227"/>
      <c r="AL88" s="227"/>
      <c r="AM88" s="227"/>
      <c r="AN88" s="180"/>
      <c r="AO88" s="180"/>
      <c r="AP88" s="180"/>
      <c r="AQ88" s="180"/>
      <c r="AR88" s="180"/>
      <c r="AS88" s="180"/>
    </row>
    <row r="89" spans="1:45">
      <c r="A89" s="19" t="str">
        <f>A30</f>
        <v>Borrowings subject to specific conditions</v>
      </c>
      <c r="B89" s="19"/>
      <c r="C89" s="19"/>
      <c r="D89" s="19"/>
      <c r="E89" s="19"/>
      <c r="F89" s="19"/>
      <c r="G89" s="19"/>
      <c r="H89" s="19"/>
      <c r="I89" s="247">
        <f t="shared" ref="I89:Q89" si="45">I30</f>
        <v>-590</v>
      </c>
      <c r="J89" s="247">
        <f t="shared" si="45"/>
        <v>-698</v>
      </c>
      <c r="K89" s="247">
        <f t="shared" si="45"/>
        <v>-696</v>
      </c>
      <c r="L89" s="247">
        <f t="shared" si="45"/>
        <v>-701</v>
      </c>
      <c r="M89" s="247">
        <f t="shared" si="45"/>
        <v>-682</v>
      </c>
      <c r="N89" s="247">
        <f t="shared" si="45"/>
        <v>-670</v>
      </c>
      <c r="O89" s="247">
        <f t="shared" si="45"/>
        <v>-670</v>
      </c>
      <c r="P89" s="247">
        <f t="shared" si="45"/>
        <v>-713</v>
      </c>
      <c r="Q89" s="247">
        <f t="shared" si="45"/>
        <v>-708</v>
      </c>
      <c r="R89" s="247">
        <f t="shared" ref="R89:AF89" si="46">R30</f>
        <v>-699</v>
      </c>
      <c r="S89" s="247">
        <f t="shared" si="46"/>
        <v>-569</v>
      </c>
      <c r="T89" s="247">
        <f t="shared" si="46"/>
        <v>-585</v>
      </c>
      <c r="U89" s="247">
        <f t="shared" si="46"/>
        <v>-505</v>
      </c>
      <c r="V89" s="247">
        <f t="shared" si="46"/>
        <v>-426</v>
      </c>
      <c r="W89" s="247">
        <f t="shared" si="46"/>
        <v>-327</v>
      </c>
      <c r="X89" s="247">
        <f t="shared" si="46"/>
        <v>-302</v>
      </c>
      <c r="Y89" s="247">
        <f t="shared" si="46"/>
        <v>-292</v>
      </c>
      <c r="Z89" s="247">
        <f t="shared" si="46"/>
        <v>-287</v>
      </c>
      <c r="AA89" s="247">
        <f t="shared" si="46"/>
        <v>-287</v>
      </c>
      <c r="AB89" s="247">
        <f t="shared" si="46"/>
        <v>-287</v>
      </c>
      <c r="AC89" s="247">
        <f t="shared" si="46"/>
        <v>-287</v>
      </c>
      <c r="AD89" s="247">
        <f t="shared" si="46"/>
        <v>-287</v>
      </c>
      <c r="AE89" s="247">
        <f t="shared" si="46"/>
        <v>-287</v>
      </c>
      <c r="AF89" s="247">
        <f t="shared" si="46"/>
        <v>-287</v>
      </c>
      <c r="AG89" s="180"/>
      <c r="AH89" s="1012"/>
      <c r="AI89" s="1433"/>
      <c r="AJ89" s="180"/>
      <c r="AK89" s="227"/>
      <c r="AL89" s="227"/>
      <c r="AM89" s="227"/>
      <c r="AN89" s="180"/>
      <c r="AO89" s="180"/>
      <c r="AP89" s="180"/>
      <c r="AQ89" s="180"/>
      <c r="AR89" s="180"/>
      <c r="AS89" s="180"/>
    </row>
    <row r="90" spans="1:45">
      <c r="A90" s="19" t="str">
        <f>A31</f>
        <v>Non-current interest-bearing financial liabilities</v>
      </c>
      <c r="B90" s="19"/>
      <c r="C90" s="19"/>
      <c r="D90" s="19"/>
      <c r="E90" s="19"/>
      <c r="F90" s="19"/>
      <c r="G90" s="19"/>
      <c r="H90" s="19"/>
      <c r="I90" s="247">
        <f t="shared" ref="I90:Q90" si="47">I31</f>
        <v>-397</v>
      </c>
      <c r="J90" s="247">
        <f t="shared" si="47"/>
        <v>-418</v>
      </c>
      <c r="K90" s="247">
        <f t="shared" si="47"/>
        <v>-1208</v>
      </c>
      <c r="L90" s="247">
        <f t="shared" si="47"/>
        <v>-1483</v>
      </c>
      <c r="M90" s="247">
        <f t="shared" si="47"/>
        <v>-1447</v>
      </c>
      <c r="N90" s="247">
        <f t="shared" si="47"/>
        <v>-2259</v>
      </c>
      <c r="O90" s="247">
        <f t="shared" si="47"/>
        <v>-1301</v>
      </c>
      <c r="P90" s="247">
        <f t="shared" si="47"/>
        <v>-1658</v>
      </c>
      <c r="Q90" s="247">
        <f t="shared" si="47"/>
        <v>-1752</v>
      </c>
      <c r="R90" s="247">
        <f t="shared" ref="R90:AF90" si="48">R31</f>
        <v>-2392</v>
      </c>
      <c r="S90" s="247">
        <f t="shared" si="48"/>
        <v>-3246</v>
      </c>
      <c r="T90" s="247">
        <f t="shared" si="48"/>
        <v>-3384</v>
      </c>
      <c r="U90" s="247">
        <f t="shared" si="48"/>
        <v>-3239</v>
      </c>
      <c r="V90" s="247">
        <f t="shared" si="48"/>
        <v>-4082</v>
      </c>
      <c r="W90" s="247">
        <f t="shared" si="48"/>
        <v>-5094</v>
      </c>
      <c r="X90" s="247">
        <f t="shared" si="48"/>
        <v>-5378</v>
      </c>
      <c r="Y90" s="247">
        <f t="shared" si="48"/>
        <v>-4691</v>
      </c>
      <c r="Z90" s="247">
        <f t="shared" si="48"/>
        <v>-3788</v>
      </c>
      <c r="AA90" s="247">
        <f t="shared" si="48"/>
        <v>-3788</v>
      </c>
      <c r="AB90" s="247">
        <f t="shared" si="48"/>
        <v>-3788</v>
      </c>
      <c r="AC90" s="247">
        <f t="shared" si="48"/>
        <v>-3788</v>
      </c>
      <c r="AD90" s="247">
        <f t="shared" si="48"/>
        <v>-3788</v>
      </c>
      <c r="AE90" s="247">
        <f t="shared" si="48"/>
        <v>-3788</v>
      </c>
      <c r="AF90" s="247">
        <f t="shared" si="48"/>
        <v>-3788</v>
      </c>
      <c r="AG90" s="180"/>
      <c r="AH90" s="1012"/>
      <c r="AI90" s="1433"/>
      <c r="AJ90" s="180"/>
      <c r="AK90" s="227"/>
      <c r="AL90" s="227"/>
      <c r="AM90" s="227"/>
      <c r="AN90" s="180"/>
      <c r="AO90" s="180"/>
      <c r="AP90" s="180"/>
      <c r="AQ90" s="180"/>
      <c r="AR90" s="180"/>
      <c r="AS90" s="180"/>
    </row>
    <row r="91" spans="1:45">
      <c r="A91" s="19" t="str">
        <f>A39</f>
        <v>Interest-bearing current financial liabilities</v>
      </c>
      <c r="B91" s="19"/>
      <c r="C91" s="19"/>
      <c r="D91" s="19"/>
      <c r="E91" s="19"/>
      <c r="F91" s="19"/>
      <c r="G91" s="19"/>
      <c r="H91" s="19"/>
      <c r="I91" s="247">
        <f t="shared" ref="I91:Q91" si="49">I39</f>
        <v>-502</v>
      </c>
      <c r="J91" s="247">
        <f t="shared" si="49"/>
        <v>-1136</v>
      </c>
      <c r="K91" s="247">
        <f t="shared" si="49"/>
        <v>-1367</v>
      </c>
      <c r="L91" s="247">
        <f t="shared" si="49"/>
        <v>-568</v>
      </c>
      <c r="M91" s="247">
        <f t="shared" si="49"/>
        <v>-998</v>
      </c>
      <c r="N91" s="247">
        <f t="shared" si="49"/>
        <v>-916</v>
      </c>
      <c r="O91" s="247">
        <f t="shared" si="49"/>
        <v>-1435</v>
      </c>
      <c r="P91" s="247">
        <f t="shared" si="49"/>
        <v>-1507</v>
      </c>
      <c r="Q91" s="247">
        <f t="shared" si="49"/>
        <v>-876</v>
      </c>
      <c r="R91" s="247">
        <f t="shared" ref="R91:AF91" si="50">R39</f>
        <v>-945</v>
      </c>
      <c r="S91" s="247">
        <f t="shared" si="50"/>
        <v>-1390</v>
      </c>
      <c r="T91" s="247">
        <f t="shared" si="50"/>
        <v>-2221</v>
      </c>
      <c r="U91" s="247">
        <f t="shared" si="50"/>
        <v>-3540</v>
      </c>
      <c r="V91" s="247">
        <f t="shared" si="50"/>
        <v>-2509</v>
      </c>
      <c r="W91" s="247">
        <f t="shared" si="50"/>
        <v>-1720</v>
      </c>
      <c r="X91" s="247">
        <f t="shared" si="50"/>
        <v>-1277</v>
      </c>
      <c r="Y91" s="247">
        <f t="shared" si="50"/>
        <v>-1608</v>
      </c>
      <c r="Z91" s="247">
        <f t="shared" si="50"/>
        <v>-988</v>
      </c>
      <c r="AA91" s="247">
        <f t="shared" si="50"/>
        <v>-988</v>
      </c>
      <c r="AB91" s="247">
        <f t="shared" si="50"/>
        <v>-988</v>
      </c>
      <c r="AC91" s="247">
        <f t="shared" si="50"/>
        <v>-988</v>
      </c>
      <c r="AD91" s="247">
        <f t="shared" si="50"/>
        <v>-988</v>
      </c>
      <c r="AE91" s="247">
        <f t="shared" si="50"/>
        <v>-988</v>
      </c>
      <c r="AF91" s="247">
        <f t="shared" si="50"/>
        <v>-988</v>
      </c>
      <c r="AG91" s="180"/>
      <c r="AH91" s="1012"/>
      <c r="AI91" s="1433"/>
      <c r="AJ91" s="180"/>
      <c r="AK91" s="227"/>
      <c r="AL91" s="227"/>
      <c r="AM91" s="227"/>
      <c r="AN91" s="180"/>
      <c r="AO91" s="180"/>
      <c r="AP91" s="180"/>
      <c r="AQ91" s="180"/>
      <c r="AR91" s="180"/>
      <c r="AS91" s="180"/>
    </row>
    <row r="92" spans="1:45">
      <c r="A92" s="19" t="str">
        <f>A23</f>
        <v>Cash and Cash equivalents</v>
      </c>
      <c r="B92" s="19"/>
      <c r="C92" s="19"/>
      <c r="D92" s="19"/>
      <c r="E92" s="19"/>
      <c r="F92" s="19"/>
      <c r="G92" s="19"/>
      <c r="H92" s="19"/>
      <c r="I92" s="247">
        <f t="shared" ref="I92:Q92" si="51">I23</f>
        <v>730</v>
      </c>
      <c r="J92" s="247">
        <f t="shared" si="51"/>
        <v>919</v>
      </c>
      <c r="K92" s="247">
        <f t="shared" si="51"/>
        <v>2080</v>
      </c>
      <c r="L92" s="247">
        <f t="shared" si="51"/>
        <v>2062</v>
      </c>
      <c r="M92" s="247">
        <f t="shared" si="51"/>
        <v>1431</v>
      </c>
      <c r="N92" s="247">
        <f t="shared" si="51"/>
        <v>2193</v>
      </c>
      <c r="O92" s="247">
        <f t="shared" si="51"/>
        <v>1547</v>
      </c>
      <c r="P92" s="247">
        <f t="shared" si="51"/>
        <v>1633</v>
      </c>
      <c r="Q92" s="247">
        <f t="shared" si="51"/>
        <v>1845</v>
      </c>
      <c r="R92" s="247">
        <f t="shared" ref="R92:AF92" si="52">R23</f>
        <v>1926</v>
      </c>
      <c r="S92" s="247">
        <f t="shared" si="52"/>
        <v>4914</v>
      </c>
      <c r="T92" s="247">
        <f t="shared" si="52"/>
        <v>2330</v>
      </c>
      <c r="U92" s="247">
        <f t="shared" si="52"/>
        <v>2632</v>
      </c>
      <c r="V92" s="247">
        <f t="shared" si="52"/>
        <v>3747</v>
      </c>
      <c r="W92" s="247">
        <f t="shared" si="52"/>
        <v>5247</v>
      </c>
      <c r="X92" s="247">
        <f t="shared" si="52"/>
        <v>6687</v>
      </c>
      <c r="Y92" s="247">
        <f t="shared" si="52"/>
        <v>6676</v>
      </c>
      <c r="Z92" s="247">
        <f t="shared" si="52"/>
        <v>6514</v>
      </c>
      <c r="AA92" s="247">
        <f t="shared" si="52"/>
        <v>7326.351789321775</v>
      </c>
      <c r="AB92" s="247">
        <f t="shared" si="52"/>
        <v>8656.394366591212</v>
      </c>
      <c r="AC92" s="247">
        <f t="shared" si="52"/>
        <v>10191.541719840305</v>
      </c>
      <c r="AD92" s="247">
        <f t="shared" si="52"/>
        <v>12126.354601135188</v>
      </c>
      <c r="AE92" s="247">
        <f t="shared" si="52"/>
        <v>15580.022431859103</v>
      </c>
      <c r="AF92" s="247">
        <f t="shared" si="52"/>
        <v>19331.617563934884</v>
      </c>
      <c r="AG92" s="180"/>
      <c r="AH92" s="1012"/>
      <c r="AI92" s="1433"/>
      <c r="AJ92" s="180"/>
      <c r="AK92" s="227"/>
      <c r="AL92" s="227"/>
      <c r="AM92" s="227"/>
      <c r="AN92" s="180"/>
      <c r="AO92" s="180"/>
      <c r="AP92" s="180"/>
      <c r="AQ92" s="180"/>
      <c r="AR92" s="180"/>
      <c r="AS92" s="180"/>
    </row>
    <row r="93" spans="1:45">
      <c r="A93" s="181" t="s">
        <v>1662</v>
      </c>
      <c r="B93" s="245"/>
      <c r="C93" s="245"/>
      <c r="D93" s="245"/>
      <c r="E93" s="245"/>
      <c r="F93" s="245"/>
      <c r="G93" s="245"/>
      <c r="H93" s="247"/>
      <c r="I93" s="247">
        <f t="shared" ref="I93" si="53">SUM(I89:I92)</f>
        <v>-759</v>
      </c>
      <c r="J93" s="247">
        <f t="shared" ref="J93" si="54">SUM(J89:J92)</f>
        <v>-1333</v>
      </c>
      <c r="K93" s="247">
        <f t="shared" ref="K93" si="55">SUM(K89:K92)</f>
        <v>-1191</v>
      </c>
      <c r="L93" s="247">
        <f t="shared" ref="L93" si="56">SUM(L89:L92)</f>
        <v>-690</v>
      </c>
      <c r="M93" s="247">
        <f t="shared" ref="M93" si="57">SUM(M89:M92)</f>
        <v>-1696</v>
      </c>
      <c r="N93" s="247">
        <f t="shared" ref="N93" si="58">SUM(N89:N92)</f>
        <v>-1652</v>
      </c>
      <c r="O93" s="247">
        <f t="shared" ref="O93" si="59">SUM(O89:O92)</f>
        <v>-1859</v>
      </c>
      <c r="P93" s="247">
        <f t="shared" ref="P93" si="60">SUM(P89:P92)</f>
        <v>-2245</v>
      </c>
      <c r="Q93" s="247">
        <f t="shared" ref="Q93" si="61">SUM(Q89:Q92)</f>
        <v>-1491</v>
      </c>
      <c r="R93" s="247">
        <f t="shared" ref="R93:Z93" si="62">SUM(R89:R92)</f>
        <v>-2110</v>
      </c>
      <c r="S93" s="247">
        <f t="shared" si="62"/>
        <v>-291</v>
      </c>
      <c r="T93" s="247">
        <f t="shared" si="62"/>
        <v>-3860</v>
      </c>
      <c r="U93" s="247">
        <f t="shared" si="62"/>
        <v>-4652</v>
      </c>
      <c r="V93" s="247">
        <f t="shared" si="62"/>
        <v>-3270</v>
      </c>
      <c r="W93" s="247">
        <f t="shared" si="62"/>
        <v>-1894</v>
      </c>
      <c r="X93" s="247">
        <f t="shared" si="62"/>
        <v>-270</v>
      </c>
      <c r="Y93" s="247">
        <f t="shared" si="62"/>
        <v>85</v>
      </c>
      <c r="Z93" s="247">
        <f t="shared" si="62"/>
        <v>1451</v>
      </c>
      <c r="AA93" s="247">
        <f>SUM(AA89:AA92)</f>
        <v>2263.351789321775</v>
      </c>
      <c r="AB93" s="247">
        <f t="shared" ref="AB93:AF93" si="63">SUM(AB89:AB92)</f>
        <v>3593.394366591212</v>
      </c>
      <c r="AC93" s="247">
        <f t="shared" si="63"/>
        <v>5128.5417198403047</v>
      </c>
      <c r="AD93" s="247">
        <f t="shared" si="63"/>
        <v>7063.3546011351882</v>
      </c>
      <c r="AE93" s="247">
        <f t="shared" si="63"/>
        <v>10517.022431859103</v>
      </c>
      <c r="AF93" s="247">
        <f t="shared" si="63"/>
        <v>14268.617563934884</v>
      </c>
      <c r="AG93" s="180"/>
      <c r="AH93" s="1012"/>
      <c r="AI93" s="1433"/>
      <c r="AJ93" s="180"/>
      <c r="AK93" s="227"/>
      <c r="AL93" s="227"/>
      <c r="AM93" s="227"/>
      <c r="AN93" s="180"/>
      <c r="AO93" s="180"/>
      <c r="AP93" s="180"/>
      <c r="AQ93" s="180"/>
      <c r="AR93" s="180"/>
      <c r="AS93" s="180"/>
    </row>
    <row r="94" spans="1:45">
      <c r="A94" s="181" t="s">
        <v>1663</v>
      </c>
      <c r="B94" s="245"/>
      <c r="C94" s="245"/>
      <c r="D94" s="245"/>
      <c r="E94" s="245"/>
      <c r="F94" s="245"/>
      <c r="G94" s="245"/>
      <c r="H94" s="247"/>
      <c r="I94" s="247">
        <f t="shared" ref="I94" si="64">AVERAGE(H93:I93)</f>
        <v>-759</v>
      </c>
      <c r="J94" s="247">
        <f t="shared" ref="J94" si="65">AVERAGE(I93:J93)</f>
        <v>-1046</v>
      </c>
      <c r="K94" s="247">
        <f t="shared" ref="K94" si="66">AVERAGE(J93:K93)</f>
        <v>-1262</v>
      </c>
      <c r="L94" s="247">
        <f t="shared" ref="L94" si="67">AVERAGE(K93:L93)</f>
        <v>-940.5</v>
      </c>
      <c r="M94" s="247">
        <f t="shared" ref="M94" si="68">AVERAGE(L93:M93)</f>
        <v>-1193</v>
      </c>
      <c r="N94" s="247">
        <f t="shared" ref="N94" si="69">AVERAGE(M93:N93)</f>
        <v>-1674</v>
      </c>
      <c r="O94" s="247">
        <f t="shared" ref="O94" si="70">AVERAGE(N93:O93)</f>
        <v>-1755.5</v>
      </c>
      <c r="P94" s="247">
        <f t="shared" ref="P94" si="71">AVERAGE(O93:P93)</f>
        <v>-2052</v>
      </c>
      <c r="Q94" s="247">
        <f t="shared" ref="Q94" si="72">AVERAGE(P93:Q93)</f>
        <v>-1868</v>
      </c>
      <c r="R94" s="247">
        <f t="shared" ref="R94:AF94" si="73">AVERAGE(Q93:R93)</f>
        <v>-1800.5</v>
      </c>
      <c r="S94" s="247">
        <f t="shared" si="73"/>
        <v>-1200.5</v>
      </c>
      <c r="T94" s="247">
        <f t="shared" si="73"/>
        <v>-2075.5</v>
      </c>
      <c r="U94" s="247">
        <f t="shared" si="73"/>
        <v>-4256</v>
      </c>
      <c r="V94" s="247">
        <f t="shared" si="73"/>
        <v>-3961</v>
      </c>
      <c r="W94" s="247">
        <f t="shared" si="73"/>
        <v>-2582</v>
      </c>
      <c r="X94" s="247">
        <f t="shared" si="73"/>
        <v>-1082</v>
      </c>
      <c r="Y94" s="247">
        <f t="shared" si="73"/>
        <v>-92.5</v>
      </c>
      <c r="Z94" s="247">
        <f t="shared" si="73"/>
        <v>768</v>
      </c>
      <c r="AA94" s="247">
        <f t="shared" si="73"/>
        <v>1857.1758946608875</v>
      </c>
      <c r="AB94" s="247">
        <f t="shared" si="73"/>
        <v>2928.3730779564935</v>
      </c>
      <c r="AC94" s="247">
        <f t="shared" si="73"/>
        <v>4360.9680432157584</v>
      </c>
      <c r="AD94" s="247">
        <f t="shared" si="73"/>
        <v>6095.9481604877465</v>
      </c>
      <c r="AE94" s="247">
        <f t="shared" si="73"/>
        <v>8790.1885164971463</v>
      </c>
      <c r="AF94" s="247">
        <f t="shared" si="73"/>
        <v>12392.819997896993</v>
      </c>
      <c r="AG94" s="180"/>
      <c r="AH94" s="1012"/>
      <c r="AI94" s="1433"/>
      <c r="AJ94" s="180"/>
      <c r="AK94" s="227"/>
      <c r="AL94" s="227"/>
      <c r="AM94" s="227"/>
      <c r="AN94" s="180"/>
      <c r="AO94" s="180"/>
      <c r="AP94" s="180"/>
      <c r="AQ94" s="180"/>
      <c r="AR94" s="180"/>
      <c r="AS94" s="180"/>
    </row>
    <row r="95" spans="1:45">
      <c r="A95" s="19"/>
      <c r="B95" s="19"/>
      <c r="C95" s="19"/>
      <c r="D95" s="19"/>
      <c r="E95" s="19"/>
      <c r="F95" s="19"/>
      <c r="G95" s="19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  <c r="AA95" s="247"/>
      <c r="AB95" s="247"/>
      <c r="AC95" s="247"/>
      <c r="AD95" s="247"/>
      <c r="AE95" s="247"/>
      <c r="AF95" s="247"/>
      <c r="AG95" s="180"/>
      <c r="AH95" s="1012"/>
      <c r="AI95" s="1433"/>
      <c r="AJ95" s="180"/>
      <c r="AK95" s="227"/>
      <c r="AL95" s="227"/>
      <c r="AM95" s="227"/>
      <c r="AN95" s="180"/>
      <c r="AO95" s="180"/>
      <c r="AP95" s="180"/>
      <c r="AQ95" s="180"/>
      <c r="AR95" s="180"/>
      <c r="AS95" s="180"/>
    </row>
    <row r="96" spans="1:45">
      <c r="A96" s="19" t="s">
        <v>689</v>
      </c>
      <c r="B96" s="245"/>
      <c r="C96" s="245"/>
      <c r="D96" s="245"/>
      <c r="E96" s="245"/>
      <c r="F96" s="245"/>
      <c r="G96" s="245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>
        <f>'Income Statement'!R193</f>
        <v>3130</v>
      </c>
      <c r="S96" s="247">
        <f>'Income Statement'!S193</f>
        <v>2980</v>
      </c>
      <c r="T96" s="247">
        <f>'Income Statement'!T193</f>
        <v>4232</v>
      </c>
      <c r="U96" s="247">
        <f>'Income Statement'!U193</f>
        <v>5283</v>
      </c>
      <c r="V96" s="247">
        <f>'Income Statement'!V193</f>
        <v>3133</v>
      </c>
      <c r="W96" s="247">
        <f>'Income Statement'!W193</f>
        <v>3185</v>
      </c>
      <c r="X96" s="247">
        <f>'Income Statement'!X193</f>
        <v>3781</v>
      </c>
      <c r="Y96" s="247">
        <f>'Income Statement'!Y193</f>
        <v>4502</v>
      </c>
      <c r="Z96" s="247">
        <f>'Income Statement'!Z193</f>
        <v>5525</v>
      </c>
      <c r="AA96" s="273">
        <f>'Income Statement'!AA193</f>
        <v>6817.9217981966813</v>
      </c>
      <c r="AB96" s="273">
        <f>'Income Statement'!AB193</f>
        <v>8022.2347485056607</v>
      </c>
      <c r="AC96" s="273">
        <f>'Income Statement'!AC193</f>
        <v>8969.0233108914472</v>
      </c>
      <c r="AD96" s="273">
        <f>'Income Statement'!AD193</f>
        <v>9846.2292422060036</v>
      </c>
      <c r="AE96" s="273">
        <f>'Income Statement'!AE193</f>
        <v>10498.094068669641</v>
      </c>
      <c r="AF96" s="273">
        <f>'Income Statement'!AF193</f>
        <v>11159.044834786295</v>
      </c>
      <c r="AG96" s="180"/>
      <c r="AH96" s="1012"/>
      <c r="AI96" s="1433"/>
      <c r="AJ96" s="180"/>
      <c r="AK96" s="227"/>
      <c r="AL96" s="227"/>
      <c r="AM96" s="227"/>
      <c r="AN96" s="180"/>
      <c r="AO96" s="180"/>
      <c r="AP96" s="180"/>
      <c r="AQ96" s="180"/>
      <c r="AR96" s="180"/>
      <c r="AS96" s="180"/>
    </row>
    <row r="97" spans="1:4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80"/>
      <c r="AH97" s="1012"/>
      <c r="AI97" s="1433"/>
      <c r="AJ97" s="180"/>
      <c r="AK97" s="227"/>
      <c r="AL97" s="227"/>
      <c r="AM97" s="227"/>
      <c r="AN97" s="180"/>
      <c r="AO97" s="180"/>
      <c r="AP97" s="180"/>
      <c r="AQ97" s="180"/>
      <c r="AR97" s="180"/>
      <c r="AS97" s="180"/>
    </row>
    <row r="98" spans="1:45">
      <c r="A98" s="19" t="s">
        <v>1681</v>
      </c>
      <c r="B98" s="302"/>
      <c r="C98" s="302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>
        <f t="shared" ref="R98:AF98" si="74">R93/R96</f>
        <v>-0.67412140575079871</v>
      </c>
      <c r="S98" s="302">
        <f t="shared" si="74"/>
        <v>-9.7651006711409402E-2</v>
      </c>
      <c r="T98" s="302">
        <f t="shared" si="74"/>
        <v>-0.91209829867674863</v>
      </c>
      <c r="U98" s="302">
        <f t="shared" si="74"/>
        <v>-0.88056028771531325</v>
      </c>
      <c r="V98" s="302">
        <f t="shared" si="74"/>
        <v>-1.043728056176189</v>
      </c>
      <c r="W98" s="302">
        <f t="shared" si="74"/>
        <v>-0.59466248037676606</v>
      </c>
      <c r="X98" s="302">
        <f t="shared" si="74"/>
        <v>-7.1409679978841581E-2</v>
      </c>
      <c r="Y98" s="302">
        <f t="shared" si="74"/>
        <v>1.8880497556641493E-2</v>
      </c>
      <c r="Z98" s="302">
        <f t="shared" si="74"/>
        <v>0.26262443438914029</v>
      </c>
      <c r="AA98" s="302">
        <f t="shared" si="74"/>
        <v>0.33197092256476518</v>
      </c>
      <c r="AB98" s="302">
        <f t="shared" si="74"/>
        <v>0.44792934627855041</v>
      </c>
      <c r="AC98" s="302">
        <f t="shared" si="74"/>
        <v>0.57180604198146179</v>
      </c>
      <c r="AD98" s="302">
        <f t="shared" si="74"/>
        <v>0.71736645850758962</v>
      </c>
      <c r="AE98" s="302">
        <f t="shared" si="74"/>
        <v>1.0018030285369561</v>
      </c>
      <c r="AF98" s="302">
        <f t="shared" si="74"/>
        <v>1.2786593991857673</v>
      </c>
      <c r="AG98" s="180"/>
      <c r="AH98" s="1012"/>
      <c r="AI98" s="1433"/>
      <c r="AJ98" s="180"/>
      <c r="AK98" s="227"/>
      <c r="AL98" s="227"/>
      <c r="AM98" s="227"/>
      <c r="AN98" s="180"/>
      <c r="AO98" s="180"/>
      <c r="AP98" s="180"/>
      <c r="AQ98" s="180"/>
      <c r="AR98" s="180"/>
      <c r="AS98" s="180"/>
    </row>
    <row r="99" spans="1:45">
      <c r="A99" s="19" t="s">
        <v>1682</v>
      </c>
      <c r="B99" s="302"/>
      <c r="C99" s="302"/>
      <c r="D99" s="302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>
        <f t="shared" ref="R99:AF99" si="75">R94/R96</f>
        <v>-0.57523961661341849</v>
      </c>
      <c r="S99" s="302">
        <f t="shared" si="75"/>
        <v>-0.40285234899328859</v>
      </c>
      <c r="T99" s="302">
        <f t="shared" si="75"/>
        <v>-0.49043005671077505</v>
      </c>
      <c r="U99" s="302">
        <f t="shared" si="75"/>
        <v>-0.80560287715313272</v>
      </c>
      <c r="V99" s="302">
        <f t="shared" si="75"/>
        <v>-1.2642834344079157</v>
      </c>
      <c r="W99" s="302">
        <f t="shared" si="75"/>
        <v>-0.81067503924646778</v>
      </c>
      <c r="X99" s="302">
        <f t="shared" si="75"/>
        <v>-0.28616768050780217</v>
      </c>
      <c r="Y99" s="302">
        <f t="shared" si="75"/>
        <v>-2.0546423811639271E-2</v>
      </c>
      <c r="Z99" s="302">
        <f t="shared" si="75"/>
        <v>0.13900452488687784</v>
      </c>
      <c r="AA99" s="302">
        <f t="shared" si="75"/>
        <v>0.27239618605659349</v>
      </c>
      <c r="AB99" s="302">
        <f t="shared" si="75"/>
        <v>0.36503208516828495</v>
      </c>
      <c r="AC99" s="302">
        <f t="shared" si="75"/>
        <v>0.48622552222827414</v>
      </c>
      <c r="AD99" s="302">
        <f t="shared" si="75"/>
        <v>0.61911499423123084</v>
      </c>
      <c r="AE99" s="302">
        <f t="shared" si="75"/>
        <v>0.837312797827794</v>
      </c>
      <c r="AF99" s="302">
        <f t="shared" si="75"/>
        <v>1.1105627929072055</v>
      </c>
      <c r="AG99" s="180"/>
      <c r="AH99" s="1012"/>
      <c r="AI99" s="1433"/>
      <c r="AJ99" s="180"/>
      <c r="AK99" s="227"/>
      <c r="AL99" s="227"/>
      <c r="AM99" s="227"/>
      <c r="AN99" s="180"/>
      <c r="AO99" s="180"/>
      <c r="AP99" s="180"/>
      <c r="AQ99" s="180"/>
      <c r="AR99" s="180"/>
      <c r="AS99" s="180"/>
    </row>
    <row r="100" spans="1:45">
      <c r="R100" s="302"/>
    </row>
    <row r="101" spans="1:45">
      <c r="A101" s="243" t="s">
        <v>1623</v>
      </c>
      <c r="B101" s="257">
        <f>B2</f>
        <v>2000</v>
      </c>
      <c r="C101" s="257">
        <f t="shared" ref="C101:Z101" si="76">C2</f>
        <v>2001</v>
      </c>
      <c r="D101" s="257">
        <f t="shared" si="76"/>
        <v>2002</v>
      </c>
      <c r="E101" s="257">
        <f t="shared" si="76"/>
        <v>2003</v>
      </c>
      <c r="F101" s="257">
        <f t="shared" si="76"/>
        <v>2004</v>
      </c>
      <c r="G101" s="257">
        <f t="shared" si="76"/>
        <v>2005</v>
      </c>
      <c r="H101" s="257">
        <f t="shared" si="76"/>
        <v>2006</v>
      </c>
      <c r="I101" s="257">
        <f t="shared" si="76"/>
        <v>2007</v>
      </c>
      <c r="J101" s="257">
        <f t="shared" si="76"/>
        <v>2008</v>
      </c>
      <c r="K101" s="257">
        <f t="shared" si="76"/>
        <v>2009</v>
      </c>
      <c r="L101" s="257">
        <f t="shared" si="76"/>
        <v>2010</v>
      </c>
      <c r="M101" s="257">
        <f t="shared" si="76"/>
        <v>2011</v>
      </c>
      <c r="N101" s="257">
        <f t="shared" si="76"/>
        <v>2012</v>
      </c>
      <c r="O101" s="257">
        <f t="shared" si="76"/>
        <v>2013</v>
      </c>
      <c r="P101" s="257">
        <f t="shared" si="76"/>
        <v>2014</v>
      </c>
      <c r="Q101" s="257">
        <f t="shared" si="76"/>
        <v>2015</v>
      </c>
      <c r="R101" s="257">
        <f t="shared" si="76"/>
        <v>2016</v>
      </c>
      <c r="S101" s="257">
        <f t="shared" si="76"/>
        <v>2017</v>
      </c>
      <c r="T101" s="257">
        <f t="shared" si="76"/>
        <v>2018</v>
      </c>
      <c r="U101" s="257">
        <f t="shared" si="76"/>
        <v>2019</v>
      </c>
      <c r="V101" s="257">
        <f t="shared" si="76"/>
        <v>2020</v>
      </c>
      <c r="W101" s="257">
        <f t="shared" si="76"/>
        <v>2021</v>
      </c>
      <c r="X101" s="257">
        <f t="shared" si="76"/>
        <v>2022</v>
      </c>
      <c r="Y101" s="257">
        <f t="shared" si="76"/>
        <v>2023</v>
      </c>
      <c r="Z101" s="257">
        <f t="shared" si="76"/>
        <v>2024</v>
      </c>
      <c r="AA101" s="945">
        <f>Z101+1</f>
        <v>2025</v>
      </c>
      <c r="AB101" s="945">
        <f t="shared" ref="AB101" si="77">AA101+1</f>
        <v>2026</v>
      </c>
      <c r="AC101" s="945">
        <f t="shared" ref="AC101" si="78">AB101+1</f>
        <v>2027</v>
      </c>
      <c r="AD101" s="945">
        <f t="shared" ref="AD101" si="79">AC101+1</f>
        <v>2028</v>
      </c>
      <c r="AE101" s="945">
        <f t="shared" ref="AE101" si="80">AD101+1</f>
        <v>2029</v>
      </c>
      <c r="AF101" s="945">
        <f t="shared" ref="AF101" si="81">AE101+1</f>
        <v>2030</v>
      </c>
      <c r="AG101" s="180"/>
      <c r="AH101" s="1012"/>
      <c r="AI101" s="1433"/>
      <c r="AJ101" s="180"/>
      <c r="AK101" s="227"/>
      <c r="AL101" s="227"/>
      <c r="AM101" s="227"/>
      <c r="AN101" s="180"/>
      <c r="AO101" s="180"/>
      <c r="AP101" s="180"/>
      <c r="AQ101" s="180"/>
      <c r="AR101" s="180"/>
      <c r="AS101" s="180"/>
    </row>
    <row r="102" spans="1:45">
      <c r="A102" s="19" t="s">
        <v>1667</v>
      </c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223">
        <f>'Income Statement'!S70</f>
        <v>2192</v>
      </c>
      <c r="T102" s="223">
        <f>'Income Statement'!T70</f>
        <v>3023</v>
      </c>
      <c r="U102" s="223">
        <f>'Income Statement'!U70</f>
        <v>3820</v>
      </c>
      <c r="V102" s="223">
        <f>'Income Statement'!V70</f>
        <v>1686</v>
      </c>
      <c r="W102" s="223">
        <f>'Income Statement'!W70</f>
        <v>1805</v>
      </c>
      <c r="X102" s="223">
        <f>'Income Statement'!X70</f>
        <v>2408</v>
      </c>
      <c r="Y102" s="223">
        <f>'Income Statement'!Y70</f>
        <v>3166</v>
      </c>
      <c r="Z102" s="223">
        <f>'Income Statement'!Z70</f>
        <v>4119</v>
      </c>
      <c r="AA102" s="223">
        <f>'Income Statement'!AA70</f>
        <v>5217.0942807667525</v>
      </c>
      <c r="AB102" s="223">
        <f>'Income Statement'!AB70</f>
        <v>6143.363786419126</v>
      </c>
      <c r="AC102" s="223">
        <f>'Income Statement'!AC70</f>
        <v>6980.0221694088314</v>
      </c>
      <c r="AD102" s="223">
        <f>'Income Statement'!AD70</f>
        <v>7702.6228418575593</v>
      </c>
      <c r="AE102" s="223">
        <f>'Income Statement'!AE70</f>
        <v>8235.9280636556377</v>
      </c>
      <c r="AF102" s="223">
        <f>'Income Statement'!AF70</f>
        <v>8787.0464606278074</v>
      </c>
    </row>
    <row r="103" spans="1:45">
      <c r="A103" s="19" t="s">
        <v>1624</v>
      </c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223">
        <f>'Income Statement'!S88</f>
        <v>-485</v>
      </c>
      <c r="T103" s="223">
        <f>'Income Statement'!T88</f>
        <v>-638</v>
      </c>
      <c r="U103" s="223">
        <f>'Income Statement'!U88</f>
        <v>-1012</v>
      </c>
      <c r="V103" s="223">
        <f>'Income Statement'!V88</f>
        <v>-334</v>
      </c>
      <c r="W103" s="223">
        <f>'Income Statement'!W88</f>
        <v>-412</v>
      </c>
      <c r="X103" s="223">
        <f>'Income Statement'!X88</f>
        <v>-557</v>
      </c>
      <c r="Y103" s="223">
        <f>'Income Statement'!Y88</f>
        <v>-724</v>
      </c>
      <c r="Z103" s="223">
        <f>'Income Statement'!Z88</f>
        <v>-987</v>
      </c>
      <c r="AA103" s="223">
        <f>'Income Statement'!AA88</f>
        <v>-1705.9453698453608</v>
      </c>
      <c r="AB103" s="223">
        <f>'Income Statement'!AB88</f>
        <v>-1567.972095872007</v>
      </c>
      <c r="AC103" s="223">
        <f>'Income Statement'!AC88</f>
        <v>-1782.1808048130276</v>
      </c>
      <c r="AD103" s="223">
        <f>'Income Statement'!AD88</f>
        <v>-1969.4923158017916</v>
      </c>
      <c r="AE103" s="223">
        <f>'Income Statement'!AE88</f>
        <v>-2110.1456103330634</v>
      </c>
      <c r="AF103" s="223">
        <f>'Income Statement'!AF88</f>
        <v>-2259.6938654000223</v>
      </c>
    </row>
    <row r="104" spans="1:45">
      <c r="A104" s="181" t="s">
        <v>1625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234">
        <f t="shared" ref="S104" si="82">S102+S103</f>
        <v>1707</v>
      </c>
      <c r="T104" s="234">
        <f t="shared" ref="T104" si="83">T102+T103</f>
        <v>2385</v>
      </c>
      <c r="U104" s="234">
        <f t="shared" ref="U104:V104" si="84">U102+U103</f>
        <v>2808</v>
      </c>
      <c r="V104" s="234">
        <f t="shared" si="84"/>
        <v>1352</v>
      </c>
      <c r="W104" s="234">
        <f>W102+W103</f>
        <v>1393</v>
      </c>
      <c r="X104" s="234">
        <f t="shared" ref="X104:AF104" si="85">X102+X103</f>
        <v>1851</v>
      </c>
      <c r="Y104" s="234">
        <f t="shared" si="85"/>
        <v>2442</v>
      </c>
      <c r="Z104" s="234">
        <f t="shared" si="85"/>
        <v>3132</v>
      </c>
      <c r="AA104" s="234">
        <f t="shared" si="85"/>
        <v>3511.1489109213917</v>
      </c>
      <c r="AB104" s="234">
        <f t="shared" si="85"/>
        <v>4575.3916905471187</v>
      </c>
      <c r="AC104" s="234">
        <f t="shared" si="85"/>
        <v>5197.8413645958035</v>
      </c>
      <c r="AD104" s="234">
        <f t="shared" si="85"/>
        <v>5733.1305260557674</v>
      </c>
      <c r="AE104" s="234">
        <f t="shared" si="85"/>
        <v>6125.7824533225739</v>
      </c>
      <c r="AF104" s="234">
        <f t="shared" si="85"/>
        <v>6527.3525952277851</v>
      </c>
    </row>
    <row r="105" spans="1:45">
      <c r="A105" s="19" t="s">
        <v>1149</v>
      </c>
      <c r="B105" s="180"/>
      <c r="C105" s="180"/>
      <c r="D105" s="180"/>
      <c r="E105" s="180"/>
      <c r="F105" s="180"/>
      <c r="G105" s="180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8">
        <f t="shared" ref="S105" si="86">SUM(S106:S110)</f>
        <v>9655.5770171149125</v>
      </c>
      <c r="T105" s="248">
        <f t="shared" ref="T105" si="87">SUM(T106:T110)</f>
        <v>16863.94621026895</v>
      </c>
      <c r="U105" s="248">
        <f t="shared" ref="U105:V105" si="88">SUM(U106:U110)</f>
        <v>17361.594132029342</v>
      </c>
      <c r="V105" s="248">
        <f t="shared" si="88"/>
        <v>15820.435207823961</v>
      </c>
      <c r="W105" s="248">
        <f>SUM(W106:W110)</f>
        <v>14910.457212713936</v>
      </c>
      <c r="X105" s="248">
        <f t="shared" ref="X105:AF105" si="89">SUM(X106:X110)</f>
        <v>9568.3251833740796</v>
      </c>
      <c r="Y105" s="248">
        <f t="shared" si="89"/>
        <v>10312.770171149146</v>
      </c>
      <c r="Z105" s="248">
        <f t="shared" si="89"/>
        <v>6466.0904645476767</v>
      </c>
      <c r="AA105" s="248">
        <f t="shared" si="89"/>
        <v>7026.0336860845273</v>
      </c>
      <c r="AB105" s="248">
        <f t="shared" si="89"/>
        <v>7206.2125470249666</v>
      </c>
      <c r="AC105" s="248">
        <f t="shared" si="89"/>
        <v>7756.1217883835707</v>
      </c>
      <c r="AD105" s="248">
        <f t="shared" si="89"/>
        <v>8355.1745060666362</v>
      </c>
      <c r="AE105" s="248">
        <f t="shared" si="89"/>
        <v>8903.6480797735494</v>
      </c>
      <c r="AF105" s="248">
        <f t="shared" si="89"/>
        <v>9438.0692379082611</v>
      </c>
    </row>
    <row r="106" spans="1:45">
      <c r="A106" s="19" t="s">
        <v>1152</v>
      </c>
      <c r="B106" s="180"/>
      <c r="C106" s="180"/>
      <c r="D106" s="180"/>
      <c r="E106" s="180"/>
      <c r="F106" s="180"/>
      <c r="G106" s="180"/>
      <c r="H106" s="247">
        <f>H4+H5-'Cashflow Statement'!H7</f>
        <v>4368</v>
      </c>
      <c r="I106" s="247">
        <f>I4+I5-'Cashflow Statement'!I7</f>
        <v>4310</v>
      </c>
      <c r="J106" s="247">
        <f>J4+J5-'Cashflow Statement'!J7</f>
        <v>4601</v>
      </c>
      <c r="K106" s="247">
        <f>K4+K5-'Cashflow Statement'!K7</f>
        <v>5044</v>
      </c>
      <c r="L106" s="247">
        <f>L4+L5-'Cashflow Statement'!L7</f>
        <v>5113</v>
      </c>
      <c r="M106" s="247">
        <f>M4+M5-'Cashflow Statement'!M7</f>
        <v>6283</v>
      </c>
      <c r="N106" s="247">
        <f>N4+N5-'Cashflow Statement'!N7</f>
        <v>6569</v>
      </c>
      <c r="O106" s="247">
        <f>O4+O5-'Cashflow Statement'!O7</f>
        <v>7441</v>
      </c>
      <c r="P106" s="247">
        <f>P4+P5-'Cashflow Statement'!P7</f>
        <v>8504</v>
      </c>
      <c r="Q106" s="247">
        <f>Q4+Q5-'Cashflow Statement'!Q7</f>
        <v>8501.547677261613</v>
      </c>
      <c r="R106" s="247">
        <f>R4+R5-'Cashflow Statement'!R7</f>
        <v>6640.836185819071</v>
      </c>
      <c r="S106" s="247">
        <f>S4+S5-'Cashflow Statement'!S7</f>
        <v>6991.5770171149143</v>
      </c>
      <c r="T106" s="247">
        <f>T4+T5-'Cashflow Statement'!T7</f>
        <v>14261.946210268949</v>
      </c>
      <c r="U106" s="247">
        <f>U4+U5-'Cashflow Statement'!U7</f>
        <v>13869.59413202934</v>
      </c>
      <c r="V106" s="247">
        <f>V4+V5-'Cashflow Statement'!V7</f>
        <v>12936.435207823961</v>
      </c>
      <c r="W106" s="247">
        <f>W4+W5-'Cashflow Statement'!W7</f>
        <v>12687.457212713936</v>
      </c>
      <c r="X106" s="247">
        <f>X4+X5-'Cashflow Statement'!X7</f>
        <v>12331.325183374083</v>
      </c>
      <c r="Y106" s="247">
        <f>Y4+Y5-'Cashflow Statement'!Y7</f>
        <v>11797.770171149145</v>
      </c>
      <c r="Z106" s="247">
        <f>Z4+Z5-'Cashflow Statement'!Z7</f>
        <v>12107.090464547677</v>
      </c>
      <c r="AA106" s="247">
        <f>AA4+AA5-'Cashflow Statement'!AA7</f>
        <v>11836.870323035873</v>
      </c>
      <c r="AB106" s="247">
        <f>AB4+AB5-'Cashflow Statement'!AB7</f>
        <v>11304.211254865102</v>
      </c>
      <c r="AC106" s="247">
        <f>AC4+AC5-'Cashflow Statement'!AC7</f>
        <v>10898.800784010451</v>
      </c>
      <c r="AD106" s="247">
        <f>AD4+AD5-'Cashflow Statement'!AD7</f>
        <v>10351.514797818303</v>
      </c>
      <c r="AE106" s="247">
        <f>AE4+AE5-'Cashflow Statement'!AE7</f>
        <v>9758.6569424856316</v>
      </c>
      <c r="AF106" s="247">
        <f>AF4+AF5-'Cashflow Statement'!AF7</f>
        <v>9109.9594395183485</v>
      </c>
    </row>
    <row r="107" spans="1:45">
      <c r="A107" s="19" t="s">
        <v>837</v>
      </c>
      <c r="B107" s="180"/>
      <c r="C107" s="180"/>
      <c r="D107" s="180"/>
      <c r="E107" s="180"/>
      <c r="F107" s="180"/>
      <c r="G107" s="180"/>
      <c r="H107" s="247">
        <f>H6</f>
        <v>1826</v>
      </c>
      <c r="I107" s="247">
        <f t="shared" ref="I107:AF107" si="90">I6</f>
        <v>1847</v>
      </c>
      <c r="J107" s="247">
        <f t="shared" si="90"/>
        <v>2107</v>
      </c>
      <c r="K107" s="247">
        <f t="shared" si="90"/>
        <v>2201</v>
      </c>
      <c r="L107" s="247">
        <f t="shared" si="90"/>
        <v>2253</v>
      </c>
      <c r="M107" s="247">
        <f t="shared" si="90"/>
        <v>2486</v>
      </c>
      <c r="N107" s="247">
        <f t="shared" si="90"/>
        <v>2604</v>
      </c>
      <c r="O107" s="247">
        <f t="shared" si="90"/>
        <v>2642</v>
      </c>
      <c r="P107" s="247">
        <f t="shared" si="90"/>
        <v>2928</v>
      </c>
      <c r="Q107" s="247">
        <f t="shared" si="90"/>
        <v>3272</v>
      </c>
      <c r="R107" s="247">
        <f t="shared" si="90"/>
        <v>3169</v>
      </c>
      <c r="S107" s="247">
        <f t="shared" si="90"/>
        <v>3518</v>
      </c>
      <c r="T107" s="247">
        <f t="shared" si="90"/>
        <v>4454</v>
      </c>
      <c r="U107" s="247">
        <f t="shared" si="90"/>
        <v>4398</v>
      </c>
      <c r="V107" s="247">
        <f t="shared" si="90"/>
        <v>4055</v>
      </c>
      <c r="W107" s="247">
        <f t="shared" si="90"/>
        <v>3937</v>
      </c>
      <c r="X107" s="247">
        <f t="shared" si="90"/>
        <v>3847</v>
      </c>
      <c r="Y107" s="247">
        <f t="shared" si="90"/>
        <v>4121</v>
      </c>
      <c r="Z107" s="247">
        <f t="shared" si="90"/>
        <v>4629</v>
      </c>
      <c r="AA107" s="247">
        <f t="shared" si="90"/>
        <v>5662.5657518162852</v>
      </c>
      <c r="AB107" s="247">
        <f t="shared" si="90"/>
        <v>6629.7246730457919</v>
      </c>
      <c r="AC107" s="247">
        <f t="shared" si="90"/>
        <v>7480.5364752116166</v>
      </c>
      <c r="AD107" s="247">
        <f t="shared" si="90"/>
        <v>8172.7019229311891</v>
      </c>
      <c r="AE107" s="247">
        <f t="shared" si="90"/>
        <v>8670.5336743367006</v>
      </c>
      <c r="AF107" s="247">
        <f t="shared" si="90"/>
        <v>8950.2498305501322</v>
      </c>
    </row>
    <row r="108" spans="1:45">
      <c r="A108" s="19" t="s">
        <v>1693</v>
      </c>
      <c r="B108" s="180"/>
      <c r="C108" s="180"/>
      <c r="D108" s="180"/>
      <c r="E108" s="180"/>
      <c r="F108" s="180"/>
      <c r="G108" s="180"/>
      <c r="H108" s="247">
        <f>H27-H23</f>
        <v>8182</v>
      </c>
      <c r="I108" s="247">
        <f t="shared" ref="I108:AF108" si="91">I27-I23</f>
        <v>8568</v>
      </c>
      <c r="J108" s="247">
        <f t="shared" si="91"/>
        <v>8191</v>
      </c>
      <c r="K108" s="247">
        <f t="shared" si="91"/>
        <v>7823</v>
      </c>
      <c r="L108" s="247">
        <f t="shared" si="91"/>
        <v>8111</v>
      </c>
      <c r="M108" s="247">
        <f t="shared" si="91"/>
        <v>9379</v>
      </c>
      <c r="N108" s="247">
        <f t="shared" si="91"/>
        <v>10338</v>
      </c>
      <c r="O108" s="247">
        <f t="shared" si="91"/>
        <v>10404</v>
      </c>
      <c r="P108" s="247">
        <f t="shared" si="91"/>
        <v>11142</v>
      </c>
      <c r="Q108" s="247">
        <f t="shared" si="91"/>
        <v>12276</v>
      </c>
      <c r="R108" s="247">
        <f t="shared" si="91"/>
        <v>14985</v>
      </c>
      <c r="S108" s="247">
        <f t="shared" si="91"/>
        <v>13808</v>
      </c>
      <c r="T108" s="247">
        <f t="shared" si="91"/>
        <v>15829</v>
      </c>
      <c r="U108" s="247">
        <f t="shared" si="91"/>
        <v>17440</v>
      </c>
      <c r="V108" s="247">
        <f t="shared" si="91"/>
        <v>14441</v>
      </c>
      <c r="W108" s="247">
        <f t="shared" si="91"/>
        <v>15336</v>
      </c>
      <c r="X108" s="247">
        <f t="shared" si="91"/>
        <v>18310</v>
      </c>
      <c r="Y108" s="247">
        <f t="shared" si="91"/>
        <v>22499</v>
      </c>
      <c r="Z108" s="247">
        <f t="shared" si="91"/>
        <v>25009</v>
      </c>
      <c r="AA108" s="247">
        <f t="shared" si="91"/>
        <v>26255.026560099377</v>
      </c>
      <c r="AB108" s="247">
        <f t="shared" si="91"/>
        <v>27742.785355296324</v>
      </c>
      <c r="AC108" s="247">
        <f t="shared" si="91"/>
        <v>29522.911865857419</v>
      </c>
      <c r="AD108" s="247">
        <f t="shared" si="91"/>
        <v>31317.43634797274</v>
      </c>
      <c r="AE108" s="247">
        <f t="shared" si="91"/>
        <v>32916.791474614292</v>
      </c>
      <c r="AF108" s="247">
        <f t="shared" si="91"/>
        <v>34348.638863828717</v>
      </c>
    </row>
    <row r="109" spans="1:45">
      <c r="A109" s="19" t="s">
        <v>1694</v>
      </c>
      <c r="B109" s="180"/>
      <c r="C109" s="180"/>
      <c r="D109" s="180"/>
      <c r="E109" s="180"/>
      <c r="F109" s="180"/>
      <c r="G109" s="180"/>
      <c r="H109" s="247">
        <f>H47-H39-H38</f>
        <v>-6563</v>
      </c>
      <c r="I109" s="247">
        <f t="shared" ref="I109:AF109" si="92">I47-I39-I38</f>
        <v>-7155</v>
      </c>
      <c r="J109" s="247">
        <f t="shared" si="92"/>
        <v>-7597</v>
      </c>
      <c r="K109" s="247">
        <f t="shared" si="92"/>
        <v>-7002</v>
      </c>
      <c r="L109" s="247">
        <f t="shared" si="92"/>
        <v>-7759</v>
      </c>
      <c r="M109" s="247">
        <f t="shared" si="92"/>
        <v>-9093</v>
      </c>
      <c r="N109" s="247">
        <f t="shared" si="92"/>
        <v>-9162</v>
      </c>
      <c r="O109" s="247">
        <f t="shared" si="92"/>
        <v>-9094</v>
      </c>
      <c r="P109" s="247">
        <f t="shared" si="92"/>
        <v>-11619</v>
      </c>
      <c r="Q109" s="247">
        <f t="shared" si="92"/>
        <v>-15119</v>
      </c>
      <c r="R109" s="247">
        <f t="shared" si="92"/>
        <v>-15957</v>
      </c>
      <c r="S109" s="247">
        <f t="shared" si="92"/>
        <v>-14662</v>
      </c>
      <c r="T109" s="247">
        <f t="shared" si="92"/>
        <v>-17681</v>
      </c>
      <c r="U109" s="247">
        <f t="shared" si="92"/>
        <v>-18346</v>
      </c>
      <c r="V109" s="247">
        <f t="shared" si="92"/>
        <v>-15612</v>
      </c>
      <c r="W109" s="247">
        <f t="shared" si="92"/>
        <v>-17050</v>
      </c>
      <c r="X109" s="247">
        <f t="shared" si="92"/>
        <v>-25132</v>
      </c>
      <c r="Y109" s="247">
        <f t="shared" si="92"/>
        <v>-28105</v>
      </c>
      <c r="Z109" s="247">
        <f t="shared" si="92"/>
        <v>-35279</v>
      </c>
      <c r="AA109" s="247">
        <f t="shared" si="92"/>
        <v>-36728.428948867004</v>
      </c>
      <c r="AB109" s="247">
        <f t="shared" si="92"/>
        <v>-38470.508736182252</v>
      </c>
      <c r="AC109" s="247">
        <f t="shared" si="92"/>
        <v>-40146.127336695914</v>
      </c>
      <c r="AD109" s="247">
        <f t="shared" si="92"/>
        <v>-41486.478562655597</v>
      </c>
      <c r="AE109" s="247">
        <f t="shared" si="92"/>
        <v>-42442.334011663079</v>
      </c>
      <c r="AF109" s="247">
        <f t="shared" si="92"/>
        <v>-42970.778895988937</v>
      </c>
    </row>
    <row r="110" spans="1:45">
      <c r="A110" s="19" t="s">
        <v>1626</v>
      </c>
      <c r="B110" s="180"/>
      <c r="C110" s="180"/>
      <c r="D110" s="180"/>
      <c r="E110" s="180"/>
      <c r="F110" s="180"/>
      <c r="G110" s="180"/>
      <c r="H110" s="247">
        <f>H26</f>
        <v>151</v>
      </c>
      <c r="I110" s="247">
        <f t="shared" ref="I110:AF110" si="93">I26</f>
        <v>1142</v>
      </c>
      <c r="J110" s="247">
        <f t="shared" si="93"/>
        <v>264</v>
      </c>
      <c r="K110" s="247">
        <f t="shared" si="93"/>
        <v>0</v>
      </c>
      <c r="L110" s="247">
        <f t="shared" si="93"/>
        <v>0</v>
      </c>
      <c r="M110" s="247">
        <f t="shared" si="93"/>
        <v>0</v>
      </c>
      <c r="N110" s="247">
        <f t="shared" si="93"/>
        <v>0</v>
      </c>
      <c r="O110" s="247">
        <f t="shared" si="93"/>
        <v>-15</v>
      </c>
      <c r="P110" s="247">
        <f t="shared" si="93"/>
        <v>0</v>
      </c>
      <c r="Q110" s="247">
        <f t="shared" si="93"/>
        <v>0</v>
      </c>
      <c r="R110" s="247">
        <f t="shared" si="93"/>
        <v>3234</v>
      </c>
      <c r="S110" s="247">
        <f t="shared" si="93"/>
        <v>0</v>
      </c>
      <c r="T110" s="247">
        <f t="shared" si="93"/>
        <v>0</v>
      </c>
      <c r="U110" s="247">
        <f t="shared" si="93"/>
        <v>0</v>
      </c>
      <c r="V110" s="247">
        <f t="shared" si="93"/>
        <v>0</v>
      </c>
      <c r="W110" s="247">
        <f t="shared" si="93"/>
        <v>0</v>
      </c>
      <c r="X110" s="247">
        <f t="shared" si="93"/>
        <v>212</v>
      </c>
      <c r="Y110" s="247">
        <f t="shared" si="93"/>
        <v>0</v>
      </c>
      <c r="Z110" s="247">
        <f t="shared" si="93"/>
        <v>0</v>
      </c>
      <c r="AA110" s="247">
        <f t="shared" si="93"/>
        <v>0</v>
      </c>
      <c r="AB110" s="247">
        <f t="shared" si="93"/>
        <v>0</v>
      </c>
      <c r="AC110" s="247">
        <f t="shared" si="93"/>
        <v>0</v>
      </c>
      <c r="AD110" s="247">
        <f t="shared" si="93"/>
        <v>0</v>
      </c>
      <c r="AE110" s="247">
        <f t="shared" si="93"/>
        <v>0</v>
      </c>
      <c r="AF110" s="247">
        <f t="shared" si="93"/>
        <v>0</v>
      </c>
    </row>
    <row r="111" spans="1:45">
      <c r="A111" s="181" t="s">
        <v>1627</v>
      </c>
      <c r="B111" s="180"/>
      <c r="C111" s="180"/>
      <c r="D111" s="180"/>
      <c r="E111" s="180"/>
      <c r="F111" s="180"/>
      <c r="G111" s="180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1108">
        <f t="shared" ref="S111:V111" si="94">S104/S105</f>
        <v>0.17678902016671519</v>
      </c>
      <c r="T111" s="1108">
        <f t="shared" si="94"/>
        <v>0.14142597291657061</v>
      </c>
      <c r="U111" s="1108">
        <f t="shared" si="94"/>
        <v>0.16173630017186572</v>
      </c>
      <c r="V111" s="1108">
        <f t="shared" si="94"/>
        <v>8.5459090236112562E-2</v>
      </c>
      <c r="W111" s="1108">
        <f>W104/W105</f>
        <v>9.3424365204053478E-2</v>
      </c>
      <c r="X111" s="1108">
        <f>X104/AVERAGE(W105:X105)</f>
        <v>0.15123301233282016</v>
      </c>
      <c r="Y111" s="1108">
        <f t="shared" ref="Y111:AF111" si="95">Y104/AVERAGE(X105:Y105)</f>
        <v>0.24566050878523762</v>
      </c>
      <c r="Z111" s="1108">
        <f t="shared" si="95"/>
        <v>0.37332689841129113</v>
      </c>
      <c r="AA111" s="1108">
        <f>AA104/AVERAGE(Z105:AA105)</f>
        <v>0.52047385151831249</v>
      </c>
      <c r="AB111" s="1108">
        <f t="shared" si="95"/>
        <v>0.64296128883760562</v>
      </c>
      <c r="AC111" s="1108">
        <f t="shared" si="95"/>
        <v>0.69479016416509976</v>
      </c>
      <c r="AD111" s="1108">
        <f t="shared" si="95"/>
        <v>0.71169078158293642</v>
      </c>
      <c r="AE111" s="1108">
        <f t="shared" si="95"/>
        <v>0.70987257941319892</v>
      </c>
      <c r="AF111" s="1108">
        <f t="shared" si="95"/>
        <v>0.711749339734429</v>
      </c>
    </row>
    <row r="112" spans="1:45"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</row>
    <row r="113" spans="1:32">
      <c r="A113" s="243" t="s">
        <v>1127</v>
      </c>
      <c r="B113" s="243">
        <f>B2</f>
        <v>2000</v>
      </c>
      <c r="C113" s="243">
        <f t="shared" ref="C113:Z113" si="96">C2</f>
        <v>2001</v>
      </c>
      <c r="D113" s="243">
        <f t="shared" si="96"/>
        <v>2002</v>
      </c>
      <c r="E113" s="243">
        <f t="shared" si="96"/>
        <v>2003</v>
      </c>
      <c r="F113" s="243">
        <f t="shared" si="96"/>
        <v>2004</v>
      </c>
      <c r="G113" s="243">
        <f t="shared" si="96"/>
        <v>2005</v>
      </c>
      <c r="H113" s="243">
        <f t="shared" si="96"/>
        <v>2006</v>
      </c>
      <c r="I113" s="243">
        <f t="shared" si="96"/>
        <v>2007</v>
      </c>
      <c r="J113" s="243">
        <f t="shared" si="96"/>
        <v>2008</v>
      </c>
      <c r="K113" s="243">
        <f t="shared" si="96"/>
        <v>2009</v>
      </c>
      <c r="L113" s="243">
        <f t="shared" si="96"/>
        <v>2010</v>
      </c>
      <c r="M113" s="243">
        <f t="shared" si="96"/>
        <v>2011</v>
      </c>
      <c r="N113" s="243">
        <f t="shared" si="96"/>
        <v>2012</v>
      </c>
      <c r="O113" s="243">
        <f t="shared" si="96"/>
        <v>2013</v>
      </c>
      <c r="P113" s="243">
        <f t="shared" si="96"/>
        <v>2014</v>
      </c>
      <c r="Q113" s="243">
        <f t="shared" si="96"/>
        <v>2015</v>
      </c>
      <c r="R113" s="243">
        <f t="shared" si="96"/>
        <v>2016</v>
      </c>
      <c r="S113" s="243">
        <f t="shared" si="96"/>
        <v>2017</v>
      </c>
      <c r="T113" s="243">
        <f t="shared" si="96"/>
        <v>2018</v>
      </c>
      <c r="U113" s="243">
        <f t="shared" si="96"/>
        <v>2019</v>
      </c>
      <c r="V113" s="243">
        <f t="shared" si="96"/>
        <v>2020</v>
      </c>
      <c r="W113" s="243">
        <f t="shared" si="96"/>
        <v>2021</v>
      </c>
      <c r="X113" s="243">
        <f t="shared" si="96"/>
        <v>2022</v>
      </c>
      <c r="Y113" s="243">
        <f t="shared" si="96"/>
        <v>2023</v>
      </c>
      <c r="Z113" s="243">
        <f t="shared" si="96"/>
        <v>2024</v>
      </c>
      <c r="AA113" s="945">
        <f>Z113+1</f>
        <v>2025</v>
      </c>
      <c r="AB113" s="945">
        <f t="shared" ref="AB113" si="97">AA113+1</f>
        <v>2026</v>
      </c>
      <c r="AC113" s="945">
        <f t="shared" ref="AC113" si="98">AB113+1</f>
        <v>2027</v>
      </c>
      <c r="AD113" s="945">
        <f t="shared" ref="AD113" si="99">AC113+1</f>
        <v>2028</v>
      </c>
      <c r="AE113" s="945">
        <f t="shared" ref="AE113" si="100">AD113+1</f>
        <v>2029</v>
      </c>
      <c r="AF113" s="945">
        <f t="shared" ref="AF113" si="101">AE113+1</f>
        <v>2030</v>
      </c>
    </row>
    <row r="114" spans="1:32">
      <c r="A114" s="181" t="s">
        <v>1132</v>
      </c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905"/>
      <c r="Z114" s="180"/>
      <c r="AA114" s="304"/>
      <c r="AB114" s="180"/>
      <c r="AC114" s="180"/>
      <c r="AD114" s="180"/>
      <c r="AE114" s="180"/>
      <c r="AF114" s="180"/>
    </row>
    <row r="115" spans="1:32">
      <c r="A115" s="19" t="s">
        <v>1128</v>
      </c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250">
        <v>608</v>
      </c>
      <c r="V115" s="19">
        <f>608-V117</f>
        <v>494</v>
      </c>
      <c r="W115" s="19">
        <f>609-W117</f>
        <v>512</v>
      </c>
      <c r="X115" s="19">
        <f>587-X117</f>
        <v>481</v>
      </c>
      <c r="Y115" s="19">
        <f>580-Y117</f>
        <v>469</v>
      </c>
      <c r="Z115" s="250">
        <v>530</v>
      </c>
      <c r="AA115" s="254">
        <f>AA116*'Income Statement'!AA9</f>
        <v>612.25542212175537</v>
      </c>
      <c r="AB115" s="254">
        <f>AB116*'Income Statement'!AB9</f>
        <v>691.74791675879567</v>
      </c>
      <c r="AC115" s="254">
        <f>AC116*'Income Statement'!AC9</f>
        <v>761.18343680280634</v>
      </c>
      <c r="AD115" s="254">
        <f>AD116*'Income Statement'!AD9</f>
        <v>820.35030193771331</v>
      </c>
      <c r="AE115" s="254">
        <f>AE116*'Income Statement'!AE9</f>
        <v>865.72262750512994</v>
      </c>
      <c r="AF115" s="254">
        <f>AF116*'Income Statement'!AF9</f>
        <v>907.75507206937675</v>
      </c>
    </row>
    <row r="116" spans="1:32">
      <c r="A116" s="19" t="s">
        <v>1129</v>
      </c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309">
        <f>U115/'Income Statement'!U$9</f>
        <v>2.4675324675324677E-2</v>
      </c>
      <c r="V116" s="309">
        <f>V115/'Income Statement'!V$9</f>
        <v>2.9943023396775365E-2</v>
      </c>
      <c r="W116" s="309">
        <f>W115/'Income Statement'!W$9</f>
        <v>3.3558366651373142E-2</v>
      </c>
      <c r="X116" s="309">
        <f>X115/'Income Statement'!X$9</f>
        <v>2.5269240872077752E-2</v>
      </c>
      <c r="Y116" s="309">
        <f>Y115/'Income Statement'!Y$9</f>
        <v>2.0216388637441268E-2</v>
      </c>
      <c r="Z116" s="309">
        <f>Z115/'Income Statement'!Z$9</f>
        <v>1.9401837683493794E-2</v>
      </c>
      <c r="AA116" s="275">
        <f t="shared" ref="AA116:AF116" si="102">Z116</f>
        <v>1.9401837683493794E-2</v>
      </c>
      <c r="AB116" s="275">
        <f t="shared" si="102"/>
        <v>1.9401837683493794E-2</v>
      </c>
      <c r="AC116" s="275">
        <f t="shared" si="102"/>
        <v>1.9401837683493794E-2</v>
      </c>
      <c r="AD116" s="275">
        <f t="shared" si="102"/>
        <v>1.9401837683493794E-2</v>
      </c>
      <c r="AE116" s="275">
        <f t="shared" si="102"/>
        <v>1.9401837683493794E-2</v>
      </c>
      <c r="AF116" s="275">
        <f t="shared" si="102"/>
        <v>1.9401837683493794E-2</v>
      </c>
    </row>
    <row r="117" spans="1:32">
      <c r="A117" s="19" t="s">
        <v>1130</v>
      </c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250">
        <v>121</v>
      </c>
      <c r="V117" s="250">
        <v>114</v>
      </c>
      <c r="W117" s="250">
        <v>97</v>
      </c>
      <c r="X117" s="250">
        <v>106</v>
      </c>
      <c r="Y117" s="250">
        <v>111</v>
      </c>
      <c r="Z117" s="250">
        <v>125</v>
      </c>
      <c r="AA117" s="254">
        <f>AA118*'Income Statement'!AA9</f>
        <v>144.39986370796117</v>
      </c>
      <c r="AB117" s="254">
        <f>AB118*'Income Statement'!AB9</f>
        <v>163.14809357518769</v>
      </c>
      <c r="AC117" s="254">
        <f>AC118*'Income Statement'!AC9</f>
        <v>179.52439547236003</v>
      </c>
      <c r="AD117" s="254">
        <f>AD118*'Income Statement'!AD9</f>
        <v>193.47884479663051</v>
      </c>
      <c r="AE117" s="254">
        <f>AE118*'Income Statement'!AE9</f>
        <v>204.17986497762502</v>
      </c>
      <c r="AF117" s="254">
        <f>AF118*'Income Statement'!AF9</f>
        <v>214.09317737485301</v>
      </c>
    </row>
    <row r="118" spans="1:32">
      <c r="A118" s="19" t="s">
        <v>1129</v>
      </c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309">
        <f>U117/'Income Statement'!U$9</f>
        <v>4.9107142857142856E-3</v>
      </c>
      <c r="V118" s="309">
        <f>V117/'Income Statement'!V$9</f>
        <v>6.9099284761789306E-3</v>
      </c>
      <c r="W118" s="309">
        <f>W117/'Income Statement'!W$9</f>
        <v>6.3577374319984271E-3</v>
      </c>
      <c r="X118" s="309">
        <f>X117/'Income Statement'!X$9</f>
        <v>5.568689256632519E-3</v>
      </c>
      <c r="Y118" s="309">
        <f>Y117/'Income Statement'!Y$9</f>
        <v>4.7846889952153108E-3</v>
      </c>
      <c r="Z118" s="309">
        <f>Z117/'Income Statement'!Z$9</f>
        <v>4.5759051140315558E-3</v>
      </c>
      <c r="AA118" s="275">
        <f t="shared" ref="AA118:AF118" si="103">Z118</f>
        <v>4.5759051140315558E-3</v>
      </c>
      <c r="AB118" s="275">
        <f t="shared" si="103"/>
        <v>4.5759051140315558E-3</v>
      </c>
      <c r="AC118" s="275">
        <f t="shared" si="103"/>
        <v>4.5759051140315558E-3</v>
      </c>
      <c r="AD118" s="275">
        <f t="shared" si="103"/>
        <v>4.5759051140315558E-3</v>
      </c>
      <c r="AE118" s="275">
        <f t="shared" si="103"/>
        <v>4.5759051140315558E-3</v>
      </c>
      <c r="AF118" s="275">
        <f t="shared" si="103"/>
        <v>4.5759051140315558E-3</v>
      </c>
    </row>
    <row r="119" spans="1:32">
      <c r="A119" s="19" t="s">
        <v>1131</v>
      </c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247">
        <f t="shared" ref="U119:AF119" si="104">SUM(U115,U117)</f>
        <v>729</v>
      </c>
      <c r="V119" s="247">
        <f t="shared" si="104"/>
        <v>608</v>
      </c>
      <c r="W119" s="247">
        <f t="shared" si="104"/>
        <v>609</v>
      </c>
      <c r="X119" s="247">
        <f t="shared" si="104"/>
        <v>587</v>
      </c>
      <c r="Y119" s="247">
        <f t="shared" si="104"/>
        <v>580</v>
      </c>
      <c r="Z119" s="247">
        <f t="shared" si="104"/>
        <v>655</v>
      </c>
      <c r="AA119" s="247">
        <f t="shared" si="104"/>
        <v>756.6552858297166</v>
      </c>
      <c r="AB119" s="247">
        <f t="shared" si="104"/>
        <v>854.89601033398333</v>
      </c>
      <c r="AC119" s="247">
        <f t="shared" si="104"/>
        <v>940.70783227516631</v>
      </c>
      <c r="AD119" s="247">
        <f t="shared" si="104"/>
        <v>1013.8291467343438</v>
      </c>
      <c r="AE119" s="247">
        <f t="shared" si="104"/>
        <v>1069.902492482755</v>
      </c>
      <c r="AF119" s="247">
        <f t="shared" si="104"/>
        <v>1121.8482494442299</v>
      </c>
    </row>
    <row r="120" spans="1:32">
      <c r="A120" s="181" t="s">
        <v>1133</v>
      </c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9"/>
      <c r="V120" s="19"/>
      <c r="W120" s="19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19" t="s">
        <v>1134</v>
      </c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250">
        <v>125</v>
      </c>
      <c r="V121" s="250">
        <v>129</v>
      </c>
      <c r="W121" s="250">
        <v>115</v>
      </c>
      <c r="X121" s="250">
        <f t="shared" ref="X121:AF121" si="105">W121</f>
        <v>115</v>
      </c>
      <c r="Y121" s="250">
        <f t="shared" si="105"/>
        <v>115</v>
      </c>
      <c r="Z121" s="250">
        <f t="shared" si="105"/>
        <v>115</v>
      </c>
      <c r="AA121" s="247">
        <f t="shared" si="105"/>
        <v>115</v>
      </c>
      <c r="AB121" s="247">
        <f t="shared" si="105"/>
        <v>115</v>
      </c>
      <c r="AC121" s="247">
        <f t="shared" si="105"/>
        <v>115</v>
      </c>
      <c r="AD121" s="247">
        <f t="shared" si="105"/>
        <v>115</v>
      </c>
      <c r="AE121" s="247">
        <f t="shared" si="105"/>
        <v>115</v>
      </c>
      <c r="AF121" s="247">
        <f t="shared" si="105"/>
        <v>115</v>
      </c>
    </row>
    <row r="122" spans="1:32">
      <c r="A122" s="19" t="s">
        <v>1135</v>
      </c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250">
        <v>10</v>
      </c>
      <c r="V122" s="250">
        <v>8</v>
      </c>
      <c r="W122" s="250">
        <v>8</v>
      </c>
      <c r="X122" s="250">
        <f t="shared" ref="X122:AF122" si="106">W122</f>
        <v>8</v>
      </c>
      <c r="Y122" s="250">
        <f t="shared" si="106"/>
        <v>8</v>
      </c>
      <c r="Z122" s="250">
        <f t="shared" si="106"/>
        <v>8</v>
      </c>
      <c r="AA122" s="247">
        <f t="shared" si="106"/>
        <v>8</v>
      </c>
      <c r="AB122" s="247">
        <f t="shared" si="106"/>
        <v>8</v>
      </c>
      <c r="AC122" s="247">
        <f t="shared" si="106"/>
        <v>8</v>
      </c>
      <c r="AD122" s="247">
        <f t="shared" si="106"/>
        <v>8</v>
      </c>
      <c r="AE122" s="247">
        <f t="shared" si="106"/>
        <v>8</v>
      </c>
      <c r="AF122" s="247">
        <f t="shared" si="106"/>
        <v>8</v>
      </c>
    </row>
    <row r="123" spans="1:32">
      <c r="A123" s="19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9"/>
      <c r="V123" s="19"/>
      <c r="W123" s="19"/>
      <c r="X123" s="4"/>
      <c r="Y123" s="19"/>
      <c r="Z123" s="19"/>
      <c r="AA123" s="4"/>
      <c r="AB123" s="4"/>
      <c r="AC123" s="4"/>
      <c r="AD123" s="4"/>
      <c r="AE123" s="4"/>
      <c r="AF123" s="4"/>
    </row>
    <row r="124" spans="1:32">
      <c r="A124" s="19" t="s">
        <v>1136</v>
      </c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250">
        <v>112</v>
      </c>
      <c r="V124" s="296">
        <v>111</v>
      </c>
      <c r="W124" s="296">
        <v>101</v>
      </c>
      <c r="X124" s="296">
        <v>103</v>
      </c>
      <c r="Y124" s="296">
        <v>106</v>
      </c>
      <c r="Z124" s="296">
        <v>124</v>
      </c>
      <c r="AA124" s="254">
        <f>AA125*'Income Statement'!AA9</f>
        <v>143.24466479829746</v>
      </c>
      <c r="AB124" s="254">
        <f>AB125*'Income Statement'!AB9</f>
        <v>161.84290882658615</v>
      </c>
      <c r="AC124" s="254">
        <f>AC125*'Income Statement'!AC9</f>
        <v>178.08820030858112</v>
      </c>
      <c r="AD124" s="254">
        <f>AD125*'Income Statement'!AD9</f>
        <v>191.93101403825744</v>
      </c>
      <c r="AE124" s="254">
        <f>AE125*'Income Statement'!AE9</f>
        <v>202.54642605780398</v>
      </c>
      <c r="AF124" s="254">
        <f>AF125*'Income Statement'!AF9</f>
        <v>212.38043195585416</v>
      </c>
    </row>
    <row r="125" spans="1:32">
      <c r="A125" s="19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309">
        <f>U124/'Income Statement'!U9</f>
        <v>4.5454545454545452E-3</v>
      </c>
      <c r="V125" s="309">
        <f>V124/'Income Statement'!V9</f>
        <v>6.7280882531215907E-3</v>
      </c>
      <c r="W125" s="309">
        <f>W124/'Income Statement'!W9</f>
        <v>6.6199121714622796E-3</v>
      </c>
      <c r="X125" s="309">
        <f>X124/'Income Statement'!X9</f>
        <v>5.4110848437089569E-3</v>
      </c>
      <c r="Y125" s="309">
        <f>Y124/'Income Statement'!Y9</f>
        <v>4.569162463899306E-3</v>
      </c>
      <c r="Z125" s="309">
        <f>Z124/'Income Statement'!Z9</f>
        <v>4.5392978731193028E-3</v>
      </c>
      <c r="AA125" s="275">
        <f t="shared" ref="AA125:AF125" si="107">Z125</f>
        <v>4.5392978731193028E-3</v>
      </c>
      <c r="AB125" s="275">
        <f t="shared" si="107"/>
        <v>4.5392978731193028E-3</v>
      </c>
      <c r="AC125" s="275">
        <f t="shared" si="107"/>
        <v>4.5392978731193028E-3</v>
      </c>
      <c r="AD125" s="275">
        <f t="shared" si="107"/>
        <v>4.5392978731193028E-3</v>
      </c>
      <c r="AE125" s="275">
        <f t="shared" si="107"/>
        <v>4.5392978731193028E-3</v>
      </c>
      <c r="AF125" s="275">
        <f t="shared" si="107"/>
        <v>4.5392978731193028E-3</v>
      </c>
    </row>
    <row r="126" spans="1:32">
      <c r="A126" s="243" t="s">
        <v>766</v>
      </c>
      <c r="B126" s="243">
        <f>B2</f>
        <v>2000</v>
      </c>
      <c r="C126" s="243">
        <f t="shared" ref="C126:Z126" si="108">C2</f>
        <v>2001</v>
      </c>
      <c r="D126" s="243">
        <f t="shared" si="108"/>
        <v>2002</v>
      </c>
      <c r="E126" s="243">
        <f t="shared" si="108"/>
        <v>2003</v>
      </c>
      <c r="F126" s="243">
        <f t="shared" si="108"/>
        <v>2004</v>
      </c>
      <c r="G126" s="243">
        <f t="shared" si="108"/>
        <v>2005</v>
      </c>
      <c r="H126" s="243">
        <f t="shared" si="108"/>
        <v>2006</v>
      </c>
      <c r="I126" s="243">
        <f t="shared" si="108"/>
        <v>2007</v>
      </c>
      <c r="J126" s="243">
        <f t="shared" si="108"/>
        <v>2008</v>
      </c>
      <c r="K126" s="243">
        <f t="shared" si="108"/>
        <v>2009</v>
      </c>
      <c r="L126" s="243">
        <f t="shared" si="108"/>
        <v>2010</v>
      </c>
      <c r="M126" s="243">
        <f t="shared" si="108"/>
        <v>2011</v>
      </c>
      <c r="N126" s="243">
        <f t="shared" si="108"/>
        <v>2012</v>
      </c>
      <c r="O126" s="243">
        <f t="shared" si="108"/>
        <v>2013</v>
      </c>
      <c r="P126" s="243">
        <f t="shared" si="108"/>
        <v>2014</v>
      </c>
      <c r="Q126" s="243">
        <f t="shared" si="108"/>
        <v>2015</v>
      </c>
      <c r="R126" s="243">
        <f t="shared" si="108"/>
        <v>2016</v>
      </c>
      <c r="S126" s="243">
        <f t="shared" si="108"/>
        <v>2017</v>
      </c>
      <c r="T126" s="243">
        <f t="shared" si="108"/>
        <v>2018</v>
      </c>
      <c r="U126" s="243">
        <f t="shared" si="108"/>
        <v>2019</v>
      </c>
      <c r="V126" s="243">
        <f t="shared" si="108"/>
        <v>2020</v>
      </c>
      <c r="W126" s="243">
        <f t="shared" si="108"/>
        <v>2021</v>
      </c>
      <c r="X126" s="243">
        <f t="shared" si="108"/>
        <v>2022</v>
      </c>
      <c r="Y126" s="243">
        <f t="shared" si="108"/>
        <v>2023</v>
      </c>
      <c r="Z126" s="243">
        <f t="shared" si="108"/>
        <v>2024</v>
      </c>
      <c r="AA126" s="945">
        <f>Z126+1</f>
        <v>2025</v>
      </c>
      <c r="AB126" s="945">
        <f t="shared" ref="AB126" si="109">AA126+1</f>
        <v>2026</v>
      </c>
      <c r="AC126" s="945">
        <f t="shared" ref="AC126" si="110">AB126+1</f>
        <v>2027</v>
      </c>
      <c r="AD126" s="945">
        <f t="shared" ref="AD126" si="111">AC126+1</f>
        <v>2028</v>
      </c>
      <c r="AE126" s="945">
        <f t="shared" ref="AE126" si="112">AD126+1</f>
        <v>2029</v>
      </c>
      <c r="AF126" s="945">
        <f t="shared" ref="AF126" si="113">AE126+1</f>
        <v>2030</v>
      </c>
    </row>
    <row r="127" spans="1:32">
      <c r="A127" s="19" t="s">
        <v>765</v>
      </c>
      <c r="B127" s="250"/>
      <c r="C127" s="250"/>
      <c r="D127" s="250"/>
      <c r="E127" s="250"/>
      <c r="F127" s="250"/>
      <c r="G127" s="250"/>
      <c r="H127" s="251">
        <v>5404</v>
      </c>
      <c r="I127" s="251">
        <v>5591</v>
      </c>
      <c r="J127" s="251">
        <v>6187</v>
      </c>
      <c r="K127" s="251">
        <v>7048</v>
      </c>
      <c r="L127" s="251">
        <v>7339</v>
      </c>
      <c r="M127" s="251">
        <v>8923</v>
      </c>
      <c r="N127" s="247">
        <f t="shared" ref="N127:AF127" si="114">N128+N129</f>
        <v>9631</v>
      </c>
      <c r="O127" s="247">
        <f t="shared" si="114"/>
        <v>11067</v>
      </c>
      <c r="P127" s="247">
        <f t="shared" si="114"/>
        <v>12560</v>
      </c>
      <c r="Q127" s="247">
        <f t="shared" si="114"/>
        <v>12935</v>
      </c>
      <c r="R127" s="247">
        <f t="shared" si="114"/>
        <v>10635</v>
      </c>
      <c r="S127" s="247">
        <f t="shared" si="114"/>
        <v>11199</v>
      </c>
      <c r="T127" s="247">
        <f t="shared" si="114"/>
        <v>19703</v>
      </c>
      <c r="U127" s="247">
        <f t="shared" si="114"/>
        <v>20172</v>
      </c>
      <c r="V127" s="247">
        <f t="shared" si="114"/>
        <v>20181</v>
      </c>
      <c r="W127" s="247">
        <f t="shared" si="114"/>
        <v>20761</v>
      </c>
      <c r="X127" s="247">
        <f t="shared" si="114"/>
        <v>21110</v>
      </c>
      <c r="Y127" s="247">
        <f t="shared" si="114"/>
        <v>21196</v>
      </c>
      <c r="Z127" s="247">
        <f t="shared" si="114"/>
        <v>22300</v>
      </c>
      <c r="AA127" s="247">
        <f t="shared" si="114"/>
        <v>23022</v>
      </c>
      <c r="AB127" s="247">
        <f t="shared" si="114"/>
        <v>23744</v>
      </c>
      <c r="AC127" s="247">
        <f t="shared" si="114"/>
        <v>24466</v>
      </c>
      <c r="AD127" s="247">
        <f t="shared" si="114"/>
        <v>25188</v>
      </c>
      <c r="AE127" s="247">
        <f t="shared" si="114"/>
        <v>25910</v>
      </c>
      <c r="AF127" s="247">
        <f t="shared" si="114"/>
        <v>26632</v>
      </c>
    </row>
    <row r="128" spans="1:32">
      <c r="A128" s="249" t="s">
        <v>764</v>
      </c>
      <c r="B128" s="19"/>
      <c r="C128" s="19"/>
      <c r="D128" s="19"/>
      <c r="E128" s="19"/>
      <c r="F128" s="19"/>
      <c r="G128" s="19"/>
      <c r="H128" s="247"/>
      <c r="I128" s="247"/>
      <c r="J128" s="247"/>
      <c r="K128" s="247"/>
      <c r="L128" s="247"/>
      <c r="M128" s="247">
        <f>M127-M129</f>
        <v>3126</v>
      </c>
      <c r="N128" s="251">
        <v>3078</v>
      </c>
      <c r="O128" s="251">
        <v>3399</v>
      </c>
      <c r="P128" s="251">
        <v>3420</v>
      </c>
      <c r="Q128" s="251">
        <v>3590</v>
      </c>
      <c r="R128" s="251">
        <v>1864</v>
      </c>
      <c r="S128" s="247">
        <f>'Balance Sheet'!S4</f>
        <v>1831</v>
      </c>
      <c r="T128" s="247">
        <f>'Balance Sheet'!T4</f>
        <v>5173</v>
      </c>
      <c r="U128" s="247">
        <f>'Balance Sheet'!U4</f>
        <v>5199</v>
      </c>
      <c r="V128" s="247">
        <f>'Balance Sheet'!V4</f>
        <v>5060</v>
      </c>
      <c r="W128" s="247">
        <f>'Balance Sheet'!W4</f>
        <v>5068</v>
      </c>
      <c r="X128" s="247">
        <f>'Balance Sheet'!X4</f>
        <v>4994</v>
      </c>
      <c r="Y128" s="247">
        <f>'Balance Sheet'!Y4</f>
        <v>4706</v>
      </c>
      <c r="Z128" s="247">
        <f>'Balance Sheet'!Z4</f>
        <v>4937</v>
      </c>
      <c r="AA128" s="247">
        <f>'Balance Sheet'!AA4</f>
        <v>5109</v>
      </c>
      <c r="AB128" s="247">
        <f>'Balance Sheet'!AB4</f>
        <v>5281</v>
      </c>
      <c r="AC128" s="247">
        <f>'Balance Sheet'!AC4</f>
        <v>5453</v>
      </c>
      <c r="AD128" s="247">
        <f>'Balance Sheet'!AD4</f>
        <v>5625</v>
      </c>
      <c r="AE128" s="247">
        <f>'Balance Sheet'!AE4</f>
        <v>5797</v>
      </c>
      <c r="AF128" s="247">
        <f>'Balance Sheet'!AF4</f>
        <v>5969</v>
      </c>
    </row>
    <row r="129" spans="1:32">
      <c r="A129" s="249" t="s">
        <v>763</v>
      </c>
      <c r="B129" s="19"/>
      <c r="C129" s="19"/>
      <c r="D129" s="19"/>
      <c r="E129" s="19"/>
      <c r="F129" s="19"/>
      <c r="G129" s="19"/>
      <c r="H129" s="247"/>
      <c r="I129" s="247"/>
      <c r="J129" s="247"/>
      <c r="K129" s="247"/>
      <c r="L129" s="247"/>
      <c r="M129" s="251">
        <v>5797</v>
      </c>
      <c r="N129" s="251">
        <v>6553</v>
      </c>
      <c r="O129" s="251">
        <v>7668</v>
      </c>
      <c r="P129" s="251">
        <v>9140</v>
      </c>
      <c r="Q129" s="251">
        <v>9345</v>
      </c>
      <c r="R129" s="251">
        <v>8771</v>
      </c>
      <c r="S129" s="251">
        <v>9368</v>
      </c>
      <c r="T129" s="251">
        <v>14530</v>
      </c>
      <c r="U129" s="251">
        <v>14973</v>
      </c>
      <c r="V129" s="251">
        <v>15121</v>
      </c>
      <c r="W129" s="251">
        <v>15693</v>
      </c>
      <c r="X129" s="251">
        <v>16116</v>
      </c>
      <c r="Y129" s="251">
        <v>16490</v>
      </c>
      <c r="Z129" s="251">
        <v>17363</v>
      </c>
      <c r="AA129" s="247">
        <f>Z129-'Cashflow Statement'!AA26</f>
        <v>17913</v>
      </c>
      <c r="AB129" s="247">
        <f>AA129-'Cashflow Statement'!AB26</f>
        <v>18463</v>
      </c>
      <c r="AC129" s="247">
        <f>AB129-'Cashflow Statement'!AC26</f>
        <v>19013</v>
      </c>
      <c r="AD129" s="247">
        <f>AC129-'Cashflow Statement'!AD26</f>
        <v>19563</v>
      </c>
      <c r="AE129" s="247">
        <f>AD129-'Cashflow Statement'!AE26</f>
        <v>20113</v>
      </c>
      <c r="AF129" s="247">
        <f>AE129-'Cashflow Statement'!AF26</f>
        <v>20663</v>
      </c>
    </row>
    <row r="130" spans="1:32">
      <c r="A130" s="19" t="s">
        <v>762</v>
      </c>
      <c r="B130" s="250"/>
      <c r="C130" s="250"/>
      <c r="D130" s="250"/>
      <c r="E130" s="250"/>
      <c r="F130" s="250"/>
      <c r="G130" s="250"/>
      <c r="H130" s="251">
        <v>759</v>
      </c>
      <c r="I130" s="251">
        <v>1049</v>
      </c>
      <c r="J130" s="251">
        <v>1319</v>
      </c>
      <c r="K130" s="251">
        <v>1705</v>
      </c>
      <c r="L130" s="251">
        <v>1911</v>
      </c>
      <c r="M130" s="251">
        <v>2299</v>
      </c>
      <c r="N130" s="251">
        <v>2681</v>
      </c>
      <c r="O130" s="251">
        <v>3048</v>
      </c>
      <c r="P130" s="251">
        <v>3604</v>
      </c>
      <c r="Q130" s="251">
        <v>4024</v>
      </c>
      <c r="R130" s="251">
        <v>3593</v>
      </c>
      <c r="S130" s="251">
        <v>3914</v>
      </c>
      <c r="T130" s="251">
        <v>4773</v>
      </c>
      <c r="U130" s="251">
        <v>5494</v>
      </c>
      <c r="V130" s="251">
        <v>6445</v>
      </c>
      <c r="W130" s="251">
        <v>7311</v>
      </c>
      <c r="X130" s="251">
        <v>8020</v>
      </c>
      <c r="Y130" s="251">
        <v>8660</v>
      </c>
      <c r="Z130" s="251">
        <v>9416</v>
      </c>
      <c r="AA130" s="247">
        <f>Z130+'Cashflow Statement'!AA7</f>
        <v>10300.564838482063</v>
      </c>
      <c r="AB130" s="247">
        <f>AA130+'Cashflow Statement'!AB7</f>
        <v>11370.176791808481</v>
      </c>
      <c r="AC130" s="247">
        <f>AB130+'Cashflow Statement'!AC7</f>
        <v>12468.688003899015</v>
      </c>
      <c r="AD130" s="247">
        <f>AC130+'Cashflow Statement'!AD7</f>
        <v>13652.586603040356</v>
      </c>
      <c r="AE130" s="247">
        <f>AD130+'Cashflow Statement'!AE7</f>
        <v>14901.964830277364</v>
      </c>
      <c r="AF130" s="247">
        <f>AE130+'Cashflow Statement'!AF7</f>
        <v>16212.00269537951</v>
      </c>
    </row>
    <row r="131" spans="1:32">
      <c r="A131" s="19" t="s">
        <v>1152</v>
      </c>
      <c r="B131" s="19"/>
      <c r="C131" s="19"/>
      <c r="D131" s="19"/>
      <c r="E131" s="19"/>
      <c r="F131" s="19"/>
      <c r="G131" s="19"/>
      <c r="H131" s="247">
        <f t="shared" ref="H131:AF131" si="115">H127-H130</f>
        <v>4645</v>
      </c>
      <c r="I131" s="247">
        <f t="shared" si="115"/>
        <v>4542</v>
      </c>
      <c r="J131" s="247">
        <f t="shared" si="115"/>
        <v>4868</v>
      </c>
      <c r="K131" s="247">
        <f t="shared" si="115"/>
        <v>5343</v>
      </c>
      <c r="L131" s="247">
        <f t="shared" si="115"/>
        <v>5428</v>
      </c>
      <c r="M131" s="247">
        <f t="shared" si="115"/>
        <v>6624</v>
      </c>
      <c r="N131" s="247">
        <f t="shared" si="115"/>
        <v>6950</v>
      </c>
      <c r="O131" s="247">
        <f t="shared" si="115"/>
        <v>8019</v>
      </c>
      <c r="P131" s="247">
        <f t="shared" si="115"/>
        <v>8956</v>
      </c>
      <c r="Q131" s="247">
        <f t="shared" si="115"/>
        <v>8911</v>
      </c>
      <c r="R131" s="247">
        <f t="shared" si="115"/>
        <v>7042</v>
      </c>
      <c r="S131" s="247">
        <f t="shared" si="115"/>
        <v>7285</v>
      </c>
      <c r="T131" s="247">
        <f t="shared" si="115"/>
        <v>14930</v>
      </c>
      <c r="U131" s="247">
        <f t="shared" si="115"/>
        <v>14678</v>
      </c>
      <c r="V131" s="247">
        <f t="shared" si="115"/>
        <v>13736</v>
      </c>
      <c r="W131" s="247">
        <f t="shared" si="115"/>
        <v>13450</v>
      </c>
      <c r="X131" s="247">
        <f t="shared" si="115"/>
        <v>13090</v>
      </c>
      <c r="Y131" s="247">
        <f t="shared" si="115"/>
        <v>12536</v>
      </c>
      <c r="Z131" s="247">
        <f t="shared" si="115"/>
        <v>12884</v>
      </c>
      <c r="AA131" s="247">
        <f t="shared" si="115"/>
        <v>12721.435161517937</v>
      </c>
      <c r="AB131" s="247">
        <f t="shared" si="115"/>
        <v>12373.823208191519</v>
      </c>
      <c r="AC131" s="247">
        <f t="shared" si="115"/>
        <v>11997.311996100985</v>
      </c>
      <c r="AD131" s="247">
        <f t="shared" si="115"/>
        <v>11535.413396959644</v>
      </c>
      <c r="AE131" s="247">
        <f t="shared" si="115"/>
        <v>11008.035169722636</v>
      </c>
      <c r="AF131" s="247">
        <f t="shared" si="115"/>
        <v>10419.99730462049</v>
      </c>
    </row>
    <row r="132" spans="1:32">
      <c r="A132" s="19" t="s">
        <v>761</v>
      </c>
      <c r="B132" s="250"/>
      <c r="C132" s="250"/>
      <c r="D132" s="250"/>
      <c r="E132" s="250"/>
      <c r="F132" s="250"/>
      <c r="G132" s="250"/>
      <c r="H132" s="251">
        <v>4871</v>
      </c>
      <c r="I132" s="251">
        <v>4881</v>
      </c>
      <c r="J132" s="251">
        <v>5238</v>
      </c>
      <c r="K132" s="251">
        <v>5436</v>
      </c>
      <c r="L132" s="251">
        <v>5750</v>
      </c>
      <c r="M132" s="251">
        <v>6434</v>
      </c>
      <c r="N132" s="251">
        <v>6768</v>
      </c>
      <c r="O132" s="251">
        <v>6510</v>
      </c>
      <c r="P132" s="251">
        <v>7299</v>
      </c>
      <c r="Q132" s="251">
        <v>8105</v>
      </c>
      <c r="R132" s="251">
        <v>7385</v>
      </c>
      <c r="S132" s="251">
        <v>7889</v>
      </c>
      <c r="T132" s="251">
        <v>9636</v>
      </c>
      <c r="U132" s="251">
        <v>9934</v>
      </c>
      <c r="V132" s="251">
        <v>10006</v>
      </c>
      <c r="W132" s="251">
        <v>10490</v>
      </c>
      <c r="X132" s="251">
        <v>10619</v>
      </c>
      <c r="Y132" s="251">
        <v>11317</v>
      </c>
      <c r="Z132" s="251">
        <v>12251</v>
      </c>
      <c r="AA132" s="247">
        <f>Z132-'Cashflow Statement'!AA28-'Cashflow Statement'!AA31</f>
        <v>14000.82843076415</v>
      </c>
      <c r="AB132" s="247">
        <f>AA132-'Cashflow Statement'!AB28-'Cashflow Statement'!AB31</f>
        <v>15777.246360753774</v>
      </c>
      <c r="AC132" s="247">
        <f>AB132-'Cashflow Statement'!AC28-'Cashflow Statement'!AC31</f>
        <v>17518.548092311681</v>
      </c>
      <c r="AD132" s="247">
        <f>AC132-'Cashflow Statement'!AD28-'Cashflow Statement'!AD31</f>
        <v>19170.421341238358</v>
      </c>
      <c r="AE132" s="247">
        <f>AD132-'Cashflow Statement'!AE28-'Cashflow Statement'!AE31</f>
        <v>20681.040870420868</v>
      </c>
      <c r="AF132" s="247">
        <f>AE132-'Cashflow Statement'!AF28-'Cashflow Statement'!AF31</f>
        <v>22022.717535690641</v>
      </c>
    </row>
    <row r="133" spans="1:32">
      <c r="A133" s="19" t="s">
        <v>760</v>
      </c>
      <c r="B133" s="250"/>
      <c r="C133" s="250"/>
      <c r="D133" s="250"/>
      <c r="E133" s="250"/>
      <c r="F133" s="250"/>
      <c r="G133" s="250"/>
      <c r="H133" s="251">
        <v>3045</v>
      </c>
      <c r="I133" s="251">
        <v>3034</v>
      </c>
      <c r="J133" s="251">
        <v>3131</v>
      </c>
      <c r="K133" s="251">
        <v>3235</v>
      </c>
      <c r="L133" s="251">
        <v>3497</v>
      </c>
      <c r="M133" s="251">
        <v>3948</v>
      </c>
      <c r="N133" s="251">
        <v>4165</v>
      </c>
      <c r="O133" s="251">
        <v>4047</v>
      </c>
      <c r="P133" s="251">
        <v>4371</v>
      </c>
      <c r="Q133" s="251">
        <v>4743</v>
      </c>
      <c r="R133" s="251">
        <v>4216</v>
      </c>
      <c r="S133" s="251">
        <v>4371</v>
      </c>
      <c r="T133" s="251">
        <v>5182</v>
      </c>
      <c r="U133" s="251">
        <v>5536</v>
      </c>
      <c r="V133" s="251">
        <v>5951</v>
      </c>
      <c r="W133" s="251">
        <v>6553</v>
      </c>
      <c r="X133" s="251">
        <v>6772</v>
      </c>
      <c r="Y133" s="251">
        <v>7196</v>
      </c>
      <c r="Z133" s="251">
        <v>7622</v>
      </c>
      <c r="AA133" s="247">
        <f>Z133+'Cashflow Statement'!AA5</f>
        <v>8338.2626789478654</v>
      </c>
      <c r="AB133" s="247">
        <f>AA133+'Cashflow Statement'!AB5</f>
        <v>9147.5216877079838</v>
      </c>
      <c r="AC133" s="247">
        <f>AB133+'Cashflow Statement'!AC5</f>
        <v>10038.011617100066</v>
      </c>
      <c r="AD133" s="247">
        <f>AC133+'Cashflow Statement'!AD5</f>
        <v>10997.71941830717</v>
      </c>
      <c r="AE133" s="247">
        <f>AD133+'Cashflow Statement'!AE5</f>
        <v>12010.507196084165</v>
      </c>
      <c r="AF133" s="247">
        <f>AE133+'Cashflow Statement'!AF5</f>
        <v>13072.467705140505</v>
      </c>
    </row>
    <row r="134" spans="1:32">
      <c r="A134" s="4" t="s">
        <v>643</v>
      </c>
      <c r="B134" s="4"/>
      <c r="C134" s="4"/>
      <c r="D134" s="4"/>
      <c r="E134" s="4"/>
      <c r="F134" s="4"/>
      <c r="G134" s="4"/>
      <c r="H134" s="27">
        <f>'Balance Sheet'!H6</f>
        <v>1826</v>
      </c>
      <c r="I134" s="27">
        <f>'Balance Sheet'!I6</f>
        <v>1847</v>
      </c>
      <c r="J134" s="27">
        <f>'Balance Sheet'!J6</f>
        <v>2107</v>
      </c>
      <c r="K134" s="27">
        <f>'Balance Sheet'!K6</f>
        <v>2201</v>
      </c>
      <c r="L134" s="27">
        <f>'Balance Sheet'!L6</f>
        <v>2253</v>
      </c>
      <c r="M134" s="27">
        <f>'Balance Sheet'!M6</f>
        <v>2486</v>
      </c>
      <c r="N134" s="27">
        <f>'Balance Sheet'!N6</f>
        <v>2604</v>
      </c>
      <c r="O134" s="27">
        <f>'Balance Sheet'!O6</f>
        <v>2642</v>
      </c>
      <c r="P134" s="27">
        <f>'Balance Sheet'!P6</f>
        <v>2928</v>
      </c>
      <c r="Q134" s="27">
        <f>'Balance Sheet'!Q6</f>
        <v>3272</v>
      </c>
      <c r="R134" s="27">
        <f>'Balance Sheet'!R6</f>
        <v>3169</v>
      </c>
      <c r="S134" s="27">
        <f>'Balance Sheet'!S6</f>
        <v>3518</v>
      </c>
      <c r="T134" s="27">
        <f>'Balance Sheet'!T6</f>
        <v>4454</v>
      </c>
      <c r="U134" s="27">
        <f>'Balance Sheet'!U6</f>
        <v>4398</v>
      </c>
      <c r="V134" s="27">
        <f>'Balance Sheet'!V6</f>
        <v>4055</v>
      </c>
      <c r="W134" s="27">
        <f>'Balance Sheet'!W6</f>
        <v>3937</v>
      </c>
      <c r="X134" s="27">
        <f>'Balance Sheet'!X6</f>
        <v>3847</v>
      </c>
      <c r="Y134" s="27">
        <f>'Balance Sheet'!Y6</f>
        <v>4121</v>
      </c>
      <c r="Z134" s="27">
        <f>'Balance Sheet'!Z6</f>
        <v>4629</v>
      </c>
      <c r="AA134" s="247">
        <f>'Balance Sheet'!AA6</f>
        <v>5662.5657518162852</v>
      </c>
      <c r="AB134" s="247">
        <f>'Balance Sheet'!AB6</f>
        <v>6629.7246730457919</v>
      </c>
      <c r="AC134" s="247">
        <f>'Balance Sheet'!AC6</f>
        <v>7480.5364752116166</v>
      </c>
      <c r="AD134" s="247">
        <f>'Balance Sheet'!AD6</f>
        <v>8172.7019229311891</v>
      </c>
      <c r="AE134" s="247">
        <f>'Balance Sheet'!AE6</f>
        <v>8670.5336743367006</v>
      </c>
      <c r="AF134" s="247">
        <f>'Balance Sheet'!AF6</f>
        <v>8950.2498305501322</v>
      </c>
    </row>
    <row r="135" spans="1:32">
      <c r="A135" s="4" t="s">
        <v>1149</v>
      </c>
      <c r="B135" s="298"/>
      <c r="C135" s="298"/>
      <c r="D135" s="298"/>
      <c r="E135" s="298"/>
      <c r="F135" s="298"/>
      <c r="G135" s="298"/>
      <c r="H135" s="27">
        <f>H131+H134+('Balance Sheet'!H27-'Balance Sheet'!H23)+'Balance Sheet'!H47-'Balance Sheet'!H39</f>
        <v>6989</v>
      </c>
      <c r="I135" s="27">
        <f>I131+I134+('Balance Sheet'!I27-'Balance Sheet'!I23)+'Balance Sheet'!I47-'Balance Sheet'!I39</f>
        <v>6669</v>
      </c>
      <c r="J135" s="27">
        <f>J131+J134+('Balance Sheet'!J27-'Balance Sheet'!J23)+'Balance Sheet'!J47-'Balance Sheet'!J39</f>
        <v>6291</v>
      </c>
      <c r="K135" s="27">
        <f>K131+K134+('Balance Sheet'!K27-'Balance Sheet'!K23)+'Balance Sheet'!K47-'Balance Sheet'!K39</f>
        <v>7326</v>
      </c>
      <c r="L135" s="27">
        <f>L131+L134+('Balance Sheet'!L27-'Balance Sheet'!L23)+'Balance Sheet'!L47-'Balance Sheet'!L39</f>
        <v>6919</v>
      </c>
      <c r="M135" s="27">
        <f>M131+M134+('Balance Sheet'!M27-'Balance Sheet'!M23)+'Balance Sheet'!M47-'Balance Sheet'!M39</f>
        <v>8332</v>
      </c>
      <c r="N135" s="27">
        <f>N131+N134+('Balance Sheet'!N27-'Balance Sheet'!N23)+'Balance Sheet'!N47-'Balance Sheet'!N39</f>
        <v>9666</v>
      </c>
      <c r="O135" s="27">
        <f>O131+O134+('Balance Sheet'!O27-'Balance Sheet'!O23)+'Balance Sheet'!O47-'Balance Sheet'!O39</f>
        <v>10754</v>
      </c>
      <c r="P135" s="27">
        <f>P131+P134+('Balance Sheet'!P27-'Balance Sheet'!P23)+'Balance Sheet'!P47-'Balance Sheet'!P39</f>
        <v>9948</v>
      </c>
      <c r="Q135" s="27">
        <f>Q131+Q134+('Balance Sheet'!Q27-'Balance Sheet'!Q23)+'Balance Sheet'!Q47-'Balance Sheet'!Q39</f>
        <v>7686</v>
      </c>
      <c r="R135" s="27">
        <f>R131+R134+('Balance Sheet'!R27-'Balance Sheet'!R23)+'Balance Sheet'!R47-'Balance Sheet'!R39</f>
        <v>7681</v>
      </c>
      <c r="S135" s="27">
        <f>S131+S134+('Balance Sheet'!S27-'Balance Sheet'!S23)+'Balance Sheet'!S47-'Balance Sheet'!S39</f>
        <v>9024</v>
      </c>
      <c r="T135" s="27">
        <f>T131+T134+('Balance Sheet'!T27-'Balance Sheet'!T23)+'Balance Sheet'!T47-'Balance Sheet'!T39</f>
        <v>16343</v>
      </c>
      <c r="U135" s="27">
        <f>U131+U134+('Balance Sheet'!U27-'Balance Sheet'!U23)+'Balance Sheet'!U47-'Balance Sheet'!U39</f>
        <v>17180</v>
      </c>
      <c r="V135" s="27">
        <f>V131+V134+('Balance Sheet'!V27-'Balance Sheet'!V23)+'Balance Sheet'!V47-'Balance Sheet'!V39</f>
        <v>15715</v>
      </c>
      <c r="W135" s="27">
        <f>W131+W134+('Balance Sheet'!W27-'Balance Sheet'!W23)+'Balance Sheet'!W47-'Balance Sheet'!W39</f>
        <v>14615</v>
      </c>
      <c r="X135" s="27">
        <f>X131+X134+('Balance Sheet'!X27-'Balance Sheet'!X23)+'Balance Sheet'!X47-'Balance Sheet'!X39</f>
        <v>9097</v>
      </c>
      <c r="Y135" s="27">
        <f>Y131+Y134+('Balance Sheet'!Y27-'Balance Sheet'!Y23)+'Balance Sheet'!Y47-'Balance Sheet'!Y39</f>
        <v>9987</v>
      </c>
      <c r="Z135" s="27">
        <f>Z131+Z134+('Balance Sheet'!Z27-'Balance Sheet'!Z23)+'Balance Sheet'!Z47-'Balance Sheet'!Z39</f>
        <v>6070</v>
      </c>
      <c r="AA135" s="27">
        <f>AA131+AA134+('Balance Sheet'!AA27-'Balance Sheet'!AA23)+'Balance Sheet'!AA47-'Balance Sheet'!AA39</f>
        <v>6737.5985245665943</v>
      </c>
      <c r="AB135" s="27">
        <f>AB131+AB134+('Balance Sheet'!AB27-'Balance Sheet'!AB23)+'Balance Sheet'!AB47-'Balance Sheet'!AB39</f>
        <v>7102.8245003513875</v>
      </c>
      <c r="AC135" s="27">
        <f>AC131+AC134+('Balance Sheet'!AC27-'Balance Sheet'!AC23)+'Balance Sheet'!AC47-'Balance Sheet'!AC39</f>
        <v>7681.6330004741103</v>
      </c>
      <c r="AD135" s="27">
        <f>AD131+AD134+('Balance Sheet'!AD27-'Balance Sheet'!AD23)+'Balance Sheet'!AD47-'Balance Sheet'!AD39</f>
        <v>8366.0731052079791</v>
      </c>
      <c r="AE135" s="27">
        <f>AE131+AE134+('Balance Sheet'!AE27-'Balance Sheet'!AE23)+'Balance Sheet'!AE47-'Balance Sheet'!AE39</f>
        <v>8980.0263070105502</v>
      </c>
      <c r="AF135" s="27">
        <f>AF131+AF134+('Balance Sheet'!AF27-'Balance Sheet'!AF23)+'Balance Sheet'!AF47-'Balance Sheet'!AF39</f>
        <v>9575.1071030103994</v>
      </c>
    </row>
    <row r="137" spans="1:32">
      <c r="A137" s="243" t="s">
        <v>1689</v>
      </c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>
        <v>2021</v>
      </c>
      <c r="X137" s="243">
        <f>W137+1</f>
        <v>2022</v>
      </c>
      <c r="Y137" s="243">
        <f t="shared" ref="Y137:Z137" si="116">X137+1</f>
        <v>2023</v>
      </c>
      <c r="Z137" s="243">
        <f t="shared" si="116"/>
        <v>2024</v>
      </c>
      <c r="AA137" s="945">
        <f>Z137+1</f>
        <v>2025</v>
      </c>
      <c r="AB137" s="945">
        <f t="shared" ref="AB137:AF137" si="117">AA137+1</f>
        <v>2026</v>
      </c>
      <c r="AC137" s="945">
        <f t="shared" si="117"/>
        <v>2027</v>
      </c>
      <c r="AD137" s="945">
        <f t="shared" si="117"/>
        <v>2028</v>
      </c>
      <c r="AE137" s="945">
        <f t="shared" si="117"/>
        <v>2029</v>
      </c>
      <c r="AF137" s="945">
        <f t="shared" si="117"/>
        <v>2030</v>
      </c>
    </row>
    <row r="138" spans="1:32">
      <c r="A138" s="4" t="s">
        <v>1690</v>
      </c>
      <c r="W138" s="251">
        <v>944</v>
      </c>
      <c r="X138" s="251">
        <v>653</v>
      </c>
      <c r="Y138" s="251">
        <v>686</v>
      </c>
      <c r="Z138" s="251">
        <v>705</v>
      </c>
      <c r="AA138" s="247">
        <f>Z138</f>
        <v>705</v>
      </c>
      <c r="AB138" s="247">
        <f t="shared" ref="AB138:AF138" si="118">AA138</f>
        <v>705</v>
      </c>
      <c r="AC138" s="247">
        <f t="shared" si="118"/>
        <v>705</v>
      </c>
      <c r="AD138" s="247">
        <f t="shared" si="118"/>
        <v>705</v>
      </c>
      <c r="AE138" s="247">
        <f t="shared" si="118"/>
        <v>705</v>
      </c>
      <c r="AF138" s="247">
        <f t="shared" si="118"/>
        <v>705</v>
      </c>
    </row>
    <row r="139" spans="1:32">
      <c r="A139" s="4" t="s">
        <v>1691</v>
      </c>
      <c r="W139" s="251">
        <v>-1005</v>
      </c>
      <c r="X139" s="251">
        <v>-677</v>
      </c>
      <c r="Y139" s="251">
        <v>-753</v>
      </c>
      <c r="Z139" s="251">
        <v>-728</v>
      </c>
      <c r="AA139" s="247">
        <f>Z139</f>
        <v>-728</v>
      </c>
      <c r="AB139" s="247">
        <f t="shared" ref="AB139:AF139" si="119">AA139</f>
        <v>-728</v>
      </c>
      <c r="AC139" s="247">
        <f t="shared" si="119"/>
        <v>-728</v>
      </c>
      <c r="AD139" s="247">
        <f t="shared" si="119"/>
        <v>-728</v>
      </c>
      <c r="AE139" s="247">
        <f t="shared" si="119"/>
        <v>-728</v>
      </c>
      <c r="AF139" s="247">
        <f t="shared" si="119"/>
        <v>-728</v>
      </c>
    </row>
    <row r="140" spans="1:32" ht="15">
      <c r="A140" s="253" t="s">
        <v>1692</v>
      </c>
      <c r="B140" s="992"/>
      <c r="C140" s="992"/>
      <c r="D140" s="992"/>
      <c r="E140" s="992"/>
      <c r="F140" s="992"/>
      <c r="G140" s="992"/>
      <c r="H140" s="992"/>
      <c r="I140" s="992"/>
      <c r="J140" s="992"/>
      <c r="K140" s="992"/>
      <c r="L140" s="992"/>
      <c r="M140" s="992"/>
      <c r="N140" s="992"/>
      <c r="O140" s="992"/>
      <c r="P140" s="992"/>
      <c r="Q140" s="992"/>
      <c r="R140" s="992"/>
      <c r="S140" s="992"/>
      <c r="T140" s="992"/>
      <c r="U140" s="992"/>
      <c r="V140" s="992"/>
      <c r="W140" s="248">
        <f t="shared" ref="W140:AF140" si="120">SUM(W138:W139)</f>
        <v>-61</v>
      </c>
      <c r="X140" s="248">
        <f t="shared" si="120"/>
        <v>-24</v>
      </c>
      <c r="Y140" s="248">
        <f t="shared" si="120"/>
        <v>-67</v>
      </c>
      <c r="Z140" s="248">
        <f t="shared" si="120"/>
        <v>-23</v>
      </c>
      <c r="AA140" s="248">
        <f t="shared" si="120"/>
        <v>-23</v>
      </c>
      <c r="AB140" s="248">
        <f t="shared" si="120"/>
        <v>-23</v>
      </c>
      <c r="AC140" s="248">
        <f t="shared" si="120"/>
        <v>-23</v>
      </c>
      <c r="AD140" s="248">
        <f t="shared" si="120"/>
        <v>-23</v>
      </c>
      <c r="AE140" s="248">
        <f t="shared" si="120"/>
        <v>-23</v>
      </c>
      <c r="AF140" s="248">
        <f t="shared" si="120"/>
        <v>-23</v>
      </c>
    </row>
  </sheetData>
  <pageMargins left="0.7" right="0.7" top="0.75" bottom="0.75" header="0.3" footer="0.3"/>
  <customProperties>
    <customPr name="Qube.Worksheet.Visibility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6A02-36EF-40F1-8F05-00024DE92735}">
  <sheetPr codeName="Sheet5">
    <tabColor rgb="FF002060"/>
  </sheetPr>
  <dimension ref="A1:AO73"/>
  <sheetViews>
    <sheetView showGridLines="0" zoomScaleNormal="100" workbookViewId="0">
      <selection activeCell="AR19" sqref="AR19"/>
    </sheetView>
  </sheetViews>
  <sheetFormatPr defaultRowHeight="14.25" outlineLevelCol="1"/>
  <cols>
    <col min="1" max="1" width="35.375" bestFit="1" customWidth="1"/>
    <col min="2" max="22" width="9" hidden="1" customWidth="1" outlineLevel="1"/>
    <col min="23" max="23" width="9" collapsed="1"/>
    <col min="33" max="33" width="43.75" style="1467" customWidth="1"/>
    <col min="34" max="35" width="9" style="1431"/>
  </cols>
  <sheetData>
    <row r="1" spans="1:41" ht="15">
      <c r="A1" s="924">
        <f>'Balance Sheet'!A1</f>
        <v>340</v>
      </c>
    </row>
    <row r="2" spans="1:41">
      <c r="A2" s="257" t="s">
        <v>607</v>
      </c>
      <c r="B2" s="257">
        <v>2000</v>
      </c>
      <c r="C2" s="257">
        <v>2001</v>
      </c>
      <c r="D2" s="257">
        <v>2002</v>
      </c>
      <c r="E2" s="257">
        <v>2003</v>
      </c>
      <c r="F2" s="257">
        <v>2004</v>
      </c>
      <c r="G2" s="257">
        <v>2005</v>
      </c>
      <c r="H2" s="257">
        <v>2006</v>
      </c>
      <c r="I2" s="257">
        <v>2007</v>
      </c>
      <c r="J2" s="257">
        <v>2008</v>
      </c>
      <c r="K2" s="257">
        <v>2009</v>
      </c>
      <c r="L2" s="257">
        <v>2010</v>
      </c>
      <c r="M2" s="257">
        <v>2011</v>
      </c>
      <c r="N2" s="257">
        <v>2012</v>
      </c>
      <c r="O2" s="257">
        <v>2013</v>
      </c>
      <c r="P2" s="257">
        <v>2014</v>
      </c>
      <c r="Q2" s="257">
        <v>2015</v>
      </c>
      <c r="R2" s="257">
        <v>2016</v>
      </c>
      <c r="S2" s="257">
        <v>2017</v>
      </c>
      <c r="T2" s="257">
        <v>2018</v>
      </c>
      <c r="U2" s="257">
        <v>2019</v>
      </c>
      <c r="V2" s="257">
        <v>2020</v>
      </c>
      <c r="W2" s="257">
        <v>2021</v>
      </c>
      <c r="X2" s="257">
        <v>2022</v>
      </c>
      <c r="Y2" s="257">
        <v>2023</v>
      </c>
      <c r="Z2" s="257">
        <v>2024</v>
      </c>
      <c r="AA2" s="945">
        <f>Z2+1</f>
        <v>2025</v>
      </c>
      <c r="AB2" s="945">
        <f t="shared" ref="AB2:AF2" si="0">AA2+1</f>
        <v>2026</v>
      </c>
      <c r="AC2" s="945">
        <f t="shared" si="0"/>
        <v>2027</v>
      </c>
      <c r="AD2" s="945">
        <f t="shared" si="0"/>
        <v>2028</v>
      </c>
      <c r="AE2" s="945">
        <f t="shared" si="0"/>
        <v>2029</v>
      </c>
      <c r="AF2" s="945">
        <f t="shared" si="0"/>
        <v>2030</v>
      </c>
      <c r="AG2" s="1432" t="s">
        <v>1155</v>
      </c>
      <c r="AH2" s="1468"/>
      <c r="AJ2" s="169"/>
      <c r="AK2" s="169"/>
      <c r="AL2" s="169"/>
      <c r="AM2" s="169"/>
      <c r="AN2" s="169"/>
      <c r="AO2" s="169"/>
    </row>
    <row r="3" spans="1:41">
      <c r="A3" s="19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469"/>
      <c r="AH3" s="1468"/>
      <c r="AJ3" s="180"/>
      <c r="AK3" s="180"/>
      <c r="AL3" s="180"/>
      <c r="AM3" s="180"/>
      <c r="AN3" s="180"/>
      <c r="AO3" s="180"/>
    </row>
    <row r="4" spans="1:41">
      <c r="A4" s="240" t="s">
        <v>870</v>
      </c>
      <c r="B4" s="180"/>
      <c r="C4" s="180"/>
      <c r="D4" s="180"/>
      <c r="E4" s="180"/>
      <c r="F4" s="180"/>
      <c r="G4" s="180"/>
      <c r="H4" s="234">
        <f>'Income Statement'!H92+'Income Statement'!H94-'Income Statement'!H95</f>
        <v>33</v>
      </c>
      <c r="I4" s="234">
        <f>'Income Statement'!I92+'Income Statement'!I94-'Income Statement'!I95</f>
        <v>53</v>
      </c>
      <c r="J4" s="234">
        <f>'Income Statement'!J92+'Income Statement'!J94-'Income Statement'!J95</f>
        <v>-183</v>
      </c>
      <c r="K4" s="234">
        <f>'Income Statement'!K92+'Income Statement'!K94-'Income Statement'!K95</f>
        <v>641</v>
      </c>
      <c r="L4" s="234">
        <f>'Income Statement'!L92+'Income Statement'!L94-'Income Statement'!L95</f>
        <v>207</v>
      </c>
      <c r="M4" s="234">
        <f>'Income Statement'!M92+'Income Statement'!M94-'Income Statement'!M95</f>
        <v>478</v>
      </c>
      <c r="N4" s="234">
        <f>'Income Statement'!N92+'Income Statement'!N94-'Income Statement'!N95</f>
        <v>1282</v>
      </c>
      <c r="O4" s="234">
        <f>'Income Statement'!O92+'Income Statement'!O94-'Income Statement'!O95</f>
        <v>1255</v>
      </c>
      <c r="P4" s="234">
        <f>'Income Statement'!P92+'Income Statement'!P94-'Income Statement'!P95</f>
        <v>-126</v>
      </c>
      <c r="Q4" s="234">
        <f>'Income Statement'!Q92+'Income Statement'!Q94-'Income Statement'!Q95</f>
        <v>-424</v>
      </c>
      <c r="R4" s="234">
        <f>'Income Statement'!R92+'Income Statement'!R94-'Income Statement'!R95</f>
        <v>1908</v>
      </c>
      <c r="S4" s="234">
        <f>'Income Statement'!S92+'Income Statement'!S94-'Income Statement'!S95</f>
        <v>4550</v>
      </c>
      <c r="T4" s="234">
        <f>'Income Statement'!T92+'Income Statement'!T94-'Income Statement'!T95</f>
        <v>1283</v>
      </c>
      <c r="U4" s="234">
        <f>'Income Statement'!U92+'Income Statement'!U94-'Income Statement'!U95</f>
        <v>2447</v>
      </c>
      <c r="V4" s="234">
        <f>'Income Statement'!V92+'Income Statement'!V94-'Income Statement'!V95</f>
        <v>352</v>
      </c>
      <c r="W4" s="234">
        <f>'Income Statement'!W92+'Income Statement'!W94-'Income Statement'!W95</f>
        <v>43</v>
      </c>
      <c r="X4" s="234">
        <f>'Income Statement'!X92+'Income Statement'!X94-'Income Statement'!X95</f>
        <v>-2459</v>
      </c>
      <c r="Y4" s="234">
        <f>'Income Statement'!Y92+'Income Statement'!Y94-'Income Statement'!Y95</f>
        <v>3444</v>
      </c>
      <c r="Z4" s="234">
        <f>'Income Statement'!Z92+'Income Statement'!Z94-'Income Statement'!Z95</f>
        <v>-667</v>
      </c>
      <c r="AA4" s="358">
        <f>'Income Statement'!AA92+'Income Statement'!AA94-'Income Statement'!AA95</f>
        <v>3402.0356353808638</v>
      </c>
      <c r="AB4" s="358">
        <f>'Income Statement'!AB92+'Income Statement'!AB94-'Income Statement'!AB95</f>
        <v>4265.0744248056408</v>
      </c>
      <c r="AC4" s="358">
        <f>'Income Statement'!AC92+'Income Statement'!AC94-'Income Statement'!AC95</f>
        <v>5145.0273722240772</v>
      </c>
      <c r="AD4" s="358">
        <f>'Income Statement'!AD92+'Income Statement'!AD94-'Income Statement'!AD95</f>
        <v>5689.346823973915</v>
      </c>
      <c r="AE4" s="358">
        <f>'Income Statement'!AE92+'Income Statement'!AE94-'Income Statement'!AE95</f>
        <v>6097.9180072536037</v>
      </c>
      <c r="AF4" s="358">
        <f>'Income Statement'!AF92+'Income Statement'!AF94-'Income Statement'!AF95</f>
        <v>6533.3896805149088</v>
      </c>
      <c r="AG4" s="1469"/>
      <c r="AH4" s="1468"/>
      <c r="AJ4" s="180"/>
      <c r="AK4" s="180"/>
      <c r="AL4" s="180"/>
      <c r="AM4" s="180"/>
      <c r="AN4" s="180"/>
      <c r="AO4" s="180"/>
    </row>
    <row r="5" spans="1:41">
      <c r="A5" s="4" t="s">
        <v>688</v>
      </c>
      <c r="B5" s="180"/>
      <c r="C5" s="180"/>
      <c r="D5" s="180"/>
      <c r="E5" s="180"/>
      <c r="F5" s="180"/>
      <c r="G5" s="180"/>
      <c r="H5" s="19">
        <f>575-H7</f>
        <v>298</v>
      </c>
      <c r="I5" s="19">
        <f>513-I7</f>
        <v>281</v>
      </c>
      <c r="J5" s="19">
        <f>540-J7</f>
        <v>273</v>
      </c>
      <c r="K5" s="19">
        <f>573-K7</f>
        <v>274</v>
      </c>
      <c r="L5" s="250">
        <v>291</v>
      </c>
      <c r="M5" s="19">
        <f>695-M7-M9-M10</f>
        <v>321</v>
      </c>
      <c r="N5" s="19">
        <f>962-N7-N9-N10</f>
        <v>340</v>
      </c>
      <c r="O5" s="289">
        <f>941-O7-O9-O10</f>
        <v>363</v>
      </c>
      <c r="P5" s="251">
        <v>366</v>
      </c>
      <c r="Q5" s="27">
        <f>741*(P5/(P5+P7))</f>
        <v>331.54767726161367</v>
      </c>
      <c r="R5" s="27">
        <f>726*(Q5/(Q5+Q7))</f>
        <v>324.83618581907086</v>
      </c>
      <c r="S5" s="294">
        <f>788*(R5/(R5+R7))</f>
        <v>352.57701711491438</v>
      </c>
      <c r="T5" s="294">
        <f>1209*(S5/(S5+S7))</f>
        <v>540.94621026894856</v>
      </c>
      <c r="U5" s="294">
        <f>1463*(T5/(T5+T7))</f>
        <v>654.59413202933968</v>
      </c>
      <c r="V5" s="294">
        <f>1447*(U5/(U5+U7))</f>
        <v>647.4352078239607</v>
      </c>
      <c r="W5" s="294">
        <f>1380*(V5/(V5+V7))</f>
        <v>617.45721271393631</v>
      </c>
      <c r="X5" s="294">
        <f>1373*(W5/(W5+W7))</f>
        <v>614.32518337408294</v>
      </c>
      <c r="Y5" s="294">
        <f>1336*(X5/(X5+X7))</f>
        <v>597.77017114914406</v>
      </c>
      <c r="Z5" s="294">
        <f>1406*(Y5/(Y5+Y7))</f>
        <v>629.09046454767702</v>
      </c>
      <c r="AA5" s="273">
        <f>AA6*'Income Statement'!AA$41</f>
        <v>716.26267894786508</v>
      </c>
      <c r="AB5" s="273">
        <f>AB6*'Income Statement'!AB$41</f>
        <v>809.25900876011872</v>
      </c>
      <c r="AC5" s="273">
        <f>AC6*'Income Statement'!AC$41</f>
        <v>890.48992939208165</v>
      </c>
      <c r="AD5" s="273">
        <f>AD6*'Income Statement'!AD$41</f>
        <v>959.7078012071031</v>
      </c>
      <c r="AE5" s="273">
        <f>AE6*'Income Statement'!AE$41</f>
        <v>1012.7877777769959</v>
      </c>
      <c r="AF5" s="273">
        <f>AF6*'Income Statement'!AF$41</f>
        <v>1061.9605090563409</v>
      </c>
      <c r="AG5" s="1469"/>
      <c r="AH5" s="1468"/>
      <c r="AJ5" s="180"/>
      <c r="AK5" s="180"/>
      <c r="AL5" s="180"/>
      <c r="AM5" s="180"/>
      <c r="AN5" s="180"/>
      <c r="AO5" s="180"/>
    </row>
    <row r="6" spans="1:41">
      <c r="A6" s="295" t="s">
        <v>755</v>
      </c>
      <c r="B6" s="180"/>
      <c r="C6" s="180"/>
      <c r="D6" s="180"/>
      <c r="E6" s="180"/>
      <c r="F6" s="180"/>
      <c r="G6" s="180"/>
      <c r="H6" s="246">
        <f>H5/'Income Statement'!H$41</f>
        <v>2.7488239092334655E-2</v>
      </c>
      <c r="I6" s="246">
        <f>I5/'Income Statement'!I$41</f>
        <v>2.8927321391805642E-2</v>
      </c>
      <c r="J6" s="246">
        <f>J5/'Income Statement'!J$41</f>
        <v>2.6553837175372047E-2</v>
      </c>
      <c r="K6" s="246">
        <f>K5/'Income Statement'!K$41</f>
        <v>2.5949427029074722E-2</v>
      </c>
      <c r="L6" s="246">
        <f>L5/'Income Statement'!L$41</f>
        <v>2.6387377584330796E-2</v>
      </c>
      <c r="M6" s="246">
        <f>M5/'Income Statement'!M$41</f>
        <v>2.7534740092640248E-2</v>
      </c>
      <c r="N6" s="246">
        <f>N5/'Income Statement'!N$41</f>
        <v>2.4972456849063532E-2</v>
      </c>
      <c r="O6" s="246">
        <f>O5/'Income Statement'!O$41</f>
        <v>2.5051759834368529E-2</v>
      </c>
      <c r="P6" s="246">
        <f>P5/'Income Statement'!P$41</f>
        <v>2.4328636001063546E-2</v>
      </c>
      <c r="Q6" s="246">
        <f>Q5/'Income Statement'!Q$41</f>
        <v>2.0438150490791129E-2</v>
      </c>
      <c r="R6" s="363">
        <f>$I6</f>
        <v>2.8927321391805642E-2</v>
      </c>
      <c r="S6" s="363">
        <f>R6</f>
        <v>2.8927321391805642E-2</v>
      </c>
      <c r="T6" s="363">
        <f>T5/'Income Statement'!T41</f>
        <v>2.5728713924801357E-2</v>
      </c>
      <c r="U6" s="363">
        <f>U5/'Income Statement'!U41</f>
        <v>2.6081525700427911E-2</v>
      </c>
      <c r="V6" s="363">
        <f>V5/'Income Statement'!V41</f>
        <v>3.8929421431300626E-2</v>
      </c>
      <c r="W6" s="363">
        <f>W5/'Income Statement'!W41</f>
        <v>4.0802036127267315E-2</v>
      </c>
      <c r="X6" s="363">
        <f>X5/'Income Statement'!X41</f>
        <v>3.1466740940126157E-2</v>
      </c>
      <c r="Y6" s="363">
        <f>Y5/'Income Statement'!Y41</f>
        <v>2.527462564581388E-2</v>
      </c>
      <c r="Z6" s="363">
        <f>Z5/'Income Statement'!Z41</f>
        <v>2.2697736489669398E-2</v>
      </c>
      <c r="AA6" s="925">
        <f t="shared" ref="AA6:AF6" si="1">Z6</f>
        <v>2.2697736489669398E-2</v>
      </c>
      <c r="AB6" s="925">
        <f t="shared" si="1"/>
        <v>2.2697736489669398E-2</v>
      </c>
      <c r="AC6" s="925">
        <f t="shared" si="1"/>
        <v>2.2697736489669398E-2</v>
      </c>
      <c r="AD6" s="925">
        <f t="shared" si="1"/>
        <v>2.2697736489669398E-2</v>
      </c>
      <c r="AE6" s="925">
        <f t="shared" si="1"/>
        <v>2.2697736489669398E-2</v>
      </c>
      <c r="AF6" s="925">
        <f t="shared" si="1"/>
        <v>2.2697736489669398E-2</v>
      </c>
      <c r="AG6" s="1469"/>
      <c r="AH6" s="1468"/>
      <c r="AJ6" s="180"/>
      <c r="AK6" s="180"/>
      <c r="AL6" s="180"/>
      <c r="AM6" s="180"/>
      <c r="AN6" s="180"/>
      <c r="AO6" s="180"/>
    </row>
    <row r="7" spans="1:41">
      <c r="A7" s="4" t="s">
        <v>869</v>
      </c>
      <c r="B7" s="180"/>
      <c r="C7" s="180"/>
      <c r="D7" s="180"/>
      <c r="E7" s="180"/>
      <c r="F7" s="180"/>
      <c r="G7" s="180"/>
      <c r="H7" s="250">
        <v>277</v>
      </c>
      <c r="I7" s="250">
        <v>232</v>
      </c>
      <c r="J7" s="250">
        <v>267</v>
      </c>
      <c r="K7" s="250">
        <v>299</v>
      </c>
      <c r="L7" s="250">
        <v>315</v>
      </c>
      <c r="M7" s="250">
        <v>341</v>
      </c>
      <c r="N7" s="250">
        <v>381</v>
      </c>
      <c r="O7" s="296">
        <v>399</v>
      </c>
      <c r="P7" s="296">
        <v>452</v>
      </c>
      <c r="Q7" s="294">
        <f>741-Q5</f>
        <v>409.45232273838633</v>
      </c>
      <c r="R7" s="294">
        <f>726-R5</f>
        <v>401.16381418092914</v>
      </c>
      <c r="S7" s="294">
        <f>788-S5</f>
        <v>435.42298288508562</v>
      </c>
      <c r="T7" s="294">
        <f>1209-T5</f>
        <v>668.05378973105144</v>
      </c>
      <c r="U7" s="294">
        <f>1463-U5</f>
        <v>808.40586797066032</v>
      </c>
      <c r="V7" s="294">
        <f>1447-V5</f>
        <v>799.5647921760393</v>
      </c>
      <c r="W7" s="294">
        <f>1380-W5</f>
        <v>762.54278728606369</v>
      </c>
      <c r="X7" s="294">
        <f>1373-X5</f>
        <v>758.67481662591706</v>
      </c>
      <c r="Y7" s="294">
        <f>1336-Y5</f>
        <v>738.22982885085594</v>
      </c>
      <c r="Z7" s="294">
        <f>1406-Z5</f>
        <v>776.90953545232298</v>
      </c>
      <c r="AA7" s="297">
        <f>AA8*'Income Statement'!AA$41</f>
        <v>884.56483848206358</v>
      </c>
      <c r="AB7" s="297">
        <f>AB8*'Income Statement'!AB$41</f>
        <v>1069.6119533264164</v>
      </c>
      <c r="AC7" s="297">
        <f>AC8*'Income Statement'!AC$41</f>
        <v>1098.5112120905346</v>
      </c>
      <c r="AD7" s="297">
        <f>AD8*'Income Statement'!AD$41</f>
        <v>1183.8985991413404</v>
      </c>
      <c r="AE7" s="297">
        <f>AE8*'Income Statement'!AE$41</f>
        <v>1249.3782272370072</v>
      </c>
      <c r="AF7" s="297">
        <f>AF8*'Income Statement'!AF$41</f>
        <v>1310.0378651021447</v>
      </c>
      <c r="AG7" s="1469"/>
      <c r="AH7" s="1468"/>
      <c r="AJ7" s="180"/>
      <c r="AK7" s="180"/>
      <c r="AL7" s="180"/>
      <c r="AM7" s="180"/>
      <c r="AN7" s="180"/>
      <c r="AO7" s="180"/>
    </row>
    <row r="8" spans="1:41">
      <c r="A8" s="295" t="s">
        <v>755</v>
      </c>
      <c r="B8" s="180"/>
      <c r="C8" s="180"/>
      <c r="D8" s="180"/>
      <c r="E8" s="180"/>
      <c r="F8" s="180"/>
      <c r="G8" s="180"/>
      <c r="H8" s="246">
        <f>H7/'Income Statement'!H$41</f>
        <v>2.5551148418042617E-2</v>
      </c>
      <c r="I8" s="246">
        <f>I7/'Income Statement'!I$41</f>
        <v>2.3883055383981881E-2</v>
      </c>
      <c r="J8" s="246">
        <f>J7/'Income Statement'!J$41</f>
        <v>2.59702363583309E-2</v>
      </c>
      <c r="K8" s="246">
        <f>K7/'Income Statement'!K$41</f>
        <v>2.8317075480632635E-2</v>
      </c>
      <c r="L8" s="246">
        <f>L7/'Income Statement'!L$41</f>
        <v>2.8563656147986942E-2</v>
      </c>
      <c r="M8" s="246">
        <f>M7/'Income Statement'!M$41</f>
        <v>2.9250300223022815E-2</v>
      </c>
      <c r="N8" s="246">
        <f>N7/'Income Statement'!N$41</f>
        <v>2.7983841351450607E-2</v>
      </c>
      <c r="O8" s="246">
        <f>O7/'Income Statement'!O$41</f>
        <v>2.753623188405797E-2</v>
      </c>
      <c r="P8" s="246">
        <f>P7/'Income Statement'!P$41</f>
        <v>3.0045200744482851E-2</v>
      </c>
      <c r="Q8" s="246">
        <f>Q7/'Income Statement'!Q$41</f>
        <v>2.5240557436714727E-2</v>
      </c>
      <c r="R8" s="363">
        <f>AVERAGE(M8:Q8)</f>
        <v>2.8011226327945792E-2</v>
      </c>
      <c r="S8" s="363">
        <f>R8</f>
        <v>2.8011226327945792E-2</v>
      </c>
      <c r="T8" s="363">
        <f>T7/'Income Statement'!T41</f>
        <v>3.1774258726803874E-2</v>
      </c>
      <c r="U8" s="363">
        <f>U7/'Income Statement'!U41</f>
        <v>3.2209971630036673E-2</v>
      </c>
      <c r="V8" s="363">
        <f>V7/'Income Statement'!V41</f>
        <v>4.8076771822261999E-2</v>
      </c>
      <c r="W8" s="363">
        <f>W7/'Income Statement'!W41</f>
        <v>5.0389399807444904E-2</v>
      </c>
      <c r="X8" s="363">
        <f>X7/'Income Statement'!X41</f>
        <v>3.8860565314035603E-2</v>
      </c>
      <c r="Y8" s="363">
        <f>Y7/'Income Statement'!Y41</f>
        <v>3.1213472109037924E-2</v>
      </c>
      <c r="Z8" s="363">
        <f>Z7/'Income Statement'!Z41</f>
        <v>2.8031084408007036E-2</v>
      </c>
      <c r="AA8" s="925">
        <f>Z8</f>
        <v>2.8031084408007036E-2</v>
      </c>
      <c r="AB8" s="926">
        <v>0.03</v>
      </c>
      <c r="AC8" s="926">
        <v>2.8000000000000001E-2</v>
      </c>
      <c r="AD8" s="926">
        <v>2.8000000000000001E-2</v>
      </c>
      <c r="AE8" s="926">
        <v>2.8000000000000001E-2</v>
      </c>
      <c r="AF8" s="926">
        <v>2.8000000000000001E-2</v>
      </c>
      <c r="AG8" s="1469"/>
      <c r="AH8" s="1468"/>
      <c r="AJ8" s="180"/>
      <c r="AK8" s="180"/>
      <c r="AL8" s="180"/>
      <c r="AM8" s="180"/>
      <c r="AN8" s="180"/>
      <c r="AO8" s="180"/>
    </row>
    <row r="9" spans="1:41">
      <c r="A9" s="4" t="s">
        <v>868</v>
      </c>
      <c r="B9" s="180"/>
      <c r="C9" s="180"/>
      <c r="D9" s="180"/>
      <c r="E9" s="180"/>
      <c r="F9" s="180"/>
      <c r="G9" s="180"/>
      <c r="H9" s="224">
        <v>129</v>
      </c>
      <c r="I9" s="224">
        <v>210</v>
      </c>
      <c r="J9" s="224">
        <v>-10</v>
      </c>
      <c r="K9" s="224">
        <v>177</v>
      </c>
      <c r="L9" s="224">
        <v>-3</v>
      </c>
      <c r="M9" s="224">
        <v>62</v>
      </c>
      <c r="N9" s="224">
        <v>54</v>
      </c>
      <c r="O9" s="224">
        <v>103</v>
      </c>
      <c r="P9" s="224">
        <v>137</v>
      </c>
      <c r="Q9" s="224">
        <v>1004</v>
      </c>
      <c r="R9" s="224">
        <v>243</v>
      </c>
      <c r="S9" s="224">
        <v>60</v>
      </c>
      <c r="T9" s="224">
        <v>-19</v>
      </c>
      <c r="U9" s="224">
        <v>-42</v>
      </c>
      <c r="V9" s="224">
        <v>377</v>
      </c>
      <c r="W9" s="224">
        <v>91</v>
      </c>
      <c r="X9" s="224">
        <v>411</v>
      </c>
      <c r="Y9" s="224">
        <v>148</v>
      </c>
      <c r="Z9" s="224">
        <v>0</v>
      </c>
      <c r="AA9" s="294">
        <f>Z9</f>
        <v>0</v>
      </c>
      <c r="AB9" s="294">
        <f>AA9</f>
        <v>0</v>
      </c>
      <c r="AC9" s="294">
        <f>AB9</f>
        <v>0</v>
      </c>
      <c r="AD9" s="294">
        <f>AC9</f>
        <v>0</v>
      </c>
      <c r="AE9" s="294">
        <f>AD9</f>
        <v>0</v>
      </c>
      <c r="AF9" s="294">
        <f>AE9</f>
        <v>0</v>
      </c>
      <c r="AG9" s="1469"/>
      <c r="AH9" s="1468"/>
      <c r="AJ9" s="180"/>
      <c r="AK9" s="180"/>
      <c r="AL9" s="180"/>
      <c r="AM9" s="180"/>
      <c r="AN9" s="180"/>
      <c r="AO9" s="180"/>
    </row>
    <row r="10" spans="1:41">
      <c r="A10" s="4" t="s">
        <v>867</v>
      </c>
      <c r="B10" s="180"/>
      <c r="C10" s="180"/>
      <c r="D10" s="180"/>
      <c r="E10" s="180"/>
      <c r="F10" s="180"/>
      <c r="G10" s="180"/>
      <c r="H10" s="224">
        <v>247</v>
      </c>
      <c r="I10" s="224">
        <v>178</v>
      </c>
      <c r="J10" s="224">
        <v>160</v>
      </c>
      <c r="K10" s="224">
        <v>25</v>
      </c>
      <c r="L10" s="224">
        <v>46</v>
      </c>
      <c r="M10" s="224">
        <v>-29</v>
      </c>
      <c r="N10" s="224">
        <v>187</v>
      </c>
      <c r="O10" s="224">
        <v>76</v>
      </c>
      <c r="P10" s="224">
        <v>205</v>
      </c>
      <c r="Q10" s="224">
        <v>114</v>
      </c>
      <c r="R10" s="224">
        <v>-42</v>
      </c>
      <c r="S10" s="224">
        <v>178</v>
      </c>
      <c r="T10" s="224">
        <v>45</v>
      </c>
      <c r="U10" s="224">
        <v>168</v>
      </c>
      <c r="V10" s="224">
        <v>-259</v>
      </c>
      <c r="W10" s="224">
        <v>171</v>
      </c>
      <c r="X10" s="224">
        <v>-169</v>
      </c>
      <c r="Y10" s="224">
        <v>-51</v>
      </c>
      <c r="Z10" s="224">
        <v>285</v>
      </c>
      <c r="AA10" s="194">
        <v>100</v>
      </c>
      <c r="AB10" s="194">
        <v>100</v>
      </c>
      <c r="AC10" s="194">
        <v>100</v>
      </c>
      <c r="AD10" s="194">
        <v>100</v>
      </c>
      <c r="AE10" s="194">
        <v>100</v>
      </c>
      <c r="AF10" s="194">
        <v>100</v>
      </c>
      <c r="AG10" s="1469"/>
      <c r="AH10" s="1468"/>
      <c r="AJ10" s="180"/>
      <c r="AK10" s="180"/>
      <c r="AL10" s="180"/>
      <c r="AM10" s="180"/>
      <c r="AN10" s="180"/>
      <c r="AO10" s="180"/>
    </row>
    <row r="11" spans="1:41">
      <c r="A11" s="4" t="s">
        <v>866</v>
      </c>
      <c r="B11" s="180"/>
      <c r="C11" s="180"/>
      <c r="D11" s="180"/>
      <c r="E11" s="180"/>
      <c r="F11" s="180"/>
      <c r="G11" s="180"/>
      <c r="H11" s="224">
        <v>4</v>
      </c>
      <c r="I11" s="224">
        <v>4</v>
      </c>
      <c r="J11" s="224">
        <v>-4</v>
      </c>
      <c r="K11" s="224">
        <v>-2</v>
      </c>
      <c r="L11" s="224">
        <v>-9</v>
      </c>
      <c r="M11" s="224">
        <v>-10</v>
      </c>
      <c r="N11" s="224">
        <v>-19</v>
      </c>
      <c r="O11" s="224">
        <f>-'Income Statement'!O83</f>
        <v>-15</v>
      </c>
      <c r="P11" s="224">
        <v>-36</v>
      </c>
      <c r="Q11" s="224">
        <v>-20</v>
      </c>
      <c r="R11" s="224">
        <v>-63</v>
      </c>
      <c r="S11" s="224">
        <v>-100</v>
      </c>
      <c r="T11" s="224">
        <v>-124</v>
      </c>
      <c r="U11" s="224">
        <v>-87</v>
      </c>
      <c r="V11" s="224">
        <v>22</v>
      </c>
      <c r="W11" s="224">
        <v>702</v>
      </c>
      <c r="X11" s="224">
        <v>11</v>
      </c>
      <c r="Y11" s="224">
        <v>-83</v>
      </c>
      <c r="Z11" s="224">
        <v>-120</v>
      </c>
      <c r="AA11" s="273">
        <f>-'Income Statement'!AA83</f>
        <v>0</v>
      </c>
      <c r="AB11" s="273">
        <f>-'Income Statement'!AB83</f>
        <v>0</v>
      </c>
      <c r="AC11" s="273">
        <f>-'Income Statement'!AC83</f>
        <v>0</v>
      </c>
      <c r="AD11" s="273">
        <f>-'Income Statement'!AD83</f>
        <v>0</v>
      </c>
      <c r="AE11" s="273">
        <f>-'Income Statement'!AE83</f>
        <v>0</v>
      </c>
      <c r="AF11" s="273">
        <f>-'Income Statement'!AF83</f>
        <v>0</v>
      </c>
      <c r="AG11" s="1469"/>
      <c r="AH11" s="1468"/>
      <c r="AJ11" s="180"/>
      <c r="AK11" s="180"/>
      <c r="AL11" s="180"/>
      <c r="AM11" s="180"/>
      <c r="AN11" s="180"/>
      <c r="AO11" s="180"/>
    </row>
    <row r="12" spans="1:41">
      <c r="A12" s="4" t="s">
        <v>865</v>
      </c>
      <c r="B12" s="180"/>
      <c r="C12" s="180"/>
      <c r="D12" s="180"/>
      <c r="E12" s="180"/>
      <c r="F12" s="180"/>
      <c r="G12" s="180"/>
      <c r="H12" s="224">
        <v>135</v>
      </c>
      <c r="I12" s="224">
        <v>368</v>
      </c>
      <c r="J12" s="224">
        <v>546</v>
      </c>
      <c r="K12" s="224">
        <v>-546</v>
      </c>
      <c r="L12" s="224">
        <v>310</v>
      </c>
      <c r="M12" s="224">
        <v>2</v>
      </c>
      <c r="N12" s="224">
        <v>-779</v>
      </c>
      <c r="O12" s="224">
        <v>-432</v>
      </c>
      <c r="P12" s="224">
        <v>1934</v>
      </c>
      <c r="Q12" s="224">
        <v>2475</v>
      </c>
      <c r="R12" s="224">
        <v>81</v>
      </c>
      <c r="S12" s="224">
        <v>-3608</v>
      </c>
      <c r="T12" s="224">
        <v>316</v>
      </c>
      <c r="U12" s="224">
        <v>-152</v>
      </c>
      <c r="V12" s="224">
        <v>209</v>
      </c>
      <c r="W12" s="224">
        <v>538</v>
      </c>
      <c r="X12" s="224">
        <v>4207</v>
      </c>
      <c r="Y12" s="224">
        <v>-2161</v>
      </c>
      <c r="Z12" s="224">
        <v>4684</v>
      </c>
      <c r="AA12" s="4"/>
      <c r="AB12" s="4"/>
      <c r="AC12" s="4"/>
      <c r="AD12" s="4"/>
      <c r="AE12" s="4"/>
      <c r="AF12" s="4"/>
      <c r="AG12" s="1469"/>
      <c r="AH12" s="1468"/>
      <c r="AJ12" s="180"/>
      <c r="AK12" s="180"/>
      <c r="AL12" s="180"/>
      <c r="AM12" s="180"/>
      <c r="AN12" s="180"/>
      <c r="AO12" s="180"/>
    </row>
    <row r="13" spans="1:41">
      <c r="A13" s="4" t="s">
        <v>864</v>
      </c>
      <c r="B13" s="180"/>
      <c r="C13" s="180"/>
      <c r="D13" s="180"/>
      <c r="E13" s="180"/>
      <c r="F13" s="180"/>
      <c r="G13" s="180"/>
      <c r="H13" s="224">
        <v>-39</v>
      </c>
      <c r="I13" s="224">
        <v>7</v>
      </c>
      <c r="J13" s="224">
        <v>-127</v>
      </c>
      <c r="K13" s="224">
        <v>6</v>
      </c>
      <c r="L13" s="224">
        <v>31</v>
      </c>
      <c r="M13" s="224">
        <v>16</v>
      </c>
      <c r="N13" s="224">
        <v>10</v>
      </c>
      <c r="O13" s="224">
        <v>-382</v>
      </c>
      <c r="P13" s="224">
        <v>-12</v>
      </c>
      <c r="Q13" s="224">
        <v>-453</v>
      </c>
      <c r="R13" s="224">
        <v>-364</v>
      </c>
      <c r="S13" s="224">
        <v>-20</v>
      </c>
      <c r="T13" s="224">
        <v>12</v>
      </c>
      <c r="U13" s="224">
        <v>-41</v>
      </c>
      <c r="V13" s="224">
        <v>20</v>
      </c>
      <c r="W13" s="224">
        <v>-57</v>
      </c>
      <c r="X13" s="224">
        <v>289</v>
      </c>
      <c r="Y13" s="224">
        <v>344</v>
      </c>
      <c r="Z13" s="224">
        <v>-47</v>
      </c>
      <c r="AA13" s="4"/>
      <c r="AB13" s="4"/>
      <c r="AC13" s="4"/>
      <c r="AD13" s="4"/>
      <c r="AE13" s="4"/>
      <c r="AF13" s="4"/>
      <c r="AG13" s="1469"/>
      <c r="AH13" s="1468"/>
      <c r="AJ13" s="180"/>
      <c r="AK13" s="180"/>
      <c r="AL13" s="180"/>
      <c r="AM13" s="180"/>
      <c r="AN13" s="180"/>
      <c r="AO13" s="180"/>
    </row>
    <row r="14" spans="1:41">
      <c r="A14" s="4" t="s">
        <v>863</v>
      </c>
      <c r="B14" s="180"/>
      <c r="C14" s="180"/>
      <c r="D14" s="180"/>
      <c r="E14" s="180"/>
      <c r="F14" s="180"/>
      <c r="G14" s="180"/>
      <c r="H14" s="224">
        <v>0</v>
      </c>
      <c r="I14" s="224">
        <v>-36</v>
      </c>
      <c r="J14" s="224">
        <v>308</v>
      </c>
      <c r="K14" s="224">
        <v>-1</v>
      </c>
      <c r="L14" s="224">
        <v>5</v>
      </c>
      <c r="M14" s="224">
        <v>-4</v>
      </c>
      <c r="N14" s="224">
        <v>-1</v>
      </c>
      <c r="O14" s="224"/>
      <c r="P14" s="224"/>
      <c r="Q14" s="224">
        <v>-26</v>
      </c>
      <c r="R14" s="224">
        <v>-110</v>
      </c>
      <c r="S14" s="224">
        <v>-997</v>
      </c>
      <c r="T14" s="224"/>
      <c r="U14" s="224"/>
      <c r="V14" s="224"/>
      <c r="W14" s="224"/>
      <c r="X14" s="224"/>
      <c r="Y14" s="224"/>
      <c r="Z14" s="224"/>
      <c r="AA14" s="366"/>
      <c r="AB14" s="366"/>
      <c r="AC14" s="366"/>
      <c r="AD14" s="366"/>
      <c r="AE14" s="366"/>
      <c r="AF14" s="366"/>
      <c r="AG14" s="1469"/>
      <c r="AH14" s="1468"/>
      <c r="AJ14" s="180"/>
      <c r="AK14" s="180"/>
      <c r="AL14" s="180"/>
      <c r="AM14" s="180"/>
      <c r="AN14" s="180"/>
      <c r="AO14" s="180"/>
    </row>
    <row r="15" spans="1:41">
      <c r="A15" s="4" t="s">
        <v>862</v>
      </c>
      <c r="B15" s="180"/>
      <c r="C15" s="180"/>
      <c r="D15" s="180"/>
      <c r="E15" s="180"/>
      <c r="F15" s="180"/>
      <c r="G15" s="180"/>
      <c r="H15" s="224">
        <v>12</v>
      </c>
      <c r="I15" s="224">
        <v>7</v>
      </c>
      <c r="J15" s="224">
        <v>11</v>
      </c>
      <c r="K15" s="224">
        <v>13</v>
      </c>
      <c r="L15" s="224">
        <v>18</v>
      </c>
      <c r="M15" s="224">
        <v>19</v>
      </c>
      <c r="N15" s="224">
        <v>24</v>
      </c>
      <c r="O15" s="224">
        <v>29</v>
      </c>
      <c r="P15" s="254">
        <f>'Income Statement'!P95</f>
        <v>58</v>
      </c>
      <c r="Q15" s="254">
        <f>'Income Statement'!Q95</f>
        <v>47</v>
      </c>
      <c r="R15" s="224">
        <v>55</v>
      </c>
      <c r="S15" s="224">
        <v>60</v>
      </c>
      <c r="T15" s="224">
        <v>58</v>
      </c>
      <c r="U15" s="224">
        <v>65</v>
      </c>
      <c r="V15" s="294">
        <f>'Income Statement'!V95</f>
        <v>34</v>
      </c>
      <c r="W15" s="294">
        <f>'Income Statement'!W95</f>
        <v>25</v>
      </c>
      <c r="X15" s="294">
        <f>'Income Statement'!X95</f>
        <v>33</v>
      </c>
      <c r="Y15" s="294">
        <f>'Income Statement'!Y95</f>
        <v>76</v>
      </c>
      <c r="Z15" s="294">
        <f>'Income Statement'!Z95</f>
        <v>92</v>
      </c>
      <c r="AA15" s="297">
        <f>'Income Statement'!AA95</f>
        <v>104.74831550750601</v>
      </c>
      <c r="AB15" s="297">
        <f>'Income Statement'!AB95</f>
        <v>118.34836641414142</v>
      </c>
      <c r="AC15" s="297">
        <f>'Income Statement'!AC95</f>
        <v>130.22781002248468</v>
      </c>
      <c r="AD15" s="297">
        <f>'Income Statement'!AD95</f>
        <v>140.35043079938782</v>
      </c>
      <c r="AE15" s="297">
        <f>'Income Statement'!AE95</f>
        <v>148.11299933226383</v>
      </c>
      <c r="AF15" s="297">
        <f>'Income Statement'!AF95</f>
        <v>155.3041610691572</v>
      </c>
      <c r="AG15" s="1469"/>
      <c r="AH15" s="1468"/>
      <c r="AJ15" s="180"/>
      <c r="AK15" s="180"/>
      <c r="AL15" s="180"/>
      <c r="AM15" s="180"/>
      <c r="AN15" s="180"/>
      <c r="AO15" s="180"/>
    </row>
    <row r="16" spans="1:41">
      <c r="A16" s="4" t="s">
        <v>861</v>
      </c>
      <c r="B16" s="180"/>
      <c r="C16" s="180"/>
      <c r="D16" s="180"/>
      <c r="E16" s="180"/>
      <c r="F16" s="180"/>
      <c r="G16" s="180"/>
      <c r="H16" s="250">
        <f>7-19</f>
        <v>-12</v>
      </c>
      <c r="I16" s="250">
        <f>22+4</f>
        <v>26</v>
      </c>
      <c r="J16" s="250">
        <f>25+6</f>
        <v>31</v>
      </c>
      <c r="K16" s="250">
        <f>-24+7</f>
        <v>-17</v>
      </c>
      <c r="L16" s="250">
        <f>4+6</f>
        <v>10</v>
      </c>
      <c r="M16" s="224">
        <v>4</v>
      </c>
      <c r="N16" s="224">
        <v>222</v>
      </c>
      <c r="O16" s="224">
        <v>457</v>
      </c>
      <c r="P16" s="224">
        <v>-510</v>
      </c>
      <c r="Q16" s="224">
        <v>-821</v>
      </c>
      <c r="R16" s="224">
        <v>217</v>
      </c>
      <c r="S16" s="224">
        <v>1150</v>
      </c>
      <c r="T16" s="224">
        <v>318</v>
      </c>
      <c r="U16" s="224">
        <v>221</v>
      </c>
      <c r="V16" s="224">
        <v>-328</v>
      </c>
      <c r="W16" s="224">
        <v>-707</v>
      </c>
      <c r="X16" s="224">
        <v>-880</v>
      </c>
      <c r="Y16" s="224">
        <v>459</v>
      </c>
      <c r="Z16" s="224">
        <v>-907</v>
      </c>
      <c r="AA16" s="298"/>
      <c r="AB16" s="298"/>
      <c r="AC16" s="298"/>
      <c r="AD16" s="298"/>
      <c r="AE16" s="298"/>
      <c r="AF16" s="298"/>
      <c r="AG16" s="1469"/>
      <c r="AH16" s="1468"/>
      <c r="AJ16" s="180"/>
      <c r="AK16" s="180"/>
      <c r="AL16" s="180"/>
      <c r="AM16" s="180"/>
      <c r="AN16" s="180"/>
      <c r="AO16" s="180"/>
    </row>
    <row r="17" spans="1:41">
      <c r="A17" s="4" t="s">
        <v>860</v>
      </c>
      <c r="B17" s="180"/>
      <c r="C17" s="180"/>
      <c r="D17" s="180"/>
      <c r="E17" s="180"/>
      <c r="F17" s="180"/>
      <c r="G17" s="180"/>
      <c r="H17" s="19">
        <f>-202-'Income Statement'!H86</f>
        <v>-93</v>
      </c>
      <c r="I17" s="19">
        <f>-212-'Income Statement'!I86</f>
        <v>-187</v>
      </c>
      <c r="J17" s="19">
        <f>-257-'Income Statement'!J86</f>
        <v>-399</v>
      </c>
      <c r="K17" s="19">
        <f>-73-'Income Statement'!K86</f>
        <v>162</v>
      </c>
      <c r="L17" s="19">
        <f>-103-'Income Statement'!L86</f>
        <v>-89</v>
      </c>
      <c r="M17" s="250">
        <v>42</v>
      </c>
      <c r="N17" s="250">
        <v>337</v>
      </c>
      <c r="O17" s="251">
        <v>-14</v>
      </c>
      <c r="P17" s="245"/>
      <c r="Q17" s="245"/>
      <c r="R17" s="298"/>
      <c r="S17" s="298"/>
      <c r="T17" s="298"/>
      <c r="U17" s="298"/>
      <c r="V17" s="298"/>
      <c r="W17" s="298"/>
      <c r="X17" s="298"/>
      <c r="Y17" s="298"/>
      <c r="Z17" s="298"/>
      <c r="AA17" s="194">
        <v>330</v>
      </c>
      <c r="AB17" s="194">
        <v>-130</v>
      </c>
      <c r="AC17" s="194">
        <v>-200</v>
      </c>
      <c r="AD17" s="298"/>
      <c r="AE17" s="298"/>
      <c r="AF17" s="298"/>
      <c r="AG17" s="1469"/>
      <c r="AH17" s="1468"/>
      <c r="AJ17" s="180"/>
      <c r="AK17" s="180"/>
      <c r="AL17" s="180"/>
      <c r="AM17" s="180"/>
      <c r="AN17" s="180"/>
      <c r="AO17" s="180"/>
    </row>
    <row r="18" spans="1:41">
      <c r="A18" s="4" t="s">
        <v>859</v>
      </c>
      <c r="B18" s="180"/>
      <c r="C18" s="180"/>
      <c r="D18" s="180"/>
      <c r="E18" s="180"/>
      <c r="F18" s="180"/>
      <c r="G18" s="180"/>
      <c r="H18" s="224">
        <v>-461</v>
      </c>
      <c r="I18" s="224">
        <v>-421</v>
      </c>
      <c r="J18" s="224">
        <v>-337</v>
      </c>
      <c r="K18" s="224">
        <v>387</v>
      </c>
      <c r="L18" s="224">
        <v>55</v>
      </c>
      <c r="M18" s="224">
        <v>-134</v>
      </c>
      <c r="N18" s="224">
        <v>-388</v>
      </c>
      <c r="O18" s="224">
        <v>45</v>
      </c>
      <c r="P18" s="224">
        <v>-185</v>
      </c>
      <c r="Q18" s="224">
        <v>-280</v>
      </c>
      <c r="R18" s="224">
        <v>-347</v>
      </c>
      <c r="S18" s="224">
        <v>-280</v>
      </c>
      <c r="T18" s="224">
        <v>-393</v>
      </c>
      <c r="U18" s="224">
        <v>-590</v>
      </c>
      <c r="V18" s="224">
        <v>1016</v>
      </c>
      <c r="W18" s="224">
        <v>296</v>
      </c>
      <c r="X18" s="224">
        <v>-1545</v>
      </c>
      <c r="Y18" s="224">
        <v>-1494</v>
      </c>
      <c r="Z18" s="224">
        <v>-1452</v>
      </c>
      <c r="AA18" s="273">
        <f>-('Balance Sheet'!AA18-'Balance Sheet'!Z18)</f>
        <v>-665.1571042870255</v>
      </c>
      <c r="AB18" s="273">
        <f>-('Balance Sheet'!AB18-'Balance Sheet'!AA18)</f>
        <v>-137.40176463657735</v>
      </c>
      <c r="AC18" s="273">
        <f>-('Balance Sheet'!AC18-'Balance Sheet'!AB18)</f>
        <v>-847.55050071886217</v>
      </c>
      <c r="AD18" s="273">
        <f>-('Balance Sheet'!AD18-'Balance Sheet'!AC18)</f>
        <v>-865.99955234923618</v>
      </c>
      <c r="AE18" s="273">
        <f>-('Balance Sheet'!AE18-'Balance Sheet'!AD18)</f>
        <v>-804.88605777045632</v>
      </c>
      <c r="AF18" s="273">
        <f>-('Balance Sheet'!AF18-'Balance Sheet'!AE18)</f>
        <v>-695.85961081157802</v>
      </c>
      <c r="AG18" s="1469"/>
      <c r="AH18" s="1468"/>
      <c r="AJ18" s="180"/>
      <c r="AK18" s="180"/>
      <c r="AL18" s="180"/>
      <c r="AM18" s="180"/>
      <c r="AN18" s="180"/>
      <c r="AO18" s="180"/>
    </row>
    <row r="19" spans="1:41">
      <c r="A19" s="4" t="s">
        <v>980</v>
      </c>
      <c r="B19" s="180"/>
      <c r="C19" s="180"/>
      <c r="D19" s="180"/>
      <c r="E19" s="180"/>
      <c r="F19" s="180"/>
      <c r="G19" s="180"/>
      <c r="H19" s="224">
        <v>254</v>
      </c>
      <c r="I19" s="224">
        <v>318</v>
      </c>
      <c r="J19" s="224">
        <v>228</v>
      </c>
      <c r="K19" s="224">
        <v>-45</v>
      </c>
      <c r="L19" s="224">
        <v>185</v>
      </c>
      <c r="M19" s="224">
        <v>216</v>
      </c>
      <c r="N19" s="224">
        <v>228</v>
      </c>
      <c r="O19" s="224">
        <v>178</v>
      </c>
      <c r="P19" s="224">
        <v>-58</v>
      </c>
      <c r="Q19" s="224">
        <v>210</v>
      </c>
      <c r="R19" s="224">
        <v>219</v>
      </c>
      <c r="S19" s="224">
        <v>890</v>
      </c>
      <c r="T19" s="224">
        <v>-280</v>
      </c>
      <c r="U19" s="224">
        <v>-563</v>
      </c>
      <c r="V19" s="224">
        <v>41</v>
      </c>
      <c r="W19" s="224">
        <v>-53</v>
      </c>
      <c r="X19" s="224">
        <v>-81</v>
      </c>
      <c r="Y19" s="224">
        <v>478</v>
      </c>
      <c r="Z19" s="224">
        <v>549</v>
      </c>
      <c r="AA19" s="273">
        <f>-'Balance Sheet'!AA80-'Balance Sheet'!AA81</f>
        <v>868.55949305465219</v>
      </c>
      <c r="AB19" s="273">
        <f>-'Balance Sheet'!AB80-'Balance Sheet'!AB81</f>
        <v>391.72275675487799</v>
      </c>
      <c r="AC19" s="273">
        <f>-'Balance Sheet'!AC80-'Balance Sheet'!AC81</f>
        <v>743.04259067142812</v>
      </c>
      <c r="AD19" s="273">
        <f>-'Balance Sheet'!AD80-'Balance Sheet'!AD81</f>
        <v>411.82629619360523</v>
      </c>
      <c r="AE19" s="273">
        <f>-'Balance Sheet'!AE80-'Balance Sheet'!AE81</f>
        <v>161.38638013637319</v>
      </c>
      <c r="AF19" s="273">
        <f>-'Balance Sheet'!AF80-'Balance Sheet'!AF81</f>
        <v>-207.54289407698343</v>
      </c>
      <c r="AG19" s="1469"/>
      <c r="AH19" s="1468"/>
      <c r="AJ19" s="180"/>
      <c r="AK19" s="180"/>
      <c r="AL19" s="180"/>
      <c r="AM19" s="180"/>
      <c r="AN19" s="180"/>
      <c r="AO19" s="180"/>
    </row>
    <row r="20" spans="1:41">
      <c r="A20" s="4" t="s">
        <v>1097</v>
      </c>
      <c r="B20" s="180"/>
      <c r="C20" s="180"/>
      <c r="D20" s="180"/>
      <c r="E20" s="180"/>
      <c r="F20" s="180"/>
      <c r="G20" s="180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98"/>
      <c r="S20" s="27">
        <f>86+10</f>
        <v>96</v>
      </c>
      <c r="T20" s="27">
        <f>746+2</f>
        <v>748</v>
      </c>
      <c r="U20" s="27">
        <f>218+11</f>
        <v>229</v>
      </c>
      <c r="V20" s="27">
        <f>-982-17</f>
        <v>-999</v>
      </c>
      <c r="W20" s="27">
        <f>131-43</f>
        <v>88</v>
      </c>
      <c r="X20" s="27">
        <f>2451-118</f>
        <v>2333</v>
      </c>
      <c r="Y20" s="27">
        <f>2073-103</f>
        <v>1970</v>
      </c>
      <c r="Z20" s="27">
        <f>1004-89</f>
        <v>915</v>
      </c>
      <c r="AA20" s="273">
        <f>-('Balance Sheet'!AA44-'Balance Sheet'!Z44)-('Balance Sheet'!AA25-'Balance Sheet'!Z25)</f>
        <v>0</v>
      </c>
      <c r="AB20" s="273">
        <f>-('Balance Sheet'!AB44-'Balance Sheet'!AA44)-('Balance Sheet'!AB25-'Balance Sheet'!AA25)</f>
        <v>0</v>
      </c>
      <c r="AC20" s="273">
        <f>-('Balance Sheet'!AC44-'Balance Sheet'!AB44)-('Balance Sheet'!AC25-'Balance Sheet'!AB25)</f>
        <v>0</v>
      </c>
      <c r="AD20" s="273">
        <f>-('Balance Sheet'!AD44-'Balance Sheet'!AC44)-('Balance Sheet'!AD25-'Balance Sheet'!AC25)</f>
        <v>0</v>
      </c>
      <c r="AE20" s="273">
        <f>-('Balance Sheet'!AE44-'Balance Sheet'!AD44)-('Balance Sheet'!AE25-'Balance Sheet'!AD25)</f>
        <v>0</v>
      </c>
      <c r="AF20" s="273">
        <f>-('Balance Sheet'!AF44-'Balance Sheet'!AE44)-('Balance Sheet'!AF25-'Balance Sheet'!AE25)</f>
        <v>0</v>
      </c>
      <c r="AG20" s="1469"/>
      <c r="AH20" s="1468"/>
      <c r="AJ20" s="180"/>
      <c r="AK20" s="180"/>
      <c r="AL20" s="180"/>
      <c r="AM20" s="180"/>
      <c r="AN20" s="180"/>
      <c r="AO20" s="180"/>
    </row>
    <row r="21" spans="1:41">
      <c r="A21" s="4" t="s">
        <v>981</v>
      </c>
      <c r="B21" s="180"/>
      <c r="C21" s="180"/>
      <c r="D21" s="180"/>
      <c r="E21" s="180"/>
      <c r="F21" s="180"/>
      <c r="G21" s="180"/>
      <c r="H21" s="224">
        <v>58</v>
      </c>
      <c r="I21" s="224">
        <v>-10</v>
      </c>
      <c r="J21" s="224">
        <v>18</v>
      </c>
      <c r="K21" s="224">
        <v>-5</v>
      </c>
      <c r="L21" s="224">
        <v>77</v>
      </c>
      <c r="M21" s="224">
        <v>-35</v>
      </c>
      <c r="N21" s="224">
        <v>75</v>
      </c>
      <c r="O21" s="224">
        <v>-68</v>
      </c>
      <c r="P21" s="224">
        <v>132</v>
      </c>
      <c r="Q21" s="224">
        <v>75</v>
      </c>
      <c r="R21" s="224">
        <v>-40</v>
      </c>
      <c r="S21" s="224">
        <v>-15</v>
      </c>
      <c r="T21" s="224">
        <v>-102</v>
      </c>
      <c r="U21" s="224">
        <v>27</v>
      </c>
      <c r="V21" s="224">
        <v>-66</v>
      </c>
      <c r="W21" s="224">
        <v>-81</v>
      </c>
      <c r="X21" s="224">
        <v>22</v>
      </c>
      <c r="Y21" s="224">
        <v>-196</v>
      </c>
      <c r="Z21" s="224">
        <v>-5</v>
      </c>
      <c r="AA21" s="298"/>
      <c r="AB21" s="298"/>
      <c r="AC21" s="298"/>
      <c r="AD21" s="298"/>
      <c r="AE21" s="298"/>
      <c r="AF21" s="298"/>
      <c r="AG21" s="1469"/>
      <c r="AH21" s="1468"/>
      <c r="AJ21" s="180"/>
      <c r="AK21" s="180"/>
      <c r="AL21" s="180"/>
      <c r="AM21" s="180"/>
      <c r="AN21" s="180"/>
      <c r="AO21" s="180"/>
    </row>
    <row r="22" spans="1:41">
      <c r="A22" s="4" t="s">
        <v>1719</v>
      </c>
      <c r="B22" s="180"/>
      <c r="C22" s="180"/>
      <c r="D22" s="180"/>
      <c r="E22" s="180"/>
      <c r="F22" s="180"/>
      <c r="G22" s="180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7">
        <f t="shared" ref="W22:Z22" si="2">W18+W19+W20+W21</f>
        <v>250</v>
      </c>
      <c r="X22" s="27">
        <f t="shared" si="2"/>
        <v>729</v>
      </c>
      <c r="Y22" s="27">
        <f t="shared" si="2"/>
        <v>758</v>
      </c>
      <c r="Z22" s="27">
        <f t="shared" si="2"/>
        <v>7</v>
      </c>
      <c r="AA22" s="27">
        <f>AA18+AA19+AA20+AA21</f>
        <v>203.40238876762669</v>
      </c>
      <c r="AB22" s="27">
        <f t="shared" ref="AB22:AF22" si="3">AB18+AB19+AB20+AB21</f>
        <v>254.32099211830064</v>
      </c>
      <c r="AC22" s="27">
        <f t="shared" si="3"/>
        <v>-104.50791004743405</v>
      </c>
      <c r="AD22" s="27">
        <f t="shared" si="3"/>
        <v>-454.17325615563095</v>
      </c>
      <c r="AE22" s="27">
        <f t="shared" si="3"/>
        <v>-643.49967763408313</v>
      </c>
      <c r="AF22" s="27">
        <f t="shared" si="3"/>
        <v>-903.40250488856145</v>
      </c>
      <c r="AG22" s="1469"/>
      <c r="AH22" s="1468"/>
      <c r="AJ22" s="180"/>
      <c r="AK22" s="180"/>
      <c r="AL22" s="180"/>
      <c r="AM22" s="180"/>
      <c r="AN22" s="180"/>
      <c r="AO22" s="180"/>
    </row>
    <row r="23" spans="1:41">
      <c r="A23" s="4" t="s">
        <v>752</v>
      </c>
      <c r="B23" s="180"/>
      <c r="C23" s="180"/>
      <c r="D23" s="180"/>
      <c r="E23" s="180"/>
      <c r="F23" s="180"/>
      <c r="G23" s="180"/>
      <c r="H23" s="247">
        <f>H24-SUM(H4:H21)</f>
        <v>11.946960612489647</v>
      </c>
      <c r="I23" s="247">
        <f>I24-SUM(I4:I21)</f>
        <v>77.947189623224176</v>
      </c>
      <c r="J23" s="247">
        <f>J24-SUM(J4:J21)</f>
        <v>-156.05252407353373</v>
      </c>
      <c r="K23" s="247">
        <f>K24-SUM(K4:K21)</f>
        <v>39.945733497490437</v>
      </c>
      <c r="L23" s="247">
        <f>L24-SUM(L4:L21)</f>
        <v>-19.054951033732323</v>
      </c>
      <c r="M23" s="247">
        <f t="shared" ref="M23:AF23" si="4">M24-SUM(M4:M5,M7,M9:M21)</f>
        <v>-52</v>
      </c>
      <c r="N23" s="247">
        <f t="shared" si="4"/>
        <v>-336</v>
      </c>
      <c r="O23" s="247">
        <f t="shared" si="4"/>
        <v>145</v>
      </c>
      <c r="P23" s="247">
        <f t="shared" si="4"/>
        <v>0</v>
      </c>
      <c r="Q23" s="247">
        <f t="shared" si="4"/>
        <v>-11</v>
      </c>
      <c r="R23" s="27">
        <f t="shared" si="4"/>
        <v>0</v>
      </c>
      <c r="S23" s="27">
        <f t="shared" si="4"/>
        <v>0</v>
      </c>
      <c r="T23" s="27">
        <f t="shared" si="4"/>
        <v>0</v>
      </c>
      <c r="U23" s="27">
        <f t="shared" si="4"/>
        <v>0</v>
      </c>
      <c r="V23" s="27">
        <f t="shared" si="4"/>
        <v>0</v>
      </c>
      <c r="W23" s="27">
        <f t="shared" si="4"/>
        <v>0</v>
      </c>
      <c r="X23" s="27">
        <f t="shared" si="4"/>
        <v>0</v>
      </c>
      <c r="Y23" s="27">
        <f t="shared" si="4"/>
        <v>0</v>
      </c>
      <c r="Z23" s="27">
        <f t="shared" si="4"/>
        <v>0</v>
      </c>
      <c r="AA23" s="27">
        <f t="shared" si="4"/>
        <v>0</v>
      </c>
      <c r="AB23" s="27">
        <f t="shared" si="4"/>
        <v>0</v>
      </c>
      <c r="AC23" s="27">
        <f t="shared" si="4"/>
        <v>0</v>
      </c>
      <c r="AD23" s="27">
        <f t="shared" si="4"/>
        <v>0</v>
      </c>
      <c r="AE23" s="27">
        <f t="shared" si="4"/>
        <v>0</v>
      </c>
      <c r="AF23" s="27">
        <f t="shared" si="4"/>
        <v>0</v>
      </c>
      <c r="AG23" s="1469"/>
      <c r="AH23" s="1468"/>
      <c r="AJ23" s="180"/>
      <c r="AK23" s="180"/>
      <c r="AL23" s="180"/>
      <c r="AM23" s="180"/>
      <c r="AN23" s="180"/>
      <c r="AO23" s="180"/>
    </row>
    <row r="24" spans="1:41">
      <c r="A24" s="240" t="s">
        <v>858</v>
      </c>
      <c r="B24" s="180"/>
      <c r="C24" s="180"/>
      <c r="D24" s="180"/>
      <c r="E24" s="180"/>
      <c r="F24" s="180"/>
      <c r="G24" s="180"/>
      <c r="H24" s="241">
        <v>854</v>
      </c>
      <c r="I24" s="241">
        <f>1013+95</f>
        <v>1108</v>
      </c>
      <c r="J24" s="241">
        <f>720-94</f>
        <v>626</v>
      </c>
      <c r="K24" s="241">
        <f>1403+5</f>
        <v>1408</v>
      </c>
      <c r="L24" s="241">
        <f>1459-29</f>
        <v>1430</v>
      </c>
      <c r="M24" s="241">
        <f>1247-10</f>
        <v>1237</v>
      </c>
      <c r="N24" s="241">
        <v>1617</v>
      </c>
      <c r="O24" s="241">
        <v>2139</v>
      </c>
      <c r="P24" s="241">
        <v>2357</v>
      </c>
      <c r="Q24" s="241">
        <v>2631</v>
      </c>
      <c r="R24" s="242">
        <f t="shared" ref="R24:AF24" si="5">SUM(R4:R5,R7,R9:R21)</f>
        <v>2483</v>
      </c>
      <c r="S24" s="242">
        <f t="shared" si="5"/>
        <v>2752</v>
      </c>
      <c r="T24" s="242">
        <f t="shared" si="5"/>
        <v>3071</v>
      </c>
      <c r="U24" s="242">
        <f t="shared" si="5"/>
        <v>3145</v>
      </c>
      <c r="V24" s="242">
        <f t="shared" si="5"/>
        <v>1866</v>
      </c>
      <c r="W24" s="242">
        <f t="shared" ref="W24:Z24" si="6">SUM(W4:W5,W7,W9:W17)+W22</f>
        <v>2436</v>
      </c>
      <c r="X24" s="242">
        <f t="shared" si="6"/>
        <v>3545</v>
      </c>
      <c r="Y24" s="242">
        <f t="shared" si="6"/>
        <v>4270</v>
      </c>
      <c r="Z24" s="242">
        <f t="shared" si="6"/>
        <v>4733</v>
      </c>
      <c r="AA24" s="242">
        <f>SUM(AA4:AA5,AA7,AA9:AA17)+AA22</f>
        <v>5741.0138570859253</v>
      </c>
      <c r="AB24" s="242">
        <f t="shared" si="5"/>
        <v>6486.6147454246175</v>
      </c>
      <c r="AC24" s="242">
        <f t="shared" si="5"/>
        <v>7059.7484136817438</v>
      </c>
      <c r="AD24" s="242">
        <f t="shared" si="5"/>
        <v>7619.1303989661155</v>
      </c>
      <c r="AE24" s="242">
        <f t="shared" si="5"/>
        <v>7964.697333965787</v>
      </c>
      <c r="AF24" s="242">
        <f t="shared" si="5"/>
        <v>8257.289710853991</v>
      </c>
      <c r="AG24" s="1469"/>
      <c r="AH24" s="1468"/>
      <c r="AJ24" s="180"/>
      <c r="AK24" s="180"/>
      <c r="AL24" s="180"/>
      <c r="AM24" s="180"/>
      <c r="AN24" s="180"/>
      <c r="AO24" s="180"/>
    </row>
    <row r="25" spans="1:41">
      <c r="A25" s="4"/>
      <c r="B25" s="180"/>
      <c r="C25" s="180"/>
      <c r="D25" s="180"/>
      <c r="E25" s="180"/>
      <c r="F25" s="180"/>
      <c r="G25" s="180"/>
      <c r="H25" s="19"/>
      <c r="I25" s="19"/>
      <c r="J25" s="19"/>
      <c r="K25" s="19"/>
      <c r="L25" s="19"/>
      <c r="M25" s="19"/>
      <c r="N25" s="19"/>
      <c r="O25" s="19"/>
      <c r="P25" s="245"/>
      <c r="Q25" s="245"/>
      <c r="R25" s="298"/>
      <c r="S25" s="292"/>
      <c r="T25" s="4"/>
      <c r="U25" s="4"/>
      <c r="V25" s="366"/>
      <c r="W25" s="366"/>
      <c r="X25" s="223"/>
      <c r="Y25" s="223"/>
      <c r="Z25" s="223"/>
      <c r="AA25" s="180"/>
      <c r="AB25" s="180"/>
      <c r="AC25" s="180"/>
      <c r="AD25" s="180"/>
      <c r="AE25" s="180"/>
      <c r="AF25" s="180"/>
      <c r="AG25" s="1469"/>
      <c r="AH25" s="1468"/>
      <c r="AJ25" s="180"/>
      <c r="AK25" s="180"/>
      <c r="AL25" s="180"/>
      <c r="AM25" s="180"/>
      <c r="AN25" s="180"/>
      <c r="AO25" s="180"/>
    </row>
    <row r="26" spans="1:41">
      <c r="A26" s="4" t="s">
        <v>857</v>
      </c>
      <c r="B26" s="180"/>
      <c r="C26" s="180"/>
      <c r="D26" s="180"/>
      <c r="E26" s="180"/>
      <c r="F26" s="180"/>
      <c r="G26" s="180"/>
      <c r="H26" s="224">
        <v>-343</v>
      </c>
      <c r="I26" s="224">
        <v>-252</v>
      </c>
      <c r="J26" s="224">
        <v>-230</v>
      </c>
      <c r="K26" s="224">
        <v>-292</v>
      </c>
      <c r="L26" s="224">
        <v>-254</v>
      </c>
      <c r="M26" s="224">
        <v>-363</v>
      </c>
      <c r="N26" s="224">
        <v>-634</v>
      </c>
      <c r="O26" s="224">
        <f>-720-215</f>
        <v>-935</v>
      </c>
      <c r="P26" s="224">
        <f>-676-267</f>
        <v>-943</v>
      </c>
      <c r="Q26" s="224">
        <f>-495-502</f>
        <v>-997</v>
      </c>
      <c r="R26" s="224">
        <v>-324</v>
      </c>
      <c r="S26" s="224">
        <f>-225-349</f>
        <v>-574</v>
      </c>
      <c r="T26" s="224">
        <f>-183-327</f>
        <v>-510</v>
      </c>
      <c r="U26" s="224">
        <f>-333-134</f>
        <v>-467</v>
      </c>
      <c r="V26" s="224">
        <f>-287-57</f>
        <v>-344</v>
      </c>
      <c r="W26" s="224">
        <f>-316-53</f>
        <v>-369</v>
      </c>
      <c r="X26" s="224">
        <f>-283-98</f>
        <v>-381</v>
      </c>
      <c r="Y26" s="224">
        <f>-323-179</f>
        <v>-502</v>
      </c>
      <c r="Z26" s="224">
        <f>-328-172</f>
        <v>-500</v>
      </c>
      <c r="AA26" s="294">
        <f>Z26-50</f>
        <v>-550</v>
      </c>
      <c r="AB26" s="294">
        <f>AA26</f>
        <v>-550</v>
      </c>
      <c r="AC26" s="294">
        <f>AB26</f>
        <v>-550</v>
      </c>
      <c r="AD26" s="294">
        <f>AC26</f>
        <v>-550</v>
      </c>
      <c r="AE26" s="294">
        <f>AD26</f>
        <v>-550</v>
      </c>
      <c r="AF26" s="294">
        <f>AE26</f>
        <v>-550</v>
      </c>
      <c r="AG26" s="1469" t="s">
        <v>1459</v>
      </c>
      <c r="AH26" s="1468"/>
      <c r="AJ26" s="180"/>
      <c r="AK26" s="180"/>
      <c r="AL26" s="180"/>
      <c r="AM26" s="180"/>
      <c r="AN26" s="180"/>
      <c r="AO26" s="180"/>
    </row>
    <row r="27" spans="1:41">
      <c r="A27" s="295" t="s">
        <v>755</v>
      </c>
      <c r="B27" s="180"/>
      <c r="C27" s="180"/>
      <c r="D27" s="180"/>
      <c r="E27" s="180"/>
      <c r="F27" s="180"/>
      <c r="G27" s="180"/>
      <c r="H27" s="246">
        <f>H26/'Income Statement'!H$41</f>
        <v>-3.1639147680103313E-2</v>
      </c>
      <c r="I27" s="246">
        <f>I26/'Income Statement'!I$41</f>
        <v>-2.5941939468807906E-2</v>
      </c>
      <c r="J27" s="246">
        <f>J26/'Income Statement'!J$41</f>
        <v>-2.2371364653243849E-2</v>
      </c>
      <c r="K27" s="246">
        <f>K26/'Income Statement'!K$41</f>
        <v>-2.7654133914196421E-2</v>
      </c>
      <c r="L27" s="246">
        <f>L26/'Income Statement'!L$41</f>
        <v>-2.3032281465360901E-2</v>
      </c>
      <c r="M27" s="246">
        <f>M26/'Income Statement'!M$41</f>
        <v>-3.1137416366443644E-2</v>
      </c>
      <c r="N27" s="246">
        <f>N26/'Income Statement'!N$41</f>
        <v>-4.6566287183253764E-2</v>
      </c>
      <c r="O27" s="246">
        <f>O26/'Income Statement'!O$41</f>
        <v>-6.4527260179434096E-2</v>
      </c>
      <c r="P27" s="246">
        <f>P26/'Income Statement'!P$41</f>
        <v>-6.2682797128423298E-2</v>
      </c>
      <c r="Q27" s="246">
        <f>Q26/'Income Statement'!Q$41</f>
        <v>-6.1459746023918134E-2</v>
      </c>
      <c r="R27" s="363">
        <f>R26/'Income Statement'!R$41</f>
        <v>-1.9657808518383692E-2</v>
      </c>
      <c r="S27" s="363">
        <f>S26/'Income Statement'!S$41</f>
        <v>-3.5051294577430385E-2</v>
      </c>
      <c r="T27" s="363">
        <f>T26/'Income Statement'!T$41</f>
        <v>-2.4256837098692034E-2</v>
      </c>
      <c r="U27" s="363">
        <f>U26/'Income Statement'!U$41</f>
        <v>-1.8607060323531755E-2</v>
      </c>
      <c r="V27" s="363">
        <f>V26/'Income Statement'!V$41</f>
        <v>-2.0684264325656905E-2</v>
      </c>
      <c r="W27" s="363">
        <f>W26/'Income Statement'!W$41</f>
        <v>-2.438379699993392E-2</v>
      </c>
      <c r="X27" s="363">
        <f>X26/'Income Statement'!X$41</f>
        <v>-1.9515443323259746E-2</v>
      </c>
      <c r="Y27" s="363">
        <f>Y26/'Income Statement'!Y$41</f>
        <v>-2.1225318168364975E-2</v>
      </c>
      <c r="Z27" s="363">
        <f>Z26/'Income Statement'!Z$41</f>
        <v>-1.8040121229614663E-2</v>
      </c>
      <c r="AA27" s="275">
        <f>AA26/'Income Statement'!AA$41</f>
        <v>-1.7429017923502377E-2</v>
      </c>
      <c r="AB27" s="275">
        <f>AB26/'Income Statement'!AB$41</f>
        <v>-1.5426155203937452E-2</v>
      </c>
      <c r="AC27" s="275">
        <f>AC26/'Income Statement'!AC$41</f>
        <v>-1.4018973889845739E-2</v>
      </c>
      <c r="AD27" s="275">
        <f>AD26/'Income Statement'!AD$41</f>
        <v>-1.3007870784853815E-2</v>
      </c>
      <c r="AE27" s="275">
        <f>AE26/'Income Statement'!AE$41</f>
        <v>-1.2326131242143552E-2</v>
      </c>
      <c r="AF27" s="275">
        <f>AF26/'Income Statement'!AF$41</f>
        <v>-1.1755385405443415E-2</v>
      </c>
      <c r="AG27" s="1469"/>
      <c r="AH27" s="1468"/>
      <c r="AJ27" s="180"/>
      <c r="AK27" s="180"/>
      <c r="AL27" s="180"/>
      <c r="AM27" s="180"/>
      <c r="AN27" s="180"/>
      <c r="AO27" s="180"/>
    </row>
    <row r="28" spans="1:41">
      <c r="A28" s="4" t="s">
        <v>856</v>
      </c>
      <c r="B28" s="180"/>
      <c r="C28" s="180"/>
      <c r="D28" s="180"/>
      <c r="E28" s="180"/>
      <c r="F28" s="180"/>
      <c r="G28" s="180"/>
      <c r="H28" s="224">
        <v>-346</v>
      </c>
      <c r="I28" s="224">
        <v>-387</v>
      </c>
      <c r="J28" s="224">
        <v>-441</v>
      </c>
      <c r="K28" s="224">
        <v>-293</v>
      </c>
      <c r="L28" s="224">
        <v>-271</v>
      </c>
      <c r="M28" s="224">
        <v>-352</v>
      </c>
      <c r="N28" s="224">
        <v>-419</v>
      </c>
      <c r="O28" s="224">
        <v>-492</v>
      </c>
      <c r="P28" s="224">
        <v>-674</v>
      </c>
      <c r="Q28" s="224">
        <v>-705</v>
      </c>
      <c r="R28" s="224">
        <v>-704</v>
      </c>
      <c r="S28" s="224">
        <v>-740</v>
      </c>
      <c r="T28" s="224">
        <v>-780</v>
      </c>
      <c r="U28" s="224">
        <v>-695</v>
      </c>
      <c r="V28" s="224">
        <v>-449</v>
      </c>
      <c r="W28" s="224">
        <v>-387</v>
      </c>
      <c r="X28" s="224">
        <v>-498</v>
      </c>
      <c r="Y28" s="224">
        <v>-823</v>
      </c>
      <c r="Z28" s="224">
        <v>-1044</v>
      </c>
      <c r="AA28" s="297">
        <f>AA29*'Income Statement'!AA$41</f>
        <v>-1577.8284307641502</v>
      </c>
      <c r="AB28" s="297">
        <f>AB29*'Income Statement'!AB$41</f>
        <v>-1604.4179299896248</v>
      </c>
      <c r="AC28" s="297">
        <f>AC29*'Income Statement'!AC$41</f>
        <v>-1569.3017315579068</v>
      </c>
      <c r="AD28" s="297">
        <f>AD29*'Income Statement'!AD$41</f>
        <v>-1479.8732489266761</v>
      </c>
      <c r="AE28" s="297">
        <f>AE29*'Income Statement'!AE$41</f>
        <v>-1338.6195291825081</v>
      </c>
      <c r="AF28" s="297">
        <f>AF29*'Income Statement'!AF$41</f>
        <v>-1169.6766652697722</v>
      </c>
      <c r="AG28" s="1469" t="s">
        <v>1303</v>
      </c>
      <c r="AH28" s="1468"/>
      <c r="AJ28" s="180"/>
      <c r="AK28" s="180"/>
      <c r="AL28" s="180"/>
      <c r="AM28" s="180"/>
      <c r="AN28" s="180"/>
      <c r="AO28" s="180"/>
    </row>
    <row r="29" spans="1:41">
      <c r="A29" s="295" t="s">
        <v>755</v>
      </c>
      <c r="B29" s="180"/>
      <c r="C29" s="180"/>
      <c r="D29" s="180"/>
      <c r="E29" s="180"/>
      <c r="F29" s="180"/>
      <c r="G29" s="180"/>
      <c r="H29" s="246">
        <f>H28/'Income Statement'!H$41</f>
        <v>-3.1915874919287886E-2</v>
      </c>
      <c r="I29" s="246">
        <f>I28/'Income Statement'!I$41</f>
        <v>-3.983940704138357E-2</v>
      </c>
      <c r="J29" s="246">
        <f>J28/'Income Statement'!J$41</f>
        <v>-4.2894660052524076E-2</v>
      </c>
      <c r="K29" s="246">
        <f>K28/'Income Statement'!K$41</f>
        <v>-2.7748839852258737E-2</v>
      </c>
      <c r="L29" s="246">
        <f>L28/'Income Statement'!L$41</f>
        <v>-2.4573812114617337E-2</v>
      </c>
      <c r="M29" s="246">
        <f>M28/'Income Statement'!M$41</f>
        <v>-3.0193858294733231E-2</v>
      </c>
      <c r="N29" s="246">
        <f>N28/'Income Statement'!N$41</f>
        <v>-3.0774880646345943E-2</v>
      </c>
      <c r="O29" s="246">
        <f>O28/'Income Statement'!O$41</f>
        <v>-3.3954451345755692E-2</v>
      </c>
      <c r="P29" s="246">
        <f>P28/'Income Statement'!P$41</f>
        <v>-4.4801914384472216E-2</v>
      </c>
      <c r="Q29" s="246">
        <f>Q28/'Income Statement'!Q$41</f>
        <v>-4.3459499445197877E-2</v>
      </c>
      <c r="R29" s="363">
        <f>R28/'Income Statement'!R$41</f>
        <v>-4.2713262953525059E-2</v>
      </c>
      <c r="S29" s="363">
        <f>S28/'Income Statement'!S$41</f>
        <v>-4.5188080117244747E-2</v>
      </c>
      <c r="T29" s="363">
        <f>T28/'Income Statement'!T$41</f>
        <v>-3.7098692033293697E-2</v>
      </c>
      <c r="U29" s="363">
        <f>U28/'Income Statement'!U$41</f>
        <v>-2.7691449517889873E-2</v>
      </c>
      <c r="V29" s="363">
        <f>V28/'Income Statement'!V$41</f>
        <v>-2.6997775239011486E-2</v>
      </c>
      <c r="W29" s="363">
        <f>W28/'Income Statement'!W$41</f>
        <v>-2.5573250512125816E-2</v>
      </c>
      <c r="X29" s="363">
        <f>X28/'Income Statement'!X$41</f>
        <v>-2.5508374737489115E-2</v>
      </c>
      <c r="Y29" s="363">
        <f>Y28/'Income Statement'!Y$41</f>
        <v>-3.4797682973235801E-2</v>
      </c>
      <c r="Z29" s="363">
        <f>Z28/'Income Statement'!Z$41</f>
        <v>-3.7667773127435418E-2</v>
      </c>
      <c r="AA29" s="926">
        <v>-0.05</v>
      </c>
      <c r="AB29" s="926">
        <f>AA29+0.005</f>
        <v>-4.5000000000000005E-2</v>
      </c>
      <c r="AC29" s="926">
        <f>AB29+0.005</f>
        <v>-4.0000000000000008E-2</v>
      </c>
      <c r="AD29" s="926">
        <f>AC29+0.005</f>
        <v>-3.500000000000001E-2</v>
      </c>
      <c r="AE29" s="926">
        <f>AD29+0.005</f>
        <v>-3.0000000000000009E-2</v>
      </c>
      <c r="AF29" s="926">
        <f>AE29+0.005</f>
        <v>-2.5000000000000008E-2</v>
      </c>
      <c r="AG29" s="1469" t="s">
        <v>1458</v>
      </c>
      <c r="AH29" s="1468"/>
      <c r="AJ29" s="180"/>
      <c r="AK29" s="180"/>
      <c r="AL29" s="180"/>
      <c r="AM29" s="180"/>
      <c r="AN29" s="180"/>
      <c r="AO29" s="180"/>
    </row>
    <row r="30" spans="1:41">
      <c r="A30" s="4" t="s">
        <v>855</v>
      </c>
      <c r="B30" s="180"/>
      <c r="C30" s="180"/>
      <c r="D30" s="180"/>
      <c r="E30" s="180"/>
      <c r="F30" s="180"/>
      <c r="G30" s="180"/>
      <c r="H30" s="224">
        <f>-53+14</f>
        <v>-39</v>
      </c>
      <c r="I30" s="224">
        <v>-68</v>
      </c>
      <c r="J30" s="224">
        <v>-221</v>
      </c>
      <c r="K30" s="224">
        <v>-560</v>
      </c>
      <c r="L30" s="224">
        <v>-122</v>
      </c>
      <c r="M30" s="224">
        <v>-1176</v>
      </c>
      <c r="N30" s="224">
        <v>-193</v>
      </c>
      <c r="O30" s="224">
        <f>-733+353</f>
        <v>-380</v>
      </c>
      <c r="P30" s="224">
        <f>-272+5</f>
        <v>-267</v>
      </c>
      <c r="Q30" s="224">
        <f>622-39</f>
        <v>583</v>
      </c>
      <c r="R30" s="224">
        <v>-810</v>
      </c>
      <c r="S30" s="224">
        <v>-54</v>
      </c>
      <c r="T30" s="224">
        <v>-4172</v>
      </c>
      <c r="U30" s="224">
        <v>-29</v>
      </c>
      <c r="V30" s="224">
        <v>-21</v>
      </c>
      <c r="W30" s="224">
        <v>-33</v>
      </c>
      <c r="X30" s="224">
        <v>-490</v>
      </c>
      <c r="Y30" s="224">
        <v>-328</v>
      </c>
      <c r="Z30" s="224">
        <v>-344</v>
      </c>
      <c r="AA30" s="223">
        <f>Z30</f>
        <v>-344</v>
      </c>
      <c r="AB30" s="223">
        <f t="shared" ref="AB30:AF30" si="7">AA30</f>
        <v>-344</v>
      </c>
      <c r="AC30" s="223">
        <f t="shared" si="7"/>
        <v>-344</v>
      </c>
      <c r="AD30" s="223">
        <f t="shared" si="7"/>
        <v>-344</v>
      </c>
      <c r="AE30" s="223">
        <f t="shared" si="7"/>
        <v>-344</v>
      </c>
      <c r="AF30" s="223">
        <f t="shared" si="7"/>
        <v>-344</v>
      </c>
      <c r="AG30" s="1469"/>
      <c r="AH30" s="1468"/>
      <c r="AJ30" s="180"/>
      <c r="AK30" s="180"/>
      <c r="AL30" s="180"/>
      <c r="AM30" s="180"/>
      <c r="AN30" s="180"/>
      <c r="AO30" s="180"/>
    </row>
    <row r="31" spans="1:41">
      <c r="A31" s="295" t="s">
        <v>965</v>
      </c>
      <c r="B31" s="180"/>
      <c r="C31" s="180"/>
      <c r="D31" s="180"/>
      <c r="E31" s="180"/>
      <c r="F31" s="180"/>
      <c r="G31" s="180"/>
      <c r="H31" s="19"/>
      <c r="I31" s="19"/>
      <c r="J31" s="19"/>
      <c r="K31" s="19"/>
      <c r="L31" s="19"/>
      <c r="M31" s="19"/>
      <c r="N31" s="19"/>
      <c r="O31" s="289"/>
      <c r="P31" s="289"/>
      <c r="Q31" s="289"/>
      <c r="R31" s="27">
        <f t="shared" ref="R31:AF31" si="8">R30*0.5</f>
        <v>-405</v>
      </c>
      <c r="S31" s="27">
        <f t="shared" si="8"/>
        <v>-27</v>
      </c>
      <c r="T31" s="27">
        <f t="shared" si="8"/>
        <v>-2086</v>
      </c>
      <c r="U31" s="27">
        <f t="shared" si="8"/>
        <v>-14.5</v>
      </c>
      <c r="V31" s="27">
        <f t="shared" si="8"/>
        <v>-10.5</v>
      </c>
      <c r="W31" s="27">
        <f t="shared" si="8"/>
        <v>-16.5</v>
      </c>
      <c r="X31" s="27">
        <f t="shared" si="8"/>
        <v>-245</v>
      </c>
      <c r="Y31" s="27">
        <f t="shared" si="8"/>
        <v>-164</v>
      </c>
      <c r="Z31" s="27">
        <f t="shared" si="8"/>
        <v>-172</v>
      </c>
      <c r="AA31" s="27">
        <f t="shared" si="8"/>
        <v>-172</v>
      </c>
      <c r="AB31" s="27">
        <f t="shared" si="8"/>
        <v>-172</v>
      </c>
      <c r="AC31" s="27">
        <f t="shared" si="8"/>
        <v>-172</v>
      </c>
      <c r="AD31" s="27">
        <f t="shared" si="8"/>
        <v>-172</v>
      </c>
      <c r="AE31" s="27">
        <f t="shared" si="8"/>
        <v>-172</v>
      </c>
      <c r="AF31" s="27">
        <f t="shared" si="8"/>
        <v>-172</v>
      </c>
      <c r="AG31" s="1469" t="s">
        <v>1304</v>
      </c>
      <c r="AH31" s="1468"/>
      <c r="AJ31" s="180"/>
      <c r="AK31" s="180"/>
      <c r="AL31" s="180"/>
      <c r="AM31" s="180"/>
      <c r="AN31" s="180"/>
      <c r="AO31" s="180"/>
    </row>
    <row r="32" spans="1:41">
      <c r="A32" s="295" t="s">
        <v>966</v>
      </c>
      <c r="B32" s="180"/>
      <c r="C32" s="180"/>
      <c r="D32" s="180"/>
      <c r="E32" s="180"/>
      <c r="F32" s="180"/>
      <c r="G32" s="180"/>
      <c r="H32" s="19"/>
      <c r="I32" s="19"/>
      <c r="J32" s="19"/>
      <c r="K32" s="19"/>
      <c r="L32" s="19"/>
      <c r="M32" s="19"/>
      <c r="N32" s="19"/>
      <c r="O32" s="289"/>
      <c r="P32" s="289"/>
      <c r="Q32" s="289"/>
      <c r="R32" s="27">
        <f t="shared" ref="R32:AF32" si="9">R30-R31</f>
        <v>-405</v>
      </c>
      <c r="S32" s="27">
        <f t="shared" si="9"/>
        <v>-27</v>
      </c>
      <c r="T32" s="27">
        <f t="shared" si="9"/>
        <v>-2086</v>
      </c>
      <c r="U32" s="27">
        <f t="shared" si="9"/>
        <v>-14.5</v>
      </c>
      <c r="V32" s="27">
        <f t="shared" si="9"/>
        <v>-10.5</v>
      </c>
      <c r="W32" s="27">
        <f t="shared" si="9"/>
        <v>-16.5</v>
      </c>
      <c r="X32" s="27">
        <f t="shared" si="9"/>
        <v>-245</v>
      </c>
      <c r="Y32" s="27">
        <f t="shared" si="9"/>
        <v>-164</v>
      </c>
      <c r="Z32" s="27">
        <f t="shared" si="9"/>
        <v>-172</v>
      </c>
      <c r="AA32" s="27">
        <f t="shared" si="9"/>
        <v>-172</v>
      </c>
      <c r="AB32" s="27">
        <f t="shared" si="9"/>
        <v>-172</v>
      </c>
      <c r="AC32" s="27">
        <f t="shared" si="9"/>
        <v>-172</v>
      </c>
      <c r="AD32" s="27">
        <f t="shared" si="9"/>
        <v>-172</v>
      </c>
      <c r="AE32" s="27">
        <f t="shared" si="9"/>
        <v>-172</v>
      </c>
      <c r="AF32" s="27">
        <f t="shared" si="9"/>
        <v>-172</v>
      </c>
      <c r="AG32" s="1469"/>
      <c r="AH32" s="1468"/>
      <c r="AJ32" s="180"/>
      <c r="AK32" s="180"/>
      <c r="AL32" s="180"/>
      <c r="AM32" s="180"/>
      <c r="AN32" s="180"/>
      <c r="AO32" s="180"/>
    </row>
    <row r="33" spans="1:41">
      <c r="A33" s="4" t="s">
        <v>854</v>
      </c>
      <c r="B33" s="180"/>
      <c r="C33" s="180"/>
      <c r="D33" s="180"/>
      <c r="E33" s="180"/>
      <c r="F33" s="180"/>
      <c r="G33" s="180"/>
      <c r="H33" s="224">
        <v>13</v>
      </c>
      <c r="I33" s="224">
        <v>-26</v>
      </c>
      <c r="J33" s="224">
        <v>109</v>
      </c>
      <c r="K33" s="224">
        <v>-9</v>
      </c>
      <c r="L33" s="224">
        <v>-53</v>
      </c>
      <c r="M33" s="224">
        <v>-6</v>
      </c>
      <c r="N33" s="224">
        <v>-86</v>
      </c>
      <c r="O33" s="224">
        <v>-35</v>
      </c>
      <c r="P33" s="224">
        <v>-70</v>
      </c>
      <c r="Q33" s="224">
        <v>-61</v>
      </c>
      <c r="R33" s="224">
        <v>5</v>
      </c>
      <c r="S33" s="224">
        <v>-1974</v>
      </c>
      <c r="T33" s="224">
        <v>1950</v>
      </c>
      <c r="U33" s="224">
        <v>39</v>
      </c>
      <c r="V33" s="224">
        <v>14</v>
      </c>
      <c r="W33" s="224">
        <v>-212</v>
      </c>
      <c r="X33" s="224">
        <v>-167</v>
      </c>
      <c r="Y33" s="224">
        <v>-202</v>
      </c>
      <c r="Z33" s="224">
        <v>-73</v>
      </c>
      <c r="AA33" s="180"/>
      <c r="AB33" s="180"/>
      <c r="AC33" s="180"/>
      <c r="AD33" s="180"/>
      <c r="AE33" s="180"/>
      <c r="AF33" s="180"/>
      <c r="AG33" s="1469"/>
      <c r="AH33" s="1468"/>
      <c r="AJ33" s="180"/>
      <c r="AK33" s="180"/>
      <c r="AL33" s="180"/>
      <c r="AM33" s="180"/>
      <c r="AN33" s="180"/>
      <c r="AO33" s="180"/>
    </row>
    <row r="34" spans="1:41">
      <c r="A34" s="4" t="s">
        <v>752</v>
      </c>
      <c r="B34" s="180"/>
      <c r="C34" s="180"/>
      <c r="D34" s="180"/>
      <c r="E34" s="180"/>
      <c r="F34" s="180"/>
      <c r="G34" s="180"/>
      <c r="H34" s="247">
        <f t="shared" ref="H34:N34" si="10">H35-SUM(H26,H28,H30:H33)</f>
        <v>9</v>
      </c>
      <c r="I34" s="247">
        <f t="shared" si="10"/>
        <v>-34</v>
      </c>
      <c r="J34" s="247">
        <f t="shared" si="10"/>
        <v>-12</v>
      </c>
      <c r="K34" s="247">
        <f t="shared" si="10"/>
        <v>0</v>
      </c>
      <c r="L34" s="247">
        <f t="shared" si="10"/>
        <v>1</v>
      </c>
      <c r="M34" s="247">
        <f t="shared" si="10"/>
        <v>-2</v>
      </c>
      <c r="N34" s="247">
        <f t="shared" si="10"/>
        <v>0</v>
      </c>
      <c r="O34" s="247">
        <f>O35-SUM(O26,O28,O30,O33)</f>
        <v>0</v>
      </c>
      <c r="P34" s="247">
        <f>P35-SUM(P26,P28,P30,P33)</f>
        <v>0</v>
      </c>
      <c r="Q34" s="247">
        <f>Q35-SUM(Q26,Q28,Q30,Q33)</f>
        <v>0</v>
      </c>
      <c r="R34" s="194">
        <f>-364+2</f>
        <v>-362</v>
      </c>
      <c r="S34" s="194">
        <f>3060</f>
        <v>3060</v>
      </c>
      <c r="T34" s="194">
        <f>18</f>
        <v>18</v>
      </c>
      <c r="U34" s="194">
        <v>47</v>
      </c>
      <c r="V34" s="194">
        <v>1</v>
      </c>
      <c r="W34" s="194">
        <v>263</v>
      </c>
      <c r="X34" s="194">
        <v>248</v>
      </c>
      <c r="Y34" s="194">
        <v>151</v>
      </c>
      <c r="Z34" s="194">
        <v>113</v>
      </c>
      <c r="AA34" s="180">
        <f t="shared" ref="AA34:AF34" si="11">AA35-SUM(AA26,AA28,AA30,AA33)</f>
        <v>0</v>
      </c>
      <c r="AB34" s="180">
        <f t="shared" si="11"/>
        <v>0</v>
      </c>
      <c r="AC34" s="180">
        <f t="shared" si="11"/>
        <v>0</v>
      </c>
      <c r="AD34" s="180">
        <f t="shared" si="11"/>
        <v>0</v>
      </c>
      <c r="AE34" s="180">
        <f t="shared" si="11"/>
        <v>0</v>
      </c>
      <c r="AF34" s="180">
        <f t="shared" si="11"/>
        <v>0</v>
      </c>
      <c r="AG34" s="1469"/>
      <c r="AH34" s="1468"/>
      <c r="AJ34" s="180"/>
      <c r="AK34" s="180"/>
      <c r="AL34" s="180"/>
      <c r="AM34" s="180"/>
      <c r="AN34" s="180"/>
      <c r="AO34" s="180"/>
    </row>
    <row r="35" spans="1:41">
      <c r="A35" s="240" t="s">
        <v>853</v>
      </c>
      <c r="B35" s="180"/>
      <c r="C35" s="180"/>
      <c r="D35" s="180"/>
      <c r="E35" s="180"/>
      <c r="F35" s="180"/>
      <c r="G35" s="180"/>
      <c r="H35" s="241">
        <v>-706</v>
      </c>
      <c r="I35" s="241">
        <f>-734-33</f>
        <v>-767</v>
      </c>
      <c r="J35" s="241">
        <f>-788-7</f>
        <v>-795</v>
      </c>
      <c r="K35" s="241">
        <v>-1154</v>
      </c>
      <c r="L35" s="241">
        <v>-699</v>
      </c>
      <c r="M35" s="241">
        <f>-1897-2</f>
        <v>-1899</v>
      </c>
      <c r="N35" s="241">
        <v>-1332</v>
      </c>
      <c r="O35" s="241">
        <v>-1842</v>
      </c>
      <c r="P35" s="241">
        <v>-1954</v>
      </c>
      <c r="Q35" s="241">
        <v>-1180</v>
      </c>
      <c r="R35" s="242">
        <f t="shared" ref="R35:Z35" si="12">SUM(R26,R28,R30,R33,R34)</f>
        <v>-2195</v>
      </c>
      <c r="S35" s="242">
        <f t="shared" si="12"/>
        <v>-282</v>
      </c>
      <c r="T35" s="242">
        <f t="shared" si="12"/>
        <v>-3494</v>
      </c>
      <c r="U35" s="242">
        <f t="shared" si="12"/>
        <v>-1105</v>
      </c>
      <c r="V35" s="242">
        <f t="shared" si="12"/>
        <v>-799</v>
      </c>
      <c r="W35" s="242">
        <f t="shared" si="12"/>
        <v>-738</v>
      </c>
      <c r="X35" s="242">
        <f t="shared" si="12"/>
        <v>-1288</v>
      </c>
      <c r="Y35" s="242">
        <f t="shared" si="12"/>
        <v>-1704</v>
      </c>
      <c r="Z35" s="242">
        <f t="shared" si="12"/>
        <v>-1848</v>
      </c>
      <c r="AA35" s="242">
        <f t="shared" ref="AA35:AF35" si="13">SUM(AA26,AA28,AA30,AA33)</f>
        <v>-2471.8284307641502</v>
      </c>
      <c r="AB35" s="242">
        <f t="shared" si="13"/>
        <v>-2498.417929989625</v>
      </c>
      <c r="AC35" s="242">
        <f t="shared" si="13"/>
        <v>-2463.3017315579068</v>
      </c>
      <c r="AD35" s="242">
        <f t="shared" si="13"/>
        <v>-2373.8732489266758</v>
      </c>
      <c r="AE35" s="242">
        <f t="shared" si="13"/>
        <v>-2232.6195291825079</v>
      </c>
      <c r="AF35" s="242">
        <f t="shared" si="13"/>
        <v>-2063.6766652697725</v>
      </c>
      <c r="AG35" s="1469"/>
      <c r="AH35" s="1468"/>
      <c r="AJ35" s="180"/>
      <c r="AK35" s="180"/>
      <c r="AL35" s="180"/>
      <c r="AM35" s="180"/>
      <c r="AN35" s="180"/>
      <c r="AO35" s="180"/>
    </row>
    <row r="36" spans="1:41">
      <c r="A36" s="4"/>
      <c r="B36" s="180"/>
      <c r="C36" s="180"/>
      <c r="D36" s="180"/>
      <c r="E36" s="180"/>
      <c r="F36" s="180"/>
      <c r="G36" s="180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4"/>
      <c r="S36" s="4"/>
      <c r="T36" s="4"/>
      <c r="U36" s="4"/>
      <c r="V36" s="4"/>
      <c r="W36" s="4"/>
      <c r="X36" s="180"/>
      <c r="Y36" s="180"/>
      <c r="Z36" s="180"/>
      <c r="AA36" s="180"/>
      <c r="AB36" s="180"/>
      <c r="AC36" s="180"/>
      <c r="AD36" s="180"/>
      <c r="AE36" s="180"/>
      <c r="AF36" s="180"/>
      <c r="AG36" s="1469"/>
      <c r="AH36" s="1468"/>
      <c r="AJ36" s="180"/>
      <c r="AK36" s="180"/>
      <c r="AL36" s="180"/>
      <c r="AM36" s="180"/>
      <c r="AN36" s="180"/>
      <c r="AO36" s="180"/>
    </row>
    <row r="37" spans="1:41">
      <c r="A37" s="4" t="s">
        <v>852</v>
      </c>
      <c r="B37" s="180"/>
      <c r="C37" s="180"/>
      <c r="D37" s="180"/>
      <c r="E37" s="180"/>
      <c r="F37" s="180"/>
      <c r="G37" s="180"/>
      <c r="H37" s="224">
        <v>8</v>
      </c>
      <c r="I37" s="224">
        <v>19</v>
      </c>
      <c r="J37" s="224">
        <v>0</v>
      </c>
      <c r="K37" s="224">
        <v>1</v>
      </c>
      <c r="L37" s="224">
        <v>6</v>
      </c>
      <c r="M37" s="224">
        <v>1</v>
      </c>
      <c r="N37" s="224">
        <v>0</v>
      </c>
      <c r="O37" s="224"/>
      <c r="P37" s="224"/>
      <c r="Q37" s="224">
        <v>-5</v>
      </c>
      <c r="R37" s="224">
        <v>-9</v>
      </c>
      <c r="S37" s="224">
        <v>-4</v>
      </c>
      <c r="T37" s="224">
        <v>-1</v>
      </c>
      <c r="U37" s="224">
        <f>2-9</f>
        <v>-7</v>
      </c>
      <c r="V37" s="224">
        <v>0</v>
      </c>
      <c r="W37" s="224">
        <v>1</v>
      </c>
      <c r="X37" s="224">
        <v>0</v>
      </c>
      <c r="Y37" s="224">
        <v>2</v>
      </c>
      <c r="Z37" s="224">
        <v>0</v>
      </c>
      <c r="AA37" s="180"/>
      <c r="AB37" s="180"/>
      <c r="AC37" s="180"/>
      <c r="AD37" s="180"/>
      <c r="AE37" s="180"/>
      <c r="AF37" s="180"/>
      <c r="AG37" s="1469"/>
      <c r="AH37" s="1468"/>
      <c r="AJ37" s="180"/>
      <c r="AK37" s="180"/>
      <c r="AL37" s="180"/>
      <c r="AM37" s="180"/>
      <c r="AN37" s="180"/>
      <c r="AO37" s="180"/>
    </row>
    <row r="38" spans="1:41">
      <c r="A38" s="4" t="s">
        <v>851</v>
      </c>
      <c r="B38" s="180"/>
      <c r="C38" s="180"/>
      <c r="D38" s="180"/>
      <c r="E38" s="180"/>
      <c r="F38" s="180"/>
      <c r="G38" s="180"/>
      <c r="H38" s="224"/>
      <c r="I38" s="224">
        <v>0</v>
      </c>
      <c r="J38" s="224">
        <v>-151</v>
      </c>
      <c r="K38" s="224">
        <v>5</v>
      </c>
      <c r="L38" s="224">
        <v>0</v>
      </c>
      <c r="M38" s="224">
        <v>180</v>
      </c>
      <c r="N38" s="224">
        <v>118</v>
      </c>
      <c r="O38" s="224">
        <v>2</v>
      </c>
      <c r="P38" s="224">
        <v>-1</v>
      </c>
      <c r="Q38" s="224"/>
      <c r="R38" s="224">
        <v>-38</v>
      </c>
      <c r="S38" s="224">
        <v>-449</v>
      </c>
      <c r="T38" s="224">
        <v>-539</v>
      </c>
      <c r="U38" s="224">
        <v>-1299</v>
      </c>
      <c r="V38" s="224">
        <v>96</v>
      </c>
      <c r="W38" s="224">
        <v>-73</v>
      </c>
      <c r="X38" s="224">
        <v>-270</v>
      </c>
      <c r="Y38" s="224">
        <v>-1535</v>
      </c>
      <c r="Z38" s="224">
        <v>-1320</v>
      </c>
      <c r="AA38" s="180"/>
      <c r="AB38" s="180"/>
      <c r="AC38" s="180"/>
      <c r="AD38" s="180"/>
      <c r="AE38" s="180"/>
      <c r="AF38" s="180"/>
      <c r="AG38" s="1469"/>
      <c r="AH38" s="1468"/>
      <c r="AJ38" s="180"/>
      <c r="AK38" s="180"/>
      <c r="AL38" s="180"/>
      <c r="AM38" s="180"/>
      <c r="AN38" s="180"/>
      <c r="AO38" s="180"/>
    </row>
    <row r="39" spans="1:41">
      <c r="A39" s="4" t="s">
        <v>850</v>
      </c>
      <c r="B39" s="180"/>
      <c r="C39" s="180"/>
      <c r="D39" s="180"/>
      <c r="E39" s="180"/>
      <c r="F39" s="180"/>
      <c r="G39" s="180"/>
      <c r="H39" s="224">
        <v>-129</v>
      </c>
      <c r="I39" s="224">
        <v>-86</v>
      </c>
      <c r="J39" s="224">
        <v>-93</v>
      </c>
      <c r="K39" s="224">
        <v>-218</v>
      </c>
      <c r="L39" s="224">
        <v>-138</v>
      </c>
      <c r="M39" s="224">
        <v>-254</v>
      </c>
      <c r="N39" s="224">
        <v>-119</v>
      </c>
      <c r="O39" s="224">
        <v>-111</v>
      </c>
      <c r="P39" s="224">
        <v>-850</v>
      </c>
      <c r="Q39" s="224">
        <v>-79</v>
      </c>
      <c r="R39" s="224">
        <v>-73</v>
      </c>
      <c r="S39" s="224">
        <v>-66</v>
      </c>
      <c r="T39" s="224">
        <v>-1895</v>
      </c>
      <c r="U39" s="224">
        <v>-875</v>
      </c>
      <c r="V39" s="224">
        <v>-778</v>
      </c>
      <c r="W39" s="224">
        <v>-1367</v>
      </c>
      <c r="X39" s="224">
        <v>-654</v>
      </c>
      <c r="Y39" s="224">
        <v>-311</v>
      </c>
      <c r="Z39" s="224">
        <v>-863</v>
      </c>
      <c r="AA39" s="298"/>
      <c r="AB39" s="298"/>
      <c r="AC39" s="298"/>
      <c r="AD39" s="298"/>
      <c r="AE39" s="298"/>
      <c r="AF39" s="298"/>
      <c r="AG39" s="1469"/>
      <c r="AH39" s="1468"/>
      <c r="AJ39" s="180"/>
      <c r="AK39" s="180"/>
      <c r="AL39" s="180"/>
      <c r="AM39" s="180"/>
      <c r="AN39" s="180"/>
      <c r="AO39" s="180"/>
    </row>
    <row r="40" spans="1:41">
      <c r="A40" s="4" t="s">
        <v>849</v>
      </c>
      <c r="B40" s="180"/>
      <c r="C40" s="180"/>
      <c r="D40" s="180"/>
      <c r="E40" s="180"/>
      <c r="F40" s="180"/>
      <c r="G40" s="180"/>
      <c r="H40" s="224">
        <v>67</v>
      </c>
      <c r="I40" s="224">
        <v>24</v>
      </c>
      <c r="J40" s="224">
        <v>136</v>
      </c>
      <c r="K40" s="224">
        <v>794</v>
      </c>
      <c r="L40" s="224">
        <v>324</v>
      </c>
      <c r="M40" s="224">
        <v>32</v>
      </c>
      <c r="N40" s="224">
        <v>917</v>
      </c>
      <c r="O40" s="224">
        <v>9</v>
      </c>
      <c r="P40" s="224">
        <v>209</v>
      </c>
      <c r="Q40" s="224">
        <v>12</v>
      </c>
      <c r="R40" s="224">
        <v>682</v>
      </c>
      <c r="S40" s="224">
        <v>1058</v>
      </c>
      <c r="T40" s="224">
        <v>1480</v>
      </c>
      <c r="U40" s="224">
        <v>24</v>
      </c>
      <c r="V40" s="224">
        <v>1595</v>
      </c>
      <c r="W40" s="224">
        <v>2146</v>
      </c>
      <c r="X40" s="224">
        <v>510</v>
      </c>
      <c r="Y40" s="224">
        <v>17</v>
      </c>
      <c r="Z40" s="224">
        <v>56</v>
      </c>
      <c r="AA40" s="365">
        <v>0</v>
      </c>
      <c r="AB40" s="365">
        <v>0</v>
      </c>
      <c r="AC40" s="365">
        <v>0</v>
      </c>
      <c r="AD40" s="365">
        <v>0</v>
      </c>
      <c r="AE40" s="365">
        <v>0</v>
      </c>
      <c r="AF40" s="365">
        <v>0</v>
      </c>
      <c r="AG40" s="1469"/>
      <c r="AH40" s="1468"/>
      <c r="AJ40" s="180"/>
      <c r="AK40" s="180"/>
      <c r="AL40" s="180"/>
      <c r="AM40" s="180"/>
      <c r="AN40" s="180"/>
      <c r="AO40" s="180"/>
    </row>
    <row r="41" spans="1:41">
      <c r="A41" s="4" t="s">
        <v>848</v>
      </c>
      <c r="B41" s="180"/>
      <c r="C41" s="180"/>
      <c r="D41" s="180"/>
      <c r="E41" s="180"/>
      <c r="F41" s="180"/>
      <c r="G41" s="180"/>
      <c r="H41" s="224">
        <f>71-46</f>
        <v>25</v>
      </c>
      <c r="I41" s="224">
        <f>41-57</f>
        <v>-16</v>
      </c>
      <c r="J41" s="224">
        <f>112-31</f>
        <v>81</v>
      </c>
      <c r="K41" s="224">
        <f>-36+69</f>
        <v>33</v>
      </c>
      <c r="L41" s="224">
        <f>-35+17</f>
        <v>-18</v>
      </c>
      <c r="M41" s="224">
        <v>-15</v>
      </c>
      <c r="N41" s="224">
        <v>-9</v>
      </c>
      <c r="O41" s="224">
        <v>-27</v>
      </c>
      <c r="P41" s="224">
        <v>3</v>
      </c>
      <c r="Q41" s="224">
        <v>-14</v>
      </c>
      <c r="R41" s="224">
        <v>-24</v>
      </c>
      <c r="S41" s="224">
        <v>-25</v>
      </c>
      <c r="T41" s="224">
        <v>-10</v>
      </c>
      <c r="U41" s="224">
        <v>-27</v>
      </c>
      <c r="V41" s="224">
        <v>-10</v>
      </c>
      <c r="W41" s="224">
        <v>-12</v>
      </c>
      <c r="X41" s="224">
        <v>-17</v>
      </c>
      <c r="Y41" s="224">
        <v>-5</v>
      </c>
      <c r="Z41" s="224">
        <v>-21</v>
      </c>
      <c r="AA41" s="4"/>
      <c r="AB41" s="4"/>
      <c r="AC41" s="4"/>
      <c r="AD41" s="4"/>
      <c r="AE41" s="4"/>
      <c r="AF41" s="4"/>
      <c r="AG41" s="1469"/>
      <c r="AH41" s="1468"/>
      <c r="AJ41" s="180"/>
      <c r="AK41" s="180"/>
      <c r="AL41" s="180"/>
      <c r="AM41" s="180"/>
      <c r="AN41" s="180"/>
      <c r="AO41" s="180"/>
    </row>
    <row r="42" spans="1:41">
      <c r="A42" s="4" t="s">
        <v>847</v>
      </c>
      <c r="B42" s="180"/>
      <c r="C42" s="180"/>
      <c r="D42" s="180"/>
      <c r="E42" s="180"/>
      <c r="F42" s="180"/>
      <c r="G42" s="180"/>
      <c r="H42" s="224">
        <v>-151</v>
      </c>
      <c r="I42" s="224">
        <v>-97</v>
      </c>
      <c r="J42" s="224">
        <v>465</v>
      </c>
      <c r="K42" s="224">
        <v>381</v>
      </c>
      <c r="L42" s="224">
        <v>-802</v>
      </c>
      <c r="M42" s="224">
        <v>390</v>
      </c>
      <c r="N42" s="224">
        <v>-122</v>
      </c>
      <c r="O42" s="224">
        <v>-191</v>
      </c>
      <c r="P42" s="224">
        <v>809</v>
      </c>
      <c r="Q42" s="224">
        <v>-631</v>
      </c>
      <c r="R42" s="224">
        <v>10</v>
      </c>
      <c r="S42" s="224">
        <v>449</v>
      </c>
      <c r="T42" s="224">
        <v>-472</v>
      </c>
      <c r="U42" s="224">
        <v>1261</v>
      </c>
      <c r="V42" s="224">
        <v>-831</v>
      </c>
      <c r="W42" s="224">
        <v>-775</v>
      </c>
      <c r="X42" s="224">
        <v>-159</v>
      </c>
      <c r="Y42" s="224">
        <v>-161</v>
      </c>
      <c r="Z42" s="224">
        <v>45</v>
      </c>
      <c r="AA42" s="4"/>
      <c r="AB42" s="4"/>
      <c r="AC42" s="4"/>
      <c r="AD42" s="4"/>
      <c r="AE42" s="4"/>
      <c r="AF42" s="4"/>
      <c r="AG42" s="1469"/>
      <c r="AH42" s="1468"/>
      <c r="AJ42" s="180"/>
      <c r="AK42" s="180"/>
      <c r="AL42" s="180"/>
      <c r="AM42" s="180"/>
      <c r="AN42" s="180"/>
      <c r="AO42" s="180"/>
    </row>
    <row r="43" spans="1:41">
      <c r="A43" s="4" t="s">
        <v>846</v>
      </c>
      <c r="B43" s="180"/>
      <c r="C43" s="180"/>
      <c r="D43" s="180"/>
      <c r="E43" s="180"/>
      <c r="F43" s="180"/>
      <c r="G43" s="180"/>
      <c r="H43" s="224">
        <v>-148</v>
      </c>
      <c r="I43" s="224">
        <v>-90</v>
      </c>
      <c r="J43" s="224">
        <v>-197</v>
      </c>
      <c r="K43" s="224">
        <v>-68</v>
      </c>
      <c r="L43" s="224">
        <v>-152</v>
      </c>
      <c r="M43" s="224">
        <v>-304</v>
      </c>
      <c r="N43" s="224">
        <v>-283</v>
      </c>
      <c r="O43" s="224">
        <v>-471</v>
      </c>
      <c r="P43" s="224">
        <v>-500</v>
      </c>
      <c r="Q43" s="224">
        <v>-517</v>
      </c>
      <c r="R43" s="224">
        <v>-612</v>
      </c>
      <c r="S43" s="224">
        <v>-340</v>
      </c>
      <c r="T43" s="224">
        <v>-695</v>
      </c>
      <c r="U43" s="224">
        <v>-785</v>
      </c>
      <c r="V43" s="224">
        <v>0</v>
      </c>
      <c r="W43" s="224">
        <v>-183</v>
      </c>
      <c r="X43" s="224">
        <v>-213</v>
      </c>
      <c r="Y43" s="224">
        <v>-564</v>
      </c>
      <c r="Z43" s="224">
        <v>-911</v>
      </c>
      <c r="AA43" s="273">
        <f>-((AA44*'Income Statement'!Z116)+(AA45*'Income Statement'!AA116))/1000</f>
        <v>-1206.8336370000002</v>
      </c>
      <c r="AB43" s="273">
        <f>-((AB44*'Income Statement'!AA116)+(AB45*'Income Statement'!AB116))/1000</f>
        <v>-1408.1542381655543</v>
      </c>
      <c r="AC43" s="273">
        <f>-((AC44*'Income Statement'!AB116)+(AC45*'Income Statement'!AC116))/1000</f>
        <v>-1811.2993288747427</v>
      </c>
      <c r="AD43" s="273">
        <f>-((AD44*'Income Statement'!AC116)+(AD45*'Income Statement'!AD116))/1000</f>
        <v>-2060.4442687445567</v>
      </c>
      <c r="AE43" s="273">
        <f>-((AE44*'Income Statement'!AD116)+(AE45*'Income Statement'!AE116))/1000</f>
        <v>-2278.4099740593647</v>
      </c>
      <c r="AF43" s="273">
        <f>-((AF44*'Income Statement'!AE116)+(AF45*'Income Statement'!AF116))/1000</f>
        <v>-2442.0179135084359</v>
      </c>
      <c r="AG43" s="1469"/>
      <c r="AH43" s="1468"/>
      <c r="AJ43" s="180"/>
      <c r="AK43" s="180"/>
      <c r="AL43" s="180"/>
      <c r="AM43" s="180"/>
      <c r="AN43" s="180"/>
      <c r="AO43" s="180"/>
    </row>
    <row r="44" spans="1:41">
      <c r="A44" s="239" t="s">
        <v>915</v>
      </c>
      <c r="B44" s="180"/>
      <c r="C44" s="180"/>
      <c r="D44" s="180"/>
      <c r="E44" s="180"/>
      <c r="F44" s="180"/>
      <c r="G44" s="180"/>
      <c r="H44" s="19"/>
      <c r="I44" s="19"/>
      <c r="J44" s="250">
        <v>0.4</v>
      </c>
      <c r="K44" s="250">
        <v>0.25</v>
      </c>
      <c r="L44" s="250">
        <v>0.38</v>
      </c>
      <c r="M44" s="250">
        <v>0.5</v>
      </c>
      <c r="N44" s="250">
        <v>0.37</v>
      </c>
      <c r="O44" s="289">
        <f>'Income Statement'!N109-N45</f>
        <v>0.64999999999999991</v>
      </c>
      <c r="P44" s="289">
        <f>'Income Statement'!O109-O45</f>
        <v>0.64000000000000012</v>
      </c>
      <c r="Q44" s="291">
        <v>0.64</v>
      </c>
      <c r="R44" s="301">
        <f>'Income Statement'!Q109-Q45</f>
        <v>0.77999999999999992</v>
      </c>
      <c r="S44" s="301">
        <f>'Income Statement'!R109-R45</f>
        <v>0.92</v>
      </c>
      <c r="T44" s="301">
        <f>'Income Statement'!S109-S45</f>
        <v>1.6</v>
      </c>
      <c r="U44" s="301">
        <f>'Income Statement'!T109-T45</f>
        <v>1.82</v>
      </c>
      <c r="V44" s="301">
        <f>'Income Statement'!U109-U45</f>
        <v>0</v>
      </c>
      <c r="W44" s="301">
        <f>'Income Statement'!V109-V45</f>
        <v>0.43</v>
      </c>
      <c r="X44" s="301">
        <f>'Income Statement'!W109-W45</f>
        <v>0.5</v>
      </c>
      <c r="Y44" s="301">
        <f>'Income Statement'!X109-X45</f>
        <v>1.35</v>
      </c>
      <c r="Z44" s="301">
        <f>'Income Statement'!Y109-Y45</f>
        <v>2.2000000000000002</v>
      </c>
      <c r="AA44" s="929">
        <f>'Income Statement'!Z109-Z45</f>
        <v>2.9</v>
      </c>
      <c r="AB44" s="929">
        <f>'Income Statement'!AA109-AA45</f>
        <v>3.4206496229479146</v>
      </c>
      <c r="AC44" s="929">
        <f>'Income Statement'!AB109-AB45</f>
        <v>4.448442251958765</v>
      </c>
      <c r="AD44" s="929">
        <f>'Income Statement'!AC109-AC45</f>
        <v>5.1167088373002283</v>
      </c>
      <c r="AE44" s="929">
        <f>'Income Statement'!AD109-AD45</f>
        <v>5.7217347958045961</v>
      </c>
      <c r="AF44" s="929">
        <f>'Income Statement'!AE109-AE45</f>
        <v>6.1326008167024009</v>
      </c>
      <c r="AG44" s="1469"/>
      <c r="AH44" s="1468"/>
      <c r="AJ44" s="180"/>
      <c r="AK44" s="180"/>
      <c r="AL44" s="180"/>
      <c r="AM44" s="180"/>
      <c r="AN44" s="180"/>
      <c r="AO44" s="180"/>
    </row>
    <row r="45" spans="1:41">
      <c r="A45" s="239" t="s">
        <v>845</v>
      </c>
      <c r="B45" s="180"/>
      <c r="C45" s="180"/>
      <c r="D45" s="180"/>
      <c r="E45" s="180"/>
      <c r="F45" s="180"/>
      <c r="G45" s="180"/>
      <c r="H45" s="19"/>
      <c r="I45" s="19"/>
      <c r="J45" s="250">
        <v>0.08</v>
      </c>
      <c r="K45" s="250">
        <v>0</v>
      </c>
      <c r="L45" s="250">
        <v>0</v>
      </c>
      <c r="M45" s="250">
        <v>0.25</v>
      </c>
      <c r="N45" s="250">
        <v>0.31</v>
      </c>
      <c r="O45" s="291">
        <v>0.48</v>
      </c>
      <c r="P45" s="289">
        <f>'Income Statement'!P109-Q44</f>
        <v>0.55999999999999994</v>
      </c>
      <c r="Q45" s="291">
        <v>0.6</v>
      </c>
      <c r="R45" s="301">
        <f>Q45*(1+'Income Statement'!R111)</f>
        <v>0.6</v>
      </c>
      <c r="S45" s="301"/>
      <c r="T45" s="301"/>
      <c r="U45" s="301"/>
      <c r="V45" s="301"/>
      <c r="W45" s="301"/>
      <c r="X45" s="301"/>
      <c r="Y45" s="301"/>
      <c r="Z45" s="301"/>
      <c r="AA45" s="180"/>
      <c r="AB45" s="180"/>
      <c r="AC45" s="180"/>
      <c r="AD45" s="180"/>
      <c r="AE45" s="180"/>
      <c r="AF45" s="180"/>
      <c r="AG45" s="1469"/>
      <c r="AH45" s="1468"/>
      <c r="AJ45" s="180"/>
      <c r="AK45" s="180"/>
      <c r="AL45" s="180"/>
      <c r="AM45" s="180"/>
      <c r="AN45" s="180"/>
      <c r="AO45" s="180"/>
    </row>
    <row r="46" spans="1:41">
      <c r="A46" s="4" t="s">
        <v>844</v>
      </c>
      <c r="B46" s="180"/>
      <c r="C46" s="180"/>
      <c r="D46" s="180"/>
      <c r="E46" s="180"/>
      <c r="F46" s="180"/>
      <c r="G46" s="180"/>
      <c r="H46" s="250">
        <v>-7</v>
      </c>
      <c r="I46" s="250">
        <v>-6</v>
      </c>
      <c r="J46" s="250">
        <v>-5</v>
      </c>
      <c r="K46" s="250">
        <v>-5</v>
      </c>
      <c r="L46" s="250">
        <v>-9</v>
      </c>
      <c r="M46" s="250">
        <v>-13</v>
      </c>
      <c r="N46" s="250">
        <v>-17</v>
      </c>
      <c r="O46" s="250">
        <v>-10</v>
      </c>
      <c r="P46" s="250">
        <v>-11</v>
      </c>
      <c r="Q46" s="250">
        <v>-23</v>
      </c>
      <c r="R46" s="300">
        <v>-30</v>
      </c>
      <c r="S46" s="300">
        <v>-32</v>
      </c>
      <c r="T46" s="300">
        <v>-26</v>
      </c>
      <c r="U46" s="300">
        <v>-32</v>
      </c>
      <c r="V46" s="300">
        <v>-4</v>
      </c>
      <c r="W46" s="300">
        <v>-5</v>
      </c>
      <c r="X46" s="300">
        <v>-12</v>
      </c>
      <c r="Y46" s="300">
        <v>-19</v>
      </c>
      <c r="Z46" s="300">
        <v>-59</v>
      </c>
      <c r="AA46" s="180"/>
      <c r="AB46" s="180"/>
      <c r="AC46" s="180"/>
      <c r="AD46" s="180"/>
      <c r="AE46" s="180"/>
      <c r="AF46" s="180"/>
      <c r="AG46" s="1469"/>
      <c r="AH46" s="1468"/>
      <c r="AJ46" s="180"/>
      <c r="AK46" s="180"/>
      <c r="AL46" s="180"/>
      <c r="AM46" s="180"/>
      <c r="AN46" s="180"/>
      <c r="AO46" s="180"/>
    </row>
    <row r="47" spans="1:41">
      <c r="A47" s="4" t="s">
        <v>962</v>
      </c>
      <c r="B47" s="180"/>
      <c r="C47" s="180"/>
      <c r="D47" s="180"/>
      <c r="E47" s="180"/>
      <c r="F47" s="180"/>
      <c r="G47" s="180"/>
      <c r="H47" s="250">
        <v>0</v>
      </c>
      <c r="I47" s="250">
        <v>0</v>
      </c>
      <c r="J47" s="250">
        <v>0</v>
      </c>
      <c r="K47" s="250">
        <v>0</v>
      </c>
      <c r="L47" s="250">
        <v>0</v>
      </c>
      <c r="M47" s="250">
        <v>0</v>
      </c>
      <c r="N47" s="250">
        <v>0</v>
      </c>
      <c r="O47" s="250">
        <v>0</v>
      </c>
      <c r="P47" s="247"/>
      <c r="Q47" s="247"/>
      <c r="R47" s="27"/>
      <c r="S47" s="27"/>
      <c r="T47" s="27"/>
      <c r="U47" s="27"/>
      <c r="V47" s="27"/>
      <c r="W47" s="27"/>
      <c r="X47" s="27"/>
      <c r="Y47" s="194"/>
      <c r="Z47" s="194"/>
      <c r="AA47" s="232">
        <f>-5000/4</f>
        <v>-1250</v>
      </c>
      <c r="AB47" s="232">
        <f t="shared" ref="AB47:AD47" si="14">-5000/4</f>
        <v>-1250</v>
      </c>
      <c r="AC47" s="232">
        <f t="shared" si="14"/>
        <v>-1250</v>
      </c>
      <c r="AD47" s="232">
        <f t="shared" si="14"/>
        <v>-1250</v>
      </c>
      <c r="AE47" s="267"/>
      <c r="AF47" s="267"/>
      <c r="AG47" s="1470"/>
      <c r="AH47" s="1468"/>
      <c r="AJ47" s="180"/>
      <c r="AK47" s="180"/>
      <c r="AL47" s="180"/>
      <c r="AM47" s="180"/>
      <c r="AN47" s="180"/>
      <c r="AO47" s="180"/>
    </row>
    <row r="48" spans="1:41">
      <c r="A48" s="4" t="s">
        <v>752</v>
      </c>
      <c r="B48" s="180"/>
      <c r="C48" s="180"/>
      <c r="D48" s="180"/>
      <c r="E48" s="180"/>
      <c r="F48" s="180"/>
      <c r="G48" s="180"/>
      <c r="H48" s="247">
        <f t="shared" ref="H48:N48" si="15">H49-SUM(H37:H43,H46)</f>
        <v>0</v>
      </c>
      <c r="I48" s="247">
        <f t="shared" si="15"/>
        <v>-63</v>
      </c>
      <c r="J48" s="247">
        <f t="shared" si="15"/>
        <v>135</v>
      </c>
      <c r="K48" s="247">
        <f t="shared" si="15"/>
        <v>-31</v>
      </c>
      <c r="L48" s="247">
        <f t="shared" si="15"/>
        <v>28</v>
      </c>
      <c r="M48" s="247">
        <f t="shared" si="15"/>
        <v>11</v>
      </c>
      <c r="N48" s="247">
        <f t="shared" si="15"/>
        <v>0</v>
      </c>
      <c r="O48" s="247">
        <f t="shared" ref="O48:X48" si="16">O49-SUM(O37:O43,O46:O47)</f>
        <v>0</v>
      </c>
      <c r="P48" s="247">
        <f t="shared" si="16"/>
        <v>0</v>
      </c>
      <c r="Q48" s="247">
        <f t="shared" si="16"/>
        <v>0</v>
      </c>
      <c r="R48" s="27">
        <f t="shared" si="16"/>
        <v>0</v>
      </c>
      <c r="S48" s="27">
        <f t="shared" si="16"/>
        <v>0</v>
      </c>
      <c r="T48" s="27">
        <f t="shared" si="16"/>
        <v>0</v>
      </c>
      <c r="U48" s="27">
        <f t="shared" si="16"/>
        <v>0</v>
      </c>
      <c r="V48" s="27">
        <f t="shared" si="16"/>
        <v>0</v>
      </c>
      <c r="W48" s="27">
        <f t="shared" si="16"/>
        <v>0</v>
      </c>
      <c r="X48" s="27">
        <f t="shared" si="16"/>
        <v>0</v>
      </c>
      <c r="Y48" s="27">
        <f>Y49-SUM(Y37:Y43,Y46)</f>
        <v>0</v>
      </c>
      <c r="Z48" s="27">
        <f>Z49-SUM(Z37:Z43,Z46)</f>
        <v>0</v>
      </c>
      <c r="AA48" s="27">
        <f t="shared" ref="AA48:AF48" si="17">AA49-SUM(AA37:AA43,AA46:AA47)</f>
        <v>0</v>
      </c>
      <c r="AB48" s="27">
        <f t="shared" si="17"/>
        <v>0</v>
      </c>
      <c r="AC48" s="27">
        <f t="shared" si="17"/>
        <v>0</v>
      </c>
      <c r="AD48" s="27">
        <f t="shared" si="17"/>
        <v>0</v>
      </c>
      <c r="AE48" s="27">
        <f t="shared" si="17"/>
        <v>0</v>
      </c>
      <c r="AF48" s="27">
        <f t="shared" si="17"/>
        <v>0</v>
      </c>
      <c r="AG48" s="1469"/>
      <c r="AH48" s="1468"/>
      <c r="AJ48" s="180"/>
      <c r="AK48" s="180"/>
      <c r="AL48" s="180"/>
      <c r="AM48" s="180"/>
      <c r="AN48" s="180"/>
      <c r="AO48" s="180"/>
    </row>
    <row r="49" spans="1:41">
      <c r="A49" s="240" t="s">
        <v>843</v>
      </c>
      <c r="B49" s="180"/>
      <c r="C49" s="180"/>
      <c r="D49" s="180"/>
      <c r="E49" s="180"/>
      <c r="F49" s="180"/>
      <c r="G49" s="180"/>
      <c r="H49" s="241">
        <v>-335</v>
      </c>
      <c r="I49" s="242">
        <f>-316+1</f>
        <v>-315</v>
      </c>
      <c r="J49" s="242">
        <f>369+2</f>
        <v>371</v>
      </c>
      <c r="K49" s="242">
        <f>893-1</f>
        <v>892</v>
      </c>
      <c r="L49" s="241">
        <v>-761</v>
      </c>
      <c r="M49" s="241">
        <v>28</v>
      </c>
      <c r="N49" s="241">
        <v>485</v>
      </c>
      <c r="O49" s="241">
        <v>-799</v>
      </c>
      <c r="P49" s="241">
        <v>-341</v>
      </c>
      <c r="Q49" s="241">
        <v>-1257</v>
      </c>
      <c r="R49" s="242">
        <f t="shared" ref="R49:X49" si="18">SUM(R37:R43,R46:R47)</f>
        <v>-94</v>
      </c>
      <c r="S49" s="242">
        <f t="shared" si="18"/>
        <v>591</v>
      </c>
      <c r="T49" s="242">
        <f t="shared" si="18"/>
        <v>-2158</v>
      </c>
      <c r="U49" s="242">
        <f t="shared" si="18"/>
        <v>-1740</v>
      </c>
      <c r="V49" s="242">
        <f t="shared" si="18"/>
        <v>68</v>
      </c>
      <c r="W49" s="242">
        <f t="shared" si="18"/>
        <v>-268</v>
      </c>
      <c r="X49" s="242">
        <f t="shared" si="18"/>
        <v>-815</v>
      </c>
      <c r="Y49" s="242">
        <f>SUM(Y37:Y43,Y46)</f>
        <v>-2576</v>
      </c>
      <c r="Z49" s="242">
        <f>SUM(Z37:Z43,Z46)</f>
        <v>-3073</v>
      </c>
      <c r="AA49" s="242">
        <f t="shared" ref="AA49:AF49" si="19">SUM(AA37:AA43,AA46:AA47)</f>
        <v>-2456.8336370000002</v>
      </c>
      <c r="AB49" s="242">
        <f t="shared" si="19"/>
        <v>-2658.1542381655545</v>
      </c>
      <c r="AC49" s="242">
        <f t="shared" si="19"/>
        <v>-3061.299328874743</v>
      </c>
      <c r="AD49" s="242">
        <f t="shared" si="19"/>
        <v>-3310.4442687445567</v>
      </c>
      <c r="AE49" s="242">
        <f t="shared" si="19"/>
        <v>-2278.4099740593647</v>
      </c>
      <c r="AF49" s="242">
        <f t="shared" si="19"/>
        <v>-2442.0179135084359</v>
      </c>
      <c r="AG49" s="1469"/>
      <c r="AH49" s="1468"/>
      <c r="AJ49" s="180"/>
      <c r="AK49" s="180"/>
      <c r="AL49" s="180"/>
      <c r="AM49" s="180"/>
      <c r="AN49" s="180"/>
      <c r="AO49" s="180"/>
    </row>
    <row r="50" spans="1:41">
      <c r="A50" s="4"/>
      <c r="B50" s="180"/>
      <c r="C50" s="180"/>
      <c r="D50" s="180"/>
      <c r="E50" s="180"/>
      <c r="F50" s="180"/>
      <c r="G50" s="180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4"/>
      <c r="S50" s="4"/>
      <c r="T50" s="4"/>
      <c r="U50" s="4"/>
      <c r="V50" s="4"/>
      <c r="W50" s="4"/>
      <c r="X50" s="180"/>
      <c r="Y50" s="180"/>
      <c r="Z50" s="180"/>
      <c r="AA50" s="180"/>
      <c r="AB50" s="180"/>
      <c r="AC50" s="180"/>
      <c r="AD50" s="180"/>
      <c r="AE50" s="180"/>
      <c r="AF50" s="180"/>
      <c r="AG50" s="1469"/>
      <c r="AH50" s="1468"/>
      <c r="AJ50" s="180"/>
      <c r="AK50" s="180"/>
      <c r="AL50" s="180"/>
      <c r="AM50" s="180"/>
      <c r="AN50" s="180"/>
      <c r="AO50" s="180"/>
    </row>
    <row r="51" spans="1:41">
      <c r="A51" s="4" t="s">
        <v>842</v>
      </c>
      <c r="B51" s="180"/>
      <c r="C51" s="180"/>
      <c r="D51" s="180"/>
      <c r="E51" s="180"/>
      <c r="F51" s="180"/>
      <c r="G51" s="180"/>
      <c r="H51" s="247">
        <f t="shared" ref="H51:P51" si="20">H24+H35+H49</f>
        <v>-187</v>
      </c>
      <c r="I51" s="247">
        <f t="shared" si="20"/>
        <v>26</v>
      </c>
      <c r="J51" s="247">
        <f t="shared" si="20"/>
        <v>202</v>
      </c>
      <c r="K51" s="247">
        <f t="shared" si="20"/>
        <v>1146</v>
      </c>
      <c r="L51" s="247">
        <f t="shared" si="20"/>
        <v>-30</v>
      </c>
      <c r="M51" s="247">
        <f t="shared" si="20"/>
        <v>-634</v>
      </c>
      <c r="N51" s="247">
        <f t="shared" si="20"/>
        <v>770</v>
      </c>
      <c r="O51" s="247">
        <f t="shared" si="20"/>
        <v>-502</v>
      </c>
      <c r="P51" s="247">
        <f t="shared" si="20"/>
        <v>62</v>
      </c>
      <c r="Q51" s="247">
        <f>Q24+Q35+Q49+121-88-21</f>
        <v>206</v>
      </c>
      <c r="R51" s="27">
        <f>R24+R35+R49+(171-111-8)</f>
        <v>246</v>
      </c>
      <c r="S51" s="27">
        <f>S24+S35+S49+(14-52-198)</f>
        <v>2825</v>
      </c>
      <c r="T51" s="27">
        <f t="shared" ref="T51:AF51" si="21">T24+T35+T49</f>
        <v>-2581</v>
      </c>
      <c r="U51" s="27">
        <f t="shared" si="21"/>
        <v>300</v>
      </c>
      <c r="V51" s="27">
        <f t="shared" si="21"/>
        <v>1135</v>
      </c>
      <c r="W51" s="27">
        <f t="shared" si="21"/>
        <v>1430</v>
      </c>
      <c r="X51" s="27">
        <f t="shared" si="21"/>
        <v>1442</v>
      </c>
      <c r="Y51" s="27">
        <f t="shared" si="21"/>
        <v>-10</v>
      </c>
      <c r="Z51" s="27">
        <f t="shared" si="21"/>
        <v>-188</v>
      </c>
      <c r="AA51" s="27">
        <f t="shared" si="21"/>
        <v>812.35178932177496</v>
      </c>
      <c r="AB51" s="27">
        <f t="shared" si="21"/>
        <v>1330.042577269438</v>
      </c>
      <c r="AC51" s="27">
        <f t="shared" si="21"/>
        <v>1535.1473532490936</v>
      </c>
      <c r="AD51" s="27">
        <f t="shared" si="21"/>
        <v>1934.812881294883</v>
      </c>
      <c r="AE51" s="27">
        <f t="shared" si="21"/>
        <v>3453.6678307239144</v>
      </c>
      <c r="AF51" s="27">
        <f t="shared" si="21"/>
        <v>3751.5951320757827</v>
      </c>
      <c r="AG51" s="1469"/>
      <c r="AH51" s="1468"/>
      <c r="AJ51" s="180"/>
      <c r="AK51" s="180"/>
      <c r="AL51" s="180"/>
      <c r="AM51" s="180"/>
      <c r="AN51" s="180"/>
      <c r="AO51" s="180"/>
    </row>
    <row r="52" spans="1:41">
      <c r="A52" s="4" t="s">
        <v>753</v>
      </c>
      <c r="B52" s="180"/>
      <c r="C52" s="180"/>
      <c r="D52" s="180"/>
      <c r="E52" s="180"/>
      <c r="F52" s="180"/>
      <c r="G52" s="180"/>
      <c r="H52" s="250">
        <v>-6</v>
      </c>
      <c r="I52" s="250">
        <v>-2</v>
      </c>
      <c r="J52" s="250">
        <v>-2</v>
      </c>
      <c r="K52" s="250">
        <v>4</v>
      </c>
      <c r="L52" s="250">
        <v>12</v>
      </c>
      <c r="M52" s="250">
        <v>3</v>
      </c>
      <c r="N52" s="250">
        <v>-8</v>
      </c>
      <c r="O52" s="250">
        <v>-19</v>
      </c>
      <c r="P52" s="250">
        <v>24</v>
      </c>
      <c r="Q52" s="250">
        <v>6</v>
      </c>
      <c r="R52" s="300">
        <v>15</v>
      </c>
      <c r="S52" s="300">
        <v>-17</v>
      </c>
      <c r="T52" s="300">
        <v>-3</v>
      </c>
      <c r="U52" s="300">
        <v>2</v>
      </c>
      <c r="V52" s="300">
        <v>-20</v>
      </c>
      <c r="W52" s="300">
        <v>70</v>
      </c>
      <c r="X52" s="300">
        <v>-2</v>
      </c>
      <c r="Y52" s="300">
        <v>-1</v>
      </c>
      <c r="Z52" s="300">
        <v>26</v>
      </c>
      <c r="AA52" s="180"/>
      <c r="AB52" s="180"/>
      <c r="AC52" s="180"/>
      <c r="AD52" s="180"/>
      <c r="AE52" s="180"/>
      <c r="AF52" s="180"/>
      <c r="AG52" s="1469"/>
      <c r="AH52" s="1468"/>
      <c r="AJ52" s="180"/>
      <c r="AK52" s="180"/>
      <c r="AL52" s="180"/>
      <c r="AM52" s="180"/>
      <c r="AN52" s="180"/>
      <c r="AO52" s="180"/>
    </row>
    <row r="53" spans="1:41">
      <c r="A53" s="4" t="s">
        <v>752</v>
      </c>
      <c r="B53" s="180"/>
      <c r="C53" s="180"/>
      <c r="D53" s="180"/>
      <c r="E53" s="180"/>
      <c r="F53" s="180"/>
      <c r="G53" s="180"/>
      <c r="H53" s="19"/>
      <c r="I53" s="250">
        <v>-37</v>
      </c>
      <c r="J53" s="250">
        <v>-11</v>
      </c>
      <c r="K53" s="250">
        <v>11</v>
      </c>
      <c r="L53" s="19"/>
      <c r="M53" s="19"/>
      <c r="N53" s="19"/>
      <c r="O53" s="250">
        <v>-125</v>
      </c>
      <c r="P53" s="19"/>
      <c r="Q53" s="245"/>
      <c r="R53" s="19"/>
      <c r="S53" s="250">
        <v>180</v>
      </c>
      <c r="T53" s="19"/>
      <c r="U53" s="19"/>
      <c r="V53" s="19"/>
      <c r="W53" s="19"/>
      <c r="X53" s="180"/>
      <c r="Y53" s="180"/>
      <c r="Z53" s="180"/>
      <c r="AA53" s="180"/>
      <c r="AB53" s="180"/>
      <c r="AC53" s="180"/>
      <c r="AD53" s="180"/>
      <c r="AE53" s="180"/>
      <c r="AF53" s="180"/>
      <c r="AG53" s="1469"/>
      <c r="AH53" s="1468"/>
      <c r="AJ53" s="180"/>
      <c r="AK53" s="180"/>
      <c r="AL53" s="180"/>
      <c r="AM53" s="180"/>
      <c r="AN53" s="180"/>
      <c r="AO53" s="180"/>
    </row>
    <row r="54" spans="1:41">
      <c r="A54" s="253" t="s">
        <v>841</v>
      </c>
      <c r="B54" s="180"/>
      <c r="C54" s="180"/>
      <c r="D54" s="180"/>
      <c r="E54" s="180"/>
      <c r="F54" s="180"/>
      <c r="G54" s="180"/>
      <c r="H54" s="251">
        <v>936</v>
      </c>
      <c r="I54" s="251">
        <v>743</v>
      </c>
      <c r="J54" s="251">
        <v>730</v>
      </c>
      <c r="K54" s="251">
        <v>919</v>
      </c>
      <c r="L54" s="251">
        <v>2080</v>
      </c>
      <c r="M54" s="251">
        <v>2062</v>
      </c>
      <c r="N54" s="251">
        <v>1431</v>
      </c>
      <c r="O54" s="247">
        <f>N55</f>
        <v>2193</v>
      </c>
      <c r="P54" s="247">
        <f>O55</f>
        <v>1547</v>
      </c>
      <c r="Q54" s="247">
        <f>P55</f>
        <v>1633</v>
      </c>
      <c r="R54" s="247">
        <f>Q55+186</f>
        <v>1845</v>
      </c>
      <c r="S54" s="247">
        <f t="shared" ref="S54:AF54" si="22">R55</f>
        <v>1926</v>
      </c>
      <c r="T54" s="247">
        <f t="shared" si="22"/>
        <v>4914</v>
      </c>
      <c r="U54" s="247">
        <f t="shared" si="22"/>
        <v>2330</v>
      </c>
      <c r="V54" s="247">
        <f t="shared" si="22"/>
        <v>2632</v>
      </c>
      <c r="W54" s="247">
        <f t="shared" si="22"/>
        <v>3747</v>
      </c>
      <c r="X54" s="247">
        <f t="shared" si="22"/>
        <v>5247</v>
      </c>
      <c r="Y54" s="247">
        <f t="shared" si="22"/>
        <v>6687</v>
      </c>
      <c r="Z54" s="247">
        <f t="shared" si="22"/>
        <v>6676</v>
      </c>
      <c r="AA54" s="247">
        <f t="shared" si="22"/>
        <v>6514</v>
      </c>
      <c r="AB54" s="247">
        <f t="shared" si="22"/>
        <v>7326.351789321775</v>
      </c>
      <c r="AC54" s="247">
        <f t="shared" si="22"/>
        <v>8656.394366591212</v>
      </c>
      <c r="AD54" s="247">
        <f t="shared" si="22"/>
        <v>10191.541719840305</v>
      </c>
      <c r="AE54" s="247">
        <f t="shared" si="22"/>
        <v>12126.354601135188</v>
      </c>
      <c r="AF54" s="247">
        <f t="shared" si="22"/>
        <v>15580.022431859103</v>
      </c>
      <c r="AG54" s="1469"/>
      <c r="AH54" s="1468"/>
      <c r="AJ54" s="180"/>
      <c r="AK54" s="180"/>
      <c r="AL54" s="180"/>
      <c r="AM54" s="180"/>
      <c r="AN54" s="180"/>
      <c r="AO54" s="180"/>
    </row>
    <row r="55" spans="1:41">
      <c r="A55" s="253" t="s">
        <v>840</v>
      </c>
      <c r="B55" s="180"/>
      <c r="C55" s="180"/>
      <c r="D55" s="180"/>
      <c r="E55" s="180"/>
      <c r="F55" s="180"/>
      <c r="G55" s="180"/>
      <c r="H55" s="247">
        <f t="shared" ref="H55:P55" si="23">SUM(H51:H54)</f>
        <v>743</v>
      </c>
      <c r="I55" s="247">
        <f t="shared" si="23"/>
        <v>730</v>
      </c>
      <c r="J55" s="247">
        <f t="shared" si="23"/>
        <v>919</v>
      </c>
      <c r="K55" s="247">
        <f t="shared" si="23"/>
        <v>2080</v>
      </c>
      <c r="L55" s="247">
        <f t="shared" si="23"/>
        <v>2062</v>
      </c>
      <c r="M55" s="247">
        <f t="shared" si="23"/>
        <v>1431</v>
      </c>
      <c r="N55" s="247">
        <f t="shared" si="23"/>
        <v>2193</v>
      </c>
      <c r="O55" s="247">
        <f t="shared" si="23"/>
        <v>1547</v>
      </c>
      <c r="P55" s="247">
        <f t="shared" si="23"/>
        <v>1633</v>
      </c>
      <c r="Q55" s="247">
        <f>SUM(Q51:Q54)-186</f>
        <v>1659</v>
      </c>
      <c r="R55" s="247">
        <f>SUM(R51:R54)-180</f>
        <v>1926</v>
      </c>
      <c r="S55" s="247">
        <f t="shared" ref="S55:AF55" si="24">SUM(S51:S54)</f>
        <v>4914</v>
      </c>
      <c r="T55" s="247">
        <f t="shared" si="24"/>
        <v>2330</v>
      </c>
      <c r="U55" s="247">
        <f t="shared" si="24"/>
        <v>2632</v>
      </c>
      <c r="V55" s="247">
        <f t="shared" si="24"/>
        <v>3747</v>
      </c>
      <c r="W55" s="247">
        <f t="shared" si="24"/>
        <v>5247</v>
      </c>
      <c r="X55" s="247">
        <f t="shared" si="24"/>
        <v>6687</v>
      </c>
      <c r="Y55" s="247">
        <f t="shared" si="24"/>
        <v>6676</v>
      </c>
      <c r="Z55" s="247">
        <f t="shared" si="24"/>
        <v>6514</v>
      </c>
      <c r="AA55" s="247">
        <f t="shared" si="24"/>
        <v>7326.351789321775</v>
      </c>
      <c r="AB55" s="247">
        <f t="shared" si="24"/>
        <v>8656.394366591212</v>
      </c>
      <c r="AC55" s="247">
        <f t="shared" si="24"/>
        <v>10191.541719840305</v>
      </c>
      <c r="AD55" s="247">
        <f t="shared" si="24"/>
        <v>12126.354601135188</v>
      </c>
      <c r="AE55" s="247">
        <f t="shared" si="24"/>
        <v>15580.022431859103</v>
      </c>
      <c r="AF55" s="247">
        <f t="shared" si="24"/>
        <v>19331.617563934884</v>
      </c>
      <c r="AG55" s="1469"/>
      <c r="AH55" s="1468"/>
      <c r="AJ55" s="180"/>
      <c r="AK55" s="180"/>
      <c r="AL55" s="180"/>
      <c r="AM55" s="180"/>
      <c r="AN55" s="180"/>
      <c r="AO55" s="180"/>
    </row>
    <row r="56" spans="1:41">
      <c r="A56" s="4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469"/>
      <c r="AH56" s="1468"/>
      <c r="AJ56" s="180"/>
      <c r="AK56" s="180"/>
      <c r="AL56" s="180"/>
      <c r="AM56" s="180"/>
      <c r="AN56" s="180"/>
      <c r="AO56" s="180"/>
    </row>
    <row r="57" spans="1:41">
      <c r="A57" s="253" t="s">
        <v>982</v>
      </c>
      <c r="B57" s="180"/>
      <c r="C57" s="180"/>
      <c r="D57" s="180"/>
      <c r="E57" s="180"/>
      <c r="F57" s="180"/>
      <c r="G57" s="180"/>
      <c r="H57" s="247">
        <f>H24+SUM(H26,H28)</f>
        <v>165</v>
      </c>
      <c r="I57" s="247">
        <f>I24+SUM(I26,I28)-95</f>
        <v>374</v>
      </c>
      <c r="J57" s="247">
        <f>J24+SUM(J26,J28)+94</f>
        <v>49</v>
      </c>
      <c r="K57" s="247">
        <f>K24+SUM(K26,K28)-5</f>
        <v>818</v>
      </c>
      <c r="L57" s="247">
        <f>L24+SUM(L26,L28)+29</f>
        <v>934</v>
      </c>
      <c r="M57" s="247">
        <f>M24+SUM(M26,M28)+10</f>
        <v>532</v>
      </c>
      <c r="N57" s="247">
        <f>N24+SUM(N26,N28)+1</f>
        <v>565</v>
      </c>
      <c r="O57" s="247">
        <f t="shared" ref="O57:AF57" si="25">O24+SUM(O26,O28)</f>
        <v>712</v>
      </c>
      <c r="P57" s="247">
        <f t="shared" si="25"/>
        <v>740</v>
      </c>
      <c r="Q57" s="247">
        <f t="shared" si="25"/>
        <v>929</v>
      </c>
      <c r="R57" s="247">
        <f t="shared" si="25"/>
        <v>1455</v>
      </c>
      <c r="S57" s="247">
        <f t="shared" si="25"/>
        <v>1438</v>
      </c>
      <c r="T57" s="247">
        <f t="shared" si="25"/>
        <v>1781</v>
      </c>
      <c r="U57" s="247">
        <f t="shared" si="25"/>
        <v>1983</v>
      </c>
      <c r="V57" s="247">
        <f t="shared" si="25"/>
        <v>1073</v>
      </c>
      <c r="W57" s="248">
        <f t="shared" si="25"/>
        <v>1680</v>
      </c>
      <c r="X57" s="248">
        <f t="shared" si="25"/>
        <v>2666</v>
      </c>
      <c r="Y57" s="248">
        <f t="shared" si="25"/>
        <v>2945</v>
      </c>
      <c r="Z57" s="248">
        <f t="shared" si="25"/>
        <v>3189</v>
      </c>
      <c r="AA57" s="248">
        <f t="shared" si="25"/>
        <v>3613.1854263217751</v>
      </c>
      <c r="AB57" s="248">
        <f t="shared" si="25"/>
        <v>4332.1968154349925</v>
      </c>
      <c r="AC57" s="248">
        <f t="shared" si="25"/>
        <v>4940.4466821238366</v>
      </c>
      <c r="AD57" s="248">
        <f t="shared" si="25"/>
        <v>5589.2571500394397</v>
      </c>
      <c r="AE57" s="248">
        <f t="shared" si="25"/>
        <v>6076.0778047832791</v>
      </c>
      <c r="AF57" s="248">
        <f t="shared" si="25"/>
        <v>6537.6130455842185</v>
      </c>
      <c r="AG57" s="1471" t="s">
        <v>1653</v>
      </c>
      <c r="AH57" s="1468">
        <f>SUM(Z57:AD57)</f>
        <v>21664.086073920043</v>
      </c>
      <c r="AI57" s="1431">
        <f>3189+3227+4114+4700+5319</f>
        <v>20549</v>
      </c>
      <c r="AJ57" s="180"/>
      <c r="AK57" s="180"/>
      <c r="AL57" s="180"/>
      <c r="AM57" s="180"/>
      <c r="AN57" s="180"/>
      <c r="AO57" s="180"/>
    </row>
    <row r="58" spans="1:41">
      <c r="A58" s="4" t="s">
        <v>983</v>
      </c>
      <c r="B58" s="180"/>
      <c r="C58" s="180"/>
      <c r="D58" s="180"/>
      <c r="E58" s="180"/>
      <c r="F58" s="180"/>
      <c r="G58" s="180"/>
      <c r="H58" s="299"/>
      <c r="I58" s="299"/>
      <c r="J58" s="299"/>
      <c r="K58" s="299"/>
      <c r="L58" s="299"/>
      <c r="M58" s="299"/>
      <c r="N58" s="299"/>
      <c r="O58" s="299">
        <v>-4.5063291139240507</v>
      </c>
      <c r="P58" s="299">
        <v>-4.2285714285714286</v>
      </c>
      <c r="Q58" s="299">
        <v>-11.329268292682928</v>
      </c>
      <c r="R58" s="299">
        <v>-58.2</v>
      </c>
      <c r="S58" s="299">
        <v>-39.944444444444443</v>
      </c>
      <c r="T58" s="299">
        <v>0.5891498511412504</v>
      </c>
      <c r="U58" s="299">
        <v>0.51910994764397911</v>
      </c>
      <c r="V58" s="299">
        <v>0.63641755634638197</v>
      </c>
      <c r="W58" s="299">
        <v>0.93074792243767313</v>
      </c>
      <c r="X58" s="299">
        <v>1.1071428571428572</v>
      </c>
      <c r="Y58" s="299">
        <v>0.93019583070120027</v>
      </c>
      <c r="Z58" s="299">
        <v>0.77421704297159499</v>
      </c>
      <c r="AA58" s="930">
        <f>AA57/'Income Statement'!AA70</f>
        <v>0.69256663419752262</v>
      </c>
      <c r="AB58" s="930">
        <f>AB57/'Income Statement'!AB70</f>
        <v>0.70518318075383979</v>
      </c>
      <c r="AC58" s="930">
        <f>AC57/'Income Statement'!AC70</f>
        <v>0.70779813619736176</v>
      </c>
      <c r="AD58" s="930">
        <f>AD57/'Income Statement'!AD70</f>
        <v>0.72563038133794155</v>
      </c>
      <c r="AE58" s="930">
        <f>AE57/'Income Statement'!AE70</f>
        <v>0.73775265614526542</v>
      </c>
      <c r="AF58" s="930">
        <f>AF57/'Income Statement'!AF70</f>
        <v>0.74400574469218483</v>
      </c>
      <c r="AG58" s="1469" t="s">
        <v>1680</v>
      </c>
      <c r="AH58" s="1468"/>
      <c r="AJ58" s="180"/>
      <c r="AK58" s="180"/>
      <c r="AL58" s="180"/>
      <c r="AM58" s="180"/>
      <c r="AN58" s="180"/>
      <c r="AO58" s="180"/>
    </row>
    <row r="59" spans="1:41">
      <c r="A59" s="4" t="s">
        <v>1087</v>
      </c>
      <c r="B59" s="180"/>
      <c r="C59" s="180"/>
      <c r="D59" s="180"/>
      <c r="E59" s="180"/>
      <c r="F59" s="180"/>
      <c r="G59" s="180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5">
        <f>T57/'Income Statement'!T116*1000</f>
        <v>4.1330962825084789</v>
      </c>
      <c r="U59" s="245">
        <f>U57/'Income Statement'!U116*1000</f>
        <v>4.6145965735370797</v>
      </c>
      <c r="V59" s="245">
        <f>V57/'Income Statement'!V116*1000</f>
        <v>2.5185680904342549</v>
      </c>
      <c r="W59" s="245">
        <f>W57/'Income Statement'!W116*1000</f>
        <v>3.9376498921804663</v>
      </c>
      <c r="X59" s="245">
        <f>X57/'Income Statement'!X116*1000</f>
        <v>6.2482326214286292</v>
      </c>
      <c r="Y59" s="245">
        <f>Y57/'Income Statement'!Y116*1000</f>
        <v>7.0489032466630821</v>
      </c>
      <c r="Z59" s="245">
        <f>Z57/'Income Statement'!Z116*1000</f>
        <v>7.6631109015069656</v>
      </c>
      <c r="AA59" s="274">
        <f>AA57/'Income Statement'!AA116*1000</f>
        <v>8.777050859350112</v>
      </c>
      <c r="AB59" s="274">
        <f>AB57/'Income Statement'!AB116*1000</f>
        <v>10.639614916411707</v>
      </c>
      <c r="AC59" s="274">
        <f>AC57/'Income Statement'!AC116*1000</f>
        <v>12.268629432057486</v>
      </c>
      <c r="AD59" s="274">
        <f>AD57/'Income Statement'!AD116*1000</f>
        <v>14.036212745813339</v>
      </c>
      <c r="AE59" s="274">
        <f>AE57/'Income Statement'!AE116*1000</f>
        <v>15.25875772730385</v>
      </c>
      <c r="AF59" s="274">
        <f>AF57/'Income Statement'!AF116*1000</f>
        <v>16.417803850190943</v>
      </c>
      <c r="AG59" s="1469"/>
      <c r="AH59" s="1468"/>
      <c r="AJ59" s="180"/>
      <c r="AK59" s="180"/>
      <c r="AL59" s="180"/>
      <c r="AM59" s="180"/>
      <c r="AN59" s="180"/>
      <c r="AO59" s="180"/>
    </row>
    <row r="61" spans="1:41">
      <c r="A61" s="922" t="s">
        <v>1518</v>
      </c>
      <c r="B61" s="257">
        <f>B2</f>
        <v>2000</v>
      </c>
      <c r="C61" s="257">
        <f t="shared" ref="C61:Z61" si="26">C2</f>
        <v>2001</v>
      </c>
      <c r="D61" s="257">
        <f t="shared" si="26"/>
        <v>2002</v>
      </c>
      <c r="E61" s="257">
        <f t="shared" si="26"/>
        <v>2003</v>
      </c>
      <c r="F61" s="257">
        <f t="shared" si="26"/>
        <v>2004</v>
      </c>
      <c r="G61" s="257">
        <f t="shared" si="26"/>
        <v>2005</v>
      </c>
      <c r="H61" s="257">
        <f t="shared" si="26"/>
        <v>2006</v>
      </c>
      <c r="I61" s="257">
        <f t="shared" si="26"/>
        <v>2007</v>
      </c>
      <c r="J61" s="257">
        <f t="shared" si="26"/>
        <v>2008</v>
      </c>
      <c r="K61" s="257">
        <f t="shared" si="26"/>
        <v>2009</v>
      </c>
      <c r="L61" s="257">
        <f t="shared" si="26"/>
        <v>2010</v>
      </c>
      <c r="M61" s="257">
        <f t="shared" si="26"/>
        <v>2011</v>
      </c>
      <c r="N61" s="257">
        <f t="shared" si="26"/>
        <v>2012</v>
      </c>
      <c r="O61" s="257">
        <f t="shared" si="26"/>
        <v>2013</v>
      </c>
      <c r="P61" s="257">
        <f t="shared" si="26"/>
        <v>2014</v>
      </c>
      <c r="Q61" s="257">
        <f t="shared" si="26"/>
        <v>2015</v>
      </c>
      <c r="R61" s="257">
        <f t="shared" si="26"/>
        <v>2016</v>
      </c>
      <c r="S61" s="257">
        <f t="shared" si="26"/>
        <v>2017</v>
      </c>
      <c r="T61" s="257">
        <f t="shared" si="26"/>
        <v>2018</v>
      </c>
      <c r="U61" s="257">
        <f t="shared" si="26"/>
        <v>2019</v>
      </c>
      <c r="V61" s="257">
        <f t="shared" si="26"/>
        <v>2020</v>
      </c>
      <c r="W61" s="257">
        <f t="shared" si="26"/>
        <v>2021</v>
      </c>
      <c r="X61" s="257">
        <f t="shared" si="26"/>
        <v>2022</v>
      </c>
      <c r="Y61" s="257">
        <f t="shared" si="26"/>
        <v>2023</v>
      </c>
      <c r="Z61" s="257">
        <f t="shared" si="26"/>
        <v>2024</v>
      </c>
      <c r="AA61" s="945">
        <f>Z61+1</f>
        <v>2025</v>
      </c>
      <c r="AB61" s="945">
        <f t="shared" ref="AB61:AF61" si="27">AA61+1</f>
        <v>2026</v>
      </c>
      <c r="AC61" s="945">
        <f t="shared" si="27"/>
        <v>2027</v>
      </c>
      <c r="AD61" s="945">
        <f t="shared" si="27"/>
        <v>2028</v>
      </c>
      <c r="AE61" s="945">
        <f t="shared" si="27"/>
        <v>2029</v>
      </c>
      <c r="AF61" s="945">
        <f t="shared" si="27"/>
        <v>2030</v>
      </c>
    </row>
    <row r="62" spans="1:41">
      <c r="A62" s="253" t="s">
        <v>1512</v>
      </c>
      <c r="R62" s="223"/>
      <c r="S62" s="223"/>
      <c r="T62" s="223"/>
      <c r="U62" s="223"/>
      <c r="V62" s="223"/>
      <c r="W62" s="223">
        <f t="shared" ref="W62:AF62" si="28">W24</f>
        <v>2436</v>
      </c>
      <c r="X62" s="223">
        <f t="shared" si="28"/>
        <v>3545</v>
      </c>
      <c r="Y62" s="223">
        <f t="shared" si="28"/>
        <v>4270</v>
      </c>
      <c r="Z62" s="223">
        <f t="shared" si="28"/>
        <v>4733</v>
      </c>
      <c r="AA62" s="223">
        <f t="shared" si="28"/>
        <v>5741.0138570859253</v>
      </c>
      <c r="AB62" s="223">
        <f t="shared" si="28"/>
        <v>6486.6147454246175</v>
      </c>
      <c r="AC62" s="223">
        <f t="shared" si="28"/>
        <v>7059.7484136817438</v>
      </c>
      <c r="AD62" s="223">
        <f t="shared" si="28"/>
        <v>7619.1303989661155</v>
      </c>
      <c r="AE62" s="223">
        <f t="shared" si="28"/>
        <v>7964.697333965787</v>
      </c>
      <c r="AF62" s="223">
        <f t="shared" si="28"/>
        <v>8257.289710853991</v>
      </c>
    </row>
    <row r="63" spans="1:41">
      <c r="A63" s="4" t="s">
        <v>1513</v>
      </c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</row>
    <row r="64" spans="1:41">
      <c r="A64" s="4" t="s">
        <v>1553</v>
      </c>
      <c r="R64" s="923"/>
      <c r="S64" s="923"/>
      <c r="T64" s="923"/>
      <c r="U64" s="923"/>
      <c r="V64" s="923"/>
      <c r="W64" s="923">
        <v>302</v>
      </c>
      <c r="X64" s="923">
        <v>233</v>
      </c>
      <c r="Y64" s="923">
        <v>988</v>
      </c>
      <c r="Z64" s="923">
        <v>935</v>
      </c>
      <c r="AA64" s="923">
        <f>-AA17-'Income Statement'!AA88</f>
        <v>1375.9453698453608</v>
      </c>
      <c r="AB64" s="923">
        <f>-AB17-'Income Statement'!AB88</f>
        <v>1697.972095872007</v>
      </c>
      <c r="AC64" s="923">
        <f>-AC17-'Income Statement'!AC88</f>
        <v>1982.1808048130276</v>
      </c>
      <c r="AD64" s="923">
        <f>-AD17-'Income Statement'!AD88</f>
        <v>1969.4923158017916</v>
      </c>
      <c r="AE64" s="923">
        <f>-AE17-'Income Statement'!AE88</f>
        <v>2110.1456103330634</v>
      </c>
      <c r="AF64" s="923">
        <f>-AF17-'Income Statement'!AF88</f>
        <v>2259.6938654000223</v>
      </c>
    </row>
    <row r="65" spans="1:32">
      <c r="A65" s="4" t="s">
        <v>1687</v>
      </c>
      <c r="R65" s="923"/>
      <c r="S65" s="923"/>
      <c r="T65" s="923"/>
      <c r="U65" s="923"/>
      <c r="V65" s="923"/>
      <c r="W65" s="923">
        <v>79</v>
      </c>
      <c r="X65" s="923">
        <v>87</v>
      </c>
      <c r="Y65" s="923">
        <v>116</v>
      </c>
      <c r="Z65" s="923">
        <f>-'Income Statement'!Z121</f>
        <v>92</v>
      </c>
      <c r="AA65" s="923">
        <f>-'Income Statement'!AA121</f>
        <v>121.82499999999999</v>
      </c>
      <c r="AB65" s="923">
        <f>-'Income Statement'!AB121</f>
        <v>105.07199999999999</v>
      </c>
      <c r="AC65" s="923">
        <f>-'Income Statement'!AC121</f>
        <v>105.07199999999999</v>
      </c>
      <c r="AD65" s="923">
        <f>-'Income Statement'!AD121</f>
        <v>105.07199999999999</v>
      </c>
      <c r="AE65" s="923">
        <f>-'Income Statement'!AE121</f>
        <v>105.07199999999999</v>
      </c>
      <c r="AF65" s="923">
        <f>-'Income Statement'!AF121</f>
        <v>105.07199999999999</v>
      </c>
    </row>
    <row r="66" spans="1:32">
      <c r="A66" s="4" t="s">
        <v>1688</v>
      </c>
      <c r="R66" s="923"/>
      <c r="S66" s="923"/>
      <c r="T66" s="923"/>
      <c r="U66" s="923"/>
      <c r="V66" s="923"/>
      <c r="W66" s="923">
        <f>-'Income Statement'!W122</f>
        <v>-15</v>
      </c>
      <c r="X66" s="923">
        <f>-'Income Statement'!X122</f>
        <v>-38</v>
      </c>
      <c r="Y66" s="923">
        <v>-229</v>
      </c>
      <c r="Z66" s="923">
        <f>-'Income Statement'!Z122</f>
        <v>-249</v>
      </c>
      <c r="AA66" s="923">
        <f>-'Income Statement'!AA122</f>
        <v>-235.81</v>
      </c>
      <c r="AB66" s="923">
        <f>-'Income Statement'!AB122</f>
        <v>-233.5965970689017</v>
      </c>
      <c r="AC66" s="923">
        <f>-'Income Statement'!AC122</f>
        <v>-253.77304984327949</v>
      </c>
      <c r="AD66" s="923">
        <f>-'Income Statement'!AD122</f>
        <v>-280.41842134960729</v>
      </c>
      <c r="AE66" s="923">
        <f>-'Income Statement'!AE122</f>
        <v>-309.72637767661587</v>
      </c>
      <c r="AF66" s="923">
        <f>-'Income Statement'!AF122</f>
        <v>-356.80100097228268</v>
      </c>
    </row>
    <row r="67" spans="1:32">
      <c r="A67" s="4"/>
      <c r="R67" s="923"/>
      <c r="S67" s="923"/>
      <c r="T67" s="923"/>
      <c r="U67" s="923"/>
      <c r="V67" s="923"/>
      <c r="W67" s="923"/>
      <c r="X67" s="923"/>
      <c r="Y67" s="923"/>
      <c r="Z67" s="923"/>
      <c r="AA67" s="923"/>
      <c r="AB67" s="923"/>
      <c r="AC67" s="923"/>
      <c r="AD67" s="923"/>
      <c r="AE67" s="923"/>
      <c r="AF67" s="923"/>
    </row>
    <row r="68" spans="1:32">
      <c r="A68" s="4" t="s">
        <v>1514</v>
      </c>
    </row>
    <row r="69" spans="1:32">
      <c r="A69" s="4" t="s">
        <v>1515</v>
      </c>
      <c r="R69" s="223"/>
      <c r="S69" s="223"/>
      <c r="T69" s="223"/>
      <c r="U69" s="223"/>
      <c r="V69" s="223"/>
      <c r="W69" s="223">
        <f t="shared" ref="W69:AF69" si="29">W28</f>
        <v>-387</v>
      </c>
      <c r="X69" s="223">
        <f t="shared" si="29"/>
        <v>-498</v>
      </c>
      <c r="Y69" s="223">
        <f t="shared" si="29"/>
        <v>-823</v>
      </c>
      <c r="Z69" s="223">
        <f t="shared" si="29"/>
        <v>-1044</v>
      </c>
      <c r="AA69" s="223">
        <f t="shared" si="29"/>
        <v>-1577.8284307641502</v>
      </c>
      <c r="AB69" s="223">
        <f t="shared" si="29"/>
        <v>-1604.4179299896248</v>
      </c>
      <c r="AC69" s="223">
        <f t="shared" si="29"/>
        <v>-1569.3017315579068</v>
      </c>
      <c r="AD69" s="223">
        <f t="shared" si="29"/>
        <v>-1479.8732489266761</v>
      </c>
      <c r="AE69" s="223">
        <f t="shared" si="29"/>
        <v>-1338.6195291825081</v>
      </c>
      <c r="AF69" s="223">
        <f t="shared" si="29"/>
        <v>-1169.6766652697722</v>
      </c>
    </row>
    <row r="70" spans="1:32">
      <c r="A70" s="4" t="s">
        <v>1516</v>
      </c>
      <c r="R70" s="223"/>
      <c r="S70" s="223"/>
      <c r="T70" s="223"/>
      <c r="U70" s="223"/>
      <c r="V70" s="223"/>
      <c r="W70" s="223">
        <f t="shared" ref="W70:AF70" si="30">W26</f>
        <v>-369</v>
      </c>
      <c r="X70" s="223">
        <f t="shared" si="30"/>
        <v>-381</v>
      </c>
      <c r="Y70" s="223">
        <f t="shared" si="30"/>
        <v>-502</v>
      </c>
      <c r="Z70" s="223">
        <f t="shared" si="30"/>
        <v>-500</v>
      </c>
      <c r="AA70" s="223">
        <f t="shared" si="30"/>
        <v>-550</v>
      </c>
      <c r="AB70" s="223">
        <f t="shared" si="30"/>
        <v>-550</v>
      </c>
      <c r="AC70" s="223">
        <f t="shared" si="30"/>
        <v>-550</v>
      </c>
      <c r="AD70" s="223">
        <f t="shared" si="30"/>
        <v>-550</v>
      </c>
      <c r="AE70" s="223">
        <f t="shared" si="30"/>
        <v>-550</v>
      </c>
      <c r="AF70" s="223">
        <f t="shared" si="30"/>
        <v>-550</v>
      </c>
    </row>
    <row r="71" spans="1:32">
      <c r="A71" s="253" t="s">
        <v>1517</v>
      </c>
      <c r="R71" s="223"/>
      <c r="S71" s="223"/>
      <c r="T71" s="223"/>
      <c r="U71" s="223"/>
      <c r="V71" s="223"/>
      <c r="W71" s="223">
        <f t="shared" ref="W71:AF71" si="31">SUM(W62:W70)</f>
        <v>2046</v>
      </c>
      <c r="X71" s="223">
        <f t="shared" si="31"/>
        <v>2948</v>
      </c>
      <c r="Y71" s="223">
        <f t="shared" si="31"/>
        <v>3820</v>
      </c>
      <c r="Z71" s="223">
        <f t="shared" si="31"/>
        <v>3967</v>
      </c>
      <c r="AA71" s="223">
        <f t="shared" si="31"/>
        <v>4875.1457961671349</v>
      </c>
      <c r="AB71" s="223">
        <f t="shared" si="31"/>
        <v>5901.6443142380986</v>
      </c>
      <c r="AC71" s="223">
        <f t="shared" si="31"/>
        <v>6773.9264370935853</v>
      </c>
      <c r="AD71" s="223">
        <f t="shared" si="31"/>
        <v>7383.4030444916252</v>
      </c>
      <c r="AE71" s="223">
        <f t="shared" si="31"/>
        <v>7981.5690374397273</v>
      </c>
      <c r="AF71" s="223">
        <f t="shared" si="31"/>
        <v>8545.5779100119598</v>
      </c>
    </row>
    <row r="72" spans="1:32">
      <c r="A72" s="4" t="s">
        <v>287</v>
      </c>
      <c r="R72" s="223"/>
      <c r="S72" s="223"/>
      <c r="T72" s="223"/>
      <c r="U72" s="223"/>
      <c r="V72" s="223"/>
      <c r="W72" s="223">
        <f>'Income Statement'!W74</f>
        <v>1400</v>
      </c>
      <c r="X72" s="223">
        <f>'Income Statement'!X74</f>
        <v>1958</v>
      </c>
      <c r="Y72" s="223">
        <f>'Income Statement'!Y74</f>
        <v>2655</v>
      </c>
      <c r="Z72" s="223">
        <f>'Income Statement'!Z74</f>
        <v>4125</v>
      </c>
      <c r="AA72" s="223">
        <f>'Income Statement'!AA74</f>
        <v>5217.0942807667525</v>
      </c>
      <c r="AB72" s="223">
        <f>'Income Statement'!AB74</f>
        <v>6143.363786419126</v>
      </c>
      <c r="AC72" s="223">
        <f>'Income Statement'!AC74</f>
        <v>6980.0221694088314</v>
      </c>
      <c r="AD72" s="223">
        <f>'Income Statement'!AD74</f>
        <v>7702.6228418575593</v>
      </c>
      <c r="AE72" s="223">
        <f>'Income Statement'!AE74</f>
        <v>8235.9280636556377</v>
      </c>
      <c r="AF72" s="223">
        <f>'Income Statement'!AF74</f>
        <v>8787.0464606278074</v>
      </c>
    </row>
    <row r="73" spans="1:32">
      <c r="A73" s="4" t="s">
        <v>1522</v>
      </c>
      <c r="R73" s="768"/>
      <c r="S73" s="768"/>
      <c r="T73" s="768"/>
      <c r="U73" s="768"/>
      <c r="V73" s="768"/>
      <c r="W73" s="768">
        <f t="shared" ref="W73:AF73" si="32">W71/W72</f>
        <v>1.4614285714285715</v>
      </c>
      <c r="X73" s="768">
        <f t="shared" si="32"/>
        <v>1.5056179775280898</v>
      </c>
      <c r="Y73" s="768">
        <f t="shared" si="32"/>
        <v>1.4387947269303201</v>
      </c>
      <c r="Z73" s="768">
        <f t="shared" si="32"/>
        <v>0.96169696969696972</v>
      </c>
      <c r="AA73" s="768">
        <f t="shared" si="32"/>
        <v>0.93445614240474073</v>
      </c>
      <c r="AB73" s="768">
        <f t="shared" si="32"/>
        <v>0.96065356365263821</v>
      </c>
      <c r="AC73" s="768">
        <f t="shared" si="32"/>
        <v>0.97047348456592353</v>
      </c>
      <c r="AD73" s="768">
        <f t="shared" si="32"/>
        <v>0.95855700013880585</v>
      </c>
      <c r="AE73" s="768">
        <f t="shared" si="32"/>
        <v>0.96911592424679227</v>
      </c>
      <c r="AF73" s="768">
        <f t="shared" si="32"/>
        <v>0.97251994151871191</v>
      </c>
    </row>
  </sheetData>
  <pageMargins left="0.7" right="0.7" top="0.75" bottom="0.75" header="0.3" footer="0.3"/>
  <customProperties>
    <customPr name="Qube.Worksheet.Visibility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0F19-65D2-4229-8F55-FE95A9628490}">
  <sheetPr codeName="Sheet12">
    <tabColor theme="4"/>
  </sheetPr>
  <dimension ref="A1:EM150"/>
  <sheetViews>
    <sheetView showGridLines="0" zoomScaleNormal="100" workbookViewId="0">
      <pane xSplit="81" topLeftCell="CD1" activePane="topRight" state="frozen"/>
      <selection pane="topRight" activeCell="CD1" sqref="CD1"/>
    </sheetView>
  </sheetViews>
  <sheetFormatPr defaultRowHeight="14.25" outlineLevelRow="1" outlineLevelCol="1"/>
  <cols>
    <col min="1" max="1" width="29.625" bestFit="1" customWidth="1"/>
    <col min="2" max="2" width="9" style="974" hidden="1" customWidth="1" outlineLevel="1"/>
    <col min="3" max="8" width="9" hidden="1" customWidth="1" outlineLevel="1"/>
    <col min="9" max="9" width="9" style="966" hidden="1" customWidth="1" outlineLevel="1"/>
    <col min="10" max="16" width="9" hidden="1" customWidth="1" outlineLevel="1"/>
    <col min="17" max="17" width="9" style="966" hidden="1" customWidth="1" outlineLevel="1"/>
    <col min="18" max="24" width="9" hidden="1" customWidth="1" outlineLevel="1"/>
    <col min="25" max="25" width="9" style="966" hidden="1" customWidth="1" outlineLevel="1"/>
    <col min="26" max="32" width="9" hidden="1" customWidth="1" outlineLevel="1"/>
    <col min="33" max="33" width="9" style="966" hidden="1" customWidth="1" outlineLevel="1"/>
    <col min="34" max="40" width="9" hidden="1" customWidth="1" outlineLevel="1"/>
    <col min="41" max="41" width="9" style="966" hidden="1" customWidth="1" outlineLevel="1"/>
    <col min="42" max="48" width="9" hidden="1" customWidth="1" outlineLevel="1"/>
    <col min="49" max="49" width="9" style="966" hidden="1" customWidth="1" outlineLevel="1"/>
    <col min="50" max="56" width="9" hidden="1" customWidth="1" outlineLevel="1"/>
    <col min="57" max="57" width="9" style="966" hidden="1" customWidth="1" outlineLevel="1"/>
    <col min="58" max="64" width="9" hidden="1" customWidth="1" outlineLevel="1"/>
    <col min="65" max="65" width="9" style="966" hidden="1" customWidth="1" outlineLevel="1"/>
    <col min="66" max="72" width="9" hidden="1" customWidth="1" outlineLevel="1"/>
    <col min="73" max="73" width="9" style="966" hidden="1" customWidth="1" outlineLevel="1"/>
    <col min="74" max="80" width="9" hidden="1" customWidth="1" outlineLevel="1"/>
    <col min="81" max="81" width="9" style="966" hidden="1" customWidth="1" outlineLevel="1"/>
    <col min="82" max="82" width="9" collapsed="1"/>
    <col min="89" max="89" width="9" style="966"/>
    <col min="97" max="97" width="9" style="966"/>
    <col min="101" max="104" width="9" customWidth="1"/>
    <col min="105" max="105" width="9" style="966" customWidth="1"/>
    <col min="113" max="113" width="9" style="966"/>
    <col min="116" max="116" width="9" style="987"/>
    <col min="121" max="121" width="9" style="966"/>
    <col min="122" max="122" width="9" style="1165"/>
    <col min="123" max="128" width="9" customWidth="1"/>
    <col min="129" max="129" width="9" style="966" customWidth="1"/>
    <col min="130" max="136" width="9" hidden="1" customWidth="1" outlineLevel="1"/>
    <col min="137" max="137" width="9" style="966" hidden="1" customWidth="1" outlineLevel="1"/>
    <col min="138" max="138" width="9" collapsed="1"/>
    <col min="143" max="143" width="130.125" bestFit="1" customWidth="1"/>
  </cols>
  <sheetData>
    <row r="1" spans="1:143" s="949" customFormat="1" ht="14.25" customHeight="1">
      <c r="A1" s="162"/>
      <c r="B1" s="971">
        <v>2011</v>
      </c>
      <c r="C1" s="946">
        <v>2011</v>
      </c>
      <c r="D1" s="946">
        <v>2011</v>
      </c>
      <c r="E1" s="946">
        <v>2011</v>
      </c>
      <c r="F1" s="946">
        <v>2011</v>
      </c>
      <c r="G1" s="946">
        <v>2011</v>
      </c>
      <c r="H1" s="946">
        <v>2011</v>
      </c>
      <c r="I1" s="962">
        <v>2011</v>
      </c>
      <c r="J1" s="961">
        <v>2012</v>
      </c>
      <c r="K1" s="946">
        <v>2012</v>
      </c>
      <c r="L1" s="946">
        <v>2012</v>
      </c>
      <c r="M1" s="946">
        <v>2012</v>
      </c>
      <c r="N1" s="946">
        <v>2012</v>
      </c>
      <c r="O1" s="946">
        <v>2012</v>
      </c>
      <c r="P1" s="946">
        <v>2012</v>
      </c>
      <c r="Q1" s="962">
        <v>2012</v>
      </c>
      <c r="R1" s="961">
        <v>2013</v>
      </c>
      <c r="S1" s="946">
        <v>2013</v>
      </c>
      <c r="T1" s="946">
        <v>2013</v>
      </c>
      <c r="U1" s="946">
        <v>2013</v>
      </c>
      <c r="V1" s="946">
        <v>2013</v>
      </c>
      <c r="W1" s="946">
        <v>2013</v>
      </c>
      <c r="X1" s="946">
        <v>2013</v>
      </c>
      <c r="Y1" s="962">
        <v>2013</v>
      </c>
      <c r="Z1" s="961">
        <v>2014</v>
      </c>
      <c r="AA1" s="946">
        <v>2014</v>
      </c>
      <c r="AB1" s="946">
        <v>2014</v>
      </c>
      <c r="AC1" s="946">
        <v>2014</v>
      </c>
      <c r="AD1" s="946">
        <v>2014</v>
      </c>
      <c r="AE1" s="946">
        <v>2014</v>
      </c>
      <c r="AF1" s="946">
        <v>2014</v>
      </c>
      <c r="AG1" s="962">
        <v>2014</v>
      </c>
      <c r="AH1" s="961">
        <v>2015</v>
      </c>
      <c r="AI1" s="946">
        <f t="shared" ref="AI1:AO1" si="0">AH1</f>
        <v>2015</v>
      </c>
      <c r="AJ1" s="946">
        <f t="shared" si="0"/>
        <v>2015</v>
      </c>
      <c r="AK1" s="946">
        <f t="shared" si="0"/>
        <v>2015</v>
      </c>
      <c r="AL1" s="946">
        <f t="shared" si="0"/>
        <v>2015</v>
      </c>
      <c r="AM1" s="946">
        <f t="shared" si="0"/>
        <v>2015</v>
      </c>
      <c r="AN1" s="946">
        <f t="shared" si="0"/>
        <v>2015</v>
      </c>
      <c r="AO1" s="962">
        <f t="shared" si="0"/>
        <v>2015</v>
      </c>
      <c r="AP1" s="961">
        <v>2016</v>
      </c>
      <c r="AQ1" s="946">
        <f t="shared" ref="AQ1:AW1" si="1">AP1</f>
        <v>2016</v>
      </c>
      <c r="AR1" s="946">
        <f t="shared" si="1"/>
        <v>2016</v>
      </c>
      <c r="AS1" s="946">
        <f t="shared" si="1"/>
        <v>2016</v>
      </c>
      <c r="AT1" s="946">
        <f t="shared" si="1"/>
        <v>2016</v>
      </c>
      <c r="AU1" s="946">
        <f t="shared" si="1"/>
        <v>2016</v>
      </c>
      <c r="AV1" s="946">
        <f t="shared" si="1"/>
        <v>2016</v>
      </c>
      <c r="AW1" s="962">
        <f t="shared" si="1"/>
        <v>2016</v>
      </c>
      <c r="AX1" s="961">
        <v>2017</v>
      </c>
      <c r="AY1" s="946">
        <f t="shared" ref="AY1:BE1" si="2">AX1</f>
        <v>2017</v>
      </c>
      <c r="AZ1" s="946">
        <f t="shared" si="2"/>
        <v>2017</v>
      </c>
      <c r="BA1" s="946">
        <f t="shared" si="2"/>
        <v>2017</v>
      </c>
      <c r="BB1" s="946">
        <f t="shared" si="2"/>
        <v>2017</v>
      </c>
      <c r="BC1" s="946">
        <f t="shared" si="2"/>
        <v>2017</v>
      </c>
      <c r="BD1" s="946">
        <f t="shared" si="2"/>
        <v>2017</v>
      </c>
      <c r="BE1" s="962">
        <f t="shared" si="2"/>
        <v>2017</v>
      </c>
      <c r="BF1" s="961">
        <v>2018</v>
      </c>
      <c r="BG1" s="946">
        <f t="shared" ref="BG1:BM1" si="3">BF1</f>
        <v>2018</v>
      </c>
      <c r="BH1" s="946">
        <f t="shared" si="3"/>
        <v>2018</v>
      </c>
      <c r="BI1" s="946">
        <f t="shared" si="3"/>
        <v>2018</v>
      </c>
      <c r="BJ1" s="946">
        <f t="shared" si="3"/>
        <v>2018</v>
      </c>
      <c r="BK1" s="946">
        <f t="shared" si="3"/>
        <v>2018</v>
      </c>
      <c r="BL1" s="946">
        <f t="shared" si="3"/>
        <v>2018</v>
      </c>
      <c r="BM1" s="962">
        <f t="shared" si="3"/>
        <v>2018</v>
      </c>
      <c r="BN1" s="961">
        <f>BF1+1</f>
        <v>2019</v>
      </c>
      <c r="BO1" s="946">
        <f t="shared" ref="BO1:DZ1" si="4">BG1+1</f>
        <v>2019</v>
      </c>
      <c r="BP1" s="946">
        <f t="shared" si="4"/>
        <v>2019</v>
      </c>
      <c r="BQ1" s="946">
        <f t="shared" si="4"/>
        <v>2019</v>
      </c>
      <c r="BR1" s="946">
        <f t="shared" si="4"/>
        <v>2019</v>
      </c>
      <c r="BS1" s="946">
        <f t="shared" si="4"/>
        <v>2019</v>
      </c>
      <c r="BT1" s="946">
        <f t="shared" si="4"/>
        <v>2019</v>
      </c>
      <c r="BU1" s="962">
        <f t="shared" si="4"/>
        <v>2019</v>
      </c>
      <c r="BV1" s="961">
        <f t="shared" si="4"/>
        <v>2020</v>
      </c>
      <c r="BW1" s="946">
        <f t="shared" si="4"/>
        <v>2020</v>
      </c>
      <c r="BX1" s="946">
        <f t="shared" si="4"/>
        <v>2020</v>
      </c>
      <c r="BY1" s="946">
        <f t="shared" si="4"/>
        <v>2020</v>
      </c>
      <c r="BZ1" s="946">
        <f t="shared" si="4"/>
        <v>2020</v>
      </c>
      <c r="CA1" s="946">
        <f t="shared" si="4"/>
        <v>2020</v>
      </c>
      <c r="CB1" s="946">
        <f t="shared" si="4"/>
        <v>2020</v>
      </c>
      <c r="CC1" s="962">
        <f t="shared" si="4"/>
        <v>2020</v>
      </c>
      <c r="CD1" s="961">
        <f t="shared" si="4"/>
        <v>2021</v>
      </c>
      <c r="CE1" s="946">
        <f t="shared" si="4"/>
        <v>2021</v>
      </c>
      <c r="CF1" s="946">
        <f t="shared" si="4"/>
        <v>2021</v>
      </c>
      <c r="CG1" s="946">
        <f t="shared" si="4"/>
        <v>2021</v>
      </c>
      <c r="CH1" s="946">
        <f t="shared" si="4"/>
        <v>2021</v>
      </c>
      <c r="CI1" s="946">
        <f t="shared" si="4"/>
        <v>2021</v>
      </c>
      <c r="CJ1" s="946">
        <f t="shared" si="4"/>
        <v>2021</v>
      </c>
      <c r="CK1" s="962">
        <f t="shared" si="4"/>
        <v>2021</v>
      </c>
      <c r="CL1" s="961">
        <f t="shared" si="4"/>
        <v>2022</v>
      </c>
      <c r="CM1" s="946">
        <f t="shared" si="4"/>
        <v>2022</v>
      </c>
      <c r="CN1" s="946">
        <f t="shared" si="4"/>
        <v>2022</v>
      </c>
      <c r="CO1" s="946">
        <f t="shared" si="4"/>
        <v>2022</v>
      </c>
      <c r="CP1" s="946">
        <f t="shared" si="4"/>
        <v>2022</v>
      </c>
      <c r="CQ1" s="946">
        <f t="shared" si="4"/>
        <v>2022</v>
      </c>
      <c r="CR1" s="946">
        <f t="shared" si="4"/>
        <v>2022</v>
      </c>
      <c r="CS1" s="1391">
        <f t="shared" si="4"/>
        <v>2022</v>
      </c>
      <c r="CT1" s="976">
        <f t="shared" si="4"/>
        <v>2023</v>
      </c>
      <c r="CU1" s="947">
        <f t="shared" si="4"/>
        <v>2023</v>
      </c>
      <c r="CV1" s="947">
        <f t="shared" si="4"/>
        <v>2023</v>
      </c>
      <c r="CW1" s="947">
        <f t="shared" si="4"/>
        <v>2023</v>
      </c>
      <c r="CX1" s="947">
        <f t="shared" si="4"/>
        <v>2023</v>
      </c>
      <c r="CY1" s="947">
        <f t="shared" si="4"/>
        <v>2023</v>
      </c>
      <c r="CZ1" s="947">
        <f t="shared" si="4"/>
        <v>2023</v>
      </c>
      <c r="DA1" s="977">
        <f t="shared" si="4"/>
        <v>2023</v>
      </c>
      <c r="DB1" s="976">
        <f t="shared" si="4"/>
        <v>2024</v>
      </c>
      <c r="DC1" s="947">
        <f t="shared" si="4"/>
        <v>2024</v>
      </c>
      <c r="DD1" s="947">
        <f t="shared" si="4"/>
        <v>2024</v>
      </c>
      <c r="DE1" s="947">
        <f t="shared" si="4"/>
        <v>2024</v>
      </c>
      <c r="DF1" s="947">
        <f t="shared" si="4"/>
        <v>2024</v>
      </c>
      <c r="DG1" s="947">
        <f t="shared" si="4"/>
        <v>2024</v>
      </c>
      <c r="DH1" s="947">
        <f t="shared" si="4"/>
        <v>2024</v>
      </c>
      <c r="DI1" s="977">
        <f t="shared" si="4"/>
        <v>2024</v>
      </c>
      <c r="DJ1" s="976">
        <f t="shared" si="4"/>
        <v>2025</v>
      </c>
      <c r="DK1" s="947">
        <f t="shared" si="4"/>
        <v>2025</v>
      </c>
      <c r="DL1" s="947">
        <f t="shared" si="4"/>
        <v>2025</v>
      </c>
      <c r="DM1" s="947">
        <f t="shared" si="4"/>
        <v>2025</v>
      </c>
      <c r="DN1" s="947">
        <f t="shared" si="4"/>
        <v>2025</v>
      </c>
      <c r="DO1" s="948">
        <f t="shared" si="4"/>
        <v>2025</v>
      </c>
      <c r="DP1" s="948">
        <f t="shared" si="4"/>
        <v>2025</v>
      </c>
      <c r="DQ1" s="1162">
        <f t="shared" si="4"/>
        <v>2025</v>
      </c>
      <c r="DR1" s="1161">
        <f t="shared" si="4"/>
        <v>2026</v>
      </c>
      <c r="DS1" s="1161">
        <f t="shared" si="4"/>
        <v>2026</v>
      </c>
      <c r="DT1" s="948">
        <f t="shared" si="4"/>
        <v>2026</v>
      </c>
      <c r="DU1" s="948">
        <f t="shared" si="4"/>
        <v>2026</v>
      </c>
      <c r="DV1" s="948">
        <f t="shared" si="4"/>
        <v>2026</v>
      </c>
      <c r="DW1" s="948">
        <f t="shared" si="4"/>
        <v>2026</v>
      </c>
      <c r="DX1" s="948">
        <f t="shared" si="4"/>
        <v>2026</v>
      </c>
      <c r="DY1" s="1162">
        <f t="shared" si="4"/>
        <v>2026</v>
      </c>
      <c r="DZ1" s="1161">
        <f t="shared" si="4"/>
        <v>2027</v>
      </c>
      <c r="EA1" s="948">
        <f t="shared" ref="EA1:EG1" si="5">DS1+1</f>
        <v>2027</v>
      </c>
      <c r="EB1" s="948">
        <f t="shared" si="5"/>
        <v>2027</v>
      </c>
      <c r="EC1" s="948">
        <f t="shared" si="5"/>
        <v>2027</v>
      </c>
      <c r="ED1" s="948">
        <f t="shared" si="5"/>
        <v>2027</v>
      </c>
      <c r="EE1" s="948">
        <f t="shared" si="5"/>
        <v>2027</v>
      </c>
      <c r="EF1" s="948">
        <f t="shared" si="5"/>
        <v>2027</v>
      </c>
      <c r="EG1" s="1162">
        <f t="shared" si="5"/>
        <v>2027</v>
      </c>
      <c r="EJ1" s="949" t="s">
        <v>1543</v>
      </c>
      <c r="EM1" s="1418" t="s">
        <v>1775</v>
      </c>
    </row>
    <row r="2" spans="1:143" s="949" customFormat="1" ht="12.75">
      <c r="A2" s="950"/>
      <c r="B2" s="972" t="s">
        <v>1544</v>
      </c>
      <c r="C2" s="951" t="s">
        <v>1545</v>
      </c>
      <c r="D2" s="951" t="s">
        <v>1546</v>
      </c>
      <c r="E2" s="951" t="s">
        <v>1547</v>
      </c>
      <c r="F2" s="951" t="s">
        <v>1548</v>
      </c>
      <c r="G2" s="951" t="s">
        <v>1549</v>
      </c>
      <c r="H2" s="951" t="s">
        <v>1550</v>
      </c>
      <c r="I2" s="963" t="s">
        <v>1551</v>
      </c>
      <c r="J2" s="951" t="s">
        <v>1544</v>
      </c>
      <c r="K2" s="951" t="s">
        <v>1545</v>
      </c>
      <c r="L2" s="951" t="s">
        <v>1546</v>
      </c>
      <c r="M2" s="951" t="s">
        <v>1547</v>
      </c>
      <c r="N2" s="951" t="s">
        <v>1548</v>
      </c>
      <c r="O2" s="951" t="s">
        <v>1549</v>
      </c>
      <c r="P2" s="951" t="s">
        <v>1550</v>
      </c>
      <c r="Q2" s="963" t="s">
        <v>1551</v>
      </c>
      <c r="R2" s="951" t="s">
        <v>1544</v>
      </c>
      <c r="S2" s="951" t="s">
        <v>1545</v>
      </c>
      <c r="T2" s="951" t="s">
        <v>1546</v>
      </c>
      <c r="U2" s="951" t="s">
        <v>1547</v>
      </c>
      <c r="V2" s="951" t="s">
        <v>1548</v>
      </c>
      <c r="W2" s="951" t="s">
        <v>1549</v>
      </c>
      <c r="X2" s="951" t="s">
        <v>1550</v>
      </c>
      <c r="Y2" s="963" t="s">
        <v>1551</v>
      </c>
      <c r="Z2" s="951" t="s">
        <v>1544</v>
      </c>
      <c r="AA2" s="951" t="s">
        <v>1545</v>
      </c>
      <c r="AB2" s="951" t="s">
        <v>1546</v>
      </c>
      <c r="AC2" s="951" t="s">
        <v>1547</v>
      </c>
      <c r="AD2" s="951" t="s">
        <v>1548</v>
      </c>
      <c r="AE2" s="951" t="s">
        <v>1549</v>
      </c>
      <c r="AF2" s="951" t="s">
        <v>1550</v>
      </c>
      <c r="AG2" s="963" t="s">
        <v>1551</v>
      </c>
      <c r="AH2" s="951" t="s">
        <v>1544</v>
      </c>
      <c r="AI2" s="951" t="s">
        <v>1545</v>
      </c>
      <c r="AJ2" s="951" t="s">
        <v>1546</v>
      </c>
      <c r="AK2" s="951" t="s">
        <v>1547</v>
      </c>
      <c r="AL2" s="951" t="s">
        <v>1548</v>
      </c>
      <c r="AM2" s="951" t="s">
        <v>1549</v>
      </c>
      <c r="AN2" s="951" t="s">
        <v>1550</v>
      </c>
      <c r="AO2" s="963" t="s">
        <v>1551</v>
      </c>
      <c r="AP2" s="951" t="s">
        <v>1544</v>
      </c>
      <c r="AQ2" s="951" t="s">
        <v>1545</v>
      </c>
      <c r="AR2" s="951" t="s">
        <v>1546</v>
      </c>
      <c r="AS2" s="951" t="s">
        <v>1547</v>
      </c>
      <c r="AT2" s="951" t="s">
        <v>1548</v>
      </c>
      <c r="AU2" s="951" t="s">
        <v>1549</v>
      </c>
      <c r="AV2" s="951" t="s">
        <v>1550</v>
      </c>
      <c r="AW2" s="963" t="s">
        <v>1551</v>
      </c>
      <c r="AX2" s="951" t="s">
        <v>1544</v>
      </c>
      <c r="AY2" s="951" t="s">
        <v>1545</v>
      </c>
      <c r="AZ2" s="951" t="s">
        <v>1546</v>
      </c>
      <c r="BA2" s="951" t="s">
        <v>1547</v>
      </c>
      <c r="BB2" s="951" t="s">
        <v>1548</v>
      </c>
      <c r="BC2" s="951" t="s">
        <v>1549</v>
      </c>
      <c r="BD2" s="951" t="s">
        <v>1550</v>
      </c>
      <c r="BE2" s="963" t="s">
        <v>1551</v>
      </c>
      <c r="BF2" s="951" t="s">
        <v>1544</v>
      </c>
      <c r="BG2" s="951" t="s">
        <v>1545</v>
      </c>
      <c r="BH2" s="951" t="s">
        <v>1546</v>
      </c>
      <c r="BI2" s="951" t="s">
        <v>1547</v>
      </c>
      <c r="BJ2" s="951" t="s">
        <v>1548</v>
      </c>
      <c r="BK2" s="951" t="s">
        <v>1549</v>
      </c>
      <c r="BL2" s="951" t="s">
        <v>1550</v>
      </c>
      <c r="BM2" s="963" t="s">
        <v>1551</v>
      </c>
      <c r="BN2" s="951" t="s">
        <v>1544</v>
      </c>
      <c r="BO2" s="951" t="s">
        <v>1545</v>
      </c>
      <c r="BP2" s="951" t="s">
        <v>1546</v>
      </c>
      <c r="BQ2" s="951" t="s">
        <v>1547</v>
      </c>
      <c r="BR2" s="951" t="s">
        <v>1548</v>
      </c>
      <c r="BS2" s="951" t="s">
        <v>1549</v>
      </c>
      <c r="BT2" s="951" t="s">
        <v>1550</v>
      </c>
      <c r="BU2" s="963" t="s">
        <v>1551</v>
      </c>
      <c r="BV2" s="951" t="str">
        <f>BN2</f>
        <v>Q1</v>
      </c>
      <c r="BW2" s="951" t="str">
        <f t="shared" ref="BW2:EG2" si="6">BO2</f>
        <v>Q2</v>
      </c>
      <c r="BX2" s="951" t="str">
        <f t="shared" si="6"/>
        <v>H1</v>
      </c>
      <c r="BY2" s="951" t="str">
        <f t="shared" si="6"/>
        <v>Q3</v>
      </c>
      <c r="BZ2" s="951" t="str">
        <f t="shared" si="6"/>
        <v>9M</v>
      </c>
      <c r="CA2" s="951" t="str">
        <f t="shared" si="6"/>
        <v>Q4</v>
      </c>
      <c r="CB2" s="951" t="str">
        <f t="shared" si="6"/>
        <v>H2</v>
      </c>
      <c r="CC2" s="963" t="str">
        <f t="shared" si="6"/>
        <v>FY</v>
      </c>
      <c r="CD2" s="951" t="str">
        <f t="shared" si="6"/>
        <v>Q1</v>
      </c>
      <c r="CE2" s="951" t="str">
        <f t="shared" si="6"/>
        <v>Q2</v>
      </c>
      <c r="CF2" s="951" t="str">
        <f t="shared" si="6"/>
        <v>H1</v>
      </c>
      <c r="CG2" s="951" t="str">
        <f t="shared" si="6"/>
        <v>Q3</v>
      </c>
      <c r="CH2" s="951" t="str">
        <f t="shared" si="6"/>
        <v>9M</v>
      </c>
      <c r="CI2" s="951" t="str">
        <f t="shared" si="6"/>
        <v>Q4</v>
      </c>
      <c r="CJ2" s="951" t="str">
        <f t="shared" si="6"/>
        <v>H2</v>
      </c>
      <c r="CK2" s="963" t="str">
        <f t="shared" si="6"/>
        <v>FY</v>
      </c>
      <c r="CL2" s="951" t="str">
        <f t="shared" si="6"/>
        <v>Q1</v>
      </c>
      <c r="CM2" s="951" t="str">
        <f t="shared" si="6"/>
        <v>Q2</v>
      </c>
      <c r="CN2" s="951" t="str">
        <f t="shared" si="6"/>
        <v>H1</v>
      </c>
      <c r="CO2" s="951" t="str">
        <f t="shared" si="6"/>
        <v>Q3</v>
      </c>
      <c r="CP2" s="951" t="str">
        <f t="shared" si="6"/>
        <v>9M</v>
      </c>
      <c r="CQ2" s="951" t="str">
        <f t="shared" si="6"/>
        <v>Q4</v>
      </c>
      <c r="CR2" s="951" t="str">
        <f t="shared" si="6"/>
        <v>H2</v>
      </c>
      <c r="CS2" s="963" t="str">
        <f t="shared" si="6"/>
        <v>FY</v>
      </c>
      <c r="CT2" s="952" t="str">
        <f t="shared" si="6"/>
        <v>Q1</v>
      </c>
      <c r="CU2" s="952" t="str">
        <f t="shared" si="6"/>
        <v>Q2</v>
      </c>
      <c r="CV2" s="952" t="str">
        <f t="shared" si="6"/>
        <v>H1</v>
      </c>
      <c r="CW2" s="952" t="str">
        <f t="shared" si="6"/>
        <v>Q3</v>
      </c>
      <c r="CX2" s="952" t="str">
        <f t="shared" si="6"/>
        <v>9M</v>
      </c>
      <c r="CY2" s="952" t="str">
        <f t="shared" si="6"/>
        <v>Q4</v>
      </c>
      <c r="CZ2" s="952" t="str">
        <f t="shared" si="6"/>
        <v>H2</v>
      </c>
      <c r="DA2" s="978" t="str">
        <f t="shared" si="6"/>
        <v>FY</v>
      </c>
      <c r="DB2" s="952" t="str">
        <f t="shared" si="6"/>
        <v>Q1</v>
      </c>
      <c r="DC2" s="952" t="str">
        <f t="shared" si="6"/>
        <v>Q2</v>
      </c>
      <c r="DD2" s="952" t="str">
        <f t="shared" si="6"/>
        <v>H1</v>
      </c>
      <c r="DE2" s="952" t="str">
        <f t="shared" si="6"/>
        <v>Q3</v>
      </c>
      <c r="DF2" s="952" t="str">
        <f t="shared" si="6"/>
        <v>9M</v>
      </c>
      <c r="DG2" s="952" t="str">
        <f t="shared" si="6"/>
        <v>Q4</v>
      </c>
      <c r="DH2" s="952" t="str">
        <f t="shared" si="6"/>
        <v>H2</v>
      </c>
      <c r="DI2" s="978" t="str">
        <f t="shared" si="6"/>
        <v>FY</v>
      </c>
      <c r="DJ2" s="952" t="str">
        <f t="shared" si="6"/>
        <v>Q1</v>
      </c>
      <c r="DK2" s="952" t="str">
        <f t="shared" si="6"/>
        <v>Q2</v>
      </c>
      <c r="DL2" s="952" t="str">
        <f t="shared" si="6"/>
        <v>H1</v>
      </c>
      <c r="DM2" s="952" t="str">
        <f t="shared" si="6"/>
        <v>Q3</v>
      </c>
      <c r="DN2" s="952" t="str">
        <f t="shared" si="6"/>
        <v>9M</v>
      </c>
      <c r="DO2" s="953" t="str">
        <f t="shared" si="6"/>
        <v>Q4</v>
      </c>
      <c r="DP2" s="953" t="str">
        <f t="shared" si="6"/>
        <v>H2</v>
      </c>
      <c r="DQ2" s="1163" t="str">
        <f t="shared" si="6"/>
        <v>FY</v>
      </c>
      <c r="DR2" s="953" t="str">
        <f t="shared" si="6"/>
        <v>Q1</v>
      </c>
      <c r="DS2" s="953" t="str">
        <f t="shared" si="6"/>
        <v>Q2</v>
      </c>
      <c r="DT2" s="953" t="str">
        <f t="shared" si="6"/>
        <v>H1</v>
      </c>
      <c r="DU2" s="953" t="str">
        <f t="shared" si="6"/>
        <v>Q3</v>
      </c>
      <c r="DV2" s="953" t="str">
        <f t="shared" si="6"/>
        <v>9M</v>
      </c>
      <c r="DW2" s="953" t="str">
        <f t="shared" si="6"/>
        <v>Q4</v>
      </c>
      <c r="DX2" s="953" t="str">
        <f t="shared" si="6"/>
        <v>H2</v>
      </c>
      <c r="DY2" s="1163" t="str">
        <f t="shared" si="6"/>
        <v>FY</v>
      </c>
      <c r="DZ2" s="953" t="str">
        <f t="shared" si="6"/>
        <v>Q1</v>
      </c>
      <c r="EA2" s="953" t="str">
        <f t="shared" si="6"/>
        <v>Q2</v>
      </c>
      <c r="EB2" s="953" t="str">
        <f t="shared" si="6"/>
        <v>H1</v>
      </c>
      <c r="EC2" s="953" t="str">
        <f t="shared" si="6"/>
        <v>Q3</v>
      </c>
      <c r="ED2" s="953" t="str">
        <f t="shared" si="6"/>
        <v>9M</v>
      </c>
      <c r="EE2" s="953" t="str">
        <f t="shared" si="6"/>
        <v>Q4</v>
      </c>
      <c r="EF2" s="953" t="str">
        <f t="shared" si="6"/>
        <v>H2</v>
      </c>
      <c r="EG2" s="1163" t="str">
        <f t="shared" si="6"/>
        <v>FY</v>
      </c>
      <c r="EJ2" s="949" t="s">
        <v>1774</v>
      </c>
      <c r="EM2" s="1419"/>
    </row>
    <row r="3" spans="1:143">
      <c r="DM3" s="987"/>
      <c r="DN3" s="987"/>
      <c r="EM3" s="1419"/>
    </row>
    <row r="4" spans="1:143">
      <c r="A4" s="922" t="s">
        <v>1511</v>
      </c>
      <c r="B4" s="954" t="str">
        <f t="shared" ref="B4:AO4" si="7">B1&amp;" "&amp;B2</f>
        <v>2011 Q1</v>
      </c>
      <c r="C4" s="955" t="str">
        <f t="shared" si="7"/>
        <v>2011 Q2</v>
      </c>
      <c r="D4" s="955" t="str">
        <f t="shared" si="7"/>
        <v>2011 H1</v>
      </c>
      <c r="E4" s="955" t="str">
        <f t="shared" si="7"/>
        <v>2011 Q3</v>
      </c>
      <c r="F4" s="955" t="str">
        <f t="shared" si="7"/>
        <v>2011 9M</v>
      </c>
      <c r="G4" s="955" t="str">
        <f t="shared" si="7"/>
        <v>2011 Q4</v>
      </c>
      <c r="H4" s="955" t="str">
        <f t="shared" si="7"/>
        <v>2011 H2</v>
      </c>
      <c r="I4" s="964" t="str">
        <f t="shared" si="7"/>
        <v>2011 FY</v>
      </c>
      <c r="J4" s="956" t="str">
        <f t="shared" si="7"/>
        <v>2012 Q1</v>
      </c>
      <c r="K4" s="955" t="str">
        <f t="shared" si="7"/>
        <v>2012 Q2</v>
      </c>
      <c r="L4" s="955" t="str">
        <f t="shared" si="7"/>
        <v>2012 H1</v>
      </c>
      <c r="M4" s="955" t="str">
        <f t="shared" si="7"/>
        <v>2012 Q3</v>
      </c>
      <c r="N4" s="955" t="str">
        <f t="shared" si="7"/>
        <v>2012 9M</v>
      </c>
      <c r="O4" s="955" t="str">
        <f t="shared" si="7"/>
        <v>2012 Q4</v>
      </c>
      <c r="P4" s="955" t="str">
        <f t="shared" si="7"/>
        <v>2012 H2</v>
      </c>
      <c r="Q4" s="964" t="str">
        <f t="shared" si="7"/>
        <v>2012 FY</v>
      </c>
      <c r="R4" s="956" t="str">
        <f t="shared" si="7"/>
        <v>2013 Q1</v>
      </c>
      <c r="S4" s="955" t="str">
        <f t="shared" si="7"/>
        <v>2013 Q2</v>
      </c>
      <c r="T4" s="955" t="str">
        <f t="shared" si="7"/>
        <v>2013 H1</v>
      </c>
      <c r="U4" s="955" t="str">
        <f t="shared" si="7"/>
        <v>2013 Q3</v>
      </c>
      <c r="V4" s="955" t="str">
        <f t="shared" si="7"/>
        <v>2013 9M</v>
      </c>
      <c r="W4" s="955" t="str">
        <f t="shared" si="7"/>
        <v>2013 Q4</v>
      </c>
      <c r="X4" s="955" t="str">
        <f t="shared" si="7"/>
        <v>2013 H2</v>
      </c>
      <c r="Y4" s="964" t="str">
        <f t="shared" si="7"/>
        <v>2013 FY</v>
      </c>
      <c r="Z4" s="956" t="str">
        <f t="shared" si="7"/>
        <v>2014 Q1</v>
      </c>
      <c r="AA4" s="955" t="str">
        <f t="shared" si="7"/>
        <v>2014 Q2</v>
      </c>
      <c r="AB4" s="955" t="str">
        <f t="shared" si="7"/>
        <v>2014 H1</v>
      </c>
      <c r="AC4" s="955" t="str">
        <f t="shared" si="7"/>
        <v>2014 Q3</v>
      </c>
      <c r="AD4" s="955" t="str">
        <f t="shared" si="7"/>
        <v>2014 9M</v>
      </c>
      <c r="AE4" s="955" t="str">
        <f t="shared" si="7"/>
        <v>2014 Q4</v>
      </c>
      <c r="AF4" s="955" t="str">
        <f t="shared" si="7"/>
        <v>2014 H2</v>
      </c>
      <c r="AG4" s="964" t="str">
        <f t="shared" si="7"/>
        <v>2014 FY</v>
      </c>
      <c r="AH4" s="956" t="str">
        <f t="shared" si="7"/>
        <v>2015 Q1</v>
      </c>
      <c r="AI4" s="955" t="str">
        <f t="shared" si="7"/>
        <v>2015 Q2</v>
      </c>
      <c r="AJ4" s="955" t="str">
        <f t="shared" si="7"/>
        <v>2015 H1</v>
      </c>
      <c r="AK4" s="955" t="str">
        <f t="shared" si="7"/>
        <v>2015 Q3</v>
      </c>
      <c r="AL4" s="955" t="str">
        <f t="shared" si="7"/>
        <v>2015 9M</v>
      </c>
      <c r="AM4" s="955" t="str">
        <f t="shared" si="7"/>
        <v>2015 Q4</v>
      </c>
      <c r="AN4" s="955" t="str">
        <f t="shared" si="7"/>
        <v>2015 H2</v>
      </c>
      <c r="AO4" s="964" t="str">
        <f t="shared" si="7"/>
        <v>2015 FY</v>
      </c>
      <c r="AP4" s="956" t="str">
        <f>AP1&amp;" "&amp;AP2</f>
        <v>2016 Q1</v>
      </c>
      <c r="AQ4" s="956" t="str">
        <f t="shared" ref="AQ4:DB4" si="8">AQ1&amp;" "&amp;AQ2</f>
        <v>2016 Q2</v>
      </c>
      <c r="AR4" s="956" t="str">
        <f t="shared" si="8"/>
        <v>2016 H1</v>
      </c>
      <c r="AS4" s="956" t="str">
        <f t="shared" si="8"/>
        <v>2016 Q3</v>
      </c>
      <c r="AT4" s="956" t="str">
        <f t="shared" si="8"/>
        <v>2016 9M</v>
      </c>
      <c r="AU4" s="956" t="str">
        <f t="shared" si="8"/>
        <v>2016 Q4</v>
      </c>
      <c r="AV4" s="956" t="str">
        <f t="shared" si="8"/>
        <v>2016 H2</v>
      </c>
      <c r="AW4" s="975" t="str">
        <f t="shared" si="8"/>
        <v>2016 FY</v>
      </c>
      <c r="AX4" s="956" t="str">
        <f t="shared" si="8"/>
        <v>2017 Q1</v>
      </c>
      <c r="AY4" s="956" t="str">
        <f t="shared" si="8"/>
        <v>2017 Q2</v>
      </c>
      <c r="AZ4" s="956" t="str">
        <f t="shared" si="8"/>
        <v>2017 H1</v>
      </c>
      <c r="BA4" s="956" t="str">
        <f t="shared" si="8"/>
        <v>2017 Q3</v>
      </c>
      <c r="BB4" s="956" t="str">
        <f t="shared" si="8"/>
        <v>2017 9M</v>
      </c>
      <c r="BC4" s="956" t="str">
        <f t="shared" si="8"/>
        <v>2017 Q4</v>
      </c>
      <c r="BD4" s="956" t="str">
        <f t="shared" si="8"/>
        <v>2017 H2</v>
      </c>
      <c r="BE4" s="975" t="str">
        <f t="shared" si="8"/>
        <v>2017 FY</v>
      </c>
      <c r="BF4" s="956" t="str">
        <f t="shared" si="8"/>
        <v>2018 Q1</v>
      </c>
      <c r="BG4" s="956" t="str">
        <f t="shared" si="8"/>
        <v>2018 Q2</v>
      </c>
      <c r="BH4" s="956" t="str">
        <f t="shared" si="8"/>
        <v>2018 H1</v>
      </c>
      <c r="BI4" s="956" t="str">
        <f t="shared" si="8"/>
        <v>2018 Q3</v>
      </c>
      <c r="BJ4" s="956" t="str">
        <f t="shared" si="8"/>
        <v>2018 9M</v>
      </c>
      <c r="BK4" s="956" t="str">
        <f t="shared" si="8"/>
        <v>2018 Q4</v>
      </c>
      <c r="BL4" s="956" t="str">
        <f t="shared" si="8"/>
        <v>2018 H2</v>
      </c>
      <c r="BM4" s="975" t="str">
        <f t="shared" si="8"/>
        <v>2018 FY</v>
      </c>
      <c r="BN4" s="956" t="str">
        <f t="shared" si="8"/>
        <v>2019 Q1</v>
      </c>
      <c r="BO4" s="956" t="str">
        <f t="shared" si="8"/>
        <v>2019 Q2</v>
      </c>
      <c r="BP4" s="956" t="str">
        <f t="shared" si="8"/>
        <v>2019 H1</v>
      </c>
      <c r="BQ4" s="956" t="str">
        <f t="shared" si="8"/>
        <v>2019 Q3</v>
      </c>
      <c r="BR4" s="956" t="str">
        <f t="shared" si="8"/>
        <v>2019 9M</v>
      </c>
      <c r="BS4" s="956" t="str">
        <f t="shared" si="8"/>
        <v>2019 Q4</v>
      </c>
      <c r="BT4" s="956" t="str">
        <f t="shared" si="8"/>
        <v>2019 H2</v>
      </c>
      <c r="BU4" s="975" t="str">
        <f t="shared" si="8"/>
        <v>2019 FY</v>
      </c>
      <c r="BV4" s="956" t="str">
        <f t="shared" si="8"/>
        <v>2020 Q1</v>
      </c>
      <c r="BW4" s="956" t="str">
        <f t="shared" si="8"/>
        <v>2020 Q2</v>
      </c>
      <c r="BX4" s="956" t="str">
        <f t="shared" si="8"/>
        <v>2020 H1</v>
      </c>
      <c r="BY4" s="956" t="str">
        <f t="shared" si="8"/>
        <v>2020 Q3</v>
      </c>
      <c r="BZ4" s="956" t="str">
        <f t="shared" si="8"/>
        <v>2020 9M</v>
      </c>
      <c r="CA4" s="956" t="str">
        <f t="shared" si="8"/>
        <v>2020 Q4</v>
      </c>
      <c r="CB4" s="956" t="str">
        <f t="shared" si="8"/>
        <v>2020 H2</v>
      </c>
      <c r="CC4" s="975" t="str">
        <f t="shared" si="8"/>
        <v>2020 FY</v>
      </c>
      <c r="CD4" s="956" t="str">
        <f t="shared" si="8"/>
        <v>2021 Q1</v>
      </c>
      <c r="CE4" s="956" t="str">
        <f t="shared" si="8"/>
        <v>2021 Q2</v>
      </c>
      <c r="CF4" s="956" t="str">
        <f t="shared" si="8"/>
        <v>2021 H1</v>
      </c>
      <c r="CG4" s="956" t="str">
        <f t="shared" si="8"/>
        <v>2021 Q3</v>
      </c>
      <c r="CH4" s="956" t="str">
        <f t="shared" si="8"/>
        <v>2021 9M</v>
      </c>
      <c r="CI4" s="956" t="str">
        <f t="shared" si="8"/>
        <v>2021 Q4</v>
      </c>
      <c r="CJ4" s="956" t="str">
        <f t="shared" si="8"/>
        <v>2021 H2</v>
      </c>
      <c r="CK4" s="975" t="str">
        <f t="shared" si="8"/>
        <v>2021 FY</v>
      </c>
      <c r="CL4" s="956" t="str">
        <f t="shared" si="8"/>
        <v>2022 Q1</v>
      </c>
      <c r="CM4" s="956" t="str">
        <f t="shared" si="8"/>
        <v>2022 Q2</v>
      </c>
      <c r="CN4" s="956" t="str">
        <f t="shared" si="8"/>
        <v>2022 H1</v>
      </c>
      <c r="CO4" s="956" t="str">
        <f t="shared" si="8"/>
        <v>2022 Q3</v>
      </c>
      <c r="CP4" s="956" t="str">
        <f t="shared" si="8"/>
        <v>2022 9M</v>
      </c>
      <c r="CQ4" s="956" t="str">
        <f t="shared" si="8"/>
        <v>2022 Q4</v>
      </c>
      <c r="CR4" s="956" t="str">
        <f t="shared" si="8"/>
        <v>2022 H2</v>
      </c>
      <c r="CS4" s="1392" t="str">
        <f t="shared" si="8"/>
        <v>2022 FY</v>
      </c>
      <c r="CT4" s="957" t="str">
        <f t="shared" si="8"/>
        <v>2023 Q1</v>
      </c>
      <c r="CU4" s="957" t="str">
        <f t="shared" si="8"/>
        <v>2023 Q2</v>
      </c>
      <c r="CV4" s="957" t="str">
        <f t="shared" si="8"/>
        <v>2023 H1</v>
      </c>
      <c r="CW4" s="957" t="str">
        <f t="shared" si="8"/>
        <v>2023 Q3</v>
      </c>
      <c r="CX4" s="957" t="str">
        <f t="shared" si="8"/>
        <v>2023 9M</v>
      </c>
      <c r="CY4" s="957" t="str">
        <f t="shared" si="8"/>
        <v>2023 Q4</v>
      </c>
      <c r="CZ4" s="957" t="str">
        <f t="shared" si="8"/>
        <v>2023 H2</v>
      </c>
      <c r="DA4" s="979" t="str">
        <f t="shared" si="8"/>
        <v>2023 FY</v>
      </c>
      <c r="DB4" s="957" t="str">
        <f t="shared" si="8"/>
        <v>2024 Q1</v>
      </c>
      <c r="DC4" s="957" t="str">
        <f t="shared" ref="DC4:EG4" si="9">DC1&amp;" "&amp;DC2</f>
        <v>2024 Q2</v>
      </c>
      <c r="DD4" s="957" t="str">
        <f t="shared" si="9"/>
        <v>2024 H1</v>
      </c>
      <c r="DE4" s="957" t="str">
        <f t="shared" si="9"/>
        <v>2024 Q3</v>
      </c>
      <c r="DF4" s="957" t="str">
        <f t="shared" si="9"/>
        <v>2024 9M</v>
      </c>
      <c r="DG4" s="957" t="str">
        <f t="shared" si="9"/>
        <v>2024 Q4</v>
      </c>
      <c r="DH4" s="957" t="str">
        <f t="shared" si="9"/>
        <v>2024 H2</v>
      </c>
      <c r="DI4" s="979" t="str">
        <f t="shared" si="9"/>
        <v>2024 FY</v>
      </c>
      <c r="DJ4" s="957" t="str">
        <f t="shared" si="9"/>
        <v>2025 Q1</v>
      </c>
      <c r="DK4" s="957" t="str">
        <f t="shared" si="9"/>
        <v>2025 Q2</v>
      </c>
      <c r="DL4" s="957" t="str">
        <f t="shared" si="9"/>
        <v>2025 H1</v>
      </c>
      <c r="DM4" s="957" t="str">
        <f t="shared" si="9"/>
        <v>2025 Q3</v>
      </c>
      <c r="DN4" s="957" t="str">
        <f t="shared" si="9"/>
        <v>2025 9M</v>
      </c>
      <c r="DO4" s="958" t="str">
        <f t="shared" si="9"/>
        <v>2025 Q4</v>
      </c>
      <c r="DP4" s="958" t="str">
        <f t="shared" si="9"/>
        <v>2025 H2</v>
      </c>
      <c r="DQ4" s="1147" t="str">
        <f t="shared" si="9"/>
        <v>2025 FY</v>
      </c>
      <c r="DR4" s="959" t="str">
        <f t="shared" si="9"/>
        <v>2026 Q1</v>
      </c>
      <c r="DS4" s="958" t="str">
        <f t="shared" si="9"/>
        <v>2026 Q2</v>
      </c>
      <c r="DT4" s="958" t="str">
        <f t="shared" si="9"/>
        <v>2026 H1</v>
      </c>
      <c r="DU4" s="958" t="str">
        <f t="shared" si="9"/>
        <v>2026 Q3</v>
      </c>
      <c r="DV4" s="958" t="str">
        <f t="shared" si="9"/>
        <v>2026 9M</v>
      </c>
      <c r="DW4" s="958" t="str">
        <f t="shared" si="9"/>
        <v>2026 Q4</v>
      </c>
      <c r="DX4" s="958" t="str">
        <f t="shared" si="9"/>
        <v>2026 H2</v>
      </c>
      <c r="DY4" s="1147" t="str">
        <f t="shared" si="9"/>
        <v>2026 FY</v>
      </c>
      <c r="DZ4" s="958" t="str">
        <f t="shared" si="9"/>
        <v>2027 Q1</v>
      </c>
      <c r="EA4" s="958" t="str">
        <f t="shared" si="9"/>
        <v>2027 Q2</v>
      </c>
      <c r="EB4" s="958" t="str">
        <f t="shared" si="9"/>
        <v>2027 H1</v>
      </c>
      <c r="EC4" s="958" t="str">
        <f t="shared" si="9"/>
        <v>2027 Q3</v>
      </c>
      <c r="ED4" s="958" t="str">
        <f t="shared" si="9"/>
        <v>2027 9M</v>
      </c>
      <c r="EE4" s="958" t="str">
        <f t="shared" si="9"/>
        <v>2027 Q4</v>
      </c>
      <c r="EF4" s="958" t="str">
        <f t="shared" si="9"/>
        <v>2027 H2</v>
      </c>
      <c r="EG4" s="1147" t="str">
        <f t="shared" si="9"/>
        <v>2027 FY</v>
      </c>
      <c r="EM4" s="1419"/>
    </row>
    <row r="5" spans="1:143">
      <c r="A5" s="258" t="s">
        <v>756</v>
      </c>
      <c r="B5" s="973"/>
      <c r="C5" s="258"/>
      <c r="D5" s="258"/>
      <c r="E5" s="258"/>
      <c r="F5" s="258"/>
      <c r="G5" s="258"/>
      <c r="H5" s="258"/>
      <c r="I5" s="965"/>
      <c r="J5" s="258"/>
      <c r="K5" s="258"/>
      <c r="L5" s="258"/>
      <c r="M5" s="258"/>
      <c r="N5" s="258"/>
      <c r="O5" s="258"/>
      <c r="P5" s="258"/>
      <c r="Q5" s="965"/>
      <c r="R5" s="258"/>
      <c r="S5" s="258"/>
      <c r="T5" s="258"/>
      <c r="U5" s="258"/>
      <c r="V5" s="258"/>
      <c r="W5" s="258"/>
      <c r="X5" s="258"/>
      <c r="Y5" s="965"/>
      <c r="Z5" s="258"/>
      <c r="AA5" s="258"/>
      <c r="AB5" s="258"/>
      <c r="AC5" s="258"/>
      <c r="AD5" s="258"/>
      <c r="AE5" s="258"/>
      <c r="AF5" s="258"/>
      <c r="AG5" s="965"/>
      <c r="AH5" s="258"/>
      <c r="AI5" s="258"/>
      <c r="AJ5" s="258"/>
      <c r="AK5" s="258"/>
      <c r="AL5" s="258"/>
      <c r="AM5" s="258"/>
      <c r="AN5" s="258"/>
      <c r="AO5" s="965"/>
      <c r="AP5" s="258"/>
      <c r="AQ5" s="258"/>
      <c r="AR5" s="258"/>
      <c r="AS5" s="258"/>
      <c r="AT5" s="258"/>
      <c r="AU5" s="258"/>
      <c r="AV5" s="258"/>
      <c r="AW5" s="965"/>
      <c r="AX5" s="258"/>
      <c r="AY5" s="258"/>
      <c r="AZ5" s="258"/>
      <c r="BA5" s="258"/>
      <c r="BB5" s="258"/>
      <c r="BC5" s="258"/>
      <c r="BD5" s="258"/>
      <c r="BE5" s="965"/>
      <c r="BF5" s="258"/>
      <c r="BG5" s="258"/>
      <c r="BH5" s="258"/>
      <c r="BI5" s="258"/>
      <c r="BJ5" s="258"/>
      <c r="BK5" s="258"/>
      <c r="BL5" s="258"/>
      <c r="BM5" s="965"/>
      <c r="BN5" s="258"/>
      <c r="BO5" s="258"/>
      <c r="BP5" s="258"/>
      <c r="BQ5" s="258"/>
      <c r="BR5" s="258"/>
      <c r="BS5" s="258"/>
      <c r="BT5" s="258"/>
      <c r="BU5" s="965"/>
      <c r="BV5" s="258"/>
      <c r="BW5" s="258"/>
      <c r="BX5" s="258"/>
      <c r="BY5" s="258"/>
      <c r="BZ5" s="258"/>
      <c r="CA5" s="258"/>
      <c r="CB5" s="258"/>
      <c r="CC5" s="965"/>
      <c r="CD5" s="258"/>
      <c r="CE5" s="258"/>
      <c r="CF5" s="258"/>
      <c r="CG5" s="258"/>
      <c r="CH5" s="258"/>
      <c r="CI5" s="258"/>
      <c r="CJ5" s="258"/>
      <c r="CK5" s="965"/>
      <c r="CL5" s="258"/>
      <c r="CM5" s="258"/>
      <c r="CN5" s="258"/>
      <c r="CO5" s="258"/>
      <c r="CP5" s="258"/>
      <c r="CQ5" s="258"/>
      <c r="CR5" s="258"/>
      <c r="CS5" s="965"/>
      <c r="CT5" s="258"/>
      <c r="CU5" s="258"/>
      <c r="CV5" s="258"/>
      <c r="CW5" s="258"/>
      <c r="CX5" s="258"/>
      <c r="CY5" s="258"/>
      <c r="CZ5" s="258"/>
      <c r="DA5" s="965"/>
      <c r="DB5" s="258"/>
      <c r="DC5" s="258"/>
      <c r="DD5" s="258"/>
      <c r="DE5" s="258"/>
      <c r="DF5" s="258"/>
      <c r="DG5" s="258"/>
      <c r="DH5" s="258"/>
      <c r="DI5" s="965"/>
      <c r="DJ5" s="258"/>
      <c r="DK5" s="258"/>
      <c r="DL5" s="990"/>
      <c r="DM5" s="258"/>
      <c r="DN5" s="258"/>
      <c r="DO5" s="258"/>
      <c r="DP5" s="258"/>
      <c r="DQ5" s="965"/>
      <c r="DR5" s="1164"/>
      <c r="DS5" s="258"/>
      <c r="DT5" s="258"/>
      <c r="DU5" s="258"/>
      <c r="DV5" s="258"/>
      <c r="DW5" s="258"/>
      <c r="DX5" s="258"/>
      <c r="DY5" s="965"/>
      <c r="DZ5" s="258"/>
      <c r="EA5" s="258"/>
      <c r="EB5" s="258"/>
      <c r="EC5" s="258"/>
      <c r="ED5" s="258"/>
      <c r="EE5" s="258"/>
      <c r="EF5" s="258"/>
      <c r="EG5" s="965"/>
      <c r="EM5" s="1419"/>
    </row>
    <row r="6" spans="1:143">
      <c r="A6" s="19" t="s">
        <v>900</v>
      </c>
      <c r="B6" s="980">
        <v>1423</v>
      </c>
      <c r="C6" s="981">
        <v>1554</v>
      </c>
      <c r="D6" s="652">
        <f>B6+C6</f>
        <v>2977</v>
      </c>
      <c r="E6" s="981">
        <v>1459</v>
      </c>
      <c r="F6" s="652">
        <f>D6+E6</f>
        <v>4436</v>
      </c>
      <c r="G6" s="981">
        <v>1674</v>
      </c>
      <c r="H6" s="982">
        <f>G6+E6</f>
        <v>3133</v>
      </c>
      <c r="I6" s="983">
        <f>H6+D6</f>
        <v>6110</v>
      </c>
      <c r="J6" s="981">
        <v>1585</v>
      </c>
      <c r="K6" s="981">
        <v>1681</v>
      </c>
      <c r="L6" s="652">
        <f>J6+K6</f>
        <v>3266</v>
      </c>
      <c r="M6" s="981">
        <v>1635</v>
      </c>
      <c r="N6" s="652">
        <f>L6+M6</f>
        <v>4901</v>
      </c>
      <c r="O6" s="981">
        <v>2104</v>
      </c>
      <c r="P6" s="982">
        <f>O6+M6</f>
        <v>3739</v>
      </c>
      <c r="Q6" s="983">
        <f>P6+L6</f>
        <v>7005</v>
      </c>
      <c r="R6" s="981">
        <v>1785</v>
      </c>
      <c r="S6" s="981">
        <v>1886</v>
      </c>
      <c r="T6" s="652">
        <f>R6+S6</f>
        <v>3671</v>
      </c>
      <c r="U6" s="981">
        <v>1771</v>
      </c>
      <c r="V6" s="652">
        <f>T6+U6</f>
        <v>5442</v>
      </c>
      <c r="W6" s="981">
        <v>2147</v>
      </c>
      <c r="X6" s="982">
        <f>W6+U6</f>
        <v>3918</v>
      </c>
      <c r="Y6" s="983">
        <f>X6+T6</f>
        <v>7589</v>
      </c>
      <c r="Z6" s="981">
        <v>1825</v>
      </c>
      <c r="AA6" s="981">
        <v>1938</v>
      </c>
      <c r="AB6" s="652">
        <f>Z6+AA6</f>
        <v>3763</v>
      </c>
      <c r="AC6" s="981">
        <v>1944</v>
      </c>
      <c r="AD6" s="652">
        <f>AB6+AC6</f>
        <v>5707</v>
      </c>
      <c r="AE6" s="981">
        <v>2446</v>
      </c>
      <c r="AF6" s="982">
        <f>AE6+AC6</f>
        <v>4390</v>
      </c>
      <c r="AG6" s="983">
        <f>AF6+AB6</f>
        <v>8153</v>
      </c>
      <c r="AH6" s="981">
        <v>2070</v>
      </c>
      <c r="AI6" s="981">
        <v>2416</v>
      </c>
      <c r="AJ6" s="652">
        <f>AH6+AI6</f>
        <v>4486</v>
      </c>
      <c r="AK6" s="981">
        <v>2220</v>
      </c>
      <c r="AL6" s="652">
        <f>AJ6+AK6</f>
        <v>6706</v>
      </c>
      <c r="AM6" s="981">
        <v>2613</v>
      </c>
      <c r="AN6" s="982">
        <f>AM6+AK6</f>
        <v>4833</v>
      </c>
      <c r="AO6" s="983">
        <f>AN6+AJ6</f>
        <v>9319</v>
      </c>
      <c r="AP6" s="981">
        <v>2301</v>
      </c>
      <c r="AQ6" s="981">
        <v>2556</v>
      </c>
      <c r="AR6" s="652">
        <f>AP6+AQ6</f>
        <v>4857</v>
      </c>
      <c r="AS6" s="981">
        <v>2056</v>
      </c>
      <c r="AT6" s="652">
        <f>AR6+AS6</f>
        <v>6913</v>
      </c>
      <c r="AU6" s="981">
        <v>2478</v>
      </c>
      <c r="AV6" s="982">
        <f>AU6+AS6</f>
        <v>4534</v>
      </c>
      <c r="AW6" s="983">
        <f>AV6+AR6</f>
        <v>9391</v>
      </c>
      <c r="AX6" s="981">
        <v>2360</v>
      </c>
      <c r="AY6" s="981">
        <v>2331</v>
      </c>
      <c r="AZ6" s="652">
        <f>AX6+AY6</f>
        <v>4691</v>
      </c>
      <c r="BA6" s="981">
        <v>2303</v>
      </c>
      <c r="BB6" s="652">
        <f>AZ6+BA6</f>
        <v>6994</v>
      </c>
      <c r="BC6" s="981">
        <v>2363</v>
      </c>
      <c r="BD6" s="982">
        <f>BC6+BA6</f>
        <v>4666</v>
      </c>
      <c r="BE6" s="983">
        <f>BD6+AZ6</f>
        <v>9357</v>
      </c>
      <c r="BF6" s="981">
        <v>2319</v>
      </c>
      <c r="BG6" s="981">
        <v>2486</v>
      </c>
      <c r="BH6" s="652">
        <f>BF6+BG6</f>
        <v>4805</v>
      </c>
      <c r="BI6" s="981">
        <v>2524</v>
      </c>
      <c r="BJ6" s="652">
        <f>BH6+BI6</f>
        <v>7329</v>
      </c>
      <c r="BK6" s="981">
        <v>3250</v>
      </c>
      <c r="BL6" s="982">
        <f>BK6+BI6</f>
        <v>5774</v>
      </c>
      <c r="BM6" s="983">
        <f>BL6+BH6</f>
        <v>10579</v>
      </c>
      <c r="BN6" s="981">
        <v>2771</v>
      </c>
      <c r="BO6" s="981">
        <v>3131</v>
      </c>
      <c r="BP6" s="652">
        <f>BN6+BO6</f>
        <v>5902</v>
      </c>
      <c r="BQ6" s="981">
        <v>2987</v>
      </c>
      <c r="BR6" s="652">
        <f>BP6+BQ6</f>
        <v>8889</v>
      </c>
      <c r="BS6" s="981">
        <v>3156</v>
      </c>
      <c r="BT6" s="982">
        <f>BS6+BQ6</f>
        <v>6143</v>
      </c>
      <c r="BU6" s="983">
        <f>BT6+BP6</f>
        <v>12045</v>
      </c>
      <c r="BV6" s="981">
        <v>2497</v>
      </c>
      <c r="BW6" s="981">
        <v>1550</v>
      </c>
      <c r="BX6" s="652">
        <f>BV6+BW6</f>
        <v>4047</v>
      </c>
      <c r="BY6" s="981">
        <v>1559</v>
      </c>
      <c r="BZ6" s="652">
        <f>BX6+BY6</f>
        <v>5606</v>
      </c>
      <c r="CA6" s="981">
        <v>2057</v>
      </c>
      <c r="CB6" s="982">
        <f>CA6+BY6</f>
        <v>3616</v>
      </c>
      <c r="CC6" s="983">
        <f>CB6+BX6</f>
        <v>7663</v>
      </c>
      <c r="CD6" s="981">
        <v>1561</v>
      </c>
      <c r="CE6" s="981">
        <v>1688</v>
      </c>
      <c r="CF6" s="652">
        <f>CD6+CE6</f>
        <v>3249</v>
      </c>
      <c r="CG6" s="981">
        <v>1812</v>
      </c>
      <c r="CH6" s="652">
        <f>CF6+CG6</f>
        <v>5061</v>
      </c>
      <c r="CI6" s="981">
        <v>2378</v>
      </c>
      <c r="CJ6" s="982">
        <f>CI6+CG6</f>
        <v>4190</v>
      </c>
      <c r="CK6" s="983">
        <f>INDEX('Income Statement'!5:5, MATCH('Interim (New)'!CK$1,'Income Statement'!$3:$3,0))</f>
        <v>7439</v>
      </c>
      <c r="CL6" s="981">
        <v>1942</v>
      </c>
      <c r="CM6" s="981">
        <v>2234</v>
      </c>
      <c r="CN6" s="652">
        <f>CL6+CM6</f>
        <v>4176</v>
      </c>
      <c r="CO6" s="981">
        <v>2503</v>
      </c>
      <c r="CP6" s="652">
        <f>CN6+CO6</f>
        <v>6679</v>
      </c>
      <c r="CQ6" s="981">
        <v>2827</v>
      </c>
      <c r="CR6" s="982">
        <f>CQ6+CO6</f>
        <v>5330</v>
      </c>
      <c r="CS6" s="983">
        <f>INDEX('Income Statement'!5:5, MATCH('Interim (New)'!CS$1,'Income Statement'!$3:$3,0))</f>
        <v>9506</v>
      </c>
      <c r="CT6" s="981">
        <v>2714</v>
      </c>
      <c r="CU6" s="981">
        <v>2963</v>
      </c>
      <c r="CV6" s="652">
        <f>CT6+CU6</f>
        <v>5677</v>
      </c>
      <c r="CW6" s="981">
        <v>3083</v>
      </c>
      <c r="CX6" s="652">
        <f>CV6+CW6</f>
        <v>8760</v>
      </c>
      <c r="CY6" s="981">
        <v>3116</v>
      </c>
      <c r="CZ6" s="982">
        <f>CY6+CW6</f>
        <v>6199</v>
      </c>
      <c r="DA6" s="983">
        <f>INDEX('Income Statement'!5:5, MATCH('Interim (New)'!DA$1,'Income Statement'!$3:$3,0))</f>
        <v>11876</v>
      </c>
      <c r="DB6" s="981">
        <v>3097</v>
      </c>
      <c r="DC6" s="981">
        <v>3364</v>
      </c>
      <c r="DD6" s="652">
        <f>DB6+DC6</f>
        <v>6461</v>
      </c>
      <c r="DE6" s="981">
        <v>3339</v>
      </c>
      <c r="DF6" s="652">
        <f>DD6+DE6</f>
        <v>9800</v>
      </c>
      <c r="DG6" s="981">
        <v>3852</v>
      </c>
      <c r="DH6" s="982">
        <f>DG6+DE6</f>
        <v>7191</v>
      </c>
      <c r="DI6" s="983">
        <f>INDEX('Income Statement'!5:5, MATCH('Interim (New)'!DI$1,'Income Statement'!$3:$3,0))</f>
        <v>13652</v>
      </c>
      <c r="DJ6" s="981">
        <v>3684</v>
      </c>
      <c r="DK6" s="981">
        <v>3857</v>
      </c>
      <c r="DL6" s="652">
        <f>DJ6+DK6</f>
        <v>7541</v>
      </c>
      <c r="DM6" s="981">
        <v>4044</v>
      </c>
      <c r="DN6" s="652">
        <f>DL6+DM6</f>
        <v>11585</v>
      </c>
      <c r="DO6" s="652">
        <f>DQ6-DN6</f>
        <v>4249.3770604247129</v>
      </c>
      <c r="DP6" s="652">
        <f>DM6+DO6</f>
        <v>8293.3770604247129</v>
      </c>
      <c r="DQ6" s="983">
        <f>INDEX('Income Statement'!5:5, MATCH('Interim (New)'!DQ$1,'Income Statement'!$3:$3,0))</f>
        <v>15834.377060424713</v>
      </c>
      <c r="DR6" s="982">
        <f>(DB6/$DI$6)*$DY$6</f>
        <v>4039.4836172251294</v>
      </c>
      <c r="DS6" s="982">
        <f t="shared" ref="DS6:DX6" si="10">(DC6/$DI$6)*$DY$6</f>
        <v>4387.7374518389843</v>
      </c>
      <c r="DT6" s="982">
        <f t="shared" si="10"/>
        <v>8427.221069064115</v>
      </c>
      <c r="DU6" s="982">
        <f t="shared" si="10"/>
        <v>4355.1294148901216</v>
      </c>
      <c r="DV6" s="982">
        <f t="shared" si="10"/>
        <v>12782.350483954238</v>
      </c>
      <c r="DW6" s="982">
        <f t="shared" si="10"/>
        <v>5024.2463330807877</v>
      </c>
      <c r="DX6" s="982">
        <f t="shared" si="10"/>
        <v>9379.3757479709093</v>
      </c>
      <c r="DY6" s="983">
        <f>INDEX('Income Statement'!5:5, MATCH('Interim (New)'!DY$1,'Income Statement'!$3:$3,0))</f>
        <v>17806.596817035024</v>
      </c>
      <c r="EM6" s="1419"/>
    </row>
    <row r="7" spans="1:143" ht="14.25" hidden="1" customHeight="1" outlineLevel="1">
      <c r="A7" s="249" t="s">
        <v>899</v>
      </c>
      <c r="B7" s="980">
        <v>729</v>
      </c>
      <c r="C7" s="981">
        <v>775</v>
      </c>
      <c r="D7" s="652">
        <f t="shared" ref="D7:D16" si="11">B7+C7</f>
        <v>1504</v>
      </c>
      <c r="E7" s="981">
        <v>697</v>
      </c>
      <c r="F7" s="652">
        <f t="shared" ref="F7:F16" si="12">D7+E7</f>
        <v>2201</v>
      </c>
      <c r="G7" s="981">
        <v>896</v>
      </c>
      <c r="H7" s="982">
        <f t="shared" ref="H7:H16" si="13">G7+E7</f>
        <v>1593</v>
      </c>
      <c r="I7" s="983">
        <f t="shared" ref="I7:I16" si="14">H7+D7</f>
        <v>3097</v>
      </c>
      <c r="J7" s="981">
        <v>883</v>
      </c>
      <c r="K7" s="981">
        <v>904</v>
      </c>
      <c r="L7" s="652">
        <f t="shared" ref="L7:L16" si="15">J7+K7</f>
        <v>1787</v>
      </c>
      <c r="M7" s="981">
        <v>850</v>
      </c>
      <c r="N7" s="652">
        <f t="shared" ref="N7:N16" si="16">L7+M7</f>
        <v>2637</v>
      </c>
      <c r="O7" s="981">
        <v>1054</v>
      </c>
      <c r="P7" s="982">
        <f t="shared" ref="P7:P8" si="17">O7+M7</f>
        <v>1904</v>
      </c>
      <c r="Q7" s="983">
        <f t="shared" ref="Q7:Q8" si="18">P7+L7</f>
        <v>3691</v>
      </c>
      <c r="R7" s="981">
        <v>915</v>
      </c>
      <c r="S7" s="981">
        <v>1030</v>
      </c>
      <c r="T7" s="652">
        <f t="shared" ref="T7:T16" si="19">R7+S7</f>
        <v>1945</v>
      </c>
      <c r="U7" s="981">
        <v>982</v>
      </c>
      <c r="V7" s="652">
        <f t="shared" ref="V7:V16" si="20">T7+U7</f>
        <v>2927</v>
      </c>
      <c r="W7" s="981">
        <v>1164</v>
      </c>
      <c r="X7" s="982">
        <f t="shared" ref="X7:X8" si="21">W7+U7</f>
        <v>2146</v>
      </c>
      <c r="Y7" s="983">
        <f t="shared" ref="Y7:Y8" si="22">X7+T7</f>
        <v>4091</v>
      </c>
      <c r="Z7" s="981">
        <v>1016</v>
      </c>
      <c r="AA7" s="981">
        <v>1121</v>
      </c>
      <c r="AB7" s="652">
        <f t="shared" ref="AB7:AB16" si="23">Z7+AA7</f>
        <v>2137</v>
      </c>
      <c r="AC7" s="981">
        <v>1021</v>
      </c>
      <c r="AD7" s="652">
        <f t="shared" ref="AD7:AD16" si="24">AB7+AC7</f>
        <v>3158</v>
      </c>
      <c r="AE7" s="981">
        <v>1288</v>
      </c>
      <c r="AF7" s="982">
        <f t="shared" ref="AF7:AF8" si="25">AE7+AC7</f>
        <v>2309</v>
      </c>
      <c r="AG7" s="983">
        <f t="shared" ref="AG7:AG8" si="26">AF7+AB7</f>
        <v>4446</v>
      </c>
      <c r="AH7" s="981">
        <v>1172</v>
      </c>
      <c r="AI7" s="981">
        <v>1242</v>
      </c>
      <c r="AJ7" s="652">
        <f t="shared" ref="AJ7:AJ16" si="27">AH7+AI7</f>
        <v>2414</v>
      </c>
      <c r="AK7" s="981">
        <v>1180</v>
      </c>
      <c r="AL7" s="652">
        <f t="shared" ref="AL7:AL16" si="28">AJ7+AK7</f>
        <v>3594</v>
      </c>
      <c r="AM7" s="981">
        <v>1349</v>
      </c>
      <c r="AN7" s="982">
        <f t="shared" ref="AN7:AN8" si="29">AM7+AK7</f>
        <v>2529</v>
      </c>
      <c r="AO7" s="983">
        <f t="shared" ref="AO7:AO8" si="30">AN7+AJ7</f>
        <v>4943</v>
      </c>
      <c r="AP7" s="981">
        <v>1219</v>
      </c>
      <c r="AQ7" s="981">
        <v>1323</v>
      </c>
      <c r="AR7" s="652">
        <f t="shared" ref="AR7:AR16" si="31">AP7+AQ7</f>
        <v>2542</v>
      </c>
      <c r="AS7" s="981">
        <v>1208</v>
      </c>
      <c r="AT7" s="652">
        <f t="shared" ref="AT7:AT16" si="32">AR7+AS7</f>
        <v>3750</v>
      </c>
      <c r="AU7" s="981">
        <v>1395</v>
      </c>
      <c r="AV7" s="982">
        <f t="shared" ref="AV7:AV8" si="33">AU7+AS7</f>
        <v>2603</v>
      </c>
      <c r="AW7" s="983">
        <f t="shared" ref="AW7:AW8" si="34">AV7+AR7</f>
        <v>5145</v>
      </c>
      <c r="AX7" s="981">
        <v>1335</v>
      </c>
      <c r="AY7" s="981">
        <v>1380</v>
      </c>
      <c r="AZ7" s="652">
        <f t="shared" ref="AZ7:AZ16" si="35">AX7+AY7</f>
        <v>2715</v>
      </c>
      <c r="BA7" s="981">
        <v>1225</v>
      </c>
      <c r="BB7" s="652">
        <f t="shared" ref="BB7:BB16" si="36">AZ7+BA7</f>
        <v>3940</v>
      </c>
      <c r="BC7" s="981">
        <v>1320</v>
      </c>
      <c r="BD7" s="982">
        <f t="shared" ref="BD7:BD8" si="37">BC7+BA7</f>
        <v>2545</v>
      </c>
      <c r="BE7" s="983">
        <f t="shared" ref="BE7:BE8" si="38">BD7+AZ7</f>
        <v>5260</v>
      </c>
      <c r="BF7" s="981">
        <v>1230</v>
      </c>
      <c r="BG7" s="981">
        <v>1294</v>
      </c>
      <c r="BH7" s="652">
        <f t="shared" ref="BH7:BH16" si="39">BF7+BG7</f>
        <v>2524</v>
      </c>
      <c r="BI7" s="981">
        <v>1312</v>
      </c>
      <c r="BJ7" s="652">
        <f t="shared" ref="BJ7:BJ16" si="40">BH7+BI7</f>
        <v>3836</v>
      </c>
      <c r="BK7" s="981">
        <v>1432</v>
      </c>
      <c r="BL7" s="982">
        <f t="shared" ref="BL7:BL8" si="41">BK7+BI7</f>
        <v>2744</v>
      </c>
      <c r="BM7" s="983">
        <f t="shared" ref="BM7:BM8" si="42">BL7+BH7</f>
        <v>5268</v>
      </c>
      <c r="BN7" s="981">
        <v>1422</v>
      </c>
      <c r="BO7" s="981">
        <v>1611.0019639310681</v>
      </c>
      <c r="BP7" s="652">
        <f t="shared" ref="BP7:BP16" si="43">BN7+BO7</f>
        <v>3033.0019639310681</v>
      </c>
      <c r="BQ7" s="981">
        <v>1576.5842221384951</v>
      </c>
      <c r="BR7" s="652">
        <f t="shared" ref="BR7:BR16" si="44">BP7+BQ7</f>
        <v>4609.5861860695632</v>
      </c>
      <c r="BS7" s="981">
        <v>1720.7839985536011</v>
      </c>
      <c r="BT7" s="982">
        <f t="shared" ref="BT7:BT8" si="45">BS7+BQ7</f>
        <v>3297.3682206920962</v>
      </c>
      <c r="BU7" s="983">
        <f t="shared" ref="BU7:BU8" si="46">BT7+BP7</f>
        <v>6330.3701846231643</v>
      </c>
      <c r="BV7" s="981">
        <v>937.11726166797575</v>
      </c>
      <c r="BW7" s="981">
        <v>1061.6721160202626</v>
      </c>
      <c r="BX7" s="652">
        <f t="shared" ref="BX7:BX16" si="47">BV7+BW7</f>
        <v>1998.7893776882383</v>
      </c>
      <c r="BY7" s="981">
        <v>1038.9903579742349</v>
      </c>
      <c r="BZ7" s="652">
        <f t="shared" ref="BZ7:BZ16" si="48">BX7+BY7</f>
        <v>3037.7797356624733</v>
      </c>
      <c r="CA7" s="981">
        <v>1134.0199638865124</v>
      </c>
      <c r="CB7" s="982">
        <f t="shared" ref="CB7:CB8" si="49">CA7+BY7</f>
        <v>2173.0103218607474</v>
      </c>
      <c r="CC7" s="983">
        <f t="shared" ref="CC7:CC8" si="50">CB7+BX7</f>
        <v>4171.7996995489857</v>
      </c>
      <c r="CD7" s="981">
        <v>830.18232772184058</v>
      </c>
      <c r="CE7" s="981">
        <v>940.52416341824949</v>
      </c>
      <c r="CF7" s="652">
        <f t="shared" ref="CF7:CH16" si="51">CD7+CE7</f>
        <v>1770.7064911400901</v>
      </c>
      <c r="CG7" s="981">
        <v>920.43063247852547</v>
      </c>
      <c r="CH7" s="652">
        <f t="shared" ref="CH7:CH11" si="52">CF7+CG7</f>
        <v>2691.1371236186155</v>
      </c>
      <c r="CI7" s="981">
        <v>1004.6163610588783</v>
      </c>
      <c r="CJ7" s="982">
        <f t="shared" ref="CJ7:CJ11" si="53">CI7+CG7</f>
        <v>1925.0469935374038</v>
      </c>
      <c r="CK7" s="983"/>
      <c r="CL7" s="981">
        <v>1081.9078749588848</v>
      </c>
      <c r="CM7" s="981"/>
      <c r="CN7" s="652"/>
      <c r="CO7" s="981"/>
      <c r="CP7" s="652"/>
      <c r="CQ7" s="981"/>
      <c r="CR7" s="982"/>
      <c r="CS7" s="983"/>
      <c r="CT7" s="981"/>
      <c r="CU7" s="981"/>
      <c r="CV7" s="652"/>
      <c r="CW7" s="981"/>
      <c r="CX7" s="652"/>
      <c r="CY7" s="981"/>
      <c r="CZ7" s="982"/>
      <c r="DA7" s="983"/>
      <c r="DB7" s="981"/>
      <c r="DC7" s="981"/>
      <c r="DD7" s="652"/>
      <c r="DE7" s="981"/>
      <c r="DF7" s="652"/>
      <c r="DG7" s="981"/>
      <c r="DH7" s="982"/>
      <c r="DI7" s="983"/>
      <c r="DJ7" s="981"/>
      <c r="DK7" s="981"/>
      <c r="DL7" s="652"/>
      <c r="DM7" s="981"/>
      <c r="DN7" s="652"/>
      <c r="DO7" s="652"/>
      <c r="DP7" s="652"/>
      <c r="DQ7" s="983"/>
      <c r="DR7" s="981"/>
      <c r="DS7" s="981"/>
      <c r="DT7" s="652"/>
      <c r="DU7" s="652"/>
      <c r="DV7" s="652"/>
      <c r="DW7" s="652"/>
      <c r="DX7" s="652"/>
      <c r="DY7" s="983"/>
      <c r="EM7" s="1419"/>
    </row>
    <row r="8" spans="1:143" ht="14.25" hidden="1" customHeight="1" outlineLevel="1">
      <c r="A8" s="249" t="s">
        <v>744</v>
      </c>
      <c r="B8" s="980">
        <v>292</v>
      </c>
      <c r="C8" s="981">
        <v>332</v>
      </c>
      <c r="D8" s="652">
        <f t="shared" si="11"/>
        <v>624</v>
      </c>
      <c r="E8" s="981">
        <v>251</v>
      </c>
      <c r="F8" s="652">
        <f t="shared" si="12"/>
        <v>875</v>
      </c>
      <c r="G8" s="981">
        <v>389</v>
      </c>
      <c r="H8" s="982">
        <f t="shared" si="13"/>
        <v>640</v>
      </c>
      <c r="I8" s="983">
        <f t="shared" si="14"/>
        <v>1264</v>
      </c>
      <c r="J8" s="981">
        <v>307</v>
      </c>
      <c r="K8" s="981">
        <v>333</v>
      </c>
      <c r="L8" s="652">
        <f t="shared" si="15"/>
        <v>640</v>
      </c>
      <c r="M8" s="981">
        <v>276</v>
      </c>
      <c r="N8" s="652">
        <f t="shared" si="16"/>
        <v>916</v>
      </c>
      <c r="O8" s="981">
        <v>399</v>
      </c>
      <c r="P8" s="982">
        <f t="shared" si="17"/>
        <v>675</v>
      </c>
      <c r="Q8" s="983">
        <f t="shared" si="18"/>
        <v>1315</v>
      </c>
      <c r="R8" s="981">
        <v>292</v>
      </c>
      <c r="S8" s="981">
        <v>274</v>
      </c>
      <c r="T8" s="652">
        <f t="shared" si="19"/>
        <v>566</v>
      </c>
      <c r="U8" s="981">
        <v>258</v>
      </c>
      <c r="V8" s="652">
        <f t="shared" si="20"/>
        <v>824</v>
      </c>
      <c r="W8" s="981">
        <v>373</v>
      </c>
      <c r="X8" s="982">
        <f t="shared" si="21"/>
        <v>631</v>
      </c>
      <c r="Y8" s="983">
        <f t="shared" si="22"/>
        <v>1197</v>
      </c>
      <c r="Z8" s="981">
        <v>257</v>
      </c>
      <c r="AA8" s="981">
        <v>327</v>
      </c>
      <c r="AB8" s="652">
        <f t="shared" si="23"/>
        <v>584</v>
      </c>
      <c r="AC8" s="981">
        <v>256</v>
      </c>
      <c r="AD8" s="652">
        <f t="shared" si="24"/>
        <v>840</v>
      </c>
      <c r="AE8" s="981">
        <v>381</v>
      </c>
      <c r="AF8" s="982">
        <f t="shared" si="25"/>
        <v>637</v>
      </c>
      <c r="AG8" s="983">
        <f t="shared" si="26"/>
        <v>1221</v>
      </c>
      <c r="AH8" s="981">
        <v>278</v>
      </c>
      <c r="AI8" s="981">
        <v>338</v>
      </c>
      <c r="AJ8" s="652">
        <f t="shared" si="27"/>
        <v>616</v>
      </c>
      <c r="AK8" s="981">
        <v>266</v>
      </c>
      <c r="AL8" s="652">
        <f t="shared" si="28"/>
        <v>882</v>
      </c>
      <c r="AM8" s="981">
        <v>384</v>
      </c>
      <c r="AN8" s="982">
        <f t="shared" si="29"/>
        <v>650</v>
      </c>
      <c r="AO8" s="983">
        <f t="shared" si="30"/>
        <v>1266</v>
      </c>
      <c r="AP8" s="981">
        <v>269</v>
      </c>
      <c r="AQ8" s="981">
        <v>315</v>
      </c>
      <c r="AR8" s="652">
        <f t="shared" si="31"/>
        <v>584</v>
      </c>
      <c r="AS8" s="981">
        <v>253</v>
      </c>
      <c r="AT8" s="652">
        <f t="shared" si="32"/>
        <v>837</v>
      </c>
      <c r="AU8" s="981">
        <v>401</v>
      </c>
      <c r="AV8" s="982">
        <f t="shared" si="33"/>
        <v>654</v>
      </c>
      <c r="AW8" s="983">
        <f t="shared" si="34"/>
        <v>1238</v>
      </c>
      <c r="AX8" s="981">
        <v>284</v>
      </c>
      <c r="AY8" s="981">
        <v>340</v>
      </c>
      <c r="AZ8" s="652">
        <f t="shared" si="35"/>
        <v>624</v>
      </c>
      <c r="BA8" s="981">
        <v>281</v>
      </c>
      <c r="BB8" s="652">
        <f t="shared" si="36"/>
        <v>905</v>
      </c>
      <c r="BC8" s="981">
        <v>411</v>
      </c>
      <c r="BD8" s="982">
        <f t="shared" si="37"/>
        <v>692</v>
      </c>
      <c r="BE8" s="983">
        <f t="shared" si="38"/>
        <v>1316</v>
      </c>
      <c r="BF8" s="981">
        <v>298</v>
      </c>
      <c r="BG8" s="981">
        <v>353</v>
      </c>
      <c r="BH8" s="652">
        <f t="shared" si="39"/>
        <v>651</v>
      </c>
      <c r="BI8" s="981">
        <v>309</v>
      </c>
      <c r="BJ8" s="652">
        <f t="shared" si="40"/>
        <v>960</v>
      </c>
      <c r="BK8" s="981">
        <v>426</v>
      </c>
      <c r="BL8" s="982">
        <f t="shared" si="41"/>
        <v>735</v>
      </c>
      <c r="BM8" s="983">
        <f t="shared" si="42"/>
        <v>1386</v>
      </c>
      <c r="BN8" s="981">
        <v>360</v>
      </c>
      <c r="BO8" s="981">
        <v>330</v>
      </c>
      <c r="BP8" s="652">
        <f t="shared" si="43"/>
        <v>690</v>
      </c>
      <c r="BQ8" s="981">
        <v>632.74672727272718</v>
      </c>
      <c r="BR8" s="652">
        <f t="shared" si="44"/>
        <v>1322.7467272727272</v>
      </c>
      <c r="BS8" s="981">
        <v>586.96886022727267</v>
      </c>
      <c r="BT8" s="982">
        <f t="shared" si="45"/>
        <v>1219.7155874999999</v>
      </c>
      <c r="BU8" s="983">
        <f t="shared" si="46"/>
        <v>1909.7155874999999</v>
      </c>
      <c r="BV8" s="981">
        <v>360</v>
      </c>
      <c r="BW8" s="981">
        <v>330</v>
      </c>
      <c r="BX8" s="652">
        <f t="shared" si="47"/>
        <v>690</v>
      </c>
      <c r="BY8" s="981">
        <v>632.74672727272718</v>
      </c>
      <c r="BZ8" s="652">
        <f t="shared" si="48"/>
        <v>1322.7467272727272</v>
      </c>
      <c r="CA8" s="981">
        <v>586.96886022727267</v>
      </c>
      <c r="CB8" s="982">
        <f t="shared" si="49"/>
        <v>1219.7155874999999</v>
      </c>
      <c r="CC8" s="983">
        <f t="shared" si="50"/>
        <v>1909.7155874999999</v>
      </c>
      <c r="CD8" s="981">
        <v>363.6</v>
      </c>
      <c r="CE8" s="981">
        <v>333.29999999999995</v>
      </c>
      <c r="CF8" s="652">
        <f t="shared" si="51"/>
        <v>696.9</v>
      </c>
      <c r="CG8" s="981">
        <v>639.07419454545436</v>
      </c>
      <c r="CH8" s="652">
        <f t="shared" si="52"/>
        <v>1335.9741945454543</v>
      </c>
      <c r="CI8" s="981">
        <v>592.83854882954552</v>
      </c>
      <c r="CJ8" s="982">
        <f t="shared" si="53"/>
        <v>1231.912743375</v>
      </c>
      <c r="CK8" s="983"/>
      <c r="CL8" s="981">
        <v>426.7405764614889</v>
      </c>
      <c r="CM8" s="981"/>
      <c r="CN8" s="652"/>
      <c r="CO8" s="981"/>
      <c r="CP8" s="652"/>
      <c r="CQ8" s="981"/>
      <c r="CR8" s="982"/>
      <c r="CS8" s="983"/>
      <c r="CT8" s="981"/>
      <c r="CU8" s="981"/>
      <c r="CV8" s="652"/>
      <c r="CW8" s="981"/>
      <c r="CX8" s="652"/>
      <c r="CY8" s="981"/>
      <c r="CZ8" s="982"/>
      <c r="DA8" s="983"/>
      <c r="DB8" s="981"/>
      <c r="DC8" s="981"/>
      <c r="DD8" s="652"/>
      <c r="DE8" s="981"/>
      <c r="DF8" s="652"/>
      <c r="DG8" s="981"/>
      <c r="DH8" s="982"/>
      <c r="DI8" s="983"/>
      <c r="DJ8" s="981"/>
      <c r="DK8" s="981"/>
      <c r="DL8" s="652"/>
      <c r="DM8" s="981"/>
      <c r="DN8" s="652"/>
      <c r="DO8" s="652"/>
      <c r="DP8" s="652"/>
      <c r="DQ8" s="983"/>
      <c r="DR8" s="981"/>
      <c r="DS8" s="981"/>
      <c r="DT8" s="652"/>
      <c r="DU8" s="652"/>
      <c r="DV8" s="652"/>
      <c r="DW8" s="652"/>
      <c r="DX8" s="652"/>
      <c r="DY8" s="983"/>
      <c r="EM8" s="1419"/>
    </row>
    <row r="9" spans="1:143" ht="14.25" hidden="1" customHeight="1" outlineLevel="1">
      <c r="A9" s="249" t="s">
        <v>1070</v>
      </c>
      <c r="B9" s="980"/>
      <c r="C9" s="981"/>
      <c r="D9" s="652"/>
      <c r="E9" s="981"/>
      <c r="F9" s="652"/>
      <c r="G9" s="981"/>
      <c r="H9" s="982"/>
      <c r="I9" s="983"/>
      <c r="J9" s="981"/>
      <c r="K9" s="981"/>
      <c r="L9" s="652"/>
      <c r="M9" s="981"/>
      <c r="N9" s="652"/>
      <c r="O9" s="981"/>
      <c r="P9" s="982"/>
      <c r="Q9" s="983"/>
      <c r="R9" s="981"/>
      <c r="S9" s="981"/>
      <c r="T9" s="652"/>
      <c r="U9" s="981"/>
      <c r="V9" s="652"/>
      <c r="W9" s="981"/>
      <c r="X9" s="982"/>
      <c r="Y9" s="983"/>
      <c r="Z9" s="981"/>
      <c r="AA9" s="981"/>
      <c r="AB9" s="652"/>
      <c r="AC9" s="981"/>
      <c r="AD9" s="652"/>
      <c r="AE9" s="981"/>
      <c r="AF9" s="982"/>
      <c r="AG9" s="983"/>
      <c r="AH9" s="981"/>
      <c r="AI9" s="981"/>
      <c r="AJ9" s="652"/>
      <c r="AK9" s="981"/>
      <c r="AL9" s="652"/>
      <c r="AM9" s="981"/>
      <c r="AN9" s="982"/>
      <c r="AO9" s="983"/>
      <c r="AP9" s="981"/>
      <c r="AQ9" s="981"/>
      <c r="AR9" s="652"/>
      <c r="AS9" s="981"/>
      <c r="AT9" s="652"/>
      <c r="AU9" s="981"/>
      <c r="AV9" s="982"/>
      <c r="AW9" s="983"/>
      <c r="AX9" s="981"/>
      <c r="AY9" s="981"/>
      <c r="AZ9" s="652"/>
      <c r="BA9" s="981"/>
      <c r="BB9" s="652"/>
      <c r="BC9" s="981"/>
      <c r="BD9" s="982"/>
      <c r="BE9" s="983"/>
      <c r="BF9" s="981">
        <v>113.5</v>
      </c>
      <c r="BG9" s="981">
        <v>423.5</v>
      </c>
      <c r="BH9" s="652">
        <f t="shared" si="39"/>
        <v>537</v>
      </c>
      <c r="BI9" s="981">
        <v>431</v>
      </c>
      <c r="BJ9" s="652">
        <f t="shared" si="40"/>
        <v>968</v>
      </c>
      <c r="BK9" s="981">
        <v>320</v>
      </c>
      <c r="BL9" s="652">
        <f t="shared" ref="BL9:BL11" si="54">BJ9+BK9</f>
        <v>1288</v>
      </c>
      <c r="BM9" s="984">
        <f t="shared" ref="BM9:BM11" si="55">BK9+BL9</f>
        <v>1608</v>
      </c>
      <c r="BN9" s="981">
        <v>419</v>
      </c>
      <c r="BO9" s="981">
        <v>88.957113938418161</v>
      </c>
      <c r="BP9" s="652">
        <f t="shared" si="43"/>
        <v>507.95711393841816</v>
      </c>
      <c r="BQ9" s="981">
        <v>308.98570464613942</v>
      </c>
      <c r="BR9" s="652">
        <f t="shared" si="44"/>
        <v>816.94281858455759</v>
      </c>
      <c r="BS9" s="981">
        <v>198.97140929227876</v>
      </c>
      <c r="BT9" s="982">
        <f t="shared" ref="BT9:BT11" si="56">BS9+BQ9</f>
        <v>507.95711393841816</v>
      </c>
      <c r="BU9" s="983">
        <f t="shared" ref="BU9:BU11" si="57">BT9+BP9</f>
        <v>1015.9142278768363</v>
      </c>
      <c r="BV9" s="981">
        <v>334.68582818951938</v>
      </c>
      <c r="BW9" s="981">
        <v>71.056528285987838</v>
      </c>
      <c r="BX9" s="652">
        <f t="shared" si="47"/>
        <v>405.74235647550722</v>
      </c>
      <c r="BY9" s="981">
        <v>246.80939488834224</v>
      </c>
      <c r="BZ9" s="652">
        <f t="shared" si="48"/>
        <v>652.55175136384946</v>
      </c>
      <c r="CA9" s="981">
        <v>158.93296158716498</v>
      </c>
      <c r="CB9" s="982">
        <f t="shared" ref="CB9:CB11" si="58">CA9+BY9</f>
        <v>405.74235647550722</v>
      </c>
      <c r="CC9" s="983">
        <f t="shared" ref="CC9:CC11" si="59">CB9+BX9</f>
        <v>811.48471295101444</v>
      </c>
      <c r="CD9" s="981">
        <v>288.88437861467298</v>
      </c>
      <c r="CE9" s="981">
        <v>61.332507359080182</v>
      </c>
      <c r="CF9" s="652">
        <f t="shared" si="51"/>
        <v>350.21688597375316</v>
      </c>
      <c r="CG9" s="981">
        <v>213.03375486280879</v>
      </c>
      <c r="CH9" s="652">
        <f t="shared" si="52"/>
        <v>563.25064083656196</v>
      </c>
      <c r="CI9" s="981">
        <v>137.18313111094437</v>
      </c>
      <c r="CJ9" s="982">
        <f t="shared" si="53"/>
        <v>350.21688597375316</v>
      </c>
      <c r="CK9" s="983"/>
      <c r="CL9" s="981">
        <v>207.35154857962632</v>
      </c>
      <c r="CM9" s="981"/>
      <c r="CN9" s="652"/>
      <c r="CO9" s="981"/>
      <c r="CP9" s="652"/>
      <c r="CQ9" s="981"/>
      <c r="CR9" s="982"/>
      <c r="CS9" s="983"/>
      <c r="CT9" s="981"/>
      <c r="CU9" s="981"/>
      <c r="CV9" s="652"/>
      <c r="CW9" s="981"/>
      <c r="CX9" s="652"/>
      <c r="CY9" s="981"/>
      <c r="CZ9" s="982"/>
      <c r="DA9" s="983"/>
      <c r="DB9" s="981"/>
      <c r="DC9" s="981"/>
      <c r="DD9" s="652"/>
      <c r="DE9" s="981"/>
      <c r="DF9" s="652"/>
      <c r="DG9" s="981"/>
      <c r="DH9" s="982"/>
      <c r="DI9" s="983"/>
      <c r="DJ9" s="981"/>
      <c r="DK9" s="981"/>
      <c r="DL9" s="652"/>
      <c r="DM9" s="981"/>
      <c r="DN9" s="652"/>
      <c r="DO9" s="652"/>
      <c r="DP9" s="652"/>
      <c r="DQ9" s="983"/>
      <c r="DR9" s="981"/>
      <c r="DS9" s="981"/>
      <c r="DT9" s="652"/>
      <c r="DU9" s="652"/>
      <c r="DV9" s="652"/>
      <c r="DW9" s="652"/>
      <c r="DX9" s="652"/>
      <c r="DY9" s="983"/>
      <c r="EM9" s="1419"/>
    </row>
    <row r="10" spans="1:143" collapsed="1">
      <c r="A10" s="19" t="s">
        <v>1572</v>
      </c>
      <c r="B10" s="980"/>
      <c r="C10" s="981"/>
      <c r="D10" s="652"/>
      <c r="E10" s="981"/>
      <c r="F10" s="652"/>
      <c r="G10" s="981"/>
      <c r="H10" s="982"/>
      <c r="I10" s="983"/>
      <c r="J10" s="981"/>
      <c r="K10" s="981"/>
      <c r="L10" s="652"/>
      <c r="M10" s="981"/>
      <c r="N10" s="652"/>
      <c r="O10" s="981"/>
      <c r="P10" s="982"/>
      <c r="Q10" s="983"/>
      <c r="R10" s="981"/>
      <c r="S10" s="981"/>
      <c r="T10" s="652"/>
      <c r="U10" s="981"/>
      <c r="V10" s="652"/>
      <c r="W10" s="981"/>
      <c r="X10" s="982"/>
      <c r="Y10" s="983"/>
      <c r="Z10" s="981"/>
      <c r="AA10" s="981"/>
      <c r="AB10" s="652"/>
      <c r="AC10" s="981"/>
      <c r="AD10" s="652"/>
      <c r="AE10" s="981"/>
      <c r="AF10" s="982"/>
      <c r="AG10" s="983"/>
      <c r="AH10" s="981"/>
      <c r="AI10" s="981"/>
      <c r="AJ10" s="652"/>
      <c r="AK10" s="981"/>
      <c r="AL10" s="652"/>
      <c r="AM10" s="981"/>
      <c r="AN10" s="982"/>
      <c r="AO10" s="983"/>
      <c r="AP10" s="981"/>
      <c r="AQ10" s="981"/>
      <c r="AR10" s="652"/>
      <c r="AS10" s="981"/>
      <c r="AT10" s="652"/>
      <c r="AU10" s="981"/>
      <c r="AV10" s="982"/>
      <c r="AW10" s="983"/>
      <c r="AX10" s="981"/>
      <c r="AY10" s="981"/>
      <c r="AZ10" s="652"/>
      <c r="BA10" s="981"/>
      <c r="BB10" s="652"/>
      <c r="BC10" s="981"/>
      <c r="BD10" s="982"/>
      <c r="BE10" s="983"/>
      <c r="BF10" s="981">
        <v>1641.5</v>
      </c>
      <c r="BG10" s="981">
        <v>2070.5</v>
      </c>
      <c r="BH10" s="652">
        <f t="shared" si="39"/>
        <v>3712</v>
      </c>
      <c r="BI10" s="981">
        <v>2052</v>
      </c>
      <c r="BJ10" s="652">
        <f t="shared" si="40"/>
        <v>5764</v>
      </c>
      <c r="BK10" s="981">
        <v>2178</v>
      </c>
      <c r="BL10" s="652">
        <f t="shared" si="54"/>
        <v>7942</v>
      </c>
      <c r="BM10" s="984">
        <f t="shared" si="55"/>
        <v>10120</v>
      </c>
      <c r="BN10" s="981">
        <v>2201</v>
      </c>
      <c r="BO10" s="981">
        <v>2352</v>
      </c>
      <c r="BP10" s="652">
        <f t="shared" si="43"/>
        <v>4553</v>
      </c>
      <c r="BQ10" s="981">
        <v>2298</v>
      </c>
      <c r="BR10" s="652">
        <f t="shared" si="44"/>
        <v>6851</v>
      </c>
      <c r="BS10" s="981">
        <v>2405</v>
      </c>
      <c r="BT10" s="982">
        <f t="shared" si="56"/>
        <v>4703</v>
      </c>
      <c r="BU10" s="983">
        <f t="shared" si="57"/>
        <v>9256</v>
      </c>
      <c r="BV10" s="981">
        <v>2187</v>
      </c>
      <c r="BW10" s="981">
        <v>1451</v>
      </c>
      <c r="BX10" s="652">
        <f t="shared" si="47"/>
        <v>3638</v>
      </c>
      <c r="BY10" s="981">
        <v>1461</v>
      </c>
      <c r="BZ10" s="652">
        <f t="shared" si="48"/>
        <v>5099</v>
      </c>
      <c r="CA10" s="981">
        <v>1794</v>
      </c>
      <c r="CB10" s="982">
        <f t="shared" si="58"/>
        <v>3255</v>
      </c>
      <c r="CC10" s="983">
        <f t="shared" si="59"/>
        <v>6893</v>
      </c>
      <c r="CD10" s="981">
        <v>1464</v>
      </c>
      <c r="CE10" s="981">
        <v>1508</v>
      </c>
      <c r="CF10" s="652">
        <f t="shared" si="51"/>
        <v>2972</v>
      </c>
      <c r="CG10" s="981">
        <v>1535</v>
      </c>
      <c r="CH10" s="652">
        <f t="shared" si="52"/>
        <v>4507</v>
      </c>
      <c r="CI10" s="981">
        <v>1818</v>
      </c>
      <c r="CJ10" s="982">
        <f t="shared" si="53"/>
        <v>3353</v>
      </c>
      <c r="CK10" s="983">
        <f>INDEX('Income Statement'!6:6, MATCH('Interim (New)'!CK$1,'Income Statement'!$3:$3,0))</f>
        <v>6325</v>
      </c>
      <c r="CL10" s="981">
        <v>1716</v>
      </c>
      <c r="CM10" s="981">
        <v>1790</v>
      </c>
      <c r="CN10" s="652">
        <f t="shared" ref="CN10:CP16" si="60">CL10+CM10</f>
        <v>3506</v>
      </c>
      <c r="CO10" s="981">
        <v>1820</v>
      </c>
      <c r="CP10" s="652">
        <f t="shared" si="60"/>
        <v>5326</v>
      </c>
      <c r="CQ10" s="981">
        <v>2209</v>
      </c>
      <c r="CR10" s="982">
        <f t="shared" ref="CR10:CR11" si="61">CQ10+CO10</f>
        <v>4029</v>
      </c>
      <c r="CS10" s="983">
        <f>INDEX('Income Statement'!6:6, MATCH('Interim (New)'!CS$1,'Income Statement'!$3:$3,0))</f>
        <v>7535</v>
      </c>
      <c r="CT10" s="981">
        <v>1966</v>
      </c>
      <c r="CU10" s="981">
        <v>2134</v>
      </c>
      <c r="CV10" s="652">
        <f t="shared" ref="CV10:CV16" si="62">CT10+CU10</f>
        <v>4100</v>
      </c>
      <c r="CW10" s="981">
        <v>2134</v>
      </c>
      <c r="CX10" s="652">
        <f t="shared" ref="CX10:CX16" si="63">CV10+CW10</f>
        <v>6234</v>
      </c>
      <c r="CY10" s="981">
        <v>2601</v>
      </c>
      <c r="CZ10" s="982">
        <f t="shared" ref="CZ10:CZ11" si="64">CY10+CW10</f>
        <v>4735</v>
      </c>
      <c r="DA10" s="983">
        <f>INDEX('Income Statement'!6:6, MATCH('Interim (New)'!DA$1,'Income Statement'!$3:$3,0))</f>
        <v>8835</v>
      </c>
      <c r="DB10" s="981">
        <v>2444</v>
      </c>
      <c r="DC10" s="981">
        <v>2726</v>
      </c>
      <c r="DD10" s="652">
        <f t="shared" ref="DD10:DD16" si="65">DB10+DC10</f>
        <v>5170</v>
      </c>
      <c r="DE10" s="981">
        <v>2527</v>
      </c>
      <c r="DF10" s="652">
        <f t="shared" ref="DF10:DF16" si="66">DD10+DE10</f>
        <v>7697</v>
      </c>
      <c r="DG10" s="981">
        <v>2921</v>
      </c>
      <c r="DH10" s="982">
        <f t="shared" ref="DH10:DH11" si="67">DG10+DE10</f>
        <v>5448</v>
      </c>
      <c r="DI10" s="983">
        <f>INDEX('Income Statement'!6:6, MATCH('Interim (New)'!DI$1,'Income Statement'!$3:$3,0))</f>
        <v>10618</v>
      </c>
      <c r="DJ10" s="981">
        <v>2783</v>
      </c>
      <c r="DK10" s="981">
        <v>2826</v>
      </c>
      <c r="DL10" s="652">
        <f t="shared" ref="DL10:DL13" si="68">DJ10+DK10</f>
        <v>5609</v>
      </c>
      <c r="DM10" s="981">
        <v>3004</v>
      </c>
      <c r="DN10" s="652">
        <f>DL10+DM10</f>
        <v>8613</v>
      </c>
      <c r="DO10" s="652">
        <f t="shared" ref="DO10:DO13" si="69">DQ10-DN10</f>
        <v>3675.3315548582905</v>
      </c>
      <c r="DP10" s="652">
        <f t="shared" ref="DP10:DP13" si="70">DM10+DO10</f>
        <v>6679.3315548582905</v>
      </c>
      <c r="DQ10" s="983">
        <f>INDEX('Income Statement'!6:6, MATCH('Interim (New)'!DQ$1,'Income Statement'!$3:$3,0))</f>
        <v>12288.33155485829</v>
      </c>
      <c r="DR10" s="982">
        <f>(DB10/$DI$10)*$DY$10</f>
        <v>3234.8841913252768</v>
      </c>
      <c r="DS10" s="982">
        <f t="shared" ref="DS10:DX10" si="71">(DC10/$DI$10)*$DY$10</f>
        <v>3608.1400595551167</v>
      </c>
      <c r="DT10" s="982">
        <f t="shared" si="71"/>
        <v>6843.0242508803931</v>
      </c>
      <c r="DU10" s="982">
        <f t="shared" si="71"/>
        <v>3344.7431880028539</v>
      </c>
      <c r="DV10" s="982">
        <f t="shared" si="71"/>
        <v>10187.767438883247</v>
      </c>
      <c r="DW10" s="982">
        <f t="shared" si="71"/>
        <v>3866.2425216289421</v>
      </c>
      <c r="DX10" s="982">
        <f t="shared" si="71"/>
        <v>7210.9857096317946</v>
      </c>
      <c r="DY10" s="983">
        <f>INDEX('Income Statement'!6:6, MATCH('Interim (New)'!DY$1,'Income Statement'!$3:$3,0))</f>
        <v>14054.009960512189</v>
      </c>
      <c r="EM10" s="1419"/>
    </row>
    <row r="11" spans="1:143">
      <c r="A11" s="19" t="s">
        <v>1093</v>
      </c>
      <c r="B11" s="980"/>
      <c r="C11" s="981"/>
      <c r="D11" s="652"/>
      <c r="E11" s="981"/>
      <c r="F11" s="652"/>
      <c r="G11" s="981"/>
      <c r="H11" s="982"/>
      <c r="I11" s="983"/>
      <c r="J11" s="981"/>
      <c r="K11" s="981"/>
      <c r="L11" s="652"/>
      <c r="M11" s="981"/>
      <c r="N11" s="652"/>
      <c r="O11" s="981"/>
      <c r="P11" s="982"/>
      <c r="Q11" s="983"/>
      <c r="R11" s="981"/>
      <c r="S11" s="981"/>
      <c r="T11" s="652"/>
      <c r="U11" s="981"/>
      <c r="V11" s="652"/>
      <c r="W11" s="981"/>
      <c r="X11" s="982"/>
      <c r="Y11" s="983"/>
      <c r="Z11" s="981"/>
      <c r="AA11" s="981"/>
      <c r="AB11" s="652"/>
      <c r="AC11" s="981"/>
      <c r="AD11" s="652"/>
      <c r="AE11" s="981"/>
      <c r="AF11" s="982"/>
      <c r="AG11" s="983"/>
      <c r="AH11" s="981"/>
      <c r="AI11" s="981"/>
      <c r="AJ11" s="652"/>
      <c r="AK11" s="981"/>
      <c r="AL11" s="652"/>
      <c r="AM11" s="981"/>
      <c r="AN11" s="982"/>
      <c r="AO11" s="983"/>
      <c r="AP11" s="981"/>
      <c r="AQ11" s="981"/>
      <c r="AR11" s="652"/>
      <c r="AS11" s="981"/>
      <c r="AT11" s="652"/>
      <c r="AU11" s="981"/>
      <c r="AV11" s="982"/>
      <c r="AW11" s="983"/>
      <c r="AX11" s="981"/>
      <c r="AY11" s="981"/>
      <c r="AZ11" s="652"/>
      <c r="BA11" s="981"/>
      <c r="BB11" s="652"/>
      <c r="BC11" s="981"/>
      <c r="BD11" s="982"/>
      <c r="BE11" s="983"/>
      <c r="BF11" s="981">
        <v>255.5</v>
      </c>
      <c r="BG11" s="981">
        <v>724.5</v>
      </c>
      <c r="BH11" s="652">
        <f t="shared" si="39"/>
        <v>980</v>
      </c>
      <c r="BI11" s="981">
        <v>769</v>
      </c>
      <c r="BJ11" s="652">
        <f t="shared" si="40"/>
        <v>1749</v>
      </c>
      <c r="BK11" s="981">
        <v>762</v>
      </c>
      <c r="BL11" s="652">
        <f t="shared" si="54"/>
        <v>2511</v>
      </c>
      <c r="BM11" s="984">
        <f t="shared" si="55"/>
        <v>3273</v>
      </c>
      <c r="BN11" s="981">
        <v>806</v>
      </c>
      <c r="BO11" s="981">
        <v>834</v>
      </c>
      <c r="BP11" s="652">
        <f t="shared" si="43"/>
        <v>1640</v>
      </c>
      <c r="BQ11" s="981">
        <v>805</v>
      </c>
      <c r="BR11" s="652">
        <f t="shared" si="44"/>
        <v>2445</v>
      </c>
      <c r="BS11" s="981">
        <v>876</v>
      </c>
      <c r="BT11" s="982">
        <f t="shared" si="56"/>
        <v>1681</v>
      </c>
      <c r="BU11" s="983">
        <f t="shared" si="57"/>
        <v>3321</v>
      </c>
      <c r="BV11" s="981">
        <v>694</v>
      </c>
      <c r="BW11" s="981">
        <v>378</v>
      </c>
      <c r="BX11" s="652">
        <f t="shared" si="47"/>
        <v>1072</v>
      </c>
      <c r="BY11" s="981">
        <v>357</v>
      </c>
      <c r="BZ11" s="652">
        <f t="shared" si="48"/>
        <v>1429</v>
      </c>
      <c r="CA11" s="981">
        <v>493</v>
      </c>
      <c r="CB11" s="982">
        <f t="shared" si="58"/>
        <v>850</v>
      </c>
      <c r="CC11" s="983">
        <f t="shared" si="59"/>
        <v>1922</v>
      </c>
      <c r="CD11" s="981">
        <v>313</v>
      </c>
      <c r="CE11" s="981">
        <v>333</v>
      </c>
      <c r="CF11" s="652">
        <f t="shared" si="51"/>
        <v>646</v>
      </c>
      <c r="CG11" s="981">
        <v>385</v>
      </c>
      <c r="CH11" s="652">
        <f t="shared" si="52"/>
        <v>1031</v>
      </c>
      <c r="CI11" s="981">
        <v>444</v>
      </c>
      <c r="CJ11" s="982">
        <f t="shared" si="53"/>
        <v>829</v>
      </c>
      <c r="CK11" s="983">
        <f>INDEX('Income Statement'!7:7, MATCH('Interim (New)'!CK$1,'Income Statement'!$3:$3,0))</f>
        <v>1475</v>
      </c>
      <c r="CL11" s="981">
        <v>409</v>
      </c>
      <c r="CM11" s="981">
        <v>461</v>
      </c>
      <c r="CN11" s="652">
        <f t="shared" si="60"/>
        <v>870</v>
      </c>
      <c r="CO11" s="981">
        <v>522</v>
      </c>
      <c r="CP11" s="652">
        <f t="shared" si="60"/>
        <v>1392</v>
      </c>
      <c r="CQ11" s="981">
        <v>586</v>
      </c>
      <c r="CR11" s="982">
        <f t="shared" si="61"/>
        <v>1108</v>
      </c>
      <c r="CS11" s="983">
        <f>INDEX('Income Statement'!7:7, MATCH('Interim (New)'!CS$1,'Income Statement'!$3:$3,0))</f>
        <v>1978</v>
      </c>
      <c r="CT11" s="981">
        <v>584</v>
      </c>
      <c r="CU11" s="981">
        <v>579</v>
      </c>
      <c r="CV11" s="652">
        <f t="shared" si="62"/>
        <v>1163</v>
      </c>
      <c r="CW11" s="981">
        <v>605</v>
      </c>
      <c r="CX11" s="652">
        <f t="shared" si="63"/>
        <v>1768</v>
      </c>
      <c r="CY11" s="981">
        <v>709</v>
      </c>
      <c r="CZ11" s="982">
        <f t="shared" si="64"/>
        <v>1314</v>
      </c>
      <c r="DA11" s="983">
        <f>INDEX('Income Statement'!7:7, MATCH('Interim (New)'!DA$1,'Income Statement'!$3:$3,0))</f>
        <v>2477</v>
      </c>
      <c r="DB11" s="981">
        <v>676</v>
      </c>
      <c r="DC11" s="981">
        <v>735</v>
      </c>
      <c r="DD11" s="652">
        <f t="shared" si="65"/>
        <v>1411</v>
      </c>
      <c r="DE11" s="981">
        <v>771</v>
      </c>
      <c r="DF11" s="652">
        <f t="shared" si="66"/>
        <v>2182</v>
      </c>
      <c r="DG11" s="981">
        <v>855</v>
      </c>
      <c r="DH11" s="982">
        <f t="shared" si="67"/>
        <v>1626</v>
      </c>
      <c r="DI11" s="983">
        <f>INDEX('Income Statement'!7:7, MATCH('Interim (New)'!DI$1,'Income Statement'!$3:$3,0))</f>
        <v>3037</v>
      </c>
      <c r="DJ11" s="981">
        <v>788</v>
      </c>
      <c r="DK11" s="981">
        <v>828</v>
      </c>
      <c r="DL11" s="652">
        <f t="shared" si="68"/>
        <v>1616</v>
      </c>
      <c r="DM11" s="981">
        <v>802</v>
      </c>
      <c r="DN11" s="652">
        <f>DL11+DM11</f>
        <v>2418</v>
      </c>
      <c r="DO11" s="652">
        <f t="shared" si="69"/>
        <v>1005.8600000000001</v>
      </c>
      <c r="DP11" s="652">
        <f t="shared" si="70"/>
        <v>1807.8600000000001</v>
      </c>
      <c r="DQ11" s="983">
        <f>INDEX('Income Statement'!7:7, MATCH('Interim (New)'!DQ$1,'Income Statement'!$3:$3,0))</f>
        <v>3423.86</v>
      </c>
      <c r="DR11" s="982">
        <f>(DB11/$DI$11)*$DY$11</f>
        <v>842.0785314455054</v>
      </c>
      <c r="DS11" s="982">
        <f t="shared" ref="DS11:DX11" si="72">(DC11/$DI$11)*$DY$11</f>
        <v>915.57355120184388</v>
      </c>
      <c r="DT11" s="982">
        <f t="shared" si="72"/>
        <v>1757.6520826473493</v>
      </c>
      <c r="DU11" s="982">
        <f t="shared" si="72"/>
        <v>960.41797003621991</v>
      </c>
      <c r="DV11" s="982">
        <f t="shared" si="72"/>
        <v>2718.0700526835694</v>
      </c>
      <c r="DW11" s="982">
        <f t="shared" si="72"/>
        <v>1065.0549473164306</v>
      </c>
      <c r="DX11" s="982">
        <f t="shared" si="72"/>
        <v>2025.4729173526507</v>
      </c>
      <c r="DY11" s="983">
        <f>INDEX('Income Statement'!7:7, MATCH('Interim (New)'!DY$1,'Income Statement'!$3:$3,0))</f>
        <v>3783.125</v>
      </c>
      <c r="EM11" s="1419"/>
    </row>
    <row r="12" spans="1:143" ht="14.25" hidden="1" customHeight="1" outlineLevel="1">
      <c r="A12" s="19" t="s">
        <v>898</v>
      </c>
      <c r="B12" s="980">
        <v>233</v>
      </c>
      <c r="C12" s="981">
        <v>276</v>
      </c>
      <c r="D12" s="652">
        <f t="shared" si="11"/>
        <v>509</v>
      </c>
      <c r="E12" s="981">
        <v>317</v>
      </c>
      <c r="F12" s="652">
        <f t="shared" si="12"/>
        <v>826</v>
      </c>
      <c r="G12" s="981">
        <v>423</v>
      </c>
      <c r="H12" s="982">
        <f t="shared" si="13"/>
        <v>740</v>
      </c>
      <c r="I12" s="983">
        <f t="shared" si="14"/>
        <v>1249</v>
      </c>
      <c r="J12" s="981">
        <v>332</v>
      </c>
      <c r="K12" s="981">
        <v>387</v>
      </c>
      <c r="L12" s="652">
        <f t="shared" si="15"/>
        <v>719</v>
      </c>
      <c r="M12" s="981">
        <v>371</v>
      </c>
      <c r="N12" s="652">
        <f t="shared" si="16"/>
        <v>1090</v>
      </c>
      <c r="O12" s="981">
        <v>456</v>
      </c>
      <c r="P12" s="982">
        <f t="shared" ref="P12:P13" si="73">O12+M12</f>
        <v>827</v>
      </c>
      <c r="Q12" s="983">
        <f t="shared" ref="Q12:Q13" si="74">P12+L12</f>
        <v>1546</v>
      </c>
      <c r="R12" s="981">
        <v>340</v>
      </c>
      <c r="S12" s="981">
        <v>384</v>
      </c>
      <c r="T12" s="652">
        <f t="shared" si="19"/>
        <v>724</v>
      </c>
      <c r="U12" s="981">
        <v>349</v>
      </c>
      <c r="V12" s="652">
        <f t="shared" si="20"/>
        <v>1073</v>
      </c>
      <c r="W12" s="981">
        <v>409</v>
      </c>
      <c r="X12" s="982">
        <f t="shared" ref="X12:X13" si="75">W12+U12</f>
        <v>758</v>
      </c>
      <c r="Y12" s="983">
        <f t="shared" ref="Y12:Y13" si="76">X12+T12</f>
        <v>1482</v>
      </c>
      <c r="Z12" s="981">
        <v>345</v>
      </c>
      <c r="AA12" s="981">
        <v>377</v>
      </c>
      <c r="AB12" s="652">
        <f t="shared" si="23"/>
        <v>722</v>
      </c>
      <c r="AC12" s="981">
        <v>368</v>
      </c>
      <c r="AD12" s="652">
        <f t="shared" si="24"/>
        <v>1090</v>
      </c>
      <c r="AE12" s="981">
        <v>440</v>
      </c>
      <c r="AF12" s="982">
        <f t="shared" ref="AF12:AF13" si="77">AE12+AC12</f>
        <v>808</v>
      </c>
      <c r="AG12" s="983">
        <f t="shared" ref="AG12:AG13" si="78">AF12+AB12</f>
        <v>1530</v>
      </c>
      <c r="AH12" s="981">
        <v>414</v>
      </c>
      <c r="AI12" s="981">
        <v>471</v>
      </c>
      <c r="AJ12" s="652">
        <f t="shared" si="27"/>
        <v>885</v>
      </c>
      <c r="AK12" s="981">
        <v>474</v>
      </c>
      <c r="AL12" s="652">
        <f t="shared" si="28"/>
        <v>1359</v>
      </c>
      <c r="AM12" s="981">
        <v>519</v>
      </c>
      <c r="AN12" s="982">
        <f t="shared" ref="AN12:AN13" si="79">AM12+AK12</f>
        <v>993</v>
      </c>
      <c r="AO12" s="983">
        <f t="shared" ref="AO12:AO13" si="80">AN12+AJ12</f>
        <v>1878</v>
      </c>
      <c r="AP12" s="981">
        <v>449</v>
      </c>
      <c r="AQ12" s="981">
        <v>500</v>
      </c>
      <c r="AR12" s="652">
        <f t="shared" si="31"/>
        <v>949</v>
      </c>
      <c r="AS12" s="981">
        <v>470</v>
      </c>
      <c r="AT12" s="652">
        <f t="shared" si="32"/>
        <v>1419</v>
      </c>
      <c r="AU12" s="981"/>
      <c r="AV12" s="982">
        <f t="shared" ref="AV12:AV13" si="81">AU12+AS12</f>
        <v>470</v>
      </c>
      <c r="AW12" s="983">
        <f t="shared" ref="AW12:AW13" si="82">AV12+AR12</f>
        <v>1419</v>
      </c>
      <c r="AX12" s="981"/>
      <c r="AY12" s="981"/>
      <c r="AZ12" s="652"/>
      <c r="BA12" s="981"/>
      <c r="BB12" s="652"/>
      <c r="BC12" s="981"/>
      <c r="BD12" s="982"/>
      <c r="BE12" s="983"/>
      <c r="BF12" s="981"/>
      <c r="BG12" s="981"/>
      <c r="BH12" s="652"/>
      <c r="BI12" s="981"/>
      <c r="BJ12" s="652"/>
      <c r="BK12" s="981"/>
      <c r="BL12" s="982"/>
      <c r="BM12" s="983"/>
      <c r="BN12" s="981"/>
      <c r="BO12" s="981"/>
      <c r="BP12" s="652"/>
      <c r="BQ12" s="981"/>
      <c r="BR12" s="652"/>
      <c r="BS12" s="981"/>
      <c r="BT12" s="982"/>
      <c r="BU12" s="983"/>
      <c r="BV12" s="981"/>
      <c r="BW12" s="981"/>
      <c r="BX12" s="652"/>
      <c r="BY12" s="981"/>
      <c r="BZ12" s="652"/>
      <c r="CA12" s="981"/>
      <c r="CB12" s="982"/>
      <c r="CC12" s="983"/>
      <c r="CD12" s="981"/>
      <c r="CE12" s="981"/>
      <c r="CF12" s="652"/>
      <c r="CG12" s="981"/>
      <c r="CH12" s="981"/>
      <c r="CI12" s="981"/>
      <c r="CJ12" s="982"/>
      <c r="CK12" s="983"/>
      <c r="CL12" s="981"/>
      <c r="CM12" s="981"/>
      <c r="CN12" s="652"/>
      <c r="CO12" s="981"/>
      <c r="CP12" s="652"/>
      <c r="CQ12" s="981"/>
      <c r="CR12" s="982"/>
      <c r="CS12" s="983"/>
      <c r="CT12" s="981"/>
      <c r="CU12" s="981"/>
      <c r="CV12" s="652"/>
      <c r="CW12" s="981"/>
      <c r="CX12" s="652"/>
      <c r="CY12" s="981"/>
      <c r="CZ12" s="982"/>
      <c r="DA12" s="983"/>
      <c r="DB12" s="981"/>
      <c r="DC12" s="981"/>
      <c r="DD12" s="652"/>
      <c r="DE12" s="981"/>
      <c r="DF12" s="652"/>
      <c r="DG12" s="981"/>
      <c r="DH12" s="982"/>
      <c r="DI12" s="983"/>
      <c r="DJ12" s="981"/>
      <c r="DK12" s="981"/>
      <c r="DL12" s="652"/>
      <c r="DM12" s="981"/>
      <c r="DN12" s="652"/>
      <c r="DO12" s="652"/>
      <c r="DP12" s="652"/>
      <c r="DQ12" s="983"/>
      <c r="DR12" s="981"/>
      <c r="DS12" s="981"/>
      <c r="DT12" s="652"/>
      <c r="DU12" s="652"/>
      <c r="DV12" s="652"/>
      <c r="DW12" s="652"/>
      <c r="DX12" s="652"/>
      <c r="DY12" s="983"/>
      <c r="EM12" s="1419"/>
    </row>
    <row r="13" spans="1:143" collapsed="1">
      <c r="A13" s="19" t="s">
        <v>752</v>
      </c>
      <c r="B13" s="980">
        <v>4</v>
      </c>
      <c r="C13" s="981">
        <v>-4</v>
      </c>
      <c r="D13" s="652"/>
      <c r="E13" s="981">
        <v>12</v>
      </c>
      <c r="F13" s="652">
        <f t="shared" si="12"/>
        <v>12</v>
      </c>
      <c r="G13" s="981">
        <v>4</v>
      </c>
      <c r="H13" s="982">
        <f t="shared" si="13"/>
        <v>16</v>
      </c>
      <c r="I13" s="983">
        <f t="shared" si="14"/>
        <v>16</v>
      </c>
      <c r="J13" s="981">
        <v>1</v>
      </c>
      <c r="K13" s="981">
        <v>0</v>
      </c>
      <c r="L13" s="652"/>
      <c r="M13" s="981">
        <v>2</v>
      </c>
      <c r="N13" s="652">
        <f t="shared" si="16"/>
        <v>2</v>
      </c>
      <c r="O13" s="981">
        <v>0</v>
      </c>
      <c r="P13" s="982">
        <f t="shared" si="73"/>
        <v>2</v>
      </c>
      <c r="Q13" s="983">
        <f t="shared" si="74"/>
        <v>2</v>
      </c>
      <c r="R13" s="981">
        <v>1</v>
      </c>
      <c r="S13" s="981">
        <v>0</v>
      </c>
      <c r="T13" s="652"/>
      <c r="U13" s="981">
        <v>1</v>
      </c>
      <c r="V13" s="652">
        <f t="shared" si="20"/>
        <v>1</v>
      </c>
      <c r="W13" s="981">
        <v>2</v>
      </c>
      <c r="X13" s="982">
        <f t="shared" si="75"/>
        <v>3</v>
      </c>
      <c r="Y13" s="983">
        <f t="shared" si="76"/>
        <v>3</v>
      </c>
      <c r="Z13" s="981">
        <v>0</v>
      </c>
      <c r="AA13" s="981">
        <v>2</v>
      </c>
      <c r="AB13" s="652"/>
      <c r="AC13" s="981">
        <v>0</v>
      </c>
      <c r="AD13" s="652">
        <f t="shared" si="24"/>
        <v>0</v>
      </c>
      <c r="AE13" s="981">
        <v>3</v>
      </c>
      <c r="AF13" s="982">
        <f t="shared" si="77"/>
        <v>3</v>
      </c>
      <c r="AG13" s="983">
        <f t="shared" si="78"/>
        <v>3</v>
      </c>
      <c r="AH13" s="981">
        <v>1</v>
      </c>
      <c r="AI13" s="981">
        <v>1</v>
      </c>
      <c r="AJ13" s="652"/>
      <c r="AK13" s="981">
        <v>1</v>
      </c>
      <c r="AL13" s="652">
        <f t="shared" si="28"/>
        <v>1</v>
      </c>
      <c r="AM13" s="981">
        <v>5</v>
      </c>
      <c r="AN13" s="982">
        <f t="shared" si="79"/>
        <v>6</v>
      </c>
      <c r="AO13" s="983">
        <f t="shared" si="80"/>
        <v>6</v>
      </c>
      <c r="AP13" s="981">
        <v>2</v>
      </c>
      <c r="AQ13" s="981">
        <v>2</v>
      </c>
      <c r="AR13" s="652"/>
      <c r="AS13" s="981">
        <v>0</v>
      </c>
      <c r="AT13" s="652">
        <f t="shared" si="32"/>
        <v>0</v>
      </c>
      <c r="AU13" s="981">
        <v>0</v>
      </c>
      <c r="AV13" s="982">
        <f t="shared" si="81"/>
        <v>0</v>
      </c>
      <c r="AW13" s="983">
        <f t="shared" si="82"/>
        <v>0</v>
      </c>
      <c r="AX13" s="981">
        <v>3</v>
      </c>
      <c r="AY13" s="981">
        <v>5</v>
      </c>
      <c r="AZ13" s="652">
        <f t="shared" si="35"/>
        <v>8</v>
      </c>
      <c r="BA13" s="981">
        <v>6</v>
      </c>
      <c r="BB13" s="652">
        <f t="shared" si="36"/>
        <v>14</v>
      </c>
      <c r="BC13" s="981">
        <v>6</v>
      </c>
      <c r="BD13" s="982">
        <f t="shared" ref="BD13" si="83">BC13+BA13</f>
        <v>12</v>
      </c>
      <c r="BE13" s="983">
        <f t="shared" ref="BE13" si="84">BD13+AZ13</f>
        <v>20</v>
      </c>
      <c r="BF13" s="981">
        <v>6</v>
      </c>
      <c r="BG13" s="981">
        <v>4</v>
      </c>
      <c r="BH13" s="652">
        <f t="shared" si="39"/>
        <v>10</v>
      </c>
      <c r="BI13" s="981">
        <v>3</v>
      </c>
      <c r="BJ13" s="652">
        <f t="shared" si="40"/>
        <v>13</v>
      </c>
      <c r="BK13" s="981">
        <v>5</v>
      </c>
      <c r="BL13" s="982">
        <f t="shared" ref="BL13" si="85">BK13+BI13</f>
        <v>8</v>
      </c>
      <c r="BM13" s="983">
        <f t="shared" ref="BM13" si="86">BL13+BH13</f>
        <v>18</v>
      </c>
      <c r="BN13" s="981">
        <v>3</v>
      </c>
      <c r="BO13" s="981">
        <v>5</v>
      </c>
      <c r="BP13" s="982">
        <f t="shared" ref="BP13" si="87">BO13+BK13</f>
        <v>10</v>
      </c>
      <c r="BQ13" s="981">
        <v>5</v>
      </c>
      <c r="BR13" s="652">
        <f t="shared" si="44"/>
        <v>15</v>
      </c>
      <c r="BS13" s="981">
        <v>6</v>
      </c>
      <c r="BT13" s="982">
        <f t="shared" ref="BT13" si="88">BS13+BQ13</f>
        <v>11</v>
      </c>
      <c r="BU13" s="983">
        <f t="shared" ref="BU13" si="89">BT13+BP13</f>
        <v>21</v>
      </c>
      <c r="BV13" s="981">
        <v>5</v>
      </c>
      <c r="BW13" s="981">
        <v>5</v>
      </c>
      <c r="BX13" s="652">
        <f t="shared" si="47"/>
        <v>10</v>
      </c>
      <c r="BY13" s="981">
        <v>5</v>
      </c>
      <c r="BZ13" s="652">
        <f t="shared" si="48"/>
        <v>15</v>
      </c>
      <c r="CA13" s="981">
        <v>5</v>
      </c>
      <c r="CB13" s="982">
        <f t="shared" ref="CB13" si="90">CA13+BY13</f>
        <v>10</v>
      </c>
      <c r="CC13" s="983">
        <f t="shared" ref="CC13" si="91">CB13+BX13</f>
        <v>20</v>
      </c>
      <c r="CD13" s="981">
        <v>4</v>
      </c>
      <c r="CE13" s="981">
        <v>5</v>
      </c>
      <c r="CF13" s="652">
        <f t="shared" ref="CF13:CH13" si="92">CD13+CE13</f>
        <v>9</v>
      </c>
      <c r="CG13" s="981">
        <v>2</v>
      </c>
      <c r="CH13" s="652">
        <f t="shared" si="92"/>
        <v>11</v>
      </c>
      <c r="CI13" s="981">
        <v>7</v>
      </c>
      <c r="CJ13" s="982">
        <f t="shared" ref="CJ13" si="93">CI13+CG13</f>
        <v>9</v>
      </c>
      <c r="CK13" s="983">
        <f>INDEX('Income Statement'!8:8, MATCH('Interim (New)'!CK$1,'Income Statement'!$3:$3,0))</f>
        <v>18</v>
      </c>
      <c r="CL13" s="981">
        <v>4</v>
      </c>
      <c r="CM13" s="981">
        <v>4</v>
      </c>
      <c r="CN13" s="652">
        <f t="shared" ref="CN13:CP13" si="94">CL13+CM13</f>
        <v>8</v>
      </c>
      <c r="CO13" s="981">
        <v>4</v>
      </c>
      <c r="CP13" s="652">
        <f t="shared" si="94"/>
        <v>12</v>
      </c>
      <c r="CQ13" s="981">
        <v>4</v>
      </c>
      <c r="CR13" s="982">
        <f t="shared" ref="CR13" si="95">CQ13+CO13</f>
        <v>8</v>
      </c>
      <c r="CS13" s="983">
        <f>INDEX('Income Statement'!8:8, MATCH('Interim (New)'!CS$1,'Income Statement'!$3:$3,0))</f>
        <v>16</v>
      </c>
      <c r="CT13" s="981">
        <v>2</v>
      </c>
      <c r="CU13" s="981">
        <v>3</v>
      </c>
      <c r="CV13" s="652">
        <f t="shared" ref="CV13" si="96">CT13+CU13</f>
        <v>5</v>
      </c>
      <c r="CW13" s="981">
        <v>3</v>
      </c>
      <c r="CX13" s="652">
        <f t="shared" ref="CX13" si="97">CV13+CW13</f>
        <v>8</v>
      </c>
      <c r="CY13" s="981">
        <v>3</v>
      </c>
      <c r="CZ13" s="982">
        <f t="shared" ref="CZ13" si="98">CY13+CW13</f>
        <v>6</v>
      </c>
      <c r="DA13" s="983">
        <f>INDEX('Income Statement'!8:8, MATCH('Interim (New)'!DA$1,'Income Statement'!$3:$3,0))</f>
        <v>11</v>
      </c>
      <c r="DB13" s="981">
        <v>3</v>
      </c>
      <c r="DC13" s="981">
        <v>2</v>
      </c>
      <c r="DD13" s="652">
        <f t="shared" ref="DD13" si="99">DB13+DC13</f>
        <v>5</v>
      </c>
      <c r="DE13" s="981">
        <v>2</v>
      </c>
      <c r="DF13" s="652">
        <f t="shared" ref="DF13" si="100">DD13+DE13</f>
        <v>7</v>
      </c>
      <c r="DG13" s="981">
        <v>2</v>
      </c>
      <c r="DH13" s="982">
        <f t="shared" ref="DH13" si="101">DG13+DE13</f>
        <v>4</v>
      </c>
      <c r="DI13" s="983">
        <f>INDEX('Income Statement'!8:8, MATCH('Interim (New)'!DI$1,'Income Statement'!$3:$3,0))</f>
        <v>10</v>
      </c>
      <c r="DJ13" s="981">
        <v>2</v>
      </c>
      <c r="DK13" s="981">
        <v>2</v>
      </c>
      <c r="DL13" s="652">
        <f t="shared" si="68"/>
        <v>4</v>
      </c>
      <c r="DM13" s="981">
        <v>2</v>
      </c>
      <c r="DN13" s="652">
        <f>DL13+DM13</f>
        <v>6</v>
      </c>
      <c r="DO13" s="652">
        <f t="shared" si="69"/>
        <v>4</v>
      </c>
      <c r="DP13" s="652">
        <f t="shared" si="70"/>
        <v>6</v>
      </c>
      <c r="DQ13" s="983">
        <f>INDEX('Income Statement'!8:8, MATCH('Interim (New)'!DQ$1,'Income Statement'!$3:$3,0))</f>
        <v>10</v>
      </c>
      <c r="DR13" s="982">
        <f>(DB13/$DI$13)*$DY$13</f>
        <v>3</v>
      </c>
      <c r="DS13" s="982">
        <f t="shared" ref="DS13:DX13" si="102">(DC13/$DI$13)*$DY$13</f>
        <v>2</v>
      </c>
      <c r="DT13" s="982">
        <f t="shared" si="102"/>
        <v>5</v>
      </c>
      <c r="DU13" s="982">
        <f t="shared" si="102"/>
        <v>2</v>
      </c>
      <c r="DV13" s="982">
        <f t="shared" si="102"/>
        <v>7</v>
      </c>
      <c r="DW13" s="982">
        <f t="shared" si="102"/>
        <v>2</v>
      </c>
      <c r="DX13" s="982">
        <f t="shared" si="102"/>
        <v>4</v>
      </c>
      <c r="DY13" s="983">
        <f>INDEX('Income Statement'!8:8, MATCH('Interim (New)'!DY$1,'Income Statement'!$3:$3,0))</f>
        <v>10</v>
      </c>
      <c r="EM13" s="1419"/>
    </row>
    <row r="14" spans="1:143" ht="14.25" hidden="1" customHeight="1" outlineLevel="1">
      <c r="A14" s="19" t="s">
        <v>897</v>
      </c>
      <c r="B14" s="980"/>
      <c r="C14" s="981"/>
      <c r="D14" s="652"/>
      <c r="E14" s="981"/>
      <c r="F14" s="652"/>
      <c r="G14" s="981"/>
      <c r="H14" s="981"/>
      <c r="I14" s="985"/>
      <c r="J14" s="981"/>
      <c r="K14" s="981"/>
      <c r="L14" s="652"/>
      <c r="M14" s="981"/>
      <c r="N14" s="652"/>
      <c r="O14" s="981"/>
      <c r="P14" s="981"/>
      <c r="Q14" s="985"/>
      <c r="R14" s="981"/>
      <c r="S14" s="981"/>
      <c r="T14" s="652"/>
      <c r="U14" s="981"/>
      <c r="V14" s="652"/>
      <c r="W14" s="981"/>
      <c r="X14" s="981"/>
      <c r="Y14" s="985"/>
      <c r="Z14" s="981"/>
      <c r="AA14" s="981"/>
      <c r="AB14" s="652"/>
      <c r="AC14" s="981"/>
      <c r="AD14" s="652"/>
      <c r="AE14" s="981"/>
      <c r="AF14" s="981"/>
      <c r="AG14" s="985"/>
      <c r="AH14" s="981"/>
      <c r="AI14" s="981"/>
      <c r="AJ14" s="652"/>
      <c r="AK14" s="981"/>
      <c r="AL14" s="652"/>
      <c r="AM14" s="981"/>
      <c r="AN14" s="981"/>
      <c r="AO14" s="985"/>
      <c r="AP14" s="981"/>
      <c r="AQ14" s="981"/>
      <c r="AR14" s="652"/>
      <c r="AS14" s="981"/>
      <c r="AT14" s="652"/>
      <c r="AU14" s="981"/>
      <c r="AV14" s="981"/>
      <c r="AW14" s="985"/>
      <c r="AX14" s="981"/>
      <c r="AY14" s="981"/>
      <c r="AZ14" s="652"/>
      <c r="BA14" s="981"/>
      <c r="BB14" s="652"/>
      <c r="BC14" s="981"/>
      <c r="BD14" s="981"/>
      <c r="BE14" s="985"/>
      <c r="BF14" s="981"/>
      <c r="BG14" s="981"/>
      <c r="BH14" s="652"/>
      <c r="BI14" s="981"/>
      <c r="BJ14" s="652"/>
      <c r="BK14" s="981"/>
      <c r="BL14" s="981"/>
      <c r="BM14" s="985"/>
      <c r="BN14" s="981"/>
      <c r="BO14" s="981"/>
      <c r="BP14" s="652"/>
      <c r="BQ14" s="981"/>
      <c r="BR14" s="652"/>
      <c r="BS14" s="981"/>
      <c r="BT14" s="981"/>
      <c r="BU14" s="985"/>
      <c r="BV14" s="981"/>
      <c r="BW14" s="981"/>
      <c r="BX14" s="652"/>
      <c r="BY14" s="981"/>
      <c r="BZ14" s="652"/>
      <c r="CA14" s="981"/>
      <c r="CB14" s="981"/>
      <c r="CC14" s="985"/>
      <c r="CD14" s="981"/>
      <c r="CE14" s="981"/>
      <c r="CF14" s="652"/>
      <c r="CG14" s="981"/>
      <c r="CH14" s="981"/>
      <c r="CI14" s="981"/>
      <c r="CJ14" s="981"/>
      <c r="CK14" s="985"/>
      <c r="CL14" s="981"/>
      <c r="CM14" s="981"/>
      <c r="CN14" s="652"/>
      <c r="CO14" s="981"/>
      <c r="CP14" s="652"/>
      <c r="CQ14" s="981"/>
      <c r="CR14" s="981"/>
      <c r="CS14" s="985"/>
      <c r="CT14" s="981"/>
      <c r="CU14" s="981"/>
      <c r="CV14" s="652"/>
      <c r="CW14" s="981"/>
      <c r="CX14" s="652"/>
      <c r="CY14" s="981"/>
      <c r="CZ14" s="981"/>
      <c r="DA14" s="985"/>
      <c r="DB14" s="981"/>
      <c r="DC14" s="981"/>
      <c r="DD14" s="652"/>
      <c r="DE14" s="981"/>
      <c r="DF14" s="652"/>
      <c r="DG14" s="981"/>
      <c r="DH14" s="981"/>
      <c r="DI14" s="985"/>
      <c r="DJ14" s="280"/>
      <c r="DQ14" s="985"/>
      <c r="DR14" s="280"/>
      <c r="DT14" s="987"/>
      <c r="DY14" s="985"/>
      <c r="EM14" s="1419"/>
    </row>
    <row r="15" spans="1:143" ht="14.25" hidden="1" customHeight="1" outlineLevel="1">
      <c r="A15" s="19" t="s">
        <v>743</v>
      </c>
      <c r="B15" s="980"/>
      <c r="C15" s="981"/>
      <c r="D15" s="652"/>
      <c r="E15" s="981"/>
      <c r="F15" s="652"/>
      <c r="G15" s="981"/>
      <c r="H15" s="981"/>
      <c r="I15" s="985"/>
      <c r="J15" s="981"/>
      <c r="K15" s="981"/>
      <c r="L15" s="652"/>
      <c r="M15" s="981"/>
      <c r="N15" s="652"/>
      <c r="O15" s="981"/>
      <c r="P15" s="981"/>
      <c r="Q15" s="985"/>
      <c r="R15" s="981"/>
      <c r="S15" s="981"/>
      <c r="T15" s="652"/>
      <c r="U15" s="981"/>
      <c r="V15" s="652"/>
      <c r="W15" s="981"/>
      <c r="X15" s="981"/>
      <c r="Y15" s="985"/>
      <c r="Z15" s="981"/>
      <c r="AA15" s="981"/>
      <c r="AB15" s="652"/>
      <c r="AC15" s="981"/>
      <c r="AD15" s="652"/>
      <c r="AE15" s="981"/>
      <c r="AF15" s="981"/>
      <c r="AG15" s="985"/>
      <c r="AH15" s="981"/>
      <c r="AI15" s="981"/>
      <c r="AJ15" s="652"/>
      <c r="AK15" s="981"/>
      <c r="AL15" s="652"/>
      <c r="AM15" s="981"/>
      <c r="AN15" s="981"/>
      <c r="AO15" s="985"/>
      <c r="AP15" s="981"/>
      <c r="AQ15" s="981"/>
      <c r="AR15" s="652"/>
      <c r="AS15" s="981"/>
      <c r="AT15" s="652"/>
      <c r="AU15" s="981"/>
      <c r="AV15" s="981"/>
      <c r="AW15" s="985"/>
      <c r="AX15" s="981"/>
      <c r="AY15" s="981"/>
      <c r="AZ15" s="652"/>
      <c r="BA15" s="981"/>
      <c r="BB15" s="652"/>
      <c r="BC15" s="981"/>
      <c r="BD15" s="981"/>
      <c r="BE15" s="985"/>
      <c r="BF15" s="981"/>
      <c r="BG15" s="981"/>
      <c r="BH15" s="652"/>
      <c r="BI15" s="981"/>
      <c r="BJ15" s="652"/>
      <c r="BK15" s="981"/>
      <c r="BL15" s="981"/>
      <c r="BM15" s="985"/>
      <c r="BN15" s="981"/>
      <c r="BO15" s="981"/>
      <c r="BP15" s="652"/>
      <c r="BQ15" s="981"/>
      <c r="BR15" s="652"/>
      <c r="BS15" s="981"/>
      <c r="BT15" s="981"/>
      <c r="BU15" s="985"/>
      <c r="BV15" s="981"/>
      <c r="BW15" s="981"/>
      <c r="BX15" s="652"/>
      <c r="BY15" s="981"/>
      <c r="BZ15" s="652"/>
      <c r="CA15" s="981"/>
      <c r="CB15" s="981"/>
      <c r="CC15" s="985"/>
      <c r="CD15" s="981"/>
      <c r="CE15" s="981"/>
      <c r="CF15" s="652"/>
      <c r="CG15" s="981"/>
      <c r="CH15" s="981"/>
      <c r="CI15" s="981"/>
      <c r="CJ15" s="981"/>
      <c r="CL15" s="981"/>
      <c r="CM15" s="981"/>
      <c r="CN15" s="652"/>
      <c r="CO15" s="981"/>
      <c r="CP15" s="652"/>
      <c r="CQ15" s="981"/>
      <c r="CR15" s="981"/>
      <c r="CT15" s="981"/>
      <c r="CU15" s="981"/>
      <c r="CV15" s="652"/>
      <c r="CW15" s="981"/>
      <c r="CX15" s="652"/>
      <c r="CY15" s="981"/>
      <c r="CZ15" s="981"/>
      <c r="DB15" s="981"/>
      <c r="DC15" s="981"/>
      <c r="DD15" s="652"/>
      <c r="DE15" s="981"/>
      <c r="DF15" s="652"/>
      <c r="DG15" s="981"/>
      <c r="DH15" s="981"/>
      <c r="DJ15" s="280"/>
      <c r="DR15" s="280"/>
      <c r="DT15" s="987"/>
      <c r="EM15" s="1419"/>
    </row>
    <row r="16" spans="1:143" s="276" customFormat="1" ht="11.25" collapsed="1">
      <c r="A16" s="967" t="s">
        <v>916</v>
      </c>
      <c r="B16" s="968">
        <f t="shared" ref="B16:AM16" si="103">SUM(B6:B15)</f>
        <v>2681</v>
      </c>
      <c r="C16" s="969">
        <f t="shared" si="103"/>
        <v>2933</v>
      </c>
      <c r="D16" s="969">
        <f t="shared" si="11"/>
        <v>5614</v>
      </c>
      <c r="E16" s="969">
        <f t="shared" si="103"/>
        <v>2736</v>
      </c>
      <c r="F16" s="969">
        <f t="shared" si="12"/>
        <v>8350</v>
      </c>
      <c r="G16" s="969">
        <f t="shared" ref="G16" si="104">SUM(G6:G15)</f>
        <v>3386</v>
      </c>
      <c r="H16" s="969">
        <f t="shared" si="13"/>
        <v>6122</v>
      </c>
      <c r="I16" s="970">
        <f t="shared" si="14"/>
        <v>11736</v>
      </c>
      <c r="J16" s="968">
        <f t="shared" si="103"/>
        <v>3108</v>
      </c>
      <c r="K16" s="969">
        <f t="shared" si="103"/>
        <v>3305</v>
      </c>
      <c r="L16" s="969">
        <f t="shared" si="15"/>
        <v>6413</v>
      </c>
      <c r="M16" s="969">
        <f t="shared" si="103"/>
        <v>3134</v>
      </c>
      <c r="N16" s="969">
        <f t="shared" si="16"/>
        <v>9547</v>
      </c>
      <c r="O16" s="969">
        <f t="shared" si="103"/>
        <v>4013</v>
      </c>
      <c r="P16" s="969">
        <f t="shared" ref="P16" si="105">O16+M16</f>
        <v>7147</v>
      </c>
      <c r="Q16" s="970">
        <f t="shared" ref="Q16" si="106">P16+L16</f>
        <v>13560</v>
      </c>
      <c r="R16" s="969">
        <f t="shared" si="103"/>
        <v>3333</v>
      </c>
      <c r="S16" s="969">
        <f t="shared" si="103"/>
        <v>3574</v>
      </c>
      <c r="T16" s="969">
        <f t="shared" si="19"/>
        <v>6907</v>
      </c>
      <c r="U16" s="969">
        <f t="shared" si="103"/>
        <v>3361</v>
      </c>
      <c r="V16" s="969">
        <f t="shared" si="20"/>
        <v>10268</v>
      </c>
      <c r="W16" s="969">
        <f t="shared" si="103"/>
        <v>4095</v>
      </c>
      <c r="X16" s="969">
        <f t="shared" ref="X16" si="107">W16+U16</f>
        <v>7456</v>
      </c>
      <c r="Y16" s="970">
        <f t="shared" ref="Y16" si="108">X16+T16</f>
        <v>14363</v>
      </c>
      <c r="Z16" s="969">
        <f t="shared" si="103"/>
        <v>3443</v>
      </c>
      <c r="AA16" s="969">
        <f t="shared" si="103"/>
        <v>3765</v>
      </c>
      <c r="AB16" s="969">
        <f t="shared" si="23"/>
        <v>7208</v>
      </c>
      <c r="AC16" s="969">
        <f t="shared" si="103"/>
        <v>3589</v>
      </c>
      <c r="AD16" s="969">
        <f t="shared" si="24"/>
        <v>10797</v>
      </c>
      <c r="AE16" s="969">
        <f t="shared" si="103"/>
        <v>4558</v>
      </c>
      <c r="AF16" s="969">
        <f t="shared" ref="AF16" si="109">AE16+AC16</f>
        <v>8147</v>
      </c>
      <c r="AG16" s="970">
        <f t="shared" ref="AG16" si="110">AF16+AB16</f>
        <v>15355</v>
      </c>
      <c r="AH16" s="969">
        <f t="shared" si="103"/>
        <v>3935</v>
      </c>
      <c r="AI16" s="969">
        <f t="shared" si="103"/>
        <v>4468</v>
      </c>
      <c r="AJ16" s="969">
        <f t="shared" si="27"/>
        <v>8403</v>
      </c>
      <c r="AK16" s="969">
        <f t="shared" si="103"/>
        <v>4141</v>
      </c>
      <c r="AL16" s="969">
        <f t="shared" si="28"/>
        <v>12544</v>
      </c>
      <c r="AM16" s="969">
        <f t="shared" si="103"/>
        <v>4870</v>
      </c>
      <c r="AN16" s="969">
        <f t="shared" ref="AN16" si="111">AM16+AK16</f>
        <v>9011</v>
      </c>
      <c r="AO16" s="970">
        <f t="shared" ref="AO16" si="112">AN16+AJ16</f>
        <v>17414</v>
      </c>
      <c r="AP16" s="969">
        <f>SUM(AP6:AP15)-AP12</f>
        <v>3791</v>
      </c>
      <c r="AQ16" s="969">
        <f>SUM(AQ6:AQ15)-AQ12</f>
        <v>4196</v>
      </c>
      <c r="AR16" s="969">
        <f t="shared" si="31"/>
        <v>7987</v>
      </c>
      <c r="AS16" s="969">
        <f>SUM(AS6:AS15)-AS12</f>
        <v>3517</v>
      </c>
      <c r="AT16" s="969">
        <f t="shared" si="32"/>
        <v>11504</v>
      </c>
      <c r="AU16" s="969">
        <f>SUM(AU6:AU15)-AU12</f>
        <v>4274</v>
      </c>
      <c r="AV16" s="969">
        <f t="shared" ref="AV16" si="113">AU16+AS16</f>
        <v>7791</v>
      </c>
      <c r="AW16" s="970">
        <f t="shared" ref="AW16" si="114">AV16+AR16</f>
        <v>15778</v>
      </c>
      <c r="AX16" s="969">
        <f>SUM(AX6:AX15)</f>
        <v>3982</v>
      </c>
      <c r="AY16" s="969">
        <f>SUM(AY6:AY15)</f>
        <v>4056</v>
      </c>
      <c r="AZ16" s="969">
        <f t="shared" si="35"/>
        <v>8038</v>
      </c>
      <c r="BA16" s="969">
        <f>SUM(BA6:BA15)</f>
        <v>3815</v>
      </c>
      <c r="BB16" s="969">
        <f t="shared" si="36"/>
        <v>11853</v>
      </c>
      <c r="BC16" s="969">
        <f>SUM(BC6:BC15)</f>
        <v>4100</v>
      </c>
      <c r="BD16" s="969">
        <f t="shared" ref="BD16" si="115">BC16+BA16</f>
        <v>7915</v>
      </c>
      <c r="BE16" s="970">
        <f t="shared" ref="BE16" si="116">BD16+AZ16</f>
        <v>15953</v>
      </c>
      <c r="BF16" s="969">
        <f t="shared" ref="BF16:CL16" si="117">SUM(BF10:BF15,BF6)</f>
        <v>4222</v>
      </c>
      <c r="BG16" s="969">
        <f t="shared" si="117"/>
        <v>5285</v>
      </c>
      <c r="BH16" s="969">
        <f t="shared" si="39"/>
        <v>9507</v>
      </c>
      <c r="BI16" s="969">
        <f t="shared" si="117"/>
        <v>5348</v>
      </c>
      <c r="BJ16" s="969">
        <f t="shared" si="40"/>
        <v>14855</v>
      </c>
      <c r="BK16" s="969">
        <f t="shared" si="117"/>
        <v>6195</v>
      </c>
      <c r="BL16" s="969">
        <f t="shared" ref="BL16" si="118">BK16+BI16</f>
        <v>11543</v>
      </c>
      <c r="BM16" s="970">
        <f t="shared" ref="BM16" si="119">BL16+BH16</f>
        <v>21050</v>
      </c>
      <c r="BN16" s="969">
        <f t="shared" si="117"/>
        <v>5781</v>
      </c>
      <c r="BO16" s="969">
        <f t="shared" si="117"/>
        <v>6322</v>
      </c>
      <c r="BP16" s="969">
        <f t="shared" si="43"/>
        <v>12103</v>
      </c>
      <c r="BQ16" s="969">
        <f t="shared" si="117"/>
        <v>6095</v>
      </c>
      <c r="BR16" s="969">
        <f t="shared" si="44"/>
        <v>18198</v>
      </c>
      <c r="BS16" s="969">
        <f t="shared" si="117"/>
        <v>6443</v>
      </c>
      <c r="BT16" s="969">
        <f t="shared" ref="BT16" si="120">BS16+BQ16</f>
        <v>12538</v>
      </c>
      <c r="BU16" s="970">
        <f t="shared" ref="BU16" si="121">BT16+BP16</f>
        <v>24641</v>
      </c>
      <c r="BV16" s="969">
        <f t="shared" si="117"/>
        <v>5383</v>
      </c>
      <c r="BW16" s="969">
        <f t="shared" si="117"/>
        <v>3384</v>
      </c>
      <c r="BX16" s="969">
        <f t="shared" si="47"/>
        <v>8767</v>
      </c>
      <c r="BY16" s="969">
        <f t="shared" si="117"/>
        <v>3382</v>
      </c>
      <c r="BZ16" s="969">
        <f t="shared" si="48"/>
        <v>12149</v>
      </c>
      <c r="CA16" s="969">
        <f t="shared" si="117"/>
        <v>4349</v>
      </c>
      <c r="CB16" s="969">
        <f t="shared" ref="CB16" si="122">CA16+BY16</f>
        <v>7731</v>
      </c>
      <c r="CC16" s="970">
        <f t="shared" ref="CC16" si="123">CB16+BX16</f>
        <v>16498</v>
      </c>
      <c r="CD16" s="969">
        <f t="shared" si="117"/>
        <v>3342</v>
      </c>
      <c r="CE16" s="969">
        <f t="shared" si="117"/>
        <v>3534</v>
      </c>
      <c r="CF16" s="969">
        <f t="shared" si="51"/>
        <v>6876</v>
      </c>
      <c r="CG16" s="969">
        <f t="shared" si="117"/>
        <v>3734</v>
      </c>
      <c r="CH16" s="969">
        <f t="shared" si="51"/>
        <v>10610</v>
      </c>
      <c r="CI16" s="969">
        <f t="shared" si="117"/>
        <v>4647</v>
      </c>
      <c r="CJ16" s="969">
        <f t="shared" ref="CJ16" si="124">CI16+CG16</f>
        <v>8381</v>
      </c>
      <c r="CK16" s="1148">
        <f>INDEX('Income Statement'!9:9, MATCH('Interim (New)'!CK$1,'Income Statement'!$3:$3,0))</f>
        <v>15257</v>
      </c>
      <c r="CL16" s="969">
        <f t="shared" si="117"/>
        <v>4071</v>
      </c>
      <c r="CM16" s="969">
        <v>4489</v>
      </c>
      <c r="CN16" s="969">
        <f t="shared" si="60"/>
        <v>8560</v>
      </c>
      <c r="CO16" s="969">
        <f>SUM(CO10:CO15,CO6)</f>
        <v>4849</v>
      </c>
      <c r="CP16" s="969">
        <f t="shared" si="60"/>
        <v>13409</v>
      </c>
      <c r="CQ16" s="969">
        <v>5626</v>
      </c>
      <c r="CR16" s="969">
        <f t="shared" ref="CR16" si="125">CQ16+CO16</f>
        <v>10475</v>
      </c>
      <c r="CS16" s="1148">
        <f>INDEX('Income Statement'!9:9, MATCH('Interim (New)'!CS$1,'Income Statement'!$3:$3,0))</f>
        <v>19035</v>
      </c>
      <c r="CT16" s="969">
        <f>SUM(CT10:CT15,CT6)</f>
        <v>5266</v>
      </c>
      <c r="CU16" s="969">
        <v>5679</v>
      </c>
      <c r="CV16" s="969">
        <f t="shared" si="62"/>
        <v>10945</v>
      </c>
      <c r="CW16" s="969">
        <f>SUM(CW10:CW15,CW6)</f>
        <v>5825</v>
      </c>
      <c r="CX16" s="969">
        <f t="shared" si="63"/>
        <v>16770</v>
      </c>
      <c r="CY16" s="969">
        <v>6429</v>
      </c>
      <c r="CZ16" s="969">
        <f t="shared" ref="CZ16" si="126">CY16+CW16</f>
        <v>12254</v>
      </c>
      <c r="DA16" s="1148">
        <f>INDEX('Income Statement'!9:9, MATCH('Interim (New)'!DA$1,'Income Statement'!$3:$3,0))</f>
        <v>23199</v>
      </c>
      <c r="DB16" s="969">
        <f>SUM(DB10:DB15,DB6)</f>
        <v>6220</v>
      </c>
      <c r="DC16" s="969">
        <v>6827</v>
      </c>
      <c r="DD16" s="969">
        <f t="shared" si="65"/>
        <v>13047</v>
      </c>
      <c r="DE16" s="969">
        <f>SUM(DE10:DE15,DE6)</f>
        <v>6639</v>
      </c>
      <c r="DF16" s="969">
        <f t="shared" si="66"/>
        <v>19686</v>
      </c>
      <c r="DG16" s="969">
        <v>7630</v>
      </c>
      <c r="DH16" s="969">
        <f t="shared" ref="DH16" si="127">DG16+DE16</f>
        <v>14269</v>
      </c>
      <c r="DI16" s="1148">
        <f>INDEX('Income Statement'!9:9, MATCH('Interim (New)'!DI$1,'Income Statement'!$3:$3,0))</f>
        <v>27317</v>
      </c>
      <c r="DJ16" s="969">
        <f>SUM(DJ10:DJ15,DJ6)</f>
        <v>7257</v>
      </c>
      <c r="DK16" s="969">
        <f>SUM(DK10:DK15,DK6)-1</f>
        <v>7512</v>
      </c>
      <c r="DL16" s="969">
        <f>SUM(DL10:DL15,DL6)-1</f>
        <v>14769</v>
      </c>
      <c r="DM16" s="969">
        <f t="shared" ref="DM16:DP16" si="128">SUM(DM10:DM15,DM6)</f>
        <v>7852</v>
      </c>
      <c r="DN16" s="969">
        <f t="shared" si="128"/>
        <v>22622</v>
      </c>
      <c r="DO16" s="969">
        <f t="shared" si="128"/>
        <v>8934.568615283004</v>
      </c>
      <c r="DP16" s="969">
        <f t="shared" si="128"/>
        <v>16786.568615283002</v>
      </c>
      <c r="DQ16" s="1148">
        <f>INDEX('Income Statement'!9:9, MATCH('Interim (New)'!DQ$1,'Income Statement'!$3:$3,0))</f>
        <v>31556.568615283002</v>
      </c>
      <c r="DR16" s="969">
        <f>(DB16/$DI$16)*$DY$16</f>
        <v>8118.2491363013378</v>
      </c>
      <c r="DS16" s="969">
        <f t="shared" ref="DS16:DX16" si="129">(DC16/$DI$16)*$DY$16</f>
        <v>8910.4962787024488</v>
      </c>
      <c r="DT16" s="969">
        <f t="shared" si="129"/>
        <v>17028.745415003788</v>
      </c>
      <c r="DU16" s="969">
        <f t="shared" si="129"/>
        <v>8665.1215459653667</v>
      </c>
      <c r="DV16" s="969">
        <f t="shared" si="129"/>
        <v>25693.866960969153</v>
      </c>
      <c r="DW16" s="969">
        <f t="shared" si="129"/>
        <v>9958.5596318294556</v>
      </c>
      <c r="DX16" s="969">
        <f t="shared" si="129"/>
        <v>18623.681177794824</v>
      </c>
      <c r="DY16" s="1148">
        <f>INDEX('Income Statement'!9:9, MATCH('Interim (New)'!DY$1,'Income Statement'!$3:$3,0))</f>
        <v>35653.731777547211</v>
      </c>
      <c r="DZ16" s="969"/>
      <c r="EA16" s="969"/>
      <c r="EB16" s="969"/>
      <c r="EC16" s="969"/>
      <c r="ED16" s="969"/>
      <c r="EE16" s="969"/>
      <c r="EF16" s="969"/>
      <c r="EG16" s="1148"/>
      <c r="EM16" s="1419"/>
    </row>
    <row r="17" spans="1:143">
      <c r="A17" s="180"/>
      <c r="B17" s="986"/>
      <c r="C17" s="987"/>
      <c r="D17" s="987"/>
      <c r="E17" s="987"/>
      <c r="F17" s="987"/>
      <c r="G17" s="987"/>
      <c r="H17" s="987"/>
      <c r="I17" s="988"/>
      <c r="J17" s="987"/>
      <c r="K17" s="987"/>
      <c r="L17" s="987"/>
      <c r="M17" s="987"/>
      <c r="N17" s="987"/>
      <c r="O17" s="987"/>
      <c r="P17" s="987"/>
      <c r="Q17" s="988"/>
      <c r="R17" s="987"/>
      <c r="S17" s="987"/>
      <c r="T17" s="987"/>
      <c r="U17" s="987"/>
      <c r="V17" s="987"/>
      <c r="W17" s="987"/>
      <c r="X17" s="987"/>
      <c r="Y17" s="988"/>
      <c r="Z17" s="987"/>
      <c r="AA17" s="987"/>
      <c r="AB17" s="987"/>
      <c r="AC17" s="987"/>
      <c r="AD17" s="987"/>
      <c r="AE17" s="987"/>
      <c r="AF17" s="987"/>
      <c r="AG17" s="988"/>
      <c r="AH17" s="987"/>
      <c r="AI17" s="987"/>
      <c r="AJ17" s="987"/>
      <c r="AK17" s="987"/>
      <c r="AL17" s="987"/>
      <c r="AM17" s="987"/>
      <c r="AN17" s="987"/>
      <c r="AO17" s="988"/>
      <c r="AP17" s="987"/>
      <c r="AQ17" s="987"/>
      <c r="AR17" s="987"/>
      <c r="AS17" s="987"/>
      <c r="AT17" s="987"/>
      <c r="AU17" s="987"/>
      <c r="AV17" s="987"/>
      <c r="AW17" s="988"/>
      <c r="AX17" s="987"/>
      <c r="AY17" s="987"/>
      <c r="AZ17" s="987"/>
      <c r="BA17" s="987"/>
      <c r="BB17" s="987"/>
      <c r="BC17" s="987"/>
      <c r="BD17" s="987"/>
      <c r="BE17" s="988"/>
      <c r="BF17" s="987"/>
      <c r="BG17" s="987"/>
      <c r="BH17" s="987"/>
      <c r="BI17" s="987"/>
      <c r="BJ17" s="987"/>
      <c r="BK17" s="987"/>
      <c r="BL17" s="987"/>
      <c r="BM17" s="988"/>
      <c r="BN17" s="987"/>
      <c r="BO17" s="987"/>
      <c r="BP17" s="987"/>
      <c r="BQ17" s="987"/>
      <c r="BR17" s="987"/>
      <c r="BS17" s="987"/>
      <c r="BT17" s="987"/>
      <c r="BU17" s="988"/>
      <c r="BV17" s="987"/>
      <c r="BW17" s="987"/>
      <c r="BX17" s="987"/>
      <c r="BY17" s="987"/>
      <c r="BZ17" s="987"/>
      <c r="CA17" s="987"/>
      <c r="CB17" s="987"/>
      <c r="CC17" s="988"/>
      <c r="CD17" s="987"/>
      <c r="CE17" s="987"/>
      <c r="CF17" s="987"/>
      <c r="CG17" s="987"/>
      <c r="CH17" s="987"/>
      <c r="CI17" s="987"/>
      <c r="CJ17" s="987"/>
      <c r="CK17" s="988"/>
      <c r="CL17" s="987"/>
      <c r="CM17" s="987"/>
      <c r="CN17" s="987"/>
      <c r="CO17" s="987"/>
      <c r="CP17" s="987"/>
      <c r="CQ17" s="987"/>
      <c r="CR17" s="987"/>
      <c r="CS17" s="988"/>
      <c r="CT17" s="987"/>
      <c r="CU17" s="987"/>
      <c r="CV17" s="987"/>
      <c r="CW17" s="987"/>
      <c r="CX17" s="987"/>
      <c r="CY17" s="987"/>
      <c r="CZ17" s="987"/>
      <c r="DA17" s="988"/>
      <c r="DB17" s="987"/>
      <c r="DC17" s="987"/>
      <c r="DD17" s="987"/>
      <c r="DE17" s="987"/>
      <c r="DF17" s="987"/>
      <c r="DG17" s="1316"/>
      <c r="DH17" s="987"/>
      <c r="DI17" s="988"/>
      <c r="DO17" s="1316"/>
      <c r="DR17"/>
      <c r="DT17" s="987"/>
      <c r="EM17" s="1419"/>
    </row>
    <row r="18" spans="1:143">
      <c r="A18" s="258" t="s">
        <v>1552</v>
      </c>
      <c r="B18" s="989"/>
      <c r="C18" s="990"/>
      <c r="D18" s="990"/>
      <c r="E18" s="990"/>
      <c r="F18" s="990"/>
      <c r="G18" s="990"/>
      <c r="H18" s="990"/>
      <c r="I18" s="991"/>
      <c r="J18" s="990"/>
      <c r="K18" s="990"/>
      <c r="L18" s="990"/>
      <c r="M18" s="990"/>
      <c r="N18" s="990"/>
      <c r="O18" s="990"/>
      <c r="P18" s="990"/>
      <c r="Q18" s="991"/>
      <c r="R18" s="990"/>
      <c r="S18" s="990"/>
      <c r="T18" s="990"/>
      <c r="U18" s="990"/>
      <c r="V18" s="990"/>
      <c r="W18" s="990"/>
      <c r="X18" s="990"/>
      <c r="Y18" s="991"/>
      <c r="Z18" s="990"/>
      <c r="AA18" s="990"/>
      <c r="AB18" s="990"/>
      <c r="AC18" s="990"/>
      <c r="AD18" s="990"/>
      <c r="AE18" s="990"/>
      <c r="AF18" s="990"/>
      <c r="AG18" s="991"/>
      <c r="AH18" s="990"/>
      <c r="AI18" s="990"/>
      <c r="AJ18" s="990"/>
      <c r="AK18" s="990"/>
      <c r="AL18" s="990"/>
      <c r="AM18" s="990"/>
      <c r="AN18" s="990"/>
      <c r="AO18" s="991"/>
      <c r="AP18" s="990"/>
      <c r="AQ18" s="990"/>
      <c r="AR18" s="990"/>
      <c r="AS18" s="990"/>
      <c r="AT18" s="990"/>
      <c r="AU18" s="990"/>
      <c r="AV18" s="990"/>
      <c r="AW18" s="991"/>
      <c r="AX18" s="990"/>
      <c r="AY18" s="990"/>
      <c r="AZ18" s="990"/>
      <c r="BA18" s="990"/>
      <c r="BB18" s="990"/>
      <c r="BC18" s="990"/>
      <c r="BD18" s="990"/>
      <c r="BE18" s="991"/>
      <c r="BF18" s="990"/>
      <c r="BG18" s="990"/>
      <c r="BH18" s="990"/>
      <c r="BI18" s="990"/>
      <c r="BJ18" s="990"/>
      <c r="BK18" s="990"/>
      <c r="BL18" s="990"/>
      <c r="BM18" s="991"/>
      <c r="BN18" s="990"/>
      <c r="BO18" s="990"/>
      <c r="BP18" s="990"/>
      <c r="BQ18" s="990"/>
      <c r="BR18" s="990"/>
      <c r="BS18" s="990"/>
      <c r="BT18" s="990"/>
      <c r="BU18" s="991"/>
      <c r="BV18" s="990"/>
      <c r="BW18" s="990"/>
      <c r="BX18" s="990"/>
      <c r="BY18" s="990"/>
      <c r="BZ18" s="990"/>
      <c r="CA18" s="990"/>
      <c r="CB18" s="990"/>
      <c r="CC18" s="991"/>
      <c r="CD18" s="990"/>
      <c r="CE18" s="990"/>
      <c r="CF18" s="990"/>
      <c r="CG18" s="990"/>
      <c r="CH18" s="990"/>
      <c r="CI18" s="990"/>
      <c r="CJ18" s="990"/>
      <c r="CK18" s="991"/>
      <c r="CL18" s="990"/>
      <c r="CM18" s="990"/>
      <c r="CN18" s="990"/>
      <c r="CO18" s="990"/>
      <c r="CP18" s="990"/>
      <c r="CQ18" s="990"/>
      <c r="CR18" s="990"/>
      <c r="CS18" s="991"/>
      <c r="CT18" s="990"/>
      <c r="CU18" s="990"/>
      <c r="CV18" s="990"/>
      <c r="CW18" s="990"/>
      <c r="CX18" s="990"/>
      <c r="CY18" s="990"/>
      <c r="CZ18" s="990"/>
      <c r="DA18" s="991"/>
      <c r="DB18" s="990"/>
      <c r="DC18" s="990"/>
      <c r="DD18" s="990"/>
      <c r="DE18" s="990"/>
      <c r="DF18" s="990"/>
      <c r="DG18" s="990"/>
      <c r="DH18" s="990"/>
      <c r="DI18" s="991"/>
      <c r="DJ18" s="258"/>
      <c r="DK18" s="258"/>
      <c r="DL18" s="990"/>
      <c r="DM18" s="258"/>
      <c r="DN18" s="258"/>
      <c r="DO18" s="258"/>
      <c r="DP18" s="258"/>
      <c r="DQ18" s="965"/>
      <c r="DR18" s="258"/>
      <c r="DS18" s="258"/>
      <c r="DT18" s="990"/>
      <c r="DU18" s="258"/>
      <c r="DV18" s="258"/>
      <c r="DW18" s="258"/>
      <c r="DX18" s="258"/>
      <c r="DY18" s="965"/>
      <c r="DZ18" s="258"/>
      <c r="EA18" s="258"/>
      <c r="EB18" s="258"/>
      <c r="EC18" s="258"/>
      <c r="ED18" s="258"/>
      <c r="EE18" s="258"/>
      <c r="EF18" s="258"/>
      <c r="EG18" s="965"/>
      <c r="EM18" s="1419"/>
    </row>
    <row r="19" spans="1:143">
      <c r="A19" s="19" t="s">
        <v>900</v>
      </c>
      <c r="B19" s="980"/>
      <c r="C19" s="981"/>
      <c r="D19" s="981"/>
      <c r="E19" s="981"/>
      <c r="F19" s="981"/>
      <c r="G19" s="981"/>
      <c r="H19" s="981"/>
      <c r="I19" s="985"/>
      <c r="J19" s="981"/>
      <c r="K19" s="981"/>
      <c r="L19" s="981"/>
      <c r="M19" s="981"/>
      <c r="N19" s="981"/>
      <c r="O19" s="981"/>
      <c r="P19" s="981"/>
      <c r="Q19" s="985"/>
      <c r="R19" s="981"/>
      <c r="S19" s="981"/>
      <c r="T19" s="981"/>
      <c r="U19" s="981"/>
      <c r="V19" s="981"/>
      <c r="W19" s="981"/>
      <c r="X19" s="981"/>
      <c r="Y19" s="985"/>
      <c r="Z19" s="981"/>
      <c r="AA19" s="981"/>
      <c r="AB19" s="981"/>
      <c r="AC19" s="981"/>
      <c r="AD19" s="981"/>
      <c r="AE19" s="981"/>
      <c r="AF19" s="981"/>
      <c r="AG19" s="985"/>
      <c r="AH19" s="981"/>
      <c r="AI19" s="981"/>
      <c r="AJ19" s="981"/>
      <c r="AK19" s="981"/>
      <c r="AL19" s="981"/>
      <c r="AM19" s="981"/>
      <c r="AN19" s="981"/>
      <c r="AO19" s="985"/>
      <c r="AP19" s="981"/>
      <c r="AQ19" s="981"/>
      <c r="AR19" s="981"/>
      <c r="AS19" s="981"/>
      <c r="AT19" s="981"/>
      <c r="AU19" s="982"/>
      <c r="AV19" s="981"/>
      <c r="AW19" s="983"/>
      <c r="AX19" s="981"/>
      <c r="AY19" s="982"/>
      <c r="AZ19" s="981"/>
      <c r="BA19" s="982"/>
      <c r="BB19" s="981"/>
      <c r="BC19" s="982"/>
      <c r="BD19" s="981"/>
      <c r="BE19" s="983"/>
      <c r="BF19" s="981"/>
      <c r="BG19" s="987"/>
      <c r="BH19" s="987"/>
      <c r="BI19" s="987"/>
      <c r="BJ19" s="987"/>
      <c r="BK19" s="987"/>
      <c r="BL19" s="987"/>
      <c r="BM19" s="988"/>
      <c r="BN19" s="987"/>
      <c r="BO19" s="987"/>
      <c r="BP19" s="987"/>
      <c r="BQ19" s="987"/>
      <c r="BR19" s="987"/>
      <c r="BS19" s="987"/>
      <c r="BT19" s="987"/>
      <c r="BU19" s="988"/>
      <c r="BV19" s="987"/>
      <c r="BW19" s="987"/>
      <c r="BX19" s="987"/>
      <c r="BY19" s="987"/>
      <c r="BZ19" s="987"/>
      <c r="CA19" s="987"/>
      <c r="CB19" s="987"/>
      <c r="CC19" s="988"/>
      <c r="CD19" s="1013">
        <f>CD6/BV6-1</f>
        <v>-0.37484981978374043</v>
      </c>
      <c r="CE19" s="1013">
        <f t="shared" ref="CE19" si="130">CE6/BW6-1</f>
        <v>8.9032258064516201E-2</v>
      </c>
      <c r="CF19" s="1013">
        <f t="shared" ref="CF19" si="131">CF6/BX6-1</f>
        <v>-0.19718309859154926</v>
      </c>
      <c r="CG19" s="1013">
        <f t="shared" ref="CG19" si="132">CG6/BY6-1</f>
        <v>0.16228351507376515</v>
      </c>
      <c r="CH19" s="1013">
        <f t="shared" ref="CH19" si="133">CH6/BZ6-1</f>
        <v>-9.721726721369961E-2</v>
      </c>
      <c r="CI19" s="1013">
        <f t="shared" ref="CI19" si="134">CI6/CA6-1</f>
        <v>0.15605250364608647</v>
      </c>
      <c r="CJ19" s="1013">
        <f t="shared" ref="CJ19" si="135">CJ6/CB6-1</f>
        <v>0.15873893805309724</v>
      </c>
      <c r="CK19" s="1014">
        <f t="shared" ref="CK19" si="136">CK6/CC6-1</f>
        <v>-2.9231371525512251E-2</v>
      </c>
      <c r="CL19" s="1013">
        <f>CL6/CD6-1</f>
        <v>0.24407431133888524</v>
      </c>
      <c r="CM19" s="1013">
        <f t="shared" ref="CM19:CS19" si="137">CM6/CE6-1</f>
        <v>0.32345971563981046</v>
      </c>
      <c r="CN19" s="1013">
        <f t="shared" si="137"/>
        <v>0.28531855955678664</v>
      </c>
      <c r="CO19" s="1013">
        <f t="shared" si="137"/>
        <v>0.38134657836644581</v>
      </c>
      <c r="CP19" s="1013">
        <f t="shared" si="137"/>
        <v>0.31969966409800432</v>
      </c>
      <c r="CQ19" s="1013">
        <f t="shared" si="137"/>
        <v>0.18881412952060561</v>
      </c>
      <c r="CR19" s="1013">
        <f t="shared" si="137"/>
        <v>0.2720763723150359</v>
      </c>
      <c r="CS19" s="1014">
        <f t="shared" si="137"/>
        <v>0.27785992740959808</v>
      </c>
      <c r="CT19" s="1013">
        <f>CT6/CL6-1</f>
        <v>0.39752832131822857</v>
      </c>
      <c r="CU19" s="1013">
        <f t="shared" ref="CU19" si="138">CU6/CM6-1</f>
        <v>0.32632050134288271</v>
      </c>
      <c r="CV19" s="1013">
        <f t="shared" ref="CV19" si="139">CV6/CN6-1</f>
        <v>0.3594348659003832</v>
      </c>
      <c r="CW19" s="1013">
        <f t="shared" ref="CW19" si="140">CW6/CO6-1</f>
        <v>0.2317219336795846</v>
      </c>
      <c r="CX19" s="1013">
        <f t="shared" ref="CX19" si="141">CX6/CP6-1</f>
        <v>0.31157358886060793</v>
      </c>
      <c r="CY19" s="1013">
        <f t="shared" ref="CY19" si="142">CY6/CQ6-1</f>
        <v>0.10222851078882211</v>
      </c>
      <c r="CZ19" s="1013">
        <f t="shared" ref="CZ19" si="143">CZ6/CR6-1</f>
        <v>0.16303939962476544</v>
      </c>
      <c r="DA19" s="1014">
        <f t="shared" ref="DA19" si="144">DA6/CS6-1</f>
        <v>0.24931622133389442</v>
      </c>
      <c r="DB19" s="1013">
        <f>DB6/CT6-1</f>
        <v>0.14112011790714818</v>
      </c>
      <c r="DC19" s="1013">
        <f t="shared" ref="DC19" si="145">DC6/CU6-1</f>
        <v>0.13533580830239611</v>
      </c>
      <c r="DD19" s="1013">
        <f t="shared" ref="DD19" si="146">DD6/CV6-1</f>
        <v>0.13810110974106049</v>
      </c>
      <c r="DE19" s="1013">
        <f t="shared" ref="DE19" si="147">DE6/CW6-1</f>
        <v>8.3036003892312582E-2</v>
      </c>
      <c r="DF19" s="1013">
        <f t="shared" ref="DF19" si="148">DF6/CX6-1</f>
        <v>0.11872146118721472</v>
      </c>
      <c r="DG19" s="1402">
        <f t="shared" ref="DG19" si="149">DG6/CY6-1</f>
        <v>0.23620025673940948</v>
      </c>
      <c r="DH19" s="1402">
        <f t="shared" ref="DH19" si="150">DH6/CZ6-1</f>
        <v>0.16002581061461529</v>
      </c>
      <c r="DI19" s="1403">
        <f t="shared" ref="DI19" si="151">DI6/DA6-1</f>
        <v>0.14954530144829903</v>
      </c>
      <c r="DJ19" s="1402">
        <f>DJ6/DB6-1</f>
        <v>0.18953826283500153</v>
      </c>
      <c r="DK19" s="1402">
        <f>DK6/DC6-1</f>
        <v>0.14655172413793105</v>
      </c>
      <c r="DL19" s="1402">
        <f t="shared" ref="DL19:DQ19" si="152">DL6/DD6-1</f>
        <v>0.16715678687509672</v>
      </c>
      <c r="DM19" s="1402">
        <f t="shared" si="152"/>
        <v>0.21114106019766399</v>
      </c>
      <c r="DN19" s="1402">
        <f t="shared" si="152"/>
        <v>0.18214285714285716</v>
      </c>
      <c r="DO19" s="1402">
        <f t="shared" si="152"/>
        <v>0.10316123063985283</v>
      </c>
      <c r="DP19" s="1013">
        <f t="shared" si="152"/>
        <v>0.15329954949585778</v>
      </c>
      <c r="DQ19" s="1014">
        <f t="shared" si="152"/>
        <v>0.15985768095698161</v>
      </c>
      <c r="DR19" s="1013">
        <f>DR6/DJ6-1</f>
        <v>9.6493924328211023E-2</v>
      </c>
      <c r="DS19" s="1013">
        <f>DS6/DK6-1</f>
        <v>0.13760369505807213</v>
      </c>
      <c r="DT19" s="1013">
        <f t="shared" ref="DT19" si="153">DT6/DL6-1</f>
        <v>0.11752036454901416</v>
      </c>
      <c r="DU19" s="1013">
        <f t="shared" ref="DU19" si="154">DU6/DM6-1</f>
        <v>7.6936057094491028E-2</v>
      </c>
      <c r="DV19" s="1013">
        <f t="shared" ref="DV19" si="155">DV6/DN6-1</f>
        <v>0.10335351609445298</v>
      </c>
      <c r="DW19" s="1013">
        <f t="shared" ref="DW19" si="156">DW6/DO6-1</f>
        <v>0.18234890941370807</v>
      </c>
      <c r="DX19" s="1013">
        <f t="shared" ref="DX19" si="157">DX6/DP6-1</f>
        <v>0.13094770437105652</v>
      </c>
      <c r="DY19" s="1014">
        <f t="shared" ref="DY19" si="158">DY6/DQ6-1</f>
        <v>0.12455303729879796</v>
      </c>
      <c r="EM19" s="1419"/>
    </row>
    <row r="20" spans="1:143" ht="14.25" hidden="1" customHeight="1" outlineLevel="1">
      <c r="A20" s="249" t="s">
        <v>899</v>
      </c>
      <c r="B20" s="980"/>
      <c r="C20" s="981"/>
      <c r="D20" s="981"/>
      <c r="E20" s="981"/>
      <c r="F20" s="981"/>
      <c r="G20" s="981"/>
      <c r="H20" s="981"/>
      <c r="I20" s="985"/>
      <c r="J20" s="981"/>
      <c r="K20" s="981"/>
      <c r="L20" s="981"/>
      <c r="M20" s="981"/>
      <c r="N20" s="981"/>
      <c r="O20" s="981"/>
      <c r="P20" s="981"/>
      <c r="Q20" s="985"/>
      <c r="R20" s="981"/>
      <c r="S20" s="981"/>
      <c r="T20" s="981"/>
      <c r="U20" s="981"/>
      <c r="V20" s="981"/>
      <c r="W20" s="981"/>
      <c r="X20" s="981"/>
      <c r="Y20" s="985"/>
      <c r="Z20" s="981"/>
      <c r="AA20" s="981"/>
      <c r="AB20" s="981"/>
      <c r="AC20" s="981"/>
      <c r="AD20" s="981"/>
      <c r="AE20" s="981"/>
      <c r="AF20" s="981"/>
      <c r="AG20" s="985"/>
      <c r="AH20" s="981"/>
      <c r="AI20" s="981"/>
      <c r="AJ20" s="981"/>
      <c r="AK20" s="981"/>
      <c r="AL20" s="981"/>
      <c r="AM20" s="981"/>
      <c r="AN20" s="981"/>
      <c r="AO20" s="985"/>
      <c r="AP20" s="981"/>
      <c r="AQ20" s="981"/>
      <c r="AR20" s="981"/>
      <c r="AS20" s="981"/>
      <c r="AT20" s="981"/>
      <c r="AU20" s="981"/>
      <c r="AV20" s="981"/>
      <c r="AW20" s="985"/>
      <c r="AX20" s="981"/>
      <c r="AY20" s="981"/>
      <c r="AZ20" s="981"/>
      <c r="BA20" s="981"/>
      <c r="BB20" s="981"/>
      <c r="BC20" s="981"/>
      <c r="BD20" s="981"/>
      <c r="BE20" s="985"/>
      <c r="BF20" s="981"/>
      <c r="BG20" s="987"/>
      <c r="BH20" s="987"/>
      <c r="BI20" s="987"/>
      <c r="BJ20" s="987"/>
      <c r="BK20" s="987"/>
      <c r="BL20" s="987"/>
      <c r="BM20" s="988"/>
      <c r="BN20" s="987"/>
      <c r="BO20" s="987"/>
      <c r="BP20" s="987"/>
      <c r="BQ20" s="987"/>
      <c r="BR20" s="987"/>
      <c r="BS20" s="987"/>
      <c r="BT20" s="987"/>
      <c r="BU20" s="988"/>
      <c r="BV20" s="987"/>
      <c r="BW20" s="987"/>
      <c r="BX20" s="987"/>
      <c r="BY20" s="987"/>
      <c r="BZ20" s="987"/>
      <c r="CA20" s="987"/>
      <c r="CB20" s="987"/>
      <c r="CC20" s="988"/>
      <c r="CD20" s="1013">
        <f t="shared" ref="CD20:CD24" si="159">CD7/BV7-1</f>
        <v>-0.11411051564219576</v>
      </c>
      <c r="CE20" s="1013"/>
      <c r="CF20" s="1013"/>
      <c r="CG20" s="1013"/>
      <c r="CH20" s="1013"/>
      <c r="CI20" s="1013"/>
      <c r="CJ20" s="1013"/>
      <c r="CK20" s="1014"/>
      <c r="CL20" s="1013">
        <f t="shared" ref="CL20:CL26" si="160">CL7/CD7-1</f>
        <v>0.3032171835406583</v>
      </c>
      <c r="CM20" s="1015"/>
      <c r="CN20" s="1015"/>
      <c r="CO20" s="1015"/>
      <c r="CP20" s="1015"/>
      <c r="CQ20" s="1015"/>
      <c r="CR20" s="1015"/>
      <c r="CS20" s="1016"/>
      <c r="CT20" s="1013"/>
      <c r="CU20" s="1013"/>
      <c r="CV20" s="1013"/>
      <c r="CW20" s="1013"/>
      <c r="CX20" s="1013"/>
      <c r="CY20" s="1013"/>
      <c r="CZ20" s="1013"/>
      <c r="DA20" s="1014"/>
      <c r="DB20" s="1013"/>
      <c r="DC20" s="1013"/>
      <c r="DD20" s="1013"/>
      <c r="DE20" s="1013"/>
      <c r="DF20" s="1013"/>
      <c r="DG20" s="1013"/>
      <c r="DH20" s="1013"/>
      <c r="DI20" s="1014"/>
      <c r="DJ20" s="1013"/>
      <c r="DK20" s="1013"/>
      <c r="DL20" s="1013"/>
      <c r="DM20" s="1013"/>
      <c r="DN20" s="1013"/>
      <c r="DO20" s="1401"/>
      <c r="DP20" s="1013"/>
      <c r="DQ20" s="1014"/>
      <c r="DR20" s="1013"/>
      <c r="DS20" s="1013"/>
      <c r="DT20" s="1013"/>
      <c r="DU20" s="1013"/>
      <c r="DV20" s="1013"/>
      <c r="DW20" s="1013"/>
      <c r="DX20" s="1013"/>
      <c r="DY20" s="1014"/>
      <c r="EM20" s="1419"/>
    </row>
    <row r="21" spans="1:143" ht="14.25" hidden="1" customHeight="1" outlineLevel="1">
      <c r="A21" s="249" t="s">
        <v>744</v>
      </c>
      <c r="B21" s="980"/>
      <c r="C21" s="981"/>
      <c r="D21" s="981"/>
      <c r="E21" s="981"/>
      <c r="F21" s="981"/>
      <c r="G21" s="981"/>
      <c r="H21" s="981"/>
      <c r="I21" s="985"/>
      <c r="J21" s="981"/>
      <c r="K21" s="981"/>
      <c r="L21" s="981"/>
      <c r="M21" s="981"/>
      <c r="N21" s="981"/>
      <c r="O21" s="981"/>
      <c r="P21" s="981"/>
      <c r="Q21" s="985"/>
      <c r="R21" s="981"/>
      <c r="S21" s="981"/>
      <c r="T21" s="981"/>
      <c r="U21" s="981"/>
      <c r="V21" s="981"/>
      <c r="W21" s="981"/>
      <c r="X21" s="981"/>
      <c r="Y21" s="985"/>
      <c r="Z21" s="981"/>
      <c r="AA21" s="981"/>
      <c r="AB21" s="981"/>
      <c r="AC21" s="981"/>
      <c r="AD21" s="981"/>
      <c r="AE21" s="981"/>
      <c r="AF21" s="981"/>
      <c r="AG21" s="985"/>
      <c r="AH21" s="981"/>
      <c r="AI21" s="981"/>
      <c r="AJ21" s="981"/>
      <c r="AK21" s="981"/>
      <c r="AL21" s="981"/>
      <c r="AM21" s="981"/>
      <c r="AN21" s="981"/>
      <c r="AO21" s="985"/>
      <c r="AP21" s="981"/>
      <c r="AQ21" s="981"/>
      <c r="AR21" s="981"/>
      <c r="AS21" s="981"/>
      <c r="AT21" s="981"/>
      <c r="AU21" s="981"/>
      <c r="AV21" s="981"/>
      <c r="AW21" s="985"/>
      <c r="AX21" s="981"/>
      <c r="AY21" s="981"/>
      <c r="AZ21" s="981"/>
      <c r="BA21" s="981"/>
      <c r="BB21" s="981"/>
      <c r="BC21" s="981"/>
      <c r="BD21" s="981"/>
      <c r="BE21" s="985"/>
      <c r="BF21" s="981"/>
      <c r="BG21" s="987"/>
      <c r="BH21" s="987"/>
      <c r="BI21" s="987"/>
      <c r="BJ21" s="987"/>
      <c r="BK21" s="987"/>
      <c r="BL21" s="987"/>
      <c r="BM21" s="988"/>
      <c r="BN21" s="987"/>
      <c r="BO21" s="987"/>
      <c r="BP21" s="987"/>
      <c r="BQ21" s="987"/>
      <c r="BR21" s="987"/>
      <c r="BS21" s="987"/>
      <c r="BT21" s="987"/>
      <c r="BU21" s="988"/>
      <c r="BV21" s="987"/>
      <c r="BW21" s="987"/>
      <c r="BX21" s="987"/>
      <c r="BY21" s="987"/>
      <c r="BZ21" s="987"/>
      <c r="CA21" s="987"/>
      <c r="CB21" s="987"/>
      <c r="CC21" s="988"/>
      <c r="CD21" s="1013">
        <f t="shared" si="159"/>
        <v>1.0000000000000009E-2</v>
      </c>
      <c r="CE21" s="1013"/>
      <c r="CF21" s="1013"/>
      <c r="CG21" s="1013"/>
      <c r="CH21" s="1013"/>
      <c r="CI21" s="1013"/>
      <c r="CJ21" s="1013"/>
      <c r="CK21" s="1014"/>
      <c r="CL21" s="1013">
        <f t="shared" si="160"/>
        <v>0.17365395066416078</v>
      </c>
      <c r="CM21" s="1015"/>
      <c r="CN21" s="1015"/>
      <c r="CO21" s="1015"/>
      <c r="CP21" s="1015"/>
      <c r="CQ21" s="1015"/>
      <c r="CR21" s="1015"/>
      <c r="CS21" s="1016"/>
      <c r="CT21" s="1013"/>
      <c r="CU21" s="1013"/>
      <c r="CV21" s="1013"/>
      <c r="CW21" s="1013"/>
      <c r="CX21" s="1013"/>
      <c r="CY21" s="1013"/>
      <c r="CZ21" s="1013"/>
      <c r="DA21" s="1014"/>
      <c r="DB21" s="1013"/>
      <c r="DC21" s="1013"/>
      <c r="DD21" s="1013"/>
      <c r="DE21" s="1013"/>
      <c r="DF21" s="1013"/>
      <c r="DG21" s="1013"/>
      <c r="DH21" s="1013"/>
      <c r="DI21" s="1014"/>
      <c r="DJ21" s="1013"/>
      <c r="DK21" s="1013"/>
      <c r="DL21" s="1013"/>
      <c r="DM21" s="1013"/>
      <c r="DN21" s="1013"/>
      <c r="DO21" s="1401"/>
      <c r="DP21" s="1013"/>
      <c r="DQ21" s="1014"/>
      <c r="DR21" s="1013"/>
      <c r="DS21" s="1013"/>
      <c r="DT21" s="1013"/>
      <c r="DU21" s="1013"/>
      <c r="DV21" s="1013"/>
      <c r="DW21" s="1013"/>
      <c r="DX21" s="1013"/>
      <c r="DY21" s="1014"/>
      <c r="EM21" s="1419"/>
    </row>
    <row r="22" spans="1:143" ht="14.25" hidden="1" customHeight="1" outlineLevel="1">
      <c r="A22" s="249" t="s">
        <v>1070</v>
      </c>
      <c r="B22" s="980"/>
      <c r="C22" s="981"/>
      <c r="D22" s="981"/>
      <c r="E22" s="981"/>
      <c r="F22" s="981"/>
      <c r="G22" s="981"/>
      <c r="H22" s="981"/>
      <c r="I22" s="985"/>
      <c r="J22" s="981"/>
      <c r="K22" s="981"/>
      <c r="L22" s="981"/>
      <c r="M22" s="981"/>
      <c r="N22" s="981"/>
      <c r="O22" s="981"/>
      <c r="P22" s="981"/>
      <c r="Q22" s="985"/>
      <c r="R22" s="981"/>
      <c r="S22" s="981"/>
      <c r="T22" s="981"/>
      <c r="U22" s="981"/>
      <c r="V22" s="981"/>
      <c r="W22" s="981"/>
      <c r="X22" s="981"/>
      <c r="Y22" s="985"/>
      <c r="Z22" s="981"/>
      <c r="AA22" s="981"/>
      <c r="AB22" s="981"/>
      <c r="AC22" s="981"/>
      <c r="AD22" s="981"/>
      <c r="AE22" s="981"/>
      <c r="AF22" s="981"/>
      <c r="AG22" s="985"/>
      <c r="AH22" s="981"/>
      <c r="AI22" s="981"/>
      <c r="AJ22" s="981"/>
      <c r="AK22" s="981"/>
      <c r="AL22" s="981"/>
      <c r="AM22" s="981"/>
      <c r="AN22" s="981"/>
      <c r="AO22" s="985"/>
      <c r="AP22" s="981"/>
      <c r="AQ22" s="981"/>
      <c r="AR22" s="981"/>
      <c r="AS22" s="981"/>
      <c r="AT22" s="981"/>
      <c r="AU22" s="981"/>
      <c r="AV22" s="981"/>
      <c r="AW22" s="985"/>
      <c r="AX22" s="981"/>
      <c r="AY22" s="981"/>
      <c r="AZ22" s="981"/>
      <c r="BA22" s="981"/>
      <c r="BB22" s="981"/>
      <c r="BC22" s="981"/>
      <c r="BD22" s="981"/>
      <c r="BE22" s="985"/>
      <c r="BF22" s="981"/>
      <c r="BG22" s="987"/>
      <c r="BH22" s="987"/>
      <c r="BI22" s="987"/>
      <c r="BJ22" s="987"/>
      <c r="BK22" s="987"/>
      <c r="BL22" s="987"/>
      <c r="BM22" s="988"/>
      <c r="BN22" s="987"/>
      <c r="BO22" s="987"/>
      <c r="BP22" s="987"/>
      <c r="BQ22" s="987"/>
      <c r="BR22" s="987"/>
      <c r="BS22" s="987"/>
      <c r="BT22" s="987"/>
      <c r="BU22" s="988"/>
      <c r="BV22" s="987"/>
      <c r="BW22" s="987"/>
      <c r="BX22" s="987"/>
      <c r="BY22" s="987"/>
      <c r="BZ22" s="987"/>
      <c r="CA22" s="987"/>
      <c r="CB22" s="987"/>
      <c r="CC22" s="988"/>
      <c r="CD22" s="1013">
        <f t="shared" si="159"/>
        <v>-0.13684908567120702</v>
      </c>
      <c r="CE22" s="1013"/>
      <c r="CF22" s="1013"/>
      <c r="CG22" s="1013"/>
      <c r="CH22" s="1013"/>
      <c r="CI22" s="1013"/>
      <c r="CJ22" s="1013"/>
      <c r="CK22" s="1014"/>
      <c r="CL22" s="1013">
        <f t="shared" si="160"/>
        <v>-0.28223343341039153</v>
      </c>
      <c r="CM22" s="1015"/>
      <c r="CN22" s="1015"/>
      <c r="CO22" s="1015"/>
      <c r="CP22" s="1015"/>
      <c r="CQ22" s="1015"/>
      <c r="CR22" s="1015"/>
      <c r="CS22" s="1016"/>
      <c r="CT22" s="1013"/>
      <c r="CU22" s="1013"/>
      <c r="CV22" s="1013"/>
      <c r="CW22" s="1013"/>
      <c r="CX22" s="1013"/>
      <c r="CY22" s="1013"/>
      <c r="CZ22" s="1013"/>
      <c r="DA22" s="1014"/>
      <c r="DB22" s="1013"/>
      <c r="DC22" s="1013"/>
      <c r="DD22" s="1013"/>
      <c r="DE22" s="1013"/>
      <c r="DF22" s="1013"/>
      <c r="DG22" s="1013"/>
      <c r="DH22" s="1013"/>
      <c r="DI22" s="1014"/>
      <c r="DJ22" s="1013"/>
      <c r="DK22" s="1013"/>
      <c r="DL22" s="1013"/>
      <c r="DM22" s="1013"/>
      <c r="DN22" s="1013"/>
      <c r="DO22" s="1401"/>
      <c r="DP22" s="1013"/>
      <c r="DQ22" s="1014"/>
      <c r="DR22" s="1013"/>
      <c r="DS22" s="1013"/>
      <c r="DT22" s="1013"/>
      <c r="DU22" s="1013"/>
      <c r="DV22" s="1013"/>
      <c r="DW22" s="1013"/>
      <c r="DX22" s="1013"/>
      <c r="DY22" s="1014"/>
      <c r="EM22" s="1419"/>
    </row>
    <row r="23" spans="1:143" collapsed="1">
      <c r="A23" s="19" t="s">
        <v>1572</v>
      </c>
      <c r="B23" s="980"/>
      <c r="C23" s="981"/>
      <c r="D23" s="981"/>
      <c r="E23" s="981"/>
      <c r="F23" s="981"/>
      <c r="G23" s="981"/>
      <c r="H23" s="981"/>
      <c r="I23" s="985"/>
      <c r="J23" s="981"/>
      <c r="K23" s="981"/>
      <c r="L23" s="981"/>
      <c r="M23" s="981"/>
      <c r="N23" s="981"/>
      <c r="O23" s="981"/>
      <c r="P23" s="981"/>
      <c r="Q23" s="985"/>
      <c r="R23" s="981"/>
      <c r="S23" s="981"/>
      <c r="T23" s="981"/>
      <c r="U23" s="981"/>
      <c r="V23" s="981"/>
      <c r="W23" s="981"/>
      <c r="X23" s="981"/>
      <c r="Y23" s="985"/>
      <c r="Z23" s="981"/>
      <c r="AA23" s="981"/>
      <c r="AB23" s="981"/>
      <c r="AC23" s="981"/>
      <c r="AD23" s="981"/>
      <c r="AE23" s="981"/>
      <c r="AF23" s="981"/>
      <c r="AG23" s="985"/>
      <c r="AH23" s="981"/>
      <c r="AI23" s="981"/>
      <c r="AJ23" s="981"/>
      <c r="AK23" s="981"/>
      <c r="AL23" s="981"/>
      <c r="AM23" s="981"/>
      <c r="AN23" s="981"/>
      <c r="AO23" s="985"/>
      <c r="AP23" s="981"/>
      <c r="AQ23" s="981"/>
      <c r="AR23" s="981"/>
      <c r="AS23" s="981"/>
      <c r="AT23" s="981"/>
      <c r="AU23" s="982"/>
      <c r="AV23" s="981"/>
      <c r="AW23" s="985"/>
      <c r="AX23" s="981"/>
      <c r="AY23" s="982"/>
      <c r="AZ23" s="981"/>
      <c r="BA23" s="981"/>
      <c r="BB23" s="981"/>
      <c r="BC23" s="982"/>
      <c r="BD23" s="981"/>
      <c r="BE23" s="985"/>
      <c r="BF23" s="981"/>
      <c r="BG23" s="987"/>
      <c r="BH23" s="987"/>
      <c r="BI23" s="987"/>
      <c r="BJ23" s="987"/>
      <c r="BK23" s="987"/>
      <c r="BL23" s="987"/>
      <c r="BM23" s="988"/>
      <c r="BN23" s="987"/>
      <c r="BO23" s="987"/>
      <c r="BP23" s="987"/>
      <c r="BQ23" s="987"/>
      <c r="BR23" s="987"/>
      <c r="BS23" s="987"/>
      <c r="BT23" s="987"/>
      <c r="BU23" s="988"/>
      <c r="BV23" s="987"/>
      <c r="BW23" s="987"/>
      <c r="BX23" s="987"/>
      <c r="BY23" s="987"/>
      <c r="BZ23" s="987"/>
      <c r="CA23" s="987"/>
      <c r="CB23" s="987"/>
      <c r="CC23" s="988"/>
      <c r="CD23" s="1013">
        <f t="shared" si="159"/>
        <v>-0.33058984910836764</v>
      </c>
      <c r="CE23" s="1013">
        <f t="shared" ref="CE23:CE24" si="161">CE10/BW10-1</f>
        <v>3.9283252929014578E-2</v>
      </c>
      <c r="CF23" s="1013">
        <f t="shared" ref="CF23:CF24" si="162">CF10/BX10-1</f>
        <v>-0.183067619571193</v>
      </c>
      <c r="CG23" s="1013">
        <f t="shared" ref="CG23:CG24" si="163">CG10/BY10-1</f>
        <v>5.0650239561943922E-2</v>
      </c>
      <c r="CH23" s="1013">
        <f t="shared" ref="CH23:CH24" si="164">CH10/BZ10-1</f>
        <v>-0.11610119631300253</v>
      </c>
      <c r="CI23" s="1013">
        <f t="shared" ref="CI23:CI24" si="165">CI10/CA10-1</f>
        <v>1.3377926421404673E-2</v>
      </c>
      <c r="CJ23" s="1013">
        <f t="shared" ref="CJ23:CJ24" si="166">CJ10/CB10-1</f>
        <v>3.0107526881720359E-2</v>
      </c>
      <c r="CK23" s="1014">
        <f t="shared" ref="CK23:CK24" si="167">CK10/CC10-1</f>
        <v>-8.2402437255186367E-2</v>
      </c>
      <c r="CL23" s="1013">
        <f t="shared" si="160"/>
        <v>0.17213114754098369</v>
      </c>
      <c r="CM23" s="1013">
        <f t="shared" ref="CM23:CM24" si="168">CM10/CE10-1</f>
        <v>0.18700265251989401</v>
      </c>
      <c r="CN23" s="1013">
        <f t="shared" ref="CN23:CN24" si="169">CN10/CF10-1</f>
        <v>0.17967698519515474</v>
      </c>
      <c r="CO23" s="1013">
        <f t="shared" ref="CO23:CO24" si="170">CO10/CG10-1</f>
        <v>0.18566775244299683</v>
      </c>
      <c r="CP23" s="1013">
        <f t="shared" ref="CP23:CP24" si="171">CP10/CH10-1</f>
        <v>0.1817173285999556</v>
      </c>
      <c r="CQ23" s="1013">
        <f t="shared" ref="CQ23:CQ24" si="172">CQ10/CI10-1</f>
        <v>0.21507150715071499</v>
      </c>
      <c r="CR23" s="1013">
        <f t="shared" ref="CR23:CR24" si="173">CR10/CJ10-1</f>
        <v>0.20161049806143749</v>
      </c>
      <c r="CS23" s="1014">
        <f t="shared" ref="CS23:CS24" si="174">CS10/CK10-1</f>
        <v>0.19130434782608696</v>
      </c>
      <c r="CT23" s="1013">
        <f t="shared" ref="CT23:CT24" si="175">CT10/CL10-1</f>
        <v>0.14568764568764569</v>
      </c>
      <c r="CU23" s="1013">
        <f t="shared" ref="CU23:CU24" si="176">CU10/CM10-1</f>
        <v>0.19217877094972069</v>
      </c>
      <c r="CV23" s="1013">
        <f t="shared" ref="CV23:CV24" si="177">CV10/CN10-1</f>
        <v>0.16942384483742146</v>
      </c>
      <c r="CW23" s="1013">
        <f t="shared" ref="CW23:CW24" si="178">CW10/CO10-1</f>
        <v>0.17252747252747258</v>
      </c>
      <c r="CX23" s="1013">
        <f t="shared" ref="CX23:CX24" si="179">CX10/CP10-1</f>
        <v>0.17048441607209908</v>
      </c>
      <c r="CY23" s="1013">
        <f t="shared" ref="CY23:CY24" si="180">CY10/CQ10-1</f>
        <v>0.17745586238116795</v>
      </c>
      <c r="CZ23" s="1013">
        <f t="shared" ref="CZ23:CZ24" si="181">CZ10/CR10-1</f>
        <v>0.17522958550508805</v>
      </c>
      <c r="DA23" s="1014">
        <f t="shared" ref="DA23:DA24" si="182">DA10/CS10-1</f>
        <v>0.17252820172528205</v>
      </c>
      <c r="DB23" s="1013">
        <f t="shared" ref="DB23:DB24" si="183">DB10/CT10-1</f>
        <v>0.24313326551373349</v>
      </c>
      <c r="DC23" s="1013">
        <f t="shared" ref="DC23:DC24" si="184">DC10/CU10-1</f>
        <v>0.27741330834114342</v>
      </c>
      <c r="DD23" s="1013">
        <f t="shared" ref="DD23:DD24" si="185">DD10/CV10-1</f>
        <v>0.26097560975609757</v>
      </c>
      <c r="DE23" s="1013">
        <f t="shared" ref="DE23:DE24" si="186">DE10/CW10-1</f>
        <v>0.18416119962511712</v>
      </c>
      <c r="DF23" s="1013">
        <f t="shared" ref="DF23:DF24" si="187">DF10/CX10-1</f>
        <v>0.23468078280397808</v>
      </c>
      <c r="DG23" s="1013">
        <f t="shared" ref="DG23:DG24" si="188">DG10/CY10-1</f>
        <v>0.12302960399846219</v>
      </c>
      <c r="DH23" s="1013">
        <f t="shared" ref="DH23:DH24" si="189">DH10/CZ10-1</f>
        <v>0.15058078141499465</v>
      </c>
      <c r="DI23" s="1014">
        <f t="shared" ref="DI23:DK24" si="190">DI10/DA10-1</f>
        <v>0.20181097906055467</v>
      </c>
      <c r="DJ23" s="1013">
        <f t="shared" si="190"/>
        <v>0.1387070376432078</v>
      </c>
      <c r="DK23" s="1013">
        <f t="shared" si="190"/>
        <v>3.6683785766691068E-2</v>
      </c>
      <c r="DL23" s="1013">
        <f t="shared" ref="DL23:DL24" si="191">DL10/DD10-1</f>
        <v>8.4912959381044484E-2</v>
      </c>
      <c r="DM23" s="1013">
        <f t="shared" ref="DM23:DM24" si="192">DM10/DE10-1</f>
        <v>0.18876137712702801</v>
      </c>
      <c r="DN23" s="1013">
        <f t="shared" ref="DN23:DN24" si="193">DN10/DF10-1</f>
        <v>0.11900740548265554</v>
      </c>
      <c r="DO23" s="1401">
        <f t="shared" ref="DO23:DO24" si="194">DO10/DG10-1</f>
        <v>0.25824428444309833</v>
      </c>
      <c r="DP23" s="1013">
        <f t="shared" ref="DP23:DP24" si="195">DP10/DH10-1</f>
        <v>0.22601533679484032</v>
      </c>
      <c r="DQ23" s="1014">
        <f t="shared" ref="DQ23:DQ24" si="196">DQ10/DI10-1</f>
        <v>0.1573113161478894</v>
      </c>
      <c r="DR23" s="1013">
        <f t="shared" ref="DR23:DR24" si="197">DR10/DJ10-1</f>
        <v>0.16237304754770987</v>
      </c>
      <c r="DS23" s="1013">
        <f t="shared" ref="DS23:DS24" si="198">DS10/DK10-1</f>
        <v>0.27676576771235561</v>
      </c>
      <c r="DT23" s="1013">
        <f t="shared" ref="DT23:DT24" si="199">DT10/DL10-1</f>
        <v>0.22000788926375336</v>
      </c>
      <c r="DU23" s="1013">
        <f t="shared" ref="DU23:DU24" si="200">DU10/DM10-1</f>
        <v>0.11342982290374626</v>
      </c>
      <c r="DV23" s="1013">
        <f t="shared" ref="DV23:DV24" si="201">DV10/DN10-1</f>
        <v>0.18283611272300559</v>
      </c>
      <c r="DW23" s="1013">
        <f t="shared" ref="DW23:DW24" si="202">DW10/DO10-1</f>
        <v>5.1943876061546934E-2</v>
      </c>
      <c r="DX23" s="1013">
        <f t="shared" ref="DX23:DX24" si="203">DX10/DP10-1</f>
        <v>7.9596910320584247E-2</v>
      </c>
      <c r="DY23" s="1014">
        <f t="shared" ref="DY23:DY24" si="204">DY10/DQ10-1</f>
        <v>0.14368739952787357</v>
      </c>
      <c r="EM23" s="1419"/>
    </row>
    <row r="24" spans="1:143">
      <c r="A24" s="19" t="s">
        <v>1093</v>
      </c>
      <c r="B24" s="980"/>
      <c r="C24" s="981"/>
      <c r="D24" s="981"/>
      <c r="E24" s="981"/>
      <c r="F24" s="981"/>
      <c r="G24" s="981"/>
      <c r="H24" s="981"/>
      <c r="I24" s="985"/>
      <c r="J24" s="981"/>
      <c r="K24" s="981"/>
      <c r="L24" s="981"/>
      <c r="M24" s="981"/>
      <c r="N24" s="981"/>
      <c r="O24" s="981"/>
      <c r="P24" s="981"/>
      <c r="Q24" s="985"/>
      <c r="R24" s="981"/>
      <c r="S24" s="981"/>
      <c r="T24" s="981"/>
      <c r="U24" s="981"/>
      <c r="V24" s="981"/>
      <c r="W24" s="981"/>
      <c r="X24" s="981"/>
      <c r="Y24" s="985"/>
      <c r="Z24" s="981"/>
      <c r="AA24" s="981"/>
      <c r="AB24" s="981"/>
      <c r="AC24" s="981"/>
      <c r="AD24" s="981"/>
      <c r="AE24" s="981"/>
      <c r="AF24" s="981"/>
      <c r="AG24" s="985"/>
      <c r="AH24" s="981"/>
      <c r="AI24" s="981"/>
      <c r="AJ24" s="981"/>
      <c r="AK24" s="981"/>
      <c r="AL24" s="981"/>
      <c r="AM24" s="981"/>
      <c r="AN24" s="981"/>
      <c r="AO24" s="985"/>
      <c r="AP24" s="981"/>
      <c r="AQ24" s="981"/>
      <c r="AR24" s="981"/>
      <c r="AS24" s="981"/>
      <c r="AT24" s="981"/>
      <c r="AU24" s="982"/>
      <c r="AV24" s="981"/>
      <c r="AW24" s="985"/>
      <c r="AX24" s="981"/>
      <c r="AY24" s="982"/>
      <c r="AZ24" s="981"/>
      <c r="BA24" s="981"/>
      <c r="BB24" s="981"/>
      <c r="BC24" s="982"/>
      <c r="BD24" s="981"/>
      <c r="BE24" s="985"/>
      <c r="BF24" s="981"/>
      <c r="BG24" s="987"/>
      <c r="BH24" s="987"/>
      <c r="BI24" s="987"/>
      <c r="BJ24" s="987"/>
      <c r="BK24" s="987"/>
      <c r="BL24" s="987"/>
      <c r="BM24" s="988"/>
      <c r="BN24" s="987"/>
      <c r="BO24" s="987"/>
      <c r="BP24" s="987"/>
      <c r="BQ24" s="987"/>
      <c r="BR24" s="987"/>
      <c r="BS24" s="987"/>
      <c r="BT24" s="987"/>
      <c r="BU24" s="988"/>
      <c r="BV24" s="987"/>
      <c r="BW24" s="987"/>
      <c r="BX24" s="987"/>
      <c r="BY24" s="987"/>
      <c r="BZ24" s="987"/>
      <c r="CA24" s="987"/>
      <c r="CB24" s="987"/>
      <c r="CC24" s="988"/>
      <c r="CD24" s="1013">
        <f t="shared" si="159"/>
        <v>-0.54899135446685876</v>
      </c>
      <c r="CE24" s="1013">
        <f t="shared" si="161"/>
        <v>-0.11904761904761907</v>
      </c>
      <c r="CF24" s="1013">
        <f t="shared" si="162"/>
        <v>-0.39738805970149249</v>
      </c>
      <c r="CG24" s="1013">
        <f t="shared" si="163"/>
        <v>7.8431372549019551E-2</v>
      </c>
      <c r="CH24" s="1013">
        <f t="shared" si="164"/>
        <v>-0.2785164450664801</v>
      </c>
      <c r="CI24" s="1013">
        <f t="shared" si="165"/>
        <v>-9.9391480730223081E-2</v>
      </c>
      <c r="CJ24" s="1013">
        <f t="shared" si="166"/>
        <v>-2.4705882352941133E-2</v>
      </c>
      <c r="CK24" s="1014">
        <f t="shared" si="167"/>
        <v>-0.2325702393340271</v>
      </c>
      <c r="CL24" s="1013">
        <f t="shared" si="160"/>
        <v>0.30670926517571884</v>
      </c>
      <c r="CM24" s="1013">
        <f t="shared" si="168"/>
        <v>0.38438438438438438</v>
      </c>
      <c r="CN24" s="1013">
        <f t="shared" si="169"/>
        <v>0.34674922600619196</v>
      </c>
      <c r="CO24" s="1013">
        <f t="shared" si="170"/>
        <v>0.35584415584415585</v>
      </c>
      <c r="CP24" s="1013">
        <f t="shared" si="171"/>
        <v>0.35014548981571281</v>
      </c>
      <c r="CQ24" s="1013">
        <f t="shared" si="172"/>
        <v>0.31981981981981988</v>
      </c>
      <c r="CR24" s="1013">
        <f t="shared" si="173"/>
        <v>0.33655006031363088</v>
      </c>
      <c r="CS24" s="1014">
        <f t="shared" si="174"/>
        <v>0.34101694915254233</v>
      </c>
      <c r="CT24" s="1013">
        <f t="shared" si="175"/>
        <v>0.42787286063569674</v>
      </c>
      <c r="CU24" s="1013">
        <f t="shared" si="176"/>
        <v>0.25596529284164848</v>
      </c>
      <c r="CV24" s="1013">
        <f t="shared" si="177"/>
        <v>0.33678160919540234</v>
      </c>
      <c r="CW24" s="1013">
        <f t="shared" si="178"/>
        <v>0.15900383141762453</v>
      </c>
      <c r="CX24" s="1013">
        <f t="shared" si="179"/>
        <v>0.27011494252873569</v>
      </c>
      <c r="CY24" s="1013">
        <f t="shared" si="180"/>
        <v>0.20989761092150161</v>
      </c>
      <c r="CZ24" s="1013">
        <f t="shared" si="181"/>
        <v>0.1859205776173285</v>
      </c>
      <c r="DA24" s="1014">
        <f t="shared" si="182"/>
        <v>0.25227502527805856</v>
      </c>
      <c r="DB24" s="1013">
        <f t="shared" si="183"/>
        <v>0.15753424657534243</v>
      </c>
      <c r="DC24" s="1013">
        <f t="shared" si="184"/>
        <v>0.26943005181347157</v>
      </c>
      <c r="DD24" s="1013">
        <f t="shared" si="185"/>
        <v>0.21324161650902829</v>
      </c>
      <c r="DE24" s="1013">
        <f t="shared" si="186"/>
        <v>0.27438016528925613</v>
      </c>
      <c r="DF24" s="1013">
        <f t="shared" si="187"/>
        <v>0.23416289592760187</v>
      </c>
      <c r="DG24" s="1013">
        <f t="shared" si="188"/>
        <v>0.20592383638928058</v>
      </c>
      <c r="DH24" s="1013">
        <f t="shared" si="189"/>
        <v>0.23744292237442921</v>
      </c>
      <c r="DI24" s="1014">
        <f t="shared" si="190"/>
        <v>0.22607993540573279</v>
      </c>
      <c r="DJ24" s="1013">
        <f t="shared" si="190"/>
        <v>0.16568047337278102</v>
      </c>
      <c r="DK24" s="1013">
        <f t="shared" si="190"/>
        <v>0.12653061224489792</v>
      </c>
      <c r="DL24" s="1013">
        <f t="shared" si="191"/>
        <v>0.14528703047484059</v>
      </c>
      <c r="DM24" s="1013">
        <f t="shared" si="192"/>
        <v>4.0207522697795151E-2</v>
      </c>
      <c r="DN24" s="1013">
        <f t="shared" si="193"/>
        <v>0.10815765352887263</v>
      </c>
      <c r="DO24" s="1013">
        <f t="shared" si="194"/>
        <v>0.17644444444444463</v>
      </c>
      <c r="DP24" s="1013">
        <f t="shared" si="195"/>
        <v>0.11184501845018469</v>
      </c>
      <c r="DQ24" s="1014">
        <f t="shared" si="196"/>
        <v>0.12738228514981897</v>
      </c>
      <c r="DR24" s="1013">
        <f t="shared" si="197"/>
        <v>6.8627577976529741E-2</v>
      </c>
      <c r="DS24" s="1013">
        <f t="shared" si="198"/>
        <v>0.10576515845633327</v>
      </c>
      <c r="DT24" s="1013">
        <f t="shared" si="199"/>
        <v>8.7655991737221051E-2</v>
      </c>
      <c r="DU24" s="1013">
        <f t="shared" si="200"/>
        <v>0.19752864094291755</v>
      </c>
      <c r="DV24" s="1013">
        <f t="shared" si="201"/>
        <v>0.12409845024134381</v>
      </c>
      <c r="DW24" s="1013">
        <f t="shared" si="202"/>
        <v>5.8850085813562991E-2</v>
      </c>
      <c r="DX24" s="1013">
        <f t="shared" si="203"/>
        <v>0.12037044757484017</v>
      </c>
      <c r="DY24" s="1014">
        <f t="shared" si="204"/>
        <v>0.10492981605556295</v>
      </c>
      <c r="EM24" s="1419"/>
    </row>
    <row r="25" spans="1:143" ht="14.25" hidden="1" customHeight="1" outlineLevel="1">
      <c r="A25" s="19" t="s">
        <v>898</v>
      </c>
      <c r="B25" s="980"/>
      <c r="C25" s="981"/>
      <c r="D25" s="981"/>
      <c r="E25" s="981"/>
      <c r="F25" s="981"/>
      <c r="G25" s="981"/>
      <c r="H25" s="981"/>
      <c r="I25" s="985"/>
      <c r="J25" s="981"/>
      <c r="K25" s="981"/>
      <c r="L25" s="981"/>
      <c r="M25" s="981"/>
      <c r="N25" s="981"/>
      <c r="O25" s="981"/>
      <c r="P25" s="981"/>
      <c r="Q25" s="985"/>
      <c r="R25" s="981"/>
      <c r="S25" s="981"/>
      <c r="T25" s="981"/>
      <c r="U25" s="981"/>
      <c r="V25" s="981"/>
      <c r="W25" s="981"/>
      <c r="X25" s="981"/>
      <c r="Y25" s="985"/>
      <c r="Z25" s="981"/>
      <c r="AA25" s="981"/>
      <c r="AB25" s="981"/>
      <c r="AC25" s="981"/>
      <c r="AD25" s="981"/>
      <c r="AE25" s="981"/>
      <c r="AF25" s="981"/>
      <c r="AG25" s="985"/>
      <c r="AH25" s="981"/>
      <c r="AI25" s="981"/>
      <c r="AJ25" s="981"/>
      <c r="AK25" s="981"/>
      <c r="AL25" s="981"/>
      <c r="AM25" s="981"/>
      <c r="AN25" s="981"/>
      <c r="AO25" s="985"/>
      <c r="AP25" s="981"/>
      <c r="AQ25" s="981"/>
      <c r="AR25" s="981"/>
      <c r="AS25" s="981"/>
      <c r="AT25" s="981"/>
      <c r="AU25" s="981"/>
      <c r="AV25" s="981"/>
      <c r="AW25" s="985"/>
      <c r="AX25" s="981"/>
      <c r="AY25" s="981"/>
      <c r="AZ25" s="981"/>
      <c r="BA25" s="981"/>
      <c r="BB25" s="981"/>
      <c r="BC25" s="981"/>
      <c r="BD25" s="981"/>
      <c r="BE25" s="985"/>
      <c r="BF25" s="981"/>
      <c r="BG25" s="987"/>
      <c r="BH25" s="987"/>
      <c r="BI25" s="987"/>
      <c r="BJ25" s="987"/>
      <c r="BK25" s="987"/>
      <c r="BL25" s="987"/>
      <c r="BM25" s="988"/>
      <c r="BN25" s="987"/>
      <c r="BO25" s="987"/>
      <c r="BP25" s="987"/>
      <c r="BQ25" s="987"/>
      <c r="BR25" s="987"/>
      <c r="BS25" s="987"/>
      <c r="BT25" s="987"/>
      <c r="BU25" s="988"/>
      <c r="BV25" s="987"/>
      <c r="BW25" s="987"/>
      <c r="BX25" s="987"/>
      <c r="BY25" s="987"/>
      <c r="BZ25" s="987"/>
      <c r="CA25" s="987"/>
      <c r="CB25" s="987"/>
      <c r="CC25" s="988"/>
      <c r="CD25" s="1013"/>
      <c r="CE25" s="1013"/>
      <c r="CF25" s="1013"/>
      <c r="CG25" s="1013"/>
      <c r="CH25" s="1013"/>
      <c r="CI25" s="1013"/>
      <c r="CJ25" s="1013"/>
      <c r="CK25" s="1014"/>
      <c r="CL25" s="1013"/>
      <c r="CM25" s="1015"/>
      <c r="CN25" s="1015"/>
      <c r="CO25" s="1015"/>
      <c r="CP25" s="1015"/>
      <c r="CQ25" s="1015"/>
      <c r="CR25" s="1015"/>
      <c r="CS25" s="1016"/>
      <c r="CT25" s="1013"/>
      <c r="CU25" s="1013"/>
      <c r="CV25" s="1013"/>
      <c r="CW25" s="1013"/>
      <c r="CX25" s="1013"/>
      <c r="CY25" s="1013"/>
      <c r="CZ25" s="1013"/>
      <c r="DA25" s="1014"/>
      <c r="DB25" s="1013"/>
      <c r="DC25" s="1013"/>
      <c r="DD25" s="1013"/>
      <c r="DE25" s="1013"/>
      <c r="DF25" s="1013"/>
      <c r="DG25" s="1013"/>
      <c r="DH25" s="1013"/>
      <c r="DI25" s="1014"/>
      <c r="DJ25" s="1013"/>
      <c r="DK25" s="1013"/>
      <c r="DL25" s="1013"/>
      <c r="DM25" s="1013"/>
      <c r="DN25" s="1013"/>
      <c r="DO25" s="1013"/>
      <c r="DP25" s="1013"/>
      <c r="DQ25" s="1014"/>
      <c r="DR25" s="1013"/>
      <c r="DS25" s="1013"/>
      <c r="DT25" s="1013"/>
      <c r="DU25" s="1013"/>
      <c r="DV25" s="1013"/>
      <c r="DW25" s="1013"/>
      <c r="DX25" s="1013"/>
      <c r="DY25" s="1014"/>
      <c r="EM25" s="1419"/>
    </row>
    <row r="26" spans="1:143" collapsed="1">
      <c r="A26" s="19" t="s">
        <v>752</v>
      </c>
      <c r="B26" s="980"/>
      <c r="C26" s="981"/>
      <c r="D26" s="981"/>
      <c r="E26" s="981"/>
      <c r="F26" s="981"/>
      <c r="G26" s="981"/>
      <c r="H26" s="981"/>
      <c r="I26" s="985"/>
      <c r="J26" s="981"/>
      <c r="K26" s="981"/>
      <c r="L26" s="981"/>
      <c r="M26" s="981"/>
      <c r="N26" s="981"/>
      <c r="O26" s="981"/>
      <c r="P26" s="981"/>
      <c r="Q26" s="985"/>
      <c r="R26" s="981"/>
      <c r="S26" s="981"/>
      <c r="T26" s="981"/>
      <c r="U26" s="981"/>
      <c r="V26" s="981"/>
      <c r="W26" s="981"/>
      <c r="X26" s="981"/>
      <c r="Y26" s="985"/>
      <c r="Z26" s="981"/>
      <c r="AA26" s="981"/>
      <c r="AB26" s="981"/>
      <c r="AC26" s="981"/>
      <c r="AD26" s="981"/>
      <c r="AE26" s="981"/>
      <c r="AF26" s="981"/>
      <c r="AG26" s="985"/>
      <c r="AH26" s="981"/>
      <c r="AI26" s="981"/>
      <c r="AJ26" s="981"/>
      <c r="AK26" s="981"/>
      <c r="AL26" s="981"/>
      <c r="AM26" s="981"/>
      <c r="AN26" s="981"/>
      <c r="AO26" s="985"/>
      <c r="AP26" s="981"/>
      <c r="AQ26" s="981"/>
      <c r="AR26" s="981"/>
      <c r="AS26" s="981"/>
      <c r="AT26" s="981"/>
      <c r="AU26" s="982"/>
      <c r="AV26" s="981"/>
      <c r="AW26" s="985"/>
      <c r="AX26" s="981"/>
      <c r="AY26" s="982"/>
      <c r="AZ26" s="981"/>
      <c r="BA26" s="981"/>
      <c r="BB26" s="981"/>
      <c r="BC26" s="982"/>
      <c r="BD26" s="981"/>
      <c r="BE26" s="985"/>
      <c r="BF26" s="981"/>
      <c r="BG26" s="987"/>
      <c r="BH26" s="987"/>
      <c r="BI26" s="987"/>
      <c r="BJ26" s="987"/>
      <c r="BK26" s="987"/>
      <c r="BL26" s="987"/>
      <c r="BM26" s="988"/>
      <c r="BN26" s="987"/>
      <c r="BO26" s="987"/>
      <c r="BP26" s="987"/>
      <c r="BQ26" s="987"/>
      <c r="BR26" s="987"/>
      <c r="BS26" s="987"/>
      <c r="BT26" s="987"/>
      <c r="BU26" s="988"/>
      <c r="BV26" s="987"/>
      <c r="BW26" s="987"/>
      <c r="BX26" s="987"/>
      <c r="BY26" s="987"/>
      <c r="BZ26" s="987"/>
      <c r="CA26" s="987"/>
      <c r="CB26" s="987"/>
      <c r="CC26" s="988"/>
      <c r="CD26" s="1013">
        <f t="shared" ref="CD26" si="205">CD13/BV13-1</f>
        <v>-0.19999999999999996</v>
      </c>
      <c r="CE26" s="1013">
        <f t="shared" ref="CE26" si="206">CE13/BW13-1</f>
        <v>0</v>
      </c>
      <c r="CF26" s="1013">
        <f t="shared" ref="CF26" si="207">CF13/BX13-1</f>
        <v>-9.9999999999999978E-2</v>
      </c>
      <c r="CG26" s="1013">
        <f t="shared" ref="CG26" si="208">CG13/BY13-1</f>
        <v>-0.6</v>
      </c>
      <c r="CH26" s="1013">
        <f t="shared" ref="CH26" si="209">CH13/BZ13-1</f>
        <v>-0.26666666666666672</v>
      </c>
      <c r="CI26" s="1013">
        <f t="shared" ref="CI26" si="210">CI13/CA13-1</f>
        <v>0.39999999999999991</v>
      </c>
      <c r="CJ26" s="1013">
        <f t="shared" ref="CJ26" si="211">CJ13/CB13-1</f>
        <v>-9.9999999999999978E-2</v>
      </c>
      <c r="CK26" s="1014">
        <f t="shared" ref="CK26" si="212">CK13/CC13-1</f>
        <v>-9.9999999999999978E-2</v>
      </c>
      <c r="CL26" s="1013">
        <f t="shared" si="160"/>
        <v>0</v>
      </c>
      <c r="CM26" s="1013">
        <f t="shared" ref="CM26" si="213">CM13/CE13-1</f>
        <v>-0.19999999999999996</v>
      </c>
      <c r="CN26" s="1013">
        <f t="shared" ref="CN26" si="214">CN13/CF13-1</f>
        <v>-0.11111111111111116</v>
      </c>
      <c r="CO26" s="1013">
        <f t="shared" ref="CO26" si="215">CO13/CG13-1</f>
        <v>1</v>
      </c>
      <c r="CP26" s="1013">
        <f t="shared" ref="CP26" si="216">CP13/CH13-1</f>
        <v>9.0909090909090828E-2</v>
      </c>
      <c r="CQ26" s="1013">
        <f t="shared" ref="CQ26" si="217">CQ13/CI13-1</f>
        <v>-0.4285714285714286</v>
      </c>
      <c r="CR26" s="1013">
        <f t="shared" ref="CR26" si="218">CR13/CJ13-1</f>
        <v>-0.11111111111111116</v>
      </c>
      <c r="CS26" s="1014">
        <f t="shared" ref="CS26" si="219">CS13/CK13-1</f>
        <v>-0.11111111111111116</v>
      </c>
      <c r="CT26" s="1013">
        <f t="shared" ref="CT26" si="220">CT13/CL13-1</f>
        <v>-0.5</v>
      </c>
      <c r="CU26" s="1013">
        <f t="shared" ref="CU26" si="221">CU13/CM13-1</f>
        <v>-0.25</v>
      </c>
      <c r="CV26" s="1013">
        <f t="shared" ref="CV26" si="222">CV13/CN13-1</f>
        <v>-0.375</v>
      </c>
      <c r="CW26" s="1013">
        <f t="shared" ref="CW26" si="223">CW13/CO13-1</f>
        <v>-0.25</v>
      </c>
      <c r="CX26" s="1013">
        <f t="shared" ref="CX26" si="224">CX13/CP13-1</f>
        <v>-0.33333333333333337</v>
      </c>
      <c r="CY26" s="1013">
        <f t="shared" ref="CY26" si="225">CY13/CQ13-1</f>
        <v>-0.25</v>
      </c>
      <c r="CZ26" s="1013">
        <f t="shared" ref="CZ26" si="226">CZ13/CR13-1</f>
        <v>-0.25</v>
      </c>
      <c r="DA26" s="1014">
        <f t="shared" ref="DA26" si="227">DA13/CS13-1</f>
        <v>-0.3125</v>
      </c>
      <c r="DB26" s="1013">
        <f t="shared" ref="DB26" si="228">DB13/CT13-1</f>
        <v>0.5</v>
      </c>
      <c r="DC26" s="1013">
        <f t="shared" ref="DC26" si="229">DC13/CU13-1</f>
        <v>-0.33333333333333337</v>
      </c>
      <c r="DD26" s="1013">
        <f t="shared" ref="DD26" si="230">DD13/CV13-1</f>
        <v>0</v>
      </c>
      <c r="DE26" s="1013">
        <f t="shared" ref="DE26" si="231">DE13/CW13-1</f>
        <v>-0.33333333333333337</v>
      </c>
      <c r="DF26" s="1013">
        <f t="shared" ref="DF26" si="232">DF13/CX13-1</f>
        <v>-0.125</v>
      </c>
      <c r="DG26" s="1013">
        <f t="shared" ref="DG26" si="233">DG13/CY13-1</f>
        <v>-0.33333333333333337</v>
      </c>
      <c r="DH26" s="1013">
        <f t="shared" ref="DH26" si="234">DH13/CZ13-1</f>
        <v>-0.33333333333333337</v>
      </c>
      <c r="DI26" s="1014">
        <f t="shared" ref="DI26:DK26" si="235">DI13/DA13-1</f>
        <v>-9.0909090909090939E-2</v>
      </c>
      <c r="DJ26" s="1013">
        <f t="shared" si="235"/>
        <v>-0.33333333333333337</v>
      </c>
      <c r="DK26" s="1013">
        <f t="shared" si="235"/>
        <v>0</v>
      </c>
      <c r="DL26" s="1013">
        <f t="shared" ref="DL26" si="236">DL13/DD13-1</f>
        <v>-0.19999999999999996</v>
      </c>
      <c r="DM26" s="1013">
        <f t="shared" ref="DM26" si="237">DM13/DE13-1</f>
        <v>0</v>
      </c>
      <c r="DN26" s="1013">
        <f t="shared" ref="DN26" si="238">DN13/DF13-1</f>
        <v>-0.1428571428571429</v>
      </c>
      <c r="DO26" s="1013">
        <f t="shared" ref="DO26" si="239">DO13/DG13-1</f>
        <v>1</v>
      </c>
      <c r="DP26" s="1013">
        <f t="shared" ref="DP26" si="240">DP13/DH13-1</f>
        <v>0.5</v>
      </c>
      <c r="DQ26" s="1014">
        <f t="shared" ref="DQ26" si="241">DQ13/DI13-1</f>
        <v>0</v>
      </c>
      <c r="DR26" s="1013">
        <f t="shared" ref="DR26" si="242">DR13/DJ13-1</f>
        <v>0.5</v>
      </c>
      <c r="DS26" s="1013">
        <f t="shared" ref="DS26" si="243">DS13/DK13-1</f>
        <v>0</v>
      </c>
      <c r="DT26" s="1013">
        <f t="shared" ref="DT26" si="244">DT13/DL13-1</f>
        <v>0.25</v>
      </c>
      <c r="DU26" s="1013">
        <f t="shared" ref="DU26" si="245">DU13/DM13-1</f>
        <v>0</v>
      </c>
      <c r="DV26" s="1013">
        <f t="shared" ref="DV26" si="246">DV13/DN13-1</f>
        <v>0.16666666666666674</v>
      </c>
      <c r="DW26" s="1013">
        <f t="shared" ref="DW26" si="247">DW13/DO13-1</f>
        <v>-0.5</v>
      </c>
      <c r="DX26" s="1013">
        <f t="shared" ref="DX26" si="248">DX13/DP13-1</f>
        <v>-0.33333333333333337</v>
      </c>
      <c r="DY26" s="1014">
        <f t="shared" ref="DY26" si="249">DY13/DQ13-1</f>
        <v>0</v>
      </c>
      <c r="EM26" s="1419"/>
    </row>
    <row r="27" spans="1:143" ht="14.25" hidden="1" customHeight="1" outlineLevel="1">
      <c r="A27" s="19" t="s">
        <v>897</v>
      </c>
      <c r="B27" s="980"/>
      <c r="C27" s="981"/>
      <c r="D27" s="981"/>
      <c r="E27" s="981"/>
      <c r="F27" s="981"/>
      <c r="G27" s="981"/>
      <c r="H27" s="981"/>
      <c r="I27" s="985"/>
      <c r="J27" s="981"/>
      <c r="K27" s="981"/>
      <c r="L27" s="981"/>
      <c r="M27" s="981"/>
      <c r="N27" s="981"/>
      <c r="O27" s="981"/>
      <c r="P27" s="981"/>
      <c r="Q27" s="985"/>
      <c r="R27" s="981"/>
      <c r="S27" s="981"/>
      <c r="T27" s="981"/>
      <c r="U27" s="981"/>
      <c r="V27" s="981"/>
      <c r="W27" s="981"/>
      <c r="X27" s="981"/>
      <c r="Y27" s="985"/>
      <c r="Z27" s="981"/>
      <c r="AA27" s="981"/>
      <c r="AB27" s="981"/>
      <c r="AC27" s="981"/>
      <c r="AD27" s="981"/>
      <c r="AE27" s="981"/>
      <c r="AF27" s="981"/>
      <c r="AG27" s="985"/>
      <c r="AH27" s="981"/>
      <c r="AI27" s="981"/>
      <c r="AJ27" s="981"/>
      <c r="AK27" s="981"/>
      <c r="AL27" s="981"/>
      <c r="AM27" s="981"/>
      <c r="AN27" s="981"/>
      <c r="AO27" s="985"/>
      <c r="AP27" s="981"/>
      <c r="AQ27" s="981"/>
      <c r="AR27" s="981"/>
      <c r="AS27" s="981"/>
      <c r="AT27" s="981"/>
      <c r="AU27" s="981"/>
      <c r="AV27" s="981"/>
      <c r="AW27" s="985"/>
      <c r="AX27" s="981"/>
      <c r="AY27" s="981"/>
      <c r="AZ27" s="981"/>
      <c r="BA27" s="981"/>
      <c r="BB27" s="981"/>
      <c r="BC27" s="981"/>
      <c r="BD27" s="981"/>
      <c r="BE27" s="985"/>
      <c r="BF27" s="981"/>
      <c r="BG27" s="987"/>
      <c r="BH27" s="987"/>
      <c r="BI27" s="987"/>
      <c r="BJ27" s="987"/>
      <c r="BK27" s="987"/>
      <c r="BL27" s="987"/>
      <c r="BM27" s="988"/>
      <c r="BN27" s="987"/>
      <c r="BO27" s="987"/>
      <c r="BP27" s="987"/>
      <c r="BQ27" s="987"/>
      <c r="BR27" s="987"/>
      <c r="BS27" s="987"/>
      <c r="BT27" s="987"/>
      <c r="BU27" s="988"/>
      <c r="BV27" s="987"/>
      <c r="BW27" s="987"/>
      <c r="BX27" s="987"/>
      <c r="BY27" s="987"/>
      <c r="BZ27" s="987"/>
      <c r="CA27" s="987"/>
      <c r="CB27" s="987"/>
      <c r="CC27" s="988"/>
      <c r="CD27" s="987"/>
      <c r="CE27" s="987"/>
      <c r="CF27" s="987"/>
      <c r="CG27" s="987"/>
      <c r="CH27" s="987"/>
      <c r="CI27" s="987"/>
      <c r="CJ27" s="987"/>
      <c r="CK27" s="988"/>
      <c r="CL27" s="987"/>
      <c r="CM27" s="987"/>
      <c r="CN27" s="987"/>
      <c r="CO27" s="987"/>
      <c r="CP27" s="987"/>
      <c r="CQ27" s="987"/>
      <c r="CR27" s="987"/>
      <c r="CS27" s="988"/>
      <c r="CT27" s="987"/>
      <c r="CU27" s="987"/>
      <c r="CV27" s="987"/>
      <c r="CW27" s="987"/>
      <c r="CX27" s="987"/>
      <c r="CY27" s="987"/>
      <c r="CZ27" s="987"/>
      <c r="DA27" s="988"/>
      <c r="DB27" s="987"/>
      <c r="DC27" s="987"/>
      <c r="DD27" s="987"/>
      <c r="DE27" s="987"/>
      <c r="DF27" s="987"/>
      <c r="DG27" s="987"/>
      <c r="DH27" s="987"/>
      <c r="DI27" s="988"/>
      <c r="DR27"/>
      <c r="DT27" s="987"/>
      <c r="EM27" s="1419"/>
    </row>
    <row r="28" spans="1:143" ht="14.25" hidden="1" customHeight="1" outlineLevel="1">
      <c r="A28" s="19" t="s">
        <v>743</v>
      </c>
      <c r="B28" s="980"/>
      <c r="C28" s="981"/>
      <c r="D28" s="981"/>
      <c r="E28" s="981"/>
      <c r="F28" s="981"/>
      <c r="G28" s="981"/>
      <c r="H28" s="981"/>
      <c r="I28" s="985"/>
      <c r="J28" s="981"/>
      <c r="K28" s="981"/>
      <c r="L28" s="981"/>
      <c r="M28" s="981"/>
      <c r="N28" s="981"/>
      <c r="O28" s="981"/>
      <c r="P28" s="981"/>
      <c r="Q28" s="985"/>
      <c r="R28" s="981"/>
      <c r="S28" s="981"/>
      <c r="T28" s="981"/>
      <c r="U28" s="981"/>
      <c r="V28" s="981"/>
      <c r="W28" s="981"/>
      <c r="X28" s="981"/>
      <c r="Y28" s="985"/>
      <c r="Z28" s="981"/>
      <c r="AA28" s="981"/>
      <c r="AB28" s="981"/>
      <c r="AC28" s="981"/>
      <c r="AD28" s="981"/>
      <c r="AE28" s="981"/>
      <c r="AF28" s="981"/>
      <c r="AG28" s="985"/>
      <c r="AH28" s="981"/>
      <c r="AI28" s="981"/>
      <c r="AJ28" s="981"/>
      <c r="AK28" s="981"/>
      <c r="AL28" s="981"/>
      <c r="AM28" s="981"/>
      <c r="AN28" s="981"/>
      <c r="AO28" s="985"/>
      <c r="AP28" s="981"/>
      <c r="AQ28" s="981"/>
      <c r="AR28" s="981"/>
      <c r="AS28" s="981"/>
      <c r="AT28" s="981"/>
      <c r="AU28" s="981"/>
      <c r="AV28" s="981"/>
      <c r="AW28" s="985"/>
      <c r="AX28" s="981"/>
      <c r="AY28" s="981"/>
      <c r="AZ28" s="981"/>
      <c r="BA28" s="981"/>
      <c r="BB28" s="981"/>
      <c r="BC28" s="981"/>
      <c r="BD28" s="981"/>
      <c r="BE28" s="985"/>
      <c r="BF28" s="981"/>
      <c r="BG28" s="987"/>
      <c r="BH28" s="987"/>
      <c r="BI28" s="987"/>
      <c r="BJ28" s="987"/>
      <c r="BK28" s="987"/>
      <c r="BL28" s="987"/>
      <c r="BM28" s="988"/>
      <c r="BN28" s="987"/>
      <c r="BO28" s="987"/>
      <c r="BP28" s="987"/>
      <c r="BQ28" s="987"/>
      <c r="BR28" s="987"/>
      <c r="BS28" s="987"/>
      <c r="BT28" s="987"/>
      <c r="BU28" s="988"/>
      <c r="BV28" s="987"/>
      <c r="BW28" s="987"/>
      <c r="BX28" s="987"/>
      <c r="BY28" s="987"/>
      <c r="BZ28" s="987"/>
      <c r="CA28" s="987"/>
      <c r="CB28" s="987"/>
      <c r="CC28" s="988"/>
      <c r="CD28" s="987"/>
      <c r="CE28" s="987"/>
      <c r="CF28" s="987"/>
      <c r="CG28" s="987"/>
      <c r="CH28" s="987"/>
      <c r="CI28" s="987"/>
      <c r="CJ28" s="987"/>
      <c r="CK28" s="988"/>
      <c r="CL28" s="987"/>
      <c r="CM28" s="987"/>
      <c r="CN28" s="987"/>
      <c r="CO28" s="987"/>
      <c r="CP28" s="987"/>
      <c r="CQ28" s="987"/>
      <c r="CR28" s="987"/>
      <c r="CS28" s="988"/>
      <c r="CT28" s="987"/>
      <c r="CU28" s="987"/>
      <c r="CV28" s="987"/>
      <c r="CW28" s="987"/>
      <c r="CX28" s="987"/>
      <c r="CY28" s="987"/>
      <c r="CZ28" s="987"/>
      <c r="DA28" s="988"/>
      <c r="DB28" s="987"/>
      <c r="DC28" s="987"/>
      <c r="DD28" s="987"/>
      <c r="DE28" s="987"/>
      <c r="DF28" s="987"/>
      <c r="DG28" s="987"/>
      <c r="DH28" s="987"/>
      <c r="DI28" s="988"/>
      <c r="DR28"/>
      <c r="DT28" s="987"/>
      <c r="EM28" s="1419"/>
    </row>
    <row r="29" spans="1:143" s="276" customFormat="1" ht="11.25" collapsed="1">
      <c r="A29" s="967" t="s">
        <v>916</v>
      </c>
      <c r="B29" s="968">
        <f t="shared" ref="B29:AM29" si="250">SUM(B19:B28)</f>
        <v>0</v>
      </c>
      <c r="C29" s="969">
        <f t="shared" si="250"/>
        <v>0</v>
      </c>
      <c r="D29" s="969">
        <f t="shared" ref="D29" si="251">B29+C29</f>
        <v>0</v>
      </c>
      <c r="E29" s="969">
        <f t="shared" si="250"/>
        <v>0</v>
      </c>
      <c r="F29" s="969">
        <f t="shared" ref="F29" si="252">D29+E29</f>
        <v>0</v>
      </c>
      <c r="G29" s="969">
        <f t="shared" ref="G29" si="253">SUM(G19:G28)</f>
        <v>0</v>
      </c>
      <c r="H29" s="969">
        <f t="shared" ref="H29" si="254">G29+E29</f>
        <v>0</v>
      </c>
      <c r="I29" s="970">
        <f t="shared" ref="I29" si="255">H29+D29</f>
        <v>0</v>
      </c>
      <c r="J29" s="968">
        <f t="shared" si="250"/>
        <v>0</v>
      </c>
      <c r="K29" s="969">
        <f t="shared" si="250"/>
        <v>0</v>
      </c>
      <c r="L29" s="969">
        <f t="shared" ref="L29" si="256">J29+K29</f>
        <v>0</v>
      </c>
      <c r="M29" s="969">
        <f t="shared" si="250"/>
        <v>0</v>
      </c>
      <c r="N29" s="969">
        <f t="shared" ref="N29" si="257">L29+M29</f>
        <v>0</v>
      </c>
      <c r="O29" s="969">
        <f t="shared" si="250"/>
        <v>0</v>
      </c>
      <c r="P29" s="969">
        <f t="shared" ref="P29" si="258">O29+M29</f>
        <v>0</v>
      </c>
      <c r="Q29" s="970">
        <f t="shared" ref="Q29" si="259">P29+L29</f>
        <v>0</v>
      </c>
      <c r="R29" s="969">
        <f t="shared" si="250"/>
        <v>0</v>
      </c>
      <c r="S29" s="969">
        <f t="shared" si="250"/>
        <v>0</v>
      </c>
      <c r="T29" s="969">
        <f t="shared" ref="T29" si="260">R29+S29</f>
        <v>0</v>
      </c>
      <c r="U29" s="969">
        <f t="shared" si="250"/>
        <v>0</v>
      </c>
      <c r="V29" s="969">
        <f t="shared" ref="V29" si="261">T29+U29</f>
        <v>0</v>
      </c>
      <c r="W29" s="969">
        <f t="shared" si="250"/>
        <v>0</v>
      </c>
      <c r="X29" s="969">
        <f t="shared" ref="X29" si="262">W29+U29</f>
        <v>0</v>
      </c>
      <c r="Y29" s="970">
        <f t="shared" ref="Y29" si="263">X29+T29</f>
        <v>0</v>
      </c>
      <c r="Z29" s="969">
        <f t="shared" si="250"/>
        <v>0</v>
      </c>
      <c r="AA29" s="969">
        <f t="shared" si="250"/>
        <v>0</v>
      </c>
      <c r="AB29" s="969">
        <f t="shared" ref="AB29" si="264">Z29+AA29</f>
        <v>0</v>
      </c>
      <c r="AC29" s="969">
        <f t="shared" si="250"/>
        <v>0</v>
      </c>
      <c r="AD29" s="969">
        <f t="shared" ref="AD29" si="265">AB29+AC29</f>
        <v>0</v>
      </c>
      <c r="AE29" s="969">
        <f t="shared" si="250"/>
        <v>0</v>
      </c>
      <c r="AF29" s="969">
        <f t="shared" ref="AF29" si="266">AE29+AC29</f>
        <v>0</v>
      </c>
      <c r="AG29" s="970"/>
      <c r="AH29" s="969">
        <f t="shared" si="250"/>
        <v>0</v>
      </c>
      <c r="AI29" s="969">
        <f t="shared" si="250"/>
        <v>0</v>
      </c>
      <c r="AJ29" s="969">
        <f t="shared" ref="AJ29" si="267">AH29+AI29</f>
        <v>0</v>
      </c>
      <c r="AK29" s="969">
        <f t="shared" si="250"/>
        <v>0</v>
      </c>
      <c r="AL29" s="969">
        <f t="shared" ref="AL29" si="268">AJ29+AK29</f>
        <v>0</v>
      </c>
      <c r="AM29" s="969">
        <f t="shared" si="250"/>
        <v>0</v>
      </c>
      <c r="AN29" s="969">
        <f t="shared" ref="AN29" si="269">AM29+AK29</f>
        <v>0</v>
      </c>
      <c r="AO29" s="970">
        <f t="shared" ref="AO29" si="270">AN29+AJ29</f>
        <v>0</v>
      </c>
      <c r="AP29" s="969">
        <f>SUM(AP19:AP28)-AP25</f>
        <v>0</v>
      </c>
      <c r="AQ29" s="969">
        <f>SUM(AQ19:AQ28)-AQ25</f>
        <v>0</v>
      </c>
      <c r="AR29" s="969">
        <f t="shared" ref="AR29" si="271">AP29+AQ29</f>
        <v>0</v>
      </c>
      <c r="AS29" s="969">
        <f>SUM(AS19:AS28)-AS25</f>
        <v>0</v>
      </c>
      <c r="AT29" s="969">
        <f t="shared" ref="AT29" si="272">AR29+AS29</f>
        <v>0</v>
      </c>
      <c r="AU29" s="969">
        <f>SUM(AU19:AU28)-AU25</f>
        <v>0</v>
      </c>
      <c r="AV29" s="969">
        <f t="shared" ref="AV29" si="273">AU29+AS29</f>
        <v>0</v>
      </c>
      <c r="AW29" s="970">
        <f t="shared" ref="AW29" si="274">AV29+AR29</f>
        <v>0</v>
      </c>
      <c r="AX29" s="969">
        <f>SUM(AX19:AX28)</f>
        <v>0</v>
      </c>
      <c r="AY29" s="969">
        <f>SUM(AY19:AY28)</f>
        <v>0</v>
      </c>
      <c r="AZ29" s="969">
        <f t="shared" ref="AZ29" si="275">AX29+AY29</f>
        <v>0</v>
      </c>
      <c r="BA29" s="969">
        <f>SUM(BA19:BA28)</f>
        <v>0</v>
      </c>
      <c r="BB29" s="969">
        <f t="shared" ref="BB29" si="276">AZ29+BA29</f>
        <v>0</v>
      </c>
      <c r="BC29" s="969">
        <f>SUM(BC19:BC28)</f>
        <v>0</v>
      </c>
      <c r="BD29" s="969">
        <f t="shared" ref="BD29" si="277">BC29+BA29</f>
        <v>0</v>
      </c>
      <c r="BE29" s="970">
        <f t="shared" ref="BE29" si="278">BD29+AZ29</f>
        <v>0</v>
      </c>
      <c r="BF29" s="969">
        <f t="shared" ref="BF29:CA29" si="279">SUM(BF23:BF28,BF19)</f>
        <v>0</v>
      </c>
      <c r="BG29" s="969">
        <f t="shared" si="279"/>
        <v>0</v>
      </c>
      <c r="BH29" s="969">
        <f t="shared" ref="BH29" si="280">BF29+BG29</f>
        <v>0</v>
      </c>
      <c r="BI29" s="969">
        <f t="shared" si="279"/>
        <v>0</v>
      </c>
      <c r="BJ29" s="969">
        <f t="shared" ref="BJ29" si="281">BH29+BI29</f>
        <v>0</v>
      </c>
      <c r="BK29" s="969">
        <f t="shared" si="279"/>
        <v>0</v>
      </c>
      <c r="BL29" s="969">
        <f t="shared" ref="BL29" si="282">BK29+BI29</f>
        <v>0</v>
      </c>
      <c r="BM29" s="970">
        <f t="shared" ref="BM29" si="283">BL29+BH29</f>
        <v>0</v>
      </c>
      <c r="BN29" s="969">
        <f t="shared" si="279"/>
        <v>0</v>
      </c>
      <c r="BO29" s="969">
        <f t="shared" si="279"/>
        <v>0</v>
      </c>
      <c r="BP29" s="969">
        <f t="shared" ref="BP29" si="284">BN29+BO29</f>
        <v>0</v>
      </c>
      <c r="BQ29" s="969">
        <f t="shared" si="279"/>
        <v>0</v>
      </c>
      <c r="BR29" s="969">
        <f t="shared" ref="BR29" si="285">BP29+BQ29</f>
        <v>0</v>
      </c>
      <c r="BS29" s="969">
        <f t="shared" si="279"/>
        <v>0</v>
      </c>
      <c r="BT29" s="969">
        <f t="shared" ref="BT29" si="286">BS29+BQ29</f>
        <v>0</v>
      </c>
      <c r="BU29" s="970">
        <f t="shared" ref="BU29" si="287">BT29+BP29</f>
        <v>0</v>
      </c>
      <c r="BV29" s="969">
        <f t="shared" si="279"/>
        <v>0</v>
      </c>
      <c r="BW29" s="969">
        <f t="shared" si="279"/>
        <v>0</v>
      </c>
      <c r="BX29" s="969">
        <f t="shared" ref="BX29" si="288">BV29+BW29</f>
        <v>0</v>
      </c>
      <c r="BY29" s="969">
        <f t="shared" si="279"/>
        <v>0</v>
      </c>
      <c r="BZ29" s="969">
        <f t="shared" ref="BZ29" si="289">BX29+BY29</f>
        <v>0</v>
      </c>
      <c r="CA29" s="969">
        <f t="shared" si="279"/>
        <v>0</v>
      </c>
      <c r="CB29" s="969">
        <f t="shared" ref="CB29" si="290">CA29+BY29</f>
        <v>0</v>
      </c>
      <c r="CC29" s="970">
        <f t="shared" ref="CC29" si="291">CB29+BX29</f>
        <v>0</v>
      </c>
      <c r="CD29" s="1153">
        <f t="shared" ref="CD29" si="292">(CD16/BV16)-1</f>
        <v>-0.37915660412409435</v>
      </c>
      <c r="CE29" s="1153">
        <f t="shared" ref="CE29" si="293">(CE16/BW16)-1</f>
        <v>4.4326241134751809E-2</v>
      </c>
      <c r="CF29" s="1153">
        <f t="shared" ref="CF29" si="294">(CF16/BX16)-1</f>
        <v>-0.21569522071404124</v>
      </c>
      <c r="CG29" s="1153">
        <f t="shared" ref="CG29" si="295">(CG16/BY16)-1</f>
        <v>0.10408042578355992</v>
      </c>
      <c r="CH29" s="1153">
        <f t="shared" ref="CH29" si="296">(CH16/BZ16)-1</f>
        <v>-0.12667709276483663</v>
      </c>
      <c r="CI29" s="1153">
        <f t="shared" ref="CI29:CK29" si="297">(CI16/CA16)-1</f>
        <v>6.8521499195217217E-2</v>
      </c>
      <c r="CJ29" s="1153">
        <f t="shared" si="297"/>
        <v>8.4077092226102712E-2</v>
      </c>
      <c r="CK29" s="1167">
        <f t="shared" si="297"/>
        <v>-7.5221238938053103E-2</v>
      </c>
      <c r="CL29" s="1153">
        <f t="shared" ref="CL29" si="298">(CL16/CD16)-1</f>
        <v>0.21813285457809695</v>
      </c>
      <c r="CM29" s="1153">
        <f t="shared" ref="CM29" si="299">(CM16/CE16)-1</f>
        <v>0.27023203169213361</v>
      </c>
      <c r="CN29" s="1153">
        <f t="shared" ref="CN29" si="300">(CN16/CF16)-1</f>
        <v>0.24490983129726596</v>
      </c>
      <c r="CO29" s="1153">
        <f t="shared" ref="CO29" si="301">(CO16/CG16)-1</f>
        <v>0.2986073915372256</v>
      </c>
      <c r="CP29" s="1153">
        <f t="shared" ref="CP29" si="302">(CP16/CH16)-1</f>
        <v>0.26380772855796408</v>
      </c>
      <c r="CQ29" s="1153">
        <f t="shared" ref="CQ29:CS29" si="303">(CQ16/CI16)-1</f>
        <v>0.21067355282978273</v>
      </c>
      <c r="CR29" s="1153">
        <f t="shared" si="303"/>
        <v>0.24985085312015265</v>
      </c>
      <c r="CS29" s="1167">
        <f t="shared" si="303"/>
        <v>0.24762404142360883</v>
      </c>
      <c r="CT29" s="1153">
        <f t="shared" ref="CT29" si="304">(CT16/CL16)-1</f>
        <v>0.29353967084254484</v>
      </c>
      <c r="CU29" s="1153">
        <f t="shared" ref="CU29" si="305">(CU16/CM16)-1</f>
        <v>0.26509244820672762</v>
      </c>
      <c r="CV29" s="1153">
        <f t="shared" ref="CV29" si="306">(CV16/CN16)-1</f>
        <v>0.2786214953271029</v>
      </c>
      <c r="CW29" s="1153">
        <f t="shared" ref="CW29" si="307">(CW16/CO16)-1</f>
        <v>0.2012786141472469</v>
      </c>
      <c r="CX29" s="1153">
        <f t="shared" ref="CX29" si="308">(CX16/CP16)-1</f>
        <v>0.25065254679692739</v>
      </c>
      <c r="CY29" s="1153">
        <f t="shared" ref="CY29:DA29" si="309">(CY16/CQ16)-1</f>
        <v>0.14273018130110193</v>
      </c>
      <c r="CZ29" s="1153">
        <f t="shared" si="309"/>
        <v>0.16983293556085921</v>
      </c>
      <c r="DA29" s="1167">
        <f t="shared" si="309"/>
        <v>0.21875492513790395</v>
      </c>
      <c r="DB29" s="1153">
        <f t="shared" ref="DB29" si="310">(DB16/CT16)-1</f>
        <v>0.18116217242688948</v>
      </c>
      <c r="DC29" s="1153">
        <f t="shared" ref="DC29" si="311">(DC16/CU16)-1</f>
        <v>0.20214826553970777</v>
      </c>
      <c r="DD29" s="1153">
        <f t="shared" ref="DD29" si="312">(DD16/CV16)-1</f>
        <v>0.19205116491548657</v>
      </c>
      <c r="DE29" s="1153">
        <f t="shared" ref="DE29" si="313">(DE16/CW16)-1</f>
        <v>0.13974248927038624</v>
      </c>
      <c r="DF29" s="1153">
        <f t="shared" ref="DF29" si="314">(DF16/CX16)-1</f>
        <v>0.17388193202146685</v>
      </c>
      <c r="DG29" s="1153">
        <f t="shared" ref="DG29:DI29" si="315">(DG16/CY16)-1</f>
        <v>0.18680976823767304</v>
      </c>
      <c r="DH29" s="1153">
        <f t="shared" si="315"/>
        <v>0.16443610249714369</v>
      </c>
      <c r="DI29" s="1167">
        <f t="shared" si="315"/>
        <v>0.17750765119186163</v>
      </c>
      <c r="DJ29" s="1153">
        <f t="shared" ref="DJ29" si="316">(DJ16/DB16)-1</f>
        <v>0.16672025723472661</v>
      </c>
      <c r="DK29" s="1153">
        <f t="shared" ref="DK29" si="317">(DK16/DC16)-1</f>
        <v>0.10033689761242126</v>
      </c>
      <c r="DL29" s="1153">
        <f t="shared" ref="DL29" si="318">(DL16/DD16)-1</f>
        <v>0.13198436422166004</v>
      </c>
      <c r="DM29" s="1153">
        <f t="shared" ref="DM29" si="319">(DM16/DE16)-1</f>
        <v>0.18270823919264956</v>
      </c>
      <c r="DN29" s="1153">
        <f t="shared" ref="DN29" si="320">(DN16/DF16)-1</f>
        <v>0.14914152189373153</v>
      </c>
      <c r="DO29" s="1153">
        <f t="shared" ref="DO29:DQ29" si="321">(DO16/DG16)-1</f>
        <v>0.17097884866094426</v>
      </c>
      <c r="DP29" s="1153">
        <f t="shared" si="321"/>
        <v>0.17643623346296189</v>
      </c>
      <c r="DQ29" s="1167">
        <f t="shared" si="321"/>
        <v>0.15519890966368943</v>
      </c>
      <c r="DR29" s="1153">
        <f t="shared" ref="DR29:DW29" si="322">(DR16/DJ16)-1</f>
        <v>0.11867839827770954</v>
      </c>
      <c r="DS29" s="1153">
        <f t="shared" si="322"/>
        <v>0.18616830121172101</v>
      </c>
      <c r="DT29" s="1153">
        <f t="shared" si="322"/>
        <v>0.15300598652608755</v>
      </c>
      <c r="DU29" s="1153">
        <f t="shared" si="322"/>
        <v>0.10355597885447865</v>
      </c>
      <c r="DV29" s="1153">
        <f t="shared" si="322"/>
        <v>0.13579113080051064</v>
      </c>
      <c r="DW29" s="1153">
        <f t="shared" si="322"/>
        <v>0.11461001203738763</v>
      </c>
      <c r="DX29" s="1153">
        <f>(DX16/DP16)-1</f>
        <v>0.10943943366956232</v>
      </c>
      <c r="DY29" s="1167">
        <f>(DY16/DQ16)-1</f>
        <v>0.12983550943748479</v>
      </c>
      <c r="DZ29" s="969"/>
      <c r="EA29" s="969"/>
      <c r="EB29" s="969"/>
      <c r="EC29" s="969"/>
      <c r="ED29" s="969"/>
      <c r="EE29" s="969"/>
      <c r="EF29" s="969"/>
      <c r="EG29" s="1148"/>
      <c r="EM29" s="1419"/>
    </row>
    <row r="30" spans="1:143">
      <c r="A30" s="181" t="s">
        <v>1311</v>
      </c>
      <c r="B30" s="986"/>
      <c r="C30" s="987"/>
      <c r="D30" s="987"/>
      <c r="E30" s="987"/>
      <c r="F30" s="987"/>
      <c r="G30" s="987"/>
      <c r="H30" s="987"/>
      <c r="I30" s="988"/>
      <c r="J30" s="987"/>
      <c r="K30" s="987"/>
      <c r="L30" s="987"/>
      <c r="M30" s="987"/>
      <c r="N30" s="987"/>
      <c r="O30" s="987"/>
      <c r="P30" s="987"/>
      <c r="Q30" s="988"/>
      <c r="R30" s="987"/>
      <c r="S30" s="987"/>
      <c r="T30" s="987"/>
      <c r="U30" s="987"/>
      <c r="V30" s="987"/>
      <c r="W30" s="987"/>
      <c r="X30" s="987"/>
      <c r="Y30" s="988"/>
      <c r="Z30" s="987"/>
      <c r="AA30" s="987"/>
      <c r="AB30" s="987"/>
      <c r="AC30" s="987"/>
      <c r="AD30" s="987"/>
      <c r="AE30" s="987"/>
      <c r="AF30" s="987"/>
      <c r="AG30" s="988"/>
      <c r="AH30" s="987"/>
      <c r="AI30" s="987"/>
      <c r="AJ30" s="987"/>
      <c r="AK30" s="987"/>
      <c r="AL30" s="987"/>
      <c r="AM30" s="987"/>
      <c r="AN30" s="987"/>
      <c r="AO30" s="988"/>
      <c r="AP30" s="987"/>
      <c r="AQ30" s="987"/>
      <c r="AR30" s="987"/>
      <c r="AS30" s="987"/>
      <c r="AT30" s="987"/>
      <c r="AU30" s="987"/>
      <c r="AV30" s="987"/>
      <c r="AW30" s="988"/>
      <c r="AX30" s="987"/>
      <c r="AY30" s="987"/>
      <c r="AZ30" s="987"/>
      <c r="BA30" s="987"/>
      <c r="BB30" s="987"/>
      <c r="BC30" s="987"/>
      <c r="BD30" s="987"/>
      <c r="BE30" s="988"/>
      <c r="BF30" s="987"/>
      <c r="BG30" s="987"/>
      <c r="BH30" s="987"/>
      <c r="BI30" s="987"/>
      <c r="BJ30" s="987"/>
      <c r="BK30" s="987"/>
      <c r="BL30" s="987"/>
      <c r="BM30" s="988"/>
      <c r="BN30" s="987"/>
      <c r="BO30" s="987"/>
      <c r="BP30" s="987"/>
      <c r="BQ30" s="987"/>
      <c r="BR30" s="987"/>
      <c r="BS30" s="987"/>
      <c r="BT30" s="987"/>
      <c r="BU30" s="988"/>
      <c r="BV30" s="987"/>
      <c r="BW30" s="987"/>
      <c r="BX30" s="987"/>
      <c r="BY30" s="987"/>
      <c r="BZ30" s="987"/>
      <c r="CA30" s="987"/>
      <c r="CB30" s="987"/>
      <c r="CC30" s="988"/>
      <c r="CD30" s="987"/>
      <c r="CE30" s="987"/>
      <c r="CF30" s="987"/>
      <c r="CG30" s="987"/>
      <c r="CH30" s="987"/>
      <c r="CI30" s="987"/>
      <c r="CJ30" s="987"/>
      <c r="CK30" s="988"/>
      <c r="CL30" s="987"/>
      <c r="CM30" s="987"/>
      <c r="CN30" s="987"/>
      <c r="CO30" s="987"/>
      <c r="CP30" s="987"/>
      <c r="CQ30" s="987"/>
      <c r="CR30" s="987"/>
      <c r="CS30" s="988"/>
      <c r="CT30" s="987"/>
      <c r="CU30" s="987"/>
      <c r="CV30" s="987"/>
      <c r="CW30" s="987"/>
      <c r="CX30" s="987"/>
      <c r="CY30" s="987"/>
      <c r="CZ30" s="987"/>
      <c r="DA30" s="988"/>
      <c r="DB30" s="987"/>
      <c r="DC30" s="987"/>
      <c r="DD30" s="987"/>
      <c r="DE30" s="987"/>
      <c r="DF30" s="987"/>
      <c r="DG30" s="987"/>
      <c r="DH30" s="987"/>
      <c r="DI30" s="988"/>
      <c r="DR30"/>
      <c r="DT30" s="987"/>
      <c r="EM30" s="1419"/>
    </row>
    <row r="31" spans="1:143">
      <c r="B31" s="986"/>
      <c r="C31" s="987"/>
      <c r="D31" s="987"/>
      <c r="E31" s="987"/>
      <c r="F31" s="987"/>
      <c r="G31" s="987"/>
      <c r="H31" s="987"/>
      <c r="I31" s="988"/>
      <c r="J31" s="987"/>
      <c r="K31" s="987"/>
      <c r="L31" s="987"/>
      <c r="M31" s="987"/>
      <c r="N31" s="987"/>
      <c r="O31" s="987"/>
      <c r="P31" s="987"/>
      <c r="Q31" s="988"/>
      <c r="R31" s="987"/>
      <c r="S31" s="987"/>
      <c r="T31" s="987"/>
      <c r="U31" s="987"/>
      <c r="V31" s="987"/>
      <c r="W31" s="987"/>
      <c r="X31" s="987"/>
      <c r="Y31" s="988"/>
      <c r="Z31" s="987"/>
      <c r="AA31" s="987"/>
      <c r="AB31" s="987"/>
      <c r="AC31" s="987"/>
      <c r="AD31" s="987"/>
      <c r="AE31" s="987"/>
      <c r="AF31" s="987"/>
      <c r="AG31" s="988"/>
      <c r="AH31" s="987"/>
      <c r="AI31" s="987"/>
      <c r="AJ31" s="987"/>
      <c r="AK31" s="987"/>
      <c r="AL31" s="987"/>
      <c r="AM31" s="987"/>
      <c r="AN31" s="987"/>
      <c r="AO31" s="988"/>
      <c r="AP31" s="987"/>
      <c r="AQ31" s="987"/>
      <c r="AR31" s="987"/>
      <c r="AS31" s="987"/>
      <c r="AT31" s="987"/>
      <c r="AU31" s="987"/>
      <c r="AV31" s="987"/>
      <c r="AW31" s="988"/>
      <c r="AX31" s="987"/>
      <c r="AY31" s="987"/>
      <c r="AZ31" s="987"/>
      <c r="BA31" s="987"/>
      <c r="BB31" s="987"/>
      <c r="BC31" s="987"/>
      <c r="BD31" s="987"/>
      <c r="BE31" s="988"/>
      <c r="BF31" s="987"/>
      <c r="BG31" s="987"/>
      <c r="BH31" s="987"/>
      <c r="BI31" s="987"/>
      <c r="BJ31" s="987"/>
      <c r="BK31" s="987"/>
      <c r="BL31" s="987"/>
      <c r="BM31" s="988"/>
      <c r="BN31" s="987"/>
      <c r="BO31" s="987"/>
      <c r="BP31" s="987"/>
      <c r="BQ31" s="987"/>
      <c r="BR31" s="987"/>
      <c r="BS31" s="987"/>
      <c r="BT31" s="987"/>
      <c r="BU31" s="988"/>
      <c r="BV31" s="987"/>
      <c r="BW31" s="987"/>
      <c r="BX31" s="987"/>
      <c r="BY31" s="987"/>
      <c r="BZ31" s="987"/>
      <c r="CA31" s="987"/>
      <c r="CB31" s="987"/>
      <c r="CC31" s="988"/>
      <c r="CD31" s="987"/>
      <c r="CE31" s="987"/>
      <c r="CF31" s="987"/>
      <c r="CG31" s="987"/>
      <c r="CH31" s="987"/>
      <c r="CI31" s="987"/>
      <c r="CJ31" s="987"/>
      <c r="CK31" s="988"/>
      <c r="CL31" s="987"/>
      <c r="CM31" s="987"/>
      <c r="CN31" s="987"/>
      <c r="CO31" s="987"/>
      <c r="CP31" s="987"/>
      <c r="CQ31" s="987"/>
      <c r="CR31" s="987"/>
      <c r="CS31" s="988"/>
      <c r="CT31" s="987"/>
      <c r="CU31" s="987"/>
      <c r="CV31" s="987"/>
      <c r="CW31" s="987"/>
      <c r="CX31" s="987"/>
      <c r="CY31" s="987"/>
      <c r="CZ31" s="987"/>
      <c r="DA31" s="988"/>
      <c r="DB31" s="987"/>
      <c r="DC31" s="987"/>
      <c r="DD31" s="987"/>
      <c r="DE31" s="987"/>
      <c r="DF31" s="987"/>
      <c r="DG31" s="987"/>
      <c r="DH31" s="987"/>
      <c r="DI31" s="988"/>
      <c r="DR31"/>
      <c r="DT31" s="987"/>
      <c r="EM31" s="1419"/>
    </row>
    <row r="32" spans="1:143">
      <c r="A32" s="258" t="s">
        <v>1767</v>
      </c>
      <c r="B32" s="989"/>
      <c r="C32" s="990"/>
      <c r="D32" s="990"/>
      <c r="E32" s="990"/>
      <c r="F32" s="990"/>
      <c r="G32" s="990"/>
      <c r="H32" s="990"/>
      <c r="I32" s="991"/>
      <c r="J32" s="990"/>
      <c r="K32" s="990"/>
      <c r="L32" s="990"/>
      <c r="M32" s="990"/>
      <c r="N32" s="990"/>
      <c r="O32" s="990"/>
      <c r="P32" s="990"/>
      <c r="Q32" s="991"/>
      <c r="R32" s="990"/>
      <c r="S32" s="990"/>
      <c r="T32" s="990"/>
      <c r="U32" s="990"/>
      <c r="V32" s="990"/>
      <c r="W32" s="990"/>
      <c r="X32" s="990"/>
      <c r="Y32" s="991"/>
      <c r="Z32" s="990"/>
      <c r="AA32" s="990"/>
      <c r="AB32" s="990"/>
      <c r="AC32" s="990"/>
      <c r="AD32" s="990"/>
      <c r="AE32" s="990"/>
      <c r="AF32" s="990"/>
      <c r="AG32" s="991"/>
      <c r="AH32" s="990"/>
      <c r="AI32" s="990"/>
      <c r="AJ32" s="990"/>
      <c r="AK32" s="990"/>
      <c r="AL32" s="990"/>
      <c r="AM32" s="990"/>
      <c r="AN32" s="990"/>
      <c r="AO32" s="991"/>
      <c r="AP32" s="990"/>
      <c r="AQ32" s="990"/>
      <c r="AR32" s="990"/>
      <c r="AS32" s="990"/>
      <c r="AT32" s="990"/>
      <c r="AU32" s="990"/>
      <c r="AV32" s="990"/>
      <c r="AW32" s="991"/>
      <c r="AX32" s="990"/>
      <c r="AY32" s="990"/>
      <c r="AZ32" s="990"/>
      <c r="BA32" s="990"/>
      <c r="BB32" s="990"/>
      <c r="BC32" s="990"/>
      <c r="BD32" s="990"/>
      <c r="BE32" s="991"/>
      <c r="BF32" s="990"/>
      <c r="BG32" s="990"/>
      <c r="BH32" s="990"/>
      <c r="BI32" s="990"/>
      <c r="BJ32" s="990"/>
      <c r="BK32" s="990"/>
      <c r="BL32" s="990"/>
      <c r="BM32" s="991"/>
      <c r="BN32" s="990"/>
      <c r="BO32" s="990"/>
      <c r="BP32" s="990"/>
      <c r="BQ32" s="990"/>
      <c r="BR32" s="990"/>
      <c r="BS32" s="990"/>
      <c r="BT32" s="990"/>
      <c r="BU32" s="991"/>
      <c r="BV32" s="990"/>
      <c r="BW32" s="990"/>
      <c r="BX32" s="990"/>
      <c r="BY32" s="990"/>
      <c r="BZ32" s="990"/>
      <c r="CA32" s="990"/>
      <c r="CB32" s="990"/>
      <c r="CC32" s="991"/>
      <c r="CD32" s="990"/>
      <c r="CE32" s="990"/>
      <c r="CF32" s="990"/>
      <c r="CG32" s="990"/>
      <c r="CH32" s="990"/>
      <c r="CI32" s="990"/>
      <c r="CJ32" s="990"/>
      <c r="CK32" s="991"/>
      <c r="CL32" s="990"/>
      <c r="CM32" s="990"/>
      <c r="CN32" s="990"/>
      <c r="CO32" s="990"/>
      <c r="CP32" s="990"/>
      <c r="CQ32" s="990"/>
      <c r="CR32" s="990"/>
      <c r="CS32" s="991"/>
      <c r="CT32" s="990"/>
      <c r="CU32" s="990"/>
      <c r="CV32" s="990"/>
      <c r="CW32" s="990"/>
      <c r="CX32" s="990"/>
      <c r="CY32" s="990"/>
      <c r="CZ32" s="990"/>
      <c r="DA32" s="991"/>
      <c r="DB32" s="990"/>
      <c r="DC32" s="990"/>
      <c r="DD32" s="990"/>
      <c r="DE32" s="990"/>
      <c r="DF32" s="990"/>
      <c r="DG32" s="990"/>
      <c r="DH32" s="990"/>
      <c r="DI32" s="991"/>
      <c r="DJ32" s="258"/>
      <c r="DK32" s="258"/>
      <c r="DL32" s="990"/>
      <c r="DM32" s="258"/>
      <c r="DN32" s="258"/>
      <c r="DO32" s="258"/>
      <c r="DP32" s="258"/>
      <c r="DQ32" s="965"/>
      <c r="DR32" s="258"/>
      <c r="DS32" s="258"/>
      <c r="DT32" s="990"/>
      <c r="DU32" s="258"/>
      <c r="DV32" s="258"/>
      <c r="DW32" s="258"/>
      <c r="DX32" s="258"/>
      <c r="DY32" s="965"/>
      <c r="EM32" s="1419"/>
    </row>
    <row r="33" spans="1:143">
      <c r="A33" s="19" t="s">
        <v>900</v>
      </c>
      <c r="B33" s="1382"/>
      <c r="C33" s="987"/>
      <c r="D33" s="987"/>
      <c r="E33" s="987"/>
      <c r="F33" s="987"/>
      <c r="G33" s="987"/>
      <c r="H33" s="987"/>
      <c r="I33" s="988"/>
      <c r="J33" s="987"/>
      <c r="K33" s="987"/>
      <c r="L33" s="987"/>
      <c r="M33" s="987"/>
      <c r="N33" s="987"/>
      <c r="O33" s="987"/>
      <c r="P33" s="987"/>
      <c r="Q33" s="988"/>
      <c r="R33" s="987"/>
      <c r="S33" s="987"/>
      <c r="T33" s="987"/>
      <c r="U33" s="987"/>
      <c r="V33" s="987"/>
      <c r="W33" s="987"/>
      <c r="X33" s="987"/>
      <c r="Y33" s="988"/>
      <c r="Z33" s="987"/>
      <c r="AA33" s="987"/>
      <c r="AB33" s="987"/>
      <c r="AC33" s="987"/>
      <c r="AD33" s="987"/>
      <c r="AE33" s="987"/>
      <c r="AF33" s="987"/>
      <c r="AG33" s="988"/>
      <c r="AH33" s="987"/>
      <c r="AI33" s="987"/>
      <c r="AJ33" s="987"/>
      <c r="AK33" s="987"/>
      <c r="AL33" s="987"/>
      <c r="AM33" s="987"/>
      <c r="AN33" s="987"/>
      <c r="AO33" s="988"/>
      <c r="AP33" s="987"/>
      <c r="AQ33" s="987"/>
      <c r="AR33" s="987"/>
      <c r="AS33" s="987"/>
      <c r="AT33" s="987"/>
      <c r="AU33" s="987"/>
      <c r="AV33" s="987"/>
      <c r="AW33" s="988"/>
      <c r="AX33" s="987"/>
      <c r="AY33" s="987"/>
      <c r="AZ33" s="987"/>
      <c r="BA33" s="987"/>
      <c r="BB33" s="987"/>
      <c r="BC33" s="987"/>
      <c r="BD33" s="987"/>
      <c r="BE33" s="988"/>
      <c r="BF33" s="987"/>
      <c r="BG33" s="987"/>
      <c r="BH33" s="987"/>
      <c r="BI33" s="987"/>
      <c r="BJ33" s="987"/>
      <c r="BK33" s="987"/>
      <c r="BL33" s="987"/>
      <c r="BM33" s="988"/>
      <c r="BN33" s="987"/>
      <c r="BO33" s="987"/>
      <c r="BP33" s="987"/>
      <c r="BQ33" s="987"/>
      <c r="BR33" s="987"/>
      <c r="BS33" s="987"/>
      <c r="BT33" s="987"/>
      <c r="BU33" s="988"/>
      <c r="BV33" s="987"/>
      <c r="BW33" s="987"/>
      <c r="BX33" s="987"/>
      <c r="BY33" s="987"/>
      <c r="BZ33" s="987"/>
      <c r="CA33" s="987"/>
      <c r="CB33" s="987"/>
      <c r="CC33" s="988"/>
      <c r="CD33" s="1013">
        <f>CD6/$CK$6</f>
        <v>0.20984003226240086</v>
      </c>
      <c r="CE33" s="1013">
        <f t="shared" ref="CE33:CK33" si="323">CE6/$CK$6</f>
        <v>0.22691221938432585</v>
      </c>
      <c r="CF33" s="1013">
        <f t="shared" si="323"/>
        <v>0.43675225164672671</v>
      </c>
      <c r="CG33" s="1013">
        <f t="shared" si="323"/>
        <v>0.24358112649549671</v>
      </c>
      <c r="CH33" s="1013">
        <f t="shared" si="323"/>
        <v>0.68033337814222339</v>
      </c>
      <c r="CI33" s="1013">
        <f t="shared" si="323"/>
        <v>0.31966662185777656</v>
      </c>
      <c r="CJ33" s="1013">
        <f t="shared" si="323"/>
        <v>0.56324774835327329</v>
      </c>
      <c r="CK33" s="1014">
        <f t="shared" si="323"/>
        <v>1</v>
      </c>
      <c r="CL33" s="1013">
        <f>CL6/$CS$6</f>
        <v>0.20429202608878602</v>
      </c>
      <c r="CM33" s="1013">
        <f t="shared" ref="CM33:CS33" si="324">CM6/$CS$6</f>
        <v>0.23500946770460762</v>
      </c>
      <c r="CN33" s="1013">
        <f t="shared" si="324"/>
        <v>0.43930149379339367</v>
      </c>
      <c r="CO33" s="1013">
        <f t="shared" si="324"/>
        <v>0.26330738480959393</v>
      </c>
      <c r="CP33" s="1013">
        <f t="shared" si="324"/>
        <v>0.7026088786029876</v>
      </c>
      <c r="CQ33" s="1013">
        <f t="shared" si="324"/>
        <v>0.2973911213970124</v>
      </c>
      <c r="CR33" s="1013">
        <f t="shared" si="324"/>
        <v>0.56069850620660633</v>
      </c>
      <c r="CS33" s="1014">
        <f t="shared" si="324"/>
        <v>1</v>
      </c>
      <c r="CT33" s="1013">
        <f>CT6/$DA$6</f>
        <v>0.22852812394745706</v>
      </c>
      <c r="CU33" s="1013">
        <f t="shared" ref="CU33:DA33" si="325">CU6/$DA$6</f>
        <v>0.24949477938699899</v>
      </c>
      <c r="CV33" s="1013">
        <f t="shared" si="325"/>
        <v>0.47802290333445607</v>
      </c>
      <c r="CW33" s="1013">
        <f t="shared" si="325"/>
        <v>0.25959919164701922</v>
      </c>
      <c r="CX33" s="1013">
        <f t="shared" si="325"/>
        <v>0.73762209498147524</v>
      </c>
      <c r="CY33" s="1013">
        <f t="shared" si="325"/>
        <v>0.26237790501852476</v>
      </c>
      <c r="CZ33" s="1013">
        <f t="shared" si="325"/>
        <v>0.52197709666554393</v>
      </c>
      <c r="DA33" s="1014">
        <f t="shared" si="325"/>
        <v>1</v>
      </c>
      <c r="DB33" s="1394">
        <f>DB6/$DI$6</f>
        <v>0.2268532083211251</v>
      </c>
      <c r="DC33" s="1395">
        <f t="shared" ref="DC33:DI33" si="326">DC6/$DI$6</f>
        <v>0.24641078230295926</v>
      </c>
      <c r="DD33" s="1395">
        <f t="shared" si="326"/>
        <v>0.47326399062408436</v>
      </c>
      <c r="DE33" s="1395">
        <f t="shared" si="326"/>
        <v>0.24457954878406094</v>
      </c>
      <c r="DF33" s="1395">
        <f t="shared" si="326"/>
        <v>0.71784353940814538</v>
      </c>
      <c r="DG33" s="1046">
        <f t="shared" si="326"/>
        <v>0.28215646059185467</v>
      </c>
      <c r="DH33" s="1046">
        <f t="shared" si="326"/>
        <v>0.52673600937591558</v>
      </c>
      <c r="DI33" s="1403">
        <f t="shared" si="326"/>
        <v>1</v>
      </c>
      <c r="DJ33" s="1046">
        <f>DJ6/$DQ$6</f>
        <v>0.23265834746398209</v>
      </c>
      <c r="DK33" s="1046">
        <f t="shared" ref="DK33:DQ33" si="327">DK6/$DQ$6</f>
        <v>0.24358394304250242</v>
      </c>
      <c r="DL33" s="1046">
        <f t="shared" si="327"/>
        <v>0.47624229050648448</v>
      </c>
      <c r="DM33" s="1046">
        <f t="shared" si="327"/>
        <v>0.25539369086437119</v>
      </c>
      <c r="DN33" s="1046">
        <f t="shared" si="327"/>
        <v>0.73163598137085573</v>
      </c>
      <c r="DO33" s="1046">
        <f t="shared" si="327"/>
        <v>0.26836401862914433</v>
      </c>
      <c r="DP33" s="1397">
        <f t="shared" si="327"/>
        <v>0.52375770949351552</v>
      </c>
      <c r="DQ33" s="1398">
        <f t="shared" si="327"/>
        <v>1</v>
      </c>
      <c r="DR33"/>
      <c r="DT33" s="987"/>
      <c r="EM33" s="1419"/>
    </row>
    <row r="34" spans="1:143">
      <c r="A34" s="19" t="s">
        <v>1572</v>
      </c>
      <c r="B34" s="1382"/>
      <c r="C34" s="987"/>
      <c r="D34" s="987"/>
      <c r="E34" s="987"/>
      <c r="F34" s="987"/>
      <c r="G34" s="987"/>
      <c r="H34" s="987"/>
      <c r="I34" s="988"/>
      <c r="J34" s="987"/>
      <c r="K34" s="987"/>
      <c r="L34" s="987"/>
      <c r="M34" s="987"/>
      <c r="N34" s="987"/>
      <c r="O34" s="987"/>
      <c r="P34" s="987"/>
      <c r="Q34" s="988"/>
      <c r="R34" s="987"/>
      <c r="S34" s="987"/>
      <c r="T34" s="987"/>
      <c r="U34" s="987"/>
      <c r="V34" s="987"/>
      <c r="W34" s="987"/>
      <c r="X34" s="987"/>
      <c r="Y34" s="988"/>
      <c r="Z34" s="987"/>
      <c r="AA34" s="987"/>
      <c r="AB34" s="987"/>
      <c r="AC34" s="987"/>
      <c r="AD34" s="987"/>
      <c r="AE34" s="987"/>
      <c r="AF34" s="987"/>
      <c r="AG34" s="988"/>
      <c r="AH34" s="987"/>
      <c r="AI34" s="987"/>
      <c r="AJ34" s="987"/>
      <c r="AK34" s="987"/>
      <c r="AL34" s="987"/>
      <c r="AM34" s="987"/>
      <c r="AN34" s="987"/>
      <c r="AO34" s="988"/>
      <c r="AP34" s="987"/>
      <c r="AQ34" s="987"/>
      <c r="AR34" s="987"/>
      <c r="AS34" s="987"/>
      <c r="AT34" s="987"/>
      <c r="AU34" s="987"/>
      <c r="AV34" s="987"/>
      <c r="AW34" s="988"/>
      <c r="AX34" s="987"/>
      <c r="AY34" s="987"/>
      <c r="AZ34" s="987"/>
      <c r="BA34" s="987"/>
      <c r="BB34" s="987"/>
      <c r="BC34" s="987"/>
      <c r="BD34" s="987"/>
      <c r="BE34" s="988"/>
      <c r="BF34" s="987"/>
      <c r="BG34" s="987"/>
      <c r="BH34" s="987"/>
      <c r="BI34" s="987"/>
      <c r="BJ34" s="987"/>
      <c r="BK34" s="987"/>
      <c r="BL34" s="987"/>
      <c r="BM34" s="988"/>
      <c r="BN34" s="987"/>
      <c r="BO34" s="987"/>
      <c r="BP34" s="987"/>
      <c r="BQ34" s="987"/>
      <c r="BR34" s="987"/>
      <c r="BS34" s="987"/>
      <c r="BT34" s="987"/>
      <c r="BU34" s="988"/>
      <c r="BV34" s="987"/>
      <c r="BW34" s="987"/>
      <c r="BX34" s="987"/>
      <c r="BY34" s="987"/>
      <c r="BZ34" s="987"/>
      <c r="CA34" s="987"/>
      <c r="CB34" s="987"/>
      <c r="CC34" s="988"/>
      <c r="CD34" s="1013">
        <f>CD10/$CK$10</f>
        <v>0.23146245059288537</v>
      </c>
      <c r="CE34" s="1013">
        <f t="shared" ref="CE34:CK34" si="328">CE10/$CK$10</f>
        <v>0.23841897233201581</v>
      </c>
      <c r="CF34" s="1013">
        <f t="shared" si="328"/>
        <v>0.4698814229249012</v>
      </c>
      <c r="CG34" s="1013">
        <f t="shared" si="328"/>
        <v>0.24268774703557311</v>
      </c>
      <c r="CH34" s="1013">
        <f t="shared" si="328"/>
        <v>0.71256916996047426</v>
      </c>
      <c r="CI34" s="1013">
        <f t="shared" si="328"/>
        <v>0.28743083003952569</v>
      </c>
      <c r="CJ34" s="1013">
        <f t="shared" si="328"/>
        <v>0.5301185770750988</v>
      </c>
      <c r="CK34" s="1014">
        <f t="shared" si="328"/>
        <v>1</v>
      </c>
      <c r="CL34" s="1013">
        <f>CL10/$CS$10</f>
        <v>0.22773722627737225</v>
      </c>
      <c r="CM34" s="1013">
        <f t="shared" ref="CM34:CS34" si="329">CM10/$CS$10</f>
        <v>0.23755806237558064</v>
      </c>
      <c r="CN34" s="1013">
        <f t="shared" si="329"/>
        <v>0.46529528865295289</v>
      </c>
      <c r="CO34" s="1013">
        <f t="shared" si="329"/>
        <v>0.24153948241539483</v>
      </c>
      <c r="CP34" s="1013">
        <f t="shared" si="329"/>
        <v>0.70683477106834769</v>
      </c>
      <c r="CQ34" s="1013">
        <f t="shared" si="329"/>
        <v>0.29316522893165231</v>
      </c>
      <c r="CR34" s="1013">
        <f t="shared" si="329"/>
        <v>0.53470471134704711</v>
      </c>
      <c r="CS34" s="1014">
        <f t="shared" si="329"/>
        <v>1</v>
      </c>
      <c r="CT34" s="1013">
        <f>CT10/$DA$10</f>
        <v>0.22252405206564799</v>
      </c>
      <c r="CU34" s="1013">
        <f t="shared" ref="CU34:DA34" si="330">CU10/$DA$10</f>
        <v>0.24153933220147142</v>
      </c>
      <c r="CV34" s="1013">
        <f t="shared" si="330"/>
        <v>0.46406338426711941</v>
      </c>
      <c r="CW34" s="1013">
        <f t="shared" si="330"/>
        <v>0.24153933220147142</v>
      </c>
      <c r="CX34" s="1013">
        <f t="shared" si="330"/>
        <v>0.70560271646859085</v>
      </c>
      <c r="CY34" s="1013">
        <f t="shared" si="330"/>
        <v>0.29439728353140915</v>
      </c>
      <c r="CZ34" s="1013">
        <f t="shared" si="330"/>
        <v>0.53593661573288054</v>
      </c>
      <c r="DA34" s="1014">
        <f t="shared" si="330"/>
        <v>1</v>
      </c>
      <c r="DB34" s="1394">
        <f>DB10/$DI$10</f>
        <v>0.2301751742324355</v>
      </c>
      <c r="DC34" s="1395">
        <f t="shared" ref="DC34:DI34" si="331">DC10/$DI$10</f>
        <v>0.25673384818233191</v>
      </c>
      <c r="DD34" s="1395">
        <f t="shared" si="331"/>
        <v>0.48690902241476736</v>
      </c>
      <c r="DE34" s="1395">
        <f t="shared" si="331"/>
        <v>0.23799208890563195</v>
      </c>
      <c r="DF34" s="1395">
        <f t="shared" si="331"/>
        <v>0.72490111132039936</v>
      </c>
      <c r="DG34" s="1395">
        <f t="shared" si="331"/>
        <v>0.27509888867960069</v>
      </c>
      <c r="DH34" s="1395">
        <f t="shared" si="331"/>
        <v>0.51309097758523259</v>
      </c>
      <c r="DI34" s="1014">
        <f t="shared" si="331"/>
        <v>1</v>
      </c>
      <c r="DJ34" s="1397">
        <f>DJ10/$DQ$10</f>
        <v>0.22647500904219325</v>
      </c>
      <c r="DK34" s="1397">
        <f t="shared" ref="DK34:DQ34" si="332">DK10/$DQ$10</f>
        <v>0.22997426358362852</v>
      </c>
      <c r="DL34" s="1397">
        <f t="shared" si="332"/>
        <v>0.45644927262582174</v>
      </c>
      <c r="DM34" s="1397">
        <f t="shared" si="332"/>
        <v>0.24445954982491863</v>
      </c>
      <c r="DN34" s="1397">
        <f t="shared" si="332"/>
        <v>0.70090882245074038</v>
      </c>
      <c r="DO34" s="1397">
        <f t="shared" si="332"/>
        <v>0.29909117754925962</v>
      </c>
      <c r="DP34" s="1397">
        <f t="shared" si="332"/>
        <v>0.5435507273741782</v>
      </c>
      <c r="DQ34" s="1398">
        <f t="shared" si="332"/>
        <v>1</v>
      </c>
      <c r="DR34"/>
      <c r="DT34" s="987"/>
      <c r="EM34" s="1419"/>
    </row>
    <row r="35" spans="1:143">
      <c r="A35" s="19" t="s">
        <v>1093</v>
      </c>
      <c r="B35" s="1382"/>
      <c r="C35" s="987"/>
      <c r="D35" s="987"/>
      <c r="E35" s="987"/>
      <c r="F35" s="987"/>
      <c r="G35" s="987"/>
      <c r="H35" s="987"/>
      <c r="I35" s="988"/>
      <c r="J35" s="987"/>
      <c r="K35" s="987"/>
      <c r="L35" s="987"/>
      <c r="M35" s="987"/>
      <c r="N35" s="987"/>
      <c r="O35" s="987"/>
      <c r="P35" s="987"/>
      <c r="Q35" s="988"/>
      <c r="R35" s="987"/>
      <c r="S35" s="987"/>
      <c r="T35" s="987"/>
      <c r="U35" s="987"/>
      <c r="V35" s="987"/>
      <c r="W35" s="987"/>
      <c r="X35" s="987"/>
      <c r="Y35" s="988"/>
      <c r="Z35" s="987"/>
      <c r="AA35" s="987"/>
      <c r="AB35" s="987"/>
      <c r="AC35" s="987"/>
      <c r="AD35" s="987"/>
      <c r="AE35" s="987"/>
      <c r="AF35" s="987"/>
      <c r="AG35" s="988"/>
      <c r="AH35" s="987"/>
      <c r="AI35" s="987"/>
      <c r="AJ35" s="987"/>
      <c r="AK35" s="987"/>
      <c r="AL35" s="987"/>
      <c r="AM35" s="987"/>
      <c r="AN35" s="987"/>
      <c r="AO35" s="988"/>
      <c r="AP35" s="987"/>
      <c r="AQ35" s="987"/>
      <c r="AR35" s="987"/>
      <c r="AS35" s="987"/>
      <c r="AT35" s="987"/>
      <c r="AU35" s="987"/>
      <c r="AV35" s="987"/>
      <c r="AW35" s="988"/>
      <c r="AX35" s="987"/>
      <c r="AY35" s="987"/>
      <c r="AZ35" s="987"/>
      <c r="BA35" s="987"/>
      <c r="BB35" s="987"/>
      <c r="BC35" s="987"/>
      <c r="BD35" s="987"/>
      <c r="BE35" s="988"/>
      <c r="BF35" s="987"/>
      <c r="BG35" s="987"/>
      <c r="BH35" s="987"/>
      <c r="BI35" s="987"/>
      <c r="BJ35" s="987"/>
      <c r="BK35" s="987"/>
      <c r="BL35" s="987"/>
      <c r="BM35" s="988"/>
      <c r="BN35" s="987"/>
      <c r="BO35" s="987"/>
      <c r="BP35" s="987"/>
      <c r="BQ35" s="987"/>
      <c r="BR35" s="987"/>
      <c r="BS35" s="987"/>
      <c r="BT35" s="987"/>
      <c r="BU35" s="988"/>
      <c r="BV35" s="987"/>
      <c r="BW35" s="987"/>
      <c r="BX35" s="987"/>
      <c r="BY35" s="987"/>
      <c r="BZ35" s="987"/>
      <c r="CA35" s="987"/>
      <c r="CB35" s="987"/>
      <c r="CC35" s="988"/>
      <c r="CD35" s="1013">
        <f>CD11/$CK$11</f>
        <v>0.21220338983050849</v>
      </c>
      <c r="CE35" s="1013">
        <f t="shared" ref="CE35:CK35" si="333">CE11/$CK$11</f>
        <v>0.22576271186440677</v>
      </c>
      <c r="CF35" s="1013">
        <f t="shared" si="333"/>
        <v>0.43796610169491523</v>
      </c>
      <c r="CG35" s="1013">
        <f t="shared" si="333"/>
        <v>0.26101694915254237</v>
      </c>
      <c r="CH35" s="1013">
        <f t="shared" si="333"/>
        <v>0.6989830508474576</v>
      </c>
      <c r="CI35" s="1013">
        <f t="shared" si="333"/>
        <v>0.30101694915254235</v>
      </c>
      <c r="CJ35" s="1013">
        <f t="shared" si="333"/>
        <v>0.56203389830508477</v>
      </c>
      <c r="CK35" s="1014">
        <f t="shared" si="333"/>
        <v>1</v>
      </c>
      <c r="CL35" s="1013">
        <f>CL11/$CS$11</f>
        <v>0.20677451971688574</v>
      </c>
      <c r="CM35" s="1013">
        <f t="shared" ref="CM35:CS35" si="334">CM11/$CS$11</f>
        <v>0.23306370070778565</v>
      </c>
      <c r="CN35" s="1013">
        <f t="shared" si="334"/>
        <v>0.43983822042467141</v>
      </c>
      <c r="CO35" s="1013">
        <f t="shared" si="334"/>
        <v>0.26390293225480282</v>
      </c>
      <c r="CP35" s="1013">
        <f t="shared" si="334"/>
        <v>0.70374115267947424</v>
      </c>
      <c r="CQ35" s="1013">
        <f t="shared" si="334"/>
        <v>0.29625884732052576</v>
      </c>
      <c r="CR35" s="1013">
        <f t="shared" si="334"/>
        <v>0.56016177957532864</v>
      </c>
      <c r="CS35" s="1014">
        <f t="shared" si="334"/>
        <v>1</v>
      </c>
      <c r="CT35" s="1013">
        <f>CT11/$DA$11</f>
        <v>0.23576907549454987</v>
      </c>
      <c r="CU35" s="1013">
        <f t="shared" ref="CU35:DA35" si="335">CU11/$DA$11</f>
        <v>0.23375050464271296</v>
      </c>
      <c r="CV35" s="1013">
        <f t="shared" si="335"/>
        <v>0.4695195801372628</v>
      </c>
      <c r="CW35" s="1013">
        <f t="shared" si="335"/>
        <v>0.24424707307226484</v>
      </c>
      <c r="CX35" s="1013">
        <f t="shared" si="335"/>
        <v>0.7137666532095277</v>
      </c>
      <c r="CY35" s="1013">
        <f t="shared" si="335"/>
        <v>0.28623334679047235</v>
      </c>
      <c r="CZ35" s="1013">
        <f t="shared" si="335"/>
        <v>0.5304804198627372</v>
      </c>
      <c r="DA35" s="1014">
        <f t="shared" si="335"/>
        <v>1</v>
      </c>
      <c r="DB35" s="1394">
        <f>DB11/$DI$11</f>
        <v>0.22258808034244321</v>
      </c>
      <c r="DC35" s="1395">
        <f t="shared" ref="DC35:DI35" si="336">DC11/$DI$11</f>
        <v>0.24201514652617714</v>
      </c>
      <c r="DD35" s="1395">
        <f t="shared" si="336"/>
        <v>0.46460322686862032</v>
      </c>
      <c r="DE35" s="1395">
        <f t="shared" si="336"/>
        <v>0.25386894962133683</v>
      </c>
      <c r="DF35" s="1395">
        <f t="shared" si="336"/>
        <v>0.7184721764899572</v>
      </c>
      <c r="DG35" s="1395">
        <f t="shared" si="336"/>
        <v>0.2815278235100428</v>
      </c>
      <c r="DH35" s="1395">
        <f t="shared" si="336"/>
        <v>0.53539677313137968</v>
      </c>
      <c r="DI35" s="1014">
        <f t="shared" si="336"/>
        <v>1</v>
      </c>
      <c r="DJ35" s="1397">
        <f>DJ11/$DQ$11</f>
        <v>0.23014959723820483</v>
      </c>
      <c r="DK35" s="1397">
        <f t="shared" ref="DK35:DQ35" si="337">DK11/$DQ$11</f>
        <v>0.24183231791019491</v>
      </c>
      <c r="DL35" s="1397">
        <f t="shared" si="337"/>
        <v>0.47198191514839977</v>
      </c>
      <c r="DM35" s="1397">
        <f t="shared" si="337"/>
        <v>0.23423854947340136</v>
      </c>
      <c r="DN35" s="1397">
        <f t="shared" si="337"/>
        <v>0.7062204646218011</v>
      </c>
      <c r="DO35" s="1397">
        <f t="shared" si="337"/>
        <v>0.2937795353781989</v>
      </c>
      <c r="DP35" s="1397">
        <f t="shared" si="337"/>
        <v>0.52801808485160029</v>
      </c>
      <c r="DQ35" s="1398">
        <f t="shared" si="337"/>
        <v>1</v>
      </c>
      <c r="DR35"/>
      <c r="DT35" s="987"/>
      <c r="EM35" s="1419"/>
    </row>
    <row r="36" spans="1:143">
      <c r="A36" s="19" t="s">
        <v>752</v>
      </c>
      <c r="B36" s="1382"/>
      <c r="C36" s="987"/>
      <c r="D36" s="987"/>
      <c r="E36" s="987"/>
      <c r="F36" s="987"/>
      <c r="G36" s="987"/>
      <c r="H36" s="987"/>
      <c r="I36" s="988"/>
      <c r="J36" s="987"/>
      <c r="K36" s="987"/>
      <c r="L36" s="987"/>
      <c r="M36" s="987"/>
      <c r="N36" s="987"/>
      <c r="O36" s="987"/>
      <c r="P36" s="987"/>
      <c r="Q36" s="988"/>
      <c r="R36" s="987"/>
      <c r="S36" s="987"/>
      <c r="T36" s="987"/>
      <c r="U36" s="987"/>
      <c r="V36" s="987"/>
      <c r="W36" s="987"/>
      <c r="X36" s="987"/>
      <c r="Y36" s="988"/>
      <c r="Z36" s="987"/>
      <c r="AA36" s="987"/>
      <c r="AB36" s="987"/>
      <c r="AC36" s="987"/>
      <c r="AD36" s="987"/>
      <c r="AE36" s="987"/>
      <c r="AF36" s="987"/>
      <c r="AG36" s="988"/>
      <c r="AH36" s="987"/>
      <c r="AI36" s="987"/>
      <c r="AJ36" s="987"/>
      <c r="AK36" s="987"/>
      <c r="AL36" s="987"/>
      <c r="AM36" s="987"/>
      <c r="AN36" s="987"/>
      <c r="AO36" s="988"/>
      <c r="AP36" s="987"/>
      <c r="AQ36" s="987"/>
      <c r="AR36" s="987"/>
      <c r="AS36" s="987"/>
      <c r="AT36" s="987"/>
      <c r="AU36" s="987"/>
      <c r="AV36" s="987"/>
      <c r="AW36" s="988"/>
      <c r="AX36" s="987"/>
      <c r="AY36" s="987"/>
      <c r="AZ36" s="987"/>
      <c r="BA36" s="987"/>
      <c r="BB36" s="987"/>
      <c r="BC36" s="987"/>
      <c r="BD36" s="987"/>
      <c r="BE36" s="988"/>
      <c r="BF36" s="987"/>
      <c r="BG36" s="987"/>
      <c r="BH36" s="987"/>
      <c r="BI36" s="987"/>
      <c r="BJ36" s="987"/>
      <c r="BK36" s="987"/>
      <c r="BL36" s="987"/>
      <c r="BM36" s="988"/>
      <c r="BN36" s="987"/>
      <c r="BO36" s="987"/>
      <c r="BP36" s="987"/>
      <c r="BQ36" s="987"/>
      <c r="BR36" s="987"/>
      <c r="BS36" s="987"/>
      <c r="BT36" s="987"/>
      <c r="BU36" s="988"/>
      <c r="BV36" s="987"/>
      <c r="BW36" s="987"/>
      <c r="BX36" s="987"/>
      <c r="BY36" s="987"/>
      <c r="BZ36" s="987"/>
      <c r="CA36" s="987"/>
      <c r="CB36" s="987"/>
      <c r="CC36" s="988"/>
      <c r="CD36" s="1013">
        <f>CD13/$CK$13</f>
        <v>0.22222222222222221</v>
      </c>
      <c r="CE36" s="1013">
        <f t="shared" ref="CE36:CK36" si="338">CE13/$CK$13</f>
        <v>0.27777777777777779</v>
      </c>
      <c r="CF36" s="1013">
        <f t="shared" si="338"/>
        <v>0.5</v>
      </c>
      <c r="CG36" s="1013">
        <f t="shared" si="338"/>
        <v>0.1111111111111111</v>
      </c>
      <c r="CH36" s="1013">
        <f t="shared" si="338"/>
        <v>0.61111111111111116</v>
      </c>
      <c r="CI36" s="1013">
        <f t="shared" si="338"/>
        <v>0.3888888888888889</v>
      </c>
      <c r="CJ36" s="1013">
        <f t="shared" si="338"/>
        <v>0.5</v>
      </c>
      <c r="CK36" s="1014">
        <f t="shared" si="338"/>
        <v>1</v>
      </c>
      <c r="CL36" s="1013">
        <f>CL13/$CS$13</f>
        <v>0.25</v>
      </c>
      <c r="CM36" s="1013">
        <f t="shared" ref="CM36:CS36" si="339">CM13/$CS$13</f>
        <v>0.25</v>
      </c>
      <c r="CN36" s="1013">
        <f t="shared" si="339"/>
        <v>0.5</v>
      </c>
      <c r="CO36" s="1013">
        <f t="shared" si="339"/>
        <v>0.25</v>
      </c>
      <c r="CP36" s="1013">
        <f t="shared" si="339"/>
        <v>0.75</v>
      </c>
      <c r="CQ36" s="1013">
        <f t="shared" si="339"/>
        <v>0.25</v>
      </c>
      <c r="CR36" s="1013">
        <f t="shared" si="339"/>
        <v>0.5</v>
      </c>
      <c r="CS36" s="1014">
        <f t="shared" si="339"/>
        <v>1</v>
      </c>
      <c r="CT36" s="1013">
        <f>CT13/$DA$13</f>
        <v>0.18181818181818182</v>
      </c>
      <c r="CU36" s="1013">
        <f t="shared" ref="CU36:DA36" si="340">CU13/$DA$13</f>
        <v>0.27272727272727271</v>
      </c>
      <c r="CV36" s="1013">
        <f t="shared" si="340"/>
        <v>0.45454545454545453</v>
      </c>
      <c r="CW36" s="1013">
        <f t="shared" si="340"/>
        <v>0.27272727272727271</v>
      </c>
      <c r="CX36" s="1013">
        <f t="shared" si="340"/>
        <v>0.72727272727272729</v>
      </c>
      <c r="CY36" s="1013">
        <f t="shared" si="340"/>
        <v>0.27272727272727271</v>
      </c>
      <c r="CZ36" s="1013">
        <f t="shared" si="340"/>
        <v>0.54545454545454541</v>
      </c>
      <c r="DA36" s="1014">
        <f t="shared" si="340"/>
        <v>1</v>
      </c>
      <c r="DB36" s="1394">
        <f>DB13/$DI$13</f>
        <v>0.3</v>
      </c>
      <c r="DC36" s="1395">
        <f t="shared" ref="DC36:DI36" si="341">DC13/$DI$13</f>
        <v>0.2</v>
      </c>
      <c r="DD36" s="1395">
        <f t="shared" si="341"/>
        <v>0.5</v>
      </c>
      <c r="DE36" s="1395">
        <f t="shared" si="341"/>
        <v>0.2</v>
      </c>
      <c r="DF36" s="1395">
        <f t="shared" si="341"/>
        <v>0.7</v>
      </c>
      <c r="DG36" s="1395">
        <f t="shared" si="341"/>
        <v>0.2</v>
      </c>
      <c r="DH36" s="1395">
        <f t="shared" si="341"/>
        <v>0.4</v>
      </c>
      <c r="DI36" s="1014">
        <f t="shared" si="341"/>
        <v>1</v>
      </c>
      <c r="DJ36" s="1397">
        <f>DJ13/$DQ$13</f>
        <v>0.2</v>
      </c>
      <c r="DK36" s="1397">
        <f t="shared" ref="DK36:DQ36" si="342">DK13/$DQ$13</f>
        <v>0.2</v>
      </c>
      <c r="DL36" s="1397">
        <f t="shared" si="342"/>
        <v>0.4</v>
      </c>
      <c r="DM36" s="1397">
        <f t="shared" si="342"/>
        <v>0.2</v>
      </c>
      <c r="DN36" s="1397">
        <f t="shared" si="342"/>
        <v>0.6</v>
      </c>
      <c r="DO36" s="1397">
        <f t="shared" si="342"/>
        <v>0.4</v>
      </c>
      <c r="DP36" s="1397">
        <f t="shared" si="342"/>
        <v>0.6</v>
      </c>
      <c r="DQ36" s="1398">
        <f t="shared" si="342"/>
        <v>1</v>
      </c>
      <c r="DR36"/>
      <c r="DT36" s="987"/>
      <c r="EM36" s="1419"/>
    </row>
    <row r="37" spans="1:143">
      <c r="A37" s="1383" t="s">
        <v>916</v>
      </c>
      <c r="B37" s="1384"/>
      <c r="C37" s="1385"/>
      <c r="D37" s="1385"/>
      <c r="E37" s="1385"/>
      <c r="F37" s="1385"/>
      <c r="G37" s="1385"/>
      <c r="H37" s="1385"/>
      <c r="I37" s="1386"/>
      <c r="J37" s="1385"/>
      <c r="K37" s="1385"/>
      <c r="L37" s="1385"/>
      <c r="M37" s="1385"/>
      <c r="N37" s="1385"/>
      <c r="O37" s="1385"/>
      <c r="P37" s="1385"/>
      <c r="Q37" s="1386"/>
      <c r="R37" s="1385"/>
      <c r="S37" s="1385"/>
      <c r="T37" s="1385"/>
      <c r="U37" s="1385"/>
      <c r="V37" s="1385"/>
      <c r="W37" s="1385"/>
      <c r="X37" s="1385"/>
      <c r="Y37" s="1386"/>
      <c r="Z37" s="1385"/>
      <c r="AA37" s="1385"/>
      <c r="AB37" s="1385"/>
      <c r="AC37" s="1385"/>
      <c r="AD37" s="1385"/>
      <c r="AE37" s="1385"/>
      <c r="AF37" s="1385"/>
      <c r="AG37" s="1386"/>
      <c r="AH37" s="1385"/>
      <c r="AI37" s="1385"/>
      <c r="AJ37" s="1385"/>
      <c r="AK37" s="1385"/>
      <c r="AL37" s="1385"/>
      <c r="AM37" s="1385"/>
      <c r="AN37" s="1385"/>
      <c r="AO37" s="1386"/>
      <c r="AP37" s="1385"/>
      <c r="AQ37" s="1385"/>
      <c r="AR37" s="1385"/>
      <c r="AS37" s="1385"/>
      <c r="AT37" s="1385"/>
      <c r="AU37" s="1385"/>
      <c r="AV37" s="1385"/>
      <c r="AW37" s="1386"/>
      <c r="AX37" s="1385"/>
      <c r="AY37" s="1385"/>
      <c r="AZ37" s="1385"/>
      <c r="BA37" s="1385"/>
      <c r="BB37" s="1385"/>
      <c r="BC37" s="1385"/>
      <c r="BD37" s="1385"/>
      <c r="BE37" s="1386"/>
      <c r="BF37" s="1385"/>
      <c r="BG37" s="1385"/>
      <c r="BH37" s="1385"/>
      <c r="BI37" s="1385"/>
      <c r="BJ37" s="1385"/>
      <c r="BK37" s="1385"/>
      <c r="BL37" s="1385"/>
      <c r="BM37" s="1386"/>
      <c r="BN37" s="1385"/>
      <c r="BO37" s="1385"/>
      <c r="BP37" s="1385"/>
      <c r="BQ37" s="1385"/>
      <c r="BR37" s="1385"/>
      <c r="BS37" s="1385"/>
      <c r="BT37" s="1385"/>
      <c r="BU37" s="1386"/>
      <c r="BV37" s="1385"/>
      <c r="BW37" s="1385"/>
      <c r="BX37" s="1385"/>
      <c r="BY37" s="1385"/>
      <c r="BZ37" s="1385"/>
      <c r="CA37" s="1385"/>
      <c r="CB37" s="1385"/>
      <c r="CC37" s="1386"/>
      <c r="CD37" s="1389">
        <f>CD16/$CK$16</f>
        <v>0.2190469948220489</v>
      </c>
      <c r="CE37" s="1389">
        <f t="shared" ref="CE37:CK37" si="343">CE16/$CK$16</f>
        <v>0.23163138231631383</v>
      </c>
      <c r="CF37" s="1389">
        <f t="shared" si="343"/>
        <v>0.45067837713836273</v>
      </c>
      <c r="CG37" s="1389">
        <f t="shared" si="343"/>
        <v>0.24474011928950645</v>
      </c>
      <c r="CH37" s="1389">
        <f t="shared" si="343"/>
        <v>0.69541849642786913</v>
      </c>
      <c r="CI37" s="1389">
        <f t="shared" si="343"/>
        <v>0.30458150357213082</v>
      </c>
      <c r="CJ37" s="1389">
        <f t="shared" si="343"/>
        <v>0.54932162286163733</v>
      </c>
      <c r="CK37" s="1390">
        <f t="shared" si="343"/>
        <v>1</v>
      </c>
      <c r="CL37" s="1389">
        <f>CL16/$CS$16</f>
        <v>0.21386918833727345</v>
      </c>
      <c r="CM37" s="1389">
        <f t="shared" ref="CM37:CS37" si="344">CM16/$CS$16</f>
        <v>0.23582873653795638</v>
      </c>
      <c r="CN37" s="1389">
        <f t="shared" si="344"/>
        <v>0.44969792487522986</v>
      </c>
      <c r="CO37" s="1389">
        <f t="shared" si="344"/>
        <v>0.25474126608878384</v>
      </c>
      <c r="CP37" s="1389">
        <f t="shared" si="344"/>
        <v>0.70443919096401364</v>
      </c>
      <c r="CQ37" s="1389">
        <f t="shared" si="344"/>
        <v>0.29556080903598636</v>
      </c>
      <c r="CR37" s="1389">
        <f t="shared" si="344"/>
        <v>0.55030207512477014</v>
      </c>
      <c r="CS37" s="1390">
        <f t="shared" si="344"/>
        <v>1</v>
      </c>
      <c r="CT37" s="1389">
        <f>CT16/$DA$16</f>
        <v>0.22699254278201647</v>
      </c>
      <c r="CU37" s="1389">
        <f t="shared" ref="CU37:DA37" si="345">CU16/$DA$16</f>
        <v>0.24479503426871849</v>
      </c>
      <c r="CV37" s="1389">
        <f t="shared" si="345"/>
        <v>0.47178757705073493</v>
      </c>
      <c r="CW37" s="1389">
        <f t="shared" si="345"/>
        <v>0.25108840898314583</v>
      </c>
      <c r="CX37" s="1389">
        <f t="shared" si="345"/>
        <v>0.72287598603388081</v>
      </c>
      <c r="CY37" s="1389">
        <f t="shared" si="345"/>
        <v>0.27712401396611924</v>
      </c>
      <c r="CZ37" s="1389">
        <f t="shared" si="345"/>
        <v>0.52821242294926507</v>
      </c>
      <c r="DA37" s="1390">
        <f t="shared" si="345"/>
        <v>1</v>
      </c>
      <c r="DB37" s="1396">
        <f>DB16/$DI$16</f>
        <v>0.22769703847421019</v>
      </c>
      <c r="DC37" s="1389">
        <f t="shared" ref="DC37:DI37" si="346">DC16/$DI$16</f>
        <v>0.24991763370794742</v>
      </c>
      <c r="DD37" s="1389">
        <f t="shared" si="346"/>
        <v>0.47761467218215764</v>
      </c>
      <c r="DE37" s="1389">
        <f t="shared" si="346"/>
        <v>0.24303547241644397</v>
      </c>
      <c r="DF37" s="1389">
        <f t="shared" si="346"/>
        <v>0.72065014459860155</v>
      </c>
      <c r="DG37" s="1389">
        <f t="shared" si="346"/>
        <v>0.27931324816048614</v>
      </c>
      <c r="DH37" s="1389">
        <f t="shared" si="346"/>
        <v>0.52234872057693016</v>
      </c>
      <c r="DI37" s="1390">
        <f t="shared" si="346"/>
        <v>1</v>
      </c>
      <c r="DJ37" s="1389">
        <f>DJ16/$DQ$16</f>
        <v>0.22996796921973953</v>
      </c>
      <c r="DK37" s="1389">
        <f t="shared" ref="DK37:DQ37" si="347">DK16/$DQ$16</f>
        <v>0.23804869571154519</v>
      </c>
      <c r="DL37" s="1389">
        <f t="shared" si="347"/>
        <v>0.46801666493128469</v>
      </c>
      <c r="DM37" s="1389">
        <f t="shared" si="347"/>
        <v>0.24882299770061939</v>
      </c>
      <c r="DN37" s="1389">
        <f t="shared" si="347"/>
        <v>0.7168713517554014</v>
      </c>
      <c r="DO37" s="1389">
        <f t="shared" si="347"/>
        <v>0.28312864824459871</v>
      </c>
      <c r="DP37" s="1389">
        <f t="shared" si="347"/>
        <v>0.53195164594521804</v>
      </c>
      <c r="DQ37" s="1390">
        <f t="shared" si="347"/>
        <v>1</v>
      </c>
      <c r="DR37" s="1387"/>
      <c r="DS37" s="1387"/>
      <c r="DT37" s="1385"/>
      <c r="DU37" s="1387"/>
      <c r="DV37" s="1387"/>
      <c r="DW37" s="1387"/>
      <c r="DX37" s="1387"/>
      <c r="DY37" s="1388"/>
      <c r="EM37" s="1419"/>
    </row>
    <row r="38" spans="1:143">
      <c r="B38" s="1382"/>
      <c r="C38" s="987"/>
      <c r="D38" s="987"/>
      <c r="E38" s="987"/>
      <c r="F38" s="987"/>
      <c r="G38" s="987"/>
      <c r="H38" s="987"/>
      <c r="I38" s="988"/>
      <c r="J38" s="987"/>
      <c r="K38" s="987"/>
      <c r="L38" s="987"/>
      <c r="M38" s="987"/>
      <c r="N38" s="987"/>
      <c r="O38" s="987"/>
      <c r="P38" s="987"/>
      <c r="Q38" s="988"/>
      <c r="R38" s="987"/>
      <c r="S38" s="987"/>
      <c r="T38" s="987"/>
      <c r="U38" s="987"/>
      <c r="V38" s="987"/>
      <c r="W38" s="987"/>
      <c r="X38" s="987"/>
      <c r="Y38" s="988"/>
      <c r="Z38" s="987"/>
      <c r="AA38" s="987"/>
      <c r="AB38" s="987"/>
      <c r="AC38" s="987"/>
      <c r="AD38" s="987"/>
      <c r="AE38" s="987"/>
      <c r="AF38" s="987"/>
      <c r="AG38" s="988"/>
      <c r="AH38" s="987"/>
      <c r="AI38" s="987"/>
      <c r="AJ38" s="987"/>
      <c r="AK38" s="987"/>
      <c r="AL38" s="987"/>
      <c r="AM38" s="987"/>
      <c r="AN38" s="987"/>
      <c r="AO38" s="988"/>
      <c r="AP38" s="987"/>
      <c r="AQ38" s="987"/>
      <c r="AR38" s="987"/>
      <c r="AS38" s="987"/>
      <c r="AT38" s="987"/>
      <c r="AU38" s="987"/>
      <c r="AV38" s="987"/>
      <c r="AW38" s="988"/>
      <c r="AX38" s="987"/>
      <c r="AY38" s="987"/>
      <c r="AZ38" s="987"/>
      <c r="BA38" s="987"/>
      <c r="BB38" s="987"/>
      <c r="BC38" s="987"/>
      <c r="BD38" s="987"/>
      <c r="BE38" s="988"/>
      <c r="BF38" s="987"/>
      <c r="BG38" s="987"/>
      <c r="BH38" s="987"/>
      <c r="BI38" s="987"/>
      <c r="BJ38" s="987"/>
      <c r="BK38" s="987"/>
      <c r="BL38" s="987"/>
      <c r="BM38" s="988"/>
      <c r="BN38" s="987"/>
      <c r="BO38" s="987"/>
      <c r="BP38" s="987"/>
      <c r="BQ38" s="987"/>
      <c r="BR38" s="987"/>
      <c r="BS38" s="987"/>
      <c r="BT38" s="987"/>
      <c r="BU38" s="988"/>
      <c r="BV38" s="987"/>
      <c r="BW38" s="987"/>
      <c r="BX38" s="987"/>
      <c r="BY38" s="987"/>
      <c r="BZ38" s="987"/>
      <c r="CA38" s="987"/>
      <c r="CB38" s="987"/>
      <c r="CC38" s="988"/>
      <c r="CD38" s="987"/>
      <c r="CE38" s="987"/>
      <c r="CF38" s="987"/>
      <c r="CG38" s="987"/>
      <c r="CH38" s="987"/>
      <c r="CI38" s="987"/>
      <c r="CJ38" s="987"/>
      <c r="CK38" s="988"/>
      <c r="CL38" s="987"/>
      <c r="CM38" s="987"/>
      <c r="CN38" s="987"/>
      <c r="CO38" s="987"/>
      <c r="CP38" s="987"/>
      <c r="CQ38" s="987"/>
      <c r="CR38" s="987"/>
      <c r="CS38" s="988"/>
      <c r="CT38" s="987"/>
      <c r="CU38" s="987"/>
      <c r="CV38" s="987"/>
      <c r="CW38" s="987"/>
      <c r="CX38" s="987"/>
      <c r="CY38" s="987"/>
      <c r="CZ38" s="987"/>
      <c r="DA38" s="988"/>
      <c r="DB38" s="987"/>
      <c r="DC38" s="987"/>
      <c r="DD38" s="987"/>
      <c r="DE38" s="987"/>
      <c r="DF38" s="987"/>
      <c r="DG38" s="987"/>
      <c r="DH38" s="987"/>
      <c r="DI38" s="988"/>
      <c r="DR38"/>
      <c r="DT38" s="987"/>
      <c r="EM38" s="1419"/>
    </row>
    <row r="39" spans="1:143">
      <c r="A39" s="258" t="s">
        <v>1223</v>
      </c>
      <c r="B39" s="989"/>
      <c r="C39" s="990"/>
      <c r="D39" s="990"/>
      <c r="E39" s="990"/>
      <c r="F39" s="990"/>
      <c r="G39" s="990"/>
      <c r="H39" s="990"/>
      <c r="I39" s="991"/>
      <c r="J39" s="990"/>
      <c r="K39" s="990"/>
      <c r="L39" s="990"/>
      <c r="M39" s="990"/>
      <c r="N39" s="990"/>
      <c r="O39" s="990"/>
      <c r="P39" s="990"/>
      <c r="Q39" s="991"/>
      <c r="R39" s="990"/>
      <c r="S39" s="990"/>
      <c r="T39" s="990"/>
      <c r="U39" s="990"/>
      <c r="V39" s="990"/>
      <c r="W39" s="990"/>
      <c r="X39" s="990"/>
      <c r="Y39" s="991"/>
      <c r="Z39" s="990"/>
      <c r="AA39" s="990"/>
      <c r="AB39" s="990"/>
      <c r="AC39" s="990"/>
      <c r="AD39" s="990"/>
      <c r="AE39" s="990"/>
      <c r="AF39" s="990"/>
      <c r="AG39" s="991"/>
      <c r="AH39" s="990"/>
      <c r="AI39" s="990"/>
      <c r="AJ39" s="990"/>
      <c r="AK39" s="990"/>
      <c r="AL39" s="990"/>
      <c r="AM39" s="990"/>
      <c r="AN39" s="990"/>
      <c r="AO39" s="991"/>
      <c r="AP39" s="990"/>
      <c r="AQ39" s="990"/>
      <c r="AR39" s="990"/>
      <c r="AS39" s="990"/>
      <c r="AT39" s="990"/>
      <c r="AU39" s="990"/>
      <c r="AV39" s="990"/>
      <c r="AW39" s="991"/>
      <c r="AX39" s="990"/>
      <c r="AY39" s="990"/>
      <c r="AZ39" s="990"/>
      <c r="BA39" s="990"/>
      <c r="BB39" s="990"/>
      <c r="BC39" s="990"/>
      <c r="BD39" s="990"/>
      <c r="BE39" s="991"/>
      <c r="BF39" s="990"/>
      <c r="BG39" s="990"/>
      <c r="BH39" s="990"/>
      <c r="BI39" s="990"/>
      <c r="BJ39" s="990"/>
      <c r="BK39" s="990"/>
      <c r="BL39" s="990"/>
      <c r="BM39" s="991"/>
      <c r="BN39" s="990"/>
      <c r="BO39" s="990"/>
      <c r="BP39" s="990"/>
      <c r="BQ39" s="990"/>
      <c r="BR39" s="990"/>
      <c r="BS39" s="990"/>
      <c r="BT39" s="990"/>
      <c r="BU39" s="991"/>
      <c r="BV39" s="990"/>
      <c r="BW39" s="990"/>
      <c r="BX39" s="990"/>
      <c r="BY39" s="990"/>
      <c r="BZ39" s="990"/>
      <c r="CA39" s="990"/>
      <c r="CB39" s="990"/>
      <c r="CC39" s="991"/>
      <c r="CD39" s="990"/>
      <c r="CE39" s="990"/>
      <c r="CF39" s="990"/>
      <c r="CG39" s="990"/>
      <c r="CH39" s="990"/>
      <c r="CI39" s="990"/>
      <c r="CJ39" s="990"/>
      <c r="CK39" s="991"/>
      <c r="CL39" s="990"/>
      <c r="CM39" s="990"/>
      <c r="CN39" s="990"/>
      <c r="CO39" s="990"/>
      <c r="CP39" s="990"/>
      <c r="CQ39" s="990"/>
      <c r="CR39" s="990"/>
      <c r="CS39" s="991"/>
      <c r="CT39" s="990"/>
      <c r="CU39" s="990"/>
      <c r="CV39" s="990"/>
      <c r="CW39" s="990"/>
      <c r="CX39" s="990"/>
      <c r="CY39" s="990"/>
      <c r="CZ39" s="990"/>
      <c r="DA39" s="991"/>
      <c r="DB39" s="990"/>
      <c r="DC39" s="990"/>
      <c r="DD39" s="990"/>
      <c r="DE39" s="990"/>
      <c r="DF39" s="990"/>
      <c r="DG39" s="990"/>
      <c r="DH39" s="990"/>
      <c r="DI39" s="991"/>
      <c r="DJ39" s="258"/>
      <c r="DK39" s="258"/>
      <c r="DL39" s="990"/>
      <c r="DM39" s="258"/>
      <c r="DN39" s="258"/>
      <c r="DO39" s="258"/>
      <c r="DP39" s="258"/>
      <c r="DQ39" s="965"/>
      <c r="DR39" s="258"/>
      <c r="DS39" s="258"/>
      <c r="DT39" s="990"/>
      <c r="DU39" s="258"/>
      <c r="DV39" s="258"/>
      <c r="DW39" s="258"/>
      <c r="DX39" s="258"/>
      <c r="DY39" s="965"/>
      <c r="DZ39" s="258"/>
      <c r="EA39" s="258"/>
      <c r="EB39" s="258"/>
      <c r="EC39" s="258"/>
      <c r="ED39" s="258"/>
      <c r="EE39" s="258"/>
      <c r="EF39" s="258"/>
      <c r="EG39" s="965"/>
      <c r="EM39" s="1419"/>
    </row>
    <row r="40" spans="1:143">
      <c r="A40" s="19" t="s">
        <v>900</v>
      </c>
      <c r="B40" s="986"/>
      <c r="C40" s="987"/>
      <c r="D40" s="981">
        <v>424</v>
      </c>
      <c r="E40" s="987"/>
      <c r="F40" s="987"/>
      <c r="G40" s="987"/>
      <c r="H40" s="981">
        <v>485</v>
      </c>
      <c r="I40" s="988"/>
      <c r="J40" s="987"/>
      <c r="K40" s="987"/>
      <c r="L40" s="367">
        <v>512</v>
      </c>
      <c r="M40" s="224"/>
      <c r="N40" s="987"/>
      <c r="O40" s="987"/>
      <c r="P40" s="367">
        <v>564</v>
      </c>
      <c r="Q40" s="988"/>
      <c r="R40" s="987"/>
      <c r="S40" s="987"/>
      <c r="T40" s="367">
        <v>631</v>
      </c>
      <c r="U40" s="367"/>
      <c r="V40" s="987"/>
      <c r="W40" s="987"/>
      <c r="X40" s="367">
        <v>727</v>
      </c>
      <c r="Y40" s="985"/>
      <c r="Z40" s="987"/>
      <c r="AA40" s="987"/>
      <c r="AB40" s="367">
        <v>727</v>
      </c>
      <c r="AC40" s="224"/>
      <c r="AD40" s="987"/>
      <c r="AE40" s="987"/>
      <c r="AF40" s="367">
        <v>906</v>
      </c>
      <c r="AG40" s="985"/>
      <c r="AH40" s="987"/>
      <c r="AI40" s="987"/>
      <c r="AJ40" s="367">
        <v>944</v>
      </c>
      <c r="AK40" s="367"/>
      <c r="AL40" s="367"/>
      <c r="AM40" s="367"/>
      <c r="AN40" s="367">
        <v>889</v>
      </c>
      <c r="AO40" s="985"/>
      <c r="AP40" s="367"/>
      <c r="AQ40" s="367"/>
      <c r="AR40" s="367">
        <v>942</v>
      </c>
      <c r="AS40" s="987"/>
      <c r="AT40" s="987"/>
      <c r="AU40" s="987"/>
      <c r="AV40" s="367">
        <v>844</v>
      </c>
      <c r="AW40" s="988"/>
      <c r="AX40" s="987"/>
      <c r="AY40" s="987"/>
      <c r="AZ40" s="367">
        <v>849</v>
      </c>
      <c r="BA40" s="367"/>
      <c r="BB40" s="987"/>
      <c r="BC40" s="987"/>
      <c r="BD40" s="367">
        <v>667</v>
      </c>
      <c r="BE40" s="988"/>
      <c r="BF40" s="987"/>
      <c r="BG40" s="987"/>
      <c r="BH40" s="367">
        <v>915</v>
      </c>
      <c r="BI40" s="367"/>
      <c r="BJ40" s="987"/>
      <c r="BK40" s="987"/>
      <c r="BL40" s="367">
        <v>1115</v>
      </c>
      <c r="BM40" s="988"/>
      <c r="BN40" s="987"/>
      <c r="BO40" s="987"/>
      <c r="BP40" s="367">
        <v>1227</v>
      </c>
      <c r="BQ40" s="367"/>
      <c r="BR40" s="367"/>
      <c r="BS40" s="367"/>
      <c r="BT40" s="367">
        <v>1258</v>
      </c>
      <c r="BU40" s="988"/>
      <c r="BV40" s="987"/>
      <c r="BW40" s="987"/>
      <c r="BX40" s="367">
        <v>699</v>
      </c>
      <c r="BY40" s="367"/>
      <c r="BZ40" s="987"/>
      <c r="CA40" s="987"/>
      <c r="CB40" s="367">
        <v>493</v>
      </c>
      <c r="CC40" s="988"/>
      <c r="CD40" s="987"/>
      <c r="CE40" s="987"/>
      <c r="CF40" s="367">
        <v>504</v>
      </c>
      <c r="CG40" s="367"/>
      <c r="CH40" s="987"/>
      <c r="CI40" s="987"/>
      <c r="CJ40" s="367">
        <v>838</v>
      </c>
      <c r="CK40" s="1149">
        <f>INDEX('Income Statement'!19:19, MATCH('Interim (New)'!CK$1,'Income Statement'!$3:$3,0))</f>
        <v>1342</v>
      </c>
      <c r="CL40" s="987"/>
      <c r="CM40" s="987"/>
      <c r="CN40" s="367">
        <v>723</v>
      </c>
      <c r="CO40" s="367"/>
      <c r="CP40" s="367"/>
      <c r="CQ40" s="367"/>
      <c r="CR40" s="367">
        <v>987</v>
      </c>
      <c r="CS40" s="1149">
        <f>INDEX('Income Statement'!19:19, MATCH('Interim (New)'!CS$1,'Income Statement'!$3:$3,0))</f>
        <v>1710</v>
      </c>
      <c r="CT40" s="987"/>
      <c r="CU40" s="987"/>
      <c r="CV40" s="367">
        <v>1051</v>
      </c>
      <c r="CW40" s="367"/>
      <c r="CX40" s="987"/>
      <c r="CY40" s="987"/>
      <c r="CZ40" s="367">
        <v>1339</v>
      </c>
      <c r="DA40" s="1149">
        <f>INDEX('Income Statement'!19:19, MATCH('Interim (New)'!DA$1,'Income Statement'!$3:$3,0))</f>
        <v>2390</v>
      </c>
      <c r="DB40" s="987"/>
      <c r="DC40" s="987"/>
      <c r="DD40" s="367">
        <v>1285</v>
      </c>
      <c r="DE40" s="367"/>
      <c r="DF40" s="987"/>
      <c r="DG40" s="987"/>
      <c r="DH40" s="367">
        <v>1534</v>
      </c>
      <c r="DI40" s="1149">
        <f>INDEX('Income Statement'!19:19, MATCH('Interim (New)'!DI$1,'Income Statement'!$3:$3,0))</f>
        <v>2819</v>
      </c>
      <c r="DL40" s="367">
        <v>1758</v>
      </c>
      <c r="DP40" s="1158">
        <f>DQ40-DL40</f>
        <v>1815.190883274262</v>
      </c>
      <c r="DQ40" s="1149">
        <f>INDEX('Income Statement'!19:19, MATCH('Interim (New)'!DQ$1,'Income Statement'!$3:$3,0))</f>
        <v>3573.190883274262</v>
      </c>
      <c r="DR40"/>
      <c r="DT40" s="1158">
        <f>(DD40/DI40)*DY40</f>
        <v>1833.6962077688424</v>
      </c>
      <c r="DX40" s="1158">
        <f>DY40-DT40</f>
        <v>2189.0194418034271</v>
      </c>
      <c r="DY40" s="1149">
        <f>INDEX('Income Statement'!19:19, MATCH('Interim (New)'!DY$1,'Income Statement'!$3:$3,0))</f>
        <v>4022.7156495722697</v>
      </c>
      <c r="EM40" s="1419"/>
    </row>
    <row r="41" spans="1:143" ht="14.25" hidden="1" customHeight="1" outlineLevel="1">
      <c r="A41" s="249" t="s">
        <v>899</v>
      </c>
      <c r="B41" s="986"/>
      <c r="C41" s="987"/>
      <c r="D41" s="981">
        <v>99</v>
      </c>
      <c r="E41" s="987"/>
      <c r="F41" s="987"/>
      <c r="G41" s="987"/>
      <c r="H41" s="981">
        <v>103</v>
      </c>
      <c r="I41" s="988"/>
      <c r="J41" s="987"/>
      <c r="K41" s="987"/>
      <c r="L41" s="367">
        <v>134</v>
      </c>
      <c r="M41" s="224"/>
      <c r="N41" s="987"/>
      <c r="O41" s="987"/>
      <c r="P41" s="367">
        <v>152</v>
      </c>
      <c r="Q41" s="988"/>
      <c r="R41" s="987"/>
      <c r="S41" s="987"/>
      <c r="T41" s="367">
        <v>174</v>
      </c>
      <c r="U41" s="367"/>
      <c r="V41" s="987"/>
      <c r="W41" s="987"/>
      <c r="X41" s="367">
        <v>202</v>
      </c>
      <c r="Y41" s="985"/>
      <c r="Z41" s="987"/>
      <c r="AA41" s="987"/>
      <c r="AB41" s="367">
        <v>197</v>
      </c>
      <c r="AC41" s="224"/>
      <c r="AD41" s="987"/>
      <c r="AE41" s="987"/>
      <c r="AF41" s="367">
        <v>229</v>
      </c>
      <c r="AG41" s="985"/>
      <c r="AH41" s="987"/>
      <c r="AI41" s="987"/>
      <c r="AJ41" s="367">
        <v>199</v>
      </c>
      <c r="AK41" s="367"/>
      <c r="AL41" s="367"/>
      <c r="AM41" s="367"/>
      <c r="AN41" s="367">
        <v>267</v>
      </c>
      <c r="AO41" s="985"/>
      <c r="AP41" s="367"/>
      <c r="AQ41" s="367"/>
      <c r="AR41" s="367">
        <v>271</v>
      </c>
      <c r="AS41" s="987"/>
      <c r="AT41" s="987"/>
      <c r="AU41" s="987"/>
      <c r="AV41" s="367">
        <v>296</v>
      </c>
      <c r="AW41" s="988"/>
      <c r="AX41" s="987"/>
      <c r="AY41" s="987"/>
      <c r="AZ41" s="367">
        <v>327</v>
      </c>
      <c r="BA41" s="367"/>
      <c r="BB41" s="987"/>
      <c r="BC41" s="987"/>
      <c r="BD41" s="367">
        <v>292</v>
      </c>
      <c r="BE41" s="988"/>
      <c r="BF41" s="987"/>
      <c r="BG41" s="987"/>
      <c r="BH41" s="367">
        <v>300</v>
      </c>
      <c r="BI41" s="367"/>
      <c r="BJ41" s="987"/>
      <c r="BK41" s="987"/>
      <c r="BL41" s="367">
        <v>369</v>
      </c>
      <c r="BM41" s="988"/>
      <c r="BN41" s="987"/>
      <c r="BO41" s="987"/>
      <c r="BP41" s="367"/>
      <c r="BQ41" s="367"/>
      <c r="BR41" s="367"/>
      <c r="BS41" s="367"/>
      <c r="BT41" s="367"/>
      <c r="BU41" s="988"/>
      <c r="BV41" s="987"/>
      <c r="BW41" s="987"/>
      <c r="BX41" s="367"/>
      <c r="BY41" s="367"/>
      <c r="BZ41" s="987"/>
      <c r="CA41" s="987"/>
      <c r="CB41" s="367"/>
      <c r="CC41" s="988"/>
      <c r="CD41" s="987"/>
      <c r="CE41" s="987"/>
      <c r="CF41" s="367"/>
      <c r="CG41" s="367"/>
      <c r="CH41" s="987"/>
      <c r="CI41" s="987"/>
      <c r="CJ41" s="367"/>
      <c r="CK41" s="1149"/>
      <c r="CL41" s="987"/>
      <c r="CM41" s="987"/>
      <c r="CN41" s="367"/>
      <c r="CO41" s="367"/>
      <c r="CP41" s="367"/>
      <c r="CQ41" s="367"/>
      <c r="CR41" s="367"/>
      <c r="CS41" s="1149"/>
      <c r="CT41" s="987"/>
      <c r="CU41" s="987"/>
      <c r="CV41" s="367"/>
      <c r="CW41" s="367"/>
      <c r="CX41" s="987"/>
      <c r="CY41" s="987"/>
      <c r="CZ41" s="367"/>
      <c r="DA41" s="1149"/>
      <c r="DB41" s="987"/>
      <c r="DC41" s="987"/>
      <c r="DD41" s="367"/>
      <c r="DE41" s="367"/>
      <c r="DF41" s="987"/>
      <c r="DG41" s="987"/>
      <c r="DH41" s="367"/>
      <c r="DI41" s="1149"/>
      <c r="DL41" s="367"/>
      <c r="DP41" s="1158"/>
      <c r="DQ41" s="1149"/>
      <c r="DR41"/>
      <c r="DT41" s="1158"/>
      <c r="DX41" s="1158"/>
      <c r="DY41" s="1149"/>
      <c r="EM41" s="1419"/>
    </row>
    <row r="42" spans="1:143" ht="14.25" hidden="1" customHeight="1" outlineLevel="1">
      <c r="A42" s="249" t="s">
        <v>744</v>
      </c>
      <c r="B42" s="986"/>
      <c r="C42" s="987"/>
      <c r="D42" s="981">
        <v>31</v>
      </c>
      <c r="E42" s="987"/>
      <c r="F42" s="987"/>
      <c r="G42" s="987"/>
      <c r="H42" s="981">
        <v>27</v>
      </c>
      <c r="I42" s="988"/>
      <c r="J42" s="987"/>
      <c r="K42" s="987"/>
      <c r="L42" s="367">
        <v>45</v>
      </c>
      <c r="M42" s="224"/>
      <c r="N42" s="987"/>
      <c r="O42" s="987"/>
      <c r="P42" s="367">
        <v>34</v>
      </c>
      <c r="Q42" s="988"/>
      <c r="R42" s="987"/>
      <c r="S42" s="987"/>
      <c r="T42" s="367">
        <v>45</v>
      </c>
      <c r="U42" s="367"/>
      <c r="V42" s="987"/>
      <c r="W42" s="987"/>
      <c r="X42" s="367">
        <v>39</v>
      </c>
      <c r="Y42" s="985"/>
      <c r="Z42" s="987"/>
      <c r="AA42" s="987"/>
      <c r="AB42" s="367">
        <v>43</v>
      </c>
      <c r="AC42" s="224"/>
      <c r="AD42" s="987"/>
      <c r="AE42" s="987"/>
      <c r="AF42" s="367">
        <v>28</v>
      </c>
      <c r="AG42" s="985"/>
      <c r="AH42" s="987"/>
      <c r="AI42" s="987"/>
      <c r="AJ42" s="367">
        <v>15</v>
      </c>
      <c r="AK42" s="367"/>
      <c r="AL42" s="367"/>
      <c r="AM42" s="367"/>
      <c r="AN42" s="367">
        <v>49</v>
      </c>
      <c r="AO42" s="985"/>
      <c r="AP42" s="367"/>
      <c r="AQ42" s="367"/>
      <c r="AR42" s="367">
        <v>22</v>
      </c>
      <c r="AS42" s="987"/>
      <c r="AT42" s="987"/>
      <c r="AU42" s="987"/>
      <c r="AV42" s="367">
        <v>54</v>
      </c>
      <c r="AW42" s="988"/>
      <c r="AX42" s="987"/>
      <c r="AY42" s="987"/>
      <c r="AZ42" s="367">
        <v>40</v>
      </c>
      <c r="BA42" s="367"/>
      <c r="BB42" s="987"/>
      <c r="BC42" s="987"/>
      <c r="BD42" s="367">
        <v>53</v>
      </c>
      <c r="BE42" s="988"/>
      <c r="BF42" s="987"/>
      <c r="BG42" s="987"/>
      <c r="BH42" s="367">
        <v>45</v>
      </c>
      <c r="BI42" s="367"/>
      <c r="BJ42" s="987"/>
      <c r="BK42" s="987"/>
      <c r="BL42" s="367">
        <v>73</v>
      </c>
      <c r="BM42" s="988"/>
      <c r="BN42" s="987"/>
      <c r="BO42" s="987"/>
      <c r="BP42" s="367"/>
      <c r="BQ42" s="367"/>
      <c r="BR42" s="367"/>
      <c r="BS42" s="367"/>
      <c r="BT42" s="367"/>
      <c r="BU42" s="988"/>
      <c r="BV42" s="987"/>
      <c r="BW42" s="987"/>
      <c r="BX42" s="367"/>
      <c r="BY42" s="367"/>
      <c r="BZ42" s="987"/>
      <c r="CA42" s="987"/>
      <c r="CB42" s="367"/>
      <c r="CC42" s="988"/>
      <c r="CD42" s="987"/>
      <c r="CE42" s="987"/>
      <c r="CF42" s="367"/>
      <c r="CG42" s="367"/>
      <c r="CH42" s="987"/>
      <c r="CI42" s="987"/>
      <c r="CJ42" s="367"/>
      <c r="CK42" s="1149"/>
      <c r="CL42" s="987"/>
      <c r="CM42" s="987"/>
      <c r="CN42" s="367"/>
      <c r="CO42" s="367"/>
      <c r="CP42" s="367"/>
      <c r="CQ42" s="367"/>
      <c r="CR42" s="367"/>
      <c r="CS42" s="1149"/>
      <c r="CT42" s="987"/>
      <c r="CU42" s="987"/>
      <c r="CV42" s="367"/>
      <c r="CW42" s="367"/>
      <c r="CX42" s="987"/>
      <c r="CY42" s="987"/>
      <c r="CZ42" s="367"/>
      <c r="DA42" s="1149"/>
      <c r="DB42" s="987"/>
      <c r="DC42" s="987"/>
      <c r="DD42" s="367"/>
      <c r="DE42" s="367"/>
      <c r="DF42" s="987"/>
      <c r="DG42" s="987"/>
      <c r="DH42" s="367"/>
      <c r="DI42" s="1149"/>
      <c r="DL42" s="367"/>
      <c r="DP42" s="1158"/>
      <c r="DQ42" s="1149"/>
      <c r="DR42"/>
      <c r="DT42" s="1158"/>
      <c r="DX42" s="1158"/>
      <c r="DY42" s="1149"/>
      <c r="EM42" s="1419"/>
    </row>
    <row r="43" spans="1:143" ht="14.25" hidden="1" customHeight="1" outlineLevel="1">
      <c r="A43" s="249" t="s">
        <v>1070</v>
      </c>
      <c r="B43" s="986"/>
      <c r="C43" s="987"/>
      <c r="D43" s="981"/>
      <c r="E43" s="987"/>
      <c r="F43" s="987"/>
      <c r="G43" s="987"/>
      <c r="H43" s="981"/>
      <c r="I43" s="988"/>
      <c r="J43" s="987"/>
      <c r="K43" s="987"/>
      <c r="L43" s="367"/>
      <c r="M43" s="224"/>
      <c r="N43" s="987"/>
      <c r="O43" s="987"/>
      <c r="P43" s="367"/>
      <c r="Q43" s="988"/>
      <c r="R43" s="987"/>
      <c r="S43" s="987"/>
      <c r="T43" s="367"/>
      <c r="U43" s="367"/>
      <c r="V43" s="987"/>
      <c r="W43" s="987"/>
      <c r="X43" s="367"/>
      <c r="Y43" s="985"/>
      <c r="Z43" s="987"/>
      <c r="AA43" s="987"/>
      <c r="AB43" s="367"/>
      <c r="AC43" s="224"/>
      <c r="AD43" s="987"/>
      <c r="AE43" s="987"/>
      <c r="AF43" s="367"/>
      <c r="AG43" s="985"/>
      <c r="AH43" s="987"/>
      <c r="AI43" s="987"/>
      <c r="AJ43" s="367"/>
      <c r="AK43" s="367"/>
      <c r="AL43" s="367"/>
      <c r="AM43" s="367"/>
      <c r="AN43" s="367"/>
      <c r="AO43" s="985"/>
      <c r="AP43" s="367"/>
      <c r="AQ43" s="367"/>
      <c r="AR43" s="367"/>
      <c r="AS43" s="987"/>
      <c r="AT43" s="987"/>
      <c r="AU43" s="987"/>
      <c r="AV43" s="367"/>
      <c r="AW43" s="988"/>
      <c r="AX43" s="987"/>
      <c r="AY43" s="987"/>
      <c r="AZ43" s="367"/>
      <c r="BA43" s="367"/>
      <c r="BB43" s="987"/>
      <c r="BC43" s="987"/>
      <c r="BD43" s="367"/>
      <c r="BE43" s="988"/>
      <c r="BF43" s="987"/>
      <c r="BG43" s="987"/>
      <c r="BH43" s="367">
        <v>97</v>
      </c>
      <c r="BI43" s="367"/>
      <c r="BJ43" s="987"/>
      <c r="BK43" s="987"/>
      <c r="BL43" s="367">
        <v>108</v>
      </c>
      <c r="BM43" s="988"/>
      <c r="BN43" s="987"/>
      <c r="BO43" s="987"/>
      <c r="BP43" s="367"/>
      <c r="BQ43" s="367"/>
      <c r="BR43" s="367"/>
      <c r="BS43" s="367"/>
      <c r="BT43" s="367"/>
      <c r="BU43" s="988"/>
      <c r="BV43" s="987"/>
      <c r="BW43" s="987"/>
      <c r="BX43" s="367"/>
      <c r="BY43" s="367"/>
      <c r="BZ43" s="987"/>
      <c r="CA43" s="987"/>
      <c r="CB43" s="367"/>
      <c r="CC43" s="988"/>
      <c r="CD43" s="987"/>
      <c r="CE43" s="987"/>
      <c r="CF43" s="367"/>
      <c r="CG43" s="367"/>
      <c r="CH43" s="987"/>
      <c r="CI43" s="987"/>
      <c r="CJ43" s="367"/>
      <c r="CK43" s="1149"/>
      <c r="CL43" s="987"/>
      <c r="CM43" s="987"/>
      <c r="CN43" s="367"/>
      <c r="CO43" s="367"/>
      <c r="CP43" s="367"/>
      <c r="CQ43" s="367"/>
      <c r="CR43" s="367"/>
      <c r="CS43" s="1149"/>
      <c r="CT43" s="987"/>
      <c r="CU43" s="987"/>
      <c r="CV43" s="367"/>
      <c r="CW43" s="367"/>
      <c r="CX43" s="987"/>
      <c r="CY43" s="987"/>
      <c r="CZ43" s="367"/>
      <c r="DA43" s="1149"/>
      <c r="DB43" s="987"/>
      <c r="DC43" s="987"/>
      <c r="DD43" s="367"/>
      <c r="DE43" s="367"/>
      <c r="DF43" s="987"/>
      <c r="DG43" s="987"/>
      <c r="DH43" s="367"/>
      <c r="DI43" s="1149"/>
      <c r="DL43" s="367"/>
      <c r="DP43" s="1158"/>
      <c r="DQ43" s="1149"/>
      <c r="DR43"/>
      <c r="DT43" s="1158"/>
      <c r="DX43" s="1158"/>
      <c r="DY43" s="1149"/>
      <c r="EM43" s="1419"/>
    </row>
    <row r="44" spans="1:143" collapsed="1">
      <c r="A44" s="19" t="s">
        <v>1572</v>
      </c>
      <c r="B44" s="986"/>
      <c r="C44" s="987"/>
      <c r="D44" s="981"/>
      <c r="E44" s="987"/>
      <c r="F44" s="987"/>
      <c r="G44" s="987"/>
      <c r="H44" s="981"/>
      <c r="I44" s="988"/>
      <c r="J44" s="987"/>
      <c r="K44" s="987"/>
      <c r="L44" s="367"/>
      <c r="M44" s="224"/>
      <c r="N44" s="987"/>
      <c r="O44" s="987"/>
      <c r="P44" s="367"/>
      <c r="Q44" s="988"/>
      <c r="R44" s="987"/>
      <c r="S44" s="987"/>
      <c r="T44" s="367"/>
      <c r="U44" s="367"/>
      <c r="V44" s="987"/>
      <c r="W44" s="987"/>
      <c r="X44" s="367"/>
      <c r="Y44" s="985"/>
      <c r="Z44" s="987"/>
      <c r="AA44" s="987"/>
      <c r="AB44" s="367"/>
      <c r="AC44" s="224"/>
      <c r="AD44" s="987"/>
      <c r="AE44" s="987"/>
      <c r="AF44" s="367"/>
      <c r="AG44" s="985"/>
      <c r="AH44" s="987"/>
      <c r="AI44" s="987"/>
      <c r="AJ44" s="367"/>
      <c r="AK44" s="367"/>
      <c r="AL44" s="367"/>
      <c r="AM44" s="367"/>
      <c r="AN44" s="367"/>
      <c r="AO44" s="985"/>
      <c r="AP44" s="367"/>
      <c r="AQ44" s="367"/>
      <c r="AR44" s="367"/>
      <c r="AS44" s="987"/>
      <c r="AT44" s="987"/>
      <c r="AU44" s="987"/>
      <c r="AV44" s="367"/>
      <c r="AW44" s="988"/>
      <c r="AX44" s="987"/>
      <c r="AY44" s="987"/>
      <c r="AZ44" s="367"/>
      <c r="BA44" s="367"/>
      <c r="BB44" s="987"/>
      <c r="BC44" s="987"/>
      <c r="BD44" s="367"/>
      <c r="BE44" s="988"/>
      <c r="BF44" s="987"/>
      <c r="BG44" s="987"/>
      <c r="BH44" s="367">
        <v>442</v>
      </c>
      <c r="BI44" s="367"/>
      <c r="BJ44" s="987"/>
      <c r="BK44" s="987"/>
      <c r="BL44" s="367">
        <v>550</v>
      </c>
      <c r="BM44" s="988"/>
      <c r="BN44" s="987"/>
      <c r="BO44" s="987"/>
      <c r="BP44" s="367">
        <v>588</v>
      </c>
      <c r="BQ44" s="367"/>
      <c r="BR44" s="367"/>
      <c r="BS44" s="367"/>
      <c r="BT44" s="367">
        <v>621</v>
      </c>
      <c r="BU44" s="988"/>
      <c r="BV44" s="987"/>
      <c r="BW44" s="987"/>
      <c r="BX44" s="367">
        <v>343</v>
      </c>
      <c r="BY44" s="367"/>
      <c r="BZ44" s="987"/>
      <c r="CA44" s="987"/>
      <c r="CB44" s="367">
        <v>344</v>
      </c>
      <c r="CC44" s="988"/>
      <c r="CD44" s="987"/>
      <c r="CE44" s="987"/>
      <c r="CF44" s="367">
        <v>270</v>
      </c>
      <c r="CG44" s="367"/>
      <c r="CH44" s="987"/>
      <c r="CI44" s="987"/>
      <c r="CJ44" s="367">
        <v>380</v>
      </c>
      <c r="CK44" s="1149">
        <f>INDEX('Income Statement'!20:20, MATCH('Interim (New)'!CK$1,'Income Statement'!$3:$3,0))</f>
        <v>650</v>
      </c>
      <c r="CL44" s="987"/>
      <c r="CM44" s="987"/>
      <c r="CN44" s="367">
        <v>411</v>
      </c>
      <c r="CO44" s="367"/>
      <c r="CP44" s="367"/>
      <c r="CQ44" s="367"/>
      <c r="CR44" s="367">
        <v>463</v>
      </c>
      <c r="CS44" s="1149">
        <f>INDEX('Income Statement'!20:20, MATCH('Interim (New)'!CS$1,'Income Statement'!$3:$3,0))</f>
        <v>874</v>
      </c>
      <c r="CT44" s="987"/>
      <c r="CU44" s="987"/>
      <c r="CV44" s="367">
        <v>466</v>
      </c>
      <c r="CW44" s="367"/>
      <c r="CX44" s="987"/>
      <c r="CY44" s="987"/>
      <c r="CZ44" s="367">
        <v>526</v>
      </c>
      <c r="DA44" s="1149">
        <f>INDEX('Income Statement'!20:20, MATCH('Interim (New)'!DA$1,'Income Statement'!$3:$3,0))</f>
        <v>992</v>
      </c>
      <c r="DB44" s="987"/>
      <c r="DC44" s="987"/>
      <c r="DD44" s="367">
        <v>657</v>
      </c>
      <c r="DE44" s="367"/>
      <c r="DF44" s="987"/>
      <c r="DG44" s="987"/>
      <c r="DH44" s="367">
        <v>641</v>
      </c>
      <c r="DI44" s="1149">
        <f>INDEX('Income Statement'!20:20, MATCH('Interim (New)'!DI$1,'Income Statement'!$3:$3,0))</f>
        <v>1298</v>
      </c>
      <c r="DL44" s="367">
        <v>703</v>
      </c>
      <c r="DP44" s="1158">
        <f t="shared" ref="DP44:DP47" si="348">DQ44-DL44</f>
        <v>863.09055472535783</v>
      </c>
      <c r="DQ44" s="1149">
        <f>INDEX('Income Statement'!20:20, MATCH('Interim (New)'!DQ$1,'Income Statement'!$3:$3,0))</f>
        <v>1566.0905547253578</v>
      </c>
      <c r="DR44"/>
      <c r="DT44" s="1158">
        <f t="shared" ref="DT44:DT46" si="349">(DD44/DI44)*DY44</f>
        <v>988.40859128540069</v>
      </c>
      <c r="DX44" s="1158">
        <f t="shared" ref="DX44:DX45" si="350">DY44-DT44</f>
        <v>964.33775801208799</v>
      </c>
      <c r="DY44" s="1149">
        <f>INDEX('Income Statement'!20:20, MATCH('Interim (New)'!DY$1,'Income Statement'!$3:$3,0))</f>
        <v>1952.7463492974887</v>
      </c>
      <c r="EM44" s="1419"/>
    </row>
    <row r="45" spans="1:143">
      <c r="A45" s="19" t="s">
        <v>1093</v>
      </c>
      <c r="B45" s="986"/>
      <c r="C45" s="987"/>
      <c r="D45" s="981"/>
      <c r="E45" s="987"/>
      <c r="F45" s="987"/>
      <c r="G45" s="987"/>
      <c r="H45" s="981"/>
      <c r="I45" s="988"/>
      <c r="J45" s="987"/>
      <c r="K45" s="987"/>
      <c r="L45" s="367"/>
      <c r="M45" s="224"/>
      <c r="N45" s="987"/>
      <c r="O45" s="987"/>
      <c r="P45" s="367"/>
      <c r="Q45" s="988"/>
      <c r="R45" s="987"/>
      <c r="S45" s="987"/>
      <c r="T45" s="367"/>
      <c r="U45" s="367"/>
      <c r="V45" s="987"/>
      <c r="W45" s="987"/>
      <c r="X45" s="367"/>
      <c r="Y45" s="985"/>
      <c r="Z45" s="987"/>
      <c r="AA45" s="987"/>
      <c r="AB45" s="367"/>
      <c r="AC45" s="224"/>
      <c r="AD45" s="987"/>
      <c r="AE45" s="987"/>
      <c r="AF45" s="367"/>
      <c r="AG45" s="985"/>
      <c r="AH45" s="987"/>
      <c r="AI45" s="987"/>
      <c r="AJ45" s="367"/>
      <c r="AK45" s="367"/>
      <c r="AL45" s="367"/>
      <c r="AM45" s="367"/>
      <c r="AN45" s="367"/>
      <c r="AO45" s="985"/>
      <c r="AP45" s="367"/>
      <c r="AQ45" s="367"/>
      <c r="AR45" s="367"/>
      <c r="AS45" s="987"/>
      <c r="AT45" s="987"/>
      <c r="AU45" s="987"/>
      <c r="AV45" s="367"/>
      <c r="AW45" s="988"/>
      <c r="AX45" s="987"/>
      <c r="AY45" s="987"/>
      <c r="AZ45" s="367"/>
      <c r="BA45" s="367"/>
      <c r="BB45" s="987"/>
      <c r="BC45" s="987"/>
      <c r="BD45" s="367"/>
      <c r="BE45" s="988"/>
      <c r="BF45" s="987"/>
      <c r="BG45" s="987"/>
      <c r="BH45" s="367">
        <v>32</v>
      </c>
      <c r="BI45" s="367"/>
      <c r="BJ45" s="987"/>
      <c r="BK45" s="987"/>
      <c r="BL45" s="367">
        <v>49</v>
      </c>
      <c r="BM45" s="988"/>
      <c r="BN45" s="987"/>
      <c r="BO45" s="987"/>
      <c r="BP45" s="367">
        <v>85</v>
      </c>
      <c r="BQ45" s="367"/>
      <c r="BR45" s="367"/>
      <c r="BS45" s="367"/>
      <c r="BT45" s="367">
        <v>103</v>
      </c>
      <c r="BU45" s="988"/>
      <c r="BV45" s="987"/>
      <c r="BW45" s="987"/>
      <c r="BX45" s="367">
        <v>-101</v>
      </c>
      <c r="BY45" s="367"/>
      <c r="BZ45" s="987"/>
      <c r="CA45" s="987"/>
      <c r="CB45" s="367">
        <v>-73</v>
      </c>
      <c r="CC45" s="988"/>
      <c r="CD45" s="987"/>
      <c r="CE45" s="987"/>
      <c r="CF45" s="367">
        <v>-110</v>
      </c>
      <c r="CG45" s="367"/>
      <c r="CH45" s="987"/>
      <c r="CI45" s="987"/>
      <c r="CJ45" s="367">
        <v>-57</v>
      </c>
      <c r="CK45" s="1149">
        <f>INDEX('Income Statement'!21:21, MATCH('Interim (New)'!CK$1,'Income Statement'!$3:$3,0))</f>
        <v>-167</v>
      </c>
      <c r="CL45" s="987"/>
      <c r="CM45" s="987"/>
      <c r="CN45" s="367">
        <v>-82</v>
      </c>
      <c r="CO45" s="367"/>
      <c r="CP45" s="367"/>
      <c r="CQ45" s="367"/>
      <c r="CR45" s="367">
        <v>-58</v>
      </c>
      <c r="CS45" s="1149">
        <f>INDEX('Income Statement'!21:21, MATCH('Interim (New)'!CS$1,'Income Statement'!$3:$3,0))</f>
        <v>-140</v>
      </c>
      <c r="CT45" s="987"/>
      <c r="CU45" s="987"/>
      <c r="CV45" s="367">
        <v>-100</v>
      </c>
      <c r="CW45" s="367"/>
      <c r="CX45" s="987"/>
      <c r="CY45" s="987"/>
      <c r="CZ45" s="367">
        <v>-16</v>
      </c>
      <c r="DA45" s="1149">
        <f>INDEX('Income Statement'!21:21, MATCH('Interim (New)'!DA$1,'Income Statement'!$3:$3,0))</f>
        <v>-116</v>
      </c>
      <c r="DB45" s="987"/>
      <c r="DC45" s="987"/>
      <c r="DD45" s="367">
        <v>10</v>
      </c>
      <c r="DE45" s="367"/>
      <c r="DF45" s="987"/>
      <c r="DG45" s="987"/>
      <c r="DH45" s="367">
        <v>17</v>
      </c>
      <c r="DI45" s="1149">
        <f>INDEX('Income Statement'!21:21, MATCH('Interim (New)'!DI$1,'Income Statement'!$3:$3,0))</f>
        <v>27</v>
      </c>
      <c r="DL45" s="367">
        <v>27</v>
      </c>
      <c r="DP45" s="1158">
        <f t="shared" si="348"/>
        <v>79.692815508725715</v>
      </c>
      <c r="DQ45" s="1149">
        <f>INDEX('Income Statement'!21:21, MATCH('Interim (New)'!DQ$1,'Income Statement'!$3:$3,0))</f>
        <v>106.69281550872572</v>
      </c>
      <c r="DR45"/>
      <c r="DT45" s="1158">
        <f t="shared" si="349"/>
        <v>74.270891209039135</v>
      </c>
      <c r="DX45" s="1158">
        <f t="shared" si="350"/>
        <v>126.26051505536653</v>
      </c>
      <c r="DY45" s="1149">
        <f>INDEX('Income Statement'!21:21, MATCH('Interim (New)'!DY$1,'Income Statement'!$3:$3,0))</f>
        <v>200.53140626440566</v>
      </c>
      <c r="EM45" s="1419"/>
    </row>
    <row r="46" spans="1:143" ht="14.25" hidden="1" customHeight="1" outlineLevel="1">
      <c r="A46" s="19" t="s">
        <v>898</v>
      </c>
      <c r="B46" s="986"/>
      <c r="C46" s="987"/>
      <c r="D46" s="981">
        <v>59</v>
      </c>
      <c r="E46" s="987"/>
      <c r="F46" s="987"/>
      <c r="G46" s="987"/>
      <c r="H46" s="981">
        <v>80</v>
      </c>
      <c r="I46" s="988"/>
      <c r="J46" s="987"/>
      <c r="K46" s="987"/>
      <c r="L46" s="367">
        <v>66</v>
      </c>
      <c r="M46" s="224"/>
      <c r="N46" s="987"/>
      <c r="O46" s="987"/>
      <c r="P46" s="367">
        <v>79</v>
      </c>
      <c r="Q46" s="988"/>
      <c r="R46" s="987"/>
      <c r="S46" s="987"/>
      <c r="T46" s="367">
        <v>65</v>
      </c>
      <c r="U46" s="367"/>
      <c r="V46" s="987"/>
      <c r="W46" s="987"/>
      <c r="X46" s="367">
        <v>55</v>
      </c>
      <c r="Y46" s="985"/>
      <c r="Z46" s="987"/>
      <c r="AA46" s="987"/>
      <c r="AB46" s="367">
        <v>64</v>
      </c>
      <c r="AC46" s="224"/>
      <c r="AD46" s="987"/>
      <c r="AE46" s="987"/>
      <c r="AF46" s="367">
        <v>70</v>
      </c>
      <c r="AG46" s="985"/>
      <c r="AH46" s="987"/>
      <c r="AI46" s="987"/>
      <c r="AJ46" s="367">
        <v>66</v>
      </c>
      <c r="AK46" s="367"/>
      <c r="AL46" s="367"/>
      <c r="AM46" s="367"/>
      <c r="AN46" s="367">
        <v>85</v>
      </c>
      <c r="AO46" s="985"/>
      <c r="AP46" s="367"/>
      <c r="AQ46" s="367"/>
      <c r="AR46" s="367">
        <v>79</v>
      </c>
      <c r="AS46" s="987"/>
      <c r="AT46" s="987"/>
      <c r="AU46" s="987"/>
      <c r="AV46" s="367">
        <v>-79</v>
      </c>
      <c r="AW46" s="988"/>
      <c r="AX46" s="987"/>
      <c r="AY46" s="987"/>
      <c r="AZ46" s="367"/>
      <c r="BA46" s="367"/>
      <c r="BB46" s="987"/>
      <c r="BC46" s="987"/>
      <c r="BD46" s="367"/>
      <c r="BE46" s="988"/>
      <c r="BF46" s="987"/>
      <c r="BG46" s="987"/>
      <c r="BH46" s="367"/>
      <c r="BI46" s="367"/>
      <c r="BJ46" s="987"/>
      <c r="BK46" s="987"/>
      <c r="BL46" s="367"/>
      <c r="BM46" s="988"/>
      <c r="BN46" s="987"/>
      <c r="BO46" s="987"/>
      <c r="BP46" s="367"/>
      <c r="BQ46" s="367"/>
      <c r="BR46" s="367"/>
      <c r="BS46" s="367"/>
      <c r="BT46" s="367"/>
      <c r="BU46" s="988"/>
      <c r="BV46" s="987"/>
      <c r="BW46" s="987"/>
      <c r="BX46" s="367"/>
      <c r="BY46" s="367"/>
      <c r="BZ46" s="987"/>
      <c r="CA46" s="987"/>
      <c r="CB46" s="367"/>
      <c r="CC46" s="988"/>
      <c r="CD46" s="987"/>
      <c r="CE46" s="987"/>
      <c r="CF46" s="367"/>
      <c r="CG46" s="367"/>
      <c r="CH46" s="987"/>
      <c r="CI46" s="987"/>
      <c r="CJ46" s="367"/>
      <c r="CK46" s="1149"/>
      <c r="CL46" s="987"/>
      <c r="CM46" s="987"/>
      <c r="CN46" s="367"/>
      <c r="CO46" s="367"/>
      <c r="CP46" s="367"/>
      <c r="CQ46" s="367"/>
      <c r="CR46" s="367"/>
      <c r="CS46" s="1149"/>
      <c r="CT46" s="987"/>
      <c r="CU46" s="987"/>
      <c r="CV46" s="367"/>
      <c r="CW46" s="367"/>
      <c r="CX46" s="987"/>
      <c r="CY46" s="987"/>
      <c r="CZ46" s="367"/>
      <c r="DA46" s="1149"/>
      <c r="DB46" s="987"/>
      <c r="DC46" s="987"/>
      <c r="DD46" s="367"/>
      <c r="DE46" s="367"/>
      <c r="DF46" s="987"/>
      <c r="DG46" s="987"/>
      <c r="DH46" s="367"/>
      <c r="DI46" s="1149"/>
      <c r="DL46" s="367"/>
      <c r="DP46" s="1158"/>
      <c r="DQ46" s="1149"/>
      <c r="DR46"/>
      <c r="DT46" s="1158" t="e">
        <f t="shared" si="349"/>
        <v>#DIV/0!</v>
      </c>
      <c r="DX46" s="1158"/>
      <c r="DY46" s="1149"/>
      <c r="EM46" s="1419"/>
    </row>
    <row r="47" spans="1:143" collapsed="1">
      <c r="A47" s="19" t="s">
        <v>752</v>
      </c>
      <c r="B47" s="986"/>
      <c r="C47" s="987"/>
      <c r="D47" s="981">
        <v>-59</v>
      </c>
      <c r="E47" s="987"/>
      <c r="F47" s="987"/>
      <c r="G47" s="987"/>
      <c r="H47" s="981">
        <v>-60</v>
      </c>
      <c r="I47" s="988"/>
      <c r="J47" s="987"/>
      <c r="K47" s="987"/>
      <c r="L47" s="367">
        <v>-76</v>
      </c>
      <c r="M47" s="224"/>
      <c r="N47" s="987"/>
      <c r="O47" s="987"/>
      <c r="P47" s="367">
        <v>-66</v>
      </c>
      <c r="Q47" s="988"/>
      <c r="R47" s="987"/>
      <c r="S47" s="987"/>
      <c r="T47" s="367">
        <v>-68</v>
      </c>
      <c r="U47" s="367"/>
      <c r="V47" s="987"/>
      <c r="W47" s="987"/>
      <c r="X47" s="367">
        <v>-90</v>
      </c>
      <c r="Y47" s="985"/>
      <c r="Z47" s="987"/>
      <c r="AA47" s="987"/>
      <c r="AB47" s="367">
        <v>-75</v>
      </c>
      <c r="AC47" s="224"/>
      <c r="AD47" s="987"/>
      <c r="AE47" s="987"/>
      <c r="AF47" s="367">
        <v>-100</v>
      </c>
      <c r="AG47" s="985"/>
      <c r="AH47" s="987"/>
      <c r="AI47" s="987"/>
      <c r="AJ47" s="367">
        <v>-53</v>
      </c>
      <c r="AK47" s="367"/>
      <c r="AL47" s="367"/>
      <c r="AM47" s="367"/>
      <c r="AN47" s="367">
        <v>-29</v>
      </c>
      <c r="AO47" s="985"/>
      <c r="AP47" s="367"/>
      <c r="AQ47" s="367"/>
      <c r="AR47" s="367">
        <v>-5</v>
      </c>
      <c r="AS47" s="987"/>
      <c r="AT47" s="987"/>
      <c r="AU47" s="987"/>
      <c r="AV47" s="367">
        <v>-20</v>
      </c>
      <c r="AW47" s="988"/>
      <c r="AX47" s="987"/>
      <c r="AY47" s="987"/>
      <c r="AZ47" s="367">
        <v>2</v>
      </c>
      <c r="BA47" s="367"/>
      <c r="BB47" s="987"/>
      <c r="BC47" s="987"/>
      <c r="BD47" s="367">
        <v>-38</v>
      </c>
      <c r="BE47" s="988"/>
      <c r="BF47" s="987"/>
      <c r="BG47" s="987"/>
      <c r="BH47" s="367">
        <v>-3</v>
      </c>
      <c r="BI47" s="367"/>
      <c r="BJ47" s="987"/>
      <c r="BK47" s="987"/>
      <c r="BL47" s="367">
        <v>-77</v>
      </c>
      <c r="BM47" s="988"/>
      <c r="BN47" s="987"/>
      <c r="BO47" s="987"/>
      <c r="BP47" s="367">
        <v>-17</v>
      </c>
      <c r="BQ47" s="367"/>
      <c r="BR47" s="367"/>
      <c r="BS47" s="367"/>
      <c r="BT47" s="367">
        <v>-45</v>
      </c>
      <c r="BU47" s="988"/>
      <c r="BV47" s="987"/>
      <c r="BW47" s="987"/>
      <c r="BX47" s="367">
        <v>6</v>
      </c>
      <c r="BY47" s="367"/>
      <c r="BZ47" s="987"/>
      <c r="CA47" s="987"/>
      <c r="CB47" s="367">
        <v>-25</v>
      </c>
      <c r="CC47" s="988"/>
      <c r="CD47" s="987"/>
      <c r="CE47" s="987"/>
      <c r="CF47" s="367">
        <v>-5</v>
      </c>
      <c r="CG47" s="367"/>
      <c r="CH47" s="987"/>
      <c r="CI47" s="987"/>
      <c r="CJ47" s="367">
        <v>-15</v>
      </c>
      <c r="CK47" s="1149">
        <f>INDEX('Income Statement'!22:22, MATCH('Interim (New)'!CK$1,'Income Statement'!$3:$3,0))</f>
        <v>-20</v>
      </c>
      <c r="CL47" s="987"/>
      <c r="CM47" s="987"/>
      <c r="CN47" s="367">
        <v>-5</v>
      </c>
      <c r="CO47" s="367"/>
      <c r="CP47" s="367"/>
      <c r="CQ47" s="367"/>
      <c r="CR47" s="367">
        <v>-31</v>
      </c>
      <c r="CS47" s="1149">
        <f>INDEX('Income Statement'!22:22, MATCH('Interim (New)'!CS$1,'Income Statement'!$3:$3,0))</f>
        <v>-36</v>
      </c>
      <c r="CT47" s="987"/>
      <c r="CU47" s="987"/>
      <c r="CV47" s="367">
        <v>-20</v>
      </c>
      <c r="CW47" s="367"/>
      <c r="CX47" s="987"/>
      <c r="CY47" s="987"/>
      <c r="CZ47" s="367">
        <v>-80</v>
      </c>
      <c r="DA47" s="1149">
        <f>INDEX('Income Statement'!22:22, MATCH('Interim (New)'!DA$1,'Income Statement'!$3:$3,0))</f>
        <v>-100</v>
      </c>
      <c r="DB47" s="987"/>
      <c r="DC47" s="987"/>
      <c r="DD47" s="367">
        <v>22</v>
      </c>
      <c r="DE47" s="367"/>
      <c r="DF47" s="987"/>
      <c r="DG47" s="987"/>
      <c r="DH47" s="367">
        <v>-47</v>
      </c>
      <c r="DI47" s="1149">
        <f>INDEX('Income Statement'!22:22, MATCH('Interim (New)'!DI$1,'Income Statement'!$3:$3,0))</f>
        <v>-25</v>
      </c>
      <c r="DL47" s="367">
        <v>22</v>
      </c>
      <c r="DP47" s="1158">
        <f t="shared" si="348"/>
        <v>-50.87997274159224</v>
      </c>
      <c r="DQ47" s="1149">
        <f>INDEX('Income Statement'!22:22, MATCH('Interim (New)'!DQ$1,'Income Statement'!$3:$3,0))</f>
        <v>-28.879972741592237</v>
      </c>
      <c r="DR47"/>
      <c r="DT47" s="1158">
        <v>22</v>
      </c>
      <c r="DX47" s="1158">
        <f>DY47-DT47</f>
        <v>-54.629618715037537</v>
      </c>
      <c r="DY47" s="1149">
        <f>INDEX('Income Statement'!22:22, MATCH('Interim (New)'!DY$1,'Income Statement'!$3:$3,0))</f>
        <v>-32.629618715037537</v>
      </c>
      <c r="EM47" s="1419"/>
    </row>
    <row r="48" spans="1:143" ht="14.25" hidden="1" customHeight="1" outlineLevel="1">
      <c r="A48" s="19" t="s">
        <v>897</v>
      </c>
      <c r="B48" s="986"/>
      <c r="C48" s="987"/>
      <c r="D48" s="987"/>
      <c r="E48" s="987"/>
      <c r="F48" s="987"/>
      <c r="G48" s="987"/>
      <c r="H48" s="987"/>
      <c r="I48" s="988"/>
      <c r="J48" s="987"/>
      <c r="K48" s="987"/>
      <c r="L48" s="987"/>
      <c r="M48" s="987"/>
      <c r="N48" s="987"/>
      <c r="O48" s="987"/>
      <c r="P48" s="987"/>
      <c r="Q48" s="988"/>
      <c r="R48" s="987"/>
      <c r="S48" s="987"/>
      <c r="T48" s="987"/>
      <c r="U48" s="987"/>
      <c r="V48" s="987"/>
      <c r="W48" s="987"/>
      <c r="X48" s="987"/>
      <c r="Y48" s="985"/>
      <c r="Z48" s="987"/>
      <c r="AA48" s="987"/>
      <c r="AB48" s="987"/>
      <c r="AC48" s="987"/>
      <c r="AD48" s="987"/>
      <c r="AE48" s="987"/>
      <c r="AF48" s="987"/>
      <c r="AG48" s="985"/>
      <c r="AH48" s="987"/>
      <c r="AI48" s="987"/>
      <c r="AJ48" s="987"/>
      <c r="AK48" s="987"/>
      <c r="AL48" s="987"/>
      <c r="AM48" s="987"/>
      <c r="AN48" s="987"/>
      <c r="AO48" s="985"/>
      <c r="AP48" s="987"/>
      <c r="AQ48" s="987"/>
      <c r="AR48" s="987"/>
      <c r="AS48" s="987"/>
      <c r="AT48" s="987"/>
      <c r="AU48" s="987"/>
      <c r="AV48" s="987"/>
      <c r="AW48" s="988"/>
      <c r="AX48" s="987"/>
      <c r="AY48" s="987"/>
      <c r="AZ48" s="987"/>
      <c r="BA48" s="987"/>
      <c r="BB48" s="987"/>
      <c r="BC48" s="987"/>
      <c r="BD48" s="987"/>
      <c r="BE48" s="988"/>
      <c r="BF48" s="987"/>
      <c r="BG48" s="987"/>
      <c r="BH48" s="987"/>
      <c r="BI48" s="987"/>
      <c r="BJ48" s="987"/>
      <c r="BK48" s="987"/>
      <c r="BL48" s="987"/>
      <c r="BM48" s="988"/>
      <c r="BN48" s="987"/>
      <c r="BO48" s="987"/>
      <c r="BP48" s="987"/>
      <c r="BQ48" s="987"/>
      <c r="BR48" s="987"/>
      <c r="BS48" s="987"/>
      <c r="BT48" s="987"/>
      <c r="BU48" s="988"/>
      <c r="BV48" s="987"/>
      <c r="BW48" s="987"/>
      <c r="BX48" s="987"/>
      <c r="BY48" s="987"/>
      <c r="BZ48" s="987"/>
      <c r="CA48" s="987"/>
      <c r="CB48" s="987"/>
      <c r="CC48" s="988"/>
      <c r="CD48" s="987"/>
      <c r="CE48" s="987"/>
      <c r="CF48" s="987"/>
      <c r="CG48" s="987"/>
      <c r="CH48" s="987"/>
      <c r="CI48" s="987"/>
      <c r="CJ48" s="987"/>
      <c r="CK48" s="1150"/>
      <c r="CL48" s="987"/>
      <c r="CM48" s="987"/>
      <c r="CN48" s="987"/>
      <c r="CO48" s="987"/>
      <c r="CP48" s="987"/>
      <c r="CQ48" s="987"/>
      <c r="CR48" s="987"/>
      <c r="CS48" s="1150"/>
      <c r="CT48" s="987"/>
      <c r="CU48" s="987"/>
      <c r="CV48" s="987"/>
      <c r="CW48" s="987"/>
      <c r="CX48" s="987"/>
      <c r="CY48" s="987"/>
      <c r="CZ48" s="987"/>
      <c r="DA48" s="1150"/>
      <c r="DB48" s="987"/>
      <c r="DC48" s="987"/>
      <c r="DD48" s="987"/>
      <c r="DE48" s="987"/>
      <c r="DF48" s="987"/>
      <c r="DG48" s="987"/>
      <c r="DH48" s="987"/>
      <c r="DI48" s="1150"/>
      <c r="DQ48" s="1150"/>
      <c r="DR48"/>
      <c r="DT48" s="987"/>
      <c r="DY48" s="1150"/>
      <c r="EM48" s="1419"/>
    </row>
    <row r="49" spans="1:143" ht="14.25" hidden="1" customHeight="1" outlineLevel="1">
      <c r="A49" s="19" t="s">
        <v>743</v>
      </c>
      <c r="B49" s="986"/>
      <c r="C49" s="987"/>
      <c r="D49" s="987"/>
      <c r="E49" s="987"/>
      <c r="F49" s="987"/>
      <c r="G49" s="987"/>
      <c r="H49" s="987"/>
      <c r="I49" s="988"/>
      <c r="J49" s="987"/>
      <c r="K49" s="987"/>
      <c r="L49" s="987"/>
      <c r="M49" s="987"/>
      <c r="N49" s="987"/>
      <c r="O49" s="987"/>
      <c r="P49" s="987"/>
      <c r="Q49" s="988"/>
      <c r="R49" s="987"/>
      <c r="S49" s="987"/>
      <c r="T49" s="987"/>
      <c r="U49" s="987"/>
      <c r="V49" s="987"/>
      <c r="W49" s="987"/>
      <c r="X49" s="987"/>
      <c r="Y49" s="985"/>
      <c r="Z49" s="987"/>
      <c r="AA49" s="987"/>
      <c r="AB49" s="987"/>
      <c r="AC49" s="987"/>
      <c r="AD49" s="987"/>
      <c r="AE49" s="987"/>
      <c r="AF49" s="987"/>
      <c r="AG49" s="985"/>
      <c r="AH49" s="987"/>
      <c r="AI49" s="987"/>
      <c r="AJ49" s="987"/>
      <c r="AK49" s="987"/>
      <c r="AL49" s="987"/>
      <c r="AM49" s="987"/>
      <c r="AN49" s="987"/>
      <c r="AO49" s="985"/>
      <c r="AP49" s="987"/>
      <c r="AQ49" s="987"/>
      <c r="AR49" s="987"/>
      <c r="AS49" s="987"/>
      <c r="AT49" s="987"/>
      <c r="AU49" s="987"/>
      <c r="AV49" s="987"/>
      <c r="AW49" s="988"/>
      <c r="AX49" s="987"/>
      <c r="AY49" s="987"/>
      <c r="AZ49" s="987"/>
      <c r="BA49" s="987"/>
      <c r="BB49" s="987"/>
      <c r="BC49" s="987"/>
      <c r="BD49" s="987"/>
      <c r="BE49" s="988"/>
      <c r="BF49" s="987"/>
      <c r="BG49" s="987"/>
      <c r="BH49" s="987"/>
      <c r="BI49" s="987"/>
      <c r="BJ49" s="987"/>
      <c r="BK49" s="987"/>
      <c r="BL49" s="987"/>
      <c r="BM49" s="988"/>
      <c r="BN49" s="987"/>
      <c r="BO49" s="987"/>
      <c r="BP49" s="987"/>
      <c r="BQ49" s="987"/>
      <c r="BR49" s="987"/>
      <c r="BS49" s="987"/>
      <c r="BT49" s="987"/>
      <c r="BU49" s="988"/>
      <c r="BV49" s="987"/>
      <c r="BW49" s="987"/>
      <c r="BX49" s="987"/>
      <c r="BY49" s="987"/>
      <c r="BZ49" s="987"/>
      <c r="CA49" s="987"/>
      <c r="CB49" s="987"/>
      <c r="CC49" s="988"/>
      <c r="CD49" s="987"/>
      <c r="CE49" s="987"/>
      <c r="CF49" s="987"/>
      <c r="CG49" s="987"/>
      <c r="CH49" s="987"/>
      <c r="CI49" s="987"/>
      <c r="CJ49" s="987"/>
      <c r="CK49" s="1151"/>
      <c r="CL49" s="987"/>
      <c r="CM49" s="987"/>
      <c r="CN49" s="987"/>
      <c r="CO49" s="987"/>
      <c r="CP49" s="987"/>
      <c r="CQ49" s="987"/>
      <c r="CR49" s="987"/>
      <c r="CS49" s="1151"/>
      <c r="CT49" s="987"/>
      <c r="CU49" s="987"/>
      <c r="CV49" s="987"/>
      <c r="CW49" s="987"/>
      <c r="CX49" s="987"/>
      <c r="CY49" s="987"/>
      <c r="CZ49" s="987"/>
      <c r="DA49" s="1151"/>
      <c r="DB49" s="987"/>
      <c r="DC49" s="987"/>
      <c r="DD49" s="987"/>
      <c r="DE49" s="987"/>
      <c r="DF49" s="987"/>
      <c r="DG49" s="987"/>
      <c r="DH49" s="987"/>
      <c r="DI49" s="1151"/>
      <c r="DQ49" s="1151"/>
      <c r="DR49"/>
      <c r="DT49" s="987"/>
      <c r="DY49" s="1151"/>
      <c r="EM49" s="1419"/>
    </row>
    <row r="50" spans="1:143" s="276" customFormat="1" ht="11.25" collapsed="1">
      <c r="A50" s="967" t="s">
        <v>916</v>
      </c>
      <c r="B50" s="968"/>
      <c r="C50" s="969"/>
      <c r="D50" s="969">
        <f>SUM(D40:D47)</f>
        <v>554</v>
      </c>
      <c r="E50" s="969"/>
      <c r="F50" s="969"/>
      <c r="G50" s="969"/>
      <c r="H50" s="969">
        <f t="shared" ref="H50:AF50" si="351">SUM(H40:H47)</f>
        <v>635</v>
      </c>
      <c r="I50" s="969"/>
      <c r="J50" s="969"/>
      <c r="K50" s="969"/>
      <c r="L50" s="969">
        <f t="shared" si="351"/>
        <v>681</v>
      </c>
      <c r="M50" s="969"/>
      <c r="N50" s="969"/>
      <c r="O50" s="969"/>
      <c r="P50" s="969">
        <f t="shared" si="351"/>
        <v>763</v>
      </c>
      <c r="Q50" s="969"/>
      <c r="R50" s="969"/>
      <c r="S50" s="969"/>
      <c r="T50" s="969">
        <f t="shared" si="351"/>
        <v>847</v>
      </c>
      <c r="U50" s="969"/>
      <c r="V50" s="969"/>
      <c r="W50" s="969"/>
      <c r="X50" s="969">
        <f t="shared" si="351"/>
        <v>933</v>
      </c>
      <c r="Y50" s="970"/>
      <c r="Z50" s="969"/>
      <c r="AA50" s="969"/>
      <c r="AB50" s="969">
        <f t="shared" si="351"/>
        <v>956</v>
      </c>
      <c r="AC50" s="969"/>
      <c r="AD50" s="969"/>
      <c r="AE50" s="969"/>
      <c r="AF50" s="969">
        <f t="shared" si="351"/>
        <v>1133</v>
      </c>
      <c r="AG50" s="970"/>
      <c r="AH50" s="969"/>
      <c r="AI50" s="969"/>
      <c r="AJ50" s="969">
        <f>SUM(AJ40:AJ47)</f>
        <v>1171</v>
      </c>
      <c r="AK50" s="969"/>
      <c r="AL50" s="969"/>
      <c r="AM50" s="969"/>
      <c r="AN50" s="969">
        <f>SUM(AN40:AN47)</f>
        <v>1261</v>
      </c>
      <c r="AO50" s="970"/>
      <c r="AP50" s="969"/>
      <c r="AQ50" s="969"/>
      <c r="AR50" s="969">
        <f>SUM(AR40:AR47)</f>
        <v>1309</v>
      </c>
      <c r="AS50" s="969"/>
      <c r="AT50" s="969"/>
      <c r="AU50" s="969"/>
      <c r="AV50" s="969">
        <f>SUM(AV40:AV47)</f>
        <v>1095</v>
      </c>
      <c r="AW50" s="970"/>
      <c r="AX50" s="969"/>
      <c r="AY50" s="969"/>
      <c r="AZ50" s="969">
        <f>SUM(AZ40:AZ47)</f>
        <v>1218</v>
      </c>
      <c r="BA50" s="969"/>
      <c r="BB50" s="969"/>
      <c r="BC50" s="969"/>
      <c r="BD50" s="969">
        <f>SUM(BD40:BD47)</f>
        <v>974</v>
      </c>
      <c r="BE50" s="970"/>
      <c r="BF50" s="969"/>
      <c r="BG50" s="969"/>
      <c r="BH50" s="969">
        <f>SUM(BH40:BH47)</f>
        <v>1828</v>
      </c>
      <c r="BI50" s="969"/>
      <c r="BJ50" s="969"/>
      <c r="BK50" s="969"/>
      <c r="BL50" s="969">
        <f>SUM(BL40:BL47)</f>
        <v>2187</v>
      </c>
      <c r="BM50" s="970"/>
      <c r="BN50" s="969"/>
      <c r="BO50" s="969"/>
      <c r="BP50" s="969">
        <f>SUM(BP40:BP47)</f>
        <v>1883</v>
      </c>
      <c r="BQ50" s="969"/>
      <c r="BR50" s="969"/>
      <c r="BS50" s="969"/>
      <c r="BT50" s="969">
        <f>SUM(BT40:BT47)</f>
        <v>1937</v>
      </c>
      <c r="BU50" s="970"/>
      <c r="BV50" s="969"/>
      <c r="BW50" s="969"/>
      <c r="BX50" s="969">
        <f>SUM(BX40:BX47)</f>
        <v>947</v>
      </c>
      <c r="BY50" s="969"/>
      <c r="BZ50" s="969"/>
      <c r="CA50" s="969"/>
      <c r="CB50" s="969">
        <f>SUM(CB40:CB47)</f>
        <v>739</v>
      </c>
      <c r="CC50" s="970"/>
      <c r="CD50" s="969"/>
      <c r="CE50" s="969"/>
      <c r="CF50" s="969">
        <f>SUM(CF40:CF47)</f>
        <v>659</v>
      </c>
      <c r="CG50" s="969"/>
      <c r="CH50" s="969"/>
      <c r="CI50" s="969"/>
      <c r="CJ50" s="969">
        <f>SUM(CJ40:CJ47)</f>
        <v>1146</v>
      </c>
      <c r="CK50" s="1152">
        <f>INDEX('Income Statement'!23:23, MATCH('Interim (New)'!CK$1,'Income Statement'!$3:$3,0))</f>
        <v>1805</v>
      </c>
      <c r="CL50" s="969"/>
      <c r="CM50" s="969"/>
      <c r="CN50" s="969">
        <f>SUM(CN40:CN47)</f>
        <v>1047</v>
      </c>
      <c r="CO50" s="969"/>
      <c r="CP50" s="969"/>
      <c r="CQ50" s="969"/>
      <c r="CR50" s="969">
        <f>SUM(CR40:CR47)</f>
        <v>1361</v>
      </c>
      <c r="CS50" s="1152">
        <f>INDEX('Income Statement'!23:23, MATCH('Interim (New)'!CS$1,'Income Statement'!$3:$3,0))</f>
        <v>2408</v>
      </c>
      <c r="CT50" s="969"/>
      <c r="CU50" s="969"/>
      <c r="CV50" s="969">
        <f>SUM(CV40:CV47)</f>
        <v>1397</v>
      </c>
      <c r="CW50" s="969"/>
      <c r="CX50" s="969"/>
      <c r="CY50" s="969"/>
      <c r="CZ50" s="969">
        <f>SUM(CZ40:CZ47)</f>
        <v>1769</v>
      </c>
      <c r="DA50" s="1152">
        <f>INDEX('Income Statement'!23:23, MATCH('Interim (New)'!DA$1,'Income Statement'!$3:$3,0))</f>
        <v>3166</v>
      </c>
      <c r="DB50" s="969"/>
      <c r="DC50" s="969"/>
      <c r="DD50" s="969">
        <f>SUM(DD40:DD47)</f>
        <v>1974</v>
      </c>
      <c r="DE50" s="969"/>
      <c r="DF50" s="969"/>
      <c r="DG50" s="969"/>
      <c r="DH50" s="969">
        <f>SUM(DH40:DH47)</f>
        <v>2145</v>
      </c>
      <c r="DI50" s="1152">
        <f>INDEX('Income Statement'!23:23, MATCH('Interim (New)'!DI$1,'Income Statement'!$3:$3,0))</f>
        <v>4119</v>
      </c>
      <c r="DJ50" s="969"/>
      <c r="DK50" s="969"/>
      <c r="DL50" s="969">
        <f>SUM(DL40:DL47)</f>
        <v>2510</v>
      </c>
      <c r="DM50" s="969"/>
      <c r="DN50" s="969"/>
      <c r="DO50" s="969"/>
      <c r="DP50" s="969">
        <f>SUM(DP40:DP47)</f>
        <v>2707.0942807667534</v>
      </c>
      <c r="DQ50" s="1152">
        <f>INDEX('Income Statement'!23:23, MATCH('Interim (New)'!DQ$1,'Income Statement'!$3:$3,0))</f>
        <v>5217.0942807667525</v>
      </c>
      <c r="DR50" s="969"/>
      <c r="DS50" s="969"/>
      <c r="DT50" s="969">
        <f>DT40+DT44+DT45+DT47</f>
        <v>2918.3756902632822</v>
      </c>
      <c r="DU50" s="969"/>
      <c r="DV50" s="969"/>
      <c r="DW50" s="969"/>
      <c r="DX50" s="969">
        <f>DY50-DT50</f>
        <v>3224.9880961558447</v>
      </c>
      <c r="DY50" s="1152">
        <f>INDEX('Income Statement'!23:23, MATCH('Interim (New)'!DY$1,'Income Statement'!$3:$3,0))</f>
        <v>6143.3637864191269</v>
      </c>
      <c r="DZ50" s="969"/>
      <c r="EA50" s="969"/>
      <c r="EB50" s="969"/>
      <c r="EC50" s="969"/>
      <c r="ED50" s="969"/>
      <c r="EE50" s="969"/>
      <c r="EF50" s="969"/>
      <c r="EG50" s="1148"/>
      <c r="EM50" s="1419"/>
    </row>
    <row r="51" spans="1:143">
      <c r="A51" s="180"/>
      <c r="B51" s="986"/>
      <c r="C51" s="987"/>
      <c r="D51" s="987"/>
      <c r="E51" s="987"/>
      <c r="F51" s="987"/>
      <c r="G51" s="987"/>
      <c r="H51" s="987"/>
      <c r="I51" s="988"/>
      <c r="J51" s="987"/>
      <c r="K51" s="987"/>
      <c r="L51" s="987"/>
      <c r="M51" s="987"/>
      <c r="N51" s="987"/>
      <c r="O51" s="987"/>
      <c r="P51" s="987"/>
      <c r="Q51" s="988"/>
      <c r="R51" s="987"/>
      <c r="S51" s="987"/>
      <c r="T51" s="987"/>
      <c r="U51" s="987"/>
      <c r="V51" s="987"/>
      <c r="W51" s="987"/>
      <c r="X51" s="987"/>
      <c r="Y51" s="988"/>
      <c r="Z51" s="987"/>
      <c r="AA51" s="987"/>
      <c r="AB51" s="987"/>
      <c r="AC51" s="987"/>
      <c r="AD51" s="987"/>
      <c r="AE51" s="987"/>
      <c r="AF51" s="987"/>
      <c r="AG51" s="988"/>
      <c r="AH51" s="987"/>
      <c r="AI51" s="987"/>
      <c r="AJ51" s="987"/>
      <c r="AK51" s="987"/>
      <c r="AL51" s="987"/>
      <c r="AM51" s="987"/>
      <c r="AN51" s="987"/>
      <c r="AO51" s="988"/>
      <c r="AP51" s="987"/>
      <c r="AQ51" s="987"/>
      <c r="AR51" s="987"/>
      <c r="AS51" s="987"/>
      <c r="AT51" s="987"/>
      <c r="AU51" s="987"/>
      <c r="AV51" s="987"/>
      <c r="AW51" s="988"/>
      <c r="AX51" s="987"/>
      <c r="AY51" s="987"/>
      <c r="AZ51" s="987"/>
      <c r="BA51" s="987"/>
      <c r="BB51" s="987"/>
      <c r="BC51" s="987"/>
      <c r="BD51" s="987"/>
      <c r="BE51" s="988"/>
      <c r="BF51" s="987"/>
      <c r="BG51" s="987"/>
      <c r="BH51" s="987"/>
      <c r="BI51" s="987"/>
      <c r="BJ51" s="987"/>
      <c r="BK51" s="987"/>
      <c r="BL51" s="987"/>
      <c r="BM51" s="988"/>
      <c r="BN51" s="987"/>
      <c r="BO51" s="987"/>
      <c r="BP51" s="987"/>
      <c r="BQ51" s="987"/>
      <c r="BR51" s="987"/>
      <c r="BS51" s="987"/>
      <c r="BT51" s="987"/>
      <c r="BU51" s="988"/>
      <c r="BV51" s="987"/>
      <c r="BW51" s="987"/>
      <c r="BX51" s="987"/>
      <c r="BY51" s="987"/>
      <c r="BZ51" s="987"/>
      <c r="CA51" s="987"/>
      <c r="CB51" s="987"/>
      <c r="CC51" s="988"/>
      <c r="CD51" s="987"/>
      <c r="CE51" s="987"/>
      <c r="CF51" s="987"/>
      <c r="CG51" s="987"/>
      <c r="CH51" s="987"/>
      <c r="CI51" s="987"/>
      <c r="CJ51" s="987"/>
      <c r="CK51" s="988"/>
      <c r="CL51" s="987"/>
      <c r="CM51" s="987"/>
      <c r="CN51" s="987"/>
      <c r="CO51" s="987"/>
      <c r="CP51" s="987"/>
      <c r="CQ51" s="987"/>
      <c r="CR51" s="987"/>
      <c r="CS51" s="988"/>
      <c r="CT51" s="987"/>
      <c r="CU51" s="987"/>
      <c r="CV51" s="987"/>
      <c r="CW51" s="987"/>
      <c r="CX51" s="987"/>
      <c r="CY51" s="987"/>
      <c r="CZ51" s="987"/>
      <c r="DA51" s="988"/>
      <c r="DB51" s="987"/>
      <c r="DC51" s="987"/>
      <c r="DD51" s="987"/>
      <c r="DE51" s="987"/>
      <c r="DF51" s="987"/>
      <c r="DG51" s="987"/>
      <c r="DH51" s="987"/>
      <c r="DI51" s="988"/>
      <c r="DR51"/>
      <c r="DT51" s="987"/>
      <c r="EM51" s="1419"/>
    </row>
    <row r="52" spans="1:143">
      <c r="A52" s="258" t="s">
        <v>1224</v>
      </c>
      <c r="B52" s="989"/>
      <c r="C52" s="990"/>
      <c r="D52" s="990"/>
      <c r="E52" s="990"/>
      <c r="F52" s="990"/>
      <c r="G52" s="990"/>
      <c r="H52" s="990"/>
      <c r="I52" s="991"/>
      <c r="J52" s="990"/>
      <c r="K52" s="990"/>
      <c r="L52" s="990"/>
      <c r="M52" s="990"/>
      <c r="N52" s="990"/>
      <c r="O52" s="990"/>
      <c r="P52" s="990"/>
      <c r="Q52" s="991"/>
      <c r="R52" s="990"/>
      <c r="S52" s="990"/>
      <c r="T52" s="990"/>
      <c r="U52" s="990"/>
      <c r="V52" s="990"/>
      <c r="W52" s="990"/>
      <c r="X52" s="990"/>
      <c r="Y52" s="991"/>
      <c r="Z52" s="990"/>
      <c r="AA52" s="990"/>
      <c r="AB52" s="990"/>
      <c r="AC52" s="990"/>
      <c r="AD52" s="990"/>
      <c r="AE52" s="990"/>
      <c r="AF52" s="990"/>
      <c r="AG52" s="991"/>
      <c r="AH52" s="990"/>
      <c r="AI52" s="990"/>
      <c r="AJ52" s="990"/>
      <c r="AK52" s="990"/>
      <c r="AL52" s="990"/>
      <c r="AM52" s="990"/>
      <c r="AN52" s="990"/>
      <c r="AO52" s="991"/>
      <c r="AP52" s="990"/>
      <c r="AQ52" s="990"/>
      <c r="AR52" s="990"/>
      <c r="AS52" s="990"/>
      <c r="AT52" s="990"/>
      <c r="AU52" s="990"/>
      <c r="AV52" s="990"/>
      <c r="AW52" s="991"/>
      <c r="AX52" s="990"/>
      <c r="AY52" s="990"/>
      <c r="AZ52" s="990"/>
      <c r="BA52" s="990"/>
      <c r="BB52" s="990"/>
      <c r="BC52" s="990"/>
      <c r="BD52" s="990"/>
      <c r="BE52" s="991"/>
      <c r="BF52" s="990"/>
      <c r="BG52" s="990"/>
      <c r="BH52" s="990"/>
      <c r="BI52" s="990"/>
      <c r="BJ52" s="990"/>
      <c r="BK52" s="990"/>
      <c r="BL52" s="990"/>
      <c r="BM52" s="991"/>
      <c r="BN52" s="990"/>
      <c r="BO52" s="990"/>
      <c r="BP52" s="990"/>
      <c r="BQ52" s="990"/>
      <c r="BR52" s="990"/>
      <c r="BS52" s="990"/>
      <c r="BT52" s="990"/>
      <c r="BU52" s="991"/>
      <c r="BV52" s="990"/>
      <c r="BW52" s="990"/>
      <c r="BX52" s="990"/>
      <c r="BY52" s="990"/>
      <c r="BZ52" s="990"/>
      <c r="CA52" s="990"/>
      <c r="CB52" s="990"/>
      <c r="CC52" s="991"/>
      <c r="CD52" s="990"/>
      <c r="CE52" s="990"/>
      <c r="CF52" s="990"/>
      <c r="CG52" s="990"/>
      <c r="CH52" s="990"/>
      <c r="CI52" s="990"/>
      <c r="CJ52" s="990"/>
      <c r="CK52" s="991"/>
      <c r="CL52" s="990"/>
      <c r="CM52" s="990"/>
      <c r="CN52" s="990"/>
      <c r="CO52" s="990"/>
      <c r="CP52" s="990"/>
      <c r="CQ52" s="990"/>
      <c r="CR52" s="990"/>
      <c r="CS52" s="991"/>
      <c r="CT52" s="990"/>
      <c r="CU52" s="990"/>
      <c r="CV52" s="990"/>
      <c r="CW52" s="990"/>
      <c r="CX52" s="990"/>
      <c r="CY52" s="990"/>
      <c r="CZ52" s="990"/>
      <c r="DA52" s="991"/>
      <c r="DB52" s="990"/>
      <c r="DC52" s="990"/>
      <c r="DD52" s="990"/>
      <c r="DE52" s="990"/>
      <c r="DF52" s="990"/>
      <c r="DG52" s="990"/>
      <c r="DH52" s="990"/>
      <c r="DI52" s="991"/>
      <c r="DJ52" s="258"/>
      <c r="DK52" s="258"/>
      <c r="DL52" s="990"/>
      <c r="DM52" s="258"/>
      <c r="DN52" s="258"/>
      <c r="DO52" s="258"/>
      <c r="DP52" s="258"/>
      <c r="DQ52" s="965"/>
      <c r="DR52" s="258"/>
      <c r="DS52" s="258"/>
      <c r="DT52" s="990"/>
      <c r="DU52" s="258"/>
      <c r="DV52" s="258"/>
      <c r="DW52" s="258"/>
      <c r="DX52" s="258"/>
      <c r="DY52" s="965"/>
      <c r="DZ52" s="258"/>
      <c r="EA52" s="258"/>
      <c r="EB52" s="258"/>
      <c r="EC52" s="258"/>
      <c r="ED52" s="258"/>
      <c r="EE52" s="258"/>
      <c r="EF52" s="258"/>
      <c r="EG52" s="965"/>
      <c r="EM52" s="1419"/>
    </row>
    <row r="53" spans="1:143">
      <c r="A53" s="19" t="s">
        <v>900</v>
      </c>
      <c r="B53" s="986"/>
      <c r="C53" s="987"/>
      <c r="D53" s="987"/>
      <c r="E53" s="987"/>
      <c r="F53" s="987"/>
      <c r="G53" s="987"/>
      <c r="H53" s="987"/>
      <c r="I53" s="988"/>
      <c r="J53" s="987"/>
      <c r="K53" s="987"/>
      <c r="L53" s="987"/>
      <c r="M53" s="987"/>
      <c r="N53" s="987"/>
      <c r="O53" s="987"/>
      <c r="P53" s="987"/>
      <c r="Q53" s="988"/>
      <c r="R53" s="987"/>
      <c r="S53" s="987"/>
      <c r="T53" s="987"/>
      <c r="U53" s="987"/>
      <c r="V53" s="987"/>
      <c r="W53" s="987"/>
      <c r="X53" s="987"/>
      <c r="Y53" s="988"/>
      <c r="Z53" s="987"/>
      <c r="AA53" s="987"/>
      <c r="AB53" s="987"/>
      <c r="AC53" s="987"/>
      <c r="AD53" s="987"/>
      <c r="AE53" s="987"/>
      <c r="AF53" s="987"/>
      <c r="AG53" s="988"/>
      <c r="AH53" s="987"/>
      <c r="AI53" s="987"/>
      <c r="AJ53" s="987"/>
      <c r="AK53" s="987"/>
      <c r="AL53" s="987"/>
      <c r="AM53" s="987"/>
      <c r="AN53" s="987"/>
      <c r="AO53" s="988"/>
      <c r="AP53" s="987"/>
      <c r="AQ53" s="987"/>
      <c r="AR53" s="987"/>
      <c r="AS53" s="987"/>
      <c r="AT53" s="987"/>
      <c r="AU53" s="987"/>
      <c r="AV53" s="987"/>
      <c r="AW53" s="988"/>
      <c r="AX53" s="987"/>
      <c r="AY53" s="987"/>
      <c r="AZ53" s="987"/>
      <c r="BA53" s="987"/>
      <c r="BB53" s="987"/>
      <c r="BC53" s="987"/>
      <c r="BD53" s="987"/>
      <c r="BE53" s="988"/>
      <c r="BF53" s="987"/>
      <c r="BG53" s="987"/>
      <c r="BH53" s="987"/>
      <c r="BI53" s="987"/>
      <c r="BJ53" s="987"/>
      <c r="BK53" s="987"/>
      <c r="BL53" s="987"/>
      <c r="BM53" s="988"/>
      <c r="BN53" s="987"/>
      <c r="BO53" s="987"/>
      <c r="BP53" s="987"/>
      <c r="BQ53" s="987"/>
      <c r="BR53" s="987"/>
      <c r="BS53" s="987"/>
      <c r="BT53" s="987"/>
      <c r="BU53" s="988"/>
      <c r="BV53" s="987"/>
      <c r="BW53" s="987"/>
      <c r="BX53" s="987"/>
      <c r="BY53" s="987"/>
      <c r="BZ53" s="987"/>
      <c r="CA53" s="987"/>
      <c r="CB53" s="987"/>
      <c r="CC53" s="988"/>
      <c r="CD53" s="987"/>
      <c r="CE53" s="987"/>
      <c r="CF53" s="1155">
        <f>CF40/CF6</f>
        <v>0.15512465373961218</v>
      </c>
      <c r="CG53" s="1015"/>
      <c r="CH53" s="1015"/>
      <c r="CI53" s="1015"/>
      <c r="CJ53" s="1155">
        <f>CJ40/CJ6</f>
        <v>0.2</v>
      </c>
      <c r="CK53" s="1156">
        <f>CK40/CK6</f>
        <v>0.1804005914773491</v>
      </c>
      <c r="CL53" s="1015"/>
      <c r="CM53" s="1015"/>
      <c r="CN53" s="1155">
        <f>CN40/CN6</f>
        <v>0.17313218390804597</v>
      </c>
      <c r="CO53" s="1015"/>
      <c r="CP53" s="1015"/>
      <c r="CQ53" s="1015"/>
      <c r="CR53" s="1155">
        <f>CR40/CR6</f>
        <v>0.18517823639774858</v>
      </c>
      <c r="CS53" s="1156">
        <f>CS40/CS6</f>
        <v>0.17988638754470859</v>
      </c>
      <c r="CT53" s="1015"/>
      <c r="CU53" s="1015"/>
      <c r="CV53" s="1155">
        <f>CV40/CV6</f>
        <v>0.18513299277787565</v>
      </c>
      <c r="CW53" s="1015"/>
      <c r="CX53" s="1015"/>
      <c r="CY53" s="1015"/>
      <c r="CZ53" s="1155">
        <f>CZ40/CZ6</f>
        <v>0.21600258106146153</v>
      </c>
      <c r="DA53" s="1156">
        <f>DA40/DA6</f>
        <v>0.20124621084540248</v>
      </c>
      <c r="DB53" s="1015"/>
      <c r="DC53" s="1015"/>
      <c r="DD53" s="1155">
        <f>DD40/DD6</f>
        <v>0.19888562142083269</v>
      </c>
      <c r="DE53" s="1015"/>
      <c r="DF53" s="1015"/>
      <c r="DG53" s="1015"/>
      <c r="DH53" s="1155">
        <f>DH40/DH6</f>
        <v>0.2133222083159505</v>
      </c>
      <c r="DI53" s="1156">
        <f>DI40/DI6</f>
        <v>0.20648989159097569</v>
      </c>
      <c r="DL53" s="1155">
        <f>DL40/DL6</f>
        <v>0.23312558016178225</v>
      </c>
      <c r="DM53" s="1015"/>
      <c r="DN53" s="1015"/>
      <c r="DO53" s="1015"/>
      <c r="DP53" s="1155">
        <f>DP40/DP6</f>
        <v>0.21887234476968348</v>
      </c>
      <c r="DQ53" s="1156">
        <f>DQ40/DQ6</f>
        <v>0.22566033823994469</v>
      </c>
      <c r="DR53"/>
      <c r="DT53" s="1155">
        <f>DT40/DT6</f>
        <v>0.2175920380800552</v>
      </c>
      <c r="DU53" s="1015"/>
      <c r="DV53" s="1015"/>
      <c r="DW53" s="1015"/>
      <c r="DX53" s="1155">
        <f>DX40/DX6</f>
        <v>0.23338647481704627</v>
      </c>
      <c r="DY53" s="1156">
        <f>DY40/DY6</f>
        <v>0.22591153665723823</v>
      </c>
      <c r="EM53" s="1419"/>
    </row>
    <row r="54" spans="1:143" ht="14.25" hidden="1" customHeight="1" outlineLevel="1">
      <c r="A54" s="249" t="s">
        <v>899</v>
      </c>
      <c r="B54" s="986"/>
      <c r="C54" s="987"/>
      <c r="D54" s="987"/>
      <c r="E54" s="987"/>
      <c r="F54" s="987"/>
      <c r="G54" s="987"/>
      <c r="H54" s="987"/>
      <c r="I54" s="988"/>
      <c r="J54" s="987"/>
      <c r="K54" s="987"/>
      <c r="L54" s="987"/>
      <c r="M54" s="987"/>
      <c r="N54" s="987"/>
      <c r="O54" s="987"/>
      <c r="P54" s="987"/>
      <c r="Q54" s="988"/>
      <c r="R54" s="987"/>
      <c r="S54" s="987"/>
      <c r="T54" s="987"/>
      <c r="U54" s="987"/>
      <c r="V54" s="987"/>
      <c r="W54" s="987"/>
      <c r="X54" s="987"/>
      <c r="Y54" s="988"/>
      <c r="Z54" s="987"/>
      <c r="AA54" s="987"/>
      <c r="AB54" s="987"/>
      <c r="AC54" s="987"/>
      <c r="AD54" s="987"/>
      <c r="AE54" s="987"/>
      <c r="AF54" s="987"/>
      <c r="AG54" s="988"/>
      <c r="AH54" s="987"/>
      <c r="AI54" s="987"/>
      <c r="AJ54" s="987"/>
      <c r="AK54" s="987"/>
      <c r="AL54" s="987"/>
      <c r="AM54" s="987"/>
      <c r="AN54" s="987"/>
      <c r="AO54" s="988"/>
      <c r="AP54" s="987"/>
      <c r="AQ54" s="987"/>
      <c r="AR54" s="987"/>
      <c r="AS54" s="987"/>
      <c r="AT54" s="987"/>
      <c r="AU54" s="987"/>
      <c r="AV54" s="987"/>
      <c r="AW54" s="988"/>
      <c r="AX54" s="987"/>
      <c r="AY54" s="987"/>
      <c r="AZ54" s="987"/>
      <c r="BA54" s="987"/>
      <c r="BB54" s="987"/>
      <c r="BC54" s="987"/>
      <c r="BD54" s="987"/>
      <c r="BE54" s="988"/>
      <c r="BF54" s="987"/>
      <c r="BG54" s="987"/>
      <c r="BH54" s="987"/>
      <c r="BI54" s="987"/>
      <c r="BJ54" s="987"/>
      <c r="BK54" s="987"/>
      <c r="BL54" s="987"/>
      <c r="BM54" s="988"/>
      <c r="BN54" s="987"/>
      <c r="BO54" s="987"/>
      <c r="BP54" s="987"/>
      <c r="BQ54" s="987"/>
      <c r="BR54" s="987"/>
      <c r="BS54" s="987"/>
      <c r="BT54" s="987"/>
      <c r="BU54" s="988"/>
      <c r="BV54" s="987"/>
      <c r="BW54" s="987"/>
      <c r="BX54" s="987"/>
      <c r="BY54" s="987"/>
      <c r="BZ54" s="987"/>
      <c r="CA54" s="987"/>
      <c r="CB54" s="987"/>
      <c r="CC54" s="988"/>
      <c r="CD54" s="987"/>
      <c r="CE54" s="987"/>
      <c r="CF54" s="1155"/>
      <c r="CG54" s="1015"/>
      <c r="CH54" s="1015"/>
      <c r="CI54" s="1015"/>
      <c r="CJ54" s="1155"/>
      <c r="CK54" s="1156"/>
      <c r="CL54" s="1015"/>
      <c r="CM54" s="1015"/>
      <c r="CN54" s="1155"/>
      <c r="CO54" s="1015"/>
      <c r="CP54" s="1015"/>
      <c r="CQ54" s="1015"/>
      <c r="CR54" s="1155"/>
      <c r="CS54" s="1156"/>
      <c r="CT54" s="1015"/>
      <c r="CU54" s="1015"/>
      <c r="CV54" s="1155"/>
      <c r="CW54" s="1015"/>
      <c r="CX54" s="1015"/>
      <c r="CY54" s="1015"/>
      <c r="CZ54" s="1155"/>
      <c r="DA54" s="1156"/>
      <c r="DB54" s="1015"/>
      <c r="DC54" s="1015"/>
      <c r="DD54" s="1155"/>
      <c r="DE54" s="1015"/>
      <c r="DF54" s="1015"/>
      <c r="DG54" s="1015"/>
      <c r="DH54" s="1155"/>
      <c r="DI54" s="1156"/>
      <c r="DL54" s="1155"/>
      <c r="DM54" s="1015"/>
      <c r="DN54" s="1015"/>
      <c r="DO54" s="1015"/>
      <c r="DP54" s="1155"/>
      <c r="DQ54" s="1156"/>
      <c r="DR54"/>
      <c r="DT54" s="1155"/>
      <c r="DU54" s="1015"/>
      <c r="DV54" s="1015"/>
      <c r="DW54" s="1015"/>
      <c r="DX54" s="1155"/>
      <c r="DY54" s="1156"/>
      <c r="EM54" s="1419"/>
    </row>
    <row r="55" spans="1:143" ht="14.25" hidden="1" customHeight="1" outlineLevel="1">
      <c r="A55" s="249" t="s">
        <v>744</v>
      </c>
      <c r="B55" s="986"/>
      <c r="C55" s="987"/>
      <c r="D55" s="987"/>
      <c r="E55" s="987"/>
      <c r="F55" s="987"/>
      <c r="G55" s="987"/>
      <c r="H55" s="987"/>
      <c r="I55" s="988"/>
      <c r="J55" s="987"/>
      <c r="K55" s="987"/>
      <c r="L55" s="987"/>
      <c r="M55" s="987"/>
      <c r="N55" s="987"/>
      <c r="O55" s="987"/>
      <c r="P55" s="987"/>
      <c r="Q55" s="988"/>
      <c r="R55" s="987"/>
      <c r="S55" s="987"/>
      <c r="T55" s="987"/>
      <c r="U55" s="987"/>
      <c r="V55" s="987"/>
      <c r="W55" s="987"/>
      <c r="X55" s="987"/>
      <c r="Y55" s="988"/>
      <c r="Z55" s="987"/>
      <c r="AA55" s="987"/>
      <c r="AB55" s="987"/>
      <c r="AC55" s="987"/>
      <c r="AD55" s="987"/>
      <c r="AE55" s="987"/>
      <c r="AF55" s="987"/>
      <c r="AG55" s="988"/>
      <c r="AH55" s="987"/>
      <c r="AI55" s="987"/>
      <c r="AJ55" s="987"/>
      <c r="AK55" s="987"/>
      <c r="AL55" s="987"/>
      <c r="AM55" s="987"/>
      <c r="AN55" s="987"/>
      <c r="AO55" s="988"/>
      <c r="AP55" s="987"/>
      <c r="AQ55" s="987"/>
      <c r="AR55" s="987"/>
      <c r="AS55" s="987"/>
      <c r="AT55" s="987"/>
      <c r="AU55" s="987"/>
      <c r="AV55" s="987"/>
      <c r="AW55" s="988"/>
      <c r="AX55" s="987"/>
      <c r="AY55" s="987"/>
      <c r="AZ55" s="987"/>
      <c r="BA55" s="987"/>
      <c r="BB55" s="987"/>
      <c r="BC55" s="987"/>
      <c r="BD55" s="987"/>
      <c r="BE55" s="988"/>
      <c r="BF55" s="987"/>
      <c r="BG55" s="987"/>
      <c r="BH55" s="987"/>
      <c r="BI55" s="987"/>
      <c r="BJ55" s="987"/>
      <c r="BK55" s="987"/>
      <c r="BL55" s="987"/>
      <c r="BM55" s="988"/>
      <c r="BN55" s="987"/>
      <c r="BO55" s="987"/>
      <c r="BP55" s="987"/>
      <c r="BQ55" s="987"/>
      <c r="BR55" s="987"/>
      <c r="BS55" s="987"/>
      <c r="BT55" s="987"/>
      <c r="BU55" s="988"/>
      <c r="BV55" s="987"/>
      <c r="BW55" s="987"/>
      <c r="BX55" s="987"/>
      <c r="BY55" s="987"/>
      <c r="BZ55" s="987"/>
      <c r="CA55" s="987"/>
      <c r="CB55" s="987"/>
      <c r="CC55" s="988"/>
      <c r="CD55" s="987"/>
      <c r="CE55" s="987"/>
      <c r="CF55" s="1155"/>
      <c r="CG55" s="1015"/>
      <c r="CH55" s="1015"/>
      <c r="CI55" s="1015"/>
      <c r="CJ55" s="1155"/>
      <c r="CK55" s="1156"/>
      <c r="CL55" s="1015"/>
      <c r="CM55" s="1015"/>
      <c r="CN55" s="1155"/>
      <c r="CO55" s="1015"/>
      <c r="CP55" s="1015"/>
      <c r="CQ55" s="1015"/>
      <c r="CR55" s="1155"/>
      <c r="CS55" s="1156"/>
      <c r="CT55" s="1015"/>
      <c r="CU55" s="1015"/>
      <c r="CV55" s="1155"/>
      <c r="CW55" s="1015"/>
      <c r="CX55" s="1015"/>
      <c r="CY55" s="1015"/>
      <c r="CZ55" s="1155"/>
      <c r="DA55" s="1156"/>
      <c r="DB55" s="1015"/>
      <c r="DC55" s="1015"/>
      <c r="DD55" s="1155"/>
      <c r="DE55" s="1015"/>
      <c r="DF55" s="1015"/>
      <c r="DG55" s="1015"/>
      <c r="DH55" s="1155"/>
      <c r="DI55" s="1156"/>
      <c r="DL55" s="1155"/>
      <c r="DM55" s="1015"/>
      <c r="DN55" s="1015"/>
      <c r="DO55" s="1015"/>
      <c r="DP55" s="1155"/>
      <c r="DQ55" s="1156"/>
      <c r="DR55"/>
      <c r="DT55" s="1155"/>
      <c r="DU55" s="1015"/>
      <c r="DV55" s="1015"/>
      <c r="DW55" s="1015"/>
      <c r="DX55" s="1155"/>
      <c r="DY55" s="1156"/>
      <c r="EM55" s="1419"/>
    </row>
    <row r="56" spans="1:143" ht="14.25" hidden="1" customHeight="1" outlineLevel="1">
      <c r="A56" s="249" t="s">
        <v>1070</v>
      </c>
      <c r="B56" s="986"/>
      <c r="C56" s="987"/>
      <c r="D56" s="987"/>
      <c r="E56" s="987"/>
      <c r="F56" s="987"/>
      <c r="G56" s="987"/>
      <c r="H56" s="987"/>
      <c r="I56" s="988"/>
      <c r="J56" s="987"/>
      <c r="K56" s="987"/>
      <c r="L56" s="987"/>
      <c r="M56" s="987"/>
      <c r="N56" s="987"/>
      <c r="O56" s="987"/>
      <c r="P56" s="987"/>
      <c r="Q56" s="988"/>
      <c r="R56" s="987"/>
      <c r="S56" s="987"/>
      <c r="T56" s="987"/>
      <c r="U56" s="987"/>
      <c r="V56" s="987"/>
      <c r="W56" s="987"/>
      <c r="X56" s="987"/>
      <c r="Y56" s="988"/>
      <c r="Z56" s="987"/>
      <c r="AA56" s="987"/>
      <c r="AB56" s="987"/>
      <c r="AC56" s="987"/>
      <c r="AD56" s="987"/>
      <c r="AE56" s="987"/>
      <c r="AF56" s="987"/>
      <c r="AG56" s="988"/>
      <c r="AH56" s="987"/>
      <c r="AI56" s="987"/>
      <c r="AJ56" s="987"/>
      <c r="AK56" s="987"/>
      <c r="AL56" s="987"/>
      <c r="AM56" s="987"/>
      <c r="AN56" s="987"/>
      <c r="AO56" s="988"/>
      <c r="AP56" s="987"/>
      <c r="AQ56" s="987"/>
      <c r="AR56" s="987"/>
      <c r="AS56" s="987"/>
      <c r="AT56" s="987"/>
      <c r="AU56" s="987"/>
      <c r="AV56" s="987"/>
      <c r="AW56" s="988"/>
      <c r="AX56" s="987"/>
      <c r="AY56" s="987"/>
      <c r="AZ56" s="987"/>
      <c r="BA56" s="987"/>
      <c r="BB56" s="987"/>
      <c r="BC56" s="987"/>
      <c r="BD56" s="987"/>
      <c r="BE56" s="988"/>
      <c r="BF56" s="987"/>
      <c r="BG56" s="987"/>
      <c r="BH56" s="987"/>
      <c r="BI56" s="987"/>
      <c r="BJ56" s="987"/>
      <c r="BK56" s="987"/>
      <c r="BL56" s="987"/>
      <c r="BM56" s="988"/>
      <c r="BN56" s="987"/>
      <c r="BO56" s="987"/>
      <c r="BP56" s="987"/>
      <c r="BQ56" s="987"/>
      <c r="BR56" s="987"/>
      <c r="BS56" s="987"/>
      <c r="BT56" s="987"/>
      <c r="BU56" s="988"/>
      <c r="BV56" s="987"/>
      <c r="BW56" s="987"/>
      <c r="BX56" s="987"/>
      <c r="BY56" s="987"/>
      <c r="BZ56" s="987"/>
      <c r="CA56" s="987"/>
      <c r="CB56" s="987"/>
      <c r="CC56" s="988"/>
      <c r="CD56" s="987"/>
      <c r="CE56" s="987"/>
      <c r="CF56" s="1155"/>
      <c r="CG56" s="1015"/>
      <c r="CH56" s="1015"/>
      <c r="CI56" s="1015"/>
      <c r="CJ56" s="1155"/>
      <c r="CK56" s="1156"/>
      <c r="CL56" s="1015"/>
      <c r="CM56" s="1015"/>
      <c r="CN56" s="1155"/>
      <c r="CO56" s="1015"/>
      <c r="CP56" s="1015"/>
      <c r="CQ56" s="1015"/>
      <c r="CR56" s="1155"/>
      <c r="CS56" s="1156"/>
      <c r="CT56" s="1015"/>
      <c r="CU56" s="1015"/>
      <c r="CV56" s="1155"/>
      <c r="CW56" s="1015"/>
      <c r="CX56" s="1015"/>
      <c r="CY56" s="1015"/>
      <c r="CZ56" s="1155"/>
      <c r="DA56" s="1156"/>
      <c r="DB56" s="1015"/>
      <c r="DC56" s="1015"/>
      <c r="DD56" s="1155"/>
      <c r="DE56" s="1015"/>
      <c r="DF56" s="1015"/>
      <c r="DG56" s="1015"/>
      <c r="DH56" s="1155"/>
      <c r="DI56" s="1156"/>
      <c r="DL56" s="1155"/>
      <c r="DM56" s="1015"/>
      <c r="DN56" s="1015"/>
      <c r="DO56" s="1015"/>
      <c r="DP56" s="1155"/>
      <c r="DQ56" s="1156"/>
      <c r="DR56"/>
      <c r="DT56" s="1155"/>
      <c r="DU56" s="1015"/>
      <c r="DV56" s="1015"/>
      <c r="DW56" s="1015"/>
      <c r="DX56" s="1155"/>
      <c r="DY56" s="1156"/>
      <c r="EM56" s="1419"/>
    </row>
    <row r="57" spans="1:143" collapsed="1">
      <c r="A57" s="19" t="s">
        <v>1572</v>
      </c>
      <c r="B57" s="986"/>
      <c r="C57" s="987"/>
      <c r="D57" s="987"/>
      <c r="E57" s="987"/>
      <c r="F57" s="987"/>
      <c r="G57" s="987"/>
      <c r="H57" s="987"/>
      <c r="I57" s="988"/>
      <c r="J57" s="987"/>
      <c r="K57" s="987"/>
      <c r="L57" s="987"/>
      <c r="M57" s="987"/>
      <c r="N57" s="987"/>
      <c r="O57" s="987"/>
      <c r="P57" s="987"/>
      <c r="Q57" s="988"/>
      <c r="R57" s="987"/>
      <c r="S57" s="987"/>
      <c r="T57" s="987"/>
      <c r="U57" s="987"/>
      <c r="V57" s="987"/>
      <c r="W57" s="987"/>
      <c r="X57" s="987"/>
      <c r="Y57" s="988"/>
      <c r="Z57" s="987"/>
      <c r="AA57" s="987"/>
      <c r="AB57" s="987"/>
      <c r="AC57" s="987"/>
      <c r="AD57" s="987"/>
      <c r="AE57" s="987"/>
      <c r="AF57" s="987"/>
      <c r="AG57" s="988"/>
      <c r="AH57" s="987"/>
      <c r="AI57" s="987"/>
      <c r="AJ57" s="987"/>
      <c r="AK57" s="987"/>
      <c r="AL57" s="987"/>
      <c r="AM57" s="987"/>
      <c r="AN57" s="987"/>
      <c r="AO57" s="988"/>
      <c r="AP57" s="987"/>
      <c r="AQ57" s="987"/>
      <c r="AR57" s="987"/>
      <c r="AS57" s="987"/>
      <c r="AT57" s="987"/>
      <c r="AU57" s="987"/>
      <c r="AV57" s="987"/>
      <c r="AW57" s="988"/>
      <c r="AX57" s="987"/>
      <c r="AY57" s="987"/>
      <c r="AZ57" s="987"/>
      <c r="BA57" s="987"/>
      <c r="BB57" s="987"/>
      <c r="BC57" s="987"/>
      <c r="BD57" s="987"/>
      <c r="BE57" s="988"/>
      <c r="BF57" s="987"/>
      <c r="BG57" s="987"/>
      <c r="BH57" s="987"/>
      <c r="BI57" s="987"/>
      <c r="BJ57" s="987"/>
      <c r="BK57" s="987"/>
      <c r="BL57" s="987"/>
      <c r="BM57" s="988"/>
      <c r="BN57" s="987"/>
      <c r="BO57" s="987"/>
      <c r="BP57" s="987"/>
      <c r="BQ57" s="987"/>
      <c r="BR57" s="987"/>
      <c r="BS57" s="987"/>
      <c r="BT57" s="987"/>
      <c r="BU57" s="988"/>
      <c r="BV57" s="987"/>
      <c r="BW57" s="987"/>
      <c r="BX57" s="987"/>
      <c r="BY57" s="987"/>
      <c r="BZ57" s="987"/>
      <c r="CA57" s="987"/>
      <c r="CB57" s="987"/>
      <c r="CC57" s="988"/>
      <c r="CD57" s="987"/>
      <c r="CE57" s="987"/>
      <c r="CF57" s="1155">
        <f>CF44/CF10</f>
        <v>9.0847913862718704E-2</v>
      </c>
      <c r="CG57" s="1015"/>
      <c r="CH57" s="1015"/>
      <c r="CI57" s="1015"/>
      <c r="CJ57" s="1155">
        <f t="shared" ref="CJ57:CK57" si="352">CJ44/CJ10</f>
        <v>0.11333134506412168</v>
      </c>
      <c r="CK57" s="1156">
        <f t="shared" si="352"/>
        <v>0.10276679841897234</v>
      </c>
      <c r="CL57" s="1015"/>
      <c r="CM57" s="1015"/>
      <c r="CN57" s="1155">
        <f>CN44/CN10</f>
        <v>0.11722760981175129</v>
      </c>
      <c r="CO57" s="1015"/>
      <c r="CP57" s="1015"/>
      <c r="CQ57" s="1015"/>
      <c r="CR57" s="1155">
        <f t="shared" ref="CR57:CS57" si="353">CR44/CR10</f>
        <v>0.1149168528170762</v>
      </c>
      <c r="CS57" s="1156">
        <f t="shared" si="353"/>
        <v>0.11599203715992037</v>
      </c>
      <c r="CT57" s="1015"/>
      <c r="CU57" s="1015"/>
      <c r="CV57" s="1155">
        <f>CV44/CV10</f>
        <v>0.11365853658536586</v>
      </c>
      <c r="CW57" s="1015"/>
      <c r="CX57" s="1015"/>
      <c r="CY57" s="1015"/>
      <c r="CZ57" s="1155">
        <f t="shared" ref="CZ57:DA57" si="354">CZ44/CZ10</f>
        <v>0.11108764519535375</v>
      </c>
      <c r="DA57" s="1156">
        <f t="shared" si="354"/>
        <v>0.11228070175438597</v>
      </c>
      <c r="DB57" s="1015"/>
      <c r="DC57" s="1015"/>
      <c r="DD57" s="1155">
        <f>DD44/DD10</f>
        <v>0.12707930367504836</v>
      </c>
      <c r="DE57" s="1015"/>
      <c r="DF57" s="1015"/>
      <c r="DG57" s="1015"/>
      <c r="DH57" s="1155">
        <f t="shared" ref="DH57:DI57" si="355">DH44/DH10</f>
        <v>0.11765785609397944</v>
      </c>
      <c r="DI57" s="1156">
        <f t="shared" si="355"/>
        <v>0.12224524392540968</v>
      </c>
      <c r="DL57" s="1155">
        <f>DL44/DL10</f>
        <v>0.12533428418612944</v>
      </c>
      <c r="DM57" s="1015"/>
      <c r="DN57" s="1015"/>
      <c r="DO57" s="1015"/>
      <c r="DP57" s="1155">
        <f>DP44/DP10</f>
        <v>0.12921810328423938</v>
      </c>
      <c r="DQ57" s="1156">
        <f>DQ44/DQ10</f>
        <v>0.12744533688189683</v>
      </c>
      <c r="DR57"/>
      <c r="DT57" s="1155">
        <f>DT44/DT10</f>
        <v>0.14444031689033346</v>
      </c>
      <c r="DU57" s="1015"/>
      <c r="DV57" s="1015"/>
      <c r="DW57" s="1015"/>
      <c r="DX57" s="1155">
        <f t="shared" ref="DX57:DY57" si="356">DX44/DX10</f>
        <v>0.13373175275108523</v>
      </c>
      <c r="DY57" s="1156">
        <f t="shared" si="356"/>
        <v>0.1389458492475924</v>
      </c>
      <c r="EM57" s="1419"/>
    </row>
    <row r="58" spans="1:143">
      <c r="A58" s="19" t="s">
        <v>1093</v>
      </c>
      <c r="B58" s="986"/>
      <c r="C58" s="987"/>
      <c r="D58" s="987"/>
      <c r="E58" s="987"/>
      <c r="F58" s="987"/>
      <c r="G58" s="987"/>
      <c r="H58" s="987"/>
      <c r="I58" s="988"/>
      <c r="J58" s="987"/>
      <c r="K58" s="987"/>
      <c r="L58" s="987"/>
      <c r="M58" s="987"/>
      <c r="N58" s="987"/>
      <c r="O58" s="987"/>
      <c r="P58" s="987"/>
      <c r="Q58" s="988"/>
      <c r="R58" s="987"/>
      <c r="S58" s="987"/>
      <c r="T58" s="987"/>
      <c r="U58" s="987"/>
      <c r="V58" s="987"/>
      <c r="W58" s="987"/>
      <c r="X58" s="987"/>
      <c r="Y58" s="988"/>
      <c r="Z58" s="987"/>
      <c r="AA58" s="987"/>
      <c r="AB58" s="987"/>
      <c r="AC58" s="987"/>
      <c r="AD58" s="987"/>
      <c r="AE58" s="987"/>
      <c r="AF58" s="987"/>
      <c r="AG58" s="988"/>
      <c r="AH58" s="987"/>
      <c r="AI58" s="987"/>
      <c r="AJ58" s="987"/>
      <c r="AK58" s="987"/>
      <c r="AL58" s="987"/>
      <c r="AM58" s="987"/>
      <c r="AN58" s="987"/>
      <c r="AO58" s="988"/>
      <c r="AP58" s="987"/>
      <c r="AQ58" s="987"/>
      <c r="AR58" s="987"/>
      <c r="AS58" s="987"/>
      <c r="AT58" s="987"/>
      <c r="AU58" s="987"/>
      <c r="AV58" s="987"/>
      <c r="AW58" s="988"/>
      <c r="AX58" s="987"/>
      <c r="AY58" s="987"/>
      <c r="AZ58" s="987"/>
      <c r="BA58" s="987"/>
      <c r="BB58" s="987"/>
      <c r="BC58" s="987"/>
      <c r="BD58" s="987"/>
      <c r="BE58" s="988"/>
      <c r="BF58" s="987"/>
      <c r="BG58" s="987"/>
      <c r="BH58" s="987"/>
      <c r="BI58" s="987"/>
      <c r="BJ58" s="987"/>
      <c r="BK58" s="987"/>
      <c r="BL58" s="987"/>
      <c r="BM58" s="988"/>
      <c r="BN58" s="987"/>
      <c r="BO58" s="987"/>
      <c r="BP58" s="987"/>
      <c r="BQ58" s="987"/>
      <c r="BR58" s="987"/>
      <c r="BS58" s="987"/>
      <c r="BT58" s="987"/>
      <c r="BU58" s="988"/>
      <c r="BV58" s="987"/>
      <c r="BW58" s="987"/>
      <c r="BX58" s="987"/>
      <c r="BY58" s="987"/>
      <c r="BZ58" s="987"/>
      <c r="CA58" s="987"/>
      <c r="CB58" s="987"/>
      <c r="CC58" s="988"/>
      <c r="CD58" s="987"/>
      <c r="CE58" s="987"/>
      <c r="CF58" s="1155">
        <f>CF45/CF11</f>
        <v>-0.17027863777089783</v>
      </c>
      <c r="CG58" s="1015"/>
      <c r="CH58" s="1015"/>
      <c r="CI58" s="1015"/>
      <c r="CJ58" s="1155">
        <f t="shared" ref="CJ58:CK58" si="357">CJ45/CJ11</f>
        <v>-6.8757539203860074E-2</v>
      </c>
      <c r="CK58" s="1156">
        <f t="shared" si="357"/>
        <v>-0.11322033898305085</v>
      </c>
      <c r="CL58" s="1015"/>
      <c r="CM58" s="1015"/>
      <c r="CN58" s="1155">
        <f>CN45/CN11</f>
        <v>-9.4252873563218389E-2</v>
      </c>
      <c r="CO58" s="1015"/>
      <c r="CP58" s="1015"/>
      <c r="CQ58" s="1015"/>
      <c r="CR58" s="1155">
        <f t="shared" ref="CR58:CS58" si="358">CR45/CR11</f>
        <v>-5.2346570397111915E-2</v>
      </c>
      <c r="CS58" s="1156">
        <f t="shared" si="358"/>
        <v>-7.0778564206268962E-2</v>
      </c>
      <c r="CT58" s="1015"/>
      <c r="CU58" s="1015"/>
      <c r="CV58" s="1155">
        <f>CV45/CV11</f>
        <v>-8.5984522785898534E-2</v>
      </c>
      <c r="CW58" s="1015"/>
      <c r="CX58" s="1015"/>
      <c r="CY58" s="1015"/>
      <c r="CZ58" s="1155">
        <f t="shared" ref="CZ58:DA58" si="359">CZ45/CZ11</f>
        <v>-1.2176560121765601E-2</v>
      </c>
      <c r="DA58" s="1156">
        <f t="shared" si="359"/>
        <v>-4.6830843762616065E-2</v>
      </c>
      <c r="DB58" s="1015"/>
      <c r="DC58" s="1015"/>
      <c r="DD58" s="1155">
        <f>DD45/DD11</f>
        <v>7.0871722182849041E-3</v>
      </c>
      <c r="DE58" s="1015"/>
      <c r="DF58" s="1015"/>
      <c r="DG58" s="1015"/>
      <c r="DH58" s="1155">
        <f t="shared" ref="DH58:DI58" si="360">DH45/DH11</f>
        <v>1.0455104551045511E-2</v>
      </c>
      <c r="DI58" s="1156">
        <f t="shared" si="360"/>
        <v>8.8903523213697735E-3</v>
      </c>
      <c r="DL58" s="1155">
        <f>DL45/DL11</f>
        <v>1.6707920792079209E-2</v>
      </c>
      <c r="DM58" s="1015"/>
      <c r="DN58" s="1015"/>
      <c r="DO58" s="1015"/>
      <c r="DP58" s="1155">
        <f>DP45/DP11</f>
        <v>4.4081298058879399E-2</v>
      </c>
      <c r="DQ58" s="1156">
        <f>DQ45/DQ11</f>
        <v>3.1161559032415378E-2</v>
      </c>
      <c r="DR58"/>
      <c r="DT58" s="1155">
        <f>DT45/DT11</f>
        <v>4.225574102081308E-2</v>
      </c>
      <c r="DU58" s="1015"/>
      <c r="DV58" s="1015"/>
      <c r="DW58" s="1015"/>
      <c r="DX58" s="1155">
        <f t="shared" ref="DX58:DY58" si="361">DX45/DX11</f>
        <v>6.2336313644910407E-2</v>
      </c>
      <c r="DY58" s="1156">
        <f t="shared" si="361"/>
        <v>5.3006814806385111E-2</v>
      </c>
      <c r="EM58" s="1419"/>
    </row>
    <row r="59" spans="1:143" ht="14.25" hidden="1" customHeight="1" outlineLevel="1">
      <c r="A59" s="19" t="s">
        <v>898</v>
      </c>
      <c r="B59" s="986"/>
      <c r="C59" s="987"/>
      <c r="D59" s="987"/>
      <c r="E59" s="987"/>
      <c r="F59" s="987"/>
      <c r="G59" s="987"/>
      <c r="H59" s="987"/>
      <c r="I59" s="988"/>
      <c r="J59" s="987"/>
      <c r="K59" s="987"/>
      <c r="L59" s="987"/>
      <c r="M59" s="987"/>
      <c r="N59" s="987"/>
      <c r="O59" s="987"/>
      <c r="P59" s="987"/>
      <c r="Q59" s="988"/>
      <c r="R59" s="987"/>
      <c r="S59" s="987"/>
      <c r="T59" s="987"/>
      <c r="U59" s="987"/>
      <c r="V59" s="987"/>
      <c r="W59" s="987"/>
      <c r="X59" s="987"/>
      <c r="Y59" s="988"/>
      <c r="Z59" s="987"/>
      <c r="AA59" s="987"/>
      <c r="AB59" s="987"/>
      <c r="AC59" s="987"/>
      <c r="AD59" s="987"/>
      <c r="AE59" s="987"/>
      <c r="AF59" s="987"/>
      <c r="AG59" s="988"/>
      <c r="AH59" s="987"/>
      <c r="AI59" s="987"/>
      <c r="AJ59" s="987"/>
      <c r="AK59" s="987"/>
      <c r="AL59" s="987"/>
      <c r="AM59" s="987"/>
      <c r="AN59" s="987"/>
      <c r="AO59" s="988"/>
      <c r="AP59" s="987"/>
      <c r="AQ59" s="987"/>
      <c r="AR59" s="987"/>
      <c r="AS59" s="987"/>
      <c r="AT59" s="987"/>
      <c r="AU59" s="987"/>
      <c r="AV59" s="987"/>
      <c r="AW59" s="988"/>
      <c r="AX59" s="987"/>
      <c r="AY59" s="987"/>
      <c r="AZ59" s="987"/>
      <c r="BA59" s="987"/>
      <c r="BB59" s="987"/>
      <c r="BC59" s="987"/>
      <c r="BD59" s="987"/>
      <c r="BE59" s="988"/>
      <c r="BF59" s="987"/>
      <c r="BG59" s="987"/>
      <c r="BH59" s="987"/>
      <c r="BI59" s="987"/>
      <c r="BJ59" s="987"/>
      <c r="BK59" s="987"/>
      <c r="BL59" s="987"/>
      <c r="BM59" s="988"/>
      <c r="BN59" s="987"/>
      <c r="BO59" s="987"/>
      <c r="BP59" s="987"/>
      <c r="BQ59" s="987"/>
      <c r="BR59" s="987"/>
      <c r="BS59" s="987"/>
      <c r="BT59" s="987"/>
      <c r="BU59" s="988"/>
      <c r="BV59" s="987"/>
      <c r="BW59" s="987"/>
      <c r="BX59" s="987"/>
      <c r="BY59" s="987"/>
      <c r="BZ59" s="987"/>
      <c r="CA59" s="987"/>
      <c r="CB59" s="987"/>
      <c r="CC59" s="988"/>
      <c r="CD59" s="987"/>
      <c r="CE59" s="987"/>
      <c r="CF59" s="987"/>
      <c r="CL59" s="1015"/>
      <c r="CM59" s="1015"/>
      <c r="CN59" s="987"/>
      <c r="CT59" s="1015"/>
      <c r="CU59" s="1015"/>
      <c r="CV59" s="987"/>
      <c r="DB59" s="1015"/>
      <c r="DC59" s="1015"/>
      <c r="DD59" s="987"/>
      <c r="DR59"/>
      <c r="DT59" s="987"/>
      <c r="EM59" s="1419"/>
    </row>
    <row r="60" spans="1:143" collapsed="1">
      <c r="A60" s="19" t="s">
        <v>752</v>
      </c>
      <c r="B60" s="986"/>
      <c r="C60" s="987"/>
      <c r="D60" s="987"/>
      <c r="E60" s="987"/>
      <c r="F60" s="987"/>
      <c r="G60" s="987"/>
      <c r="H60" s="987"/>
      <c r="I60" s="988"/>
      <c r="J60" s="987"/>
      <c r="K60" s="987"/>
      <c r="L60" s="987"/>
      <c r="M60" s="987"/>
      <c r="N60" s="987"/>
      <c r="O60" s="987"/>
      <c r="P60" s="987"/>
      <c r="Q60" s="988"/>
      <c r="R60" s="987"/>
      <c r="S60" s="987"/>
      <c r="T60" s="987"/>
      <c r="U60" s="987"/>
      <c r="V60" s="987"/>
      <c r="W60" s="987"/>
      <c r="X60" s="987"/>
      <c r="Y60" s="988"/>
      <c r="Z60" s="987"/>
      <c r="AA60" s="987"/>
      <c r="AB60" s="987"/>
      <c r="AC60" s="987"/>
      <c r="AD60" s="987"/>
      <c r="AE60" s="987"/>
      <c r="AF60" s="987"/>
      <c r="AG60" s="988"/>
      <c r="AH60" s="987"/>
      <c r="AI60" s="987"/>
      <c r="AJ60" s="987"/>
      <c r="AK60" s="987"/>
      <c r="AL60" s="987"/>
      <c r="AM60" s="987"/>
      <c r="AN60" s="987"/>
      <c r="AO60" s="988"/>
      <c r="AP60" s="987"/>
      <c r="AQ60" s="987"/>
      <c r="AR60" s="987"/>
      <c r="AS60" s="987"/>
      <c r="AT60" s="987"/>
      <c r="AU60" s="987"/>
      <c r="AV60" s="987"/>
      <c r="AW60" s="988"/>
      <c r="AX60" s="987"/>
      <c r="AY60" s="987"/>
      <c r="AZ60" s="987"/>
      <c r="BA60" s="987"/>
      <c r="BB60" s="987"/>
      <c r="BC60" s="987"/>
      <c r="BD60" s="987"/>
      <c r="BE60" s="988"/>
      <c r="BF60" s="987"/>
      <c r="BG60" s="987"/>
      <c r="BH60" s="987"/>
      <c r="BI60" s="987"/>
      <c r="BJ60" s="987"/>
      <c r="BK60" s="987"/>
      <c r="BL60" s="987"/>
      <c r="BM60" s="988"/>
      <c r="BN60" s="987"/>
      <c r="BO60" s="987"/>
      <c r="BP60" s="987"/>
      <c r="BQ60" s="987"/>
      <c r="BR60" s="987"/>
      <c r="BS60" s="987"/>
      <c r="BT60" s="987"/>
      <c r="BU60" s="988"/>
      <c r="BV60" s="987"/>
      <c r="BW60" s="987"/>
      <c r="BX60" s="987"/>
      <c r="BY60" s="987"/>
      <c r="BZ60" s="987"/>
      <c r="CA60" s="987"/>
      <c r="CB60" s="987"/>
      <c r="CC60" s="988"/>
      <c r="CD60" s="987"/>
      <c r="CE60" s="987"/>
      <c r="CF60" s="987"/>
      <c r="CL60" s="987"/>
      <c r="CM60" s="987"/>
      <c r="CN60" s="987"/>
      <c r="CT60" s="987"/>
      <c r="CU60" s="987"/>
      <c r="CV60" s="987"/>
      <c r="DB60" s="987"/>
      <c r="DC60" s="987"/>
      <c r="DD60" s="987"/>
      <c r="DR60"/>
      <c r="DT60" s="987"/>
      <c r="EM60" s="1419"/>
    </row>
    <row r="61" spans="1:143" ht="14.25" hidden="1" customHeight="1" outlineLevel="1">
      <c r="A61" s="19" t="s">
        <v>897</v>
      </c>
      <c r="B61" s="986"/>
      <c r="C61" s="987"/>
      <c r="D61" s="987"/>
      <c r="E61" s="987"/>
      <c r="F61" s="987"/>
      <c r="G61" s="987"/>
      <c r="H61" s="987"/>
      <c r="I61" s="988"/>
      <c r="J61" s="987"/>
      <c r="K61" s="987"/>
      <c r="L61" s="987"/>
      <c r="M61" s="987"/>
      <c r="N61" s="987"/>
      <c r="O61" s="987"/>
      <c r="P61" s="987"/>
      <c r="Q61" s="988"/>
      <c r="R61" s="987"/>
      <c r="S61" s="987"/>
      <c r="T61" s="987"/>
      <c r="U61" s="987"/>
      <c r="V61" s="987"/>
      <c r="W61" s="987"/>
      <c r="X61" s="987"/>
      <c r="Y61" s="988"/>
      <c r="Z61" s="987"/>
      <c r="AA61" s="987"/>
      <c r="AB61" s="987"/>
      <c r="AC61" s="987"/>
      <c r="AD61" s="987"/>
      <c r="AE61" s="987"/>
      <c r="AF61" s="987"/>
      <c r="AG61" s="988"/>
      <c r="AH61" s="987"/>
      <c r="AI61" s="987"/>
      <c r="AJ61" s="987"/>
      <c r="AK61" s="987"/>
      <c r="AL61" s="987"/>
      <c r="AM61" s="987"/>
      <c r="AN61" s="987"/>
      <c r="AO61" s="988"/>
      <c r="AP61" s="987"/>
      <c r="AQ61" s="987"/>
      <c r="AR61" s="987"/>
      <c r="AS61" s="987"/>
      <c r="AT61" s="987"/>
      <c r="AU61" s="987"/>
      <c r="AV61" s="987"/>
      <c r="AW61" s="988"/>
      <c r="AX61" s="987"/>
      <c r="AY61" s="987"/>
      <c r="AZ61" s="987"/>
      <c r="BA61" s="987"/>
      <c r="BB61" s="987"/>
      <c r="BC61" s="987"/>
      <c r="BD61" s="987"/>
      <c r="BE61" s="988"/>
      <c r="BF61" s="987"/>
      <c r="BG61" s="987"/>
      <c r="BH61" s="987"/>
      <c r="BI61" s="987"/>
      <c r="BJ61" s="987"/>
      <c r="BK61" s="987"/>
      <c r="BL61" s="987"/>
      <c r="BM61" s="988"/>
      <c r="BN61" s="987"/>
      <c r="BO61" s="987"/>
      <c r="BP61" s="987"/>
      <c r="BQ61" s="987"/>
      <c r="BR61" s="987"/>
      <c r="BS61" s="987"/>
      <c r="BT61" s="987"/>
      <c r="BU61" s="988"/>
      <c r="BV61" s="987"/>
      <c r="BW61" s="987"/>
      <c r="BX61" s="987"/>
      <c r="BY61" s="987"/>
      <c r="BZ61" s="987"/>
      <c r="CA61" s="987"/>
      <c r="CB61" s="987"/>
      <c r="CC61" s="988"/>
      <c r="CD61" s="987"/>
      <c r="CE61" s="987"/>
      <c r="CF61" s="987"/>
      <c r="CL61" s="987"/>
      <c r="CM61" s="987"/>
      <c r="CN61" s="987"/>
      <c r="CT61" s="987"/>
      <c r="CU61" s="987"/>
      <c r="CV61" s="987"/>
      <c r="DB61" s="987"/>
      <c r="DC61" s="987"/>
      <c r="DD61" s="987"/>
      <c r="DR61"/>
      <c r="DT61" s="987"/>
      <c r="EM61" s="1419"/>
    </row>
    <row r="62" spans="1:143" ht="14.25" hidden="1" customHeight="1" outlineLevel="1">
      <c r="A62" s="19" t="s">
        <v>743</v>
      </c>
      <c r="B62" s="986"/>
      <c r="C62" s="987"/>
      <c r="D62" s="987"/>
      <c r="E62" s="987"/>
      <c r="F62" s="987"/>
      <c r="G62" s="987"/>
      <c r="H62" s="987"/>
      <c r="I62" s="988"/>
      <c r="J62" s="987"/>
      <c r="K62" s="987"/>
      <c r="L62" s="987"/>
      <c r="M62" s="987"/>
      <c r="N62" s="987"/>
      <c r="O62" s="987"/>
      <c r="P62" s="987"/>
      <c r="Q62" s="988"/>
      <c r="R62" s="987"/>
      <c r="S62" s="987"/>
      <c r="T62" s="987"/>
      <c r="U62" s="987"/>
      <c r="V62" s="987"/>
      <c r="W62" s="987"/>
      <c r="X62" s="987"/>
      <c r="Y62" s="988"/>
      <c r="Z62" s="987"/>
      <c r="AA62" s="987"/>
      <c r="AB62" s="987"/>
      <c r="AC62" s="987"/>
      <c r="AD62" s="987"/>
      <c r="AE62" s="987"/>
      <c r="AF62" s="987"/>
      <c r="AG62" s="988"/>
      <c r="AH62" s="987"/>
      <c r="AI62" s="987"/>
      <c r="AJ62" s="987"/>
      <c r="AK62" s="987"/>
      <c r="AL62" s="987"/>
      <c r="AM62" s="987"/>
      <c r="AN62" s="987"/>
      <c r="AO62" s="988"/>
      <c r="AP62" s="987"/>
      <c r="AQ62" s="987"/>
      <c r="AR62" s="987"/>
      <c r="AS62" s="987"/>
      <c r="AT62" s="987"/>
      <c r="AU62" s="987"/>
      <c r="AV62" s="987"/>
      <c r="AW62" s="988"/>
      <c r="AX62" s="987"/>
      <c r="AY62" s="987"/>
      <c r="AZ62" s="987"/>
      <c r="BA62" s="987"/>
      <c r="BB62" s="987"/>
      <c r="BC62" s="987"/>
      <c r="BD62" s="987"/>
      <c r="BE62" s="988"/>
      <c r="BF62" s="987"/>
      <c r="BG62" s="987"/>
      <c r="BH62" s="987"/>
      <c r="BI62" s="987"/>
      <c r="BJ62" s="987"/>
      <c r="BK62" s="987"/>
      <c r="BL62" s="987"/>
      <c r="BM62" s="988"/>
      <c r="BN62" s="987"/>
      <c r="BO62" s="987"/>
      <c r="BP62" s="987"/>
      <c r="BQ62" s="987"/>
      <c r="BR62" s="987"/>
      <c r="BS62" s="987"/>
      <c r="BT62" s="987"/>
      <c r="BU62" s="988"/>
      <c r="BV62" s="987"/>
      <c r="BW62" s="987"/>
      <c r="BX62" s="987"/>
      <c r="BY62" s="987"/>
      <c r="BZ62" s="987"/>
      <c r="CA62" s="987"/>
      <c r="CB62" s="987"/>
      <c r="CC62" s="988"/>
      <c r="CD62" s="987"/>
      <c r="CE62" s="987"/>
      <c r="CF62" s="987"/>
      <c r="CL62" s="987"/>
      <c r="CM62" s="987"/>
      <c r="CN62" s="987"/>
      <c r="CT62" s="987"/>
      <c r="CU62" s="987"/>
      <c r="CV62" s="987"/>
      <c r="DB62" s="987"/>
      <c r="DC62" s="987"/>
      <c r="DD62" s="987"/>
      <c r="DR62"/>
      <c r="DT62" s="987"/>
      <c r="EM62" s="1419"/>
    </row>
    <row r="63" spans="1:143" s="276" customFormat="1" ht="12.75" customHeight="1" collapsed="1">
      <c r="A63" s="967" t="s">
        <v>916</v>
      </c>
      <c r="B63" s="968">
        <f t="shared" ref="B63:AM63" si="362">SUM(B53:B62)</f>
        <v>0</v>
      </c>
      <c r="C63" s="969">
        <f t="shared" si="362"/>
        <v>0</v>
      </c>
      <c r="D63" s="969">
        <f t="shared" ref="D63" si="363">B63+C63</f>
        <v>0</v>
      </c>
      <c r="E63" s="969">
        <f t="shared" si="362"/>
        <v>0</v>
      </c>
      <c r="F63" s="969">
        <f t="shared" ref="F63" si="364">D63+E63</f>
        <v>0</v>
      </c>
      <c r="G63" s="969">
        <f t="shared" ref="G63" si="365">SUM(G53:G62)</f>
        <v>0</v>
      </c>
      <c r="H63" s="969">
        <f t="shared" ref="H63" si="366">G63+E63</f>
        <v>0</v>
      </c>
      <c r="I63" s="970">
        <f t="shared" ref="I63" si="367">H63+D63</f>
        <v>0</v>
      </c>
      <c r="J63" s="968">
        <f t="shared" si="362"/>
        <v>0</v>
      </c>
      <c r="K63" s="969">
        <f t="shared" si="362"/>
        <v>0</v>
      </c>
      <c r="L63" s="969">
        <f t="shared" ref="L63" si="368">J63+K63</f>
        <v>0</v>
      </c>
      <c r="M63" s="969">
        <f t="shared" si="362"/>
        <v>0</v>
      </c>
      <c r="N63" s="969">
        <f t="shared" ref="N63" si="369">L63+M63</f>
        <v>0</v>
      </c>
      <c r="O63" s="969">
        <f t="shared" si="362"/>
        <v>0</v>
      </c>
      <c r="P63" s="969">
        <f t="shared" ref="P63" si="370">O63+M63</f>
        <v>0</v>
      </c>
      <c r="Q63" s="970">
        <f t="shared" ref="Q63" si="371">P63+L63</f>
        <v>0</v>
      </c>
      <c r="R63" s="969">
        <f t="shared" si="362"/>
        <v>0</v>
      </c>
      <c r="S63" s="969">
        <f t="shared" si="362"/>
        <v>0</v>
      </c>
      <c r="T63" s="969">
        <f t="shared" ref="T63" si="372">R63+S63</f>
        <v>0</v>
      </c>
      <c r="U63" s="969">
        <f t="shared" si="362"/>
        <v>0</v>
      </c>
      <c r="V63" s="969">
        <f t="shared" ref="V63" si="373">T63+U63</f>
        <v>0</v>
      </c>
      <c r="W63" s="969">
        <f t="shared" si="362"/>
        <v>0</v>
      </c>
      <c r="X63" s="969">
        <f t="shared" ref="X63" si="374">W63+U63</f>
        <v>0</v>
      </c>
      <c r="Y63" s="970">
        <f t="shared" ref="Y63" si="375">X63+T63</f>
        <v>0</v>
      </c>
      <c r="Z63" s="969">
        <f t="shared" si="362"/>
        <v>0</v>
      </c>
      <c r="AA63" s="969">
        <f t="shared" si="362"/>
        <v>0</v>
      </c>
      <c r="AB63" s="969">
        <f t="shared" ref="AB63" si="376">Z63+AA63</f>
        <v>0</v>
      </c>
      <c r="AC63" s="969">
        <f t="shared" si="362"/>
        <v>0</v>
      </c>
      <c r="AD63" s="969">
        <f t="shared" ref="AD63" si="377">AB63+AC63</f>
        <v>0</v>
      </c>
      <c r="AE63" s="969">
        <f t="shared" si="362"/>
        <v>0</v>
      </c>
      <c r="AF63" s="969">
        <f t="shared" ref="AF63" si="378">AE63+AC63</f>
        <v>0</v>
      </c>
      <c r="AG63" s="970">
        <f t="shared" ref="AG63" si="379">AF63+AB63</f>
        <v>0</v>
      </c>
      <c r="AH63" s="969">
        <f t="shared" si="362"/>
        <v>0</v>
      </c>
      <c r="AI63" s="969">
        <f t="shared" si="362"/>
        <v>0</v>
      </c>
      <c r="AJ63" s="969">
        <f t="shared" ref="AJ63" si="380">AH63+AI63</f>
        <v>0</v>
      </c>
      <c r="AK63" s="969">
        <f t="shared" si="362"/>
        <v>0</v>
      </c>
      <c r="AL63" s="969">
        <f t="shared" ref="AL63" si="381">AJ63+AK63</f>
        <v>0</v>
      </c>
      <c r="AM63" s="969">
        <f t="shared" si="362"/>
        <v>0</v>
      </c>
      <c r="AN63" s="969">
        <f t="shared" ref="AN63" si="382">AM63+AK63</f>
        <v>0</v>
      </c>
      <c r="AO63" s="970">
        <f t="shared" ref="AO63" si="383">AN63+AJ63</f>
        <v>0</v>
      </c>
      <c r="AP63" s="969">
        <f>SUM(AP53:AP62)-AP59</f>
        <v>0</v>
      </c>
      <c r="AQ63" s="969">
        <f>SUM(AQ53:AQ62)-AQ59</f>
        <v>0</v>
      </c>
      <c r="AR63" s="969">
        <f t="shared" ref="AR63" si="384">AP63+AQ63</f>
        <v>0</v>
      </c>
      <c r="AS63" s="969">
        <f>SUM(AS53:AS62)-AS59</f>
        <v>0</v>
      </c>
      <c r="AT63" s="969">
        <f t="shared" ref="AT63" si="385">AR63+AS63</f>
        <v>0</v>
      </c>
      <c r="AU63" s="969">
        <f>SUM(AU53:AU62)-AU59</f>
        <v>0</v>
      </c>
      <c r="AV63" s="969">
        <f t="shared" ref="AV63" si="386">AU63+AS63</f>
        <v>0</v>
      </c>
      <c r="AW63" s="970">
        <f t="shared" ref="AW63" si="387">AV63+AR63</f>
        <v>0</v>
      </c>
      <c r="AX63" s="969">
        <f>SUM(AX53:AX62)</f>
        <v>0</v>
      </c>
      <c r="AY63" s="969">
        <f>SUM(AY53:AY62)</f>
        <v>0</v>
      </c>
      <c r="AZ63" s="969">
        <f t="shared" ref="AZ63" si="388">AX63+AY63</f>
        <v>0</v>
      </c>
      <c r="BA63" s="969">
        <f>SUM(BA53:BA62)</f>
        <v>0</v>
      </c>
      <c r="BB63" s="969">
        <f t="shared" ref="BB63" si="389">AZ63+BA63</f>
        <v>0</v>
      </c>
      <c r="BC63" s="969">
        <f>SUM(BC53:BC62)</f>
        <v>0</v>
      </c>
      <c r="BD63" s="969">
        <f t="shared" ref="BD63" si="390">BC63+BA63</f>
        <v>0</v>
      </c>
      <c r="BE63" s="970">
        <f t="shared" ref="BE63" si="391">BD63+AZ63</f>
        <v>0</v>
      </c>
      <c r="BF63" s="969">
        <f t="shared" ref="BF63:CA63" si="392">SUM(BF57:BF62,BF53)</f>
        <v>0</v>
      </c>
      <c r="BG63" s="969">
        <f t="shared" si="392"/>
        <v>0</v>
      </c>
      <c r="BH63" s="969">
        <f t="shared" ref="BH63" si="393">BF63+BG63</f>
        <v>0</v>
      </c>
      <c r="BI63" s="969">
        <f t="shared" si="392"/>
        <v>0</v>
      </c>
      <c r="BJ63" s="969">
        <f t="shared" ref="BJ63" si="394">BH63+BI63</f>
        <v>0</v>
      </c>
      <c r="BK63" s="969">
        <f t="shared" si="392"/>
        <v>0</v>
      </c>
      <c r="BL63" s="969">
        <f t="shared" ref="BL63" si="395">BK63+BI63</f>
        <v>0</v>
      </c>
      <c r="BM63" s="970">
        <f t="shared" ref="BM63" si="396">BL63+BH63</f>
        <v>0</v>
      </c>
      <c r="BN63" s="969">
        <f t="shared" si="392"/>
        <v>0</v>
      </c>
      <c r="BO63" s="969">
        <f t="shared" si="392"/>
        <v>0</v>
      </c>
      <c r="BP63" s="969">
        <f t="shared" ref="BP63" si="397">BN63+BO63</f>
        <v>0</v>
      </c>
      <c r="BQ63" s="969">
        <f t="shared" si="392"/>
        <v>0</v>
      </c>
      <c r="BR63" s="969">
        <f t="shared" ref="BR63" si="398">BP63+BQ63</f>
        <v>0</v>
      </c>
      <c r="BS63" s="969">
        <f t="shared" si="392"/>
        <v>0</v>
      </c>
      <c r="BT63" s="969">
        <f t="shared" ref="BT63" si="399">BS63+BQ63</f>
        <v>0</v>
      </c>
      <c r="BU63" s="970">
        <f t="shared" ref="BU63" si="400">BT63+BP63</f>
        <v>0</v>
      </c>
      <c r="BV63" s="969">
        <f t="shared" si="392"/>
        <v>0</v>
      </c>
      <c r="BW63" s="969">
        <f t="shared" si="392"/>
        <v>0</v>
      </c>
      <c r="BX63" s="969">
        <f t="shared" ref="BX63" si="401">BV63+BW63</f>
        <v>0</v>
      </c>
      <c r="BY63" s="969">
        <f t="shared" si="392"/>
        <v>0</v>
      </c>
      <c r="BZ63" s="969">
        <f t="shared" ref="BZ63" si="402">BX63+BY63</f>
        <v>0</v>
      </c>
      <c r="CA63" s="969">
        <f t="shared" si="392"/>
        <v>0</v>
      </c>
      <c r="CB63" s="969">
        <f t="shared" ref="CB63" si="403">CA63+BY63</f>
        <v>0</v>
      </c>
      <c r="CC63" s="970">
        <f t="shared" ref="CC63" si="404">CB63+BX63</f>
        <v>0</v>
      </c>
      <c r="CD63" s="969"/>
      <c r="CE63" s="969"/>
      <c r="CF63" s="1154">
        <f>CF50/CF16</f>
        <v>9.5840605002908669E-2</v>
      </c>
      <c r="CG63" s="969"/>
      <c r="CH63" s="969"/>
      <c r="CI63" s="969"/>
      <c r="CJ63" s="1154">
        <f>CJ50/CJ16</f>
        <v>0.13673785944398043</v>
      </c>
      <c r="CK63" s="1157">
        <f>CK50/CK16</f>
        <v>0.11830635118306351</v>
      </c>
      <c r="CL63" s="969"/>
      <c r="CM63" s="969"/>
      <c r="CN63" s="1154">
        <f>CN50/CN16</f>
        <v>0.12231308411214953</v>
      </c>
      <c r="CO63" s="969"/>
      <c r="CP63" s="969"/>
      <c r="CQ63" s="969"/>
      <c r="CR63" s="1154">
        <f>CR50/CR16</f>
        <v>0.12992840095465394</v>
      </c>
      <c r="CS63" s="1157">
        <f>CS50/CS16</f>
        <v>0.12650380877331233</v>
      </c>
      <c r="CT63" s="969"/>
      <c r="CU63" s="969"/>
      <c r="CV63" s="1154">
        <f>CV50/CV16</f>
        <v>0.12763819095477386</v>
      </c>
      <c r="CW63" s="969"/>
      <c r="CX63" s="969"/>
      <c r="CY63" s="969"/>
      <c r="CZ63" s="1154">
        <f>CZ50/CZ16</f>
        <v>0.14436102497143791</v>
      </c>
      <c r="DA63" s="1157">
        <f>DA50/DA16</f>
        <v>0.13647139962929436</v>
      </c>
      <c r="DB63" s="969"/>
      <c r="DC63" s="969"/>
      <c r="DD63" s="1154">
        <f>DD50/DD16</f>
        <v>0.15129914922970797</v>
      </c>
      <c r="DE63" s="969"/>
      <c r="DF63" s="969"/>
      <c r="DG63" s="969"/>
      <c r="DH63" s="1154">
        <f>DH50/DH16</f>
        <v>0.15032588128109889</v>
      </c>
      <c r="DI63" s="1157">
        <f>DI50/DI16</f>
        <v>0.15078522531756783</v>
      </c>
      <c r="DJ63" s="969"/>
      <c r="DK63" s="969"/>
      <c r="DL63" s="1154">
        <f>DL50/DL16</f>
        <v>0.16995057214435641</v>
      </c>
      <c r="DM63" s="969"/>
      <c r="DN63" s="969"/>
      <c r="DO63" s="969"/>
      <c r="DP63" s="1154">
        <f>DP50/DP16</f>
        <v>0.16126549402729826</v>
      </c>
      <c r="DQ63" s="1157">
        <f>DQ50/DQ16</f>
        <v>0.16532514496015541</v>
      </c>
      <c r="DR63" s="969"/>
      <c r="DS63" s="969"/>
      <c r="DT63" s="1154">
        <f>DT50/DT16</f>
        <v>0.17137937171178461</v>
      </c>
      <c r="DU63" s="969"/>
      <c r="DV63" s="969"/>
      <c r="DW63" s="969"/>
      <c r="DX63" s="1154">
        <f>DX50/DX16</f>
        <v>0.17316598503635391</v>
      </c>
      <c r="DY63" s="1157">
        <f>DY50/DY16</f>
        <v>0.17230633317009145</v>
      </c>
      <c r="DZ63" s="969"/>
      <c r="EA63" s="969"/>
      <c r="EB63" s="969"/>
      <c r="EC63" s="969"/>
      <c r="ED63" s="969"/>
      <c r="EE63" s="969"/>
      <c r="EF63" s="969"/>
      <c r="EG63" s="1148"/>
      <c r="EM63" s="1419"/>
    </row>
    <row r="64" spans="1:143">
      <c r="A64" s="181"/>
      <c r="B64" s="986"/>
      <c r="C64" s="987"/>
      <c r="D64" s="987"/>
      <c r="E64" s="987"/>
      <c r="F64" s="987"/>
      <c r="G64" s="987"/>
      <c r="H64" s="987"/>
      <c r="I64" s="988"/>
      <c r="J64" s="987"/>
      <c r="K64" s="987"/>
      <c r="L64" s="987"/>
      <c r="M64" s="987"/>
      <c r="N64" s="987"/>
      <c r="O64" s="987"/>
      <c r="P64" s="987"/>
      <c r="Q64" s="988"/>
      <c r="R64" s="987"/>
      <c r="S64" s="987"/>
      <c r="T64" s="987"/>
      <c r="U64" s="987"/>
      <c r="V64" s="987"/>
      <c r="W64" s="987"/>
      <c r="X64" s="987"/>
      <c r="Y64" s="988"/>
      <c r="Z64" s="987"/>
      <c r="AA64" s="987"/>
      <c r="AB64" s="987"/>
      <c r="AC64" s="987"/>
      <c r="AD64" s="987"/>
      <c r="AE64" s="987"/>
      <c r="AF64" s="987"/>
      <c r="AG64" s="988"/>
      <c r="AH64" s="987"/>
      <c r="AI64" s="987"/>
      <c r="AJ64" s="987"/>
      <c r="AK64" s="987"/>
      <c r="AL64" s="987"/>
      <c r="AM64" s="987"/>
      <c r="AN64" s="987"/>
      <c r="AO64" s="988"/>
      <c r="AP64" s="987"/>
      <c r="AQ64" s="987"/>
      <c r="AR64" s="987"/>
      <c r="AS64" s="987"/>
      <c r="AT64" s="987"/>
      <c r="AU64" s="987"/>
      <c r="AV64" s="987"/>
      <c r="AW64" s="988"/>
      <c r="AX64" s="987"/>
      <c r="AY64" s="987"/>
      <c r="AZ64" s="987"/>
      <c r="BA64" s="987"/>
      <c r="BB64" s="987"/>
      <c r="BC64" s="987"/>
      <c r="BD64" s="987"/>
      <c r="BE64" s="988"/>
      <c r="BF64" s="987"/>
      <c r="BG64" s="987"/>
      <c r="BH64" s="987"/>
      <c r="BI64" s="987"/>
      <c r="BJ64" s="987"/>
      <c r="BK64" s="987"/>
      <c r="BL64" s="987"/>
      <c r="BM64" s="988"/>
      <c r="BN64" s="987"/>
      <c r="BO64" s="987"/>
      <c r="BP64" s="987"/>
      <c r="BQ64" s="987"/>
      <c r="BR64" s="987"/>
      <c r="BS64" s="987"/>
      <c r="BT64" s="987"/>
      <c r="BU64" s="988"/>
      <c r="BV64" s="987"/>
      <c r="BW64" s="987"/>
      <c r="BX64" s="987"/>
      <c r="BY64" s="987"/>
      <c r="BZ64" s="987"/>
      <c r="CA64" s="987"/>
      <c r="CB64" s="987"/>
      <c r="CC64" s="988"/>
      <c r="CD64" s="987"/>
      <c r="CE64" s="987"/>
      <c r="CF64" s="987"/>
      <c r="CG64" s="987"/>
      <c r="CH64" s="987"/>
      <c r="CI64" s="987"/>
      <c r="CJ64" s="987"/>
      <c r="CK64" s="988"/>
      <c r="CL64" s="987"/>
      <c r="CM64" s="987"/>
      <c r="CN64" s="987"/>
      <c r="CO64" s="987"/>
      <c r="CP64" s="987"/>
      <c r="CQ64" s="987"/>
      <c r="CR64" s="987"/>
      <c r="CS64" s="988"/>
      <c r="CT64" s="987"/>
      <c r="CU64" s="987"/>
      <c r="CV64" s="987"/>
      <c r="CW64" s="987"/>
      <c r="CX64" s="987"/>
      <c r="CY64" s="987"/>
      <c r="CZ64" s="987"/>
      <c r="DA64" s="988"/>
      <c r="DB64" s="987"/>
      <c r="DC64" s="987"/>
      <c r="DD64" s="987"/>
      <c r="DE64" s="987"/>
      <c r="DF64" s="987"/>
      <c r="DG64" s="987"/>
      <c r="DH64" s="987"/>
      <c r="DI64" s="988"/>
      <c r="DR64"/>
      <c r="DT64" s="987"/>
      <c r="EM64" s="1419"/>
    </row>
    <row r="65" spans="1:143">
      <c r="A65" s="258" t="s">
        <v>1299</v>
      </c>
      <c r="B65" s="989"/>
      <c r="C65" s="990"/>
      <c r="D65" s="990"/>
      <c r="E65" s="990"/>
      <c r="F65" s="990"/>
      <c r="G65" s="990"/>
      <c r="H65" s="990"/>
      <c r="I65" s="991"/>
      <c r="J65" s="990"/>
      <c r="K65" s="990"/>
      <c r="L65" s="990"/>
      <c r="M65" s="990"/>
      <c r="N65" s="990"/>
      <c r="O65" s="990"/>
      <c r="P65" s="990"/>
      <c r="Q65" s="991"/>
      <c r="R65" s="990"/>
      <c r="S65" s="990"/>
      <c r="T65" s="990"/>
      <c r="U65" s="990"/>
      <c r="V65" s="990"/>
      <c r="W65" s="990"/>
      <c r="X65" s="990"/>
      <c r="Y65" s="991"/>
      <c r="Z65" s="990"/>
      <c r="AA65" s="990"/>
      <c r="AB65" s="990"/>
      <c r="AC65" s="990"/>
      <c r="AD65" s="990"/>
      <c r="AE65" s="990"/>
      <c r="AF65" s="990"/>
      <c r="AG65" s="991"/>
      <c r="AH65" s="990"/>
      <c r="AI65" s="990"/>
      <c r="AJ65" s="990"/>
      <c r="AK65" s="990"/>
      <c r="AL65" s="990"/>
      <c r="AM65" s="990"/>
      <c r="AN65" s="990"/>
      <c r="AO65" s="991"/>
      <c r="AP65" s="990"/>
      <c r="AQ65" s="990"/>
      <c r="AR65" s="990"/>
      <c r="AS65" s="990"/>
      <c r="AT65" s="990"/>
      <c r="AU65" s="990"/>
      <c r="AV65" s="990"/>
      <c r="AW65" s="991"/>
      <c r="AX65" s="990"/>
      <c r="AY65" s="990"/>
      <c r="AZ65" s="990"/>
      <c r="BA65" s="990"/>
      <c r="BB65" s="990"/>
      <c r="BC65" s="990"/>
      <c r="BD65" s="990"/>
      <c r="BE65" s="991"/>
      <c r="BF65" s="990"/>
      <c r="BG65" s="990"/>
      <c r="BH65" s="990"/>
      <c r="BI65" s="990"/>
      <c r="BJ65" s="990"/>
      <c r="BK65" s="990"/>
      <c r="BL65" s="990"/>
      <c r="BM65" s="991"/>
      <c r="BN65" s="990"/>
      <c r="BO65" s="990"/>
      <c r="BP65" s="990"/>
      <c r="BQ65" s="990"/>
      <c r="BR65" s="990"/>
      <c r="BS65" s="990"/>
      <c r="BT65" s="990"/>
      <c r="BU65" s="991"/>
      <c r="BV65" s="990"/>
      <c r="BW65" s="990"/>
      <c r="BX65" s="990"/>
      <c r="BY65" s="990"/>
      <c r="BZ65" s="990"/>
      <c r="CA65" s="990"/>
      <c r="CB65" s="990"/>
      <c r="CC65" s="991"/>
      <c r="CD65" s="990"/>
      <c r="CE65" s="990"/>
      <c r="CF65" s="990"/>
      <c r="CG65" s="990"/>
      <c r="CH65" s="990"/>
      <c r="CI65" s="990"/>
      <c r="CJ65" s="990"/>
      <c r="CK65" s="991"/>
      <c r="CL65" s="990"/>
      <c r="CM65" s="990"/>
      <c r="CN65" s="990"/>
      <c r="CO65" s="990"/>
      <c r="CP65" s="990"/>
      <c r="CQ65" s="990"/>
      <c r="CR65" s="990"/>
      <c r="CS65" s="991"/>
      <c r="CT65" s="990"/>
      <c r="CU65" s="990"/>
      <c r="CV65" s="990"/>
      <c r="CW65" s="990"/>
      <c r="CX65" s="990"/>
      <c r="CY65" s="990"/>
      <c r="CZ65" s="990"/>
      <c r="DA65" s="991"/>
      <c r="DB65" s="990"/>
      <c r="DC65" s="990"/>
      <c r="DD65" s="990"/>
      <c r="DE65" s="990"/>
      <c r="DF65" s="990"/>
      <c r="DG65" s="990"/>
      <c r="DH65" s="990"/>
      <c r="DI65" s="991"/>
      <c r="DJ65" s="258"/>
      <c r="DK65" s="258"/>
      <c r="DL65" s="990"/>
      <c r="DM65" s="258"/>
      <c r="DN65" s="258"/>
      <c r="DO65" s="258"/>
      <c r="DP65" s="258"/>
      <c r="DQ65" s="965"/>
      <c r="DR65" s="258"/>
      <c r="DS65" s="258"/>
      <c r="DT65" s="990"/>
      <c r="DU65" s="258"/>
      <c r="DV65" s="258"/>
      <c r="DW65" s="258"/>
      <c r="DX65" s="258"/>
      <c r="DY65" s="965"/>
      <c r="DZ65" s="258"/>
      <c r="EA65" s="258"/>
      <c r="EB65" s="258"/>
      <c r="EC65" s="258"/>
      <c r="ED65" s="258"/>
      <c r="EE65" s="258"/>
      <c r="EF65" s="258"/>
      <c r="EG65" s="965"/>
      <c r="EM65" s="1419"/>
    </row>
    <row r="66" spans="1:143">
      <c r="A66" s="19" t="s">
        <v>900</v>
      </c>
      <c r="B66" s="986"/>
      <c r="C66" s="987"/>
      <c r="D66" s="987"/>
      <c r="E66" s="987"/>
      <c r="F66" s="987"/>
      <c r="G66" s="987"/>
      <c r="H66" s="987"/>
      <c r="I66" s="988"/>
      <c r="J66" s="987"/>
      <c r="K66" s="987"/>
      <c r="L66" s="987"/>
      <c r="M66" s="987"/>
      <c r="N66" s="987"/>
      <c r="O66" s="987"/>
      <c r="P66" s="987"/>
      <c r="Q66" s="988"/>
      <c r="R66" s="987"/>
      <c r="S66" s="987"/>
      <c r="T66" s="987"/>
      <c r="U66" s="987"/>
      <c r="V66" s="987"/>
      <c r="W66" s="987"/>
      <c r="X66" s="987"/>
      <c r="Y66" s="988"/>
      <c r="Z66" s="987"/>
      <c r="AA66" s="987"/>
      <c r="AB66" s="987"/>
      <c r="AC66" s="987"/>
      <c r="AD66" s="987"/>
      <c r="AE66" s="987"/>
      <c r="AF66" s="987"/>
      <c r="AG66" s="988"/>
      <c r="AH66" s="987"/>
      <c r="AI66" s="987"/>
      <c r="AJ66" s="987"/>
      <c r="AK66" s="987"/>
      <c r="AL66" s="987"/>
      <c r="AM66" s="987"/>
      <c r="AN66" s="987"/>
      <c r="AO66" s="988"/>
      <c r="AP66" s="987"/>
      <c r="AQ66" s="987"/>
      <c r="AR66" s="987"/>
      <c r="AS66" s="987"/>
      <c r="AT66" s="987"/>
      <c r="AU66" s="987"/>
      <c r="AV66" s="987"/>
      <c r="AW66" s="988"/>
      <c r="AX66" s="987"/>
      <c r="AY66" s="987"/>
      <c r="AZ66" s="987"/>
      <c r="BA66" s="987"/>
      <c r="BB66" s="987"/>
      <c r="BC66" s="987"/>
      <c r="BD66" s="987"/>
      <c r="BE66" s="988"/>
      <c r="BF66" s="987"/>
      <c r="BG66" s="987"/>
      <c r="BH66" s="987"/>
      <c r="BI66" s="987"/>
      <c r="BJ66" s="987"/>
      <c r="BK66" s="987"/>
      <c r="BL66" s="987"/>
      <c r="BM66" s="988"/>
      <c r="BN66" s="987"/>
      <c r="BO66" s="987"/>
      <c r="BP66" s="987"/>
      <c r="BQ66" s="987"/>
      <c r="BR66" s="987"/>
      <c r="BS66" s="987"/>
      <c r="BT66" s="987"/>
      <c r="BU66" s="988"/>
      <c r="BV66" s="987"/>
      <c r="BW66" s="987"/>
      <c r="BX66" s="987"/>
      <c r="BY66" s="987"/>
      <c r="BZ66" s="987"/>
      <c r="CA66" s="987"/>
      <c r="CB66" s="987"/>
      <c r="CC66" s="988"/>
      <c r="CD66" s="987"/>
      <c r="CE66" s="987"/>
      <c r="CF66" s="1155"/>
      <c r="CG66" s="1015"/>
      <c r="CH66" s="1015"/>
      <c r="CI66" s="1015"/>
      <c r="CJ66" s="1155"/>
      <c r="CK66" s="1156"/>
      <c r="CL66" s="1015"/>
      <c r="CM66" s="1015"/>
      <c r="CN66" s="1155">
        <f>(CN40/CF40)-1</f>
        <v>0.43452380952380953</v>
      </c>
      <c r="CO66" s="1015"/>
      <c r="CP66" s="1015"/>
      <c r="CQ66" s="1015"/>
      <c r="CR66" s="1155">
        <f t="shared" ref="CR66:CS66" si="405">(CR40/CJ40)-1</f>
        <v>0.17780429594272085</v>
      </c>
      <c r="CS66" s="1156">
        <f t="shared" si="405"/>
        <v>0.27421758569299559</v>
      </c>
      <c r="CT66" s="1015"/>
      <c r="CU66" s="1015"/>
      <c r="CV66" s="1155">
        <f>(CV40/CN40)-1</f>
        <v>0.45366528354080216</v>
      </c>
      <c r="CW66" s="1015"/>
      <c r="CX66" s="1015"/>
      <c r="CY66" s="1015"/>
      <c r="CZ66" s="1155">
        <f t="shared" ref="CZ66" si="406">(CZ40/CR40)-1</f>
        <v>0.35663627152988853</v>
      </c>
      <c r="DA66" s="1156">
        <f t="shared" ref="DA66" si="407">(DA40/CS40)-1</f>
        <v>0.39766081871345027</v>
      </c>
      <c r="DB66" s="1015"/>
      <c r="DC66" s="1015"/>
      <c r="DD66" s="1155">
        <f>(DD40/CV40)-1</f>
        <v>0.22264509990485259</v>
      </c>
      <c r="DE66" s="1015"/>
      <c r="DF66" s="1015"/>
      <c r="DG66" s="1015"/>
      <c r="DH66" s="1155">
        <f t="shared" ref="DH66" si="408">(DH40/CZ40)-1</f>
        <v>0.14563106796116498</v>
      </c>
      <c r="DI66" s="1156">
        <f t="shared" ref="DI66" si="409">(DI40/DA40)-1</f>
        <v>0.1794979079497907</v>
      </c>
      <c r="DL66" s="1155">
        <f>(DL40/DD40)-1</f>
        <v>0.36809338521400781</v>
      </c>
      <c r="DM66" s="1015"/>
      <c r="DN66" s="1015"/>
      <c r="DO66" s="1015"/>
      <c r="DP66" s="1155">
        <f t="shared" ref="DP66" si="410">(DP40/DH40)-1</f>
        <v>0.18330566054384745</v>
      </c>
      <c r="DQ66" s="1156">
        <f t="shared" ref="DQ66" si="411">(DQ40/DI40)-1</f>
        <v>0.26753844741903587</v>
      </c>
      <c r="DR66"/>
      <c r="DT66" s="1155">
        <f>(DT40/DL40)-1</f>
        <v>4.3058138662595224E-2</v>
      </c>
      <c r="DU66" s="1015"/>
      <c r="DV66" s="1015"/>
      <c r="DW66" s="1015"/>
      <c r="DX66" s="1155">
        <f t="shared" ref="DX66" si="412">(DX40/DP40)-1</f>
        <v>0.20594448879935356</v>
      </c>
      <c r="DY66" s="1156">
        <f t="shared" ref="DY66" si="413">(DY40/DQ40)-1</f>
        <v>0.1258048564945653</v>
      </c>
      <c r="EM66" s="1419"/>
    </row>
    <row r="67" spans="1:143" ht="14.25" hidden="1" customHeight="1" outlineLevel="1">
      <c r="A67" s="249" t="s">
        <v>899</v>
      </c>
      <c r="B67" s="986"/>
      <c r="C67" s="987"/>
      <c r="D67" s="987"/>
      <c r="E67" s="987"/>
      <c r="F67" s="987"/>
      <c r="G67" s="987"/>
      <c r="H67" s="987"/>
      <c r="I67" s="988"/>
      <c r="J67" s="987"/>
      <c r="K67" s="987"/>
      <c r="L67" s="987"/>
      <c r="M67" s="987"/>
      <c r="N67" s="987"/>
      <c r="O67" s="987"/>
      <c r="P67" s="987"/>
      <c r="Q67" s="988"/>
      <c r="R67" s="987"/>
      <c r="S67" s="987"/>
      <c r="T67" s="987"/>
      <c r="U67" s="987"/>
      <c r="V67" s="987"/>
      <c r="W67" s="987"/>
      <c r="X67" s="987"/>
      <c r="Y67" s="988"/>
      <c r="Z67" s="987"/>
      <c r="AA67" s="987"/>
      <c r="AB67" s="987"/>
      <c r="AC67" s="987"/>
      <c r="AD67" s="987"/>
      <c r="AE67" s="987"/>
      <c r="AF67" s="987"/>
      <c r="AG67" s="988"/>
      <c r="AH67" s="987"/>
      <c r="AI67" s="987"/>
      <c r="AJ67" s="987"/>
      <c r="AK67" s="987"/>
      <c r="AL67" s="987"/>
      <c r="AM67" s="987"/>
      <c r="AN67" s="987"/>
      <c r="AO67" s="988"/>
      <c r="AP67" s="987"/>
      <c r="AQ67" s="987"/>
      <c r="AR67" s="987"/>
      <c r="AS67" s="987"/>
      <c r="AT67" s="987"/>
      <c r="AU67" s="987"/>
      <c r="AV67" s="987"/>
      <c r="AW67" s="988"/>
      <c r="AX67" s="987"/>
      <c r="AY67" s="987"/>
      <c r="AZ67" s="987"/>
      <c r="BA67" s="987"/>
      <c r="BB67" s="987"/>
      <c r="BC67" s="987"/>
      <c r="BD67" s="987"/>
      <c r="BE67" s="988"/>
      <c r="BF67" s="987"/>
      <c r="BG67" s="987"/>
      <c r="BH67" s="987"/>
      <c r="BI67" s="987"/>
      <c r="BJ67" s="987"/>
      <c r="BK67" s="987"/>
      <c r="BL67" s="987"/>
      <c r="BM67" s="988"/>
      <c r="BN67" s="987"/>
      <c r="BO67" s="987"/>
      <c r="BP67" s="987"/>
      <c r="BQ67" s="987"/>
      <c r="BR67" s="987"/>
      <c r="BS67" s="987"/>
      <c r="BT67" s="987"/>
      <c r="BU67" s="988"/>
      <c r="BV67" s="987"/>
      <c r="BW67" s="987"/>
      <c r="BX67" s="987"/>
      <c r="BY67" s="987"/>
      <c r="BZ67" s="987"/>
      <c r="CA67" s="987"/>
      <c r="CB67" s="987"/>
      <c r="CC67" s="988"/>
      <c r="CD67" s="987"/>
      <c r="CE67" s="987"/>
      <c r="CF67" s="1155"/>
      <c r="CG67" s="1015"/>
      <c r="CH67" s="1015"/>
      <c r="CI67" s="1015"/>
      <c r="CJ67" s="1155"/>
      <c r="CK67" s="1156"/>
      <c r="CL67" s="1015"/>
      <c r="CM67" s="1015"/>
      <c r="CN67" s="1155"/>
      <c r="CO67" s="1015"/>
      <c r="CP67" s="1015"/>
      <c r="CQ67" s="1015"/>
      <c r="CR67" s="1155"/>
      <c r="CS67" s="1156"/>
      <c r="CT67" s="1015"/>
      <c r="CU67" s="1015"/>
      <c r="CV67" s="1155"/>
      <c r="CW67" s="1015"/>
      <c r="CX67" s="1015"/>
      <c r="CY67" s="1015"/>
      <c r="CZ67" s="1155"/>
      <c r="DA67" s="1156"/>
      <c r="DB67" s="1015"/>
      <c r="DC67" s="1015"/>
      <c r="DD67" s="1155"/>
      <c r="DE67" s="1015"/>
      <c r="DF67" s="1015"/>
      <c r="DG67" s="1015"/>
      <c r="DH67" s="1155"/>
      <c r="DI67" s="1156"/>
      <c r="DL67" s="1155"/>
      <c r="DM67" s="1015"/>
      <c r="DN67" s="1015"/>
      <c r="DO67" s="1015"/>
      <c r="DP67" s="1155"/>
      <c r="DQ67" s="1156"/>
      <c r="DR67"/>
      <c r="DT67" s="1155"/>
      <c r="DU67" s="1015"/>
      <c r="DV67" s="1015"/>
      <c r="DW67" s="1015"/>
      <c r="DX67" s="1155"/>
      <c r="DY67" s="1156"/>
      <c r="EM67" s="1419"/>
    </row>
    <row r="68" spans="1:143" ht="14.25" hidden="1" customHeight="1" outlineLevel="1">
      <c r="A68" s="249" t="s">
        <v>744</v>
      </c>
      <c r="B68" s="986"/>
      <c r="C68" s="987"/>
      <c r="D68" s="987"/>
      <c r="E68" s="987"/>
      <c r="F68" s="987"/>
      <c r="G68" s="987"/>
      <c r="H68" s="987"/>
      <c r="I68" s="988"/>
      <c r="J68" s="987"/>
      <c r="K68" s="987"/>
      <c r="L68" s="987"/>
      <c r="M68" s="987"/>
      <c r="N68" s="987"/>
      <c r="O68" s="987"/>
      <c r="P68" s="987"/>
      <c r="Q68" s="988"/>
      <c r="R68" s="987"/>
      <c r="S68" s="987"/>
      <c r="T68" s="987"/>
      <c r="U68" s="987"/>
      <c r="V68" s="987"/>
      <c r="W68" s="987"/>
      <c r="X68" s="987"/>
      <c r="Y68" s="988"/>
      <c r="Z68" s="987"/>
      <c r="AA68" s="987"/>
      <c r="AB68" s="987"/>
      <c r="AC68" s="987"/>
      <c r="AD68" s="987"/>
      <c r="AE68" s="987"/>
      <c r="AF68" s="987"/>
      <c r="AG68" s="988"/>
      <c r="AH68" s="987"/>
      <c r="AI68" s="987"/>
      <c r="AJ68" s="987"/>
      <c r="AK68" s="987"/>
      <c r="AL68" s="987"/>
      <c r="AM68" s="987"/>
      <c r="AN68" s="987"/>
      <c r="AO68" s="988"/>
      <c r="AP68" s="987"/>
      <c r="AQ68" s="987"/>
      <c r="AR68" s="987"/>
      <c r="AS68" s="987"/>
      <c r="AT68" s="987"/>
      <c r="AU68" s="987"/>
      <c r="AV68" s="987"/>
      <c r="AW68" s="988"/>
      <c r="AX68" s="987"/>
      <c r="AY68" s="987"/>
      <c r="AZ68" s="987"/>
      <c r="BA68" s="987"/>
      <c r="BB68" s="987"/>
      <c r="BC68" s="987"/>
      <c r="BD68" s="987"/>
      <c r="BE68" s="988"/>
      <c r="BF68" s="987"/>
      <c r="BG68" s="987"/>
      <c r="BH68" s="987"/>
      <c r="BI68" s="987"/>
      <c r="BJ68" s="987"/>
      <c r="BK68" s="987"/>
      <c r="BL68" s="987"/>
      <c r="BM68" s="988"/>
      <c r="BN68" s="987"/>
      <c r="BO68" s="987"/>
      <c r="BP68" s="987"/>
      <c r="BQ68" s="987"/>
      <c r="BR68" s="987"/>
      <c r="BS68" s="987"/>
      <c r="BT68" s="987"/>
      <c r="BU68" s="988"/>
      <c r="BV68" s="987"/>
      <c r="BW68" s="987"/>
      <c r="BX68" s="987"/>
      <c r="BY68" s="987"/>
      <c r="BZ68" s="987"/>
      <c r="CA68" s="987"/>
      <c r="CB68" s="987"/>
      <c r="CC68" s="988"/>
      <c r="CD68" s="987"/>
      <c r="CE68" s="987"/>
      <c r="CF68" s="1155"/>
      <c r="CG68" s="1015"/>
      <c r="CH68" s="1015"/>
      <c r="CI68" s="1015"/>
      <c r="CJ68" s="1155"/>
      <c r="CK68" s="1156"/>
      <c r="CL68" s="1015"/>
      <c r="CM68" s="1015"/>
      <c r="CN68" s="1155"/>
      <c r="CO68" s="1015"/>
      <c r="CP68" s="1015"/>
      <c r="CQ68" s="1015"/>
      <c r="CR68" s="1155"/>
      <c r="CS68" s="1156"/>
      <c r="CT68" s="1015"/>
      <c r="CU68" s="1015"/>
      <c r="CV68" s="1155"/>
      <c r="CW68" s="1015"/>
      <c r="CX68" s="1015"/>
      <c r="CY68" s="1015"/>
      <c r="CZ68" s="1155"/>
      <c r="DA68" s="1156"/>
      <c r="DB68" s="1015"/>
      <c r="DC68" s="1015"/>
      <c r="DD68" s="1155"/>
      <c r="DE68" s="1015"/>
      <c r="DF68" s="1015"/>
      <c r="DG68" s="1015"/>
      <c r="DH68" s="1155"/>
      <c r="DI68" s="1156"/>
      <c r="DL68" s="1155"/>
      <c r="DM68" s="1015"/>
      <c r="DN68" s="1015"/>
      <c r="DO68" s="1015"/>
      <c r="DP68" s="1155"/>
      <c r="DQ68" s="1156"/>
      <c r="DR68"/>
      <c r="DT68" s="1155"/>
      <c r="DU68" s="1015"/>
      <c r="DV68" s="1015"/>
      <c r="DW68" s="1015"/>
      <c r="DX68" s="1155"/>
      <c r="DY68" s="1156"/>
      <c r="EM68" s="1419"/>
    </row>
    <row r="69" spans="1:143" ht="14.25" hidden="1" customHeight="1" outlineLevel="1">
      <c r="A69" s="249" t="s">
        <v>1070</v>
      </c>
      <c r="B69" s="986"/>
      <c r="C69" s="987"/>
      <c r="D69" s="987"/>
      <c r="E69" s="987"/>
      <c r="F69" s="987"/>
      <c r="G69" s="987"/>
      <c r="H69" s="987"/>
      <c r="I69" s="988"/>
      <c r="J69" s="987"/>
      <c r="K69" s="987"/>
      <c r="L69" s="987"/>
      <c r="M69" s="987"/>
      <c r="N69" s="987"/>
      <c r="O69" s="987"/>
      <c r="P69" s="987"/>
      <c r="Q69" s="988"/>
      <c r="R69" s="987"/>
      <c r="S69" s="987"/>
      <c r="T69" s="987"/>
      <c r="U69" s="987"/>
      <c r="V69" s="987"/>
      <c r="W69" s="987"/>
      <c r="X69" s="987"/>
      <c r="Y69" s="988"/>
      <c r="Z69" s="987"/>
      <c r="AA69" s="987"/>
      <c r="AB69" s="987"/>
      <c r="AC69" s="987"/>
      <c r="AD69" s="987"/>
      <c r="AE69" s="987"/>
      <c r="AF69" s="987"/>
      <c r="AG69" s="988"/>
      <c r="AH69" s="987"/>
      <c r="AI69" s="987"/>
      <c r="AJ69" s="987"/>
      <c r="AK69" s="987"/>
      <c r="AL69" s="987"/>
      <c r="AM69" s="987"/>
      <c r="AN69" s="987"/>
      <c r="AO69" s="988"/>
      <c r="AP69" s="987"/>
      <c r="AQ69" s="987"/>
      <c r="AR69" s="987"/>
      <c r="AS69" s="987"/>
      <c r="AT69" s="987"/>
      <c r="AU69" s="987"/>
      <c r="AV69" s="987"/>
      <c r="AW69" s="988"/>
      <c r="AX69" s="987"/>
      <c r="AY69" s="987"/>
      <c r="AZ69" s="987"/>
      <c r="BA69" s="987"/>
      <c r="BB69" s="987"/>
      <c r="BC69" s="987"/>
      <c r="BD69" s="987"/>
      <c r="BE69" s="988"/>
      <c r="BF69" s="987"/>
      <c r="BG69" s="987"/>
      <c r="BH69" s="987"/>
      <c r="BI69" s="987"/>
      <c r="BJ69" s="987"/>
      <c r="BK69" s="987"/>
      <c r="BL69" s="987"/>
      <c r="BM69" s="988"/>
      <c r="BN69" s="987"/>
      <c r="BO69" s="987"/>
      <c r="BP69" s="987"/>
      <c r="BQ69" s="987"/>
      <c r="BR69" s="987"/>
      <c r="BS69" s="987"/>
      <c r="BT69" s="987"/>
      <c r="BU69" s="988"/>
      <c r="BV69" s="987"/>
      <c r="BW69" s="987"/>
      <c r="BX69" s="987"/>
      <c r="BY69" s="987"/>
      <c r="BZ69" s="987"/>
      <c r="CA69" s="987"/>
      <c r="CB69" s="987"/>
      <c r="CC69" s="988"/>
      <c r="CD69" s="987"/>
      <c r="CE69" s="987"/>
      <c r="CF69" s="1155"/>
      <c r="CG69" s="1015"/>
      <c r="CH69" s="1015"/>
      <c r="CI69" s="1015"/>
      <c r="CJ69" s="1155"/>
      <c r="CK69" s="1156"/>
      <c r="CL69" s="1015"/>
      <c r="CM69" s="1015"/>
      <c r="CN69" s="1155"/>
      <c r="CO69" s="1015"/>
      <c r="CP69" s="1015"/>
      <c r="CQ69" s="1015"/>
      <c r="CR69" s="1155"/>
      <c r="CS69" s="1156"/>
      <c r="CT69" s="1015"/>
      <c r="CU69" s="1015"/>
      <c r="CV69" s="1155"/>
      <c r="CW69" s="1015"/>
      <c r="CX69" s="1015"/>
      <c r="CY69" s="1015"/>
      <c r="CZ69" s="1155"/>
      <c r="DA69" s="1156"/>
      <c r="DB69" s="1015"/>
      <c r="DC69" s="1015"/>
      <c r="DD69" s="1155"/>
      <c r="DE69" s="1015"/>
      <c r="DF69" s="1015"/>
      <c r="DG69" s="1015"/>
      <c r="DH69" s="1155"/>
      <c r="DI69" s="1156"/>
      <c r="DL69" s="1155"/>
      <c r="DM69" s="1015"/>
      <c r="DN69" s="1015"/>
      <c r="DO69" s="1015"/>
      <c r="DP69" s="1155"/>
      <c r="DQ69" s="1156"/>
      <c r="DR69"/>
      <c r="DT69" s="1155"/>
      <c r="DU69" s="1015"/>
      <c r="DV69" s="1015"/>
      <c r="DW69" s="1015"/>
      <c r="DX69" s="1155"/>
      <c r="DY69" s="1156"/>
      <c r="EM69" s="1419"/>
    </row>
    <row r="70" spans="1:143" collapsed="1">
      <c r="A70" s="19" t="s">
        <v>1572</v>
      </c>
      <c r="B70" s="986"/>
      <c r="C70" s="987"/>
      <c r="D70" s="987"/>
      <c r="E70" s="987"/>
      <c r="F70" s="987"/>
      <c r="G70" s="987"/>
      <c r="H70" s="987"/>
      <c r="I70" s="988"/>
      <c r="J70" s="987"/>
      <c r="K70" s="987"/>
      <c r="L70" s="987"/>
      <c r="M70" s="987"/>
      <c r="N70" s="987"/>
      <c r="O70" s="987"/>
      <c r="P70" s="987"/>
      <c r="Q70" s="988"/>
      <c r="R70" s="987"/>
      <c r="S70" s="987"/>
      <c r="T70" s="987"/>
      <c r="U70" s="987"/>
      <c r="V70" s="987"/>
      <c r="W70" s="987"/>
      <c r="X70" s="987"/>
      <c r="Y70" s="988"/>
      <c r="Z70" s="987"/>
      <c r="AA70" s="987"/>
      <c r="AB70" s="987"/>
      <c r="AC70" s="987"/>
      <c r="AD70" s="987"/>
      <c r="AE70" s="987"/>
      <c r="AF70" s="987"/>
      <c r="AG70" s="988"/>
      <c r="AH70" s="987"/>
      <c r="AI70" s="987"/>
      <c r="AJ70" s="987"/>
      <c r="AK70" s="987"/>
      <c r="AL70" s="987"/>
      <c r="AM70" s="987"/>
      <c r="AN70" s="987"/>
      <c r="AO70" s="988"/>
      <c r="AP70" s="987"/>
      <c r="AQ70" s="987"/>
      <c r="AR70" s="987"/>
      <c r="AS70" s="987"/>
      <c r="AT70" s="987"/>
      <c r="AU70" s="987"/>
      <c r="AV70" s="987"/>
      <c r="AW70" s="988"/>
      <c r="AX70" s="987"/>
      <c r="AY70" s="987"/>
      <c r="AZ70" s="987"/>
      <c r="BA70" s="987"/>
      <c r="BB70" s="987"/>
      <c r="BC70" s="987"/>
      <c r="BD70" s="987"/>
      <c r="BE70" s="988"/>
      <c r="BF70" s="987"/>
      <c r="BG70" s="987"/>
      <c r="BH70" s="987"/>
      <c r="BI70" s="987"/>
      <c r="BJ70" s="987"/>
      <c r="BK70" s="987"/>
      <c r="BL70" s="987"/>
      <c r="BM70" s="988"/>
      <c r="BN70" s="987"/>
      <c r="BO70" s="987"/>
      <c r="BP70" s="987"/>
      <c r="BQ70" s="987"/>
      <c r="BR70" s="987"/>
      <c r="BS70" s="987"/>
      <c r="BT70" s="987"/>
      <c r="BU70" s="988"/>
      <c r="BV70" s="987"/>
      <c r="BW70" s="987"/>
      <c r="BX70" s="987"/>
      <c r="BY70" s="987"/>
      <c r="BZ70" s="987"/>
      <c r="CA70" s="987"/>
      <c r="CB70" s="987"/>
      <c r="CC70" s="988"/>
      <c r="CD70" s="987"/>
      <c r="CE70" s="987"/>
      <c r="CF70" s="1155"/>
      <c r="CG70" s="1015"/>
      <c r="CH70" s="1015"/>
      <c r="CI70" s="1015"/>
      <c r="CJ70" s="1155"/>
      <c r="CK70" s="1156"/>
      <c r="CL70" s="1015"/>
      <c r="CM70" s="1015"/>
      <c r="CN70" s="1155">
        <f>(CN44/CF44)-1</f>
        <v>0.52222222222222214</v>
      </c>
      <c r="CO70" s="1015"/>
      <c r="CP70" s="1015"/>
      <c r="CQ70" s="1015"/>
      <c r="CR70" s="1155">
        <f t="shared" ref="CR70:CS70" si="414">(CR44/CJ44)-1</f>
        <v>0.21842105263157885</v>
      </c>
      <c r="CS70" s="1156">
        <f t="shared" si="414"/>
        <v>0.34461538461538455</v>
      </c>
      <c r="CT70" s="1015"/>
      <c r="CU70" s="1015"/>
      <c r="CV70" s="1155">
        <f>(CV44/CN44)-1</f>
        <v>0.13381995133819946</v>
      </c>
      <c r="CW70" s="1015"/>
      <c r="CX70" s="1015"/>
      <c r="CY70" s="1015"/>
      <c r="CZ70" s="1155">
        <f t="shared" ref="CZ70:CZ71" si="415">(CZ44/CR44)-1</f>
        <v>0.13606911447084236</v>
      </c>
      <c r="DA70" s="1156">
        <f t="shared" ref="DA70:DA71" si="416">(DA44/CS44)-1</f>
        <v>0.13501144164759715</v>
      </c>
      <c r="DB70" s="1015"/>
      <c r="DC70" s="1015"/>
      <c r="DD70" s="1155">
        <f>(DD44/CV44)-1</f>
        <v>0.40987124463519309</v>
      </c>
      <c r="DE70" s="1015"/>
      <c r="DF70" s="1015"/>
      <c r="DG70" s="1015"/>
      <c r="DH70" s="1155">
        <f t="shared" ref="DH70:DH71" si="417">(DH44/CZ44)-1</f>
        <v>0.21863117870722437</v>
      </c>
      <c r="DI70" s="1156">
        <f t="shared" ref="DI70:DI71" si="418">(DI44/DA44)-1</f>
        <v>0.30846774193548376</v>
      </c>
      <c r="DL70" s="1155">
        <f>(DL44/DD44)-1</f>
        <v>7.0015220700152314E-2</v>
      </c>
      <c r="DM70" s="1015"/>
      <c r="DN70" s="1015"/>
      <c r="DO70" s="1015"/>
      <c r="DP70" s="1155">
        <f t="shared" ref="DP70:DP71" si="419">(DP44/DH44)-1</f>
        <v>0.34647512437653338</v>
      </c>
      <c r="DQ70" s="1156">
        <f t="shared" ref="DQ70:DQ71" si="420">(DQ44/DI44)-1</f>
        <v>0.20654125941861157</v>
      </c>
      <c r="DR70"/>
      <c r="DT70" s="1155">
        <f>(DT44/DL44)-1</f>
        <v>0.40598661633769662</v>
      </c>
      <c r="DU70" s="1015"/>
      <c r="DV70" s="1015"/>
      <c r="DW70" s="1015"/>
      <c r="DX70" s="1155">
        <f t="shared" ref="DX70:DX71" si="421">(DX44/DP44)-1</f>
        <v>0.11730774103876951</v>
      </c>
      <c r="DY70" s="1156">
        <f t="shared" ref="DY70:DY71" si="422">(DY44/DQ44)-1</f>
        <v>0.24689236098479506</v>
      </c>
      <c r="EM70" s="1419"/>
    </row>
    <row r="71" spans="1:143">
      <c r="A71" s="19" t="s">
        <v>1093</v>
      </c>
      <c r="B71" s="986"/>
      <c r="C71" s="987"/>
      <c r="D71" s="987"/>
      <c r="E71" s="987"/>
      <c r="F71" s="987"/>
      <c r="G71" s="987"/>
      <c r="H71" s="987"/>
      <c r="I71" s="988"/>
      <c r="J71" s="987"/>
      <c r="K71" s="987"/>
      <c r="L71" s="987"/>
      <c r="M71" s="987"/>
      <c r="N71" s="987"/>
      <c r="O71" s="987"/>
      <c r="P71" s="987"/>
      <c r="Q71" s="988"/>
      <c r="R71" s="987"/>
      <c r="S71" s="987"/>
      <c r="T71" s="987"/>
      <c r="U71" s="987"/>
      <c r="V71" s="987"/>
      <c r="W71" s="987"/>
      <c r="X71" s="987"/>
      <c r="Y71" s="988"/>
      <c r="Z71" s="987"/>
      <c r="AA71" s="987"/>
      <c r="AB71" s="987"/>
      <c r="AC71" s="987"/>
      <c r="AD71" s="987"/>
      <c r="AE71" s="987"/>
      <c r="AF71" s="987"/>
      <c r="AG71" s="988"/>
      <c r="AH71" s="987"/>
      <c r="AI71" s="987"/>
      <c r="AJ71" s="987"/>
      <c r="AK71" s="987"/>
      <c r="AL71" s="987"/>
      <c r="AM71" s="987"/>
      <c r="AN71" s="987"/>
      <c r="AO71" s="988"/>
      <c r="AP71" s="987"/>
      <c r="AQ71" s="987"/>
      <c r="AR71" s="987"/>
      <c r="AS71" s="987"/>
      <c r="AT71" s="987"/>
      <c r="AU71" s="987"/>
      <c r="AV71" s="987"/>
      <c r="AW71" s="988"/>
      <c r="AX71" s="987"/>
      <c r="AY71" s="987"/>
      <c r="AZ71" s="987"/>
      <c r="BA71" s="987"/>
      <c r="BB71" s="987"/>
      <c r="BC71" s="987"/>
      <c r="BD71" s="987"/>
      <c r="BE71" s="988"/>
      <c r="BF71" s="987"/>
      <c r="BG71" s="987"/>
      <c r="BH71" s="987"/>
      <c r="BI71" s="987"/>
      <c r="BJ71" s="987"/>
      <c r="BK71" s="987"/>
      <c r="BL71" s="987"/>
      <c r="BM71" s="988"/>
      <c r="BN71" s="987"/>
      <c r="BO71" s="987"/>
      <c r="BP71" s="987"/>
      <c r="BQ71" s="987"/>
      <c r="BR71" s="987"/>
      <c r="BS71" s="987"/>
      <c r="BT71" s="987"/>
      <c r="BU71" s="988"/>
      <c r="BV71" s="987"/>
      <c r="BW71" s="987"/>
      <c r="BX71" s="987"/>
      <c r="BY71" s="987"/>
      <c r="BZ71" s="987"/>
      <c r="CA71" s="987"/>
      <c r="CB71" s="987"/>
      <c r="CC71" s="988"/>
      <c r="CD71" s="987"/>
      <c r="CE71" s="987"/>
      <c r="CF71" s="1155"/>
      <c r="CG71" s="1015"/>
      <c r="CH71" s="1015"/>
      <c r="CI71" s="1015"/>
      <c r="CJ71" s="1155"/>
      <c r="CK71" s="1156"/>
      <c r="CL71" s="1015"/>
      <c r="CM71" s="1015"/>
      <c r="CN71" s="1155">
        <f>(CN45/CF45)-1</f>
        <v>-0.25454545454545452</v>
      </c>
      <c r="CO71" s="1015"/>
      <c r="CP71" s="1015"/>
      <c r="CQ71" s="1015"/>
      <c r="CR71" s="1155">
        <f t="shared" ref="CR71:CS71" si="423">(CR45/CJ45)-1</f>
        <v>1.7543859649122862E-2</v>
      </c>
      <c r="CS71" s="1156">
        <f t="shared" si="423"/>
        <v>-0.16167664670658688</v>
      </c>
      <c r="CT71" s="1015"/>
      <c r="CU71" s="1015"/>
      <c r="CV71" s="1155">
        <f>(CV45/CN45)-1</f>
        <v>0.21951219512195119</v>
      </c>
      <c r="CW71" s="1015"/>
      <c r="CX71" s="1015"/>
      <c r="CY71" s="1015"/>
      <c r="CZ71" s="1155">
        <f t="shared" si="415"/>
        <v>-0.72413793103448276</v>
      </c>
      <c r="DA71" s="1156">
        <f t="shared" si="416"/>
        <v>-0.17142857142857137</v>
      </c>
      <c r="DB71" s="1015"/>
      <c r="DC71" s="1015"/>
      <c r="DD71" s="1155">
        <f>(DD45/CV45)-1</f>
        <v>-1.1000000000000001</v>
      </c>
      <c r="DE71" s="1015"/>
      <c r="DF71" s="1015"/>
      <c r="DG71" s="1015"/>
      <c r="DH71" s="1155">
        <f t="shared" si="417"/>
        <v>-2.0625</v>
      </c>
      <c r="DI71" s="1156">
        <f t="shared" si="418"/>
        <v>-1.2327586206896552</v>
      </c>
      <c r="DL71" s="1155">
        <f>(DL45/DD45)-1</f>
        <v>1.7000000000000002</v>
      </c>
      <c r="DM71" s="1015"/>
      <c r="DN71" s="1015"/>
      <c r="DO71" s="1015"/>
      <c r="DP71" s="1155">
        <f t="shared" si="419"/>
        <v>3.6878126769838655</v>
      </c>
      <c r="DQ71" s="1156">
        <f t="shared" si="420"/>
        <v>2.951585759582434</v>
      </c>
      <c r="DR71"/>
      <c r="DT71" s="1155">
        <f>(DT45/DL45)-1</f>
        <v>1.7507737484829309</v>
      </c>
      <c r="DU71" s="1015"/>
      <c r="DV71" s="1015"/>
      <c r="DW71" s="1015"/>
      <c r="DX71" s="1155">
        <f t="shared" si="421"/>
        <v>0.58433999664050051</v>
      </c>
      <c r="DY71" s="1156">
        <f t="shared" si="422"/>
        <v>0.87952117776857697</v>
      </c>
      <c r="EM71" s="1419"/>
    </row>
    <row r="72" spans="1:143">
      <c r="A72" s="19" t="s">
        <v>898</v>
      </c>
      <c r="B72" s="986"/>
      <c r="C72" s="987"/>
      <c r="D72" s="987"/>
      <c r="E72" s="987"/>
      <c r="F72" s="987"/>
      <c r="G72" s="987"/>
      <c r="H72" s="987"/>
      <c r="I72" s="988"/>
      <c r="J72" s="987"/>
      <c r="K72" s="987"/>
      <c r="L72" s="987"/>
      <c r="M72" s="987"/>
      <c r="N72" s="987"/>
      <c r="O72" s="987"/>
      <c r="P72" s="987"/>
      <c r="Q72" s="988"/>
      <c r="R72" s="987"/>
      <c r="S72" s="987"/>
      <c r="T72" s="987"/>
      <c r="U72" s="987"/>
      <c r="V72" s="987"/>
      <c r="W72" s="987"/>
      <c r="X72" s="987"/>
      <c r="Y72" s="988"/>
      <c r="Z72" s="987"/>
      <c r="AA72" s="987"/>
      <c r="AB72" s="987"/>
      <c r="AC72" s="987"/>
      <c r="AD72" s="987"/>
      <c r="AE72" s="987"/>
      <c r="AF72" s="987"/>
      <c r="AG72" s="988"/>
      <c r="AH72" s="987"/>
      <c r="AI72" s="987"/>
      <c r="AJ72" s="987"/>
      <c r="AK72" s="987"/>
      <c r="AL72" s="987"/>
      <c r="AM72" s="987"/>
      <c r="AN72" s="987"/>
      <c r="AO72" s="988"/>
      <c r="AP72" s="987"/>
      <c r="AQ72" s="987"/>
      <c r="AR72" s="987"/>
      <c r="AS72" s="987"/>
      <c r="AT72" s="987"/>
      <c r="AU72" s="987"/>
      <c r="AV72" s="987"/>
      <c r="AW72" s="988"/>
      <c r="AX72" s="987"/>
      <c r="AY72" s="987"/>
      <c r="AZ72" s="987"/>
      <c r="BA72" s="987"/>
      <c r="BB72" s="987"/>
      <c r="BC72" s="987"/>
      <c r="BD72" s="987"/>
      <c r="BE72" s="988"/>
      <c r="BF72" s="987"/>
      <c r="BG72" s="987"/>
      <c r="BH72" s="987"/>
      <c r="BI72" s="987"/>
      <c r="BJ72" s="987"/>
      <c r="BK72" s="987"/>
      <c r="BL72" s="987"/>
      <c r="BM72" s="988"/>
      <c r="BN72" s="987"/>
      <c r="BO72" s="987"/>
      <c r="BP72" s="987"/>
      <c r="BQ72" s="987"/>
      <c r="BR72" s="987"/>
      <c r="BS72" s="987"/>
      <c r="BT72" s="987"/>
      <c r="BU72" s="988"/>
      <c r="BV72" s="987"/>
      <c r="BW72" s="987"/>
      <c r="BX72" s="987"/>
      <c r="BY72" s="987"/>
      <c r="BZ72" s="987"/>
      <c r="CA72" s="987"/>
      <c r="CB72" s="987"/>
      <c r="CC72" s="988"/>
      <c r="CD72" s="987"/>
      <c r="CE72" s="987"/>
      <c r="CF72" s="987"/>
      <c r="CL72" s="1015"/>
      <c r="CM72" s="1015"/>
      <c r="CN72" s="987"/>
      <c r="CR72" s="987"/>
      <c r="CS72" s="988"/>
      <c r="CT72" s="1015"/>
      <c r="CU72" s="1015"/>
      <c r="CV72" s="987"/>
      <c r="CZ72" s="987"/>
      <c r="DA72" s="988"/>
      <c r="DB72" s="1015"/>
      <c r="DC72" s="1015"/>
      <c r="DD72" s="987"/>
      <c r="DH72" s="987"/>
      <c r="DI72" s="988"/>
      <c r="DP72" s="987"/>
      <c r="DQ72" s="988"/>
      <c r="DR72"/>
      <c r="DT72" s="987"/>
      <c r="DX72" s="987"/>
      <c r="DY72" s="988"/>
      <c r="EM72" s="1419"/>
    </row>
    <row r="73" spans="1:143">
      <c r="A73" s="19" t="s">
        <v>752</v>
      </c>
      <c r="B73" s="986"/>
      <c r="C73" s="987"/>
      <c r="D73" s="987"/>
      <c r="E73" s="987"/>
      <c r="F73" s="987"/>
      <c r="G73" s="987"/>
      <c r="H73" s="987"/>
      <c r="I73" s="988"/>
      <c r="J73" s="987"/>
      <c r="K73" s="987"/>
      <c r="L73" s="987"/>
      <c r="M73" s="987"/>
      <c r="N73" s="987"/>
      <c r="O73" s="987"/>
      <c r="P73" s="987"/>
      <c r="Q73" s="988"/>
      <c r="R73" s="987"/>
      <c r="S73" s="987"/>
      <c r="T73" s="987"/>
      <c r="U73" s="987"/>
      <c r="V73" s="987"/>
      <c r="W73" s="987"/>
      <c r="X73" s="987"/>
      <c r="Y73" s="988"/>
      <c r="Z73" s="987"/>
      <c r="AA73" s="987"/>
      <c r="AB73" s="987"/>
      <c r="AC73" s="987"/>
      <c r="AD73" s="987"/>
      <c r="AE73" s="987"/>
      <c r="AF73" s="987"/>
      <c r="AG73" s="988"/>
      <c r="AH73" s="987"/>
      <c r="AI73" s="987"/>
      <c r="AJ73" s="987"/>
      <c r="AK73" s="987"/>
      <c r="AL73" s="987"/>
      <c r="AM73" s="987"/>
      <c r="AN73" s="987"/>
      <c r="AO73" s="988"/>
      <c r="AP73" s="987"/>
      <c r="AQ73" s="987"/>
      <c r="AR73" s="987"/>
      <c r="AS73" s="987"/>
      <c r="AT73" s="987"/>
      <c r="AU73" s="987"/>
      <c r="AV73" s="987"/>
      <c r="AW73" s="988"/>
      <c r="AX73" s="987"/>
      <c r="AY73" s="987"/>
      <c r="AZ73" s="987"/>
      <c r="BA73" s="987"/>
      <c r="BB73" s="987"/>
      <c r="BC73" s="987"/>
      <c r="BD73" s="987"/>
      <c r="BE73" s="988"/>
      <c r="BF73" s="987"/>
      <c r="BG73" s="987"/>
      <c r="BH73" s="987"/>
      <c r="BI73" s="987"/>
      <c r="BJ73" s="987"/>
      <c r="BK73" s="987"/>
      <c r="BL73" s="987"/>
      <c r="BM73" s="988"/>
      <c r="BN73" s="987"/>
      <c r="BO73" s="987"/>
      <c r="BP73" s="987"/>
      <c r="BQ73" s="987"/>
      <c r="BR73" s="987"/>
      <c r="BS73" s="987"/>
      <c r="BT73" s="987"/>
      <c r="BU73" s="988"/>
      <c r="BV73" s="987"/>
      <c r="BW73" s="987"/>
      <c r="BX73" s="987"/>
      <c r="BY73" s="987"/>
      <c r="BZ73" s="987"/>
      <c r="CA73" s="987"/>
      <c r="CB73" s="987"/>
      <c r="CC73" s="988"/>
      <c r="CD73" s="987"/>
      <c r="CE73" s="987"/>
      <c r="CF73" s="987"/>
      <c r="CL73" s="987"/>
      <c r="CM73" s="987"/>
      <c r="CN73" s="1155">
        <f>(CN47/CF47)-1</f>
        <v>0</v>
      </c>
      <c r="CR73" s="1155">
        <f t="shared" ref="CR73:CS73" si="424">(CR47/CJ47)-1</f>
        <v>1.0666666666666669</v>
      </c>
      <c r="CS73" s="1156">
        <f t="shared" si="424"/>
        <v>0.8</v>
      </c>
      <c r="CT73" s="987"/>
      <c r="CU73" s="987"/>
      <c r="CV73" s="1155">
        <f>(CV47/CN47)-1</f>
        <v>3</v>
      </c>
      <c r="CZ73" s="1155">
        <f t="shared" ref="CZ73" si="425">(CZ47/CR47)-1</f>
        <v>1.5806451612903225</v>
      </c>
      <c r="DA73" s="1156">
        <f t="shared" ref="DA73" si="426">(DA47/CS47)-1</f>
        <v>1.7777777777777777</v>
      </c>
      <c r="DB73" s="987"/>
      <c r="DC73" s="987"/>
      <c r="DD73" s="1155">
        <f>(DD47/CV47)-1</f>
        <v>-2.1</v>
      </c>
      <c r="DH73" s="1155">
        <f t="shared" ref="DH73" si="427">(DH47/CZ47)-1</f>
        <v>-0.41249999999999998</v>
      </c>
      <c r="DI73" s="1156">
        <f t="shared" ref="DI73" si="428">(DI47/DA47)-1</f>
        <v>-0.75</v>
      </c>
      <c r="DL73" s="1155">
        <f>(DL47/DD47)-1</f>
        <v>0</v>
      </c>
      <c r="DP73" s="1155">
        <f t="shared" ref="DP73" si="429">(DP47/DH47)-1</f>
        <v>8.2552611523239117E-2</v>
      </c>
      <c r="DQ73" s="1156">
        <f t="shared" ref="DQ73" si="430">(DQ47/DI47)-1</f>
        <v>0.15519890966368943</v>
      </c>
      <c r="DR73"/>
      <c r="DT73" s="1155">
        <f>(DT47/DL47)-1</f>
        <v>0</v>
      </c>
      <c r="DX73" s="1155">
        <f t="shared" ref="DX73" si="431">(DX47/DP47)-1</f>
        <v>7.3695911601385777E-2</v>
      </c>
      <c r="DY73" s="1156">
        <f t="shared" ref="DY73" si="432">(DY47/DQ47)-1</f>
        <v>0.12983550943748479</v>
      </c>
    </row>
    <row r="74" spans="1:143" hidden="1" outlineLevel="1">
      <c r="A74" s="19" t="s">
        <v>897</v>
      </c>
      <c r="B74" s="986"/>
      <c r="C74" s="987"/>
      <c r="D74" s="987"/>
      <c r="E74" s="987"/>
      <c r="F74" s="987"/>
      <c r="G74" s="987"/>
      <c r="H74" s="987"/>
      <c r="I74" s="988"/>
      <c r="J74" s="987"/>
      <c r="K74" s="987"/>
      <c r="L74" s="987"/>
      <c r="M74" s="987"/>
      <c r="N74" s="987"/>
      <c r="O74" s="987"/>
      <c r="P74" s="987"/>
      <c r="Q74" s="988"/>
      <c r="R74" s="987"/>
      <c r="S74" s="987"/>
      <c r="T74" s="987"/>
      <c r="U74" s="987"/>
      <c r="V74" s="987"/>
      <c r="W74" s="987"/>
      <c r="X74" s="987"/>
      <c r="Y74" s="988"/>
      <c r="Z74" s="987"/>
      <c r="AA74" s="987"/>
      <c r="AB74" s="987"/>
      <c r="AC74" s="987"/>
      <c r="AD74" s="987"/>
      <c r="AE74" s="987"/>
      <c r="AF74" s="987"/>
      <c r="AG74" s="988"/>
      <c r="AH74" s="987"/>
      <c r="AI74" s="987"/>
      <c r="AJ74" s="987"/>
      <c r="AK74" s="987"/>
      <c r="AL74" s="987"/>
      <c r="AM74" s="987"/>
      <c r="AN74" s="987"/>
      <c r="AO74" s="988"/>
      <c r="AP74" s="987"/>
      <c r="AQ74" s="987"/>
      <c r="AR74" s="987"/>
      <c r="AS74" s="987"/>
      <c r="AT74" s="987"/>
      <c r="AU74" s="987"/>
      <c r="AV74" s="987"/>
      <c r="AW74" s="988"/>
      <c r="AX74" s="987"/>
      <c r="AY74" s="987"/>
      <c r="AZ74" s="987"/>
      <c r="BA74" s="987"/>
      <c r="BB74" s="987"/>
      <c r="BC74" s="987"/>
      <c r="BD74" s="987"/>
      <c r="BE74" s="988"/>
      <c r="BF74" s="987"/>
      <c r="BG74" s="987"/>
      <c r="BH74" s="987"/>
      <c r="BI74" s="987"/>
      <c r="BJ74" s="987"/>
      <c r="BK74" s="987"/>
      <c r="BL74" s="987"/>
      <c r="BM74" s="988"/>
      <c r="BN74" s="987"/>
      <c r="BO74" s="987"/>
      <c r="BP74" s="987"/>
      <c r="BQ74" s="987"/>
      <c r="BR74" s="987"/>
      <c r="BS74" s="987"/>
      <c r="BT74" s="987"/>
      <c r="BU74" s="988"/>
      <c r="BV74" s="987"/>
      <c r="BW74" s="987"/>
      <c r="BX74" s="987"/>
      <c r="BY74" s="987"/>
      <c r="BZ74" s="987"/>
      <c r="CA74" s="987"/>
      <c r="CB74" s="987"/>
      <c r="CC74" s="988"/>
      <c r="CD74" s="987"/>
      <c r="CE74" s="987"/>
      <c r="CF74" s="987"/>
      <c r="CL74" s="987"/>
      <c r="CM74" s="987"/>
      <c r="CN74" s="987"/>
      <c r="CR74" s="987"/>
      <c r="CS74" s="988"/>
      <c r="CT74" s="987"/>
      <c r="CU74" s="987"/>
      <c r="CV74" s="987"/>
      <c r="CZ74" s="987"/>
      <c r="DA74" s="988"/>
      <c r="DB74" s="987"/>
      <c r="DC74" s="987"/>
      <c r="DD74" s="987"/>
      <c r="DH74" s="987"/>
      <c r="DI74" s="988"/>
      <c r="DP74" s="987"/>
      <c r="DQ74" s="988"/>
      <c r="DR74"/>
      <c r="DT74" s="987"/>
      <c r="DX74" s="987"/>
      <c r="DY74" s="988"/>
    </row>
    <row r="75" spans="1:143" hidden="1" outlineLevel="1">
      <c r="A75" s="19" t="s">
        <v>743</v>
      </c>
      <c r="B75" s="986"/>
      <c r="C75" s="987"/>
      <c r="D75" s="987"/>
      <c r="E75" s="987"/>
      <c r="F75" s="987"/>
      <c r="G75" s="987"/>
      <c r="H75" s="987"/>
      <c r="I75" s="988"/>
      <c r="J75" s="987"/>
      <c r="K75" s="987"/>
      <c r="L75" s="987"/>
      <c r="M75" s="987"/>
      <c r="N75" s="987"/>
      <c r="O75" s="987"/>
      <c r="P75" s="987"/>
      <c r="Q75" s="988"/>
      <c r="R75" s="987"/>
      <c r="S75" s="987"/>
      <c r="T75" s="987"/>
      <c r="U75" s="987"/>
      <c r="V75" s="987"/>
      <c r="W75" s="987"/>
      <c r="X75" s="987"/>
      <c r="Y75" s="988"/>
      <c r="Z75" s="987"/>
      <c r="AA75" s="987"/>
      <c r="AB75" s="987"/>
      <c r="AC75" s="987"/>
      <c r="AD75" s="987"/>
      <c r="AE75" s="987"/>
      <c r="AF75" s="987"/>
      <c r="AG75" s="988"/>
      <c r="AH75" s="987"/>
      <c r="AI75" s="987"/>
      <c r="AJ75" s="987"/>
      <c r="AK75" s="987"/>
      <c r="AL75" s="987"/>
      <c r="AM75" s="987"/>
      <c r="AN75" s="987"/>
      <c r="AO75" s="988"/>
      <c r="AP75" s="987"/>
      <c r="AQ75" s="987"/>
      <c r="AR75" s="987"/>
      <c r="AS75" s="987"/>
      <c r="AT75" s="987"/>
      <c r="AU75" s="987"/>
      <c r="AV75" s="987"/>
      <c r="AW75" s="988"/>
      <c r="AX75" s="987"/>
      <c r="AY75" s="987"/>
      <c r="AZ75" s="987"/>
      <c r="BA75" s="987"/>
      <c r="BB75" s="987"/>
      <c r="BC75" s="987"/>
      <c r="BD75" s="987"/>
      <c r="BE75" s="988"/>
      <c r="BF75" s="987"/>
      <c r="BG75" s="987"/>
      <c r="BH75" s="987"/>
      <c r="BI75" s="987"/>
      <c r="BJ75" s="987"/>
      <c r="BK75" s="987"/>
      <c r="BL75" s="987"/>
      <c r="BM75" s="988"/>
      <c r="BN75" s="987"/>
      <c r="BO75" s="987"/>
      <c r="BP75" s="987"/>
      <c r="BQ75" s="987"/>
      <c r="BR75" s="987"/>
      <c r="BS75" s="987"/>
      <c r="BT75" s="987"/>
      <c r="BU75" s="988"/>
      <c r="BV75" s="987"/>
      <c r="BW75" s="987"/>
      <c r="BX75" s="987"/>
      <c r="BY75" s="987"/>
      <c r="BZ75" s="987"/>
      <c r="CA75" s="987"/>
      <c r="CB75" s="987"/>
      <c r="CC75" s="988"/>
      <c r="CD75" s="987"/>
      <c r="CE75" s="987"/>
      <c r="CF75" s="987"/>
      <c r="CL75" s="987"/>
      <c r="CM75" s="987"/>
      <c r="CN75" s="987"/>
      <c r="CR75" s="987"/>
      <c r="CS75" s="988"/>
      <c r="CT75" s="987"/>
      <c r="CU75" s="987"/>
      <c r="CV75" s="987"/>
      <c r="CZ75" s="987"/>
      <c r="DA75" s="988"/>
      <c r="DB75" s="987"/>
      <c r="DC75" s="987"/>
      <c r="DD75" s="987"/>
      <c r="DH75" s="987"/>
      <c r="DI75" s="988"/>
      <c r="DP75" s="987"/>
      <c r="DQ75" s="988"/>
      <c r="DR75"/>
      <c r="DT75" s="987"/>
      <c r="DX75" s="987"/>
      <c r="DY75" s="988"/>
    </row>
    <row r="76" spans="1:143" s="276" customFormat="1" ht="11.25" collapsed="1">
      <c r="A76" s="967" t="s">
        <v>916</v>
      </c>
      <c r="B76" s="968">
        <f t="shared" ref="B76:AM76" si="433">SUM(B66:B75)</f>
        <v>0</v>
      </c>
      <c r="C76" s="969">
        <f t="shared" si="433"/>
        <v>0</v>
      </c>
      <c r="D76" s="969">
        <f t="shared" ref="D76" si="434">B76+C76</f>
        <v>0</v>
      </c>
      <c r="E76" s="969">
        <f t="shared" si="433"/>
        <v>0</v>
      </c>
      <c r="F76" s="969">
        <f t="shared" ref="F76" si="435">D76+E76</f>
        <v>0</v>
      </c>
      <c r="G76" s="969">
        <f t="shared" ref="G76" si="436">SUM(G66:G75)</f>
        <v>0</v>
      </c>
      <c r="H76" s="969">
        <f t="shared" ref="H76" si="437">G76+E76</f>
        <v>0</v>
      </c>
      <c r="I76" s="970">
        <f t="shared" ref="I76" si="438">H76+D76</f>
        <v>0</v>
      </c>
      <c r="J76" s="968">
        <f t="shared" si="433"/>
        <v>0</v>
      </c>
      <c r="K76" s="969">
        <f t="shared" si="433"/>
        <v>0</v>
      </c>
      <c r="L76" s="969">
        <f t="shared" ref="L76" si="439">J76+K76</f>
        <v>0</v>
      </c>
      <c r="M76" s="969">
        <f t="shared" si="433"/>
        <v>0</v>
      </c>
      <c r="N76" s="969">
        <f t="shared" ref="N76" si="440">L76+M76</f>
        <v>0</v>
      </c>
      <c r="O76" s="969">
        <f t="shared" si="433"/>
        <v>0</v>
      </c>
      <c r="P76" s="969">
        <f t="shared" ref="P76" si="441">O76+M76</f>
        <v>0</v>
      </c>
      <c r="Q76" s="970">
        <f t="shared" ref="Q76" si="442">P76+L76</f>
        <v>0</v>
      </c>
      <c r="R76" s="969">
        <f t="shared" si="433"/>
        <v>0</v>
      </c>
      <c r="S76" s="969">
        <f t="shared" si="433"/>
        <v>0</v>
      </c>
      <c r="T76" s="969">
        <f t="shared" ref="T76" si="443">R76+S76</f>
        <v>0</v>
      </c>
      <c r="U76" s="969">
        <f t="shared" si="433"/>
        <v>0</v>
      </c>
      <c r="V76" s="969">
        <f t="shared" ref="V76" si="444">T76+U76</f>
        <v>0</v>
      </c>
      <c r="W76" s="969">
        <f t="shared" si="433"/>
        <v>0</v>
      </c>
      <c r="X76" s="969">
        <f t="shared" ref="X76" si="445">W76+U76</f>
        <v>0</v>
      </c>
      <c r="Y76" s="970">
        <f t="shared" ref="Y76" si="446">X76+T76</f>
        <v>0</v>
      </c>
      <c r="Z76" s="969">
        <f t="shared" si="433"/>
        <v>0</v>
      </c>
      <c r="AA76" s="969">
        <f t="shared" si="433"/>
        <v>0</v>
      </c>
      <c r="AB76" s="969">
        <f t="shared" ref="AB76" si="447">Z76+AA76</f>
        <v>0</v>
      </c>
      <c r="AC76" s="969">
        <f t="shared" si="433"/>
        <v>0</v>
      </c>
      <c r="AD76" s="969">
        <f t="shared" ref="AD76" si="448">AB76+AC76</f>
        <v>0</v>
      </c>
      <c r="AE76" s="969">
        <f t="shared" si="433"/>
        <v>0</v>
      </c>
      <c r="AF76" s="969">
        <f t="shared" ref="AF76" si="449">AE76+AC76</f>
        <v>0</v>
      </c>
      <c r="AG76" s="970">
        <f t="shared" ref="AG76" si="450">AF76+AB76</f>
        <v>0</v>
      </c>
      <c r="AH76" s="969">
        <f t="shared" si="433"/>
        <v>0</v>
      </c>
      <c r="AI76" s="969">
        <f t="shared" si="433"/>
        <v>0</v>
      </c>
      <c r="AJ76" s="969">
        <f t="shared" ref="AJ76" si="451">AH76+AI76</f>
        <v>0</v>
      </c>
      <c r="AK76" s="969">
        <f t="shared" si="433"/>
        <v>0</v>
      </c>
      <c r="AL76" s="969">
        <f t="shared" ref="AL76" si="452">AJ76+AK76</f>
        <v>0</v>
      </c>
      <c r="AM76" s="969">
        <f t="shared" si="433"/>
        <v>0</v>
      </c>
      <c r="AN76" s="969">
        <f t="shared" ref="AN76" si="453">AM76+AK76</f>
        <v>0</v>
      </c>
      <c r="AO76" s="970">
        <f t="shared" ref="AO76" si="454">AN76+AJ76</f>
        <v>0</v>
      </c>
      <c r="AP76" s="969">
        <f>SUM(AP66:AP75)-AP72</f>
        <v>0</v>
      </c>
      <c r="AQ76" s="969">
        <f>SUM(AQ66:AQ75)-AQ72</f>
        <v>0</v>
      </c>
      <c r="AR76" s="969">
        <f t="shared" ref="AR76" si="455">AP76+AQ76</f>
        <v>0</v>
      </c>
      <c r="AS76" s="969">
        <f>SUM(AS66:AS75)-AS72</f>
        <v>0</v>
      </c>
      <c r="AT76" s="969">
        <f t="shared" ref="AT76" si="456">AR76+AS76</f>
        <v>0</v>
      </c>
      <c r="AU76" s="969">
        <f>SUM(AU66:AU75)-AU72</f>
        <v>0</v>
      </c>
      <c r="AV76" s="969">
        <f t="shared" ref="AV76" si="457">AU76+AS76</f>
        <v>0</v>
      </c>
      <c r="AW76" s="970">
        <f t="shared" ref="AW76" si="458">AV76+AR76</f>
        <v>0</v>
      </c>
      <c r="AX76" s="969">
        <f>SUM(AX66:AX75)</f>
        <v>0</v>
      </c>
      <c r="AY76" s="969">
        <f>SUM(AY66:AY75)</f>
        <v>0</v>
      </c>
      <c r="AZ76" s="969">
        <f t="shared" ref="AZ76" si="459">AX76+AY76</f>
        <v>0</v>
      </c>
      <c r="BA76" s="969">
        <f>SUM(BA66:BA75)</f>
        <v>0</v>
      </c>
      <c r="BB76" s="969">
        <f t="shared" ref="BB76" si="460">AZ76+BA76</f>
        <v>0</v>
      </c>
      <c r="BC76" s="969">
        <f>SUM(BC66:BC75)</f>
        <v>0</v>
      </c>
      <c r="BD76" s="969">
        <f t="shared" ref="BD76" si="461">BC76+BA76</f>
        <v>0</v>
      </c>
      <c r="BE76" s="970">
        <f t="shared" ref="BE76" si="462">BD76+AZ76</f>
        <v>0</v>
      </c>
      <c r="BF76" s="969">
        <f t="shared" ref="BF76:CA76" si="463">SUM(BF70:BF75,BF66)</f>
        <v>0</v>
      </c>
      <c r="BG76" s="969">
        <f t="shared" si="463"/>
        <v>0</v>
      </c>
      <c r="BH76" s="969">
        <f t="shared" ref="BH76" si="464">BF76+BG76</f>
        <v>0</v>
      </c>
      <c r="BI76" s="969">
        <f t="shared" si="463"/>
        <v>0</v>
      </c>
      <c r="BJ76" s="969">
        <f t="shared" ref="BJ76" si="465">BH76+BI76</f>
        <v>0</v>
      </c>
      <c r="BK76" s="969">
        <f t="shared" si="463"/>
        <v>0</v>
      </c>
      <c r="BL76" s="969">
        <f t="shared" ref="BL76" si="466">BK76+BI76</f>
        <v>0</v>
      </c>
      <c r="BM76" s="970">
        <f t="shared" ref="BM76" si="467">BL76+BH76</f>
        <v>0</v>
      </c>
      <c r="BN76" s="969">
        <f t="shared" si="463"/>
        <v>0</v>
      </c>
      <c r="BO76" s="969">
        <f t="shared" si="463"/>
        <v>0</v>
      </c>
      <c r="BP76" s="969">
        <f t="shared" ref="BP76" si="468">BN76+BO76</f>
        <v>0</v>
      </c>
      <c r="BQ76" s="969">
        <f t="shared" si="463"/>
        <v>0</v>
      </c>
      <c r="BR76" s="969">
        <f t="shared" ref="BR76" si="469">BP76+BQ76</f>
        <v>0</v>
      </c>
      <c r="BS76" s="969">
        <f t="shared" si="463"/>
        <v>0</v>
      </c>
      <c r="BT76" s="969">
        <f t="shared" ref="BT76" si="470">BS76+BQ76</f>
        <v>0</v>
      </c>
      <c r="BU76" s="970">
        <f t="shared" ref="BU76" si="471">BT76+BP76</f>
        <v>0</v>
      </c>
      <c r="BV76" s="969">
        <f t="shared" si="463"/>
        <v>0</v>
      </c>
      <c r="BW76" s="969">
        <f t="shared" si="463"/>
        <v>0</v>
      </c>
      <c r="BX76" s="969">
        <f t="shared" ref="BX76" si="472">BV76+BW76</f>
        <v>0</v>
      </c>
      <c r="BY76" s="969">
        <f t="shared" si="463"/>
        <v>0</v>
      </c>
      <c r="BZ76" s="969">
        <f t="shared" ref="BZ76" si="473">BX76+BY76</f>
        <v>0</v>
      </c>
      <c r="CA76" s="969">
        <f t="shared" si="463"/>
        <v>0</v>
      </c>
      <c r="CB76" s="969">
        <f t="shared" ref="CB76" si="474">CA76+BY76</f>
        <v>0</v>
      </c>
      <c r="CC76" s="970">
        <f t="shared" ref="CC76" si="475">CB76+BX76</f>
        <v>0</v>
      </c>
      <c r="CD76" s="969"/>
      <c r="CE76" s="969"/>
      <c r="CF76" s="1154"/>
      <c r="CG76" s="969"/>
      <c r="CH76" s="969"/>
      <c r="CI76" s="969"/>
      <c r="CJ76" s="1154"/>
      <c r="CK76" s="1157"/>
      <c r="CL76" s="969"/>
      <c r="CM76" s="969"/>
      <c r="CN76" s="1154">
        <f>(CN50/CF50)-1</f>
        <v>0.58877086494688924</v>
      </c>
      <c r="CO76" s="969"/>
      <c r="CP76" s="969"/>
      <c r="CQ76" s="969"/>
      <c r="CR76" s="1154">
        <f t="shared" ref="CR76:CS76" si="476">(CR50/CJ50)-1</f>
        <v>0.18760907504363011</v>
      </c>
      <c r="CS76" s="1157">
        <f t="shared" si="476"/>
        <v>0.33407202216066478</v>
      </c>
      <c r="CT76" s="969"/>
      <c r="CU76" s="969"/>
      <c r="CV76" s="1154">
        <f>(CV50/CN50)-1</f>
        <v>0.33428844317096473</v>
      </c>
      <c r="CW76" s="969"/>
      <c r="CX76" s="969"/>
      <c r="CY76" s="969"/>
      <c r="CZ76" s="1154">
        <f t="shared" ref="CZ76" si="477">(CZ50/CR50)-1</f>
        <v>0.29977957384276266</v>
      </c>
      <c r="DA76" s="1157">
        <f t="shared" ref="DA76" si="478">(DA50/CS50)-1</f>
        <v>0.3147840531561461</v>
      </c>
      <c r="DB76" s="969"/>
      <c r="DC76" s="969"/>
      <c r="DD76" s="1154">
        <f>(DD50/CV50)-1</f>
        <v>0.41302791696492491</v>
      </c>
      <c r="DE76" s="969"/>
      <c r="DF76" s="969"/>
      <c r="DG76" s="969"/>
      <c r="DH76" s="1154">
        <f t="shared" ref="DH76" si="479">(DH50/CZ50)-1</f>
        <v>0.21254946297343125</v>
      </c>
      <c r="DI76" s="1157">
        <f t="shared" ref="DI76" si="480">(DI50/DA50)-1</f>
        <v>0.30101073910296905</v>
      </c>
      <c r="DJ76" s="969"/>
      <c r="DK76" s="969"/>
      <c r="DL76" s="1154">
        <f>(DL50/DD50)-1</f>
        <v>0.27152988855116522</v>
      </c>
      <c r="DM76" s="969"/>
      <c r="DN76" s="969"/>
      <c r="DO76" s="969"/>
      <c r="DP76" s="1154">
        <f t="shared" ref="DP76" si="481">(DP50/DH50)-1</f>
        <v>0.26204861574207627</v>
      </c>
      <c r="DQ76" s="1157">
        <f t="shared" ref="DQ76" si="482">(DQ50/DI50)-1</f>
        <v>0.26659244495429779</v>
      </c>
      <c r="DR76" s="969"/>
      <c r="DS76" s="969"/>
      <c r="DT76" s="1154">
        <f>(DT50/DL50)-1</f>
        <v>0.1626994781925426</v>
      </c>
      <c r="DU76" s="969"/>
      <c r="DV76" s="969"/>
      <c r="DW76" s="969"/>
      <c r="DX76" s="1154">
        <f t="shared" ref="DX76" si="483">(DX50/DP50)-1</f>
        <v>0.19130985539314271</v>
      </c>
      <c r="DY76" s="1157">
        <f t="shared" ref="DY76" si="484">(DY50/DQ50)-1</f>
        <v>0.17754509614042124</v>
      </c>
      <c r="DZ76" s="969"/>
      <c r="EA76" s="969"/>
      <c r="EB76" s="969"/>
      <c r="EC76" s="969"/>
      <c r="ED76" s="969"/>
      <c r="EE76" s="969"/>
      <c r="EF76" s="969"/>
      <c r="EG76" s="1148"/>
    </row>
    <row r="77" spans="1:143">
      <c r="A77" s="19"/>
      <c r="DR77"/>
      <c r="DT77" s="987"/>
    </row>
    <row r="78" spans="1:143">
      <c r="A78" s="949" t="s">
        <v>973</v>
      </c>
      <c r="B78" s="1165"/>
      <c r="CF78" s="367">
        <v>677</v>
      </c>
      <c r="CG78" s="367"/>
      <c r="CJ78" s="1158">
        <f>CK78-CF78</f>
        <v>703</v>
      </c>
      <c r="CK78" s="1149">
        <f>INDEX('Income Statement'!192:192, MATCH('Interim (New)'!CK1,'Income Statement'!3:3,0))</f>
        <v>1380</v>
      </c>
      <c r="CN78" s="367">
        <v>681</v>
      </c>
      <c r="CO78" s="367"/>
      <c r="CR78" s="1158">
        <f>CS78-CN78</f>
        <v>692</v>
      </c>
      <c r="CS78" s="1149">
        <f>INDEX('Income Statement'!192:192, MATCH('Interim (New)'!CS1,'Income Statement'!3:3,0))</f>
        <v>1373</v>
      </c>
      <c r="CV78" s="367">
        <v>653</v>
      </c>
      <c r="CW78" s="367"/>
      <c r="CZ78" s="1158">
        <f>DA78-CV78</f>
        <v>683</v>
      </c>
      <c r="DA78" s="1149">
        <f>INDEX('Income Statement'!192:192, MATCH('Interim (New)'!DA1,'Income Statement'!3:3,0))</f>
        <v>1336</v>
      </c>
      <c r="DD78" s="367">
        <v>692</v>
      </c>
      <c r="DE78" s="367"/>
      <c r="DH78" s="1158">
        <f>DI78-DD78</f>
        <v>714</v>
      </c>
      <c r="DI78" s="1149">
        <f>INDEX('Income Statement'!192:192, MATCH('Interim (New)'!DI1,'Income Statement'!3:3,0))</f>
        <v>1406</v>
      </c>
      <c r="DL78" s="367">
        <v>719</v>
      </c>
      <c r="DP78" s="1158">
        <f>DQ78-DL78</f>
        <v>881.82751742992878</v>
      </c>
      <c r="DQ78" s="1149">
        <f>INDEX('Income Statement'!192:192, MATCH('Interim (New)'!DQ1,'Income Statement'!3:3,0))</f>
        <v>1600.8275174299288</v>
      </c>
      <c r="DR78"/>
      <c r="DT78" s="1158">
        <f>(DD78/DI78)*DY78</f>
        <v>924.73592159593341</v>
      </c>
      <c r="DX78" s="1158">
        <f>DY78-DT78</f>
        <v>954.1350404906018</v>
      </c>
      <c r="DY78" s="1149">
        <f>INDEX('Income Statement'!192:192, MATCH('Interim (New)'!DY1,'Income Statement'!3:3,0))</f>
        <v>1878.8709620865352</v>
      </c>
    </row>
    <row r="79" spans="1:143" ht="15">
      <c r="A79" s="1295" t="s">
        <v>1302</v>
      </c>
      <c r="B79" s="1296"/>
      <c r="C79" s="1297"/>
      <c r="D79" s="1297"/>
      <c r="E79" s="1297"/>
      <c r="F79" s="1297"/>
      <c r="G79" s="1297"/>
      <c r="H79" s="1297"/>
      <c r="I79" s="1298"/>
      <c r="J79" s="1297"/>
      <c r="K79" s="1297"/>
      <c r="L79" s="1297"/>
      <c r="M79" s="1297"/>
      <c r="N79" s="1297"/>
      <c r="O79" s="1297"/>
      <c r="P79" s="1297"/>
      <c r="Q79" s="1298"/>
      <c r="R79" s="1297"/>
      <c r="S79" s="1297"/>
      <c r="T79" s="1297"/>
      <c r="U79" s="1297"/>
      <c r="V79" s="1297"/>
      <c r="W79" s="1297"/>
      <c r="X79" s="1297"/>
      <c r="Y79" s="1298"/>
      <c r="Z79" s="1297"/>
      <c r="AA79" s="1297"/>
      <c r="AB79" s="1297"/>
      <c r="AC79" s="1297"/>
      <c r="AD79" s="1297"/>
      <c r="AE79" s="1297"/>
      <c r="AF79" s="1297"/>
      <c r="AG79" s="1298"/>
      <c r="AH79" s="1297"/>
      <c r="AI79" s="1297"/>
      <c r="AJ79" s="1297"/>
      <c r="AK79" s="1297"/>
      <c r="AL79" s="1297"/>
      <c r="AM79" s="1297"/>
      <c r="AN79" s="1297"/>
      <c r="AO79" s="1298"/>
      <c r="AP79" s="1297"/>
      <c r="AQ79" s="1297"/>
      <c r="AR79" s="1297"/>
      <c r="AS79" s="1297"/>
      <c r="AT79" s="1297"/>
      <c r="AU79" s="1297"/>
      <c r="AV79" s="1297"/>
      <c r="AW79" s="1298"/>
      <c r="AX79" s="1297"/>
      <c r="AY79" s="1297"/>
      <c r="AZ79" s="1297"/>
      <c r="BA79" s="1297"/>
      <c r="BB79" s="1297"/>
      <c r="BC79" s="1297"/>
      <c r="BD79" s="1297"/>
      <c r="BE79" s="1298"/>
      <c r="BF79" s="1297"/>
      <c r="BG79" s="1297"/>
      <c r="BH79" s="1297"/>
      <c r="BI79" s="1297"/>
      <c r="BJ79" s="1297"/>
      <c r="BK79" s="1297"/>
      <c r="BL79" s="1297"/>
      <c r="BM79" s="1298"/>
      <c r="BN79" s="1297"/>
      <c r="BO79" s="1297"/>
      <c r="BP79" s="1297"/>
      <c r="BQ79" s="1297"/>
      <c r="BR79" s="1297"/>
      <c r="BS79" s="1297"/>
      <c r="BT79" s="1297"/>
      <c r="BU79" s="1298"/>
      <c r="BV79" s="1297"/>
      <c r="BW79" s="1297"/>
      <c r="BX79" s="1297"/>
      <c r="BY79" s="1297"/>
      <c r="BZ79" s="1297"/>
      <c r="CA79" s="1297"/>
      <c r="CB79" s="1297"/>
      <c r="CC79" s="1298"/>
      <c r="CD79" s="1297"/>
      <c r="CE79" s="1297"/>
      <c r="CF79" s="1299">
        <f>CF50+CF78</f>
        <v>1336</v>
      </c>
      <c r="CG79" s="1300"/>
      <c r="CH79" s="1301"/>
      <c r="CI79" s="1301"/>
      <c r="CJ79" s="1299">
        <f>CJ50+CJ78</f>
        <v>1849</v>
      </c>
      <c r="CK79" s="1302">
        <f>CK50+CK78</f>
        <v>3185</v>
      </c>
      <c r="CL79" s="1297"/>
      <c r="CM79" s="1297"/>
      <c r="CN79" s="1299">
        <f>CN50+CN78</f>
        <v>1728</v>
      </c>
      <c r="CO79" s="1300"/>
      <c r="CP79" s="1301"/>
      <c r="CQ79" s="1301"/>
      <c r="CR79" s="1299">
        <f>CR50+CR78</f>
        <v>2053</v>
      </c>
      <c r="CS79" s="1393">
        <f>CS50+CS78</f>
        <v>3781</v>
      </c>
      <c r="CT79" s="1297"/>
      <c r="CU79" s="1297"/>
      <c r="CV79" s="1299">
        <f>CV50+CV78</f>
        <v>2050</v>
      </c>
      <c r="CW79" s="1300"/>
      <c r="CX79" s="1301"/>
      <c r="CY79" s="1301"/>
      <c r="CZ79" s="1299">
        <f>CZ50+CZ78</f>
        <v>2452</v>
      </c>
      <c r="DA79" s="1302">
        <f>DA50+DA78</f>
        <v>4502</v>
      </c>
      <c r="DB79" s="1297"/>
      <c r="DC79" s="1297"/>
      <c r="DD79" s="1299">
        <f>DD50+DD78</f>
        <v>2666</v>
      </c>
      <c r="DE79" s="1300"/>
      <c r="DF79" s="1301"/>
      <c r="DG79" s="1301"/>
      <c r="DH79" s="1299">
        <f>DH50+DH78</f>
        <v>2859</v>
      </c>
      <c r="DI79" s="1302">
        <f>DI50+DI78</f>
        <v>5525</v>
      </c>
      <c r="DJ79" s="1297"/>
      <c r="DK79" s="1297"/>
      <c r="DL79" s="1299">
        <f>DL50+DL78</f>
        <v>3229</v>
      </c>
      <c r="DM79" s="1300"/>
      <c r="DN79" s="1301"/>
      <c r="DO79" s="1301"/>
      <c r="DP79" s="1299">
        <f>DP50+DP78</f>
        <v>3588.9217981966822</v>
      </c>
      <c r="DQ79" s="1302">
        <f>DQ50+DQ78</f>
        <v>6817.9217981966813</v>
      </c>
      <c r="DR79" s="1297"/>
      <c r="DS79" s="1297"/>
      <c r="DT79" s="1299">
        <f>DT50+DT78</f>
        <v>3843.1116118592154</v>
      </c>
      <c r="DU79" s="1300"/>
      <c r="DV79" s="1301"/>
      <c r="DW79" s="1301"/>
      <c r="DX79" s="1299">
        <f>DX50+DX78</f>
        <v>4179.1231366464463</v>
      </c>
      <c r="DY79" s="1302">
        <f>DY50+DY78</f>
        <v>8022.2347485056616</v>
      </c>
      <c r="DZ79" s="1297"/>
      <c r="EA79" s="1297"/>
      <c r="EB79" s="1297"/>
      <c r="EC79" s="1297"/>
      <c r="ED79" s="1297"/>
      <c r="EE79" s="1297"/>
      <c r="EF79" s="1297"/>
      <c r="EG79" s="1297"/>
    </row>
    <row r="80" spans="1:143">
      <c r="A80" s="19"/>
      <c r="B80" s="1165"/>
      <c r="DR80"/>
      <c r="DT80" s="987"/>
    </row>
    <row r="81" spans="1:137">
      <c r="A81" s="19"/>
      <c r="B81" s="1165"/>
      <c r="DR81"/>
      <c r="DT81" s="987"/>
    </row>
    <row r="82" spans="1:137">
      <c r="A82" s="258" t="s">
        <v>944</v>
      </c>
      <c r="B82" s="973"/>
      <c r="C82" s="258"/>
      <c r="D82" s="258"/>
      <c r="E82" s="258"/>
      <c r="F82" s="258"/>
      <c r="G82" s="258"/>
      <c r="H82" s="258"/>
      <c r="I82" s="965"/>
      <c r="J82" s="258"/>
      <c r="K82" s="258"/>
      <c r="L82" s="258"/>
      <c r="M82" s="258"/>
      <c r="N82" s="258"/>
      <c r="O82" s="258"/>
      <c r="P82" s="258"/>
      <c r="Q82" s="965"/>
      <c r="R82" s="258"/>
      <c r="S82" s="258"/>
      <c r="T82" s="258"/>
      <c r="U82" s="258"/>
      <c r="V82" s="258"/>
      <c r="W82" s="258"/>
      <c r="X82" s="258"/>
      <c r="Y82" s="965"/>
      <c r="Z82" s="258"/>
      <c r="AA82" s="258"/>
      <c r="AB82" s="258"/>
      <c r="AC82" s="258"/>
      <c r="AD82" s="258"/>
      <c r="AE82" s="258"/>
      <c r="AF82" s="258"/>
      <c r="AG82" s="965"/>
      <c r="AH82" s="258"/>
      <c r="AI82" s="258"/>
      <c r="AJ82" s="258"/>
      <c r="AK82" s="258"/>
      <c r="AL82" s="258"/>
      <c r="AM82" s="258"/>
      <c r="AN82" s="258"/>
      <c r="AO82" s="965"/>
      <c r="AP82" s="258"/>
      <c r="AQ82" s="258"/>
      <c r="AR82" s="258"/>
      <c r="AS82" s="258"/>
      <c r="AT82" s="258"/>
      <c r="AU82" s="258"/>
      <c r="AV82" s="258"/>
      <c r="AW82" s="965"/>
      <c r="AX82" s="258"/>
      <c r="AY82" s="258"/>
      <c r="AZ82" s="258"/>
      <c r="BA82" s="258"/>
      <c r="BB82" s="258"/>
      <c r="BC82" s="258"/>
      <c r="BD82" s="258"/>
      <c r="BE82" s="965"/>
      <c r="BF82" s="258"/>
      <c r="BG82" s="258"/>
      <c r="BH82" s="258"/>
      <c r="BI82" s="258"/>
      <c r="BJ82" s="258"/>
      <c r="BK82" s="258"/>
      <c r="BL82" s="258"/>
      <c r="BM82" s="965"/>
      <c r="BN82" s="258"/>
      <c r="BO82" s="258"/>
      <c r="BP82" s="258"/>
      <c r="BQ82" s="258"/>
      <c r="BR82" s="258"/>
      <c r="BS82" s="258"/>
      <c r="BT82" s="258"/>
      <c r="BU82" s="965"/>
      <c r="BV82" s="258"/>
      <c r="BW82" s="258"/>
      <c r="BX82" s="258"/>
      <c r="BY82" s="258"/>
      <c r="BZ82" s="258"/>
      <c r="CA82" s="258"/>
      <c r="CB82" s="258"/>
      <c r="CC82" s="965"/>
      <c r="CD82" s="990"/>
      <c r="CE82" s="990"/>
      <c r="CF82" s="1168">
        <v>0.63</v>
      </c>
      <c r="CG82" s="990"/>
      <c r="CH82" s="990"/>
      <c r="CI82" s="990"/>
      <c r="CJ82" s="1160">
        <f>CK82-CF82</f>
        <v>1.1489739691458176</v>
      </c>
      <c r="CK82" s="1159">
        <f>INDEX('Income Statement'!$104:$104, MATCH('Interim (New)'!CK$1,'Income Statement'!$3:$3,0))</f>
        <v>1.7789739691458177</v>
      </c>
      <c r="CL82" s="990"/>
      <c r="CM82" s="990"/>
      <c r="CN82" s="1166">
        <v>1.2557616764697648</v>
      </c>
      <c r="CO82" s="1168"/>
      <c r="CP82" s="1168"/>
      <c r="CQ82" s="1168"/>
      <c r="CR82" s="1166">
        <v>1.5050852957893972</v>
      </c>
      <c r="CS82" s="1159">
        <f>INDEX('Income Statement'!$104:$104, MATCH('Interim (New)'!CS$1,'Income Statement'!$3:$3,0))</f>
        <v>2.760846972259162</v>
      </c>
      <c r="CT82" s="990"/>
      <c r="CU82" s="990"/>
      <c r="CV82" s="1166">
        <v>2.4806880634296955</v>
      </c>
      <c r="CW82" s="1168"/>
      <c r="CX82" s="1168"/>
      <c r="CY82" s="1168"/>
      <c r="CZ82" s="1166">
        <v>2.373361438856461</v>
      </c>
      <c r="DA82" s="1159">
        <f>INDEX('Income Statement'!$104:$104, MATCH('Interim (New)'!DA$1,'Income Statement'!$3:$3,0))</f>
        <v>4.8564430178198279</v>
      </c>
      <c r="DB82" s="990"/>
      <c r="DC82" s="990"/>
      <c r="DD82" s="1166">
        <v>3.3700938479118019</v>
      </c>
      <c r="DE82" s="990"/>
      <c r="DF82" s="990"/>
      <c r="DG82" s="990"/>
      <c r="DH82" s="1166">
        <v>4.002256182136291</v>
      </c>
      <c r="DI82" s="1159">
        <f>INDEX('Income Statement'!$104:$104, MATCH('Interim (New)'!DI$1,'Income Statement'!$3:$3,0))</f>
        <v>7.3747530124568437</v>
      </c>
      <c r="DJ82" s="990"/>
      <c r="DK82" s="990"/>
      <c r="DL82" s="1166">
        <v>3.8</v>
      </c>
      <c r="DM82" s="990"/>
      <c r="DN82" s="990"/>
      <c r="DO82" s="990"/>
      <c r="DP82" s="1160">
        <f>DQ82-DL82</f>
        <v>4.7516240573697859</v>
      </c>
      <c r="DQ82" s="1159">
        <f>INDEX('Income Statement'!$104:$104, MATCH('Interim (New)'!DQ$1,'Income Statement'!$3:$3,0))</f>
        <v>8.5516240573697857</v>
      </c>
      <c r="DR82" s="990"/>
      <c r="DS82" s="990"/>
      <c r="DT82" s="1129">
        <f>(DD82/DI82)*DY82</f>
        <v>5.1464217812265218</v>
      </c>
      <c r="DU82" s="990"/>
      <c r="DV82" s="990"/>
      <c r="DW82" s="990"/>
      <c r="DX82" s="1160">
        <f>DY82-DT82</f>
        <v>6.1154573376564265</v>
      </c>
      <c r="DY82" s="1159">
        <f>INDEX('Income Statement'!$104:$104, MATCH('Interim (New)'!DY$1,'Income Statement'!$3:$3,0))</f>
        <v>11.261879118882948</v>
      </c>
      <c r="DZ82" s="258"/>
      <c r="EA82" s="258"/>
      <c r="EB82" s="258"/>
      <c r="EC82" s="258"/>
      <c r="ED82" s="258"/>
      <c r="EE82" s="258"/>
      <c r="EF82" s="258"/>
      <c r="EG82" s="965"/>
    </row>
    <row r="83" spans="1:137">
      <c r="A83" s="181" t="s">
        <v>916</v>
      </c>
    </row>
    <row r="84" spans="1:137">
      <c r="A84" s="286" t="s">
        <v>1242</v>
      </c>
    </row>
    <row r="85" spans="1:137">
      <c r="DM85" s="1267"/>
      <c r="DO85" s="1266"/>
    </row>
    <row r="86" spans="1:137" s="1312" customFormat="1" ht="15">
      <c r="A86" s="1041" t="s">
        <v>1743</v>
      </c>
      <c r="B86" s="1305"/>
      <c r="C86" s="1304"/>
      <c r="D86" s="1304"/>
      <c r="E86" s="1304"/>
      <c r="F86" s="1304"/>
      <c r="G86" s="1304"/>
      <c r="H86" s="1304"/>
      <c r="I86" s="1306"/>
      <c r="J86" s="1304"/>
      <c r="K86" s="1304"/>
      <c r="L86" s="1304"/>
      <c r="M86" s="1304"/>
      <c r="N86" s="1304"/>
      <c r="O86" s="1304"/>
      <c r="P86" s="1304"/>
      <c r="Q86" s="1306"/>
      <c r="R86" s="1304"/>
      <c r="S86" s="1304"/>
      <c r="T86" s="1304"/>
      <c r="U86" s="1304"/>
      <c r="V86" s="1304"/>
      <c r="W86" s="1304"/>
      <c r="X86" s="1304"/>
      <c r="Y86" s="1306"/>
      <c r="Z86" s="1304"/>
      <c r="AA86" s="1304"/>
      <c r="AB86" s="1304"/>
      <c r="AC86" s="1304"/>
      <c r="AD86" s="1304"/>
      <c r="AE86" s="1304"/>
      <c r="AF86" s="1304"/>
      <c r="AG86" s="1306"/>
      <c r="AH86" s="1304"/>
      <c r="AI86" s="1304"/>
      <c r="AJ86" s="1304"/>
      <c r="AK86" s="1304"/>
      <c r="AL86" s="1304"/>
      <c r="AM86" s="1304"/>
      <c r="AN86" s="1304"/>
      <c r="AO86" s="1306"/>
      <c r="AP86" s="1304"/>
      <c r="AQ86" s="1304"/>
      <c r="AR86" s="1304"/>
      <c r="AS86" s="1304"/>
      <c r="AT86" s="1304"/>
      <c r="AU86" s="1304"/>
      <c r="AV86" s="1304"/>
      <c r="AW86" s="1306"/>
      <c r="AX86" s="1304"/>
      <c r="AY86" s="1304"/>
      <c r="AZ86" s="1304"/>
      <c r="BA86" s="1304"/>
      <c r="BB86" s="1304"/>
      <c r="BC86" s="1304"/>
      <c r="BD86" s="1304"/>
      <c r="BE86" s="1306"/>
      <c r="BF86" s="1304"/>
      <c r="BG86" s="1304"/>
      <c r="BH86" s="1304"/>
      <c r="BI86" s="1304"/>
      <c r="BJ86" s="1304"/>
      <c r="BK86" s="1304"/>
      <c r="BL86" s="1304"/>
      <c r="BM86" s="1306"/>
      <c r="BN86" s="1304"/>
      <c r="BO86" s="1304"/>
      <c r="BP86" s="1304"/>
      <c r="BQ86" s="1304"/>
      <c r="BR86" s="1304"/>
      <c r="BS86" s="1304"/>
      <c r="BT86" s="1304"/>
      <c r="BU86" s="1306"/>
      <c r="BV86" s="1304"/>
      <c r="BW86" s="1304"/>
      <c r="BX86" s="1304"/>
      <c r="BY86" s="1304"/>
      <c r="BZ86" s="1304"/>
      <c r="CA86" s="1304"/>
      <c r="CB86" s="1304"/>
      <c r="CC86" s="1306"/>
      <c r="CD86" s="1303">
        <v>188</v>
      </c>
      <c r="CE86" s="1303">
        <v>211</v>
      </c>
      <c r="CF86" s="1304">
        <f>CD86+CE86</f>
        <v>399</v>
      </c>
      <c r="CG86" s="1303">
        <v>226</v>
      </c>
      <c r="CH86" s="1304">
        <f>CF86+CG86</f>
        <v>625</v>
      </c>
      <c r="CI86" s="1303">
        <v>220</v>
      </c>
      <c r="CJ86" s="1304">
        <f>CG86+CI86</f>
        <v>446</v>
      </c>
      <c r="CK86" s="1306">
        <f>CF86+CJ86</f>
        <v>845</v>
      </c>
      <c r="CL86" s="1303">
        <v>239</v>
      </c>
      <c r="CM86" s="1303">
        <v>226</v>
      </c>
      <c r="CN86" s="1304">
        <f>CL86+CM86</f>
        <v>465</v>
      </c>
      <c r="CO86" s="1303">
        <v>347</v>
      </c>
      <c r="CP86" s="1304">
        <f>CN86+CO86</f>
        <v>812</v>
      </c>
      <c r="CQ86" s="1303">
        <v>324</v>
      </c>
      <c r="CR86" s="1304">
        <f>CO86+CQ86</f>
        <v>671</v>
      </c>
      <c r="CS86" s="1310">
        <f>CN86+CR86</f>
        <v>1136</v>
      </c>
      <c r="CT86" s="1303">
        <v>366</v>
      </c>
      <c r="CU86" s="1303">
        <v>419</v>
      </c>
      <c r="CV86" s="1304">
        <f>CT86+CU86</f>
        <v>785</v>
      </c>
      <c r="CW86" s="1303">
        <v>389</v>
      </c>
      <c r="CX86" s="1309">
        <f>CV86+CW86</f>
        <v>1174</v>
      </c>
      <c r="CY86" s="1303">
        <v>396</v>
      </c>
      <c r="CZ86" s="1304">
        <f>CW86+CY86</f>
        <v>785</v>
      </c>
      <c r="DA86" s="1310">
        <f>CV86+CZ86</f>
        <v>1570</v>
      </c>
      <c r="DB86" s="1303">
        <v>367</v>
      </c>
      <c r="DC86" s="1303">
        <v>297</v>
      </c>
      <c r="DD86" s="1304">
        <f>DB86+DC86</f>
        <v>664</v>
      </c>
      <c r="DE86" s="1303">
        <v>365</v>
      </c>
      <c r="DF86" s="1309">
        <f>DD86+DE86</f>
        <v>1029</v>
      </c>
      <c r="DG86" s="1303">
        <v>378</v>
      </c>
      <c r="DH86" s="1304">
        <f>DE86+DG86</f>
        <v>743</v>
      </c>
      <c r="DI86" s="1310">
        <f>DD86+DH86</f>
        <v>1407</v>
      </c>
      <c r="DJ86" s="1303">
        <v>319</v>
      </c>
      <c r="DK86" s="1304">
        <f>DL86-DJ86</f>
        <v>410</v>
      </c>
      <c r="DL86" s="1303">
        <v>729</v>
      </c>
      <c r="DM86" s="1303">
        <v>511</v>
      </c>
      <c r="DN86" s="1309">
        <f>DL86+DM86</f>
        <v>1240</v>
      </c>
      <c r="DO86" s="1311">
        <f>DQ86-DN86</f>
        <v>606</v>
      </c>
      <c r="DP86" s="1309">
        <f>DM86+DO86</f>
        <v>1117</v>
      </c>
      <c r="DQ86" s="1310">
        <f>'Aerospace Propulsion Division'!AA27</f>
        <v>1846</v>
      </c>
      <c r="DR86" s="1313">
        <f>(DJ86/$DQ$86)*$DY$86</f>
        <v>357.81224268689056</v>
      </c>
      <c r="DS86" s="1313">
        <f>(DK86/$DQ$86)*$DY$86</f>
        <v>459.8840736728061</v>
      </c>
      <c r="DT86" s="1313">
        <f>DR86+DS86</f>
        <v>817.69631635969665</v>
      </c>
      <c r="DU86" s="1313">
        <f>(DM86/$DQ$86)*$DY$86</f>
        <v>573.17258938244845</v>
      </c>
      <c r="DV86" s="1309">
        <f>DT86+DU86</f>
        <v>1390.8689057421452</v>
      </c>
      <c r="DW86" s="1313">
        <f>(DO86/$DQ$86)*$DY$86</f>
        <v>679.73109425785481</v>
      </c>
      <c r="DX86" s="1309">
        <f>DU86+DW86</f>
        <v>1252.9036836403034</v>
      </c>
      <c r="DY86" s="1310">
        <f>'Aerospace Propulsion Division'!AB27</f>
        <v>2070.6</v>
      </c>
      <c r="DZ86" s="1308"/>
      <c r="EA86" s="1308"/>
      <c r="EB86" s="1308"/>
      <c r="EC86" s="1308"/>
      <c r="ED86" s="1308"/>
      <c r="EE86" s="1308"/>
      <c r="EF86" s="1308"/>
      <c r="EG86" s="1307"/>
    </row>
    <row r="87" spans="1:137" hidden="1" outlineLevel="1">
      <c r="A87" s="286" t="s">
        <v>1242</v>
      </c>
      <c r="CD87" s="1315" t="e">
        <f t="shared" ref="CD87" si="485">CD86/BV86-1</f>
        <v>#DIV/0!</v>
      </c>
      <c r="CE87" s="1315" t="e">
        <f t="shared" ref="CE87" si="486">CE86/BW86-1</f>
        <v>#DIV/0!</v>
      </c>
      <c r="CF87" s="1315" t="e">
        <f t="shared" ref="CF87" si="487">CF86/BX86-1</f>
        <v>#DIV/0!</v>
      </c>
      <c r="CG87" s="1315" t="e">
        <f t="shared" ref="CG87" si="488">CG86/BY86-1</f>
        <v>#DIV/0!</v>
      </c>
      <c r="CH87" s="1315" t="e">
        <f t="shared" ref="CH87" si="489">CH86/BZ86-1</f>
        <v>#DIV/0!</v>
      </c>
      <c r="CI87" s="1315" t="e">
        <f t="shared" ref="CI87" si="490">CI86/CA86-1</f>
        <v>#DIV/0!</v>
      </c>
      <c r="CJ87" s="1315" t="e">
        <f>CJ86/CB86-1</f>
        <v>#DIV/0!</v>
      </c>
      <c r="CK87" s="1314" t="e">
        <f>CK86/CC86-1</f>
        <v>#DIV/0!</v>
      </c>
      <c r="CL87" s="1315">
        <f t="shared" ref="CL87" si="491">CL86/CD86-1</f>
        <v>0.27127659574468077</v>
      </c>
      <c r="CM87" s="1315">
        <f t="shared" ref="CM87" si="492">CM86/CE86-1</f>
        <v>7.1090047393364886E-2</v>
      </c>
      <c r="CN87" s="1315">
        <f t="shared" ref="CN87" si="493">CN86/CF86-1</f>
        <v>0.16541353383458657</v>
      </c>
      <c r="CO87" s="1315">
        <f t="shared" ref="CO87" si="494">CO86/CG86-1</f>
        <v>0.53539823008849563</v>
      </c>
      <c r="CP87" s="1315">
        <f t="shared" ref="CP87" si="495">CP86/CH86-1</f>
        <v>0.29919999999999991</v>
      </c>
      <c r="CQ87" s="1315">
        <f t="shared" ref="CQ87" si="496">CQ86/CI86-1</f>
        <v>0.47272727272727266</v>
      </c>
      <c r="CR87" s="1315">
        <f>CR86/CJ86-1</f>
        <v>0.50448430493273544</v>
      </c>
      <c r="CS87" s="1314">
        <f>CS86/CK86-1</f>
        <v>0.34437869822485201</v>
      </c>
      <c r="CT87" s="1315">
        <f t="shared" ref="CT87" si="497">CT86/CL86-1</f>
        <v>0.53138075313807542</v>
      </c>
      <c r="CU87" s="1315">
        <f t="shared" ref="CU87" si="498">CU86/CM86-1</f>
        <v>0.85398230088495586</v>
      </c>
      <c r="CV87" s="1315">
        <f t="shared" ref="CV87" si="499">CV86/CN86-1</f>
        <v>0.68817204301075274</v>
      </c>
      <c r="CW87" s="1315">
        <f t="shared" ref="CW87" si="500">CW86/CO86-1</f>
        <v>0.12103746397694515</v>
      </c>
      <c r="CX87" s="1315">
        <f t="shared" ref="CX87" si="501">CX86/CP86-1</f>
        <v>0.44581280788177335</v>
      </c>
      <c r="CY87" s="1315">
        <f t="shared" ref="CY87" si="502">CY86/CQ86-1</f>
        <v>0.22222222222222232</v>
      </c>
      <c r="CZ87" s="1315">
        <f>CZ86/CR86-1</f>
        <v>0.16989567809239947</v>
      </c>
      <c r="DA87" s="1314">
        <f>DA86/CS86-1</f>
        <v>0.38204225352112675</v>
      </c>
      <c r="DB87" s="1315">
        <f t="shared" ref="DB87" si="503">DB86/CT86-1</f>
        <v>2.732240437158362E-3</v>
      </c>
      <c r="DC87" s="1315">
        <f t="shared" ref="DC87" si="504">DC86/CU86-1</f>
        <v>-0.29116945107398573</v>
      </c>
      <c r="DD87" s="1315">
        <f t="shared" ref="DD87" si="505">DD86/CV86-1</f>
        <v>-0.154140127388535</v>
      </c>
      <c r="DE87" s="1315">
        <f t="shared" ref="DE87" si="506">DE86/CW86-1</f>
        <v>-6.169665809768643E-2</v>
      </c>
      <c r="DF87" s="1315">
        <f t="shared" ref="DF87" si="507">DF86/CX86-1</f>
        <v>-0.12350936967632031</v>
      </c>
      <c r="DG87" s="1315">
        <f t="shared" ref="DG87" si="508">DG86/CY86-1</f>
        <v>-4.5454545454545414E-2</v>
      </c>
      <c r="DH87" s="1315">
        <f>DH86/CZ86-1</f>
        <v>-5.3503184713375784E-2</v>
      </c>
      <c r="DI87" s="1314">
        <f>DI86/DA86-1</f>
        <v>-0.10382165605095539</v>
      </c>
      <c r="DJ87" s="1315">
        <f t="shared" ref="DJ87" si="509">DJ86/DB86-1</f>
        <v>-0.13079019073569487</v>
      </c>
      <c r="DK87" s="1315">
        <f t="shared" ref="DK87" si="510">DK86/DC86-1</f>
        <v>0.3804713804713804</v>
      </c>
      <c r="DL87" s="1315">
        <f t="shared" ref="DL87" si="511">DL86/DD86-1</f>
        <v>9.7891566265060348E-2</v>
      </c>
      <c r="DM87" s="1315">
        <f t="shared" ref="DM87" si="512">DM86/DE86-1</f>
        <v>0.39999999999999991</v>
      </c>
      <c r="DN87" s="1315">
        <f t="shared" ref="DN87" si="513">DN86/DF86-1</f>
        <v>0.20505344995140917</v>
      </c>
      <c r="DO87" s="1315">
        <f t="shared" ref="DO87" si="514">DO86/DG86-1</f>
        <v>0.60317460317460325</v>
      </c>
      <c r="DP87" s="1315">
        <f>DP86/DH86-1</f>
        <v>0.50336473755047106</v>
      </c>
      <c r="DQ87" s="1314">
        <f>DQ86/DI86-1</f>
        <v>0.3120113717128643</v>
      </c>
      <c r="DR87" s="1315">
        <f t="shared" ref="DR87:DW87" si="515">DR86/DJ86-1</f>
        <v>0.12166847237269773</v>
      </c>
      <c r="DS87" s="1315">
        <f t="shared" si="515"/>
        <v>0.12166847237269773</v>
      </c>
      <c r="DT87" s="1315">
        <f t="shared" si="515"/>
        <v>0.12166847237269773</v>
      </c>
      <c r="DU87" s="1315">
        <f t="shared" si="515"/>
        <v>0.12166847237269751</v>
      </c>
      <c r="DV87" s="1315">
        <f t="shared" si="515"/>
        <v>0.12166847237269773</v>
      </c>
      <c r="DW87" s="1315">
        <f t="shared" si="515"/>
        <v>0.12166847237269773</v>
      </c>
      <c r="DX87" s="1315">
        <f>DX86/DP86-1</f>
        <v>0.12166847237269773</v>
      </c>
      <c r="DY87" s="1314">
        <f>DY86/DQ86-1</f>
        <v>0.12166847237269773</v>
      </c>
    </row>
    <row r="88" spans="1:137" collapsed="1">
      <c r="A88" s="19"/>
      <c r="DO88" s="1266"/>
      <c r="DP88" s="37"/>
      <c r="DQ88" s="1381"/>
    </row>
    <row r="89" spans="1:137">
      <c r="A89" s="19"/>
      <c r="DK89" s="1266"/>
      <c r="DM89" s="1266"/>
      <c r="DO89" s="1266"/>
      <c r="DQ89" s="1317"/>
    </row>
    <row r="90" spans="1:137">
      <c r="A90" s="1460"/>
      <c r="B90" s="1450"/>
      <c r="C90" s="1450"/>
      <c r="D90" s="1450"/>
      <c r="E90" s="1450"/>
      <c r="F90" s="1450"/>
      <c r="G90" s="1450"/>
      <c r="H90" s="1450"/>
      <c r="I90" s="1450"/>
      <c r="J90" s="1450"/>
      <c r="K90" s="1450"/>
      <c r="L90" s="1450"/>
      <c r="M90" s="1450"/>
      <c r="N90" s="1450"/>
      <c r="O90" s="1450"/>
      <c r="P90" s="1450"/>
      <c r="Q90" s="1450"/>
      <c r="R90" s="1450"/>
      <c r="S90" s="1450"/>
      <c r="T90" s="1450"/>
      <c r="U90" s="1450"/>
      <c r="V90" s="1450"/>
      <c r="W90" s="1450"/>
      <c r="X90" s="1450"/>
      <c r="Y90" s="1450"/>
      <c r="Z90" s="1450"/>
      <c r="AA90" s="1450"/>
      <c r="AB90" s="1450"/>
      <c r="AC90" s="1450"/>
      <c r="AD90" s="1450"/>
      <c r="AE90" s="1450"/>
      <c r="AF90" s="1450"/>
      <c r="AG90" s="1450"/>
      <c r="AH90" s="1450"/>
      <c r="AI90" s="1450"/>
      <c r="AJ90" s="1450"/>
      <c r="AK90" s="1450"/>
      <c r="AL90" s="1450"/>
      <c r="AM90" s="1450"/>
      <c r="AN90" s="1450"/>
      <c r="AO90" s="1450"/>
      <c r="AP90" s="1450"/>
      <c r="AQ90" s="1450"/>
      <c r="AR90" s="1450"/>
      <c r="AS90" s="1450"/>
      <c r="AT90" s="1450"/>
      <c r="AU90" s="1450"/>
      <c r="AV90" s="1450"/>
      <c r="AW90" s="1450"/>
      <c r="AX90" s="1450"/>
      <c r="AY90" s="1450"/>
      <c r="AZ90" s="1450"/>
      <c r="BA90" s="1450"/>
      <c r="BB90" s="1450"/>
      <c r="BC90" s="1450"/>
      <c r="BD90" s="1450"/>
      <c r="BE90" s="1450"/>
      <c r="BF90" s="1450"/>
      <c r="BG90" s="1450"/>
      <c r="BH90" s="1450"/>
      <c r="BI90" s="1450"/>
      <c r="BJ90" s="1450"/>
      <c r="BK90" s="1450"/>
      <c r="BL90" s="1450"/>
      <c r="BM90" s="1450"/>
      <c r="BN90" s="1450"/>
      <c r="BO90" s="1450"/>
      <c r="BP90" s="1450"/>
      <c r="BQ90" s="1450"/>
      <c r="BR90" s="1450"/>
      <c r="BS90" s="1450"/>
      <c r="BT90" s="1450"/>
      <c r="BU90" s="1450"/>
      <c r="BV90" s="1450"/>
      <c r="BW90" s="1450"/>
      <c r="BX90" s="1450"/>
      <c r="BY90" s="1450"/>
      <c r="BZ90" s="1450"/>
      <c r="CA90" s="1450"/>
      <c r="CB90" s="1450"/>
      <c r="CC90" s="1450"/>
      <c r="CD90" s="1450"/>
      <c r="CE90" s="1450"/>
      <c r="CF90" s="1450"/>
      <c r="CG90" s="1450"/>
      <c r="CH90" s="1450"/>
      <c r="CI90" s="1450"/>
      <c r="CJ90" s="1450"/>
      <c r="CK90" s="1459"/>
      <c r="CL90" s="1450"/>
      <c r="CM90" s="1450"/>
      <c r="CN90" s="1450"/>
      <c r="CO90" s="1450"/>
      <c r="CP90" s="1450"/>
      <c r="CQ90" s="1450"/>
      <c r="CR90" s="1450"/>
      <c r="CS90" s="1459"/>
      <c r="CT90" s="1450"/>
      <c r="CU90" s="1450"/>
      <c r="CV90" s="1450"/>
      <c r="CW90" s="1450"/>
      <c r="CX90" s="1450"/>
    </row>
    <row r="91" spans="1:137">
      <c r="A91" s="1461"/>
      <c r="B91" s="1450"/>
      <c r="C91" s="1450"/>
      <c r="D91" s="1450"/>
      <c r="E91" s="1450"/>
      <c r="F91" s="1450"/>
      <c r="G91" s="1450"/>
      <c r="H91" s="1450"/>
      <c r="I91" s="1450"/>
      <c r="J91" s="1450"/>
      <c r="K91" s="1450"/>
      <c r="L91" s="1450"/>
      <c r="M91" s="1450"/>
      <c r="N91" s="1450"/>
      <c r="O91" s="1450"/>
      <c r="P91" s="1450"/>
      <c r="Q91" s="1450"/>
      <c r="R91" s="1450"/>
      <c r="S91" s="1450"/>
      <c r="T91" s="1450"/>
      <c r="U91" s="1450"/>
      <c r="V91" s="1450"/>
      <c r="W91" s="1450"/>
      <c r="X91" s="1450"/>
      <c r="Y91" s="1450"/>
      <c r="Z91" s="1450"/>
      <c r="AA91" s="1450"/>
      <c r="AB91" s="1450"/>
      <c r="AC91" s="1450"/>
      <c r="AD91" s="1450"/>
      <c r="AE91" s="1450"/>
      <c r="AF91" s="1450"/>
      <c r="AG91" s="1450"/>
      <c r="AH91" s="1450"/>
      <c r="AI91" s="1450"/>
      <c r="AJ91" s="1450"/>
      <c r="AK91" s="1450"/>
      <c r="AL91" s="1450"/>
      <c r="AM91" s="1450"/>
      <c r="AN91" s="1450"/>
      <c r="AO91" s="1450"/>
      <c r="AP91" s="1450"/>
      <c r="AQ91" s="1450"/>
      <c r="AR91" s="1450"/>
      <c r="AS91" s="1450"/>
      <c r="AT91" s="1450"/>
      <c r="AU91" s="1450"/>
      <c r="AV91" s="1450"/>
      <c r="AW91" s="1450"/>
      <c r="AX91" s="1450"/>
      <c r="AY91" s="1450"/>
      <c r="AZ91" s="1450"/>
      <c r="BA91" s="1450"/>
      <c r="BB91" s="1450"/>
      <c r="BC91" s="1450"/>
      <c r="BD91" s="1450"/>
      <c r="BE91" s="1450"/>
      <c r="BF91" s="1450"/>
      <c r="BG91" s="1450"/>
      <c r="BH91" s="1450"/>
      <c r="BI91" s="1450"/>
      <c r="BJ91" s="1450"/>
      <c r="BK91" s="1450"/>
      <c r="BL91" s="1450"/>
      <c r="BM91" s="1450"/>
      <c r="BN91" s="1450"/>
      <c r="BO91" s="1450"/>
      <c r="BP91" s="1450"/>
      <c r="BQ91" s="1450"/>
      <c r="BR91" s="1450"/>
      <c r="BS91" s="1450"/>
      <c r="BT91" s="1450"/>
      <c r="BU91" s="1450"/>
      <c r="BV91" s="1450"/>
      <c r="BW91" s="1450"/>
      <c r="BX91" s="1450"/>
      <c r="BY91" s="1450"/>
      <c r="BZ91" s="1450"/>
      <c r="CA91" s="1450"/>
      <c r="CB91" s="1450"/>
      <c r="CC91" s="1450"/>
      <c r="CD91" s="1462"/>
      <c r="CE91" s="1462"/>
      <c r="CF91" s="1462"/>
      <c r="CG91" s="1462"/>
      <c r="CH91" s="1462"/>
      <c r="CI91" s="1462"/>
      <c r="CJ91" s="1462"/>
      <c r="CK91" s="1465"/>
      <c r="CL91" s="1462"/>
      <c r="CM91" s="1462"/>
      <c r="CN91" s="1462"/>
      <c r="CO91" s="1462"/>
      <c r="CP91" s="1462"/>
      <c r="CQ91" s="1462"/>
      <c r="CR91" s="1462"/>
      <c r="CS91" s="1465"/>
      <c r="CT91" s="1462"/>
      <c r="CU91" s="1462"/>
      <c r="CV91" s="1462"/>
      <c r="CW91" s="1462"/>
      <c r="CX91" s="1450"/>
    </row>
    <row r="92" spans="1:137">
      <c r="A92" s="1461"/>
      <c r="B92" s="1450"/>
      <c r="C92" s="1450"/>
      <c r="D92" s="1450"/>
      <c r="E92" s="1450"/>
      <c r="F92" s="1450"/>
      <c r="G92" s="1450"/>
      <c r="H92" s="1450"/>
      <c r="I92" s="1450"/>
      <c r="J92" s="1450"/>
      <c r="K92" s="1450"/>
      <c r="L92" s="1450"/>
      <c r="M92" s="1450"/>
      <c r="N92" s="1450"/>
      <c r="O92" s="1450"/>
      <c r="P92" s="1450"/>
      <c r="Q92" s="1450"/>
      <c r="R92" s="1450"/>
      <c r="S92" s="1450"/>
      <c r="T92" s="1450"/>
      <c r="U92" s="1450"/>
      <c r="V92" s="1450"/>
      <c r="W92" s="1450"/>
      <c r="X92" s="1450"/>
      <c r="Y92" s="1450"/>
      <c r="Z92" s="1450"/>
      <c r="AA92" s="1450"/>
      <c r="AB92" s="1450"/>
      <c r="AC92" s="1450"/>
      <c r="AD92" s="1450"/>
      <c r="AE92" s="1450"/>
      <c r="AF92" s="1450"/>
      <c r="AG92" s="1450"/>
      <c r="AH92" s="1450"/>
      <c r="AI92" s="1450"/>
      <c r="AJ92" s="1450"/>
      <c r="AK92" s="1450"/>
      <c r="AL92" s="1450"/>
      <c r="AM92" s="1450"/>
      <c r="AN92" s="1450"/>
      <c r="AO92" s="1450"/>
      <c r="AP92" s="1450"/>
      <c r="AQ92" s="1450"/>
      <c r="AR92" s="1450"/>
      <c r="AS92" s="1450"/>
      <c r="AT92" s="1450"/>
      <c r="AU92" s="1450"/>
      <c r="AV92" s="1450"/>
      <c r="AW92" s="1450"/>
      <c r="AX92" s="1450"/>
      <c r="AY92" s="1450"/>
      <c r="AZ92" s="1450"/>
      <c r="BA92" s="1450"/>
      <c r="BB92" s="1450"/>
      <c r="BC92" s="1450"/>
      <c r="BD92" s="1450"/>
      <c r="BE92" s="1450"/>
      <c r="BF92" s="1450"/>
      <c r="BG92" s="1450"/>
      <c r="BH92" s="1450"/>
      <c r="BI92" s="1450"/>
      <c r="BJ92" s="1450"/>
      <c r="BK92" s="1450"/>
      <c r="BL92" s="1450"/>
      <c r="BM92" s="1450"/>
      <c r="BN92" s="1450"/>
      <c r="BO92" s="1450"/>
      <c r="BP92" s="1450"/>
      <c r="BQ92" s="1450"/>
      <c r="BR92" s="1450"/>
      <c r="BS92" s="1450"/>
      <c r="BT92" s="1450"/>
      <c r="BU92" s="1450"/>
      <c r="BV92" s="1450"/>
      <c r="BW92" s="1450"/>
      <c r="BX92" s="1450"/>
      <c r="BY92" s="1450"/>
      <c r="BZ92" s="1450"/>
      <c r="CA92" s="1450"/>
      <c r="CB92" s="1450"/>
      <c r="CC92" s="1450"/>
      <c r="CD92" s="1463"/>
      <c r="CE92" s="1463"/>
      <c r="CF92" s="1463"/>
      <c r="CG92" s="1463"/>
      <c r="CH92" s="1463"/>
      <c r="CI92" s="1463"/>
      <c r="CJ92" s="1463"/>
      <c r="CK92" s="1466"/>
      <c r="CL92" s="1463"/>
      <c r="CM92" s="1463"/>
      <c r="CN92" s="1463"/>
      <c r="CO92" s="1463"/>
      <c r="CP92" s="1463"/>
      <c r="CQ92" s="1463"/>
      <c r="CR92" s="1463"/>
      <c r="CS92" s="1466"/>
      <c r="CT92" s="1463"/>
      <c r="CU92" s="1463"/>
      <c r="CV92" s="1463"/>
      <c r="CW92" s="1464"/>
      <c r="CX92" s="1450"/>
    </row>
    <row r="93" spans="1:137">
      <c r="A93" s="1461"/>
      <c r="B93" s="1450"/>
      <c r="C93" s="1450"/>
      <c r="D93" s="1450"/>
      <c r="E93" s="1450"/>
      <c r="F93" s="1450"/>
      <c r="G93" s="1450"/>
      <c r="H93" s="1450"/>
      <c r="I93" s="1450"/>
      <c r="J93" s="1450"/>
      <c r="K93" s="1450"/>
      <c r="L93" s="1450"/>
      <c r="M93" s="1450"/>
      <c r="N93" s="1450"/>
      <c r="O93" s="1450"/>
      <c r="P93" s="1450"/>
      <c r="Q93" s="1450"/>
      <c r="R93" s="1450"/>
      <c r="S93" s="1450"/>
      <c r="T93" s="1450"/>
      <c r="U93" s="1450"/>
      <c r="V93" s="1450"/>
      <c r="W93" s="1450"/>
      <c r="X93" s="1450"/>
      <c r="Y93" s="1450"/>
      <c r="Z93" s="1450"/>
      <c r="AA93" s="1450"/>
      <c r="AB93" s="1450"/>
      <c r="AC93" s="1450"/>
      <c r="AD93" s="1450"/>
      <c r="AE93" s="1450"/>
      <c r="AF93" s="1450"/>
      <c r="AG93" s="1450"/>
      <c r="AH93" s="1450"/>
      <c r="AI93" s="1450"/>
      <c r="AJ93" s="1450"/>
      <c r="AK93" s="1450"/>
      <c r="AL93" s="1450"/>
      <c r="AM93" s="1450"/>
      <c r="AN93" s="1450"/>
      <c r="AO93" s="1450"/>
      <c r="AP93" s="1450"/>
      <c r="AQ93" s="1450"/>
      <c r="AR93" s="1450"/>
      <c r="AS93" s="1450"/>
      <c r="AT93" s="1450"/>
      <c r="AU93" s="1450"/>
      <c r="AV93" s="1450"/>
      <c r="AW93" s="1450"/>
      <c r="AX93" s="1450"/>
      <c r="AY93" s="1450"/>
      <c r="AZ93" s="1450"/>
      <c r="BA93" s="1450"/>
      <c r="BB93" s="1450"/>
      <c r="BC93" s="1450"/>
      <c r="BD93" s="1450"/>
      <c r="BE93" s="1450"/>
      <c r="BF93" s="1450"/>
      <c r="BG93" s="1450"/>
      <c r="BH93" s="1450"/>
      <c r="BI93" s="1450"/>
      <c r="BJ93" s="1450"/>
      <c r="BK93" s="1450"/>
      <c r="BL93" s="1450"/>
      <c r="BM93" s="1450"/>
      <c r="BN93" s="1450"/>
      <c r="BO93" s="1450"/>
      <c r="BP93" s="1450"/>
      <c r="BQ93" s="1450"/>
      <c r="BR93" s="1450"/>
      <c r="BS93" s="1450"/>
      <c r="BT93" s="1450"/>
      <c r="BU93" s="1450"/>
      <c r="BV93" s="1450"/>
      <c r="BW93" s="1450"/>
      <c r="BX93" s="1450"/>
      <c r="BY93" s="1450"/>
      <c r="BZ93" s="1450"/>
      <c r="CA93" s="1450"/>
      <c r="CB93" s="1450"/>
      <c r="CC93" s="1450"/>
      <c r="CD93" s="1463"/>
      <c r="CE93" s="1463"/>
      <c r="CF93" s="1463"/>
      <c r="CG93" s="1463"/>
      <c r="CH93" s="1463"/>
      <c r="CI93" s="1463"/>
      <c r="CJ93" s="1463"/>
      <c r="CK93" s="1466"/>
      <c r="CL93" s="1463"/>
      <c r="CM93" s="1463"/>
      <c r="CN93" s="1463"/>
      <c r="CO93" s="1463"/>
      <c r="CP93" s="1463"/>
      <c r="CQ93" s="1463"/>
      <c r="CR93" s="1463"/>
      <c r="CS93" s="1466"/>
      <c r="CT93" s="1463"/>
      <c r="CU93" s="1463"/>
      <c r="CV93" s="1463"/>
      <c r="CW93" s="1464"/>
      <c r="CX93" s="1450"/>
    </row>
    <row r="94" spans="1:137">
      <c r="A94" s="1460"/>
      <c r="B94" s="1450"/>
      <c r="C94" s="1450"/>
      <c r="D94" s="1450"/>
      <c r="E94" s="1450"/>
      <c r="F94" s="1450"/>
      <c r="G94" s="1450"/>
      <c r="H94" s="1450"/>
      <c r="I94" s="1450"/>
      <c r="J94" s="1450"/>
      <c r="K94" s="1450"/>
      <c r="L94" s="1450"/>
      <c r="M94" s="1450"/>
      <c r="N94" s="1450"/>
      <c r="O94" s="1450"/>
      <c r="P94" s="1450"/>
      <c r="Q94" s="1450"/>
      <c r="R94" s="1450"/>
      <c r="S94" s="1450"/>
      <c r="T94" s="1450"/>
      <c r="U94" s="1450"/>
      <c r="V94" s="1450"/>
      <c r="W94" s="1450"/>
      <c r="X94" s="1450"/>
      <c r="Y94" s="1450"/>
      <c r="Z94" s="1450"/>
      <c r="AA94" s="1450"/>
      <c r="AB94" s="1450"/>
      <c r="AC94" s="1450"/>
      <c r="AD94" s="1450"/>
      <c r="AE94" s="1450"/>
      <c r="AF94" s="1450"/>
      <c r="AG94" s="1450"/>
      <c r="AH94" s="1450"/>
      <c r="AI94" s="1450"/>
      <c r="AJ94" s="1450"/>
      <c r="AK94" s="1450"/>
      <c r="AL94" s="1450"/>
      <c r="AM94" s="1450"/>
      <c r="AN94" s="1450"/>
      <c r="AO94" s="1450"/>
      <c r="AP94" s="1450"/>
      <c r="AQ94" s="1450"/>
      <c r="AR94" s="1450"/>
      <c r="AS94" s="1450"/>
      <c r="AT94" s="1450"/>
      <c r="AU94" s="1450"/>
      <c r="AV94" s="1450"/>
      <c r="AW94" s="1450"/>
      <c r="AX94" s="1450"/>
      <c r="AY94" s="1450"/>
      <c r="AZ94" s="1450"/>
      <c r="BA94" s="1450"/>
      <c r="BB94" s="1450"/>
      <c r="BC94" s="1450"/>
      <c r="BD94" s="1450"/>
      <c r="BE94" s="1450"/>
      <c r="BF94" s="1450"/>
      <c r="BG94" s="1450"/>
      <c r="BH94" s="1450"/>
      <c r="BI94" s="1450"/>
      <c r="BJ94" s="1450"/>
      <c r="BK94" s="1450"/>
      <c r="BL94" s="1450"/>
      <c r="BM94" s="1450"/>
      <c r="BN94" s="1450"/>
      <c r="BO94" s="1450"/>
      <c r="BP94" s="1450"/>
      <c r="BQ94" s="1450"/>
      <c r="BR94" s="1450"/>
      <c r="BS94" s="1450"/>
      <c r="BT94" s="1450"/>
      <c r="BU94" s="1450"/>
      <c r="BV94" s="1450"/>
      <c r="BW94" s="1450"/>
      <c r="BX94" s="1450"/>
      <c r="BY94" s="1450"/>
      <c r="BZ94" s="1450"/>
      <c r="CA94" s="1450"/>
      <c r="CB94" s="1450"/>
      <c r="CC94" s="1450"/>
      <c r="CD94" s="1450"/>
      <c r="CE94" s="1450"/>
      <c r="CF94" s="1450"/>
      <c r="CG94" s="1450"/>
      <c r="CH94" s="1450"/>
      <c r="CI94" s="1450"/>
      <c r="CJ94" s="1450"/>
      <c r="CK94" s="1459"/>
      <c r="CL94" s="1450"/>
      <c r="CM94" s="1450"/>
      <c r="CN94" s="1450"/>
      <c r="CO94" s="1450"/>
      <c r="CP94" s="1450"/>
      <c r="CQ94" s="1450"/>
      <c r="CR94" s="1450"/>
      <c r="CS94" s="1459"/>
      <c r="CT94" s="1450"/>
      <c r="CU94" s="1450"/>
      <c r="CV94" s="1450"/>
      <c r="CW94" s="1450"/>
      <c r="CX94" s="1450"/>
    </row>
    <row r="95" spans="1:137">
      <c r="A95" s="1460"/>
      <c r="B95" s="1450"/>
      <c r="C95" s="1450"/>
      <c r="D95" s="1450"/>
      <c r="E95" s="1450"/>
      <c r="F95" s="1450"/>
      <c r="G95" s="1450"/>
      <c r="H95" s="1450"/>
      <c r="I95" s="1450"/>
      <c r="J95" s="1450"/>
      <c r="K95" s="1450"/>
      <c r="L95" s="1450"/>
      <c r="M95" s="1450"/>
      <c r="N95" s="1450"/>
      <c r="O95" s="1450"/>
      <c r="P95" s="1450"/>
      <c r="Q95" s="1450"/>
      <c r="R95" s="1450"/>
      <c r="S95" s="1450"/>
      <c r="T95" s="1450"/>
      <c r="U95" s="1450"/>
      <c r="V95" s="1450"/>
      <c r="W95" s="1450"/>
      <c r="X95" s="1450"/>
      <c r="Y95" s="1450"/>
      <c r="Z95" s="1450"/>
      <c r="AA95" s="1450"/>
      <c r="AB95" s="1450"/>
      <c r="AC95" s="1450"/>
      <c r="AD95" s="1450"/>
      <c r="AE95" s="1450"/>
      <c r="AF95" s="1450"/>
      <c r="AG95" s="1450"/>
      <c r="AH95" s="1450"/>
      <c r="AI95" s="1450"/>
      <c r="AJ95" s="1450"/>
      <c r="AK95" s="1450"/>
      <c r="AL95" s="1450"/>
      <c r="AM95" s="1450"/>
      <c r="AN95" s="1450"/>
      <c r="AO95" s="1450"/>
      <c r="AP95" s="1450"/>
      <c r="AQ95" s="1450"/>
      <c r="AR95" s="1450"/>
      <c r="AS95" s="1450"/>
      <c r="AT95" s="1450"/>
      <c r="AU95" s="1450"/>
      <c r="AV95" s="1450"/>
      <c r="AW95" s="1450"/>
      <c r="AX95" s="1450"/>
      <c r="AY95" s="1450"/>
      <c r="AZ95" s="1450"/>
      <c r="BA95" s="1450"/>
      <c r="BB95" s="1450"/>
      <c r="BC95" s="1450"/>
      <c r="BD95" s="1450"/>
      <c r="BE95" s="1450"/>
      <c r="BF95" s="1450"/>
      <c r="BG95" s="1450"/>
      <c r="BH95" s="1450"/>
      <c r="BI95" s="1450"/>
      <c r="BJ95" s="1450"/>
      <c r="BK95" s="1450"/>
      <c r="BL95" s="1450"/>
      <c r="BM95" s="1450"/>
      <c r="BN95" s="1450"/>
      <c r="BO95" s="1450"/>
      <c r="BP95" s="1450"/>
      <c r="BQ95" s="1450"/>
      <c r="BR95" s="1450"/>
      <c r="BS95" s="1450"/>
      <c r="BT95" s="1450"/>
      <c r="BU95" s="1450"/>
      <c r="BV95" s="1450"/>
      <c r="BW95" s="1450"/>
      <c r="BX95" s="1450"/>
      <c r="BY95" s="1450"/>
      <c r="BZ95" s="1450"/>
      <c r="CA95" s="1450"/>
      <c r="CB95" s="1450"/>
      <c r="CC95" s="1450"/>
      <c r="CD95" s="1450"/>
      <c r="CE95" s="1450"/>
      <c r="CF95" s="1450"/>
      <c r="CG95" s="1450"/>
      <c r="CH95" s="1450"/>
      <c r="CI95" s="1450"/>
      <c r="CJ95" s="1450"/>
      <c r="CK95" s="1459"/>
      <c r="CL95" s="1450"/>
      <c r="CM95" s="1450"/>
      <c r="CN95" s="1450"/>
      <c r="CO95" s="1450"/>
      <c r="CP95" s="1450"/>
      <c r="CQ95" s="1450"/>
      <c r="CR95" s="1450"/>
      <c r="CS95" s="1459"/>
      <c r="CT95" s="1450"/>
      <c r="CU95" s="1450"/>
      <c r="CV95" s="1450"/>
      <c r="CW95" s="1450"/>
      <c r="CX95" s="1450"/>
    </row>
    <row r="96" spans="1:137">
      <c r="A96" s="1460"/>
      <c r="B96" s="1450"/>
      <c r="C96" s="1450"/>
      <c r="D96" s="1450"/>
      <c r="E96" s="1450"/>
      <c r="F96" s="1450"/>
      <c r="G96" s="1450"/>
      <c r="H96" s="1450"/>
      <c r="I96" s="1450"/>
      <c r="J96" s="1450"/>
      <c r="K96" s="1450"/>
      <c r="L96" s="1450"/>
      <c r="M96" s="1450"/>
      <c r="N96" s="1450"/>
      <c r="O96" s="1450"/>
      <c r="P96" s="1450"/>
      <c r="Q96" s="1450"/>
      <c r="R96" s="1450"/>
      <c r="S96" s="1450"/>
      <c r="T96" s="1450"/>
      <c r="U96" s="1450"/>
      <c r="V96" s="1450"/>
      <c r="W96" s="1450"/>
      <c r="X96" s="1450"/>
      <c r="Y96" s="1450"/>
      <c r="Z96" s="1450"/>
      <c r="AA96" s="1450"/>
      <c r="AB96" s="1450"/>
      <c r="AC96" s="1450"/>
      <c r="AD96" s="1450"/>
      <c r="AE96" s="1450"/>
      <c r="AF96" s="1450"/>
      <c r="AG96" s="1450"/>
      <c r="AH96" s="1450"/>
      <c r="AI96" s="1450"/>
      <c r="AJ96" s="1450"/>
      <c r="AK96" s="1450"/>
      <c r="AL96" s="1450"/>
      <c r="AM96" s="1450"/>
      <c r="AN96" s="1450"/>
      <c r="AO96" s="1450"/>
      <c r="AP96" s="1450"/>
      <c r="AQ96" s="1450"/>
      <c r="AR96" s="1450"/>
      <c r="AS96" s="1450"/>
      <c r="AT96" s="1450"/>
      <c r="AU96" s="1450"/>
      <c r="AV96" s="1450"/>
      <c r="AW96" s="1450"/>
      <c r="AX96" s="1450"/>
      <c r="AY96" s="1450"/>
      <c r="AZ96" s="1450"/>
      <c r="BA96" s="1450"/>
      <c r="BB96" s="1450"/>
      <c r="BC96" s="1450"/>
      <c r="BD96" s="1450"/>
      <c r="BE96" s="1450"/>
      <c r="BF96" s="1450"/>
      <c r="BG96" s="1450"/>
      <c r="BH96" s="1450"/>
      <c r="BI96" s="1450"/>
      <c r="BJ96" s="1450"/>
      <c r="BK96" s="1450"/>
      <c r="BL96" s="1450"/>
      <c r="BM96" s="1450"/>
      <c r="BN96" s="1450"/>
      <c r="BO96" s="1450"/>
      <c r="BP96" s="1450"/>
      <c r="BQ96" s="1450"/>
      <c r="BR96" s="1450"/>
      <c r="BS96" s="1450"/>
      <c r="BT96" s="1450"/>
      <c r="BU96" s="1450"/>
      <c r="BV96" s="1450"/>
      <c r="BW96" s="1450"/>
      <c r="BX96" s="1450"/>
      <c r="BY96" s="1450"/>
      <c r="BZ96" s="1450"/>
      <c r="CA96" s="1450"/>
      <c r="CB96" s="1450"/>
      <c r="CC96" s="1450"/>
      <c r="CD96" s="1450"/>
      <c r="CE96" s="1450"/>
      <c r="CF96" s="1450"/>
      <c r="CG96" s="1450"/>
      <c r="CH96" s="1450"/>
      <c r="CI96" s="1450"/>
      <c r="CJ96" s="1450"/>
      <c r="CK96" s="1459"/>
      <c r="CL96" s="1450"/>
      <c r="CM96" s="1450"/>
      <c r="CN96" s="1450"/>
      <c r="CO96" s="1450"/>
      <c r="CP96" s="1450"/>
      <c r="CQ96" s="1450"/>
      <c r="CR96" s="1450"/>
      <c r="CS96" s="1459"/>
      <c r="CT96" s="1450"/>
      <c r="CU96" s="1450"/>
      <c r="CV96" s="1450"/>
      <c r="CW96" s="1450"/>
      <c r="CX96" s="1450"/>
    </row>
    <row r="97" spans="1:102">
      <c r="A97" s="1460"/>
      <c r="B97" s="1450"/>
      <c r="C97" s="1450"/>
      <c r="D97" s="1450"/>
      <c r="E97" s="1450"/>
      <c r="F97" s="1450"/>
      <c r="G97" s="1450"/>
      <c r="H97" s="1450"/>
      <c r="I97" s="1450"/>
      <c r="J97" s="1450"/>
      <c r="K97" s="1450"/>
      <c r="L97" s="1450"/>
      <c r="M97" s="1450"/>
      <c r="N97" s="1450"/>
      <c r="O97" s="1450"/>
      <c r="P97" s="1450"/>
      <c r="Q97" s="1450"/>
      <c r="R97" s="1450"/>
      <c r="S97" s="1450"/>
      <c r="T97" s="1450"/>
      <c r="U97" s="1450"/>
      <c r="V97" s="1450"/>
      <c r="W97" s="1450"/>
      <c r="X97" s="1450"/>
      <c r="Y97" s="1450"/>
      <c r="Z97" s="1450"/>
      <c r="AA97" s="1450"/>
      <c r="AB97" s="1450"/>
      <c r="AC97" s="1450"/>
      <c r="AD97" s="1450"/>
      <c r="AE97" s="1450"/>
      <c r="AF97" s="1450"/>
      <c r="AG97" s="1450"/>
      <c r="AH97" s="1450"/>
      <c r="AI97" s="1450"/>
      <c r="AJ97" s="1450"/>
      <c r="AK97" s="1450"/>
      <c r="AL97" s="1450"/>
      <c r="AM97" s="1450"/>
      <c r="AN97" s="1450"/>
      <c r="AO97" s="1450"/>
      <c r="AP97" s="1450"/>
      <c r="AQ97" s="1450"/>
      <c r="AR97" s="1450"/>
      <c r="AS97" s="1450"/>
      <c r="AT97" s="1450"/>
      <c r="AU97" s="1450"/>
      <c r="AV97" s="1450"/>
      <c r="AW97" s="1450"/>
      <c r="AX97" s="1450"/>
      <c r="AY97" s="1450"/>
      <c r="AZ97" s="1450"/>
      <c r="BA97" s="1450"/>
      <c r="BB97" s="1450"/>
      <c r="BC97" s="1450"/>
      <c r="BD97" s="1450"/>
      <c r="BE97" s="1450"/>
      <c r="BF97" s="1450"/>
      <c r="BG97" s="1450"/>
      <c r="BH97" s="1450"/>
      <c r="BI97" s="1450"/>
      <c r="BJ97" s="1450"/>
      <c r="BK97" s="1450"/>
      <c r="BL97" s="1450"/>
      <c r="BM97" s="1450"/>
      <c r="BN97" s="1450"/>
      <c r="BO97" s="1450"/>
      <c r="BP97" s="1450"/>
      <c r="BQ97" s="1450"/>
      <c r="BR97" s="1450"/>
      <c r="BS97" s="1450"/>
      <c r="BT97" s="1450"/>
      <c r="BU97" s="1450"/>
      <c r="BV97" s="1450"/>
      <c r="BW97" s="1450"/>
      <c r="BX97" s="1450"/>
      <c r="BY97" s="1450"/>
      <c r="BZ97" s="1450"/>
      <c r="CA97" s="1450"/>
      <c r="CB97" s="1450"/>
      <c r="CC97" s="1450"/>
      <c r="CD97" s="1450"/>
      <c r="CE97" s="1450"/>
      <c r="CF97" s="1450"/>
      <c r="CG97" s="1450"/>
      <c r="CH97" s="1450"/>
      <c r="CI97" s="1450"/>
      <c r="CJ97" s="1450"/>
      <c r="CK97" s="1459"/>
      <c r="CL97" s="1450"/>
      <c r="CM97" s="1450"/>
      <c r="CN97" s="1450"/>
      <c r="CO97" s="1450"/>
      <c r="CP97" s="1450"/>
      <c r="CQ97" s="1450"/>
      <c r="CR97" s="1450"/>
      <c r="CS97" s="1459"/>
      <c r="CT97" s="1450"/>
      <c r="CU97" s="1450"/>
      <c r="CV97" s="1450"/>
      <c r="CW97" s="1450"/>
      <c r="CX97" s="1450"/>
    </row>
    <row r="98" spans="1:102">
      <c r="A98" s="253"/>
    </row>
    <row r="99" spans="1:102">
      <c r="A99" s="249"/>
    </row>
    <row r="100" spans="1:102">
      <c r="A100" s="19"/>
    </row>
    <row r="101" spans="1:102">
      <c r="A101" s="249"/>
    </row>
    <row r="102" spans="1:102">
      <c r="A102" s="249"/>
    </row>
    <row r="103" spans="1:102">
      <c r="A103" s="19"/>
    </row>
    <row r="104" spans="1:102">
      <c r="A104" s="19"/>
    </row>
    <row r="105" spans="1:102">
      <c r="A105" s="19"/>
    </row>
    <row r="106" spans="1:102">
      <c r="A106" s="249"/>
    </row>
    <row r="107" spans="1:102">
      <c r="A107" s="19"/>
    </row>
    <row r="108" spans="1:102">
      <c r="A108" s="19"/>
    </row>
    <row r="109" spans="1:102">
      <c r="A109" s="249"/>
    </row>
    <row r="110" spans="1:102">
      <c r="A110" s="19"/>
    </row>
    <row r="111" spans="1:102">
      <c r="A111" s="19"/>
    </row>
    <row r="112" spans="1:102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249"/>
    </row>
    <row r="118" spans="1:1">
      <c r="A118" s="249"/>
    </row>
    <row r="119" spans="1:1">
      <c r="A119" s="24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307"/>
    </row>
    <row r="142" spans="1:1">
      <c r="A142" s="249"/>
    </row>
    <row r="143" spans="1:1">
      <c r="A143" s="249"/>
    </row>
    <row r="144" spans="1:1">
      <c r="A144" s="253"/>
    </row>
    <row r="145" spans="1:1">
      <c r="A145" s="249"/>
    </row>
    <row r="146" spans="1:1">
      <c r="A146" s="253"/>
    </row>
    <row r="147" spans="1:1">
      <c r="A147" s="249"/>
    </row>
    <row r="148" spans="1:1">
      <c r="A148" s="249"/>
    </row>
    <row r="149" spans="1:1">
      <c r="A149" s="249"/>
    </row>
    <row r="150" spans="1:1">
      <c r="A150" s="249"/>
    </row>
  </sheetData>
  <mergeCells count="1">
    <mergeCell ref="EM1:EM72"/>
  </mergeCells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D92B-D956-4C21-A37D-83BE1428729E}">
  <sheetPr codeName="Sheet13">
    <tabColor theme="4" tint="0.89999084444715716"/>
    <pageSetUpPr fitToPage="1"/>
  </sheetPr>
  <dimension ref="A1:AZ326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RowHeight="14.25" outlineLevelCol="1"/>
  <cols>
    <col min="1" max="1" width="46.75" bestFit="1" customWidth="1"/>
    <col min="2" max="17" width="8.75" hidden="1" customWidth="1" outlineLevel="1"/>
    <col min="18" max="22" width="9" hidden="1" customWidth="1" outlineLevel="1"/>
    <col min="23" max="23" width="8.75" collapsed="1"/>
    <col min="34" max="39" width="9" style="1431"/>
    <col min="41" max="41" width="22.5" customWidth="1"/>
  </cols>
  <sheetData>
    <row r="1" spans="1:42" ht="15">
      <c r="A1" s="924">
        <f>'Balance Sheet'!A1</f>
        <v>340</v>
      </c>
    </row>
    <row r="2" spans="1:42">
      <c r="A2" s="257" t="s">
        <v>1225</v>
      </c>
      <c r="B2" s="257">
        <v>2000</v>
      </c>
      <c r="C2" s="257">
        <v>2001</v>
      </c>
      <c r="D2" s="257">
        <v>2002</v>
      </c>
      <c r="E2" s="257">
        <v>2003</v>
      </c>
      <c r="F2" s="257">
        <v>2004</v>
      </c>
      <c r="G2" s="257">
        <v>2005</v>
      </c>
      <c r="H2" s="257">
        <v>2006</v>
      </c>
      <c r="I2" s="257">
        <v>2007</v>
      </c>
      <c r="J2" s="257">
        <v>2008</v>
      </c>
      <c r="K2" s="257">
        <v>2009</v>
      </c>
      <c r="L2" s="257">
        <v>2010</v>
      </c>
      <c r="M2" s="257">
        <v>2011</v>
      </c>
      <c r="N2" s="257">
        <v>2012</v>
      </c>
      <c r="O2" s="257">
        <v>2013</v>
      </c>
      <c r="P2" s="257">
        <v>2014</v>
      </c>
      <c r="Q2" s="257">
        <v>2015</v>
      </c>
      <c r="R2" s="257">
        <v>2016</v>
      </c>
      <c r="S2" s="257">
        <v>2017</v>
      </c>
      <c r="T2" s="257">
        <v>2018</v>
      </c>
      <c r="U2" s="257">
        <v>2019</v>
      </c>
      <c r="V2" s="257">
        <v>2020</v>
      </c>
      <c r="W2" s="257">
        <v>2021</v>
      </c>
      <c r="X2" s="257">
        <v>2022</v>
      </c>
      <c r="Y2" s="257">
        <v>2023</v>
      </c>
      <c r="Z2" s="257">
        <v>2024</v>
      </c>
      <c r="AA2" s="170" t="s">
        <v>894</v>
      </c>
      <c r="AB2" s="170" t="s">
        <v>1196</v>
      </c>
      <c r="AC2" s="171" t="s">
        <v>1212</v>
      </c>
      <c r="AD2" s="171" t="s">
        <v>1213</v>
      </c>
      <c r="AE2" s="171" t="s">
        <v>1214</v>
      </c>
      <c r="AF2" s="171" t="s">
        <v>1215</v>
      </c>
      <c r="AG2" s="172"/>
      <c r="AH2" s="1432" t="s">
        <v>1155</v>
      </c>
      <c r="AI2" s="1438"/>
      <c r="AJ2" s="1438"/>
      <c r="AK2" s="1438"/>
      <c r="AL2" s="1438"/>
      <c r="AM2" s="1438"/>
      <c r="AN2" s="169"/>
      <c r="AO2" s="169"/>
      <c r="AP2" s="169"/>
    </row>
    <row r="3" spans="1:42">
      <c r="A3" s="258" t="s">
        <v>1074</v>
      </c>
      <c r="B3" s="259"/>
      <c r="C3" s="259"/>
      <c r="D3" s="259"/>
      <c r="E3" s="259"/>
      <c r="F3" s="259"/>
      <c r="G3" s="259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180"/>
      <c r="AH3" s="1433"/>
      <c r="AI3" s="1433"/>
      <c r="AJ3" s="1433"/>
      <c r="AK3" s="1433"/>
      <c r="AL3" s="1433"/>
      <c r="AM3" s="1433"/>
      <c r="AN3" s="180"/>
      <c r="AO3" s="180"/>
      <c r="AP3" s="180"/>
    </row>
    <row r="4" spans="1:42">
      <c r="A4" s="249" t="s">
        <v>927</v>
      </c>
      <c r="B4" s="180"/>
      <c r="C4" s="180"/>
      <c r="D4" s="180"/>
      <c r="E4" s="180"/>
      <c r="F4" s="180"/>
      <c r="G4" s="180"/>
      <c r="H4" s="281">
        <f>H6-H5</f>
        <v>2891.61</v>
      </c>
      <c r="I4" s="281"/>
      <c r="J4" s="281">
        <f t="shared" ref="J4:Q4" si="0">J6-J5</f>
        <v>3074</v>
      </c>
      <c r="K4" s="281">
        <f t="shared" si="0"/>
        <v>2885</v>
      </c>
      <c r="L4" s="281">
        <f t="shared" si="0"/>
        <v>2795</v>
      </c>
      <c r="M4" s="281">
        <f t="shared" si="0"/>
        <v>3118</v>
      </c>
      <c r="N4" s="281">
        <f t="shared" si="0"/>
        <v>3718</v>
      </c>
      <c r="O4" s="281">
        <f t="shared" si="0"/>
        <v>3938.6910000000003</v>
      </c>
      <c r="P4" s="281">
        <f t="shared" si="0"/>
        <v>4073</v>
      </c>
      <c r="Q4" s="281">
        <f t="shared" si="0"/>
        <v>4334</v>
      </c>
      <c r="R4" s="305">
        <v>3801</v>
      </c>
      <c r="S4" s="281">
        <f t="shared" ref="S4:Z4" si="1">S6-S5</f>
        <v>3904</v>
      </c>
      <c r="T4" s="281">
        <f t="shared" si="1"/>
        <v>4594</v>
      </c>
      <c r="U4" s="281">
        <v>5197</v>
      </c>
      <c r="V4" s="281">
        <f t="shared" si="1"/>
        <v>2995</v>
      </c>
      <c r="W4" s="281">
        <f t="shared" si="1"/>
        <v>2801</v>
      </c>
      <c r="X4" s="281">
        <f t="shared" si="1"/>
        <v>3515</v>
      </c>
      <c r="Y4" s="281">
        <f t="shared" si="1"/>
        <v>4565</v>
      </c>
      <c r="Z4" s="281">
        <f t="shared" si="1"/>
        <v>5222</v>
      </c>
      <c r="AA4" s="281">
        <f t="shared" ref="AA4:AF5" si="2">Z4*(1+AA15)</f>
        <v>5955.5139933077298</v>
      </c>
      <c r="AB4" s="281">
        <f t="shared" si="2"/>
        <v>6573.1472802069356</v>
      </c>
      <c r="AC4" s="281">
        <f t="shared" si="2"/>
        <v>7463.8086471849256</v>
      </c>
      <c r="AD4" s="281">
        <f t="shared" si="2"/>
        <v>7887.7907002391803</v>
      </c>
      <c r="AE4" s="281">
        <f t="shared" si="2"/>
        <v>8352.7651484194084</v>
      </c>
      <c r="AF4" s="281">
        <f t="shared" si="2"/>
        <v>8534.8716663670039</v>
      </c>
      <c r="AG4" s="180"/>
      <c r="AH4" s="1433"/>
      <c r="AI4" s="1433"/>
      <c r="AJ4" s="1433"/>
      <c r="AK4" s="1433"/>
      <c r="AL4" s="1433"/>
      <c r="AM4" s="1433"/>
      <c r="AN4" s="180"/>
      <c r="AO4" s="180"/>
      <c r="AP4" s="180"/>
    </row>
    <row r="5" spans="1:42">
      <c r="A5" s="249" t="s">
        <v>928</v>
      </c>
      <c r="B5" s="180"/>
      <c r="C5" s="180"/>
      <c r="D5" s="180"/>
      <c r="E5" s="180"/>
      <c r="F5" s="180"/>
      <c r="G5" s="180"/>
      <c r="H5" s="305">
        <v>2181.39</v>
      </c>
      <c r="I5" s="305"/>
      <c r="J5" s="305">
        <v>2729</v>
      </c>
      <c r="K5" s="305">
        <v>2788</v>
      </c>
      <c r="L5" s="305">
        <v>2809</v>
      </c>
      <c r="M5" s="305">
        <v>2992</v>
      </c>
      <c r="N5" s="305">
        <v>3287</v>
      </c>
      <c r="O5" s="305">
        <v>3650.3089999999997</v>
      </c>
      <c r="P5" s="305">
        <v>4080</v>
      </c>
      <c r="Q5" s="305">
        <v>4985</v>
      </c>
      <c r="R5" s="305">
        <v>5350</v>
      </c>
      <c r="S5" s="305">
        <v>5453</v>
      </c>
      <c r="T5" s="305">
        <v>5985</v>
      </c>
      <c r="U5" s="305">
        <v>6848</v>
      </c>
      <c r="V5" s="305">
        <v>4668</v>
      </c>
      <c r="W5" s="305">
        <v>4638</v>
      </c>
      <c r="X5" s="305">
        <v>5991</v>
      </c>
      <c r="Y5" s="305">
        <v>7311</v>
      </c>
      <c r="Z5" s="305">
        <v>8430</v>
      </c>
      <c r="AA5" s="281">
        <f>Z5*(1+AA16)</f>
        <v>9878.8630671169831</v>
      </c>
      <c r="AB5" s="281">
        <f t="shared" si="2"/>
        <v>11233.44953682809</v>
      </c>
      <c r="AC5" s="281">
        <f t="shared" si="2"/>
        <v>12468.413557009422</v>
      </c>
      <c r="AD5" s="281">
        <f t="shared" si="2"/>
        <v>13727.332664412863</v>
      </c>
      <c r="AE5" s="281">
        <f t="shared" si="2"/>
        <v>14562.66104293215</v>
      </c>
      <c r="AF5" s="281">
        <f t="shared" si="2"/>
        <v>15656.757054297355</v>
      </c>
      <c r="AG5" s="180"/>
      <c r="AH5" s="1433"/>
      <c r="AI5" s="1433"/>
      <c r="AJ5" s="1433"/>
      <c r="AK5" s="1433"/>
      <c r="AL5" s="1433"/>
      <c r="AM5" s="1433"/>
      <c r="AN5" s="180"/>
      <c r="AO5" s="180"/>
      <c r="AP5" s="180"/>
    </row>
    <row r="6" spans="1:42">
      <c r="A6" s="181" t="s">
        <v>1226</v>
      </c>
      <c r="B6" s="57"/>
      <c r="C6" s="57"/>
      <c r="D6" s="57"/>
      <c r="E6" s="57"/>
      <c r="F6" s="57"/>
      <c r="G6" s="57"/>
      <c r="H6" s="310">
        <v>5073</v>
      </c>
      <c r="I6" s="310">
        <v>5920</v>
      </c>
      <c r="J6" s="310">
        <v>5803</v>
      </c>
      <c r="K6" s="310">
        <v>5673</v>
      </c>
      <c r="L6" s="310">
        <v>5604</v>
      </c>
      <c r="M6" s="310">
        <v>6110</v>
      </c>
      <c r="N6" s="310">
        <v>7005</v>
      </c>
      <c r="O6" s="310">
        <v>7589</v>
      </c>
      <c r="P6" s="310">
        <v>8153</v>
      </c>
      <c r="Q6" s="310">
        <v>9319</v>
      </c>
      <c r="R6" s="310">
        <v>9391</v>
      </c>
      <c r="S6" s="310">
        <v>9357</v>
      </c>
      <c r="T6" s="310">
        <v>10579</v>
      </c>
      <c r="U6" s="310">
        <v>12045</v>
      </c>
      <c r="V6" s="310">
        <v>7663</v>
      </c>
      <c r="W6" s="310">
        <v>7439</v>
      </c>
      <c r="X6" s="310">
        <v>9506</v>
      </c>
      <c r="Y6" s="310">
        <v>11876</v>
      </c>
      <c r="Z6" s="310">
        <v>13652</v>
      </c>
      <c r="AA6" s="311">
        <f t="shared" ref="AA6:AF6" si="3">SUM(AA4:AA5)</f>
        <v>15834.377060424713</v>
      </c>
      <c r="AB6" s="311">
        <f t="shared" si="3"/>
        <v>17806.596817035024</v>
      </c>
      <c r="AC6" s="311">
        <f t="shared" si="3"/>
        <v>19932.222204194346</v>
      </c>
      <c r="AD6" s="311">
        <f t="shared" si="3"/>
        <v>21615.123364652041</v>
      </c>
      <c r="AE6" s="311">
        <f t="shared" si="3"/>
        <v>22915.426191351558</v>
      </c>
      <c r="AF6" s="311">
        <f t="shared" si="3"/>
        <v>24191.628720664361</v>
      </c>
      <c r="AG6" s="180"/>
      <c r="AH6" s="1436"/>
      <c r="AI6" s="1433"/>
      <c r="AJ6" s="1433"/>
      <c r="AK6" s="1433"/>
      <c r="AL6" s="1433"/>
      <c r="AM6" s="1433"/>
      <c r="AN6" s="180"/>
      <c r="AO6" s="180"/>
      <c r="AP6" s="180"/>
    </row>
    <row r="7" spans="1:42">
      <c r="A7" s="286" t="s">
        <v>1242</v>
      </c>
      <c r="B7" s="312"/>
      <c r="C7" s="312"/>
      <c r="D7" s="312"/>
      <c r="E7" s="312"/>
      <c r="F7" s="312"/>
      <c r="G7" s="312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>
        <f t="shared" ref="T7:AF7" si="4">T6/S6-1</f>
        <v>0.13059741370097244</v>
      </c>
      <c r="U7" s="222">
        <v>0.13857642499291045</v>
      </c>
      <c r="V7" s="184">
        <f t="shared" si="4"/>
        <v>-0.36380240763802407</v>
      </c>
      <c r="W7" s="184">
        <f t="shared" si="4"/>
        <v>-2.9231371525512251E-2</v>
      </c>
      <c r="X7" s="184">
        <f t="shared" si="4"/>
        <v>0.27785992740959808</v>
      </c>
      <c r="Y7" s="184">
        <f t="shared" si="4"/>
        <v>0.24931622133389442</v>
      </c>
      <c r="Z7" s="184">
        <f t="shared" si="4"/>
        <v>0.14954530144829903</v>
      </c>
      <c r="AA7" s="184">
        <f>AA6/Z6-1</f>
        <v>0.15985768095698161</v>
      </c>
      <c r="AB7" s="184">
        <f t="shared" si="4"/>
        <v>0.12455303729879796</v>
      </c>
      <c r="AC7" s="184">
        <f t="shared" si="4"/>
        <v>0.11937291606028855</v>
      </c>
      <c r="AD7" s="184">
        <f t="shared" si="4"/>
        <v>8.4431186007125847E-2</v>
      </c>
      <c r="AE7" s="184">
        <f t="shared" si="4"/>
        <v>6.0157085609141125E-2</v>
      </c>
      <c r="AF7" s="184">
        <f t="shared" si="4"/>
        <v>5.5691852233341832E-2</v>
      </c>
      <c r="AG7" s="180"/>
      <c r="AH7" s="1433"/>
      <c r="AI7" s="1433"/>
      <c r="AJ7" s="1433"/>
      <c r="AK7" s="1433"/>
      <c r="AL7" s="1433"/>
      <c r="AM7" s="1433"/>
      <c r="AN7" s="180"/>
      <c r="AO7" s="180"/>
      <c r="AP7" s="180"/>
    </row>
    <row r="8" spans="1:42">
      <c r="A8" s="286" t="s">
        <v>1291</v>
      </c>
      <c r="B8" s="312"/>
      <c r="C8" s="312"/>
      <c r="D8" s="312"/>
      <c r="E8" s="312"/>
      <c r="F8" s="312"/>
      <c r="G8" s="312"/>
      <c r="H8" s="184"/>
      <c r="I8" s="184"/>
      <c r="J8" s="184"/>
      <c r="K8" s="184"/>
      <c r="L8" s="184"/>
      <c r="M8" s="184"/>
      <c r="N8" s="184"/>
      <c r="O8" s="184"/>
      <c r="P8" s="184"/>
      <c r="Q8" s="222"/>
      <c r="R8" s="184"/>
      <c r="S8" s="184"/>
      <c r="T8" s="184" t="e">
        <f>((T6*T94)/(S6*S94))-1</f>
        <v>#DIV/0!</v>
      </c>
      <c r="U8" s="222">
        <v>0.1181232527274223</v>
      </c>
      <c r="V8" s="184">
        <f t="shared" ref="V8:AF8" si="5">((V6*V94)/(U6*U94))-1</f>
        <v>-0.36929883475881686</v>
      </c>
      <c r="W8" s="184">
        <f t="shared" si="5"/>
        <v>-1.0424974397227893E-2</v>
      </c>
      <c r="X8" s="184">
        <f t="shared" si="5"/>
        <v>0.20722646621397312</v>
      </c>
      <c r="Y8" s="184">
        <f t="shared" si="5"/>
        <v>0.25378405467485865</v>
      </c>
      <c r="Z8" s="184">
        <f t="shared" si="5"/>
        <v>0.14725372045149698</v>
      </c>
      <c r="AA8" s="184">
        <f t="shared" si="5"/>
        <v>0.17284104071058604</v>
      </c>
      <c r="AB8" s="184">
        <f t="shared" si="5"/>
        <v>0.1465396942942645</v>
      </c>
      <c r="AC8" s="184">
        <f t="shared" si="5"/>
        <v>0.11937291606028855</v>
      </c>
      <c r="AD8" s="184">
        <f t="shared" si="5"/>
        <v>8.4431186007125847E-2</v>
      </c>
      <c r="AE8" s="184">
        <f t="shared" si="5"/>
        <v>6.0157085609140903E-2</v>
      </c>
      <c r="AF8" s="184">
        <f t="shared" si="5"/>
        <v>5.5691852233341832E-2</v>
      </c>
      <c r="AG8" s="180"/>
      <c r="AH8" s="1433"/>
      <c r="AI8" s="1433"/>
      <c r="AJ8" s="1433"/>
      <c r="AK8" s="1433"/>
      <c r="AL8" s="1433"/>
      <c r="AM8" s="1433"/>
      <c r="AN8" s="180"/>
      <c r="AO8" s="180"/>
      <c r="AP8" s="180"/>
    </row>
    <row r="9" spans="1:42">
      <c r="A9" s="286"/>
      <c r="B9" s="312"/>
      <c r="C9" s="312"/>
      <c r="D9" s="312"/>
      <c r="E9" s="312"/>
      <c r="F9" s="312"/>
      <c r="G9" s="312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478"/>
      <c r="AB9" s="478"/>
      <c r="AC9" s="478"/>
      <c r="AD9" s="478"/>
      <c r="AE9" s="478"/>
      <c r="AF9" s="478"/>
      <c r="AG9" s="180"/>
      <c r="AH9" s="1433"/>
      <c r="AI9" s="1433"/>
      <c r="AJ9" s="1433"/>
      <c r="AK9" s="1433"/>
      <c r="AL9" s="1433"/>
      <c r="AM9" s="1433"/>
      <c r="AN9" s="180"/>
      <c r="AO9" s="180"/>
      <c r="AP9" s="180"/>
    </row>
    <row r="10" spans="1:42">
      <c r="A10" s="181" t="s">
        <v>1278</v>
      </c>
      <c r="B10" s="312"/>
      <c r="C10" s="312"/>
      <c r="D10" s="312"/>
      <c r="E10" s="312"/>
      <c r="F10" s="312"/>
      <c r="G10" s="312"/>
      <c r="H10" s="312"/>
      <c r="I10" s="312"/>
      <c r="J10" s="183"/>
      <c r="K10" s="198"/>
      <c r="L10" s="198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0"/>
      <c r="AH10" s="1433"/>
      <c r="AI10" s="1433"/>
      <c r="AJ10" s="1433"/>
      <c r="AK10" s="1433"/>
      <c r="AL10" s="1433"/>
      <c r="AM10" s="1433"/>
      <c r="AN10" s="180"/>
      <c r="AO10" s="180"/>
      <c r="AP10" s="180"/>
    </row>
    <row r="11" spans="1:42">
      <c r="A11" s="249" t="s">
        <v>927</v>
      </c>
      <c r="B11" s="312"/>
      <c r="C11" s="312"/>
      <c r="D11" s="312"/>
      <c r="E11" s="312"/>
      <c r="F11" s="312"/>
      <c r="G11" s="312"/>
      <c r="H11" s="312"/>
      <c r="I11" s="312"/>
      <c r="J11" s="183"/>
      <c r="K11" s="198"/>
      <c r="L11" s="198"/>
      <c r="M11" s="184"/>
      <c r="N11" s="184"/>
      <c r="O11" s="174"/>
      <c r="P11" s="174"/>
      <c r="Q11" s="174"/>
      <c r="R11" s="174"/>
      <c r="S11" s="174"/>
      <c r="T11" s="174">
        <f t="shared" ref="T11:AF11" si="6">T4/T$6</f>
        <v>0.43425654598733338</v>
      </c>
      <c r="U11" s="174">
        <v>0.43146533831465339</v>
      </c>
      <c r="V11" s="174">
        <f t="shared" si="6"/>
        <v>0.39083909695941538</v>
      </c>
      <c r="W11" s="174">
        <f t="shared" si="6"/>
        <v>0.37652910337410944</v>
      </c>
      <c r="X11" s="174">
        <f t="shared" si="6"/>
        <v>0.36976646328634549</v>
      </c>
      <c r="Y11" s="174">
        <f t="shared" si="6"/>
        <v>0.38438868305826879</v>
      </c>
      <c r="Z11" s="174">
        <f t="shared" si="6"/>
        <v>0.38250805742748317</v>
      </c>
      <c r="AA11" s="174">
        <f t="shared" si="6"/>
        <v>0.37611293267687224</v>
      </c>
      <c r="AB11" s="174">
        <f t="shared" si="6"/>
        <v>0.36914113054542841</v>
      </c>
      <c r="AC11" s="174">
        <f t="shared" si="6"/>
        <v>0.3744594341123848</v>
      </c>
      <c r="AD11" s="174">
        <f t="shared" si="6"/>
        <v>0.36491999454133844</v>
      </c>
      <c r="AE11" s="174">
        <f t="shared" si="6"/>
        <v>0.36450402792734443</v>
      </c>
      <c r="AF11" s="174">
        <f t="shared" si="6"/>
        <v>0.35280268910032342</v>
      </c>
      <c r="AG11" s="180"/>
      <c r="AH11" s="1433"/>
      <c r="AI11" s="1433"/>
      <c r="AJ11" s="1433"/>
      <c r="AK11" s="1433"/>
      <c r="AL11" s="1433"/>
      <c r="AM11" s="1433"/>
      <c r="AN11" s="180"/>
      <c r="AO11" s="180"/>
      <c r="AP11" s="180"/>
    </row>
    <row r="12" spans="1:42">
      <c r="A12" s="249" t="s">
        <v>928</v>
      </c>
      <c r="B12" s="312"/>
      <c r="C12" s="312"/>
      <c r="D12" s="312"/>
      <c r="E12" s="312"/>
      <c r="F12" s="312"/>
      <c r="G12" s="312"/>
      <c r="H12" s="312"/>
      <c r="I12" s="312"/>
      <c r="J12" s="183"/>
      <c r="K12" s="198"/>
      <c r="L12" s="198"/>
      <c r="M12" s="184"/>
      <c r="N12" s="184"/>
      <c r="O12" s="174"/>
      <c r="P12" s="174"/>
      <c r="Q12" s="174"/>
      <c r="R12" s="174"/>
      <c r="S12" s="174"/>
      <c r="T12" s="174">
        <f t="shared" ref="T12:AF12" si="7">T5/T$6</f>
        <v>0.56574345401266657</v>
      </c>
      <c r="U12" s="174">
        <v>0.56853466168534661</v>
      </c>
      <c r="V12" s="174">
        <f t="shared" si="7"/>
        <v>0.60916090304058468</v>
      </c>
      <c r="W12" s="174">
        <f t="shared" si="7"/>
        <v>0.62347089662589061</v>
      </c>
      <c r="X12" s="174">
        <f t="shared" si="7"/>
        <v>0.63023353671365456</v>
      </c>
      <c r="Y12" s="174">
        <f t="shared" si="7"/>
        <v>0.61561131694173121</v>
      </c>
      <c r="Z12" s="174">
        <f t="shared" si="7"/>
        <v>0.61749194257251683</v>
      </c>
      <c r="AA12" s="174">
        <f t="shared" si="7"/>
        <v>0.62388706732312782</v>
      </c>
      <c r="AB12" s="174">
        <f t="shared" si="7"/>
        <v>0.6308588694545717</v>
      </c>
      <c r="AC12" s="174">
        <f t="shared" si="7"/>
        <v>0.62554056588761531</v>
      </c>
      <c r="AD12" s="174">
        <f t="shared" si="7"/>
        <v>0.63508000545866161</v>
      </c>
      <c r="AE12" s="174">
        <f t="shared" si="7"/>
        <v>0.63549597207265562</v>
      </c>
      <c r="AF12" s="174">
        <f t="shared" si="7"/>
        <v>0.64719731089967647</v>
      </c>
      <c r="AG12" s="180"/>
      <c r="AH12" s="1433"/>
      <c r="AI12" s="1433"/>
      <c r="AJ12" s="1433"/>
      <c r="AK12" s="1433"/>
      <c r="AL12" s="1433"/>
      <c r="AM12" s="1433"/>
      <c r="AN12" s="180"/>
      <c r="AO12" s="180"/>
      <c r="AP12" s="180"/>
    </row>
    <row r="13" spans="1:42">
      <c r="A13" s="286"/>
      <c r="B13" s="312"/>
      <c r="C13" s="312"/>
      <c r="D13" s="312"/>
      <c r="E13" s="312"/>
      <c r="F13" s="312"/>
      <c r="G13" s="312"/>
      <c r="H13" s="312"/>
      <c r="I13" s="312"/>
      <c r="J13" s="183"/>
      <c r="K13" s="198"/>
      <c r="L13" s="198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0"/>
      <c r="AH13" s="1433"/>
      <c r="AI13" s="1433"/>
      <c r="AJ13" s="1433"/>
      <c r="AK13" s="1433"/>
      <c r="AL13" s="1433"/>
      <c r="AM13" s="1433"/>
      <c r="AN13" s="180"/>
      <c r="AO13" s="180"/>
      <c r="AP13" s="180"/>
    </row>
    <row r="14" spans="1:42">
      <c r="A14" s="181" t="s">
        <v>1277</v>
      </c>
      <c r="B14" s="312"/>
      <c r="C14" s="312"/>
      <c r="D14" s="312"/>
      <c r="E14" s="312"/>
      <c r="F14" s="312"/>
      <c r="G14" s="312"/>
      <c r="H14" s="312"/>
      <c r="I14" s="312"/>
      <c r="J14" s="183"/>
      <c r="K14" s="198"/>
      <c r="L14" s="198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0"/>
      <c r="AH14" s="1433"/>
      <c r="AI14" s="1433"/>
      <c r="AJ14" s="1433"/>
      <c r="AK14" s="1433"/>
      <c r="AL14" s="1433"/>
      <c r="AM14" s="1433"/>
      <c r="AN14" s="180"/>
      <c r="AO14" s="180"/>
      <c r="AP14" s="180"/>
    </row>
    <row r="15" spans="1:42">
      <c r="A15" s="249" t="s">
        <v>927</v>
      </c>
      <c r="B15" s="312"/>
      <c r="C15" s="312"/>
      <c r="D15" s="312"/>
      <c r="E15" s="312"/>
      <c r="F15" s="312"/>
      <c r="G15" s="312"/>
      <c r="H15" s="312"/>
      <c r="I15" s="312"/>
      <c r="J15" s="183"/>
      <c r="K15" s="198"/>
      <c r="L15" s="198"/>
      <c r="M15" s="184"/>
      <c r="N15" s="184"/>
      <c r="O15" s="184"/>
      <c r="P15" s="174"/>
      <c r="Q15" s="174"/>
      <c r="R15" s="174"/>
      <c r="S15" s="174"/>
      <c r="T15" s="174">
        <f t="shared" ref="T15:Z15" si="8">T4/S4-1</f>
        <v>0.17674180327868849</v>
      </c>
      <c r="U15" s="174">
        <v>0.13125816282107095</v>
      </c>
      <c r="V15" s="174">
        <f t="shared" si="8"/>
        <v>-0.42370598422166639</v>
      </c>
      <c r="W15" s="174">
        <f t="shared" si="8"/>
        <v>-6.4774624373956646E-2</v>
      </c>
      <c r="X15" s="174">
        <f t="shared" si="8"/>
        <v>0.25490896108532657</v>
      </c>
      <c r="Y15" s="174">
        <f t="shared" si="8"/>
        <v>0.29871977240398295</v>
      </c>
      <c r="Z15" s="174">
        <f t="shared" si="8"/>
        <v>0.14392113910186199</v>
      </c>
      <c r="AA15" s="174">
        <f>AA75/Z75-1</f>
        <v>0.14046610365908263</v>
      </c>
      <c r="AB15" s="174">
        <f>AB75/AA75-1</f>
        <v>0.10370780550482239</v>
      </c>
      <c r="AC15" s="174">
        <f t="shared" ref="AC15:AE15" si="9">AC75/AB75-1</f>
        <v>0.13549998638550975</v>
      </c>
      <c r="AD15" s="174">
        <f t="shared" si="9"/>
        <v>5.6805053973907116E-2</v>
      </c>
      <c r="AE15" s="174">
        <f t="shared" si="9"/>
        <v>5.8948629071271963E-2</v>
      </c>
      <c r="AF15" s="174">
        <f>AF75/AE75-1</f>
        <v>2.18019439924102E-2</v>
      </c>
      <c r="AG15" s="180"/>
      <c r="AH15" s="1433"/>
      <c r="AI15" s="1433"/>
      <c r="AJ15" s="1433"/>
      <c r="AK15" s="1433"/>
      <c r="AL15" s="1433"/>
      <c r="AM15" s="1433"/>
      <c r="AN15" s="180"/>
      <c r="AO15" s="180"/>
      <c r="AP15" s="180"/>
    </row>
    <row r="16" spans="1:42">
      <c r="A16" s="249" t="s">
        <v>928</v>
      </c>
      <c r="B16" s="312"/>
      <c r="C16" s="312"/>
      <c r="D16" s="312"/>
      <c r="E16" s="312"/>
      <c r="F16" s="312"/>
      <c r="G16" s="312"/>
      <c r="H16" s="312"/>
      <c r="I16" s="312"/>
      <c r="J16" s="183"/>
      <c r="K16" s="198"/>
      <c r="L16" s="198"/>
      <c r="M16" s="184"/>
      <c r="N16" s="375"/>
      <c r="O16" s="184"/>
      <c r="P16" s="174"/>
      <c r="Q16" s="174"/>
      <c r="R16" s="174"/>
      <c r="S16" s="174"/>
      <c r="T16" s="174">
        <f t="shared" ref="T16:Z16" si="10">T5/S5-1</f>
        <v>9.7560975609756184E-2</v>
      </c>
      <c r="U16" s="174">
        <v>0.14419381787802843</v>
      </c>
      <c r="V16" s="174">
        <f t="shared" si="10"/>
        <v>-0.31834112149532712</v>
      </c>
      <c r="W16" s="174">
        <f t="shared" si="10"/>
        <v>-6.4267352185090054E-3</v>
      </c>
      <c r="X16" s="174">
        <f t="shared" si="10"/>
        <v>0.29172056921086664</v>
      </c>
      <c r="Y16" s="174">
        <f t="shared" si="10"/>
        <v>0.22033049574361541</v>
      </c>
      <c r="Z16" s="174">
        <f t="shared" si="10"/>
        <v>0.15305703734099296</v>
      </c>
      <c r="AA16" s="174">
        <f>(AA113+AA296)/(Z113+Z296)-1</f>
        <v>0.17186987747532423</v>
      </c>
      <c r="AB16" s="174">
        <f t="shared" ref="AB16:AE16" si="11">(AB113+AB296)/(AA113+AA296)-1</f>
        <v>0.13711967262913238</v>
      </c>
      <c r="AC16" s="174">
        <f t="shared" si="11"/>
        <v>0.10993631262886683</v>
      </c>
      <c r="AD16" s="174">
        <f t="shared" si="11"/>
        <v>0.10096866787801639</v>
      </c>
      <c r="AE16" s="174">
        <f t="shared" si="11"/>
        <v>6.0851470488860304E-2</v>
      </c>
      <c r="AF16" s="174">
        <f>(AF113+AF296)/(AE113+AE296)-1</f>
        <v>7.5130225728642808E-2</v>
      </c>
      <c r="AG16" s="180"/>
      <c r="AH16" s="1433"/>
      <c r="AI16" s="1433"/>
      <c r="AJ16" s="1433"/>
      <c r="AK16" s="1433"/>
      <c r="AL16" s="1433"/>
      <c r="AM16" s="1433"/>
      <c r="AN16" s="180"/>
      <c r="AO16" s="180"/>
      <c r="AP16" s="180"/>
    </row>
    <row r="17" spans="1:42">
      <c r="A17" s="286"/>
      <c r="B17" s="312"/>
      <c r="C17" s="312"/>
      <c r="D17" s="312"/>
      <c r="E17" s="312"/>
      <c r="F17" s="312"/>
      <c r="G17" s="312"/>
      <c r="H17" s="312"/>
      <c r="I17" s="312"/>
      <c r="J17" s="183"/>
      <c r="K17" s="198"/>
      <c r="L17" s="198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0"/>
      <c r="AH17" s="1433"/>
      <c r="AI17" s="1433"/>
      <c r="AJ17" s="1433"/>
      <c r="AK17" s="1433"/>
      <c r="AL17" s="1433"/>
      <c r="AM17" s="1433"/>
      <c r="AN17" s="180"/>
      <c r="AO17" s="180"/>
      <c r="AP17" s="180"/>
    </row>
    <row r="18" spans="1:42">
      <c r="A18" s="258" t="s">
        <v>1094</v>
      </c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180"/>
      <c r="AH18" s="1433"/>
      <c r="AI18" s="1433"/>
      <c r="AJ18" s="1433"/>
      <c r="AK18" s="1433"/>
      <c r="AL18" s="1433"/>
      <c r="AM18" s="1433"/>
      <c r="AN18" s="180"/>
      <c r="AO18" s="180"/>
      <c r="AP18" s="180"/>
    </row>
    <row r="19" spans="1:42">
      <c r="A19" s="307" t="s">
        <v>1279</v>
      </c>
      <c r="B19" s="312"/>
      <c r="C19" s="312"/>
      <c r="D19" s="312"/>
      <c r="E19" s="312"/>
      <c r="F19" s="312"/>
      <c r="G19" s="312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>
        <v>2030</v>
      </c>
      <c r="U19" s="305">
        <v>2485</v>
      </c>
      <c r="V19" s="305">
        <v>1192</v>
      </c>
      <c r="W19" s="305">
        <v>1342</v>
      </c>
      <c r="X19" s="305">
        <v>1710</v>
      </c>
      <c r="Y19" s="305">
        <v>2390</v>
      </c>
      <c r="Z19" s="305">
        <v>2819</v>
      </c>
      <c r="AA19" s="281">
        <f>AA127+AA260+AA303</f>
        <v>3573.190883274262</v>
      </c>
      <c r="AB19" s="281">
        <f t="shared" ref="AB19:AF19" si="12">AB127+AB260+AB303</f>
        <v>4022.7156495722693</v>
      </c>
      <c r="AC19" s="281">
        <f t="shared" si="12"/>
        <v>4530.2242218427427</v>
      </c>
      <c r="AD19" s="281">
        <f>AD127+AD260+AD303</f>
        <v>4955.6890119088566</v>
      </c>
      <c r="AE19" s="281">
        <f t="shared" si="12"/>
        <v>5298.5022462866145</v>
      </c>
      <c r="AF19" s="281">
        <f t="shared" si="12"/>
        <v>5689.8015205137008</v>
      </c>
      <c r="AG19" s="180"/>
      <c r="AH19" s="1433"/>
      <c r="AI19" s="1433"/>
      <c r="AJ19" s="1433"/>
      <c r="AK19" s="1433"/>
      <c r="AL19" s="1433"/>
      <c r="AM19" s="1433"/>
      <c r="AN19" s="180"/>
      <c r="AO19" s="180"/>
      <c r="AP19" s="180"/>
    </row>
    <row r="20" spans="1:42">
      <c r="A20" s="307" t="s">
        <v>903</v>
      </c>
      <c r="B20" s="312"/>
      <c r="C20" s="312"/>
      <c r="D20" s="312"/>
      <c r="E20" s="312"/>
      <c r="F20" s="312"/>
      <c r="G20" s="312"/>
      <c r="H20" s="312"/>
      <c r="I20" s="312"/>
      <c r="J20" s="183"/>
      <c r="K20" s="198"/>
      <c r="L20" s="198"/>
      <c r="M20" s="184"/>
      <c r="N20" s="184"/>
      <c r="O20" s="174"/>
      <c r="P20" s="174"/>
      <c r="Q20" s="174"/>
      <c r="R20" s="174"/>
      <c r="S20" s="174"/>
      <c r="T20" s="190">
        <f>T19/T6</f>
        <v>0.19188959258909161</v>
      </c>
      <c r="U20" s="190">
        <v>0.20630967206309672</v>
      </c>
      <c r="V20" s="190">
        <f t="shared" ref="V20:AA20" si="13">V19/V6</f>
        <v>0.15555265561790421</v>
      </c>
      <c r="W20" s="190">
        <f t="shared" si="13"/>
        <v>0.1804005914773491</v>
      </c>
      <c r="X20" s="190">
        <f t="shared" si="13"/>
        <v>0.17988638754470859</v>
      </c>
      <c r="Y20" s="190">
        <f t="shared" si="13"/>
        <v>0.20124621084540248</v>
      </c>
      <c r="Z20" s="190">
        <f t="shared" si="13"/>
        <v>0.20648989159097569</v>
      </c>
      <c r="AA20" s="190">
        <f t="shared" si="13"/>
        <v>0.22566033823994469</v>
      </c>
      <c r="AB20" s="190">
        <f t="shared" ref="AB20:AF20" si="14">AB19/AB6</f>
        <v>0.22591153665723823</v>
      </c>
      <c r="AC20" s="190">
        <f t="shared" si="14"/>
        <v>0.22728144285334356</v>
      </c>
      <c r="AD20" s="190">
        <f t="shared" si="14"/>
        <v>0.22926952246837815</v>
      </c>
      <c r="AE20" s="190">
        <f t="shared" si="14"/>
        <v>0.23121988664065546</v>
      </c>
      <c r="AF20" s="190">
        <f t="shared" si="14"/>
        <v>0.23519712484895663</v>
      </c>
      <c r="AG20" s="180"/>
      <c r="AH20" s="1433"/>
      <c r="AI20" s="1433"/>
      <c r="AJ20" s="1433"/>
      <c r="AK20" s="1433"/>
      <c r="AL20" s="1433"/>
      <c r="AM20" s="1433"/>
      <c r="AN20" s="180"/>
      <c r="AO20" s="180"/>
      <c r="AP20" s="180"/>
    </row>
    <row r="21" spans="1:42">
      <c r="A21" s="286" t="s">
        <v>1242</v>
      </c>
      <c r="B21" s="312"/>
      <c r="C21" s="312"/>
      <c r="D21" s="312"/>
      <c r="E21" s="312"/>
      <c r="F21" s="312"/>
      <c r="G21" s="312"/>
      <c r="H21" s="312"/>
      <c r="I21" s="312"/>
      <c r="J21" s="183"/>
      <c r="K21" s="198"/>
      <c r="L21" s="198"/>
      <c r="M21" s="184"/>
      <c r="N21" s="184"/>
      <c r="O21" s="184"/>
      <c r="P21" s="184"/>
      <c r="Q21" s="184"/>
      <c r="R21" s="184"/>
      <c r="S21" s="184"/>
      <c r="T21" s="184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180"/>
      <c r="AH21" s="1433"/>
      <c r="AI21" s="1433"/>
      <c r="AJ21" s="1433"/>
      <c r="AK21" s="1433"/>
      <c r="AL21" s="1433"/>
      <c r="AM21" s="1433"/>
      <c r="AN21" s="180"/>
      <c r="AO21" s="180"/>
      <c r="AP21" s="180"/>
    </row>
    <row r="22" spans="1:42">
      <c r="A22" s="19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433"/>
      <c r="AI22" s="1433"/>
      <c r="AJ22" s="1433"/>
      <c r="AK22" s="1433"/>
      <c r="AL22" s="1433"/>
      <c r="AM22" s="1433"/>
      <c r="AN22" s="180"/>
      <c r="AO22" s="180"/>
      <c r="AP22" s="180"/>
    </row>
    <row r="23" spans="1:42">
      <c r="A23" s="362" t="s">
        <v>1227</v>
      </c>
      <c r="B23" s="362"/>
      <c r="C23" s="362"/>
      <c r="D23" s="362"/>
      <c r="E23" s="362"/>
      <c r="F23" s="362"/>
      <c r="G23" s="362"/>
      <c r="H23" s="362"/>
      <c r="I23" s="362"/>
      <c r="J23" s="362"/>
      <c r="K23" s="362"/>
      <c r="L23" s="362"/>
      <c r="M23" s="362"/>
      <c r="N23" s="362"/>
      <c r="O23" s="362"/>
      <c r="P23" s="362"/>
      <c r="Q23" s="362"/>
      <c r="R23" s="362"/>
      <c r="S23" s="362"/>
      <c r="T23" s="362"/>
      <c r="U23" s="362"/>
      <c r="V23" s="362"/>
      <c r="W23" s="371"/>
      <c r="X23" s="371"/>
      <c r="Y23" s="371"/>
      <c r="Z23" s="371"/>
      <c r="AA23" s="371"/>
      <c r="AB23" s="371"/>
      <c r="AC23" s="371"/>
      <c r="AD23" s="371"/>
      <c r="AE23" s="371"/>
      <c r="AF23" s="371"/>
      <c r="AG23" s="180"/>
      <c r="AH23" s="1433"/>
      <c r="AI23" s="1433"/>
      <c r="AJ23" s="1433"/>
      <c r="AK23" s="1433"/>
      <c r="AL23" s="1433"/>
      <c r="AM23" s="1433"/>
      <c r="AN23" s="180"/>
      <c r="AO23" s="180"/>
      <c r="AP23" s="180"/>
    </row>
    <row r="24" spans="1:42">
      <c r="A24" s="19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281"/>
      <c r="Y24" s="281"/>
      <c r="Z24" s="281"/>
      <c r="AA24" s="281"/>
      <c r="AB24" s="281"/>
      <c r="AC24" s="281"/>
      <c r="AD24" s="281"/>
      <c r="AE24" s="281"/>
      <c r="AF24" s="281"/>
      <c r="AG24" s="180"/>
      <c r="AH24" s="1433"/>
      <c r="AI24" s="1433"/>
      <c r="AJ24" s="1433"/>
      <c r="AK24" s="1433"/>
      <c r="AL24" s="1433"/>
      <c r="AM24" s="1433" t="s">
        <v>1745</v>
      </c>
      <c r="AN24" s="180"/>
      <c r="AO24" s="180"/>
      <c r="AP24" s="180"/>
    </row>
    <row r="25" spans="1:42">
      <c r="A25" s="258" t="s">
        <v>1228</v>
      </c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313"/>
      <c r="Y25" s="313"/>
      <c r="Z25" s="313"/>
      <c r="AA25" s="313"/>
      <c r="AB25" s="381"/>
      <c r="AC25" s="769"/>
      <c r="AD25" s="381"/>
      <c r="AE25" s="381"/>
      <c r="AF25" s="381"/>
      <c r="AG25" s="180"/>
      <c r="AH25" s="1433"/>
      <c r="AI25" s="1433"/>
      <c r="AJ25" s="1433"/>
      <c r="AK25" s="1433"/>
      <c r="AL25" s="1433"/>
      <c r="AM25" s="1433"/>
      <c r="AN25" s="180"/>
      <c r="AO25" s="180"/>
      <c r="AP25" s="180"/>
    </row>
    <row r="26" spans="1:42">
      <c r="A26" s="180" t="s">
        <v>902</v>
      </c>
      <c r="B26" s="173"/>
      <c r="C26" s="173"/>
      <c r="D26" s="173"/>
      <c r="E26" s="173"/>
      <c r="F26" s="173"/>
      <c r="G26" s="173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>
        <v>1044</v>
      </c>
      <c r="U26" s="178">
        <v>391</v>
      </c>
      <c r="V26" s="178">
        <v>157</v>
      </c>
      <c r="W26" s="178">
        <v>107</v>
      </c>
      <c r="X26" s="178">
        <v>60</v>
      </c>
      <c r="Y26" s="178">
        <v>52</v>
      </c>
      <c r="Z26" s="178">
        <v>60</v>
      </c>
      <c r="AA26" s="906">
        <f>Z26-10</f>
        <v>50</v>
      </c>
      <c r="AB26" s="906">
        <f t="shared" ref="AB26:AF26" si="15">AA26-10</f>
        <v>40</v>
      </c>
      <c r="AC26" s="906">
        <f t="shared" si="15"/>
        <v>30</v>
      </c>
      <c r="AD26" s="906">
        <f t="shared" si="15"/>
        <v>20</v>
      </c>
      <c r="AE26" s="906">
        <f t="shared" si="15"/>
        <v>10</v>
      </c>
      <c r="AF26" s="906">
        <f t="shared" si="15"/>
        <v>0</v>
      </c>
      <c r="AG26" s="180"/>
      <c r="AH26" s="1433"/>
      <c r="AI26" s="1433"/>
      <c r="AJ26" s="1433"/>
      <c r="AK26" s="1433"/>
      <c r="AL26" s="1433"/>
      <c r="AM26" s="1433"/>
      <c r="AN26" s="180"/>
      <c r="AO26" s="180"/>
      <c r="AP26" s="180"/>
    </row>
    <row r="27" spans="1:42">
      <c r="A27" s="180" t="s">
        <v>918</v>
      </c>
      <c r="B27" s="173"/>
      <c r="C27" s="173"/>
      <c r="D27" s="173"/>
      <c r="E27" s="173"/>
      <c r="F27" s="173"/>
      <c r="G27" s="173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>
        <v>1118</v>
      </c>
      <c r="U27" s="178">
        <v>1736</v>
      </c>
      <c r="V27" s="178">
        <v>815</v>
      </c>
      <c r="W27" s="178">
        <v>845</v>
      </c>
      <c r="X27" s="178">
        <v>1136</v>
      </c>
      <c r="Y27" s="178">
        <v>1570</v>
      </c>
      <c r="Z27" s="178">
        <v>1407</v>
      </c>
      <c r="AA27" s="179">
        <v>1846</v>
      </c>
      <c r="AB27" s="179">
        <v>2070.6</v>
      </c>
      <c r="AC27" s="179">
        <v>2343</v>
      </c>
      <c r="AD27" s="195">
        <f>AC27*1.07</f>
        <v>2507.0100000000002</v>
      </c>
      <c r="AE27" s="195">
        <f>AD27*1.06</f>
        <v>2657.4306000000001</v>
      </c>
      <c r="AF27" s="195">
        <f>AE27</f>
        <v>2657.4306000000001</v>
      </c>
      <c r="AG27" s="180"/>
      <c r="AH27" s="1433" t="s">
        <v>1655</v>
      </c>
      <c r="AI27" s="1433" t="s">
        <v>1334</v>
      </c>
      <c r="AJ27" s="1433"/>
      <c r="AK27" s="1433"/>
      <c r="AL27" s="1433"/>
      <c r="AM27" s="1433"/>
      <c r="AN27" s="180"/>
      <c r="AO27" s="180"/>
      <c r="AP27" s="180"/>
    </row>
    <row r="28" spans="1:42">
      <c r="A28" s="180" t="s">
        <v>919</v>
      </c>
      <c r="B28" s="173"/>
      <c r="C28" s="173"/>
      <c r="D28" s="173"/>
      <c r="E28" s="173"/>
      <c r="F28" s="173"/>
      <c r="G28" s="173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>
        <v>86</v>
      </c>
      <c r="U28" s="178">
        <v>90</v>
      </c>
      <c r="V28" s="178">
        <v>96</v>
      </c>
      <c r="W28" s="178">
        <v>96</v>
      </c>
      <c r="X28" s="178">
        <v>96</v>
      </c>
      <c r="Y28" s="178">
        <v>104</v>
      </c>
      <c r="Z28" s="178">
        <v>80</v>
      </c>
      <c r="AA28" s="906">
        <v>60</v>
      </c>
      <c r="AB28" s="906">
        <v>40</v>
      </c>
      <c r="AC28" s="906">
        <v>40</v>
      </c>
      <c r="AD28" s="906">
        <v>40</v>
      </c>
      <c r="AE28" s="906">
        <v>40</v>
      </c>
      <c r="AF28" s="906">
        <v>40</v>
      </c>
      <c r="AG28" s="180"/>
      <c r="AH28" s="1433"/>
      <c r="AI28" s="1433"/>
      <c r="AJ28" s="1433"/>
      <c r="AK28" s="1433"/>
      <c r="AL28" s="1433"/>
      <c r="AM28" s="1433"/>
      <c r="AN28" s="180"/>
      <c r="AO28" s="180"/>
      <c r="AP28" s="180"/>
    </row>
    <row r="29" spans="1:42">
      <c r="A29" s="180" t="s">
        <v>984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8">
        <v>278</v>
      </c>
      <c r="U29" s="178">
        <v>381</v>
      </c>
      <c r="V29" s="173">
        <f>U29-W29</f>
        <v>242</v>
      </c>
      <c r="W29" s="173">
        <f>235-SUM(W28:W28)</f>
        <v>139</v>
      </c>
      <c r="X29" s="173">
        <f>181-SUM(X28:X28)</f>
        <v>85</v>
      </c>
      <c r="Y29" s="173">
        <f>190-SUM(Y28:Y28)</f>
        <v>86</v>
      </c>
      <c r="Z29" s="173">
        <f>195-SUM(Z28:Z28)</f>
        <v>115</v>
      </c>
      <c r="AA29" s="179">
        <v>100</v>
      </c>
      <c r="AB29" s="179">
        <v>125</v>
      </c>
      <c r="AC29" s="179">
        <v>138</v>
      </c>
      <c r="AD29" s="195">
        <f t="shared" ref="AD29:AF30" si="16">AC29</f>
        <v>138</v>
      </c>
      <c r="AE29" s="195">
        <f t="shared" si="16"/>
        <v>138</v>
      </c>
      <c r="AF29" s="195">
        <f t="shared" si="16"/>
        <v>138</v>
      </c>
      <c r="AG29" s="180"/>
      <c r="AH29" s="1433" t="s">
        <v>1288</v>
      </c>
      <c r="AI29" s="1433"/>
      <c r="AJ29" s="1433"/>
      <c r="AK29" s="1433"/>
      <c r="AL29" s="1433"/>
      <c r="AM29" s="1433"/>
      <c r="AN29" s="180"/>
      <c r="AO29" s="180"/>
      <c r="AP29" s="180"/>
    </row>
    <row r="30" spans="1:42">
      <c r="A30" s="180" t="s">
        <v>1085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8">
        <v>0</v>
      </c>
      <c r="W30" s="178">
        <v>0</v>
      </c>
      <c r="X30" s="178">
        <v>0</v>
      </c>
      <c r="Y30" s="178">
        <v>0</v>
      </c>
      <c r="Z30" s="178">
        <v>64</v>
      </c>
      <c r="AA30" s="906">
        <v>92</v>
      </c>
      <c r="AB30" s="906">
        <f>AA30</f>
        <v>92</v>
      </c>
      <c r="AC30" s="906">
        <f>AB30</f>
        <v>92</v>
      </c>
      <c r="AD30" s="906">
        <f t="shared" si="16"/>
        <v>92</v>
      </c>
      <c r="AE30" s="906">
        <f t="shared" si="16"/>
        <v>92</v>
      </c>
      <c r="AF30" s="906">
        <f t="shared" si="16"/>
        <v>92</v>
      </c>
      <c r="AG30" s="180"/>
      <c r="AH30" s="1433" t="s">
        <v>1309</v>
      </c>
      <c r="AI30" s="1433"/>
      <c r="AJ30" s="1433"/>
      <c r="AK30" s="1433"/>
      <c r="AL30" s="1433"/>
      <c r="AM30" s="1433"/>
      <c r="AN30" s="180"/>
      <c r="AO30" s="180"/>
      <c r="AP30" s="180"/>
    </row>
    <row r="31" spans="1:42">
      <c r="A31" s="180" t="s">
        <v>917</v>
      </c>
      <c r="B31" s="173"/>
      <c r="C31" s="173"/>
      <c r="D31" s="173"/>
      <c r="E31" s="173"/>
      <c r="F31" s="173"/>
      <c r="G31" s="173"/>
      <c r="H31" s="173"/>
      <c r="I31" s="173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>
        <v>23</v>
      </c>
      <c r="U31" s="178">
        <v>62</v>
      </c>
      <c r="V31" s="178">
        <v>33</v>
      </c>
      <c r="W31" s="178">
        <v>64</v>
      </c>
      <c r="X31" s="178">
        <v>51</v>
      </c>
      <c r="Y31" s="178">
        <v>42</v>
      </c>
      <c r="Z31" s="178">
        <v>40</v>
      </c>
      <c r="AA31" s="906">
        <f>Z31+6</f>
        <v>46</v>
      </c>
      <c r="AB31" s="906">
        <f t="shared" ref="AB31:AF31" si="17">AA31+5</f>
        <v>51</v>
      </c>
      <c r="AC31" s="906">
        <f t="shared" si="17"/>
        <v>56</v>
      </c>
      <c r="AD31" s="906">
        <f t="shared" si="17"/>
        <v>61</v>
      </c>
      <c r="AE31" s="906">
        <f t="shared" si="17"/>
        <v>66</v>
      </c>
      <c r="AF31" s="906">
        <f t="shared" si="17"/>
        <v>71</v>
      </c>
      <c r="AG31" s="180"/>
      <c r="AH31" s="1436"/>
      <c r="AI31" s="1433"/>
      <c r="AJ31" s="1433"/>
      <c r="AK31" s="1433"/>
      <c r="AL31" s="1433"/>
      <c r="AM31" s="1433"/>
      <c r="AN31" s="180"/>
      <c r="AO31" s="180"/>
      <c r="AP31" s="180"/>
    </row>
    <row r="32" spans="1:42">
      <c r="A32" s="57" t="s">
        <v>742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78"/>
      <c r="N32" s="178"/>
      <c r="O32" s="178"/>
      <c r="P32" s="178"/>
      <c r="Q32" s="178"/>
      <c r="R32" s="178"/>
      <c r="S32" s="178"/>
      <c r="T32" s="167">
        <f>SUM(T26:T31)</f>
        <v>2549</v>
      </c>
      <c r="U32" s="167">
        <v>2660</v>
      </c>
      <c r="V32" s="167">
        <f t="shared" ref="V32:AF32" si="18">SUM(V26:V31)</f>
        <v>1343</v>
      </c>
      <c r="W32" s="167">
        <f t="shared" si="18"/>
        <v>1251</v>
      </c>
      <c r="X32" s="167">
        <f t="shared" si="18"/>
        <v>1428</v>
      </c>
      <c r="Y32" s="167">
        <f t="shared" si="18"/>
        <v>1854</v>
      </c>
      <c r="Z32" s="167">
        <f t="shared" si="18"/>
        <v>1766</v>
      </c>
      <c r="AA32" s="167">
        <f t="shared" si="18"/>
        <v>2194</v>
      </c>
      <c r="AB32" s="167">
        <f t="shared" si="18"/>
        <v>2418.6</v>
      </c>
      <c r="AC32" s="167">
        <f t="shared" si="18"/>
        <v>2699</v>
      </c>
      <c r="AD32" s="167">
        <f t="shared" si="18"/>
        <v>2858.01</v>
      </c>
      <c r="AE32" s="167">
        <f t="shared" si="18"/>
        <v>3003.4306000000001</v>
      </c>
      <c r="AF32" s="167">
        <f t="shared" si="18"/>
        <v>2998.4306000000001</v>
      </c>
      <c r="AG32" s="57"/>
      <c r="AH32" s="1436"/>
      <c r="AI32" s="1436"/>
      <c r="AJ32" s="1436"/>
      <c r="AK32" s="1436"/>
      <c r="AL32" s="1436"/>
      <c r="AM32" s="1436"/>
      <c r="AN32" s="57"/>
      <c r="AO32" s="57"/>
      <c r="AP32" s="57"/>
    </row>
    <row r="33" spans="1:42">
      <c r="A33" s="19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78"/>
      <c r="N33" s="178"/>
      <c r="O33" s="178"/>
      <c r="P33" s="178"/>
      <c r="Q33" s="178"/>
      <c r="R33" s="178"/>
      <c r="S33" s="178"/>
      <c r="T33" s="180"/>
      <c r="U33" s="180"/>
      <c r="V33" s="180"/>
      <c r="W33" s="355"/>
      <c r="X33" s="167"/>
      <c r="Y33" s="355"/>
      <c r="Z33" s="355"/>
      <c r="AA33" s="355"/>
      <c r="AB33" s="355"/>
      <c r="AC33" s="355"/>
      <c r="AD33" s="355"/>
      <c r="AE33" s="355"/>
      <c r="AF33" s="355"/>
      <c r="AG33" s="180"/>
      <c r="AH33" s="1433"/>
      <c r="AI33" s="1433"/>
      <c r="AJ33" s="1433"/>
      <c r="AK33" s="1433"/>
      <c r="AL33" s="1433"/>
      <c r="AM33" s="1433"/>
      <c r="AN33" s="180"/>
      <c r="AO33" s="180"/>
      <c r="AP33" s="180"/>
    </row>
    <row r="34" spans="1:42">
      <c r="A34" s="181" t="s">
        <v>1436</v>
      </c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78"/>
      <c r="N34" s="178"/>
      <c r="O34" s="178"/>
      <c r="P34" s="178"/>
      <c r="Q34" s="178"/>
      <c r="R34" s="178"/>
      <c r="S34" s="178"/>
      <c r="T34" s="834">
        <f t="shared" ref="T34:Z34" si="19">S34</f>
        <v>0</v>
      </c>
      <c r="U34" s="834">
        <v>0.5</v>
      </c>
      <c r="V34" s="834">
        <f t="shared" si="19"/>
        <v>0.5</v>
      </c>
      <c r="W34" s="347">
        <f t="shared" si="19"/>
        <v>0.5</v>
      </c>
      <c r="X34" s="347">
        <f t="shared" si="19"/>
        <v>0.5</v>
      </c>
      <c r="Y34" s="347">
        <f t="shared" si="19"/>
        <v>0.5</v>
      </c>
      <c r="Z34" s="347">
        <f t="shared" si="19"/>
        <v>0.5</v>
      </c>
      <c r="AA34" s="347">
        <f>Z34+0.04</f>
        <v>0.54</v>
      </c>
      <c r="AB34" s="347">
        <f>AA34+0.01</f>
        <v>0.55000000000000004</v>
      </c>
      <c r="AC34" s="347">
        <f>AB34</f>
        <v>0.55000000000000004</v>
      </c>
      <c r="AD34" s="347">
        <f t="shared" ref="AD34" si="20">AC34+0.02</f>
        <v>0.57000000000000006</v>
      </c>
      <c r="AE34" s="347">
        <f>AD34+0.01</f>
        <v>0.58000000000000007</v>
      </c>
      <c r="AF34" s="347">
        <f>AE34+0.01</f>
        <v>0.59000000000000008</v>
      </c>
      <c r="AG34" s="180"/>
      <c r="AH34" s="1433"/>
      <c r="AI34" s="1433"/>
      <c r="AJ34" s="1433"/>
      <c r="AK34" s="1433"/>
      <c r="AL34" s="1433"/>
      <c r="AM34" s="1433"/>
      <c r="AN34" s="180"/>
      <c r="AO34" s="180"/>
      <c r="AP34" s="180"/>
    </row>
    <row r="35" spans="1:42">
      <c r="A35" s="19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78"/>
      <c r="N35" s="178"/>
      <c r="O35" s="178"/>
      <c r="P35" s="180"/>
      <c r="Q35" s="180"/>
      <c r="R35" s="180"/>
      <c r="S35" s="180"/>
      <c r="T35" s="180"/>
      <c r="U35" s="180"/>
      <c r="V35" s="180"/>
      <c r="W35" s="278"/>
      <c r="X35" s="167"/>
      <c r="Y35" s="278"/>
      <c r="Z35" s="278"/>
      <c r="AA35" s="278"/>
      <c r="AB35" s="278"/>
      <c r="AC35" s="278"/>
      <c r="AD35" s="278"/>
      <c r="AE35" s="278"/>
      <c r="AF35" s="278"/>
      <c r="AG35" s="180"/>
      <c r="AH35" s="1433"/>
      <c r="AI35" s="1433"/>
      <c r="AJ35" s="1433"/>
      <c r="AK35" s="1433"/>
      <c r="AL35" s="1433"/>
      <c r="AM35" s="1433"/>
      <c r="AN35" s="180"/>
      <c r="AO35" s="180"/>
      <c r="AP35" s="180"/>
    </row>
    <row r="36" spans="1:42">
      <c r="A36" s="258" t="s">
        <v>925</v>
      </c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180"/>
      <c r="AH36" s="1433"/>
      <c r="AI36" s="1433"/>
      <c r="AJ36" s="1433"/>
      <c r="AK36" s="1433"/>
      <c r="AL36" s="1433"/>
      <c r="AM36" s="1433"/>
      <c r="AN36" s="180"/>
      <c r="AO36" s="180"/>
      <c r="AP36" s="180"/>
    </row>
    <row r="37" spans="1:42">
      <c r="A37" s="180" t="s">
        <v>920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8"/>
      <c r="O37" s="173"/>
      <c r="P37" s="173"/>
      <c r="Q37" s="173"/>
      <c r="R37" s="173"/>
      <c r="S37" s="173"/>
      <c r="T37" s="173">
        <v>12.922687499999997</v>
      </c>
      <c r="U37" s="173">
        <v>12.922687499999997</v>
      </c>
      <c r="V37" s="173">
        <v>12.922687499999997</v>
      </c>
      <c r="W37" s="173">
        <v>10</v>
      </c>
      <c r="X37" s="173">
        <f t="shared" ref="X37:AF38" si="21">W37*(1+X$43)</f>
        <v>10.199999999999999</v>
      </c>
      <c r="Y37" s="173">
        <f t="shared" si="21"/>
        <v>10.404</v>
      </c>
      <c r="Z37" s="173">
        <f t="shared" si="21"/>
        <v>10.612080000000001</v>
      </c>
      <c r="AA37" s="173">
        <f t="shared" si="21"/>
        <v>10.88799408</v>
      </c>
      <c r="AB37" s="173">
        <f t="shared" si="21"/>
        <v>11.105753961600001</v>
      </c>
      <c r="AC37" s="173">
        <f t="shared" si="21"/>
        <v>11.272340271023999</v>
      </c>
      <c r="AD37" s="173">
        <f t="shared" si="21"/>
        <v>11.49778707644448</v>
      </c>
      <c r="AE37" s="173">
        <f t="shared" si="21"/>
        <v>11.72774281797337</v>
      </c>
      <c r="AF37" s="173">
        <f t="shared" si="21"/>
        <v>11.962297674332838</v>
      </c>
      <c r="AG37" s="180"/>
      <c r="AH37" s="1433"/>
      <c r="AI37" s="1433"/>
      <c r="AJ37" s="1433"/>
      <c r="AK37" s="1433"/>
      <c r="AL37" s="1433"/>
      <c r="AM37" s="1433"/>
      <c r="AN37" s="180"/>
      <c r="AO37" s="180"/>
      <c r="AP37" s="180"/>
    </row>
    <row r="38" spans="1:42">
      <c r="A38" s="180" t="s">
        <v>921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>
        <v>14</v>
      </c>
      <c r="U38" s="173">
        <v>14</v>
      </c>
      <c r="V38" s="173">
        <f>U38</f>
        <v>14</v>
      </c>
      <c r="W38" s="173">
        <v>15</v>
      </c>
      <c r="X38" s="173">
        <f t="shared" si="21"/>
        <v>15.3</v>
      </c>
      <c r="Y38" s="173">
        <f t="shared" si="21"/>
        <v>15.606000000000002</v>
      </c>
      <c r="Z38" s="173">
        <f t="shared" si="21"/>
        <v>15.918120000000002</v>
      </c>
      <c r="AA38" s="173">
        <f t="shared" si="21"/>
        <v>16.331991120000001</v>
      </c>
      <c r="AB38" s="173">
        <f t="shared" si="21"/>
        <v>16.658630942400002</v>
      </c>
      <c r="AC38" s="173">
        <f t="shared" si="21"/>
        <v>16.908510406535999</v>
      </c>
      <c r="AD38" s="173">
        <f t="shared" si="21"/>
        <v>17.246680614666719</v>
      </c>
      <c r="AE38" s="173">
        <f t="shared" si="21"/>
        <v>17.591614226960054</v>
      </c>
      <c r="AF38" s="173">
        <f t="shared" si="21"/>
        <v>17.943446511499257</v>
      </c>
      <c r="AG38" s="180"/>
      <c r="AH38" s="1436"/>
      <c r="AI38" s="1433"/>
      <c r="AJ38" s="1433"/>
      <c r="AK38" s="1433"/>
      <c r="AL38" s="1433"/>
      <c r="AM38" s="1433"/>
      <c r="AN38" s="180"/>
      <c r="AO38" s="180"/>
      <c r="AP38" s="180"/>
    </row>
    <row r="39" spans="1:42">
      <c r="A39" s="180" t="s">
        <v>922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8"/>
      <c r="O39" s="173"/>
      <c r="P39" s="173"/>
      <c r="Q39" s="173"/>
      <c r="R39" s="173"/>
      <c r="S39" s="173"/>
      <c r="T39" s="173">
        <v>27.043617179579332</v>
      </c>
      <c r="U39" s="173">
        <v>27.990143780864607</v>
      </c>
      <c r="V39" s="173">
        <v>28.969798813194867</v>
      </c>
      <c r="W39" s="173">
        <v>29</v>
      </c>
      <c r="X39" s="173">
        <f t="shared" ref="W39:AF42" si="22">W39*(1+X$43)</f>
        <v>29.580000000000002</v>
      </c>
      <c r="Y39" s="173">
        <f t="shared" si="22"/>
        <v>30.171600000000002</v>
      </c>
      <c r="Z39" s="173">
        <f t="shared" si="22"/>
        <v>30.775032000000003</v>
      </c>
      <c r="AA39" s="173">
        <f t="shared" si="22"/>
        <v>31.575182832000003</v>
      </c>
      <c r="AB39" s="173">
        <f t="shared" si="22"/>
        <v>32.206686488640003</v>
      </c>
      <c r="AC39" s="173">
        <f t="shared" si="22"/>
        <v>32.689786785969602</v>
      </c>
      <c r="AD39" s="173">
        <f t="shared" si="22"/>
        <v>33.343582521688994</v>
      </c>
      <c r="AE39" s="173">
        <f t="shared" si="22"/>
        <v>34.010454172122778</v>
      </c>
      <c r="AF39" s="173">
        <f t="shared" si="22"/>
        <v>34.690663255565234</v>
      </c>
      <c r="AG39" s="180"/>
      <c r="AH39" s="1433"/>
      <c r="AI39" s="1433"/>
      <c r="AJ39" s="1433"/>
      <c r="AK39" s="1433"/>
      <c r="AL39" s="1433"/>
      <c r="AM39" s="1433"/>
      <c r="AN39" s="180"/>
      <c r="AO39" s="180"/>
      <c r="AP39" s="180"/>
    </row>
    <row r="40" spans="1:42">
      <c r="A40" s="180" t="s">
        <v>985</v>
      </c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8"/>
      <c r="O40" s="178"/>
      <c r="P40" s="173"/>
      <c r="Q40" s="173"/>
      <c r="R40" s="173"/>
      <c r="S40" s="173"/>
      <c r="T40" s="173">
        <v>22.628164257812493</v>
      </c>
      <c r="U40" s="173">
        <v>23.193868364257803</v>
      </c>
      <c r="V40" s="173">
        <v>23.773715073364247</v>
      </c>
      <c r="W40" s="173">
        <v>30</v>
      </c>
      <c r="X40" s="173">
        <f t="shared" si="22"/>
        <v>30.6</v>
      </c>
      <c r="Y40" s="173">
        <f t="shared" si="22"/>
        <v>31.212000000000003</v>
      </c>
      <c r="Z40" s="173">
        <f t="shared" si="22"/>
        <v>31.836240000000004</v>
      </c>
      <c r="AA40" s="173">
        <f t="shared" si="22"/>
        <v>32.663982240000003</v>
      </c>
      <c r="AB40" s="173">
        <f t="shared" si="22"/>
        <v>33.317261884800004</v>
      </c>
      <c r="AC40" s="173">
        <f t="shared" si="22"/>
        <v>33.817020813071998</v>
      </c>
      <c r="AD40" s="173">
        <f t="shared" si="22"/>
        <v>34.493361229333438</v>
      </c>
      <c r="AE40" s="173">
        <f t="shared" si="22"/>
        <v>35.183228453920108</v>
      </c>
      <c r="AF40" s="173">
        <f t="shared" si="22"/>
        <v>35.886893022998514</v>
      </c>
      <c r="AG40" s="180"/>
      <c r="AH40" s="1433"/>
      <c r="AI40" s="1433"/>
      <c r="AJ40" s="1433"/>
      <c r="AK40" s="1433"/>
      <c r="AL40" s="1433"/>
      <c r="AM40" s="1433"/>
      <c r="AN40" s="180"/>
      <c r="AO40" s="180"/>
      <c r="AP40" s="180"/>
    </row>
    <row r="41" spans="1:42">
      <c r="A41" s="180" t="s">
        <v>1086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8">
        <v>31.698286764485662</v>
      </c>
      <c r="W41" s="173">
        <v>30</v>
      </c>
      <c r="X41" s="173">
        <f t="shared" si="22"/>
        <v>30.6</v>
      </c>
      <c r="Y41" s="173">
        <f t="shared" si="22"/>
        <v>31.212000000000003</v>
      </c>
      <c r="Z41" s="173">
        <f t="shared" si="22"/>
        <v>31.836240000000004</v>
      </c>
      <c r="AA41" s="173">
        <f t="shared" si="22"/>
        <v>32.663982240000003</v>
      </c>
      <c r="AB41" s="173">
        <f t="shared" si="22"/>
        <v>33.317261884800004</v>
      </c>
      <c r="AC41" s="173">
        <f t="shared" si="22"/>
        <v>33.817020813071998</v>
      </c>
      <c r="AD41" s="173">
        <f t="shared" si="22"/>
        <v>34.493361229333438</v>
      </c>
      <c r="AE41" s="173">
        <f t="shared" si="22"/>
        <v>35.183228453920108</v>
      </c>
      <c r="AF41" s="173">
        <f t="shared" si="22"/>
        <v>35.886893022998514</v>
      </c>
      <c r="AG41" s="180"/>
      <c r="AH41" s="1433"/>
      <c r="AI41" s="1433"/>
      <c r="AJ41" s="1433"/>
      <c r="AK41" s="1433"/>
      <c r="AL41" s="1433"/>
      <c r="AM41" s="1433"/>
      <c r="AN41" s="180"/>
      <c r="AO41" s="180"/>
      <c r="AP41" s="180"/>
    </row>
    <row r="42" spans="1:42">
      <c r="A42" s="180" t="s">
        <v>923</v>
      </c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314"/>
      <c r="O42" s="173"/>
      <c r="P42" s="173"/>
      <c r="Q42" s="173"/>
      <c r="R42" s="173"/>
      <c r="S42" s="173"/>
      <c r="T42" s="173">
        <v>14.389782963417064</v>
      </c>
      <c r="U42" s="173">
        <v>15.253169941222088</v>
      </c>
      <c r="V42" s="173">
        <v>16.168360137695416</v>
      </c>
      <c r="W42" s="173">
        <f t="shared" si="22"/>
        <v>16.491727340449323</v>
      </c>
      <c r="X42" s="173">
        <f t="shared" si="22"/>
        <v>16.821561887258309</v>
      </c>
      <c r="Y42" s="173">
        <f t="shared" si="22"/>
        <v>17.157993125003475</v>
      </c>
      <c r="Z42" s="173">
        <f t="shared" si="22"/>
        <v>17.501152987503545</v>
      </c>
      <c r="AA42" s="173">
        <f t="shared" si="22"/>
        <v>17.956182965178638</v>
      </c>
      <c r="AB42" s="173">
        <f t="shared" si="22"/>
        <v>18.315306624482211</v>
      </c>
      <c r="AC42" s="173">
        <f t="shared" si="22"/>
        <v>18.590036223849442</v>
      </c>
      <c r="AD42" s="173">
        <f t="shared" si="22"/>
        <v>18.961836948326432</v>
      </c>
      <c r="AE42" s="173">
        <f t="shared" si="22"/>
        <v>19.341073687292962</v>
      </c>
      <c r="AF42" s="173">
        <f t="shared" si="22"/>
        <v>19.72789516103882</v>
      </c>
      <c r="AG42" s="180"/>
      <c r="AH42" s="1433">
        <f>Z27*Z38*Z44*Z57</f>
        <v>7054.9903746000009</v>
      </c>
      <c r="AI42" s="1433"/>
      <c r="AJ42" s="1433"/>
      <c r="AK42" s="1433"/>
      <c r="AL42" s="1433"/>
      <c r="AM42" s="1433"/>
      <c r="AN42" s="180"/>
      <c r="AO42" s="180"/>
      <c r="AP42" s="180"/>
    </row>
    <row r="43" spans="1:42">
      <c r="A43" s="19" t="s">
        <v>1284</v>
      </c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237">
        <v>0.02</v>
      </c>
      <c r="X43" s="237">
        <v>0.02</v>
      </c>
      <c r="Y43" s="237">
        <v>0.02</v>
      </c>
      <c r="Z43" s="237">
        <v>0.02</v>
      </c>
      <c r="AA43" s="943">
        <v>2.5999999999999999E-2</v>
      </c>
      <c r="AB43" s="943">
        <v>0.02</v>
      </c>
      <c r="AC43" s="943">
        <v>1.4999999999999999E-2</v>
      </c>
      <c r="AD43" s="943">
        <v>0.02</v>
      </c>
      <c r="AE43" s="943">
        <v>0.02</v>
      </c>
      <c r="AF43" s="943">
        <v>0.02</v>
      </c>
      <c r="AG43" s="180"/>
      <c r="AH43" s="1433">
        <f>AH42/Z72</f>
        <v>6365.4635577472409</v>
      </c>
      <c r="AI43" s="1433"/>
      <c r="AJ43" s="1433"/>
      <c r="AK43" s="1433"/>
      <c r="AL43" s="1433"/>
      <c r="AM43" s="1433"/>
      <c r="AN43" s="180"/>
      <c r="AO43" s="180"/>
      <c r="AP43" s="180"/>
    </row>
    <row r="44" spans="1:42">
      <c r="A44" s="180" t="s">
        <v>1229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036"/>
      <c r="R44" s="1036"/>
      <c r="S44" s="1036"/>
      <c r="T44" s="1036">
        <v>0.5</v>
      </c>
      <c r="U44" s="1036">
        <v>0.5</v>
      </c>
      <c r="V44" s="1036">
        <v>0.5</v>
      </c>
      <c r="W44" s="1036">
        <v>0.65</v>
      </c>
      <c r="X44" s="1036">
        <v>0.65</v>
      </c>
      <c r="Y44" s="1036">
        <v>0.65</v>
      </c>
      <c r="Z44" s="1036">
        <v>0.63</v>
      </c>
      <c r="AA44" s="935">
        <v>0.62</v>
      </c>
      <c r="AB44" s="935">
        <v>0.62</v>
      </c>
      <c r="AC44" s="935">
        <f t="shared" ref="AC44:AF44" si="23">AB44</f>
        <v>0.62</v>
      </c>
      <c r="AD44" s="935">
        <v>0.63</v>
      </c>
      <c r="AE44" s="935">
        <v>0.63600000000000001</v>
      </c>
      <c r="AF44" s="935">
        <f t="shared" si="23"/>
        <v>0.63600000000000001</v>
      </c>
      <c r="AG44" s="180"/>
      <c r="AH44" s="1433"/>
      <c r="AI44" s="1433"/>
      <c r="AJ44" s="1433"/>
      <c r="AK44" s="1433"/>
      <c r="AL44" s="1433"/>
      <c r="AM44" s="1433"/>
      <c r="AN44" s="180"/>
      <c r="AO44" s="180"/>
      <c r="AP44" s="180"/>
    </row>
    <row r="45" spans="1:42">
      <c r="A45" s="258" t="s">
        <v>924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60"/>
      <c r="N45" s="38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180"/>
      <c r="AH45" s="1433"/>
      <c r="AI45" s="1433"/>
      <c r="AJ45" s="1433"/>
      <c r="AK45" s="1433"/>
      <c r="AL45" s="1433"/>
      <c r="AM45" s="1433"/>
      <c r="AN45" s="180"/>
      <c r="AO45" s="180"/>
      <c r="AP45" s="180"/>
    </row>
    <row r="46" spans="1:42">
      <c r="A46" s="180" t="s">
        <v>920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>
        <f t="shared" ref="T46:V51" si="24">T26*T37*(1-T$44)</f>
        <v>6745.6428749999986</v>
      </c>
      <c r="U46" s="173">
        <f>U26*U37*(1-U$44)</f>
        <v>2526.3854062499995</v>
      </c>
      <c r="V46" s="173">
        <f>V26*V37*(1-V$44)</f>
        <v>1014.4309687499997</v>
      </c>
      <c r="W46" s="173">
        <f>W26*W37*(1-W$44)</f>
        <v>374.5</v>
      </c>
      <c r="X46" s="173">
        <f t="shared" ref="X46:AF46" si="25">X26*X37*(1-X$44)</f>
        <v>214.2</v>
      </c>
      <c r="Y46" s="173">
        <f t="shared" si="25"/>
        <v>189.3528</v>
      </c>
      <c r="Z46" s="173">
        <f t="shared" si="25"/>
        <v>235.58817600000003</v>
      </c>
      <c r="AA46" s="173">
        <f t="shared" si="25"/>
        <v>206.87188752000003</v>
      </c>
      <c r="AB46" s="173">
        <f t="shared" si="25"/>
        <v>168.80746021632001</v>
      </c>
      <c r="AC46" s="173">
        <f t="shared" si="25"/>
        <v>128.5046790896736</v>
      </c>
      <c r="AD46" s="173">
        <f t="shared" si="25"/>
        <v>85.083624365689147</v>
      </c>
      <c r="AE46" s="173">
        <f t="shared" si="25"/>
        <v>42.688983857423068</v>
      </c>
      <c r="AF46" s="173">
        <f t="shared" si="25"/>
        <v>0</v>
      </c>
      <c r="AG46" s="180"/>
      <c r="AH46" s="1433"/>
      <c r="AI46" s="1433"/>
      <c r="AJ46" s="1433"/>
      <c r="AK46" s="1433"/>
      <c r="AL46" s="1433"/>
      <c r="AM46" s="1433"/>
      <c r="AN46" s="180"/>
      <c r="AO46" s="180"/>
      <c r="AP46" s="180"/>
    </row>
    <row r="47" spans="1:42">
      <c r="A47" s="180" t="s">
        <v>921</v>
      </c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>
        <f t="shared" si="24"/>
        <v>7826</v>
      </c>
      <c r="U47" s="173">
        <f t="shared" si="24"/>
        <v>12152</v>
      </c>
      <c r="V47" s="173">
        <f t="shared" si="24"/>
        <v>5705</v>
      </c>
      <c r="W47" s="173">
        <f t="shared" ref="W47:AF51" si="26">W27*W38*(1-W$44)</f>
        <v>4436.25</v>
      </c>
      <c r="X47" s="173">
        <f t="shared" si="26"/>
        <v>6083.28</v>
      </c>
      <c r="Y47" s="173">
        <f t="shared" si="26"/>
        <v>8575.4969999999994</v>
      </c>
      <c r="Z47" s="173">
        <f t="shared" si="26"/>
        <v>8286.8140908000005</v>
      </c>
      <c r="AA47" s="173">
        <f>AA27*AA38*(1-AA$44)</f>
        <v>11456.565130857602</v>
      </c>
      <c r="AB47" s="173">
        <f t="shared" si="26"/>
        <v>13107.477267146709</v>
      </c>
      <c r="AC47" s="173">
        <f t="shared" si="26"/>
        <v>15054.323155355261</v>
      </c>
      <c r="AD47" s="173">
        <f t="shared" si="26"/>
        <v>15997.912284076976</v>
      </c>
      <c r="AE47" s="173">
        <f t="shared" si="26"/>
        <v>17016.451797843314</v>
      </c>
      <c r="AF47" s="173">
        <f t="shared" si="26"/>
        <v>17356.780833800181</v>
      </c>
      <c r="AG47" s="180"/>
      <c r="AH47" s="1433"/>
      <c r="AI47" s="1433"/>
      <c r="AJ47" s="1433"/>
      <c r="AK47" s="1433"/>
      <c r="AL47" s="1433"/>
      <c r="AM47" s="1433"/>
      <c r="AN47" s="180"/>
      <c r="AO47" s="180"/>
      <c r="AP47" s="180"/>
    </row>
    <row r="48" spans="1:42">
      <c r="A48" s="180" t="s">
        <v>922</v>
      </c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>
        <f t="shared" si="24"/>
        <v>1162.8755387219112</v>
      </c>
      <c r="U48" s="173">
        <f t="shared" si="24"/>
        <v>1259.5564701389073</v>
      </c>
      <c r="V48" s="173">
        <f t="shared" si="24"/>
        <v>1390.5503430333536</v>
      </c>
      <c r="W48" s="173">
        <f t="shared" si="26"/>
        <v>974.4</v>
      </c>
      <c r="X48" s="173">
        <f t="shared" si="26"/>
        <v>993.88800000000003</v>
      </c>
      <c r="Y48" s="173">
        <f t="shared" si="26"/>
        <v>1098.2462399999999</v>
      </c>
      <c r="Z48" s="173">
        <f t="shared" si="26"/>
        <v>910.9409472000001</v>
      </c>
      <c r="AA48" s="173">
        <f t="shared" si="26"/>
        <v>719.91416856960006</v>
      </c>
      <c r="AB48" s="173">
        <f t="shared" si="26"/>
        <v>489.54163462732805</v>
      </c>
      <c r="AC48" s="173">
        <f t="shared" si="26"/>
        <v>496.88475914673796</v>
      </c>
      <c r="AD48" s="173">
        <f t="shared" si="26"/>
        <v>493.48502132099713</v>
      </c>
      <c r="AE48" s="173">
        <f t="shared" si="26"/>
        <v>495.1922127461076</v>
      </c>
      <c r="AF48" s="173">
        <f t="shared" si="26"/>
        <v>505.09605700102975</v>
      </c>
      <c r="AG48" s="180"/>
      <c r="AH48" s="1433"/>
      <c r="AI48" s="1433"/>
      <c r="AJ48" s="1433"/>
      <c r="AK48" s="1433"/>
      <c r="AL48" s="1433"/>
      <c r="AM48" s="1433"/>
      <c r="AN48" s="180"/>
      <c r="AO48" s="180"/>
      <c r="AP48" s="180"/>
    </row>
    <row r="49" spans="1:42">
      <c r="A49" s="180" t="s">
        <v>985</v>
      </c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>
        <f t="shared" si="24"/>
        <v>3145.3148318359367</v>
      </c>
      <c r="U49" s="173">
        <f t="shared" si="24"/>
        <v>4418.431923391111</v>
      </c>
      <c r="V49" s="173">
        <f>V29*V40*(1-V$44)</f>
        <v>2876.6195238770738</v>
      </c>
      <c r="W49" s="173">
        <f t="shared" si="26"/>
        <v>1459.5</v>
      </c>
      <c r="X49" s="173">
        <f t="shared" si="26"/>
        <v>910.34999999999991</v>
      </c>
      <c r="Y49" s="173">
        <f t="shared" si="26"/>
        <v>939.48120000000006</v>
      </c>
      <c r="Z49" s="173">
        <f t="shared" si="26"/>
        <v>1354.632012</v>
      </c>
      <c r="AA49" s="173">
        <f t="shared" si="26"/>
        <v>1241.2313251200003</v>
      </c>
      <c r="AB49" s="173">
        <f t="shared" si="26"/>
        <v>1582.5699395280003</v>
      </c>
      <c r="AC49" s="173">
        <f t="shared" si="26"/>
        <v>1773.3645714374957</v>
      </c>
      <c r="AD49" s="173">
        <f t="shared" si="26"/>
        <v>1761.2310243697655</v>
      </c>
      <c r="AE49" s="173">
        <f t="shared" si="26"/>
        <v>1767.3239316973149</v>
      </c>
      <c r="AF49" s="173">
        <f t="shared" si="26"/>
        <v>1802.6704103312613</v>
      </c>
      <c r="AG49" s="180"/>
      <c r="AH49" s="1433"/>
      <c r="AI49" s="1433"/>
      <c r="AJ49" s="1433"/>
      <c r="AK49" s="1433"/>
      <c r="AL49" s="1433"/>
      <c r="AM49" s="1433"/>
      <c r="AN49" s="180"/>
      <c r="AO49" s="180"/>
      <c r="AP49" s="180"/>
    </row>
    <row r="50" spans="1:42">
      <c r="A50" s="180" t="s">
        <v>1086</v>
      </c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>
        <f t="shared" si="24"/>
        <v>0</v>
      </c>
      <c r="U50" s="173">
        <f t="shared" si="24"/>
        <v>0</v>
      </c>
      <c r="V50" s="173">
        <f t="shared" si="24"/>
        <v>0</v>
      </c>
      <c r="W50" s="1052">
        <f t="shared" si="26"/>
        <v>0</v>
      </c>
      <c r="X50" s="1052">
        <f t="shared" si="26"/>
        <v>0</v>
      </c>
      <c r="Y50" s="1052">
        <f t="shared" si="26"/>
        <v>0</v>
      </c>
      <c r="Z50" s="1052">
        <f t="shared" si="26"/>
        <v>753.88216320000004</v>
      </c>
      <c r="AA50" s="173">
        <f t="shared" si="26"/>
        <v>1141.9328191104</v>
      </c>
      <c r="AB50" s="173">
        <f t="shared" si="26"/>
        <v>1164.771475492608</v>
      </c>
      <c r="AC50" s="173">
        <f t="shared" si="26"/>
        <v>1182.243047624997</v>
      </c>
      <c r="AD50" s="173">
        <f t="shared" si="26"/>
        <v>1174.1540162465103</v>
      </c>
      <c r="AE50" s="173">
        <f t="shared" si="26"/>
        <v>1178.2159544648764</v>
      </c>
      <c r="AF50" s="173">
        <f t="shared" si="26"/>
        <v>1201.7802735541741</v>
      </c>
      <c r="AG50" s="180"/>
      <c r="AH50" s="1433"/>
      <c r="AI50" s="1433"/>
      <c r="AJ50" s="1433"/>
      <c r="AK50" s="1433"/>
      <c r="AL50" s="1433"/>
      <c r="AM50" s="1433"/>
      <c r="AN50" s="180"/>
      <c r="AO50" s="180"/>
      <c r="AP50" s="180"/>
    </row>
    <row r="51" spans="1:42">
      <c r="A51" s="180" t="s">
        <v>923</v>
      </c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>
        <f t="shared" si="24"/>
        <v>165.48250407929623</v>
      </c>
      <c r="U51" s="173">
        <f t="shared" si="24"/>
        <v>472.84826817788473</v>
      </c>
      <c r="V51" s="173">
        <f t="shared" si="24"/>
        <v>266.77794227197438</v>
      </c>
      <c r="W51" s="1052">
        <f t="shared" si="26"/>
        <v>369.41469242606479</v>
      </c>
      <c r="X51" s="1052">
        <f t="shared" si="26"/>
        <v>300.26487968756078</v>
      </c>
      <c r="Y51" s="1052">
        <f t="shared" si="26"/>
        <v>252.22249893755108</v>
      </c>
      <c r="Z51" s="1052">
        <f t="shared" si="26"/>
        <v>259.01706421505247</v>
      </c>
      <c r="AA51" s="173">
        <f t="shared" si="26"/>
        <v>313.87407823132258</v>
      </c>
      <c r="AB51" s="173">
        <f t="shared" si="26"/>
        <v>354.95064238246528</v>
      </c>
      <c r="AC51" s="173">
        <f t="shared" si="26"/>
        <v>395.59597084351611</v>
      </c>
      <c r="AD51" s="173">
        <f t="shared" si="26"/>
        <v>427.96865992372756</v>
      </c>
      <c r="AE51" s="173">
        <f t="shared" si="26"/>
        <v>464.64995426352607</v>
      </c>
      <c r="AF51" s="173">
        <f t="shared" si="26"/>
        <v>509.84772254188726</v>
      </c>
      <c r="AG51" s="180"/>
      <c r="AH51" s="1433"/>
      <c r="AI51" s="1433"/>
      <c r="AJ51" s="1433"/>
      <c r="AK51" s="1433"/>
      <c r="AL51" s="1433"/>
      <c r="AM51" s="1433"/>
      <c r="AN51" s="180"/>
      <c r="AO51" s="180"/>
      <c r="AP51" s="180"/>
    </row>
    <row r="52" spans="1:42">
      <c r="A52" s="19" t="s">
        <v>1250</v>
      </c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173"/>
      <c r="O52" s="173"/>
      <c r="P52" s="173"/>
      <c r="Q52" s="173"/>
      <c r="R52" s="173"/>
      <c r="S52" s="173"/>
      <c r="T52" s="315">
        <f>'Income Statement'!T$155</f>
        <v>1.18028</v>
      </c>
      <c r="U52" s="315">
        <v>1.159077672574627</v>
      </c>
      <c r="V52" s="315">
        <f>'Income Statement'!V$155</f>
        <v>1.1490638246268656</v>
      </c>
      <c r="W52" s="1062">
        <f>'Income Statement'!W$155</f>
        <v>1.1713242788461544</v>
      </c>
      <c r="X52" s="1062">
        <f>'Income Statement'!X$155</f>
        <v>1.1065795550914248</v>
      </c>
      <c r="Y52" s="1062">
        <f>'Income Statement'!Y$155</f>
        <v>1.1105369302909465</v>
      </c>
      <c r="Z52" s="1062">
        <f>'Income Statement'!Z$155</f>
        <v>1.1083231112074399</v>
      </c>
      <c r="AA52" s="315">
        <f>'Income Statement'!AA$155</f>
        <v>1.1207295968584789</v>
      </c>
      <c r="AB52" s="315">
        <f>'Income Statement'!AB$155</f>
        <v>1.1426415000000001</v>
      </c>
      <c r="AC52" s="315">
        <f>'Income Statement'!AC$155</f>
        <v>1.1426415000000001</v>
      </c>
      <c r="AD52" s="315">
        <f>'Income Statement'!AD$155</f>
        <v>1.1426415000000001</v>
      </c>
      <c r="AE52" s="315">
        <f>'Income Statement'!AE$155</f>
        <v>1.1426415000000001</v>
      </c>
      <c r="AF52" s="315">
        <f>'Income Statement'!AF$155</f>
        <v>1.1426415000000001</v>
      </c>
      <c r="AG52" s="180"/>
      <c r="AH52" s="1433"/>
      <c r="AI52" s="1433"/>
      <c r="AJ52" s="1433"/>
      <c r="AK52" s="1433"/>
      <c r="AL52" s="1433"/>
      <c r="AM52" s="1433"/>
      <c r="AN52" s="180"/>
      <c r="AO52" s="180"/>
      <c r="AP52" s="180"/>
    </row>
    <row r="53" spans="1:42">
      <c r="A53" s="181" t="s">
        <v>926</v>
      </c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  <c r="N53" s="173"/>
      <c r="O53" s="173"/>
      <c r="P53" s="173"/>
      <c r="Q53" s="173"/>
      <c r="R53" s="173"/>
      <c r="S53" s="173"/>
      <c r="T53" s="167">
        <f>SUM(T46:T50)/T52+T51</f>
        <v>16161.545510787744</v>
      </c>
      <c r="U53" s="167">
        <f t="shared" ref="U53:W53" si="27">SUM(U46:U50)/U52+U51</f>
        <v>18035.410537678745</v>
      </c>
      <c r="V53" s="167">
        <f t="shared" si="27"/>
        <v>9828.1274514936176</v>
      </c>
      <c r="W53" s="167">
        <f t="shared" si="27"/>
        <v>6554.4226623253517</v>
      </c>
      <c r="X53" s="1060">
        <f t="shared" ref="X53:AF53" si="28">SUM(X46:X50)/X52+X51</f>
        <v>7712.0392634302452</v>
      </c>
      <c r="Y53" s="1060">
        <f t="shared" si="28"/>
        <v>9979.5687450185924</v>
      </c>
      <c r="Z53" s="1060">
        <f t="shared" si="28"/>
        <v>10672.819025473409</v>
      </c>
      <c r="AA53" s="167">
        <f t="shared" si="28"/>
        <v>13489.679707501464</v>
      </c>
      <c r="AB53" s="167">
        <f t="shared" si="28"/>
        <v>14806.699311594082</v>
      </c>
      <c r="AC53" s="167">
        <f t="shared" si="28"/>
        <v>16704.578458048964</v>
      </c>
      <c r="AD53" s="167">
        <f t="shared" si="28"/>
        <v>17504.073431525263</v>
      </c>
      <c r="AE53" s="167">
        <f t="shared" si="28"/>
        <v>18405.423924584957</v>
      </c>
      <c r="AF53" s="167">
        <f t="shared" si="28"/>
        <v>18771.330063841975</v>
      </c>
      <c r="AG53" s="57"/>
      <c r="AH53" s="1436"/>
      <c r="AI53" s="1436"/>
      <c r="AJ53" s="1436"/>
      <c r="AK53" s="1436"/>
      <c r="AL53" s="1436"/>
      <c r="AM53" s="1436"/>
      <c r="AN53" s="57"/>
      <c r="AO53" s="57"/>
      <c r="AP53" s="57"/>
    </row>
    <row r="54" spans="1:42">
      <c r="A54" s="1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73"/>
      <c r="O54" s="173"/>
      <c r="P54" s="173"/>
      <c r="Q54" s="173"/>
      <c r="R54" s="173"/>
      <c r="S54" s="173"/>
      <c r="T54" s="180"/>
      <c r="U54" s="180"/>
      <c r="V54" s="180"/>
      <c r="W54" s="227"/>
      <c r="X54" s="227"/>
      <c r="Y54" s="227"/>
      <c r="Z54" s="227"/>
      <c r="AA54" s="180"/>
      <c r="AB54" s="180"/>
      <c r="AC54" s="180"/>
      <c r="AD54" s="180"/>
      <c r="AE54" s="180"/>
      <c r="AF54" s="180"/>
      <c r="AG54" s="180"/>
      <c r="AH54" s="1433"/>
      <c r="AI54" s="1433"/>
      <c r="AJ54" s="1433"/>
      <c r="AK54" s="1433"/>
      <c r="AL54" s="1433"/>
      <c r="AM54" s="1433"/>
      <c r="AN54" s="180"/>
      <c r="AO54" s="180"/>
      <c r="AP54" s="180"/>
    </row>
    <row r="55" spans="1:42">
      <c r="A55" s="258" t="s">
        <v>929</v>
      </c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260"/>
      <c r="AB55" s="260"/>
      <c r="AC55" s="260"/>
      <c r="AD55" s="260"/>
      <c r="AE55" s="260"/>
      <c r="AF55" s="260"/>
      <c r="AG55" s="180"/>
      <c r="AH55" s="1433"/>
      <c r="AI55" s="1433"/>
      <c r="AJ55" s="1433"/>
      <c r="AK55" s="1433"/>
      <c r="AL55" s="1433"/>
      <c r="AM55" s="1433"/>
      <c r="AN55" s="180"/>
      <c r="AO55" s="180"/>
      <c r="AP55" s="180"/>
    </row>
    <row r="56" spans="1:42">
      <c r="A56" s="180" t="s">
        <v>920</v>
      </c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264"/>
      <c r="O56" s="263"/>
      <c r="P56" s="263"/>
      <c r="Q56" s="263"/>
      <c r="R56" s="263"/>
      <c r="S56" s="263"/>
      <c r="T56" s="263">
        <f t="shared" ref="T56:V59" si="29">$N56</f>
        <v>0</v>
      </c>
      <c r="U56" s="263">
        <v>0.5</v>
      </c>
      <c r="V56" s="263">
        <f t="shared" si="29"/>
        <v>0</v>
      </c>
      <c r="W56" s="263">
        <v>0.5</v>
      </c>
      <c r="X56" s="263">
        <v>0.5</v>
      </c>
      <c r="Y56" s="263">
        <v>0.5</v>
      </c>
      <c r="Z56" s="263">
        <v>0.5</v>
      </c>
      <c r="AA56" s="935">
        <v>0.5</v>
      </c>
      <c r="AB56" s="935">
        <v>0.5</v>
      </c>
      <c r="AC56" s="935">
        <v>0.5</v>
      </c>
      <c r="AD56" s="935">
        <v>0.5</v>
      </c>
      <c r="AE56" s="935">
        <v>0.5</v>
      </c>
      <c r="AF56" s="935">
        <v>0.5</v>
      </c>
      <c r="AG56" s="180"/>
      <c r="AH56" s="1433"/>
      <c r="AI56" s="1433"/>
      <c r="AJ56" s="1433"/>
      <c r="AK56" s="1433"/>
      <c r="AL56" s="1433"/>
      <c r="AM56" s="1433"/>
      <c r="AN56" s="180"/>
      <c r="AO56" s="180"/>
      <c r="AP56" s="180"/>
    </row>
    <row r="57" spans="1:42">
      <c r="A57" s="180" t="s">
        <v>921</v>
      </c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264"/>
      <c r="O57" s="263"/>
      <c r="P57" s="263"/>
      <c r="Q57" s="263"/>
      <c r="R57" s="263"/>
      <c r="S57" s="263"/>
      <c r="T57" s="263">
        <f t="shared" si="29"/>
        <v>0</v>
      </c>
      <c r="U57" s="263">
        <v>0.5</v>
      </c>
      <c r="V57" s="263">
        <f t="shared" si="29"/>
        <v>0</v>
      </c>
      <c r="W57" s="263">
        <v>0.5</v>
      </c>
      <c r="X57" s="263">
        <v>0.5</v>
      </c>
      <c r="Y57" s="263">
        <v>0.5</v>
      </c>
      <c r="Z57" s="263">
        <v>0.5</v>
      </c>
      <c r="AA57" s="935">
        <v>0.5</v>
      </c>
      <c r="AB57" s="935">
        <v>0.5</v>
      </c>
      <c r="AC57" s="935">
        <v>0.5</v>
      </c>
      <c r="AD57" s="935">
        <v>0.5</v>
      </c>
      <c r="AE57" s="935">
        <v>0.5</v>
      </c>
      <c r="AF57" s="935">
        <v>0.5</v>
      </c>
      <c r="AG57" s="180"/>
      <c r="AH57" s="1433"/>
      <c r="AI57" s="1433"/>
      <c r="AJ57" s="1433"/>
      <c r="AK57" s="1433"/>
      <c r="AL57" s="1433"/>
      <c r="AM57" s="1433"/>
      <c r="AN57" s="180"/>
      <c r="AO57" s="180"/>
      <c r="AP57" s="180"/>
    </row>
    <row r="58" spans="1:42">
      <c r="A58" s="180" t="s">
        <v>922</v>
      </c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264"/>
      <c r="O58" s="263"/>
      <c r="P58" s="263"/>
      <c r="Q58" s="263"/>
      <c r="R58" s="263"/>
      <c r="S58" s="263"/>
      <c r="T58" s="263">
        <f t="shared" si="29"/>
        <v>0</v>
      </c>
      <c r="U58" s="263">
        <v>0.23499999999999999</v>
      </c>
      <c r="V58" s="263">
        <f t="shared" si="29"/>
        <v>0</v>
      </c>
      <c r="W58" s="263">
        <v>0.23499999999999999</v>
      </c>
      <c r="X58" s="263">
        <v>0.23499999999999999</v>
      </c>
      <c r="Y58" s="263">
        <v>0.23499999999999999</v>
      </c>
      <c r="Z58" s="263">
        <v>0.23499999999999999</v>
      </c>
      <c r="AA58" s="935">
        <v>0.23499999999999999</v>
      </c>
      <c r="AB58" s="935">
        <v>0.23499999999999999</v>
      </c>
      <c r="AC58" s="935">
        <v>0.23499999999999999</v>
      </c>
      <c r="AD58" s="935">
        <v>0.23499999999999999</v>
      </c>
      <c r="AE58" s="935">
        <v>0.23499999999999999</v>
      </c>
      <c r="AF58" s="935">
        <v>0.23499999999999999</v>
      </c>
      <c r="AG58" s="180"/>
      <c r="AH58" s="1433"/>
      <c r="AI58" s="1433"/>
      <c r="AJ58" s="1433"/>
      <c r="AK58" s="1433"/>
      <c r="AL58" s="1433"/>
      <c r="AM58" s="1433"/>
      <c r="AN58" s="180"/>
      <c r="AO58" s="180"/>
      <c r="AP58" s="180"/>
    </row>
    <row r="59" spans="1:42">
      <c r="A59" s="180" t="s">
        <v>985</v>
      </c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264"/>
      <c r="O59" s="263"/>
      <c r="P59" s="263"/>
      <c r="Q59" s="263"/>
      <c r="R59" s="263"/>
      <c r="S59" s="263"/>
      <c r="T59" s="263">
        <f t="shared" si="29"/>
        <v>0</v>
      </c>
      <c r="U59" s="263">
        <v>7.4999999999999997E-2</v>
      </c>
      <c r="V59" s="263">
        <f t="shared" si="29"/>
        <v>0</v>
      </c>
      <c r="W59" s="263">
        <v>7.4999999999999997E-2</v>
      </c>
      <c r="X59" s="263">
        <v>7.4999999999999997E-2</v>
      </c>
      <c r="Y59" s="263">
        <v>7.4999999999999997E-2</v>
      </c>
      <c r="Z59" s="263">
        <v>7.4999999999999997E-2</v>
      </c>
      <c r="AA59" s="935">
        <v>7.4999999999999997E-2</v>
      </c>
      <c r="AB59" s="935">
        <v>7.4999999999999997E-2</v>
      </c>
      <c r="AC59" s="935">
        <v>7.4999999999999997E-2</v>
      </c>
      <c r="AD59" s="935">
        <v>7.4999999999999997E-2</v>
      </c>
      <c r="AE59" s="935">
        <v>7.4999999999999997E-2</v>
      </c>
      <c r="AF59" s="935">
        <v>7.4999999999999997E-2</v>
      </c>
      <c r="AG59" s="180"/>
      <c r="AH59" s="1433"/>
      <c r="AI59" s="1433"/>
      <c r="AJ59" s="1433"/>
      <c r="AK59" s="1433"/>
      <c r="AL59" s="1433"/>
      <c r="AM59" s="1433"/>
      <c r="AN59" s="180"/>
      <c r="AO59" s="180"/>
      <c r="AP59" s="180"/>
    </row>
    <row r="60" spans="1:42">
      <c r="A60" s="180" t="s">
        <v>1086</v>
      </c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263"/>
      <c r="O60" s="263"/>
      <c r="P60" s="263"/>
      <c r="Q60" s="263"/>
      <c r="R60" s="264"/>
      <c r="S60" s="263"/>
      <c r="T60" s="263">
        <f t="shared" ref="T60:V60" si="30">$R$60</f>
        <v>0</v>
      </c>
      <c r="U60" s="263">
        <v>0.112</v>
      </c>
      <c r="V60" s="263">
        <f t="shared" si="30"/>
        <v>0</v>
      </c>
      <c r="W60" s="263">
        <v>0.112</v>
      </c>
      <c r="X60" s="263">
        <v>0.112</v>
      </c>
      <c r="Y60" s="263">
        <v>0.112</v>
      </c>
      <c r="Z60" s="263">
        <v>0.112</v>
      </c>
      <c r="AA60" s="935">
        <v>0.112</v>
      </c>
      <c r="AB60" s="935">
        <v>0.112</v>
      </c>
      <c r="AC60" s="935">
        <v>0.112</v>
      </c>
      <c r="AD60" s="935">
        <v>0.112</v>
      </c>
      <c r="AE60" s="935">
        <v>0.112</v>
      </c>
      <c r="AF60" s="935">
        <v>0.112</v>
      </c>
      <c r="AG60" s="180"/>
      <c r="AH60" s="1433"/>
      <c r="AI60" s="1433"/>
      <c r="AJ60" s="1433"/>
      <c r="AK60" s="1433"/>
      <c r="AL60" s="1433"/>
      <c r="AM60" s="1433"/>
      <c r="AN60" s="180"/>
      <c r="AO60" s="180"/>
      <c r="AP60" s="180"/>
    </row>
    <row r="61" spans="1:42">
      <c r="A61" s="180" t="s">
        <v>923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264"/>
      <c r="O61" s="263"/>
      <c r="P61" s="263"/>
      <c r="Q61" s="263"/>
      <c r="R61" s="263"/>
      <c r="S61" s="263"/>
      <c r="T61" s="263">
        <f t="shared" ref="T61:V61" si="31">$N61</f>
        <v>0</v>
      </c>
      <c r="U61" s="263">
        <v>1</v>
      </c>
      <c r="V61" s="263">
        <f t="shared" si="31"/>
        <v>0</v>
      </c>
      <c r="W61" s="263">
        <v>1</v>
      </c>
      <c r="X61" s="263">
        <v>1</v>
      </c>
      <c r="Y61" s="263">
        <v>1</v>
      </c>
      <c r="Z61" s="263">
        <v>1</v>
      </c>
      <c r="AA61" s="935">
        <v>1</v>
      </c>
      <c r="AB61" s="935">
        <v>1</v>
      </c>
      <c r="AC61" s="935">
        <v>1</v>
      </c>
      <c r="AD61" s="935">
        <v>1</v>
      </c>
      <c r="AE61" s="935">
        <v>1</v>
      </c>
      <c r="AF61" s="935">
        <v>1</v>
      </c>
      <c r="AG61" s="180"/>
      <c r="AH61" s="1433"/>
      <c r="AI61" s="1433"/>
      <c r="AJ61" s="1433"/>
      <c r="AK61" s="1433"/>
      <c r="AL61" s="1433"/>
      <c r="AM61" s="1433"/>
      <c r="AN61" s="180"/>
      <c r="AO61" s="180"/>
      <c r="AP61" s="180"/>
    </row>
    <row r="62" spans="1:42" s="37" customFormat="1">
      <c r="A62" s="227"/>
      <c r="B62" s="1052"/>
      <c r="C62" s="1052"/>
      <c r="D62" s="1052"/>
      <c r="E62" s="1052"/>
      <c r="F62" s="1052"/>
      <c r="G62" s="1052"/>
      <c r="H62" s="1052"/>
      <c r="I62" s="1052"/>
      <c r="J62" s="1052"/>
      <c r="K62" s="1052"/>
      <c r="L62" s="1052"/>
      <c r="M62" s="1052"/>
      <c r="N62" s="1053"/>
      <c r="O62" s="1036"/>
      <c r="P62" s="1036"/>
      <c r="Q62" s="1036"/>
      <c r="R62" s="1036"/>
      <c r="S62" s="1036"/>
      <c r="T62" s="1036"/>
      <c r="U62" s="1036"/>
      <c r="V62" s="1036"/>
      <c r="W62" s="1036"/>
      <c r="X62" s="1036"/>
      <c r="Y62" s="1036"/>
      <c r="Z62" s="1036"/>
      <c r="AA62" s="1036"/>
      <c r="AB62" s="1036"/>
      <c r="AC62" s="1036"/>
      <c r="AD62" s="1036"/>
      <c r="AE62" s="1036"/>
      <c r="AF62" s="1036"/>
      <c r="AG62" s="227"/>
      <c r="AH62" s="1433"/>
      <c r="AI62" s="1433"/>
      <c r="AJ62" s="1433"/>
      <c r="AK62" s="1433"/>
      <c r="AL62" s="1433"/>
      <c r="AM62" s="1433"/>
      <c r="AN62" s="227"/>
      <c r="AO62" s="227"/>
      <c r="AP62" s="227"/>
    </row>
    <row r="63" spans="1:42">
      <c r="A63" s="258" t="s">
        <v>1276</v>
      </c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180"/>
      <c r="AH63" s="1433"/>
      <c r="AI63" s="1433"/>
      <c r="AJ63" s="1433"/>
      <c r="AK63" s="1433"/>
      <c r="AL63" s="1433"/>
      <c r="AM63" s="1433"/>
      <c r="AN63" s="180"/>
      <c r="AO63" s="180"/>
      <c r="AP63" s="180"/>
    </row>
    <row r="64" spans="1:42">
      <c r="A64" s="180" t="s">
        <v>920</v>
      </c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317"/>
      <c r="N64" s="175"/>
      <c r="O64" s="175"/>
      <c r="P64" s="175"/>
      <c r="Q64" s="175"/>
      <c r="R64" s="175"/>
      <c r="S64" s="175"/>
      <c r="T64" s="175">
        <v>1686.0106484266446</v>
      </c>
      <c r="U64" s="175">
        <v>642.99719723551573</v>
      </c>
      <c r="V64" s="175">
        <v>-0.61862803308179015</v>
      </c>
      <c r="W64" s="175">
        <f t="shared" ref="W64:AF64" si="32">W56*W46</f>
        <v>187.25</v>
      </c>
      <c r="X64" s="175">
        <f t="shared" si="32"/>
        <v>107.1</v>
      </c>
      <c r="Y64" s="175">
        <f t="shared" si="32"/>
        <v>94.676400000000001</v>
      </c>
      <c r="Z64" s="175">
        <f t="shared" si="32"/>
        <v>117.79408800000002</v>
      </c>
      <c r="AA64" s="175">
        <f t="shared" si="32"/>
        <v>103.43594376000001</v>
      </c>
      <c r="AB64" s="175">
        <f t="shared" si="32"/>
        <v>84.403730108160005</v>
      </c>
      <c r="AC64" s="175">
        <f t="shared" si="32"/>
        <v>64.252339544836801</v>
      </c>
      <c r="AD64" s="175">
        <f t="shared" si="32"/>
        <v>42.541812182844573</v>
      </c>
      <c r="AE64" s="175">
        <f t="shared" si="32"/>
        <v>21.344491928711534</v>
      </c>
      <c r="AF64" s="175">
        <f t="shared" si="32"/>
        <v>0</v>
      </c>
      <c r="AG64" s="180"/>
      <c r="AH64" s="1433"/>
      <c r="AI64" s="1433"/>
      <c r="AJ64" s="1433"/>
      <c r="AK64" s="1433"/>
      <c r="AL64" s="1433"/>
      <c r="AM64" s="1433"/>
      <c r="AN64" s="180"/>
      <c r="AO64" s="180"/>
      <c r="AP64" s="180"/>
    </row>
    <row r="65" spans="1:42">
      <c r="A65" s="180" t="s">
        <v>921</v>
      </c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317"/>
      <c r="N65" s="175"/>
      <c r="O65" s="175"/>
      <c r="P65" s="175"/>
      <c r="Q65" s="175"/>
      <c r="R65" s="175"/>
      <c r="S65" s="175"/>
      <c r="T65" s="175">
        <v>6.7844315612004875</v>
      </c>
      <c r="U65" s="175">
        <v>1.6198992269686681</v>
      </c>
      <c r="V65" s="175">
        <v>0.72278395653280514</v>
      </c>
      <c r="W65" s="175">
        <f t="shared" ref="W65:AF65" si="33">W57*W47</f>
        <v>2218.125</v>
      </c>
      <c r="X65" s="175">
        <f t="shared" si="33"/>
        <v>3041.64</v>
      </c>
      <c r="Y65" s="175">
        <f t="shared" si="33"/>
        <v>4287.7484999999997</v>
      </c>
      <c r="Z65" s="175">
        <f t="shared" si="33"/>
        <v>4143.4070454000002</v>
      </c>
      <c r="AA65" s="175">
        <f>AA57*AA47</f>
        <v>5728.2825654288008</v>
      </c>
      <c r="AB65" s="175">
        <f t="shared" si="33"/>
        <v>6553.7386335733545</v>
      </c>
      <c r="AC65" s="175">
        <f t="shared" si="33"/>
        <v>7527.1615776776307</v>
      </c>
      <c r="AD65" s="175">
        <f t="shared" si="33"/>
        <v>7998.956142038488</v>
      </c>
      <c r="AE65" s="175">
        <f t="shared" si="33"/>
        <v>8508.2258989216571</v>
      </c>
      <c r="AF65" s="175">
        <f t="shared" si="33"/>
        <v>8678.3904169000907</v>
      </c>
      <c r="AG65" s="180"/>
      <c r="AH65" s="1433"/>
      <c r="AI65" s="1433"/>
      <c r="AJ65" s="1433"/>
      <c r="AK65" s="1433"/>
      <c r="AL65" s="1433"/>
      <c r="AM65" s="1433"/>
      <c r="AN65" s="180"/>
      <c r="AO65" s="180"/>
      <c r="AP65" s="180"/>
    </row>
    <row r="66" spans="1:42">
      <c r="A66" s="180" t="s">
        <v>922</v>
      </c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317"/>
      <c r="N66" s="175"/>
      <c r="O66" s="175"/>
      <c r="P66" s="175"/>
      <c r="Q66" s="175"/>
      <c r="R66" s="175"/>
      <c r="S66" s="175"/>
      <c r="T66" s="175">
        <v>-0.20890486559423238</v>
      </c>
      <c r="U66" s="175">
        <v>-0.44980374007297708</v>
      </c>
      <c r="V66" s="175">
        <v>0.10295277053596075</v>
      </c>
      <c r="W66" s="175">
        <f t="shared" ref="W66:AF66" si="34">W58*W48</f>
        <v>228.98399999999998</v>
      </c>
      <c r="X66" s="175">
        <f t="shared" si="34"/>
        <v>233.56368000000001</v>
      </c>
      <c r="Y66" s="175">
        <f t="shared" si="34"/>
        <v>258.0878664</v>
      </c>
      <c r="Z66" s="175">
        <f t="shared" si="34"/>
        <v>214.07112259200002</v>
      </c>
      <c r="AA66" s="175">
        <f t="shared" si="34"/>
        <v>169.17982961385601</v>
      </c>
      <c r="AB66" s="175">
        <f t="shared" si="34"/>
        <v>115.04228413742209</v>
      </c>
      <c r="AC66" s="175">
        <f t="shared" si="34"/>
        <v>116.76791839948342</v>
      </c>
      <c r="AD66" s="175">
        <f t="shared" si="34"/>
        <v>115.96898001043432</v>
      </c>
      <c r="AE66" s="175">
        <f t="shared" si="34"/>
        <v>116.37016999533527</v>
      </c>
      <c r="AF66" s="175">
        <f t="shared" si="34"/>
        <v>118.69757339524199</v>
      </c>
      <c r="AG66" s="180"/>
      <c r="AH66" s="1433"/>
      <c r="AI66" s="1433"/>
      <c r="AJ66" s="1433"/>
      <c r="AK66" s="1433"/>
      <c r="AL66" s="1433"/>
      <c r="AM66" s="1433"/>
      <c r="AN66" s="180"/>
      <c r="AO66" s="180"/>
      <c r="AP66" s="180"/>
    </row>
    <row r="67" spans="1:42">
      <c r="A67" s="180" t="s">
        <v>985</v>
      </c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317"/>
      <c r="N67" s="175"/>
      <c r="O67" s="175"/>
      <c r="P67" s="175"/>
      <c r="Q67" s="175"/>
      <c r="R67" s="175"/>
      <c r="S67" s="175"/>
      <c r="T67" s="175">
        <v>-0.24972427265600505</v>
      </c>
      <c r="U67" s="175">
        <v>-0.12398153631220699</v>
      </c>
      <c r="V67" s="175">
        <v>-0.73280580770114745</v>
      </c>
      <c r="W67" s="175">
        <f t="shared" ref="W67:AF67" si="35">W59*W49</f>
        <v>109.46249999999999</v>
      </c>
      <c r="X67" s="175">
        <f t="shared" si="35"/>
        <v>68.27624999999999</v>
      </c>
      <c r="Y67" s="175">
        <f t="shared" si="35"/>
        <v>70.461089999999999</v>
      </c>
      <c r="Z67" s="175">
        <f t="shared" si="35"/>
        <v>101.5974009</v>
      </c>
      <c r="AA67" s="175">
        <f t="shared" si="35"/>
        <v>93.092349384000016</v>
      </c>
      <c r="AB67" s="175">
        <f t="shared" si="35"/>
        <v>118.69274546460002</v>
      </c>
      <c r="AC67" s="175">
        <f t="shared" si="35"/>
        <v>133.00234285781218</v>
      </c>
      <c r="AD67" s="175">
        <f t="shared" si="35"/>
        <v>132.09232682773239</v>
      </c>
      <c r="AE67" s="175">
        <f t="shared" si="35"/>
        <v>132.54929487729862</v>
      </c>
      <c r="AF67" s="175">
        <f t="shared" si="35"/>
        <v>135.2002807748446</v>
      </c>
      <c r="AG67" s="180"/>
      <c r="AH67" s="1433"/>
      <c r="AI67" s="1433"/>
      <c r="AJ67" s="1433"/>
      <c r="AK67" s="1433"/>
      <c r="AL67" s="1433"/>
      <c r="AM67" s="1433"/>
      <c r="AN67" s="180"/>
      <c r="AO67" s="180"/>
      <c r="AP67" s="180"/>
    </row>
    <row r="68" spans="1:42">
      <c r="A68" s="180" t="s">
        <v>1086</v>
      </c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317"/>
      <c r="N68" s="175"/>
      <c r="O68" s="175"/>
      <c r="P68" s="175"/>
      <c r="Q68" s="175"/>
      <c r="R68" s="175"/>
      <c r="S68" s="175"/>
      <c r="T68" s="175">
        <v>-0.87290213306093523</v>
      </c>
      <c r="U68" s="175">
        <v>-1</v>
      </c>
      <c r="V68" s="175" t="s">
        <v>1618</v>
      </c>
      <c r="W68" s="175">
        <f t="shared" ref="W68:AF68" si="36">W60*W50</f>
        <v>0</v>
      </c>
      <c r="X68" s="175">
        <f t="shared" si="36"/>
        <v>0</v>
      </c>
      <c r="Y68" s="175">
        <f t="shared" si="36"/>
        <v>0</v>
      </c>
      <c r="Z68" s="175">
        <f t="shared" si="36"/>
        <v>84.434802278399999</v>
      </c>
      <c r="AA68" s="175">
        <f t="shared" si="36"/>
        <v>127.89647574036481</v>
      </c>
      <c r="AB68" s="175">
        <f t="shared" si="36"/>
        <v>130.45440525517211</v>
      </c>
      <c r="AC68" s="175">
        <f t="shared" si="36"/>
        <v>132.41122133399966</v>
      </c>
      <c r="AD68" s="175">
        <f t="shared" si="36"/>
        <v>131.50524981960916</v>
      </c>
      <c r="AE68" s="175">
        <f t="shared" si="36"/>
        <v>131.96018690006616</v>
      </c>
      <c r="AF68" s="175">
        <f t="shared" si="36"/>
        <v>134.59939063806749</v>
      </c>
      <c r="AG68" s="180"/>
      <c r="AH68" s="1433"/>
      <c r="AI68" s="1433"/>
      <c r="AJ68" s="1433"/>
      <c r="AK68" s="1433"/>
      <c r="AL68" s="1433"/>
      <c r="AM68" s="1433"/>
      <c r="AN68" s="180"/>
      <c r="AO68" s="180"/>
      <c r="AP68" s="180"/>
    </row>
    <row r="69" spans="1:42">
      <c r="A69" s="180" t="s">
        <v>923</v>
      </c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317"/>
      <c r="N69" s="175"/>
      <c r="O69" s="175"/>
      <c r="P69" s="175"/>
      <c r="Q69" s="175"/>
      <c r="R69" s="175"/>
      <c r="S69" s="175"/>
      <c r="T69" s="175">
        <v>-0.14922122284197703</v>
      </c>
      <c r="U69" s="175">
        <v>0.23523767362708115</v>
      </c>
      <c r="V69" s="175">
        <v>0.43046275023906722</v>
      </c>
      <c r="W69" s="1058">
        <f t="shared" ref="W69:AF69" si="37">W61*W51</f>
        <v>369.41469242606479</v>
      </c>
      <c r="X69" s="1058">
        <f t="shared" si="37"/>
        <v>300.26487968756078</v>
      </c>
      <c r="Y69" s="1058">
        <f t="shared" si="37"/>
        <v>252.22249893755108</v>
      </c>
      <c r="Z69" s="1058">
        <f t="shared" si="37"/>
        <v>259.01706421505247</v>
      </c>
      <c r="AA69" s="175">
        <f t="shared" si="37"/>
        <v>313.87407823132258</v>
      </c>
      <c r="AB69" s="175">
        <f t="shared" si="37"/>
        <v>354.95064238246528</v>
      </c>
      <c r="AC69" s="175">
        <f t="shared" si="37"/>
        <v>395.59597084351611</v>
      </c>
      <c r="AD69" s="175">
        <f t="shared" si="37"/>
        <v>427.96865992372756</v>
      </c>
      <c r="AE69" s="175">
        <f t="shared" si="37"/>
        <v>464.64995426352607</v>
      </c>
      <c r="AF69" s="175">
        <f t="shared" si="37"/>
        <v>509.84772254188726</v>
      </c>
      <c r="AG69" s="180"/>
      <c r="AH69" s="1433"/>
      <c r="AI69" s="1433"/>
      <c r="AJ69" s="1433"/>
      <c r="AK69" s="1433"/>
      <c r="AL69" s="1433"/>
      <c r="AM69" s="1433"/>
      <c r="AN69" s="180"/>
      <c r="AO69" s="180"/>
      <c r="AP69" s="180"/>
    </row>
    <row r="70" spans="1:42">
      <c r="A70" s="180" t="s">
        <v>1114</v>
      </c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317"/>
      <c r="N70" s="175"/>
      <c r="O70" s="175"/>
      <c r="P70" s="175"/>
      <c r="Q70" s="175"/>
      <c r="R70" s="175"/>
      <c r="S70" s="175"/>
      <c r="T70" s="175" t="s">
        <v>1618</v>
      </c>
      <c r="U70" s="175" t="s">
        <v>1618</v>
      </c>
      <c r="V70" s="175" t="s">
        <v>1618</v>
      </c>
      <c r="W70" s="1058" cm="1">
        <f t="array" ref="W70">W75-(SUM((W65:W68)/W72)+W69)</f>
        <v>248.95190180314194</v>
      </c>
      <c r="X70" s="1058" cm="1">
        <f t="array" ref="X70">X75-(SUM((X65:X68)/X72)+X69)</f>
        <v>193.28048145119283</v>
      </c>
      <c r="Y70" s="1058" cm="1">
        <f t="array" ref="Y70">Y75-(SUM((Y65:Y68)/Y72)+Y69)</f>
        <v>155.96170278855607</v>
      </c>
      <c r="Z70" s="1058" cm="1">
        <f t="array" ref="Z70">Z75-(SUM((Z65:Z68)/Z72)+Z69)</f>
        <v>863.53727303000778</v>
      </c>
      <c r="AA70" s="1125">
        <v>90</v>
      </c>
      <c r="AB70" s="1125">
        <v>90</v>
      </c>
      <c r="AC70" s="1125">
        <v>90</v>
      </c>
      <c r="AD70" s="1125">
        <v>90</v>
      </c>
      <c r="AE70" s="1125">
        <v>90</v>
      </c>
      <c r="AF70" s="1125">
        <v>90</v>
      </c>
      <c r="AG70" s="180"/>
      <c r="AH70" s="1433"/>
      <c r="AI70" s="1433"/>
      <c r="AJ70" s="1433"/>
      <c r="AK70" s="1433"/>
      <c r="AL70" s="1433"/>
      <c r="AM70" s="1433"/>
      <c r="AN70" s="180"/>
      <c r="AO70" s="180"/>
      <c r="AP70" s="180"/>
    </row>
    <row r="71" spans="1:42">
      <c r="A71" s="180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317"/>
      <c r="N71" s="175"/>
      <c r="O71" s="175"/>
      <c r="P71" s="175"/>
      <c r="Q71" s="175"/>
      <c r="R71" s="175"/>
      <c r="S71" s="175"/>
      <c r="T71" s="175"/>
      <c r="U71" s="175"/>
      <c r="V71" s="175"/>
      <c r="W71" s="1058"/>
      <c r="X71" s="1058"/>
      <c r="Y71" s="1058"/>
      <c r="Z71" s="1058"/>
      <c r="AA71" s="1058"/>
      <c r="AB71" s="1058"/>
      <c r="AC71" s="1058"/>
      <c r="AD71" s="1058"/>
      <c r="AE71" s="1058"/>
      <c r="AF71" s="1058"/>
      <c r="AG71" s="180"/>
      <c r="AH71" s="1433"/>
      <c r="AI71" s="1433"/>
      <c r="AJ71" s="1433"/>
      <c r="AK71" s="1433"/>
      <c r="AL71" s="1433"/>
      <c r="AM71" s="1433"/>
      <c r="AN71" s="180"/>
      <c r="AO71" s="180"/>
      <c r="AP71" s="180"/>
    </row>
    <row r="72" spans="1:42">
      <c r="A72" s="19" t="s">
        <v>1746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175"/>
      <c r="O72" s="175"/>
      <c r="P72" s="175"/>
      <c r="Q72" s="175"/>
      <c r="R72" s="175"/>
      <c r="S72" s="175"/>
      <c r="T72" s="317">
        <v>0.40676698876999029</v>
      </c>
      <c r="U72" s="317">
        <v>-0.4077621653941681</v>
      </c>
      <c r="V72" s="317">
        <v>-0.47303367629948523</v>
      </c>
      <c r="W72" s="1318">
        <f>'Income Statement'!W$155</f>
        <v>1.1713242788461544</v>
      </c>
      <c r="X72" s="1318">
        <f>'Income Statement'!X$155</f>
        <v>1.1065795550914248</v>
      </c>
      <c r="Y72" s="1318">
        <f>'Income Statement'!Y$155</f>
        <v>1.1105369302909465</v>
      </c>
      <c r="Z72" s="1318">
        <f>'Income Statement'!Z$155</f>
        <v>1.1083231112074399</v>
      </c>
      <c r="AA72" s="277">
        <f>'Income Statement'!AA$155</f>
        <v>1.1207295968584789</v>
      </c>
      <c r="AB72" s="277">
        <f>'Income Statement'!AB$155</f>
        <v>1.1426415000000001</v>
      </c>
      <c r="AC72" s="277">
        <f>'Income Statement'!AC$155</f>
        <v>1.1426415000000001</v>
      </c>
      <c r="AD72" s="277">
        <f>'Income Statement'!AD$155</f>
        <v>1.1426415000000001</v>
      </c>
      <c r="AE72" s="277">
        <f>'Income Statement'!AE$155</f>
        <v>1.1426415000000001</v>
      </c>
      <c r="AF72" s="277">
        <f>'Income Statement'!AF$155</f>
        <v>1.1426415000000001</v>
      </c>
      <c r="AG72" s="180"/>
      <c r="AH72" s="1433"/>
      <c r="AI72" s="1433"/>
      <c r="AJ72" s="1433"/>
      <c r="AK72" s="1433"/>
      <c r="AL72" s="1433"/>
      <c r="AM72" s="1433"/>
      <c r="AN72" s="180"/>
      <c r="AO72" s="180"/>
      <c r="AP72" s="180"/>
    </row>
    <row r="73" spans="1:42">
      <c r="A73" s="181" t="s">
        <v>1275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175"/>
      <c r="O73" s="175"/>
      <c r="P73" s="175"/>
      <c r="Q73" s="175"/>
      <c r="R73" s="175"/>
      <c r="S73" s="175"/>
      <c r="T73" s="167">
        <v>2.1800000000000002</v>
      </c>
      <c r="U73" s="167">
        <v>-0.26121212121212123</v>
      </c>
      <c r="V73" s="167">
        <v>1.8573913043478263</v>
      </c>
      <c r="W73" s="167" cm="1">
        <f t="array" ref="W73">SUM(W64:W68)+SUM((W69:W70)*W72)</f>
        <v>3468.1293050480781</v>
      </c>
      <c r="X73" s="167" cm="1">
        <f t="array" ref="X73">SUM(X64:X68)+SUM((X69:X70)*X72)</f>
        <v>3996.7271361463586</v>
      </c>
      <c r="Y73" s="167" cm="1">
        <f t="array" ref="Y73">SUM(Y64:Y68)+SUM((Y69:Y70)*Y72)</f>
        <v>5164.2774867781718</v>
      </c>
      <c r="Z73" s="167" cm="1">
        <f t="array" ref="Z73">SUM(Z64:Z68)+SUM((Z69:Z70)*Z72)</f>
        <v>5905.4573747252507</v>
      </c>
      <c r="AA73" s="167" cm="1">
        <f t="array" ref="AA73">SUM(AA64:AA68)+SUM((AA69:AA70)*AA72)</f>
        <v>6674.5207968048007</v>
      </c>
      <c r="AB73" s="167" cm="1">
        <f t="array" ref="AB73">SUM(AB64:AB68)+SUM((AB69:AB70)*AB72)</f>
        <v>7510.7508679765724</v>
      </c>
      <c r="AC73" s="167" cm="1">
        <f t="array" ref="AC73">SUM(AC64:AC68)+SUM((AC69:AC70)*AC72)</f>
        <v>8528.4575083323543</v>
      </c>
      <c r="AD73" s="167" cm="1">
        <f t="array" ref="AD73">SUM(AD64:AD68)+SUM((AD69:AD70)*AD72)</f>
        <v>9012.9169974073466</v>
      </c>
      <c r="AE73" s="167" cm="1">
        <f t="array" ref="AE73">SUM(AE64:AE68)+SUM((AE69:AE70)*AE72)</f>
        <v>9544.2160983376743</v>
      </c>
      <c r="AF73" s="167" cm="1">
        <f t="array" ref="AF73">SUM(AF64:AF68)+SUM((AF69:AF70)*AF72)</f>
        <v>9752.2985631650918</v>
      </c>
      <c r="AG73" s="57"/>
      <c r="AH73" s="1433"/>
      <c r="AI73" s="1436"/>
      <c r="AJ73" s="1436"/>
      <c r="AK73" s="1436"/>
      <c r="AL73" s="1436"/>
      <c r="AM73" s="1436"/>
      <c r="AN73" s="57"/>
      <c r="AO73" s="57"/>
      <c r="AP73" s="57"/>
    </row>
    <row r="74" spans="1:42">
      <c r="A74" s="286" t="s">
        <v>1242</v>
      </c>
      <c r="B74" s="312"/>
      <c r="C74" s="312"/>
      <c r="D74" s="312"/>
      <c r="E74" s="312"/>
      <c r="F74" s="312"/>
      <c r="G74" s="312"/>
      <c r="H74" s="312"/>
      <c r="I74" s="312"/>
      <c r="J74" s="183"/>
      <c r="K74" s="198"/>
      <c r="L74" s="198"/>
      <c r="M74" s="184"/>
      <c r="N74" s="175"/>
      <c r="O74" s="175"/>
      <c r="P74" s="175"/>
      <c r="Q74" s="175"/>
      <c r="R74" s="175"/>
      <c r="S74" s="175"/>
      <c r="T74" s="184">
        <v>-0.09</v>
      </c>
      <c r="U74" s="184">
        <v>0.05</v>
      </c>
      <c r="V74" s="184">
        <v>0</v>
      </c>
      <c r="W74" s="1061">
        <f t="shared" ref="W74" si="38">W73/V73-1</f>
        <v>1866.2044479425513</v>
      </c>
      <c r="X74" s="1061">
        <f>X75/W75-1</f>
        <v>0.25490896108532657</v>
      </c>
      <c r="Y74" s="1061">
        <f t="shared" ref="Y74:AF74" si="39">Y75/X75-1</f>
        <v>0.29871977240398295</v>
      </c>
      <c r="Z74" s="1061">
        <f t="shared" si="39"/>
        <v>0.14392113910186199</v>
      </c>
      <c r="AA74" s="1061">
        <f t="shared" si="39"/>
        <v>0.14046610365908263</v>
      </c>
      <c r="AB74" s="1061">
        <f t="shared" si="39"/>
        <v>0.10370780550482239</v>
      </c>
      <c r="AC74" s="1061">
        <f t="shared" si="39"/>
        <v>0.13549998638550975</v>
      </c>
      <c r="AD74" s="1061">
        <f t="shared" si="39"/>
        <v>5.6805053973907116E-2</v>
      </c>
      <c r="AE74" s="1061">
        <f t="shared" si="39"/>
        <v>5.8948629071271963E-2</v>
      </c>
      <c r="AF74" s="1061">
        <f t="shared" si="39"/>
        <v>2.18019439924102E-2</v>
      </c>
      <c r="AG74" s="57"/>
      <c r="AH74" s="1436"/>
      <c r="AI74" s="1436"/>
      <c r="AJ74" s="1436"/>
      <c r="AK74" s="1436"/>
      <c r="AL74" s="1436"/>
      <c r="AM74" s="1436"/>
      <c r="AN74" s="57"/>
      <c r="AO74" s="57"/>
      <c r="AP74" s="57"/>
    </row>
    <row r="75" spans="1:42">
      <c r="A75" s="181" t="s">
        <v>926</v>
      </c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75"/>
      <c r="O75" s="175"/>
      <c r="P75" s="175"/>
      <c r="Q75" s="175"/>
      <c r="R75" s="175"/>
      <c r="S75" s="175"/>
      <c r="T75" s="167">
        <v>-9.5948782623634932E-3</v>
      </c>
      <c r="U75" s="167">
        <v>-1.3664496423116956E-3</v>
      </c>
      <c r="V75" s="167">
        <v>-1.7963811489962511E-2</v>
      </c>
      <c r="W75" s="167">
        <v>2801</v>
      </c>
      <c r="X75" s="167">
        <v>3515</v>
      </c>
      <c r="Y75" s="167">
        <v>4565</v>
      </c>
      <c r="Z75" s="167">
        <v>5222</v>
      </c>
      <c r="AA75" s="167">
        <f t="shared" ref="AA75:AF75" si="40">AA73/AA$72</f>
        <v>5955.5139933077289</v>
      </c>
      <c r="AB75" s="167">
        <f t="shared" si="40"/>
        <v>6573.1472802069347</v>
      </c>
      <c r="AC75" s="167">
        <f t="shared" si="40"/>
        <v>7463.8086471849256</v>
      </c>
      <c r="AD75" s="167">
        <f t="shared" si="40"/>
        <v>7887.7907002391794</v>
      </c>
      <c r="AE75" s="167">
        <f t="shared" si="40"/>
        <v>8352.7651484194066</v>
      </c>
      <c r="AF75" s="167">
        <f t="shared" si="40"/>
        <v>8534.871666367002</v>
      </c>
      <c r="AG75" s="180"/>
      <c r="AH75" s="1433"/>
      <c r="AI75" s="1433"/>
      <c r="AJ75" s="1433"/>
      <c r="AK75" s="1433"/>
      <c r="AL75" s="1433"/>
      <c r="AM75" s="1433"/>
      <c r="AN75" s="180"/>
      <c r="AO75" s="180"/>
      <c r="AP75" s="180"/>
    </row>
    <row r="76" spans="1:42">
      <c r="A76" s="19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265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80"/>
      <c r="AH76" s="1433"/>
      <c r="AI76" s="1433"/>
      <c r="AJ76" s="1433"/>
      <c r="AK76" s="1433"/>
      <c r="AL76" s="1433"/>
      <c r="AM76" s="1433"/>
      <c r="AN76" s="180"/>
      <c r="AO76" s="180"/>
      <c r="AP76" s="180"/>
    </row>
    <row r="77" spans="1:42">
      <c r="A77" s="258" t="s">
        <v>1613</v>
      </c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180"/>
      <c r="AH77" s="1433"/>
      <c r="AI77" s="1433"/>
      <c r="AJ77" s="1433"/>
      <c r="AK77" s="1433"/>
      <c r="AL77" s="1433"/>
      <c r="AM77" s="1433"/>
      <c r="AN77" s="180"/>
      <c r="AO77" s="180"/>
      <c r="AP77" s="180"/>
    </row>
    <row r="78" spans="1:42">
      <c r="A78" s="19" t="s">
        <v>1602</v>
      </c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265"/>
      <c r="O78" s="167"/>
      <c r="P78" s="167"/>
      <c r="Q78" s="167"/>
      <c r="R78" s="167"/>
      <c r="S78" s="167"/>
      <c r="T78" s="173">
        <f>T27</f>
        <v>1118</v>
      </c>
      <c r="U78" s="173">
        <v>1736</v>
      </c>
      <c r="V78" s="173">
        <f>V27</f>
        <v>815</v>
      </c>
      <c r="W78" s="173">
        <f t="shared" ref="W78:AF78" si="41">(W27/(1-W79))*W79</f>
        <v>137.55813953488374</v>
      </c>
      <c r="X78" s="173">
        <f t="shared" si="41"/>
        <v>184.93023255813955</v>
      </c>
      <c r="Y78" s="173">
        <f t="shared" si="41"/>
        <v>234.59770114942529</v>
      </c>
      <c r="Z78" s="173">
        <f t="shared" si="41"/>
        <v>191.86363636363635</v>
      </c>
      <c r="AA78" s="173">
        <f t="shared" si="41"/>
        <v>216.56983240223462</v>
      </c>
      <c r="AB78" s="173">
        <f t="shared" si="41"/>
        <v>204.78461538461536</v>
      </c>
      <c r="AC78" s="173">
        <f t="shared" si="41"/>
        <v>189.97297297297297</v>
      </c>
      <c r="AD78" s="173">
        <f t="shared" si="41"/>
        <v>188.69967741935483</v>
      </c>
      <c r="AE78" s="173">
        <f t="shared" si="41"/>
        <v>184.74116470588231</v>
      </c>
      <c r="AF78" s="173">
        <f t="shared" si="41"/>
        <v>169.62322978723401</v>
      </c>
      <c r="AG78" s="180"/>
      <c r="AH78" s="1433"/>
      <c r="AI78" s="1433"/>
      <c r="AJ78" s="1433"/>
      <c r="AK78" s="1433"/>
      <c r="AL78" s="1433"/>
      <c r="AM78" s="1433"/>
      <c r="AN78" s="180"/>
      <c r="AO78" s="180"/>
      <c r="AP78" s="180"/>
    </row>
    <row r="79" spans="1:42">
      <c r="A79" s="249" t="s">
        <v>1367</v>
      </c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265"/>
      <c r="O79" s="167"/>
      <c r="P79" s="167"/>
      <c r="Q79" s="167"/>
      <c r="R79" s="167"/>
      <c r="S79" s="167"/>
      <c r="T79" s="192">
        <v>0.1</v>
      </c>
      <c r="U79" s="192">
        <v>0.1</v>
      </c>
      <c r="V79" s="192">
        <v>0.14000000000000001</v>
      </c>
      <c r="W79" s="192">
        <v>0.14000000000000001</v>
      </c>
      <c r="X79" s="192">
        <v>0.14000000000000001</v>
      </c>
      <c r="Y79" s="192">
        <v>0.13</v>
      </c>
      <c r="Z79" s="192">
        <v>0.12</v>
      </c>
      <c r="AA79" s="936">
        <f>Z79-0.015</f>
        <v>0.105</v>
      </c>
      <c r="AB79" s="936">
        <f>AA79-0.015</f>
        <v>0.09</v>
      </c>
      <c r="AC79" s="936">
        <f>AB79-0.015</f>
        <v>7.4999999999999997E-2</v>
      </c>
      <c r="AD79" s="936">
        <f>AC79-0.005</f>
        <v>6.9999999999999993E-2</v>
      </c>
      <c r="AE79" s="936">
        <f>AD79-0.005</f>
        <v>6.4999999999999988E-2</v>
      </c>
      <c r="AF79" s="936">
        <f>AE79-0.005</f>
        <v>5.9999999999999991E-2</v>
      </c>
      <c r="AG79" s="180"/>
      <c r="AH79" s="1433" t="s">
        <v>1368</v>
      </c>
      <c r="AI79" s="1433"/>
      <c r="AJ79" s="1433"/>
      <c r="AK79" s="1433"/>
      <c r="AL79" s="1433"/>
      <c r="AM79" s="1433"/>
      <c r="AN79" s="180"/>
      <c r="AO79" s="180"/>
      <c r="AP79" s="180"/>
    </row>
    <row r="80" spans="1:42">
      <c r="A80" s="249" t="s">
        <v>1604</v>
      </c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265"/>
      <c r="O80" s="167"/>
      <c r="P80" s="167"/>
      <c r="Q80" s="167"/>
      <c r="R80" s="167"/>
      <c r="S80" s="167"/>
      <c r="T80" s="192"/>
      <c r="U80" s="192"/>
      <c r="V80" s="192"/>
      <c r="W80" s="173">
        <f t="shared" ref="W80:AF80" si="42">W78*W38*W$44*W57</f>
        <v>670.59593023255832</v>
      </c>
      <c r="X80" s="173">
        <f t="shared" si="42"/>
        <v>919.56558139534889</v>
      </c>
      <c r="Y80" s="173">
        <f t="shared" si="42"/>
        <v>1189.8678103448278</v>
      </c>
      <c r="Z80" s="173">
        <f t="shared" si="42"/>
        <v>962.04414199090911</v>
      </c>
      <c r="AA80" s="173">
        <f t="shared" si="42"/>
        <v>1096.4751396924871</v>
      </c>
      <c r="AB80" s="173">
        <f t="shared" si="42"/>
        <v>1057.5437124158275</v>
      </c>
      <c r="AC80" s="173">
        <f t="shared" si="42"/>
        <v>995.76959704696958</v>
      </c>
      <c r="AD80" s="173">
        <f t="shared" si="42"/>
        <v>1025.1495665908087</v>
      </c>
      <c r="AE80" s="173">
        <f t="shared" si="42"/>
        <v>1033.4667058277641</v>
      </c>
      <c r="AF80" s="173">
        <f t="shared" si="42"/>
        <v>967.8728615528039</v>
      </c>
      <c r="AG80" s="180"/>
      <c r="AH80" s="1433"/>
      <c r="AI80" s="1433"/>
      <c r="AJ80" s="1433"/>
      <c r="AK80" s="1433"/>
      <c r="AL80" s="1433"/>
      <c r="AM80" s="1433"/>
      <c r="AN80" s="180"/>
      <c r="AO80" s="180"/>
      <c r="AP80" s="180"/>
    </row>
    <row r="81" spans="1:42">
      <c r="A81" s="249" t="s">
        <v>1603</v>
      </c>
      <c r="W81" s="192">
        <v>0</v>
      </c>
      <c r="X81" s="192">
        <f>W81+1%</f>
        <v>0.01</v>
      </c>
      <c r="Y81" s="192">
        <v>0.03</v>
      </c>
      <c r="Z81" s="192">
        <v>0.05</v>
      </c>
      <c r="AA81" s="936">
        <v>0.08</v>
      </c>
      <c r="AB81" s="936">
        <f t="shared" ref="AB81:AF81" si="43">AA81+1%</f>
        <v>0.09</v>
      </c>
      <c r="AC81" s="936">
        <f t="shared" si="43"/>
        <v>9.9999999999999992E-2</v>
      </c>
      <c r="AD81" s="936">
        <f t="shared" si="43"/>
        <v>0.10999999999999999</v>
      </c>
      <c r="AE81" s="936">
        <f t="shared" si="43"/>
        <v>0.11999999999999998</v>
      </c>
      <c r="AF81" s="936">
        <f t="shared" si="43"/>
        <v>0.12999999999999998</v>
      </c>
    </row>
    <row r="82" spans="1:42">
      <c r="A82" s="19" t="s">
        <v>1605</v>
      </c>
      <c r="W82" s="173">
        <f>W80*W81</f>
        <v>0</v>
      </c>
      <c r="X82" s="173">
        <f t="shared" ref="X82:AF82" si="44">X80*X81</f>
        <v>9.1956558139534899</v>
      </c>
      <c r="Y82" s="173">
        <f t="shared" si="44"/>
        <v>35.696034310344835</v>
      </c>
      <c r="Z82" s="173">
        <f t="shared" si="44"/>
        <v>48.10220709954546</v>
      </c>
      <c r="AA82" s="173">
        <f t="shared" si="44"/>
        <v>87.718011175398971</v>
      </c>
      <c r="AB82" s="173">
        <f t="shared" si="44"/>
        <v>95.178934117424475</v>
      </c>
      <c r="AC82" s="173">
        <f t="shared" si="44"/>
        <v>99.576959704696947</v>
      </c>
      <c r="AD82" s="173">
        <f t="shared" si="44"/>
        <v>112.76645232498895</v>
      </c>
      <c r="AE82" s="173">
        <f t="shared" si="44"/>
        <v>124.01600469933167</v>
      </c>
      <c r="AF82" s="173">
        <f t="shared" si="44"/>
        <v>125.82347200186449</v>
      </c>
    </row>
    <row r="83" spans="1:42">
      <c r="A83" s="19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</row>
    <row r="84" spans="1:42">
      <c r="A84" s="181" t="s">
        <v>1614</v>
      </c>
      <c r="W84" s="173">
        <f>W65</f>
        <v>2218.125</v>
      </c>
      <c r="X84" s="173">
        <f t="shared" ref="X84:AF84" si="45">X65</f>
        <v>3041.64</v>
      </c>
      <c r="Y84" s="173">
        <f t="shared" si="45"/>
        <v>4287.7484999999997</v>
      </c>
      <c r="Z84" s="173">
        <f t="shared" si="45"/>
        <v>4143.4070454000002</v>
      </c>
      <c r="AA84" s="173">
        <f t="shared" si="45"/>
        <v>5728.2825654288008</v>
      </c>
      <c r="AB84" s="173">
        <f t="shared" si="45"/>
        <v>6553.7386335733545</v>
      </c>
      <c r="AC84" s="173">
        <f t="shared" si="45"/>
        <v>7527.1615776776307</v>
      </c>
      <c r="AD84" s="173">
        <f t="shared" si="45"/>
        <v>7998.956142038488</v>
      </c>
      <c r="AE84" s="173">
        <f t="shared" si="45"/>
        <v>8508.2258989216571</v>
      </c>
      <c r="AF84" s="173">
        <f t="shared" si="45"/>
        <v>8678.3904169000907</v>
      </c>
    </row>
    <row r="85" spans="1:42">
      <c r="A85" s="19" t="s">
        <v>1619</v>
      </c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265"/>
      <c r="O85" s="167"/>
      <c r="P85" s="167"/>
      <c r="Q85" s="167"/>
      <c r="R85" s="167"/>
      <c r="S85" s="167"/>
      <c r="T85" s="167"/>
      <c r="U85" s="167"/>
      <c r="V85" s="167"/>
      <c r="W85" s="1050">
        <v>-0.2</v>
      </c>
      <c r="X85" s="1050">
        <v>-0.15</v>
      </c>
      <c r="Y85" s="1050">
        <v>-0.1</v>
      </c>
      <c r="Z85" s="1050">
        <v>-0.05</v>
      </c>
      <c r="AA85" s="1051">
        <v>0</v>
      </c>
      <c r="AB85" s="1051">
        <v>0</v>
      </c>
      <c r="AC85" s="1051">
        <f t="shared" ref="AC85:AF85" si="46">AB85+0.3%</f>
        <v>3.0000000000000001E-3</v>
      </c>
      <c r="AD85" s="1051">
        <f t="shared" si="46"/>
        <v>6.0000000000000001E-3</v>
      </c>
      <c r="AE85" s="1051">
        <f t="shared" si="46"/>
        <v>9.0000000000000011E-3</v>
      </c>
      <c r="AF85" s="1051">
        <f t="shared" si="46"/>
        <v>1.2E-2</v>
      </c>
      <c r="AG85" s="180"/>
      <c r="AH85" s="1433"/>
      <c r="AI85" s="1433"/>
      <c r="AJ85" s="1433"/>
      <c r="AK85" s="1433"/>
      <c r="AL85" s="1433"/>
      <c r="AM85" s="1433"/>
      <c r="AN85" s="180"/>
      <c r="AO85" s="180"/>
      <c r="AP85" s="180"/>
    </row>
    <row r="86" spans="1:42">
      <c r="A86" s="181" t="s">
        <v>1616</v>
      </c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261"/>
      <c r="O86" s="173"/>
      <c r="P86" s="173"/>
      <c r="Q86" s="173"/>
      <c r="R86" s="173"/>
      <c r="S86" s="173"/>
      <c r="T86" s="266"/>
      <c r="U86" s="266"/>
      <c r="V86" s="266"/>
      <c r="W86" s="266">
        <f>W84*W85</f>
        <v>-443.625</v>
      </c>
      <c r="X86" s="266">
        <f t="shared" ref="X86:AF86" si="47">X84*X85</f>
        <v>-456.24599999999998</v>
      </c>
      <c r="Y86" s="266">
        <f t="shared" si="47"/>
        <v>-428.77485000000001</v>
      </c>
      <c r="Z86" s="266">
        <f t="shared" si="47"/>
        <v>-207.17035227000002</v>
      </c>
      <c r="AA86" s="266">
        <f t="shared" si="47"/>
        <v>0</v>
      </c>
      <c r="AB86" s="266">
        <f t="shared" si="47"/>
        <v>0</v>
      </c>
      <c r="AC86" s="266">
        <f t="shared" si="47"/>
        <v>22.581484733032891</v>
      </c>
      <c r="AD86" s="266">
        <f t="shared" si="47"/>
        <v>47.993736852230931</v>
      </c>
      <c r="AE86" s="266">
        <f t="shared" si="47"/>
        <v>76.574033090294918</v>
      </c>
      <c r="AF86" s="266">
        <f t="shared" si="47"/>
        <v>104.14068500280109</v>
      </c>
      <c r="AG86" s="180"/>
      <c r="AH86" s="1433" t="s">
        <v>1285</v>
      </c>
      <c r="AI86" s="1433"/>
      <c r="AJ86" s="1433"/>
      <c r="AK86" s="1433"/>
      <c r="AL86" s="1433"/>
      <c r="AM86" s="1433"/>
      <c r="AN86" s="180"/>
      <c r="AO86" s="180"/>
      <c r="AP86" s="180"/>
    </row>
    <row r="87" spans="1:42">
      <c r="A87" s="19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261"/>
      <c r="O87" s="173"/>
      <c r="P87" s="173"/>
      <c r="Q87" s="173"/>
      <c r="R87" s="173"/>
      <c r="S87" s="173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  <c r="AD87" s="266"/>
      <c r="AE87" s="266"/>
      <c r="AF87" s="266"/>
      <c r="AG87" s="180"/>
      <c r="AH87" s="1433"/>
      <c r="AI87" s="1433"/>
      <c r="AJ87" s="1433"/>
      <c r="AK87" s="1433"/>
      <c r="AL87" s="1433"/>
      <c r="AM87" s="1433"/>
      <c r="AN87" s="180"/>
      <c r="AO87" s="180"/>
      <c r="AP87" s="180"/>
    </row>
    <row r="88" spans="1:42">
      <c r="A88" s="181" t="s">
        <v>1612</v>
      </c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261"/>
      <c r="O88" s="173"/>
      <c r="P88" s="173"/>
      <c r="Q88" s="173"/>
      <c r="R88" s="173"/>
      <c r="S88" s="173"/>
      <c r="T88" s="266"/>
      <c r="U88" s="266"/>
      <c r="V88" s="266"/>
      <c r="W88" s="266">
        <f>(W80)/W$94</f>
        <v>572.5109112338622</v>
      </c>
      <c r="X88" s="266">
        <f t="shared" ref="X88:AF88" si="48">(X80)/X94</f>
        <v>830.99816652529341</v>
      </c>
      <c r="Y88" s="266">
        <f t="shared" si="48"/>
        <v>1071.4347068432003</v>
      </c>
      <c r="Z88" s="266">
        <f t="shared" si="48"/>
        <v>868.01775787462361</v>
      </c>
      <c r="AA88" s="266">
        <f t="shared" si="48"/>
        <v>978.35833261298751</v>
      </c>
      <c r="AB88" s="266">
        <f t="shared" si="48"/>
        <v>925.52538343463584</v>
      </c>
      <c r="AC88" s="266">
        <f t="shared" si="48"/>
        <v>871.46283155912818</v>
      </c>
      <c r="AD88" s="266">
        <f t="shared" si="48"/>
        <v>897.1751565043005</v>
      </c>
      <c r="AE88" s="266">
        <f t="shared" si="48"/>
        <v>904.45402676846948</v>
      </c>
      <c r="AF88" s="266">
        <f t="shared" si="48"/>
        <v>847.04858133789457</v>
      </c>
      <c r="AG88" s="180"/>
      <c r="AH88" s="1433"/>
      <c r="AI88" s="1433"/>
      <c r="AJ88" s="1433"/>
      <c r="AK88" s="1433"/>
      <c r="AL88" s="1433"/>
      <c r="AM88" s="1433"/>
      <c r="AN88" s="180"/>
      <c r="AO88" s="180"/>
      <c r="AP88" s="180"/>
    </row>
    <row r="89" spans="1:42">
      <c r="A89" s="181" t="s">
        <v>1611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265"/>
      <c r="O89" s="167"/>
      <c r="P89" s="167"/>
      <c r="Q89" s="167"/>
      <c r="R89" s="167"/>
      <c r="S89" s="167"/>
      <c r="T89" s="282"/>
      <c r="U89" s="282"/>
      <c r="V89" s="282"/>
      <c r="W89" s="266">
        <f>(W82)/W94</f>
        <v>0</v>
      </c>
      <c r="X89" s="266">
        <f t="shared" ref="X89:AF89" si="49">(X82)/X94</f>
        <v>8.3099816652529341</v>
      </c>
      <c r="Y89" s="266">
        <f t="shared" si="49"/>
        <v>32.143041205296008</v>
      </c>
      <c r="Z89" s="266">
        <f t="shared" si="49"/>
        <v>43.400887893731188</v>
      </c>
      <c r="AA89" s="266">
        <f t="shared" si="49"/>
        <v>78.268666609039002</v>
      </c>
      <c r="AB89" s="266">
        <f t="shared" si="49"/>
        <v>83.297284509117219</v>
      </c>
      <c r="AC89" s="266">
        <f t="shared" si="49"/>
        <v>87.146283155912798</v>
      </c>
      <c r="AD89" s="266">
        <f t="shared" si="49"/>
        <v>98.689267215473038</v>
      </c>
      <c r="AE89" s="266">
        <f t="shared" si="49"/>
        <v>108.53448321221632</v>
      </c>
      <c r="AF89" s="266">
        <f t="shared" si="49"/>
        <v>110.11631557392627</v>
      </c>
      <c r="AG89" s="180"/>
      <c r="AH89" s="1433"/>
      <c r="AI89" s="1433"/>
      <c r="AJ89" s="1433"/>
      <c r="AK89" s="1433"/>
      <c r="AL89" s="1433"/>
      <c r="AM89" s="1433"/>
      <c r="AN89" s="180"/>
      <c r="AO89" s="180"/>
      <c r="AP89" s="180"/>
    </row>
    <row r="90" spans="1:42">
      <c r="A90" s="181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265"/>
      <c r="O90" s="167"/>
      <c r="P90" s="167"/>
      <c r="Q90" s="167"/>
      <c r="R90" s="167"/>
      <c r="S90" s="167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180"/>
      <c r="AH90" s="1433"/>
      <c r="AI90" s="1433"/>
      <c r="AJ90" s="1433"/>
      <c r="AK90" s="1433"/>
      <c r="AL90" s="1433"/>
      <c r="AM90" s="1433"/>
      <c r="AN90" s="180"/>
      <c r="AO90" s="180"/>
      <c r="AP90" s="180"/>
    </row>
    <row r="91" spans="1:42">
      <c r="A91" s="181" t="s">
        <v>1617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265"/>
      <c r="O91" s="167"/>
      <c r="P91" s="167"/>
      <c r="Q91" s="167"/>
      <c r="R91" s="167"/>
      <c r="S91" s="167"/>
      <c r="T91" s="282"/>
      <c r="U91" s="282"/>
      <c r="V91" s="282"/>
      <c r="W91" s="266">
        <f>(W84)/W$94</f>
        <v>1893.689937158159</v>
      </c>
      <c r="X91" s="266">
        <f t="shared" ref="X91:AF91" si="50">(X84)/X$94</f>
        <v>2748.6862431221239</v>
      </c>
      <c r="Y91" s="266">
        <f t="shared" si="50"/>
        <v>3860.9688548373301</v>
      </c>
      <c r="Z91" s="266">
        <f t="shared" si="50"/>
        <v>3738.4468513753632</v>
      </c>
      <c r="AA91" s="266">
        <f t="shared" si="50"/>
        <v>5111.2084319766063</v>
      </c>
      <c r="AB91" s="266">
        <f t="shared" si="50"/>
        <v>5735.6035410698405</v>
      </c>
      <c r="AC91" s="266">
        <f t="shared" si="50"/>
        <v>6587.5093611405064</v>
      </c>
      <c r="AD91" s="266">
        <f t="shared" si="50"/>
        <v>7000.4075136764131</v>
      </c>
      <c r="AE91" s="266">
        <f t="shared" si="50"/>
        <v>7446.1026480498531</v>
      </c>
      <c r="AF91" s="266">
        <f t="shared" si="50"/>
        <v>7595.0247010108505</v>
      </c>
      <c r="AG91" s="180"/>
      <c r="AH91" s="1433"/>
      <c r="AI91" s="1433"/>
      <c r="AJ91" s="1433"/>
      <c r="AK91" s="1433"/>
      <c r="AL91" s="1433"/>
      <c r="AM91" s="1433"/>
      <c r="AN91" s="180"/>
      <c r="AO91" s="180"/>
      <c r="AP91" s="180"/>
    </row>
    <row r="92" spans="1:42">
      <c r="A92" s="181" t="s">
        <v>1615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265"/>
      <c r="O92" s="167"/>
      <c r="P92" s="167"/>
      <c r="Q92" s="167"/>
      <c r="R92" s="167"/>
      <c r="S92" s="167"/>
      <c r="T92" s="282"/>
      <c r="U92" s="282"/>
      <c r="V92" s="282"/>
      <c r="W92" s="266">
        <f>(W86)/W$94</f>
        <v>-378.73798743163178</v>
      </c>
      <c r="X92" s="266">
        <f t="shared" ref="X92:AF92" si="51">(X86)/X$94</f>
        <v>-412.30293646831859</v>
      </c>
      <c r="Y92" s="266">
        <f t="shared" si="51"/>
        <v>-386.09688548373305</v>
      </c>
      <c r="Z92" s="266">
        <f t="shared" si="51"/>
        <v>-186.92234256876819</v>
      </c>
      <c r="AA92" s="266">
        <f t="shared" si="51"/>
        <v>0</v>
      </c>
      <c r="AB92" s="266">
        <f t="shared" si="51"/>
        <v>0</v>
      </c>
      <c r="AC92" s="266">
        <f t="shared" si="51"/>
        <v>19.762528083421518</v>
      </c>
      <c r="AD92" s="266">
        <f t="shared" si="51"/>
        <v>42.002445082058486</v>
      </c>
      <c r="AE92" s="266">
        <f t="shared" si="51"/>
        <v>67.014923832448687</v>
      </c>
      <c r="AF92" s="266">
        <f t="shared" si="51"/>
        <v>91.140296412130212</v>
      </c>
      <c r="AG92" s="180"/>
      <c r="AH92" s="1433"/>
      <c r="AI92" s="1433"/>
      <c r="AJ92" s="1433"/>
      <c r="AK92" s="1433"/>
      <c r="AL92" s="1433"/>
      <c r="AM92" s="1433"/>
      <c r="AN92" s="180"/>
      <c r="AO92" s="180"/>
      <c r="AP92" s="180"/>
    </row>
    <row r="93" spans="1:42">
      <c r="A93" s="181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265"/>
      <c r="O93" s="167"/>
      <c r="P93" s="167"/>
      <c r="Q93" s="167"/>
      <c r="R93" s="167"/>
      <c r="S93" s="167"/>
      <c r="T93" s="282"/>
      <c r="U93" s="282"/>
      <c r="V93" s="282"/>
      <c r="W93" s="282"/>
      <c r="X93" s="282"/>
      <c r="Y93" s="282"/>
      <c r="Z93" s="282"/>
      <c r="AA93" s="282"/>
      <c r="AB93" s="282"/>
      <c r="AC93" s="282"/>
      <c r="AD93" s="282"/>
      <c r="AE93" s="282"/>
      <c r="AF93" s="282"/>
      <c r="AG93" s="180"/>
      <c r="AH93" s="1433"/>
      <c r="AI93" s="1433"/>
      <c r="AJ93" s="1433"/>
      <c r="AK93" s="1433"/>
      <c r="AL93" s="1433"/>
      <c r="AM93" s="1433"/>
      <c r="AN93" s="180"/>
      <c r="AO93" s="180"/>
      <c r="AP93" s="180"/>
    </row>
    <row r="94" spans="1:42">
      <c r="A94" s="19" t="s">
        <v>1250</v>
      </c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261"/>
      <c r="O94" s="261"/>
      <c r="P94" s="261"/>
      <c r="Q94" s="261"/>
      <c r="R94" s="261"/>
      <c r="S94" s="261"/>
      <c r="T94" s="261">
        <f>'Income Statement'!T155</f>
        <v>1.18028</v>
      </c>
      <c r="U94" s="261">
        <v>1.159077672574627</v>
      </c>
      <c r="V94" s="261">
        <f>'Income Statement'!V155</f>
        <v>1.1490638246268656</v>
      </c>
      <c r="W94" s="261">
        <f>'Income Statement'!W155</f>
        <v>1.1713242788461544</v>
      </c>
      <c r="X94" s="261">
        <f>'Income Statement'!X155</f>
        <v>1.1065795550914248</v>
      </c>
      <c r="Y94" s="261">
        <f>'Income Statement'!Y155</f>
        <v>1.1105369302909465</v>
      </c>
      <c r="Z94" s="261">
        <f>'Income Statement'!Z155</f>
        <v>1.1083231112074399</v>
      </c>
      <c r="AA94" s="277">
        <f>'Income Statement'!AA155</f>
        <v>1.1207295968584789</v>
      </c>
      <c r="AB94" s="277">
        <f>'Income Statement'!AB155</f>
        <v>1.1426415000000001</v>
      </c>
      <c r="AC94" s="277">
        <f>'Income Statement'!AC155</f>
        <v>1.1426415000000001</v>
      </c>
      <c r="AD94" s="277">
        <f>'Income Statement'!AD155</f>
        <v>1.1426415000000001</v>
      </c>
      <c r="AE94" s="277">
        <f>'Income Statement'!AE155</f>
        <v>1.1426415000000001</v>
      </c>
      <c r="AF94" s="277">
        <f>'Income Statement'!AF155</f>
        <v>1.1426415000000001</v>
      </c>
      <c r="AG94" s="180"/>
      <c r="AH94" s="1433"/>
      <c r="AI94" s="1433"/>
      <c r="AJ94" s="1433"/>
      <c r="AK94" s="1433"/>
      <c r="AL94" s="1433"/>
      <c r="AM94" s="1433"/>
      <c r="AN94" s="180"/>
      <c r="AO94" s="180"/>
      <c r="AP94" s="180"/>
    </row>
    <row r="95" spans="1:42">
      <c r="A95" s="19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281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80"/>
      <c r="AH95" s="1433"/>
      <c r="AI95" s="1433"/>
      <c r="AJ95" s="1433"/>
      <c r="AK95" s="1433"/>
      <c r="AL95" s="1433"/>
      <c r="AM95" s="1433"/>
      <c r="AN95" s="180"/>
      <c r="AO95" s="180"/>
      <c r="AP95" s="180"/>
    </row>
    <row r="96" spans="1:42">
      <c r="A96" s="19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281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85"/>
      <c r="AB96" s="285"/>
      <c r="AC96" s="285"/>
      <c r="AD96" s="285"/>
      <c r="AE96" s="285"/>
      <c r="AF96" s="285"/>
      <c r="AG96" s="180"/>
      <c r="AH96" s="1433"/>
      <c r="AI96" s="1433"/>
      <c r="AJ96" s="1433"/>
      <c r="AK96" s="1433"/>
      <c r="AL96" s="1433"/>
      <c r="AM96" s="1433"/>
      <c r="AN96" s="180"/>
      <c r="AO96" s="180"/>
      <c r="AP96" s="180"/>
    </row>
    <row r="97" spans="1:52">
      <c r="A97" s="362" t="s">
        <v>1230</v>
      </c>
      <c r="B97" s="362"/>
      <c r="C97" s="362"/>
      <c r="D97" s="362"/>
      <c r="E97" s="362"/>
      <c r="F97" s="362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71"/>
      <c r="X97" s="371"/>
      <c r="Y97" s="371"/>
      <c r="Z97" s="371"/>
      <c r="AA97" s="371"/>
      <c r="AB97" s="371"/>
      <c r="AC97" s="371"/>
      <c r="AD97" s="371"/>
      <c r="AE97" s="371"/>
      <c r="AF97" s="371"/>
      <c r="AG97" s="180"/>
      <c r="AH97" s="1433"/>
      <c r="AI97" s="1433"/>
      <c r="AJ97" s="1433"/>
      <c r="AK97" s="1433"/>
      <c r="AL97" s="1433"/>
      <c r="AM97" s="1433"/>
      <c r="AN97" s="180"/>
      <c r="AO97" s="180"/>
      <c r="AP97" s="180"/>
    </row>
    <row r="98" spans="1:52">
      <c r="A98" s="258" t="s">
        <v>1231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180"/>
      <c r="AH98" s="1433"/>
      <c r="AI98" s="1433"/>
      <c r="AJ98" s="1433"/>
      <c r="AK98" s="1433"/>
      <c r="AL98" s="1433"/>
      <c r="AM98" s="1433"/>
      <c r="AN98" s="180"/>
      <c r="AO98" s="180"/>
      <c r="AP98" s="180"/>
    </row>
    <row r="99" spans="1:52">
      <c r="A99" s="19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433"/>
      <c r="AI99" s="1433"/>
      <c r="AJ99" s="1433"/>
      <c r="AK99" s="1433"/>
      <c r="AL99" s="1433"/>
      <c r="AM99" s="1433"/>
      <c r="AN99" s="180"/>
      <c r="AO99" s="180"/>
      <c r="AP99" s="180"/>
    </row>
    <row r="100" spans="1:52">
      <c r="A100" s="258" t="s">
        <v>1074</v>
      </c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313"/>
      <c r="N100" s="313"/>
      <c r="O100" s="313"/>
      <c r="P100" s="313"/>
      <c r="Q100" s="313"/>
      <c r="R100" s="313"/>
      <c r="S100" s="313"/>
      <c r="T100" s="313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180"/>
      <c r="AH100" s="1433"/>
      <c r="AI100" s="1433"/>
      <c r="AJ100" s="1433"/>
      <c r="AK100" s="1433"/>
      <c r="AL100" s="1433"/>
      <c r="AM100" s="1433"/>
      <c r="AN100" s="180"/>
      <c r="AO100" s="180"/>
      <c r="AP100" s="180"/>
    </row>
    <row r="101" spans="1:52">
      <c r="A101" s="249" t="s">
        <v>1460</v>
      </c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281"/>
      <c r="M101" s="281"/>
      <c r="N101" s="281"/>
      <c r="O101" s="281"/>
      <c r="P101" s="281"/>
      <c r="Q101" s="281"/>
      <c r="R101" s="281"/>
      <c r="S101" s="281"/>
      <c r="T101" s="281">
        <v>3548.8602811347168</v>
      </c>
      <c r="U101" s="357">
        <v>3946.3326326218053</v>
      </c>
      <c r="V101" s="357">
        <v>2028.414973167608</v>
      </c>
      <c r="W101" s="281">
        <f t="shared" ref="W101:W102" si="52">V101*(1+W105)</f>
        <v>2101.4379122016421</v>
      </c>
      <c r="X101" s="281">
        <f t="shared" ref="X101:X102" si="53">W101*(1+X105)</f>
        <v>3009.2590902727516</v>
      </c>
      <c r="Y101" s="281">
        <f t="shared" ref="Y101:Y102" si="54">X101*(1+Y105)</f>
        <v>3939.1201491670317</v>
      </c>
      <c r="Z101" s="281">
        <f t="shared" ref="Z101:Z102" si="55">Y101*(1+Z105)</f>
        <v>4589.0749737795923</v>
      </c>
      <c r="AA101" s="281">
        <f>SUM(AA166,AA243,AA268)</f>
        <v>5594.3283601312405</v>
      </c>
      <c r="AB101" s="281">
        <f t="shared" ref="AB101:AD101" si="56">SUM(AB166,AB243,AB268)</f>
        <v>6345.9513714162094</v>
      </c>
      <c r="AC101" s="281">
        <f t="shared" si="56"/>
        <v>6568.8841950123951</v>
      </c>
      <c r="AD101" s="281">
        <f t="shared" si="56"/>
        <v>6750.6971600275838</v>
      </c>
      <c r="AE101" s="281">
        <f>SUM(AE166,AE243,AE268)</f>
        <v>6847.8495536767059</v>
      </c>
      <c r="AF101" s="281">
        <f>SUM(AF166,AF243,AF268)</f>
        <v>6985.1000702061283</v>
      </c>
      <c r="AG101" s="180"/>
      <c r="AI101" s="1433"/>
      <c r="AJ101" s="1433"/>
      <c r="AK101" s="1433"/>
      <c r="AL101" s="1433"/>
      <c r="AM101" s="1433"/>
      <c r="AN101" s="180"/>
      <c r="AO101" s="180"/>
      <c r="AP101" s="180"/>
    </row>
    <row r="102" spans="1:52">
      <c r="A102" s="249" t="s">
        <v>928</v>
      </c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281"/>
      <c r="M102" s="281"/>
      <c r="N102" s="281"/>
      <c r="O102" s="281"/>
      <c r="P102" s="281"/>
      <c r="Q102" s="281"/>
      <c r="R102" s="281"/>
      <c r="S102" s="281"/>
      <c r="T102" s="281">
        <v>1764.2142837144747</v>
      </c>
      <c r="U102" s="357">
        <v>1891.237712141917</v>
      </c>
      <c r="V102" s="357">
        <v>1310.6277345143485</v>
      </c>
      <c r="W102" s="281">
        <f t="shared" si="52"/>
        <v>1481.0093400012136</v>
      </c>
      <c r="X102" s="281">
        <f t="shared" si="53"/>
        <v>1596.5280685213083</v>
      </c>
      <c r="Y102" s="281">
        <f t="shared" si="54"/>
        <v>2187.2434538741927</v>
      </c>
      <c r="Z102" s="281">
        <f t="shared" si="55"/>
        <v>3018.3959663463856</v>
      </c>
      <c r="AA102" s="281">
        <f>SUM(AA167,AA244,AA245)</f>
        <v>3598.4590173846677</v>
      </c>
      <c r="AB102" s="281">
        <f t="shared" ref="AB102:AF102" si="57">SUM(AB167,AB244,AB245)</f>
        <v>4449.6456522532735</v>
      </c>
      <c r="AC102" s="281">
        <f t="shared" si="57"/>
        <v>5475.8381773458095</v>
      </c>
      <c r="AD102" s="281">
        <f t="shared" si="57"/>
        <v>6557.2912598326329</v>
      </c>
      <c r="AE102" s="281">
        <f t="shared" si="57"/>
        <v>7223.4709032128412</v>
      </c>
      <c r="AF102" s="281">
        <f t="shared" si="57"/>
        <v>8130.6359978524124</v>
      </c>
      <c r="AG102" s="180"/>
      <c r="AI102" s="1433"/>
      <c r="AJ102" s="1433"/>
      <c r="AK102" s="1433"/>
      <c r="AL102" s="1433"/>
      <c r="AM102" s="1433"/>
      <c r="AN102" s="180"/>
      <c r="AO102" s="180"/>
      <c r="AP102" s="180"/>
    </row>
    <row r="103" spans="1:52">
      <c r="A103" s="181" t="s">
        <v>1280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311"/>
      <c r="M103" s="311"/>
      <c r="N103" s="311"/>
      <c r="O103" s="281"/>
      <c r="P103" s="281"/>
      <c r="Q103" s="281"/>
      <c r="R103" s="281"/>
      <c r="S103" s="281"/>
      <c r="T103" s="311">
        <f t="shared" ref="T103:W103" si="58">SUM(T101:T102)</f>
        <v>5313.074564849192</v>
      </c>
      <c r="U103" s="311">
        <v>5837.5703447637225</v>
      </c>
      <c r="V103" s="311">
        <f t="shared" si="58"/>
        <v>3339.0427076819565</v>
      </c>
      <c r="W103" s="311">
        <f t="shared" si="58"/>
        <v>3582.4472522028555</v>
      </c>
      <c r="X103" s="311">
        <f t="shared" ref="X103:AF103" si="59">SUM(X101:X102)</f>
        <v>4605.7871587940599</v>
      </c>
      <c r="Y103" s="311">
        <f t="shared" si="59"/>
        <v>6126.3636030412245</v>
      </c>
      <c r="Z103" s="311">
        <f t="shared" si="59"/>
        <v>7607.4709401259779</v>
      </c>
      <c r="AA103" s="311">
        <f t="shared" si="59"/>
        <v>9192.7873775159078</v>
      </c>
      <c r="AB103" s="311">
        <f t="shared" si="59"/>
        <v>10795.597023669483</v>
      </c>
      <c r="AC103" s="311">
        <f t="shared" si="59"/>
        <v>12044.722372358205</v>
      </c>
      <c r="AD103" s="311">
        <f t="shared" si="59"/>
        <v>13307.988419860216</v>
      </c>
      <c r="AE103" s="311">
        <f t="shared" si="59"/>
        <v>14071.320456889547</v>
      </c>
      <c r="AF103" s="311">
        <f t="shared" si="59"/>
        <v>15115.736068058541</v>
      </c>
      <c r="AG103" s="57"/>
      <c r="AH103" s="1433" t="s">
        <v>1316</v>
      </c>
      <c r="AI103" s="1436"/>
      <c r="AJ103" s="1436"/>
      <c r="AK103" s="1436"/>
      <c r="AL103" s="1436"/>
      <c r="AM103" s="1436"/>
      <c r="AN103" s="57"/>
      <c r="AO103" s="1447"/>
      <c r="AP103" s="1448"/>
      <c r="AQ103" s="1448"/>
      <c r="AR103" s="1449"/>
      <c r="AS103" s="1449"/>
      <c r="AT103" s="1449"/>
      <c r="AU103" s="1449"/>
      <c r="AV103" s="1449"/>
      <c r="AW103" s="1449"/>
      <c r="AX103" s="1450"/>
      <c r="AY103" s="1450"/>
      <c r="AZ103" s="1450"/>
    </row>
    <row r="104" spans="1:52">
      <c r="A104" s="286" t="s">
        <v>1242</v>
      </c>
      <c r="B104" s="312"/>
      <c r="C104" s="312"/>
      <c r="D104" s="312"/>
      <c r="E104" s="312"/>
      <c r="F104" s="312"/>
      <c r="G104" s="312"/>
      <c r="H104" s="312"/>
      <c r="I104" s="312"/>
      <c r="J104" s="183"/>
      <c r="K104" s="198"/>
      <c r="L104" s="198"/>
      <c r="M104" s="848"/>
      <c r="N104" s="848"/>
      <c r="O104" s="281"/>
      <c r="P104" s="281"/>
      <c r="Q104" s="281"/>
      <c r="R104" s="281"/>
      <c r="S104" s="281"/>
      <c r="T104" s="848">
        <v>0.122</v>
      </c>
      <c r="U104" s="848">
        <v>9.9000000000000005E-2</v>
      </c>
      <c r="V104" s="848">
        <v>-0.43200000000000005</v>
      </c>
      <c r="W104" s="848">
        <v>7.0999999999999994E-2</v>
      </c>
      <c r="X104" s="848">
        <v>0.29299999999999998</v>
      </c>
      <c r="Y104" s="848">
        <v>0.32900000000000001</v>
      </c>
      <c r="Z104" s="848">
        <v>0.249</v>
      </c>
      <c r="AA104" s="222">
        <f>AA103/Z103-1</f>
        <v>0.20838941743807404</v>
      </c>
      <c r="AB104" s="222">
        <f t="shared" ref="AB104:AF104" si="60">AB103/AA103-1</f>
        <v>0.17435513085767562</v>
      </c>
      <c r="AC104" s="222">
        <f t="shared" si="60"/>
        <v>0.11570692625428669</v>
      </c>
      <c r="AD104" s="222">
        <f t="shared" si="60"/>
        <v>0.10488129227462473</v>
      </c>
      <c r="AE104" s="222">
        <f t="shared" si="60"/>
        <v>5.7358934569718301E-2</v>
      </c>
      <c r="AF104" s="222">
        <f t="shared" si="60"/>
        <v>7.4222999495234365E-2</v>
      </c>
      <c r="AG104" s="276"/>
      <c r="AH104" s="1433"/>
      <c r="AI104" s="1436"/>
      <c r="AJ104" s="1436"/>
      <c r="AK104" s="1436"/>
      <c r="AL104" s="1436"/>
      <c r="AM104" s="1436"/>
      <c r="AN104" s="57"/>
      <c r="AO104" s="1450"/>
      <c r="AP104" s="1450"/>
      <c r="AQ104" s="1450"/>
      <c r="AR104" s="1450"/>
      <c r="AS104" s="1450"/>
      <c r="AT104" s="1450"/>
      <c r="AU104" s="1450"/>
      <c r="AV104" s="1450"/>
      <c r="AW104" s="1450"/>
      <c r="AX104" s="1450"/>
      <c r="AY104" s="1450"/>
      <c r="AZ104" s="1450"/>
    </row>
    <row r="105" spans="1:52">
      <c r="A105" s="543" t="s">
        <v>1461</v>
      </c>
      <c r="B105" s="312"/>
      <c r="C105" s="312"/>
      <c r="D105" s="312"/>
      <c r="E105" s="312"/>
      <c r="F105" s="312"/>
      <c r="G105" s="312"/>
      <c r="H105" s="312"/>
      <c r="I105" s="312"/>
      <c r="J105" s="183"/>
      <c r="K105" s="198"/>
      <c r="L105" s="198"/>
      <c r="M105" s="848"/>
      <c r="N105" s="848"/>
      <c r="O105" s="281"/>
      <c r="P105" s="281"/>
      <c r="Q105" s="281"/>
      <c r="R105" s="281"/>
      <c r="S105" s="281"/>
      <c r="T105" s="848"/>
      <c r="U105" s="848">
        <v>0.112</v>
      </c>
      <c r="V105" s="848">
        <v>-0.48599999999999999</v>
      </c>
      <c r="W105" s="848">
        <v>3.5999999999999997E-2</v>
      </c>
      <c r="X105" s="848">
        <v>0.432</v>
      </c>
      <c r="Y105" s="848">
        <v>0.309</v>
      </c>
      <c r="Z105" s="848">
        <v>0.16500000000000001</v>
      </c>
      <c r="AA105" s="222">
        <f>AA101/Z101-1</f>
        <v>0.21905359840388816</v>
      </c>
      <c r="AB105" s="222">
        <f t="shared" ref="AB105:AF105" si="61">AB101/AA101-1</f>
        <v>0.13435446811479901</v>
      </c>
      <c r="AC105" s="222">
        <f t="shared" si="61"/>
        <v>3.5129929390939285E-2</v>
      </c>
      <c r="AD105" s="222">
        <f t="shared" si="61"/>
        <v>2.7677906873930791E-2</v>
      </c>
      <c r="AE105" s="222">
        <f t="shared" si="61"/>
        <v>1.4391460814504153E-2</v>
      </c>
      <c r="AF105" s="222">
        <f t="shared" si="61"/>
        <v>2.0042863887938411E-2</v>
      </c>
      <c r="AG105" s="57"/>
      <c r="AH105" s="1433" t="s">
        <v>1654</v>
      </c>
      <c r="AI105" s="1436"/>
      <c r="AJ105" s="1436"/>
      <c r="AK105" s="1436"/>
      <c r="AL105" s="1436"/>
      <c r="AM105" s="1436"/>
      <c r="AN105" s="57"/>
      <c r="AO105" s="1447"/>
      <c r="AP105" s="1451"/>
      <c r="AQ105" s="1451"/>
      <c r="AR105" s="1451"/>
      <c r="AS105" s="1451"/>
      <c r="AT105" s="1451"/>
      <c r="AU105" s="1451"/>
      <c r="AV105" s="1451"/>
      <c r="AW105" s="1451"/>
      <c r="AX105" s="1450"/>
      <c r="AY105" s="1450"/>
      <c r="AZ105" s="1450"/>
    </row>
    <row r="106" spans="1:52">
      <c r="A106" s="543" t="s">
        <v>1457</v>
      </c>
      <c r="B106" s="312"/>
      <c r="C106" s="312"/>
      <c r="D106" s="312"/>
      <c r="E106" s="312"/>
      <c r="F106" s="312"/>
      <c r="G106" s="312"/>
      <c r="H106" s="312"/>
      <c r="I106" s="312"/>
      <c r="J106" s="183"/>
      <c r="K106" s="198"/>
      <c r="L106" s="198"/>
      <c r="M106" s="848"/>
      <c r="N106" s="848"/>
      <c r="O106" s="281"/>
      <c r="P106" s="281"/>
      <c r="Q106" s="281"/>
      <c r="R106" s="281"/>
      <c r="S106" s="281"/>
      <c r="T106" s="848"/>
      <c r="U106" s="848">
        <v>7.1999999999999995E-2</v>
      </c>
      <c r="V106" s="848">
        <v>-0.307</v>
      </c>
      <c r="W106" s="848">
        <v>0.13</v>
      </c>
      <c r="X106" s="848">
        <v>7.8E-2</v>
      </c>
      <c r="Y106" s="848">
        <v>0.37</v>
      </c>
      <c r="Z106" s="848">
        <v>0.38</v>
      </c>
      <c r="AA106" s="222">
        <f>AA102/Z102-1</f>
        <v>0.19217592970097264</v>
      </c>
      <c r="AB106" s="222">
        <f t="shared" ref="AB106:AF106" si="62">AB102/AA102-1</f>
        <v>0.23654198387598746</v>
      </c>
      <c r="AC106" s="222">
        <f t="shared" si="62"/>
        <v>0.23062342606379871</v>
      </c>
      <c r="AD106" s="222">
        <f t="shared" si="62"/>
        <v>0.19749544224314786</v>
      </c>
      <c r="AE106" s="222">
        <f t="shared" si="62"/>
        <v>0.10159372475353678</v>
      </c>
      <c r="AF106" s="222">
        <f t="shared" si="62"/>
        <v>0.12558576158119283</v>
      </c>
      <c r="AG106" s="57"/>
      <c r="AH106" s="1433" t="s">
        <v>1654</v>
      </c>
      <c r="AI106" s="1436"/>
      <c r="AJ106" s="1436"/>
      <c r="AK106" s="1436"/>
      <c r="AL106" s="1436"/>
      <c r="AM106" s="1436"/>
      <c r="AN106" s="57"/>
      <c r="AO106" s="1447"/>
      <c r="AP106" s="1447"/>
      <c r="AQ106" s="1451"/>
      <c r="AR106" s="1451"/>
      <c r="AS106" s="1451"/>
      <c r="AT106" s="1451"/>
      <c r="AU106" s="1451"/>
      <c r="AV106" s="1451"/>
      <c r="AW106" s="1451"/>
      <c r="AX106" s="1450"/>
      <c r="AY106" s="1450"/>
      <c r="AZ106" s="1450"/>
    </row>
    <row r="107" spans="1:52">
      <c r="A107" s="543"/>
      <c r="B107" s="312"/>
      <c r="C107" s="312"/>
      <c r="D107" s="312"/>
      <c r="E107" s="312"/>
      <c r="F107" s="312"/>
      <c r="G107" s="312"/>
      <c r="H107" s="312"/>
      <c r="I107" s="312"/>
      <c r="J107" s="183"/>
      <c r="K107" s="198"/>
      <c r="L107" s="198"/>
      <c r="M107" s="848"/>
      <c r="N107" s="848"/>
      <c r="O107" s="281"/>
      <c r="P107" s="281"/>
      <c r="Q107" s="281"/>
      <c r="R107" s="281"/>
      <c r="S107" s="281"/>
      <c r="T107" s="848"/>
      <c r="U107" s="848"/>
      <c r="V107" s="848"/>
      <c r="W107" s="848"/>
      <c r="X107" s="848"/>
      <c r="Y107" s="848"/>
      <c r="Z107" s="848"/>
      <c r="AA107" s="222"/>
      <c r="AB107" s="222"/>
      <c r="AC107" s="222"/>
      <c r="AD107" s="222"/>
      <c r="AE107" s="222"/>
      <c r="AF107" s="222"/>
      <c r="AG107" s="57"/>
      <c r="AH107" s="1437"/>
      <c r="AI107" s="1436"/>
      <c r="AJ107" s="1436"/>
      <c r="AK107" s="1436"/>
      <c r="AL107" s="1436"/>
      <c r="AM107" s="1436"/>
      <c r="AN107" s="57"/>
      <c r="AO107" s="1450"/>
      <c r="AP107" s="1450"/>
      <c r="AQ107" s="1450"/>
      <c r="AR107" s="1450"/>
      <c r="AS107" s="1450"/>
      <c r="AT107" s="1450"/>
      <c r="AU107" s="1450"/>
      <c r="AV107" s="1450"/>
      <c r="AW107" s="1450"/>
      <c r="AX107" s="1450"/>
      <c r="AY107" s="1450"/>
      <c r="AZ107" s="1450"/>
    </row>
    <row r="108" spans="1:52">
      <c r="A108" s="19" t="s">
        <v>1250</v>
      </c>
      <c r="B108" s="180"/>
      <c r="C108" s="180"/>
      <c r="D108" s="180"/>
      <c r="E108" s="180"/>
      <c r="F108" s="180"/>
      <c r="G108" s="180"/>
      <c r="H108" s="180"/>
      <c r="I108" s="180"/>
      <c r="J108" s="175"/>
      <c r="K108" s="178"/>
      <c r="L108" s="199"/>
      <c r="M108" s="199"/>
      <c r="N108" s="199"/>
      <c r="O108" s="199"/>
      <c r="P108" s="199"/>
      <c r="Q108" s="199"/>
      <c r="R108" s="199"/>
      <c r="S108" s="199"/>
      <c r="T108" s="199">
        <f>'Income Statement'!T$155</f>
        <v>1.18028</v>
      </c>
      <c r="U108" s="199">
        <v>1.159077672574627</v>
      </c>
      <c r="V108" s="199">
        <f>'Income Statement'!V$155</f>
        <v>1.1490638246268656</v>
      </c>
      <c r="W108" s="199">
        <f>'Income Statement'!W$155</f>
        <v>1.1713242788461544</v>
      </c>
      <c r="X108" s="199">
        <f>'Income Statement'!X$155</f>
        <v>1.1065795550914248</v>
      </c>
      <c r="Y108" s="199">
        <f>'Income Statement'!Y$155</f>
        <v>1.1105369302909465</v>
      </c>
      <c r="Z108" s="199">
        <f>'Income Statement'!Z$155</f>
        <v>1.1083231112074399</v>
      </c>
      <c r="AA108" s="939">
        <f>'Income Statement'!AA$155</f>
        <v>1.1207295968584789</v>
      </c>
      <c r="AB108" s="939">
        <f>'Income Statement'!AB$155</f>
        <v>1.1426415000000001</v>
      </c>
      <c r="AC108" s="939">
        <f>'Income Statement'!AC$155</f>
        <v>1.1426415000000001</v>
      </c>
      <c r="AD108" s="939">
        <f>'Income Statement'!AD$155</f>
        <v>1.1426415000000001</v>
      </c>
      <c r="AE108" s="939">
        <f>'Income Statement'!AE$155</f>
        <v>1.1426415000000001</v>
      </c>
      <c r="AF108" s="939">
        <f>'Income Statement'!AF$155</f>
        <v>1.1426415000000001</v>
      </c>
      <c r="AG108" s="57"/>
      <c r="AH108" s="1436"/>
      <c r="AI108" s="1436"/>
      <c r="AJ108" s="1436"/>
      <c r="AK108" s="1436"/>
      <c r="AL108" s="1436"/>
      <c r="AM108" s="1436"/>
      <c r="AN108" s="57"/>
      <c r="AO108" s="1450"/>
      <c r="AP108" s="1450"/>
      <c r="AQ108" s="1447"/>
      <c r="AR108" s="1447"/>
      <c r="AS108" s="1447"/>
      <c r="AT108" s="1447"/>
      <c r="AU108" s="1447"/>
      <c r="AV108" s="1447"/>
      <c r="AW108" s="1447"/>
      <c r="AX108" s="1450"/>
      <c r="AY108" s="1450"/>
      <c r="AZ108" s="1450"/>
    </row>
    <row r="109" spans="1:52">
      <c r="A109" s="19" t="s">
        <v>1251</v>
      </c>
      <c r="B109" s="180"/>
      <c r="C109" s="180"/>
      <c r="D109" s="180"/>
      <c r="E109" s="180"/>
      <c r="F109" s="180"/>
      <c r="G109" s="180"/>
      <c r="H109" s="180"/>
      <c r="I109" s="180"/>
      <c r="J109" s="175"/>
      <c r="K109" s="178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>
        <v>1.8292412947854331E-2</v>
      </c>
      <c r="V109" s="174">
        <f t="shared" ref="V109:AF109" si="63">(1/V108)/(1/U108)-1</f>
        <v>8.7147882764591067E-3</v>
      </c>
      <c r="W109" s="174">
        <f t="shared" si="63"/>
        <v>-1.9004518749681454E-2</v>
      </c>
      <c r="X109" s="174">
        <f t="shared" si="63"/>
        <v>5.8508873995399613E-2</v>
      </c>
      <c r="Y109" s="174">
        <f t="shared" si="63"/>
        <v>-3.5634791528138532E-3</v>
      </c>
      <c r="Z109" s="174">
        <f t="shared" si="63"/>
        <v>1.9974491744512157E-3</v>
      </c>
      <c r="AA109" s="174">
        <f t="shared" si="63"/>
        <v>-1.1070008042810442E-2</v>
      </c>
      <c r="AB109" s="174">
        <f t="shared" si="63"/>
        <v>-1.9176533621018677E-2</v>
      </c>
      <c r="AC109" s="174">
        <f t="shared" si="63"/>
        <v>0</v>
      </c>
      <c r="AD109" s="174">
        <f t="shared" si="63"/>
        <v>0</v>
      </c>
      <c r="AE109" s="174">
        <f t="shared" si="63"/>
        <v>0</v>
      </c>
      <c r="AF109" s="174">
        <f t="shared" si="63"/>
        <v>0</v>
      </c>
      <c r="AG109" s="57"/>
      <c r="AH109" s="1436"/>
      <c r="AI109" s="1436"/>
      <c r="AJ109" s="1436"/>
      <c r="AK109" s="1436"/>
      <c r="AL109" s="1436"/>
      <c r="AM109" s="1436"/>
      <c r="AN109" s="57"/>
      <c r="AO109" s="1447"/>
      <c r="AP109" s="1452"/>
      <c r="AQ109" s="1453"/>
      <c r="AR109" s="1453"/>
      <c r="AS109" s="1453"/>
      <c r="AT109" s="1453"/>
      <c r="AU109" s="1453"/>
      <c r="AV109" s="1453"/>
      <c r="AW109" s="1453"/>
      <c r="AX109" s="1450"/>
      <c r="AY109" s="1450"/>
      <c r="AZ109" s="1450"/>
    </row>
    <row r="110" spans="1:52">
      <c r="A110" s="19"/>
      <c r="B110" s="180"/>
      <c r="C110" s="180"/>
      <c r="D110" s="180"/>
      <c r="E110" s="180"/>
      <c r="F110" s="180"/>
      <c r="G110" s="180"/>
      <c r="H110" s="180"/>
      <c r="I110" s="180"/>
      <c r="J110" s="175"/>
      <c r="K110" s="178"/>
      <c r="L110" s="178"/>
      <c r="M110" s="178"/>
      <c r="N110" s="175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57"/>
      <c r="AH110" s="1436"/>
      <c r="AI110" s="1436"/>
      <c r="AJ110" s="1436"/>
      <c r="AK110" s="1436"/>
      <c r="AL110" s="1436"/>
      <c r="AM110" s="1436"/>
      <c r="AN110" s="57"/>
      <c r="AO110" s="1447"/>
      <c r="AP110" s="1452"/>
      <c r="AQ110" s="1453"/>
      <c r="AR110" s="1453"/>
      <c r="AS110" s="1453"/>
      <c r="AT110" s="1453"/>
      <c r="AU110" s="1453"/>
      <c r="AV110" s="1453"/>
      <c r="AW110" s="1453"/>
      <c r="AX110" s="1450"/>
      <c r="AY110" s="1450"/>
      <c r="AZ110" s="1450"/>
    </row>
    <row r="111" spans="1:52">
      <c r="A111" s="249" t="s">
        <v>1460</v>
      </c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281"/>
      <c r="M111" s="281"/>
      <c r="N111" s="281"/>
      <c r="O111" s="281"/>
      <c r="P111" s="281"/>
      <c r="Q111" s="281"/>
      <c r="R111" s="281"/>
      <c r="S111" s="281"/>
      <c r="T111" s="281">
        <f>T101/T$108</f>
        <v>3006.7952359903725</v>
      </c>
      <c r="U111" s="281">
        <v>3404.7180150195854</v>
      </c>
      <c r="V111" s="281">
        <f t="shared" ref="V111:AF111" si="64">V101/V$108</f>
        <v>1765.2761575940251</v>
      </c>
      <c r="W111" s="281">
        <f t="shared" si="64"/>
        <v>1794.070139373976</v>
      </c>
      <c r="X111" s="281">
        <f t="shared" si="64"/>
        <v>2719.4240815556445</v>
      </c>
      <c r="Y111" s="281">
        <f t="shared" si="64"/>
        <v>3547.0411129281697</v>
      </c>
      <c r="Z111" s="281">
        <f t="shared" si="64"/>
        <v>4140.5569615706372</v>
      </c>
      <c r="AA111" s="281">
        <f t="shared" si="64"/>
        <v>4991.6843240445523</v>
      </c>
      <c r="AB111" s="281">
        <f t="shared" si="64"/>
        <v>5553.7553742063537</v>
      </c>
      <c r="AC111" s="281">
        <f t="shared" si="64"/>
        <v>5748.8584083567721</v>
      </c>
      <c r="AD111" s="281">
        <f t="shared" si="64"/>
        <v>5907.9747760146847</v>
      </c>
      <c r="AE111" s="281">
        <f t="shared" si="64"/>
        <v>5992.9991634967791</v>
      </c>
      <c r="AF111" s="281">
        <f t="shared" si="64"/>
        <v>6113.1160300112742</v>
      </c>
      <c r="AG111" s="57"/>
      <c r="AH111" s="1436"/>
      <c r="AI111" s="1436"/>
      <c r="AJ111" s="1436"/>
      <c r="AK111" s="1436"/>
      <c r="AL111" s="1436"/>
      <c r="AM111" s="1436"/>
      <c r="AN111" s="57"/>
      <c r="AO111" s="1447"/>
      <c r="AP111" s="1454"/>
      <c r="AQ111" s="1454"/>
      <c r="AR111" s="1454"/>
      <c r="AS111" s="1454"/>
      <c r="AT111" s="1454"/>
      <c r="AU111" s="1454"/>
      <c r="AV111" s="1454"/>
      <c r="AW111" s="1454"/>
      <c r="AX111" s="1450"/>
      <c r="AY111" s="1450"/>
      <c r="AZ111" s="1450"/>
    </row>
    <row r="112" spans="1:52">
      <c r="A112" s="249" t="s">
        <v>928</v>
      </c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281"/>
      <c r="M112" s="281"/>
      <c r="N112" s="281"/>
      <c r="O112" s="281"/>
      <c r="P112" s="281"/>
      <c r="Q112" s="281"/>
      <c r="R112" s="281"/>
      <c r="S112" s="281"/>
      <c r="T112" s="281">
        <f>T102/T$108</f>
        <v>1494.7421660237187</v>
      </c>
      <c r="U112" s="281">
        <v>1631.674698677409</v>
      </c>
      <c r="V112" s="281">
        <f t="shared" ref="V112:AF112" si="65">V102/V$108</f>
        <v>1140.6048179612194</v>
      </c>
      <c r="W112" s="281">
        <f t="shared" si="65"/>
        <v>1264.3888347128971</v>
      </c>
      <c r="X112" s="281">
        <f t="shared" si="65"/>
        <v>1442.7594122588</v>
      </c>
      <c r="Y112" s="281">
        <f t="shared" si="65"/>
        <v>1969.5368917638452</v>
      </c>
      <c r="Z112" s="281">
        <f t="shared" si="65"/>
        <v>2723.3898994112433</v>
      </c>
      <c r="AA112" s="281">
        <f t="shared" si="65"/>
        <v>3210.8182272258364</v>
      </c>
      <c r="AB112" s="281">
        <f t="shared" si="65"/>
        <v>3894.1747278155685</v>
      </c>
      <c r="AC112" s="281">
        <f t="shared" si="65"/>
        <v>4792.2626452354561</v>
      </c>
      <c r="AD112" s="281">
        <f t="shared" si="65"/>
        <v>5738.7126757015494</v>
      </c>
      <c r="AE112" s="281">
        <f t="shared" si="65"/>
        <v>6321.7298717164049</v>
      </c>
      <c r="AF112" s="281">
        <f t="shared" si="65"/>
        <v>7115.6491321664862</v>
      </c>
      <c r="AG112" s="180"/>
      <c r="AH112" s="1437"/>
      <c r="AI112" s="1433"/>
      <c r="AJ112" s="1433"/>
      <c r="AK112" s="1433"/>
      <c r="AL112" s="1433"/>
      <c r="AM112" s="1433"/>
      <c r="AN112" s="180"/>
      <c r="AO112" s="1447"/>
      <c r="AP112" s="1447"/>
      <c r="AQ112" s="1450"/>
      <c r="AR112" s="1450"/>
      <c r="AS112" s="1450"/>
      <c r="AT112" s="1450"/>
      <c r="AU112" s="1450"/>
      <c r="AV112" s="1450"/>
      <c r="AW112" s="1450"/>
      <c r="AX112" s="1450"/>
      <c r="AY112" s="1450"/>
      <c r="AZ112" s="1450"/>
    </row>
    <row r="113" spans="1:52">
      <c r="A113" s="181" t="s">
        <v>1281</v>
      </c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311"/>
      <c r="M113" s="311"/>
      <c r="N113" s="311"/>
      <c r="O113" s="311"/>
      <c r="P113" s="311"/>
      <c r="Q113" s="311"/>
      <c r="R113" s="311"/>
      <c r="S113" s="311"/>
      <c r="T113" s="311">
        <f>T103/T$108</f>
        <v>4501.5374020140916</v>
      </c>
      <c r="U113" s="311">
        <v>5036.3927136969951</v>
      </c>
      <c r="V113" s="311">
        <f t="shared" ref="V113:AF113" si="66">V103/V$108</f>
        <v>2905.8809755552443</v>
      </c>
      <c r="W113" s="311">
        <f t="shared" si="66"/>
        <v>3058.4589740868728</v>
      </c>
      <c r="X113" s="311">
        <f t="shared" si="66"/>
        <v>4162.1834938144448</v>
      </c>
      <c r="Y113" s="311">
        <f t="shared" si="66"/>
        <v>5516.5780046920145</v>
      </c>
      <c r="Z113" s="311">
        <f t="shared" si="66"/>
        <v>6863.9468609818796</v>
      </c>
      <c r="AA113" s="311">
        <f>AA103/AA$108</f>
        <v>8202.5025512703887</v>
      </c>
      <c r="AB113" s="311">
        <f t="shared" si="66"/>
        <v>9447.9301020219227</v>
      </c>
      <c r="AC113" s="311">
        <f t="shared" si="66"/>
        <v>10541.121053592227</v>
      </c>
      <c r="AD113" s="311">
        <f t="shared" si="66"/>
        <v>11646.687451716234</v>
      </c>
      <c r="AE113" s="311">
        <f t="shared" si="66"/>
        <v>12314.729035213184</v>
      </c>
      <c r="AF113" s="311">
        <f t="shared" si="66"/>
        <v>13228.76516217776</v>
      </c>
      <c r="AG113" s="57"/>
      <c r="AH113" s="1437"/>
      <c r="AI113" s="1436"/>
      <c r="AJ113" s="1436"/>
      <c r="AK113" s="1436"/>
      <c r="AL113" s="1436"/>
      <c r="AM113" s="1436"/>
      <c r="AN113" s="57"/>
      <c r="AO113" s="1447"/>
      <c r="AP113" s="1454"/>
      <c r="AQ113" s="1454"/>
      <c r="AR113" s="1454"/>
      <c r="AS113" s="1454"/>
      <c r="AT113" s="1454"/>
      <c r="AU113" s="1454"/>
      <c r="AV113" s="1454"/>
      <c r="AW113" s="1454"/>
      <c r="AX113" s="1450"/>
      <c r="AY113" s="1450"/>
      <c r="AZ113" s="1450"/>
    </row>
    <row r="114" spans="1:52">
      <c r="A114" s="286" t="s">
        <v>1242</v>
      </c>
      <c r="B114" s="312"/>
      <c r="C114" s="312"/>
      <c r="D114" s="312"/>
      <c r="E114" s="312"/>
      <c r="F114" s="312"/>
      <c r="G114" s="312"/>
      <c r="H114" s="312"/>
      <c r="I114" s="312"/>
      <c r="J114" s="183"/>
      <c r="K114" s="198"/>
      <c r="L114" s="198"/>
      <c r="M114" s="184"/>
      <c r="N114" s="184"/>
      <c r="O114" s="184"/>
      <c r="P114" s="184"/>
      <c r="Q114" s="184"/>
      <c r="R114" s="184"/>
      <c r="S114" s="184"/>
      <c r="T114" s="184"/>
      <c r="U114" s="184">
        <v>0.11881614300118826</v>
      </c>
      <c r="V114" s="184">
        <f t="shared" ref="V114:AF114" si="67">V113/U113-1</f>
        <v>-0.42302335406601677</v>
      </c>
      <c r="W114" s="184">
        <f t="shared" si="67"/>
        <v>5.2506623573071343E-2</v>
      </c>
      <c r="X114" s="184">
        <f t="shared" si="67"/>
        <v>0.36087602582836587</v>
      </c>
      <c r="Y114" s="184">
        <f t="shared" si="67"/>
        <v>0.32540480564837648</v>
      </c>
      <c r="Z114" s="184">
        <f t="shared" si="67"/>
        <v>0.2442399717984387</v>
      </c>
      <c r="AA114" s="184">
        <f t="shared" si="67"/>
        <v>0.19501253686818765</v>
      </c>
      <c r="AB114" s="184">
        <f t="shared" si="67"/>
        <v>0.15183507020776776</v>
      </c>
      <c r="AC114" s="184">
        <f t="shared" si="67"/>
        <v>0.11570692625428647</v>
      </c>
      <c r="AD114" s="184">
        <f t="shared" si="67"/>
        <v>0.10488129227462473</v>
      </c>
      <c r="AE114" s="184">
        <f t="shared" si="67"/>
        <v>5.7358934569718301E-2</v>
      </c>
      <c r="AF114" s="184">
        <f t="shared" si="67"/>
        <v>7.4222999495234365E-2</v>
      </c>
      <c r="AG114" s="57"/>
      <c r="AH114" s="1437"/>
      <c r="AI114" s="1436"/>
      <c r="AJ114" s="1436"/>
      <c r="AK114" s="1436"/>
      <c r="AL114" s="1436"/>
      <c r="AM114" s="1436"/>
      <c r="AN114" s="57"/>
      <c r="AO114" s="1447"/>
      <c r="AP114" s="1454"/>
      <c r="AQ114" s="1454"/>
      <c r="AR114" s="1454"/>
      <c r="AS114" s="1454"/>
      <c r="AT114" s="1454"/>
      <c r="AU114" s="1454"/>
      <c r="AV114" s="1454"/>
      <c r="AW114" s="1454"/>
      <c r="AX114" s="1450"/>
      <c r="AY114" s="1450"/>
      <c r="AZ114" s="1450"/>
    </row>
    <row r="115" spans="1:52">
      <c r="A115" s="286"/>
      <c r="B115" s="312"/>
      <c r="C115" s="312"/>
      <c r="D115" s="312"/>
      <c r="E115" s="312"/>
      <c r="F115" s="312"/>
      <c r="G115" s="312"/>
      <c r="H115" s="312"/>
      <c r="I115" s="312"/>
      <c r="J115" s="183"/>
      <c r="K115" s="198"/>
      <c r="L115" s="198"/>
      <c r="M115" s="184"/>
      <c r="N115" s="184"/>
      <c r="O115" s="184"/>
      <c r="P115" s="184"/>
      <c r="Q115" s="184"/>
      <c r="R115" s="184"/>
      <c r="S115" s="184"/>
      <c r="T115" s="184"/>
      <c r="U115" s="184"/>
      <c r="V115" s="217"/>
      <c r="W115" s="217"/>
      <c r="X115" s="217"/>
      <c r="Y115" s="217"/>
      <c r="Z115" s="217"/>
      <c r="AA115" s="217"/>
      <c r="AB115" s="184"/>
      <c r="AC115" s="184"/>
      <c r="AD115" s="184"/>
      <c r="AE115" s="184"/>
      <c r="AF115" s="184"/>
      <c r="AG115" s="57"/>
      <c r="AH115" s="1436"/>
      <c r="AI115" s="1436"/>
      <c r="AJ115" s="1436"/>
      <c r="AK115" s="1436"/>
      <c r="AL115" s="1436"/>
      <c r="AM115" s="1436"/>
      <c r="AN115" s="57"/>
      <c r="AO115" s="1447"/>
      <c r="AP115" s="1447"/>
      <c r="AQ115" s="1450"/>
      <c r="AR115" s="1450"/>
      <c r="AS115" s="1450"/>
      <c r="AT115" s="1450"/>
      <c r="AU115" s="1450"/>
      <c r="AV115" s="1450"/>
      <c r="AW115" s="1450"/>
      <c r="AX115" s="1450"/>
      <c r="AY115" s="1450"/>
      <c r="AZ115" s="1450"/>
    </row>
    <row r="116" spans="1:52">
      <c r="A116" s="258" t="s">
        <v>287</v>
      </c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57"/>
      <c r="AH116" s="1436"/>
      <c r="AI116" s="1436"/>
      <c r="AJ116" s="1436"/>
      <c r="AK116" s="1436"/>
      <c r="AL116" s="1436"/>
      <c r="AM116" s="1436"/>
      <c r="AN116" s="57"/>
      <c r="AO116" s="1447"/>
      <c r="AP116" s="1447"/>
      <c r="AQ116" s="1450"/>
      <c r="AR116" s="1450"/>
      <c r="AS116" s="1450"/>
      <c r="AT116" s="1450"/>
      <c r="AU116" s="1450"/>
      <c r="AV116" s="1450"/>
      <c r="AW116" s="1450"/>
      <c r="AX116" s="1450"/>
      <c r="AY116" s="1450"/>
      <c r="AZ116" s="1450"/>
    </row>
    <row r="117" spans="1:52">
      <c r="A117" s="249" t="s">
        <v>1460</v>
      </c>
      <c r="B117" s="312"/>
      <c r="C117" s="312"/>
      <c r="D117" s="312"/>
      <c r="E117" s="312"/>
      <c r="F117" s="312"/>
      <c r="G117" s="312"/>
      <c r="H117" s="312"/>
      <c r="I117" s="312"/>
      <c r="J117" s="183"/>
      <c r="K117" s="198"/>
      <c r="L117" s="198"/>
      <c r="M117" s="184"/>
      <c r="N117" s="184"/>
      <c r="O117" s="184"/>
      <c r="P117" s="281"/>
      <c r="Q117" s="281"/>
      <c r="R117" s="281"/>
      <c r="S117" s="281"/>
      <c r="T117" s="281">
        <f>(T101-S101)*T130</f>
        <v>0</v>
      </c>
      <c r="U117" s="281">
        <v>238.48341089225303</v>
      </c>
      <c r="V117" s="281">
        <f>(V101-U101)*V130</f>
        <v>-1150.7505956725183</v>
      </c>
      <c r="W117" s="281">
        <f t="shared" ref="W117:AF117" si="68">W101*W130</f>
        <v>900.68254883516499</v>
      </c>
      <c r="X117" s="281">
        <f t="shared" si="68"/>
        <v>1289.7774099319563</v>
      </c>
      <c r="Y117" s="281">
        <f t="shared" si="68"/>
        <v>1688.3186296009308</v>
      </c>
      <c r="Z117" s="281">
        <f t="shared" si="68"/>
        <v>1966.8912034850844</v>
      </c>
      <c r="AA117" s="281">
        <f t="shared" si="68"/>
        <v>2397.7457992774462</v>
      </c>
      <c r="AB117" s="281">
        <f t="shared" si="68"/>
        <v>2665.299575994808</v>
      </c>
      <c r="AC117" s="281">
        <f t="shared" si="68"/>
        <v>2824.6202038553297</v>
      </c>
      <c r="AD117" s="281">
        <f t="shared" si="68"/>
        <v>2835.2928072115851</v>
      </c>
      <c r="AE117" s="281">
        <f t="shared" si="68"/>
        <v>2807.6183170074491</v>
      </c>
      <c r="AF117" s="281">
        <f t="shared" si="68"/>
        <v>2794.0400280824515</v>
      </c>
      <c r="AG117" s="57"/>
      <c r="AH117" s="1436"/>
      <c r="AI117" s="1436"/>
      <c r="AJ117" s="1436"/>
      <c r="AK117" s="1436"/>
      <c r="AL117" s="1436"/>
      <c r="AM117" s="1436"/>
      <c r="AN117" s="57"/>
      <c r="AO117" s="1447"/>
      <c r="AP117" s="1455"/>
      <c r="AQ117" s="1456"/>
      <c r="AR117" s="1456"/>
      <c r="AS117" s="1456"/>
      <c r="AT117" s="1456"/>
      <c r="AU117" s="1456"/>
      <c r="AV117" s="1456"/>
      <c r="AW117" s="1456"/>
      <c r="AX117" s="1450"/>
      <c r="AY117" s="1450"/>
      <c r="AZ117" s="1450"/>
    </row>
    <row r="118" spans="1:52">
      <c r="A118" s="249" t="s">
        <v>928</v>
      </c>
      <c r="B118" s="312"/>
      <c r="C118" s="312"/>
      <c r="D118" s="312"/>
      <c r="E118" s="312"/>
      <c r="F118" s="312"/>
      <c r="G118" s="312"/>
      <c r="H118" s="312"/>
      <c r="I118" s="312"/>
      <c r="J118" s="183"/>
      <c r="K118" s="198"/>
      <c r="L118" s="198"/>
      <c r="M118" s="184"/>
      <c r="N118" s="184"/>
      <c r="O118" s="184"/>
      <c r="P118" s="281"/>
      <c r="Q118" s="281"/>
      <c r="R118" s="281"/>
      <c r="S118" s="281"/>
      <c r="T118" s="281">
        <f t="shared" ref="T118:V118" si="69">T102*T131</f>
        <v>0</v>
      </c>
      <c r="U118" s="281">
        <f t="shared" si="69"/>
        <v>472.80942803547924</v>
      </c>
      <c r="V118" s="281">
        <f t="shared" si="69"/>
        <v>327.65693362858713</v>
      </c>
      <c r="W118" s="281">
        <f t="shared" ref="W118:AF118" si="70">W102*W131</f>
        <v>370.25233500030339</v>
      </c>
      <c r="X118" s="281">
        <f t="shared" si="70"/>
        <v>399.13201713032709</v>
      </c>
      <c r="Y118" s="281">
        <f t="shared" si="70"/>
        <v>546.81086346854818</v>
      </c>
      <c r="Z118" s="281">
        <f t="shared" si="70"/>
        <v>754.59899158659641</v>
      </c>
      <c r="AA118" s="281">
        <f t="shared" si="70"/>
        <v>935.59934452001369</v>
      </c>
      <c r="AB118" s="281">
        <f t="shared" si="70"/>
        <v>1201.4043261083839</v>
      </c>
      <c r="AC118" s="281">
        <f t="shared" si="70"/>
        <v>1533.2346896568267</v>
      </c>
      <c r="AD118" s="281">
        <f t="shared" si="70"/>
        <v>1901.6144653514639</v>
      </c>
      <c r="AE118" s="281">
        <f t="shared" si="70"/>
        <v>2167.0412709638526</v>
      </c>
      <c r="AF118" s="281">
        <f t="shared" si="70"/>
        <v>2439.1907993557238</v>
      </c>
      <c r="AG118" s="57"/>
      <c r="AH118" s="1436"/>
      <c r="AI118" s="1436"/>
      <c r="AJ118" s="1436"/>
      <c r="AK118" s="1436"/>
      <c r="AL118" s="1436"/>
      <c r="AM118" s="1436"/>
      <c r="AN118" s="57"/>
      <c r="AO118" s="1447"/>
      <c r="AP118" s="1455"/>
      <c r="AQ118" s="1456"/>
      <c r="AR118" s="1456"/>
      <c r="AS118" s="1456"/>
      <c r="AT118" s="1456"/>
      <c r="AU118" s="1456"/>
      <c r="AV118" s="1456"/>
      <c r="AW118" s="1456"/>
      <c r="AX118" s="1450"/>
      <c r="AY118" s="1450"/>
      <c r="AZ118" s="1450"/>
    </row>
    <row r="119" spans="1:52">
      <c r="A119" s="249"/>
      <c r="B119" s="312"/>
      <c r="C119" s="312"/>
      <c r="D119" s="312"/>
      <c r="E119" s="312"/>
      <c r="F119" s="312"/>
      <c r="G119" s="312"/>
      <c r="H119" s="312"/>
      <c r="I119" s="312"/>
      <c r="J119" s="183"/>
      <c r="K119" s="198"/>
      <c r="L119" s="198"/>
      <c r="M119" s="184"/>
      <c r="N119" s="184"/>
      <c r="O119" s="184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  <c r="AC119" s="281"/>
      <c r="AD119" s="281"/>
      <c r="AE119" s="281"/>
      <c r="AF119" s="281"/>
      <c r="AG119" s="57"/>
      <c r="AH119" s="1436"/>
      <c r="AI119" s="1436"/>
      <c r="AJ119" s="1436"/>
      <c r="AK119" s="1436"/>
      <c r="AL119" s="1436"/>
      <c r="AM119" s="1436"/>
      <c r="AN119" s="57"/>
      <c r="AO119" s="1447"/>
      <c r="AP119" s="1454"/>
      <c r="AQ119" s="1457"/>
      <c r="AR119" s="1457"/>
      <c r="AS119" s="1457"/>
      <c r="AT119" s="1457"/>
      <c r="AU119" s="1457"/>
      <c r="AV119" s="1457"/>
      <c r="AW119" s="1457"/>
      <c r="AX119" s="1450"/>
      <c r="AY119" s="1450"/>
      <c r="AZ119" s="1450"/>
    </row>
    <row r="120" spans="1:52">
      <c r="A120" s="181" t="s">
        <v>1273</v>
      </c>
      <c r="B120" s="318"/>
      <c r="C120" s="318"/>
      <c r="D120" s="318"/>
      <c r="E120" s="318"/>
      <c r="F120" s="318"/>
      <c r="G120" s="318"/>
      <c r="H120" s="318"/>
      <c r="I120" s="318"/>
      <c r="J120" s="219"/>
      <c r="K120" s="220"/>
      <c r="L120" s="220"/>
      <c r="M120" s="221"/>
      <c r="N120" s="221"/>
      <c r="O120" s="221"/>
      <c r="P120" s="311"/>
      <c r="Q120" s="311"/>
      <c r="R120" s="311"/>
      <c r="S120" s="311"/>
      <c r="T120" s="311">
        <f t="shared" ref="T120:AF120" si="71">SUM(T117:T118)</f>
        <v>0</v>
      </c>
      <c r="U120" s="311">
        <f t="shared" si="71"/>
        <v>711.2928389277323</v>
      </c>
      <c r="V120" s="311">
        <f t="shared" si="71"/>
        <v>-823.0936620439312</v>
      </c>
      <c r="W120" s="311">
        <f t="shared" si="71"/>
        <v>1270.9348838354683</v>
      </c>
      <c r="X120" s="311">
        <f t="shared" si="71"/>
        <v>1688.9094270622834</v>
      </c>
      <c r="Y120" s="311">
        <f t="shared" si="71"/>
        <v>2235.1294930694789</v>
      </c>
      <c r="Z120" s="311">
        <f t="shared" si="71"/>
        <v>2721.4901950716808</v>
      </c>
      <c r="AA120" s="311">
        <f t="shared" si="71"/>
        <v>3333.34514379746</v>
      </c>
      <c r="AB120" s="311">
        <f t="shared" si="71"/>
        <v>3866.7039021031919</v>
      </c>
      <c r="AC120" s="311">
        <f t="shared" si="71"/>
        <v>4357.8548935121562</v>
      </c>
      <c r="AD120" s="311">
        <f t="shared" si="71"/>
        <v>4736.9072725630485</v>
      </c>
      <c r="AE120" s="311">
        <f t="shared" si="71"/>
        <v>4974.6595879713022</v>
      </c>
      <c r="AF120" s="311">
        <f t="shared" si="71"/>
        <v>5233.2308274381758</v>
      </c>
      <c r="AG120" s="57"/>
      <c r="AH120" s="1436"/>
      <c r="AI120" s="1436"/>
      <c r="AJ120" s="1436"/>
      <c r="AK120" s="1436"/>
      <c r="AL120" s="1436"/>
      <c r="AM120" s="1436"/>
      <c r="AN120" s="57"/>
      <c r="AO120" s="1447"/>
      <c r="AP120" s="1450"/>
      <c r="AQ120" s="1451"/>
      <c r="AR120" s="1451"/>
      <c r="AS120" s="1451"/>
      <c r="AT120" s="1451"/>
      <c r="AU120" s="1451"/>
      <c r="AV120" s="1451"/>
      <c r="AW120" s="1451"/>
      <c r="AX120" s="1450"/>
      <c r="AY120" s="1450"/>
      <c r="AZ120" s="1450"/>
    </row>
    <row r="121" spans="1:52">
      <c r="A121" s="181"/>
      <c r="B121" s="312"/>
      <c r="C121" s="312"/>
      <c r="D121" s="312"/>
      <c r="E121" s="312"/>
      <c r="F121" s="312"/>
      <c r="G121" s="312"/>
      <c r="H121" s="312"/>
      <c r="I121" s="312"/>
      <c r="J121" s="183"/>
      <c r="K121" s="198"/>
      <c r="L121" s="198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57"/>
      <c r="AH121" s="1436"/>
      <c r="AI121" s="1436"/>
      <c r="AJ121" s="1436"/>
      <c r="AK121" s="1436"/>
      <c r="AL121" s="1436"/>
      <c r="AM121" s="1436"/>
      <c r="AN121" s="57"/>
      <c r="AO121" s="1447"/>
      <c r="AP121" s="1454"/>
      <c r="AQ121" s="1454"/>
      <c r="AR121" s="1454"/>
      <c r="AS121" s="1454"/>
      <c r="AT121" s="1454"/>
      <c r="AU121" s="1454"/>
      <c r="AV121" s="1454"/>
      <c r="AW121" s="1454"/>
      <c r="AX121" s="1450"/>
      <c r="AY121" s="1450"/>
      <c r="AZ121" s="1450"/>
    </row>
    <row r="122" spans="1:52">
      <c r="A122" s="19" t="s">
        <v>1250</v>
      </c>
      <c r="B122" s="180"/>
      <c r="C122" s="180"/>
      <c r="D122" s="180"/>
      <c r="E122" s="180"/>
      <c r="F122" s="180"/>
      <c r="G122" s="180"/>
      <c r="H122" s="180"/>
      <c r="I122" s="180"/>
      <c r="J122" s="175"/>
      <c r="K122" s="178"/>
      <c r="L122" s="178"/>
      <c r="M122" s="178"/>
      <c r="N122" s="199"/>
      <c r="O122" s="199"/>
      <c r="P122" s="199"/>
      <c r="Q122" s="199"/>
      <c r="R122" s="199"/>
      <c r="S122" s="199"/>
      <c r="T122" s="199">
        <f>'Income Statement'!T$155</f>
        <v>1.18028</v>
      </c>
      <c r="U122" s="199">
        <v>1.159077672574627</v>
      </c>
      <c r="V122" s="199">
        <f>'Income Statement'!V$155</f>
        <v>1.1490638246268656</v>
      </c>
      <c r="W122" s="199">
        <f>'Income Statement'!W$155</f>
        <v>1.1713242788461544</v>
      </c>
      <c r="X122" s="199">
        <f>'Income Statement'!X$155</f>
        <v>1.1065795550914248</v>
      </c>
      <c r="Y122" s="199">
        <f>'Income Statement'!Y$155</f>
        <v>1.1105369302909465</v>
      </c>
      <c r="Z122" s="199">
        <f>'Income Statement'!Z$155</f>
        <v>1.1083231112074399</v>
      </c>
      <c r="AA122" s="939">
        <f>'Income Statement'!AA$155</f>
        <v>1.1207295968584789</v>
      </c>
      <c r="AB122" s="939">
        <f>'Income Statement'!AB$155</f>
        <v>1.1426415000000001</v>
      </c>
      <c r="AC122" s="939">
        <f>'Income Statement'!AC$155</f>
        <v>1.1426415000000001</v>
      </c>
      <c r="AD122" s="939">
        <f>'Income Statement'!AD$155</f>
        <v>1.1426415000000001</v>
      </c>
      <c r="AE122" s="939">
        <f>'Income Statement'!AE$155</f>
        <v>1.1426415000000001</v>
      </c>
      <c r="AF122" s="939">
        <f>'Income Statement'!AF$155</f>
        <v>1.1426415000000001</v>
      </c>
      <c r="AG122" s="180"/>
      <c r="AH122" s="1433"/>
      <c r="AI122" s="1433"/>
      <c r="AJ122" s="1433"/>
      <c r="AK122" s="1433"/>
      <c r="AL122" s="1433"/>
      <c r="AM122" s="1433"/>
      <c r="AN122" s="180"/>
      <c r="AO122" s="1455"/>
      <c r="AP122" s="1455"/>
      <c r="AQ122" s="1450"/>
      <c r="AR122" s="1450"/>
      <c r="AS122" s="1450"/>
      <c r="AT122" s="1450"/>
      <c r="AU122" s="1450"/>
      <c r="AV122" s="1450"/>
      <c r="AW122" s="1450"/>
      <c r="AX122" s="1450"/>
      <c r="AY122" s="1450"/>
      <c r="AZ122" s="1450"/>
    </row>
    <row r="123" spans="1:52">
      <c r="A123" s="19" t="s">
        <v>1251</v>
      </c>
      <c r="B123" s="180"/>
      <c r="C123" s="180"/>
      <c r="D123" s="180"/>
      <c r="E123" s="180"/>
      <c r="F123" s="180"/>
      <c r="G123" s="180"/>
      <c r="H123" s="180"/>
      <c r="I123" s="180"/>
      <c r="J123" s="175"/>
      <c r="K123" s="178"/>
      <c r="L123" s="178"/>
      <c r="M123" s="178"/>
      <c r="N123" s="175"/>
      <c r="O123" s="174"/>
      <c r="P123" s="174"/>
      <c r="Q123" s="174"/>
      <c r="R123" s="174"/>
      <c r="S123" s="174"/>
      <c r="T123" s="174"/>
      <c r="U123" s="174">
        <v>1.8292412947854331E-2</v>
      </c>
      <c r="V123" s="174">
        <f t="shared" ref="V123:AF123" si="72">(1/V122)/(1/U122)-1</f>
        <v>8.7147882764591067E-3</v>
      </c>
      <c r="W123" s="174">
        <f t="shared" si="72"/>
        <v>-1.9004518749681454E-2</v>
      </c>
      <c r="X123" s="174">
        <f t="shared" si="72"/>
        <v>5.8508873995399613E-2</v>
      </c>
      <c r="Y123" s="174">
        <f t="shared" si="72"/>
        <v>-3.5634791528138532E-3</v>
      </c>
      <c r="Z123" s="174">
        <f t="shared" si="72"/>
        <v>1.9974491744512157E-3</v>
      </c>
      <c r="AA123" s="174">
        <f t="shared" si="72"/>
        <v>-1.1070008042810442E-2</v>
      </c>
      <c r="AB123" s="174">
        <f t="shared" si="72"/>
        <v>-1.9176533621018677E-2</v>
      </c>
      <c r="AC123" s="174">
        <f t="shared" si="72"/>
        <v>0</v>
      </c>
      <c r="AD123" s="174">
        <f t="shared" si="72"/>
        <v>0</v>
      </c>
      <c r="AE123" s="174">
        <f t="shared" si="72"/>
        <v>0</v>
      </c>
      <c r="AF123" s="174">
        <f t="shared" si="72"/>
        <v>0</v>
      </c>
      <c r="AG123" s="180"/>
      <c r="AH123" s="1433"/>
      <c r="AI123" s="1433"/>
      <c r="AJ123" s="1433"/>
      <c r="AK123" s="1433"/>
      <c r="AL123" s="1433"/>
      <c r="AM123" s="1433"/>
      <c r="AN123" s="180"/>
      <c r="AO123" s="1455"/>
      <c r="AP123" s="1455"/>
      <c r="AQ123" s="1450"/>
      <c r="AR123" s="1450"/>
      <c r="AS123" s="1450"/>
      <c r="AT123" s="1450"/>
      <c r="AU123" s="1450"/>
      <c r="AV123" s="1450"/>
      <c r="AW123" s="1450"/>
      <c r="AX123" s="1450"/>
      <c r="AY123" s="1450"/>
      <c r="AZ123" s="1450"/>
    </row>
    <row r="124" spans="1:52">
      <c r="A124" s="181"/>
      <c r="B124" s="312"/>
      <c r="C124" s="312"/>
      <c r="D124" s="312"/>
      <c r="E124" s="312"/>
      <c r="F124" s="312"/>
      <c r="G124" s="312"/>
      <c r="H124" s="312"/>
      <c r="I124" s="312"/>
      <c r="J124" s="183"/>
      <c r="K124" s="198"/>
      <c r="L124" s="198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0"/>
      <c r="AH124" s="1433"/>
      <c r="AI124" s="1433"/>
      <c r="AJ124" s="1433"/>
      <c r="AK124" s="1433"/>
      <c r="AL124" s="1433"/>
      <c r="AM124" s="1433"/>
      <c r="AN124" s="180"/>
      <c r="AO124" s="1455"/>
      <c r="AP124" s="1455"/>
      <c r="AQ124" s="1450"/>
      <c r="AR124" s="1450"/>
      <c r="AS124" s="1450"/>
      <c r="AT124" s="1450"/>
      <c r="AU124" s="1450"/>
      <c r="AV124" s="1450"/>
      <c r="AW124" s="1450"/>
      <c r="AX124" s="1450"/>
      <c r="AY124" s="1450"/>
      <c r="AZ124" s="1450"/>
    </row>
    <row r="125" spans="1:52">
      <c r="A125" s="249" t="s">
        <v>1460</v>
      </c>
      <c r="B125" s="312"/>
      <c r="C125" s="312"/>
      <c r="D125" s="312"/>
      <c r="E125" s="312"/>
      <c r="F125" s="312"/>
      <c r="G125" s="312"/>
      <c r="H125" s="312"/>
      <c r="I125" s="312"/>
      <c r="J125" s="183"/>
      <c r="K125" s="198"/>
      <c r="L125" s="198"/>
      <c r="M125" s="184"/>
      <c r="N125" s="184"/>
      <c r="O125" s="184"/>
      <c r="P125" s="223"/>
      <c r="Q125" s="223"/>
      <c r="R125" s="223"/>
      <c r="S125" s="223"/>
      <c r="T125" s="223">
        <f>T117/T$122</f>
        <v>0</v>
      </c>
      <c r="U125" s="223">
        <v>205.75274335370162</v>
      </c>
      <c r="V125" s="223">
        <f t="shared" ref="V125:AF125" si="73">V117/V$122</f>
        <v>-1001.4679524405012</v>
      </c>
      <c r="W125" s="223">
        <f t="shared" si="73"/>
        <v>768.94380582839744</v>
      </c>
      <c r="X125" s="223">
        <f t="shared" si="73"/>
        <v>1165.5532618487568</v>
      </c>
      <c r="Y125" s="223">
        <f t="shared" si="73"/>
        <v>1520.2723867621519</v>
      </c>
      <c r="Z125" s="223">
        <f t="shared" si="73"/>
        <v>1774.6550474277262</v>
      </c>
      <c r="AA125" s="223">
        <f t="shared" si="73"/>
        <v>2139.4507702826586</v>
      </c>
      <c r="AB125" s="223">
        <f t="shared" si="73"/>
        <v>2332.5772571666685</v>
      </c>
      <c r="AC125" s="223">
        <f t="shared" si="73"/>
        <v>2472.0091155934119</v>
      </c>
      <c r="AD125" s="223">
        <f t="shared" si="73"/>
        <v>2481.3494059261675</v>
      </c>
      <c r="AE125" s="223">
        <f t="shared" si="73"/>
        <v>2457.1296570336795</v>
      </c>
      <c r="AF125" s="223">
        <f t="shared" si="73"/>
        <v>2445.2464120045101</v>
      </c>
      <c r="AG125" s="180"/>
      <c r="AH125" s="1433"/>
      <c r="AI125" s="1433"/>
      <c r="AJ125" s="1433"/>
      <c r="AK125" s="1433"/>
      <c r="AL125" s="1433"/>
      <c r="AM125" s="1433"/>
      <c r="AN125" s="180"/>
      <c r="AO125" s="1455"/>
      <c r="AP125" s="1455"/>
      <c r="AQ125" s="1458"/>
      <c r="AR125" s="1458"/>
      <c r="AS125" s="1458"/>
      <c r="AT125" s="1458"/>
      <c r="AU125" s="1458"/>
      <c r="AV125" s="1458"/>
      <c r="AW125" s="1458"/>
      <c r="AX125" s="1450"/>
      <c r="AY125" s="1450"/>
      <c r="AZ125" s="1450"/>
    </row>
    <row r="126" spans="1:52">
      <c r="A126" s="249" t="s">
        <v>928</v>
      </c>
      <c r="B126" s="312"/>
      <c r="C126" s="312"/>
      <c r="D126" s="312"/>
      <c r="E126" s="312"/>
      <c r="F126" s="312"/>
      <c r="G126" s="312"/>
      <c r="H126" s="312"/>
      <c r="I126" s="312"/>
      <c r="J126" s="183"/>
      <c r="K126" s="198"/>
      <c r="L126" s="198"/>
      <c r="M126" s="184"/>
      <c r="N126" s="184"/>
      <c r="O126" s="184"/>
      <c r="P126" s="223"/>
      <c r="Q126" s="223"/>
      <c r="R126" s="223"/>
      <c r="S126" s="223"/>
      <c r="T126" s="223">
        <f>T118/T$122</f>
        <v>0</v>
      </c>
      <c r="U126" s="223">
        <f t="shared" ref="U126:AF126" si="74">U118/U$122</f>
        <v>407.91867466935224</v>
      </c>
      <c r="V126" s="223">
        <f t="shared" si="74"/>
        <v>285.15120449030485</v>
      </c>
      <c r="W126" s="223">
        <f t="shared" si="74"/>
        <v>316.09720867822426</v>
      </c>
      <c r="X126" s="223">
        <f t="shared" si="74"/>
        <v>360.6898530647</v>
      </c>
      <c r="Y126" s="223">
        <f t="shared" si="74"/>
        <v>492.38422294096131</v>
      </c>
      <c r="Z126" s="223">
        <f t="shared" si="74"/>
        <v>680.84747485281082</v>
      </c>
      <c r="AA126" s="223">
        <f t="shared" si="74"/>
        <v>834.81273907871753</v>
      </c>
      <c r="AB126" s="223">
        <f t="shared" si="74"/>
        <v>1051.4271765102035</v>
      </c>
      <c r="AC126" s="223">
        <f t="shared" si="74"/>
        <v>1341.8335406659278</v>
      </c>
      <c r="AD126" s="223">
        <f t="shared" si="74"/>
        <v>1664.2266759534498</v>
      </c>
      <c r="AE126" s="223">
        <f t="shared" si="74"/>
        <v>1896.5189615149218</v>
      </c>
      <c r="AF126" s="223">
        <f t="shared" si="74"/>
        <v>2134.6947396499459</v>
      </c>
      <c r="AG126" s="180"/>
      <c r="AH126" s="1433"/>
      <c r="AI126" s="1433"/>
      <c r="AJ126" s="1433"/>
      <c r="AK126" s="1433"/>
      <c r="AL126" s="1433"/>
      <c r="AM126" s="1433"/>
      <c r="AN126" s="180"/>
      <c r="AO126" s="1447"/>
      <c r="AP126" s="1447"/>
      <c r="AQ126" s="1458"/>
      <c r="AR126" s="1458"/>
      <c r="AS126" s="1458"/>
      <c r="AT126" s="1458"/>
      <c r="AU126" s="1458"/>
      <c r="AV126" s="1458"/>
      <c r="AW126" s="1458"/>
      <c r="AX126" s="1450"/>
      <c r="AY126" s="1450"/>
      <c r="AZ126" s="1450"/>
    </row>
    <row r="127" spans="1:52">
      <c r="A127" s="181" t="s">
        <v>1272</v>
      </c>
      <c r="B127" s="318"/>
      <c r="C127" s="318"/>
      <c r="D127" s="318"/>
      <c r="E127" s="318"/>
      <c r="F127" s="318"/>
      <c r="G127" s="318"/>
      <c r="H127" s="318"/>
      <c r="I127" s="318"/>
      <c r="J127" s="219"/>
      <c r="K127" s="220"/>
      <c r="L127" s="220"/>
      <c r="M127" s="221"/>
      <c r="N127" s="221"/>
      <c r="O127" s="221"/>
      <c r="P127" s="234"/>
      <c r="Q127" s="234"/>
      <c r="R127" s="234"/>
      <c r="S127" s="234"/>
      <c r="T127" s="234">
        <f>T120/T$122</f>
        <v>0</v>
      </c>
      <c r="U127" s="234">
        <f t="shared" ref="U127:AF127" si="75">U120/U$122</f>
        <v>613.67141802305389</v>
      </c>
      <c r="V127" s="234">
        <f t="shared" si="75"/>
        <v>-716.31674795019637</v>
      </c>
      <c r="W127" s="234">
        <f t="shared" si="75"/>
        <v>1085.0410145066217</v>
      </c>
      <c r="X127" s="234">
        <f t="shared" si="75"/>
        <v>1526.2431149134568</v>
      </c>
      <c r="Y127" s="234">
        <f t="shared" si="75"/>
        <v>2012.6566097031132</v>
      </c>
      <c r="Z127" s="234">
        <f t="shared" si="75"/>
        <v>2455.5025222805371</v>
      </c>
      <c r="AA127" s="234">
        <f t="shared" si="75"/>
        <v>2974.2635093613762</v>
      </c>
      <c r="AB127" s="234">
        <f t="shared" si="75"/>
        <v>3384.0044336768719</v>
      </c>
      <c r="AC127" s="234">
        <f t="shared" si="75"/>
        <v>3813.8426562593395</v>
      </c>
      <c r="AD127" s="234">
        <f t="shared" si="75"/>
        <v>4145.576081879617</v>
      </c>
      <c r="AE127" s="234">
        <f t="shared" si="75"/>
        <v>4353.6486185486019</v>
      </c>
      <c r="AF127" s="234">
        <f t="shared" si="75"/>
        <v>4579.941151654456</v>
      </c>
      <c r="AG127" s="57"/>
      <c r="AH127" s="1436"/>
      <c r="AI127" s="1436"/>
      <c r="AJ127" s="1436"/>
      <c r="AK127" s="1436"/>
      <c r="AL127" s="1436"/>
      <c r="AM127" s="1436"/>
      <c r="AN127" s="57"/>
      <c r="AO127" s="1447"/>
      <c r="AP127" s="1447"/>
      <c r="AQ127" s="1458"/>
      <c r="AR127" s="1458"/>
      <c r="AS127" s="1458"/>
      <c r="AT127" s="1458"/>
      <c r="AU127" s="1458"/>
      <c r="AV127" s="1458"/>
      <c r="AW127" s="1458"/>
      <c r="AX127" s="1450"/>
      <c r="AY127" s="1450"/>
      <c r="AZ127" s="1450"/>
    </row>
    <row r="128" spans="1:52">
      <c r="A128" s="286"/>
      <c r="B128" s="312"/>
      <c r="C128" s="312"/>
      <c r="D128" s="312"/>
      <c r="E128" s="312"/>
      <c r="F128" s="312"/>
      <c r="G128" s="312"/>
      <c r="H128" s="312"/>
      <c r="I128" s="312"/>
      <c r="J128" s="183"/>
      <c r="K128" s="198"/>
      <c r="L128" s="198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57"/>
      <c r="AH128" s="1436"/>
      <c r="AI128" s="1436"/>
      <c r="AJ128" s="1436"/>
      <c r="AK128" s="1436"/>
      <c r="AL128" s="1436"/>
      <c r="AM128" s="1436"/>
      <c r="AN128" s="57"/>
      <c r="AO128" s="1447"/>
      <c r="AP128" s="1447"/>
      <c r="AQ128" s="1450"/>
      <c r="AR128" s="1450"/>
      <c r="AS128" s="1450"/>
      <c r="AT128" s="1450"/>
      <c r="AU128" s="1450"/>
      <c r="AV128" s="1450"/>
      <c r="AW128" s="1450"/>
      <c r="AX128" s="1450"/>
      <c r="AY128" s="1450"/>
      <c r="AZ128" s="1450"/>
    </row>
    <row r="129" spans="1:52">
      <c r="A129" s="258" t="s">
        <v>1282</v>
      </c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57"/>
      <c r="AH129" s="1436"/>
      <c r="AI129" s="1436"/>
      <c r="AJ129" s="1436"/>
      <c r="AK129" s="1436"/>
      <c r="AL129" s="1436"/>
      <c r="AM129" s="1436"/>
      <c r="AN129" s="57"/>
      <c r="AO129" s="1455"/>
      <c r="AP129" s="1455"/>
      <c r="AQ129" s="1450"/>
      <c r="AR129" s="1450"/>
      <c r="AS129" s="1450"/>
      <c r="AT129" s="1450"/>
      <c r="AU129" s="1450"/>
      <c r="AV129" s="1450"/>
      <c r="AW129" s="1450"/>
      <c r="AX129" s="1450"/>
      <c r="AY129" s="1450"/>
      <c r="AZ129" s="1450"/>
    </row>
    <row r="130" spans="1:52">
      <c r="A130" s="249" t="s">
        <v>1460</v>
      </c>
      <c r="B130" s="312"/>
      <c r="C130" s="312"/>
      <c r="D130" s="312"/>
      <c r="E130" s="312"/>
      <c r="F130" s="312"/>
      <c r="G130" s="312"/>
      <c r="H130" s="312"/>
      <c r="I130" s="312"/>
      <c r="J130" s="183"/>
      <c r="K130" s="198"/>
      <c r="L130" s="198"/>
      <c r="M130" s="184"/>
      <c r="N130" s="184"/>
      <c r="O130" s="184"/>
      <c r="P130" s="177"/>
      <c r="Q130" s="174"/>
      <c r="R130" s="174"/>
      <c r="S130" s="174"/>
      <c r="T130" s="174">
        <f t="shared" ref="T130:V130" si="76">S130</f>
        <v>0</v>
      </c>
      <c r="U130" s="187">
        <v>0.6</v>
      </c>
      <c r="V130" s="187">
        <f t="shared" si="76"/>
        <v>0.6</v>
      </c>
      <c r="W130" s="187">
        <v>0.42860297875350245</v>
      </c>
      <c r="X130" s="187">
        <v>0.42860297875350245</v>
      </c>
      <c r="Y130" s="187">
        <v>0.42860297875350245</v>
      </c>
      <c r="Z130" s="187">
        <v>0.42860297875350245</v>
      </c>
      <c r="AA130" s="935">
        <f>Z130</f>
        <v>0.42860297875350245</v>
      </c>
      <c r="AB130" s="935">
        <v>0.42</v>
      </c>
      <c r="AC130" s="935">
        <v>0.43</v>
      </c>
      <c r="AD130" s="935">
        <v>0.42</v>
      </c>
      <c r="AE130" s="935">
        <v>0.41</v>
      </c>
      <c r="AF130" s="935">
        <v>0.4</v>
      </c>
      <c r="AG130" s="180"/>
      <c r="AH130" s="1433"/>
      <c r="AI130" s="1433"/>
      <c r="AJ130" s="1433"/>
      <c r="AK130" s="1433"/>
      <c r="AL130" s="1433"/>
      <c r="AM130" s="1433"/>
      <c r="AN130" s="180"/>
      <c r="AO130" s="1447"/>
      <c r="AP130" s="1447"/>
      <c r="AQ130" s="1450"/>
      <c r="AR130" s="1450"/>
      <c r="AS130" s="1450"/>
      <c r="AT130" s="1450"/>
      <c r="AU130" s="1450"/>
      <c r="AV130" s="1450"/>
      <c r="AW130" s="1450"/>
      <c r="AX130" s="1450"/>
      <c r="AY130" s="1450"/>
      <c r="AZ130" s="1450"/>
    </row>
    <row r="131" spans="1:52">
      <c r="A131" s="249" t="s">
        <v>928</v>
      </c>
      <c r="B131" s="312"/>
      <c r="C131" s="312"/>
      <c r="D131" s="312"/>
      <c r="E131" s="312"/>
      <c r="F131" s="312"/>
      <c r="G131" s="312"/>
      <c r="H131" s="312"/>
      <c r="I131" s="312"/>
      <c r="J131" s="183"/>
      <c r="K131" s="198"/>
      <c r="L131" s="198"/>
      <c r="M131" s="184"/>
      <c r="N131" s="184"/>
      <c r="O131" s="184"/>
      <c r="P131" s="177"/>
      <c r="Q131" s="174"/>
      <c r="R131" s="174"/>
      <c r="S131" s="174"/>
      <c r="T131" s="174">
        <f t="shared" ref="T131:Z131" si="77">S131</f>
        <v>0</v>
      </c>
      <c r="U131" s="187">
        <v>0.25</v>
      </c>
      <c r="V131" s="187">
        <f t="shared" si="77"/>
        <v>0.25</v>
      </c>
      <c r="W131" s="187">
        <f t="shared" si="77"/>
        <v>0.25</v>
      </c>
      <c r="X131" s="187">
        <f t="shared" si="77"/>
        <v>0.25</v>
      </c>
      <c r="Y131" s="187">
        <f t="shared" si="77"/>
        <v>0.25</v>
      </c>
      <c r="Z131" s="187">
        <f t="shared" si="77"/>
        <v>0.25</v>
      </c>
      <c r="AA131" s="935">
        <v>0.26</v>
      </c>
      <c r="AB131" s="935">
        <f>AA131+1%</f>
        <v>0.27</v>
      </c>
      <c r="AC131" s="935">
        <f t="shared" ref="AC131:AE131" si="78">AB131+1%</f>
        <v>0.28000000000000003</v>
      </c>
      <c r="AD131" s="935">
        <f t="shared" si="78"/>
        <v>0.29000000000000004</v>
      </c>
      <c r="AE131" s="935">
        <f t="shared" si="78"/>
        <v>0.30000000000000004</v>
      </c>
      <c r="AF131" s="935">
        <v>0.3</v>
      </c>
      <c r="AG131" s="57"/>
      <c r="AH131" s="1433" t="s">
        <v>1321</v>
      </c>
      <c r="AI131" s="1436"/>
      <c r="AJ131" s="1436"/>
      <c r="AK131" s="1436"/>
      <c r="AL131" s="1436"/>
      <c r="AM131" s="1436"/>
      <c r="AN131" s="57"/>
      <c r="AO131" s="1447"/>
      <c r="AP131" s="1447"/>
      <c r="AQ131" s="1450"/>
      <c r="AR131" s="1450"/>
      <c r="AS131" s="1450"/>
      <c r="AT131" s="1450"/>
      <c r="AU131" s="1450"/>
      <c r="AV131" s="1450"/>
      <c r="AW131" s="1450"/>
      <c r="AX131" s="1450"/>
      <c r="AY131" s="1450"/>
      <c r="AZ131" s="1450"/>
    </row>
    <row r="132" spans="1:52">
      <c r="A132" s="19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  <c r="AC132" s="281"/>
      <c r="AD132" s="281"/>
      <c r="AE132" s="281"/>
      <c r="AF132" s="281"/>
      <c r="AG132" s="57"/>
      <c r="AH132" s="1436"/>
      <c r="AI132" s="1436"/>
      <c r="AJ132" s="1436"/>
      <c r="AK132" s="1436"/>
      <c r="AL132" s="1436"/>
      <c r="AM132" s="1436"/>
      <c r="AN132" s="57"/>
      <c r="AO132" s="1447"/>
      <c r="AP132" s="1447"/>
      <c r="AQ132" s="1450"/>
      <c r="AR132" s="1450"/>
      <c r="AS132" s="1450"/>
      <c r="AT132" s="1450"/>
      <c r="AU132" s="1450"/>
      <c r="AV132" s="1450"/>
      <c r="AW132" s="1450"/>
      <c r="AX132" s="1450"/>
      <c r="AY132" s="1450"/>
      <c r="AZ132" s="1450"/>
    </row>
    <row r="133" spans="1:52">
      <c r="A133" s="258" t="s">
        <v>1317</v>
      </c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60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  <c r="AD133" s="319"/>
      <c r="AE133" s="319"/>
      <c r="AF133" s="319"/>
      <c r="AG133" s="57"/>
      <c r="AH133" s="1436"/>
      <c r="AI133" s="1436"/>
      <c r="AJ133" s="1436"/>
      <c r="AK133" s="1436"/>
      <c r="AL133" s="1436"/>
      <c r="AM133" s="1436"/>
      <c r="AN133" s="57"/>
      <c r="AO133" s="1455"/>
      <c r="AP133" s="1455"/>
      <c r="AQ133" s="1450"/>
      <c r="AR133" s="1450"/>
      <c r="AS133" s="1450"/>
      <c r="AT133" s="1450"/>
      <c r="AU133" s="1450"/>
      <c r="AV133" s="1450"/>
      <c r="AW133" s="1450"/>
      <c r="AX133" s="1450"/>
      <c r="AY133" s="1450"/>
      <c r="AZ133" s="1450"/>
    </row>
    <row r="134" spans="1:52">
      <c r="A134" s="249" t="s">
        <v>1237</v>
      </c>
      <c r="B134" s="180"/>
      <c r="C134" s="180"/>
      <c r="D134" s="180"/>
      <c r="E134" s="180"/>
      <c r="F134" s="180"/>
      <c r="G134" s="180"/>
      <c r="H134" s="180"/>
      <c r="I134" s="180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>
        <v>110</v>
      </c>
      <c r="U134" s="178">
        <v>100</v>
      </c>
      <c r="V134" s="178">
        <v>80</v>
      </c>
      <c r="W134" s="178">
        <v>50</v>
      </c>
      <c r="X134" s="178">
        <v>30</v>
      </c>
      <c r="Y134" s="178">
        <v>15</v>
      </c>
      <c r="Z134" s="178">
        <v>5</v>
      </c>
      <c r="AA134" s="178">
        <v>0</v>
      </c>
      <c r="AB134" s="178">
        <v>0</v>
      </c>
      <c r="AC134" s="178">
        <v>0</v>
      </c>
      <c r="AD134" s="178">
        <v>0</v>
      </c>
      <c r="AE134" s="178">
        <v>0</v>
      </c>
      <c r="AF134" s="178">
        <v>0</v>
      </c>
      <c r="AG134" s="180"/>
      <c r="AH134" s="1433"/>
      <c r="AI134" s="1433"/>
      <c r="AJ134" s="1433"/>
      <c r="AK134" s="1433"/>
      <c r="AL134" s="1433"/>
      <c r="AM134" s="1433"/>
      <c r="AN134" s="180"/>
      <c r="AO134" s="1455"/>
      <c r="AP134" s="1455"/>
      <c r="AQ134" s="1450"/>
      <c r="AR134" s="1450"/>
      <c r="AS134" s="1450"/>
      <c r="AT134" s="1450"/>
      <c r="AU134" s="1450"/>
      <c r="AV134" s="1450"/>
      <c r="AW134" s="1450"/>
      <c r="AX134" s="1450"/>
      <c r="AY134" s="1450"/>
      <c r="AZ134" s="1450"/>
    </row>
    <row r="135" spans="1:52">
      <c r="A135" s="249" t="s">
        <v>1238</v>
      </c>
      <c r="B135" s="180"/>
      <c r="C135" s="180"/>
      <c r="D135" s="180"/>
      <c r="E135" s="180"/>
      <c r="F135" s="180"/>
      <c r="G135" s="180"/>
      <c r="H135" s="180"/>
      <c r="I135" s="180"/>
      <c r="J135" s="178"/>
      <c r="K135" s="194"/>
      <c r="L135" s="194"/>
      <c r="M135" s="194"/>
      <c r="N135" s="178"/>
      <c r="O135" s="178"/>
      <c r="P135" s="178"/>
      <c r="Q135" s="178"/>
      <c r="R135" s="178"/>
      <c r="S135" s="178"/>
      <c r="T135" s="178">
        <v>2380</v>
      </c>
      <c r="U135" s="178">
        <v>2380</v>
      </c>
      <c r="V135" s="178">
        <v>1175</v>
      </c>
      <c r="W135" s="173">
        <f>V135*(1+0.15)</f>
        <v>1351.25</v>
      </c>
      <c r="X135" s="173">
        <f>W135*(1+0.25)</f>
        <v>1689.0625</v>
      </c>
      <c r="Y135" s="173">
        <f>X135*(1+0.25)</f>
        <v>2111.328125</v>
      </c>
      <c r="Z135" s="173">
        <f>Y135*(1+0.05)</f>
        <v>2216.89453125</v>
      </c>
      <c r="AA135" s="179">
        <v>2550</v>
      </c>
      <c r="AB135" s="179">
        <v>2886</v>
      </c>
      <c r="AC135" s="179">
        <v>2934</v>
      </c>
      <c r="AD135" s="195">
        <f>AC135-10</f>
        <v>2924</v>
      </c>
      <c r="AE135" s="195">
        <f t="shared" ref="AE135:AF135" si="79">AD135-10</f>
        <v>2914</v>
      </c>
      <c r="AF135" s="195">
        <f t="shared" si="79"/>
        <v>2904</v>
      </c>
      <c r="AG135" s="180"/>
      <c r="AH135" s="1433"/>
      <c r="AI135" s="1433"/>
      <c r="AJ135" s="1433"/>
      <c r="AK135" s="1433"/>
      <c r="AL135" s="1433"/>
      <c r="AM135" s="1433"/>
      <c r="AN135" s="180"/>
      <c r="AO135" s="57"/>
      <c r="AP135" s="57"/>
    </row>
    <row r="136" spans="1:52">
      <c r="A136" s="19" t="s">
        <v>930</v>
      </c>
      <c r="B136" s="180"/>
      <c r="C136" s="180"/>
      <c r="D136" s="180"/>
      <c r="E136" s="180"/>
      <c r="F136" s="180"/>
      <c r="G136" s="180"/>
      <c r="H136" s="180"/>
      <c r="I136" s="180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>
        <f t="shared" ref="T136:AF136" si="80">SUM(T134:T135)</f>
        <v>2490</v>
      </c>
      <c r="U136" s="175">
        <v>2480</v>
      </c>
      <c r="V136" s="175">
        <f t="shared" si="80"/>
        <v>1255</v>
      </c>
      <c r="W136" s="175">
        <f t="shared" si="80"/>
        <v>1401.25</v>
      </c>
      <c r="X136" s="175">
        <f t="shared" si="80"/>
        <v>1719.0625</v>
      </c>
      <c r="Y136" s="175">
        <f t="shared" si="80"/>
        <v>2126.328125</v>
      </c>
      <c r="Z136" s="175">
        <f t="shared" si="80"/>
        <v>2221.89453125</v>
      </c>
      <c r="AA136" s="175">
        <f t="shared" si="80"/>
        <v>2550</v>
      </c>
      <c r="AB136" s="175">
        <f t="shared" si="80"/>
        <v>2886</v>
      </c>
      <c r="AC136" s="175">
        <f t="shared" si="80"/>
        <v>2934</v>
      </c>
      <c r="AD136" s="175">
        <f t="shared" si="80"/>
        <v>2924</v>
      </c>
      <c r="AE136" s="175">
        <f t="shared" si="80"/>
        <v>2914</v>
      </c>
      <c r="AF136" s="175">
        <f t="shared" si="80"/>
        <v>2904</v>
      </c>
      <c r="AG136" s="57"/>
      <c r="AH136" s="1436"/>
      <c r="AI136" s="1436"/>
      <c r="AJ136" s="1436"/>
      <c r="AK136" s="1436"/>
      <c r="AL136" s="1436"/>
      <c r="AM136" s="1436"/>
      <c r="AN136" s="57"/>
      <c r="AO136" s="57"/>
      <c r="AP136" s="57"/>
    </row>
    <row r="137" spans="1:52">
      <c r="A137" s="286" t="s">
        <v>1242</v>
      </c>
      <c r="B137" s="183"/>
      <c r="C137" s="183"/>
      <c r="D137" s="183"/>
      <c r="E137" s="183"/>
      <c r="F137" s="183"/>
      <c r="G137" s="183"/>
      <c r="H137" s="183"/>
      <c r="I137" s="183"/>
      <c r="J137" s="183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>
        <v>-4.0160642570281624E-3</v>
      </c>
      <c r="V137" s="184">
        <f t="shared" ref="V137:AF137" si="81">V136/U136-1</f>
        <v>-0.49395161290322576</v>
      </c>
      <c r="W137" s="184">
        <f t="shared" si="81"/>
        <v>0.11653386454183257</v>
      </c>
      <c r="X137" s="184">
        <f t="shared" si="81"/>
        <v>0.22680642283675301</v>
      </c>
      <c r="Y137" s="184">
        <f t="shared" si="81"/>
        <v>0.23691147064170148</v>
      </c>
      <c r="Z137" s="184">
        <f t="shared" si="81"/>
        <v>4.4944336260425377E-2</v>
      </c>
      <c r="AA137" s="184">
        <f t="shared" si="81"/>
        <v>0.14766923638153684</v>
      </c>
      <c r="AB137" s="184">
        <f t="shared" si="81"/>
        <v>0.13176470588235301</v>
      </c>
      <c r="AC137" s="184">
        <f t="shared" si="81"/>
        <v>1.6632016632016633E-2</v>
      </c>
      <c r="AD137" s="184">
        <f t="shared" si="81"/>
        <v>-3.4083162917518672E-3</v>
      </c>
      <c r="AE137" s="184">
        <f t="shared" si="81"/>
        <v>-3.4199726402188713E-3</v>
      </c>
      <c r="AF137" s="184">
        <f t="shared" si="81"/>
        <v>-3.4317089910775866E-3</v>
      </c>
      <c r="AG137" s="57"/>
      <c r="AH137" s="1436"/>
      <c r="AI137" s="1436"/>
      <c r="AJ137" s="1436"/>
      <c r="AK137" s="1436"/>
      <c r="AL137" s="1436"/>
      <c r="AM137" s="1436"/>
      <c r="AN137" s="57"/>
      <c r="AO137" s="57"/>
      <c r="AP137" s="57"/>
    </row>
    <row r="138" spans="1:52">
      <c r="A138" s="286"/>
      <c r="B138" s="183"/>
      <c r="C138" s="183"/>
      <c r="D138" s="183"/>
      <c r="E138" s="183"/>
      <c r="F138" s="183"/>
      <c r="G138" s="183"/>
      <c r="H138" s="183"/>
      <c r="I138" s="183"/>
      <c r="J138" s="216"/>
      <c r="K138" s="216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57"/>
      <c r="AH138" s="1436"/>
      <c r="AI138" s="1436"/>
      <c r="AJ138" s="1436"/>
      <c r="AK138" s="1436"/>
      <c r="AL138" s="1436"/>
      <c r="AM138" s="1436"/>
      <c r="AN138" s="57"/>
      <c r="AO138" s="57"/>
      <c r="AP138" s="57"/>
    </row>
    <row r="139" spans="1:52">
      <c r="A139" s="19" t="s">
        <v>1240</v>
      </c>
      <c r="B139" s="180"/>
      <c r="C139" s="180"/>
      <c r="D139" s="180"/>
      <c r="E139" s="180"/>
      <c r="F139" s="180"/>
      <c r="G139" s="180"/>
      <c r="H139" s="180"/>
      <c r="I139" s="180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55"/>
      <c r="AB139" s="304"/>
      <c r="AC139" s="304"/>
      <c r="AD139" s="304"/>
      <c r="AE139" s="304"/>
      <c r="AF139" s="304"/>
      <c r="AG139" s="57"/>
      <c r="AH139" s="1436"/>
      <c r="AI139" s="1436"/>
      <c r="AJ139" s="1436"/>
      <c r="AK139" s="1436"/>
      <c r="AL139" s="1436"/>
      <c r="AM139" s="1436"/>
      <c r="AN139" s="57"/>
      <c r="AO139" s="57"/>
      <c r="AP139" s="57"/>
    </row>
    <row r="140" spans="1:52">
      <c r="A140" s="249" t="s">
        <v>1247</v>
      </c>
      <c r="B140" s="174"/>
      <c r="C140" s="174"/>
      <c r="D140" s="174"/>
      <c r="E140" s="174"/>
      <c r="F140" s="174"/>
      <c r="G140" s="174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>
        <v>0.9</v>
      </c>
      <c r="U140" s="177">
        <v>0.9</v>
      </c>
      <c r="V140" s="177">
        <v>0.9</v>
      </c>
      <c r="W140" s="177">
        <v>0.9</v>
      </c>
      <c r="X140" s="177">
        <v>0.9</v>
      </c>
      <c r="Y140" s="177">
        <v>0.9</v>
      </c>
      <c r="Z140" s="177">
        <v>0.9</v>
      </c>
      <c r="AA140" s="937">
        <v>0.9</v>
      </c>
      <c r="AB140" s="937">
        <v>0.9</v>
      </c>
      <c r="AC140" s="937">
        <v>0.9</v>
      </c>
      <c r="AD140" s="937">
        <v>0.9</v>
      </c>
      <c r="AE140" s="937">
        <v>0.9</v>
      </c>
      <c r="AF140" s="937">
        <v>0.9</v>
      </c>
      <c r="AG140" s="57"/>
      <c r="AH140" s="1436"/>
      <c r="AI140" s="1436"/>
      <c r="AJ140" s="1436"/>
      <c r="AK140" s="1436"/>
      <c r="AL140" s="1436"/>
      <c r="AM140" s="1436"/>
      <c r="AN140" s="57"/>
      <c r="AO140" s="57"/>
      <c r="AP140" s="57"/>
    </row>
    <row r="141" spans="1:52">
      <c r="A141" s="249" t="s">
        <v>1241</v>
      </c>
      <c r="B141" s="174"/>
      <c r="C141" s="174"/>
      <c r="D141" s="174"/>
      <c r="E141" s="174"/>
      <c r="F141" s="174"/>
      <c r="G141" s="174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>
        <v>0.1</v>
      </c>
      <c r="U141" s="177">
        <v>0.1</v>
      </c>
      <c r="V141" s="177">
        <v>0.1</v>
      </c>
      <c r="W141" s="177">
        <v>0.1</v>
      </c>
      <c r="X141" s="177">
        <v>0.1</v>
      </c>
      <c r="Y141" s="177">
        <v>0.1</v>
      </c>
      <c r="Z141" s="177">
        <v>0.1</v>
      </c>
      <c r="AA141" s="937">
        <v>0.1</v>
      </c>
      <c r="AB141" s="937">
        <v>0.1</v>
      </c>
      <c r="AC141" s="937">
        <v>0.1</v>
      </c>
      <c r="AD141" s="937">
        <v>0.1</v>
      </c>
      <c r="AE141" s="937">
        <v>0.1</v>
      </c>
      <c r="AF141" s="937">
        <v>0.1</v>
      </c>
      <c r="AG141" s="57"/>
      <c r="AH141" s="1436"/>
      <c r="AI141" s="1436"/>
      <c r="AJ141" s="1436"/>
      <c r="AK141" s="1436"/>
      <c r="AL141" s="1436"/>
      <c r="AM141" s="1436"/>
      <c r="AN141" s="57"/>
      <c r="AO141" s="57"/>
      <c r="AP141" s="57"/>
    </row>
    <row r="142" spans="1:52">
      <c r="A142" s="286"/>
      <c r="B142" s="183"/>
      <c r="C142" s="183"/>
      <c r="D142" s="183"/>
      <c r="E142" s="183"/>
      <c r="F142" s="183"/>
      <c r="G142" s="183"/>
      <c r="H142" s="183"/>
      <c r="I142" s="183"/>
      <c r="J142" s="183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57"/>
      <c r="AH142" s="1436"/>
      <c r="AI142" s="1436"/>
      <c r="AJ142" s="1436"/>
      <c r="AK142" s="1436"/>
      <c r="AL142" s="1436"/>
      <c r="AM142" s="1436"/>
      <c r="AN142" s="57"/>
      <c r="AO142" s="57"/>
      <c r="AP142" s="57"/>
    </row>
    <row r="143" spans="1:52">
      <c r="A143" s="19" t="s">
        <v>1245</v>
      </c>
      <c r="B143" s="180"/>
      <c r="C143" s="180"/>
      <c r="D143" s="180"/>
      <c r="E143" s="180"/>
      <c r="F143" s="180"/>
      <c r="G143" s="180"/>
      <c r="H143" s="180"/>
      <c r="I143" s="180"/>
      <c r="J143" s="175"/>
      <c r="K143" s="178"/>
      <c r="L143" s="178"/>
      <c r="M143" s="178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57"/>
      <c r="AH143" s="1436"/>
      <c r="AI143" s="1436"/>
      <c r="AJ143" s="1436"/>
      <c r="AK143" s="1436"/>
      <c r="AL143" s="1436"/>
      <c r="AM143" s="1436"/>
      <c r="AN143" s="57"/>
      <c r="AO143" s="57"/>
      <c r="AP143" s="57"/>
    </row>
    <row r="144" spans="1:52">
      <c r="A144" s="249" t="s">
        <v>1460</v>
      </c>
      <c r="B144" s="180"/>
      <c r="C144" s="180"/>
      <c r="D144" s="180"/>
      <c r="E144" s="180"/>
      <c r="F144" s="180"/>
      <c r="G144" s="180"/>
      <c r="H144" s="180"/>
      <c r="I144" s="180"/>
      <c r="J144" s="175"/>
      <c r="K144" s="178"/>
      <c r="L144" s="178"/>
      <c r="M144" s="178"/>
      <c r="N144" s="175"/>
      <c r="O144" s="175"/>
      <c r="P144" s="175"/>
      <c r="Q144" s="175"/>
      <c r="R144" s="175"/>
      <c r="S144" s="175"/>
      <c r="T144" s="187">
        <f t="shared" ref="T144:AF144" si="82">S144</f>
        <v>0</v>
      </c>
      <c r="U144" s="187">
        <v>0.65</v>
      </c>
      <c r="V144" s="187">
        <f t="shared" si="82"/>
        <v>0.65</v>
      </c>
      <c r="W144" s="187">
        <f t="shared" si="82"/>
        <v>0.65</v>
      </c>
      <c r="X144" s="187">
        <f t="shared" si="82"/>
        <v>0.65</v>
      </c>
      <c r="Y144" s="187">
        <f t="shared" si="82"/>
        <v>0.65</v>
      </c>
      <c r="Z144" s="187">
        <f t="shared" si="82"/>
        <v>0.65</v>
      </c>
      <c r="AA144" s="935">
        <f t="shared" si="82"/>
        <v>0.65</v>
      </c>
      <c r="AB144" s="935">
        <f t="shared" si="82"/>
        <v>0.65</v>
      </c>
      <c r="AC144" s="935">
        <f t="shared" si="82"/>
        <v>0.65</v>
      </c>
      <c r="AD144" s="935">
        <f t="shared" si="82"/>
        <v>0.65</v>
      </c>
      <c r="AE144" s="935">
        <f t="shared" si="82"/>
        <v>0.65</v>
      </c>
      <c r="AF144" s="935">
        <f t="shared" si="82"/>
        <v>0.65</v>
      </c>
      <c r="AG144" s="57"/>
      <c r="AH144" s="1436"/>
      <c r="AI144" s="1436"/>
      <c r="AJ144" s="1436"/>
      <c r="AK144" s="1436"/>
      <c r="AL144" s="1436"/>
      <c r="AM144" s="1436"/>
      <c r="AN144" s="57"/>
      <c r="AO144" s="180"/>
      <c r="AP144" s="180"/>
    </row>
    <row r="145" spans="1:42">
      <c r="A145" s="249" t="s">
        <v>928</v>
      </c>
      <c r="B145" s="180"/>
      <c r="C145" s="180"/>
      <c r="D145" s="180"/>
      <c r="E145" s="180"/>
      <c r="F145" s="180"/>
      <c r="G145" s="180"/>
      <c r="H145" s="180"/>
      <c r="I145" s="180"/>
      <c r="J145" s="175"/>
      <c r="K145" s="178"/>
      <c r="L145" s="178"/>
      <c r="M145" s="178"/>
      <c r="N145" s="175"/>
      <c r="O145" s="175"/>
      <c r="P145" s="175"/>
      <c r="Q145" s="175"/>
      <c r="R145" s="175"/>
      <c r="S145" s="175"/>
      <c r="T145" s="187">
        <f t="shared" ref="T145:AF145" si="83">S145</f>
        <v>0</v>
      </c>
      <c r="U145" s="187">
        <v>0.35</v>
      </c>
      <c r="V145" s="187">
        <f t="shared" si="83"/>
        <v>0.35</v>
      </c>
      <c r="W145" s="187">
        <f t="shared" si="83"/>
        <v>0.35</v>
      </c>
      <c r="X145" s="187">
        <f t="shared" si="83"/>
        <v>0.35</v>
      </c>
      <c r="Y145" s="187">
        <f t="shared" si="83"/>
        <v>0.35</v>
      </c>
      <c r="Z145" s="187">
        <f t="shared" si="83"/>
        <v>0.35</v>
      </c>
      <c r="AA145" s="935">
        <f t="shared" si="83"/>
        <v>0.35</v>
      </c>
      <c r="AB145" s="935">
        <f t="shared" si="83"/>
        <v>0.35</v>
      </c>
      <c r="AC145" s="935">
        <f t="shared" si="83"/>
        <v>0.35</v>
      </c>
      <c r="AD145" s="935">
        <f t="shared" si="83"/>
        <v>0.35</v>
      </c>
      <c r="AE145" s="935">
        <f t="shared" si="83"/>
        <v>0.35</v>
      </c>
      <c r="AF145" s="935">
        <f t="shared" si="83"/>
        <v>0.35</v>
      </c>
      <c r="AG145" s="180"/>
      <c r="AH145" s="1433"/>
      <c r="AI145" s="1433"/>
      <c r="AJ145" s="1433"/>
      <c r="AK145" s="1433"/>
      <c r="AL145" s="1433"/>
      <c r="AM145" s="1433"/>
      <c r="AN145" s="180"/>
      <c r="AO145" s="180"/>
      <c r="AP145" s="180"/>
    </row>
    <row r="146" spans="1:42">
      <c r="A146" s="19"/>
      <c r="B146" s="180"/>
      <c r="C146" s="180"/>
      <c r="D146" s="180"/>
      <c r="E146" s="180"/>
      <c r="F146" s="180"/>
      <c r="G146" s="180"/>
      <c r="H146" s="180"/>
      <c r="I146" s="180"/>
      <c r="J146" s="175"/>
      <c r="K146" s="178"/>
      <c r="L146" s="178"/>
      <c r="M146" s="178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762"/>
      <c r="AB146" s="762"/>
      <c r="AC146" s="762"/>
      <c r="AD146" s="762"/>
      <c r="AE146" s="762"/>
      <c r="AF146" s="762"/>
      <c r="AG146" s="180"/>
      <c r="AH146" s="1433"/>
      <c r="AI146" s="1433"/>
      <c r="AJ146" s="1433"/>
      <c r="AK146" s="1433"/>
      <c r="AL146" s="1433"/>
      <c r="AM146" s="1433"/>
      <c r="AN146" s="180"/>
      <c r="AO146" s="180"/>
      <c r="AP146" s="180"/>
    </row>
    <row r="147" spans="1:42">
      <c r="A147" s="19" t="s">
        <v>1283</v>
      </c>
      <c r="B147" s="180"/>
      <c r="C147" s="180"/>
      <c r="D147" s="180"/>
      <c r="E147" s="180"/>
      <c r="F147" s="180"/>
      <c r="G147" s="180"/>
      <c r="H147" s="180"/>
      <c r="I147" s="180"/>
      <c r="J147" s="175"/>
      <c r="K147" s="178"/>
      <c r="L147" s="178"/>
      <c r="M147" s="178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762"/>
      <c r="AB147" s="762"/>
      <c r="AC147" s="762"/>
      <c r="AD147" s="762"/>
      <c r="AE147" s="762"/>
      <c r="AF147" s="762"/>
      <c r="AG147" s="180"/>
      <c r="AH147" s="1433"/>
      <c r="AI147" s="1433"/>
      <c r="AJ147" s="1433"/>
      <c r="AK147" s="1433"/>
      <c r="AL147" s="1433"/>
      <c r="AM147" s="1433"/>
      <c r="AN147" s="180"/>
      <c r="AO147" s="180"/>
      <c r="AP147" s="180"/>
    </row>
    <row r="148" spans="1:42">
      <c r="A148" s="249" t="s">
        <v>1463</v>
      </c>
      <c r="B148" s="180"/>
      <c r="C148" s="180"/>
      <c r="D148" s="180"/>
      <c r="E148" s="180"/>
      <c r="F148" s="180"/>
      <c r="G148" s="180"/>
      <c r="H148" s="180"/>
      <c r="I148" s="180"/>
      <c r="J148" s="175"/>
      <c r="K148" s="178"/>
      <c r="L148" s="178"/>
      <c r="M148" s="178"/>
      <c r="N148" s="175"/>
      <c r="O148" s="175"/>
      <c r="P148" s="175"/>
      <c r="Q148" s="175"/>
      <c r="R148" s="175"/>
      <c r="S148" s="175"/>
      <c r="T148" s="189">
        <f t="shared" ref="T148:AF148" si="84">S148</f>
        <v>0</v>
      </c>
      <c r="U148" s="189">
        <v>0.1</v>
      </c>
      <c r="V148" s="189">
        <f t="shared" si="84"/>
        <v>0.1</v>
      </c>
      <c r="W148" s="187">
        <f t="shared" si="84"/>
        <v>0.1</v>
      </c>
      <c r="X148" s="187">
        <f t="shared" si="84"/>
        <v>0.1</v>
      </c>
      <c r="Y148" s="187">
        <f t="shared" si="84"/>
        <v>0.1</v>
      </c>
      <c r="Z148" s="187">
        <f t="shared" si="84"/>
        <v>0.1</v>
      </c>
      <c r="AA148" s="935">
        <f t="shared" si="84"/>
        <v>0.1</v>
      </c>
      <c r="AB148" s="935">
        <f t="shared" si="84"/>
        <v>0.1</v>
      </c>
      <c r="AC148" s="935">
        <f t="shared" si="84"/>
        <v>0.1</v>
      </c>
      <c r="AD148" s="935">
        <f t="shared" si="84"/>
        <v>0.1</v>
      </c>
      <c r="AE148" s="935">
        <f t="shared" si="84"/>
        <v>0.1</v>
      </c>
      <c r="AF148" s="935">
        <f t="shared" si="84"/>
        <v>0.1</v>
      </c>
      <c r="AG148" s="180"/>
      <c r="AH148" s="1433" t="s">
        <v>1239</v>
      </c>
      <c r="AI148" s="1433"/>
      <c r="AJ148" s="1433"/>
      <c r="AK148" s="1433"/>
      <c r="AL148" s="1433"/>
      <c r="AM148" s="1433"/>
      <c r="AN148" s="180"/>
      <c r="AO148" s="180"/>
      <c r="AP148" s="180"/>
    </row>
    <row r="149" spans="1:42">
      <c r="A149" s="249" t="s">
        <v>1462</v>
      </c>
      <c r="B149" s="180"/>
      <c r="C149" s="180"/>
      <c r="D149" s="180"/>
      <c r="E149" s="180"/>
      <c r="F149" s="180"/>
      <c r="G149" s="180"/>
      <c r="H149" s="180"/>
      <c r="I149" s="180"/>
      <c r="J149" s="175"/>
      <c r="K149" s="178"/>
      <c r="L149" s="178"/>
      <c r="M149" s="178"/>
      <c r="N149" s="175"/>
      <c r="O149" s="175"/>
      <c r="P149" s="175"/>
      <c r="Q149" s="175"/>
      <c r="R149" s="175"/>
      <c r="S149" s="175"/>
      <c r="T149" s="177">
        <v>0.30000000000000004</v>
      </c>
      <c r="U149" s="177">
        <v>0.30000000000000004</v>
      </c>
      <c r="V149" s="177">
        <v>0.30000000000000004</v>
      </c>
      <c r="W149" s="177">
        <v>0.30000000000000004</v>
      </c>
      <c r="X149" s="177">
        <v>0.30000000000000004</v>
      </c>
      <c r="Y149" s="177">
        <v>0.30000000000000004</v>
      </c>
      <c r="Z149" s="177">
        <v>0.30000000000000004</v>
      </c>
      <c r="AA149" s="937">
        <v>0.30000000000000004</v>
      </c>
      <c r="AB149" s="937">
        <v>0.30000000000000004</v>
      </c>
      <c r="AC149" s="937">
        <v>0.30000000000000004</v>
      </c>
      <c r="AD149" s="937">
        <v>0.30000000000000004</v>
      </c>
      <c r="AE149" s="937">
        <v>0.30000000000000004</v>
      </c>
      <c r="AF149" s="937">
        <v>0.30000000000000004</v>
      </c>
      <c r="AG149" s="180"/>
      <c r="AH149" s="1433"/>
      <c r="AI149" s="1433"/>
      <c r="AJ149" s="1433"/>
      <c r="AK149" s="1433"/>
      <c r="AL149" s="1433"/>
      <c r="AM149" s="1433"/>
      <c r="AN149" s="180"/>
      <c r="AO149" s="180"/>
      <c r="AP149" s="180"/>
    </row>
    <row r="150" spans="1:42">
      <c r="A150" s="249" t="s">
        <v>1243</v>
      </c>
      <c r="B150" s="180"/>
      <c r="C150" s="180"/>
      <c r="D150" s="180"/>
      <c r="E150" s="180"/>
      <c r="F150" s="180"/>
      <c r="G150" s="180"/>
      <c r="H150" s="180"/>
      <c r="I150" s="180"/>
      <c r="J150" s="175"/>
      <c r="K150" s="178"/>
      <c r="L150" s="178"/>
      <c r="M150" s="178"/>
      <c r="N150" s="175"/>
      <c r="O150" s="175"/>
      <c r="P150" s="175"/>
      <c r="Q150" s="175"/>
      <c r="R150" s="175"/>
      <c r="S150" s="175"/>
      <c r="T150" s="189">
        <f t="shared" ref="T150:AF150" si="85">1-T149-T151-T148</f>
        <v>0.36999999999999994</v>
      </c>
      <c r="U150" s="189">
        <v>0.26999999999999991</v>
      </c>
      <c r="V150" s="189">
        <f t="shared" si="85"/>
        <v>0.26999999999999991</v>
      </c>
      <c r="W150" s="187">
        <f t="shared" si="85"/>
        <v>0.26999999999999991</v>
      </c>
      <c r="X150" s="187">
        <f t="shared" si="85"/>
        <v>0.26999999999999991</v>
      </c>
      <c r="Y150" s="187">
        <f t="shared" si="85"/>
        <v>0.26999999999999991</v>
      </c>
      <c r="Z150" s="187">
        <f t="shared" si="85"/>
        <v>0.26999999999999991</v>
      </c>
      <c r="AA150" s="935">
        <f t="shared" si="85"/>
        <v>0.26999999999999991</v>
      </c>
      <c r="AB150" s="935">
        <f t="shared" si="85"/>
        <v>0.26999999999999991</v>
      </c>
      <c r="AC150" s="935">
        <f t="shared" si="85"/>
        <v>0.26999999999999991</v>
      </c>
      <c r="AD150" s="935">
        <f t="shared" si="85"/>
        <v>0.26999999999999991</v>
      </c>
      <c r="AE150" s="935">
        <f t="shared" si="85"/>
        <v>0.26999999999999991</v>
      </c>
      <c r="AF150" s="935">
        <f t="shared" si="85"/>
        <v>0.26999999999999991</v>
      </c>
      <c r="AG150" s="180"/>
      <c r="AH150" s="1433"/>
      <c r="AI150" s="1433"/>
      <c r="AJ150" s="1433"/>
      <c r="AK150" s="1433"/>
      <c r="AL150" s="1433"/>
      <c r="AM150" s="1433"/>
      <c r="AN150" s="180"/>
      <c r="AO150" s="180"/>
      <c r="AP150" s="180"/>
    </row>
    <row r="151" spans="1:42">
      <c r="A151" s="249" t="s">
        <v>1244</v>
      </c>
      <c r="B151" s="180"/>
      <c r="C151" s="180"/>
      <c r="D151" s="180"/>
      <c r="E151" s="180"/>
      <c r="F151" s="180"/>
      <c r="G151" s="180"/>
      <c r="H151" s="180"/>
      <c r="I151" s="180"/>
      <c r="J151" s="175"/>
      <c r="K151" s="178"/>
      <c r="L151" s="178"/>
      <c r="M151" s="178"/>
      <c r="N151" s="175"/>
      <c r="O151" s="175"/>
      <c r="P151" s="175"/>
      <c r="Q151" s="175"/>
      <c r="R151" s="175"/>
      <c r="S151" s="175"/>
      <c r="T151" s="177">
        <v>0.33</v>
      </c>
      <c r="U151" s="177">
        <v>0.33</v>
      </c>
      <c r="V151" s="177">
        <v>0.33</v>
      </c>
      <c r="W151" s="177">
        <v>0.33</v>
      </c>
      <c r="X151" s="177">
        <v>0.33</v>
      </c>
      <c r="Y151" s="177">
        <v>0.33</v>
      </c>
      <c r="Z151" s="177">
        <v>0.33</v>
      </c>
      <c r="AA151" s="937">
        <v>0.33</v>
      </c>
      <c r="AB151" s="937">
        <v>0.33</v>
      </c>
      <c r="AC151" s="937">
        <v>0.33</v>
      </c>
      <c r="AD151" s="937">
        <v>0.33</v>
      </c>
      <c r="AE151" s="937">
        <v>0.33</v>
      </c>
      <c r="AF151" s="937">
        <v>0.33</v>
      </c>
      <c r="AG151" s="180"/>
      <c r="AH151" s="1433"/>
      <c r="AI151" s="1433"/>
      <c r="AJ151" s="1433"/>
      <c r="AK151" s="1433"/>
      <c r="AL151" s="1433"/>
      <c r="AM151" s="1433"/>
      <c r="AN151" s="180"/>
      <c r="AO151" s="180"/>
      <c r="AP151" s="180"/>
    </row>
    <row r="152" spans="1:42">
      <c r="A152" s="286" t="s">
        <v>978</v>
      </c>
      <c r="B152" s="180"/>
      <c r="C152" s="180"/>
      <c r="D152" s="180"/>
      <c r="E152" s="180"/>
      <c r="F152" s="180"/>
      <c r="G152" s="180"/>
      <c r="H152" s="180"/>
      <c r="I152" s="180"/>
      <c r="J152" s="175"/>
      <c r="K152" s="178"/>
      <c r="L152" s="178"/>
      <c r="M152" s="178"/>
      <c r="N152" s="175"/>
      <c r="O152" s="175"/>
      <c r="P152" s="175"/>
      <c r="Q152" s="175"/>
      <c r="R152" s="175"/>
      <c r="S152" s="175"/>
      <c r="T152" s="377" t="b">
        <f t="shared" ref="T152:AF152" si="86">SUM(T148:T151)=1</f>
        <v>1</v>
      </c>
      <c r="U152" s="377" t="b">
        <v>1</v>
      </c>
      <c r="V152" s="377" t="b">
        <f t="shared" si="86"/>
        <v>1</v>
      </c>
      <c r="W152" s="377" t="b">
        <f t="shared" si="86"/>
        <v>1</v>
      </c>
      <c r="X152" s="377" t="b">
        <f t="shared" si="86"/>
        <v>1</v>
      </c>
      <c r="Y152" s="377" t="b">
        <f t="shared" si="86"/>
        <v>1</v>
      </c>
      <c r="Z152" s="377" t="b">
        <f t="shared" si="86"/>
        <v>1</v>
      </c>
      <c r="AA152" s="377" t="b">
        <f t="shared" si="86"/>
        <v>1</v>
      </c>
      <c r="AB152" s="377" t="b">
        <f t="shared" si="86"/>
        <v>1</v>
      </c>
      <c r="AC152" s="377" t="b">
        <f t="shared" si="86"/>
        <v>1</v>
      </c>
      <c r="AD152" s="377" t="b">
        <f t="shared" si="86"/>
        <v>1</v>
      </c>
      <c r="AE152" s="377" t="b">
        <f t="shared" si="86"/>
        <v>1</v>
      </c>
      <c r="AF152" s="377" t="b">
        <f t="shared" si="86"/>
        <v>1</v>
      </c>
      <c r="AG152" s="180"/>
      <c r="AH152" s="1433"/>
      <c r="AI152" s="1433"/>
      <c r="AJ152" s="1433"/>
      <c r="AK152" s="1433"/>
      <c r="AL152" s="1433"/>
      <c r="AM152" s="1433"/>
      <c r="AN152" s="180"/>
      <c r="AO152" s="180"/>
      <c r="AP152" s="180"/>
    </row>
    <row r="153" spans="1:42">
      <c r="A153" s="19"/>
      <c r="B153" s="180"/>
      <c r="C153" s="180"/>
      <c r="D153" s="180"/>
      <c r="E153" s="180"/>
      <c r="F153" s="180"/>
      <c r="G153" s="180"/>
      <c r="H153" s="180"/>
      <c r="I153" s="180"/>
      <c r="J153" s="175"/>
      <c r="K153" s="178"/>
      <c r="L153" s="178"/>
      <c r="M153" s="178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  <c r="AF153" s="175"/>
      <c r="AG153" s="180"/>
      <c r="AH153" s="1433"/>
      <c r="AI153" s="1433"/>
      <c r="AJ153" s="1433"/>
      <c r="AK153" s="1433"/>
      <c r="AL153" s="1433"/>
      <c r="AM153" s="1433"/>
      <c r="AN153" s="180"/>
      <c r="AO153" s="180"/>
      <c r="AP153" s="180"/>
    </row>
    <row r="154" spans="1:42">
      <c r="A154" s="19" t="s">
        <v>1464</v>
      </c>
      <c r="B154" s="180"/>
      <c r="C154" s="180"/>
      <c r="D154" s="180"/>
      <c r="E154" s="180"/>
      <c r="F154" s="180"/>
      <c r="G154" s="180"/>
      <c r="H154" s="180"/>
      <c r="I154" s="180"/>
      <c r="J154" s="175"/>
      <c r="K154" s="178"/>
      <c r="L154" s="178"/>
      <c r="M154" s="178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80"/>
      <c r="AH154" s="1433" t="s">
        <v>1232</v>
      </c>
      <c r="AI154" s="1433"/>
      <c r="AJ154" s="1433"/>
      <c r="AK154" s="1433"/>
      <c r="AL154" s="1433"/>
      <c r="AM154" s="1433"/>
      <c r="AN154" s="180"/>
      <c r="AO154" s="180"/>
      <c r="AP154" s="180"/>
    </row>
    <row r="155" spans="1:42">
      <c r="A155" s="249" t="s">
        <v>1463</v>
      </c>
      <c r="B155" s="180"/>
      <c r="C155" s="180"/>
      <c r="D155" s="180"/>
      <c r="E155" s="180"/>
      <c r="F155" s="180"/>
      <c r="G155" s="180"/>
      <c r="H155" s="180"/>
      <c r="I155" s="180"/>
      <c r="J155" s="175"/>
      <c r="K155" s="178"/>
      <c r="L155" s="178"/>
      <c r="M155" s="178"/>
      <c r="N155" s="175"/>
      <c r="O155" s="175"/>
      <c r="P155" s="175"/>
      <c r="Q155" s="175"/>
      <c r="R155" s="175"/>
      <c r="S155" s="175"/>
      <c r="T155" s="189">
        <f t="shared" ref="T155:AF155" si="87">S155</f>
        <v>0</v>
      </c>
      <c r="U155" s="189">
        <v>0.5</v>
      </c>
      <c r="V155" s="189">
        <f t="shared" si="87"/>
        <v>0.5</v>
      </c>
      <c r="W155" s="187">
        <f t="shared" si="87"/>
        <v>0.5</v>
      </c>
      <c r="X155" s="187">
        <f t="shared" si="87"/>
        <v>0.5</v>
      </c>
      <c r="Y155" s="187">
        <f t="shared" si="87"/>
        <v>0.5</v>
      </c>
      <c r="Z155" s="187">
        <f t="shared" si="87"/>
        <v>0.5</v>
      </c>
      <c r="AA155" s="935">
        <f t="shared" si="87"/>
        <v>0.5</v>
      </c>
      <c r="AB155" s="935">
        <f t="shared" si="87"/>
        <v>0.5</v>
      </c>
      <c r="AC155" s="935">
        <f t="shared" si="87"/>
        <v>0.5</v>
      </c>
      <c r="AD155" s="935">
        <f t="shared" si="87"/>
        <v>0.5</v>
      </c>
      <c r="AE155" s="935">
        <f t="shared" si="87"/>
        <v>0.5</v>
      </c>
      <c r="AF155" s="935">
        <f t="shared" si="87"/>
        <v>0.5</v>
      </c>
      <c r="AG155" s="180"/>
      <c r="AH155" s="1433"/>
      <c r="AI155" s="1433"/>
      <c r="AJ155" s="1433"/>
      <c r="AK155" s="1433"/>
      <c r="AL155" s="1433"/>
      <c r="AM155" s="1433"/>
      <c r="AN155" s="180"/>
      <c r="AO155" s="180"/>
      <c r="AP155" s="180"/>
    </row>
    <row r="156" spans="1:42">
      <c r="A156" s="249" t="s">
        <v>1462</v>
      </c>
      <c r="B156" s="180"/>
      <c r="C156" s="180"/>
      <c r="D156" s="180"/>
      <c r="E156" s="180"/>
      <c r="F156" s="180"/>
      <c r="G156" s="180"/>
      <c r="H156" s="180"/>
      <c r="I156" s="180"/>
      <c r="J156" s="175"/>
      <c r="K156" s="178"/>
      <c r="L156" s="178"/>
      <c r="M156" s="178"/>
      <c r="N156" s="175"/>
      <c r="O156" s="175"/>
      <c r="P156" s="175"/>
      <c r="Q156" s="175"/>
      <c r="R156" s="175"/>
      <c r="S156" s="175"/>
      <c r="T156" s="189">
        <f t="shared" ref="T156:AF156" si="88">S156</f>
        <v>0</v>
      </c>
      <c r="U156" s="189">
        <v>0.5</v>
      </c>
      <c r="V156" s="189">
        <f t="shared" si="88"/>
        <v>0.5</v>
      </c>
      <c r="W156" s="187">
        <f t="shared" si="88"/>
        <v>0.5</v>
      </c>
      <c r="X156" s="187">
        <f t="shared" si="88"/>
        <v>0.5</v>
      </c>
      <c r="Y156" s="187">
        <f t="shared" si="88"/>
        <v>0.5</v>
      </c>
      <c r="Z156" s="187">
        <f t="shared" si="88"/>
        <v>0.5</v>
      </c>
      <c r="AA156" s="935">
        <f t="shared" si="88"/>
        <v>0.5</v>
      </c>
      <c r="AB156" s="935">
        <f t="shared" si="88"/>
        <v>0.5</v>
      </c>
      <c r="AC156" s="935">
        <f t="shared" si="88"/>
        <v>0.5</v>
      </c>
      <c r="AD156" s="935">
        <f t="shared" si="88"/>
        <v>0.5</v>
      </c>
      <c r="AE156" s="935">
        <f t="shared" si="88"/>
        <v>0.5</v>
      </c>
      <c r="AF156" s="935">
        <f t="shared" si="88"/>
        <v>0.5</v>
      </c>
      <c r="AG156" s="180"/>
      <c r="AH156" s="1433"/>
      <c r="AI156" s="1433"/>
      <c r="AJ156" s="1433"/>
      <c r="AK156" s="1433"/>
      <c r="AL156" s="1433"/>
      <c r="AM156" s="1433"/>
      <c r="AN156" s="180"/>
      <c r="AO156" s="180"/>
      <c r="AP156" s="180"/>
    </row>
    <row r="157" spans="1:42">
      <c r="A157" s="249" t="s">
        <v>1243</v>
      </c>
      <c r="B157" s="180"/>
      <c r="C157" s="180"/>
      <c r="D157" s="180"/>
      <c r="E157" s="180"/>
      <c r="F157" s="180"/>
      <c r="G157" s="180"/>
      <c r="H157" s="180"/>
      <c r="I157" s="180"/>
      <c r="J157" s="175"/>
      <c r="K157" s="178"/>
      <c r="L157" s="178"/>
      <c r="M157" s="178"/>
      <c r="N157" s="175"/>
      <c r="O157" s="175"/>
      <c r="P157" s="175"/>
      <c r="Q157" s="175"/>
      <c r="R157" s="175"/>
      <c r="S157" s="175"/>
      <c r="T157" s="187">
        <f t="shared" ref="T157:AF157" si="89">S157</f>
        <v>0</v>
      </c>
      <c r="U157" s="187">
        <v>0.47499999999999998</v>
      </c>
      <c r="V157" s="187">
        <f t="shared" si="89"/>
        <v>0.47499999999999998</v>
      </c>
      <c r="W157" s="187">
        <f t="shared" si="89"/>
        <v>0.47499999999999998</v>
      </c>
      <c r="X157" s="187">
        <f t="shared" si="89"/>
        <v>0.47499999999999998</v>
      </c>
      <c r="Y157" s="187">
        <f t="shared" si="89"/>
        <v>0.47499999999999998</v>
      </c>
      <c r="Z157" s="187">
        <f t="shared" si="89"/>
        <v>0.47499999999999998</v>
      </c>
      <c r="AA157" s="935">
        <f t="shared" si="89"/>
        <v>0.47499999999999998</v>
      </c>
      <c r="AB157" s="935">
        <f t="shared" si="89"/>
        <v>0.47499999999999998</v>
      </c>
      <c r="AC157" s="935">
        <f t="shared" si="89"/>
        <v>0.47499999999999998</v>
      </c>
      <c r="AD157" s="935">
        <f t="shared" si="89"/>
        <v>0.47499999999999998</v>
      </c>
      <c r="AE157" s="935">
        <f t="shared" si="89"/>
        <v>0.47499999999999998</v>
      </c>
      <c r="AF157" s="935">
        <f t="shared" si="89"/>
        <v>0.47499999999999998</v>
      </c>
      <c r="AG157" s="180"/>
      <c r="AH157" s="1433" t="s">
        <v>1246</v>
      </c>
      <c r="AI157" s="1433"/>
      <c r="AJ157" s="1433"/>
      <c r="AK157" s="1433"/>
      <c r="AL157" s="1433"/>
      <c r="AM157" s="1433"/>
      <c r="AN157" s="180"/>
      <c r="AO157" s="180"/>
      <c r="AP157" s="180"/>
    </row>
    <row r="158" spans="1:42">
      <c r="A158" s="249" t="s">
        <v>1244</v>
      </c>
      <c r="B158" s="180"/>
      <c r="C158" s="180"/>
      <c r="D158" s="180"/>
      <c r="E158" s="180"/>
      <c r="F158" s="180"/>
      <c r="G158" s="180"/>
      <c r="H158" s="180"/>
      <c r="I158" s="180"/>
      <c r="J158" s="175"/>
      <c r="K158" s="178"/>
      <c r="L158" s="178"/>
      <c r="M158" s="178"/>
      <c r="N158" s="175"/>
      <c r="O158" s="175"/>
      <c r="P158" s="175"/>
      <c r="Q158" s="175"/>
      <c r="R158" s="175"/>
      <c r="S158" s="175"/>
      <c r="T158" s="187">
        <f t="shared" ref="T158:AF158" si="90">S158</f>
        <v>0</v>
      </c>
      <c r="U158" s="187">
        <v>0.25</v>
      </c>
      <c r="V158" s="187">
        <f t="shared" si="90"/>
        <v>0.25</v>
      </c>
      <c r="W158" s="187">
        <f t="shared" si="90"/>
        <v>0.25</v>
      </c>
      <c r="X158" s="187">
        <f t="shared" si="90"/>
        <v>0.25</v>
      </c>
      <c r="Y158" s="187">
        <f t="shared" si="90"/>
        <v>0.25</v>
      </c>
      <c r="Z158" s="187">
        <f t="shared" si="90"/>
        <v>0.25</v>
      </c>
      <c r="AA158" s="935">
        <f t="shared" si="90"/>
        <v>0.25</v>
      </c>
      <c r="AB158" s="935">
        <f t="shared" si="90"/>
        <v>0.25</v>
      </c>
      <c r="AC158" s="935">
        <f t="shared" si="90"/>
        <v>0.25</v>
      </c>
      <c r="AD158" s="935">
        <f t="shared" si="90"/>
        <v>0.25</v>
      </c>
      <c r="AE158" s="935">
        <f t="shared" si="90"/>
        <v>0.25</v>
      </c>
      <c r="AF158" s="935">
        <f t="shared" si="90"/>
        <v>0.25</v>
      </c>
      <c r="AG158" s="180"/>
      <c r="AH158" s="1433" t="s">
        <v>1246</v>
      </c>
      <c r="AI158" s="1433"/>
      <c r="AJ158" s="1433"/>
      <c r="AK158" s="1433"/>
      <c r="AL158" s="1433"/>
      <c r="AM158" s="1433"/>
      <c r="AN158" s="180"/>
      <c r="AO158" s="180"/>
      <c r="AP158" s="180"/>
    </row>
    <row r="159" spans="1:42">
      <c r="B159" s="180"/>
      <c r="C159" s="180"/>
      <c r="D159" s="180"/>
      <c r="E159" s="180"/>
      <c r="F159" s="180"/>
      <c r="G159" s="180"/>
      <c r="H159" s="180"/>
      <c r="I159" s="180"/>
      <c r="J159" s="175"/>
      <c r="K159" s="178"/>
      <c r="L159" s="178"/>
      <c r="M159" s="178"/>
      <c r="N159" s="175"/>
      <c r="O159" s="175"/>
      <c r="P159" s="175"/>
      <c r="Q159" s="175"/>
      <c r="R159" s="175"/>
      <c r="S159" s="175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80"/>
      <c r="AH159" s="1433"/>
      <c r="AI159" s="1433"/>
      <c r="AJ159" s="1433"/>
      <c r="AK159" s="1433"/>
      <c r="AL159" s="1433"/>
      <c r="AM159" s="1433"/>
      <c r="AN159" s="180"/>
      <c r="AO159" s="180"/>
      <c r="AP159" s="180"/>
    </row>
    <row r="160" spans="1:42">
      <c r="A160" s="19" t="s">
        <v>1254</v>
      </c>
      <c r="B160" s="180"/>
      <c r="C160" s="180"/>
      <c r="D160" s="180"/>
      <c r="E160" s="180"/>
      <c r="F160" s="180"/>
      <c r="G160" s="180"/>
      <c r="H160" s="180"/>
      <c r="I160" s="180"/>
      <c r="J160" s="175"/>
      <c r="K160" s="178"/>
      <c r="L160" s="178"/>
      <c r="M160" s="178"/>
      <c r="N160" s="175"/>
      <c r="O160" s="175"/>
      <c r="P160" s="175"/>
      <c r="Q160" s="175"/>
      <c r="R160" s="175"/>
      <c r="S160" s="175"/>
      <c r="T160" s="218">
        <v>5.85</v>
      </c>
      <c r="U160" s="188">
        <f>T160*(1+U164)*0.98</f>
        <v>5.7329999999999997</v>
      </c>
      <c r="V160" s="188">
        <f>U160*(1+V164)*0.98</f>
        <v>5.6183399999999999</v>
      </c>
      <c r="W160" s="188">
        <f>V160*(1+W164)*0.98</f>
        <v>5.7234591414000002</v>
      </c>
      <c r="X160" s="188">
        <f>W160*(1+X164)</f>
        <v>5.949535777485301</v>
      </c>
      <c r="Y160" s="188">
        <f>X160*(1+Y164)*1.02</f>
        <v>6.475117768068352</v>
      </c>
      <c r="Z160" s="188">
        <f>Y160*(1+Z164)</f>
        <v>6.8215365686600098</v>
      </c>
      <c r="AA160" s="188">
        <f>Z160*(1+AA164)</f>
        <v>7.4354748598394114</v>
      </c>
      <c r="AB160" s="188">
        <f>AA160*(1+AB164)*0.94</f>
        <v>7.3038669548202524</v>
      </c>
      <c r="AC160" s="188">
        <f>AB160*(1+AC164)*0.94</f>
        <v>7.1402603350322789</v>
      </c>
      <c r="AD160" s="188">
        <f>AC160*(1+AD164)*0.94</f>
        <v>6.9803185035275552</v>
      </c>
      <c r="AE160" s="188">
        <f>AD160*(1+AE164)*0.94</f>
        <v>6.7583443751153789</v>
      </c>
      <c r="AF160" s="188">
        <f>AE160*(1+AF164)*0.94</f>
        <v>6.4799005868606256</v>
      </c>
      <c r="AG160" s="180"/>
      <c r="AH160" s="1433"/>
      <c r="AI160" s="1433"/>
      <c r="AJ160" s="1433"/>
      <c r="AK160" s="1433"/>
      <c r="AL160" s="1433"/>
      <c r="AM160" s="1433"/>
      <c r="AN160" s="180"/>
      <c r="AO160" s="180"/>
      <c r="AP160" s="180"/>
    </row>
    <row r="161" spans="1:42">
      <c r="B161" s="180"/>
      <c r="C161" s="180"/>
      <c r="D161" s="180"/>
      <c r="E161" s="180"/>
      <c r="F161" s="180"/>
      <c r="G161" s="180"/>
      <c r="H161" s="180"/>
      <c r="I161" s="180"/>
      <c r="J161" s="175"/>
      <c r="K161" s="178"/>
      <c r="L161" s="178"/>
      <c r="M161" s="178"/>
      <c r="N161" s="175"/>
      <c r="O161" s="175"/>
      <c r="P161" s="175"/>
      <c r="Q161" s="175"/>
      <c r="R161" s="175"/>
      <c r="S161" s="175"/>
      <c r="T161" s="21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99"/>
      <c r="AE161" s="199"/>
      <c r="AF161" s="199"/>
      <c r="AG161" s="180"/>
      <c r="AH161" s="1433" t="s">
        <v>1337</v>
      </c>
      <c r="AI161" s="1433"/>
      <c r="AJ161" s="1433"/>
      <c r="AK161" s="1433"/>
      <c r="AL161" s="1433"/>
      <c r="AM161" s="1433"/>
      <c r="AN161" s="180"/>
      <c r="AO161" s="180"/>
      <c r="AP161" s="180"/>
    </row>
    <row r="162" spans="1:42">
      <c r="A162" s="19" t="s">
        <v>1286</v>
      </c>
      <c r="B162" s="180"/>
      <c r="C162" s="180"/>
      <c r="D162" s="180"/>
      <c r="E162" s="180"/>
      <c r="F162" s="180"/>
      <c r="G162" s="180"/>
      <c r="H162" s="180"/>
      <c r="I162" s="180"/>
      <c r="J162" s="175"/>
      <c r="K162" s="178"/>
      <c r="L162" s="178"/>
      <c r="M162" s="178"/>
      <c r="N162" s="175"/>
      <c r="O162" s="175"/>
      <c r="P162" s="175"/>
      <c r="Q162" s="175"/>
      <c r="R162" s="175"/>
      <c r="S162" s="175"/>
      <c r="T162" s="252"/>
      <c r="U162" s="252"/>
      <c r="V162" s="252"/>
      <c r="W162" s="252">
        <v>3.2</v>
      </c>
      <c r="X162" s="252">
        <f t="shared" ref="X162:AF162" si="91">W162*(1+X164)</f>
        <v>3.3264000000000005</v>
      </c>
      <c r="Y162" s="252">
        <f t="shared" si="91"/>
        <v>3.5492688000000001</v>
      </c>
      <c r="Z162" s="188">
        <f t="shared" si="91"/>
        <v>3.7391546808000005</v>
      </c>
      <c r="AA162" s="188">
        <f t="shared" si="91"/>
        <v>4.0756786020720011</v>
      </c>
      <c r="AB162" s="188">
        <f t="shared" si="91"/>
        <v>4.2590841391652408</v>
      </c>
      <c r="AC162" s="188">
        <f t="shared" si="91"/>
        <v>4.4294475047318507</v>
      </c>
      <c r="AD162" s="188">
        <f t="shared" si="91"/>
        <v>4.6066254049211253</v>
      </c>
      <c r="AE162" s="188">
        <f t="shared" si="91"/>
        <v>4.7448241670687592</v>
      </c>
      <c r="AF162" s="188">
        <f t="shared" si="91"/>
        <v>4.8397206504101344</v>
      </c>
      <c r="AG162" s="180"/>
      <c r="AH162" s="1433" t="s">
        <v>1065</v>
      </c>
      <c r="AI162" s="1433"/>
      <c r="AJ162" s="1433"/>
      <c r="AK162" s="1433"/>
      <c r="AL162" s="1433"/>
      <c r="AM162" s="1433"/>
      <c r="AN162" s="180"/>
      <c r="AO162" s="180"/>
      <c r="AP162" s="180"/>
    </row>
    <row r="163" spans="1:42">
      <c r="A163" s="249"/>
      <c r="B163" s="180"/>
      <c r="C163" s="180"/>
      <c r="D163" s="180"/>
      <c r="E163" s="180"/>
      <c r="F163" s="180"/>
      <c r="G163" s="180"/>
      <c r="H163" s="180"/>
      <c r="I163" s="180"/>
      <c r="J163" s="175"/>
      <c r="K163" s="178"/>
      <c r="L163" s="178"/>
      <c r="M163" s="178"/>
      <c r="N163" s="175"/>
      <c r="O163" s="175"/>
      <c r="P163" s="175"/>
      <c r="Q163" s="175"/>
      <c r="R163" s="175"/>
      <c r="S163" s="175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80"/>
      <c r="AH163" s="1433" t="s">
        <v>1066</v>
      </c>
      <c r="AI163" s="1433"/>
      <c r="AJ163" s="1433"/>
      <c r="AK163" s="1433"/>
      <c r="AL163" s="1433"/>
      <c r="AM163" s="1433"/>
      <c r="AN163" s="180"/>
      <c r="AO163" s="180"/>
      <c r="AP163" s="180"/>
    </row>
    <row r="164" spans="1:42">
      <c r="A164" s="19" t="s">
        <v>1621</v>
      </c>
      <c r="B164" s="180"/>
      <c r="C164" s="180"/>
      <c r="D164" s="180"/>
      <c r="E164" s="180"/>
      <c r="F164" s="180"/>
      <c r="G164" s="180"/>
      <c r="H164" s="180"/>
      <c r="I164" s="180"/>
      <c r="J164" s="175"/>
      <c r="K164" s="178"/>
      <c r="L164" s="178"/>
      <c r="M164" s="178"/>
      <c r="N164" s="175"/>
      <c r="O164" s="175"/>
      <c r="P164" s="175"/>
      <c r="Q164" s="175"/>
      <c r="R164" s="175"/>
      <c r="S164" s="175"/>
      <c r="T164" s="188"/>
      <c r="U164" s="188"/>
      <c r="V164" s="188"/>
      <c r="W164" s="193">
        <v>3.9500000000000007E-2</v>
      </c>
      <c r="X164" s="193">
        <v>3.9500000000000007E-2</v>
      </c>
      <c r="Y164" s="193">
        <v>6.7000000000000018E-2</v>
      </c>
      <c r="Z164" s="193">
        <v>5.3500000000000006E-2</v>
      </c>
      <c r="AA164" s="933">
        <v>0.09</v>
      </c>
      <c r="AB164" s="933">
        <v>4.4999999999999998E-2</v>
      </c>
      <c r="AC164" s="933">
        <v>0.04</v>
      </c>
      <c r="AD164" s="933">
        <v>0.04</v>
      </c>
      <c r="AE164" s="933">
        <v>0.03</v>
      </c>
      <c r="AF164" s="933">
        <v>0.02</v>
      </c>
      <c r="AG164" s="180"/>
      <c r="AH164" s="1433"/>
      <c r="AI164" s="1433"/>
      <c r="AJ164" s="1433"/>
      <c r="AK164" s="1433"/>
      <c r="AL164" s="1433"/>
      <c r="AM164" s="1433"/>
      <c r="AN164" s="180"/>
      <c r="AO164" s="180"/>
      <c r="AP164" s="180"/>
    </row>
    <row r="165" spans="1:42">
      <c r="A165" s="19" t="s">
        <v>1255</v>
      </c>
      <c r="B165" s="180"/>
      <c r="C165" s="180"/>
      <c r="D165" s="180"/>
      <c r="E165" s="180"/>
      <c r="F165" s="180"/>
      <c r="G165" s="180"/>
      <c r="H165" s="180"/>
      <c r="I165" s="180"/>
      <c r="J165" s="175"/>
      <c r="K165" s="178"/>
      <c r="L165" s="178"/>
      <c r="M165" s="178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849"/>
      <c r="Z165" s="175"/>
      <c r="AA165" s="175"/>
      <c r="AB165" s="175"/>
      <c r="AC165" s="175"/>
      <c r="AD165" s="175"/>
      <c r="AE165" s="175"/>
      <c r="AF165" s="175"/>
      <c r="AG165" s="180"/>
      <c r="AH165" s="1433" t="s">
        <v>1065</v>
      </c>
      <c r="AI165" s="1433"/>
      <c r="AJ165" s="1433"/>
      <c r="AK165" s="1433"/>
      <c r="AL165" s="1433"/>
      <c r="AM165" s="1433"/>
      <c r="AN165" s="180"/>
      <c r="AO165" s="180"/>
      <c r="AP165" s="180"/>
    </row>
    <row r="166" spans="1:42">
      <c r="A166" s="249" t="s">
        <v>1460</v>
      </c>
      <c r="B166" s="180"/>
      <c r="C166" s="180"/>
      <c r="D166" s="180"/>
      <c r="E166" s="180"/>
      <c r="F166" s="180"/>
      <c r="G166" s="180"/>
      <c r="H166" s="180"/>
      <c r="I166" s="180"/>
      <c r="J166" s="175"/>
      <c r="K166" s="178"/>
      <c r="L166" s="178"/>
      <c r="M166" s="178"/>
      <c r="N166" s="175"/>
      <c r="O166" s="175"/>
      <c r="P166" s="175"/>
      <c r="Q166" s="175"/>
      <c r="R166" s="175"/>
      <c r="S166" s="175"/>
      <c r="T166" s="175"/>
      <c r="U166" s="175">
        <v>3472.9465270500004</v>
      </c>
      <c r="V166" s="175">
        <f>V144*V160*SUMPRODUCT(V155:V158,V148:V151)*V135</f>
        <v>1762.5311971312499</v>
      </c>
      <c r="W166" s="175">
        <f>W144*W160*SUMPRODUCT(W155:W158,W148:W151)*W135</f>
        <v>2064.8343792040123</v>
      </c>
      <c r="X166" s="175">
        <f t="shared" ref="X166:AF166" si="92">X144*X160*SUMPRODUCT(X155:X158,X148:X151)*X135</f>
        <v>2682.9941714782135</v>
      </c>
      <c r="Y166" s="175">
        <f t="shared" si="92"/>
        <v>3650.0123457332479</v>
      </c>
      <c r="Z166" s="175">
        <f t="shared" si="92"/>
        <v>4037.5524065414766</v>
      </c>
      <c r="AA166" s="175">
        <f>AA144*AA160*SUMPRODUCT(AA155:AA158,AA148:AA151)*AA135</f>
        <v>5062.2060525605057</v>
      </c>
      <c r="AB166" s="175">
        <f t="shared" si="92"/>
        <v>5627.8188414398073</v>
      </c>
      <c r="AC166" s="175">
        <f t="shared" si="92"/>
        <v>5593.2609916891288</v>
      </c>
      <c r="AD166" s="175">
        <f t="shared" si="92"/>
        <v>5449.3353676106872</v>
      </c>
      <c r="AE166" s="175">
        <f>AE144*AE160*SUMPRODUCT(AE155:AE158,AE148:AE151)*AE135</f>
        <v>5258.0025682321548</v>
      </c>
      <c r="AF166" s="175">
        <f t="shared" si="92"/>
        <v>5024.072337841646</v>
      </c>
      <c r="AG166" s="180"/>
      <c r="AH166" s="1433" t="s">
        <v>1310</v>
      </c>
      <c r="AI166" s="1433"/>
      <c r="AJ166" s="1433"/>
      <c r="AK166" s="1433"/>
      <c r="AL166" s="1433"/>
      <c r="AM166" s="1433"/>
      <c r="AN166" s="180"/>
      <c r="AO166" s="180"/>
      <c r="AP166" s="180"/>
    </row>
    <row r="167" spans="1:42">
      <c r="A167" s="249" t="s">
        <v>928</v>
      </c>
      <c r="B167" s="180"/>
      <c r="C167" s="180"/>
      <c r="D167" s="180"/>
      <c r="E167" s="180"/>
      <c r="F167" s="180"/>
      <c r="G167" s="180"/>
      <c r="H167" s="180"/>
      <c r="I167" s="180"/>
      <c r="J167" s="175"/>
      <c r="K167" s="178"/>
      <c r="L167" s="178"/>
      <c r="M167" s="178"/>
      <c r="N167" s="175"/>
      <c r="O167" s="175"/>
      <c r="P167" s="175"/>
      <c r="Q167" s="175"/>
      <c r="R167" s="175"/>
      <c r="S167" s="175"/>
      <c r="T167" s="175">
        <f>(T135*T148*T160)</f>
        <v>0</v>
      </c>
      <c r="U167" s="175">
        <v>1447.29585</v>
      </c>
      <c r="V167" s="175">
        <f>(V135*V148*V160)</f>
        <v>660.15494999999999</v>
      </c>
      <c r="W167" s="175">
        <f>(W135*W145*W148*W160)</f>
        <v>270.68384576858625</v>
      </c>
      <c r="X167" s="175">
        <f t="shared" ref="X167:AF167" si="93">(X135*X145*X148*X160)</f>
        <v>351.71982209555682</v>
      </c>
      <c r="Y167" s="175">
        <f t="shared" si="93"/>
        <v>478.48843897434784</v>
      </c>
      <c r="Z167" s="175">
        <f t="shared" si="93"/>
        <v>529.2919489824493</v>
      </c>
      <c r="AA167" s="175">
        <f t="shared" si="93"/>
        <v>663.61613124066741</v>
      </c>
      <c r="AB167" s="175">
        <f t="shared" si="93"/>
        <v>737.76360110639359</v>
      </c>
      <c r="AC167" s="175">
        <f t="shared" si="93"/>
        <v>733.23333380446468</v>
      </c>
      <c r="AD167" s="175">
        <f t="shared" si="93"/>
        <v>714.36579565100999</v>
      </c>
      <c r="AE167" s="175">
        <f t="shared" si="93"/>
        <v>689.28354281801751</v>
      </c>
      <c r="AF167" s="175">
        <f t="shared" si="93"/>
        <v>658.61709564851401</v>
      </c>
      <c r="AG167" s="180"/>
      <c r="AH167" s="1433"/>
      <c r="AI167" s="1433"/>
      <c r="AJ167" s="1433"/>
      <c r="AK167" s="1433"/>
      <c r="AL167" s="1433"/>
      <c r="AM167" s="1433"/>
      <c r="AN167" s="180"/>
      <c r="AO167" s="180"/>
      <c r="AP167" s="180"/>
    </row>
    <row r="168" spans="1:42">
      <c r="A168" s="19" t="s">
        <v>1466</v>
      </c>
      <c r="B168" s="180"/>
      <c r="C168" s="180"/>
      <c r="D168" s="180"/>
      <c r="E168" s="180"/>
      <c r="F168" s="180"/>
      <c r="G168" s="180"/>
      <c r="H168" s="180"/>
      <c r="I168" s="180"/>
      <c r="J168" s="175"/>
      <c r="K168" s="178"/>
      <c r="L168" s="178"/>
      <c r="M168" s="178"/>
      <c r="N168" s="175"/>
      <c r="O168" s="175"/>
      <c r="P168" s="175"/>
      <c r="Q168" s="175"/>
      <c r="R168" s="175"/>
      <c r="S168" s="175"/>
      <c r="T168" s="175">
        <f>SUM(T166:T167)</f>
        <v>0</v>
      </c>
      <c r="U168" s="175">
        <v>4920.2423770500009</v>
      </c>
      <c r="V168" s="175">
        <f t="shared" ref="V168:AF168" si="94">SUM(V166:V167)</f>
        <v>2422.68614713125</v>
      </c>
      <c r="W168" s="175">
        <f t="shared" si="94"/>
        <v>2335.5182249725985</v>
      </c>
      <c r="X168" s="175">
        <f t="shared" si="94"/>
        <v>3034.7139935737705</v>
      </c>
      <c r="Y168" s="175">
        <f t="shared" si="94"/>
        <v>4128.5007847075958</v>
      </c>
      <c r="Z168" s="175">
        <f t="shared" si="94"/>
        <v>4566.8443555239255</v>
      </c>
      <c r="AA168" s="175">
        <f t="shared" si="94"/>
        <v>5725.8221838011732</v>
      </c>
      <c r="AB168" s="175">
        <f t="shared" si="94"/>
        <v>6365.5824425462006</v>
      </c>
      <c r="AC168" s="175">
        <f t="shared" si="94"/>
        <v>6326.4943254935934</v>
      </c>
      <c r="AD168" s="175">
        <f t="shared" si="94"/>
        <v>6163.7011632616968</v>
      </c>
      <c r="AE168" s="175">
        <f t="shared" si="94"/>
        <v>5947.2861110501726</v>
      </c>
      <c r="AF168" s="175">
        <f t="shared" si="94"/>
        <v>5682.6894334901599</v>
      </c>
      <c r="AG168" s="180"/>
      <c r="AH168" s="1433"/>
      <c r="AI168" s="1433"/>
      <c r="AJ168" s="1433"/>
      <c r="AK168" s="1433"/>
      <c r="AL168" s="1433"/>
      <c r="AM168" s="1433"/>
      <c r="AN168" s="180"/>
      <c r="AO168" s="180"/>
      <c r="AP168" s="180"/>
    </row>
    <row r="169" spans="1:42">
      <c r="A169" s="286" t="s">
        <v>1242</v>
      </c>
      <c r="B169" s="312"/>
      <c r="C169" s="312"/>
      <c r="D169" s="312"/>
      <c r="E169" s="312"/>
      <c r="F169" s="312"/>
      <c r="G169" s="312"/>
      <c r="H169" s="312"/>
      <c r="I169" s="312"/>
      <c r="J169" s="183"/>
      <c r="K169" s="198"/>
      <c r="L169" s="198"/>
      <c r="M169" s="184"/>
      <c r="N169" s="184"/>
      <c r="O169" s="184"/>
      <c r="P169" s="184"/>
      <c r="Q169" s="184"/>
      <c r="R169" s="184"/>
      <c r="S169" s="184"/>
      <c r="T169" s="184"/>
      <c r="U169" s="184">
        <v>3.7829036854337472E-2</v>
      </c>
      <c r="V169" s="184">
        <f>V168/U168-1</f>
        <v>-0.50760837343468335</v>
      </c>
      <c r="W169" s="184"/>
      <c r="X169" s="184">
        <f t="shared" ref="X169:AF169" si="95">X168/W168-1</f>
        <v>0.29937500000000017</v>
      </c>
      <c r="Y169" s="184">
        <f t="shared" si="95"/>
        <v>0.36042499999999977</v>
      </c>
      <c r="Z169" s="184">
        <f t="shared" si="95"/>
        <v>0.10617500000000013</v>
      </c>
      <c r="AA169" s="184">
        <f t="shared" si="95"/>
        <v>0.25378089070966059</v>
      </c>
      <c r="AB169" s="184">
        <f t="shared" si="95"/>
        <v>0.11173247058823499</v>
      </c>
      <c r="AC169" s="184">
        <f t="shared" si="95"/>
        <v>-6.1405405405403624E-3</v>
      </c>
      <c r="AD169" s="184">
        <f t="shared" si="95"/>
        <v>-2.5731970006816596E-2</v>
      </c>
      <c r="AE169" s="184">
        <f t="shared" si="95"/>
        <v>-3.5111217510260029E-2</v>
      </c>
      <c r="AF169" s="184">
        <f t="shared" si="95"/>
        <v>-4.4490322580645114E-2</v>
      </c>
      <c r="AG169" s="180"/>
      <c r="AH169" s="1433"/>
      <c r="AI169" s="1433"/>
      <c r="AJ169" s="1433"/>
      <c r="AK169" s="1433"/>
      <c r="AL169" s="1433"/>
      <c r="AM169" s="1433"/>
      <c r="AN169" s="180"/>
      <c r="AO169" s="180"/>
      <c r="AP169" s="180"/>
    </row>
    <row r="170" spans="1:42">
      <c r="A170" s="19"/>
      <c r="B170" s="180"/>
      <c r="C170" s="180"/>
      <c r="D170" s="180"/>
      <c r="E170" s="180"/>
      <c r="F170" s="180"/>
      <c r="G170" s="180"/>
      <c r="H170" s="180"/>
      <c r="I170" s="180"/>
      <c r="J170" s="175"/>
      <c r="K170" s="178"/>
      <c r="L170" s="178"/>
      <c r="M170" s="175"/>
      <c r="N170" s="175"/>
      <c r="O170" s="175"/>
      <c r="P170" s="175"/>
      <c r="Q170" s="175"/>
      <c r="R170" s="175"/>
      <c r="S170" s="175"/>
      <c r="T170" s="180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80"/>
      <c r="AH170" s="1433"/>
      <c r="AI170" s="1433"/>
      <c r="AJ170" s="1433"/>
      <c r="AK170" s="1433"/>
      <c r="AL170" s="1433"/>
      <c r="AM170" s="1433"/>
      <c r="AN170" s="180"/>
      <c r="AO170" s="180"/>
      <c r="AP170" s="180"/>
    </row>
    <row r="171" spans="1:42">
      <c r="A171" s="19" t="s">
        <v>1250</v>
      </c>
      <c r="B171" s="180"/>
      <c r="C171" s="180"/>
      <c r="D171" s="180"/>
      <c r="E171" s="180"/>
      <c r="F171" s="180"/>
      <c r="G171" s="180"/>
      <c r="H171" s="180"/>
      <c r="I171" s="180"/>
      <c r="J171" s="175"/>
      <c r="K171" s="178"/>
      <c r="L171" s="178"/>
      <c r="M171" s="178"/>
      <c r="N171" s="199"/>
      <c r="O171" s="199"/>
      <c r="P171" s="199"/>
      <c r="Q171" s="199"/>
      <c r="R171" s="199"/>
      <c r="S171" s="199"/>
      <c r="T171" s="199">
        <f>'Income Statement'!T$155</f>
        <v>1.18028</v>
      </c>
      <c r="U171" s="199">
        <v>1.159077672574627</v>
      </c>
      <c r="V171" s="199">
        <f>'Income Statement'!V$155</f>
        <v>1.1490638246268656</v>
      </c>
      <c r="W171" s="199">
        <f>'Income Statement'!W$155</f>
        <v>1.1713242788461544</v>
      </c>
      <c r="X171" s="199">
        <f>'Income Statement'!X$155</f>
        <v>1.1065795550914248</v>
      </c>
      <c r="Y171" s="199">
        <f>'Income Statement'!Y$155</f>
        <v>1.1105369302909465</v>
      </c>
      <c r="Z171" s="199">
        <f>'Income Statement'!Z$155</f>
        <v>1.1083231112074399</v>
      </c>
      <c r="AA171" s="939">
        <f>'Income Statement'!AA$155</f>
        <v>1.1207295968584789</v>
      </c>
      <c r="AB171" s="939">
        <f>'Income Statement'!AB$155</f>
        <v>1.1426415000000001</v>
      </c>
      <c r="AC171" s="939">
        <f>'Income Statement'!AC$155</f>
        <v>1.1426415000000001</v>
      </c>
      <c r="AD171" s="939">
        <f>'Income Statement'!AD$155</f>
        <v>1.1426415000000001</v>
      </c>
      <c r="AE171" s="939">
        <f>'Income Statement'!AE$155</f>
        <v>1.1426415000000001</v>
      </c>
      <c r="AF171" s="939">
        <f>'Income Statement'!AF$155</f>
        <v>1.1426415000000001</v>
      </c>
      <c r="AG171" s="180"/>
      <c r="AH171" s="1433"/>
      <c r="AI171" s="1433"/>
      <c r="AJ171" s="1433"/>
      <c r="AK171" s="1433"/>
      <c r="AL171" s="1433"/>
      <c r="AM171" s="1433"/>
      <c r="AN171" s="180"/>
      <c r="AO171" s="180"/>
      <c r="AP171" s="180"/>
    </row>
    <row r="172" spans="1:42">
      <c r="A172" s="19" t="s">
        <v>1251</v>
      </c>
      <c r="B172" s="180"/>
      <c r="C172" s="180"/>
      <c r="D172" s="180"/>
      <c r="E172" s="180"/>
      <c r="F172" s="180"/>
      <c r="G172" s="180"/>
      <c r="H172" s="180"/>
      <c r="I172" s="180"/>
      <c r="J172" s="175"/>
      <c r="K172" s="178"/>
      <c r="L172" s="178"/>
      <c r="M172" s="178"/>
      <c r="N172" s="175"/>
      <c r="O172" s="174"/>
      <c r="P172" s="174"/>
      <c r="Q172" s="174"/>
      <c r="R172" s="174"/>
      <c r="S172" s="174"/>
      <c r="T172" s="174"/>
      <c r="U172" s="174">
        <v>1.8292412947854331E-2</v>
      </c>
      <c r="V172" s="174">
        <f t="shared" ref="V172:AF172" si="96">(1/V171)/(1/U171)-1</f>
        <v>8.7147882764591067E-3</v>
      </c>
      <c r="W172" s="174">
        <f t="shared" si="96"/>
        <v>-1.9004518749681454E-2</v>
      </c>
      <c r="X172" s="174">
        <f t="shared" si="96"/>
        <v>5.8508873995399613E-2</v>
      </c>
      <c r="Y172" s="174">
        <f t="shared" si="96"/>
        <v>-3.5634791528138532E-3</v>
      </c>
      <c r="Z172" s="174">
        <f t="shared" si="96"/>
        <v>1.9974491744512157E-3</v>
      </c>
      <c r="AA172" s="174">
        <f t="shared" si="96"/>
        <v>-1.1070008042810442E-2</v>
      </c>
      <c r="AB172" s="174">
        <f t="shared" si="96"/>
        <v>-1.9176533621018677E-2</v>
      </c>
      <c r="AC172" s="174">
        <f t="shared" si="96"/>
        <v>0</v>
      </c>
      <c r="AD172" s="174">
        <f t="shared" si="96"/>
        <v>0</v>
      </c>
      <c r="AE172" s="174">
        <f t="shared" si="96"/>
        <v>0</v>
      </c>
      <c r="AF172" s="174">
        <f t="shared" si="96"/>
        <v>0</v>
      </c>
      <c r="AG172" s="180"/>
      <c r="AH172" s="1433"/>
      <c r="AI172" s="1433"/>
      <c r="AJ172" s="1433"/>
      <c r="AK172" s="1433"/>
      <c r="AL172" s="1433"/>
      <c r="AM172" s="1433"/>
      <c r="AN172" s="180"/>
      <c r="AO172" s="180"/>
      <c r="AP172" s="180"/>
    </row>
    <row r="173" spans="1:42">
      <c r="A173" s="19"/>
      <c r="B173" s="180"/>
      <c r="C173" s="180"/>
      <c r="D173" s="180"/>
      <c r="E173" s="180"/>
      <c r="F173" s="180"/>
      <c r="G173" s="180"/>
      <c r="H173" s="180"/>
      <c r="I173" s="180"/>
      <c r="J173" s="175"/>
      <c r="K173" s="178"/>
      <c r="L173" s="178"/>
      <c r="M173" s="178"/>
      <c r="N173" s="175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80"/>
      <c r="AH173" s="1433"/>
      <c r="AI173" s="1433"/>
      <c r="AJ173" s="1433"/>
      <c r="AK173" s="1433"/>
      <c r="AL173" s="1433"/>
      <c r="AM173" s="1433"/>
      <c r="AN173" s="180"/>
      <c r="AO173" s="180"/>
      <c r="AP173" s="180"/>
    </row>
    <row r="174" spans="1:42">
      <c r="A174" s="19" t="s">
        <v>1252</v>
      </c>
      <c r="B174" s="180"/>
      <c r="C174" s="180"/>
      <c r="D174" s="180"/>
      <c r="E174" s="180"/>
      <c r="F174" s="180"/>
      <c r="G174" s="180"/>
      <c r="H174" s="180"/>
      <c r="I174" s="180"/>
      <c r="J174" s="175"/>
      <c r="K174" s="178"/>
      <c r="L174" s="178"/>
      <c r="M174" s="178"/>
      <c r="N174" s="175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80"/>
      <c r="AH174" s="1433" t="s">
        <v>1314</v>
      </c>
      <c r="AI174" s="1433"/>
      <c r="AJ174" s="1433"/>
      <c r="AK174" s="1433"/>
      <c r="AL174" s="1433"/>
      <c r="AM174" s="1433"/>
      <c r="AN174" s="180"/>
      <c r="AO174" s="180"/>
      <c r="AP174" s="180"/>
    </row>
    <row r="175" spans="1:42">
      <c r="A175" s="249" t="s">
        <v>1460</v>
      </c>
      <c r="B175" s="180"/>
      <c r="C175" s="180"/>
      <c r="D175" s="180"/>
      <c r="E175" s="180"/>
      <c r="F175" s="180"/>
      <c r="G175" s="180"/>
      <c r="H175" s="180"/>
      <c r="I175" s="180"/>
      <c r="J175" s="175"/>
      <c r="K175" s="178"/>
      <c r="L175" s="178"/>
      <c r="M175" s="178"/>
      <c r="N175" s="175"/>
      <c r="O175" s="175"/>
      <c r="P175" s="175"/>
      <c r="Q175" s="175"/>
      <c r="R175" s="175"/>
      <c r="S175" s="175"/>
      <c r="T175" s="175">
        <f>T166/T$171</f>
        <v>0</v>
      </c>
      <c r="U175" s="175">
        <v>2996.3018089509401</v>
      </c>
      <c r="V175" s="175">
        <f t="shared" ref="V175:AF175" si="97">V166/V$171</f>
        <v>1533.8845061140055</v>
      </c>
      <c r="W175" s="175">
        <f t="shared" si="97"/>
        <v>1762.8204387926073</v>
      </c>
      <c r="X175" s="175">
        <f t="shared" si="97"/>
        <v>2424.5831753655943</v>
      </c>
      <c r="Y175" s="175">
        <f t="shared" si="97"/>
        <v>3286.7095601917458</v>
      </c>
      <c r="Z175" s="175">
        <f t="shared" si="97"/>
        <v>3642.9380256655008</v>
      </c>
      <c r="AA175" s="175">
        <f t="shared" si="97"/>
        <v>4516.8844177492883</v>
      </c>
      <c r="AB175" s="175">
        <f t="shared" si="97"/>
        <v>4925.2708232983023</v>
      </c>
      <c r="AC175" s="175">
        <f t="shared" si="97"/>
        <v>4895.0269981346983</v>
      </c>
      <c r="AD175" s="175">
        <f t="shared" si="97"/>
        <v>4769.068310236139</v>
      </c>
      <c r="AE175" s="175">
        <f t="shared" si="97"/>
        <v>4601.6205154741483</v>
      </c>
      <c r="AF175" s="175">
        <f t="shared" si="97"/>
        <v>4396.8929343469899</v>
      </c>
      <c r="AG175" s="180"/>
      <c r="AH175" s="1433" t="s">
        <v>974</v>
      </c>
      <c r="AI175" s="1433"/>
      <c r="AJ175" s="1433"/>
      <c r="AK175" s="1433"/>
      <c r="AL175" s="1433"/>
      <c r="AM175" s="1433"/>
      <c r="AN175" s="180"/>
      <c r="AO175" s="180"/>
      <c r="AP175" s="180"/>
    </row>
    <row r="176" spans="1:42">
      <c r="A176" s="249" t="s">
        <v>928</v>
      </c>
      <c r="B176" s="180"/>
      <c r="C176" s="180"/>
      <c r="D176" s="180"/>
      <c r="E176" s="180"/>
      <c r="F176" s="180"/>
      <c r="G176" s="180"/>
      <c r="H176" s="180"/>
      <c r="I176" s="180"/>
      <c r="J176" s="175"/>
      <c r="K176" s="178"/>
      <c r="L176" s="178"/>
      <c r="M176" s="178"/>
      <c r="N176" s="175"/>
      <c r="O176" s="175"/>
      <c r="P176" s="175"/>
      <c r="Q176" s="175"/>
      <c r="R176" s="175"/>
      <c r="S176" s="175"/>
      <c r="T176" s="175">
        <f>T167/T$171</f>
        <v>0</v>
      </c>
      <c r="U176" s="175">
        <v>1248.6616593909207</v>
      </c>
      <c r="V176" s="175">
        <f t="shared" ref="V176:AF176" si="98">V167/V$171</f>
        <v>574.51547586085701</v>
      </c>
      <c r="W176" s="175">
        <f t="shared" si="98"/>
        <v>231.09214984874291</v>
      </c>
      <c r="X176" s="175">
        <f t="shared" si="98"/>
        <v>317.84413554116134</v>
      </c>
      <c r="Y176" s="175">
        <f t="shared" si="98"/>
        <v>430.86224863228097</v>
      </c>
      <c r="Z176" s="175">
        <f t="shared" si="98"/>
        <v>477.56105023003903</v>
      </c>
      <c r="AA176" s="175">
        <f t="shared" si="98"/>
        <v>592.12867501746371</v>
      </c>
      <c r="AB176" s="175">
        <f t="shared" si="98"/>
        <v>645.66497987898526</v>
      </c>
      <c r="AC176" s="175">
        <f t="shared" si="98"/>
        <v>641.70024789443107</v>
      </c>
      <c r="AD176" s="175">
        <f t="shared" si="98"/>
        <v>625.18803636224482</v>
      </c>
      <c r="AE176" s="175">
        <f t="shared" si="98"/>
        <v>603.2369232327178</v>
      </c>
      <c r="AF176" s="175">
        <f t="shared" si="98"/>
        <v>576.39871792553834</v>
      </c>
      <c r="AG176" s="180"/>
      <c r="AH176" s="1433"/>
      <c r="AI176" s="1433"/>
      <c r="AJ176" s="1433"/>
      <c r="AK176" s="1433"/>
      <c r="AL176" s="1433"/>
      <c r="AM176" s="1433"/>
      <c r="AN176" s="180"/>
      <c r="AO176" s="180"/>
      <c r="AP176" s="180"/>
    </row>
    <row r="177" spans="1:42">
      <c r="A177" s="181" t="s">
        <v>1468</v>
      </c>
      <c r="B177" s="57"/>
      <c r="C177" s="57"/>
      <c r="D177" s="57"/>
      <c r="E177" s="57"/>
      <c r="F177" s="57"/>
      <c r="G177" s="57"/>
      <c r="H177" s="57"/>
      <c r="I177" s="57"/>
      <c r="J177" s="196"/>
      <c r="K177" s="197"/>
      <c r="L177" s="197"/>
      <c r="M177" s="197"/>
      <c r="N177" s="196"/>
      <c r="O177" s="196"/>
      <c r="P177" s="196"/>
      <c r="Q177" s="196"/>
      <c r="R177" s="196"/>
      <c r="S177" s="196"/>
      <c r="T177" s="196">
        <f>T168/T$171</f>
        <v>0</v>
      </c>
      <c r="U177" s="196">
        <v>4244.9634683418608</v>
      </c>
      <c r="V177" s="196">
        <f t="shared" ref="V177:AF177" si="99">V168/V$171</f>
        <v>2108.3999819748624</v>
      </c>
      <c r="W177" s="196">
        <f t="shared" si="99"/>
        <v>1993.9125886413503</v>
      </c>
      <c r="X177" s="196">
        <f t="shared" si="99"/>
        <v>2742.4273109067558</v>
      </c>
      <c r="Y177" s="196">
        <f t="shared" si="99"/>
        <v>3717.5718088240264</v>
      </c>
      <c r="Z177" s="196">
        <f t="shared" si="99"/>
        <v>4120.49907589554</v>
      </c>
      <c r="AA177" s="196">
        <f t="shared" si="99"/>
        <v>5109.0130927667524</v>
      </c>
      <c r="AB177" s="196">
        <f t="shared" si="99"/>
        <v>5570.9358031772872</v>
      </c>
      <c r="AC177" s="196">
        <f t="shared" si="99"/>
        <v>5536.7272460291288</v>
      </c>
      <c r="AD177" s="196">
        <f t="shared" si="99"/>
        <v>5394.2563465983831</v>
      </c>
      <c r="AE177" s="196">
        <f t="shared" si="99"/>
        <v>5204.8574387068666</v>
      </c>
      <c r="AF177" s="196">
        <f t="shared" si="99"/>
        <v>4973.2916522725282</v>
      </c>
      <c r="AG177" s="180"/>
      <c r="AH177" s="1433"/>
      <c r="AI177" s="1433"/>
      <c r="AJ177" s="1433"/>
      <c r="AK177" s="1433"/>
      <c r="AL177" s="1433"/>
      <c r="AM177" s="1433"/>
      <c r="AN177" s="180"/>
      <c r="AO177" s="180"/>
      <c r="AP177" s="180"/>
    </row>
    <row r="178" spans="1:42">
      <c r="A178" s="286" t="s">
        <v>1242</v>
      </c>
      <c r="B178" s="312"/>
      <c r="C178" s="312"/>
      <c r="D178" s="312"/>
      <c r="E178" s="312"/>
      <c r="F178" s="312"/>
      <c r="G178" s="312"/>
      <c r="H178" s="312"/>
      <c r="I178" s="312"/>
      <c r="J178" s="183"/>
      <c r="K178" s="198"/>
      <c r="L178" s="198"/>
      <c r="M178" s="184"/>
      <c r="N178" s="184"/>
      <c r="O178" s="184"/>
      <c r="P178" s="184"/>
      <c r="Q178" s="184"/>
      <c r="R178" s="184"/>
      <c r="S178" s="184"/>
      <c r="T178" s="184"/>
      <c r="U178" s="184">
        <v>5.6813434165750687E-2</v>
      </c>
      <c r="V178" s="184">
        <f>V177/U177-1</f>
        <v>-0.50331728466006531</v>
      </c>
      <c r="W178" s="184"/>
      <c r="X178" s="184">
        <f t="shared" ref="X178:AF178" si="100">X177/W177-1</f>
        <v>0.37539996814777243</v>
      </c>
      <c r="Y178" s="184">
        <f t="shared" si="100"/>
        <v>0.35557715387353284</v>
      </c>
      <c r="Z178" s="184">
        <f t="shared" si="100"/>
        <v>0.1083845283405489</v>
      </c>
      <c r="AA178" s="184">
        <f t="shared" si="100"/>
        <v>0.23990152616558258</v>
      </c>
      <c r="AB178" s="184">
        <f t="shared" si="100"/>
        <v>9.0413295488421586E-2</v>
      </c>
      <c r="AC178" s="184">
        <f t="shared" si="100"/>
        <v>-6.1405405405404734E-3</v>
      </c>
      <c r="AD178" s="184">
        <f t="shared" si="100"/>
        <v>-2.5731970006816596E-2</v>
      </c>
      <c r="AE178" s="184">
        <f t="shared" si="100"/>
        <v>-3.5111217510260029E-2</v>
      </c>
      <c r="AF178" s="184">
        <f t="shared" si="100"/>
        <v>-4.4490322580645003E-2</v>
      </c>
      <c r="AG178" s="180"/>
      <c r="AH178" s="1433"/>
      <c r="AI178" s="1433"/>
      <c r="AJ178" s="1433"/>
      <c r="AK178" s="1433"/>
      <c r="AL178" s="1433"/>
      <c r="AM178" s="1433"/>
      <c r="AN178" s="180"/>
      <c r="AO178" s="180"/>
      <c r="AP178" s="180"/>
    </row>
    <row r="179" spans="1:42">
      <c r="A179" s="249"/>
      <c r="B179" s="180"/>
      <c r="C179" s="180"/>
      <c r="D179" s="180"/>
      <c r="E179" s="180"/>
      <c r="F179" s="180"/>
      <c r="G179" s="180"/>
      <c r="H179" s="180"/>
      <c r="I179" s="180"/>
      <c r="J179" s="175"/>
      <c r="K179" s="178"/>
      <c r="L179" s="178"/>
      <c r="M179" s="178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88"/>
      <c r="Z179" s="188"/>
      <c r="AA179" s="175"/>
      <c r="AB179" s="175"/>
      <c r="AC179" s="175"/>
      <c r="AD179" s="175"/>
      <c r="AE179" s="175"/>
      <c r="AF179" s="175"/>
      <c r="AG179" s="180"/>
      <c r="AH179" s="1433"/>
      <c r="AI179" s="1433"/>
      <c r="AJ179" s="1433"/>
      <c r="AK179" s="1433"/>
      <c r="AL179" s="1433"/>
      <c r="AM179" s="1433"/>
      <c r="AN179" s="180"/>
      <c r="AO179" s="180"/>
      <c r="AP179" s="180"/>
    </row>
    <row r="180" spans="1:42">
      <c r="A180" s="320" t="s">
        <v>1318</v>
      </c>
      <c r="B180" s="185"/>
      <c r="C180" s="185"/>
      <c r="D180" s="185"/>
      <c r="E180" s="185"/>
      <c r="F180" s="185"/>
      <c r="G180" s="185"/>
      <c r="H180" s="185"/>
      <c r="I180" s="185"/>
      <c r="J180" s="185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0"/>
      <c r="AH180" s="1433" t="s">
        <v>1467</v>
      </c>
      <c r="AI180" s="1433"/>
      <c r="AJ180" s="1433"/>
      <c r="AK180" s="1433"/>
      <c r="AL180" s="1433"/>
      <c r="AM180" s="1433"/>
      <c r="AN180" s="180"/>
      <c r="AO180" s="180"/>
      <c r="AP180" s="180"/>
    </row>
    <row r="181" spans="1:42">
      <c r="A181" s="19"/>
      <c r="B181" s="180"/>
      <c r="C181" s="180"/>
      <c r="D181" s="180"/>
      <c r="E181" s="180"/>
      <c r="F181" s="180"/>
      <c r="G181" s="180"/>
      <c r="H181" s="180"/>
      <c r="I181" s="180"/>
      <c r="J181" s="175"/>
      <c r="K181" s="178"/>
      <c r="L181" s="178"/>
      <c r="M181" s="178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80"/>
      <c r="Y181" s="175"/>
      <c r="Z181" s="175"/>
      <c r="AA181" s="175"/>
      <c r="AB181" s="175"/>
      <c r="AC181" s="175"/>
      <c r="AD181" s="175"/>
      <c r="AE181" s="175"/>
      <c r="AF181" s="175"/>
      <c r="AG181" s="180"/>
      <c r="AH181" s="1433"/>
      <c r="AI181" s="1433"/>
      <c r="AJ181" s="1433"/>
      <c r="AK181" s="1433"/>
      <c r="AL181" s="1433"/>
      <c r="AM181" s="1433"/>
      <c r="AN181" s="180"/>
      <c r="AO181" s="180"/>
      <c r="AP181" s="180"/>
    </row>
    <row r="182" spans="1:42">
      <c r="A182" s="850" t="s">
        <v>1473</v>
      </c>
      <c r="B182" s="851"/>
      <c r="C182" s="851"/>
      <c r="D182" s="851"/>
      <c r="E182" s="851"/>
      <c r="F182" s="851"/>
      <c r="G182" s="851"/>
      <c r="H182" s="851"/>
      <c r="I182" s="851"/>
      <c r="J182" s="852"/>
      <c r="K182" s="853"/>
      <c r="L182" s="853"/>
      <c r="M182" s="853"/>
      <c r="N182" s="852"/>
      <c r="O182" s="852"/>
      <c r="P182" s="852"/>
      <c r="Q182" s="852"/>
      <c r="R182" s="852"/>
      <c r="S182" s="854"/>
      <c r="T182" s="855"/>
      <c r="U182" s="855"/>
      <c r="V182" s="855"/>
      <c r="W182" s="855"/>
      <c r="X182" s="855"/>
      <c r="Y182" s="855"/>
      <c r="Z182" s="855"/>
      <c r="AA182" s="855"/>
      <c r="AB182" s="855"/>
      <c r="AC182" s="855"/>
      <c r="AD182" s="855"/>
      <c r="AE182" s="855"/>
      <c r="AF182" s="855"/>
      <c r="AG182" s="180"/>
      <c r="AH182" s="1437">
        <f>X169*0.75+0.2*0.25</f>
        <v>0.27453125000000012</v>
      </c>
      <c r="AI182" s="1433"/>
      <c r="AJ182" s="1433"/>
      <c r="AK182" s="1433"/>
      <c r="AL182" s="1433"/>
      <c r="AM182" s="1433"/>
      <c r="AN182" s="180"/>
      <c r="AO182" s="180"/>
      <c r="AP182" s="180"/>
    </row>
    <row r="183" spans="1:42">
      <c r="A183" s="249" t="s">
        <v>931</v>
      </c>
      <c r="B183" s="180"/>
      <c r="C183" s="180"/>
      <c r="D183" s="180"/>
      <c r="E183" s="180"/>
      <c r="F183" s="180"/>
      <c r="G183" s="180"/>
      <c r="H183" s="180"/>
      <c r="I183" s="180"/>
      <c r="J183" s="175"/>
      <c r="K183" s="178"/>
      <c r="L183" s="178"/>
      <c r="M183" s="178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3">
        <f t="shared" ref="X183:AF183" si="101">ROUND(X$185*X198,0)</f>
        <v>0</v>
      </c>
      <c r="Y183" s="173">
        <f t="shared" si="101"/>
        <v>2</v>
      </c>
      <c r="Z183" s="173">
        <f t="shared" si="101"/>
        <v>15</v>
      </c>
      <c r="AA183" s="173">
        <f t="shared" si="101"/>
        <v>54</v>
      </c>
      <c r="AB183" s="173">
        <f t="shared" si="101"/>
        <v>86</v>
      </c>
      <c r="AC183" s="173">
        <f t="shared" si="101"/>
        <v>133</v>
      </c>
      <c r="AD183" s="173">
        <f t="shared" si="101"/>
        <v>182</v>
      </c>
      <c r="AE183" s="173">
        <f t="shared" si="101"/>
        <v>242</v>
      </c>
      <c r="AF183" s="173">
        <f t="shared" si="101"/>
        <v>330</v>
      </c>
      <c r="AG183" s="180"/>
      <c r="AH183" s="1433"/>
      <c r="AI183" s="1433"/>
      <c r="AJ183" s="1433"/>
      <c r="AK183" s="1433"/>
      <c r="AL183" s="1433"/>
      <c r="AM183" s="1433"/>
      <c r="AN183" s="180"/>
      <c r="AO183" s="180"/>
      <c r="AP183" s="180"/>
    </row>
    <row r="184" spans="1:42">
      <c r="A184" s="249" t="s">
        <v>1248</v>
      </c>
      <c r="B184" s="180"/>
      <c r="C184" s="180"/>
      <c r="D184" s="180"/>
      <c r="E184" s="180"/>
      <c r="F184" s="180"/>
      <c r="G184" s="180"/>
      <c r="H184" s="180"/>
      <c r="I184" s="180"/>
      <c r="J184" s="175"/>
      <c r="K184" s="178"/>
      <c r="L184" s="178"/>
      <c r="M184" s="178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3">
        <f t="shared" ref="X184:AF184" si="102">ROUND(X$185*X199,0)</f>
        <v>2</v>
      </c>
      <c r="Y184" s="173">
        <f t="shared" si="102"/>
        <v>49</v>
      </c>
      <c r="Z184" s="173">
        <f t="shared" si="102"/>
        <v>260</v>
      </c>
      <c r="AA184" s="173">
        <f>ROUND(AA$185*AA199,0)</f>
        <v>601</v>
      </c>
      <c r="AB184" s="173">
        <f t="shared" si="102"/>
        <v>714</v>
      </c>
      <c r="AC184" s="173">
        <f t="shared" si="102"/>
        <v>867</v>
      </c>
      <c r="AD184" s="173">
        <f t="shared" si="102"/>
        <v>968</v>
      </c>
      <c r="AE184" s="173">
        <f t="shared" si="102"/>
        <v>1080</v>
      </c>
      <c r="AF184" s="173">
        <f t="shared" si="102"/>
        <v>1257</v>
      </c>
      <c r="AG184" s="180"/>
      <c r="AH184" s="1433"/>
      <c r="AI184" s="1433"/>
      <c r="AJ184" s="1433"/>
      <c r="AK184" s="1433"/>
      <c r="AL184" s="1433"/>
      <c r="AM184" s="1433"/>
      <c r="AN184" s="180"/>
      <c r="AO184" s="180"/>
      <c r="AP184" s="180"/>
    </row>
    <row r="185" spans="1:42">
      <c r="A185" s="181" t="s">
        <v>1469</v>
      </c>
      <c r="B185" s="57"/>
      <c r="C185" s="57"/>
      <c r="D185" s="57"/>
      <c r="E185" s="57"/>
      <c r="F185" s="57"/>
      <c r="G185" s="57"/>
      <c r="H185" s="57"/>
      <c r="I185" s="57"/>
      <c r="J185" s="196"/>
      <c r="K185" s="197"/>
      <c r="L185" s="197"/>
      <c r="M185" s="197"/>
      <c r="N185" s="196"/>
      <c r="O185" s="196"/>
      <c r="P185" s="196"/>
      <c r="Q185" s="196"/>
      <c r="R185" s="196"/>
      <c r="S185" s="196"/>
      <c r="T185" s="196"/>
      <c r="U185" s="196"/>
      <c r="V185" s="196"/>
      <c r="W185" s="1059"/>
      <c r="X185" s="1060">
        <v>2</v>
      </c>
      <c r="Y185" s="1060">
        <v>50</v>
      </c>
      <c r="Z185" s="1060">
        <v>275</v>
      </c>
      <c r="AA185" s="356">
        <v>655</v>
      </c>
      <c r="AB185" s="356">
        <v>800</v>
      </c>
      <c r="AC185" s="356">
        <v>1000</v>
      </c>
      <c r="AD185" s="356">
        <f>AC185*1.15</f>
        <v>1150</v>
      </c>
      <c r="AE185" s="356">
        <f>AD185*1.15</f>
        <v>1322.5</v>
      </c>
      <c r="AF185" s="356">
        <f>AE185*1.2</f>
        <v>1587</v>
      </c>
      <c r="AG185" s="180"/>
      <c r="AH185" s="1433"/>
      <c r="AI185" s="1433"/>
      <c r="AJ185" s="1433"/>
      <c r="AK185" s="1433"/>
      <c r="AL185" s="1433"/>
      <c r="AM185" s="1433"/>
      <c r="AN185" s="180"/>
      <c r="AO185" s="180"/>
      <c r="AP185" s="180"/>
    </row>
    <row r="186" spans="1:42">
      <c r="A186" s="286" t="s">
        <v>1242</v>
      </c>
      <c r="B186" s="180"/>
      <c r="C186" s="180"/>
      <c r="D186" s="180"/>
      <c r="E186" s="180"/>
      <c r="F186" s="180"/>
      <c r="G186" s="180"/>
      <c r="H186" s="180"/>
      <c r="I186" s="180"/>
      <c r="J186" s="175"/>
      <c r="K186" s="178"/>
      <c r="L186" s="178"/>
      <c r="M186" s="178"/>
      <c r="N186" s="175"/>
      <c r="O186" s="175"/>
      <c r="P186" s="175"/>
      <c r="Q186" s="175"/>
      <c r="R186" s="175"/>
      <c r="S186" s="175"/>
      <c r="T186" s="175"/>
      <c r="U186" s="175"/>
      <c r="V186" s="175"/>
      <c r="W186" s="1058"/>
      <c r="X186" s="1061"/>
      <c r="Y186" s="1061">
        <f t="shared" ref="Y186:AF186" si="103">Y185/X185-1</f>
        <v>24</v>
      </c>
      <c r="Z186" s="1061">
        <f t="shared" si="103"/>
        <v>4.5</v>
      </c>
      <c r="AA186" s="184">
        <f t="shared" si="103"/>
        <v>1.3818181818181818</v>
      </c>
      <c r="AB186" s="184">
        <f t="shared" si="103"/>
        <v>0.22137404580152675</v>
      </c>
      <c r="AC186" s="184">
        <f t="shared" si="103"/>
        <v>0.25</v>
      </c>
      <c r="AD186" s="184">
        <f t="shared" si="103"/>
        <v>0.14999999999999991</v>
      </c>
      <c r="AE186" s="184">
        <f t="shared" si="103"/>
        <v>0.14999999999999991</v>
      </c>
      <c r="AF186" s="184">
        <f t="shared" si="103"/>
        <v>0.19999999999999996</v>
      </c>
      <c r="AG186" s="180"/>
      <c r="AH186" s="1433"/>
      <c r="AI186" s="1433"/>
      <c r="AJ186" s="1433"/>
      <c r="AK186" s="1433"/>
      <c r="AL186" s="1433"/>
      <c r="AM186" s="1433"/>
      <c r="AN186" s="180"/>
      <c r="AO186" s="180"/>
      <c r="AP186" s="180"/>
    </row>
    <row r="187" spans="1:42">
      <c r="A187" s="19"/>
      <c r="B187" s="180"/>
      <c r="C187" s="180"/>
      <c r="D187" s="180"/>
      <c r="E187" s="180"/>
      <c r="F187" s="180"/>
      <c r="G187" s="180"/>
      <c r="H187" s="180"/>
      <c r="I187" s="180"/>
      <c r="J187" s="175"/>
      <c r="K187" s="178"/>
      <c r="L187" s="178"/>
      <c r="M187" s="178"/>
      <c r="N187" s="175"/>
      <c r="O187" s="175"/>
      <c r="P187" s="175"/>
      <c r="Q187" s="175"/>
      <c r="R187" s="175"/>
      <c r="S187" s="175"/>
      <c r="T187" s="175"/>
      <c r="U187" s="175"/>
      <c r="V187" s="175"/>
      <c r="W187" s="1058"/>
      <c r="X187" s="227"/>
      <c r="Y187" s="1058"/>
      <c r="Z187" s="1058"/>
      <c r="AA187" s="175"/>
      <c r="AB187" s="175"/>
      <c r="AC187" s="175"/>
      <c r="AD187" s="175"/>
      <c r="AE187" s="175"/>
      <c r="AF187" s="175"/>
      <c r="AG187" s="180"/>
      <c r="AH187" s="1433"/>
      <c r="AI187" s="1433"/>
      <c r="AJ187" s="1433"/>
      <c r="AK187" s="1433"/>
      <c r="AL187" s="1433"/>
      <c r="AM187" s="1433"/>
      <c r="AN187" s="180"/>
      <c r="AO187" s="180"/>
      <c r="AP187" s="180"/>
    </row>
    <row r="188" spans="1:42">
      <c r="A188" s="249" t="s">
        <v>931</v>
      </c>
      <c r="B188" s="180"/>
      <c r="C188" s="180"/>
      <c r="D188" s="180"/>
      <c r="E188" s="180"/>
      <c r="F188" s="180"/>
      <c r="G188" s="180"/>
      <c r="H188" s="180"/>
      <c r="I188" s="180"/>
      <c r="J188" s="175"/>
      <c r="K188" s="178"/>
      <c r="L188" s="178"/>
      <c r="M188" s="178"/>
      <c r="N188" s="175"/>
      <c r="O188" s="175"/>
      <c r="P188" s="175"/>
      <c r="Q188" s="175"/>
      <c r="R188" s="175"/>
      <c r="S188" s="175"/>
      <c r="T188" s="175"/>
      <c r="U188" s="175"/>
      <c r="V188" s="175"/>
      <c r="W188" s="1058"/>
      <c r="X188" s="1052">
        <f t="shared" ref="X188:AF188" si="104">ROUND(X$190*X198,0)</f>
        <v>2</v>
      </c>
      <c r="Y188" s="1052">
        <f t="shared" si="104"/>
        <v>20</v>
      </c>
      <c r="Z188" s="1052">
        <f t="shared" si="104"/>
        <v>46</v>
      </c>
      <c r="AA188" s="173">
        <f t="shared" si="104"/>
        <v>70</v>
      </c>
      <c r="AB188" s="173">
        <f t="shared" si="104"/>
        <v>120</v>
      </c>
      <c r="AC188" s="173">
        <f t="shared" si="104"/>
        <v>191</v>
      </c>
      <c r="AD188" s="173">
        <f t="shared" si="104"/>
        <v>308</v>
      </c>
      <c r="AE188" s="173">
        <f t="shared" si="104"/>
        <v>356</v>
      </c>
      <c r="AF188" s="173">
        <f t="shared" si="104"/>
        <v>388</v>
      </c>
      <c r="AG188" s="180"/>
      <c r="AH188" s="1433"/>
      <c r="AI188" s="1433"/>
      <c r="AJ188" s="1433"/>
      <c r="AK188" s="1433"/>
      <c r="AL188" s="1433"/>
      <c r="AM188" s="1433"/>
      <c r="AN188" s="180"/>
      <c r="AO188" s="180"/>
      <c r="AP188" s="180"/>
    </row>
    <row r="189" spans="1:42">
      <c r="A189" s="249" t="s">
        <v>1248</v>
      </c>
      <c r="B189" s="180"/>
      <c r="C189" s="180"/>
      <c r="D189" s="180"/>
      <c r="E189" s="180"/>
      <c r="F189" s="180"/>
      <c r="G189" s="180"/>
      <c r="H189" s="180"/>
      <c r="I189" s="180"/>
      <c r="J189" s="175"/>
      <c r="K189" s="178"/>
      <c r="L189" s="178"/>
      <c r="M189" s="178"/>
      <c r="N189" s="175"/>
      <c r="O189" s="175"/>
      <c r="P189" s="175"/>
      <c r="Q189" s="175"/>
      <c r="R189" s="175"/>
      <c r="S189" s="175"/>
      <c r="T189" s="175"/>
      <c r="U189" s="175"/>
      <c r="V189" s="175"/>
      <c r="W189" s="1058"/>
      <c r="X189" s="1052">
        <f t="shared" ref="X189:AF189" si="105">ROUND(X$190*X199,0)</f>
        <v>446</v>
      </c>
      <c r="Y189" s="1052">
        <f t="shared" si="105"/>
        <v>645</v>
      </c>
      <c r="Z189" s="1052">
        <f t="shared" si="105"/>
        <v>787</v>
      </c>
      <c r="AA189" s="173">
        <f t="shared" si="105"/>
        <v>775</v>
      </c>
      <c r="AB189" s="173">
        <f t="shared" si="105"/>
        <v>991</v>
      </c>
      <c r="AC189" s="173">
        <f t="shared" si="105"/>
        <v>1243</v>
      </c>
      <c r="AD189" s="173">
        <f t="shared" si="105"/>
        <v>1642</v>
      </c>
      <c r="AE189" s="173">
        <f t="shared" si="105"/>
        <v>1591</v>
      </c>
      <c r="AF189" s="173">
        <f t="shared" si="105"/>
        <v>1475</v>
      </c>
      <c r="AG189" s="180"/>
      <c r="AH189" s="1433"/>
      <c r="AI189" s="1433"/>
      <c r="AJ189" s="1433"/>
      <c r="AK189" s="1433"/>
      <c r="AL189" s="1433"/>
      <c r="AM189" s="1433"/>
      <c r="AN189" s="180"/>
      <c r="AO189" s="180"/>
      <c r="AP189" s="180"/>
    </row>
    <row r="190" spans="1:42">
      <c r="A190" s="181" t="s">
        <v>1470</v>
      </c>
      <c r="B190" s="57"/>
      <c r="C190" s="57"/>
      <c r="D190" s="57"/>
      <c r="E190" s="57"/>
      <c r="F190" s="57"/>
      <c r="G190" s="57"/>
      <c r="H190" s="57"/>
      <c r="I190" s="57"/>
      <c r="J190" s="196"/>
      <c r="K190" s="197"/>
      <c r="L190" s="197"/>
      <c r="M190" s="197"/>
      <c r="N190" s="196"/>
      <c r="O190" s="196"/>
      <c r="P190" s="196"/>
      <c r="Q190" s="196"/>
      <c r="R190" s="196"/>
      <c r="S190" s="196"/>
      <c r="T190" s="196"/>
      <c r="U190" s="196"/>
      <c r="V190" s="196"/>
      <c r="W190" s="1059"/>
      <c r="X190" s="1060">
        <f t="shared" ref="X190:AF190" si="106">X193-X185</f>
        <v>448</v>
      </c>
      <c r="Y190" s="1060">
        <f t="shared" si="106"/>
        <v>665</v>
      </c>
      <c r="Z190" s="1060">
        <f t="shared" si="106"/>
        <v>832.5</v>
      </c>
      <c r="AA190" s="167">
        <f t="shared" si="106"/>
        <v>845</v>
      </c>
      <c r="AB190" s="167">
        <f t="shared" si="106"/>
        <v>1110.65116728306</v>
      </c>
      <c r="AC190" s="167">
        <f t="shared" si="106"/>
        <v>1433.7252553600797</v>
      </c>
      <c r="AD190" s="167">
        <f t="shared" si="106"/>
        <v>1950</v>
      </c>
      <c r="AE190" s="167">
        <f t="shared" si="106"/>
        <v>1947.5</v>
      </c>
      <c r="AF190" s="167">
        <f t="shared" si="106"/>
        <v>1863</v>
      </c>
      <c r="AG190" s="180"/>
      <c r="AH190" s="1433"/>
      <c r="AI190" s="1433"/>
      <c r="AJ190" s="1433"/>
      <c r="AK190" s="1433"/>
      <c r="AL190" s="1433"/>
      <c r="AM190" s="1433"/>
      <c r="AN190" s="180"/>
      <c r="AO190" s="285"/>
      <c r="AP190" s="285"/>
    </row>
    <row r="191" spans="1:42">
      <c r="A191" s="286" t="s">
        <v>1242</v>
      </c>
      <c r="B191" s="180"/>
      <c r="C191" s="180"/>
      <c r="D191" s="180"/>
      <c r="E191" s="180"/>
      <c r="F191" s="180"/>
      <c r="G191" s="180"/>
      <c r="H191" s="180"/>
      <c r="I191" s="180"/>
      <c r="J191" s="175"/>
      <c r="K191" s="178"/>
      <c r="L191" s="178"/>
      <c r="M191" s="178"/>
      <c r="N191" s="175"/>
      <c r="O191" s="175"/>
      <c r="P191" s="175"/>
      <c r="Q191" s="175"/>
      <c r="R191" s="175"/>
      <c r="S191" s="175"/>
      <c r="T191" s="175"/>
      <c r="U191" s="175"/>
      <c r="V191" s="175"/>
      <c r="W191" s="1058"/>
      <c r="X191" s="1061"/>
      <c r="Y191" s="1061">
        <f t="shared" ref="Y191:AF191" si="107">Y190/X190-1</f>
        <v>0.484375</v>
      </c>
      <c r="Z191" s="1061">
        <f t="shared" si="107"/>
        <v>0.25187969924812026</v>
      </c>
      <c r="AA191" s="184">
        <f t="shared" si="107"/>
        <v>1.501501501501501E-2</v>
      </c>
      <c r="AB191" s="184">
        <f t="shared" si="107"/>
        <v>0.31438007962492298</v>
      </c>
      <c r="AC191" s="184">
        <f t="shared" si="107"/>
        <v>0.29088709181960581</v>
      </c>
      <c r="AD191" s="184">
        <f t="shared" si="107"/>
        <v>0.36009322058727222</v>
      </c>
      <c r="AE191" s="184">
        <f t="shared" si="107"/>
        <v>-1.2820512820512775E-3</v>
      </c>
      <c r="AF191" s="184">
        <f t="shared" si="107"/>
        <v>-4.3388960205391514E-2</v>
      </c>
      <c r="AG191" s="180"/>
      <c r="AH191" s="1433"/>
      <c r="AI191" s="1433"/>
      <c r="AJ191" s="1439"/>
      <c r="AK191" s="1440"/>
      <c r="AL191" s="1440"/>
      <c r="AM191" s="1440"/>
      <c r="AN191" s="225"/>
      <c r="AO191" s="285"/>
      <c r="AP191" s="285"/>
    </row>
    <row r="192" spans="1:42">
      <c r="A192" s="286"/>
      <c r="B192" s="180"/>
      <c r="C192" s="180"/>
      <c r="D192" s="180"/>
      <c r="E192" s="180"/>
      <c r="F192" s="180"/>
      <c r="G192" s="180"/>
      <c r="H192" s="180"/>
      <c r="I192" s="180"/>
      <c r="J192" s="175"/>
      <c r="K192" s="178"/>
      <c r="L192" s="178"/>
      <c r="M192" s="178"/>
      <c r="N192" s="175"/>
      <c r="O192" s="175"/>
      <c r="P192" s="175"/>
      <c r="Q192" s="175"/>
      <c r="R192" s="175"/>
      <c r="S192" s="175"/>
      <c r="T192" s="175"/>
      <c r="U192" s="175"/>
      <c r="V192" s="175"/>
      <c r="W192" s="1058"/>
      <c r="X192" s="1061"/>
      <c r="Y192" s="1061"/>
      <c r="Z192" s="1061"/>
      <c r="AA192" s="184"/>
      <c r="AB192" s="184"/>
      <c r="AC192" s="184"/>
      <c r="AD192" s="184"/>
      <c r="AE192" s="184"/>
      <c r="AF192" s="184"/>
      <c r="AG192" s="180"/>
      <c r="AH192" s="1433"/>
      <c r="AI192" s="1433"/>
      <c r="AJ192" s="1439"/>
      <c r="AK192" s="1440"/>
      <c r="AL192" s="1440"/>
      <c r="AM192" s="1440"/>
      <c r="AN192" s="225"/>
      <c r="AO192" s="180"/>
      <c r="AP192" s="180"/>
    </row>
    <row r="193" spans="1:42">
      <c r="A193" s="181" t="s">
        <v>1475</v>
      </c>
      <c r="B193" s="57"/>
      <c r="C193" s="57"/>
      <c r="D193" s="57"/>
      <c r="E193" s="57"/>
      <c r="F193" s="57"/>
      <c r="G193" s="57"/>
      <c r="H193" s="57"/>
      <c r="I193" s="57"/>
      <c r="J193" s="196"/>
      <c r="K193" s="197"/>
      <c r="L193" s="197"/>
      <c r="M193" s="197"/>
      <c r="N193" s="196"/>
      <c r="O193" s="196"/>
      <c r="P193" s="196"/>
      <c r="Q193" s="196"/>
      <c r="R193" s="196"/>
      <c r="S193" s="196"/>
      <c r="T193" s="196"/>
      <c r="U193" s="196"/>
      <c r="V193" s="196"/>
      <c r="W193" s="1059"/>
      <c r="X193" s="1060">
        <f>450</f>
        <v>450</v>
      </c>
      <c r="Y193" s="1060">
        <f>715</f>
        <v>715</v>
      </c>
      <c r="Z193" s="1060">
        <f>(AA193-Y193)/2+Y193</f>
        <v>1107.5</v>
      </c>
      <c r="AA193" s="356">
        <v>1500</v>
      </c>
      <c r="AB193" s="356">
        <f>AA193*(AD193/AA193)^(1/3)</f>
        <v>1910.65116728306</v>
      </c>
      <c r="AC193" s="356">
        <f>AB193*(AD193/AA193)^(1/3)</f>
        <v>2433.7252553600797</v>
      </c>
      <c r="AD193" s="356">
        <f>3100</f>
        <v>3100</v>
      </c>
      <c r="AE193" s="356">
        <f>AD193+170</f>
        <v>3270</v>
      </c>
      <c r="AF193" s="356">
        <f>AE193+180</f>
        <v>3450</v>
      </c>
      <c r="AG193" s="180"/>
      <c r="AH193" s="1433"/>
      <c r="AI193" s="1433"/>
      <c r="AJ193" s="1433"/>
      <c r="AK193" s="1433"/>
      <c r="AL193" s="1433"/>
      <c r="AM193" s="1433"/>
      <c r="AN193" s="180"/>
      <c r="AO193" s="180"/>
      <c r="AP193" s="180"/>
    </row>
    <row r="194" spans="1:42">
      <c r="A194" s="286" t="s">
        <v>1242</v>
      </c>
      <c r="B194" s="180"/>
      <c r="C194" s="180"/>
      <c r="D194" s="180"/>
      <c r="E194" s="180"/>
      <c r="F194" s="180"/>
      <c r="G194" s="180"/>
      <c r="H194" s="180"/>
      <c r="I194" s="180"/>
      <c r="J194" s="175"/>
      <c r="K194" s="178"/>
      <c r="L194" s="178"/>
      <c r="M194" s="178"/>
      <c r="N194" s="175"/>
      <c r="O194" s="175"/>
      <c r="P194" s="175"/>
      <c r="Q194" s="175"/>
      <c r="R194" s="175"/>
      <c r="S194" s="175"/>
      <c r="T194" s="175"/>
      <c r="U194" s="175"/>
      <c r="V194" s="175"/>
      <c r="W194" s="1058"/>
      <c r="X194" s="1061"/>
      <c r="Y194" s="1061">
        <f t="shared" ref="Y194:AF194" si="108">Y193/X193-1</f>
        <v>0.5888888888888888</v>
      </c>
      <c r="Z194" s="1061">
        <f t="shared" si="108"/>
        <v>0.54895104895104896</v>
      </c>
      <c r="AA194" s="184">
        <f t="shared" si="108"/>
        <v>0.35440180586907455</v>
      </c>
      <c r="AB194" s="184">
        <f t="shared" si="108"/>
        <v>0.2737674448553733</v>
      </c>
      <c r="AC194" s="184">
        <f t="shared" si="108"/>
        <v>0.2737674448553733</v>
      </c>
      <c r="AD194" s="184">
        <f t="shared" si="108"/>
        <v>0.27376744485537352</v>
      </c>
      <c r="AE194" s="184">
        <f t="shared" si="108"/>
        <v>5.4838709677419439E-2</v>
      </c>
      <c r="AF194" s="184">
        <f t="shared" si="108"/>
        <v>5.504587155963292E-2</v>
      </c>
      <c r="AG194" s="180"/>
      <c r="AH194" s="1433" t="s">
        <v>1370</v>
      </c>
      <c r="AI194" s="1433"/>
      <c r="AJ194" s="1433"/>
      <c r="AK194" s="1433"/>
      <c r="AL194" s="1433"/>
      <c r="AM194" s="1433"/>
      <c r="AN194" s="180"/>
      <c r="AO194" s="180"/>
      <c r="AP194" s="180"/>
    </row>
    <row r="195" spans="1:42">
      <c r="A195" s="286"/>
      <c r="B195" s="180"/>
      <c r="C195" s="180"/>
      <c r="D195" s="180"/>
      <c r="E195" s="180"/>
      <c r="F195" s="180"/>
      <c r="G195" s="180"/>
      <c r="H195" s="180"/>
      <c r="I195" s="180"/>
      <c r="J195" s="175"/>
      <c r="K195" s="178"/>
      <c r="L195" s="178"/>
      <c r="M195" s="178"/>
      <c r="N195" s="175"/>
      <c r="O195" s="175"/>
      <c r="P195" s="175"/>
      <c r="Q195" s="175"/>
      <c r="R195" s="175"/>
      <c r="S195" s="175"/>
      <c r="T195" s="175"/>
      <c r="U195" s="175"/>
      <c r="V195" s="175"/>
      <c r="W195" s="1058"/>
      <c r="X195" s="1061"/>
      <c r="Y195" s="1061"/>
      <c r="Z195" s="1061"/>
      <c r="AA195" s="184"/>
      <c r="AB195" s="184"/>
      <c r="AC195" s="184"/>
      <c r="AD195" s="184"/>
      <c r="AE195" s="184"/>
      <c r="AF195" s="184"/>
      <c r="AG195" s="180"/>
      <c r="AH195" s="1433"/>
      <c r="AI195" s="1433"/>
      <c r="AJ195" s="1433"/>
      <c r="AK195" s="1433"/>
      <c r="AL195" s="1433"/>
      <c r="AM195" s="1433"/>
      <c r="AN195" s="180"/>
      <c r="AO195" s="180"/>
      <c r="AP195" s="180"/>
    </row>
    <row r="196" spans="1:42">
      <c r="A196" s="850" t="s">
        <v>1474</v>
      </c>
      <c r="B196" s="851"/>
      <c r="C196" s="851"/>
      <c r="D196" s="851"/>
      <c r="E196" s="851"/>
      <c r="F196" s="851"/>
      <c r="G196" s="851"/>
      <c r="H196" s="851"/>
      <c r="I196" s="851"/>
      <c r="J196" s="852"/>
      <c r="K196" s="853"/>
      <c r="L196" s="853"/>
      <c r="M196" s="853"/>
      <c r="N196" s="852"/>
      <c r="O196" s="852"/>
      <c r="P196" s="852"/>
      <c r="Q196" s="852"/>
      <c r="R196" s="852"/>
      <c r="S196" s="854"/>
      <c r="T196" s="855"/>
      <c r="U196" s="855"/>
      <c r="V196" s="855"/>
      <c r="W196" s="855"/>
      <c r="X196" s="855"/>
      <c r="Y196" s="855"/>
      <c r="Z196" s="855"/>
      <c r="AA196" s="855"/>
      <c r="AB196" s="855"/>
      <c r="AC196" s="855"/>
      <c r="AD196" s="855"/>
      <c r="AE196" s="855"/>
      <c r="AF196" s="855"/>
      <c r="AG196" s="180"/>
      <c r="AH196" s="1433"/>
      <c r="AI196" s="1433"/>
      <c r="AJ196" s="1433"/>
      <c r="AK196" s="1433"/>
      <c r="AL196" s="1433"/>
      <c r="AM196" s="1433"/>
      <c r="AN196" s="180"/>
      <c r="AO196" s="180"/>
      <c r="AP196" s="180"/>
    </row>
    <row r="197" spans="1:42">
      <c r="A197" s="249" t="s">
        <v>1369</v>
      </c>
      <c r="B197" s="180"/>
      <c r="C197" s="180"/>
      <c r="D197" s="180"/>
      <c r="E197" s="180"/>
      <c r="F197" s="180"/>
      <c r="G197" s="180"/>
      <c r="H197" s="180"/>
      <c r="I197" s="18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  <c r="AC197" s="281"/>
      <c r="AD197" s="281"/>
      <c r="AE197" s="281"/>
      <c r="AF197" s="281"/>
      <c r="AG197" s="180"/>
      <c r="AH197" s="1433"/>
      <c r="AI197" s="1433"/>
      <c r="AJ197" s="1433"/>
      <c r="AK197" s="1433"/>
      <c r="AL197" s="1433"/>
      <c r="AM197" s="1433"/>
      <c r="AN197" s="180"/>
      <c r="AO197" s="180"/>
      <c r="AP197" s="180"/>
    </row>
    <row r="198" spans="1:42">
      <c r="A198" s="303" t="s">
        <v>1247</v>
      </c>
      <c r="B198" s="174"/>
      <c r="C198" s="174"/>
      <c r="D198" s="174"/>
      <c r="E198" s="174"/>
      <c r="F198" s="174"/>
      <c r="G198" s="174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938">
        <f t="shared" ref="X198:AF198" si="109">X210+X211</f>
        <v>5.0000000000000001E-3</v>
      </c>
      <c r="Y198" s="938">
        <f t="shared" si="109"/>
        <v>3.0000000000000002E-2</v>
      </c>
      <c r="Z198" s="938">
        <f t="shared" si="109"/>
        <v>5.5000000000000007E-2</v>
      </c>
      <c r="AA198" s="938">
        <f t="shared" si="109"/>
        <v>8.3000000000000004E-2</v>
      </c>
      <c r="AB198" s="938">
        <f t="shared" si="109"/>
        <v>0.10800000000000001</v>
      </c>
      <c r="AC198" s="938">
        <f t="shared" si="109"/>
        <v>0.13300000000000001</v>
      </c>
      <c r="AD198" s="938">
        <f t="shared" si="109"/>
        <v>0.158</v>
      </c>
      <c r="AE198" s="938">
        <f t="shared" si="109"/>
        <v>0.183</v>
      </c>
      <c r="AF198" s="938">
        <f t="shared" si="109"/>
        <v>0.20799999999999999</v>
      </c>
      <c r="AG198" s="180"/>
      <c r="AH198" s="1433"/>
      <c r="AI198" s="1433"/>
      <c r="AJ198" s="1433"/>
      <c r="AK198" s="1433"/>
      <c r="AL198" s="1433"/>
      <c r="AM198" s="1433"/>
      <c r="AN198" s="180"/>
      <c r="AO198" s="180"/>
      <c r="AP198" s="180"/>
    </row>
    <row r="199" spans="1:42">
      <c r="A199" s="303" t="s">
        <v>1241</v>
      </c>
      <c r="B199" s="174"/>
      <c r="C199" s="174"/>
      <c r="D199" s="174"/>
      <c r="E199" s="174"/>
      <c r="F199" s="174"/>
      <c r="G199" s="174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87">
        <f t="shared" ref="X199:AF199" si="110">1-X198</f>
        <v>0.995</v>
      </c>
      <c r="Y199" s="187">
        <f t="shared" si="110"/>
        <v>0.97</v>
      </c>
      <c r="Z199" s="187">
        <f t="shared" si="110"/>
        <v>0.94499999999999995</v>
      </c>
      <c r="AA199" s="187">
        <f t="shared" si="110"/>
        <v>0.91700000000000004</v>
      </c>
      <c r="AB199" s="187">
        <f t="shared" si="110"/>
        <v>0.89200000000000002</v>
      </c>
      <c r="AC199" s="187">
        <f t="shared" si="110"/>
        <v>0.86699999999999999</v>
      </c>
      <c r="AD199" s="187">
        <f t="shared" si="110"/>
        <v>0.84199999999999997</v>
      </c>
      <c r="AE199" s="187">
        <f t="shared" si="110"/>
        <v>0.81699999999999995</v>
      </c>
      <c r="AF199" s="187">
        <f t="shared" si="110"/>
        <v>0.79200000000000004</v>
      </c>
      <c r="AG199" s="180"/>
      <c r="AH199" s="1433"/>
      <c r="AI199" s="1433"/>
      <c r="AJ199" s="1433"/>
      <c r="AK199" s="1433"/>
      <c r="AL199" s="1433"/>
      <c r="AM199" s="1433"/>
      <c r="AN199" s="180"/>
      <c r="AO199" s="180"/>
      <c r="AP199" s="180"/>
    </row>
    <row r="200" spans="1:42">
      <c r="A200" s="856" t="s">
        <v>1082</v>
      </c>
      <c r="B200" s="180"/>
      <c r="C200" s="180"/>
      <c r="D200" s="180"/>
      <c r="E200" s="180"/>
      <c r="F200" s="180"/>
      <c r="G200" s="180"/>
      <c r="H200" s="180"/>
      <c r="I200" s="321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>
        <f t="shared" ref="X200:AF200" si="111">X$199*0.2</f>
        <v>0.19900000000000001</v>
      </c>
      <c r="Y200" s="187">
        <f t="shared" si="111"/>
        <v>0.19400000000000001</v>
      </c>
      <c r="Z200" s="187">
        <f t="shared" si="111"/>
        <v>0.189</v>
      </c>
      <c r="AA200" s="187">
        <f t="shared" si="111"/>
        <v>0.18340000000000001</v>
      </c>
      <c r="AB200" s="187">
        <f t="shared" si="111"/>
        <v>0.1784</v>
      </c>
      <c r="AC200" s="187">
        <f t="shared" si="111"/>
        <v>0.1734</v>
      </c>
      <c r="AD200" s="187">
        <f t="shared" si="111"/>
        <v>0.16839999999999999</v>
      </c>
      <c r="AE200" s="187">
        <f t="shared" si="111"/>
        <v>0.16339999999999999</v>
      </c>
      <c r="AF200" s="187">
        <f t="shared" si="111"/>
        <v>0.15840000000000001</v>
      </c>
      <c r="AG200" s="180"/>
      <c r="AH200" s="1433"/>
      <c r="AI200" s="1433"/>
      <c r="AJ200" s="1433"/>
      <c r="AK200" s="1433"/>
      <c r="AL200" s="1433"/>
      <c r="AM200" s="1433"/>
      <c r="AN200" s="180"/>
      <c r="AO200" s="180"/>
      <c r="AP200" s="180"/>
    </row>
    <row r="201" spans="1:42">
      <c r="A201" s="856" t="s">
        <v>1083</v>
      </c>
      <c r="B201" s="180"/>
      <c r="C201" s="180"/>
      <c r="D201" s="180"/>
      <c r="E201" s="180"/>
      <c r="F201" s="180"/>
      <c r="G201" s="180"/>
      <c r="H201" s="180"/>
      <c r="I201" s="321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>
        <f t="shared" ref="X201:AF201" si="112">X$199*0.8</f>
        <v>0.79600000000000004</v>
      </c>
      <c r="Y201" s="187">
        <f t="shared" si="112"/>
        <v>0.77600000000000002</v>
      </c>
      <c r="Z201" s="187">
        <f t="shared" si="112"/>
        <v>0.75600000000000001</v>
      </c>
      <c r="AA201" s="187">
        <f t="shared" si="112"/>
        <v>0.73360000000000003</v>
      </c>
      <c r="AB201" s="187">
        <f t="shared" si="112"/>
        <v>0.71360000000000001</v>
      </c>
      <c r="AC201" s="187">
        <f t="shared" si="112"/>
        <v>0.69359999999999999</v>
      </c>
      <c r="AD201" s="187">
        <f t="shared" si="112"/>
        <v>0.67359999999999998</v>
      </c>
      <c r="AE201" s="187">
        <f t="shared" si="112"/>
        <v>0.65359999999999996</v>
      </c>
      <c r="AF201" s="187">
        <f t="shared" si="112"/>
        <v>0.63360000000000005</v>
      </c>
      <c r="AG201" s="180"/>
      <c r="AH201" s="1433" t="s">
        <v>1370</v>
      </c>
      <c r="AI201" s="1433"/>
      <c r="AJ201" s="1433"/>
      <c r="AK201" s="1433"/>
      <c r="AL201" s="1433"/>
      <c r="AM201" s="1433"/>
      <c r="AN201" s="180"/>
      <c r="AO201" s="180"/>
      <c r="AP201" s="180"/>
    </row>
    <row r="202" spans="1:42">
      <c r="A202" s="249"/>
      <c r="B202" s="180"/>
      <c r="C202" s="180"/>
      <c r="D202" s="180"/>
      <c r="E202" s="180"/>
      <c r="F202" s="180"/>
      <c r="G202" s="180"/>
      <c r="H202" s="180"/>
      <c r="I202" s="180"/>
      <c r="J202" s="175"/>
      <c r="K202" s="178"/>
      <c r="L202" s="178"/>
      <c r="M202" s="178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80"/>
      <c r="AH202" s="1433"/>
      <c r="AI202" s="1433"/>
      <c r="AJ202" s="1433"/>
      <c r="AK202" s="1433"/>
      <c r="AL202" s="1433"/>
      <c r="AM202" s="1433"/>
      <c r="AN202" s="180"/>
      <c r="AO202" s="180"/>
      <c r="AP202" s="180"/>
    </row>
    <row r="203" spans="1:42">
      <c r="A203" s="249" t="s">
        <v>1245</v>
      </c>
      <c r="B203" s="180"/>
      <c r="C203" s="180"/>
      <c r="D203" s="180"/>
      <c r="E203" s="180"/>
      <c r="F203" s="180"/>
      <c r="G203" s="180"/>
      <c r="H203" s="180"/>
      <c r="I203" s="180"/>
      <c r="J203" s="175"/>
      <c r="K203" s="178"/>
      <c r="L203" s="178"/>
      <c r="M203" s="178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99"/>
      <c r="Y203" s="199"/>
      <c r="Z203" s="175"/>
      <c r="AA203" s="175"/>
      <c r="AB203" s="175"/>
      <c r="AC203" s="175"/>
      <c r="AD203" s="175"/>
      <c r="AE203" s="175"/>
      <c r="AF203" s="175"/>
      <c r="AG203" s="180"/>
      <c r="AH203" s="1433"/>
      <c r="AI203" s="1433"/>
      <c r="AJ203" s="1433"/>
      <c r="AK203" s="1433"/>
      <c r="AL203" s="1433"/>
      <c r="AM203" s="1433"/>
      <c r="AN203" s="180"/>
      <c r="AO203" s="180"/>
      <c r="AP203" s="180"/>
    </row>
    <row r="204" spans="1:42">
      <c r="A204" s="303" t="s">
        <v>1460</v>
      </c>
      <c r="B204" s="180"/>
      <c r="C204" s="180"/>
      <c r="D204" s="180"/>
      <c r="E204" s="180"/>
      <c r="F204" s="180"/>
      <c r="G204" s="180"/>
      <c r="H204" s="180"/>
      <c r="I204" s="180"/>
      <c r="J204" s="175"/>
      <c r="K204" s="178"/>
      <c r="L204" s="178"/>
      <c r="M204" s="178"/>
      <c r="N204" s="177"/>
      <c r="O204" s="187"/>
      <c r="P204" s="187"/>
      <c r="Q204" s="187"/>
      <c r="R204" s="177"/>
      <c r="S204" s="187"/>
      <c r="T204" s="187">
        <f t="shared" ref="T204:AF204" si="113">S204</f>
        <v>0</v>
      </c>
      <c r="U204" s="187">
        <v>0.65</v>
      </c>
      <c r="V204" s="187">
        <f t="shared" si="113"/>
        <v>0.65</v>
      </c>
      <c r="W204" s="187">
        <f t="shared" si="113"/>
        <v>0.65</v>
      </c>
      <c r="X204" s="187">
        <f t="shared" si="113"/>
        <v>0.65</v>
      </c>
      <c r="Y204" s="187">
        <f t="shared" si="113"/>
        <v>0.65</v>
      </c>
      <c r="Z204" s="187">
        <f t="shared" si="113"/>
        <v>0.65</v>
      </c>
      <c r="AA204" s="935">
        <f t="shared" si="113"/>
        <v>0.65</v>
      </c>
      <c r="AB204" s="935">
        <f t="shared" si="113"/>
        <v>0.65</v>
      </c>
      <c r="AC204" s="935">
        <f t="shared" si="113"/>
        <v>0.65</v>
      </c>
      <c r="AD204" s="935">
        <f t="shared" si="113"/>
        <v>0.65</v>
      </c>
      <c r="AE204" s="935">
        <f t="shared" si="113"/>
        <v>0.65</v>
      </c>
      <c r="AF204" s="935">
        <f t="shared" si="113"/>
        <v>0.65</v>
      </c>
      <c r="AG204" s="180"/>
      <c r="AH204" s="1433"/>
      <c r="AI204" s="1433"/>
      <c r="AJ204" s="1433"/>
      <c r="AK204" s="1433"/>
      <c r="AL204" s="1433"/>
      <c r="AM204" s="1433"/>
      <c r="AN204" s="180"/>
      <c r="AO204" s="180"/>
      <c r="AP204" s="180"/>
    </row>
    <row r="205" spans="1:42">
      <c r="A205" s="303" t="s">
        <v>928</v>
      </c>
      <c r="B205" s="180"/>
      <c r="C205" s="180"/>
      <c r="D205" s="180"/>
      <c r="E205" s="180"/>
      <c r="F205" s="180"/>
      <c r="G205" s="180"/>
      <c r="H205" s="180"/>
      <c r="I205" s="180"/>
      <c r="J205" s="175"/>
      <c r="K205" s="178"/>
      <c r="L205" s="178"/>
      <c r="M205" s="178"/>
      <c r="N205" s="177"/>
      <c r="O205" s="187"/>
      <c r="P205" s="187"/>
      <c r="Q205" s="187"/>
      <c r="R205" s="177"/>
      <c r="S205" s="187"/>
      <c r="T205" s="187">
        <f t="shared" ref="T205:AF205" si="114">S205</f>
        <v>0</v>
      </c>
      <c r="U205" s="187">
        <v>0.35</v>
      </c>
      <c r="V205" s="187">
        <f t="shared" si="114"/>
        <v>0.35</v>
      </c>
      <c r="W205" s="187">
        <f t="shared" si="114"/>
        <v>0.35</v>
      </c>
      <c r="X205" s="187">
        <f t="shared" si="114"/>
        <v>0.35</v>
      </c>
      <c r="Y205" s="187">
        <f t="shared" si="114"/>
        <v>0.35</v>
      </c>
      <c r="Z205" s="187">
        <f t="shared" si="114"/>
        <v>0.35</v>
      </c>
      <c r="AA205" s="935">
        <f t="shared" si="114"/>
        <v>0.35</v>
      </c>
      <c r="AB205" s="935">
        <f t="shared" si="114"/>
        <v>0.35</v>
      </c>
      <c r="AC205" s="935">
        <f t="shared" si="114"/>
        <v>0.35</v>
      </c>
      <c r="AD205" s="935">
        <f t="shared" si="114"/>
        <v>0.35</v>
      </c>
      <c r="AE205" s="935">
        <f t="shared" si="114"/>
        <v>0.35</v>
      </c>
      <c r="AF205" s="935">
        <f t="shared" si="114"/>
        <v>0.35</v>
      </c>
      <c r="AG205" s="180"/>
      <c r="AH205" s="1433"/>
      <c r="AI205" s="1433"/>
      <c r="AJ205" s="1433"/>
      <c r="AK205" s="1433"/>
      <c r="AL205" s="1433"/>
      <c r="AM205" s="1433"/>
      <c r="AN205" s="180"/>
      <c r="AO205" s="180"/>
      <c r="AP205" s="180"/>
    </row>
    <row r="206" spans="1:42">
      <c r="A206" s="249"/>
      <c r="B206" s="180"/>
      <c r="C206" s="180"/>
      <c r="D206" s="180"/>
      <c r="E206" s="180"/>
      <c r="F206" s="180"/>
      <c r="G206" s="180"/>
      <c r="H206" s="180"/>
      <c r="I206" s="180"/>
      <c r="J206" s="175"/>
      <c r="K206" s="178"/>
      <c r="L206" s="178"/>
      <c r="M206" s="178"/>
      <c r="N206" s="175"/>
      <c r="O206" s="175"/>
      <c r="P206" s="175"/>
      <c r="Q206" s="175"/>
      <c r="R206" s="175"/>
      <c r="S206" s="477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80"/>
      <c r="AH206" s="1433" t="s">
        <v>1370</v>
      </c>
      <c r="AI206" s="1433"/>
      <c r="AJ206" s="1433"/>
      <c r="AK206" s="1433"/>
      <c r="AL206" s="1433"/>
      <c r="AM206" s="1433"/>
      <c r="AN206" s="180"/>
      <c r="AO206" s="180"/>
      <c r="AP206" s="180"/>
    </row>
    <row r="207" spans="1:42">
      <c r="A207" s="249" t="s">
        <v>1283</v>
      </c>
      <c r="B207" s="180"/>
      <c r="C207" s="180"/>
      <c r="D207" s="180"/>
      <c r="E207" s="180"/>
      <c r="F207" s="180"/>
      <c r="G207" s="180"/>
      <c r="H207" s="180"/>
      <c r="I207" s="180"/>
      <c r="J207" s="175"/>
      <c r="K207" s="178"/>
      <c r="L207" s="178"/>
      <c r="M207" s="178"/>
      <c r="N207" s="175"/>
      <c r="O207" s="175"/>
      <c r="P207" s="175"/>
      <c r="Q207" s="175"/>
      <c r="R207" s="175"/>
      <c r="S207" s="1058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80"/>
      <c r="AH207" s="1433"/>
      <c r="AI207" s="1433"/>
      <c r="AJ207" s="1433"/>
      <c r="AK207" s="1433"/>
      <c r="AL207" s="1433"/>
      <c r="AM207" s="1433"/>
      <c r="AN207" s="180"/>
      <c r="AO207" s="180"/>
      <c r="AP207" s="180"/>
    </row>
    <row r="208" spans="1:42">
      <c r="A208" s="303" t="s">
        <v>1463</v>
      </c>
      <c r="B208" s="180"/>
      <c r="C208" s="180"/>
      <c r="D208" s="180"/>
      <c r="E208" s="180"/>
      <c r="F208" s="180"/>
      <c r="G208" s="180"/>
      <c r="H208" s="180"/>
      <c r="I208" s="180"/>
      <c r="J208" s="175"/>
      <c r="K208" s="178"/>
      <c r="L208" s="178"/>
      <c r="M208" s="178"/>
      <c r="N208" s="178"/>
      <c r="O208" s="178"/>
      <c r="P208" s="178"/>
      <c r="Q208" s="178"/>
      <c r="R208" s="187"/>
      <c r="S208" s="1036"/>
      <c r="T208" s="189">
        <f t="shared" ref="T208:AF208" si="115">(1-T210-T211)/2</f>
        <v>0.5</v>
      </c>
      <c r="U208" s="189">
        <v>0.5</v>
      </c>
      <c r="V208" s="189">
        <f t="shared" si="115"/>
        <v>0.5</v>
      </c>
      <c r="W208" s="187">
        <f t="shared" si="115"/>
        <v>0.5</v>
      </c>
      <c r="X208" s="187">
        <f t="shared" si="115"/>
        <v>0.4975</v>
      </c>
      <c r="Y208" s="187">
        <f t="shared" si="115"/>
        <v>0.48499999999999999</v>
      </c>
      <c r="Z208" s="187">
        <f t="shared" si="115"/>
        <v>0.47249999999999998</v>
      </c>
      <c r="AA208" s="187">
        <f t="shared" si="115"/>
        <v>0.45850000000000002</v>
      </c>
      <c r="AB208" s="187">
        <f t="shared" si="115"/>
        <v>0.44600000000000001</v>
      </c>
      <c r="AC208" s="187">
        <f t="shared" si="115"/>
        <v>0.4335</v>
      </c>
      <c r="AD208" s="187">
        <f t="shared" si="115"/>
        <v>0.42099999999999999</v>
      </c>
      <c r="AE208" s="187">
        <f t="shared" si="115"/>
        <v>0.40849999999999997</v>
      </c>
      <c r="AF208" s="187">
        <f t="shared" si="115"/>
        <v>0.39600000000000002</v>
      </c>
      <c r="AG208" s="180"/>
      <c r="AH208" s="1433"/>
      <c r="AI208" s="1433"/>
      <c r="AJ208" s="1433"/>
      <c r="AK208" s="1433"/>
      <c r="AL208" s="1433"/>
      <c r="AM208" s="1433"/>
      <c r="AN208" s="180"/>
      <c r="AO208" s="285"/>
      <c r="AP208" s="285"/>
    </row>
    <row r="209" spans="1:42">
      <c r="A209" s="303" t="s">
        <v>1462</v>
      </c>
      <c r="B209" s="180"/>
      <c r="C209" s="180"/>
      <c r="D209" s="180"/>
      <c r="E209" s="180"/>
      <c r="F209" s="180"/>
      <c r="G209" s="180"/>
      <c r="H209" s="180"/>
      <c r="I209" s="180"/>
      <c r="J209" s="175"/>
      <c r="K209" s="178"/>
      <c r="L209" s="178"/>
      <c r="M209" s="178"/>
      <c r="N209" s="178"/>
      <c r="O209" s="178"/>
      <c r="P209" s="178"/>
      <c r="Q209" s="178"/>
      <c r="R209" s="187"/>
      <c r="S209" s="1036"/>
      <c r="T209" s="189">
        <f t="shared" ref="T209:AF209" si="116">(1-T210-T211)/2</f>
        <v>0.5</v>
      </c>
      <c r="U209" s="189">
        <v>0.5</v>
      </c>
      <c r="V209" s="189">
        <f t="shared" si="116"/>
        <v>0.5</v>
      </c>
      <c r="W209" s="187">
        <f t="shared" si="116"/>
        <v>0.5</v>
      </c>
      <c r="X209" s="187">
        <f t="shared" si="116"/>
        <v>0.4975</v>
      </c>
      <c r="Y209" s="187">
        <f t="shared" si="116"/>
        <v>0.48499999999999999</v>
      </c>
      <c r="Z209" s="187">
        <f t="shared" si="116"/>
        <v>0.47249999999999998</v>
      </c>
      <c r="AA209" s="187">
        <f t="shared" si="116"/>
        <v>0.45850000000000002</v>
      </c>
      <c r="AB209" s="187">
        <f t="shared" si="116"/>
        <v>0.44600000000000001</v>
      </c>
      <c r="AC209" s="187">
        <f t="shared" si="116"/>
        <v>0.4335</v>
      </c>
      <c r="AD209" s="187">
        <f t="shared" si="116"/>
        <v>0.42099999999999999</v>
      </c>
      <c r="AE209" s="187">
        <f t="shared" si="116"/>
        <v>0.40849999999999997</v>
      </c>
      <c r="AF209" s="187">
        <f t="shared" si="116"/>
        <v>0.39600000000000002</v>
      </c>
      <c r="AG209" s="180"/>
      <c r="AH209" s="1433"/>
      <c r="AI209" s="1433"/>
      <c r="AJ209" s="1439"/>
      <c r="AK209" s="1433"/>
      <c r="AL209" s="1433"/>
      <c r="AM209" s="1433"/>
      <c r="AN209" s="180"/>
      <c r="AO209" s="285"/>
      <c r="AP209" s="285"/>
    </row>
    <row r="210" spans="1:42">
      <c r="A210" s="303" t="s">
        <v>1243</v>
      </c>
      <c r="B210" s="180"/>
      <c r="C210" s="180"/>
      <c r="D210" s="180"/>
      <c r="E210" s="180"/>
      <c r="F210" s="180"/>
      <c r="G210" s="180"/>
      <c r="H210" s="180"/>
      <c r="I210" s="180"/>
      <c r="J210" s="175"/>
      <c r="K210" s="178"/>
      <c r="L210" s="178"/>
      <c r="M210" s="178"/>
      <c r="N210" s="178"/>
      <c r="O210" s="178"/>
      <c r="P210" s="178"/>
      <c r="Q210" s="178"/>
      <c r="R210" s="177"/>
      <c r="S210" s="1036"/>
      <c r="T210" s="189">
        <f t="shared" ref="T210:W211" si="117">S210</f>
        <v>0</v>
      </c>
      <c r="U210" s="189">
        <v>0</v>
      </c>
      <c r="V210" s="189">
        <f t="shared" si="117"/>
        <v>0</v>
      </c>
      <c r="W210" s="187">
        <f t="shared" si="117"/>
        <v>0</v>
      </c>
      <c r="X210" s="177">
        <v>5.0000000000000001E-3</v>
      </c>
      <c r="Y210" s="177">
        <f t="shared" ref="Y210:AF210" si="118">X210+0.025</f>
        <v>3.0000000000000002E-2</v>
      </c>
      <c r="Z210" s="177">
        <f t="shared" si="118"/>
        <v>5.5000000000000007E-2</v>
      </c>
      <c r="AA210" s="937">
        <f>Z210+0.028</f>
        <v>8.3000000000000004E-2</v>
      </c>
      <c r="AB210" s="937">
        <f t="shared" si="118"/>
        <v>0.10800000000000001</v>
      </c>
      <c r="AC210" s="937">
        <f t="shared" si="118"/>
        <v>0.13300000000000001</v>
      </c>
      <c r="AD210" s="937">
        <f t="shared" si="118"/>
        <v>0.158</v>
      </c>
      <c r="AE210" s="937">
        <f t="shared" si="118"/>
        <v>0.183</v>
      </c>
      <c r="AF210" s="937">
        <f t="shared" si="118"/>
        <v>0.20799999999999999</v>
      </c>
      <c r="AG210" s="180"/>
      <c r="AH210" s="1433"/>
      <c r="AI210" s="1433"/>
      <c r="AJ210" s="1433"/>
      <c r="AK210" s="1433"/>
      <c r="AL210" s="1433"/>
      <c r="AM210" s="1433"/>
      <c r="AN210" s="180"/>
      <c r="AO210" s="285"/>
      <c r="AP210" s="285"/>
    </row>
    <row r="211" spans="1:42">
      <c r="A211" s="303" t="s">
        <v>1244</v>
      </c>
      <c r="B211" s="180"/>
      <c r="C211" s="180"/>
      <c r="D211" s="180"/>
      <c r="E211" s="180"/>
      <c r="F211" s="180"/>
      <c r="G211" s="180"/>
      <c r="H211" s="180"/>
      <c r="I211" s="180"/>
      <c r="J211" s="175"/>
      <c r="K211" s="178"/>
      <c r="L211" s="178"/>
      <c r="M211" s="178"/>
      <c r="N211" s="178"/>
      <c r="O211" s="178"/>
      <c r="P211" s="178"/>
      <c r="Q211" s="178"/>
      <c r="R211" s="177"/>
      <c r="S211" s="1036"/>
      <c r="T211" s="189">
        <f t="shared" si="117"/>
        <v>0</v>
      </c>
      <c r="U211" s="189">
        <v>0</v>
      </c>
      <c r="V211" s="189">
        <f t="shared" si="117"/>
        <v>0</v>
      </c>
      <c r="W211" s="187">
        <f t="shared" si="117"/>
        <v>0</v>
      </c>
      <c r="X211" s="187">
        <f t="shared" ref="X211:AF211" si="119">W211</f>
        <v>0</v>
      </c>
      <c r="Y211" s="187">
        <f t="shared" si="119"/>
        <v>0</v>
      </c>
      <c r="Z211" s="187">
        <f t="shared" si="119"/>
        <v>0</v>
      </c>
      <c r="AA211" s="187">
        <f t="shared" si="119"/>
        <v>0</v>
      </c>
      <c r="AB211" s="187">
        <f t="shared" si="119"/>
        <v>0</v>
      </c>
      <c r="AC211" s="187">
        <f t="shared" si="119"/>
        <v>0</v>
      </c>
      <c r="AD211" s="187">
        <f t="shared" si="119"/>
        <v>0</v>
      </c>
      <c r="AE211" s="187">
        <f t="shared" si="119"/>
        <v>0</v>
      </c>
      <c r="AF211" s="187">
        <f t="shared" si="119"/>
        <v>0</v>
      </c>
      <c r="AG211" s="180"/>
      <c r="AH211" s="1433"/>
      <c r="AI211" s="1433"/>
      <c r="AJ211" s="1441"/>
      <c r="AK211" s="1433"/>
      <c r="AL211" s="1433"/>
      <c r="AM211" s="1433"/>
      <c r="AN211" s="180"/>
      <c r="AO211" s="285"/>
      <c r="AP211" s="285"/>
    </row>
    <row r="212" spans="1:42">
      <c r="A212" s="543" t="s">
        <v>978</v>
      </c>
      <c r="B212" s="180"/>
      <c r="C212" s="180"/>
      <c r="D212" s="180"/>
      <c r="E212" s="180"/>
      <c r="F212" s="180"/>
      <c r="G212" s="180"/>
      <c r="H212" s="180"/>
      <c r="I212" s="180"/>
      <c r="J212" s="175"/>
      <c r="K212" s="178"/>
      <c r="L212" s="178"/>
      <c r="M212" s="178"/>
      <c r="N212" s="178"/>
      <c r="O212" s="178"/>
      <c r="P212" s="178"/>
      <c r="Q212" s="178"/>
      <c r="R212" s="377"/>
      <c r="S212" s="1063"/>
      <c r="T212" s="377" t="b">
        <f t="shared" ref="T212:AF212" si="120">SUM(T208:T211)=1</f>
        <v>1</v>
      </c>
      <c r="U212" s="377" t="b">
        <v>1</v>
      </c>
      <c r="V212" s="377" t="b">
        <f t="shared" si="120"/>
        <v>1</v>
      </c>
      <c r="W212" s="377" t="b">
        <f t="shared" si="120"/>
        <v>1</v>
      </c>
      <c r="X212" s="377" t="b">
        <f t="shared" si="120"/>
        <v>1</v>
      </c>
      <c r="Y212" s="377" t="b">
        <f t="shared" si="120"/>
        <v>1</v>
      </c>
      <c r="Z212" s="377" t="b">
        <f t="shared" si="120"/>
        <v>1</v>
      </c>
      <c r="AA212" s="377" t="b">
        <f t="shared" si="120"/>
        <v>1</v>
      </c>
      <c r="AB212" s="377" t="b">
        <f t="shared" si="120"/>
        <v>1</v>
      </c>
      <c r="AC212" s="377" t="b">
        <f t="shared" si="120"/>
        <v>1</v>
      </c>
      <c r="AD212" s="377" t="b">
        <f t="shared" si="120"/>
        <v>1</v>
      </c>
      <c r="AE212" s="377" t="b">
        <f t="shared" si="120"/>
        <v>1</v>
      </c>
      <c r="AF212" s="377" t="b">
        <f t="shared" si="120"/>
        <v>1</v>
      </c>
      <c r="AG212" s="180"/>
      <c r="AH212" s="1433"/>
      <c r="AI212" s="1433"/>
      <c r="AJ212" s="1433"/>
      <c r="AK212" s="1433"/>
      <c r="AL212" s="1433"/>
      <c r="AM212" s="1433"/>
      <c r="AN212" s="180"/>
      <c r="AO212" s="285"/>
      <c r="AP212" s="285"/>
    </row>
    <row r="213" spans="1:42">
      <c r="A213" s="286"/>
      <c r="B213" s="180"/>
      <c r="C213" s="180"/>
      <c r="D213" s="180"/>
      <c r="E213" s="180"/>
      <c r="F213" s="180"/>
      <c r="G213" s="180"/>
      <c r="H213" s="180"/>
      <c r="I213" s="180"/>
      <c r="J213" s="175"/>
      <c r="K213" s="178"/>
      <c r="L213" s="178"/>
      <c r="M213" s="178"/>
      <c r="N213" s="377"/>
      <c r="O213" s="377"/>
      <c r="P213" s="377"/>
      <c r="Q213" s="377"/>
      <c r="R213" s="377"/>
      <c r="S213" s="1063"/>
      <c r="T213" s="377"/>
      <c r="U213" s="377"/>
      <c r="V213" s="377"/>
      <c r="W213" s="377"/>
      <c r="X213" s="377"/>
      <c r="Y213" s="377"/>
      <c r="Z213" s="377"/>
      <c r="AA213" s="377"/>
      <c r="AB213" s="377"/>
      <c r="AC213" s="377"/>
      <c r="AD213" s="377"/>
      <c r="AE213" s="377"/>
      <c r="AF213" s="377"/>
      <c r="AG213" s="180"/>
      <c r="AH213" s="1433" t="s">
        <v>1192</v>
      </c>
      <c r="AI213" s="1433"/>
      <c r="AJ213" s="1433"/>
      <c r="AK213" s="1433"/>
      <c r="AL213" s="1433"/>
      <c r="AM213" s="1433"/>
      <c r="AN213" s="180"/>
      <c r="AO213" s="285"/>
      <c r="AP213" s="285"/>
    </row>
    <row r="214" spans="1:42">
      <c r="A214" s="19" t="s">
        <v>1464</v>
      </c>
      <c r="B214" s="180"/>
      <c r="C214" s="180"/>
      <c r="D214" s="180"/>
      <c r="E214" s="180"/>
      <c r="F214" s="180"/>
      <c r="G214" s="180"/>
      <c r="H214" s="180"/>
      <c r="I214" s="180"/>
      <c r="J214" s="175"/>
      <c r="K214" s="178"/>
      <c r="L214" s="178"/>
      <c r="M214" s="178"/>
      <c r="N214" s="175"/>
      <c r="O214" s="175"/>
      <c r="P214" s="175"/>
      <c r="Q214" s="175"/>
      <c r="R214" s="175"/>
      <c r="S214" s="1058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80"/>
      <c r="AH214" s="1433" t="s">
        <v>1192</v>
      </c>
      <c r="AI214" s="1433"/>
      <c r="AJ214" s="1442"/>
      <c r="AK214" s="1433"/>
      <c r="AL214" s="1433"/>
      <c r="AM214" s="1433"/>
      <c r="AN214" s="180"/>
      <c r="AO214" s="285"/>
      <c r="AP214" s="285"/>
    </row>
    <row r="215" spans="1:42">
      <c r="A215" s="249" t="s">
        <v>1463</v>
      </c>
      <c r="B215" s="180"/>
      <c r="C215" s="180"/>
      <c r="D215" s="180"/>
      <c r="E215" s="180"/>
      <c r="F215" s="180"/>
      <c r="G215" s="180"/>
      <c r="H215" s="180"/>
      <c r="I215" s="180"/>
      <c r="J215" s="175"/>
      <c r="K215" s="178"/>
      <c r="L215" s="178"/>
      <c r="M215" s="178"/>
      <c r="N215" s="178"/>
      <c r="O215" s="178"/>
      <c r="P215" s="178"/>
      <c r="Q215" s="178"/>
      <c r="R215" s="177"/>
      <c r="S215" s="1036"/>
      <c r="T215" s="189">
        <f t="shared" ref="T215:AF215" si="121">S215</f>
        <v>0</v>
      </c>
      <c r="U215" s="189">
        <v>0.5</v>
      </c>
      <c r="V215" s="189">
        <f t="shared" si="121"/>
        <v>0.5</v>
      </c>
      <c r="W215" s="187">
        <f t="shared" si="121"/>
        <v>0.5</v>
      </c>
      <c r="X215" s="187">
        <f t="shared" si="121"/>
        <v>0.5</v>
      </c>
      <c r="Y215" s="187">
        <f t="shared" si="121"/>
        <v>0.5</v>
      </c>
      <c r="Z215" s="187">
        <f t="shared" si="121"/>
        <v>0.5</v>
      </c>
      <c r="AA215" s="187">
        <f t="shared" si="121"/>
        <v>0.5</v>
      </c>
      <c r="AB215" s="187">
        <f t="shared" si="121"/>
        <v>0.5</v>
      </c>
      <c r="AC215" s="187">
        <f t="shared" si="121"/>
        <v>0.5</v>
      </c>
      <c r="AD215" s="187">
        <f t="shared" si="121"/>
        <v>0.5</v>
      </c>
      <c r="AE215" s="187">
        <f t="shared" si="121"/>
        <v>0.5</v>
      </c>
      <c r="AF215" s="187">
        <f t="shared" si="121"/>
        <v>0.5</v>
      </c>
      <c r="AG215" s="180"/>
      <c r="AH215" s="1433"/>
      <c r="AI215" s="1433"/>
      <c r="AJ215" s="1433"/>
      <c r="AK215" s="1433"/>
      <c r="AL215" s="1433"/>
      <c r="AM215" s="1433"/>
      <c r="AN215" s="180"/>
      <c r="AO215" s="285"/>
      <c r="AP215" s="285"/>
    </row>
    <row r="216" spans="1:42">
      <c r="A216" s="249" t="s">
        <v>1462</v>
      </c>
      <c r="B216" s="180"/>
      <c r="C216" s="180"/>
      <c r="D216" s="180"/>
      <c r="E216" s="180"/>
      <c r="F216" s="180"/>
      <c r="G216" s="180"/>
      <c r="H216" s="180"/>
      <c r="I216" s="180"/>
      <c r="J216" s="175"/>
      <c r="K216" s="178"/>
      <c r="L216" s="178"/>
      <c r="M216" s="178"/>
      <c r="N216" s="178"/>
      <c r="O216" s="178"/>
      <c r="P216" s="178"/>
      <c r="Q216" s="178"/>
      <c r="R216" s="177"/>
      <c r="S216" s="1036"/>
      <c r="T216" s="189">
        <f t="shared" ref="T216:AF216" si="122">S216</f>
        <v>0</v>
      </c>
      <c r="U216" s="189">
        <v>0.5</v>
      </c>
      <c r="V216" s="189">
        <f t="shared" si="122"/>
        <v>0.5</v>
      </c>
      <c r="W216" s="187">
        <f t="shared" si="122"/>
        <v>0.5</v>
      </c>
      <c r="X216" s="187">
        <f t="shared" si="122"/>
        <v>0.5</v>
      </c>
      <c r="Y216" s="187">
        <f t="shared" si="122"/>
        <v>0.5</v>
      </c>
      <c r="Z216" s="187">
        <f t="shared" si="122"/>
        <v>0.5</v>
      </c>
      <c r="AA216" s="187">
        <f t="shared" si="122"/>
        <v>0.5</v>
      </c>
      <c r="AB216" s="187">
        <f t="shared" si="122"/>
        <v>0.5</v>
      </c>
      <c r="AC216" s="187">
        <f t="shared" si="122"/>
        <v>0.5</v>
      </c>
      <c r="AD216" s="187">
        <f t="shared" si="122"/>
        <v>0.5</v>
      </c>
      <c r="AE216" s="187">
        <f t="shared" si="122"/>
        <v>0.5</v>
      </c>
      <c r="AF216" s="187">
        <f t="shared" si="122"/>
        <v>0.5</v>
      </c>
      <c r="AG216" s="180"/>
      <c r="AH216" s="1433"/>
      <c r="AI216" s="1433"/>
      <c r="AJ216" s="1433"/>
      <c r="AK216" s="1433"/>
      <c r="AL216" s="1433"/>
      <c r="AM216" s="1433"/>
      <c r="AN216" s="180"/>
      <c r="AO216" s="285"/>
      <c r="AP216" s="285"/>
    </row>
    <row r="217" spans="1:42">
      <c r="A217" s="249" t="s">
        <v>1243</v>
      </c>
      <c r="B217" s="180"/>
      <c r="C217" s="180"/>
      <c r="D217" s="180"/>
      <c r="E217" s="180"/>
      <c r="F217" s="180"/>
      <c r="G217" s="180"/>
      <c r="H217" s="180"/>
      <c r="I217" s="180"/>
      <c r="J217" s="175"/>
      <c r="K217" s="178"/>
      <c r="L217" s="178"/>
      <c r="M217" s="178"/>
      <c r="N217" s="178"/>
      <c r="O217" s="178"/>
      <c r="P217" s="178"/>
      <c r="Q217" s="178"/>
      <c r="R217" s="177"/>
      <c r="S217" s="1036"/>
      <c r="T217" s="189">
        <f t="shared" ref="T217:AF217" si="123">S217</f>
        <v>0</v>
      </c>
      <c r="U217" s="189">
        <v>0.47499999999999998</v>
      </c>
      <c r="V217" s="189">
        <f t="shared" si="123"/>
        <v>0.47499999999999998</v>
      </c>
      <c r="W217" s="187">
        <f t="shared" si="123"/>
        <v>0.47499999999999998</v>
      </c>
      <c r="X217" s="187">
        <f t="shared" si="123"/>
        <v>0.47499999999999998</v>
      </c>
      <c r="Y217" s="187">
        <f t="shared" si="123"/>
        <v>0.47499999999999998</v>
      </c>
      <c r="Z217" s="187">
        <f t="shared" si="123"/>
        <v>0.47499999999999998</v>
      </c>
      <c r="AA217" s="187">
        <f t="shared" si="123"/>
        <v>0.47499999999999998</v>
      </c>
      <c r="AB217" s="187">
        <f t="shared" si="123"/>
        <v>0.47499999999999998</v>
      </c>
      <c r="AC217" s="187">
        <f t="shared" si="123"/>
        <v>0.47499999999999998</v>
      </c>
      <c r="AD217" s="187">
        <f t="shared" si="123"/>
        <v>0.47499999999999998</v>
      </c>
      <c r="AE217" s="187">
        <f t="shared" si="123"/>
        <v>0.47499999999999998</v>
      </c>
      <c r="AF217" s="187">
        <f t="shared" si="123"/>
        <v>0.47499999999999998</v>
      </c>
      <c r="AG217" s="180"/>
      <c r="AH217" s="1433"/>
      <c r="AI217" s="1433"/>
      <c r="AJ217" s="1443"/>
      <c r="AK217" s="1433"/>
      <c r="AL217" s="1433"/>
      <c r="AM217" s="1433"/>
      <c r="AN217" s="180"/>
      <c r="AO217" s="285"/>
      <c r="AP217" s="285"/>
    </row>
    <row r="218" spans="1:42">
      <c r="A218" s="249" t="s">
        <v>1244</v>
      </c>
      <c r="B218" s="180"/>
      <c r="C218" s="180"/>
      <c r="D218" s="180"/>
      <c r="E218" s="180"/>
      <c r="F218" s="180"/>
      <c r="G218" s="180"/>
      <c r="H218" s="180"/>
      <c r="I218" s="180"/>
      <c r="J218" s="175"/>
      <c r="K218" s="178"/>
      <c r="L218" s="178"/>
      <c r="M218" s="178"/>
      <c r="N218" s="178"/>
      <c r="O218" s="178"/>
      <c r="P218" s="178"/>
      <c r="Q218" s="178"/>
      <c r="R218" s="177"/>
      <c r="S218" s="1036"/>
      <c r="T218" s="189">
        <f t="shared" ref="T218:AF218" si="124">S218</f>
        <v>0</v>
      </c>
      <c r="U218" s="189">
        <v>0.5</v>
      </c>
      <c r="V218" s="189">
        <f t="shared" si="124"/>
        <v>0.5</v>
      </c>
      <c r="W218" s="187">
        <f t="shared" si="124"/>
        <v>0.5</v>
      </c>
      <c r="X218" s="187">
        <f t="shared" si="124"/>
        <v>0.5</v>
      </c>
      <c r="Y218" s="187">
        <f t="shared" si="124"/>
        <v>0.5</v>
      </c>
      <c r="Z218" s="187">
        <f t="shared" si="124"/>
        <v>0.5</v>
      </c>
      <c r="AA218" s="187">
        <f t="shared" si="124"/>
        <v>0.5</v>
      </c>
      <c r="AB218" s="187">
        <f t="shared" si="124"/>
        <v>0.5</v>
      </c>
      <c r="AC218" s="187">
        <f t="shared" si="124"/>
        <v>0.5</v>
      </c>
      <c r="AD218" s="187">
        <f t="shared" si="124"/>
        <v>0.5</v>
      </c>
      <c r="AE218" s="187">
        <f t="shared" si="124"/>
        <v>0.5</v>
      </c>
      <c r="AF218" s="187">
        <f t="shared" si="124"/>
        <v>0.5</v>
      </c>
      <c r="AG218" s="180"/>
      <c r="AH218" s="1433"/>
      <c r="AI218" s="1433"/>
      <c r="AJ218" s="1442"/>
      <c r="AK218" s="1433"/>
      <c r="AL218" s="1433"/>
      <c r="AM218" s="1433"/>
      <c r="AN218" s="180"/>
      <c r="AO218" s="285"/>
      <c r="AP218" s="285"/>
    </row>
    <row r="219" spans="1:42">
      <c r="A219" s="19"/>
      <c r="B219" s="180"/>
      <c r="C219" s="180"/>
      <c r="D219" s="180"/>
      <c r="E219" s="180"/>
      <c r="F219" s="180"/>
      <c r="G219" s="180"/>
      <c r="H219" s="180"/>
      <c r="I219" s="180"/>
      <c r="J219" s="175"/>
      <c r="K219" s="178"/>
      <c r="L219" s="178"/>
      <c r="M219" s="178"/>
      <c r="N219" s="175"/>
      <c r="O219" s="175"/>
      <c r="P219" s="175"/>
      <c r="Q219" s="175"/>
      <c r="R219" s="175"/>
      <c r="S219" s="1058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80"/>
      <c r="AH219" s="1433"/>
      <c r="AI219" s="1433"/>
      <c r="AJ219" s="1439"/>
      <c r="AK219" s="1433"/>
      <c r="AL219" s="1433"/>
      <c r="AM219" s="1433"/>
      <c r="AN219" s="180"/>
      <c r="AO219" s="285"/>
      <c r="AP219" s="285"/>
    </row>
    <row r="220" spans="1:42">
      <c r="A220" s="19" t="s">
        <v>1465</v>
      </c>
      <c r="B220" s="180"/>
      <c r="C220" s="180"/>
      <c r="D220" s="180"/>
      <c r="E220" s="180"/>
      <c r="F220" s="180"/>
      <c r="G220" s="180"/>
      <c r="H220" s="180"/>
      <c r="I220" s="180"/>
      <c r="J220" s="175"/>
      <c r="K220" s="178"/>
      <c r="L220" s="178"/>
      <c r="M220" s="178"/>
      <c r="N220" s="175"/>
      <c r="O220" s="175"/>
      <c r="P220" s="175"/>
      <c r="Q220" s="175"/>
      <c r="R220" s="175"/>
      <c r="S220" s="1058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80"/>
      <c r="AH220" s="1436"/>
      <c r="AI220" s="1433"/>
      <c r="AJ220" s="1433"/>
      <c r="AK220" s="1433"/>
      <c r="AL220" s="1433"/>
      <c r="AM220" s="1433"/>
      <c r="AN220" s="180"/>
      <c r="AO220" s="285"/>
      <c r="AP220" s="285"/>
    </row>
    <row r="221" spans="1:42">
      <c r="A221" s="249" t="s">
        <v>1463</v>
      </c>
      <c r="B221" s="180"/>
      <c r="C221" s="180"/>
      <c r="D221" s="180"/>
      <c r="E221" s="180"/>
      <c r="F221" s="180"/>
      <c r="G221" s="180"/>
      <c r="H221" s="180"/>
      <c r="I221" s="180"/>
      <c r="J221" s="175"/>
      <c r="K221" s="178"/>
      <c r="L221" s="178"/>
      <c r="M221" s="178"/>
      <c r="N221" s="178"/>
      <c r="O221" s="178"/>
      <c r="P221" s="178"/>
      <c r="Q221" s="178"/>
      <c r="R221" s="177"/>
      <c r="S221" s="1036"/>
      <c r="T221" s="189">
        <f t="shared" ref="T221:AF221" si="125">S221</f>
        <v>0</v>
      </c>
      <c r="U221" s="189">
        <v>0.1</v>
      </c>
      <c r="V221" s="189">
        <f t="shared" si="125"/>
        <v>0.1</v>
      </c>
      <c r="W221" s="187">
        <f t="shared" si="125"/>
        <v>0.1</v>
      </c>
      <c r="X221" s="187">
        <f t="shared" si="125"/>
        <v>0.1</v>
      </c>
      <c r="Y221" s="187">
        <f t="shared" si="125"/>
        <v>0.1</v>
      </c>
      <c r="Z221" s="187">
        <f t="shared" si="125"/>
        <v>0.1</v>
      </c>
      <c r="AA221" s="187">
        <f t="shared" si="125"/>
        <v>0.1</v>
      </c>
      <c r="AB221" s="187">
        <f t="shared" si="125"/>
        <v>0.1</v>
      </c>
      <c r="AC221" s="187">
        <f t="shared" si="125"/>
        <v>0.1</v>
      </c>
      <c r="AD221" s="187">
        <f t="shared" si="125"/>
        <v>0.1</v>
      </c>
      <c r="AE221" s="187">
        <f t="shared" si="125"/>
        <v>0.1</v>
      </c>
      <c r="AF221" s="187">
        <f t="shared" si="125"/>
        <v>0.1</v>
      </c>
      <c r="AG221" s="180"/>
      <c r="AH221" s="1433"/>
      <c r="AI221" s="1433"/>
      <c r="AJ221" s="1433"/>
      <c r="AK221" s="1433"/>
      <c r="AL221" s="1433"/>
      <c r="AM221" s="1433"/>
      <c r="AN221" s="180"/>
      <c r="AO221" s="285"/>
      <c r="AP221" s="285"/>
    </row>
    <row r="222" spans="1:42">
      <c r="A222" s="249" t="s">
        <v>1462</v>
      </c>
      <c r="B222" s="180"/>
      <c r="C222" s="180"/>
      <c r="D222" s="180"/>
      <c r="E222" s="180"/>
      <c r="F222" s="180"/>
      <c r="G222" s="180"/>
      <c r="H222" s="180"/>
      <c r="I222" s="180"/>
      <c r="J222" s="175"/>
      <c r="K222" s="178"/>
      <c r="L222" s="178"/>
      <c r="M222" s="178"/>
      <c r="N222" s="178"/>
      <c r="O222" s="178"/>
      <c r="P222" s="178"/>
      <c r="Q222" s="178"/>
      <c r="R222" s="177"/>
      <c r="S222" s="1036"/>
      <c r="T222" s="189">
        <f t="shared" ref="T222:AF222" si="126">S222</f>
        <v>0</v>
      </c>
      <c r="U222" s="189">
        <v>0</v>
      </c>
      <c r="V222" s="189">
        <f t="shared" si="126"/>
        <v>0</v>
      </c>
      <c r="W222" s="187">
        <f t="shared" si="126"/>
        <v>0</v>
      </c>
      <c r="X222" s="187">
        <f t="shared" si="126"/>
        <v>0</v>
      </c>
      <c r="Y222" s="187">
        <f t="shared" si="126"/>
        <v>0</v>
      </c>
      <c r="Z222" s="187">
        <f t="shared" si="126"/>
        <v>0</v>
      </c>
      <c r="AA222" s="187">
        <f t="shared" si="126"/>
        <v>0</v>
      </c>
      <c r="AB222" s="187">
        <f t="shared" si="126"/>
        <v>0</v>
      </c>
      <c r="AC222" s="187">
        <f t="shared" si="126"/>
        <v>0</v>
      </c>
      <c r="AD222" s="187">
        <f t="shared" si="126"/>
        <v>0</v>
      </c>
      <c r="AE222" s="187">
        <f t="shared" si="126"/>
        <v>0</v>
      </c>
      <c r="AF222" s="187">
        <f t="shared" si="126"/>
        <v>0</v>
      </c>
      <c r="AG222" s="180"/>
      <c r="AH222" s="1433"/>
      <c r="AI222" s="1433"/>
      <c r="AJ222" s="1433"/>
      <c r="AK222" s="1433"/>
      <c r="AL222" s="1433"/>
      <c r="AM222" s="1433"/>
      <c r="AN222" s="180"/>
      <c r="AO222" s="285"/>
      <c r="AP222" s="285"/>
    </row>
    <row r="223" spans="1:42">
      <c r="A223" s="249" t="s">
        <v>1243</v>
      </c>
      <c r="B223" s="180"/>
      <c r="C223" s="180"/>
      <c r="D223" s="180"/>
      <c r="E223" s="180"/>
      <c r="F223" s="180"/>
      <c r="G223" s="180"/>
      <c r="H223" s="180"/>
      <c r="I223" s="180"/>
      <c r="J223" s="175"/>
      <c r="K223" s="178"/>
      <c r="L223" s="178"/>
      <c r="M223" s="178"/>
      <c r="N223" s="178"/>
      <c r="O223" s="178"/>
      <c r="P223" s="178"/>
      <c r="Q223" s="178"/>
      <c r="R223" s="177"/>
      <c r="S223" s="1036"/>
      <c r="T223" s="189">
        <f t="shared" ref="T223:AF223" si="127">S223</f>
        <v>0</v>
      </c>
      <c r="U223" s="189">
        <v>0</v>
      </c>
      <c r="V223" s="189">
        <f t="shared" si="127"/>
        <v>0</v>
      </c>
      <c r="W223" s="187">
        <f t="shared" si="127"/>
        <v>0</v>
      </c>
      <c r="X223" s="187">
        <f t="shared" si="127"/>
        <v>0</v>
      </c>
      <c r="Y223" s="187">
        <f t="shared" si="127"/>
        <v>0</v>
      </c>
      <c r="Z223" s="187">
        <f t="shared" si="127"/>
        <v>0</v>
      </c>
      <c r="AA223" s="187">
        <f t="shared" si="127"/>
        <v>0</v>
      </c>
      <c r="AB223" s="187">
        <f t="shared" si="127"/>
        <v>0</v>
      </c>
      <c r="AC223" s="187">
        <f t="shared" si="127"/>
        <v>0</v>
      </c>
      <c r="AD223" s="187">
        <f t="shared" si="127"/>
        <v>0</v>
      </c>
      <c r="AE223" s="187">
        <f t="shared" si="127"/>
        <v>0</v>
      </c>
      <c r="AF223" s="187">
        <f t="shared" si="127"/>
        <v>0</v>
      </c>
      <c r="AG223" s="180"/>
      <c r="AH223" s="1433"/>
      <c r="AI223" s="1433"/>
      <c r="AJ223" s="1433"/>
      <c r="AK223" s="1433"/>
      <c r="AL223" s="1433"/>
      <c r="AM223" s="1433"/>
      <c r="AN223" s="180"/>
      <c r="AO223" s="180"/>
      <c r="AP223" s="180"/>
    </row>
    <row r="224" spans="1:42">
      <c r="A224" s="249" t="s">
        <v>1244</v>
      </c>
      <c r="B224" s="180"/>
      <c r="C224" s="180"/>
      <c r="D224" s="180"/>
      <c r="E224" s="180"/>
      <c r="F224" s="180"/>
      <c r="G224" s="180"/>
      <c r="H224" s="180"/>
      <c r="I224" s="180"/>
      <c r="J224" s="175"/>
      <c r="K224" s="178"/>
      <c r="L224" s="178"/>
      <c r="M224" s="178"/>
      <c r="N224" s="178"/>
      <c r="O224" s="178"/>
      <c r="P224" s="178"/>
      <c r="Q224" s="178"/>
      <c r="R224" s="177"/>
      <c r="S224" s="1036"/>
      <c r="T224" s="189">
        <f t="shared" ref="T224:AF224" si="128">S224</f>
        <v>0</v>
      </c>
      <c r="U224" s="189">
        <v>0</v>
      </c>
      <c r="V224" s="189">
        <f t="shared" si="128"/>
        <v>0</v>
      </c>
      <c r="W224" s="187">
        <f t="shared" si="128"/>
        <v>0</v>
      </c>
      <c r="X224" s="187">
        <f t="shared" si="128"/>
        <v>0</v>
      </c>
      <c r="Y224" s="187">
        <f t="shared" si="128"/>
        <v>0</v>
      </c>
      <c r="Z224" s="187">
        <f t="shared" si="128"/>
        <v>0</v>
      </c>
      <c r="AA224" s="187">
        <f t="shared" si="128"/>
        <v>0</v>
      </c>
      <c r="AB224" s="187">
        <f t="shared" si="128"/>
        <v>0</v>
      </c>
      <c r="AC224" s="187">
        <f t="shared" si="128"/>
        <v>0</v>
      </c>
      <c r="AD224" s="187">
        <f t="shared" si="128"/>
        <v>0</v>
      </c>
      <c r="AE224" s="187">
        <f t="shared" si="128"/>
        <v>0</v>
      </c>
      <c r="AF224" s="187">
        <f t="shared" si="128"/>
        <v>0</v>
      </c>
      <c r="AG224" s="180"/>
      <c r="AH224" s="1433"/>
      <c r="AI224" s="1433"/>
      <c r="AJ224" s="1433"/>
      <c r="AK224" s="1433"/>
      <c r="AL224" s="1433"/>
      <c r="AM224" s="1433"/>
      <c r="AN224" s="180"/>
      <c r="AO224" s="180"/>
      <c r="AP224" s="180"/>
    </row>
    <row r="225" spans="1:49">
      <c r="A225" s="19"/>
      <c r="B225" s="180"/>
      <c r="C225" s="180"/>
      <c r="D225" s="180"/>
      <c r="E225" s="180"/>
      <c r="F225" s="180"/>
      <c r="G225" s="180"/>
      <c r="H225" s="180"/>
      <c r="I225" s="180"/>
      <c r="J225" s="175"/>
      <c r="K225" s="178"/>
      <c r="L225" s="178"/>
      <c r="M225" s="178"/>
      <c r="N225" s="175"/>
      <c r="O225" s="175"/>
      <c r="P225" s="175"/>
      <c r="Q225" s="175"/>
      <c r="R225" s="175"/>
      <c r="S225" s="1058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80"/>
      <c r="AH225" s="1433"/>
      <c r="AI225" s="1433"/>
      <c r="AJ225" s="1433"/>
      <c r="AK225" s="1433"/>
      <c r="AL225" s="1433"/>
      <c r="AM225" s="1433"/>
      <c r="AN225" s="180"/>
      <c r="AO225" s="180"/>
      <c r="AP225" s="180"/>
    </row>
    <row r="226" spans="1:49">
      <c r="A226" s="850" t="s">
        <v>1471</v>
      </c>
      <c r="B226" s="851"/>
      <c r="C226" s="851"/>
      <c r="D226" s="851"/>
      <c r="E226" s="851"/>
      <c r="F226" s="851"/>
      <c r="G226" s="851"/>
      <c r="H226" s="851"/>
      <c r="I226" s="851"/>
      <c r="J226" s="852"/>
      <c r="K226" s="853"/>
      <c r="L226" s="853"/>
      <c r="M226" s="853"/>
      <c r="N226" s="852"/>
      <c r="O226" s="852"/>
      <c r="P226" s="852"/>
      <c r="Q226" s="852"/>
      <c r="R226" s="852"/>
      <c r="S226" s="1064"/>
      <c r="T226" s="855"/>
      <c r="U226" s="855"/>
      <c r="V226" s="855"/>
      <c r="W226" s="855"/>
      <c r="X226" s="855"/>
      <c r="Y226" s="855"/>
      <c r="Z226" s="855"/>
      <c r="AA226" s="855"/>
      <c r="AB226" s="855"/>
      <c r="AC226" s="855"/>
      <c r="AD226" s="855"/>
      <c r="AE226" s="855"/>
      <c r="AF226" s="855"/>
      <c r="AG226" s="180"/>
      <c r="AH226" s="1433"/>
      <c r="AI226" s="1433"/>
      <c r="AJ226" s="1433"/>
      <c r="AK226" s="1433"/>
      <c r="AL226" s="1433"/>
      <c r="AM226" s="1433"/>
      <c r="AN226" s="180"/>
      <c r="AO226" s="180"/>
      <c r="AP226" s="180"/>
    </row>
    <row r="227" spans="1:49">
      <c r="A227" s="249" t="s">
        <v>1371</v>
      </c>
      <c r="B227" s="180"/>
      <c r="C227" s="180"/>
      <c r="D227" s="180"/>
      <c r="E227" s="180"/>
      <c r="F227" s="180"/>
      <c r="G227" s="180"/>
      <c r="H227" s="180"/>
      <c r="I227" s="180"/>
      <c r="J227" s="175"/>
      <c r="K227" s="178"/>
      <c r="L227" s="178"/>
      <c r="M227" s="178"/>
      <c r="N227" s="175"/>
      <c r="O227" s="175"/>
      <c r="P227" s="175"/>
      <c r="Q227" s="175"/>
      <c r="R227" s="175"/>
      <c r="S227" s="1065"/>
      <c r="T227" s="188">
        <f>S227*(1+(T204*T237+T205*T238))</f>
        <v>0</v>
      </c>
      <c r="U227" s="188">
        <v>6.0569936009578136</v>
      </c>
      <c r="V227" s="188">
        <f>U227*(1+(V204*V237+V205*V238))</f>
        <v>6.2886736061944504</v>
      </c>
      <c r="W227" s="188">
        <v>3</v>
      </c>
      <c r="X227" s="188">
        <f t="shared" ref="X227:AF227" si="129">W227*(1+(X204*X237+X205*X238))</f>
        <v>3.06</v>
      </c>
      <c r="Y227" s="188">
        <f t="shared" si="129"/>
        <v>3.1212</v>
      </c>
      <c r="Z227" s="188">
        <f t="shared" si="129"/>
        <v>3.183624</v>
      </c>
      <c r="AA227" s="188">
        <f t="shared" si="129"/>
        <v>3.3109689600000003</v>
      </c>
      <c r="AB227" s="188">
        <f t="shared" si="129"/>
        <v>3.4102980288000002</v>
      </c>
      <c r="AC227" s="188">
        <f t="shared" si="129"/>
        <v>3.5126069696640001</v>
      </c>
      <c r="AD227" s="188">
        <f t="shared" si="129"/>
        <v>3.6179851787539201</v>
      </c>
      <c r="AE227" s="188">
        <f t="shared" si="129"/>
        <v>3.7627045859040771</v>
      </c>
      <c r="AF227" s="188">
        <f t="shared" si="129"/>
        <v>3.9132127693402401</v>
      </c>
      <c r="AG227" s="180"/>
      <c r="AH227" s="1433"/>
      <c r="AI227" s="1433"/>
      <c r="AJ227" s="1433"/>
      <c r="AK227" s="1433"/>
      <c r="AL227" s="1433"/>
      <c r="AM227" s="1433"/>
      <c r="AN227" s="180"/>
      <c r="AO227" s="180"/>
      <c r="AP227" s="180"/>
    </row>
    <row r="228" spans="1:49">
      <c r="A228" s="249" t="s">
        <v>1286</v>
      </c>
      <c r="B228" s="180"/>
      <c r="C228" s="180"/>
      <c r="D228" s="180"/>
      <c r="E228" s="180"/>
      <c r="F228" s="180"/>
      <c r="G228" s="180"/>
      <c r="H228" s="180"/>
      <c r="I228" s="180"/>
      <c r="J228" s="175"/>
      <c r="K228" s="178"/>
      <c r="L228" s="178"/>
      <c r="M228" s="178"/>
      <c r="N228" s="175"/>
      <c r="O228" s="175"/>
      <c r="P228" s="175"/>
      <c r="Q228" s="175"/>
      <c r="R228" s="175"/>
      <c r="S228" s="1065"/>
      <c r="T228" s="188">
        <f>S228*(1+T238)</f>
        <v>0</v>
      </c>
      <c r="U228" s="188">
        <v>3.0095664665624993</v>
      </c>
      <c r="V228" s="188">
        <f>U228*(1+V238)</f>
        <v>3.1149012928921866</v>
      </c>
      <c r="W228" s="188">
        <v>3</v>
      </c>
      <c r="X228" s="188">
        <f t="shared" ref="X228:AF228" si="130">W228*(1+X238)</f>
        <v>3.06</v>
      </c>
      <c r="Y228" s="188">
        <f t="shared" si="130"/>
        <v>3.1212</v>
      </c>
      <c r="Z228" s="188">
        <f t="shared" si="130"/>
        <v>3.183624</v>
      </c>
      <c r="AA228" s="188">
        <f t="shared" si="130"/>
        <v>3.3109689600000003</v>
      </c>
      <c r="AB228" s="188">
        <f t="shared" si="130"/>
        <v>3.4102980288000002</v>
      </c>
      <c r="AC228" s="188">
        <f t="shared" si="130"/>
        <v>3.5126069696640001</v>
      </c>
      <c r="AD228" s="188">
        <f t="shared" si="130"/>
        <v>3.6179851787539201</v>
      </c>
      <c r="AE228" s="188">
        <f t="shared" si="130"/>
        <v>3.7627045859040771</v>
      </c>
      <c r="AF228" s="188">
        <f t="shared" si="130"/>
        <v>3.9132127693402401</v>
      </c>
      <c r="AG228" s="180"/>
      <c r="AH228" s="1433"/>
      <c r="AI228" s="1433"/>
      <c r="AJ228" s="1433"/>
      <c r="AK228" s="1433"/>
      <c r="AL228" s="1433"/>
      <c r="AM228" s="1433"/>
      <c r="AN228" s="180"/>
      <c r="AO228" s="180"/>
      <c r="AP228" s="180"/>
    </row>
    <row r="229" spans="1:49">
      <c r="A229" s="543" t="s">
        <v>1372</v>
      </c>
      <c r="B229" s="180"/>
      <c r="C229" s="180"/>
      <c r="D229" s="180"/>
      <c r="E229" s="180"/>
      <c r="F229" s="180"/>
      <c r="G229" s="180"/>
      <c r="H229" s="180"/>
      <c r="I229" s="180"/>
      <c r="J229" s="175"/>
      <c r="K229" s="178"/>
      <c r="L229" s="178"/>
      <c r="M229" s="178"/>
      <c r="N229" s="175"/>
      <c r="O229" s="175"/>
      <c r="P229" s="175"/>
      <c r="Q229" s="175"/>
      <c r="R229" s="175"/>
      <c r="S229" s="1061"/>
      <c r="T229" s="359" t="e">
        <f t="shared" ref="T229:AF229" si="131">(T227-T228)/T227</f>
        <v>#DIV/0!</v>
      </c>
      <c r="U229" s="359">
        <v>0.50312536799005603</v>
      </c>
      <c r="V229" s="359">
        <f t="shared" si="131"/>
        <v>0.50468071839124296</v>
      </c>
      <c r="W229" s="184">
        <f t="shared" si="131"/>
        <v>0</v>
      </c>
      <c r="X229" s="184">
        <f t="shared" si="131"/>
        <v>0</v>
      </c>
      <c r="Y229" s="184">
        <f t="shared" si="131"/>
        <v>0</v>
      </c>
      <c r="Z229" s="184">
        <f t="shared" si="131"/>
        <v>0</v>
      </c>
      <c r="AA229" s="184">
        <f t="shared" si="131"/>
        <v>0</v>
      </c>
      <c r="AB229" s="184">
        <f t="shared" si="131"/>
        <v>0</v>
      </c>
      <c r="AC229" s="184">
        <f t="shared" si="131"/>
        <v>0</v>
      </c>
      <c r="AD229" s="184">
        <f t="shared" si="131"/>
        <v>0</v>
      </c>
      <c r="AE229" s="184">
        <f t="shared" si="131"/>
        <v>0</v>
      </c>
      <c r="AF229" s="184">
        <f t="shared" si="131"/>
        <v>0</v>
      </c>
      <c r="AG229" s="180"/>
      <c r="AH229" s="1433"/>
      <c r="AI229" s="1433"/>
      <c r="AJ229" s="1433"/>
      <c r="AK229" s="1433"/>
      <c r="AL229" s="1433"/>
      <c r="AM229" s="1433"/>
      <c r="AN229" s="180"/>
      <c r="AO229" s="180"/>
      <c r="AP229" s="180"/>
    </row>
    <row r="230" spans="1:49">
      <c r="A230" s="19"/>
      <c r="B230" s="180"/>
      <c r="C230" s="180"/>
      <c r="D230" s="180"/>
      <c r="E230" s="180"/>
      <c r="F230" s="180"/>
      <c r="G230" s="180"/>
      <c r="H230" s="180"/>
      <c r="I230" s="180"/>
      <c r="J230" s="175"/>
      <c r="K230" s="178"/>
      <c r="L230" s="178"/>
      <c r="M230" s="178"/>
      <c r="N230" s="175"/>
      <c r="O230" s="175"/>
      <c r="P230" s="175"/>
      <c r="Q230" s="175"/>
      <c r="R230" s="175"/>
      <c r="S230" s="1066"/>
      <c r="T230" s="174"/>
      <c r="U230" s="174"/>
      <c r="V230" s="174"/>
      <c r="W230" s="217"/>
      <c r="X230" s="217"/>
      <c r="Y230" s="217"/>
      <c r="Z230" s="217"/>
      <c r="AA230" s="192"/>
      <c r="AB230" s="192"/>
      <c r="AC230" s="192"/>
      <c r="AD230" s="192"/>
      <c r="AE230" s="192"/>
      <c r="AF230" s="192"/>
      <c r="AG230" s="180"/>
      <c r="AH230" s="1433"/>
      <c r="AI230" s="1433"/>
      <c r="AJ230" s="1433"/>
      <c r="AK230" s="1433"/>
      <c r="AL230" s="1433"/>
      <c r="AM230" s="1433"/>
      <c r="AN230" s="180"/>
      <c r="AO230" s="180"/>
      <c r="AP230" s="180"/>
    </row>
    <row r="231" spans="1:49">
      <c r="A231" s="850" t="s">
        <v>1472</v>
      </c>
      <c r="B231" s="851"/>
      <c r="C231" s="851"/>
      <c r="D231" s="851"/>
      <c r="E231" s="851"/>
      <c r="F231" s="851"/>
      <c r="G231" s="851"/>
      <c r="H231" s="851"/>
      <c r="I231" s="851"/>
      <c r="J231" s="852"/>
      <c r="K231" s="853"/>
      <c r="L231" s="853"/>
      <c r="M231" s="853"/>
      <c r="N231" s="852"/>
      <c r="O231" s="852"/>
      <c r="P231" s="852"/>
      <c r="Q231" s="852"/>
      <c r="R231" s="852"/>
      <c r="S231" s="1064"/>
      <c r="T231" s="855"/>
      <c r="U231" s="855"/>
      <c r="V231" s="855"/>
      <c r="W231" s="855"/>
      <c r="X231" s="855"/>
      <c r="Y231" s="855"/>
      <c r="Z231" s="855"/>
      <c r="AA231" s="861"/>
      <c r="AB231" s="861"/>
      <c r="AC231" s="861"/>
      <c r="AD231" s="861"/>
      <c r="AE231" s="861"/>
      <c r="AF231" s="861"/>
      <c r="AG231" s="180"/>
      <c r="AH231" s="1433"/>
      <c r="AI231" s="1433"/>
      <c r="AJ231" s="1433"/>
      <c r="AK231" s="1433"/>
      <c r="AL231" s="1433"/>
      <c r="AM231" s="1433"/>
      <c r="AN231" s="180"/>
      <c r="AO231" s="180"/>
      <c r="AP231" s="180"/>
    </row>
    <row r="232" spans="1:49">
      <c r="A232" s="249" t="s">
        <v>1371</v>
      </c>
      <c r="B232" s="180"/>
      <c r="C232" s="180"/>
      <c r="D232" s="180"/>
      <c r="E232" s="180"/>
      <c r="F232" s="180"/>
      <c r="G232" s="180"/>
      <c r="H232" s="180"/>
      <c r="I232" s="180"/>
      <c r="J232" s="175"/>
      <c r="K232" s="178"/>
      <c r="L232" s="178"/>
      <c r="M232" s="178"/>
      <c r="N232" s="175"/>
      <c r="O232" s="175"/>
      <c r="P232" s="175"/>
      <c r="Q232" s="175"/>
      <c r="R232" s="175"/>
      <c r="S232" s="1065"/>
      <c r="T232" s="188">
        <f>T227/3</f>
        <v>0</v>
      </c>
      <c r="U232" s="188">
        <v>2.0189978669859379</v>
      </c>
      <c r="V232" s="188">
        <f t="shared" ref="V232:AF232" si="132">V227/3</f>
        <v>2.0962245353981501</v>
      </c>
      <c r="W232" s="188">
        <f t="shared" si="132"/>
        <v>1</v>
      </c>
      <c r="X232" s="188">
        <f t="shared" si="132"/>
        <v>1.02</v>
      </c>
      <c r="Y232" s="188">
        <f t="shared" si="132"/>
        <v>1.0404</v>
      </c>
      <c r="Z232" s="188">
        <f t="shared" si="132"/>
        <v>1.0612079999999999</v>
      </c>
      <c r="AA232" s="188">
        <f t="shared" si="132"/>
        <v>1.10365632</v>
      </c>
      <c r="AB232" s="188">
        <f t="shared" si="132"/>
        <v>1.1367660096000001</v>
      </c>
      <c r="AC232" s="188">
        <f t="shared" si="132"/>
        <v>1.170868989888</v>
      </c>
      <c r="AD232" s="188">
        <f t="shared" si="132"/>
        <v>1.20599505958464</v>
      </c>
      <c r="AE232" s="188">
        <f t="shared" si="132"/>
        <v>1.2542348619680257</v>
      </c>
      <c r="AF232" s="188">
        <f t="shared" si="132"/>
        <v>1.3044042564467466</v>
      </c>
      <c r="AG232" s="180"/>
      <c r="AH232" s="1433"/>
      <c r="AI232" s="1433"/>
      <c r="AJ232" s="1433"/>
      <c r="AK232" s="1433"/>
      <c r="AL232" s="1433"/>
      <c r="AM232" s="1433"/>
      <c r="AN232" s="180"/>
      <c r="AO232" s="180"/>
      <c r="AP232" s="180"/>
    </row>
    <row r="233" spans="1:49">
      <c r="A233" s="249" t="s">
        <v>1286</v>
      </c>
      <c r="B233" s="180"/>
      <c r="C233" s="180"/>
      <c r="D233" s="180"/>
      <c r="E233" s="180"/>
      <c r="F233" s="180"/>
      <c r="G233" s="180"/>
      <c r="H233" s="180"/>
      <c r="I233" s="180"/>
      <c r="J233" s="175"/>
      <c r="K233" s="178"/>
      <c r="L233" s="178"/>
      <c r="M233" s="178"/>
      <c r="N233" s="175"/>
      <c r="O233" s="175"/>
      <c r="P233" s="175"/>
      <c r="Q233" s="175"/>
      <c r="R233" s="175"/>
      <c r="S233" s="1065"/>
      <c r="T233" s="188">
        <f>T228/3</f>
        <v>0</v>
      </c>
      <c r="U233" s="188">
        <v>1.0031888221874998</v>
      </c>
      <c r="V233" s="188">
        <f t="shared" ref="V233:AF233" si="133">V228/3</f>
        <v>1.0383004309640622</v>
      </c>
      <c r="W233" s="188">
        <f t="shared" si="133"/>
        <v>1</v>
      </c>
      <c r="X233" s="188">
        <f t="shared" si="133"/>
        <v>1.02</v>
      </c>
      <c r="Y233" s="188">
        <f t="shared" si="133"/>
        <v>1.0404</v>
      </c>
      <c r="Z233" s="188">
        <f t="shared" si="133"/>
        <v>1.0612079999999999</v>
      </c>
      <c r="AA233" s="188">
        <f t="shared" si="133"/>
        <v>1.10365632</v>
      </c>
      <c r="AB233" s="188">
        <f t="shared" si="133"/>
        <v>1.1367660096000001</v>
      </c>
      <c r="AC233" s="188">
        <f t="shared" si="133"/>
        <v>1.170868989888</v>
      </c>
      <c r="AD233" s="188">
        <f t="shared" si="133"/>
        <v>1.20599505958464</v>
      </c>
      <c r="AE233" s="188">
        <f t="shared" si="133"/>
        <v>1.2542348619680257</v>
      </c>
      <c r="AF233" s="188">
        <f t="shared" si="133"/>
        <v>1.3044042564467466</v>
      </c>
      <c r="AG233" s="180"/>
      <c r="AH233" s="1433"/>
      <c r="AI233" s="1433"/>
      <c r="AJ233" s="1433"/>
      <c r="AK233" s="1433"/>
      <c r="AL233" s="1433"/>
      <c r="AM233" s="1433"/>
      <c r="AN233" s="180"/>
      <c r="AO233" s="180"/>
      <c r="AP233" s="180"/>
    </row>
    <row r="234" spans="1:49">
      <c r="A234" s="543" t="s">
        <v>1372</v>
      </c>
      <c r="B234" s="180"/>
      <c r="C234" s="180"/>
      <c r="D234" s="180"/>
      <c r="E234" s="180"/>
      <c r="F234" s="180"/>
      <c r="G234" s="180"/>
      <c r="H234" s="180"/>
      <c r="I234" s="180"/>
      <c r="J234" s="175"/>
      <c r="K234" s="178"/>
      <c r="L234" s="178"/>
      <c r="M234" s="178"/>
      <c r="N234" s="175"/>
      <c r="O234" s="175"/>
      <c r="P234" s="175"/>
      <c r="Q234" s="175"/>
      <c r="R234" s="175"/>
      <c r="S234" s="1061"/>
      <c r="T234" s="359" t="e">
        <f t="shared" ref="T234:AF234" si="134">(T232-T233)/T232</f>
        <v>#DIV/0!</v>
      </c>
      <c r="U234" s="359">
        <v>0.50312536799005592</v>
      </c>
      <c r="V234" s="359">
        <f t="shared" si="134"/>
        <v>0.50468071839124296</v>
      </c>
      <c r="W234" s="184">
        <f t="shared" si="134"/>
        <v>0</v>
      </c>
      <c r="X234" s="184">
        <f t="shared" si="134"/>
        <v>0</v>
      </c>
      <c r="Y234" s="184">
        <f t="shared" si="134"/>
        <v>0</v>
      </c>
      <c r="Z234" s="184">
        <f t="shared" si="134"/>
        <v>0</v>
      </c>
      <c r="AA234" s="184">
        <f t="shared" si="134"/>
        <v>0</v>
      </c>
      <c r="AB234" s="184">
        <f t="shared" si="134"/>
        <v>0</v>
      </c>
      <c r="AC234" s="184">
        <f t="shared" si="134"/>
        <v>0</v>
      </c>
      <c r="AD234" s="184">
        <f t="shared" si="134"/>
        <v>0</v>
      </c>
      <c r="AE234" s="184">
        <f t="shared" si="134"/>
        <v>0</v>
      </c>
      <c r="AF234" s="184">
        <f t="shared" si="134"/>
        <v>0</v>
      </c>
      <c r="AG234" s="180"/>
      <c r="AH234" s="1433"/>
      <c r="AI234" s="1433"/>
      <c r="AJ234" s="1433"/>
      <c r="AK234" s="1433"/>
      <c r="AL234" s="1433"/>
      <c r="AM234" s="1433"/>
      <c r="AN234" s="180"/>
      <c r="AO234" s="180"/>
      <c r="AP234" s="180"/>
    </row>
    <row r="235" spans="1:49">
      <c r="A235" s="19"/>
      <c r="B235" s="180"/>
      <c r="C235" s="180"/>
      <c r="D235" s="180"/>
      <c r="E235" s="180"/>
      <c r="F235" s="180"/>
      <c r="G235" s="180"/>
      <c r="H235" s="180"/>
      <c r="I235" s="180"/>
      <c r="J235" s="175"/>
      <c r="K235" s="178"/>
      <c r="L235" s="178"/>
      <c r="M235" s="178"/>
      <c r="N235" s="175"/>
      <c r="O235" s="175"/>
      <c r="P235" s="175"/>
      <c r="Q235" s="175"/>
      <c r="R235" s="175"/>
      <c r="S235" s="1058"/>
      <c r="T235" s="175"/>
      <c r="U235" s="175"/>
      <c r="V235" s="175"/>
      <c r="W235" s="175"/>
      <c r="X235" s="180"/>
      <c r="Y235" s="180"/>
      <c r="Z235" s="191"/>
      <c r="AA235" s="175"/>
      <c r="AB235" s="175"/>
      <c r="AC235" s="175"/>
      <c r="AD235" s="175"/>
      <c r="AE235" s="175"/>
      <c r="AF235" s="175"/>
      <c r="AG235" s="180"/>
      <c r="AH235" s="1433"/>
      <c r="AI235" s="1433"/>
      <c r="AJ235" s="1433"/>
      <c r="AK235" s="1433"/>
      <c r="AL235" s="1433"/>
      <c r="AM235" s="1433"/>
      <c r="AN235" s="180"/>
      <c r="AO235" s="180"/>
      <c r="AP235" s="180"/>
    </row>
    <row r="236" spans="1:49">
      <c r="A236" s="19" t="s">
        <v>932</v>
      </c>
      <c r="B236" s="180"/>
      <c r="C236" s="180"/>
      <c r="D236" s="180"/>
      <c r="E236" s="180"/>
      <c r="F236" s="180"/>
      <c r="G236" s="180"/>
      <c r="H236" s="180"/>
      <c r="I236" s="180"/>
      <c r="J236" s="175"/>
      <c r="K236" s="178"/>
      <c r="L236" s="178"/>
      <c r="M236" s="178"/>
      <c r="N236" s="188"/>
      <c r="O236" s="188"/>
      <c r="P236" s="188"/>
      <c r="Q236" s="188"/>
      <c r="R236" s="188"/>
      <c r="S236" s="188"/>
      <c r="T236" s="188"/>
      <c r="U236" s="188"/>
      <c r="V236" s="188"/>
      <c r="W236" s="174"/>
      <c r="X236" s="174"/>
      <c r="Y236" s="174"/>
      <c r="Z236" s="188"/>
      <c r="AA236" s="188"/>
      <c r="AB236" s="188"/>
      <c r="AC236" s="188"/>
      <c r="AD236" s="188"/>
      <c r="AE236" s="188"/>
      <c r="AF236" s="188"/>
      <c r="AG236" s="180"/>
      <c r="AH236" s="1433"/>
      <c r="AI236" s="1433"/>
      <c r="AJ236" s="1433"/>
      <c r="AK236" s="1433"/>
      <c r="AL236" s="1433"/>
      <c r="AM236" s="1433"/>
      <c r="AN236" s="1433"/>
      <c r="AO236" s="1433"/>
      <c r="AP236" s="1433"/>
      <c r="AQ236" s="1431"/>
      <c r="AR236" s="1431"/>
      <c r="AS236" s="1431"/>
      <c r="AT236" s="1431"/>
      <c r="AU236" s="1431"/>
      <c r="AV236" s="1431"/>
      <c r="AW236" s="1431"/>
    </row>
    <row r="237" spans="1:49">
      <c r="A237" s="249" t="s">
        <v>931</v>
      </c>
      <c r="B237" s="180"/>
      <c r="C237" s="180"/>
      <c r="D237" s="180"/>
      <c r="E237" s="180"/>
      <c r="F237" s="180"/>
      <c r="G237" s="180"/>
      <c r="H237" s="180"/>
      <c r="I237" s="180"/>
      <c r="J237" s="175"/>
      <c r="K237" s="178"/>
      <c r="L237" s="178"/>
      <c r="M237" s="178"/>
      <c r="N237" s="188"/>
      <c r="O237" s="192"/>
      <c r="P237" s="192"/>
      <c r="Q237" s="192"/>
      <c r="R237" s="192"/>
      <c r="S237" s="192"/>
      <c r="T237" s="192">
        <v>0.04</v>
      </c>
      <c r="U237" s="192">
        <v>0.04</v>
      </c>
      <c r="V237" s="192">
        <v>0.04</v>
      </c>
      <c r="W237" s="192">
        <v>0.02</v>
      </c>
      <c r="X237" s="192">
        <v>0.02</v>
      </c>
      <c r="Y237" s="192">
        <v>0.02</v>
      </c>
      <c r="Z237" s="192">
        <v>0.02</v>
      </c>
      <c r="AA237" s="934">
        <v>0.04</v>
      </c>
      <c r="AB237" s="934">
        <v>0.03</v>
      </c>
      <c r="AC237" s="934">
        <f t="shared" ref="AC237:AF237" si="135">AB237</f>
        <v>0.03</v>
      </c>
      <c r="AD237" s="934">
        <f t="shared" si="135"/>
        <v>0.03</v>
      </c>
      <c r="AE237" s="934">
        <v>0.04</v>
      </c>
      <c r="AF237" s="934">
        <f t="shared" si="135"/>
        <v>0.04</v>
      </c>
      <c r="AG237" s="180"/>
      <c r="AH237" s="1433"/>
      <c r="AI237" s="1433"/>
      <c r="AJ237" s="1433"/>
      <c r="AK237" s="1433"/>
      <c r="AL237" s="1433"/>
      <c r="AM237" s="1433"/>
      <c r="AN237" s="1433"/>
      <c r="AO237" s="1433"/>
      <c r="AP237" s="1433"/>
      <c r="AQ237" s="1431"/>
      <c r="AR237" s="1431"/>
      <c r="AS237" s="1431"/>
      <c r="AT237" s="1431"/>
      <c r="AU237" s="1431"/>
      <c r="AV237" s="1431"/>
      <c r="AW237" s="1431"/>
    </row>
    <row r="238" spans="1:49">
      <c r="A238" s="249" t="s">
        <v>1248</v>
      </c>
      <c r="B238" s="180"/>
      <c r="C238" s="180"/>
      <c r="D238" s="180"/>
      <c r="E238" s="180"/>
      <c r="F238" s="180"/>
      <c r="G238" s="180"/>
      <c r="H238" s="180"/>
      <c r="I238" s="180"/>
      <c r="J238" s="175"/>
      <c r="K238" s="178"/>
      <c r="L238" s="178"/>
      <c r="M238" s="178"/>
      <c r="N238" s="175"/>
      <c r="O238" s="192"/>
      <c r="P238" s="192"/>
      <c r="Q238" s="192"/>
      <c r="R238" s="192"/>
      <c r="S238" s="192"/>
      <c r="T238" s="192">
        <v>3.5000000000000003E-2</v>
      </c>
      <c r="U238" s="192">
        <v>3.5000000000000003E-2</v>
      </c>
      <c r="V238" s="192">
        <v>3.5000000000000003E-2</v>
      </c>
      <c r="W238" s="192">
        <v>0.02</v>
      </c>
      <c r="X238" s="192">
        <v>0.02</v>
      </c>
      <c r="Y238" s="192">
        <v>0.02</v>
      </c>
      <c r="Z238" s="192">
        <v>0.02</v>
      </c>
      <c r="AA238" s="934">
        <v>0.04</v>
      </c>
      <c r="AB238" s="934">
        <v>0.03</v>
      </c>
      <c r="AC238" s="934">
        <v>0.03</v>
      </c>
      <c r="AD238" s="934">
        <v>0.03</v>
      </c>
      <c r="AE238" s="934">
        <v>0.04</v>
      </c>
      <c r="AF238" s="934">
        <f>AE238</f>
        <v>0.04</v>
      </c>
      <c r="AG238" s="180"/>
      <c r="AH238" s="1433"/>
      <c r="AI238" s="1433"/>
      <c r="AJ238" s="1433"/>
      <c r="AK238" s="1433"/>
      <c r="AL238" s="1433"/>
      <c r="AM238" s="1433"/>
      <c r="AN238" s="1433"/>
      <c r="AO238" s="1439"/>
      <c r="AP238" s="1439"/>
      <c r="AQ238" s="1431"/>
      <c r="AR238" s="1431"/>
      <c r="AS238" s="1431"/>
      <c r="AT238" s="1431"/>
      <c r="AU238" s="1431"/>
      <c r="AV238" s="1431"/>
      <c r="AW238" s="1431"/>
    </row>
    <row r="239" spans="1:49">
      <c r="A239" s="19" t="s">
        <v>1249</v>
      </c>
      <c r="B239" s="180"/>
      <c r="C239" s="180"/>
      <c r="D239" s="180"/>
      <c r="E239" s="180"/>
      <c r="F239" s="180"/>
      <c r="G239" s="180"/>
      <c r="H239" s="180"/>
      <c r="I239" s="180"/>
      <c r="J239" s="175"/>
      <c r="K239" s="178"/>
      <c r="L239" s="178"/>
      <c r="M239" s="178"/>
      <c r="N239" s="178"/>
      <c r="O239" s="193"/>
      <c r="P239" s="193"/>
      <c r="Q239" s="193"/>
      <c r="R239" s="193"/>
      <c r="S239" s="193"/>
      <c r="T239" s="193">
        <f>T237*T198+T238*T199</f>
        <v>0</v>
      </c>
      <c r="U239" s="193">
        <v>0</v>
      </c>
      <c r="V239" s="193">
        <f t="shared" ref="V239:AF239" si="136">V237*V198+V238*V199</f>
        <v>0</v>
      </c>
      <c r="W239" s="193">
        <f t="shared" si="136"/>
        <v>0</v>
      </c>
      <c r="X239" s="193">
        <f t="shared" si="136"/>
        <v>0.02</v>
      </c>
      <c r="Y239" s="193">
        <f t="shared" si="136"/>
        <v>0.02</v>
      </c>
      <c r="Z239" s="193">
        <f t="shared" si="136"/>
        <v>0.02</v>
      </c>
      <c r="AA239" s="933">
        <f t="shared" si="136"/>
        <v>4.0000000000000008E-2</v>
      </c>
      <c r="AB239" s="933">
        <f t="shared" si="136"/>
        <v>0.03</v>
      </c>
      <c r="AC239" s="933">
        <f t="shared" si="136"/>
        <v>0.03</v>
      </c>
      <c r="AD239" s="933">
        <f t="shared" si="136"/>
        <v>0.03</v>
      </c>
      <c r="AE239" s="933">
        <f t="shared" si="136"/>
        <v>0.04</v>
      </c>
      <c r="AF239" s="933">
        <f t="shared" si="136"/>
        <v>0.04</v>
      </c>
      <c r="AG239" s="180"/>
      <c r="AH239" s="1433"/>
      <c r="AI239" s="1433"/>
      <c r="AJ239" s="1439"/>
      <c r="AK239" s="1440"/>
      <c r="AL239" s="1440"/>
      <c r="AM239" s="1440"/>
      <c r="AN239" s="1440"/>
      <c r="AO239" s="1435">
        <v>0.65</v>
      </c>
      <c r="AP239" s="1435"/>
      <c r="AQ239" s="1431"/>
      <c r="AR239" s="1431"/>
      <c r="AS239" s="1431"/>
      <c r="AT239" s="1431"/>
      <c r="AU239" s="1431"/>
      <c r="AV239" s="1431"/>
      <c r="AW239" s="1431"/>
    </row>
    <row r="240" spans="1:49">
      <c r="A240" s="19"/>
      <c r="B240" s="180"/>
      <c r="C240" s="180"/>
      <c r="D240" s="180"/>
      <c r="E240" s="180"/>
      <c r="F240" s="180"/>
      <c r="G240" s="180"/>
      <c r="H240" s="180"/>
      <c r="I240" s="180"/>
      <c r="J240" s="175"/>
      <c r="K240" s="178"/>
      <c r="L240" s="178"/>
      <c r="M240" s="178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80"/>
      <c r="Y240" s="175"/>
      <c r="Z240" s="175"/>
      <c r="AA240" s="175"/>
      <c r="AB240" s="175"/>
      <c r="AC240" s="175"/>
      <c r="AD240" s="175"/>
      <c r="AE240" s="175"/>
      <c r="AF240" s="175"/>
      <c r="AG240" s="180"/>
      <c r="AH240" s="1433" t="s">
        <v>1287</v>
      </c>
      <c r="AI240" s="1433"/>
      <c r="AJ240" s="1435"/>
      <c r="AK240" s="1433" t="s">
        <v>1076</v>
      </c>
      <c r="AL240" s="1433"/>
      <c r="AM240" s="1433"/>
      <c r="AN240" s="1433"/>
      <c r="AO240" s="1435">
        <v>0.15</v>
      </c>
      <c r="AP240" s="1435"/>
      <c r="AQ240" s="1431"/>
      <c r="AR240" s="1431"/>
      <c r="AS240" s="1431"/>
      <c r="AT240" s="1431"/>
      <c r="AU240" s="1431"/>
      <c r="AV240" s="1431"/>
      <c r="AW240" s="1431"/>
    </row>
    <row r="241" spans="1:49">
      <c r="A241" s="19" t="s">
        <v>1255</v>
      </c>
      <c r="B241" s="180"/>
      <c r="C241" s="180"/>
      <c r="D241" s="180"/>
      <c r="E241" s="180"/>
      <c r="F241" s="180"/>
      <c r="G241" s="180"/>
      <c r="H241" s="180"/>
      <c r="I241" s="180"/>
      <c r="J241" s="175"/>
      <c r="K241" s="178"/>
      <c r="L241" s="178"/>
      <c r="M241" s="178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4"/>
      <c r="AC241" s="174"/>
      <c r="AD241" s="174"/>
      <c r="AE241" s="174"/>
      <c r="AF241" s="174"/>
      <c r="AG241" s="180"/>
      <c r="AH241" s="1433" t="s">
        <v>1373</v>
      </c>
      <c r="AI241" s="1433"/>
      <c r="AJ241" s="1435"/>
      <c r="AK241" s="1433" t="s">
        <v>1077</v>
      </c>
      <c r="AL241" s="1433"/>
      <c r="AM241" s="1433"/>
      <c r="AN241" s="1433"/>
      <c r="AO241" s="1435"/>
      <c r="AP241" s="1435"/>
      <c r="AQ241" s="1431"/>
      <c r="AR241" s="1431"/>
      <c r="AS241" s="1431"/>
      <c r="AT241" s="1431"/>
      <c r="AU241" s="1431"/>
      <c r="AV241" s="1431"/>
      <c r="AW241" s="1431"/>
    </row>
    <row r="242" spans="1:49">
      <c r="A242" s="249" t="s">
        <v>931</v>
      </c>
      <c r="B242" s="180"/>
      <c r="C242" s="180"/>
      <c r="D242" s="180"/>
      <c r="E242" s="180"/>
      <c r="F242" s="180"/>
      <c r="G242" s="180"/>
      <c r="H242" s="180"/>
      <c r="I242" s="180"/>
      <c r="J242" s="175"/>
      <c r="K242" s="178"/>
      <c r="L242" s="178"/>
      <c r="M242" s="178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>
        <f>X$227*X$183+X$232*X$188</f>
        <v>2.04</v>
      </c>
      <c r="Y242" s="175">
        <f t="shared" ref="Y242:AF242" si="137">Y$227*Y183+Y$232*Y188</f>
        <v>27.0504</v>
      </c>
      <c r="Z242" s="175">
        <f t="shared" si="137"/>
        <v>96.569928000000004</v>
      </c>
      <c r="AA242" s="175">
        <f t="shared" si="137"/>
        <v>256.04826624000003</v>
      </c>
      <c r="AB242" s="175">
        <f t="shared" si="137"/>
        <v>429.69755162880006</v>
      </c>
      <c r="AC242" s="175">
        <f t="shared" si="137"/>
        <v>690.81270403392</v>
      </c>
      <c r="AD242" s="175">
        <f t="shared" si="137"/>
        <v>1029.9197808852825</v>
      </c>
      <c r="AE242" s="175">
        <f t="shared" si="137"/>
        <v>1357.0821206494038</v>
      </c>
      <c r="AF242" s="175">
        <f t="shared" si="137"/>
        <v>1797.4690653836169</v>
      </c>
      <c r="AG242" s="180"/>
      <c r="AH242" s="1433" t="s">
        <v>1374</v>
      </c>
      <c r="AI242" s="1433"/>
      <c r="AJ242" s="1435"/>
      <c r="AK242" s="1433"/>
      <c r="AL242" s="1433"/>
      <c r="AM242" s="1433"/>
      <c r="AN242" s="1433"/>
      <c r="AO242" s="1435"/>
      <c r="AP242" s="1435"/>
      <c r="AQ242" s="1431"/>
      <c r="AR242" s="1431"/>
      <c r="AS242" s="1431"/>
      <c r="AT242" s="1431"/>
      <c r="AU242" s="1431"/>
      <c r="AV242" s="1431"/>
      <c r="AW242" s="1431"/>
    </row>
    <row r="243" spans="1:49">
      <c r="A243" s="303" t="s">
        <v>1460</v>
      </c>
      <c r="B243" s="180"/>
      <c r="C243" s="180"/>
      <c r="D243" s="180"/>
      <c r="E243" s="180"/>
      <c r="F243" s="180"/>
      <c r="G243" s="180"/>
      <c r="H243" s="180"/>
      <c r="I243" s="180"/>
      <c r="J243" s="175"/>
      <c r="K243" s="178"/>
      <c r="L243" s="178"/>
      <c r="M243" s="178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>
        <f t="shared" ref="X243:AF243" si="138">X$242*X204</f>
        <v>1.3260000000000001</v>
      </c>
      <c r="Y243" s="175">
        <f t="shared" si="138"/>
        <v>17.58276</v>
      </c>
      <c r="Z243" s="175">
        <f t="shared" si="138"/>
        <v>62.770453200000006</v>
      </c>
      <c r="AA243" s="175">
        <f t="shared" si="138"/>
        <v>166.43137305600004</v>
      </c>
      <c r="AB243" s="175">
        <f t="shared" si="138"/>
        <v>279.30340855872004</v>
      </c>
      <c r="AC243" s="175">
        <f t="shared" si="138"/>
        <v>449.02825762204799</v>
      </c>
      <c r="AD243" s="175">
        <f t="shared" si="138"/>
        <v>669.44785757543366</v>
      </c>
      <c r="AE243" s="175">
        <f t="shared" si="138"/>
        <v>882.10337842211254</v>
      </c>
      <c r="AF243" s="175">
        <f t="shared" si="138"/>
        <v>1168.3548924993511</v>
      </c>
      <c r="AG243" s="180"/>
      <c r="AH243" s="1433"/>
      <c r="AI243" s="1433"/>
      <c r="AJ243" s="1435"/>
      <c r="AK243" s="1433"/>
      <c r="AL243" s="1433"/>
      <c r="AM243" s="1433"/>
      <c r="AN243" s="1433"/>
      <c r="AO243" s="1439"/>
      <c r="AP243" s="1439"/>
      <c r="AQ243" s="1431"/>
      <c r="AR243" s="1431"/>
      <c r="AS243" s="1431"/>
      <c r="AT243" s="1431"/>
      <c r="AU243" s="1431"/>
      <c r="AV243" s="1431"/>
      <c r="AW243" s="1431"/>
    </row>
    <row r="244" spans="1:49">
      <c r="A244" s="303" t="s">
        <v>928</v>
      </c>
      <c r="B244" s="180"/>
      <c r="C244" s="180"/>
      <c r="D244" s="180"/>
      <c r="E244" s="180"/>
      <c r="F244" s="180"/>
      <c r="G244" s="180"/>
      <c r="H244" s="180"/>
      <c r="I244" s="180"/>
      <c r="J244" s="175"/>
      <c r="K244" s="178"/>
      <c r="L244" s="178"/>
      <c r="M244" s="178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>
        <f t="shared" ref="X244:AF244" si="139">X$242*X205</f>
        <v>0.71399999999999997</v>
      </c>
      <c r="Y244" s="175">
        <f t="shared" si="139"/>
        <v>9.4676399999999994</v>
      </c>
      <c r="Z244" s="175">
        <f t="shared" si="139"/>
        <v>33.799474799999999</v>
      </c>
      <c r="AA244" s="175">
        <f t="shared" si="139"/>
        <v>89.616893184000006</v>
      </c>
      <c r="AB244" s="175">
        <f t="shared" si="139"/>
        <v>150.39414307008002</v>
      </c>
      <c r="AC244" s="175">
        <f t="shared" si="139"/>
        <v>241.78444641187198</v>
      </c>
      <c r="AD244" s="175">
        <f t="shared" si="139"/>
        <v>360.47192330984888</v>
      </c>
      <c r="AE244" s="175">
        <f t="shared" si="139"/>
        <v>474.97874222729132</v>
      </c>
      <c r="AF244" s="175">
        <f t="shared" si="139"/>
        <v>629.11417288426583</v>
      </c>
      <c r="AG244" s="180"/>
      <c r="AH244" s="1433"/>
      <c r="AI244" s="1433"/>
      <c r="AJ244" s="1439"/>
      <c r="AK244" s="1440"/>
      <c r="AL244" s="1440"/>
      <c r="AM244" s="1440"/>
      <c r="AN244" s="1440"/>
      <c r="AO244" s="1435"/>
      <c r="AP244" s="1435"/>
      <c r="AQ244" s="1431"/>
      <c r="AR244" s="1431"/>
      <c r="AS244" s="1431"/>
      <c r="AT244" s="1431"/>
      <c r="AU244" s="1431"/>
      <c r="AV244" s="1431"/>
      <c r="AW244" s="1431"/>
    </row>
    <row r="245" spans="1:49">
      <c r="A245" s="249" t="s">
        <v>1248</v>
      </c>
      <c r="B245" s="180"/>
      <c r="C245" s="180"/>
      <c r="D245" s="180"/>
      <c r="E245" s="180"/>
      <c r="F245" s="180"/>
      <c r="G245" s="180"/>
      <c r="H245" s="180"/>
      <c r="I245" s="180"/>
      <c r="J245" s="175"/>
      <c r="K245" s="178"/>
      <c r="L245" s="178"/>
      <c r="M245" s="178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>
        <f t="shared" ref="X245:AF245" si="140">X$228*X$184+X$233*X$189</f>
        <v>461.04</v>
      </c>
      <c r="Y245" s="175">
        <f t="shared" si="140"/>
        <v>823.99680000000001</v>
      </c>
      <c r="Z245" s="175">
        <f t="shared" si="140"/>
        <v>1662.9129359999999</v>
      </c>
      <c r="AA245" s="175">
        <f t="shared" si="140"/>
        <v>2845.2259929600004</v>
      </c>
      <c r="AB245" s="175">
        <f t="shared" si="140"/>
        <v>3561.4879080768001</v>
      </c>
      <c r="AC245" s="175">
        <f t="shared" si="140"/>
        <v>4500.8203971294724</v>
      </c>
      <c r="AD245" s="175">
        <f t="shared" si="140"/>
        <v>5482.4535408717738</v>
      </c>
      <c r="AE245" s="175">
        <f t="shared" si="140"/>
        <v>6059.2086181675322</v>
      </c>
      <c r="AF245" s="175">
        <f t="shared" si="140"/>
        <v>6842.9047293196327</v>
      </c>
      <c r="AG245" s="180"/>
      <c r="AH245" s="1433" t="s">
        <v>1287</v>
      </c>
      <c r="AI245" s="1433"/>
      <c r="AJ245" s="1435"/>
      <c r="AK245" s="1433" t="s">
        <v>1076</v>
      </c>
      <c r="AL245" s="1433"/>
      <c r="AM245" s="1433"/>
      <c r="AN245" s="1433"/>
      <c r="AO245" s="1435"/>
      <c r="AP245" s="1435"/>
      <c r="AQ245" s="1431"/>
      <c r="AR245" s="1431"/>
      <c r="AS245" s="1431"/>
      <c r="AT245" s="1431"/>
      <c r="AU245" s="1431"/>
      <c r="AV245" s="1431"/>
      <c r="AW245" s="1431"/>
    </row>
    <row r="246" spans="1:49">
      <c r="A246" s="249"/>
      <c r="B246" s="180"/>
      <c r="C246" s="180"/>
      <c r="D246" s="180"/>
      <c r="E246" s="180"/>
      <c r="F246" s="180"/>
      <c r="G246" s="180"/>
      <c r="H246" s="180"/>
      <c r="I246" s="180"/>
      <c r="J246" s="175"/>
      <c r="K246" s="178"/>
      <c r="L246" s="178"/>
      <c r="M246" s="178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80"/>
      <c r="AH246" s="1433"/>
      <c r="AI246" s="1433"/>
      <c r="AJ246" s="1435"/>
      <c r="AK246" s="1433"/>
      <c r="AL246" s="1433"/>
      <c r="AM246" s="1433"/>
      <c r="AN246" s="1433"/>
      <c r="AO246" s="1439"/>
      <c r="AP246" s="1439"/>
      <c r="AQ246" s="1431"/>
      <c r="AR246" s="1431"/>
      <c r="AS246" s="1431"/>
      <c r="AT246" s="1431"/>
      <c r="AU246" s="1431"/>
      <c r="AV246" s="1431"/>
      <c r="AW246" s="1431"/>
    </row>
    <row r="247" spans="1:49">
      <c r="A247" s="19" t="s">
        <v>1253</v>
      </c>
      <c r="B247" s="180"/>
      <c r="C247" s="180"/>
      <c r="D247" s="180"/>
      <c r="E247" s="180"/>
      <c r="F247" s="180"/>
      <c r="G247" s="180"/>
      <c r="H247" s="180"/>
      <c r="I247" s="180"/>
      <c r="J247" s="175"/>
      <c r="K247" s="178"/>
      <c r="L247" s="178"/>
      <c r="M247" s="178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>
        <f t="shared" ref="X247:AF247" si="141">X245+X242</f>
        <v>463.08000000000004</v>
      </c>
      <c r="Y247" s="175">
        <f t="shared" si="141"/>
        <v>851.04719999999998</v>
      </c>
      <c r="Z247" s="175">
        <f t="shared" si="141"/>
        <v>1759.4828640000001</v>
      </c>
      <c r="AA247" s="175">
        <f t="shared" si="141"/>
        <v>3101.2742592000004</v>
      </c>
      <c r="AB247" s="175">
        <f t="shared" si="141"/>
        <v>3991.1854597055999</v>
      </c>
      <c r="AC247" s="175">
        <f t="shared" si="141"/>
        <v>5191.633101163392</v>
      </c>
      <c r="AD247" s="175">
        <f t="shared" si="141"/>
        <v>6512.3733217570561</v>
      </c>
      <c r="AE247" s="175">
        <f t="shared" si="141"/>
        <v>7416.290738816936</v>
      </c>
      <c r="AF247" s="175">
        <f t="shared" si="141"/>
        <v>8640.3737947032496</v>
      </c>
      <c r="AG247" s="180"/>
      <c r="AH247" s="1433"/>
      <c r="AI247" s="1433"/>
      <c r="AJ247" s="1439"/>
      <c r="AK247" s="1433" t="s">
        <v>1080</v>
      </c>
      <c r="AL247" s="1433"/>
      <c r="AM247" s="1433"/>
      <c r="AN247" s="1433"/>
      <c r="AO247" s="1435"/>
      <c r="AP247" s="1435"/>
      <c r="AQ247" s="1431"/>
      <c r="AR247" s="1431"/>
      <c r="AS247" s="1431"/>
      <c r="AT247" s="1431"/>
      <c r="AU247" s="1431"/>
      <c r="AV247" s="1431"/>
      <c r="AW247" s="1431"/>
    </row>
    <row r="248" spans="1:49">
      <c r="A248" s="286" t="s">
        <v>1242</v>
      </c>
      <c r="B248" s="312"/>
      <c r="C248" s="312"/>
      <c r="D248" s="312"/>
      <c r="E248" s="312"/>
      <c r="F248" s="312"/>
      <c r="G248" s="312"/>
      <c r="H248" s="312"/>
      <c r="I248" s="312"/>
      <c r="J248" s="183"/>
      <c r="K248" s="198"/>
      <c r="L248" s="198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>
        <f t="shared" ref="Y248:AF248" si="142">Y247/X247-1</f>
        <v>0.83779735682819356</v>
      </c>
      <c r="Z248" s="184">
        <f t="shared" si="142"/>
        <v>1.0674327628361859</v>
      </c>
      <c r="AA248" s="184">
        <f t="shared" si="142"/>
        <v>0.76260554885404108</v>
      </c>
      <c r="AB248" s="184">
        <f t="shared" si="142"/>
        <v>0.28695017793594291</v>
      </c>
      <c r="AC248" s="184">
        <f t="shared" si="142"/>
        <v>0.30077470806038176</v>
      </c>
      <c r="AD248" s="184">
        <f t="shared" si="142"/>
        <v>0.25439783491204326</v>
      </c>
      <c r="AE248" s="184">
        <f t="shared" si="142"/>
        <v>0.13880000000000003</v>
      </c>
      <c r="AF248" s="184">
        <f t="shared" si="142"/>
        <v>0.1650532724505327</v>
      </c>
      <c r="AG248" s="180"/>
      <c r="AH248" s="1433"/>
      <c r="AI248" s="1433"/>
      <c r="AJ248" s="1435"/>
      <c r="AK248" s="1433"/>
      <c r="AL248" s="1433"/>
      <c r="AM248" s="1433"/>
      <c r="AN248" s="1433"/>
      <c r="AO248" s="1435"/>
      <c r="AP248" s="1435"/>
      <c r="AQ248" s="1431"/>
      <c r="AR248" s="1431"/>
      <c r="AS248" s="1431"/>
      <c r="AT248" s="1431"/>
      <c r="AU248" s="1431"/>
      <c r="AV248" s="1431"/>
      <c r="AW248" s="1431"/>
    </row>
    <row r="249" spans="1:49">
      <c r="A249" s="19"/>
      <c r="B249" s="180"/>
      <c r="C249" s="180"/>
      <c r="D249" s="180"/>
      <c r="E249" s="180"/>
      <c r="F249" s="180"/>
      <c r="G249" s="180"/>
      <c r="H249" s="180"/>
      <c r="I249" s="180"/>
      <c r="J249" s="175"/>
      <c r="K249" s="178"/>
      <c r="L249" s="178"/>
      <c r="M249" s="178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80"/>
      <c r="AH249" s="1433" t="s">
        <v>1314</v>
      </c>
      <c r="AI249" s="1433"/>
      <c r="AJ249" s="1435"/>
      <c r="AK249" s="1433"/>
      <c r="AL249" s="1433"/>
      <c r="AM249" s="1433"/>
      <c r="AN249" s="1433"/>
      <c r="AO249" s="1439"/>
      <c r="AP249" s="1439"/>
      <c r="AQ249" s="1431"/>
      <c r="AR249" s="1431"/>
      <c r="AS249" s="1431"/>
      <c r="AT249" s="1431"/>
      <c r="AU249" s="1431"/>
      <c r="AV249" s="1431"/>
      <c r="AW249" s="1431"/>
    </row>
    <row r="250" spans="1:49">
      <c r="A250" s="19" t="s">
        <v>1250</v>
      </c>
      <c r="B250" s="180"/>
      <c r="C250" s="180"/>
      <c r="D250" s="180"/>
      <c r="E250" s="180"/>
      <c r="F250" s="180"/>
      <c r="G250" s="180"/>
      <c r="H250" s="180"/>
      <c r="I250" s="180"/>
      <c r="J250" s="175"/>
      <c r="K250" s="178"/>
      <c r="L250" s="178"/>
      <c r="M250" s="178"/>
      <c r="N250" s="199"/>
      <c r="O250" s="199"/>
      <c r="P250" s="199"/>
      <c r="Q250" s="199"/>
      <c r="R250" s="199"/>
      <c r="S250" s="199"/>
      <c r="T250" s="199">
        <f>'Income Statement'!T$155</f>
        <v>1.18028</v>
      </c>
      <c r="U250" s="199">
        <v>1.159077672574627</v>
      </c>
      <c r="V250" s="199">
        <f>'Income Statement'!V$155</f>
        <v>1.1490638246268656</v>
      </c>
      <c r="W250" s="199">
        <f>'Income Statement'!W$155</f>
        <v>1.1713242788461544</v>
      </c>
      <c r="X250" s="199">
        <f>'Income Statement'!X$155</f>
        <v>1.1065795550914248</v>
      </c>
      <c r="Y250" s="199">
        <f>'Income Statement'!Y$155</f>
        <v>1.1105369302909465</v>
      </c>
      <c r="Z250" s="199">
        <f>'Income Statement'!Z$155</f>
        <v>1.1083231112074399</v>
      </c>
      <c r="AA250" s="939">
        <f>'Income Statement'!AA$155</f>
        <v>1.1207295968584789</v>
      </c>
      <c r="AB250" s="939">
        <f>'Income Statement'!AB$155</f>
        <v>1.1426415000000001</v>
      </c>
      <c r="AC250" s="939">
        <f>'Income Statement'!AC$155</f>
        <v>1.1426415000000001</v>
      </c>
      <c r="AD250" s="939">
        <f>'Income Statement'!AD$155</f>
        <v>1.1426415000000001</v>
      </c>
      <c r="AE250" s="939">
        <f>'Income Statement'!AE$155</f>
        <v>1.1426415000000001</v>
      </c>
      <c r="AF250" s="939">
        <f>'Income Statement'!AF$155</f>
        <v>1.1426415000000001</v>
      </c>
      <c r="AG250" s="180"/>
      <c r="AH250" s="1433" t="s">
        <v>974</v>
      </c>
      <c r="AI250" s="1433"/>
      <c r="AJ250" s="1439"/>
      <c r="AK250" s="1433" t="s">
        <v>1078</v>
      </c>
      <c r="AL250" s="1433"/>
      <c r="AM250" s="1433"/>
      <c r="AN250" s="1433"/>
      <c r="AO250" s="1439"/>
      <c r="AP250" s="1439"/>
      <c r="AQ250" s="1431"/>
      <c r="AR250" s="1431"/>
      <c r="AS250" s="1431"/>
      <c r="AT250" s="1431"/>
      <c r="AU250" s="1431"/>
      <c r="AV250" s="1431"/>
      <c r="AW250" s="1431"/>
    </row>
    <row r="251" spans="1:49">
      <c r="A251" s="19" t="s">
        <v>1251</v>
      </c>
      <c r="B251" s="180"/>
      <c r="C251" s="180"/>
      <c r="D251" s="180"/>
      <c r="E251" s="180"/>
      <c r="F251" s="180"/>
      <c r="G251" s="180"/>
      <c r="H251" s="180"/>
      <c r="I251" s="180"/>
      <c r="J251" s="175"/>
      <c r="K251" s="178"/>
      <c r="L251" s="178"/>
      <c r="M251" s="178"/>
      <c r="N251" s="175"/>
      <c r="O251" s="174"/>
      <c r="P251" s="174"/>
      <c r="Q251" s="174"/>
      <c r="R251" s="174"/>
      <c r="S251" s="174"/>
      <c r="T251" s="174" t="e">
        <f t="shared" ref="T251:AF251" si="143">(1/T250)/(1/S250)-1</f>
        <v>#DIV/0!</v>
      </c>
      <c r="U251" s="174">
        <v>1.8292412947854331E-2</v>
      </c>
      <c r="V251" s="174">
        <f t="shared" si="143"/>
        <v>8.7147882764591067E-3</v>
      </c>
      <c r="W251" s="174">
        <f t="shared" si="143"/>
        <v>-1.9004518749681454E-2</v>
      </c>
      <c r="X251" s="174">
        <f t="shared" si="143"/>
        <v>5.8508873995399613E-2</v>
      </c>
      <c r="Y251" s="174">
        <f t="shared" si="143"/>
        <v>-3.5634791528138532E-3</v>
      </c>
      <c r="Z251" s="174">
        <f t="shared" si="143"/>
        <v>1.9974491744512157E-3</v>
      </c>
      <c r="AA251" s="174">
        <f t="shared" si="143"/>
        <v>-1.1070008042810442E-2</v>
      </c>
      <c r="AB251" s="174">
        <f t="shared" si="143"/>
        <v>-1.9176533621018677E-2</v>
      </c>
      <c r="AC251" s="174">
        <f t="shared" si="143"/>
        <v>0</v>
      </c>
      <c r="AD251" s="174">
        <f t="shared" si="143"/>
        <v>0</v>
      </c>
      <c r="AE251" s="174">
        <f t="shared" si="143"/>
        <v>0</v>
      </c>
      <c r="AF251" s="174">
        <f t="shared" si="143"/>
        <v>0</v>
      </c>
      <c r="AG251" s="180"/>
      <c r="AH251" s="1433"/>
      <c r="AI251" s="1433"/>
      <c r="AJ251" s="1439"/>
      <c r="AK251" s="1433" t="s">
        <v>1079</v>
      </c>
      <c r="AL251" s="1433"/>
      <c r="AM251" s="1433"/>
      <c r="AN251" s="1433"/>
      <c r="AO251" s="1439"/>
      <c r="AP251" s="1439"/>
      <c r="AQ251" s="1431"/>
      <c r="AR251" s="1431"/>
      <c r="AS251" s="1431"/>
      <c r="AT251" s="1431"/>
      <c r="AU251" s="1431"/>
      <c r="AV251" s="1431"/>
      <c r="AW251" s="1431"/>
    </row>
    <row r="252" spans="1:49">
      <c r="A252" s="19"/>
      <c r="B252" s="180"/>
      <c r="C252" s="180"/>
      <c r="D252" s="180"/>
      <c r="E252" s="180"/>
      <c r="F252" s="180"/>
      <c r="G252" s="180"/>
      <c r="H252" s="180"/>
      <c r="I252" s="180"/>
      <c r="J252" s="175"/>
      <c r="K252" s="178"/>
      <c r="L252" s="178"/>
      <c r="M252" s="178"/>
      <c r="N252" s="175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80"/>
      <c r="AH252" s="1433"/>
      <c r="AI252" s="1433"/>
      <c r="AJ252" s="1439"/>
      <c r="AK252" s="1433" t="s">
        <v>1080</v>
      </c>
      <c r="AL252" s="1433"/>
      <c r="AM252" s="1433"/>
      <c r="AN252" s="1433"/>
      <c r="AO252" s="1442"/>
      <c r="AP252" s="1442"/>
      <c r="AQ252" s="1431"/>
      <c r="AR252" s="1431"/>
      <c r="AS252" s="1431"/>
      <c r="AT252" s="1431"/>
      <c r="AU252" s="1431"/>
      <c r="AV252" s="1431"/>
      <c r="AW252" s="1431"/>
    </row>
    <row r="253" spans="1:49">
      <c r="A253" s="307" t="s">
        <v>1312</v>
      </c>
      <c r="B253" s="180"/>
      <c r="C253" s="180"/>
      <c r="D253" s="180"/>
      <c r="E253" s="180"/>
      <c r="F253" s="180"/>
      <c r="G253" s="180"/>
      <c r="H253" s="180"/>
      <c r="I253" s="180"/>
      <c r="J253" s="175"/>
      <c r="K253" s="178"/>
      <c r="L253" s="178"/>
      <c r="M253" s="178"/>
      <c r="N253" s="177"/>
      <c r="O253" s="174"/>
      <c r="P253" s="174"/>
      <c r="Q253" s="174"/>
      <c r="R253" s="174"/>
      <c r="S253" s="174"/>
      <c r="T253" s="174">
        <f t="shared" ref="T253:AF253" si="144">S253</f>
        <v>0</v>
      </c>
      <c r="U253" s="174">
        <v>0.5</v>
      </c>
      <c r="V253" s="174">
        <f t="shared" si="144"/>
        <v>0.5</v>
      </c>
      <c r="W253" s="174">
        <f t="shared" si="144"/>
        <v>0.5</v>
      </c>
      <c r="X253" s="174">
        <f t="shared" si="144"/>
        <v>0.5</v>
      </c>
      <c r="Y253" s="174">
        <f t="shared" si="144"/>
        <v>0.5</v>
      </c>
      <c r="Z253" s="174">
        <f t="shared" si="144"/>
        <v>0.5</v>
      </c>
      <c r="AA253" s="931">
        <f t="shared" si="144"/>
        <v>0.5</v>
      </c>
      <c r="AB253" s="931">
        <f t="shared" si="144"/>
        <v>0.5</v>
      </c>
      <c r="AC253" s="931">
        <f t="shared" si="144"/>
        <v>0.5</v>
      </c>
      <c r="AD253" s="931">
        <f t="shared" si="144"/>
        <v>0.5</v>
      </c>
      <c r="AE253" s="931">
        <f t="shared" si="144"/>
        <v>0.5</v>
      </c>
      <c r="AF253" s="931">
        <f t="shared" si="144"/>
        <v>0.5</v>
      </c>
      <c r="AG253" s="180"/>
      <c r="AH253" s="1433"/>
      <c r="AI253" s="1433"/>
      <c r="AJ253" s="1442"/>
      <c r="AK253" s="1433" t="s">
        <v>1081</v>
      </c>
      <c r="AL253" s="1433"/>
      <c r="AM253" s="1433"/>
      <c r="AN253" s="1433"/>
      <c r="AO253" s="1433"/>
      <c r="AP253" s="1433"/>
      <c r="AQ253" s="1431"/>
      <c r="AR253" s="1431"/>
      <c r="AS253" s="1431"/>
      <c r="AT253" s="1431"/>
      <c r="AU253" s="1431"/>
      <c r="AV253" s="1431"/>
      <c r="AW253" s="1431"/>
    </row>
    <row r="254" spans="1:49">
      <c r="A254" s="249"/>
      <c r="B254" s="180"/>
      <c r="C254" s="180"/>
      <c r="D254" s="180"/>
      <c r="E254" s="180"/>
      <c r="F254" s="180"/>
      <c r="G254" s="180"/>
      <c r="H254" s="180"/>
      <c r="I254" s="180"/>
      <c r="J254" s="175"/>
      <c r="K254" s="178"/>
      <c r="L254" s="178"/>
      <c r="M254" s="178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  <c r="AF254" s="175"/>
      <c r="AG254" s="180"/>
      <c r="AH254" s="1433"/>
      <c r="AI254" s="1433"/>
      <c r="AJ254" s="1433"/>
      <c r="AK254" s="1433"/>
      <c r="AL254" s="1433"/>
      <c r="AM254" s="1433"/>
      <c r="AN254" s="1433"/>
      <c r="AO254" s="1442"/>
      <c r="AP254" s="1442"/>
      <c r="AQ254" s="1431"/>
      <c r="AR254" s="1431"/>
      <c r="AS254" s="1431"/>
      <c r="AT254" s="1431"/>
      <c r="AU254" s="1431"/>
      <c r="AV254" s="1431"/>
      <c r="AW254" s="1431"/>
    </row>
    <row r="255" spans="1:49">
      <c r="A255" s="19"/>
      <c r="B255" s="180"/>
      <c r="C255" s="180"/>
      <c r="D255" s="180"/>
      <c r="E255" s="180"/>
      <c r="F255" s="180"/>
      <c r="G255" s="180"/>
      <c r="H255" s="180"/>
      <c r="I255" s="180"/>
      <c r="J255" s="175"/>
      <c r="K255" s="178"/>
      <c r="L255" s="178"/>
      <c r="M255" s="178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80"/>
      <c r="AH255" s="1433"/>
      <c r="AI255" s="1433"/>
      <c r="AJ255" s="1442"/>
      <c r="AK255" s="1433" t="s">
        <v>1075</v>
      </c>
      <c r="AL255" s="1433"/>
      <c r="AM255" s="1433"/>
      <c r="AN255" s="1433"/>
      <c r="AO255" s="1444"/>
      <c r="AP255" s="1444"/>
      <c r="AQ255" s="1431"/>
      <c r="AR255" s="1431"/>
      <c r="AS255" s="1431"/>
      <c r="AT255" s="1431"/>
      <c r="AU255" s="1431"/>
      <c r="AV255" s="1431"/>
      <c r="AW255" s="1431"/>
    </row>
    <row r="256" spans="1:49">
      <c r="A256" s="181" t="s">
        <v>1257</v>
      </c>
      <c r="B256" s="57"/>
      <c r="C256" s="57"/>
      <c r="D256" s="57"/>
      <c r="E256" s="57"/>
      <c r="F256" s="57"/>
      <c r="G256" s="57"/>
      <c r="H256" s="57"/>
      <c r="I256" s="57"/>
      <c r="J256" s="196"/>
      <c r="K256" s="197"/>
      <c r="L256" s="197"/>
      <c r="M256" s="197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>
        <f t="shared" ref="X256:AF256" si="145">X247/X$250*X253</f>
        <v>209.23936190097996</v>
      </c>
      <c r="Y256" s="196">
        <f t="shared" si="145"/>
        <v>383.16924758955855</v>
      </c>
      <c r="Z256" s="196">
        <f t="shared" si="145"/>
        <v>793.75898878584587</v>
      </c>
      <c r="AA256" s="196">
        <f t="shared" si="145"/>
        <v>1383.5961269753172</v>
      </c>
      <c r="AB256" s="196">
        <f t="shared" si="145"/>
        <v>1746.4731762786489</v>
      </c>
      <c r="AC256" s="196">
        <f t="shared" si="145"/>
        <v>2271.7681360091469</v>
      </c>
      <c r="AD256" s="196">
        <f t="shared" si="145"/>
        <v>2849.7010312320426</v>
      </c>
      <c r="AE256" s="196">
        <f t="shared" si="145"/>
        <v>3245.2395343670501</v>
      </c>
      <c r="AF256" s="196">
        <f t="shared" si="145"/>
        <v>3780.8769394001743</v>
      </c>
      <c r="AG256" s="180"/>
      <c r="AH256" s="1433"/>
      <c r="AI256" s="1433"/>
      <c r="AJ256" s="1444"/>
      <c r="AK256" s="1433" t="s">
        <v>903</v>
      </c>
      <c r="AL256" s="1433"/>
      <c r="AM256" s="1433"/>
      <c r="AN256" s="1433"/>
      <c r="AO256" s="1433"/>
      <c r="AP256" s="1433"/>
      <c r="AQ256" s="1431"/>
      <c r="AR256" s="1431"/>
      <c r="AS256" s="1431"/>
      <c r="AT256" s="1431"/>
      <c r="AU256" s="1431"/>
      <c r="AV256" s="1431"/>
      <c r="AW256" s="1431"/>
    </row>
    <row r="257" spans="1:49">
      <c r="A257" s="286" t="s">
        <v>1242</v>
      </c>
      <c r="B257" s="312"/>
      <c r="C257" s="312"/>
      <c r="D257" s="312"/>
      <c r="E257" s="312"/>
      <c r="F257" s="312"/>
      <c r="G257" s="312"/>
      <c r="H257" s="312"/>
      <c r="I257" s="312"/>
      <c r="J257" s="183"/>
      <c r="K257" s="198"/>
      <c r="L257" s="198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>
        <f t="shared" ref="Y257:AF257" si="146">Y256/X256-1</f>
        <v>0.83124840426003987</v>
      </c>
      <c r="Z257" s="184">
        <f t="shared" si="146"/>
        <v>1.0715623547015469</v>
      </c>
      <c r="AA257" s="184">
        <f t="shared" si="146"/>
        <v>0.74309349125192448</v>
      </c>
      <c r="AB257" s="184">
        <f t="shared" si="146"/>
        <v>0.26227093458017836</v>
      </c>
      <c r="AC257" s="184">
        <f t="shared" si="146"/>
        <v>0.30077470806038153</v>
      </c>
      <c r="AD257" s="184">
        <f t="shared" si="146"/>
        <v>0.25439783491204349</v>
      </c>
      <c r="AE257" s="184">
        <f t="shared" si="146"/>
        <v>0.13880000000000003</v>
      </c>
      <c r="AF257" s="184">
        <f t="shared" si="146"/>
        <v>0.16505327245053247</v>
      </c>
      <c r="AG257" s="180"/>
      <c r="AH257" s="1433" t="s">
        <v>1313</v>
      </c>
      <c r="AI257" s="1433"/>
      <c r="AJ257" s="1433"/>
      <c r="AK257" s="1433"/>
      <c r="AL257" s="1433"/>
      <c r="AM257" s="1433"/>
      <c r="AN257" s="1433"/>
      <c r="AO257" s="1433"/>
      <c r="AP257" s="1433"/>
      <c r="AQ257" s="1431"/>
      <c r="AR257" s="1431"/>
      <c r="AS257" s="1431"/>
      <c r="AT257" s="1431"/>
      <c r="AU257" s="1431"/>
      <c r="AV257" s="1431"/>
      <c r="AW257" s="1431"/>
    </row>
    <row r="258" spans="1:49">
      <c r="A258" s="286"/>
      <c r="B258" s="312"/>
      <c r="C258" s="312"/>
      <c r="D258" s="312"/>
      <c r="E258" s="312"/>
      <c r="F258" s="312"/>
      <c r="G258" s="312"/>
      <c r="H258" s="312"/>
      <c r="I258" s="312"/>
      <c r="J258" s="183"/>
      <c r="K258" s="198"/>
      <c r="L258" s="198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  <c r="AC258" s="184"/>
      <c r="AD258" s="184"/>
      <c r="AE258" s="184"/>
      <c r="AF258" s="184"/>
      <c r="AG258" s="180"/>
      <c r="AH258" s="1433"/>
      <c r="AI258" s="1433"/>
      <c r="AJ258" s="1433"/>
      <c r="AK258" s="1433"/>
      <c r="AL258" s="1433"/>
      <c r="AM258" s="1433"/>
      <c r="AN258" s="1433"/>
      <c r="AO258" s="1433"/>
      <c r="AP258" s="1433"/>
      <c r="AQ258" s="1433"/>
      <c r="AR258" s="1433"/>
      <c r="AS258" s="1433"/>
      <c r="AT258" s="1433"/>
      <c r="AU258" s="1431"/>
      <c r="AV258" s="1431"/>
      <c r="AW258" s="1431"/>
    </row>
    <row r="259" spans="1:49">
      <c r="A259" s="286"/>
      <c r="B259" s="312"/>
      <c r="C259" s="312"/>
      <c r="D259" s="312"/>
      <c r="E259" s="312"/>
      <c r="F259" s="312"/>
      <c r="G259" s="312"/>
      <c r="H259" s="312"/>
      <c r="I259" s="312"/>
      <c r="J259" s="183"/>
      <c r="K259" s="198"/>
      <c r="L259" s="198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0"/>
      <c r="AH259" s="1433"/>
      <c r="AI259" s="1433"/>
      <c r="AJ259" s="1433"/>
      <c r="AK259" s="1433"/>
      <c r="AL259" s="1433"/>
      <c r="AM259" s="1433"/>
      <c r="AN259" s="1433"/>
      <c r="AO259" s="1433"/>
      <c r="AP259" s="1433"/>
      <c r="AQ259" s="1433"/>
      <c r="AR259" s="1433"/>
      <c r="AS259" s="1433"/>
      <c r="AT259" s="1433"/>
      <c r="AU259" s="1431"/>
      <c r="AV259" s="1431"/>
      <c r="AW259" s="1431"/>
    </row>
    <row r="260" spans="1:49">
      <c r="A260" s="307" t="s">
        <v>1606</v>
      </c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>
        <f>AA256*AA261</f>
        <v>13.835961269753172</v>
      </c>
      <c r="AB260" s="175">
        <f t="shared" ref="AB260:AF260" si="147">AB256*AB261</f>
        <v>17.464731762786489</v>
      </c>
      <c r="AC260" s="175">
        <f t="shared" si="147"/>
        <v>45.435362720182937</v>
      </c>
      <c r="AD260" s="175">
        <f t="shared" si="147"/>
        <v>85.49103093696128</v>
      </c>
      <c r="AE260" s="175">
        <f t="shared" si="147"/>
        <v>162.26197671835251</v>
      </c>
      <c r="AF260" s="175">
        <f t="shared" si="147"/>
        <v>264.66138575801222</v>
      </c>
      <c r="AG260" s="180"/>
      <c r="AH260" s="1433"/>
      <c r="AI260" s="1433"/>
      <c r="AJ260" s="1433"/>
      <c r="AK260" s="1433"/>
      <c r="AL260" s="1433"/>
      <c r="AM260" s="1433"/>
      <c r="AN260" s="1433"/>
      <c r="AO260" s="1433"/>
      <c r="AP260" s="1433"/>
      <c r="AQ260" s="1433"/>
      <c r="AR260" s="1433"/>
      <c r="AS260" s="1433"/>
      <c r="AT260" s="1433"/>
      <c r="AU260" s="1431"/>
      <c r="AV260" s="1431"/>
      <c r="AW260" s="1431"/>
    </row>
    <row r="261" spans="1:49">
      <c r="A261" s="307" t="s">
        <v>1607</v>
      </c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054">
        <v>0.01</v>
      </c>
      <c r="AB261" s="1054">
        <v>0.01</v>
      </c>
      <c r="AC261" s="1054">
        <v>0.02</v>
      </c>
      <c r="AD261" s="1054">
        <v>0.03</v>
      </c>
      <c r="AE261" s="1054">
        <v>0.05</v>
      </c>
      <c r="AF261" s="1054">
        <v>7.0000000000000007E-2</v>
      </c>
      <c r="AG261" s="180"/>
      <c r="AH261" s="1437"/>
      <c r="AI261" s="1433"/>
      <c r="AJ261" s="1433"/>
      <c r="AK261" s="1433"/>
      <c r="AL261" s="1433"/>
      <c r="AM261" s="1433"/>
      <c r="AN261" s="1433"/>
      <c r="AO261" s="1433"/>
      <c r="AP261" s="1433"/>
      <c r="AQ261" s="1433"/>
      <c r="AR261" s="1433"/>
      <c r="AS261" s="1433"/>
      <c r="AT261" s="1433"/>
      <c r="AU261" s="1431"/>
      <c r="AV261" s="1431"/>
      <c r="AW261" s="1431"/>
    </row>
    <row r="262" spans="1:49">
      <c r="A262" s="307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  <c r="AF262" s="175"/>
      <c r="AG262" s="180"/>
      <c r="AH262" s="1433"/>
      <c r="AI262" s="1433"/>
      <c r="AJ262" s="1433"/>
      <c r="AK262" s="1433"/>
      <c r="AL262" s="1433"/>
      <c r="AM262" s="1433"/>
      <c r="AN262" s="1433"/>
      <c r="AO262" s="1433"/>
      <c r="AP262" s="1433"/>
      <c r="AQ262" s="1433"/>
      <c r="AR262" s="1433"/>
      <c r="AS262" s="1433"/>
      <c r="AT262" s="1433"/>
      <c r="AU262" s="1431"/>
      <c r="AV262" s="1431"/>
      <c r="AW262" s="1431"/>
    </row>
    <row r="263" spans="1:49">
      <c r="A263" s="249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90"/>
      <c r="AC263" s="190"/>
      <c r="AD263" s="190"/>
      <c r="AE263" s="190"/>
      <c r="AF263" s="190"/>
      <c r="AG263" s="180"/>
      <c r="AH263" s="1433"/>
      <c r="AI263" s="1433"/>
      <c r="AJ263" s="1433"/>
      <c r="AK263" s="1433"/>
      <c r="AL263" s="1433"/>
      <c r="AM263" s="1433"/>
      <c r="AN263" s="1433"/>
      <c r="AO263" s="1433"/>
      <c r="AP263" s="1433"/>
      <c r="AQ263" s="1433"/>
      <c r="AR263" s="1433"/>
      <c r="AS263" s="1433"/>
      <c r="AT263" s="1433"/>
      <c r="AU263" s="1431"/>
      <c r="AV263" s="1431"/>
      <c r="AW263" s="1431"/>
    </row>
    <row r="264" spans="1:49">
      <c r="A264" s="303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433"/>
      <c r="AI264" s="1433"/>
      <c r="AJ264" s="1433"/>
      <c r="AK264" s="1433"/>
      <c r="AL264" s="1433"/>
      <c r="AM264" s="1433"/>
      <c r="AN264" s="1433"/>
      <c r="AO264" s="1433"/>
      <c r="AP264" s="1433"/>
      <c r="AQ264" s="1433"/>
      <c r="AR264" s="1433"/>
      <c r="AS264" s="1433"/>
      <c r="AT264" s="1433"/>
      <c r="AU264" s="1431"/>
      <c r="AV264" s="1431"/>
      <c r="AW264" s="1431"/>
    </row>
    <row r="265" spans="1:49">
      <c r="A265" s="320" t="s">
        <v>1477</v>
      </c>
      <c r="B265" s="185"/>
      <c r="C265" s="185"/>
      <c r="D265" s="185"/>
      <c r="E265" s="185"/>
      <c r="F265" s="185"/>
      <c r="G265" s="185"/>
      <c r="H265" s="185"/>
      <c r="I265" s="185"/>
      <c r="J265" s="185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0"/>
      <c r="AH265" s="1433"/>
      <c r="AI265" s="1433"/>
      <c r="AJ265" s="1433"/>
      <c r="AK265" s="1433"/>
      <c r="AL265" s="1433"/>
      <c r="AM265" s="1433"/>
      <c r="AN265" s="1433"/>
      <c r="AO265" s="1433"/>
      <c r="AP265" s="1433"/>
      <c r="AQ265" s="1433"/>
      <c r="AR265" s="1433"/>
      <c r="AS265" s="1433"/>
      <c r="AT265" s="1433"/>
      <c r="AU265" s="1431"/>
      <c r="AV265" s="1431"/>
      <c r="AW265" s="1431"/>
    </row>
    <row r="266" spans="1:49">
      <c r="A266" s="249"/>
      <c r="B266" s="180"/>
      <c r="C266" s="180"/>
      <c r="D266" s="180"/>
      <c r="E266" s="180"/>
      <c r="F266" s="180"/>
      <c r="G266" s="180"/>
      <c r="H266" s="180"/>
      <c r="I266" s="180"/>
      <c r="J266" s="175"/>
      <c r="K266" s="178"/>
      <c r="L266" s="178"/>
      <c r="M266" s="178"/>
      <c r="N266" s="177"/>
      <c r="O266" s="187"/>
      <c r="P266" s="187"/>
      <c r="Q266" s="187"/>
      <c r="R266" s="17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0"/>
      <c r="AH266" s="1433"/>
      <c r="AI266" s="1433"/>
      <c r="AJ266" s="1433"/>
      <c r="AK266" s="1433"/>
      <c r="AL266" s="1433"/>
      <c r="AM266" s="1433"/>
      <c r="AN266" s="1433"/>
      <c r="AO266" s="1433"/>
      <c r="AP266" s="1433"/>
      <c r="AQ266" s="1433"/>
      <c r="AR266" s="1433"/>
      <c r="AS266" s="1433"/>
      <c r="AT266" s="1433"/>
      <c r="AU266" s="1431"/>
      <c r="AV266" s="1431"/>
      <c r="AW266" s="1431"/>
    </row>
    <row r="267" spans="1:49">
      <c r="A267" s="19" t="s">
        <v>1255</v>
      </c>
      <c r="B267" s="180"/>
      <c r="C267" s="180"/>
      <c r="D267" s="180"/>
      <c r="E267" s="180"/>
      <c r="F267" s="180"/>
      <c r="G267" s="180"/>
      <c r="H267" s="180"/>
      <c r="I267" s="180"/>
      <c r="J267" s="175"/>
      <c r="K267" s="178"/>
      <c r="L267" s="178"/>
      <c r="M267" s="178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80"/>
      <c r="Y267" s="180"/>
      <c r="Z267" s="175"/>
      <c r="AA267" s="175"/>
      <c r="AB267" s="175"/>
      <c r="AC267" s="175"/>
      <c r="AD267" s="175"/>
      <c r="AE267" s="175"/>
      <c r="AF267" s="175"/>
      <c r="AG267" s="180"/>
      <c r="AH267" s="1433"/>
      <c r="AI267" s="1433"/>
      <c r="AJ267" s="1433"/>
      <c r="AK267" s="1433"/>
      <c r="AL267" s="1433"/>
      <c r="AM267" s="1433"/>
      <c r="AN267" s="1433"/>
      <c r="AO267" s="1433"/>
      <c r="AP267" s="1433"/>
      <c r="AQ267" s="1433"/>
      <c r="AR267" s="1433"/>
      <c r="AS267" s="1433"/>
      <c r="AT267" s="1433"/>
      <c r="AU267" s="1431"/>
      <c r="AV267" s="1431"/>
      <c r="AW267" s="1431"/>
    </row>
    <row r="268" spans="1:49">
      <c r="A268" s="249" t="s">
        <v>1460</v>
      </c>
      <c r="B268" s="180"/>
      <c r="C268" s="180"/>
      <c r="D268" s="180"/>
      <c r="E268" s="180"/>
      <c r="F268" s="180"/>
      <c r="G268" s="180"/>
      <c r="H268" s="180"/>
      <c r="I268" s="180"/>
      <c r="J268" s="175"/>
      <c r="K268" s="178"/>
      <c r="L268" s="178"/>
      <c r="M268" s="178"/>
      <c r="N268" s="175"/>
      <c r="O268" s="175"/>
      <c r="P268" s="175"/>
      <c r="Q268" s="175"/>
      <c r="R268" s="175"/>
      <c r="S268" s="175"/>
      <c r="T268" s="175">
        <f t="shared" ref="T268:V268" si="148">T270-T269</f>
        <v>200.26153738471714</v>
      </c>
      <c r="U268" s="175">
        <v>217.48402959980285</v>
      </c>
      <c r="V268" s="175">
        <f t="shared" si="148"/>
        <v>137.09105805823572</v>
      </c>
      <c r="W268" s="175">
        <v>150.40259979569038</v>
      </c>
      <c r="X268" s="175">
        <v>180.76888469444032</v>
      </c>
      <c r="Y268" s="175">
        <v>243.79395634315694</v>
      </c>
      <c r="Z268" s="175">
        <v>304.74244542894621</v>
      </c>
      <c r="AA268" s="175">
        <f t="shared" ref="AA268:AF268" si="149">AA270-AA269</f>
        <v>365.69093451473543</v>
      </c>
      <c r="AB268" s="175">
        <f t="shared" si="149"/>
        <v>438.82912141768247</v>
      </c>
      <c r="AC268" s="175">
        <f t="shared" si="149"/>
        <v>526.59494570121888</v>
      </c>
      <c r="AD268" s="175">
        <f t="shared" si="149"/>
        <v>631.91393484146261</v>
      </c>
      <c r="AE268" s="175">
        <f t="shared" si="149"/>
        <v>707.74360702243825</v>
      </c>
      <c r="AF268" s="175">
        <f t="shared" si="149"/>
        <v>792.67283986513098</v>
      </c>
      <c r="AG268" s="180"/>
      <c r="AH268" s="1433"/>
      <c r="AI268" s="1433"/>
      <c r="AJ268" s="1433"/>
      <c r="AK268" s="1433"/>
      <c r="AL268" s="1433"/>
      <c r="AM268" s="1433"/>
      <c r="AN268" s="1433"/>
      <c r="AO268" s="1433"/>
      <c r="AP268" s="1433"/>
      <c r="AQ268" s="1433"/>
      <c r="AR268" s="1433"/>
      <c r="AS268" s="1433"/>
      <c r="AT268" s="1433"/>
      <c r="AU268" s="1431"/>
      <c r="AV268" s="1431"/>
      <c r="AW268" s="1431"/>
    </row>
    <row r="269" spans="1:49">
      <c r="A269" s="249" t="s">
        <v>928</v>
      </c>
      <c r="B269" s="180"/>
      <c r="C269" s="180"/>
      <c r="D269" s="180"/>
      <c r="E269" s="180"/>
      <c r="F269" s="180"/>
      <c r="G269" s="180"/>
      <c r="H269" s="180"/>
      <c r="I269" s="180"/>
      <c r="J269" s="175"/>
      <c r="K269" s="178"/>
      <c r="L269" s="178"/>
      <c r="M269" s="178"/>
      <c r="N269" s="175"/>
      <c r="O269" s="175"/>
      <c r="P269" s="175"/>
      <c r="Q269" s="175"/>
      <c r="R269" s="175"/>
      <c r="S269" s="175"/>
      <c r="T269" s="175">
        <f t="shared" ref="T269:V269" si="150">T270*0.65</f>
        <v>371.91428371447466</v>
      </c>
      <c r="U269" s="175">
        <v>403.89891211391955</v>
      </c>
      <c r="V269" s="175">
        <f t="shared" si="150"/>
        <v>254.5976792510092</v>
      </c>
      <c r="W269" s="175">
        <v>279.31911390628221</v>
      </c>
      <c r="X269" s="175">
        <v>335.71364300396056</v>
      </c>
      <c r="Y269" s="175">
        <v>452.76020463729145</v>
      </c>
      <c r="Z269" s="175">
        <v>565.95025579661433</v>
      </c>
      <c r="AA269" s="175">
        <f t="shared" ref="AA269:AF269" si="151">AA270*0.65</f>
        <v>679.14030695593726</v>
      </c>
      <c r="AB269" s="175">
        <f t="shared" si="151"/>
        <v>814.96836834712462</v>
      </c>
      <c r="AC269" s="175">
        <f t="shared" si="151"/>
        <v>977.9620420165495</v>
      </c>
      <c r="AD269" s="175">
        <f t="shared" si="151"/>
        <v>1173.5544504198594</v>
      </c>
      <c r="AE269" s="175">
        <f t="shared" si="151"/>
        <v>1314.3809844702425</v>
      </c>
      <c r="AF269" s="175">
        <f t="shared" si="151"/>
        <v>1472.1067026066719</v>
      </c>
      <c r="AG269" s="180"/>
      <c r="AH269" s="1436"/>
      <c r="AI269" s="1433"/>
      <c r="AJ269" s="1433"/>
      <c r="AK269" s="1433"/>
      <c r="AL269" s="1433"/>
      <c r="AM269" s="1433"/>
      <c r="AN269" s="1433"/>
      <c r="AO269" s="1433"/>
      <c r="AP269" s="1433"/>
      <c r="AQ269" s="1433"/>
      <c r="AR269" s="1431"/>
      <c r="AS269" s="1433"/>
      <c r="AT269" s="1433"/>
      <c r="AU269" s="1431"/>
      <c r="AV269" s="1431"/>
      <c r="AW269" s="1431"/>
    </row>
    <row r="270" spans="1:49">
      <c r="A270" s="181" t="s">
        <v>1478</v>
      </c>
      <c r="B270" s="57"/>
      <c r="C270" s="57"/>
      <c r="D270" s="57"/>
      <c r="E270" s="57"/>
      <c r="F270" s="57"/>
      <c r="G270" s="57"/>
      <c r="H270" s="57"/>
      <c r="I270" s="57"/>
      <c r="J270" s="196"/>
      <c r="K270" s="197"/>
      <c r="L270" s="197"/>
      <c r="M270" s="197"/>
      <c r="N270" s="196"/>
      <c r="O270" s="196"/>
      <c r="P270" s="196"/>
      <c r="Q270" s="196"/>
      <c r="R270" s="196"/>
      <c r="S270" s="196"/>
      <c r="T270" s="196">
        <f t="shared" ref="T270:V270" si="152">U270/(1+U271)</f>
        <v>572.17582109919181</v>
      </c>
      <c r="U270" s="196">
        <v>621.3829417137224</v>
      </c>
      <c r="V270" s="196">
        <f t="shared" si="152"/>
        <v>391.68873730924491</v>
      </c>
      <c r="W270" s="196">
        <v>429.72171370197259</v>
      </c>
      <c r="X270" s="196">
        <v>516.48252769840087</v>
      </c>
      <c r="Y270" s="196">
        <v>696.55416098044839</v>
      </c>
      <c r="Z270" s="196">
        <v>870.69270122556054</v>
      </c>
      <c r="AA270" s="196">
        <f t="shared" ref="AA270" si="153">Z270*(1+AA271)</f>
        <v>1044.8312414706727</v>
      </c>
      <c r="AB270" s="196">
        <f t="shared" ref="AB270" si="154">AA270*(1+AB271)</f>
        <v>1253.7974897648071</v>
      </c>
      <c r="AC270" s="196">
        <f t="shared" ref="AC270" si="155">AB270*(1+AC271)</f>
        <v>1504.5569877177684</v>
      </c>
      <c r="AD270" s="196">
        <f t="shared" ref="AD270" si="156">AC270*(1+AD271)</f>
        <v>1805.4683852613221</v>
      </c>
      <c r="AE270" s="196">
        <f t="shared" ref="AE270" si="157">AD270*(1+AE271)</f>
        <v>2022.1245914926808</v>
      </c>
      <c r="AF270" s="196">
        <f t="shared" ref="AF270" si="158">AE270*(1+AF271)</f>
        <v>2264.7795424718029</v>
      </c>
      <c r="AG270" s="180"/>
      <c r="AH270" s="1433"/>
      <c r="AI270" s="1433"/>
      <c r="AJ270" s="1433"/>
      <c r="AK270" s="1433"/>
      <c r="AL270" s="1433"/>
      <c r="AM270" s="1433"/>
      <c r="AN270" s="1433"/>
      <c r="AO270" s="1433"/>
      <c r="AP270" s="1433"/>
      <c r="AQ270" s="1433"/>
      <c r="AR270" s="1433"/>
      <c r="AS270" s="1433"/>
      <c r="AT270" s="1433"/>
      <c r="AU270" s="1431"/>
      <c r="AV270" s="1431"/>
      <c r="AW270" s="1431"/>
    </row>
    <row r="271" spans="1:49">
      <c r="A271" s="286" t="s">
        <v>1242</v>
      </c>
      <c r="B271" s="180"/>
      <c r="C271" s="180"/>
      <c r="D271" s="180"/>
      <c r="E271" s="180"/>
      <c r="F271" s="180"/>
      <c r="G271" s="180"/>
      <c r="H271" s="180"/>
      <c r="I271" s="180"/>
      <c r="J271" s="175"/>
      <c r="K271" s="178"/>
      <c r="L271" s="178"/>
      <c r="M271" s="178"/>
      <c r="N271" s="175"/>
      <c r="O271" s="175"/>
      <c r="P271" s="352"/>
      <c r="Q271" s="352"/>
      <c r="R271" s="352"/>
      <c r="S271" s="352"/>
      <c r="T271" s="857">
        <v>9.0889751552795106E-2</v>
      </c>
      <c r="U271" s="857">
        <v>8.5999999999999993E-2</v>
      </c>
      <c r="V271" s="857">
        <v>-0.36964999999999998</v>
      </c>
      <c r="W271" s="857">
        <v>9.7100000000000006E-2</v>
      </c>
      <c r="X271" s="857">
        <v>0.2019</v>
      </c>
      <c r="Y271" s="857">
        <v>0.34865000000000002</v>
      </c>
      <c r="Z271" s="857">
        <v>0.25</v>
      </c>
      <c r="AA271" s="940">
        <v>0.2</v>
      </c>
      <c r="AB271" s="940">
        <v>0.2</v>
      </c>
      <c r="AC271" s="940">
        <v>0.2</v>
      </c>
      <c r="AD271" s="940">
        <v>0.2</v>
      </c>
      <c r="AE271" s="940">
        <v>0.12</v>
      </c>
      <c r="AF271" s="940">
        <v>0.12</v>
      </c>
      <c r="AG271" s="180"/>
      <c r="AH271" s="1433"/>
      <c r="AI271" s="1433"/>
      <c r="AJ271" s="1433"/>
      <c r="AK271" s="1433"/>
      <c r="AL271" s="1433"/>
      <c r="AM271" s="1433"/>
      <c r="AN271" s="1433"/>
      <c r="AO271" s="1433"/>
      <c r="AP271" s="1433"/>
      <c r="AQ271" s="1431"/>
      <c r="AR271" s="1431"/>
      <c r="AS271" s="1431"/>
      <c r="AT271" s="1431"/>
      <c r="AU271" s="1431"/>
      <c r="AV271" s="1431"/>
      <c r="AW271" s="1431"/>
    </row>
    <row r="272" spans="1:49">
      <c r="A272" s="19"/>
      <c r="B272" s="180"/>
      <c r="C272" s="180"/>
      <c r="D272" s="180"/>
      <c r="E272" s="180"/>
      <c r="F272" s="180"/>
      <c r="G272" s="180"/>
      <c r="H272" s="180"/>
      <c r="I272" s="180"/>
      <c r="J272" s="175"/>
      <c r="K272" s="178"/>
      <c r="L272" s="178"/>
      <c r="M272" s="178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80"/>
      <c r="Y272" s="849"/>
      <c r="Z272" s="175"/>
      <c r="AA272" s="175"/>
      <c r="AB272" s="175"/>
      <c r="AC272" s="175"/>
      <c r="AD272" s="175"/>
      <c r="AE272" s="175"/>
      <c r="AF272" s="175"/>
      <c r="AG272" s="180"/>
      <c r="AH272" s="1433"/>
      <c r="AI272" s="1433"/>
      <c r="AJ272" s="1433"/>
      <c r="AK272" s="1433"/>
      <c r="AL272" s="1433"/>
      <c r="AM272" s="1433"/>
      <c r="AN272" s="180"/>
      <c r="AO272" s="180"/>
      <c r="AP272" s="180"/>
    </row>
    <row r="273" spans="1:42">
      <c r="A273" s="19" t="s">
        <v>1250</v>
      </c>
      <c r="B273" s="180"/>
      <c r="C273" s="180"/>
      <c r="D273" s="180"/>
      <c r="E273" s="180"/>
      <c r="F273" s="180"/>
      <c r="G273" s="180"/>
      <c r="H273" s="180"/>
      <c r="I273" s="180"/>
      <c r="J273" s="175"/>
      <c r="K273" s="178"/>
      <c r="L273" s="178"/>
      <c r="M273" s="178"/>
      <c r="N273" s="199"/>
      <c r="O273" s="199"/>
      <c r="P273" s="199"/>
      <c r="Q273" s="199"/>
      <c r="R273" s="199"/>
      <c r="S273" s="199"/>
      <c r="T273" s="199">
        <f>'Income Statement'!T$155</f>
        <v>1.18028</v>
      </c>
      <c r="U273" s="199">
        <v>1.159077672574627</v>
      </c>
      <c r="V273" s="199">
        <f>'Income Statement'!V$155</f>
        <v>1.1490638246268656</v>
      </c>
      <c r="W273" s="199">
        <f>'Income Statement'!W$155</f>
        <v>1.1713242788461544</v>
      </c>
      <c r="X273" s="199">
        <f>'Income Statement'!X$155</f>
        <v>1.1065795550914248</v>
      </c>
      <c r="Y273" s="199">
        <f>'Income Statement'!Y$155</f>
        <v>1.1105369302909465</v>
      </c>
      <c r="Z273" s="199">
        <f>'Income Statement'!Z$155</f>
        <v>1.1083231112074399</v>
      </c>
      <c r="AA273" s="939">
        <f>'Income Statement'!AA$155</f>
        <v>1.1207295968584789</v>
      </c>
      <c r="AB273" s="939">
        <f>'Income Statement'!AB$155</f>
        <v>1.1426415000000001</v>
      </c>
      <c r="AC273" s="939">
        <f>'Income Statement'!AC$155</f>
        <v>1.1426415000000001</v>
      </c>
      <c r="AD273" s="939">
        <f>'Income Statement'!AD$155</f>
        <v>1.1426415000000001</v>
      </c>
      <c r="AE273" s="939">
        <f>'Income Statement'!AE$155</f>
        <v>1.1426415000000001</v>
      </c>
      <c r="AF273" s="939">
        <f>'Income Statement'!AF$155</f>
        <v>1.1426415000000001</v>
      </c>
      <c r="AG273" s="180"/>
      <c r="AH273" s="1433" t="s">
        <v>1476</v>
      </c>
      <c r="AI273" s="1433"/>
      <c r="AJ273" s="1433"/>
      <c r="AK273" s="1433"/>
      <c r="AL273" s="1433"/>
      <c r="AM273" s="1433"/>
      <c r="AN273" s="180"/>
      <c r="AO273" s="180"/>
      <c r="AP273" s="180"/>
    </row>
    <row r="274" spans="1:42">
      <c r="A274" s="19" t="s">
        <v>1251</v>
      </c>
      <c r="B274" s="180"/>
      <c r="C274" s="180"/>
      <c r="D274" s="180"/>
      <c r="E274" s="180"/>
      <c r="F274" s="180"/>
      <c r="G274" s="180"/>
      <c r="H274" s="180"/>
      <c r="I274" s="180"/>
      <c r="J274" s="175"/>
      <c r="K274" s="178"/>
      <c r="L274" s="178"/>
      <c r="M274" s="178"/>
      <c r="N274" s="175"/>
      <c r="O274" s="174"/>
      <c r="P274" s="174"/>
      <c r="Q274" s="174"/>
      <c r="R274" s="174"/>
      <c r="S274" s="174"/>
      <c r="T274" s="174" t="e">
        <f t="shared" ref="T274:AF274" si="159">(1/T273)/(1/S273)-1</f>
        <v>#DIV/0!</v>
      </c>
      <c r="U274" s="174">
        <v>1.8292412947854331E-2</v>
      </c>
      <c r="V274" s="174">
        <f t="shared" si="159"/>
        <v>8.7147882764591067E-3</v>
      </c>
      <c r="W274" s="174">
        <f t="shared" si="159"/>
        <v>-1.9004518749681454E-2</v>
      </c>
      <c r="X274" s="174">
        <f t="shared" si="159"/>
        <v>5.8508873995399613E-2</v>
      </c>
      <c r="Y274" s="174">
        <f t="shared" si="159"/>
        <v>-3.5634791528138532E-3</v>
      </c>
      <c r="Z274" s="174">
        <f t="shared" si="159"/>
        <v>1.9974491744512157E-3</v>
      </c>
      <c r="AA274" s="174">
        <f t="shared" si="159"/>
        <v>-1.1070008042810442E-2</v>
      </c>
      <c r="AB274" s="174">
        <f t="shared" si="159"/>
        <v>-1.9176533621018677E-2</v>
      </c>
      <c r="AC274" s="174">
        <f t="shared" si="159"/>
        <v>0</v>
      </c>
      <c r="AD274" s="174">
        <f t="shared" si="159"/>
        <v>0</v>
      </c>
      <c r="AE274" s="174">
        <f t="shared" si="159"/>
        <v>0</v>
      </c>
      <c r="AF274" s="174">
        <f t="shared" si="159"/>
        <v>0</v>
      </c>
      <c r="AG274" s="180"/>
      <c r="AH274" s="1433"/>
      <c r="AI274" s="1433"/>
      <c r="AJ274" s="1433"/>
      <c r="AK274" s="1433"/>
      <c r="AL274" s="1433"/>
      <c r="AM274" s="1433"/>
      <c r="AN274" s="180"/>
      <c r="AO274" s="180"/>
      <c r="AP274" s="180"/>
    </row>
    <row r="275" spans="1:42">
      <c r="A275" s="19"/>
      <c r="B275" s="180"/>
      <c r="C275" s="180"/>
      <c r="D275" s="180"/>
      <c r="E275" s="180"/>
      <c r="F275" s="180"/>
      <c r="G275" s="180"/>
      <c r="H275" s="180"/>
      <c r="I275" s="180"/>
      <c r="J275" s="175"/>
      <c r="K275" s="178"/>
      <c r="L275" s="178"/>
      <c r="M275" s="178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80"/>
      <c r="Y275" s="180"/>
      <c r="Z275" s="175"/>
      <c r="AA275" s="175"/>
      <c r="AB275" s="175"/>
      <c r="AC275" s="175"/>
      <c r="AD275" s="175"/>
      <c r="AE275" s="175"/>
      <c r="AF275" s="175"/>
      <c r="AG275" s="180"/>
      <c r="AH275" s="1433"/>
      <c r="AI275" s="1433"/>
      <c r="AJ275" s="1433"/>
      <c r="AK275" s="1433"/>
      <c r="AL275" s="1433"/>
      <c r="AM275" s="1433"/>
      <c r="AN275" s="180"/>
      <c r="AO275" s="180"/>
      <c r="AP275" s="180"/>
    </row>
    <row r="276" spans="1:42">
      <c r="A276" s="19" t="s">
        <v>1256</v>
      </c>
      <c r="B276" s="180"/>
      <c r="C276" s="180"/>
      <c r="D276" s="180"/>
      <c r="E276" s="180"/>
      <c r="F276" s="180"/>
      <c r="G276" s="180"/>
      <c r="H276" s="180"/>
      <c r="I276" s="180"/>
      <c r="J276" s="175"/>
      <c r="K276" s="178"/>
      <c r="L276" s="178"/>
      <c r="M276" s="178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80"/>
      <c r="Y276" s="180"/>
      <c r="Z276" s="175"/>
      <c r="AA276" s="175"/>
      <c r="AB276" s="175"/>
      <c r="AC276" s="175"/>
      <c r="AD276" s="175"/>
      <c r="AE276" s="175"/>
      <c r="AF276" s="175"/>
      <c r="AG276" s="180"/>
      <c r="AH276" s="1433"/>
      <c r="AI276" s="1433"/>
      <c r="AJ276" s="1433"/>
      <c r="AK276" s="1433"/>
      <c r="AL276" s="1433"/>
      <c r="AM276" s="1433"/>
      <c r="AN276" s="180"/>
      <c r="AO276" s="180"/>
      <c r="AP276" s="180"/>
    </row>
    <row r="277" spans="1:42">
      <c r="A277" s="249" t="s">
        <v>1460</v>
      </c>
      <c r="B277" s="180"/>
      <c r="C277" s="180"/>
      <c r="D277" s="180"/>
      <c r="E277" s="180"/>
      <c r="F277" s="180"/>
      <c r="G277" s="180"/>
      <c r="H277" s="180"/>
      <c r="I277" s="180"/>
      <c r="J277" s="175"/>
      <c r="K277" s="178"/>
      <c r="L277" s="178"/>
      <c r="M277" s="178"/>
      <c r="N277" s="175"/>
      <c r="O277" s="175"/>
      <c r="P277" s="175"/>
      <c r="Q277" s="175"/>
      <c r="R277" s="175"/>
      <c r="S277" s="175"/>
      <c r="T277" s="175">
        <f>T268/T$273</f>
        <v>169.6729059076805</v>
      </c>
      <c r="U277" s="175">
        <v>187.63542318670639</v>
      </c>
      <c r="V277" s="175">
        <f t="shared" ref="V277:AA279" si="160">V268/V$273</f>
        <v>119.30673920811419</v>
      </c>
      <c r="W277" s="175">
        <f t="shared" si="160"/>
        <v>128.4038950715242</v>
      </c>
      <c r="X277" s="175">
        <f t="shared" si="160"/>
        <v>163.35823652507779</v>
      </c>
      <c r="Y277" s="175">
        <f t="shared" si="160"/>
        <v>219.52800460159938</v>
      </c>
      <c r="Z277" s="175">
        <f t="shared" si="160"/>
        <v>274.95812579144973</v>
      </c>
      <c r="AA277" s="175">
        <f t="shared" si="160"/>
        <v>326.29720455300276</v>
      </c>
      <c r="AB277" s="175">
        <f t="shared" ref="AB277:AF277" si="161">AB268/AB$273</f>
        <v>384.04794628733725</v>
      </c>
      <c r="AC277" s="175">
        <f t="shared" si="161"/>
        <v>460.85753554480459</v>
      </c>
      <c r="AD277" s="175">
        <f t="shared" si="161"/>
        <v>553.02904265376549</v>
      </c>
      <c r="AE277" s="175">
        <f t="shared" si="161"/>
        <v>619.39252777221748</v>
      </c>
      <c r="AF277" s="175">
        <f t="shared" si="161"/>
        <v>693.71963110488366</v>
      </c>
      <c r="AG277" s="180"/>
      <c r="AH277" s="1433"/>
      <c r="AI277" s="1433"/>
      <c r="AJ277" s="1433"/>
      <c r="AK277" s="1433"/>
      <c r="AL277" s="1433"/>
      <c r="AM277" s="1433"/>
      <c r="AN277" s="180"/>
      <c r="AO277" s="180"/>
      <c r="AP277" s="180"/>
    </row>
    <row r="278" spans="1:42">
      <c r="A278" s="249" t="s">
        <v>928</v>
      </c>
      <c r="B278" s="180"/>
      <c r="C278" s="180"/>
      <c r="D278" s="180"/>
      <c r="E278" s="180"/>
      <c r="F278" s="180"/>
      <c r="G278" s="180"/>
      <c r="H278" s="180"/>
      <c r="I278" s="180"/>
      <c r="J278" s="175"/>
      <c r="K278" s="178"/>
      <c r="L278" s="178"/>
      <c r="M278" s="178"/>
      <c r="N278" s="175"/>
      <c r="O278" s="175"/>
      <c r="P278" s="175"/>
      <c r="Q278" s="175"/>
      <c r="R278" s="175"/>
      <c r="S278" s="175"/>
      <c r="T278" s="175">
        <f>T269/T$273</f>
        <v>315.10682525712093</v>
      </c>
      <c r="U278" s="175">
        <v>348.46578591816899</v>
      </c>
      <c r="V278" s="175">
        <f t="shared" si="160"/>
        <v>221.56965852935494</v>
      </c>
      <c r="W278" s="175">
        <f t="shared" si="160"/>
        <v>238.46437656140216</v>
      </c>
      <c r="X278" s="175">
        <f t="shared" si="160"/>
        <v>303.37958211800157</v>
      </c>
      <c r="Y278" s="175">
        <f t="shared" si="160"/>
        <v>407.69486568868456</v>
      </c>
      <c r="Z278" s="175">
        <f t="shared" si="160"/>
        <v>510.63651932697809</v>
      </c>
      <c r="AA278" s="175">
        <f t="shared" si="160"/>
        <v>605.98052274129088</v>
      </c>
      <c r="AB278" s="175">
        <f t="shared" ref="AB278:AF279" si="162">AB269/AB$273</f>
        <v>713.23190024791199</v>
      </c>
      <c r="AC278" s="175">
        <f t="shared" si="162"/>
        <v>855.87828029749437</v>
      </c>
      <c r="AD278" s="175">
        <f t="shared" si="162"/>
        <v>1027.0539363569933</v>
      </c>
      <c r="AE278" s="175">
        <f t="shared" si="162"/>
        <v>1150.3004087198324</v>
      </c>
      <c r="AF278" s="175">
        <f t="shared" si="162"/>
        <v>1288.3364577662126</v>
      </c>
      <c r="AG278" s="180"/>
      <c r="AH278" s="1433"/>
      <c r="AI278" s="1433"/>
      <c r="AJ278" s="1433"/>
      <c r="AK278" s="1433"/>
      <c r="AL278" s="1433"/>
      <c r="AM278" s="1433"/>
      <c r="AN278" s="180"/>
      <c r="AO278" s="180"/>
      <c r="AP278" s="180"/>
    </row>
    <row r="279" spans="1:42">
      <c r="A279" s="181" t="s">
        <v>1479</v>
      </c>
      <c r="B279" s="57"/>
      <c r="C279" s="57"/>
      <c r="D279" s="57"/>
      <c r="E279" s="57"/>
      <c r="F279" s="57"/>
      <c r="G279" s="57"/>
      <c r="H279" s="57"/>
      <c r="I279" s="57"/>
      <c r="J279" s="196"/>
      <c r="K279" s="197"/>
      <c r="L279" s="197"/>
      <c r="M279" s="197"/>
      <c r="N279" s="196"/>
      <c r="O279" s="196"/>
      <c r="P279" s="196"/>
      <c r="Q279" s="196"/>
      <c r="R279" s="196"/>
      <c r="S279" s="196"/>
      <c r="T279" s="196">
        <f>T270/T$273</f>
        <v>484.77973116480143</v>
      </c>
      <c r="U279" s="196">
        <v>536.10120910487535</v>
      </c>
      <c r="V279" s="196">
        <f t="shared" si="160"/>
        <v>340.87639773746912</v>
      </c>
      <c r="W279" s="196">
        <f t="shared" si="160"/>
        <v>366.86827163292639</v>
      </c>
      <c r="X279" s="196">
        <f t="shared" si="160"/>
        <v>466.73781864307938</v>
      </c>
      <c r="Y279" s="196">
        <f t="shared" si="160"/>
        <v>627.22287029028394</v>
      </c>
      <c r="Z279" s="196">
        <f t="shared" si="160"/>
        <v>785.59464511842782</v>
      </c>
      <c r="AA279" s="196">
        <f t="shared" si="160"/>
        <v>932.27772729429364</v>
      </c>
      <c r="AB279" s="196">
        <f t="shared" si="162"/>
        <v>1097.2798465352491</v>
      </c>
      <c r="AC279" s="196">
        <f t="shared" si="162"/>
        <v>1316.735815842299</v>
      </c>
      <c r="AD279" s="196">
        <f t="shared" si="162"/>
        <v>1580.0829790107587</v>
      </c>
      <c r="AE279" s="196">
        <f t="shared" si="162"/>
        <v>1769.69293649205</v>
      </c>
      <c r="AF279" s="196">
        <f t="shared" si="162"/>
        <v>1982.0560888710963</v>
      </c>
      <c r="AG279" s="180"/>
      <c r="AH279" s="1433"/>
      <c r="AI279" s="1433"/>
      <c r="AJ279" s="1433"/>
      <c r="AK279" s="1433"/>
      <c r="AL279" s="1433"/>
      <c r="AM279" s="1433"/>
      <c r="AN279" s="180"/>
      <c r="AO279" s="180"/>
      <c r="AP279" s="180"/>
    </row>
    <row r="280" spans="1:42">
      <c r="A280" s="286" t="s">
        <v>1242</v>
      </c>
      <c r="B280" s="180"/>
      <c r="C280" s="180"/>
      <c r="D280" s="180"/>
      <c r="E280" s="180"/>
      <c r="F280" s="180"/>
      <c r="G280" s="180"/>
      <c r="H280" s="180"/>
      <c r="I280" s="180"/>
      <c r="J280" s="175"/>
      <c r="K280" s="178"/>
      <c r="L280" s="178"/>
      <c r="M280" s="178"/>
      <c r="N280" s="175"/>
      <c r="O280" s="184"/>
      <c r="P280" s="184"/>
      <c r="Q280" s="184"/>
      <c r="R280" s="184"/>
      <c r="S280" s="184"/>
      <c r="T280" s="184" t="e">
        <f t="shared" ref="T280:AF280" si="163">T279/S279-1</f>
        <v>#DIV/0!</v>
      </c>
      <c r="U280" s="184">
        <v>0.10586556046136986</v>
      </c>
      <c r="V280" s="184">
        <f t="shared" si="163"/>
        <v>-0.36415663320993397</v>
      </c>
      <c r="W280" s="184">
        <f t="shared" si="163"/>
        <v>7.6250142479724614E-2</v>
      </c>
      <c r="X280" s="184">
        <f t="shared" si="163"/>
        <v>0.27222181565507086</v>
      </c>
      <c r="Y280" s="184">
        <f t="shared" si="163"/>
        <v>0.34384411384055769</v>
      </c>
      <c r="Z280" s="184">
        <f t="shared" si="163"/>
        <v>0.25249681146806413</v>
      </c>
      <c r="AA280" s="184">
        <f t="shared" si="163"/>
        <v>0.18671599034862751</v>
      </c>
      <c r="AB280" s="184">
        <f t="shared" si="163"/>
        <v>0.17698815965477732</v>
      </c>
      <c r="AC280" s="184">
        <f t="shared" si="163"/>
        <v>0.19999999999999996</v>
      </c>
      <c r="AD280" s="184">
        <f t="shared" si="163"/>
        <v>0.19999999999999996</v>
      </c>
      <c r="AE280" s="184">
        <f t="shared" si="163"/>
        <v>0.12000000000000011</v>
      </c>
      <c r="AF280" s="184">
        <f t="shared" si="163"/>
        <v>0.12000000000000011</v>
      </c>
      <c r="AG280" s="180"/>
      <c r="AH280" s="1433"/>
      <c r="AI280" s="1433"/>
      <c r="AJ280" s="1433"/>
      <c r="AK280" s="1433"/>
      <c r="AL280" s="1433"/>
      <c r="AM280" s="1433"/>
      <c r="AN280" s="180"/>
      <c r="AO280" s="180"/>
      <c r="AP280" s="180"/>
    </row>
    <row r="281" spans="1:42">
      <c r="A281" s="19"/>
      <c r="B281" s="180"/>
      <c r="C281" s="180"/>
      <c r="D281" s="180"/>
      <c r="E281" s="180"/>
      <c r="F281" s="180"/>
      <c r="G281" s="180"/>
      <c r="H281" s="180"/>
      <c r="I281" s="180"/>
      <c r="J281" s="175"/>
      <c r="K281" s="178"/>
      <c r="L281" s="178"/>
      <c r="M281" s="178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80"/>
      <c r="Y281" s="180"/>
      <c r="Z281" s="175"/>
      <c r="AA281" s="175"/>
      <c r="AB281" s="175"/>
      <c r="AC281" s="175"/>
      <c r="AD281" s="175"/>
      <c r="AE281" s="175"/>
      <c r="AF281" s="175"/>
      <c r="AG281" s="180"/>
      <c r="AH281" s="1433"/>
      <c r="AI281" s="1433"/>
      <c r="AJ281" s="1433"/>
      <c r="AK281" s="1433"/>
      <c r="AL281" s="1433"/>
      <c r="AM281" s="1433"/>
      <c r="AN281" s="180"/>
      <c r="AO281" s="180"/>
      <c r="AP281" s="180"/>
    </row>
    <row r="282" spans="1:42">
      <c r="A282" s="258" t="s">
        <v>1268</v>
      </c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313"/>
      <c r="Y282" s="313"/>
      <c r="Z282" s="260"/>
      <c r="AA282" s="260"/>
      <c r="AB282" s="260"/>
      <c r="AC282" s="260"/>
      <c r="AD282" s="260"/>
      <c r="AE282" s="260"/>
      <c r="AF282" s="260"/>
      <c r="AG282" s="180"/>
      <c r="AH282" s="1433"/>
      <c r="AI282" s="1433"/>
      <c r="AJ282" s="1433"/>
      <c r="AK282" s="1433"/>
      <c r="AL282" s="1433"/>
      <c r="AM282" s="1433"/>
      <c r="AN282" s="180"/>
      <c r="AO282" s="180"/>
      <c r="AP282" s="180"/>
    </row>
    <row r="283" spans="1:42">
      <c r="A283" s="19" t="s">
        <v>757</v>
      </c>
      <c r="B283" s="180"/>
      <c r="C283" s="180"/>
      <c r="D283" s="180"/>
      <c r="E283" s="180"/>
      <c r="F283" s="180"/>
      <c r="G283" s="180"/>
      <c r="H283" s="180"/>
      <c r="I283" s="180"/>
      <c r="J283" s="175"/>
      <c r="K283" s="178"/>
      <c r="L283" s="178"/>
      <c r="M283" s="178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80"/>
      <c r="Y283" s="180"/>
      <c r="Z283" s="175"/>
      <c r="AA283" s="175"/>
      <c r="AB283" s="175"/>
      <c r="AC283" s="175"/>
      <c r="AD283" s="175"/>
      <c r="AE283" s="175"/>
      <c r="AF283" s="175"/>
      <c r="AG283" s="180"/>
      <c r="AH283" s="1433"/>
      <c r="AI283" s="1433"/>
      <c r="AJ283" s="1433"/>
      <c r="AK283" s="1433"/>
      <c r="AL283" s="1433"/>
      <c r="AM283" s="1433"/>
      <c r="AN283" s="180"/>
      <c r="AO283" s="180"/>
      <c r="AP283" s="180"/>
    </row>
    <row r="284" spans="1:42">
      <c r="A284" s="249" t="s">
        <v>987</v>
      </c>
      <c r="B284" s="180"/>
      <c r="C284" s="180"/>
      <c r="D284" s="180"/>
      <c r="E284" s="180"/>
      <c r="F284" s="180"/>
      <c r="G284" s="180"/>
      <c r="H284" s="180"/>
      <c r="I284" s="180"/>
      <c r="J284" s="175"/>
      <c r="K284" s="178"/>
      <c r="L284" s="178"/>
      <c r="M284" s="178"/>
      <c r="N284" s="175"/>
      <c r="O284" s="178"/>
      <c r="P284" s="175"/>
      <c r="Q284" s="175"/>
      <c r="R284" s="175"/>
      <c r="S284" s="175"/>
      <c r="T284" s="175">
        <f>S284*(1+T288)</f>
        <v>0</v>
      </c>
      <c r="U284" s="175">
        <v>500.87400000000008</v>
      </c>
      <c r="V284" s="175">
        <f t="shared" ref="V284:AF284" si="164">U284*(1+V288)</f>
        <v>525.91770000000008</v>
      </c>
      <c r="W284" s="175">
        <f t="shared" si="164"/>
        <v>499.62181500000003</v>
      </c>
      <c r="X284" s="175">
        <f t="shared" si="164"/>
        <v>514.6104694500001</v>
      </c>
      <c r="Y284" s="175">
        <f t="shared" si="164"/>
        <v>530.04878353350011</v>
      </c>
      <c r="Z284" s="175">
        <f t="shared" si="164"/>
        <v>545.95024703950514</v>
      </c>
      <c r="AA284" s="175">
        <f t="shared" si="164"/>
        <v>589.62626680266555</v>
      </c>
      <c r="AB284" s="175">
        <f t="shared" si="164"/>
        <v>636.79636814687888</v>
      </c>
      <c r="AC284" s="175">
        <f t="shared" si="164"/>
        <v>687.74007759862923</v>
      </c>
      <c r="AD284" s="175">
        <f t="shared" si="164"/>
        <v>742.75928380651965</v>
      </c>
      <c r="AE284" s="175">
        <f t="shared" si="164"/>
        <v>802.18002651104132</v>
      </c>
      <c r="AF284" s="175">
        <f t="shared" si="164"/>
        <v>866.35442863192463</v>
      </c>
      <c r="AG284" s="180"/>
      <c r="AH284" s="1433" t="s">
        <v>1289</v>
      </c>
      <c r="AI284" s="1433"/>
      <c r="AJ284" s="1433"/>
      <c r="AK284" s="1433"/>
      <c r="AL284" s="1433"/>
      <c r="AM284" s="1433"/>
      <c r="AN284" s="180"/>
      <c r="AO284" s="180"/>
      <c r="AP284" s="180"/>
    </row>
    <row r="285" spans="1:42">
      <c r="A285" s="249" t="s">
        <v>1609</v>
      </c>
      <c r="B285" s="180"/>
      <c r="C285" s="180"/>
      <c r="D285" s="180"/>
      <c r="E285" s="180"/>
      <c r="F285" s="180"/>
      <c r="G285" s="180"/>
      <c r="H285" s="180"/>
      <c r="I285" s="180"/>
      <c r="J285" s="175"/>
      <c r="K285" s="178"/>
      <c r="L285" s="178"/>
      <c r="M285" s="178"/>
      <c r="N285" s="175"/>
      <c r="O285" s="178"/>
      <c r="P285" s="175"/>
      <c r="Q285" s="175"/>
      <c r="R285" s="175"/>
      <c r="S285" s="178"/>
      <c r="T285" s="175">
        <f>S285*(1+T289)</f>
        <v>0</v>
      </c>
      <c r="U285" s="175">
        <v>984.096</v>
      </c>
      <c r="V285" s="175">
        <f t="shared" ref="V285:AF285" si="165">U285*(1+V289)</f>
        <v>1033.3008</v>
      </c>
      <c r="W285" s="175">
        <f t="shared" si="165"/>
        <v>1002.3017759999999</v>
      </c>
      <c r="X285" s="175">
        <f t="shared" si="165"/>
        <v>1052.4168648</v>
      </c>
      <c r="Y285" s="175">
        <f t="shared" si="165"/>
        <v>1105.0377080400001</v>
      </c>
      <c r="Z285" s="175">
        <f t="shared" si="165"/>
        <v>1160.2895934420001</v>
      </c>
      <c r="AA285" s="175">
        <f t="shared" si="165"/>
        <v>1253.1127609173602</v>
      </c>
      <c r="AB285" s="175">
        <f t="shared" si="165"/>
        <v>1353.3617817907491</v>
      </c>
      <c r="AC285" s="175">
        <f t="shared" si="165"/>
        <v>1461.6307243340091</v>
      </c>
      <c r="AD285" s="175">
        <f t="shared" si="165"/>
        <v>1578.56118228073</v>
      </c>
      <c r="AE285" s="175">
        <f t="shared" si="165"/>
        <v>1704.8460768631885</v>
      </c>
      <c r="AF285" s="175">
        <f t="shared" si="165"/>
        <v>1841.2337630122438</v>
      </c>
      <c r="AG285" s="180"/>
      <c r="AH285" s="1433"/>
      <c r="AI285" s="1433"/>
      <c r="AJ285" s="1433"/>
      <c r="AK285" s="1433"/>
      <c r="AL285" s="1433"/>
      <c r="AM285" s="1433"/>
      <c r="AN285" s="180"/>
      <c r="AO285" s="180"/>
      <c r="AP285" s="180"/>
    </row>
    <row r="286" spans="1:42">
      <c r="A286" s="19"/>
      <c r="B286" s="180"/>
      <c r="C286" s="180"/>
      <c r="D286" s="180"/>
      <c r="E286" s="180"/>
      <c r="F286" s="180"/>
      <c r="G286" s="180"/>
      <c r="H286" s="180"/>
      <c r="I286" s="180"/>
      <c r="J286" s="175"/>
      <c r="K286" s="178"/>
      <c r="L286" s="178"/>
      <c r="M286" s="178"/>
      <c r="N286" s="175"/>
      <c r="O286" s="178"/>
      <c r="P286" s="175"/>
      <c r="Q286" s="175"/>
      <c r="R286" s="175"/>
      <c r="S286" s="178"/>
      <c r="T286" s="175"/>
      <c r="U286" s="175"/>
      <c r="V286" s="175"/>
      <c r="W286" s="175"/>
      <c r="X286" s="180"/>
      <c r="Y286" s="180"/>
      <c r="Z286" s="175"/>
      <c r="AA286" s="175"/>
      <c r="AB286" s="175"/>
      <c r="AC286" s="175"/>
      <c r="AD286" s="175"/>
      <c r="AE286" s="175"/>
      <c r="AF286" s="175"/>
      <c r="AG286" s="180"/>
      <c r="AH286" s="1433"/>
      <c r="AI286" s="1433"/>
      <c r="AJ286" s="1433"/>
      <c r="AK286" s="1433"/>
      <c r="AL286" s="1433"/>
      <c r="AM286" s="1433"/>
      <c r="AN286" s="180"/>
      <c r="AO286" s="180"/>
      <c r="AP286" s="180"/>
    </row>
    <row r="287" spans="1:42">
      <c r="A287" s="19" t="s">
        <v>746</v>
      </c>
      <c r="B287" s="180"/>
      <c r="C287" s="180"/>
      <c r="D287" s="180"/>
      <c r="E287" s="180"/>
      <c r="F287" s="180"/>
      <c r="G287" s="180"/>
      <c r="H287" s="180"/>
      <c r="I287" s="180"/>
      <c r="J287" s="175"/>
      <c r="K287" s="178"/>
      <c r="L287" s="178"/>
      <c r="M287" s="178"/>
      <c r="N287" s="175"/>
      <c r="O287" s="178"/>
      <c r="P287" s="175"/>
      <c r="Q287" s="175"/>
      <c r="R287" s="175"/>
      <c r="S287" s="178"/>
      <c r="T287" s="175"/>
      <c r="U287" s="175"/>
      <c r="V287" s="175"/>
      <c r="W287" s="175"/>
      <c r="X287" s="180"/>
      <c r="Y287" s="180"/>
      <c r="Z287" s="175"/>
      <c r="AA287" s="175"/>
      <c r="AB287" s="175"/>
      <c r="AC287" s="175"/>
      <c r="AD287" s="175"/>
      <c r="AE287" s="175"/>
      <c r="AF287" s="175"/>
      <c r="AG287" s="180"/>
      <c r="AH287" s="1433"/>
      <c r="AI287" s="1433"/>
      <c r="AJ287" s="1433"/>
      <c r="AK287" s="1433"/>
      <c r="AL287" s="1433"/>
      <c r="AM287" s="1433"/>
      <c r="AN287" s="180"/>
      <c r="AO287" s="180"/>
      <c r="AP287" s="180"/>
    </row>
    <row r="288" spans="1:42">
      <c r="A288" s="249" t="s">
        <v>987</v>
      </c>
      <c r="B288" s="180"/>
      <c r="C288" s="180"/>
      <c r="D288" s="180"/>
      <c r="E288" s="180"/>
      <c r="F288" s="180"/>
      <c r="G288" s="180"/>
      <c r="H288" s="180"/>
      <c r="I288" s="180"/>
      <c r="J288" s="175"/>
      <c r="K288" s="178"/>
      <c r="L288" s="178"/>
      <c r="M288" s="178"/>
      <c r="N288" s="175"/>
      <c r="O288" s="178"/>
      <c r="P288" s="175"/>
      <c r="Q288" s="175"/>
      <c r="R288" s="175"/>
      <c r="S288" s="178"/>
      <c r="T288" s="176">
        <v>0</v>
      </c>
      <c r="U288" s="176">
        <v>0.2</v>
      </c>
      <c r="V288" s="176">
        <v>0.05</v>
      </c>
      <c r="W288" s="177">
        <v>-0.05</v>
      </c>
      <c r="X288" s="345">
        <v>0.03</v>
      </c>
      <c r="Y288" s="345">
        <v>0.03</v>
      </c>
      <c r="Z288" s="177">
        <v>0.03</v>
      </c>
      <c r="AA288" s="937">
        <v>0.08</v>
      </c>
      <c r="AB288" s="937">
        <v>0.08</v>
      </c>
      <c r="AC288" s="937">
        <v>0.08</v>
      </c>
      <c r="AD288" s="937">
        <v>0.08</v>
      </c>
      <c r="AE288" s="937">
        <v>0.08</v>
      </c>
      <c r="AF288" s="937">
        <v>0.08</v>
      </c>
      <c r="AG288" s="180"/>
      <c r="AH288" s="1433"/>
      <c r="AI288" s="1433"/>
      <c r="AJ288" s="1433"/>
      <c r="AK288" s="1433"/>
      <c r="AL288" s="1433"/>
      <c r="AM288" s="1433"/>
      <c r="AN288" s="180"/>
      <c r="AO288" s="180"/>
      <c r="AP288" s="180"/>
    </row>
    <row r="289" spans="1:42">
      <c r="A289" s="249" t="s">
        <v>1270</v>
      </c>
      <c r="B289" s="180"/>
      <c r="C289" s="180"/>
      <c r="D289" s="180"/>
      <c r="E289" s="180"/>
      <c r="F289" s="180"/>
      <c r="G289" s="180"/>
      <c r="H289" s="180"/>
      <c r="I289" s="180"/>
      <c r="J289" s="175"/>
      <c r="K289" s="178"/>
      <c r="L289" s="178"/>
      <c r="M289" s="178"/>
      <c r="N289" s="175"/>
      <c r="O289" s="178"/>
      <c r="P289" s="175"/>
      <c r="Q289" s="175"/>
      <c r="R289" s="175"/>
      <c r="S289" s="178"/>
      <c r="T289" s="176">
        <v>0.02</v>
      </c>
      <c r="U289" s="176">
        <v>0.2</v>
      </c>
      <c r="V289" s="176">
        <v>0.05</v>
      </c>
      <c r="W289" s="177">
        <v>-0.03</v>
      </c>
      <c r="X289" s="345">
        <v>0.05</v>
      </c>
      <c r="Y289" s="345">
        <v>0.05</v>
      </c>
      <c r="Z289" s="177">
        <v>0.05</v>
      </c>
      <c r="AA289" s="937">
        <v>0.08</v>
      </c>
      <c r="AB289" s="937">
        <v>0.08</v>
      </c>
      <c r="AC289" s="937">
        <v>0.08</v>
      </c>
      <c r="AD289" s="937">
        <v>0.08</v>
      </c>
      <c r="AE289" s="937">
        <v>0.08</v>
      </c>
      <c r="AF289" s="937">
        <v>0.08</v>
      </c>
      <c r="AG289" s="180"/>
      <c r="AH289" s="1433"/>
      <c r="AI289" s="1433"/>
      <c r="AJ289" s="1433"/>
      <c r="AK289" s="1433"/>
      <c r="AL289" s="1433"/>
      <c r="AM289" s="1433"/>
      <c r="AN289" s="180"/>
      <c r="AO289" s="180"/>
      <c r="AP289" s="180"/>
    </row>
    <row r="290" spans="1:42">
      <c r="A290" s="19"/>
      <c r="B290" s="180"/>
      <c r="C290" s="180"/>
      <c r="D290" s="180"/>
      <c r="E290" s="180"/>
      <c r="F290" s="180"/>
      <c r="G290" s="180"/>
      <c r="H290" s="180"/>
      <c r="I290" s="180"/>
      <c r="J290" s="175"/>
      <c r="K290" s="178"/>
      <c r="L290" s="178"/>
      <c r="M290" s="178"/>
      <c r="N290" s="175"/>
      <c r="O290" s="178"/>
      <c r="P290" s="175"/>
      <c r="Q290" s="175"/>
      <c r="R290" s="175"/>
      <c r="S290" s="178"/>
      <c r="T290" s="175"/>
      <c r="U290" s="175"/>
      <c r="V290" s="175"/>
      <c r="W290" s="175"/>
      <c r="X290" s="180"/>
      <c r="Y290" s="180"/>
      <c r="Z290" s="175"/>
      <c r="AA290" s="175"/>
      <c r="AB290" s="175"/>
      <c r="AC290" s="175"/>
      <c r="AD290" s="175"/>
      <c r="AE290" s="175"/>
      <c r="AF290" s="175"/>
      <c r="AG290" s="180"/>
      <c r="AH290" s="1433"/>
      <c r="AI290" s="1433"/>
      <c r="AJ290" s="1433"/>
      <c r="AK290" s="1433"/>
      <c r="AL290" s="1433"/>
      <c r="AM290" s="1433"/>
      <c r="AN290" s="180"/>
      <c r="AO290" s="180"/>
      <c r="AP290" s="180"/>
    </row>
    <row r="291" spans="1:42">
      <c r="A291" s="19" t="s">
        <v>1250</v>
      </c>
      <c r="B291" s="180"/>
      <c r="C291" s="180"/>
      <c r="D291" s="180"/>
      <c r="E291" s="180"/>
      <c r="F291" s="180"/>
      <c r="G291" s="180"/>
      <c r="H291" s="180"/>
      <c r="I291" s="180"/>
      <c r="J291" s="175"/>
      <c r="K291" s="178"/>
      <c r="L291" s="178"/>
      <c r="M291" s="178"/>
      <c r="N291" s="199"/>
      <c r="O291" s="178"/>
      <c r="P291" s="175"/>
      <c r="Q291" s="175"/>
      <c r="R291" s="175"/>
      <c r="S291" s="178"/>
      <c r="T291" s="199">
        <f>'Income Statement'!T$155</f>
        <v>1.18028</v>
      </c>
      <c r="U291" s="199">
        <v>1.159077672574627</v>
      </c>
      <c r="V291" s="199">
        <f>'Income Statement'!V$155</f>
        <v>1.1490638246268656</v>
      </c>
      <c r="W291" s="199">
        <f>'Income Statement'!W$155</f>
        <v>1.1713242788461544</v>
      </c>
      <c r="X291" s="199">
        <f>'Income Statement'!X$155</f>
        <v>1.1065795550914248</v>
      </c>
      <c r="Y291" s="199">
        <f>'Income Statement'!Y$155</f>
        <v>1.1105369302909465</v>
      </c>
      <c r="Z291" s="199">
        <f>'Income Statement'!Z$155</f>
        <v>1.1083231112074399</v>
      </c>
      <c r="AA291" s="939">
        <f>'Income Statement'!AA$155</f>
        <v>1.1207295968584789</v>
      </c>
      <c r="AB291" s="939">
        <f>'Income Statement'!AB$155</f>
        <v>1.1426415000000001</v>
      </c>
      <c r="AC291" s="939">
        <f>'Income Statement'!AC$155</f>
        <v>1.1426415000000001</v>
      </c>
      <c r="AD291" s="939">
        <f>'Income Statement'!AD$155</f>
        <v>1.1426415000000001</v>
      </c>
      <c r="AE291" s="939">
        <f>'Income Statement'!AE$155</f>
        <v>1.1426415000000001</v>
      </c>
      <c r="AF291" s="939">
        <f>'Income Statement'!AF$155</f>
        <v>1.1426415000000001</v>
      </c>
      <c r="AG291" s="180"/>
      <c r="AH291" s="1433"/>
      <c r="AI291" s="1433"/>
      <c r="AJ291" s="1433"/>
      <c r="AK291" s="1433"/>
      <c r="AL291" s="1433"/>
      <c r="AM291" s="1433"/>
      <c r="AN291" s="180"/>
      <c r="AO291" s="180"/>
      <c r="AP291" s="180"/>
    </row>
    <row r="292" spans="1:42">
      <c r="A292" s="19" t="s">
        <v>1251</v>
      </c>
      <c r="B292" s="180"/>
      <c r="C292" s="180"/>
      <c r="D292" s="180"/>
      <c r="E292" s="180"/>
      <c r="F292" s="180"/>
      <c r="G292" s="180"/>
      <c r="H292" s="180"/>
      <c r="I292" s="180"/>
      <c r="J292" s="175"/>
      <c r="K292" s="178"/>
      <c r="L292" s="178"/>
      <c r="M292" s="178"/>
      <c r="N292" s="175"/>
      <c r="O292" s="178"/>
      <c r="P292" s="175"/>
      <c r="Q292" s="175"/>
      <c r="R292" s="175"/>
      <c r="S292" s="178"/>
      <c r="T292" s="174" t="e">
        <f t="shared" ref="T292:AF292" si="166">(1/T291)/(1/S291)-1</f>
        <v>#DIV/0!</v>
      </c>
      <c r="U292" s="174">
        <v>1.8292412947854331E-2</v>
      </c>
      <c r="V292" s="174">
        <f t="shared" si="166"/>
        <v>8.7147882764591067E-3</v>
      </c>
      <c r="W292" s="174">
        <f t="shared" si="166"/>
        <v>-1.9004518749681454E-2</v>
      </c>
      <c r="X292" s="174">
        <f t="shared" si="166"/>
        <v>5.8508873995399613E-2</v>
      </c>
      <c r="Y292" s="174">
        <f t="shared" si="166"/>
        <v>-3.5634791528138532E-3</v>
      </c>
      <c r="Z292" s="174">
        <f t="shared" si="166"/>
        <v>1.9974491744512157E-3</v>
      </c>
      <c r="AA292" s="174">
        <f t="shared" si="166"/>
        <v>-1.1070008042810442E-2</v>
      </c>
      <c r="AB292" s="174">
        <f t="shared" si="166"/>
        <v>-1.9176533621018677E-2</v>
      </c>
      <c r="AC292" s="174">
        <f t="shared" si="166"/>
        <v>0</v>
      </c>
      <c r="AD292" s="174">
        <f t="shared" si="166"/>
        <v>0</v>
      </c>
      <c r="AE292" s="174">
        <f t="shared" si="166"/>
        <v>0</v>
      </c>
      <c r="AF292" s="174">
        <f t="shared" si="166"/>
        <v>0</v>
      </c>
      <c r="AG292" s="180"/>
      <c r="AH292" s="1433"/>
      <c r="AI292" s="1433"/>
      <c r="AJ292" s="1433"/>
      <c r="AK292" s="1433"/>
      <c r="AL292" s="1433"/>
      <c r="AM292" s="1433"/>
      <c r="AN292" s="180"/>
      <c r="AO292" s="180"/>
      <c r="AP292" s="180"/>
    </row>
    <row r="293" spans="1:42">
      <c r="A293" s="19"/>
      <c r="B293" s="180"/>
      <c r="C293" s="180"/>
      <c r="D293" s="180"/>
      <c r="E293" s="180"/>
      <c r="F293" s="180"/>
      <c r="G293" s="180"/>
      <c r="H293" s="180"/>
      <c r="I293" s="180"/>
      <c r="J293" s="175"/>
      <c r="K293" s="178"/>
      <c r="L293" s="178"/>
      <c r="M293" s="178"/>
      <c r="N293" s="175"/>
      <c r="O293" s="178"/>
      <c r="P293" s="175"/>
      <c r="Q293" s="175"/>
      <c r="R293" s="175"/>
      <c r="S293" s="178"/>
      <c r="T293" s="175"/>
      <c r="U293" s="175"/>
      <c r="V293" s="175"/>
      <c r="W293" s="175"/>
      <c r="X293" s="180"/>
      <c r="Y293" s="180"/>
      <c r="Z293" s="175"/>
      <c r="AA293" s="175"/>
      <c r="AB293" s="175"/>
      <c r="AC293" s="175"/>
      <c r="AD293" s="175"/>
      <c r="AE293" s="175"/>
      <c r="AF293" s="175"/>
      <c r="AG293" s="180"/>
      <c r="AH293" s="1433"/>
      <c r="AI293" s="1433"/>
      <c r="AJ293" s="1433"/>
      <c r="AK293" s="1433"/>
      <c r="AL293" s="1433"/>
      <c r="AM293" s="1433"/>
      <c r="AN293" s="180"/>
      <c r="AO293" s="180"/>
      <c r="AP293" s="180"/>
    </row>
    <row r="294" spans="1:42">
      <c r="A294" s="19" t="s">
        <v>905</v>
      </c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178"/>
      <c r="P294" s="175"/>
      <c r="Q294" s="175"/>
      <c r="R294" s="175"/>
      <c r="S294" s="178"/>
      <c r="T294" s="223">
        <f>T284</f>
        <v>0</v>
      </c>
      <c r="U294" s="223">
        <v>500.87400000000008</v>
      </c>
      <c r="V294" s="223">
        <f t="shared" ref="V294:AF294" si="167">V284</f>
        <v>525.91770000000008</v>
      </c>
      <c r="W294" s="223">
        <f t="shared" si="167"/>
        <v>499.62181500000003</v>
      </c>
      <c r="X294" s="223">
        <f t="shared" si="167"/>
        <v>514.6104694500001</v>
      </c>
      <c r="Y294" s="223">
        <f t="shared" si="167"/>
        <v>530.04878353350011</v>
      </c>
      <c r="Z294" s="223">
        <f t="shared" si="167"/>
        <v>545.95024703950514</v>
      </c>
      <c r="AA294" s="223">
        <f t="shared" si="167"/>
        <v>589.62626680266555</v>
      </c>
      <c r="AB294" s="223">
        <f t="shared" si="167"/>
        <v>636.79636814687888</v>
      </c>
      <c r="AC294" s="223">
        <f t="shared" si="167"/>
        <v>687.74007759862923</v>
      </c>
      <c r="AD294" s="223">
        <f t="shared" si="167"/>
        <v>742.75928380651965</v>
      </c>
      <c r="AE294" s="223">
        <f t="shared" si="167"/>
        <v>802.18002651104132</v>
      </c>
      <c r="AF294" s="223">
        <f t="shared" si="167"/>
        <v>866.35442863192463</v>
      </c>
      <c r="AG294" s="180"/>
      <c r="AH294" s="1433"/>
      <c r="AI294" s="1433"/>
      <c r="AJ294" s="1433"/>
      <c r="AK294" s="1433"/>
      <c r="AL294" s="1433"/>
      <c r="AM294" s="1433"/>
      <c r="AN294" s="180"/>
      <c r="AO294" s="180"/>
      <c r="AP294" s="180"/>
    </row>
    <row r="295" spans="1:42">
      <c r="A295" s="19" t="s">
        <v>1269</v>
      </c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178"/>
      <c r="P295" s="175"/>
      <c r="Q295" s="175"/>
      <c r="R295" s="175"/>
      <c r="S295" s="178"/>
      <c r="T295" s="223">
        <f>T285/T291</f>
        <v>0</v>
      </c>
      <c r="U295" s="223">
        <v>849.03369574366388</v>
      </c>
      <c r="V295" s="223">
        <f t="shared" ref="V295:AF295" si="168">V285/V291</f>
        <v>899.25448687373193</v>
      </c>
      <c r="W295" s="223">
        <f t="shared" si="168"/>
        <v>855.69965047368873</v>
      </c>
      <c r="X295" s="223">
        <f t="shared" si="168"/>
        <v>951.05395717621957</v>
      </c>
      <c r="Y295" s="223">
        <f t="shared" si="168"/>
        <v>995.04814103795206</v>
      </c>
      <c r="Z295" s="223">
        <f t="shared" si="168"/>
        <v>1046.8874840820981</v>
      </c>
      <c r="AA295" s="223">
        <f t="shared" si="168"/>
        <v>1118.122305710463</v>
      </c>
      <c r="AB295" s="223">
        <f t="shared" si="168"/>
        <v>1184.4150433804032</v>
      </c>
      <c r="AC295" s="223">
        <f t="shared" si="168"/>
        <v>1279.1682468508354</v>
      </c>
      <c r="AD295" s="223">
        <f t="shared" si="168"/>
        <v>1381.5017065989025</v>
      </c>
      <c r="AE295" s="223">
        <f t="shared" si="168"/>
        <v>1492.0218431268147</v>
      </c>
      <c r="AF295" s="223">
        <f t="shared" si="168"/>
        <v>1611.3835905769602</v>
      </c>
      <c r="AG295" s="180"/>
      <c r="AH295" s="1433"/>
      <c r="AI295" s="1433"/>
      <c r="AJ295" s="1433"/>
      <c r="AK295" s="1433"/>
      <c r="AL295" s="1433"/>
      <c r="AM295" s="1433"/>
      <c r="AN295" s="180"/>
      <c r="AO295" s="180"/>
      <c r="AP295" s="180"/>
    </row>
    <row r="296" spans="1:42">
      <c r="A296" s="181" t="s">
        <v>1274</v>
      </c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311"/>
      <c r="O296" s="178"/>
      <c r="P296" s="175"/>
      <c r="Q296" s="175"/>
      <c r="R296" s="175"/>
      <c r="S296" s="178"/>
      <c r="T296" s="311">
        <f>SUM(T294:T295)</f>
        <v>0</v>
      </c>
      <c r="U296" s="311">
        <v>1349.9076957436639</v>
      </c>
      <c r="V296" s="311">
        <f t="shared" ref="V296:AF296" si="169">SUM(V294:V295)</f>
        <v>1425.172186873732</v>
      </c>
      <c r="W296" s="311">
        <f t="shared" si="169"/>
        <v>1355.3214654736887</v>
      </c>
      <c r="X296" s="311">
        <f t="shared" si="169"/>
        <v>1465.6644266262197</v>
      </c>
      <c r="Y296" s="311">
        <f t="shared" si="169"/>
        <v>1525.0969245714523</v>
      </c>
      <c r="Z296" s="311">
        <f t="shared" si="169"/>
        <v>1592.8377311216032</v>
      </c>
      <c r="AA296" s="311">
        <f t="shared" si="169"/>
        <v>1707.7485725131287</v>
      </c>
      <c r="AB296" s="311">
        <f t="shared" si="169"/>
        <v>1821.2114115272821</v>
      </c>
      <c r="AC296" s="311">
        <f t="shared" si="169"/>
        <v>1966.9083244494645</v>
      </c>
      <c r="AD296" s="311">
        <f t="shared" si="169"/>
        <v>2124.260990405422</v>
      </c>
      <c r="AE296" s="311">
        <f t="shared" si="169"/>
        <v>2294.2018696378559</v>
      </c>
      <c r="AF296" s="311">
        <f t="shared" si="169"/>
        <v>2477.7380192088849</v>
      </c>
      <c r="AG296" s="180"/>
      <c r="AH296" s="1433"/>
      <c r="AI296" s="1433"/>
      <c r="AJ296" s="1433"/>
      <c r="AK296" s="1433"/>
      <c r="AL296" s="1433"/>
      <c r="AM296" s="1433"/>
      <c r="AN296" s="180"/>
      <c r="AO296" s="180"/>
      <c r="AP296" s="180"/>
    </row>
    <row r="297" spans="1:42">
      <c r="A297" s="286" t="s">
        <v>1242</v>
      </c>
      <c r="B297" s="312"/>
      <c r="C297" s="312"/>
      <c r="D297" s="312"/>
      <c r="E297" s="312"/>
      <c r="F297" s="312"/>
      <c r="G297" s="312"/>
      <c r="H297" s="312"/>
      <c r="I297" s="312"/>
      <c r="J297" s="183"/>
      <c r="K297" s="198"/>
      <c r="L297" s="198"/>
      <c r="M297" s="184"/>
      <c r="N297" s="184"/>
      <c r="O297" s="178"/>
      <c r="P297" s="175"/>
      <c r="Q297" s="175"/>
      <c r="R297" s="175"/>
      <c r="S297" s="178"/>
      <c r="T297" s="184" t="e">
        <f t="shared" ref="T297:AF297" si="170">T296/S296-1</f>
        <v>#DIV/0!</v>
      </c>
      <c r="U297" s="184">
        <v>0.21371309165413899</v>
      </c>
      <c r="V297" s="184">
        <f t="shared" si="170"/>
        <v>5.5755287096578066E-2</v>
      </c>
      <c r="W297" s="184">
        <f t="shared" si="170"/>
        <v>-4.901212782805453E-2</v>
      </c>
      <c r="X297" s="184">
        <f t="shared" si="170"/>
        <v>8.1414604552113135E-2</v>
      </c>
      <c r="Y297" s="184">
        <f t="shared" si="170"/>
        <v>4.0549867258523165E-2</v>
      </c>
      <c r="Z297" s="184">
        <f t="shared" si="170"/>
        <v>4.4417377976934791E-2</v>
      </c>
      <c r="AA297" s="184">
        <f t="shared" si="170"/>
        <v>7.2142214581149222E-2</v>
      </c>
      <c r="AB297" s="184">
        <f t="shared" si="170"/>
        <v>6.6440013969492728E-2</v>
      </c>
      <c r="AC297" s="184">
        <f t="shared" si="170"/>
        <v>8.0000000000000071E-2</v>
      </c>
      <c r="AD297" s="184">
        <f t="shared" si="170"/>
        <v>8.0000000000000071E-2</v>
      </c>
      <c r="AE297" s="184">
        <f t="shared" si="170"/>
        <v>8.0000000000000071E-2</v>
      </c>
      <c r="AF297" s="184">
        <f t="shared" si="170"/>
        <v>8.0000000000000293E-2</v>
      </c>
      <c r="AG297" s="180"/>
      <c r="AH297" s="1433"/>
      <c r="AI297" s="1433"/>
      <c r="AJ297" s="1433"/>
      <c r="AK297" s="1433"/>
      <c r="AL297" s="1433"/>
      <c r="AM297" s="1433"/>
      <c r="AN297" s="180"/>
      <c r="AO297" s="180"/>
      <c r="AP297" s="180"/>
    </row>
    <row r="298" spans="1:42">
      <c r="A298" s="19" t="s">
        <v>1608</v>
      </c>
      <c r="O298" s="178"/>
      <c r="P298" s="175"/>
      <c r="Q298" s="175"/>
      <c r="R298" s="175"/>
      <c r="S298" s="178"/>
      <c r="AG298" s="180"/>
      <c r="AH298" s="1433"/>
      <c r="AI298" s="1433"/>
      <c r="AJ298" s="1433"/>
      <c r="AK298" s="1433"/>
      <c r="AL298" s="1433"/>
      <c r="AM298" s="1433"/>
      <c r="AN298" s="180"/>
      <c r="AO298" s="180"/>
      <c r="AP298" s="180"/>
    </row>
    <row r="299" spans="1:42">
      <c r="A299" s="19"/>
      <c r="O299" s="178"/>
      <c r="P299" s="175"/>
      <c r="Q299" s="175"/>
      <c r="R299" s="175"/>
      <c r="S299" s="178"/>
      <c r="AG299" s="180"/>
      <c r="AH299" s="1433"/>
      <c r="AI299" s="1433"/>
      <c r="AJ299" s="1433"/>
      <c r="AK299" s="1433"/>
      <c r="AL299" s="1433"/>
      <c r="AM299" s="1433"/>
      <c r="AN299" s="180"/>
      <c r="AO299" s="180"/>
      <c r="AP299" s="180"/>
    </row>
    <row r="300" spans="1:42">
      <c r="A300" s="307" t="s">
        <v>905</v>
      </c>
      <c r="O300" s="178"/>
      <c r="P300" s="175"/>
      <c r="Q300" s="175"/>
      <c r="R300" s="175"/>
      <c r="S300" s="178"/>
      <c r="T300" s="1057">
        <v>0.15</v>
      </c>
      <c r="U300" s="1057">
        <v>0.15</v>
      </c>
      <c r="V300" s="1057">
        <v>0.15</v>
      </c>
      <c r="W300" s="1057">
        <v>0.15</v>
      </c>
      <c r="X300" s="1057">
        <v>0.15</v>
      </c>
      <c r="Y300" s="1057">
        <v>0.15</v>
      </c>
      <c r="Z300" s="1057">
        <v>0.15</v>
      </c>
      <c r="AA300" s="1126">
        <v>0.12</v>
      </c>
      <c r="AB300" s="1126">
        <v>0.12</v>
      </c>
      <c r="AC300" s="1126">
        <v>0.12</v>
      </c>
      <c r="AD300" s="1126">
        <v>0.12</v>
      </c>
      <c r="AE300" s="1126">
        <v>0.12</v>
      </c>
      <c r="AF300" s="1126">
        <v>0.12</v>
      </c>
      <c r="AG300" s="180"/>
      <c r="AH300" s="1433"/>
      <c r="AI300" s="1433"/>
      <c r="AJ300" s="1433"/>
      <c r="AK300" s="1433"/>
      <c r="AL300" s="1433"/>
      <c r="AM300" s="1433"/>
      <c r="AN300" s="180"/>
      <c r="AO300" s="180"/>
      <c r="AP300" s="180"/>
    </row>
    <row r="301" spans="1:42">
      <c r="A301" s="307" t="s">
        <v>986</v>
      </c>
      <c r="P301" s="1057"/>
      <c r="Q301" s="1057"/>
      <c r="R301" s="1057"/>
      <c r="S301" s="1057"/>
      <c r="T301" s="1057">
        <v>0.5</v>
      </c>
      <c r="U301" s="1057">
        <v>0.5</v>
      </c>
      <c r="V301" s="1057">
        <v>0.5</v>
      </c>
      <c r="W301" s="1057">
        <v>0.5</v>
      </c>
      <c r="X301" s="1057">
        <v>0.5</v>
      </c>
      <c r="Y301" s="1057">
        <v>0.5</v>
      </c>
      <c r="Z301" s="1057">
        <v>0.5</v>
      </c>
      <c r="AA301" s="1126">
        <v>0.46</v>
      </c>
      <c r="AB301" s="1126">
        <v>0.46</v>
      </c>
      <c r="AC301" s="1126">
        <v>0.46</v>
      </c>
      <c r="AD301" s="1126">
        <v>0.46</v>
      </c>
      <c r="AE301" s="1126">
        <v>0.46</v>
      </c>
      <c r="AF301" s="1126">
        <v>0.46</v>
      </c>
      <c r="AG301" s="180"/>
      <c r="AH301" s="1436"/>
      <c r="AI301" s="1433"/>
      <c r="AJ301" s="1433"/>
      <c r="AK301" s="1433"/>
      <c r="AL301" s="1433"/>
      <c r="AM301" s="1433"/>
      <c r="AN301" s="180"/>
      <c r="AO301" s="180"/>
      <c r="AP301" s="180"/>
    </row>
    <row r="302" spans="1:42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  <c r="AE302" s="307"/>
      <c r="AF302" s="307"/>
      <c r="AG302" s="180"/>
      <c r="AH302" s="1433"/>
      <c r="AI302" s="1433"/>
      <c r="AJ302" s="1433"/>
      <c r="AK302" s="1433"/>
      <c r="AL302" s="1433"/>
      <c r="AM302" s="1433"/>
      <c r="AN302" s="180"/>
      <c r="AO302" s="180"/>
      <c r="AP302" s="180"/>
    </row>
    <row r="303" spans="1:42">
      <c r="A303" s="307" t="s">
        <v>1610</v>
      </c>
      <c r="W303" s="1055">
        <f t="shared" ref="W303:AF303" si="171">(W294*W300)+(W295*W301)</f>
        <v>502.79309748684437</v>
      </c>
      <c r="X303" s="1055">
        <f t="shared" si="171"/>
        <v>552.71854900560982</v>
      </c>
      <c r="Y303" s="1055">
        <f t="shared" si="171"/>
        <v>577.03138804900107</v>
      </c>
      <c r="Z303" s="1055">
        <f t="shared" si="171"/>
        <v>605.33627909697486</v>
      </c>
      <c r="AA303" s="1055">
        <f t="shared" si="171"/>
        <v>585.0914126431328</v>
      </c>
      <c r="AB303" s="1055">
        <f t="shared" si="171"/>
        <v>621.24648413261093</v>
      </c>
      <c r="AC303" s="1055">
        <f t="shared" si="171"/>
        <v>670.94620286321981</v>
      </c>
      <c r="AD303" s="1055">
        <f t="shared" si="171"/>
        <v>724.62189909227754</v>
      </c>
      <c r="AE303" s="1055">
        <f t="shared" si="171"/>
        <v>782.59165101965982</v>
      </c>
      <c r="AF303" s="1055">
        <f t="shared" si="171"/>
        <v>845.19898310123267</v>
      </c>
      <c r="AG303" s="180"/>
      <c r="AH303" s="1433"/>
      <c r="AI303" s="1433"/>
      <c r="AJ303" s="1433"/>
      <c r="AK303" s="1433"/>
      <c r="AL303" s="1433"/>
      <c r="AM303" s="1433"/>
      <c r="AN303" s="180"/>
      <c r="AO303" s="180"/>
      <c r="AP303" s="180"/>
    </row>
    <row r="304" spans="1:42">
      <c r="AG304" s="180"/>
      <c r="AH304" s="1433"/>
      <c r="AI304" s="1433"/>
      <c r="AJ304" s="1433"/>
      <c r="AK304" s="1433"/>
      <c r="AL304" s="1433"/>
      <c r="AM304" s="1433"/>
      <c r="AN304" s="180"/>
      <c r="AO304" s="180"/>
      <c r="AP304" s="180"/>
    </row>
    <row r="305" spans="1:42">
      <c r="A305" s="258" t="s">
        <v>758</v>
      </c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  <c r="AA305" s="260"/>
      <c r="AB305" s="260"/>
      <c r="AC305" s="260"/>
      <c r="AD305" s="260"/>
      <c r="AE305" s="260"/>
      <c r="AF305" s="260"/>
      <c r="AG305" s="180"/>
      <c r="AH305" s="1433"/>
      <c r="AI305" s="1433"/>
      <c r="AJ305" s="1433"/>
      <c r="AK305" s="1433"/>
      <c r="AL305" s="1433"/>
      <c r="AM305" s="1433"/>
      <c r="AN305" s="180"/>
      <c r="AO305" s="180"/>
      <c r="AP305" s="180"/>
    </row>
    <row r="306" spans="1:42">
      <c r="A306" s="307" t="s">
        <v>933</v>
      </c>
      <c r="B306" s="312"/>
      <c r="C306" s="312"/>
      <c r="D306" s="312"/>
      <c r="E306" s="312"/>
      <c r="F306" s="312"/>
      <c r="G306" s="312"/>
      <c r="H306" s="223"/>
      <c r="I306" s="223"/>
      <c r="J306" s="223"/>
      <c r="K306" s="223"/>
      <c r="L306" s="223"/>
      <c r="M306" s="224"/>
      <c r="N306" s="224"/>
      <c r="O306" s="223"/>
      <c r="P306" s="223"/>
      <c r="Q306" s="223"/>
      <c r="R306" s="223"/>
      <c r="S306" s="223"/>
      <c r="T306" s="223">
        <f t="shared" ref="T306:AF306" si="172">T308-T307</f>
        <v>-546</v>
      </c>
      <c r="U306" s="223">
        <v>-573</v>
      </c>
      <c r="V306" s="223">
        <f t="shared" si="172"/>
        <v>-334</v>
      </c>
      <c r="W306" s="223">
        <f t="shared" si="172"/>
        <v>-397</v>
      </c>
      <c r="X306" s="223">
        <f t="shared" si="172"/>
        <v>-457</v>
      </c>
      <c r="Y306" s="223">
        <f t="shared" si="172"/>
        <v>-570</v>
      </c>
      <c r="Z306" s="223">
        <f t="shared" si="172"/>
        <v>-644</v>
      </c>
      <c r="AA306" s="223">
        <f t="shared" si="172"/>
        <v>-644</v>
      </c>
      <c r="AB306" s="223">
        <f t="shared" si="172"/>
        <v>-737.19702799792026</v>
      </c>
      <c r="AC306" s="223">
        <f t="shared" si="172"/>
        <v>-821.41942164748161</v>
      </c>
      <c r="AD306" s="223">
        <f t="shared" si="172"/>
        <v>-912.19290543841953</v>
      </c>
      <c r="AE306" s="223">
        <f t="shared" si="172"/>
        <v>-984.06013196543654</v>
      </c>
      <c r="AF306" s="223">
        <f t="shared" si="172"/>
        <v>-1039.5887393464664</v>
      </c>
      <c r="AG306" s="180"/>
      <c r="AH306" s="1433"/>
      <c r="AI306" s="1433"/>
      <c r="AJ306" s="1433"/>
      <c r="AK306" s="1433"/>
      <c r="AL306" s="1433"/>
      <c r="AM306" s="1433"/>
      <c r="AN306" s="180"/>
      <c r="AO306" s="180"/>
      <c r="AP306" s="180"/>
    </row>
    <row r="307" spans="1:42">
      <c r="A307" s="249" t="s">
        <v>896</v>
      </c>
      <c r="B307" s="312"/>
      <c r="C307" s="312"/>
      <c r="D307" s="312"/>
      <c r="E307" s="312"/>
      <c r="F307" s="312"/>
      <c r="G307" s="312"/>
      <c r="H307" s="223"/>
      <c r="I307" s="223"/>
      <c r="J307" s="223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>
        <v>62</v>
      </c>
      <c r="U307" s="224">
        <v>65</v>
      </c>
      <c r="V307" s="224">
        <v>57</v>
      </c>
      <c r="W307" s="224">
        <v>61</v>
      </c>
      <c r="X307" s="224">
        <v>57</v>
      </c>
      <c r="Y307" s="224">
        <v>67</v>
      </c>
      <c r="Z307" s="224">
        <v>74</v>
      </c>
      <c r="AA307" s="932">
        <f t="shared" ref="AA307:AF307" si="173">Z307</f>
        <v>74</v>
      </c>
      <c r="AB307" s="932">
        <f t="shared" si="173"/>
        <v>74</v>
      </c>
      <c r="AC307" s="932">
        <f t="shared" si="173"/>
        <v>74</v>
      </c>
      <c r="AD307" s="932">
        <f t="shared" si="173"/>
        <v>74</v>
      </c>
      <c r="AE307" s="932">
        <f t="shared" si="173"/>
        <v>74</v>
      </c>
      <c r="AF307" s="932">
        <f t="shared" si="173"/>
        <v>74</v>
      </c>
      <c r="AG307" s="180"/>
      <c r="AH307" s="1433"/>
      <c r="AI307" s="1433"/>
      <c r="AJ307" s="1433"/>
      <c r="AK307" s="1433"/>
      <c r="AL307" s="1433"/>
      <c r="AM307" s="1433"/>
      <c r="AN307" s="180"/>
      <c r="AO307" s="180"/>
      <c r="AP307" s="180"/>
    </row>
    <row r="308" spans="1:42">
      <c r="A308" s="307" t="s">
        <v>934</v>
      </c>
      <c r="B308" s="312"/>
      <c r="C308" s="312"/>
      <c r="D308" s="312"/>
      <c r="E308" s="312"/>
      <c r="F308" s="312"/>
      <c r="G308" s="312"/>
      <c r="H308" s="224"/>
      <c r="I308" s="224"/>
      <c r="J308" s="224"/>
      <c r="K308" s="224"/>
      <c r="L308" s="224"/>
      <c r="M308" s="223"/>
      <c r="N308" s="223"/>
      <c r="O308" s="223"/>
      <c r="P308" s="223"/>
      <c r="Q308" s="223"/>
      <c r="R308" s="223"/>
      <c r="S308" s="223"/>
      <c r="T308" s="223">
        <f t="shared" ref="T308:AF308" si="174">T311-T310-T309</f>
        <v>-484</v>
      </c>
      <c r="U308" s="223">
        <v>-508</v>
      </c>
      <c r="V308" s="223">
        <f t="shared" si="174"/>
        <v>-277</v>
      </c>
      <c r="W308" s="223">
        <f t="shared" si="174"/>
        <v>-336</v>
      </c>
      <c r="X308" s="223">
        <f t="shared" si="174"/>
        <v>-400</v>
      </c>
      <c r="Y308" s="223">
        <f t="shared" si="174"/>
        <v>-503</v>
      </c>
      <c r="Z308" s="223">
        <f t="shared" si="174"/>
        <v>-570</v>
      </c>
      <c r="AA308" s="223">
        <f t="shared" si="174"/>
        <v>-570</v>
      </c>
      <c r="AB308" s="223">
        <f t="shared" si="174"/>
        <v>-663.19702799792026</v>
      </c>
      <c r="AC308" s="223">
        <f t="shared" si="174"/>
        <v>-747.41942164748161</v>
      </c>
      <c r="AD308" s="223">
        <f t="shared" si="174"/>
        <v>-838.19290543841953</v>
      </c>
      <c r="AE308" s="223">
        <f t="shared" si="174"/>
        <v>-910.06013196543654</v>
      </c>
      <c r="AF308" s="223">
        <f t="shared" si="174"/>
        <v>-965.58873934646624</v>
      </c>
      <c r="AG308" s="180"/>
      <c r="AH308" s="1433"/>
      <c r="AI308" s="1445"/>
      <c r="AJ308" s="1433"/>
      <c r="AK308" s="1433"/>
      <c r="AL308" s="1433"/>
      <c r="AM308" s="1433"/>
      <c r="AN308" s="180"/>
      <c r="AO308" s="57"/>
      <c r="AP308" s="57"/>
    </row>
    <row r="309" spans="1:42">
      <c r="A309" s="249" t="s">
        <v>935</v>
      </c>
      <c r="B309" s="312"/>
      <c r="C309" s="312"/>
      <c r="D309" s="312"/>
      <c r="E309" s="312"/>
      <c r="F309" s="312"/>
      <c r="G309" s="312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>
        <v>103</v>
      </c>
      <c r="U309" s="224">
        <v>96</v>
      </c>
      <c r="V309" s="224">
        <v>62</v>
      </c>
      <c r="W309" s="224">
        <v>105</v>
      </c>
      <c r="X309" s="224">
        <v>92</v>
      </c>
      <c r="Y309" s="224">
        <v>96</v>
      </c>
      <c r="Z309" s="224">
        <v>110</v>
      </c>
      <c r="AA309" s="266">
        <f t="shared" ref="AA309:AF310" si="175">Z309</f>
        <v>110</v>
      </c>
      <c r="AB309" s="266">
        <f t="shared" si="175"/>
        <v>110</v>
      </c>
      <c r="AC309" s="266">
        <f t="shared" si="175"/>
        <v>110</v>
      </c>
      <c r="AD309" s="266">
        <f t="shared" si="175"/>
        <v>110</v>
      </c>
      <c r="AE309" s="266">
        <f t="shared" si="175"/>
        <v>110</v>
      </c>
      <c r="AF309" s="266">
        <f t="shared" si="175"/>
        <v>110</v>
      </c>
      <c r="AG309" s="57"/>
      <c r="AH309" s="1436"/>
      <c r="AI309" s="1436"/>
      <c r="AJ309" s="1436"/>
      <c r="AK309" s="1436"/>
      <c r="AL309" s="1436"/>
      <c r="AM309" s="1436"/>
      <c r="AN309" s="57"/>
      <c r="AO309" s="57"/>
      <c r="AP309" s="57"/>
    </row>
    <row r="310" spans="1:42">
      <c r="A310" s="249" t="s">
        <v>942</v>
      </c>
      <c r="B310" s="312"/>
      <c r="C310" s="312"/>
      <c r="D310" s="312"/>
      <c r="E310" s="312"/>
      <c r="F310" s="312"/>
      <c r="G310" s="312"/>
      <c r="H310" s="223"/>
      <c r="I310" s="223"/>
      <c r="J310" s="223"/>
      <c r="K310" s="223"/>
      <c r="L310" s="223"/>
      <c r="M310" s="224"/>
      <c r="N310" s="224"/>
      <c r="O310" s="224"/>
      <c r="P310" s="224"/>
      <c r="Q310" s="224"/>
      <c r="R310" s="224"/>
      <c r="S310" s="224"/>
      <c r="T310" s="224">
        <v>-106</v>
      </c>
      <c r="U310" s="224">
        <v>-111</v>
      </c>
      <c r="V310" s="224">
        <v>-117</v>
      </c>
      <c r="W310" s="224">
        <v>-119</v>
      </c>
      <c r="X310" s="224">
        <v>-117</v>
      </c>
      <c r="Y310" s="224">
        <v>-124</v>
      </c>
      <c r="Z310" s="224">
        <v>-123</v>
      </c>
      <c r="AA310" s="266">
        <f t="shared" si="175"/>
        <v>-123</v>
      </c>
      <c r="AB310" s="266">
        <f t="shared" si="175"/>
        <v>-123</v>
      </c>
      <c r="AC310" s="266">
        <f t="shared" si="175"/>
        <v>-123</v>
      </c>
      <c r="AD310" s="266">
        <f t="shared" si="175"/>
        <v>-123</v>
      </c>
      <c r="AE310" s="266">
        <f t="shared" si="175"/>
        <v>-123</v>
      </c>
      <c r="AF310" s="266">
        <f t="shared" si="175"/>
        <v>-123</v>
      </c>
      <c r="AG310" s="57"/>
      <c r="AH310" s="1436"/>
      <c r="AI310" s="1436"/>
      <c r="AJ310" s="1436"/>
      <c r="AK310" s="1436"/>
      <c r="AL310" s="1436"/>
      <c r="AM310" s="1436"/>
      <c r="AN310" s="57"/>
    </row>
    <row r="311" spans="1:42">
      <c r="A311" s="249" t="s">
        <v>936</v>
      </c>
      <c r="B311" s="312"/>
      <c r="C311" s="312"/>
      <c r="D311" s="312"/>
      <c r="E311" s="312"/>
      <c r="F311" s="312"/>
      <c r="G311" s="312"/>
      <c r="H311" s="223"/>
      <c r="I311" s="223"/>
      <c r="J311" s="223"/>
      <c r="K311" s="223"/>
      <c r="L311" s="223"/>
      <c r="M311" s="223"/>
      <c r="N311" s="223"/>
      <c r="O311" s="224"/>
      <c r="P311" s="224"/>
      <c r="Q311" s="224"/>
      <c r="R311" s="224"/>
      <c r="S311" s="224"/>
      <c r="T311" s="224">
        <v>-487</v>
      </c>
      <c r="U311" s="224">
        <v>-523</v>
      </c>
      <c r="V311" s="224">
        <v>-332</v>
      </c>
      <c r="W311" s="224">
        <v>-350</v>
      </c>
      <c r="X311" s="224">
        <v>-425</v>
      </c>
      <c r="Y311" s="224">
        <v>-531</v>
      </c>
      <c r="Z311" s="224">
        <v>-583</v>
      </c>
      <c r="AA311" s="223">
        <f t="shared" ref="AA311:AF311" si="176">Z6*AA312</f>
        <v>-583</v>
      </c>
      <c r="AB311" s="223">
        <f t="shared" si="176"/>
        <v>-676.19702799792026</v>
      </c>
      <c r="AC311" s="223">
        <f t="shared" si="176"/>
        <v>-760.41942164748161</v>
      </c>
      <c r="AD311" s="223">
        <f t="shared" si="176"/>
        <v>-851.19290543841953</v>
      </c>
      <c r="AE311" s="223">
        <f t="shared" si="176"/>
        <v>-923.06013196543654</v>
      </c>
      <c r="AF311" s="223">
        <f t="shared" si="176"/>
        <v>-978.58873934646624</v>
      </c>
    </row>
    <row r="312" spans="1:42">
      <c r="A312" s="303" t="s">
        <v>755</v>
      </c>
      <c r="B312" s="312"/>
      <c r="C312" s="312"/>
      <c r="D312" s="312"/>
      <c r="E312" s="312"/>
      <c r="F312" s="312"/>
      <c r="G312" s="312"/>
      <c r="H312" s="278"/>
      <c r="I312" s="278"/>
      <c r="J312" s="278"/>
      <c r="K312" s="278"/>
      <c r="L312" s="278"/>
      <c r="M312" s="278"/>
      <c r="N312" s="278"/>
      <c r="O312" s="283"/>
      <c r="P312" s="283"/>
      <c r="Q312" s="283"/>
      <c r="R312" s="283"/>
      <c r="S312" s="283"/>
      <c r="T312" s="283">
        <f>T311/T6</f>
        <v>-4.6034596842801777E-2</v>
      </c>
      <c r="U312" s="283">
        <v>-4.3420506434205065E-2</v>
      </c>
      <c r="V312" s="283">
        <f>V311/V6</f>
        <v>-4.3325068511027014E-2</v>
      </c>
      <c r="W312" s="283">
        <f>W311/W6</f>
        <v>-4.7049334587982258E-2</v>
      </c>
      <c r="X312" s="283">
        <f>X311/X6</f>
        <v>-4.4708605091521143E-2</v>
      </c>
      <c r="Y312" s="283">
        <f>Y311/Y6</f>
        <v>-4.4712024250589427E-2</v>
      </c>
      <c r="Z312" s="283">
        <f>Z311/Z6</f>
        <v>-4.2704365660709051E-2</v>
      </c>
      <c r="AA312" s="933">
        <f t="shared" ref="AA312:AF312" si="177">Z312</f>
        <v>-4.2704365660709051E-2</v>
      </c>
      <c r="AB312" s="933">
        <f t="shared" si="177"/>
        <v>-4.2704365660709051E-2</v>
      </c>
      <c r="AC312" s="933">
        <f t="shared" si="177"/>
        <v>-4.2704365660709051E-2</v>
      </c>
      <c r="AD312" s="933">
        <f t="shared" si="177"/>
        <v>-4.2704365660709051E-2</v>
      </c>
      <c r="AE312" s="933">
        <f t="shared" si="177"/>
        <v>-4.2704365660709051E-2</v>
      </c>
      <c r="AF312" s="933">
        <f t="shared" si="177"/>
        <v>-4.2704365660709051E-2</v>
      </c>
    </row>
    <row r="313" spans="1:42">
      <c r="A313" s="307" t="s">
        <v>937</v>
      </c>
      <c r="B313" s="312"/>
      <c r="C313" s="312"/>
      <c r="D313" s="312"/>
      <c r="E313" s="312"/>
      <c r="F313" s="312"/>
      <c r="G313" s="312"/>
      <c r="H313" s="312"/>
      <c r="I313" s="312"/>
      <c r="J313" s="183"/>
      <c r="K313" s="198"/>
      <c r="L313" s="198"/>
      <c r="M313" s="184"/>
      <c r="N313" s="184"/>
      <c r="O313" s="283"/>
      <c r="P313" s="283"/>
      <c r="Q313" s="283"/>
      <c r="R313" s="283"/>
      <c r="S313" s="283"/>
      <c r="T313" s="283">
        <f>(T311-T310-T309)/T6</f>
        <v>-4.5751016164098685E-2</v>
      </c>
      <c r="U313" s="283">
        <v>-4.2175176421751767E-2</v>
      </c>
      <c r="V313" s="283">
        <f t="shared" ref="V313:AF313" si="178">(V311-V310-V309)/V6</f>
        <v>-3.6147722823959283E-2</v>
      </c>
      <c r="W313" s="283">
        <f t="shared" si="178"/>
        <v>-4.5167361204462964E-2</v>
      </c>
      <c r="X313" s="283">
        <f t="shared" si="178"/>
        <v>-4.2078687144961074E-2</v>
      </c>
      <c r="Y313" s="283">
        <f t="shared" si="178"/>
        <v>-4.2354328056584706E-2</v>
      </c>
      <c r="Z313" s="283">
        <f t="shared" si="178"/>
        <v>-4.1752124230881919E-2</v>
      </c>
      <c r="AA313" s="283">
        <f t="shared" si="178"/>
        <v>-3.599762705061612E-2</v>
      </c>
      <c r="AB313" s="283">
        <f t="shared" si="178"/>
        <v>-3.7244456917419504E-2</v>
      </c>
      <c r="AC313" s="283">
        <f t="shared" si="178"/>
        <v>-3.7498047833833689E-2</v>
      </c>
      <c r="AD313" s="283">
        <f t="shared" si="178"/>
        <v>-3.8778076409646839E-2</v>
      </c>
      <c r="AE313" s="283">
        <f t="shared" si="178"/>
        <v>-3.9713864554214558E-2</v>
      </c>
      <c r="AF313" s="283">
        <f t="shared" si="178"/>
        <v>-3.9914168264399058E-2</v>
      </c>
    </row>
    <row r="315" spans="1:42">
      <c r="AG315" s="307"/>
    </row>
    <row r="316" spans="1:42">
      <c r="AG316" s="307"/>
    </row>
    <row r="317" spans="1:42">
      <c r="AO317" s="180"/>
      <c r="AP317" s="180"/>
    </row>
    <row r="318" spans="1:42">
      <c r="AG318" s="180"/>
      <c r="AH318" s="1433"/>
      <c r="AI318" s="1433"/>
      <c r="AJ318" s="1433"/>
      <c r="AK318" s="1433"/>
      <c r="AL318" s="1433"/>
      <c r="AM318" s="1433"/>
      <c r="AN318" s="180"/>
      <c r="AO318" s="180"/>
      <c r="AP318" s="180"/>
    </row>
    <row r="319" spans="1:42">
      <c r="AG319" s="180"/>
      <c r="AH319" s="1433"/>
      <c r="AI319" s="1433"/>
      <c r="AJ319" s="1433"/>
      <c r="AK319" s="1433"/>
      <c r="AL319" s="1433"/>
      <c r="AM319" s="1433"/>
      <c r="AN319" s="180"/>
      <c r="AO319" s="180"/>
      <c r="AP319" s="180"/>
    </row>
    <row r="320" spans="1:42">
      <c r="AG320" s="180"/>
      <c r="AH320" s="1433"/>
      <c r="AI320" s="1433"/>
      <c r="AJ320" s="1433"/>
      <c r="AK320" s="1433"/>
      <c r="AL320" s="1433"/>
      <c r="AM320" s="1433"/>
      <c r="AN320" s="180"/>
      <c r="AO320" s="180"/>
      <c r="AP320" s="180"/>
    </row>
    <row r="321" spans="33:42">
      <c r="AG321" s="180"/>
      <c r="AH321" s="1433"/>
      <c r="AI321" s="1433"/>
      <c r="AJ321" s="1433"/>
      <c r="AK321" s="1433"/>
      <c r="AL321" s="1433"/>
      <c r="AM321" s="1433"/>
      <c r="AN321" s="180"/>
      <c r="AO321" s="180"/>
      <c r="AP321" s="180"/>
    </row>
    <row r="322" spans="33:42">
      <c r="AG322" s="180"/>
      <c r="AH322" s="1433"/>
      <c r="AI322" s="1433"/>
      <c r="AJ322" s="1433"/>
      <c r="AK322" s="1433"/>
      <c r="AL322" s="1433"/>
      <c r="AM322" s="1433"/>
      <c r="AN322" s="180"/>
      <c r="AO322" s="180"/>
      <c r="AP322" s="180"/>
    </row>
    <row r="323" spans="33:42">
      <c r="AG323" s="180"/>
      <c r="AH323" s="1433"/>
      <c r="AI323" s="1433"/>
      <c r="AJ323" s="1433"/>
      <c r="AK323" s="1433"/>
      <c r="AL323" s="1433"/>
      <c r="AM323" s="1433"/>
      <c r="AN323" s="180"/>
      <c r="AO323" s="180"/>
      <c r="AP323" s="180"/>
    </row>
    <row r="324" spans="33:42">
      <c r="AG324" s="180"/>
      <c r="AH324" s="1433"/>
      <c r="AI324" s="1433"/>
      <c r="AJ324" s="1433"/>
      <c r="AK324" s="1433"/>
      <c r="AL324" s="1433"/>
      <c r="AM324" s="1433"/>
      <c r="AN324" s="180"/>
      <c r="AO324" s="180"/>
      <c r="AP324" s="180"/>
    </row>
    <row r="325" spans="33:42">
      <c r="AG325" s="180"/>
      <c r="AH325" s="1433"/>
      <c r="AI325" s="1433"/>
      <c r="AJ325" s="1433"/>
      <c r="AK325" s="1433"/>
      <c r="AL325" s="1433"/>
      <c r="AM325" s="1433"/>
      <c r="AN325" s="180"/>
      <c r="AO325" s="180"/>
      <c r="AP325" s="180"/>
    </row>
    <row r="326" spans="33:42">
      <c r="AG326" s="180"/>
      <c r="AH326" s="1433"/>
      <c r="AI326" s="1433"/>
      <c r="AJ326" s="1433"/>
      <c r="AK326" s="1433"/>
      <c r="AL326" s="1433"/>
      <c r="AM326" s="1433"/>
      <c r="AN326" s="180"/>
    </row>
  </sheetData>
  <printOptions horizontalCentered="1" verticalCentered="1"/>
  <pageMargins left="0.7" right="0.7" top="0.75" bottom="0.75" header="0.3" footer="0.3"/>
  <pageSetup paperSize="9" scale="10" orientation="portrait" r:id="rId1"/>
  <customProperties>
    <customPr name="Qube.Worksheet.Visibility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>
    <tabColor theme="4" tint="0.89999084444715716"/>
    <pageSetUpPr fitToPage="1"/>
  </sheetPr>
  <dimension ref="A1:AF71"/>
  <sheetViews>
    <sheetView showGridLines="0" workbookViewId="0">
      <selection activeCell="D31" sqref="D31"/>
    </sheetView>
  </sheetViews>
  <sheetFormatPr defaultColWidth="9" defaultRowHeight="14.25"/>
  <cols>
    <col min="1" max="1" width="9" style="585"/>
    <col min="2" max="2" width="9.625" style="69" customWidth="1"/>
    <col min="3" max="3" width="20.25" style="69" customWidth="1"/>
    <col min="4" max="4" width="9" style="69" customWidth="1"/>
    <col min="5" max="8" width="9" style="585"/>
    <col min="9" max="9" width="36.5" style="522" customWidth="1"/>
    <col min="10" max="20" width="9" style="522"/>
    <col min="21" max="21" width="2.125" style="522" customWidth="1"/>
    <col min="22" max="22" width="27.5" style="522" customWidth="1"/>
    <col min="23" max="16384" width="9" style="522"/>
  </cols>
  <sheetData>
    <row r="1" spans="1:32">
      <c r="I1" s="586" t="s">
        <v>1343</v>
      </c>
      <c r="J1" s="587">
        <f>'Income Statement'!V112</f>
        <v>90</v>
      </c>
      <c r="K1" s="587">
        <f>'Income Statement'!W112</f>
        <v>107.66</v>
      </c>
      <c r="L1" s="587">
        <f>'Income Statement'!X112</f>
        <v>105.3</v>
      </c>
      <c r="M1" s="537">
        <f>135.8*0.5+154*0.5</f>
        <v>144.9</v>
      </c>
      <c r="N1" s="588">
        <v>171</v>
      </c>
      <c r="O1" s="588">
        <v>208</v>
      </c>
      <c r="P1" s="522">
        <v>240</v>
      </c>
      <c r="X1" s="589"/>
      <c r="Y1" s="589"/>
      <c r="Z1" s="589"/>
      <c r="AA1" s="589"/>
      <c r="AB1" s="589"/>
      <c r="AC1" s="589"/>
      <c r="AD1" s="589"/>
      <c r="AE1" s="589"/>
    </row>
    <row r="2" spans="1:32" s="589" customFormat="1" ht="15">
      <c r="A2" s="590"/>
      <c r="B2" s="907" t="s">
        <v>1151</v>
      </c>
      <c r="C2" s="591"/>
      <c r="D2" s="592"/>
      <c r="E2" s="585"/>
      <c r="F2" s="57" t="s">
        <v>1137</v>
      </c>
      <c r="G2" s="57"/>
      <c r="H2" s="590"/>
      <c r="I2" s="591" t="s">
        <v>734</v>
      </c>
      <c r="J2" s="593">
        <v>2020</v>
      </c>
      <c r="K2" s="593">
        <f>J2+1</f>
        <v>2021</v>
      </c>
      <c r="L2" s="593">
        <f t="shared" ref="L2:T2" si="0">K2+1</f>
        <v>2022</v>
      </c>
      <c r="M2" s="593">
        <f t="shared" si="0"/>
        <v>2023</v>
      </c>
      <c r="N2" s="593">
        <f t="shared" si="0"/>
        <v>2024</v>
      </c>
      <c r="O2" s="1186">
        <f t="shared" si="0"/>
        <v>2025</v>
      </c>
      <c r="P2" s="1186">
        <f t="shared" si="0"/>
        <v>2026</v>
      </c>
      <c r="Q2" s="1186">
        <f t="shared" si="0"/>
        <v>2027</v>
      </c>
      <c r="R2" s="1186">
        <f t="shared" si="0"/>
        <v>2028</v>
      </c>
      <c r="S2" s="1186">
        <f t="shared" si="0"/>
        <v>2029</v>
      </c>
      <c r="T2" s="1186">
        <f t="shared" si="0"/>
        <v>2030</v>
      </c>
      <c r="U2" s="591"/>
      <c r="V2" s="591" t="s">
        <v>976</v>
      </c>
      <c r="Y2" s="522"/>
      <c r="Z2" s="522"/>
      <c r="AA2" s="522"/>
      <c r="AB2" s="522"/>
      <c r="AC2" s="522"/>
      <c r="AD2" s="522"/>
      <c r="AE2" s="522"/>
    </row>
    <row r="3" spans="1:32" ht="15.75" thickBot="1">
      <c r="A3" s="594"/>
      <c r="B3" s="66" t="s">
        <v>1138</v>
      </c>
      <c r="C3" s="66"/>
      <c r="D3" s="141">
        <v>5.8000000000000003E-2</v>
      </c>
      <c r="F3" s="133">
        <v>12</v>
      </c>
      <c r="G3" s="915">
        <v>2026</v>
      </c>
      <c r="H3" s="594"/>
      <c r="I3" s="522" t="s">
        <v>1084</v>
      </c>
      <c r="J3" s="595">
        <v>211.5</v>
      </c>
      <c r="K3" s="522">
        <f>J3</f>
        <v>211.5</v>
      </c>
      <c r="L3" s="522">
        <f t="shared" ref="L3:R3" si="1">K3</f>
        <v>211.5</v>
      </c>
      <c r="M3" s="522">
        <f t="shared" si="1"/>
        <v>211.5</v>
      </c>
      <c r="N3" s="522">
        <f t="shared" si="1"/>
        <v>211.5</v>
      </c>
      <c r="O3" s="522">
        <v>305.3</v>
      </c>
      <c r="P3" s="522">
        <f t="shared" si="1"/>
        <v>305.3</v>
      </c>
      <c r="Q3" s="522">
        <f t="shared" si="1"/>
        <v>305.3</v>
      </c>
      <c r="R3" s="522">
        <f t="shared" si="1"/>
        <v>305.3</v>
      </c>
      <c r="S3" s="522">
        <f t="shared" ref="S3:T3" si="2">R3</f>
        <v>305.3</v>
      </c>
      <c r="T3" s="522">
        <f t="shared" si="2"/>
        <v>305.3</v>
      </c>
      <c r="X3" s="596" t="s">
        <v>1200</v>
      </c>
      <c r="Y3" s="596"/>
      <c r="Z3" s="596"/>
      <c r="AA3" s="596"/>
      <c r="AB3" s="596"/>
      <c r="AC3" s="596"/>
      <c r="AD3" s="596"/>
      <c r="AE3" s="596"/>
    </row>
    <row r="4" spans="1:32">
      <c r="A4" s="597"/>
      <c r="B4" s="58" t="str" cm="1">
        <f t="array" ref="B4">_xlfn.IFS(AND(F3&gt;0,F4=0),"ROIC "&amp;F3&amp;"M "&amp;G3&amp;" GSe",AND(F3&gt;0,F4&gt;0),"ROIC "&amp;F3&amp;"M "&amp;G3&amp;"/"&amp;F4&amp;"M "&amp;G4&amp;" GSe",AND(F3=0,F4&gt;0),"ROIC "&amp;F4&amp;"M "&amp;G4&amp;" GSe")</f>
        <v>ROIC 12M 2026 GSe</v>
      </c>
      <c r="C4" s="59"/>
      <c r="D4" s="60" t="e">
        <f>(INDEX(#REF!,MATCH(Multiples!G3,#REF!,0))*Multiples!F3+INDEX(#REF!,MATCH(Multiples!G4,#REF!,0))*Multiples!F4)/12</f>
        <v>#REF!</v>
      </c>
      <c r="E4" s="597"/>
      <c r="F4" s="135">
        <f>12-F3</f>
        <v>0</v>
      </c>
      <c r="G4" s="136">
        <f>G3+1</f>
        <v>2027</v>
      </c>
      <c r="H4" s="597"/>
      <c r="I4" s="522" t="s">
        <v>1117</v>
      </c>
      <c r="J4" s="598">
        <f>'Income Statement'!V116/1000</f>
        <v>426.035732</v>
      </c>
      <c r="K4" s="598">
        <f>'Income Statement'!W116/1000</f>
        <v>426.65042499999998</v>
      </c>
      <c r="L4" s="598">
        <f>'Income Statement'!X116/1000</f>
        <v>426.680657</v>
      </c>
      <c r="M4" s="598">
        <f>'Income Statement'!Y116/1000</f>
        <v>417.79549200000002</v>
      </c>
      <c r="N4" s="598">
        <f>'Income Statement'!Z116/1000</f>
        <v>416.14953000000003</v>
      </c>
      <c r="O4" s="598">
        <f>'Income Statement'!AA116/1000</f>
        <v>411.66281068916015</v>
      </c>
      <c r="P4" s="598">
        <f>'Income Statement'!AB116/1000</f>
        <v>407.17609137832022</v>
      </c>
      <c r="Q4" s="598">
        <f>'Income Statement'!AC116/1000</f>
        <v>402.68937206748035</v>
      </c>
      <c r="R4" s="598">
        <f>'Income Statement'!AD116/1000</f>
        <v>398.20265275664048</v>
      </c>
      <c r="S4" s="598">
        <f>'Income Statement'!AE116/1000</f>
        <v>398.20265275664048</v>
      </c>
      <c r="T4" s="598">
        <f>'Income Statement'!AF116/1000</f>
        <v>398.20265275664048</v>
      </c>
      <c r="X4" s="599"/>
      <c r="Y4" s="599"/>
      <c r="Z4" s="599"/>
      <c r="AA4" s="600" t="s">
        <v>1320</v>
      </c>
      <c r="AB4" s="600"/>
      <c r="AC4" s="600"/>
      <c r="AD4" s="600"/>
      <c r="AE4" s="599"/>
    </row>
    <row r="5" spans="1:32">
      <c r="B5" s="58" t="s">
        <v>1139</v>
      </c>
      <c r="C5" s="59"/>
      <c r="D5" s="128">
        <v>0.09</v>
      </c>
      <c r="I5" s="522" t="s">
        <v>907</v>
      </c>
      <c r="J5" s="601">
        <f>J3*J4</f>
        <v>90106.557317999992</v>
      </c>
      <c r="K5" s="601">
        <f t="shared" ref="K5:P5" si="3">K3*K4</f>
        <v>90236.56488749999</v>
      </c>
      <c r="L5" s="601">
        <f t="shared" si="3"/>
        <v>90242.958955499998</v>
      </c>
      <c r="M5" s="601">
        <f t="shared" si="3"/>
        <v>88363.746557999999</v>
      </c>
      <c r="N5" s="601">
        <f t="shared" si="3"/>
        <v>88015.625595000005</v>
      </c>
      <c r="O5" s="601">
        <f t="shared" si="3"/>
        <v>125680.6561034006</v>
      </c>
      <c r="P5" s="601">
        <f t="shared" si="3"/>
        <v>124310.86069780117</v>
      </c>
      <c r="Q5" s="601">
        <f t="shared" ref="Q5:R5" si="4">Q3*Q4</f>
        <v>122941.06529220176</v>
      </c>
      <c r="R5" s="601">
        <f t="shared" si="4"/>
        <v>121571.26988660234</v>
      </c>
      <c r="S5" s="601">
        <f t="shared" ref="S5:T5" si="5">S3*S4</f>
        <v>121571.26988660234</v>
      </c>
      <c r="T5" s="601">
        <f t="shared" si="5"/>
        <v>121571.26988660234</v>
      </c>
      <c r="X5" s="599"/>
      <c r="Y5" s="602" t="e">
        <f>D20/D30-1</f>
        <v>#REF!</v>
      </c>
      <c r="Z5" s="599">
        <v>0.21</v>
      </c>
      <c r="AA5" s="599">
        <v>0.22</v>
      </c>
      <c r="AB5" s="599">
        <v>0.23</v>
      </c>
      <c r="AC5" s="599">
        <v>0.24</v>
      </c>
      <c r="AD5" s="599">
        <v>0.25</v>
      </c>
      <c r="AE5" s="599">
        <v>0.26</v>
      </c>
    </row>
    <row r="6" spans="1:32">
      <c r="A6" s="597"/>
      <c r="B6" s="378" t="str" cm="1">
        <f t="array" ref="B6">_xlfn.IFS(AND(F3&gt;0,F4=0),"ROIC/WACC "&amp;F3&amp;"M "&amp;G3&amp;" GSe",AND(F3&gt;0,F4&gt;0),"ROIC/WACC "&amp;F3&amp;"M "&amp;G3&amp;"/"&amp;F4&amp;"M "&amp;G4&amp;" GSe",AND(F3=0,F4&gt;0),"ROIC/WACC "&amp;F4&amp;"M "&amp;G4&amp;" GSe")</f>
        <v>ROIC/WACC 12M 2026 GSe</v>
      </c>
      <c r="C6" s="62"/>
      <c r="D6" s="63" t="e">
        <f>+D4/D5</f>
        <v>#REF!</v>
      </c>
      <c r="E6" s="597"/>
      <c r="F6" s="57" t="s">
        <v>1140</v>
      </c>
      <c r="G6" s="57"/>
      <c r="H6" s="597"/>
      <c r="I6" s="522" t="s">
        <v>750</v>
      </c>
      <c r="J6" s="601">
        <f t="shared" ref="J6:S6" si="6">J38</f>
        <v>95763.5213219289</v>
      </c>
      <c r="K6" s="601">
        <f t="shared" si="6"/>
        <v>94734.243365557573</v>
      </c>
      <c r="L6" s="601">
        <f t="shared" si="6"/>
        <v>94148.916915806651</v>
      </c>
      <c r="M6" s="601">
        <f t="shared" si="6"/>
        <v>91823.055315980309</v>
      </c>
      <c r="N6" s="601">
        <f t="shared" si="6"/>
        <v>91003.110112654787</v>
      </c>
      <c r="O6" s="601">
        <f t="shared" si="6"/>
        <v>130782.31122479211</v>
      </c>
      <c r="P6" s="601">
        <f t="shared" si="6"/>
        <v>128235.24899155794</v>
      </c>
      <c r="Q6" s="601">
        <f t="shared" si="6"/>
        <v>125278.98184857183</v>
      </c>
      <c r="R6" s="601">
        <f t="shared" si="6"/>
        <v>121858.6071785747</v>
      </c>
      <c r="S6" s="601">
        <f t="shared" si="6"/>
        <v>117921.48080856566</v>
      </c>
      <c r="T6" s="601">
        <f t="shared" ref="T6" si="7">T38</f>
        <v>113798.99417766073</v>
      </c>
      <c r="X6" s="599"/>
      <c r="Y6" s="599">
        <v>0.05</v>
      </c>
      <c r="Z6" s="603" t="e">
        <f t="dataTable" ref="Z6:AE13" dt2D="1" dtr="1" r1="D4" r2="D3" ca="1"/>
        <v>#REF!</v>
      </c>
      <c r="AA6" s="603" t="e">
        <v>#REF!</v>
      </c>
      <c r="AB6" s="604" t="e">
        <v>#REF!</v>
      </c>
      <c r="AC6" s="603" t="e">
        <v>#REF!</v>
      </c>
      <c r="AD6" s="603" t="e">
        <v>#REF!</v>
      </c>
      <c r="AE6" s="603" t="e">
        <v>#REF!</v>
      </c>
    </row>
    <row r="7" spans="1:32">
      <c r="B7" s="64"/>
      <c r="C7" s="65"/>
      <c r="D7" s="66"/>
      <c r="F7" s="133">
        <f>F3</f>
        <v>12</v>
      </c>
      <c r="G7" s="134">
        <f>G3-1</f>
        <v>2025</v>
      </c>
      <c r="I7" s="522" t="s">
        <v>621</v>
      </c>
      <c r="J7" s="601">
        <v>2792</v>
      </c>
      <c r="K7" s="601">
        <v>1544</v>
      </c>
      <c r="L7" s="601">
        <v>-14</v>
      </c>
      <c r="M7" s="601">
        <v>-374</v>
      </c>
      <c r="N7" s="601">
        <v>-1738</v>
      </c>
      <c r="O7" s="601">
        <f>-'DCF Feed'!B8</f>
        <v>-2263.351789321775</v>
      </c>
      <c r="P7" s="601">
        <f>-'DCF Feed'!C8</f>
        <v>-3593.394366591212</v>
      </c>
      <c r="Q7" s="601">
        <f>-'DCF Feed'!D8</f>
        <v>-5128.5417198403047</v>
      </c>
      <c r="R7" s="601">
        <f>-'DCF Feed'!E8</f>
        <v>-7063.3546011351882</v>
      </c>
      <c r="S7" s="601">
        <f>-'DCF Feed'!F8</f>
        <v>-10517.022431859103</v>
      </c>
      <c r="T7" s="601">
        <f>-'DCF Feed'!G8</f>
        <v>-14268.617563934884</v>
      </c>
      <c r="X7" s="605"/>
      <c r="Y7" s="599">
        <f>+Y6+0.001</f>
        <v>5.1000000000000004E-2</v>
      </c>
      <c r="Z7" s="603" t="e">
        <v>#REF!</v>
      </c>
      <c r="AA7" s="603" t="e">
        <v>#REF!</v>
      </c>
      <c r="AB7" s="604" t="e">
        <v>#REF!</v>
      </c>
      <c r="AC7" s="603" t="e">
        <v>#REF!</v>
      </c>
      <c r="AD7" s="603" t="e">
        <v>#REF!</v>
      </c>
      <c r="AE7" s="603" t="e">
        <v>#REF!</v>
      </c>
    </row>
    <row r="8" spans="1:32" ht="15.75" thickBot="1">
      <c r="A8" s="594"/>
      <c r="B8" s="379" t="str" cm="1">
        <f t="array" ref="B8">_xlfn.IFS(AND(F3&gt;0,F4=0),"Invested Capital "&amp;F3&amp;"M "&amp;G3&amp;" GSe",AND(F3&gt;0,F4&gt;0),"Invested Capital "&amp;F3&amp;"M "&amp;G3&amp;"/"&amp;F4&amp;"M "&amp;G4&amp;" GSe",AND(F3=0,F4&gt;0),"Invested Capital "&amp;F4&amp;"M "&amp;G4&amp;" GSe")</f>
        <v>Invested Capital 12M 2026 GSe</v>
      </c>
      <c r="C8" s="143"/>
      <c r="D8" s="144" t="e">
        <f>(INDEX(#REF!,MATCH(Multiples!G3,#REF!,0))*Multiples!F3+INDEX(#REF!,MATCH(Multiples!G4,#REF!,0))*Multiples!F4)/12</f>
        <v>#REF!</v>
      </c>
      <c r="E8" s="594"/>
      <c r="F8" s="135">
        <f>12-F7</f>
        <v>0</v>
      </c>
      <c r="G8" s="136">
        <f>G7+1</f>
        <v>2026</v>
      </c>
      <c r="H8" s="594"/>
      <c r="X8" s="605" t="s">
        <v>1198</v>
      </c>
      <c r="Y8" s="599">
        <f t="shared" ref="Y8:Y13" si="8">+Y7+0.001</f>
        <v>5.2000000000000005E-2</v>
      </c>
      <c r="Z8" s="603" t="e">
        <v>#REF!</v>
      </c>
      <c r="AA8" s="603" t="e">
        <v>#REF!</v>
      </c>
      <c r="AB8" s="604" t="e">
        <v>#REF!</v>
      </c>
      <c r="AC8" s="603" t="e">
        <v>#REF!</v>
      </c>
      <c r="AD8" s="603" t="e">
        <v>#REF!</v>
      </c>
      <c r="AE8" s="603" t="e">
        <v>#REF!</v>
      </c>
      <c r="AF8" s="606" t="s">
        <v>1319</v>
      </c>
    </row>
    <row r="9" spans="1:32" ht="15" thickBot="1">
      <c r="A9" s="597"/>
      <c r="B9" s="68" t="s">
        <v>1141</v>
      </c>
      <c r="D9" s="142" t="e">
        <f>+(D10/D8)/D6</f>
        <v>#REF!</v>
      </c>
      <c r="E9" s="597"/>
      <c r="F9" s="597"/>
      <c r="G9" s="597"/>
      <c r="H9" s="597"/>
      <c r="I9" s="522" t="s">
        <v>757</v>
      </c>
      <c r="J9" s="598">
        <f>'Income Statement'!V9</f>
        <v>16498</v>
      </c>
      <c r="K9" s="598">
        <f>'Income Statement'!W9</f>
        <v>15257</v>
      </c>
      <c r="L9" s="598">
        <f>'Income Statement'!X9</f>
        <v>19035</v>
      </c>
      <c r="M9" s="598">
        <f>'Income Statement'!Y9</f>
        <v>23199</v>
      </c>
      <c r="N9" s="598">
        <f>'Income Statement'!Z9</f>
        <v>27317</v>
      </c>
      <c r="O9" s="598">
        <f>'Income Statement'!AA9</f>
        <v>31556.568615283002</v>
      </c>
      <c r="P9" s="598">
        <f>'Income Statement'!AB9</f>
        <v>35653.731777547211</v>
      </c>
      <c r="Q9" s="598">
        <f>'Income Statement'!AC9</f>
        <v>39232.543288947665</v>
      </c>
      <c r="R9" s="598">
        <f>'Income Statement'!AD9</f>
        <v>42282.092826476444</v>
      </c>
      <c r="S9" s="598">
        <f>'Income Statement'!AE9</f>
        <v>44620.650972750256</v>
      </c>
      <c r="T9" s="598">
        <f>'Income Statement'!AF9</f>
        <v>46787.066610790876</v>
      </c>
      <c r="V9" s="522" t="s">
        <v>300</v>
      </c>
      <c r="X9" s="605" t="s">
        <v>747</v>
      </c>
      <c r="Y9" s="599">
        <f t="shared" si="8"/>
        <v>5.3000000000000005E-2</v>
      </c>
      <c r="Z9" s="603" t="e">
        <v>#REF!</v>
      </c>
      <c r="AA9" s="603" t="e">
        <v>#REF!</v>
      </c>
      <c r="AB9" s="604" t="e">
        <v>#REF!</v>
      </c>
      <c r="AC9" s="603" t="e">
        <v>#REF!</v>
      </c>
      <c r="AD9" s="607" t="e">
        <v>#REF!</v>
      </c>
      <c r="AE9" s="603" t="e">
        <v>#REF!</v>
      </c>
    </row>
    <row r="10" spans="1:32">
      <c r="A10" s="597"/>
      <c r="B10" s="129" t="s">
        <v>1142</v>
      </c>
      <c r="C10" s="129"/>
      <c r="D10" s="917" t="e">
        <f>+(D4-D3)/(D5-D3)*D8</f>
        <v>#REF!</v>
      </c>
      <c r="E10" s="608"/>
      <c r="F10" s="597"/>
      <c r="G10" s="597"/>
      <c r="H10" s="597"/>
      <c r="I10" s="522" t="s">
        <v>1678</v>
      </c>
      <c r="J10" s="598">
        <f>'Income Statement'!V193</f>
        <v>3133</v>
      </c>
      <c r="K10" s="598">
        <f>'Income Statement'!W193</f>
        <v>3185</v>
      </c>
      <c r="L10" s="598">
        <f>'Income Statement'!X193</f>
        <v>3781</v>
      </c>
      <c r="M10" s="598">
        <f>'Income Statement'!Y193</f>
        <v>4502</v>
      </c>
      <c r="N10" s="598">
        <f>'Income Statement'!Z193</f>
        <v>5525</v>
      </c>
      <c r="O10" s="598">
        <f>'Income Statement'!AA193</f>
        <v>6817.9217981966813</v>
      </c>
      <c r="P10" s="598">
        <f>'Income Statement'!AB193</f>
        <v>8022.2347485056607</v>
      </c>
      <c r="Q10" s="598">
        <f>'Income Statement'!AC193</f>
        <v>8969.0233108914472</v>
      </c>
      <c r="R10" s="598">
        <f>'Income Statement'!AD193</f>
        <v>9846.2292422060036</v>
      </c>
      <c r="S10" s="598">
        <f>'Income Statement'!AE193</f>
        <v>10498.094068669641</v>
      </c>
      <c r="T10" s="598">
        <f>'Income Statement'!AF193</f>
        <v>11159.044834786295</v>
      </c>
      <c r="V10" s="522" t="s">
        <v>307</v>
      </c>
      <c r="X10" s="605"/>
      <c r="Y10" s="599">
        <f t="shared" si="8"/>
        <v>5.4000000000000006E-2</v>
      </c>
      <c r="Z10" s="603" t="e">
        <v>#REF!</v>
      </c>
      <c r="AA10" s="603" t="e">
        <v>#REF!</v>
      </c>
      <c r="AB10" s="604" t="e">
        <v>#REF!</v>
      </c>
      <c r="AC10" s="603" t="e">
        <v>#REF!</v>
      </c>
      <c r="AD10" s="603" t="e">
        <v>#REF!</v>
      </c>
      <c r="AE10" s="603" t="e">
        <v>#REF!</v>
      </c>
    </row>
    <row r="11" spans="1:32">
      <c r="A11" s="597"/>
      <c r="D11" s="75"/>
      <c r="E11" s="597"/>
      <c r="F11" s="597"/>
      <c r="G11" s="597"/>
      <c r="H11" s="763">
        <f>(R11/N11)^(0.25)-1</f>
        <v>0.16939628633641401</v>
      </c>
      <c r="I11" s="522" t="s">
        <v>1421</v>
      </c>
      <c r="J11" s="598">
        <f>'Income Statement'!V23</f>
        <v>1686</v>
      </c>
      <c r="K11" s="598">
        <f>'Income Statement'!W23</f>
        <v>1805</v>
      </c>
      <c r="L11" s="598">
        <f>'Income Statement'!X23</f>
        <v>2408</v>
      </c>
      <c r="M11" s="598">
        <f>'Income Statement'!Y23</f>
        <v>3166</v>
      </c>
      <c r="N11" s="598">
        <f>'Income Statement'!Z23</f>
        <v>4119</v>
      </c>
      <c r="O11" s="598">
        <f>'Income Statement'!AA23</f>
        <v>5217.0942807667525</v>
      </c>
      <c r="P11" s="598">
        <f>'Income Statement'!AB23</f>
        <v>6143.3637864191269</v>
      </c>
      <c r="Q11" s="598">
        <f>'Income Statement'!AC23</f>
        <v>6980.0221694088314</v>
      </c>
      <c r="R11" s="598">
        <f>'Income Statement'!AD23</f>
        <v>7702.6228418575611</v>
      </c>
      <c r="S11" s="598">
        <f>'Income Statement'!AE23</f>
        <v>8235.9280636556377</v>
      </c>
      <c r="T11" s="598">
        <f>'Income Statement'!AF23</f>
        <v>8787.0464606278038</v>
      </c>
      <c r="V11" s="522" t="s">
        <v>302</v>
      </c>
      <c r="X11" s="605"/>
      <c r="Y11" s="599">
        <f t="shared" si="8"/>
        <v>5.5000000000000007E-2</v>
      </c>
      <c r="Z11" s="604" t="e">
        <v>#REF!</v>
      </c>
      <c r="AA11" s="604" t="e">
        <v>#REF!</v>
      </c>
      <c r="AB11" s="604" t="e">
        <v>#REF!</v>
      </c>
      <c r="AC11" s="604" t="e">
        <v>#REF!</v>
      </c>
      <c r="AD11" s="604" t="e">
        <v>#REF!</v>
      </c>
      <c r="AE11" s="604" t="e">
        <v>#REF!</v>
      </c>
    </row>
    <row r="12" spans="1:32">
      <c r="A12" s="609"/>
      <c r="B12" s="68" t="str" cm="1">
        <f t="array" ref="B12">_xlfn.IFS(AND(F7&gt;0,F8=0),"Net debt (cash) "&amp;F7&amp;"M "&amp;G7&amp;" GSe",AND(F7&gt;0,F8&gt;0),"Net debt (cash) "&amp;F7&amp;"M "&amp;G7&amp;"/"&amp;F8&amp;"M "&amp;G8&amp;" GSe",AND(F7=0,F8&gt;0),"Net debt (cash) "&amp;F8&amp;"M "&amp;G8&amp;" GSe")</f>
        <v>Net debt (cash) 12M 2025 GSe</v>
      </c>
      <c r="D12" s="75">
        <f>(INDEX($L$27:$S$27,MATCH(Multiples!G7,$L$2:$S$2,0))*Multiples!F7+INDEX($L$27:$S$27,MATCH(Multiples!G8,$L$2:$S$2,0))*Multiples!F8)/12</f>
        <v>-2263.351789321775</v>
      </c>
      <c r="E12" s="597"/>
      <c r="F12" s="597"/>
      <c r="G12" s="597"/>
      <c r="H12" s="763">
        <f>(R12/N12)^(0.25)-1</f>
        <v>0.18384757034405719</v>
      </c>
      <c r="I12" s="522" t="s">
        <v>272</v>
      </c>
      <c r="J12" s="610">
        <f>'Income Statement'!V104</f>
        <v>1.9834017114789799</v>
      </c>
      <c r="K12" s="610">
        <f>'Income Statement'!W104</f>
        <v>1.7789739691458177</v>
      </c>
      <c r="L12" s="610">
        <f>'Income Statement'!X104</f>
        <v>2.760846972259162</v>
      </c>
      <c r="M12" s="610">
        <f>'Income Statement'!Y104</f>
        <v>4.8564430178198279</v>
      </c>
      <c r="N12" s="610">
        <f>'Income Statement'!Z104</f>
        <v>7.3747530124568437</v>
      </c>
      <c r="O12" s="610">
        <f>'Income Statement'!AA104</f>
        <v>8.5516240573697857</v>
      </c>
      <c r="P12" s="610">
        <f>'Income Statement'!AB104</f>
        <v>11.261879118882948</v>
      </c>
      <c r="Q12" s="610">
        <f>'Income Statement'!AC104</f>
        <v>12.953693258987919</v>
      </c>
      <c r="R12" s="610">
        <f>'Income Statement'!AD104</f>
        <v>14.485404546340749</v>
      </c>
      <c r="S12" s="610">
        <f>'Income Statement'!AE104</f>
        <v>15.525571687854178</v>
      </c>
      <c r="T12" s="610">
        <f>'Income Statement'!AF104</f>
        <v>16.634187113713171</v>
      </c>
      <c r="V12" s="522" t="s">
        <v>306</v>
      </c>
      <c r="X12" s="599"/>
      <c r="Y12" s="599">
        <f t="shared" si="8"/>
        <v>5.6000000000000008E-2</v>
      </c>
      <c r="Z12" s="603" t="e">
        <v>#REF!</v>
      </c>
      <c r="AA12" s="603" t="e">
        <v>#REF!</v>
      </c>
      <c r="AB12" s="604" t="e">
        <v>#REF!</v>
      </c>
      <c r="AC12" s="604" t="e">
        <v>#REF!</v>
      </c>
      <c r="AD12" s="604" t="e">
        <v>#REF!</v>
      </c>
      <c r="AE12" s="604" t="e">
        <v>#REF!</v>
      </c>
    </row>
    <row r="13" spans="1:32">
      <c r="A13" s="609"/>
      <c r="B13" s="69" t="str" cm="1">
        <f t="array" ref="B13">_xlfn.IFS(AND(F7&gt;0,F8=0),"Pension liabilities "&amp;F7&amp;"M "&amp;G7&amp;" GSe",AND(F7&gt;0,F8&gt;0),"Pension liabilities "&amp;F7&amp;"M "&amp;G7&amp;"/"&amp;F8&amp;"M "&amp;G8&amp;" GSe",AND(F7=0,F8&gt;0),"Pension liabilities "&amp;F8&amp;"M "&amp;G8&amp;" GSe")</f>
        <v>Pension liabilities 12M 2025 GSe</v>
      </c>
      <c r="D13" s="75">
        <f>(INDEX($L$28:$S$28,MATCH(Multiples!G7,$L$2:$S$2,0))*Multiples!F7+INDEX($L$28:$S$28,MATCH(Multiples!G8,$L$2:$S$2,0))*Multiples!F8)/12</f>
        <v>-23</v>
      </c>
      <c r="E13" s="597"/>
      <c r="F13" s="597"/>
      <c r="G13" s="597"/>
      <c r="H13" s="597"/>
      <c r="I13" s="522" t="s">
        <v>267</v>
      </c>
      <c r="J13" s="610">
        <f>'Income Statement'!V109</f>
        <v>0.43</v>
      </c>
      <c r="K13" s="610">
        <f>'Income Statement'!W109</f>
        <v>0.5</v>
      </c>
      <c r="L13" s="610">
        <f>'Income Statement'!X109</f>
        <v>1.35</v>
      </c>
      <c r="M13" s="610">
        <f>'Income Statement'!Y109</f>
        <v>2.2000000000000002</v>
      </c>
      <c r="N13" s="610">
        <f>'Income Statement'!Z109</f>
        <v>2.9</v>
      </c>
      <c r="O13" s="610">
        <f>'Income Statement'!AA109</f>
        <v>3.4206496229479146</v>
      </c>
      <c r="P13" s="610">
        <f>'Income Statement'!AB109</f>
        <v>4.448442251958765</v>
      </c>
      <c r="Q13" s="610">
        <f>'Income Statement'!AC109</f>
        <v>5.1167088373002283</v>
      </c>
      <c r="R13" s="610">
        <f>'Income Statement'!AD109</f>
        <v>5.7217347958045961</v>
      </c>
      <c r="S13" s="610">
        <f>'Income Statement'!AE109</f>
        <v>6.1326008167024009</v>
      </c>
      <c r="T13" s="610">
        <f>'Income Statement'!AF109</f>
        <v>6.5705039099167033</v>
      </c>
      <c r="V13" s="522" t="s">
        <v>308</v>
      </c>
      <c r="X13" s="599"/>
      <c r="Y13" s="599">
        <f t="shared" si="8"/>
        <v>5.7000000000000009E-2</v>
      </c>
      <c r="Z13" s="603" t="e">
        <v>#REF!</v>
      </c>
      <c r="AA13" s="603" t="e">
        <v>#REF!</v>
      </c>
      <c r="AB13" s="604" t="e">
        <v>#REF!</v>
      </c>
      <c r="AC13" s="604" t="e">
        <v>#REF!</v>
      </c>
      <c r="AD13" s="604" t="e">
        <v>#REF!</v>
      </c>
      <c r="AE13" s="604" t="e">
        <v>#REF!</v>
      </c>
    </row>
    <row r="14" spans="1:32">
      <c r="A14" s="609"/>
      <c r="B14" s="69" t="str" cm="1">
        <f t="array" ref="B14">_xlfn.IFS(AND(F7&gt;0,F8=0),"Minority interests "&amp;F7&amp;"M "&amp;G7&amp;" GSe",AND(F7&gt;0,F8&gt;0),"Minority interests "&amp;F7&amp;"M "&amp;G7&amp;"/"&amp;F8&amp;"M "&amp;G8&amp;" GSe",AND(F7=0,F8&gt;0),"Minority interests "&amp;F8&amp;"M "&amp;G8&amp;" GSe")</f>
        <v>Minority interests 12M 2025 GSe</v>
      </c>
      <c r="D14" s="75">
        <f>(INDEX($L$29:$S$29,MATCH(Multiples!G7,$L$2:$S$2,0))*Multiples!F7+INDEX($L$29:$S$29,MATCH(Multiples!G8,$L$2:$S$2,0))*Multiples!F8)/12</f>
        <v>7388.0069107132922</v>
      </c>
      <c r="E14" s="597"/>
      <c r="F14" s="611"/>
      <c r="G14" s="597"/>
      <c r="H14" s="597"/>
      <c r="I14" s="522" t="s">
        <v>901</v>
      </c>
      <c r="J14" s="598">
        <f>'Cashflow Statement'!V57</f>
        <v>1073</v>
      </c>
      <c r="K14" s="598">
        <f>'Cashflow Statement'!W57</f>
        <v>1680</v>
      </c>
      <c r="L14" s="598">
        <f>'Cashflow Statement'!X57</f>
        <v>2666</v>
      </c>
      <c r="M14" s="598">
        <f>'Cashflow Statement'!Y57</f>
        <v>2945</v>
      </c>
      <c r="N14" s="598">
        <f>'Cashflow Statement'!Z57</f>
        <v>3189</v>
      </c>
      <c r="O14" s="598">
        <f>'Cashflow Statement'!AA57</f>
        <v>3613.1854263217751</v>
      </c>
      <c r="P14" s="598">
        <f>'Cashflow Statement'!AB57</f>
        <v>4332.1968154349925</v>
      </c>
      <c r="Q14" s="598">
        <f>'Cashflow Statement'!AC57</f>
        <v>4940.4466821238366</v>
      </c>
      <c r="R14" s="598">
        <f>'Cashflow Statement'!AD57</f>
        <v>5589.2571500394397</v>
      </c>
      <c r="S14" s="598">
        <f>'Cashflow Statement'!AE57</f>
        <v>6076.0778047832791</v>
      </c>
      <c r="T14" s="598">
        <f>'Cashflow Statement'!AF57</f>
        <v>6537.6130455842185</v>
      </c>
      <c r="X14" s="598"/>
      <c r="AA14" s="612"/>
    </row>
    <row r="15" spans="1:32">
      <c r="A15" s="613"/>
      <c r="B15" s="69" t="str" cm="1">
        <f t="array" ref="B15">_xlfn.IFS(AND(F7&gt;0,F8=0),"Other EV adj. "&amp;F7&amp;"M "&amp;G7&amp;" GSe",AND(F7&gt;0,F8&gt;0),"Other EV adj. "&amp;F7&amp;"M "&amp;G7&amp;"/"&amp;F8&amp;"M "&amp;G8&amp;" GSe",AND(F7=0,F8&gt;0),"Other EV adj. "&amp;F8&amp;"M "&amp;G8&amp;" GSe")</f>
        <v>Other EV adj. 12M 2025 GSe</v>
      </c>
      <c r="D15" s="75">
        <f>(INDEX($L$30:$S$30,MATCH(Multiples!G7,$L$2:$S$2,0))*Multiples!F7+INDEX($L$30:$S$30,MATCH(Multiples!G8,$L$2:$S$2,0))*Multiples!F8)/12</f>
        <v>-3210</v>
      </c>
      <c r="F15" s="764" t="s">
        <v>1423</v>
      </c>
      <c r="G15" s="766">
        <v>0.02</v>
      </c>
      <c r="I15" s="522" t="s">
        <v>1087</v>
      </c>
      <c r="J15" s="529">
        <f>J14/J4</f>
        <v>2.5185680904342549</v>
      </c>
      <c r="K15" s="529">
        <f t="shared" ref="K15:P15" si="9">K14/K4</f>
        <v>3.9376498921804663</v>
      </c>
      <c r="L15" s="529">
        <f t="shared" si="9"/>
        <v>6.2482326214286301</v>
      </c>
      <c r="M15" s="529">
        <f t="shared" si="9"/>
        <v>7.0489032466630821</v>
      </c>
      <c r="N15" s="529">
        <f t="shared" si="9"/>
        <v>7.6631109015069647</v>
      </c>
      <c r="O15" s="529">
        <f t="shared" si="9"/>
        <v>8.7770508593501102</v>
      </c>
      <c r="P15" s="529">
        <f t="shared" si="9"/>
        <v>10.639614916411707</v>
      </c>
      <c r="Q15" s="529">
        <f t="shared" ref="Q15:R15" si="10">Q14/Q4</f>
        <v>12.268629432057486</v>
      </c>
      <c r="R15" s="529">
        <f t="shared" si="10"/>
        <v>14.036212745813337</v>
      </c>
      <c r="S15" s="529">
        <f t="shared" ref="S15:T15" si="11">S14/S4</f>
        <v>15.258757727303848</v>
      </c>
      <c r="T15" s="529">
        <f t="shared" si="11"/>
        <v>16.417803850190943</v>
      </c>
      <c r="X15" s="598"/>
    </row>
    <row r="16" spans="1:32">
      <c r="B16" s="916" t="str" cm="1">
        <f t="array" ref="B16">_xlfn.IFS(AND(F7&gt;0,F8=0),"EV Adjustments "&amp;F7&amp;"M "&amp;G7&amp;" GSe",AND(F7&gt;0,F8&gt;0),"EV Adjustments "&amp;F7&amp;"M "&amp;G7&amp;"/"&amp;F8&amp;"M "&amp;G8&amp;" GSe",AND(F7=0,F8&gt;0),"EV Adjustments "&amp;F8&amp;"M "&amp;G8&amp;" GSe")</f>
        <v>EV Adjustments 12M 2025 GSe</v>
      </c>
      <c r="C16" s="67"/>
      <c r="D16" s="917">
        <f>SUM(D12:D15)</f>
        <v>1891.6551213915172</v>
      </c>
      <c r="F16" s="764" t="s">
        <v>1424</v>
      </c>
      <c r="G16" s="766">
        <v>2.5000000000000001E-2</v>
      </c>
    </row>
    <row r="17" spans="1:32">
      <c r="F17" s="764" t="s">
        <v>272</v>
      </c>
      <c r="G17" s="766">
        <v>0.15</v>
      </c>
      <c r="I17" s="522" t="s">
        <v>1088</v>
      </c>
      <c r="J17" s="614">
        <f t="shared" ref="J17:P17" si="12">J3/J12</f>
        <v>106.63497907455621</v>
      </c>
      <c r="K17" s="614">
        <f t="shared" si="12"/>
        <v>118.88875479249012</v>
      </c>
      <c r="L17" s="614">
        <f t="shared" si="12"/>
        <v>76.60692610823429</v>
      </c>
      <c r="M17" s="614">
        <f t="shared" si="12"/>
        <v>43.550392586495818</v>
      </c>
      <c r="N17" s="614">
        <f t="shared" si="12"/>
        <v>28.678926554252204</v>
      </c>
      <c r="O17" s="614">
        <f t="shared" si="12"/>
        <v>35.700821031403109</v>
      </c>
      <c r="P17" s="614">
        <f t="shared" si="12"/>
        <v>27.109152635824273</v>
      </c>
      <c r="Q17" s="614">
        <f t="shared" ref="Q17:R17" si="13">Q3/Q12</f>
        <v>23.568567967144631</v>
      </c>
      <c r="R17" s="614">
        <f t="shared" si="13"/>
        <v>21.076387547431239</v>
      </c>
      <c r="S17" s="614">
        <f t="shared" ref="S17:T17" si="14">S3/S12</f>
        <v>19.66433224734903</v>
      </c>
      <c r="T17" s="614">
        <f t="shared" si="14"/>
        <v>18.353767329472426</v>
      </c>
    </row>
    <row r="18" spans="1:32" ht="15.75" thickBot="1">
      <c r="B18" s="70" t="s">
        <v>1143</v>
      </c>
      <c r="C18" s="71"/>
      <c r="D18" s="918" t="e">
        <f>+D10-D16</f>
        <v>#REF!</v>
      </c>
      <c r="F18" s="765" t="s">
        <v>1425</v>
      </c>
      <c r="G18" s="767">
        <f>SUM(G15:G17)</f>
        <v>0.19500000000000001</v>
      </c>
      <c r="I18" s="522" t="s">
        <v>1090</v>
      </c>
      <c r="J18" s="615">
        <f>J15/J3</f>
        <v>1.190812335902721E-2</v>
      </c>
      <c r="K18" s="615">
        <f t="shared" ref="K18:P18" si="15">K15/K3</f>
        <v>1.8617729986668871E-2</v>
      </c>
      <c r="L18" s="615">
        <f>L15/L3</f>
        <v>2.9542471023303214E-2</v>
      </c>
      <c r="M18" s="615">
        <f t="shared" si="15"/>
        <v>3.3328147738359723E-2</v>
      </c>
      <c r="N18" s="615">
        <f t="shared" si="15"/>
        <v>3.6232202844004559E-2</v>
      </c>
      <c r="O18" s="615">
        <f t="shared" si="15"/>
        <v>2.8748938288077661E-2</v>
      </c>
      <c r="P18" s="615">
        <f t="shared" si="15"/>
        <v>3.4849704934201461E-2</v>
      </c>
      <c r="Q18" s="615">
        <f t="shared" ref="Q18:R18" si="16">Q15/Q3</f>
        <v>4.0185487822002902E-2</v>
      </c>
      <c r="R18" s="615">
        <f t="shared" si="16"/>
        <v>4.5975148201157341E-2</v>
      </c>
      <c r="S18" s="615">
        <f t="shared" ref="S18:T18" si="17">S15/S3</f>
        <v>4.9979553643314273E-2</v>
      </c>
      <c r="T18" s="615">
        <f t="shared" si="17"/>
        <v>5.3775970685197974E-2</v>
      </c>
      <c r="X18" s="596" t="s">
        <v>1200</v>
      </c>
      <c r="Y18" s="596"/>
      <c r="Z18" s="596"/>
      <c r="AA18" s="596"/>
      <c r="AB18" s="596"/>
      <c r="AC18" s="596"/>
      <c r="AD18" s="596"/>
      <c r="AE18" s="596"/>
    </row>
    <row r="19" spans="1:32">
      <c r="B19" s="58" t="s">
        <v>1144</v>
      </c>
      <c r="D19" s="75" t="e">
        <f>(INDEX(#REF!,MATCH(Multiples!G3,#REF!,0))*Multiples!F3+INDEX(#REF!,MATCH(Multiples!G4,#REF!,0))*Multiples!F4)/12/1000</f>
        <v>#REF!</v>
      </c>
      <c r="E19" s="616"/>
      <c r="I19" s="522" t="s">
        <v>871</v>
      </c>
      <c r="J19" s="615">
        <f>J13/J3</f>
        <v>2.0330969267139481E-3</v>
      </c>
      <c r="K19" s="615">
        <f t="shared" ref="K19:P19" si="18">K13/K3</f>
        <v>2.3640661938534278E-3</v>
      </c>
      <c r="L19" s="615">
        <f t="shared" si="18"/>
        <v>6.3829787234042559E-3</v>
      </c>
      <c r="M19" s="615">
        <f t="shared" si="18"/>
        <v>1.0401891252955084E-2</v>
      </c>
      <c r="N19" s="615">
        <f t="shared" si="18"/>
        <v>1.3711583924349881E-2</v>
      </c>
      <c r="O19" s="615">
        <f t="shared" si="18"/>
        <v>1.1204224117091105E-2</v>
      </c>
      <c r="P19" s="615">
        <f t="shared" si="18"/>
        <v>1.4570724703435194E-2</v>
      </c>
      <c r="Q19" s="615">
        <f t="shared" ref="Q19:R19" si="19">Q13/Q3</f>
        <v>1.6759609686538578E-2</v>
      </c>
      <c r="R19" s="615">
        <f t="shared" si="19"/>
        <v>1.8741352098934148E-2</v>
      </c>
      <c r="S19" s="615">
        <f t="shared" ref="S19:T19" si="20">S13/S3</f>
        <v>2.0087130090738294E-2</v>
      </c>
      <c r="T19" s="615">
        <f t="shared" si="20"/>
        <v>2.1521467114040953E-2</v>
      </c>
      <c r="X19" s="599"/>
      <c r="Y19" s="599"/>
      <c r="Z19" s="599"/>
      <c r="AA19" s="600" t="s">
        <v>1199</v>
      </c>
      <c r="AB19" s="600"/>
      <c r="AC19" s="600"/>
      <c r="AD19" s="600"/>
      <c r="AE19" s="599"/>
    </row>
    <row r="20" spans="1:32">
      <c r="B20" s="140" t="s">
        <v>1153</v>
      </c>
      <c r="C20" s="140"/>
      <c r="D20" s="140" t="e">
        <f>ROUND(D18/D19,0)</f>
        <v>#REF!</v>
      </c>
      <c r="I20" s="522" t="s">
        <v>1089</v>
      </c>
      <c r="J20" s="614">
        <f t="shared" ref="J20:P20" si="21">J6/J9</f>
        <v>5.8045533593119707</v>
      </c>
      <c r="K20" s="614">
        <f t="shared" si="21"/>
        <v>6.2092313931675669</v>
      </c>
      <c r="L20" s="614">
        <f t="shared" si="21"/>
        <v>4.9460949259683034</v>
      </c>
      <c r="M20" s="614">
        <f t="shared" si="21"/>
        <v>3.9580609214181779</v>
      </c>
      <c r="N20" s="614">
        <f t="shared" si="21"/>
        <v>3.3313727756581906</v>
      </c>
      <c r="O20" s="614">
        <f t="shared" si="21"/>
        <v>4.1443768116617594</v>
      </c>
      <c r="P20" s="614">
        <f t="shared" si="21"/>
        <v>3.5966851882897024</v>
      </c>
      <c r="Q20" s="614">
        <f t="shared" ref="Q20:R20" si="22">Q6/Q9</f>
        <v>3.1932414099665212</v>
      </c>
      <c r="R20" s="614">
        <f t="shared" si="22"/>
        <v>2.8820382112748351</v>
      </c>
      <c r="S20" s="614">
        <f t="shared" ref="S20:T20" si="23">S6/S9</f>
        <v>2.642755724935077</v>
      </c>
      <c r="T20" s="614">
        <f t="shared" si="23"/>
        <v>2.4322746096549333</v>
      </c>
      <c r="X20" s="599"/>
      <c r="Y20" s="602" t="e">
        <f>D20/D30-1</f>
        <v>#REF!</v>
      </c>
      <c r="Z20" s="599">
        <v>7.4999999999999997E-2</v>
      </c>
      <c r="AA20" s="599">
        <v>0.08</v>
      </c>
      <c r="AB20" s="599">
        <v>8.5000000000000006E-2</v>
      </c>
      <c r="AC20" s="599">
        <v>0.09</v>
      </c>
      <c r="AD20" s="599">
        <v>9.5000000000000001E-2</v>
      </c>
      <c r="AE20" s="599">
        <v>0.1</v>
      </c>
    </row>
    <row r="21" spans="1:32" ht="15" thickBot="1">
      <c r="A21" s="597"/>
      <c r="B21" s="585"/>
      <c r="C21" s="585"/>
      <c r="D21" s="585"/>
      <c r="E21" s="597"/>
      <c r="F21" s="611"/>
      <c r="G21" s="597"/>
      <c r="H21" s="597"/>
      <c r="I21" s="522" t="s">
        <v>1510</v>
      </c>
      <c r="J21" s="614">
        <f>J6/J11</f>
        <v>56.799241590705158</v>
      </c>
      <c r="K21" s="614">
        <f t="shared" ref="K21:S21" si="24">K6/K11</f>
        <v>52.484345354879544</v>
      </c>
      <c r="L21" s="614">
        <f t="shared" si="24"/>
        <v>39.098387423507745</v>
      </c>
      <c r="M21" s="614">
        <f t="shared" si="24"/>
        <v>29.002860175609701</v>
      </c>
      <c r="N21" s="614">
        <f t="shared" si="24"/>
        <v>22.093496021523375</v>
      </c>
      <c r="O21" s="614">
        <f t="shared" si="24"/>
        <v>25.068036762711355</v>
      </c>
      <c r="P21" s="614">
        <f t="shared" si="24"/>
        <v>20.873784045646481</v>
      </c>
      <c r="Q21" s="614">
        <f t="shared" si="24"/>
        <v>17.948221195862228</v>
      </c>
      <c r="R21" s="614">
        <f t="shared" si="24"/>
        <v>15.820404254557443</v>
      </c>
      <c r="S21" s="614">
        <f t="shared" si="24"/>
        <v>14.317934772760081</v>
      </c>
      <c r="T21" s="614">
        <f t="shared" ref="T21" si="25">T6/T11</f>
        <v>12.95076732410155</v>
      </c>
      <c r="X21" s="599"/>
      <c r="Y21" s="599">
        <v>0.05</v>
      </c>
      <c r="Z21" s="603" t="e">
        <f t="dataTable" ref="Z21:AE28" dt2D="1" dtr="1" r1="D5" r2="D3" ca="1"/>
        <v>#REF!</v>
      </c>
      <c r="AA21" s="603" t="e">
        <v>#REF!</v>
      </c>
      <c r="AB21" s="603" t="e">
        <v>#REF!</v>
      </c>
      <c r="AC21" s="604" t="e">
        <v>#REF!</v>
      </c>
      <c r="AD21" s="603" t="e">
        <v>#REF!</v>
      </c>
      <c r="AE21" s="603" t="e">
        <v>#REF!</v>
      </c>
    </row>
    <row r="22" spans="1:32" ht="15" thickBot="1">
      <c r="A22" s="617"/>
      <c r="B22" s="618" t="str" cm="1">
        <f t="array" ref="B22">_xlfn.IFS(AND(F3&gt;0,F4=0),"EBIT "&amp;F3&amp;"M "&amp;G3&amp;" GSe",AND(F3&gt;0,F4&gt;0),"EBIT "&amp;F3&amp;"M "&amp;G3&amp;"/"&amp;F4&amp;"M "&amp;G4&amp;" GSe",AND(F3=0,F4&gt;0),"EBIT "&amp;F4&amp;"M "&amp;G4&amp;" GSe")</f>
        <v>EBIT 12M 2026 GSe</v>
      </c>
      <c r="D22" s="75">
        <f>(INDEX($L$11:$S$11,MATCH(Multiples!G3,$L$2:$S$2,0))*Multiples!F3+INDEX($L$11:$S$11,MATCH(Multiples!G4,$L$2:$S$2,0))*Multiples!F4)/12</f>
        <v>6143.3637864191269</v>
      </c>
      <c r="E22" s="617"/>
      <c r="F22" s="617"/>
      <c r="G22" s="617"/>
      <c r="H22" s="617"/>
      <c r="I22" s="522" t="s">
        <v>1118</v>
      </c>
      <c r="J22" s="614">
        <f t="shared" ref="J22:S22" si="26">J6/J10</f>
        <v>30.566077664196904</v>
      </c>
      <c r="K22" s="614">
        <f t="shared" si="26"/>
        <v>29.743875467992957</v>
      </c>
      <c r="L22" s="614">
        <f t="shared" si="26"/>
        <v>24.90053343448999</v>
      </c>
      <c r="M22" s="614">
        <f t="shared" si="26"/>
        <v>20.396058488667329</v>
      </c>
      <c r="N22" s="614">
        <f t="shared" si="26"/>
        <v>16.471151151611725</v>
      </c>
      <c r="O22" s="614">
        <f t="shared" si="26"/>
        <v>19.182137181359813</v>
      </c>
      <c r="P22" s="614">
        <f t="shared" si="26"/>
        <v>15.984978377184103</v>
      </c>
      <c r="Q22" s="614">
        <f t="shared" si="26"/>
        <v>13.967962564713206</v>
      </c>
      <c r="R22" s="614">
        <f t="shared" si="26"/>
        <v>12.376170022146756</v>
      </c>
      <c r="S22" s="614">
        <f t="shared" si="26"/>
        <v>11.232656140935982</v>
      </c>
      <c r="T22" s="614">
        <f t="shared" ref="T22" si="27">T6/T10</f>
        <v>10.197915311076898</v>
      </c>
      <c r="X22" s="605"/>
      <c r="Y22" s="599">
        <v>5.0599999999999999E-2</v>
      </c>
      <c r="Z22" s="603" t="e">
        <v>#REF!</v>
      </c>
      <c r="AA22" s="603" t="e">
        <v>#REF!</v>
      </c>
      <c r="AB22" s="603" t="e">
        <v>#REF!</v>
      </c>
      <c r="AC22" s="607" t="e">
        <v>#REF!</v>
      </c>
      <c r="AD22" s="619" t="e">
        <v>#REF!</v>
      </c>
      <c r="AE22" s="620" t="e">
        <v>#REF!</v>
      </c>
      <c r="AF22" s="606" t="s">
        <v>1202</v>
      </c>
    </row>
    <row r="23" spans="1:32" ht="15">
      <c r="A23" s="621"/>
      <c r="B23" s="72" t="s">
        <v>1154</v>
      </c>
      <c r="C23" s="73"/>
      <c r="D23" s="74" t="e">
        <f>D10/D22</f>
        <v>#REF!</v>
      </c>
      <c r="E23" s="621"/>
      <c r="F23" s="621"/>
      <c r="G23" s="621"/>
      <c r="H23" s="621"/>
      <c r="I23" s="522" t="s">
        <v>1119</v>
      </c>
      <c r="J23" s="614">
        <f>J45/J10</f>
        <v>0</v>
      </c>
      <c r="K23" s="614">
        <f t="shared" ref="K23:S23" si="28">K27/K10</f>
        <v>0.48477237048665622</v>
      </c>
      <c r="L23" s="614">
        <f t="shared" si="28"/>
        <v>-3.7027241470510446E-3</v>
      </c>
      <c r="M23" s="614">
        <f t="shared" si="28"/>
        <v>-8.3074189249222566E-2</v>
      </c>
      <c r="N23" s="614">
        <f t="shared" si="28"/>
        <v>-0.31457013574660636</v>
      </c>
      <c r="O23" s="614">
        <f t="shared" si="28"/>
        <v>-0.33197092256476518</v>
      </c>
      <c r="P23" s="614">
        <f t="shared" si="28"/>
        <v>-0.44792934627855041</v>
      </c>
      <c r="Q23" s="614">
        <f t="shared" si="28"/>
        <v>-0.57180604198146179</v>
      </c>
      <c r="R23" s="614">
        <f t="shared" si="28"/>
        <v>-0.71736645850758962</v>
      </c>
      <c r="S23" s="614">
        <f t="shared" si="28"/>
        <v>-1.0018030285369561</v>
      </c>
      <c r="T23" s="614">
        <f t="shared" ref="T23" si="29">T27/T10</f>
        <v>-1.2786593991857673</v>
      </c>
      <c r="X23" s="605" t="s">
        <v>1198</v>
      </c>
      <c r="Y23" s="599">
        <v>5.2000000000000005E-2</v>
      </c>
      <c r="Z23" s="603" t="e">
        <v>#REF!</v>
      </c>
      <c r="AA23" s="603" t="e">
        <v>#REF!</v>
      </c>
      <c r="AB23" s="603" t="e">
        <v>#REF!</v>
      </c>
      <c r="AC23" s="604" t="e">
        <v>#REF!</v>
      </c>
      <c r="AD23" s="603" t="e">
        <v>#REF!</v>
      </c>
      <c r="AE23" s="603" t="e">
        <v>#REF!</v>
      </c>
      <c r="AF23" s="622" t="s">
        <v>1203</v>
      </c>
    </row>
    <row r="24" spans="1:32">
      <c r="B24" s="618" t="str" cm="1">
        <f t="array" ref="B24">_xlfn.IFS(AND(F3&gt;0,F4=0),"EPS "&amp;F3&amp;"M "&amp;G3&amp;" GSe",AND(F3&gt;0,F4&gt;0),"EPS "&amp;F3&amp;"M "&amp;G3&amp;"/"&amp;F4&amp;"M "&amp;G4&amp;" GSe",AND(F3=0,F4&gt;0),"EPS "&amp;F4&amp;"M "&amp;G4&amp;" GSe")</f>
        <v>EPS 12M 2026 GSe</v>
      </c>
      <c r="D24" s="623">
        <f>(INDEX($L$12:$S$12,MATCH(Multiples!G3,$L$2:$S$2,0))*Multiples!F3+INDEX($L$12:$S$12,MATCH(Multiples!G4,$L$2:$S$2,0))*Multiples!F4)/12</f>
        <v>11.26187911888295</v>
      </c>
      <c r="J24" s="614">
        <f t="shared" ref="J24:S24" si="30">J6/J11</f>
        <v>56.799241590705158</v>
      </c>
      <c r="K24" s="614">
        <f t="shared" si="30"/>
        <v>52.484345354879544</v>
      </c>
      <c r="L24" s="614">
        <f t="shared" si="30"/>
        <v>39.098387423507745</v>
      </c>
      <c r="M24" s="614">
        <f t="shared" si="30"/>
        <v>29.002860175609701</v>
      </c>
      <c r="N24" s="614">
        <f t="shared" si="30"/>
        <v>22.093496021523375</v>
      </c>
      <c r="O24" s="614">
        <f t="shared" si="30"/>
        <v>25.068036762711355</v>
      </c>
      <c r="P24" s="614">
        <f t="shared" si="30"/>
        <v>20.873784045646481</v>
      </c>
      <c r="Q24" s="614">
        <f t="shared" si="30"/>
        <v>17.948221195862228</v>
      </c>
      <c r="R24" s="614">
        <f t="shared" si="30"/>
        <v>15.820404254557443</v>
      </c>
      <c r="S24" s="614">
        <f t="shared" si="30"/>
        <v>14.317934772760081</v>
      </c>
      <c r="T24" s="614">
        <f t="shared" ref="T24" si="31">T6/T11</f>
        <v>12.95076732410155</v>
      </c>
      <c r="X24" s="605" t="s">
        <v>747</v>
      </c>
      <c r="Y24" s="599">
        <v>5.3000000000000005E-2</v>
      </c>
      <c r="Z24" s="603" t="e">
        <v>#REF!</v>
      </c>
      <c r="AA24" s="603" t="e">
        <v>#REF!</v>
      </c>
      <c r="AB24" s="603" t="e">
        <v>#REF!</v>
      </c>
      <c r="AC24" s="604" t="e">
        <v>#REF!</v>
      </c>
      <c r="AD24" s="603" t="e">
        <v>#REF!</v>
      </c>
      <c r="AE24" s="603" t="e">
        <v>#REF!</v>
      </c>
    </row>
    <row r="25" spans="1:32">
      <c r="B25" s="72" t="s">
        <v>1338</v>
      </c>
      <c r="C25" s="73"/>
      <c r="D25" s="74" t="e">
        <f>D20/D24</f>
        <v>#REF!</v>
      </c>
      <c r="I25" s="859" t="s">
        <v>1120</v>
      </c>
      <c r="J25" s="624"/>
      <c r="K25" s="624"/>
      <c r="L25" s="624"/>
      <c r="M25" s="624"/>
      <c r="N25" s="624"/>
      <c r="O25" s="624"/>
      <c r="P25" s="624"/>
      <c r="Q25" s="624"/>
      <c r="R25" s="624"/>
      <c r="S25" s="624"/>
      <c r="T25" s="624"/>
      <c r="U25" s="624"/>
      <c r="V25" s="624"/>
      <c r="X25" s="605"/>
      <c r="Y25" s="599">
        <v>5.4000000000000006E-2</v>
      </c>
      <c r="Z25" s="603" t="e">
        <v>#REF!</v>
      </c>
      <c r="AA25" s="603" t="e">
        <v>#REF!</v>
      </c>
      <c r="AB25" s="603" t="e">
        <v>#REF!</v>
      </c>
      <c r="AC25" s="604" t="e">
        <v>#REF!</v>
      </c>
      <c r="AD25" s="603" t="e">
        <v>#REF!</v>
      </c>
      <c r="AE25" s="603" t="e">
        <v>#REF!</v>
      </c>
    </row>
    <row r="26" spans="1:32">
      <c r="I26" s="522" t="s">
        <v>907</v>
      </c>
      <c r="J26" s="601">
        <f t="shared" ref="J26:S26" si="32">J5</f>
        <v>90106.557317999992</v>
      </c>
      <c r="K26" s="601">
        <f t="shared" si="32"/>
        <v>90236.56488749999</v>
      </c>
      <c r="L26" s="601">
        <f t="shared" si="32"/>
        <v>90242.958955499998</v>
      </c>
      <c r="M26" s="601">
        <f t="shared" si="32"/>
        <v>88363.746557999999</v>
      </c>
      <c r="N26" s="601">
        <f t="shared" si="32"/>
        <v>88015.625595000005</v>
      </c>
      <c r="O26" s="601">
        <f t="shared" si="32"/>
        <v>125680.6561034006</v>
      </c>
      <c r="P26" s="601">
        <f t="shared" si="32"/>
        <v>124310.86069780117</v>
      </c>
      <c r="Q26" s="601">
        <f t="shared" si="32"/>
        <v>122941.06529220176</v>
      </c>
      <c r="R26" s="601">
        <f t="shared" si="32"/>
        <v>121571.26988660234</v>
      </c>
      <c r="S26" s="601">
        <f t="shared" si="32"/>
        <v>121571.26988660234</v>
      </c>
      <c r="T26" s="601">
        <f t="shared" ref="T26" si="33">T5</f>
        <v>121571.26988660234</v>
      </c>
      <c r="V26" s="522" t="s">
        <v>1121</v>
      </c>
      <c r="X26" s="605"/>
      <c r="Y26" s="599">
        <v>5.5000000000000007E-2</v>
      </c>
      <c r="Z26" s="604" t="e">
        <v>#REF!</v>
      </c>
      <c r="AA26" s="604" t="e">
        <v>#REF!</v>
      </c>
      <c r="AB26" s="604" t="e">
        <v>#REF!</v>
      </c>
      <c r="AC26" s="604" t="e">
        <v>#REF!</v>
      </c>
      <c r="AD26" s="604" t="e">
        <v>#REF!</v>
      </c>
      <c r="AE26" s="604" t="e">
        <v>#REF!</v>
      </c>
    </row>
    <row r="27" spans="1:32" ht="15" thickBot="1">
      <c r="A27" s="597"/>
      <c r="B27" s="625" t="s">
        <v>1145</v>
      </c>
      <c r="C27" s="626"/>
      <c r="D27" s="627" t="e">
        <f>D20/D31-1</f>
        <v>#REF!</v>
      </c>
      <c r="E27" s="597"/>
      <c r="F27" s="597"/>
      <c r="G27" s="597"/>
      <c r="H27" s="597"/>
      <c r="I27" s="522" t="s">
        <v>1122</v>
      </c>
      <c r="J27" s="598">
        <v>2792</v>
      </c>
      <c r="K27" s="598">
        <v>1544</v>
      </c>
      <c r="L27" s="598">
        <v>-14</v>
      </c>
      <c r="M27" s="598">
        <v>-374</v>
      </c>
      <c r="N27" s="598">
        <v>-1738</v>
      </c>
      <c r="O27" s="598">
        <f>O7</f>
        <v>-2263.351789321775</v>
      </c>
      <c r="P27" s="598">
        <f t="shared" ref="P27:T27" si="34">P7</f>
        <v>-3593.394366591212</v>
      </c>
      <c r="Q27" s="598">
        <f t="shared" si="34"/>
        <v>-5128.5417198403047</v>
      </c>
      <c r="R27" s="598">
        <f t="shared" si="34"/>
        <v>-7063.3546011351882</v>
      </c>
      <c r="S27" s="598">
        <f t="shared" si="34"/>
        <v>-10517.022431859103</v>
      </c>
      <c r="T27" s="598">
        <f t="shared" si="34"/>
        <v>-14268.617563934884</v>
      </c>
      <c r="V27" s="522" t="s">
        <v>304</v>
      </c>
      <c r="X27" s="599"/>
      <c r="Y27" s="599">
        <v>5.6000000000000008E-2</v>
      </c>
      <c r="Z27" s="603" t="e">
        <v>#REF!</v>
      </c>
      <c r="AA27" s="603" t="e">
        <v>#REF!</v>
      </c>
      <c r="AB27" s="604" t="e">
        <v>#REF!</v>
      </c>
      <c r="AC27" s="604" t="e">
        <v>#REF!</v>
      </c>
      <c r="AD27" s="604" t="e">
        <v>#REF!</v>
      </c>
      <c r="AE27" s="604" t="e">
        <v>#REF!</v>
      </c>
    </row>
    <row r="28" spans="1:32" ht="15" thickBot="1">
      <c r="A28" s="597"/>
      <c r="B28" s="628" t="s">
        <v>1146</v>
      </c>
      <c r="C28" s="629"/>
      <c r="D28" s="630" t="e">
        <f>D20/D30-1</f>
        <v>#REF!</v>
      </c>
      <c r="E28" s="763"/>
      <c r="F28" s="597"/>
      <c r="G28" s="597"/>
      <c r="H28" s="597"/>
      <c r="I28" s="522" t="s">
        <v>1123</v>
      </c>
      <c r="J28" s="598">
        <f>K28</f>
        <v>-61</v>
      </c>
      <c r="K28" s="598">
        <f>'Balance Sheet'!W140</f>
        <v>-61</v>
      </c>
      <c r="L28" s="598">
        <f>'Balance Sheet'!X140</f>
        <v>-24</v>
      </c>
      <c r="M28" s="598">
        <f>'Balance Sheet'!Y140</f>
        <v>-67</v>
      </c>
      <c r="N28" s="598">
        <f>'Balance Sheet'!Z140</f>
        <v>-23</v>
      </c>
      <c r="O28" s="598">
        <f>'Balance Sheet'!AA140</f>
        <v>-23</v>
      </c>
      <c r="P28" s="598">
        <f>'Balance Sheet'!AB140</f>
        <v>-23</v>
      </c>
      <c r="Q28" s="598">
        <f>'Balance Sheet'!AC140</f>
        <v>-23</v>
      </c>
      <c r="R28" s="598">
        <f>'Balance Sheet'!AD140</f>
        <v>-23</v>
      </c>
      <c r="S28" s="598">
        <f>'Balance Sheet'!AE140</f>
        <v>-23</v>
      </c>
      <c r="T28" s="598">
        <f>'Balance Sheet'!AF140</f>
        <v>-23</v>
      </c>
      <c r="V28" s="522" t="s">
        <v>214</v>
      </c>
      <c r="X28" s="599"/>
      <c r="Y28" s="599">
        <v>5.7000000000000009E-2</v>
      </c>
      <c r="Z28" s="603" t="e">
        <v>#REF!</v>
      </c>
      <c r="AA28" s="603" t="e">
        <v>#REF!</v>
      </c>
      <c r="AB28" s="604" t="e">
        <v>#REF!</v>
      </c>
      <c r="AC28" s="607" t="e">
        <v>#REF!</v>
      </c>
      <c r="AD28" s="604" t="e">
        <v>#REF!</v>
      </c>
      <c r="AE28" s="604" t="e">
        <v>#REF!</v>
      </c>
    </row>
    <row r="29" spans="1:32">
      <c r="A29" s="597"/>
      <c r="E29" s="61"/>
      <c r="F29" s="597"/>
      <c r="G29" s="597"/>
      <c r="H29" s="597"/>
      <c r="I29" s="522" t="s">
        <v>895</v>
      </c>
      <c r="J29" s="598">
        <f>'Balance Sheet'!V53*J26/SUM('Balance Sheet'!V49:V52)</f>
        <v>2925.9640039289011</v>
      </c>
      <c r="K29" s="598">
        <f>'Balance Sheet'!W53*K26/SUM('Balance Sheet'!W49:W52)</f>
        <v>3014.678478057589</v>
      </c>
      <c r="L29" s="598">
        <f>'Balance Sheet'!X53*L26/SUM('Balance Sheet'!X49:X52)</f>
        <v>3943.9579603066472</v>
      </c>
      <c r="M29" s="598">
        <f>'Balance Sheet'!Y53*M26/SUM('Balance Sheet'!Y49:Y52)</f>
        <v>3900.3087579803055</v>
      </c>
      <c r="N29" s="598">
        <f>'Balance Sheet'!Z53*N26/SUM('Balance Sheet'!Z49:Z52)</f>
        <v>4748.484517654776</v>
      </c>
      <c r="O29" s="598">
        <f>'Balance Sheet'!AA53*Multiples!O26/(SUM('Balance Sheet'!AA49:AA52))</f>
        <v>7388.0069107132922</v>
      </c>
      <c r="P29" s="598">
        <f>'Balance Sheet'!AB53*Multiples!P26/(SUM('Balance Sheet'!AB49:AB52))</f>
        <v>7540.7826603479789</v>
      </c>
      <c r="Q29" s="598">
        <f>'Balance Sheet'!AC53*Multiples!Q26/(SUM('Balance Sheet'!AC49:AC52))</f>
        <v>7489.4582762103737</v>
      </c>
      <c r="R29" s="598">
        <f>'Balance Sheet'!AD53*Multiples!R26/(SUM('Balance Sheet'!AD49:AD52))</f>
        <v>7373.6918931075488</v>
      </c>
      <c r="S29" s="598">
        <f>'Balance Sheet'!AE53*Multiples!S26/(SUM('Balance Sheet'!AE49:AE52))</f>
        <v>6890.233353822422</v>
      </c>
      <c r="T29" s="598">
        <f>'Balance Sheet'!AF53*Multiples!T26/(SUM('Balance Sheet'!AF49:AF52))</f>
        <v>6519.3418549932658</v>
      </c>
      <c r="V29" s="522" t="s">
        <v>210</v>
      </c>
      <c r="AE29" s="631" t="s">
        <v>1201</v>
      </c>
    </row>
    <row r="30" spans="1:32" ht="15">
      <c r="A30" s="632"/>
      <c r="B30" s="69" t="s">
        <v>1147</v>
      </c>
      <c r="D30" s="69" t="s">
        <v>1780</v>
      </c>
      <c r="E30" s="633"/>
      <c r="F30" s="632"/>
      <c r="G30" s="634"/>
      <c r="H30" s="632"/>
      <c r="I30" s="522" t="s">
        <v>1124</v>
      </c>
      <c r="J30" s="598">
        <f t="shared" ref="J30:O30" si="35">SUM(J31:J37)</f>
        <v>-2900</v>
      </c>
      <c r="K30" s="598">
        <f t="shared" si="35"/>
        <v>-2858</v>
      </c>
      <c r="L30" s="598">
        <f t="shared" si="35"/>
        <v>-2240</v>
      </c>
      <c r="M30" s="598">
        <f t="shared" si="35"/>
        <v>-2194</v>
      </c>
      <c r="N30" s="598">
        <f t="shared" si="35"/>
        <v>-2211</v>
      </c>
      <c r="O30" s="598">
        <f t="shared" si="35"/>
        <v>-3210</v>
      </c>
      <c r="P30" s="598">
        <f t="shared" ref="P30:Q30" si="36">SUM(P31:P37)</f>
        <v>-3210</v>
      </c>
      <c r="Q30" s="598">
        <f t="shared" si="36"/>
        <v>-3210</v>
      </c>
      <c r="R30" s="598">
        <f t="shared" ref="R30:S30" si="37">SUM(R31:R37)</f>
        <v>-3210</v>
      </c>
      <c r="S30" s="598">
        <f t="shared" si="37"/>
        <v>-3210</v>
      </c>
      <c r="T30" s="598">
        <f t="shared" ref="T30" si="38">SUM(T31:T37)</f>
        <v>-3210</v>
      </c>
      <c r="V30" s="522" t="s">
        <v>305</v>
      </c>
    </row>
    <row r="31" spans="1:32">
      <c r="B31" s="69" t="s">
        <v>1148</v>
      </c>
      <c r="D31" s="637" t="s">
        <v>1780</v>
      </c>
      <c r="E31" s="638"/>
      <c r="I31" s="635" t="s">
        <v>749</v>
      </c>
      <c r="J31" s="636">
        <v>209</v>
      </c>
      <c r="K31" s="636">
        <v>230</v>
      </c>
      <c r="L31" s="636">
        <v>1030</v>
      </c>
      <c r="M31" s="636">
        <v>1293</v>
      </c>
      <c r="N31" s="636">
        <v>1286</v>
      </c>
      <c r="O31" s="636"/>
      <c r="P31" s="636"/>
      <c r="Q31" s="636"/>
      <c r="R31" s="636"/>
      <c r="S31" s="636"/>
      <c r="T31" s="636"/>
    </row>
    <row r="32" spans="1:32" ht="15">
      <c r="A32" s="640"/>
      <c r="E32" s="640"/>
      <c r="F32" s="640"/>
      <c r="G32" s="641"/>
      <c r="H32" s="640"/>
      <c r="I32" s="639" t="s">
        <v>967</v>
      </c>
      <c r="J32" s="598">
        <v>-426</v>
      </c>
      <c r="K32" s="598">
        <v>-327</v>
      </c>
      <c r="L32" s="598">
        <v>-302</v>
      </c>
      <c r="M32" s="598">
        <v>-292</v>
      </c>
      <c r="N32" s="598">
        <v>-287</v>
      </c>
      <c r="O32" s="598"/>
      <c r="P32" s="598"/>
      <c r="Q32" s="598"/>
      <c r="R32" s="598"/>
      <c r="S32" s="598"/>
      <c r="T32" s="598"/>
    </row>
    <row r="33" spans="1:31" ht="15" thickBot="1">
      <c r="A33" s="608"/>
      <c r="E33" s="608"/>
      <c r="F33" s="608"/>
      <c r="G33" s="608"/>
      <c r="H33" s="608"/>
      <c r="I33" s="639" t="s">
        <v>968</v>
      </c>
      <c r="J33" s="598">
        <v>0</v>
      </c>
      <c r="K33" s="598">
        <v>0</v>
      </c>
      <c r="L33" s="598">
        <v>0</v>
      </c>
      <c r="M33" s="598">
        <v>0</v>
      </c>
      <c r="N33" s="598">
        <v>0</v>
      </c>
      <c r="O33" s="598"/>
      <c r="P33" s="598"/>
      <c r="Q33" s="598"/>
      <c r="R33" s="598"/>
      <c r="S33" s="598"/>
      <c r="T33" s="598"/>
      <c r="X33" s="596" t="s">
        <v>1200</v>
      </c>
      <c r="Y33" s="596"/>
      <c r="Z33" s="596"/>
      <c r="AA33" s="596"/>
      <c r="AB33" s="596"/>
      <c r="AC33" s="596"/>
      <c r="AD33" s="596"/>
      <c r="AE33" s="596"/>
    </row>
    <row r="34" spans="1:31">
      <c r="A34" s="617"/>
      <c r="E34" s="617"/>
      <c r="F34" s="617"/>
      <c r="G34" s="617"/>
      <c r="H34" s="617"/>
      <c r="I34" s="639" t="s">
        <v>969</v>
      </c>
      <c r="J34" s="598">
        <v>0</v>
      </c>
      <c r="K34" s="598">
        <v>0</v>
      </c>
      <c r="L34" s="598">
        <v>0</v>
      </c>
      <c r="M34" s="598">
        <v>0</v>
      </c>
      <c r="N34" s="598">
        <v>0</v>
      </c>
      <c r="O34" s="598"/>
      <c r="P34" s="598"/>
      <c r="Q34" s="598"/>
      <c r="R34" s="598"/>
      <c r="S34" s="598"/>
      <c r="T34" s="598"/>
      <c r="X34" s="599"/>
      <c r="Y34" s="599"/>
      <c r="Z34" s="599"/>
      <c r="AA34" s="600" t="s">
        <v>1150</v>
      </c>
      <c r="AB34" s="600"/>
      <c r="AC34" s="600"/>
      <c r="AD34" s="600"/>
      <c r="AE34" s="599"/>
    </row>
    <row r="35" spans="1:31">
      <c r="I35" s="639" t="s">
        <v>970</v>
      </c>
      <c r="J35" s="598">
        <v>-2683</v>
      </c>
      <c r="K35" s="598">
        <v>-2761</v>
      </c>
      <c r="L35" s="598">
        <v>-2968</v>
      </c>
      <c r="M35" s="598">
        <v>-3195</v>
      </c>
      <c r="N35" s="598">
        <v>-3210</v>
      </c>
      <c r="O35" s="598">
        <f>N35</f>
        <v>-3210</v>
      </c>
      <c r="P35" s="598">
        <f t="shared" ref="P35:T35" si="39">O35</f>
        <v>-3210</v>
      </c>
      <c r="Q35" s="598">
        <f t="shared" si="39"/>
        <v>-3210</v>
      </c>
      <c r="R35" s="598">
        <f t="shared" si="39"/>
        <v>-3210</v>
      </c>
      <c r="S35" s="598">
        <f t="shared" si="39"/>
        <v>-3210</v>
      </c>
      <c r="T35" s="598">
        <f t="shared" si="39"/>
        <v>-3210</v>
      </c>
      <c r="X35" s="599"/>
      <c r="Y35" s="602" t="e">
        <f>D20/D30-1</f>
        <v>#REF!</v>
      </c>
      <c r="Z35" s="599">
        <v>0.16</v>
      </c>
      <c r="AA35" s="599">
        <v>0.18</v>
      </c>
      <c r="AB35" s="599">
        <v>0.20968442203144991</v>
      </c>
      <c r="AC35" s="599">
        <v>0.22</v>
      </c>
      <c r="AD35" s="599">
        <v>0.24</v>
      </c>
      <c r="AE35" s="599">
        <v>0.26</v>
      </c>
    </row>
    <row r="36" spans="1:31">
      <c r="I36" s="639" t="s">
        <v>971</v>
      </c>
      <c r="J36" s="598">
        <v>0</v>
      </c>
      <c r="K36" s="598">
        <v>0</v>
      </c>
      <c r="L36" s="598">
        <v>0</v>
      </c>
      <c r="M36" s="598">
        <v>0</v>
      </c>
      <c r="N36" s="598">
        <v>0</v>
      </c>
      <c r="O36" s="598"/>
      <c r="P36" s="598"/>
      <c r="Q36" s="598"/>
      <c r="R36" s="598"/>
      <c r="S36" s="598"/>
      <c r="T36" s="598"/>
      <c r="X36" s="599"/>
      <c r="Y36" s="599">
        <v>7.4999999999999997E-2</v>
      </c>
      <c r="Z36" s="603" t="e">
        <f t="dataTable" ref="Z36:AE43" dt2D="1" dtr="1" r1="D4" r2="D5" ca="1"/>
        <v>#REF!</v>
      </c>
      <c r="AA36" s="603" t="e">
        <v>#REF!</v>
      </c>
      <c r="AB36" s="603" t="e">
        <v>#REF!</v>
      </c>
      <c r="AC36" s="603" t="e">
        <v>#REF!</v>
      </c>
      <c r="AD36" s="603" t="e">
        <v>#REF!</v>
      </c>
      <c r="AE36" s="603" t="e">
        <v>#REF!</v>
      </c>
    </row>
    <row r="37" spans="1:31" ht="15" thickBot="1">
      <c r="I37" s="639" t="s">
        <v>972</v>
      </c>
      <c r="J37" s="598">
        <v>0</v>
      </c>
      <c r="K37" s="598">
        <v>0</v>
      </c>
      <c r="L37" s="598">
        <v>0</v>
      </c>
      <c r="M37" s="598">
        <v>0</v>
      </c>
      <c r="N37" s="598">
        <v>0</v>
      </c>
      <c r="O37" s="598"/>
      <c r="P37" s="598"/>
      <c r="Q37" s="598"/>
      <c r="R37" s="598"/>
      <c r="S37" s="598"/>
      <c r="T37" s="598"/>
      <c r="X37" s="605"/>
      <c r="Y37" s="599">
        <v>0.08</v>
      </c>
      <c r="Z37" s="603" t="e">
        <v>#REF!</v>
      </c>
      <c r="AA37" s="603" t="e">
        <v>#REF!</v>
      </c>
      <c r="AB37" s="603" t="e">
        <v>#REF!</v>
      </c>
      <c r="AC37" s="603" t="e">
        <v>#REF!</v>
      </c>
      <c r="AD37" s="603" t="e">
        <v>#REF!</v>
      </c>
      <c r="AE37" s="603" t="e">
        <v>#REF!</v>
      </c>
    </row>
    <row r="38" spans="1:31" ht="15" thickBot="1">
      <c r="I38" s="642" t="s">
        <v>1125</v>
      </c>
      <c r="J38" s="643">
        <f t="shared" ref="J38:N38" si="40">SUM(J26:J29)</f>
        <v>95763.5213219289</v>
      </c>
      <c r="K38" s="643">
        <f t="shared" si="40"/>
        <v>94734.243365557573</v>
      </c>
      <c r="L38" s="643">
        <f t="shared" si="40"/>
        <v>94148.916915806651</v>
      </c>
      <c r="M38" s="643">
        <f t="shared" si="40"/>
        <v>91823.055315980309</v>
      </c>
      <c r="N38" s="643">
        <f t="shared" si="40"/>
        <v>91003.110112654787</v>
      </c>
      <c r="O38" s="643">
        <f>SUM(O26:O29)</f>
        <v>130782.31122479211</v>
      </c>
      <c r="P38" s="643">
        <f t="shared" ref="P38:T38" si="41">SUM(P26:P29)</f>
        <v>128235.24899155794</v>
      </c>
      <c r="Q38" s="643">
        <f t="shared" si="41"/>
        <v>125278.98184857183</v>
      </c>
      <c r="R38" s="643">
        <f t="shared" si="41"/>
        <v>121858.6071785747</v>
      </c>
      <c r="S38" s="643">
        <f t="shared" si="41"/>
        <v>117921.48080856566</v>
      </c>
      <c r="T38" s="643">
        <f t="shared" si="41"/>
        <v>113798.99417766073</v>
      </c>
      <c r="V38" s="522" t="s">
        <v>1126</v>
      </c>
      <c r="X38" s="605"/>
      <c r="Y38" s="599">
        <v>8.5000000000000006E-2</v>
      </c>
      <c r="Z38" s="603" t="e">
        <v>#REF!</v>
      </c>
      <c r="AA38" s="607" t="e">
        <v>#REF!</v>
      </c>
      <c r="AB38" s="603" t="e">
        <v>#REF!</v>
      </c>
      <c r="AC38" s="603" t="e">
        <v>#REF!</v>
      </c>
      <c r="AD38" s="603" t="e">
        <v>#REF!</v>
      </c>
      <c r="AE38" s="603" t="e">
        <v>#REF!</v>
      </c>
    </row>
    <row r="39" spans="1:31" ht="15" thickBot="1">
      <c r="X39" s="605" t="s">
        <v>1199</v>
      </c>
      <c r="Y39" s="599">
        <v>0.09</v>
      </c>
      <c r="Z39" s="603" t="e">
        <v>#REF!</v>
      </c>
      <c r="AA39" s="603" t="e">
        <v>#REF!</v>
      </c>
      <c r="AB39" s="607" t="e">
        <v>#REF!</v>
      </c>
      <c r="AC39" s="603" t="e">
        <v>#REF!</v>
      </c>
      <c r="AD39" s="603" t="e">
        <v>#REF!</v>
      </c>
      <c r="AE39" s="603" t="e">
        <v>#REF!</v>
      </c>
    </row>
    <row r="40" spans="1:31">
      <c r="I40" s="1252"/>
      <c r="J40" s="1252"/>
      <c r="K40" s="1252"/>
      <c r="L40" s="1252"/>
      <c r="M40" s="1252"/>
      <c r="N40" s="1252"/>
      <c r="O40" s="1252"/>
      <c r="P40" s="1252"/>
      <c r="Q40" s="1252"/>
      <c r="R40" s="1252"/>
      <c r="S40" s="1252"/>
      <c r="T40" s="1252"/>
      <c r="U40" s="1252"/>
      <c r="V40" s="1252"/>
      <c r="X40" s="605"/>
      <c r="Y40" s="599">
        <v>9.5000000000000001E-2</v>
      </c>
      <c r="Z40" s="603" t="e">
        <v>#REF!</v>
      </c>
      <c r="AA40" s="603" t="e">
        <v>#REF!</v>
      </c>
      <c r="AB40" s="603" t="e">
        <v>#REF!</v>
      </c>
      <c r="AC40" s="603" t="e">
        <v>#REF!</v>
      </c>
      <c r="AD40" s="603" t="e">
        <v>#REF!</v>
      </c>
      <c r="AE40" s="603" t="e">
        <v>#REF!</v>
      </c>
    </row>
    <row r="41" spans="1:31">
      <c r="I41" s="1253"/>
      <c r="J41" s="1254"/>
      <c r="K41" s="1254"/>
      <c r="L41" s="1254"/>
      <c r="M41" s="1254"/>
      <c r="N41" s="1254"/>
      <c r="O41" s="1254"/>
      <c r="P41" s="1254"/>
      <c r="Q41" s="1254"/>
      <c r="R41" s="1254"/>
      <c r="S41" s="1254"/>
      <c r="T41" s="1254"/>
      <c r="U41" s="1255"/>
      <c r="V41" s="1255"/>
      <c r="X41" s="605"/>
      <c r="Y41" s="599">
        <v>0.1</v>
      </c>
      <c r="Z41" s="604" t="e">
        <v>#REF!</v>
      </c>
      <c r="AA41" s="604" t="e">
        <v>#REF!</v>
      </c>
      <c r="AB41" s="604" t="e">
        <v>#REF!</v>
      </c>
      <c r="AC41" s="604" t="e">
        <v>#REF!</v>
      </c>
      <c r="AD41" s="604" t="e">
        <v>#REF!</v>
      </c>
      <c r="AE41" s="604" t="e">
        <v>#REF!</v>
      </c>
    </row>
    <row r="42" spans="1:31">
      <c r="I42" s="1253"/>
      <c r="J42" s="1254"/>
      <c r="K42" s="1254"/>
      <c r="L42" s="1254"/>
      <c r="M42" s="1254"/>
      <c r="N42" s="1254"/>
      <c r="O42" s="1254"/>
      <c r="P42" s="1254"/>
      <c r="Q42" s="1254"/>
      <c r="R42" s="1254"/>
      <c r="S42" s="1254"/>
      <c r="T42" s="1254"/>
      <c r="U42" s="1255"/>
      <c r="V42" s="1255"/>
      <c r="X42" s="599"/>
      <c r="Y42" s="599">
        <v>0.105</v>
      </c>
      <c r="Z42" s="603" t="e">
        <v>#REF!</v>
      </c>
      <c r="AA42" s="603" t="e">
        <v>#REF!</v>
      </c>
      <c r="AB42" s="604" t="e">
        <v>#REF!</v>
      </c>
      <c r="AC42" s="604" t="e">
        <v>#REF!</v>
      </c>
      <c r="AD42" s="604" t="e">
        <v>#REF!</v>
      </c>
      <c r="AE42" s="604" t="e">
        <v>#REF!</v>
      </c>
    </row>
    <row r="43" spans="1:31">
      <c r="I43" s="1253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5"/>
      <c r="V43" s="1255"/>
      <c r="X43" s="599"/>
      <c r="Y43" s="599">
        <v>0.11</v>
      </c>
      <c r="Z43" s="603" t="e">
        <v>#REF!</v>
      </c>
      <c r="AA43" s="603" t="e">
        <v>#REF!</v>
      </c>
      <c r="AB43" s="604" t="e">
        <v>#REF!</v>
      </c>
      <c r="AC43" s="604" t="e">
        <v>#REF!</v>
      </c>
      <c r="AD43" s="604" t="e">
        <v>#REF!</v>
      </c>
      <c r="AE43" s="604" t="e">
        <v>#REF!</v>
      </c>
    </row>
    <row r="44" spans="1:31">
      <c r="I44" s="1253"/>
      <c r="J44" s="1254"/>
      <c r="K44" s="1254"/>
      <c r="L44" s="1254"/>
      <c r="M44" s="1254"/>
      <c r="N44" s="1254"/>
      <c r="O44" s="1254"/>
      <c r="P44" s="1254"/>
      <c r="Q44" s="1254"/>
      <c r="R44" s="1254"/>
      <c r="S44" s="1254"/>
      <c r="T44" s="1254"/>
      <c r="U44" s="1255"/>
      <c r="V44" s="1255"/>
    </row>
    <row r="45" spans="1:31">
      <c r="I45" s="1256"/>
      <c r="J45" s="1257"/>
      <c r="K45" s="1257"/>
      <c r="L45" s="1257"/>
      <c r="M45" s="1257"/>
      <c r="N45" s="1257"/>
      <c r="O45" s="1257"/>
      <c r="P45" s="1257"/>
      <c r="Q45" s="1257"/>
      <c r="R45" s="1257"/>
      <c r="S45" s="1257"/>
      <c r="T45" s="1257"/>
      <c r="U45" s="1255"/>
      <c r="V45" s="1255"/>
    </row>
    <row r="46" spans="1:31">
      <c r="I46" s="1255"/>
      <c r="J46" s="1255"/>
      <c r="K46" s="1255"/>
      <c r="L46" s="1255"/>
      <c r="M46" s="1255"/>
      <c r="N46" s="1255"/>
      <c r="O46" s="1255"/>
      <c r="P46" s="1255"/>
      <c r="Q46" s="1255"/>
      <c r="R46" s="1255"/>
      <c r="S46" s="1255"/>
      <c r="T46" s="1255"/>
      <c r="U46" s="1255"/>
      <c r="V46" s="1255"/>
    </row>
    <row r="47" spans="1:31">
      <c r="C47" s="645"/>
      <c r="D47" s="645"/>
      <c r="E47" s="646"/>
      <c r="I47" s="1255"/>
      <c r="J47" s="1258"/>
      <c r="K47" s="1258"/>
      <c r="L47" s="1258"/>
      <c r="M47" s="1258"/>
      <c r="N47" s="1258"/>
      <c r="O47" s="1258"/>
      <c r="P47" s="1258"/>
      <c r="Q47" s="1258"/>
      <c r="R47" s="1258"/>
      <c r="S47" s="1258"/>
      <c r="T47" s="1258"/>
      <c r="U47" s="1255"/>
      <c r="V47" s="1255"/>
    </row>
    <row r="48" spans="1:31" ht="15" thickBot="1">
      <c r="C48" s="645"/>
      <c r="D48" s="645"/>
      <c r="E48" s="646"/>
      <c r="I48" s="1255"/>
      <c r="J48" s="1258"/>
      <c r="K48" s="1258"/>
      <c r="L48" s="1258"/>
      <c r="M48" s="1258"/>
      <c r="N48" s="1258"/>
      <c r="O48" s="1258"/>
      <c r="P48" s="1258"/>
      <c r="Q48" s="1258"/>
      <c r="R48" s="1258"/>
      <c r="S48" s="1258"/>
      <c r="T48" s="1258"/>
      <c r="U48" s="1255"/>
      <c r="V48" s="1255"/>
      <c r="X48" s="596" t="s">
        <v>1204</v>
      </c>
      <c r="Y48" s="596"/>
      <c r="Z48" s="596"/>
      <c r="AA48" s="596"/>
      <c r="AB48" s="596"/>
      <c r="AC48" s="596"/>
      <c r="AD48" s="596"/>
      <c r="AE48" s="596"/>
    </row>
    <row r="49" spans="3:32">
      <c r="C49" s="645"/>
      <c r="D49" s="645"/>
      <c r="E49" s="646"/>
      <c r="I49" s="1255"/>
      <c r="J49" s="1259"/>
      <c r="K49" s="1260"/>
      <c r="L49" s="1260"/>
      <c r="M49" s="1260"/>
      <c r="N49" s="1260"/>
      <c r="O49" s="1260"/>
      <c r="P49" s="1260"/>
      <c r="Q49" s="1260"/>
      <c r="R49" s="1260"/>
      <c r="S49" s="1260"/>
      <c r="T49" s="1260"/>
      <c r="U49" s="1255"/>
      <c r="V49" s="1255"/>
      <c r="X49" s="599"/>
      <c r="Y49" s="599"/>
      <c r="Z49" s="599"/>
      <c r="AA49" s="600" t="s">
        <v>1199</v>
      </c>
      <c r="AB49" s="600"/>
      <c r="AC49" s="600"/>
      <c r="AD49" s="600"/>
      <c r="AE49" s="599"/>
    </row>
    <row r="50" spans="3:32">
      <c r="E50" s="646"/>
      <c r="I50" s="1255"/>
      <c r="J50" s="1258"/>
      <c r="K50" s="1258"/>
      <c r="L50" s="1258"/>
      <c r="M50" s="1258"/>
      <c r="N50" s="1258"/>
      <c r="O50" s="1258"/>
      <c r="P50" s="1258"/>
      <c r="Q50" s="1258"/>
      <c r="R50" s="1258"/>
      <c r="S50" s="1258"/>
      <c r="T50" s="1258"/>
      <c r="U50" s="1255"/>
      <c r="V50" s="1255"/>
      <c r="X50" s="599"/>
      <c r="Y50" s="602" t="e">
        <f>D20/108.04-1</f>
        <v>#REF!</v>
      </c>
      <c r="Z50" s="599">
        <v>7.4999999999999997E-2</v>
      </c>
      <c r="AA50" s="599">
        <v>0.08</v>
      </c>
      <c r="AB50" s="599">
        <v>8.5000000000000006E-2</v>
      </c>
      <c r="AC50" s="599">
        <v>0.09</v>
      </c>
      <c r="AD50" s="599">
        <v>9.5000000000000001E-2</v>
      </c>
      <c r="AE50" s="599">
        <v>0.1</v>
      </c>
    </row>
    <row r="51" spans="3:32" ht="15" thickBot="1">
      <c r="I51" s="1255"/>
      <c r="J51" s="1261"/>
      <c r="K51" s="1261"/>
      <c r="L51" s="1261"/>
      <c r="M51" s="1261"/>
      <c r="N51" s="1261"/>
      <c r="O51" s="1261"/>
      <c r="P51" s="1262"/>
      <c r="Q51" s="1262"/>
      <c r="R51" s="1262"/>
      <c r="S51" s="1262"/>
      <c r="T51" s="1262"/>
      <c r="U51" s="1255"/>
      <c r="V51" s="1255"/>
      <c r="X51" s="599"/>
      <c r="Y51" s="599">
        <v>0.05</v>
      </c>
      <c r="Z51" s="603" t="e">
        <f t="dataTable" ref="Z51:AE58" dt2D="1" dtr="1" r1="D5" r2="D3"/>
        <v>#REF!</v>
      </c>
      <c r="AA51" s="603" t="e">
        <v>#REF!</v>
      </c>
      <c r="AB51" s="603" t="e">
        <v>#REF!</v>
      </c>
      <c r="AC51" s="604" t="e">
        <v>#REF!</v>
      </c>
      <c r="AD51" s="603" t="e">
        <v>#REF!</v>
      </c>
      <c r="AE51" s="603" t="e">
        <v>#REF!</v>
      </c>
    </row>
    <row r="52" spans="3:32" ht="15" thickBot="1">
      <c r="I52" s="1263"/>
      <c r="J52" s="1263"/>
      <c r="K52" s="1263"/>
      <c r="L52" s="1263"/>
      <c r="M52" s="1263"/>
      <c r="N52" s="1263"/>
      <c r="O52" s="1263"/>
      <c r="P52" s="1263"/>
      <c r="Q52" s="1263"/>
      <c r="R52" s="1263"/>
      <c r="S52" s="1263"/>
      <c r="T52" s="1263"/>
      <c r="U52" s="1263"/>
      <c r="V52" s="1263"/>
      <c r="X52" s="605"/>
      <c r="Y52" s="599">
        <v>5.0599999999999999E-2</v>
      </c>
      <c r="Z52" s="603" t="e">
        <v>#REF!</v>
      </c>
      <c r="AA52" s="603" t="e">
        <v>#REF!</v>
      </c>
      <c r="AB52" s="603" t="e">
        <v>#REF!</v>
      </c>
      <c r="AC52" s="607" t="e">
        <v>#REF!</v>
      </c>
      <c r="AD52" s="619" t="e">
        <v>#REF!</v>
      </c>
      <c r="AE52" s="620" t="e">
        <v>#REF!</v>
      </c>
      <c r="AF52" s="606" t="s">
        <v>1205</v>
      </c>
    </row>
    <row r="53" spans="3:32">
      <c r="I53" s="1255"/>
      <c r="J53" s="1258"/>
      <c r="K53" s="1258"/>
      <c r="L53" s="1258"/>
      <c r="M53" s="1258"/>
      <c r="N53" s="1258"/>
      <c r="O53" s="1258"/>
      <c r="P53" s="1258"/>
      <c r="Q53" s="1258"/>
      <c r="R53" s="1258"/>
      <c r="S53" s="1258"/>
      <c r="T53" s="1258"/>
      <c r="U53" s="1255"/>
      <c r="V53" s="1255"/>
      <c r="X53" s="605" t="s">
        <v>1198</v>
      </c>
      <c r="Y53" s="599">
        <v>5.2000000000000005E-2</v>
      </c>
      <c r="Z53" s="603" t="e">
        <v>#REF!</v>
      </c>
      <c r="AA53" s="603" t="e">
        <v>#REF!</v>
      </c>
      <c r="AB53" s="603" t="e">
        <v>#REF!</v>
      </c>
      <c r="AC53" s="604" t="e">
        <v>#REF!</v>
      </c>
      <c r="AD53" s="603" t="e">
        <v>#REF!</v>
      </c>
      <c r="AE53" s="603" t="e">
        <v>#REF!</v>
      </c>
      <c r="AF53" s="622" t="s">
        <v>1203</v>
      </c>
    </row>
    <row r="54" spans="3:32">
      <c r="I54" s="1255"/>
      <c r="J54" s="1264"/>
      <c r="K54" s="1264"/>
      <c r="L54" s="1264"/>
      <c r="M54" s="1264"/>
      <c r="N54" s="1264"/>
      <c r="O54" s="1264"/>
      <c r="P54" s="1264"/>
      <c r="Q54" s="1264"/>
      <c r="R54" s="1264"/>
      <c r="S54" s="1264"/>
      <c r="T54" s="1264"/>
      <c r="U54" s="1255"/>
      <c r="V54" s="1255"/>
      <c r="X54" s="605" t="s">
        <v>747</v>
      </c>
      <c r="Y54" s="599">
        <v>5.3000000000000005E-2</v>
      </c>
      <c r="Z54" s="603" t="e">
        <v>#REF!</v>
      </c>
      <c r="AA54" s="603" t="e">
        <v>#REF!</v>
      </c>
      <c r="AB54" s="603" t="e">
        <v>#REF!</v>
      </c>
      <c r="AC54" s="604" t="e">
        <v>#REF!</v>
      </c>
      <c r="AD54" s="603" t="e">
        <v>#REF!</v>
      </c>
      <c r="AE54" s="603" t="e">
        <v>#REF!</v>
      </c>
    </row>
    <row r="55" spans="3:32">
      <c r="J55" s="647"/>
      <c r="K55" s="647"/>
      <c r="L55" s="644"/>
      <c r="M55" s="644"/>
      <c r="N55" s="644"/>
      <c r="O55" s="644"/>
      <c r="P55" s="644"/>
      <c r="Q55" s="644"/>
      <c r="R55" s="644"/>
      <c r="S55" s="644"/>
      <c r="T55" s="644"/>
      <c r="X55" s="605"/>
      <c r="Y55" s="599">
        <v>5.4000000000000006E-2</v>
      </c>
      <c r="Z55" s="603" t="e">
        <v>#REF!</v>
      </c>
      <c r="AA55" s="603" t="e">
        <v>#REF!</v>
      </c>
      <c r="AB55" s="603" t="e">
        <v>#REF!</v>
      </c>
      <c r="AC55" s="604" t="e">
        <v>#REF!</v>
      </c>
      <c r="AD55" s="603" t="e">
        <v>#REF!</v>
      </c>
      <c r="AE55" s="603" t="e">
        <v>#REF!</v>
      </c>
    </row>
    <row r="56" spans="3:32">
      <c r="J56" s="644"/>
      <c r="K56" s="644"/>
      <c r="L56" s="644"/>
      <c r="M56" s="644"/>
      <c r="N56" s="644"/>
      <c r="O56" s="644"/>
      <c r="P56" s="644"/>
      <c r="Q56" s="644"/>
      <c r="R56" s="644"/>
      <c r="S56" s="644"/>
      <c r="T56" s="644"/>
      <c r="X56" s="605"/>
      <c r="Y56" s="599">
        <v>5.5000000000000007E-2</v>
      </c>
      <c r="Z56" s="604" t="e">
        <v>#REF!</v>
      </c>
      <c r="AA56" s="604" t="e">
        <v>#REF!</v>
      </c>
      <c r="AB56" s="604" t="e">
        <v>#REF!</v>
      </c>
      <c r="AC56" s="604" t="e">
        <v>#REF!</v>
      </c>
      <c r="AD56" s="604" t="e">
        <v>#REF!</v>
      </c>
      <c r="AE56" s="604" t="e">
        <v>#REF!</v>
      </c>
    </row>
    <row r="57" spans="3:32" ht="15" thickBot="1">
      <c r="I57" s="589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X57" s="599"/>
      <c r="Y57" s="599">
        <v>5.6000000000000008E-2</v>
      </c>
      <c r="Z57" s="603" t="e">
        <v>#REF!</v>
      </c>
      <c r="AA57" s="603" t="e">
        <v>#REF!</v>
      </c>
      <c r="AB57" s="604" t="e">
        <v>#REF!</v>
      </c>
      <c r="AC57" s="604" t="e">
        <v>#REF!</v>
      </c>
      <c r="AD57" s="604" t="e">
        <v>#REF!</v>
      </c>
      <c r="AE57" s="604" t="e">
        <v>#REF!</v>
      </c>
    </row>
    <row r="58" spans="3:32" ht="15" thickBot="1">
      <c r="I58" s="649"/>
      <c r="J58" s="648"/>
      <c r="K58" s="648"/>
      <c r="L58" s="648"/>
      <c r="M58" s="648"/>
      <c r="N58" s="648"/>
      <c r="O58" s="648"/>
      <c r="P58" s="648"/>
      <c r="Q58" s="648"/>
      <c r="R58" s="648"/>
      <c r="S58" s="648"/>
      <c r="T58" s="648"/>
      <c r="X58" s="599"/>
      <c r="Y58" s="599">
        <v>5.7000000000000009E-2</v>
      </c>
      <c r="Z58" s="603" t="e">
        <v>#REF!</v>
      </c>
      <c r="AA58" s="603" t="e">
        <v>#REF!</v>
      </c>
      <c r="AB58" s="604" t="e">
        <v>#REF!</v>
      </c>
      <c r="AC58" s="607" t="e">
        <v>#REF!</v>
      </c>
      <c r="AD58" s="604" t="e">
        <v>#REF!</v>
      </c>
      <c r="AE58" s="604" t="e">
        <v>#REF!</v>
      </c>
    </row>
    <row r="59" spans="3:32">
      <c r="I59" s="649"/>
      <c r="J59" s="648"/>
      <c r="K59" s="648"/>
      <c r="L59" s="648"/>
      <c r="M59" s="648"/>
      <c r="N59" s="648"/>
      <c r="O59" s="648"/>
      <c r="P59" s="648"/>
      <c r="Q59" s="648"/>
      <c r="R59" s="648"/>
      <c r="S59" s="648"/>
      <c r="T59" s="648"/>
      <c r="AE59" s="631" t="s">
        <v>1201</v>
      </c>
    </row>
    <row r="61" spans="3:32" ht="15" thickBot="1">
      <c r="X61" s="596" t="s">
        <v>1325</v>
      </c>
      <c r="Y61" s="596"/>
      <c r="Z61" s="596"/>
      <c r="AA61" s="596"/>
      <c r="AB61" s="596"/>
      <c r="AC61" s="596"/>
      <c r="AD61" s="596"/>
      <c r="AE61" s="596"/>
    </row>
    <row r="62" spans="3:32">
      <c r="X62" s="599"/>
      <c r="Y62" s="599"/>
      <c r="Z62" s="599"/>
      <c r="AA62" s="600" t="s">
        <v>1324</v>
      </c>
      <c r="AB62" s="600"/>
      <c r="AC62" s="600"/>
      <c r="AD62" s="600"/>
      <c r="AE62" s="599"/>
    </row>
    <row r="63" spans="3:32">
      <c r="X63" s="599"/>
      <c r="Y63" s="650">
        <f>O12/9.27-1</f>
        <v>-7.7494707942849406E-2</v>
      </c>
      <c r="Z63" s="651">
        <f t="shared" ref="Z63:AA63" si="42">AA63-0.01</f>
        <v>1.1099999999999999</v>
      </c>
      <c r="AA63" s="651">
        <f t="shared" si="42"/>
        <v>1.1199999999999999</v>
      </c>
      <c r="AB63" s="651">
        <f>AC63-0.01</f>
        <v>1.1299999999999999</v>
      </c>
      <c r="AC63" s="651">
        <v>1.1399999999999999</v>
      </c>
      <c r="AD63" s="651">
        <f>AE63-0.01</f>
        <v>1.1399999999999999</v>
      </c>
      <c r="AE63" s="651">
        <v>1.1499999999999999</v>
      </c>
    </row>
    <row r="64" spans="3:32">
      <c r="O64" s="524" t="e">
        <f>#REF!</f>
        <v>#REF!</v>
      </c>
      <c r="P64" s="586" t="s">
        <v>1349</v>
      </c>
      <c r="X64" s="599"/>
      <c r="Y64" s="599"/>
      <c r="Z64" s="603"/>
      <c r="AA64" s="603"/>
      <c r="AB64" s="603"/>
      <c r="AC64" s="603"/>
      <c r="AD64" s="603"/>
      <c r="AE64" s="603"/>
    </row>
    <row r="65" spans="15:31">
      <c r="O65" s="522" t="e">
        <f>(#REF!)</f>
        <v>#REF!</v>
      </c>
      <c r="X65" s="605"/>
      <c r="Y65" s="599"/>
      <c r="Z65" s="603"/>
      <c r="AA65" s="603"/>
      <c r="AB65" s="603"/>
      <c r="AC65" s="603"/>
      <c r="AD65" s="603"/>
      <c r="AE65" s="603"/>
    </row>
    <row r="66" spans="15:31">
      <c r="O66" s="598">
        <f>'Income Statement'!Z116</f>
        <v>416149.53</v>
      </c>
      <c r="X66" s="605" t="s">
        <v>1198</v>
      </c>
      <c r="Y66" s="599"/>
      <c r="Z66" s="603"/>
      <c r="AA66" s="603"/>
      <c r="AB66" s="603"/>
      <c r="AC66" s="603"/>
      <c r="AD66" s="603"/>
      <c r="AE66" s="603"/>
    </row>
    <row r="67" spans="15:31">
      <c r="X67" s="605" t="s">
        <v>747</v>
      </c>
      <c r="Y67" s="599"/>
      <c r="Z67" s="603"/>
      <c r="AA67" s="603"/>
      <c r="AB67" s="603"/>
      <c r="AC67" s="603"/>
      <c r="AD67" s="603"/>
      <c r="AE67" s="603"/>
    </row>
    <row r="68" spans="15:31">
      <c r="X68" s="605"/>
      <c r="Y68" s="599"/>
      <c r="Z68" s="603"/>
      <c r="AA68" s="603"/>
      <c r="AB68" s="603"/>
      <c r="AC68" s="603"/>
      <c r="AD68" s="603"/>
      <c r="AE68" s="603"/>
    </row>
    <row r="69" spans="15:31">
      <c r="X69" s="605"/>
      <c r="Y69" s="599"/>
      <c r="Z69" s="603"/>
      <c r="AA69" s="603"/>
      <c r="AB69" s="603"/>
      <c r="AC69" s="603"/>
      <c r="AD69" s="603"/>
      <c r="AE69" s="603"/>
    </row>
    <row r="70" spans="15:31">
      <c r="X70" s="599"/>
      <c r="Y70" s="599"/>
      <c r="Z70" s="603"/>
      <c r="AA70" s="603"/>
      <c r="AB70" s="603"/>
      <c r="AC70" s="603"/>
      <c r="AD70" s="603"/>
      <c r="AE70" s="603"/>
    </row>
    <row r="71" spans="15:31">
      <c r="X71" s="599"/>
      <c r="Y71" s="599"/>
      <c r="Z71" s="603"/>
      <c r="AA71" s="603"/>
      <c r="AB71" s="603"/>
      <c r="AC71" s="603"/>
      <c r="AD71" s="603"/>
      <c r="AE71" s="603"/>
    </row>
  </sheetData>
  <conditionalFormatting sqref="Z36">
    <cfRule type="colorScale" priority="1">
      <colorScale>
        <cfvo type="min"/>
        <cfvo type="percentile" val="50"/>
        <cfvo type="max"/>
        <color theme="0"/>
        <color theme="0"/>
        <color theme="5"/>
      </colorScale>
    </cfRule>
  </conditionalFormatting>
  <conditionalFormatting sqref="Z6:AE13">
    <cfRule type="colorScale" priority="6">
      <colorScale>
        <cfvo type="min"/>
        <cfvo type="percentile" val="50"/>
        <cfvo type="max"/>
        <color theme="0"/>
        <color theme="0"/>
        <color theme="5"/>
      </colorScale>
    </cfRule>
  </conditionalFormatting>
  <conditionalFormatting sqref="Z21:AE28">
    <cfRule type="colorScale" priority="5">
      <colorScale>
        <cfvo type="min"/>
        <cfvo type="percentile" val="50"/>
        <cfvo type="max"/>
        <color theme="0"/>
        <color theme="0"/>
        <color theme="5"/>
      </colorScale>
    </cfRule>
  </conditionalFormatting>
  <conditionalFormatting sqref="Z37:AE43 AA36:AE36">
    <cfRule type="colorScale" priority="4">
      <colorScale>
        <cfvo type="min"/>
        <cfvo type="percentile" val="50"/>
        <cfvo type="max"/>
        <color theme="0"/>
        <color theme="0"/>
        <color theme="5"/>
      </colorScale>
    </cfRule>
  </conditionalFormatting>
  <conditionalFormatting sqref="Z51:AE58">
    <cfRule type="colorScale" priority="3">
      <colorScale>
        <cfvo type="min"/>
        <cfvo type="percentile" val="50"/>
        <cfvo type="max"/>
        <color theme="0"/>
        <color theme="0"/>
        <color theme="5"/>
      </colorScale>
    </cfRule>
  </conditionalFormatting>
  <conditionalFormatting sqref="Z64:AE71">
    <cfRule type="colorScale" priority="2">
      <colorScale>
        <cfvo type="min"/>
        <cfvo type="percentile" val="50"/>
        <cfvo type="max"/>
        <color theme="0"/>
        <color theme="0"/>
        <color theme="5"/>
      </colorScale>
    </cfRule>
  </conditionalFormatting>
  <printOptions horizontalCentered="1" verticalCentered="1"/>
  <pageMargins left="0.7" right="0.7" top="0.75" bottom="0.75" header="0.3" footer="0.3"/>
  <pageSetup paperSize="9" scale="10" orientation="portrait" r:id="rId1"/>
  <customProperties>
    <customPr name="Qube.Worksheet.ID" r:id="rId2"/>
    <customPr name="Qube.Worksheet.Visibility" r:id="rId3"/>
    <customPr name="QXL_SHEET_ID" r:id="rId4"/>
  </customProperties>
  <drawing r:id="rId5"/>
  <legacy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AF64-4CC3-401E-BF87-903A5CFC49F7}">
  <sheetPr codeName="Sheet15">
    <tabColor theme="4" tint="0.89999084444715716"/>
  </sheetPr>
  <dimension ref="A1:AB45"/>
  <sheetViews>
    <sheetView showGridLines="0" workbookViewId="0"/>
  </sheetViews>
  <sheetFormatPr defaultRowHeight="14.25" outlineLevelCol="1"/>
  <cols>
    <col min="1" max="1" width="28.125" bestFit="1" customWidth="1"/>
    <col min="2" max="6" width="8.75" hidden="1" customWidth="1" outlineLevel="1"/>
    <col min="7" max="10" width="9" hidden="1" customWidth="1" outlineLevel="1"/>
    <col min="11" max="11" width="9" collapsed="1"/>
    <col min="22" max="22" width="13.625" customWidth="1"/>
  </cols>
  <sheetData>
    <row r="1" spans="1:28" ht="15">
      <c r="A1" s="924">
        <f>'Balance Sheet'!A1</f>
        <v>340</v>
      </c>
    </row>
    <row r="2" spans="1:28">
      <c r="A2" s="257" t="s">
        <v>1296</v>
      </c>
      <c r="B2" s="257">
        <v>2012</v>
      </c>
      <c r="C2" s="257">
        <v>2013</v>
      </c>
      <c r="D2" s="257">
        <v>2014</v>
      </c>
      <c r="E2" s="257">
        <v>2015</v>
      </c>
      <c r="F2" s="257">
        <v>2016</v>
      </c>
      <c r="G2" s="257">
        <v>2017</v>
      </c>
      <c r="H2" s="257">
        <v>2018</v>
      </c>
      <c r="I2" s="257">
        <v>2019</v>
      </c>
      <c r="J2" s="257">
        <v>2020</v>
      </c>
      <c r="K2" s="257">
        <v>2021</v>
      </c>
      <c r="L2" s="257">
        <v>2022</v>
      </c>
      <c r="M2" s="257">
        <v>2023</v>
      </c>
      <c r="N2" s="257">
        <v>2024</v>
      </c>
      <c r="O2" s="170" t="s">
        <v>894</v>
      </c>
      <c r="P2" s="170" t="s">
        <v>1196</v>
      </c>
      <c r="Q2" s="171" t="s">
        <v>1212</v>
      </c>
      <c r="R2" s="171" t="s">
        <v>1213</v>
      </c>
      <c r="S2" s="171" t="s">
        <v>1214</v>
      </c>
      <c r="T2" s="171" t="s">
        <v>1215</v>
      </c>
      <c r="U2" s="172"/>
      <c r="V2" s="1021"/>
      <c r="W2" s="169"/>
      <c r="X2" s="169"/>
      <c r="Y2" s="169"/>
      <c r="Z2" s="169"/>
      <c r="AA2" s="169"/>
      <c r="AB2" s="169"/>
    </row>
    <row r="3" spans="1:28">
      <c r="A3" s="258" t="s">
        <v>1074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180"/>
      <c r="V3" s="227"/>
      <c r="W3" s="180"/>
      <c r="X3" s="180"/>
      <c r="Y3" s="180"/>
      <c r="Z3" s="180"/>
      <c r="AA3" s="180"/>
      <c r="AB3" s="180"/>
    </row>
    <row r="4" spans="1:28">
      <c r="A4" s="231" t="s">
        <v>927</v>
      </c>
      <c r="B4" s="227"/>
      <c r="C4" s="227"/>
      <c r="D4" s="227"/>
      <c r="E4" s="227"/>
      <c r="F4" s="227"/>
      <c r="G4" s="267"/>
      <c r="H4" s="232">
        <v>1813</v>
      </c>
      <c r="I4" s="232">
        <v>2426</v>
      </c>
      <c r="J4" s="232">
        <v>1444</v>
      </c>
      <c r="K4" s="232">
        <v>1067</v>
      </c>
      <c r="L4" s="232">
        <v>1389</v>
      </c>
      <c r="M4" s="232">
        <v>1596</v>
      </c>
      <c r="N4" s="232">
        <v>1916</v>
      </c>
      <c r="O4" s="223">
        <f t="shared" ref="O4:T5" si="0">N4*(1+O15)</f>
        <v>2145.92</v>
      </c>
      <c r="P4" s="223">
        <f t="shared" si="0"/>
        <v>2339.0528000000004</v>
      </c>
      <c r="Q4" s="223">
        <f t="shared" si="0"/>
        <v>2502.7864960000006</v>
      </c>
      <c r="R4" s="223">
        <f t="shared" si="0"/>
        <v>2627.9258208000006</v>
      </c>
      <c r="S4" s="223">
        <f t="shared" si="0"/>
        <v>2680.4843372160008</v>
      </c>
      <c r="T4" s="223">
        <f t="shared" si="0"/>
        <v>2734.094023960321</v>
      </c>
      <c r="U4" s="180"/>
      <c r="V4" s="227"/>
      <c r="W4" s="180"/>
      <c r="X4" s="180"/>
      <c r="Y4" s="180"/>
      <c r="Z4" s="180"/>
      <c r="AA4" s="180"/>
      <c r="AB4" s="180"/>
    </row>
    <row r="5" spans="1:28">
      <c r="A5" s="231" t="s">
        <v>928</v>
      </c>
      <c r="B5" s="227"/>
      <c r="C5" s="227"/>
      <c r="D5" s="227"/>
      <c r="E5" s="227"/>
      <c r="F5" s="227"/>
      <c r="G5" s="267"/>
      <c r="H5" s="232">
        <v>656</v>
      </c>
      <c r="I5" s="232">
        <v>895</v>
      </c>
      <c r="J5" s="232">
        <v>478</v>
      </c>
      <c r="K5" s="232">
        <v>408</v>
      </c>
      <c r="L5" s="232">
        <v>589</v>
      </c>
      <c r="M5" s="232">
        <v>881</v>
      </c>
      <c r="N5" s="232">
        <v>1121</v>
      </c>
      <c r="O5" s="223">
        <f t="shared" si="0"/>
        <v>1277.94</v>
      </c>
      <c r="P5" s="223">
        <f t="shared" si="0"/>
        <v>1444.0721999999998</v>
      </c>
      <c r="Q5" s="223">
        <f t="shared" si="0"/>
        <v>1631.8015859999996</v>
      </c>
      <c r="R5" s="223">
        <f t="shared" si="0"/>
        <v>1843.9357921799995</v>
      </c>
      <c r="S5" s="223">
        <f t="shared" si="0"/>
        <v>1936.1325817889995</v>
      </c>
      <c r="T5" s="223">
        <f t="shared" si="0"/>
        <v>2013.5778850605595</v>
      </c>
      <c r="U5" s="180"/>
      <c r="V5" s="227"/>
      <c r="W5" s="180"/>
      <c r="X5" s="180"/>
      <c r="Y5" s="180"/>
      <c r="Z5" s="180"/>
      <c r="AA5" s="180"/>
      <c r="AB5" s="180"/>
    </row>
    <row r="6" spans="1:28">
      <c r="A6" s="57" t="s">
        <v>1226</v>
      </c>
      <c r="B6" s="57"/>
      <c r="C6" s="57"/>
      <c r="D6" s="57"/>
      <c r="E6" s="57"/>
      <c r="F6" s="57"/>
      <c r="G6" s="234">
        <v>2718.5349211528001</v>
      </c>
      <c r="H6" s="236">
        <v>2511</v>
      </c>
      <c r="I6" s="236">
        <v>3321</v>
      </c>
      <c r="J6" s="236">
        <v>1922</v>
      </c>
      <c r="K6" s="236">
        <v>1475</v>
      </c>
      <c r="L6" s="236">
        <v>1978</v>
      </c>
      <c r="M6" s="236">
        <v>2477</v>
      </c>
      <c r="N6" s="236">
        <v>3037</v>
      </c>
      <c r="O6" s="234">
        <f t="shared" ref="O6:T6" si="1">SUM(O4:O5)</f>
        <v>3423.86</v>
      </c>
      <c r="P6" s="234">
        <f t="shared" si="1"/>
        <v>3783.125</v>
      </c>
      <c r="Q6" s="234">
        <f t="shared" si="1"/>
        <v>4134.5880820000002</v>
      </c>
      <c r="R6" s="234">
        <f t="shared" si="1"/>
        <v>4471.8616129800002</v>
      </c>
      <c r="S6" s="234">
        <f t="shared" si="1"/>
        <v>4616.6169190050005</v>
      </c>
      <c r="T6" s="234">
        <f t="shared" si="1"/>
        <v>4747.6719090208808</v>
      </c>
      <c r="U6" s="180"/>
      <c r="V6" s="227"/>
      <c r="W6" s="180"/>
      <c r="X6" s="180"/>
      <c r="Y6" s="180"/>
      <c r="Z6" s="180"/>
      <c r="AA6" s="180"/>
      <c r="AB6" s="180"/>
    </row>
    <row r="7" spans="1:28">
      <c r="A7" s="323" t="s">
        <v>1242</v>
      </c>
      <c r="B7" s="227"/>
      <c r="C7" s="227"/>
      <c r="D7" s="227"/>
      <c r="E7" s="227"/>
      <c r="F7" s="227"/>
      <c r="G7" s="227"/>
      <c r="H7" s="346">
        <f t="shared" ref="H7:T7" si="2">H6/G6-1</f>
        <v>-7.6340722915854475E-2</v>
      </c>
      <c r="I7" s="347">
        <f t="shared" si="2"/>
        <v>0.32258064516129026</v>
      </c>
      <c r="J7" s="346">
        <f t="shared" si="2"/>
        <v>-0.42125865703101473</v>
      </c>
      <c r="K7" s="346">
        <f t="shared" si="2"/>
        <v>-0.2325702393340271</v>
      </c>
      <c r="L7" s="346">
        <f t="shared" si="2"/>
        <v>0.34101694915254233</v>
      </c>
      <c r="M7" s="346">
        <f t="shared" si="2"/>
        <v>0.25227502527805856</v>
      </c>
      <c r="N7" s="346">
        <f t="shared" si="2"/>
        <v>0.22607993540573279</v>
      </c>
      <c r="O7" s="346">
        <f t="shared" si="2"/>
        <v>0.12738228514981897</v>
      </c>
      <c r="P7" s="346">
        <f t="shared" si="2"/>
        <v>0.10492981605556295</v>
      </c>
      <c r="Q7" s="346">
        <f t="shared" si="2"/>
        <v>9.2902846720634535E-2</v>
      </c>
      <c r="R7" s="346">
        <f t="shared" si="2"/>
        <v>8.1573671739713527E-2</v>
      </c>
      <c r="S7" s="346">
        <f t="shared" si="2"/>
        <v>3.2370256182533419E-2</v>
      </c>
      <c r="T7" s="346">
        <f t="shared" si="2"/>
        <v>2.8387668354368456E-2</v>
      </c>
      <c r="U7" s="180"/>
      <c r="V7" s="227"/>
      <c r="W7" s="180"/>
      <c r="X7" s="180"/>
      <c r="Y7" s="180"/>
      <c r="Z7" s="180"/>
      <c r="AA7" s="180"/>
      <c r="AB7" s="180"/>
    </row>
    <row r="8" spans="1:28">
      <c r="A8" s="323" t="s">
        <v>1291</v>
      </c>
      <c r="B8" s="227"/>
      <c r="C8" s="227"/>
      <c r="D8" s="227"/>
      <c r="E8" s="227"/>
      <c r="F8" s="227"/>
      <c r="G8" s="227"/>
      <c r="H8" s="346"/>
      <c r="I8" s="347"/>
      <c r="J8" s="351">
        <v>-0.40400000000000003</v>
      </c>
      <c r="K8" s="351">
        <v>-0.19900000000000001</v>
      </c>
      <c r="L8" s="351">
        <v>0.251</v>
      </c>
      <c r="M8" s="351">
        <v>0.32800000000000001</v>
      </c>
      <c r="N8" s="351">
        <v>0.252</v>
      </c>
      <c r="O8" s="347"/>
      <c r="P8" s="347"/>
      <c r="Q8" s="347"/>
      <c r="R8" s="347"/>
      <c r="S8" s="347"/>
      <c r="T8" s="347"/>
      <c r="U8" s="180"/>
      <c r="V8" s="227"/>
      <c r="W8" s="180"/>
      <c r="X8" s="180"/>
      <c r="Y8" s="180"/>
      <c r="Z8" s="180"/>
      <c r="AA8" s="180"/>
      <c r="AB8" s="180"/>
    </row>
    <row r="9" spans="1:28">
      <c r="A9" s="323"/>
      <c r="B9" s="227"/>
      <c r="C9" s="227"/>
      <c r="D9" s="227"/>
      <c r="E9" s="227"/>
      <c r="F9" s="227"/>
      <c r="G9" s="227"/>
      <c r="H9" s="346"/>
      <c r="I9" s="347"/>
      <c r="J9" s="351"/>
      <c r="K9" s="351"/>
      <c r="L9" s="347"/>
      <c r="M9" s="347"/>
      <c r="N9" s="347"/>
      <c r="O9" s="347"/>
      <c r="P9" s="347"/>
      <c r="Q9" s="347"/>
      <c r="R9" s="347"/>
      <c r="S9" s="347"/>
      <c r="T9" s="347"/>
      <c r="U9" s="180"/>
      <c r="V9" s="227"/>
      <c r="W9" s="180"/>
      <c r="X9" s="180"/>
      <c r="Y9" s="180"/>
      <c r="Z9" s="180"/>
      <c r="AA9" s="180"/>
      <c r="AB9" s="180"/>
    </row>
    <row r="10" spans="1:28">
      <c r="A10" s="181" t="s">
        <v>1278</v>
      </c>
      <c r="B10" s="180"/>
      <c r="C10" s="180"/>
      <c r="D10" s="180"/>
      <c r="E10" s="180"/>
      <c r="F10" s="180"/>
      <c r="G10" s="180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180"/>
      <c r="V10" s="227"/>
      <c r="W10" s="180"/>
      <c r="X10" s="180"/>
      <c r="Y10" s="180"/>
      <c r="Z10" s="180"/>
      <c r="AA10" s="180"/>
      <c r="AB10" s="180"/>
    </row>
    <row r="11" spans="1:28">
      <c r="A11" s="231" t="s">
        <v>927</v>
      </c>
      <c r="B11" s="227"/>
      <c r="C11" s="227"/>
      <c r="D11" s="227"/>
      <c r="E11" s="227"/>
      <c r="F11" s="227"/>
      <c r="G11" s="227"/>
      <c r="H11" s="269">
        <f>H4/(H4+H5)</f>
        <v>0.73430538679627377</v>
      </c>
      <c r="I11" s="269">
        <f t="shared" ref="I11:T11" si="3">I4/I6</f>
        <v>0.73050286058416136</v>
      </c>
      <c r="J11" s="269">
        <f t="shared" si="3"/>
        <v>0.7513007284079084</v>
      </c>
      <c r="K11" s="269">
        <f t="shared" si="3"/>
        <v>0.72338983050847461</v>
      </c>
      <c r="L11" s="269">
        <f t="shared" si="3"/>
        <v>0.70222446916076842</v>
      </c>
      <c r="M11" s="269">
        <f t="shared" si="3"/>
        <v>0.64432781590633836</v>
      </c>
      <c r="N11" s="269">
        <f t="shared" si="3"/>
        <v>0.63088574250905494</v>
      </c>
      <c r="O11" s="269">
        <f t="shared" si="3"/>
        <v>0.62675459861092453</v>
      </c>
      <c r="P11" s="269">
        <f t="shared" si="3"/>
        <v>0.61828588798942685</v>
      </c>
      <c r="Q11" s="269">
        <f t="shared" si="3"/>
        <v>0.60532910325358025</v>
      </c>
      <c r="R11" s="269">
        <f t="shared" si="3"/>
        <v>0.587658127248884</v>
      </c>
      <c r="S11" s="269">
        <f t="shared" si="3"/>
        <v>0.58061658228157986</v>
      </c>
      <c r="T11" s="269">
        <f t="shared" si="3"/>
        <v>0.57588099522323077</v>
      </c>
      <c r="U11" s="180"/>
      <c r="V11" s="227"/>
      <c r="W11" s="180"/>
      <c r="X11" s="180"/>
      <c r="Y11" s="180"/>
      <c r="Z11" s="180"/>
      <c r="AA11" s="180"/>
      <c r="AB11" s="180"/>
    </row>
    <row r="12" spans="1:28">
      <c r="A12" s="231" t="s">
        <v>928</v>
      </c>
      <c r="B12" s="227"/>
      <c r="C12" s="227"/>
      <c r="D12" s="227"/>
      <c r="E12" s="227"/>
      <c r="F12" s="227"/>
      <c r="G12" s="227"/>
      <c r="H12" s="269">
        <f t="shared" ref="H12:T12" si="4">1-H11</f>
        <v>0.26569461320372623</v>
      </c>
      <c r="I12" s="269">
        <f t="shared" si="4"/>
        <v>0.26949713941583864</v>
      </c>
      <c r="J12" s="269">
        <f t="shared" si="4"/>
        <v>0.2486992715920916</v>
      </c>
      <c r="K12" s="269">
        <f t="shared" si="4"/>
        <v>0.27661016949152539</v>
      </c>
      <c r="L12" s="269">
        <f t="shared" si="4"/>
        <v>0.29777553083923158</v>
      </c>
      <c r="M12" s="269">
        <f t="shared" si="4"/>
        <v>0.35567218409366164</v>
      </c>
      <c r="N12" s="269">
        <f t="shared" si="4"/>
        <v>0.36911425749094506</v>
      </c>
      <c r="O12" s="269">
        <f t="shared" si="4"/>
        <v>0.37324540138907547</v>
      </c>
      <c r="P12" s="269">
        <f t="shared" si="4"/>
        <v>0.38171411201057315</v>
      </c>
      <c r="Q12" s="269">
        <f t="shared" si="4"/>
        <v>0.39467089674641975</v>
      </c>
      <c r="R12" s="269">
        <f t="shared" si="4"/>
        <v>0.412341872751116</v>
      </c>
      <c r="S12" s="269">
        <f t="shared" si="4"/>
        <v>0.41938341771842014</v>
      </c>
      <c r="T12" s="269">
        <f t="shared" si="4"/>
        <v>0.42411900477676923</v>
      </c>
      <c r="U12" s="180"/>
      <c r="V12" s="227"/>
      <c r="W12" s="180"/>
      <c r="X12" s="180"/>
      <c r="Y12" s="180"/>
      <c r="Z12" s="180"/>
      <c r="AA12" s="180"/>
      <c r="AB12" s="180"/>
    </row>
    <row r="13" spans="1:28">
      <c r="A13" s="231"/>
      <c r="B13" s="227"/>
      <c r="C13" s="227"/>
      <c r="D13" s="227"/>
      <c r="E13" s="227"/>
      <c r="F13" s="227"/>
      <c r="G13" s="227"/>
      <c r="H13" s="269"/>
      <c r="I13" s="269"/>
      <c r="J13" s="269"/>
      <c r="K13" s="269"/>
      <c r="L13" s="237"/>
      <c r="M13" s="237"/>
      <c r="N13" s="237"/>
      <c r="O13" s="237"/>
      <c r="P13" s="237"/>
      <c r="Q13" s="237"/>
      <c r="R13" s="237"/>
      <c r="S13" s="237"/>
      <c r="T13" s="237"/>
      <c r="U13" s="180"/>
      <c r="V13" s="227"/>
      <c r="W13" s="180"/>
      <c r="X13" s="180"/>
      <c r="Y13" s="180"/>
      <c r="Z13" s="180"/>
      <c r="AA13" s="180"/>
      <c r="AB13" s="180"/>
    </row>
    <row r="14" spans="1:28">
      <c r="A14" s="181" t="s">
        <v>1277</v>
      </c>
      <c r="B14" s="227"/>
      <c r="C14" s="227"/>
      <c r="D14" s="227"/>
      <c r="E14" s="227"/>
      <c r="F14" s="227"/>
      <c r="G14" s="227"/>
      <c r="H14" s="269"/>
      <c r="I14" s="269"/>
      <c r="J14" s="269"/>
      <c r="K14" s="269"/>
      <c r="L14" s="237"/>
      <c r="M14" s="237"/>
      <c r="N14" s="237"/>
      <c r="O14" s="237"/>
      <c r="P14" s="237"/>
      <c r="Q14" s="237"/>
      <c r="R14" s="237"/>
      <c r="S14" s="237"/>
      <c r="T14" s="237"/>
      <c r="U14" s="180"/>
      <c r="V14" s="227"/>
      <c r="W14" s="180"/>
      <c r="X14" s="180"/>
      <c r="Y14" s="180"/>
      <c r="Z14" s="180"/>
      <c r="AA14" s="180"/>
      <c r="AB14" s="180"/>
    </row>
    <row r="15" spans="1:28">
      <c r="A15" s="231" t="s">
        <v>927</v>
      </c>
      <c r="B15" s="227"/>
      <c r="C15" s="227"/>
      <c r="D15" s="227"/>
      <c r="E15" s="227"/>
      <c r="F15" s="227"/>
      <c r="G15" s="227"/>
      <c r="H15" s="237"/>
      <c r="I15" s="237">
        <f t="shared" ref="I15:N16" si="5">I4/H4-1</f>
        <v>0.33811362382790944</v>
      </c>
      <c r="J15" s="237">
        <f t="shared" si="5"/>
        <v>-0.40478153338829348</v>
      </c>
      <c r="K15" s="237">
        <f t="shared" si="5"/>
        <v>-0.2610803324099723</v>
      </c>
      <c r="L15" s="237">
        <f t="shared" si="5"/>
        <v>0.30178069353327075</v>
      </c>
      <c r="M15" s="237">
        <f t="shared" si="5"/>
        <v>0.1490280777537798</v>
      </c>
      <c r="N15" s="237">
        <f t="shared" si="5"/>
        <v>0.20050125313283207</v>
      </c>
      <c r="O15" s="944">
        <v>0.12</v>
      </c>
      <c r="P15" s="944">
        <v>0.09</v>
      </c>
      <c r="Q15" s="944">
        <v>7.0000000000000007E-2</v>
      </c>
      <c r="R15" s="944">
        <v>0.05</v>
      </c>
      <c r="S15" s="944">
        <v>0.02</v>
      </c>
      <c r="T15" s="944">
        <v>0.02</v>
      </c>
      <c r="U15" s="180"/>
      <c r="V15" s="227"/>
      <c r="W15" s="180"/>
      <c r="X15" s="180"/>
      <c r="Y15" s="180"/>
      <c r="Z15" s="180"/>
      <c r="AA15" s="180"/>
      <c r="AB15" s="180"/>
    </row>
    <row r="16" spans="1:28">
      <c r="A16" s="231" t="s">
        <v>928</v>
      </c>
      <c r="B16" s="227"/>
      <c r="C16" s="227"/>
      <c r="D16" s="227"/>
      <c r="E16" s="227"/>
      <c r="F16" s="227"/>
      <c r="G16" s="227"/>
      <c r="H16" s="237"/>
      <c r="I16" s="237">
        <f t="shared" si="5"/>
        <v>0.36432926829268286</v>
      </c>
      <c r="J16" s="237">
        <f t="shared" si="5"/>
        <v>-0.46592178770949721</v>
      </c>
      <c r="K16" s="237">
        <f t="shared" si="5"/>
        <v>-0.14644351464435146</v>
      </c>
      <c r="L16" s="237">
        <f t="shared" si="5"/>
        <v>0.44362745098039214</v>
      </c>
      <c r="M16" s="237">
        <f t="shared" si="5"/>
        <v>0.49575551782682514</v>
      </c>
      <c r="N16" s="237">
        <f t="shared" si="5"/>
        <v>0.27241770715096481</v>
      </c>
      <c r="O16" s="944">
        <v>0.14000000000000001</v>
      </c>
      <c r="P16" s="944">
        <v>0.13</v>
      </c>
      <c r="Q16" s="944">
        <v>0.13</v>
      </c>
      <c r="R16" s="944">
        <v>0.13</v>
      </c>
      <c r="S16" s="944">
        <v>0.05</v>
      </c>
      <c r="T16" s="944">
        <v>0.04</v>
      </c>
      <c r="U16" s="180"/>
      <c r="V16" s="227"/>
      <c r="W16" s="180"/>
      <c r="X16" s="180"/>
      <c r="Y16" s="180"/>
      <c r="Z16" s="180"/>
      <c r="AA16" s="180"/>
      <c r="AB16" s="180"/>
    </row>
    <row r="17" spans="1:28">
      <c r="A17" s="348"/>
      <c r="B17" s="227"/>
      <c r="C17" s="227"/>
      <c r="D17" s="227"/>
      <c r="E17" s="227"/>
      <c r="F17" s="227"/>
      <c r="G17" s="227"/>
      <c r="H17" s="339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180"/>
      <c r="V17" s="227"/>
      <c r="W17" s="180"/>
      <c r="X17" s="180"/>
      <c r="Y17" s="180"/>
      <c r="Z17" s="180"/>
      <c r="AA17" s="180"/>
      <c r="AB17" s="180"/>
    </row>
    <row r="18" spans="1:28">
      <c r="A18" s="258" t="s">
        <v>1094</v>
      </c>
      <c r="B18" s="260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180"/>
      <c r="V18" s="227"/>
      <c r="W18" s="180"/>
      <c r="X18" s="180"/>
      <c r="Y18" s="180"/>
      <c r="Z18" s="180"/>
      <c r="AA18" s="180"/>
      <c r="AB18" s="180"/>
    </row>
    <row r="19" spans="1:28">
      <c r="A19" s="332" t="s">
        <v>1279</v>
      </c>
      <c r="B19" s="180"/>
      <c r="C19" s="180"/>
      <c r="D19" s="180"/>
      <c r="E19" s="180"/>
      <c r="F19" s="180"/>
      <c r="G19" s="349">
        <v>-129.30516188818871</v>
      </c>
      <c r="H19" s="349">
        <v>81</v>
      </c>
      <c r="I19" s="349">
        <v>188</v>
      </c>
      <c r="J19" s="349">
        <v>-174</v>
      </c>
      <c r="K19" s="349">
        <v>-167</v>
      </c>
      <c r="L19" s="349">
        <v>-140</v>
      </c>
      <c r="M19" s="349">
        <v>-116</v>
      </c>
      <c r="N19" s="349">
        <v>27</v>
      </c>
      <c r="O19" s="304">
        <f t="shared" ref="O19:T19" si="6">N19+O30</f>
        <v>106.69281550872572</v>
      </c>
      <c r="P19" s="304">
        <f t="shared" si="6"/>
        <v>200.53140626440566</v>
      </c>
      <c r="Q19" s="304">
        <f t="shared" si="6"/>
        <v>309.38033969793548</v>
      </c>
      <c r="R19" s="304">
        <f t="shared" si="6"/>
        <v>401.1613011765312</v>
      </c>
      <c r="S19" s="304">
        <f t="shared" si="6"/>
        <v>431.91275843864673</v>
      </c>
      <c r="T19" s="304">
        <f t="shared" si="6"/>
        <v>446.20993327077423</v>
      </c>
      <c r="U19" s="180"/>
      <c r="V19" s="227"/>
      <c r="W19" s="180"/>
      <c r="X19" s="180"/>
      <c r="Y19" s="180"/>
      <c r="Z19" s="180"/>
      <c r="AA19" s="180"/>
      <c r="AB19" s="180"/>
    </row>
    <row r="20" spans="1:28">
      <c r="A20" s="230" t="s">
        <v>903</v>
      </c>
      <c r="B20" s="227"/>
      <c r="C20" s="227"/>
      <c r="D20" s="227"/>
      <c r="E20" s="227"/>
      <c r="F20" s="227"/>
      <c r="G20" s="270">
        <f t="shared" ref="G20:T20" si="7">G19/G6</f>
        <v>-4.7564282099917483E-2</v>
      </c>
      <c r="H20" s="270">
        <f t="shared" si="7"/>
        <v>3.2258064516129031E-2</v>
      </c>
      <c r="I20" s="270">
        <f t="shared" si="7"/>
        <v>5.6609454983438723E-2</v>
      </c>
      <c r="J20" s="270">
        <f t="shared" si="7"/>
        <v>-9.053069719042664E-2</v>
      </c>
      <c r="K20" s="270">
        <f t="shared" si="7"/>
        <v>-0.11322033898305085</v>
      </c>
      <c r="L20" s="270">
        <f t="shared" si="7"/>
        <v>-7.0778564206268962E-2</v>
      </c>
      <c r="M20" s="270">
        <f t="shared" si="7"/>
        <v>-4.6830843762616065E-2</v>
      </c>
      <c r="N20" s="270">
        <f t="shared" si="7"/>
        <v>8.8903523213697735E-3</v>
      </c>
      <c r="O20" s="270">
        <f t="shared" si="7"/>
        <v>3.1161559032415378E-2</v>
      </c>
      <c r="P20" s="270">
        <f t="shared" si="7"/>
        <v>5.3006814806385111E-2</v>
      </c>
      <c r="Q20" s="270">
        <f t="shared" si="7"/>
        <v>7.4827366973950343E-2</v>
      </c>
      <c r="R20" s="270">
        <f t="shared" si="7"/>
        <v>8.9707897044962806E-2</v>
      </c>
      <c r="S20" s="270">
        <f t="shared" si="7"/>
        <v>9.3556118260671076E-2</v>
      </c>
      <c r="T20" s="270">
        <f t="shared" si="7"/>
        <v>9.3984997662316716E-2</v>
      </c>
      <c r="U20" s="180"/>
      <c r="V20" s="227"/>
      <c r="W20" s="180"/>
      <c r="X20" s="180"/>
      <c r="Y20" s="180"/>
      <c r="Z20" s="180"/>
      <c r="AA20" s="180"/>
      <c r="AB20" s="180"/>
    </row>
    <row r="21" spans="1:28">
      <c r="A21" s="1018" t="s">
        <v>1292</v>
      </c>
      <c r="B21" s="1017"/>
      <c r="C21" s="1017"/>
      <c r="D21" s="1017"/>
      <c r="E21" s="1017"/>
      <c r="F21" s="1017"/>
      <c r="G21" s="1017"/>
      <c r="H21" s="1017"/>
      <c r="I21" s="1017"/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7"/>
      <c r="U21" s="180"/>
      <c r="V21" s="227"/>
      <c r="W21" s="180"/>
      <c r="X21" s="180"/>
      <c r="Y21" s="180"/>
      <c r="Z21" s="180"/>
      <c r="AA21" s="180"/>
      <c r="AB21" s="180"/>
    </row>
    <row r="22" spans="1:28">
      <c r="A22" s="227" t="s">
        <v>1069</v>
      </c>
      <c r="B22" s="180"/>
      <c r="C22" s="180"/>
      <c r="D22" s="180"/>
      <c r="E22" s="180"/>
      <c r="F22" s="180"/>
      <c r="G22" s="227"/>
      <c r="H22" s="353">
        <v>-98.852513165540699</v>
      </c>
      <c r="I22" s="353">
        <v>46.705778586230487</v>
      </c>
      <c r="J22" s="353">
        <v>-268.33680000000004</v>
      </c>
      <c r="K22" s="353">
        <v>-97.768000000000001</v>
      </c>
      <c r="L22" s="353">
        <v>89.195326820457453</v>
      </c>
      <c r="M22" s="353">
        <v>97.788856674430633</v>
      </c>
      <c r="N22" s="200">
        <v>90.536227677135088</v>
      </c>
      <c r="O22" s="200">
        <f t="shared" ref="O22:T22" si="8">(O6-N6)*O33</f>
        <v>46.423200000000016</v>
      </c>
      <c r="P22" s="200">
        <f t="shared" si="8"/>
        <v>53.889749999999978</v>
      </c>
      <c r="Q22" s="200">
        <f t="shared" si="8"/>
        <v>63.263354760000034</v>
      </c>
      <c r="R22" s="200">
        <f t="shared" si="8"/>
        <v>40.472823717600001</v>
      </c>
      <c r="S22" s="200">
        <f t="shared" si="8"/>
        <v>2.8951061205000044</v>
      </c>
      <c r="T22" s="200">
        <f t="shared" si="8"/>
        <v>2.6210998003176065</v>
      </c>
      <c r="U22" s="180"/>
      <c r="V22" s="227"/>
      <c r="W22" s="180"/>
      <c r="X22" s="180"/>
      <c r="Y22" s="180"/>
      <c r="Z22" s="180"/>
      <c r="AA22" s="180"/>
      <c r="AB22" s="180"/>
    </row>
    <row r="23" spans="1:28">
      <c r="A23" s="227" t="s">
        <v>932</v>
      </c>
      <c r="B23" s="180"/>
      <c r="C23" s="180"/>
      <c r="D23" s="180"/>
      <c r="E23" s="180"/>
      <c r="F23" s="180"/>
      <c r="G23" s="200"/>
      <c r="H23" s="200">
        <v>25.11</v>
      </c>
      <c r="I23" s="200">
        <v>33.21</v>
      </c>
      <c r="J23" s="200">
        <v>0</v>
      </c>
      <c r="K23" s="200">
        <v>29.5</v>
      </c>
      <c r="L23" s="200">
        <v>39.56</v>
      </c>
      <c r="M23" s="200">
        <v>49.54</v>
      </c>
      <c r="N23" s="200">
        <v>60.74</v>
      </c>
      <c r="O23" s="200">
        <f t="shared" ref="O23:T23" si="9">O34*O6</f>
        <v>68.477200000000011</v>
      </c>
      <c r="P23" s="200">
        <f t="shared" si="9"/>
        <v>75.662500000000009</v>
      </c>
      <c r="Q23" s="200">
        <f t="shared" si="9"/>
        <v>82.69176164000001</v>
      </c>
      <c r="R23" s="200">
        <f t="shared" si="9"/>
        <v>89.437232259600009</v>
      </c>
      <c r="S23" s="200">
        <f t="shared" si="9"/>
        <v>46.166169190050006</v>
      </c>
      <c r="T23" s="200">
        <f t="shared" si="9"/>
        <v>23.738359545104405</v>
      </c>
      <c r="U23" s="180"/>
      <c r="V23" s="227"/>
      <c r="W23" s="180"/>
      <c r="X23" s="180"/>
      <c r="Y23" s="180"/>
      <c r="Z23" s="180"/>
      <c r="AA23" s="180"/>
      <c r="AB23" s="180"/>
    </row>
    <row r="24" spans="1:28">
      <c r="A24" s="227" t="s">
        <v>938</v>
      </c>
      <c r="B24" s="180"/>
      <c r="C24" s="180"/>
      <c r="D24" s="180"/>
      <c r="E24" s="180"/>
      <c r="F24" s="180"/>
      <c r="G24" s="200"/>
      <c r="H24" s="200">
        <v>-25.11</v>
      </c>
      <c r="I24" s="200">
        <v>-33.21</v>
      </c>
      <c r="J24" s="200">
        <v>0</v>
      </c>
      <c r="K24" s="200">
        <v>-7.375</v>
      </c>
      <c r="L24" s="200">
        <v>-9.89</v>
      </c>
      <c r="M24" s="200">
        <v>-12.385</v>
      </c>
      <c r="N24" s="200">
        <v>-15.185</v>
      </c>
      <c r="O24" s="200">
        <f t="shared" ref="O24:T24" si="10">-O23*0.25</f>
        <v>-17.119300000000003</v>
      </c>
      <c r="P24" s="200">
        <f t="shared" si="10"/>
        <v>-18.915625000000002</v>
      </c>
      <c r="Q24" s="200">
        <f t="shared" si="10"/>
        <v>-20.672940410000002</v>
      </c>
      <c r="R24" s="200">
        <f t="shared" si="10"/>
        <v>-22.359308064900002</v>
      </c>
      <c r="S24" s="200">
        <f t="shared" si="10"/>
        <v>-11.541542297512501</v>
      </c>
      <c r="T24" s="200">
        <f t="shared" si="10"/>
        <v>-5.9345898862761013</v>
      </c>
      <c r="U24" s="180"/>
      <c r="V24" s="227"/>
      <c r="W24" s="180"/>
      <c r="X24" s="180"/>
      <c r="Y24" s="180"/>
      <c r="Z24" s="180"/>
      <c r="AA24" s="180"/>
      <c r="AB24" s="180"/>
    </row>
    <row r="25" spans="1:28">
      <c r="A25" s="227" t="s">
        <v>908</v>
      </c>
      <c r="B25" s="180"/>
      <c r="C25" s="180"/>
      <c r="D25" s="180"/>
      <c r="E25" s="180"/>
      <c r="F25" s="180"/>
      <c r="G25" s="180"/>
      <c r="H25" s="180">
        <v>35</v>
      </c>
      <c r="I25" s="180">
        <v>50</v>
      </c>
      <c r="J25" s="180">
        <v>20</v>
      </c>
      <c r="K25" s="180">
        <v>10</v>
      </c>
      <c r="L25" s="180">
        <v>10</v>
      </c>
      <c r="M25" s="180">
        <v>0</v>
      </c>
      <c r="N25" s="180">
        <v>0</v>
      </c>
      <c r="O25" s="180"/>
      <c r="P25" s="180"/>
      <c r="Q25" s="180"/>
      <c r="R25" s="180"/>
      <c r="S25" s="180"/>
      <c r="T25" s="180"/>
      <c r="U25" s="180"/>
      <c r="V25" s="227"/>
      <c r="W25" s="180"/>
      <c r="X25" s="180"/>
      <c r="Y25" s="180"/>
      <c r="Z25" s="180"/>
      <c r="AA25" s="180"/>
      <c r="AB25" s="180"/>
    </row>
    <row r="26" spans="1:28">
      <c r="A26" s="227" t="s">
        <v>1073</v>
      </c>
      <c r="B26" s="180"/>
      <c r="C26" s="180"/>
      <c r="D26" s="180"/>
      <c r="E26" s="180"/>
      <c r="F26" s="180"/>
      <c r="G26" s="180"/>
      <c r="H26" s="180">
        <v>-37.5</v>
      </c>
      <c r="I26" s="180">
        <v>0</v>
      </c>
      <c r="J26" s="180">
        <v>-25</v>
      </c>
      <c r="K26" s="180">
        <v>0</v>
      </c>
      <c r="L26" s="180">
        <v>-5</v>
      </c>
      <c r="M26" s="180">
        <v>0</v>
      </c>
      <c r="N26" s="180">
        <v>0</v>
      </c>
      <c r="O26" s="180"/>
      <c r="P26" s="180"/>
      <c r="Q26" s="180"/>
      <c r="R26" s="180"/>
      <c r="S26" s="180"/>
      <c r="T26" s="180"/>
      <c r="U26" s="180"/>
      <c r="V26" s="227"/>
      <c r="W26" s="180"/>
      <c r="X26" s="180"/>
      <c r="Y26" s="180"/>
      <c r="Z26" s="180"/>
      <c r="AA26" s="180"/>
      <c r="AB26" s="180"/>
    </row>
    <row r="27" spans="1:28">
      <c r="A27" s="227" t="s">
        <v>758</v>
      </c>
      <c r="B27" s="180"/>
      <c r="C27" s="180"/>
      <c r="D27" s="180"/>
      <c r="E27" s="180"/>
      <c r="F27" s="180"/>
      <c r="G27" s="180"/>
      <c r="H27" s="200">
        <f t="shared" ref="H27:N27" si="11">H43-G43</f>
        <v>-1.2338820846849785</v>
      </c>
      <c r="I27" s="200">
        <f t="shared" si="11"/>
        <v>-39</v>
      </c>
      <c r="J27" s="200">
        <f t="shared" si="11"/>
        <v>39</v>
      </c>
      <c r="K27" s="200">
        <f t="shared" si="11"/>
        <v>63</v>
      </c>
      <c r="L27" s="200">
        <f t="shared" si="11"/>
        <v>-23</v>
      </c>
      <c r="M27" s="200">
        <f t="shared" si="11"/>
        <v>-14</v>
      </c>
      <c r="N27" s="200">
        <f t="shared" si="11"/>
        <v>-25</v>
      </c>
      <c r="O27" s="200">
        <f t="shared" ref="O27:T27" si="12">O43-N43</f>
        <v>-18.088284491274294</v>
      </c>
      <c r="P27" s="200">
        <f t="shared" si="12"/>
        <v>-16.798034244320036</v>
      </c>
      <c r="Q27" s="200">
        <f t="shared" si="12"/>
        <v>-16.433242556470219</v>
      </c>
      <c r="R27" s="200">
        <f t="shared" si="12"/>
        <v>-15.769786433704297</v>
      </c>
      <c r="S27" s="200">
        <f t="shared" si="12"/>
        <v>-6.7682757509219869</v>
      </c>
      <c r="T27" s="200">
        <f t="shared" si="12"/>
        <v>-6.1276946270184283</v>
      </c>
      <c r="U27" s="180"/>
      <c r="V27" s="227"/>
      <c r="W27" s="180"/>
      <c r="X27" s="180"/>
      <c r="Y27" s="180"/>
      <c r="Z27" s="180"/>
      <c r="AA27" s="180"/>
      <c r="AB27" s="180"/>
    </row>
    <row r="28" spans="1:28">
      <c r="A28" s="227" t="s">
        <v>753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227"/>
      <c r="W28" s="180"/>
      <c r="X28" s="180"/>
      <c r="Y28" s="180"/>
      <c r="Z28" s="180"/>
      <c r="AA28" s="180"/>
      <c r="AB28" s="180"/>
    </row>
    <row r="29" spans="1:28">
      <c r="A29" s="227" t="s">
        <v>752</v>
      </c>
      <c r="B29" s="227"/>
      <c r="C29" s="227"/>
      <c r="D29" s="227"/>
      <c r="E29" s="227"/>
      <c r="F29" s="227"/>
      <c r="G29" s="227"/>
      <c r="H29" s="233">
        <v>130</v>
      </c>
      <c r="I29" s="336">
        <f>(2/12*H19)</f>
        <v>13.5</v>
      </c>
      <c r="J29" s="233">
        <v>-120</v>
      </c>
      <c r="K29" s="233">
        <v>70</v>
      </c>
      <c r="L29" s="233">
        <v>-84</v>
      </c>
      <c r="M29" s="233">
        <f>-10-10-33-20</f>
        <v>-73</v>
      </c>
      <c r="N29" s="256">
        <f>33+20</f>
        <v>53</v>
      </c>
      <c r="O29" s="256"/>
      <c r="P29" s="256"/>
      <c r="Q29" s="180"/>
      <c r="R29" s="180"/>
      <c r="S29" s="180"/>
      <c r="T29" s="180"/>
      <c r="U29" s="180"/>
      <c r="V29" s="227"/>
      <c r="W29" s="180"/>
      <c r="X29" s="180"/>
      <c r="Y29" s="180"/>
      <c r="Z29" s="180"/>
      <c r="AA29" s="180"/>
      <c r="AB29" s="180"/>
    </row>
    <row r="30" spans="1:28">
      <c r="A30" s="57" t="s">
        <v>939</v>
      </c>
      <c r="B30" s="57"/>
      <c r="C30" s="57"/>
      <c r="D30" s="57"/>
      <c r="E30" s="57"/>
      <c r="F30" s="57"/>
      <c r="G30" s="57"/>
      <c r="H30" s="238">
        <f t="shared" ref="H30:N30" si="13">SUM(H22:H29)</f>
        <v>27.413604749774322</v>
      </c>
      <c r="I30" s="238">
        <f t="shared" si="13"/>
        <v>71.20577858623048</v>
      </c>
      <c r="J30" s="238">
        <f t="shared" si="13"/>
        <v>-354.33680000000004</v>
      </c>
      <c r="K30" s="238">
        <f t="shared" si="13"/>
        <v>67.356999999999999</v>
      </c>
      <c r="L30" s="238">
        <f t="shared" si="13"/>
        <v>16.865326820457483</v>
      </c>
      <c r="M30" s="238">
        <f t="shared" si="13"/>
        <v>47.943856674430634</v>
      </c>
      <c r="N30" s="238">
        <f t="shared" si="13"/>
        <v>164.09122767713509</v>
      </c>
      <c r="O30" s="238">
        <f t="shared" ref="O30:T30" si="14">SUM(O22:O29)</f>
        <v>79.692815508725715</v>
      </c>
      <c r="P30" s="238">
        <f t="shared" si="14"/>
        <v>93.838590755679945</v>
      </c>
      <c r="Q30" s="238">
        <f t="shared" si="14"/>
        <v>108.84893343352982</v>
      </c>
      <c r="R30" s="238">
        <f t="shared" si="14"/>
        <v>91.780961478595714</v>
      </c>
      <c r="S30" s="238">
        <f t="shared" si="14"/>
        <v>30.751457262115522</v>
      </c>
      <c r="T30" s="238">
        <f t="shared" si="14"/>
        <v>14.297174832127482</v>
      </c>
      <c r="U30" s="180"/>
      <c r="V30" s="227"/>
      <c r="W30" s="180"/>
      <c r="X30" s="180"/>
      <c r="Y30" s="180"/>
      <c r="Z30" s="180"/>
      <c r="AA30" s="180"/>
      <c r="AB30" s="180"/>
    </row>
    <row r="31" spans="1:28">
      <c r="A31" s="227"/>
      <c r="B31" s="180"/>
      <c r="C31" s="180"/>
      <c r="D31" s="180"/>
      <c r="E31" s="180"/>
      <c r="F31" s="180"/>
      <c r="G31" s="180"/>
      <c r="H31" s="180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180"/>
      <c r="V31" s="227"/>
      <c r="W31" s="180"/>
      <c r="X31" s="180"/>
      <c r="Y31" s="180"/>
      <c r="Z31" s="180"/>
      <c r="AA31" s="180"/>
      <c r="AB31" s="180"/>
    </row>
    <row r="32" spans="1:28">
      <c r="A32" s="258" t="s">
        <v>1290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180"/>
      <c r="V32" s="227"/>
      <c r="W32" s="180"/>
      <c r="X32" s="180"/>
      <c r="Y32" s="180"/>
      <c r="Z32" s="180"/>
      <c r="AA32" s="180"/>
      <c r="AB32" s="180"/>
    </row>
    <row r="33" spans="1:28">
      <c r="A33" s="227" t="s">
        <v>1297</v>
      </c>
      <c r="B33" s="180"/>
      <c r="C33" s="180"/>
      <c r="D33" s="180"/>
      <c r="E33" s="180"/>
      <c r="F33" s="180"/>
      <c r="G33" s="228">
        <v>0.14000000000000001</v>
      </c>
      <c r="H33" s="237">
        <f>G33</f>
        <v>0.14000000000000001</v>
      </c>
      <c r="I33" s="228">
        <v>0.18</v>
      </c>
      <c r="J33" s="228">
        <v>0.2</v>
      </c>
      <c r="K33" s="228">
        <v>0.22</v>
      </c>
      <c r="L33" s="228">
        <v>0.24</v>
      </c>
      <c r="M33" s="228">
        <v>0.24</v>
      </c>
      <c r="N33" s="229">
        <v>0.24</v>
      </c>
      <c r="O33" s="944">
        <v>0.12</v>
      </c>
      <c r="P33" s="944">
        <v>0.15</v>
      </c>
      <c r="Q33" s="944">
        <v>0.18</v>
      </c>
      <c r="R33" s="944">
        <v>0.12</v>
      </c>
      <c r="S33" s="944">
        <v>0.02</v>
      </c>
      <c r="T33" s="944">
        <v>0.02</v>
      </c>
      <c r="U33" s="180"/>
      <c r="V33" s="227"/>
      <c r="W33" s="180"/>
      <c r="X33" s="180"/>
      <c r="Y33" s="180"/>
      <c r="Z33" s="180"/>
      <c r="AA33" s="180"/>
      <c r="AB33" s="180"/>
    </row>
    <row r="34" spans="1:28">
      <c r="A34" s="227" t="s">
        <v>932</v>
      </c>
      <c r="B34" s="180"/>
      <c r="C34" s="180"/>
      <c r="D34" s="180"/>
      <c r="E34" s="180"/>
      <c r="F34" s="180"/>
      <c r="G34" s="228"/>
      <c r="H34" s="228">
        <v>0.01</v>
      </c>
      <c r="I34" s="228">
        <v>0.01</v>
      </c>
      <c r="J34" s="228">
        <v>0</v>
      </c>
      <c r="K34" s="228">
        <v>0.02</v>
      </c>
      <c r="L34" s="228">
        <v>0.02</v>
      </c>
      <c r="M34" s="228">
        <v>0.02</v>
      </c>
      <c r="N34" s="229">
        <v>0.02</v>
      </c>
      <c r="O34" s="944">
        <v>0.02</v>
      </c>
      <c r="P34" s="944">
        <v>0.02</v>
      </c>
      <c r="Q34" s="944">
        <v>0.02</v>
      </c>
      <c r="R34" s="944">
        <v>0.02</v>
      </c>
      <c r="S34" s="944">
        <v>0.01</v>
      </c>
      <c r="T34" s="944">
        <v>5.0000000000000001E-3</v>
      </c>
      <c r="U34" s="180"/>
      <c r="V34" s="227"/>
      <c r="W34" s="180"/>
      <c r="X34" s="180"/>
      <c r="Y34" s="180"/>
      <c r="Z34" s="180"/>
      <c r="AA34" s="180"/>
      <c r="AB34" s="180"/>
    </row>
    <row r="35" spans="1:28">
      <c r="A35" s="227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227"/>
      <c r="W35" s="180"/>
      <c r="X35" s="180"/>
      <c r="Y35" s="180"/>
      <c r="Z35" s="180"/>
      <c r="AA35" s="180"/>
      <c r="AB35" s="180"/>
    </row>
    <row r="36" spans="1:28">
      <c r="A36" s="258" t="s">
        <v>758</v>
      </c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180"/>
      <c r="V36" s="227"/>
      <c r="W36" s="180"/>
      <c r="X36" s="180"/>
      <c r="Y36" s="180"/>
      <c r="Z36" s="180"/>
      <c r="AA36" s="180"/>
      <c r="AB36" s="180"/>
    </row>
    <row r="37" spans="1:28">
      <c r="A37" s="332" t="s">
        <v>933</v>
      </c>
      <c r="B37" s="180"/>
      <c r="C37" s="180"/>
      <c r="D37" s="180"/>
      <c r="E37" s="180"/>
      <c r="F37" s="180"/>
      <c r="G37" s="200">
        <v>-151.21326806267876</v>
      </c>
      <c r="H37" s="200">
        <f t="shared" ref="H37:T37" si="15">H40-H39</f>
        <v>-178</v>
      </c>
      <c r="I37" s="200">
        <f t="shared" si="15"/>
        <v>-237</v>
      </c>
      <c r="J37" s="200">
        <f t="shared" si="15"/>
        <v>-173</v>
      </c>
      <c r="K37" s="200">
        <f t="shared" si="15"/>
        <v>-148</v>
      </c>
      <c r="L37" s="200">
        <f t="shared" si="15"/>
        <v>-137</v>
      </c>
      <c r="M37" s="200">
        <f t="shared" si="15"/>
        <v>-162</v>
      </c>
      <c r="N37" s="200">
        <f t="shared" si="15"/>
        <v>-193</v>
      </c>
      <c r="O37" s="200">
        <f t="shared" si="15"/>
        <v>-211.08828449127429</v>
      </c>
      <c r="P37" s="200">
        <f t="shared" si="15"/>
        <v>-227.88631873559433</v>
      </c>
      <c r="Q37" s="200">
        <f t="shared" si="15"/>
        <v>-244.31956129206455</v>
      </c>
      <c r="R37" s="200">
        <f t="shared" si="15"/>
        <v>-260.08934772576885</v>
      </c>
      <c r="S37" s="200">
        <f t="shared" si="15"/>
        <v>-266.85762347669083</v>
      </c>
      <c r="T37" s="200">
        <f t="shared" si="15"/>
        <v>-272.98531810370923</v>
      </c>
      <c r="U37" s="180"/>
      <c r="V37" s="227"/>
      <c r="W37" s="180"/>
      <c r="X37" s="180"/>
      <c r="Y37" s="180"/>
      <c r="Z37" s="180"/>
      <c r="AA37" s="180"/>
      <c r="AB37" s="180"/>
    </row>
    <row r="38" spans="1:28">
      <c r="A38" s="337" t="s">
        <v>755</v>
      </c>
      <c r="B38" s="180"/>
      <c r="C38" s="180"/>
      <c r="D38" s="180"/>
      <c r="E38" s="180"/>
      <c r="F38" s="180"/>
      <c r="G38" s="278">
        <v>-5.5623073621786139E-2</v>
      </c>
      <c r="H38" s="229">
        <v>-7.0000000000000007E-2</v>
      </c>
      <c r="I38" s="226">
        <f t="shared" ref="I38:T38" si="16">I37/I6</f>
        <v>-7.1364046973803066E-2</v>
      </c>
      <c r="J38" s="226">
        <f t="shared" si="16"/>
        <v>-9.0010405827263273E-2</v>
      </c>
      <c r="K38" s="226">
        <f t="shared" si="16"/>
        <v>-0.10033898305084746</v>
      </c>
      <c r="L38" s="226">
        <f t="shared" si="16"/>
        <v>-6.9261880687563199E-2</v>
      </c>
      <c r="M38" s="226">
        <f t="shared" si="16"/>
        <v>-6.5401695599515544E-2</v>
      </c>
      <c r="N38" s="226">
        <f t="shared" si="16"/>
        <v>-6.3549555482383932E-2</v>
      </c>
      <c r="O38" s="226">
        <f t="shared" si="16"/>
        <v>-6.1652136621028399E-2</v>
      </c>
      <c r="P38" s="226">
        <f t="shared" si="16"/>
        <v>-6.023758631702477E-2</v>
      </c>
      <c r="Q38" s="226">
        <f t="shared" si="16"/>
        <v>-5.9091632938167146E-2</v>
      </c>
      <c r="R38" s="226">
        <f t="shared" si="16"/>
        <v>-5.816131406455758E-2</v>
      </c>
      <c r="S38" s="226">
        <f t="shared" si="16"/>
        <v>-5.7803718211517863E-2</v>
      </c>
      <c r="T38" s="226">
        <f t="shared" si="16"/>
        <v>-5.7498774838467596E-2</v>
      </c>
      <c r="U38" s="180"/>
      <c r="V38" s="227"/>
      <c r="W38" s="180"/>
      <c r="X38" s="180"/>
      <c r="Y38" s="180"/>
      <c r="Z38" s="180"/>
      <c r="AA38" s="180"/>
      <c r="AB38" s="180"/>
    </row>
    <row r="39" spans="1:28">
      <c r="A39" s="231" t="s">
        <v>896</v>
      </c>
      <c r="B39" s="180"/>
      <c r="C39" s="180"/>
      <c r="D39" s="180"/>
      <c r="E39" s="180"/>
      <c r="F39" s="180"/>
      <c r="G39" s="278"/>
      <c r="H39" s="256">
        <v>3</v>
      </c>
      <c r="I39" s="256">
        <v>6</v>
      </c>
      <c r="J39" s="256">
        <v>7</v>
      </c>
      <c r="K39" s="256">
        <v>6</v>
      </c>
      <c r="L39" s="256">
        <v>7</v>
      </c>
      <c r="M39" s="256">
        <v>5</v>
      </c>
      <c r="N39" s="256">
        <v>5</v>
      </c>
      <c r="O39" s="180">
        <f t="shared" ref="O39:T39" si="17">N39</f>
        <v>5</v>
      </c>
      <c r="P39" s="180">
        <f t="shared" si="17"/>
        <v>5</v>
      </c>
      <c r="Q39" s="180">
        <f t="shared" si="17"/>
        <v>5</v>
      </c>
      <c r="R39" s="180">
        <f t="shared" si="17"/>
        <v>5</v>
      </c>
      <c r="S39" s="180">
        <f t="shared" si="17"/>
        <v>5</v>
      </c>
      <c r="T39" s="180">
        <f t="shared" si="17"/>
        <v>5</v>
      </c>
      <c r="U39" s="180"/>
      <c r="V39" s="227"/>
      <c r="W39" s="180"/>
      <c r="X39" s="180"/>
      <c r="Y39" s="180"/>
      <c r="Z39" s="180"/>
      <c r="AA39" s="180"/>
      <c r="AB39" s="180"/>
    </row>
    <row r="40" spans="1:28">
      <c r="A40" s="230" t="s">
        <v>934</v>
      </c>
      <c r="B40" s="180"/>
      <c r="C40" s="180"/>
      <c r="D40" s="180"/>
      <c r="E40" s="180"/>
      <c r="F40" s="180"/>
      <c r="G40" s="278"/>
      <c r="H40" s="200">
        <f t="shared" ref="H40:T40" si="18">H43-H42-H41</f>
        <v>-175</v>
      </c>
      <c r="I40" s="200">
        <f t="shared" si="18"/>
        <v>-231</v>
      </c>
      <c r="J40" s="200">
        <f t="shared" si="18"/>
        <v>-166</v>
      </c>
      <c r="K40" s="200">
        <f t="shared" si="18"/>
        <v>-142</v>
      </c>
      <c r="L40" s="200">
        <f t="shared" si="18"/>
        <v>-130</v>
      </c>
      <c r="M40" s="200">
        <f t="shared" si="18"/>
        <v>-157</v>
      </c>
      <c r="N40" s="200">
        <f t="shared" si="18"/>
        <v>-188</v>
      </c>
      <c r="O40" s="200">
        <f t="shared" si="18"/>
        <v>-206.08828449127429</v>
      </c>
      <c r="P40" s="200">
        <f t="shared" si="18"/>
        <v>-222.88631873559433</v>
      </c>
      <c r="Q40" s="200">
        <f t="shared" si="18"/>
        <v>-239.31956129206455</v>
      </c>
      <c r="R40" s="200">
        <f t="shared" si="18"/>
        <v>-255.08934772576885</v>
      </c>
      <c r="S40" s="200">
        <f t="shared" si="18"/>
        <v>-261.85762347669083</v>
      </c>
      <c r="T40" s="200">
        <f t="shared" si="18"/>
        <v>-267.98531810370923</v>
      </c>
      <c r="U40" s="180"/>
      <c r="V40" s="227"/>
      <c r="W40" s="180"/>
      <c r="X40" s="180"/>
      <c r="Y40" s="180"/>
      <c r="Z40" s="180"/>
      <c r="AA40" s="180"/>
      <c r="AB40" s="180"/>
    </row>
    <row r="41" spans="1:28">
      <c r="A41" s="231" t="s">
        <v>935</v>
      </c>
      <c r="B41" s="180"/>
      <c r="C41" s="180"/>
      <c r="D41" s="180"/>
      <c r="E41" s="180"/>
      <c r="F41" s="180"/>
      <c r="G41" s="200">
        <v>29.504445854304574</v>
      </c>
      <c r="H41" s="308">
        <v>45</v>
      </c>
      <c r="I41" s="308">
        <v>68</v>
      </c>
      <c r="J41" s="308">
        <v>93</v>
      </c>
      <c r="K41" s="308">
        <v>79</v>
      </c>
      <c r="L41" s="308">
        <v>60</v>
      </c>
      <c r="M41" s="308">
        <v>74</v>
      </c>
      <c r="N41" s="308">
        <v>94</v>
      </c>
      <c r="O41" s="200">
        <f t="shared" ref="O41:T42" si="19">N41</f>
        <v>94</v>
      </c>
      <c r="P41" s="200">
        <f t="shared" si="19"/>
        <v>94</v>
      </c>
      <c r="Q41" s="200">
        <f t="shared" si="19"/>
        <v>94</v>
      </c>
      <c r="R41" s="200">
        <f t="shared" si="19"/>
        <v>94</v>
      </c>
      <c r="S41" s="200">
        <f t="shared" si="19"/>
        <v>94</v>
      </c>
      <c r="T41" s="200">
        <f t="shared" si="19"/>
        <v>94</v>
      </c>
      <c r="U41" s="180"/>
      <c r="V41" s="227"/>
      <c r="W41" s="180"/>
      <c r="X41" s="180"/>
      <c r="Y41" s="180"/>
      <c r="Z41" s="180"/>
      <c r="AA41" s="180"/>
      <c r="AB41" s="180"/>
    </row>
    <row r="42" spans="1:28">
      <c r="A42" s="231" t="s">
        <v>942</v>
      </c>
      <c r="B42" s="180"/>
      <c r="C42" s="180"/>
      <c r="D42" s="180"/>
      <c r="E42" s="180"/>
      <c r="F42" s="180"/>
      <c r="G42" s="200">
        <v>-20.057295706940831</v>
      </c>
      <c r="H42" s="308">
        <v>-13</v>
      </c>
      <c r="I42" s="308">
        <v>-19</v>
      </c>
      <c r="J42" s="308">
        <v>-70</v>
      </c>
      <c r="K42" s="308">
        <v>-17</v>
      </c>
      <c r="L42" s="308">
        <v>-33</v>
      </c>
      <c r="M42" s="308">
        <v>-34</v>
      </c>
      <c r="N42" s="308">
        <v>-48</v>
      </c>
      <c r="O42" s="200">
        <f t="shared" si="19"/>
        <v>-48</v>
      </c>
      <c r="P42" s="200">
        <f t="shared" si="19"/>
        <v>-48</v>
      </c>
      <c r="Q42" s="200">
        <f t="shared" si="19"/>
        <v>-48</v>
      </c>
      <c r="R42" s="200">
        <f t="shared" si="19"/>
        <v>-48</v>
      </c>
      <c r="S42" s="200">
        <f t="shared" si="19"/>
        <v>-48</v>
      </c>
      <c r="T42" s="200">
        <f t="shared" si="19"/>
        <v>-48</v>
      </c>
      <c r="U42" s="180"/>
      <c r="V42" s="227"/>
      <c r="W42" s="180"/>
      <c r="X42" s="180"/>
      <c r="Y42" s="180"/>
      <c r="Z42" s="180"/>
      <c r="AA42" s="180"/>
      <c r="AB42" s="180"/>
    </row>
    <row r="43" spans="1:28">
      <c r="A43" s="231" t="s">
        <v>1115</v>
      </c>
      <c r="B43" s="180"/>
      <c r="C43" s="180"/>
      <c r="D43" s="180"/>
      <c r="E43" s="180"/>
      <c r="F43" s="180"/>
      <c r="G43" s="200">
        <f>G37+G41+G42</f>
        <v>-141.76611791531502</v>
      </c>
      <c r="H43" s="308">
        <v>-143</v>
      </c>
      <c r="I43" s="308">
        <v>-182</v>
      </c>
      <c r="J43" s="308">
        <v>-143</v>
      </c>
      <c r="K43" s="308">
        <v>-80</v>
      </c>
      <c r="L43" s="308">
        <v>-103</v>
      </c>
      <c r="M43" s="308">
        <v>-117</v>
      </c>
      <c r="N43" s="308">
        <v>-142</v>
      </c>
      <c r="O43" s="200">
        <f t="shared" ref="O43:T43" si="20">O44*O6</f>
        <v>-160.08828449127429</v>
      </c>
      <c r="P43" s="200">
        <f t="shared" si="20"/>
        <v>-176.88631873559433</v>
      </c>
      <c r="Q43" s="200">
        <f t="shared" si="20"/>
        <v>-193.31956129206455</v>
      </c>
      <c r="R43" s="200">
        <f t="shared" si="20"/>
        <v>-209.08934772576885</v>
      </c>
      <c r="S43" s="200">
        <f t="shared" si="20"/>
        <v>-215.85762347669083</v>
      </c>
      <c r="T43" s="200">
        <f t="shared" si="20"/>
        <v>-221.98531810370926</v>
      </c>
      <c r="U43" s="180"/>
      <c r="V43" s="227"/>
      <c r="W43" s="180"/>
      <c r="X43" s="180"/>
      <c r="Y43" s="180"/>
      <c r="Z43" s="180"/>
      <c r="AA43" s="180"/>
      <c r="AB43" s="180"/>
    </row>
    <row r="44" spans="1:28">
      <c r="A44" s="337" t="s">
        <v>755</v>
      </c>
      <c r="B44" s="180"/>
      <c r="C44" s="180"/>
      <c r="D44" s="180"/>
      <c r="E44" s="180"/>
      <c r="F44" s="180"/>
      <c r="G44" s="278">
        <f t="shared" ref="G44:N44" si="21">G43/G6</f>
        <v>-5.2147984862081088E-2</v>
      </c>
      <c r="H44" s="278">
        <f t="shared" si="21"/>
        <v>-5.6949422540820388E-2</v>
      </c>
      <c r="I44" s="278">
        <f t="shared" si="21"/>
        <v>-5.480277024992472E-2</v>
      </c>
      <c r="J44" s="278">
        <f t="shared" si="21"/>
        <v>-7.4401664932362124E-2</v>
      </c>
      <c r="K44" s="278">
        <f t="shared" si="21"/>
        <v>-5.4237288135593219E-2</v>
      </c>
      <c r="L44" s="278">
        <f t="shared" si="21"/>
        <v>-5.2072800808897875E-2</v>
      </c>
      <c r="M44" s="278">
        <f t="shared" si="21"/>
        <v>-4.7234557932983451E-2</v>
      </c>
      <c r="N44" s="278">
        <f t="shared" si="21"/>
        <v>-4.6756667764241026E-2</v>
      </c>
      <c r="O44" s="943">
        <f t="shared" ref="O44:T44" si="22">N44</f>
        <v>-4.6756667764241026E-2</v>
      </c>
      <c r="P44" s="943">
        <f t="shared" si="22"/>
        <v>-4.6756667764241026E-2</v>
      </c>
      <c r="Q44" s="943">
        <f t="shared" si="22"/>
        <v>-4.6756667764241026E-2</v>
      </c>
      <c r="R44" s="943">
        <f t="shared" si="22"/>
        <v>-4.6756667764241026E-2</v>
      </c>
      <c r="S44" s="943">
        <f t="shared" si="22"/>
        <v>-4.6756667764241026E-2</v>
      </c>
      <c r="T44" s="943">
        <f t="shared" si="22"/>
        <v>-4.6756667764241026E-2</v>
      </c>
      <c r="U44" s="180"/>
      <c r="V44" s="227"/>
      <c r="W44" s="180"/>
      <c r="X44" s="180"/>
      <c r="Y44" s="180"/>
      <c r="Z44" s="180"/>
      <c r="AA44" s="180"/>
      <c r="AB44" s="180"/>
    </row>
    <row r="45" spans="1:28">
      <c r="A45" s="180"/>
      <c r="B45" s="180"/>
      <c r="C45" s="180"/>
      <c r="D45" s="180"/>
      <c r="E45" s="180"/>
      <c r="F45" s="180"/>
      <c r="G45" s="278"/>
      <c r="H45" s="278"/>
      <c r="I45" s="278"/>
      <c r="J45" s="278"/>
      <c r="K45" s="355"/>
      <c r="L45" s="229"/>
      <c r="M45" s="226"/>
      <c r="N45" s="226"/>
      <c r="O45" s="226"/>
      <c r="P45" s="226"/>
      <c r="Q45" s="226"/>
      <c r="R45" s="226"/>
      <c r="S45" s="226"/>
      <c r="T45" s="226"/>
      <c r="U45" s="180"/>
      <c r="V45" s="227"/>
      <c r="W45" s="180"/>
      <c r="X45" s="180"/>
      <c r="Y45" s="180"/>
      <c r="Z45" s="180"/>
      <c r="AA45" s="180"/>
      <c r="AB45" s="180"/>
    </row>
  </sheetData>
  <pageMargins left="0.7" right="0.7" top="0.75" bottom="0.75" header="0.3" footer="0.3"/>
  <customProperties>
    <customPr name="Qube.Worksheet.Visibility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EBA2-CFF7-48D6-B6FA-AD6348B9E0BB}">
  <sheetPr codeName="Sheet14">
    <tabColor theme="4" tint="0.89999084444715716"/>
  </sheetPr>
  <dimension ref="A1:BQ150"/>
  <sheetViews>
    <sheetView showGridLines="0" zoomScale="110" zoomScaleNormal="110" workbookViewId="0">
      <pane ySplit="2" topLeftCell="A3" activePane="bottomLeft" state="frozen"/>
      <selection pane="bottomLeft" activeCell="A3" sqref="A3"/>
    </sheetView>
  </sheetViews>
  <sheetFormatPr defaultRowHeight="14.25" outlineLevelCol="1"/>
  <cols>
    <col min="1" max="1" width="28.125" bestFit="1" customWidth="1"/>
    <col min="2" max="22" width="9" hidden="1" customWidth="1" outlineLevel="1"/>
    <col min="23" max="23" width="9" collapsed="1"/>
    <col min="33" max="34" width="9" style="1431"/>
  </cols>
  <sheetData>
    <row r="1" spans="1:41" ht="15">
      <c r="A1" s="924">
        <f>'Balance Sheet'!A1</f>
        <v>340</v>
      </c>
    </row>
    <row r="2" spans="1:41">
      <c r="A2" s="257" t="s">
        <v>1620</v>
      </c>
      <c r="B2" s="257">
        <v>2000</v>
      </c>
      <c r="C2" s="257">
        <v>2001</v>
      </c>
      <c r="D2" s="257">
        <v>2002</v>
      </c>
      <c r="E2" s="257">
        <v>2003</v>
      </c>
      <c r="F2" s="257">
        <v>2004</v>
      </c>
      <c r="G2" s="257">
        <v>2005</v>
      </c>
      <c r="H2" s="257">
        <v>2006</v>
      </c>
      <c r="I2" s="257">
        <v>2007</v>
      </c>
      <c r="J2" s="257">
        <v>2008</v>
      </c>
      <c r="K2" s="257">
        <v>2009</v>
      </c>
      <c r="L2" s="257">
        <v>2010</v>
      </c>
      <c r="M2" s="257">
        <v>2011</v>
      </c>
      <c r="N2" s="257">
        <v>2012</v>
      </c>
      <c r="O2" s="257">
        <v>2013</v>
      </c>
      <c r="P2" s="257">
        <v>2014</v>
      </c>
      <c r="Q2" s="257">
        <v>2015</v>
      </c>
      <c r="R2" s="257">
        <v>2016</v>
      </c>
      <c r="S2" s="257">
        <v>2017</v>
      </c>
      <c r="T2" s="257">
        <v>2018</v>
      </c>
      <c r="U2" s="257">
        <v>2019</v>
      </c>
      <c r="V2" s="257">
        <v>2020</v>
      </c>
      <c r="W2" s="257">
        <v>2021</v>
      </c>
      <c r="X2" s="257">
        <v>2022</v>
      </c>
      <c r="Y2" s="257">
        <v>2023</v>
      </c>
      <c r="Z2" s="257">
        <v>2024</v>
      </c>
      <c r="AA2" s="170" t="s">
        <v>894</v>
      </c>
      <c r="AB2" s="170" t="s">
        <v>1196</v>
      </c>
      <c r="AC2" s="171" t="s">
        <v>1212</v>
      </c>
      <c r="AD2" s="171" t="s">
        <v>1213</v>
      </c>
      <c r="AE2" s="171" t="s">
        <v>1214</v>
      </c>
      <c r="AF2" s="171" t="s">
        <v>1215</v>
      </c>
      <c r="AG2" s="1434" t="s">
        <v>1622</v>
      </c>
      <c r="AH2" s="1432" t="s">
        <v>1155</v>
      </c>
      <c r="AI2" s="169"/>
      <c r="AJ2" s="169"/>
      <c r="AK2" s="169"/>
      <c r="AL2" s="169"/>
      <c r="AM2" s="169"/>
      <c r="AN2" s="169"/>
      <c r="AO2" s="169"/>
    </row>
    <row r="3" spans="1:41">
      <c r="A3" s="258" t="s">
        <v>1074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313"/>
      <c r="Y3" s="313"/>
      <c r="Z3" s="313"/>
      <c r="AA3" s="260"/>
      <c r="AB3" s="260"/>
      <c r="AC3" s="260"/>
      <c r="AD3" s="260"/>
      <c r="AE3" s="260"/>
      <c r="AF3" s="260"/>
      <c r="AG3" s="1433"/>
      <c r="AH3" s="1433"/>
      <c r="AI3" s="180"/>
      <c r="AJ3" s="180"/>
      <c r="AK3" s="180"/>
      <c r="AL3" s="180"/>
      <c r="AM3" s="180"/>
      <c r="AN3" s="180"/>
      <c r="AO3" s="180"/>
    </row>
    <row r="4" spans="1:41">
      <c r="A4" s="231" t="s">
        <v>927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32">
        <v>5360</v>
      </c>
      <c r="U4" s="232">
        <v>6254</v>
      </c>
      <c r="V4" s="232">
        <v>4779</v>
      </c>
      <c r="W4" s="232">
        <v>4187</v>
      </c>
      <c r="X4" s="232">
        <v>4710</v>
      </c>
      <c r="Y4" s="232">
        <v>5369</v>
      </c>
      <c r="Z4" s="232">
        <v>6478</v>
      </c>
      <c r="AA4" s="267">
        <f>SUM(AA42+AA95+AA105)</f>
        <v>7884.161771352321</v>
      </c>
      <c r="AB4" s="267">
        <f>SUM(AB42+AB95+AB105)</f>
        <v>8965.6410341698011</v>
      </c>
      <c r="AC4" s="267">
        <f t="shared" ref="AC4:AF4" si="0">SUM(AC42+AC95+AC105)</f>
        <v>9655.3281375148854</v>
      </c>
      <c r="AD4" s="267">
        <f t="shared" si="0"/>
        <v>10293.767324650142</v>
      </c>
      <c r="AE4" s="267">
        <f t="shared" si="0"/>
        <v>10848.281054473053</v>
      </c>
      <c r="AF4" s="267">
        <f t="shared" si="0"/>
        <v>11315.930650875922</v>
      </c>
      <c r="AG4" s="1433"/>
      <c r="AH4" s="1433"/>
      <c r="AI4" s="180"/>
      <c r="AJ4" s="180"/>
      <c r="AK4" s="180"/>
      <c r="AL4" s="180"/>
      <c r="AM4" s="180"/>
      <c r="AN4" s="180"/>
      <c r="AO4" s="180"/>
    </row>
    <row r="5" spans="1:41">
      <c r="A5" s="231" t="s">
        <v>928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32">
        <v>2582</v>
      </c>
      <c r="U5" s="232">
        <v>3002</v>
      </c>
      <c r="V5" s="232">
        <v>2114</v>
      </c>
      <c r="W5" s="232">
        <v>2138</v>
      </c>
      <c r="X5" s="232">
        <v>2825</v>
      </c>
      <c r="Y5" s="232">
        <v>3466</v>
      </c>
      <c r="Z5" s="232">
        <v>4140</v>
      </c>
      <c r="AA5" s="267">
        <f t="shared" ref="AA5:AF5" si="1">AA43+AA96+AA106</f>
        <v>4404.1697835059686</v>
      </c>
      <c r="AB5" s="267">
        <f>AB43+AB96+AB106</f>
        <v>5088.3689263423885</v>
      </c>
      <c r="AC5" s="267">
        <f t="shared" si="1"/>
        <v>5500.4048652384326</v>
      </c>
      <c r="AD5" s="267">
        <f t="shared" si="1"/>
        <v>5891.340524194261</v>
      </c>
      <c r="AE5" s="267">
        <f>AE43+AE96+AE106</f>
        <v>6230.3268079206455</v>
      </c>
      <c r="AF5" s="267">
        <f t="shared" si="1"/>
        <v>6521.8353302297182</v>
      </c>
      <c r="AG5" s="1433"/>
      <c r="AH5" s="1433"/>
      <c r="AI5" s="180"/>
      <c r="AJ5" s="180"/>
      <c r="AK5" s="180"/>
      <c r="AL5" s="180"/>
      <c r="AM5" s="180"/>
      <c r="AN5" s="180"/>
      <c r="AO5" s="180"/>
    </row>
    <row r="6" spans="1:41">
      <c r="A6" s="57" t="s">
        <v>1226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234">
        <f>T44+T97+T107</f>
        <v>7942</v>
      </c>
      <c r="U6" s="236">
        <v>9256</v>
      </c>
      <c r="V6" s="236">
        <v>6893</v>
      </c>
      <c r="W6" s="236">
        <v>6325</v>
      </c>
      <c r="X6" s="236">
        <v>7535</v>
      </c>
      <c r="Y6" s="236">
        <v>8835</v>
      </c>
      <c r="Z6" s="236">
        <v>10618</v>
      </c>
      <c r="AA6" s="234">
        <f t="shared" ref="AA6:AF6" si="2">SUM(AA4:AA5)</f>
        <v>12288.33155485829</v>
      </c>
      <c r="AB6" s="234">
        <f t="shared" si="2"/>
        <v>14054.00996051219</v>
      </c>
      <c r="AC6" s="234">
        <f t="shared" si="2"/>
        <v>15155.733002753317</v>
      </c>
      <c r="AD6" s="234">
        <f t="shared" si="2"/>
        <v>16185.107848844404</v>
      </c>
      <c r="AE6" s="234">
        <f t="shared" si="2"/>
        <v>17078.607862393699</v>
      </c>
      <c r="AF6" s="234">
        <f t="shared" si="2"/>
        <v>17837.76598110564</v>
      </c>
      <c r="AG6" s="1435">
        <f>(AF6/AA6)^(1/5)-1</f>
        <v>7.7381486046352643E-2</v>
      </c>
      <c r="AH6" s="1433"/>
      <c r="AI6" s="180"/>
      <c r="AJ6" s="180"/>
      <c r="AK6" s="180"/>
      <c r="AL6" s="180"/>
      <c r="AM6" s="180"/>
      <c r="AN6" s="180"/>
      <c r="AO6" s="180"/>
    </row>
    <row r="7" spans="1:41">
      <c r="A7" s="323" t="s">
        <v>1242</v>
      </c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5">
        <f t="shared" ref="U7:AF7" si="3">U6/T6-1</f>
        <v>0.16544950893981358</v>
      </c>
      <c r="V7" s="325">
        <f t="shared" si="3"/>
        <v>-0.25529386343993088</v>
      </c>
      <c r="W7" s="325">
        <f t="shared" si="3"/>
        <v>-8.2402437255186367E-2</v>
      </c>
      <c r="X7" s="325">
        <f t="shared" si="3"/>
        <v>0.19130434782608696</v>
      </c>
      <c r="Y7" s="325">
        <f t="shared" si="3"/>
        <v>0.17252820172528205</v>
      </c>
      <c r="Z7" s="325">
        <f t="shared" si="3"/>
        <v>0.20181097906055467</v>
      </c>
      <c r="AA7" s="325">
        <f t="shared" si="3"/>
        <v>0.1573113161478894</v>
      </c>
      <c r="AB7" s="325">
        <f t="shared" si="3"/>
        <v>0.14368739952787357</v>
      </c>
      <c r="AC7" s="325">
        <f t="shared" si="3"/>
        <v>7.8392077801044513E-2</v>
      </c>
      <c r="AD7" s="325">
        <f t="shared" si="3"/>
        <v>6.7919832442553618E-2</v>
      </c>
      <c r="AE7" s="325">
        <f t="shared" si="3"/>
        <v>5.5205070110984078E-2</v>
      </c>
      <c r="AF7" s="325">
        <f t="shared" si="3"/>
        <v>4.4450819693774513E-2</v>
      </c>
      <c r="AG7" s="1433"/>
      <c r="AH7" s="1433"/>
      <c r="AI7" s="180"/>
      <c r="AJ7" s="180"/>
      <c r="AK7" s="180"/>
      <c r="AL7" s="180"/>
      <c r="AM7" s="180"/>
      <c r="AN7" s="180"/>
      <c r="AO7" s="180"/>
    </row>
    <row r="8" spans="1:41">
      <c r="A8" s="323" t="s">
        <v>1291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326">
        <v>7.3999999999999996E-2</v>
      </c>
      <c r="V8" s="327">
        <v>-0.25</v>
      </c>
      <c r="W8" s="327">
        <v>-6.3E-2</v>
      </c>
      <c r="X8" s="327">
        <v>0.106</v>
      </c>
      <c r="Y8" s="327">
        <v>0.17299999999999999</v>
      </c>
      <c r="Z8" s="327">
        <v>0.17699999999999999</v>
      </c>
      <c r="AA8" s="325"/>
      <c r="AB8" s="325"/>
      <c r="AC8" s="325"/>
      <c r="AD8" s="325"/>
      <c r="AE8" s="325"/>
      <c r="AF8" s="325"/>
      <c r="AG8" s="1433"/>
      <c r="AH8" s="1433"/>
      <c r="AI8" s="180"/>
      <c r="AJ8" s="180"/>
      <c r="AK8" s="180"/>
      <c r="AL8" s="180"/>
      <c r="AM8" s="180"/>
      <c r="AN8" s="180"/>
      <c r="AO8" s="180"/>
    </row>
    <row r="9" spans="1:41">
      <c r="A9" s="181" t="s">
        <v>1277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328"/>
      <c r="V9" s="329"/>
      <c r="W9" s="329"/>
      <c r="X9" s="270"/>
      <c r="Y9" s="270"/>
      <c r="Z9" s="270"/>
      <c r="AA9" s="270"/>
      <c r="AB9" s="270"/>
      <c r="AC9" s="270"/>
      <c r="AD9" s="270"/>
      <c r="AE9" s="270"/>
      <c r="AF9" s="270"/>
      <c r="AG9" s="1433"/>
      <c r="AH9" s="1433"/>
      <c r="AI9" s="180"/>
      <c r="AJ9" s="180"/>
      <c r="AK9" s="180"/>
      <c r="AL9" s="180"/>
      <c r="AM9" s="180"/>
      <c r="AN9" s="180"/>
      <c r="AO9" s="180"/>
    </row>
    <row r="10" spans="1:41">
      <c r="A10" s="231" t="s">
        <v>927</v>
      </c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69">
        <f t="shared" ref="U10:Z11" si="4">U4/T4-1</f>
        <v>0.16679104477611939</v>
      </c>
      <c r="V10" s="269">
        <f t="shared" si="4"/>
        <v>-0.23584905660377353</v>
      </c>
      <c r="W10" s="269">
        <f t="shared" si="4"/>
        <v>-0.12387528771709566</v>
      </c>
      <c r="X10" s="269">
        <f t="shared" si="4"/>
        <v>0.12491043706711258</v>
      </c>
      <c r="Y10" s="269">
        <f t="shared" si="4"/>
        <v>0.13991507430997885</v>
      </c>
      <c r="Z10" s="269">
        <f t="shared" si="4"/>
        <v>0.20655615570869812</v>
      </c>
      <c r="AA10" s="355">
        <f t="shared" ref="AA10:AF11" si="5">(AA42+AA95+AA105)/(Z42+Z95+Z105)-1</f>
        <v>9.2581687344425401E-2</v>
      </c>
      <c r="AB10" s="355">
        <f t="shared" si="5"/>
        <v>0.13717111522839542</v>
      </c>
      <c r="AC10" s="355">
        <f t="shared" si="5"/>
        <v>7.6925576288025876E-2</v>
      </c>
      <c r="AD10" s="355">
        <f t="shared" si="5"/>
        <v>6.6122992201027353E-2</v>
      </c>
      <c r="AE10" s="355">
        <f t="shared" si="5"/>
        <v>5.3868881269060198E-2</v>
      </c>
      <c r="AF10" s="355">
        <f t="shared" si="5"/>
        <v>4.3108174839371793E-2</v>
      </c>
      <c r="AG10" s="1433"/>
      <c r="AH10" s="1433"/>
      <c r="AI10" s="180"/>
      <c r="AJ10" s="180"/>
      <c r="AK10" s="180"/>
      <c r="AL10" s="180"/>
      <c r="AM10" s="180"/>
      <c r="AN10" s="180"/>
      <c r="AO10" s="180"/>
    </row>
    <row r="11" spans="1:41">
      <c r="A11" s="231" t="s">
        <v>928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69">
        <f t="shared" si="4"/>
        <v>0.16266460108443059</v>
      </c>
      <c r="V11" s="269">
        <f t="shared" si="4"/>
        <v>-0.29580279813457699</v>
      </c>
      <c r="W11" s="269">
        <f t="shared" si="4"/>
        <v>1.1352885525070855E-2</v>
      </c>
      <c r="X11" s="269">
        <f t="shared" si="4"/>
        <v>0.32132834424695988</v>
      </c>
      <c r="Y11" s="269">
        <f t="shared" si="4"/>
        <v>0.22690265486725658</v>
      </c>
      <c r="Z11" s="269">
        <f t="shared" si="4"/>
        <v>0.19446047316791693</v>
      </c>
      <c r="AA11" s="355">
        <f t="shared" si="5"/>
        <v>0.10770732530172777</v>
      </c>
      <c r="AB11" s="355">
        <f t="shared" si="5"/>
        <v>0.15535258095607718</v>
      </c>
      <c r="AC11" s="355">
        <f t="shared" si="5"/>
        <v>8.0976034729506763E-2</v>
      </c>
      <c r="AD11" s="355">
        <f t="shared" si="5"/>
        <v>7.1073978831353246E-2</v>
      </c>
      <c r="AE11" s="355">
        <f t="shared" si="5"/>
        <v>5.7539753869981336E-2</v>
      </c>
      <c r="AF11" s="355">
        <f t="shared" si="5"/>
        <v>4.6788640675875293E-2</v>
      </c>
      <c r="AG11" s="1433"/>
      <c r="AH11" s="1433"/>
      <c r="AI11" s="180"/>
      <c r="AJ11" s="180"/>
      <c r="AK11" s="180"/>
      <c r="AL11" s="180"/>
      <c r="AM11" s="180"/>
      <c r="AN11" s="180"/>
      <c r="AO11" s="180"/>
    </row>
    <row r="12" spans="1:41">
      <c r="A12" s="231"/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328"/>
      <c r="V12" s="329"/>
      <c r="W12" s="329"/>
      <c r="X12" s="270"/>
      <c r="Y12" s="270"/>
      <c r="Z12" s="270"/>
      <c r="AA12" s="270"/>
      <c r="AB12" s="270"/>
      <c r="AC12" s="270"/>
      <c r="AD12" s="270"/>
      <c r="AE12" s="270"/>
      <c r="AF12" s="270"/>
      <c r="AG12" s="1433"/>
      <c r="AH12" s="1433"/>
      <c r="AI12" s="180"/>
      <c r="AJ12" s="180"/>
      <c r="AK12" s="180"/>
      <c r="AL12" s="180"/>
      <c r="AM12" s="180"/>
      <c r="AN12" s="180"/>
      <c r="AO12" s="180"/>
    </row>
    <row r="13" spans="1:41">
      <c r="A13" s="330" t="s">
        <v>1094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1433"/>
      <c r="AH13" s="1433"/>
      <c r="AI13" s="180"/>
      <c r="AJ13" s="180"/>
      <c r="AK13" s="180"/>
      <c r="AL13" s="180"/>
      <c r="AM13" s="180"/>
      <c r="AN13" s="180"/>
      <c r="AO13" s="180"/>
    </row>
    <row r="14" spans="1:41">
      <c r="A14" s="332" t="s">
        <v>1279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223">
        <v>992</v>
      </c>
      <c r="U14" s="224">
        <v>1209</v>
      </c>
      <c r="V14" s="224">
        <v>687</v>
      </c>
      <c r="W14" s="224">
        <v>650</v>
      </c>
      <c r="X14" s="224">
        <v>874</v>
      </c>
      <c r="Y14" s="224">
        <v>992</v>
      </c>
      <c r="Z14" s="224">
        <v>1298</v>
      </c>
      <c r="AA14" s="223">
        <f t="shared" ref="AA14:AF14" si="6">Z14+AA25</f>
        <v>1566.0905547253578</v>
      </c>
      <c r="AB14" s="223">
        <f t="shared" si="6"/>
        <v>1952.7463492974887</v>
      </c>
      <c r="AC14" s="223">
        <f t="shared" si="6"/>
        <v>2176.3224869626251</v>
      </c>
      <c r="AD14" s="223">
        <f t="shared" si="6"/>
        <v>2384.4682977315001</v>
      </c>
      <c r="AE14" s="223">
        <f t="shared" si="6"/>
        <v>2546.3490319259022</v>
      </c>
      <c r="AF14" s="223">
        <f t="shared" si="6"/>
        <v>2693.8536423182991</v>
      </c>
      <c r="AG14" s="1435">
        <f>(AF14/AA14)^(1/5)-1</f>
        <v>0.11458046058188298</v>
      </c>
      <c r="AH14" s="1433"/>
      <c r="AI14" s="180"/>
      <c r="AJ14" s="180"/>
      <c r="AK14" s="180"/>
      <c r="AL14" s="180"/>
      <c r="AM14" s="180"/>
      <c r="AN14" s="180"/>
      <c r="AO14" s="180"/>
    </row>
    <row r="15" spans="1:41">
      <c r="A15" s="230" t="s">
        <v>903</v>
      </c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70">
        <f t="shared" ref="T15:AF15" si="7">T14/T6</f>
        <v>0.12490556534877864</v>
      </c>
      <c r="U15" s="270">
        <f t="shared" si="7"/>
        <v>0.1306179775280899</v>
      </c>
      <c r="V15" s="270">
        <f t="shared" si="7"/>
        <v>9.966632815900188E-2</v>
      </c>
      <c r="W15" s="270">
        <f t="shared" si="7"/>
        <v>0.10276679841897234</v>
      </c>
      <c r="X15" s="270">
        <f t="shared" si="7"/>
        <v>0.11599203715992037</v>
      </c>
      <c r="Y15" s="270">
        <f t="shared" si="7"/>
        <v>0.11228070175438597</v>
      </c>
      <c r="Z15" s="270">
        <f t="shared" si="7"/>
        <v>0.12224524392540968</v>
      </c>
      <c r="AA15" s="270">
        <f t="shared" si="7"/>
        <v>0.12744533688189683</v>
      </c>
      <c r="AB15" s="270">
        <f t="shared" si="7"/>
        <v>0.1389458492475924</v>
      </c>
      <c r="AC15" s="270">
        <f t="shared" si="7"/>
        <v>0.14359730978153654</v>
      </c>
      <c r="AD15" s="270">
        <f t="shared" si="7"/>
        <v>0.14732483218527012</v>
      </c>
      <c r="AE15" s="270">
        <f t="shared" si="7"/>
        <v>0.14909581931047461</v>
      </c>
      <c r="AF15" s="270">
        <f t="shared" si="7"/>
        <v>0.15101967618432258</v>
      </c>
      <c r="AG15" s="1433"/>
      <c r="AH15" s="1433"/>
      <c r="AI15" s="180"/>
      <c r="AJ15" s="180"/>
      <c r="AK15" s="180"/>
      <c r="AL15" s="180"/>
      <c r="AM15" s="180"/>
      <c r="AN15" s="180"/>
      <c r="AO15" s="180"/>
    </row>
    <row r="16" spans="1:41">
      <c r="A16" s="258" t="s">
        <v>1292</v>
      </c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1433"/>
      <c r="AH16" s="1433"/>
      <c r="AI16" s="180"/>
      <c r="AJ16" s="180"/>
      <c r="AK16" s="180"/>
      <c r="AL16" s="180"/>
      <c r="AM16" s="180"/>
      <c r="AN16" s="180"/>
      <c r="AO16" s="180"/>
    </row>
    <row r="17" spans="1:41">
      <c r="A17" s="227" t="s">
        <v>940</v>
      </c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67">
        <f t="shared" ref="O17:U18" si="8">(O42-N42)*O28</f>
        <v>24</v>
      </c>
      <c r="P17" s="267">
        <f t="shared" si="8"/>
        <v>28.900000000000002</v>
      </c>
      <c r="Q17" s="267">
        <f t="shared" si="8"/>
        <v>14.850000000000001</v>
      </c>
      <c r="R17" s="267">
        <f t="shared" si="8"/>
        <v>4.7</v>
      </c>
      <c r="S17" s="267">
        <f t="shared" si="8"/>
        <v>3.8265000000000327</v>
      </c>
      <c r="T17" s="267">
        <f t="shared" si="8"/>
        <v>-2.7546000000000048</v>
      </c>
      <c r="U17" s="267">
        <f t="shared" si="8"/>
        <v>106.60884802693458</v>
      </c>
      <c r="V17" s="223">
        <f t="shared" ref="V17:AF17" si="9">(V4-U4)*V28</f>
        <v>-221.25</v>
      </c>
      <c r="W17" s="223">
        <f t="shared" si="9"/>
        <v>-59.2</v>
      </c>
      <c r="X17" s="223">
        <f t="shared" si="9"/>
        <v>52.300000000000004</v>
      </c>
      <c r="Y17" s="223">
        <f t="shared" si="9"/>
        <v>65.900000000000006</v>
      </c>
      <c r="Z17" s="223">
        <f t="shared" si="9"/>
        <v>110.9</v>
      </c>
      <c r="AA17" s="223">
        <f t="shared" si="9"/>
        <v>182.80103027580174</v>
      </c>
      <c r="AB17" s="223">
        <f t="shared" si="9"/>
        <v>140.59230416627241</v>
      </c>
      <c r="AC17" s="223">
        <f t="shared" si="9"/>
        <v>96.556194468311816</v>
      </c>
      <c r="AD17" s="223">
        <f t="shared" si="9"/>
        <v>82.997094327583326</v>
      </c>
      <c r="AE17" s="223">
        <f t="shared" si="9"/>
        <v>55.451372982291105</v>
      </c>
      <c r="AF17" s="223">
        <f t="shared" si="9"/>
        <v>46.764959640286911</v>
      </c>
      <c r="AG17" s="1433"/>
      <c r="AH17" s="1433"/>
      <c r="AI17" s="180"/>
      <c r="AJ17" s="180"/>
      <c r="AK17" s="180"/>
      <c r="AL17" s="180"/>
      <c r="AM17" s="180"/>
      <c r="AN17" s="180"/>
      <c r="AO17" s="180"/>
    </row>
    <row r="18" spans="1:41">
      <c r="A18" s="227" t="s">
        <v>941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67">
        <f t="shared" si="8"/>
        <v>40</v>
      </c>
      <c r="P18" s="267">
        <f t="shared" si="8"/>
        <v>16.5</v>
      </c>
      <c r="Q18" s="267">
        <f t="shared" si="8"/>
        <v>30</v>
      </c>
      <c r="R18" s="267">
        <f t="shared" si="8"/>
        <v>38.75</v>
      </c>
      <c r="S18" s="267">
        <f t="shared" si="8"/>
        <v>15.995000000000005</v>
      </c>
      <c r="T18" s="267">
        <f t="shared" si="8"/>
        <v>11.181999999999903</v>
      </c>
      <c r="U18" s="267">
        <f t="shared" si="8"/>
        <v>140.65781244410684</v>
      </c>
      <c r="V18" s="223">
        <f t="shared" ref="V18:AF18" si="10">(V5-U5)*V29</f>
        <v>-266.39999999999998</v>
      </c>
      <c r="W18" s="223">
        <f t="shared" si="10"/>
        <v>7.1999999999999993</v>
      </c>
      <c r="X18" s="223">
        <f t="shared" si="10"/>
        <v>206.1</v>
      </c>
      <c r="Y18" s="223">
        <f t="shared" si="10"/>
        <v>192.29999999999998</v>
      </c>
      <c r="Z18" s="223">
        <f t="shared" si="10"/>
        <v>202.2</v>
      </c>
      <c r="AA18" s="223">
        <f t="shared" si="10"/>
        <v>76.609237216730875</v>
      </c>
      <c r="AB18" s="223">
        <f t="shared" si="10"/>
        <v>198.41775142256176</v>
      </c>
      <c r="AC18" s="223">
        <f t="shared" si="10"/>
        <v>119.49042227985281</v>
      </c>
      <c r="AD18" s="223">
        <f t="shared" si="10"/>
        <v>113.37134109719021</v>
      </c>
      <c r="AE18" s="223">
        <f t="shared" si="10"/>
        <v>88.136433768859973</v>
      </c>
      <c r="AF18" s="223">
        <f t="shared" si="10"/>
        <v>75.792215800358917</v>
      </c>
      <c r="AG18" s="1433"/>
      <c r="AH18" s="1433"/>
      <c r="AI18" s="180"/>
      <c r="AJ18" s="180"/>
      <c r="AK18" s="180"/>
      <c r="AL18" s="180"/>
      <c r="AM18" s="180"/>
      <c r="AN18" s="180"/>
      <c r="AO18" s="180"/>
    </row>
    <row r="19" spans="1:41">
      <c r="A19" s="227" t="s">
        <v>932</v>
      </c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67">
        <f t="shared" ref="O19:U19" si="11">(0.02*N42)+(0.025*N43)</f>
        <v>79.09</v>
      </c>
      <c r="P19" s="267">
        <f t="shared" si="11"/>
        <v>87.89</v>
      </c>
      <c r="Q19" s="267">
        <f t="shared" si="11"/>
        <v>95.32</v>
      </c>
      <c r="R19" s="267">
        <f t="shared" si="11"/>
        <v>106.26</v>
      </c>
      <c r="S19" s="267">
        <f t="shared" si="11"/>
        <v>111.075</v>
      </c>
      <c r="T19" s="267">
        <f t="shared" si="11"/>
        <v>113.69490000000002</v>
      </c>
      <c r="U19" s="267">
        <f t="shared" si="11"/>
        <v>114.07854</v>
      </c>
      <c r="V19" s="267">
        <f>(U6*V8*0.02)</f>
        <v>-46.28</v>
      </c>
      <c r="W19" s="267">
        <f>(V6*W8*0.02)</f>
        <v>-8.6851800000000008</v>
      </c>
      <c r="X19" s="267">
        <f>(W6*X8*0.02)</f>
        <v>13.408999999999999</v>
      </c>
      <c r="Y19" s="267">
        <f>(X6*Y8*0.02)</f>
        <v>26.071099999999998</v>
      </c>
      <c r="Z19" s="267">
        <f>(Y6*Z8*0.02)</f>
        <v>31.275899999999996</v>
      </c>
      <c r="AA19" s="223">
        <f t="shared" ref="AA19:AF19" si="12">(Z6*AA7*0.02)</f>
        <v>33.406631097165793</v>
      </c>
      <c r="AB19" s="223">
        <f t="shared" si="12"/>
        <v>35.313568113077984</v>
      </c>
      <c r="AC19" s="223">
        <f t="shared" si="12"/>
        <v>22.034460844822526</v>
      </c>
      <c r="AD19" s="223">
        <f t="shared" si="12"/>
        <v>20.587496921821707</v>
      </c>
      <c r="AE19" s="223">
        <f t="shared" si="12"/>
        <v>17.87000027098588</v>
      </c>
      <c r="AF19" s="223">
        <f t="shared" si="12"/>
        <v>15.183162374238842</v>
      </c>
      <c r="AG19" s="1433"/>
      <c r="AH19" s="1433"/>
      <c r="AI19" s="180"/>
      <c r="AJ19" s="180"/>
      <c r="AK19" s="180"/>
      <c r="AL19" s="180"/>
      <c r="AM19" s="180"/>
      <c r="AN19" s="180"/>
      <c r="AO19" s="180"/>
    </row>
    <row r="20" spans="1:41">
      <c r="A20" s="227" t="s">
        <v>938</v>
      </c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67">
        <f>0.9*-O19</f>
        <v>-71.181000000000012</v>
      </c>
      <c r="P20" s="267">
        <f>0.95*-P19</f>
        <v>-83.495499999999993</v>
      </c>
      <c r="Q20" s="267">
        <f>1*-Q19</f>
        <v>-95.32</v>
      </c>
      <c r="R20" s="267">
        <f>1*-R19</f>
        <v>-106.26</v>
      </c>
      <c r="S20" s="267">
        <f>1*-S19</f>
        <v>-111.075</v>
      </c>
      <c r="T20" s="267">
        <f>1*-T19</f>
        <v>-113.69490000000002</v>
      </c>
      <c r="U20" s="267">
        <f>1*-U19</f>
        <v>-114.07854</v>
      </c>
      <c r="V20" s="267">
        <f t="shared" ref="V20:AF20" si="13">-0.75*V19</f>
        <v>34.71</v>
      </c>
      <c r="W20" s="267">
        <f t="shared" si="13"/>
        <v>6.5138850000000001</v>
      </c>
      <c r="X20" s="267">
        <f t="shared" si="13"/>
        <v>-10.056749999999999</v>
      </c>
      <c r="Y20" s="267">
        <f t="shared" si="13"/>
        <v>-19.553324999999997</v>
      </c>
      <c r="Z20" s="267">
        <f t="shared" si="13"/>
        <v>-23.456924999999998</v>
      </c>
      <c r="AA20" s="223">
        <f t="shared" si="13"/>
        <v>-25.054973322874346</v>
      </c>
      <c r="AB20" s="223">
        <f t="shared" si="13"/>
        <v>-26.485176084808487</v>
      </c>
      <c r="AC20" s="223">
        <f t="shared" si="13"/>
        <v>-16.525845633616896</v>
      </c>
      <c r="AD20" s="223">
        <f t="shared" si="13"/>
        <v>-15.440622691366279</v>
      </c>
      <c r="AE20" s="223">
        <f t="shared" si="13"/>
        <v>-13.402500203239409</v>
      </c>
      <c r="AF20" s="223">
        <f t="shared" si="13"/>
        <v>-11.387371780679132</v>
      </c>
      <c r="AG20" s="1433"/>
      <c r="AH20" s="1433"/>
      <c r="AI20" s="180"/>
      <c r="AJ20" s="180"/>
      <c r="AK20" s="180"/>
      <c r="AL20" s="180"/>
      <c r="AM20" s="180"/>
      <c r="AN20" s="180"/>
      <c r="AO20" s="180"/>
    </row>
    <row r="21" spans="1:41">
      <c r="A21" s="227" t="s">
        <v>758</v>
      </c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67">
        <v>-33</v>
      </c>
      <c r="P21" s="267">
        <v>-54</v>
      </c>
      <c r="Q21" s="267">
        <v>52</v>
      </c>
      <c r="R21" s="267">
        <v>-8</v>
      </c>
      <c r="S21" s="267">
        <v>-25</v>
      </c>
      <c r="T21" s="267">
        <v>9</v>
      </c>
      <c r="U21" s="267"/>
      <c r="V21" s="267">
        <f t="shared" ref="V21:AF21" si="14">(V37-U37)</f>
        <v>130</v>
      </c>
      <c r="W21" s="267">
        <f t="shared" si="14"/>
        <v>33</v>
      </c>
      <c r="X21" s="267">
        <f t="shared" si="14"/>
        <v>-50</v>
      </c>
      <c r="Y21" s="267">
        <f t="shared" si="14"/>
        <v>-47</v>
      </c>
      <c r="Z21" s="267">
        <f t="shared" si="14"/>
        <v>-58</v>
      </c>
      <c r="AA21" s="223">
        <f t="shared" si="14"/>
        <v>-63.39646040759942</v>
      </c>
      <c r="AB21" s="223">
        <f t="shared" si="14"/>
        <v>-67.015294544972903</v>
      </c>
      <c r="AC21" s="223">
        <f t="shared" si="14"/>
        <v>-41.815255794233735</v>
      </c>
      <c r="AD21" s="223">
        <f t="shared" si="14"/>
        <v>-39.069322186354043</v>
      </c>
      <c r="AE21" s="223">
        <f t="shared" si="14"/>
        <v>-33.912272128495601</v>
      </c>
      <c r="AF21" s="223">
        <f t="shared" si="14"/>
        <v>-28.813403827548655</v>
      </c>
      <c r="AG21" s="1433"/>
      <c r="AH21" s="1433"/>
      <c r="AI21" s="180"/>
      <c r="AJ21" s="180"/>
      <c r="AK21" s="180"/>
      <c r="AL21" s="180"/>
      <c r="AM21" s="180"/>
      <c r="AN21" s="180"/>
      <c r="AO21" s="180"/>
    </row>
    <row r="22" spans="1:41">
      <c r="A22" s="227" t="s">
        <v>753</v>
      </c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67">
        <v>41.25</v>
      </c>
      <c r="P22" s="267">
        <v>39.402985074626862</v>
      </c>
      <c r="Q22" s="267">
        <v>14.883000000000001</v>
      </c>
      <c r="R22" s="267">
        <v>15.967741935483756</v>
      </c>
      <c r="S22" s="267">
        <v>50.323893727841828</v>
      </c>
      <c r="T22" s="267">
        <v>55.780419934227297</v>
      </c>
      <c r="U22" s="267"/>
      <c r="V22" s="267">
        <v>40.301124418817459</v>
      </c>
      <c r="W22" s="267">
        <f>'Aerospace Propulsion Division'!W72</f>
        <v>1.1713242788461544</v>
      </c>
      <c r="X22" s="267">
        <f>'Aerospace Propulsion Division'!X72</f>
        <v>1.1065795550914248</v>
      </c>
      <c r="Y22" s="267">
        <f>'Aerospace Propulsion Division'!Y72</f>
        <v>1.1105369302909465</v>
      </c>
      <c r="Z22" s="267">
        <f>'Aerospace Propulsion Division'!Z72</f>
        <v>1.1083231112074399</v>
      </c>
      <c r="AA22" s="268">
        <f>'Aerospace Propulsion Division'!AA72</f>
        <v>1.1207295968584789</v>
      </c>
      <c r="AB22" s="268">
        <f>'Aerospace Propulsion Division'!AB72</f>
        <v>1.1426415000000001</v>
      </c>
      <c r="AC22" s="268">
        <f>'Aerospace Propulsion Division'!AC72</f>
        <v>1.1426415000000001</v>
      </c>
      <c r="AD22" s="268">
        <f>'Aerospace Propulsion Division'!AD72</f>
        <v>1.1426415000000001</v>
      </c>
      <c r="AE22" s="268">
        <f>'Aerospace Propulsion Division'!AE72</f>
        <v>1.1426415000000001</v>
      </c>
      <c r="AF22" s="268">
        <f>'Aerospace Propulsion Division'!AF72</f>
        <v>1.1426415000000001</v>
      </c>
      <c r="AG22" s="1433"/>
      <c r="AH22" s="1433"/>
      <c r="AI22" s="180"/>
      <c r="AJ22" s="180"/>
      <c r="AK22" s="180"/>
      <c r="AL22" s="180"/>
      <c r="AM22" s="180"/>
      <c r="AN22" s="180"/>
      <c r="AO22" s="180"/>
    </row>
    <row r="23" spans="1:41">
      <c r="A23" s="227" t="s">
        <v>752</v>
      </c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67">
        <f>O25-SUM(O17:O22)</f>
        <v>9.8410000000000082</v>
      </c>
      <c r="P23" s="267">
        <f>P25-SUM(P17:P22)</f>
        <v>14.80251492537311</v>
      </c>
      <c r="Q23" s="267"/>
      <c r="R23" s="267"/>
      <c r="S23" s="267"/>
      <c r="T23" s="232">
        <v>-20</v>
      </c>
      <c r="U23" s="267"/>
      <c r="V23" s="267">
        <f>(V115-V116)/2-110</f>
        <v>-115</v>
      </c>
      <c r="W23" s="232">
        <v>15</v>
      </c>
      <c r="X23" s="232">
        <v>20</v>
      </c>
      <c r="Y23" s="232">
        <f>-170-15</f>
        <v>-185</v>
      </c>
      <c r="Z23" s="224">
        <f>50</f>
        <v>50</v>
      </c>
      <c r="AA23" s="224">
        <v>115</v>
      </c>
      <c r="AB23" s="224">
        <v>25</v>
      </c>
      <c r="AC23" s="224">
        <v>25</v>
      </c>
      <c r="AD23" s="224">
        <v>25</v>
      </c>
      <c r="AE23" s="224">
        <v>25</v>
      </c>
      <c r="AF23" s="224">
        <v>25</v>
      </c>
      <c r="AG23" s="1433"/>
      <c r="AH23" s="1433"/>
      <c r="AI23" s="180"/>
      <c r="AJ23" s="180"/>
      <c r="AK23" s="180"/>
      <c r="AL23" s="180"/>
      <c r="AM23" s="180"/>
      <c r="AN23" s="180"/>
      <c r="AO23" s="180"/>
    </row>
    <row r="24" spans="1:41">
      <c r="A24" s="227" t="s">
        <v>1773</v>
      </c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67"/>
      <c r="P24" s="267"/>
      <c r="Q24" s="267"/>
      <c r="R24" s="267"/>
      <c r="S24" s="267"/>
      <c r="T24" s="232"/>
      <c r="U24" s="267"/>
      <c r="V24" s="267"/>
      <c r="W24" s="232"/>
      <c r="X24" s="232"/>
      <c r="Y24" s="232"/>
      <c r="Z24" s="224"/>
      <c r="AA24" s="224">
        <f>AA75-Z75</f>
        <v>-52.395639730725186</v>
      </c>
      <c r="AB24" s="224">
        <f t="shared" ref="AB24:AF24" si="15">AB75-AA75</f>
        <v>79.690000000000026</v>
      </c>
      <c r="AC24" s="224">
        <f t="shared" si="15"/>
        <v>17.693520000000007</v>
      </c>
      <c r="AD24" s="224">
        <f t="shared" si="15"/>
        <v>19.557181800000023</v>
      </c>
      <c r="AE24" s="224">
        <f t="shared" si="15"/>
        <v>21.595058004000037</v>
      </c>
      <c r="AF24" s="224">
        <f t="shared" si="15"/>
        <v>23.822406685739992</v>
      </c>
      <c r="AG24" s="1433"/>
      <c r="AH24" s="1433"/>
      <c r="AI24" s="180"/>
      <c r="AJ24" s="180"/>
      <c r="AK24" s="180"/>
      <c r="AL24" s="180"/>
      <c r="AM24" s="180"/>
      <c r="AN24" s="180"/>
      <c r="AO24" s="180"/>
    </row>
    <row r="25" spans="1:41">
      <c r="A25" s="57" t="s">
        <v>939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234">
        <v>90</v>
      </c>
      <c r="P25" s="234">
        <v>50</v>
      </c>
      <c r="Q25" s="234">
        <f>SUM(Q17:Q23)</f>
        <v>111.73299999999999</v>
      </c>
      <c r="R25" s="234">
        <v>111.41774193548376</v>
      </c>
      <c r="S25" s="234">
        <f t="shared" ref="S25:Z25" si="16">SUM(S17:S23)</f>
        <v>45.145393727841856</v>
      </c>
      <c r="T25" s="234">
        <f t="shared" si="16"/>
        <v>53.207819934227189</v>
      </c>
      <c r="U25" s="234">
        <f t="shared" si="16"/>
        <v>247.26666047104138</v>
      </c>
      <c r="V25" s="234">
        <f t="shared" si="16"/>
        <v>-443.91887558118253</v>
      </c>
      <c r="W25" s="234">
        <f t="shared" si="16"/>
        <v>-4.9999707211538471</v>
      </c>
      <c r="X25" s="234">
        <f t="shared" si="16"/>
        <v>232.85882955509138</v>
      </c>
      <c r="Y25" s="234">
        <f t="shared" si="16"/>
        <v>33.828311930290965</v>
      </c>
      <c r="Z25" s="234">
        <f t="shared" si="16"/>
        <v>314.02729811120741</v>
      </c>
      <c r="AA25" s="234">
        <f>SUM(AA17:AA24)</f>
        <v>268.09055472535795</v>
      </c>
      <c r="AB25" s="234">
        <f t="shared" ref="AB25:AF25" si="17">SUM(AB17:AB24)</f>
        <v>386.65579457213084</v>
      </c>
      <c r="AC25" s="234">
        <f t="shared" si="17"/>
        <v>223.57613766513651</v>
      </c>
      <c r="AD25" s="234">
        <f t="shared" si="17"/>
        <v>208.14581076887492</v>
      </c>
      <c r="AE25" s="234">
        <f t="shared" si="17"/>
        <v>161.88073419440198</v>
      </c>
      <c r="AF25" s="234">
        <f t="shared" si="17"/>
        <v>147.50461039239687</v>
      </c>
      <c r="AG25" s="1433"/>
      <c r="AH25" s="1433"/>
      <c r="AI25" s="180"/>
      <c r="AJ25" s="180"/>
      <c r="AK25" s="180"/>
      <c r="AL25" s="180"/>
      <c r="AM25" s="180"/>
      <c r="AN25" s="180"/>
      <c r="AO25" s="180"/>
    </row>
    <row r="26" spans="1:41">
      <c r="A26" s="231"/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1433"/>
      <c r="AH26" s="1433"/>
      <c r="AI26" s="180"/>
      <c r="AJ26" s="180"/>
      <c r="AK26" s="180"/>
      <c r="AL26" s="180"/>
      <c r="AM26" s="180"/>
      <c r="AN26" s="180"/>
      <c r="AO26" s="180"/>
    </row>
    <row r="27" spans="1:41">
      <c r="A27" s="258" t="s">
        <v>975</v>
      </c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1433"/>
      <c r="AH27" s="1433"/>
      <c r="AI27" s="180"/>
      <c r="AJ27" s="180"/>
      <c r="AK27" s="180"/>
      <c r="AL27" s="180"/>
      <c r="AM27" s="180"/>
      <c r="AN27" s="180"/>
      <c r="AO27" s="180"/>
    </row>
    <row r="28" spans="1:41">
      <c r="A28" s="307" t="s">
        <v>927</v>
      </c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333">
        <v>0.1</v>
      </c>
      <c r="P28" s="333">
        <v>0.1</v>
      </c>
      <c r="Q28" s="333">
        <v>0.05</v>
      </c>
      <c r="R28" s="333">
        <v>0.1</v>
      </c>
      <c r="S28" s="333">
        <v>7.4999999999999997E-2</v>
      </c>
      <c r="T28" s="333">
        <v>7.4999999999999997E-2</v>
      </c>
      <c r="U28" s="333">
        <v>0.15</v>
      </c>
      <c r="V28" s="333">
        <v>0.15</v>
      </c>
      <c r="W28" s="333">
        <v>0.1</v>
      </c>
      <c r="X28" s="333">
        <v>0.1</v>
      </c>
      <c r="Y28" s="333">
        <v>0.1</v>
      </c>
      <c r="Z28" s="333">
        <v>0.1</v>
      </c>
      <c r="AA28" s="941">
        <v>0.13</v>
      </c>
      <c r="AB28" s="941">
        <v>0.13</v>
      </c>
      <c r="AC28" s="941">
        <v>0.14000000000000001</v>
      </c>
      <c r="AD28" s="941">
        <v>0.13</v>
      </c>
      <c r="AE28" s="941">
        <v>0.1</v>
      </c>
      <c r="AF28" s="941">
        <v>0.1</v>
      </c>
      <c r="AG28" s="1433"/>
      <c r="AH28" s="1433"/>
      <c r="AI28" s="180"/>
      <c r="AJ28" s="180"/>
      <c r="AK28" s="180"/>
      <c r="AL28" s="180"/>
      <c r="AM28" s="180"/>
      <c r="AN28" s="180"/>
      <c r="AO28" s="180"/>
    </row>
    <row r="29" spans="1:41">
      <c r="A29" s="307" t="s">
        <v>928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333">
        <v>0.25</v>
      </c>
      <c r="P29" s="333">
        <v>0.25</v>
      </c>
      <c r="Q29" s="333">
        <v>0.15</v>
      </c>
      <c r="R29" s="333">
        <v>0.25</v>
      </c>
      <c r="S29" s="333">
        <v>0.25</v>
      </c>
      <c r="T29" s="333">
        <v>0.25</v>
      </c>
      <c r="U29" s="333">
        <v>0.4</v>
      </c>
      <c r="V29" s="333">
        <v>0.3</v>
      </c>
      <c r="W29" s="333">
        <v>0.3</v>
      </c>
      <c r="X29" s="333">
        <v>0.3</v>
      </c>
      <c r="Y29" s="333">
        <v>0.3</v>
      </c>
      <c r="Z29" s="333">
        <v>0.3</v>
      </c>
      <c r="AA29" s="941">
        <v>0.28999999999999998</v>
      </c>
      <c r="AB29" s="941">
        <v>0.28999999999999998</v>
      </c>
      <c r="AC29" s="941">
        <v>0.28999999999999998</v>
      </c>
      <c r="AD29" s="941">
        <v>0.28999999999999998</v>
      </c>
      <c r="AE29" s="941">
        <v>0.26</v>
      </c>
      <c r="AF29" s="941">
        <v>0.26</v>
      </c>
      <c r="AG29" s="1433"/>
      <c r="AH29" s="1433"/>
      <c r="AI29" s="180"/>
      <c r="AJ29" s="180"/>
      <c r="AK29" s="180"/>
      <c r="AL29" s="180"/>
      <c r="AM29" s="180"/>
      <c r="AN29" s="180"/>
      <c r="AO29" s="180"/>
    </row>
    <row r="30" spans="1:41">
      <c r="A30" s="286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1433"/>
      <c r="AH30" s="1433"/>
      <c r="AI30" s="180"/>
      <c r="AJ30" s="180"/>
      <c r="AK30" s="180"/>
      <c r="AL30" s="180"/>
      <c r="AM30" s="180"/>
      <c r="AN30" s="180"/>
      <c r="AO30" s="180"/>
    </row>
    <row r="31" spans="1:41">
      <c r="A31" s="258" t="s">
        <v>758</v>
      </c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1433"/>
      <c r="AH31" s="1433"/>
      <c r="AI31" s="180"/>
      <c r="AJ31" s="180"/>
      <c r="AK31" s="180"/>
      <c r="AL31" s="180"/>
      <c r="AM31" s="180"/>
      <c r="AN31" s="180"/>
      <c r="AO31" s="180"/>
    </row>
    <row r="32" spans="1:41">
      <c r="A32" s="332" t="s">
        <v>933</v>
      </c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4">
        <f t="shared" ref="T32:AF32" si="18">T34-T33</f>
        <v>-502</v>
      </c>
      <c r="U32" s="334">
        <f t="shared" si="18"/>
        <v>-527</v>
      </c>
      <c r="V32" s="335">
        <f t="shared" si="18"/>
        <v>-357</v>
      </c>
      <c r="W32" s="335">
        <f t="shared" si="18"/>
        <v>-379</v>
      </c>
      <c r="X32" s="335">
        <f t="shared" si="18"/>
        <v>-425</v>
      </c>
      <c r="Y32" s="335">
        <f t="shared" si="18"/>
        <v>-484</v>
      </c>
      <c r="Z32" s="335">
        <f t="shared" si="18"/>
        <v>-511</v>
      </c>
      <c r="AA32" s="335">
        <f t="shared" si="18"/>
        <v>-574.39646040759942</v>
      </c>
      <c r="AB32" s="335">
        <f t="shared" si="18"/>
        <v>-641.41175495257232</v>
      </c>
      <c r="AC32" s="335">
        <f t="shared" si="18"/>
        <v>-683.22701074680606</v>
      </c>
      <c r="AD32" s="335">
        <f t="shared" si="18"/>
        <v>-722.2963329331601</v>
      </c>
      <c r="AE32" s="335">
        <f t="shared" si="18"/>
        <v>-756.2086050616557</v>
      </c>
      <c r="AF32" s="335">
        <f t="shared" si="18"/>
        <v>-785.02200888920436</v>
      </c>
      <c r="AG32" s="1433"/>
      <c r="AH32" s="1433"/>
      <c r="AI32" s="180"/>
      <c r="AJ32" s="180"/>
      <c r="AK32" s="180"/>
      <c r="AL32" s="180"/>
      <c r="AM32" s="180"/>
      <c r="AN32" s="180"/>
      <c r="AO32" s="180"/>
    </row>
    <row r="33" spans="1:41">
      <c r="A33" s="231" t="s">
        <v>896</v>
      </c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33">
        <v>86</v>
      </c>
      <c r="U33" s="233">
        <v>95</v>
      </c>
      <c r="V33" s="233">
        <v>85</v>
      </c>
      <c r="W33" s="233">
        <v>93</v>
      </c>
      <c r="X33" s="233">
        <v>87</v>
      </c>
      <c r="Y33" s="233">
        <v>87</v>
      </c>
      <c r="Z33" s="233">
        <v>99</v>
      </c>
      <c r="AA33" s="180">
        <f t="shared" ref="AA33:AF33" si="19">Z33</f>
        <v>99</v>
      </c>
      <c r="AB33" s="180">
        <f t="shared" si="19"/>
        <v>99</v>
      </c>
      <c r="AC33" s="180">
        <f t="shared" si="19"/>
        <v>99</v>
      </c>
      <c r="AD33" s="180">
        <f t="shared" si="19"/>
        <v>99</v>
      </c>
      <c r="AE33" s="180">
        <f t="shared" si="19"/>
        <v>99</v>
      </c>
      <c r="AF33" s="180">
        <f t="shared" si="19"/>
        <v>99</v>
      </c>
      <c r="AG33" s="1433"/>
      <c r="AH33" s="1433"/>
      <c r="AI33" s="180"/>
      <c r="AJ33" s="180"/>
      <c r="AK33" s="180"/>
      <c r="AL33" s="180"/>
      <c r="AM33" s="180"/>
      <c r="AN33" s="180"/>
      <c r="AO33" s="180"/>
    </row>
    <row r="34" spans="1:41">
      <c r="A34" s="230" t="s">
        <v>934</v>
      </c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>
        <f t="shared" ref="T34:AF34" si="20">T37-T36-T35</f>
        <v>-416</v>
      </c>
      <c r="U34" s="227">
        <f t="shared" si="20"/>
        <v>-432</v>
      </c>
      <c r="V34" s="227">
        <f t="shared" si="20"/>
        <v>-272</v>
      </c>
      <c r="W34" s="336">
        <f t="shared" si="20"/>
        <v>-286</v>
      </c>
      <c r="X34" s="336">
        <f t="shared" si="20"/>
        <v>-338</v>
      </c>
      <c r="Y34" s="336">
        <f t="shared" si="20"/>
        <v>-397</v>
      </c>
      <c r="Z34" s="336">
        <f t="shared" si="20"/>
        <v>-412</v>
      </c>
      <c r="AA34" s="304">
        <f t="shared" si="20"/>
        <v>-475.39646040759942</v>
      </c>
      <c r="AB34" s="304">
        <f t="shared" si="20"/>
        <v>-542.41175495257232</v>
      </c>
      <c r="AC34" s="304">
        <f t="shared" si="20"/>
        <v>-584.22701074680606</v>
      </c>
      <c r="AD34" s="304">
        <f t="shared" si="20"/>
        <v>-623.2963329331601</v>
      </c>
      <c r="AE34" s="304">
        <f t="shared" si="20"/>
        <v>-657.2086050616557</v>
      </c>
      <c r="AF34" s="304">
        <f t="shared" si="20"/>
        <v>-686.02200888920436</v>
      </c>
      <c r="AG34" s="1433"/>
      <c r="AH34" s="1433"/>
      <c r="AI34" s="180"/>
      <c r="AJ34" s="180"/>
      <c r="AK34" s="180"/>
      <c r="AL34" s="180"/>
      <c r="AM34" s="180"/>
      <c r="AN34" s="180"/>
      <c r="AO34" s="180"/>
    </row>
    <row r="35" spans="1:41">
      <c r="A35" s="231" t="s">
        <v>935</v>
      </c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33">
        <v>172</v>
      </c>
      <c r="U35" s="233">
        <v>161</v>
      </c>
      <c r="V35" s="233">
        <v>124</v>
      </c>
      <c r="W35" s="233">
        <v>127</v>
      </c>
      <c r="X35" s="233">
        <v>126</v>
      </c>
      <c r="Y35" s="233">
        <v>149</v>
      </c>
      <c r="Z35" s="233">
        <v>121</v>
      </c>
      <c r="AA35" s="180">
        <f t="shared" ref="AA35:AF36" si="21">Z35</f>
        <v>121</v>
      </c>
      <c r="AB35" s="180">
        <f t="shared" si="21"/>
        <v>121</v>
      </c>
      <c r="AC35" s="180">
        <f t="shared" si="21"/>
        <v>121</v>
      </c>
      <c r="AD35" s="180">
        <f t="shared" si="21"/>
        <v>121</v>
      </c>
      <c r="AE35" s="180">
        <f t="shared" si="21"/>
        <v>121</v>
      </c>
      <c r="AF35" s="180">
        <f t="shared" si="21"/>
        <v>121</v>
      </c>
      <c r="AG35" s="1433"/>
      <c r="AH35" s="1433"/>
      <c r="AI35" s="180"/>
      <c r="AJ35" s="180"/>
      <c r="AK35" s="180"/>
      <c r="AL35" s="180"/>
      <c r="AM35" s="180"/>
      <c r="AN35" s="180"/>
      <c r="AO35" s="180"/>
    </row>
    <row r="36" spans="1:41">
      <c r="A36" s="231" t="s">
        <v>942</v>
      </c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33">
        <v>-99</v>
      </c>
      <c r="U36" s="233">
        <v>-140</v>
      </c>
      <c r="V36" s="233">
        <v>-133</v>
      </c>
      <c r="W36" s="233">
        <v>-89</v>
      </c>
      <c r="X36" s="233">
        <v>-86</v>
      </c>
      <c r="Y36" s="233">
        <v>-97</v>
      </c>
      <c r="Z36" s="233">
        <v>-112</v>
      </c>
      <c r="AA36" s="180">
        <f t="shared" si="21"/>
        <v>-112</v>
      </c>
      <c r="AB36" s="180">
        <f t="shared" si="21"/>
        <v>-112</v>
      </c>
      <c r="AC36" s="180">
        <f t="shared" si="21"/>
        <v>-112</v>
      </c>
      <c r="AD36" s="180">
        <f t="shared" si="21"/>
        <v>-112</v>
      </c>
      <c r="AE36" s="180">
        <f t="shared" si="21"/>
        <v>-112</v>
      </c>
      <c r="AF36" s="180">
        <f t="shared" si="21"/>
        <v>-112</v>
      </c>
      <c r="AG36" s="1433"/>
      <c r="AH36" s="1433"/>
      <c r="AI36" s="180"/>
      <c r="AJ36" s="180"/>
      <c r="AK36" s="180"/>
      <c r="AL36" s="180"/>
      <c r="AM36" s="180"/>
      <c r="AN36" s="180"/>
      <c r="AO36" s="180"/>
    </row>
    <row r="37" spans="1:41">
      <c r="A37" s="231" t="s">
        <v>1115</v>
      </c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33">
        <v>-343</v>
      </c>
      <c r="U37" s="233">
        <v>-411</v>
      </c>
      <c r="V37" s="233">
        <v>-281</v>
      </c>
      <c r="W37" s="233">
        <v>-248</v>
      </c>
      <c r="X37" s="233">
        <v>-298</v>
      </c>
      <c r="Y37" s="233">
        <v>-345</v>
      </c>
      <c r="Z37" s="233">
        <v>-403</v>
      </c>
      <c r="AA37" s="304">
        <f t="shared" ref="AA37:AF37" si="22">AA38*AA6</f>
        <v>-466.39646040759942</v>
      </c>
      <c r="AB37" s="304">
        <f t="shared" si="22"/>
        <v>-533.41175495257232</v>
      </c>
      <c r="AC37" s="304">
        <f t="shared" si="22"/>
        <v>-575.22701074680606</v>
      </c>
      <c r="AD37" s="304">
        <f t="shared" si="22"/>
        <v>-614.2963329331601</v>
      </c>
      <c r="AE37" s="304">
        <f t="shared" si="22"/>
        <v>-648.2086050616557</v>
      </c>
      <c r="AF37" s="304">
        <f t="shared" si="22"/>
        <v>-677.02200888920436</v>
      </c>
      <c r="AG37" s="1433"/>
      <c r="AH37" s="1433"/>
      <c r="AI37" s="180"/>
      <c r="AJ37" s="180"/>
      <c r="AK37" s="180"/>
      <c r="AL37" s="180"/>
      <c r="AM37" s="180"/>
      <c r="AN37" s="180"/>
      <c r="AO37" s="180"/>
    </row>
    <row r="38" spans="1:41">
      <c r="A38" s="337" t="s">
        <v>755</v>
      </c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70">
        <f t="shared" ref="T38:Z38" si="23">T37/T6</f>
        <v>-4.3188113825232938E-2</v>
      </c>
      <c r="U38" s="270">
        <f t="shared" si="23"/>
        <v>-4.440363007778738E-2</v>
      </c>
      <c r="V38" s="270">
        <f t="shared" si="23"/>
        <v>-4.0765994487160888E-2</v>
      </c>
      <c r="W38" s="270">
        <f t="shared" si="23"/>
        <v>-3.9209486166007904E-2</v>
      </c>
      <c r="X38" s="270">
        <f t="shared" si="23"/>
        <v>-3.9548772395487722E-2</v>
      </c>
      <c r="Y38" s="270">
        <f t="shared" si="23"/>
        <v>-3.9049235993208829E-2</v>
      </c>
      <c r="Z38" s="270">
        <f t="shared" si="23"/>
        <v>-3.7954417027688828E-2</v>
      </c>
      <c r="AA38" s="942">
        <f t="shared" ref="AA38:AF38" si="24">Z38</f>
        <v>-3.7954417027688828E-2</v>
      </c>
      <c r="AB38" s="942">
        <f t="shared" si="24"/>
        <v>-3.7954417027688828E-2</v>
      </c>
      <c r="AC38" s="942">
        <f t="shared" si="24"/>
        <v>-3.7954417027688828E-2</v>
      </c>
      <c r="AD38" s="942">
        <f t="shared" si="24"/>
        <v>-3.7954417027688828E-2</v>
      </c>
      <c r="AE38" s="942">
        <f t="shared" si="24"/>
        <v>-3.7954417027688828E-2</v>
      </c>
      <c r="AF38" s="942">
        <f t="shared" si="24"/>
        <v>-3.7954417027688828E-2</v>
      </c>
      <c r="AG38" s="1433"/>
      <c r="AH38" s="1433"/>
      <c r="AI38" s="180"/>
      <c r="AJ38" s="180"/>
      <c r="AK38" s="180"/>
      <c r="AL38" s="180"/>
      <c r="AM38" s="180"/>
      <c r="AN38" s="180"/>
      <c r="AO38" s="180"/>
    </row>
    <row r="39" spans="1:41">
      <c r="A39" s="348" t="s">
        <v>1577</v>
      </c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1433"/>
      <c r="AH39" s="1433"/>
      <c r="AI39" s="180"/>
      <c r="AJ39" s="180"/>
      <c r="AK39" s="180"/>
      <c r="AL39" s="180"/>
      <c r="AM39" s="180"/>
      <c r="AN39" s="180"/>
      <c r="AO39" s="180"/>
    </row>
    <row r="40" spans="1:41">
      <c r="A40" s="360" t="s">
        <v>943</v>
      </c>
      <c r="B40" s="368"/>
      <c r="C40" s="368"/>
      <c r="D40" s="368"/>
      <c r="E40" s="368"/>
      <c r="F40" s="368"/>
      <c r="G40" s="368"/>
      <c r="H40" s="368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1"/>
      <c r="W40" s="370"/>
      <c r="X40" s="370"/>
      <c r="Y40" s="370"/>
      <c r="Z40" s="370"/>
      <c r="AA40" s="322"/>
      <c r="AB40" s="322"/>
      <c r="AC40" s="322"/>
      <c r="AD40" s="322"/>
      <c r="AE40" s="322"/>
      <c r="AF40" s="322"/>
      <c r="AG40" s="1433"/>
      <c r="AH40" s="1433"/>
      <c r="AI40" s="180"/>
      <c r="AJ40" s="180"/>
      <c r="AK40" s="180"/>
      <c r="AL40" s="180"/>
      <c r="AM40" s="180"/>
      <c r="AN40" s="180"/>
      <c r="AO40" s="180"/>
    </row>
    <row r="41" spans="1:41">
      <c r="A41" s="258" t="s">
        <v>1074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1433"/>
      <c r="AH41" s="1433"/>
      <c r="AI41" s="180"/>
      <c r="AJ41" s="180"/>
      <c r="AK41" s="180"/>
      <c r="AL41" s="180"/>
      <c r="AM41" s="180"/>
      <c r="AN41" s="180"/>
      <c r="AO41" s="180"/>
    </row>
    <row r="42" spans="1:41">
      <c r="A42" s="231" t="s">
        <v>927</v>
      </c>
      <c r="B42" s="227"/>
      <c r="C42" s="227"/>
      <c r="D42" s="227"/>
      <c r="E42" s="227"/>
      <c r="F42" s="227"/>
      <c r="G42" s="227"/>
      <c r="H42" s="267"/>
      <c r="I42" s="267"/>
      <c r="J42" s="267">
        <v>1964.9279999999999</v>
      </c>
      <c r="K42" s="267">
        <v>1887.0940000000001</v>
      </c>
      <c r="L42" s="267">
        <v>1947</v>
      </c>
      <c r="M42" s="267">
        <v>2138</v>
      </c>
      <c r="N42" s="267">
        <v>2637</v>
      </c>
      <c r="O42" s="267">
        <v>2877</v>
      </c>
      <c r="P42" s="232">
        <v>3166</v>
      </c>
      <c r="Q42" s="232">
        <v>3463</v>
      </c>
      <c r="R42" s="232">
        <v>3510</v>
      </c>
      <c r="S42" s="223">
        <v>3561.0200000000004</v>
      </c>
      <c r="T42" s="267">
        <v>3524.2920000000004</v>
      </c>
      <c r="U42" s="223">
        <v>4235.0176535128976</v>
      </c>
      <c r="V42" s="267">
        <v>3078.8510119612729</v>
      </c>
      <c r="W42" s="267">
        <f t="shared" ref="W42:Y42" si="25">(W52+W55+W59+W64+W67)*(1+W91)</f>
        <v>2754.7051436716501</v>
      </c>
      <c r="X42" s="267">
        <f t="shared" si="25"/>
        <v>3566.8419219637672</v>
      </c>
      <c r="Y42" s="267">
        <f t="shared" si="25"/>
        <v>4029.2131421268518</v>
      </c>
      <c r="Z42" s="267">
        <f>(Z52+Z55+Z59+Z64+Z67)*(1+Z91)</f>
        <v>4862.0393244824918</v>
      </c>
      <c r="AA42" s="267">
        <f>(AA52+AA55+AA59+AA64+AA67+AA73)*(1+AA91)-5.3</f>
        <v>5405.5349492501764</v>
      </c>
      <c r="AB42" s="267">
        <f>(AB52+AB55+AB59+AB64+AB67+AB73)*(1+AB91)-5.3</f>
        <v>6196.8711523137999</v>
      </c>
      <c r="AC42" s="267">
        <f>(AC52+AC55+AC59+AC64+AC67+AC73)*(1+AC91)-5.3</f>
        <v>6640.7737759787306</v>
      </c>
      <c r="AD42" s="267">
        <f>(AD52+AD55+AD59+AD64+AD67+AD73)*(1+AD91)-5.3</f>
        <v>6980.9490636395758</v>
      </c>
      <c r="AE42" s="267">
        <f t="shared" ref="AE42:AF42" si="26">(AE52+AE55+AE59+AE64+AE67+AE73)*(1+AE91)-5.3</f>
        <v>7339.6333926434627</v>
      </c>
      <c r="AF42" s="267">
        <f t="shared" si="26"/>
        <v>7717.8572344447439</v>
      </c>
      <c r="AG42" s="1433"/>
      <c r="AH42" s="1433"/>
      <c r="AI42" s="180"/>
      <c r="AJ42" s="180"/>
      <c r="AK42" s="180"/>
      <c r="AL42" s="180"/>
      <c r="AM42" s="180"/>
      <c r="AN42" s="180"/>
      <c r="AO42" s="180"/>
    </row>
    <row r="43" spans="1:41">
      <c r="A43" s="231" t="s">
        <v>928</v>
      </c>
      <c r="B43" s="227"/>
      <c r="C43" s="227"/>
      <c r="D43" s="227"/>
      <c r="E43" s="227"/>
      <c r="F43" s="227"/>
      <c r="G43" s="227"/>
      <c r="H43" s="267"/>
      <c r="I43" s="267"/>
      <c r="J43" s="232">
        <v>891.07200000000012</v>
      </c>
      <c r="K43" s="232">
        <v>879.90599999999995</v>
      </c>
      <c r="L43" s="232">
        <v>887</v>
      </c>
      <c r="M43" s="232">
        <v>959</v>
      </c>
      <c r="N43" s="232">
        <v>1054</v>
      </c>
      <c r="O43" s="232">
        <v>1214</v>
      </c>
      <c r="P43" s="232">
        <v>1280</v>
      </c>
      <c r="Q43" s="232">
        <v>1480</v>
      </c>
      <c r="R43" s="232">
        <v>1635</v>
      </c>
      <c r="S43" s="223">
        <v>1698.98</v>
      </c>
      <c r="T43" s="267">
        <v>1743.7079999999996</v>
      </c>
      <c r="U43" s="223">
        <v>2095.3525311102667</v>
      </c>
      <c r="V43" s="267">
        <v>1092.948687587713</v>
      </c>
      <c r="W43" s="267">
        <f t="shared" ref="W43:Z43" si="27">(W53+W56+W60+W65+W68)*(1+W91)</f>
        <v>941.04834100584355</v>
      </c>
      <c r="X43" s="267">
        <f t="shared" si="27"/>
        <v>1407.5960275905006</v>
      </c>
      <c r="Y43" s="267">
        <f t="shared" si="27"/>
        <v>2011.5242019385796</v>
      </c>
      <c r="Z43" s="267">
        <f t="shared" si="27"/>
        <v>2506.2811291109965</v>
      </c>
      <c r="AA43" s="267">
        <f t="shared" ref="AA43:AE43" si="28">(AA53+AA56+AA60+AA65+AA68+AA74)*(1+AA91)</f>
        <v>2854.3972778425573</v>
      </c>
      <c r="AB43" s="267">
        <f t="shared" si="28"/>
        <v>3359.6603707612958</v>
      </c>
      <c r="AC43" s="267">
        <f t="shared" si="28"/>
        <v>3609.9675781736328</v>
      </c>
      <c r="AD43" s="267">
        <f t="shared" si="28"/>
        <v>3804.7543090823146</v>
      </c>
      <c r="AE43" s="267">
        <f t="shared" si="28"/>
        <v>4010.2805611764302</v>
      </c>
      <c r="AF43" s="267">
        <f>(AF53+AF56+AF60+AF65+AF68+AF74)*(1+AF91)</f>
        <v>4227.1533234400522</v>
      </c>
      <c r="AG43" s="1433"/>
      <c r="AH43" s="1433"/>
      <c r="AI43" s="180"/>
      <c r="AJ43" s="180"/>
      <c r="AK43" s="180"/>
      <c r="AL43" s="180"/>
      <c r="AM43" s="180"/>
      <c r="AN43" s="180"/>
      <c r="AO43" s="180"/>
    </row>
    <row r="44" spans="1:41">
      <c r="A44" s="57" t="s">
        <v>1293</v>
      </c>
      <c r="B44" s="235"/>
      <c r="C44" s="235"/>
      <c r="D44" s="235"/>
      <c r="E44" s="235"/>
      <c r="F44" s="235"/>
      <c r="G44" s="235"/>
      <c r="H44" s="236">
        <v>2644</v>
      </c>
      <c r="I44" s="236">
        <v>2703</v>
      </c>
      <c r="J44" s="234">
        <f t="shared" ref="J44:Z44" si="29">J42+J43</f>
        <v>2856</v>
      </c>
      <c r="K44" s="234">
        <f t="shared" si="29"/>
        <v>2767</v>
      </c>
      <c r="L44" s="234">
        <f t="shared" si="29"/>
        <v>2834</v>
      </c>
      <c r="M44" s="234">
        <f t="shared" si="29"/>
        <v>3097</v>
      </c>
      <c r="N44" s="234">
        <f t="shared" si="29"/>
        <v>3691</v>
      </c>
      <c r="O44" s="234">
        <f t="shared" si="29"/>
        <v>4091</v>
      </c>
      <c r="P44" s="234">
        <f t="shared" si="29"/>
        <v>4446</v>
      </c>
      <c r="Q44" s="234">
        <f t="shared" si="29"/>
        <v>4943</v>
      </c>
      <c r="R44" s="234">
        <f t="shared" si="29"/>
        <v>5145</v>
      </c>
      <c r="S44" s="234">
        <f t="shared" si="29"/>
        <v>5260</v>
      </c>
      <c r="T44" s="234">
        <f t="shared" si="29"/>
        <v>5268</v>
      </c>
      <c r="U44" s="234">
        <f t="shared" si="29"/>
        <v>6330.3701846231643</v>
      </c>
      <c r="V44" s="234">
        <f t="shared" si="29"/>
        <v>4171.7996995489857</v>
      </c>
      <c r="W44" s="234">
        <f t="shared" si="29"/>
        <v>3695.7534846774938</v>
      </c>
      <c r="X44" s="234">
        <f t="shared" si="29"/>
        <v>4974.437949554268</v>
      </c>
      <c r="Y44" s="234">
        <f t="shared" si="29"/>
        <v>6040.7373440654319</v>
      </c>
      <c r="Z44" s="234">
        <f t="shared" si="29"/>
        <v>7368.3204535934883</v>
      </c>
      <c r="AA44" s="234">
        <f t="shared" ref="AA44:AF44" si="30">AA42+AA43</f>
        <v>8259.9322270927332</v>
      </c>
      <c r="AB44" s="234">
        <f t="shared" si="30"/>
        <v>9556.5315230750966</v>
      </c>
      <c r="AC44" s="234">
        <f t="shared" si="30"/>
        <v>10250.741354152364</v>
      </c>
      <c r="AD44" s="234">
        <f t="shared" si="30"/>
        <v>10785.703372721891</v>
      </c>
      <c r="AE44" s="234">
        <f t="shared" si="30"/>
        <v>11349.913953819892</v>
      </c>
      <c r="AF44" s="234">
        <f t="shared" si="30"/>
        <v>11945.010557884796</v>
      </c>
      <c r="AG44" s="1433"/>
      <c r="AH44" s="1433"/>
      <c r="AI44" s="180"/>
      <c r="AJ44" s="180"/>
      <c r="AK44" s="180"/>
      <c r="AL44" s="180"/>
      <c r="AM44" s="180"/>
      <c r="AN44" s="180"/>
      <c r="AO44" s="180"/>
    </row>
    <row r="45" spans="1:41">
      <c r="A45" s="323" t="s">
        <v>1242</v>
      </c>
      <c r="B45" s="339"/>
      <c r="C45" s="339"/>
      <c r="D45" s="339"/>
      <c r="E45" s="339"/>
      <c r="F45" s="339"/>
      <c r="G45" s="339"/>
      <c r="H45" s="339"/>
      <c r="I45" s="339">
        <f t="shared" ref="I45:AF45" si="31">I44/H44-1</f>
        <v>2.2314674735249618E-2</v>
      </c>
      <c r="J45" s="339">
        <f t="shared" si="31"/>
        <v>5.6603773584905648E-2</v>
      </c>
      <c r="K45" s="339">
        <f t="shared" si="31"/>
        <v>-3.1162464985994398E-2</v>
      </c>
      <c r="L45" s="339">
        <f t="shared" si="31"/>
        <v>2.4213950126490857E-2</v>
      </c>
      <c r="M45" s="339">
        <f t="shared" si="31"/>
        <v>9.2801693719124945E-2</v>
      </c>
      <c r="N45" s="339">
        <f t="shared" si="31"/>
        <v>0.191798514691637</v>
      </c>
      <c r="O45" s="339">
        <f t="shared" si="31"/>
        <v>0.10837171498238951</v>
      </c>
      <c r="P45" s="339">
        <f t="shared" si="31"/>
        <v>8.6775849425568374E-2</v>
      </c>
      <c r="Q45" s="339">
        <f t="shared" si="31"/>
        <v>0.11178587494376968</v>
      </c>
      <c r="R45" s="339">
        <f t="shared" si="31"/>
        <v>4.0865870928585846E-2</v>
      </c>
      <c r="S45" s="339">
        <f t="shared" si="31"/>
        <v>2.2351797862002032E-2</v>
      </c>
      <c r="T45" s="339">
        <f t="shared" si="31"/>
        <v>1.5209125475286189E-3</v>
      </c>
      <c r="U45" s="339">
        <f t="shared" si="31"/>
        <v>0.20166480345921878</v>
      </c>
      <c r="V45" s="339">
        <f t="shared" si="31"/>
        <v>-0.34098645452322385</v>
      </c>
      <c r="W45" s="339">
        <f t="shared" si="31"/>
        <v>-0.11411051564219565</v>
      </c>
      <c r="X45" s="339">
        <f t="shared" si="31"/>
        <v>0.3459874881206686</v>
      </c>
      <c r="Y45" s="339">
        <f t="shared" si="31"/>
        <v>0.21435575341867708</v>
      </c>
      <c r="Z45" s="339">
        <f t="shared" si="31"/>
        <v>0.21977169903477201</v>
      </c>
      <c r="AA45" s="339">
        <f t="shared" si="31"/>
        <v>0.12100610703819359</v>
      </c>
      <c r="AB45" s="339">
        <f t="shared" si="31"/>
        <v>0.1569745683541437</v>
      </c>
      <c r="AC45" s="339">
        <f t="shared" si="31"/>
        <v>7.2642446624179069E-2</v>
      </c>
      <c r="AD45" s="339">
        <f t="shared" si="31"/>
        <v>5.2187641858003397E-2</v>
      </c>
      <c r="AE45" s="339">
        <f t="shared" si="31"/>
        <v>5.2310967732057678E-2</v>
      </c>
      <c r="AF45" s="339">
        <f t="shared" si="31"/>
        <v>5.2431816354397975E-2</v>
      </c>
      <c r="AG45" s="1433"/>
      <c r="AH45" s="1433"/>
      <c r="AI45" s="180"/>
      <c r="AJ45" s="180"/>
      <c r="AK45" s="180"/>
      <c r="AL45" s="180"/>
      <c r="AM45" s="180"/>
      <c r="AN45" s="180"/>
      <c r="AO45" s="180"/>
    </row>
    <row r="46" spans="1:41">
      <c r="A46" s="258" t="s">
        <v>1578</v>
      </c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1433"/>
      <c r="AH46" s="1433"/>
      <c r="AI46" s="180"/>
      <c r="AJ46" s="180"/>
      <c r="AK46" s="180"/>
      <c r="AL46" s="180"/>
      <c r="AM46" s="180"/>
      <c r="AN46" s="180"/>
      <c r="AO46" s="180"/>
    </row>
    <row r="47" spans="1:41">
      <c r="A47" s="230" t="s">
        <v>927</v>
      </c>
      <c r="B47" s="227"/>
      <c r="C47" s="227"/>
      <c r="D47" s="227"/>
      <c r="E47" s="227"/>
      <c r="F47" s="227"/>
      <c r="G47" s="227"/>
      <c r="H47" s="227"/>
      <c r="I47" s="227"/>
      <c r="J47" s="227"/>
      <c r="K47" s="1022">
        <f t="shared" ref="K47:AF47" si="32">K42/J42-1</f>
        <v>-3.9611629535535098E-2</v>
      </c>
      <c r="L47" s="1022">
        <f t="shared" si="32"/>
        <v>3.1745106497079512E-2</v>
      </c>
      <c r="M47" s="1022">
        <f t="shared" si="32"/>
        <v>9.8099640472521843E-2</v>
      </c>
      <c r="N47" s="1022">
        <f t="shared" si="32"/>
        <v>0.23339569691300288</v>
      </c>
      <c r="O47" s="1022">
        <f t="shared" si="32"/>
        <v>9.1012514220705443E-2</v>
      </c>
      <c r="P47" s="1022">
        <f t="shared" si="32"/>
        <v>0.10045185957594716</v>
      </c>
      <c r="Q47" s="1022">
        <f t="shared" si="32"/>
        <v>9.3809222994314601E-2</v>
      </c>
      <c r="R47" s="1022">
        <f t="shared" si="32"/>
        <v>1.357204735778228E-2</v>
      </c>
      <c r="S47" s="1022">
        <f t="shared" si="32"/>
        <v>1.4535612535612641E-2</v>
      </c>
      <c r="T47" s="1022">
        <f t="shared" si="32"/>
        <v>-1.0313898826740719E-2</v>
      </c>
      <c r="U47" s="1022">
        <f t="shared" si="32"/>
        <v>0.20166480345921878</v>
      </c>
      <c r="V47" s="1022">
        <f t="shared" si="32"/>
        <v>-0.27300161088882313</v>
      </c>
      <c r="W47" s="1022">
        <f t="shared" si="32"/>
        <v>-0.10528144006654516</v>
      </c>
      <c r="X47" s="1022">
        <f t="shared" si="32"/>
        <v>0.29481804256177058</v>
      </c>
      <c r="Y47" s="1022">
        <f t="shared" si="32"/>
        <v>0.12963042105003653</v>
      </c>
      <c r="Z47" s="1022">
        <f t="shared" si="32"/>
        <v>0.20669697853611835</v>
      </c>
      <c r="AA47" s="1022">
        <f t="shared" si="32"/>
        <v>0.11178346954763341</v>
      </c>
      <c r="AB47" s="1022">
        <f t="shared" si="32"/>
        <v>0.14639368915252193</v>
      </c>
      <c r="AC47" s="1022">
        <f t="shared" si="32"/>
        <v>7.1633347338387887E-2</v>
      </c>
      <c r="AD47" s="1022">
        <f t="shared" si="32"/>
        <v>5.1225248613548713E-2</v>
      </c>
      <c r="AE47" s="1022">
        <f t="shared" si="32"/>
        <v>5.1380453536339576E-2</v>
      </c>
      <c r="AF47" s="1022">
        <f t="shared" si="32"/>
        <v>5.1531707589152376E-2</v>
      </c>
      <c r="AG47" s="1433"/>
      <c r="AH47" s="1433"/>
      <c r="AI47" s="180"/>
      <c r="AJ47" s="180"/>
      <c r="AK47" s="180"/>
      <c r="AL47" s="180"/>
      <c r="AM47" s="180"/>
      <c r="AN47" s="180"/>
      <c r="AO47" s="180"/>
    </row>
    <row r="48" spans="1:41">
      <c r="A48" s="230" t="s">
        <v>928</v>
      </c>
      <c r="B48" s="227"/>
      <c r="C48" s="227"/>
      <c r="D48" s="227"/>
      <c r="E48" s="227"/>
      <c r="F48" s="227"/>
      <c r="G48" s="227"/>
      <c r="H48" s="227"/>
      <c r="I48" s="227"/>
      <c r="J48" s="227"/>
      <c r="K48" s="1022">
        <f t="shared" ref="K48:AF48" si="33">K43/J43-1</f>
        <v>-1.2530973928032929E-2</v>
      </c>
      <c r="L48" s="1022">
        <f t="shared" si="33"/>
        <v>8.0622248285613374E-3</v>
      </c>
      <c r="M48" s="1022">
        <f t="shared" si="33"/>
        <v>8.117249154453221E-2</v>
      </c>
      <c r="N48" s="1022">
        <f t="shared" si="33"/>
        <v>9.9061522419186643E-2</v>
      </c>
      <c r="O48" s="1022">
        <f t="shared" si="33"/>
        <v>0.15180265654648961</v>
      </c>
      <c r="P48" s="1022">
        <f t="shared" si="33"/>
        <v>5.4365733113673764E-2</v>
      </c>
      <c r="Q48" s="1022">
        <f t="shared" si="33"/>
        <v>0.15625</v>
      </c>
      <c r="R48" s="1022">
        <f t="shared" si="33"/>
        <v>0.10472972972972983</v>
      </c>
      <c r="S48" s="1022">
        <f t="shared" si="33"/>
        <v>3.9131498470948101E-2</v>
      </c>
      <c r="T48" s="1022">
        <f t="shared" si="33"/>
        <v>2.6326384065733288E-2</v>
      </c>
      <c r="U48" s="1022">
        <f t="shared" si="33"/>
        <v>0.20166480345921856</v>
      </c>
      <c r="V48" s="1022">
        <f t="shared" si="33"/>
        <v>-0.47839388772991287</v>
      </c>
      <c r="W48" s="1022">
        <f t="shared" si="33"/>
        <v>-0.13898213914976587</v>
      </c>
      <c r="X48" s="1022">
        <f t="shared" si="33"/>
        <v>0.49577441057489735</v>
      </c>
      <c r="Y48" s="1022">
        <f t="shared" si="33"/>
        <v>0.42904935969581648</v>
      </c>
      <c r="Z48" s="1022">
        <f t="shared" si="33"/>
        <v>0.24596121025817208</v>
      </c>
      <c r="AA48" s="1022">
        <f t="shared" si="33"/>
        <v>0.13889748627483023</v>
      </c>
      <c r="AB48" s="1022">
        <f t="shared" si="33"/>
        <v>0.1770121828663711</v>
      </c>
      <c r="AC48" s="1022">
        <f t="shared" si="33"/>
        <v>7.4503723528345001E-2</v>
      </c>
      <c r="AD48" s="1022">
        <f t="shared" si="33"/>
        <v>5.3958027791271457E-2</v>
      </c>
      <c r="AE48" s="1022">
        <f t="shared" si="33"/>
        <v>5.401827171954432E-2</v>
      </c>
      <c r="AF48" s="1022">
        <f t="shared" si="33"/>
        <v>5.407919943636097E-2</v>
      </c>
      <c r="AG48" s="1433"/>
      <c r="AH48" s="1433"/>
      <c r="AI48" s="180"/>
      <c r="AJ48" s="180"/>
      <c r="AK48" s="180"/>
      <c r="AL48" s="180"/>
      <c r="AM48" s="180"/>
      <c r="AN48" s="180"/>
      <c r="AO48" s="180"/>
    </row>
    <row r="49" spans="1:41">
      <c r="A49" s="230"/>
      <c r="B49" s="227"/>
      <c r="C49" s="227"/>
      <c r="D49" s="227"/>
      <c r="E49" s="227"/>
      <c r="F49" s="227"/>
      <c r="G49" s="227"/>
      <c r="H49" s="227"/>
      <c r="I49" s="227"/>
      <c r="J49" s="227"/>
      <c r="K49" s="1022"/>
      <c r="L49" s="1022"/>
      <c r="M49" s="1022"/>
      <c r="N49" s="1022"/>
      <c r="O49" s="1022"/>
      <c r="P49" s="1022"/>
      <c r="Q49" s="1022"/>
      <c r="R49" s="1022"/>
      <c r="S49" s="1022"/>
      <c r="T49" s="1022"/>
      <c r="U49" s="1022"/>
      <c r="V49" s="1022"/>
      <c r="W49" s="1022"/>
      <c r="X49" s="1022"/>
      <c r="Y49" s="1022"/>
      <c r="Z49" s="1022"/>
      <c r="AA49" s="345"/>
      <c r="AB49" s="345"/>
      <c r="AC49" s="345"/>
      <c r="AD49" s="345"/>
      <c r="AE49" s="345"/>
      <c r="AF49" s="345"/>
      <c r="AG49" s="1433"/>
      <c r="AH49" s="1433"/>
      <c r="AI49" s="180"/>
      <c r="AJ49" s="180"/>
      <c r="AK49" s="180"/>
      <c r="AL49" s="180"/>
      <c r="AM49" s="180"/>
      <c r="AN49" s="180"/>
      <c r="AO49" s="180"/>
    </row>
    <row r="50" spans="1:41">
      <c r="A50" s="258" t="s">
        <v>1581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1433"/>
      <c r="AH50" s="1433"/>
      <c r="AI50" s="180"/>
      <c r="AJ50" s="180"/>
      <c r="AK50" s="180"/>
      <c r="AL50" s="180"/>
      <c r="AM50" s="180"/>
      <c r="AN50" s="180"/>
      <c r="AO50" s="180"/>
    </row>
    <row r="51" spans="1:41">
      <c r="A51" s="343" t="s">
        <v>1582</v>
      </c>
      <c r="B51" s="336"/>
      <c r="C51" s="336"/>
      <c r="D51" s="336"/>
      <c r="E51" s="336"/>
      <c r="F51" s="336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267">
        <f>R52/0.57</f>
        <v>1739.0508771929822</v>
      </c>
      <c r="S51" s="267">
        <f>S52/57%</f>
        <v>1998.2</v>
      </c>
      <c r="T51" s="267">
        <f>T52/57%</f>
        <v>1930.8301754385964</v>
      </c>
      <c r="U51" s="267">
        <f>U57-U54</f>
        <v>2089.0221609256441</v>
      </c>
      <c r="V51" s="267">
        <f t="shared" ref="V51:AA51" si="34">SUM(V52:V53)</f>
        <v>1368.3095154062969</v>
      </c>
      <c r="W51" s="267">
        <f t="shared" si="34"/>
        <v>1234.716548215102</v>
      </c>
      <c r="X51" s="267">
        <f t="shared" si="34"/>
        <v>1525.6076615685956</v>
      </c>
      <c r="Y51" s="267">
        <f t="shared" si="34"/>
        <v>1949.3882639005924</v>
      </c>
      <c r="Z51" s="267">
        <f t="shared" si="34"/>
        <v>2351.1318236825387</v>
      </c>
      <c r="AA51" s="267">
        <f t="shared" si="34"/>
        <v>2468.6884148666659</v>
      </c>
      <c r="AB51" s="267">
        <f t="shared" ref="AB51:AE51" si="35">SUM(AB52:AB53)</f>
        <v>2592.1228356099991</v>
      </c>
      <c r="AC51" s="267">
        <f t="shared" si="35"/>
        <v>2721.7289773904995</v>
      </c>
      <c r="AD51" s="267">
        <f t="shared" si="35"/>
        <v>2857.8154262600242</v>
      </c>
      <c r="AE51" s="267">
        <f t="shared" si="35"/>
        <v>3000.7061975730257</v>
      </c>
      <c r="AF51" s="267">
        <f t="shared" ref="AF51" si="36">SUM(AF52:AF53)</f>
        <v>3150.7415074516775</v>
      </c>
      <c r="AG51" s="1433"/>
      <c r="AH51" s="1433"/>
      <c r="AI51" s="180"/>
      <c r="AJ51" s="180"/>
      <c r="AK51" s="180"/>
      <c r="AL51" s="180"/>
      <c r="AM51" s="180"/>
      <c r="AN51" s="180"/>
      <c r="AO51" s="180"/>
    </row>
    <row r="52" spans="1:41">
      <c r="A52" s="1037" t="s">
        <v>927</v>
      </c>
      <c r="B52" s="336"/>
      <c r="C52" s="336"/>
      <c r="D52" s="336"/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223">
        <v>991.25899999999979</v>
      </c>
      <c r="S52" s="267">
        <v>1138.9739999999999</v>
      </c>
      <c r="T52" s="267">
        <v>1100.5731999999998</v>
      </c>
      <c r="U52" s="267">
        <f>0.7*U51</f>
        <v>1462.3155126479508</v>
      </c>
      <c r="V52" s="267">
        <f t="shared" ref="V52:AA52" si="37">U52*(1+V82)</f>
        <v>1023.6208588535654</v>
      </c>
      <c r="W52" s="267">
        <f t="shared" si="37"/>
        <v>941.73119014528027</v>
      </c>
      <c r="X52" s="267">
        <f t="shared" si="37"/>
        <v>1130.0774281743363</v>
      </c>
      <c r="Y52" s="267">
        <f t="shared" si="37"/>
        <v>1356.0929138092035</v>
      </c>
      <c r="Z52" s="267">
        <f t="shared" si="37"/>
        <v>1627.3114965710442</v>
      </c>
      <c r="AA52" s="267">
        <f t="shared" si="37"/>
        <v>1708.6770713995966</v>
      </c>
      <c r="AB52" s="223">
        <f>AA52*(AA52/Z52)</f>
        <v>1794.1109249695764</v>
      </c>
      <c r="AC52" s="223">
        <f>AB52*(AB52/AA52)</f>
        <v>1883.8164712180553</v>
      </c>
      <c r="AD52" s="223">
        <f>AC52*(AC52/AB52)</f>
        <v>1978.0072947789581</v>
      </c>
      <c r="AE52" s="223">
        <f>AD52*(AD52/AC52)</f>
        <v>2076.9076595179063</v>
      </c>
      <c r="AF52" s="223">
        <f>AE52*(AE52/AD52)</f>
        <v>2180.7530424938018</v>
      </c>
      <c r="AG52" s="1433"/>
      <c r="AH52" s="1433"/>
      <c r="AI52" s="180"/>
      <c r="AJ52" s="180"/>
      <c r="AK52" s="180"/>
      <c r="AL52" s="180"/>
      <c r="AM52" s="180"/>
      <c r="AN52" s="180"/>
      <c r="AO52" s="180"/>
    </row>
    <row r="53" spans="1:41">
      <c r="A53" s="1037" t="s">
        <v>1583</v>
      </c>
      <c r="B53" s="336"/>
      <c r="C53" s="336"/>
      <c r="D53" s="336"/>
      <c r="E53" s="336"/>
      <c r="F53" s="336"/>
      <c r="G53" s="336"/>
      <c r="H53" s="336"/>
      <c r="I53" s="336"/>
      <c r="J53" s="336"/>
      <c r="K53" s="336"/>
      <c r="L53" s="336"/>
      <c r="M53" s="336"/>
      <c r="N53" s="336"/>
      <c r="O53" s="336"/>
      <c r="P53" s="336"/>
      <c r="Q53" s="336"/>
      <c r="R53" s="267">
        <f>R51-R52</f>
        <v>747.79187719298238</v>
      </c>
      <c r="S53" s="267">
        <f>S51-S52</f>
        <v>859.22600000000011</v>
      </c>
      <c r="T53" s="267">
        <f>T51-T52</f>
        <v>830.25697543859656</v>
      </c>
      <c r="U53" s="267">
        <f>U51-U52</f>
        <v>626.70664827769338</v>
      </c>
      <c r="V53" s="267">
        <f>U53*(1+V81)</f>
        <v>344.6886565527314</v>
      </c>
      <c r="W53" s="267">
        <f>V53*(1+W81)</f>
        <v>292.9853580698217</v>
      </c>
      <c r="X53" s="267">
        <f t="shared" ref="X53:AF53" si="38">W53*(1+X80)</f>
        <v>395.53023339425931</v>
      </c>
      <c r="Y53" s="267">
        <f t="shared" si="38"/>
        <v>593.29535009138897</v>
      </c>
      <c r="Z53" s="267">
        <f t="shared" si="38"/>
        <v>723.82032711149452</v>
      </c>
      <c r="AA53" s="267">
        <f t="shared" si="38"/>
        <v>760.01134346706931</v>
      </c>
      <c r="AB53" s="267">
        <f t="shared" si="38"/>
        <v>798.0119106404228</v>
      </c>
      <c r="AC53" s="267">
        <f t="shared" si="38"/>
        <v>837.91250617244395</v>
      </c>
      <c r="AD53" s="267">
        <f t="shared" si="38"/>
        <v>879.8081314810662</v>
      </c>
      <c r="AE53" s="267">
        <f t="shared" si="38"/>
        <v>923.79853805511959</v>
      </c>
      <c r="AF53" s="267">
        <f t="shared" si="38"/>
        <v>969.98846495787564</v>
      </c>
      <c r="AG53" s="1433"/>
      <c r="AH53" s="1433"/>
      <c r="AI53" s="180"/>
      <c r="AJ53" s="180"/>
      <c r="AK53" s="180"/>
      <c r="AL53" s="180"/>
      <c r="AM53" s="180"/>
      <c r="AN53" s="180"/>
      <c r="AO53" s="180"/>
    </row>
    <row r="54" spans="1:41">
      <c r="A54" s="343" t="s">
        <v>1584</v>
      </c>
      <c r="B54" s="336"/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267">
        <f>R57-R51</f>
        <v>730.54912280701774</v>
      </c>
      <c r="S54" s="267">
        <f>S57-S51</f>
        <v>526.59999999999968</v>
      </c>
      <c r="T54" s="267">
        <f>T57-T51</f>
        <v>597.8098245614035</v>
      </c>
      <c r="U54" s="267">
        <f>0.25*U57</f>
        <v>696.34072030854804</v>
      </c>
      <c r="V54" s="267">
        <f t="shared" ref="V54:AA54" si="39">SUM(V55:V56)</f>
        <v>382.98739616970147</v>
      </c>
      <c r="W54" s="267">
        <f t="shared" si="39"/>
        <v>363.83802636121641</v>
      </c>
      <c r="X54" s="267">
        <f t="shared" si="39"/>
        <v>509.37323690570304</v>
      </c>
      <c r="Y54" s="267">
        <f t="shared" si="39"/>
        <v>764.05985535855461</v>
      </c>
      <c r="Z54" s="267">
        <f t="shared" si="39"/>
        <v>932.15302353743664</v>
      </c>
      <c r="AA54" s="267">
        <f t="shared" si="39"/>
        <v>978.76067471430849</v>
      </c>
      <c r="AB54" s="267">
        <f t="shared" ref="AB54:AE54" si="40">SUM(AB55:AB56)</f>
        <v>1027.698708450024</v>
      </c>
      <c r="AC54" s="267">
        <f t="shared" si="40"/>
        <v>1079.0836438725253</v>
      </c>
      <c r="AD54" s="267">
        <f t="shared" si="40"/>
        <v>1133.0378260661516</v>
      </c>
      <c r="AE54" s="267">
        <f t="shared" si="40"/>
        <v>1189.6897173694592</v>
      </c>
      <c r="AF54" s="267">
        <f t="shared" ref="AF54" si="41">SUM(AF55:AF56)</f>
        <v>1249.1742032379323</v>
      </c>
      <c r="AG54" s="1433"/>
      <c r="AH54" s="1433"/>
      <c r="AI54" s="180"/>
      <c r="AJ54" s="180"/>
      <c r="AK54" s="180"/>
      <c r="AL54" s="180"/>
      <c r="AM54" s="180"/>
      <c r="AN54" s="180"/>
      <c r="AO54" s="180"/>
    </row>
    <row r="55" spans="1:41">
      <c r="A55" s="1037" t="s">
        <v>1585</v>
      </c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232">
        <v>0</v>
      </c>
      <c r="S55" s="232">
        <v>0</v>
      </c>
      <c r="T55" s="232">
        <v>0</v>
      </c>
      <c r="U55" s="232">
        <v>0</v>
      </c>
      <c r="V55" s="267">
        <f t="shared" ref="V55:AF55" si="42">U55</f>
        <v>0</v>
      </c>
      <c r="W55" s="267">
        <f t="shared" si="42"/>
        <v>0</v>
      </c>
      <c r="X55" s="267">
        <f t="shared" si="42"/>
        <v>0</v>
      </c>
      <c r="Y55" s="267">
        <f t="shared" si="42"/>
        <v>0</v>
      </c>
      <c r="Z55" s="267">
        <f t="shared" si="42"/>
        <v>0</v>
      </c>
      <c r="AA55" s="267">
        <f t="shared" si="42"/>
        <v>0</v>
      </c>
      <c r="AB55" s="267">
        <f t="shared" si="42"/>
        <v>0</v>
      </c>
      <c r="AC55" s="267">
        <f t="shared" si="42"/>
        <v>0</v>
      </c>
      <c r="AD55" s="267">
        <f t="shared" si="42"/>
        <v>0</v>
      </c>
      <c r="AE55" s="267">
        <f t="shared" si="42"/>
        <v>0</v>
      </c>
      <c r="AF55" s="267">
        <f t="shared" si="42"/>
        <v>0</v>
      </c>
      <c r="AG55" s="1433"/>
      <c r="AH55" s="1433"/>
      <c r="AI55" s="180"/>
      <c r="AJ55" s="180"/>
      <c r="AK55" s="180"/>
      <c r="AL55" s="180"/>
      <c r="AM55" s="180"/>
      <c r="AN55" s="180"/>
      <c r="AO55" s="180"/>
    </row>
    <row r="56" spans="1:41">
      <c r="A56" s="1037" t="s">
        <v>1586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267">
        <f>R54</f>
        <v>730.54912280701774</v>
      </c>
      <c r="S56" s="267">
        <f>S54</f>
        <v>526.59999999999968</v>
      </c>
      <c r="T56" s="267">
        <f>T54</f>
        <v>597.8098245614035</v>
      </c>
      <c r="U56" s="267">
        <f>U54</f>
        <v>696.34072030854804</v>
      </c>
      <c r="V56" s="267">
        <f>U56*(1+V81)</f>
        <v>382.98739616970147</v>
      </c>
      <c r="W56" s="267">
        <f>V56*(1+W81+0.1)</f>
        <v>363.83802636121641</v>
      </c>
      <c r="X56" s="267">
        <f>W56*(1+X81+5%)</f>
        <v>509.37323690570304</v>
      </c>
      <c r="Y56" s="267">
        <f t="shared" ref="Y56:AF56" si="43">X56*(1+Y80)</f>
        <v>764.05985535855461</v>
      </c>
      <c r="Z56" s="267">
        <f t="shared" si="43"/>
        <v>932.15302353743664</v>
      </c>
      <c r="AA56" s="267">
        <f t="shared" si="43"/>
        <v>978.76067471430849</v>
      </c>
      <c r="AB56" s="267">
        <f t="shared" si="43"/>
        <v>1027.698708450024</v>
      </c>
      <c r="AC56" s="267">
        <f t="shared" si="43"/>
        <v>1079.0836438725253</v>
      </c>
      <c r="AD56" s="267">
        <f t="shared" si="43"/>
        <v>1133.0378260661516</v>
      </c>
      <c r="AE56" s="267">
        <f t="shared" si="43"/>
        <v>1189.6897173694592</v>
      </c>
      <c r="AF56" s="267">
        <f t="shared" si="43"/>
        <v>1249.1742032379323</v>
      </c>
      <c r="AG56" s="1433"/>
      <c r="AH56" s="1433"/>
      <c r="AI56" s="180"/>
      <c r="AJ56" s="180"/>
      <c r="AK56" s="180"/>
      <c r="AL56" s="180"/>
      <c r="AM56" s="180"/>
      <c r="AN56" s="180"/>
      <c r="AO56" s="180"/>
    </row>
    <row r="57" spans="1:41">
      <c r="A57" s="306" t="s">
        <v>1587</v>
      </c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234">
        <f>R44*R85</f>
        <v>2469.6</v>
      </c>
      <c r="S57" s="234">
        <f t="shared" ref="S57:U57" si="44">S44*S85</f>
        <v>2524.7999999999997</v>
      </c>
      <c r="T57" s="234">
        <f t="shared" si="44"/>
        <v>2528.64</v>
      </c>
      <c r="U57" s="234">
        <f t="shared" si="44"/>
        <v>2785.3628812341922</v>
      </c>
      <c r="V57" s="234">
        <f t="shared" ref="V57:AB57" si="45">SUM(V51+V54)</f>
        <v>1751.2969115759984</v>
      </c>
      <c r="W57" s="234">
        <f t="shared" si="45"/>
        <v>1598.5545745763184</v>
      </c>
      <c r="X57" s="234">
        <f t="shared" si="45"/>
        <v>2034.9808984742986</v>
      </c>
      <c r="Y57" s="234">
        <f t="shared" si="45"/>
        <v>2713.448119259147</v>
      </c>
      <c r="Z57" s="234">
        <f t="shared" si="45"/>
        <v>3283.2848472199753</v>
      </c>
      <c r="AA57" s="234">
        <f t="shared" si="45"/>
        <v>3447.4490895809745</v>
      </c>
      <c r="AB57" s="234">
        <f t="shared" si="45"/>
        <v>3619.8215440600234</v>
      </c>
      <c r="AC57" s="234">
        <f t="shared" ref="AC57:AE57" si="46">SUM(AC51+AC54)</f>
        <v>3800.812621263025</v>
      </c>
      <c r="AD57" s="234">
        <f t="shared" si="46"/>
        <v>3990.8532523261756</v>
      </c>
      <c r="AE57" s="234">
        <f t="shared" si="46"/>
        <v>4190.3959149424845</v>
      </c>
      <c r="AF57" s="234">
        <f t="shared" ref="AF57" si="47">SUM(AF51+AF54)</f>
        <v>4399.91571068961</v>
      </c>
      <c r="AG57" s="1433"/>
      <c r="AH57" s="1433"/>
      <c r="AI57" s="180"/>
      <c r="AJ57" s="180"/>
      <c r="AK57" s="180"/>
      <c r="AL57" s="180"/>
      <c r="AM57" s="180"/>
      <c r="AN57" s="180"/>
      <c r="AO57" s="180"/>
    </row>
    <row r="58" spans="1:41">
      <c r="A58" s="343"/>
      <c r="B58" s="336"/>
      <c r="C58" s="336"/>
      <c r="D58" s="336"/>
      <c r="E58" s="336"/>
      <c r="F58" s="336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1433"/>
      <c r="AH58" s="1433"/>
      <c r="AI58" s="180"/>
      <c r="AJ58" s="180"/>
      <c r="AK58" s="180"/>
      <c r="AL58" s="180"/>
      <c r="AM58" s="180"/>
      <c r="AN58" s="180"/>
      <c r="AO58" s="180"/>
    </row>
    <row r="59" spans="1:41">
      <c r="A59" s="343" t="s">
        <v>927</v>
      </c>
      <c r="B59" s="336"/>
      <c r="C59" s="336"/>
      <c r="D59" s="33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267">
        <f>80%*R61</f>
        <v>987.84</v>
      </c>
      <c r="S59" s="267">
        <f>80%*S61</f>
        <v>1094.0800000000002</v>
      </c>
      <c r="T59" s="267">
        <f>80%*T61</f>
        <v>1095.7440000000001</v>
      </c>
      <c r="U59" s="267">
        <f>80%*U61</f>
        <v>1418.002921355589</v>
      </c>
      <c r="V59" s="267">
        <f t="shared" ref="V59:AA59" si="48">U59*(1+V82)</f>
        <v>992.60204494891229</v>
      </c>
      <c r="W59" s="267">
        <f t="shared" si="48"/>
        <v>913.19388135299937</v>
      </c>
      <c r="X59" s="267">
        <f t="shared" si="48"/>
        <v>1095.8326576235993</v>
      </c>
      <c r="Y59" s="267">
        <f t="shared" si="48"/>
        <v>1314.9991891483191</v>
      </c>
      <c r="Z59" s="267">
        <f t="shared" si="48"/>
        <v>1577.999026977983</v>
      </c>
      <c r="AA59" s="267">
        <f t="shared" si="48"/>
        <v>1656.8989783268823</v>
      </c>
      <c r="AB59" s="223">
        <f>AA59*(AA59/Z59)</f>
        <v>1739.7439272432266</v>
      </c>
      <c r="AC59" s="223">
        <f>AB59*(AB59/AA59)</f>
        <v>1826.7311236053881</v>
      </c>
      <c r="AD59" s="223">
        <f>AC59*(AC59/AB59)</f>
        <v>1918.0676797856577</v>
      </c>
      <c r="AE59" s="223">
        <f>AD59*(AD59/AC59)</f>
        <v>2013.9710637749406</v>
      </c>
      <c r="AF59" s="223">
        <f>AE59*(AE59/AD59)</f>
        <v>2114.6696169636875</v>
      </c>
      <c r="AG59" s="1433"/>
      <c r="AH59" s="1433"/>
      <c r="AI59" s="180"/>
      <c r="AJ59" s="180"/>
      <c r="AK59" s="180"/>
      <c r="AL59" s="180"/>
      <c r="AM59" s="180"/>
      <c r="AN59" s="180"/>
      <c r="AO59" s="180"/>
    </row>
    <row r="60" spans="1:41">
      <c r="A60" s="343" t="s">
        <v>1583</v>
      </c>
      <c r="B60" s="336"/>
      <c r="C60" s="336"/>
      <c r="D60" s="336"/>
      <c r="E60" s="336"/>
      <c r="F60" s="336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267">
        <f>20%*R61</f>
        <v>246.96</v>
      </c>
      <c r="S60" s="267">
        <f>20%*S61</f>
        <v>273.52000000000004</v>
      </c>
      <c r="T60" s="267">
        <f>20%*T61</f>
        <v>273.93600000000004</v>
      </c>
      <c r="U60" s="267">
        <f>20%*U61</f>
        <v>354.50073033889726</v>
      </c>
      <c r="V60" s="267">
        <f>U60*(1+V81)</f>
        <v>194.9754016863935</v>
      </c>
      <c r="W60" s="267">
        <f>V60*(1+W81)</f>
        <v>165.72909143343446</v>
      </c>
      <c r="X60" s="267">
        <f t="shared" ref="X60:Z60" si="49">W60*(1+X80+10%)</f>
        <v>240.30718257848</v>
      </c>
      <c r="Y60" s="267">
        <f t="shared" si="49"/>
        <v>384.49149212556802</v>
      </c>
      <c r="Z60" s="267">
        <f t="shared" si="49"/>
        <v>507.5287696057498</v>
      </c>
      <c r="AA60" s="267">
        <f>Z60*(1+AA80)</f>
        <v>532.90520808603731</v>
      </c>
      <c r="AB60" s="267">
        <f t="shared" ref="AB60:AF60" si="50">AA60*(1+AB80)</f>
        <v>559.5504684903392</v>
      </c>
      <c r="AC60" s="267">
        <f t="shared" si="50"/>
        <v>587.52799191485622</v>
      </c>
      <c r="AD60" s="267">
        <f t="shared" si="50"/>
        <v>616.904391510599</v>
      </c>
      <c r="AE60" s="267">
        <f t="shared" si="50"/>
        <v>647.74961108612899</v>
      </c>
      <c r="AF60" s="267">
        <f t="shared" si="50"/>
        <v>680.13709164043553</v>
      </c>
      <c r="AG60" s="1433"/>
      <c r="AH60" s="1433"/>
      <c r="AI60" s="180"/>
      <c r="AJ60" s="180"/>
      <c r="AK60" s="180"/>
      <c r="AL60" s="180"/>
      <c r="AM60" s="180"/>
      <c r="AN60" s="180"/>
      <c r="AO60" s="180"/>
    </row>
    <row r="61" spans="1:41">
      <c r="A61" s="1038" t="s">
        <v>1588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234">
        <f>R86*R44</f>
        <v>1234.8</v>
      </c>
      <c r="S61" s="234">
        <f t="shared" ref="S61:U61" si="51">S86*S44</f>
        <v>1367.6000000000001</v>
      </c>
      <c r="T61" s="234">
        <f t="shared" si="51"/>
        <v>1369.68</v>
      </c>
      <c r="U61" s="234">
        <f t="shared" si="51"/>
        <v>1772.5036516944863</v>
      </c>
      <c r="V61" s="234">
        <f t="shared" ref="V61:AB61" si="52">SUM(V59:V60)</f>
        <v>1187.5774466353057</v>
      </c>
      <c r="W61" s="234">
        <f t="shared" si="52"/>
        <v>1078.9229727864338</v>
      </c>
      <c r="X61" s="234">
        <f t="shared" si="52"/>
        <v>1336.1398402020793</v>
      </c>
      <c r="Y61" s="234">
        <f t="shared" si="52"/>
        <v>1699.4906812738873</v>
      </c>
      <c r="Z61" s="234">
        <f t="shared" si="52"/>
        <v>2085.5277965837327</v>
      </c>
      <c r="AA61" s="234">
        <f t="shared" si="52"/>
        <v>2189.8041864129195</v>
      </c>
      <c r="AB61" s="234">
        <f t="shared" si="52"/>
        <v>2299.2943957335656</v>
      </c>
      <c r="AC61" s="234">
        <f t="shared" ref="AC61:AE61" si="53">SUM(AC59:AC60)</f>
        <v>2414.2591155202444</v>
      </c>
      <c r="AD61" s="234">
        <f t="shared" si="53"/>
        <v>2534.9720712962567</v>
      </c>
      <c r="AE61" s="234">
        <f t="shared" si="53"/>
        <v>2661.7206748610697</v>
      </c>
      <c r="AF61" s="234">
        <f t="shared" ref="AF61" si="54">SUM(AF59:AF60)</f>
        <v>2794.8067086041228</v>
      </c>
      <c r="AG61" s="1433"/>
      <c r="AH61" s="1433"/>
      <c r="AI61" s="180"/>
      <c r="AJ61" s="180"/>
      <c r="AK61" s="180"/>
      <c r="AL61" s="180"/>
      <c r="AM61" s="180"/>
      <c r="AN61" s="180"/>
      <c r="AO61" s="180"/>
    </row>
    <row r="62" spans="1:41">
      <c r="A62" s="343"/>
      <c r="B62" s="336"/>
      <c r="C62" s="336"/>
      <c r="D62" s="336"/>
      <c r="E62" s="336"/>
      <c r="F62" s="336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1433"/>
      <c r="AH62" s="1433"/>
      <c r="AI62" s="180"/>
      <c r="AJ62" s="180"/>
      <c r="AK62" s="180"/>
      <c r="AL62" s="180"/>
      <c r="AM62" s="180"/>
      <c r="AN62" s="180"/>
      <c r="AO62" s="180"/>
    </row>
    <row r="63" spans="1:41">
      <c r="A63" s="343" t="s">
        <v>1589</v>
      </c>
      <c r="B63" s="336"/>
      <c r="C63" s="336"/>
      <c r="D63" s="336"/>
      <c r="E63" s="336"/>
      <c r="F63" s="336"/>
      <c r="G63" s="336"/>
      <c r="H63" s="336"/>
      <c r="I63" s="336"/>
      <c r="J63" s="336"/>
      <c r="K63" s="336"/>
      <c r="L63" s="336"/>
      <c r="M63" s="336"/>
      <c r="N63" s="336"/>
      <c r="O63" s="336"/>
      <c r="P63" s="336"/>
      <c r="Q63" s="336"/>
      <c r="R63" s="267">
        <f>R69*75%</f>
        <v>1080.45</v>
      </c>
      <c r="S63" s="267">
        <f>S69*75%</f>
        <v>1025.7</v>
      </c>
      <c r="T63" s="267">
        <f>T69*75%</f>
        <v>1027.26</v>
      </c>
      <c r="U63" s="267">
        <f>U69*75%</f>
        <v>1329.3777387708647</v>
      </c>
      <c r="V63" s="267">
        <f t="shared" ref="V63:AE63" si="55">SUM(V64:V65)</f>
        <v>916.60595088251114</v>
      </c>
      <c r="W63" s="267">
        <f t="shared" si="55"/>
        <v>839.69480180592268</v>
      </c>
      <c r="X63" s="267">
        <f t="shared" si="55"/>
        <v>1014.1593451422987</v>
      </c>
      <c r="Y63" s="267">
        <f t="shared" si="55"/>
        <v>1234.6102882037756</v>
      </c>
      <c r="Z63" s="267">
        <f t="shared" si="55"/>
        <v>1483.2942532478323</v>
      </c>
      <c r="AA63" s="267">
        <f t="shared" si="55"/>
        <v>1557.4589659102239</v>
      </c>
      <c r="AB63" s="267">
        <f t="shared" si="55"/>
        <v>1635.3319142057351</v>
      </c>
      <c r="AC63" s="267">
        <f t="shared" si="55"/>
        <v>1717.0985099160221</v>
      </c>
      <c r="AD63" s="267">
        <f t="shared" si="55"/>
        <v>1802.9534354118232</v>
      </c>
      <c r="AE63" s="267">
        <f t="shared" si="55"/>
        <v>1893.1011071824144</v>
      </c>
      <c r="AF63" s="267">
        <f t="shared" ref="AF63" si="56">SUM(AF64:AF65)</f>
        <v>1987.7561625415351</v>
      </c>
      <c r="AG63" s="1433"/>
      <c r="AH63" s="1433"/>
      <c r="AI63" s="180"/>
      <c r="AJ63" s="180"/>
      <c r="AK63" s="180"/>
      <c r="AL63" s="180"/>
      <c r="AM63" s="180"/>
      <c r="AN63" s="180"/>
      <c r="AO63" s="180"/>
    </row>
    <row r="64" spans="1:41">
      <c r="A64" s="1037" t="s">
        <v>927</v>
      </c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267">
        <f>93%*R63</f>
        <v>1004.8185000000001</v>
      </c>
      <c r="S64" s="267">
        <f>93%*S63</f>
        <v>953.90100000000007</v>
      </c>
      <c r="T64" s="267">
        <f>93%*T63</f>
        <v>955.35180000000003</v>
      </c>
      <c r="U64" s="267">
        <f>93%*U63</f>
        <v>1236.3212970569041</v>
      </c>
      <c r="V64" s="267">
        <f t="shared" ref="V64:AA64" si="57">U64*(1+V82)</f>
        <v>865.42490793983279</v>
      </c>
      <c r="W64" s="267">
        <f t="shared" si="57"/>
        <v>796.19091530464618</v>
      </c>
      <c r="X64" s="267">
        <f t="shared" si="57"/>
        <v>955.42909836557533</v>
      </c>
      <c r="Y64" s="267">
        <f t="shared" si="57"/>
        <v>1146.5149180386904</v>
      </c>
      <c r="Z64" s="267">
        <f t="shared" si="57"/>
        <v>1375.8179016464285</v>
      </c>
      <c r="AA64" s="267">
        <f t="shared" si="57"/>
        <v>1444.6087967287499</v>
      </c>
      <c r="AB64" s="267">
        <f t="shared" ref="AB64:AF64" si="58">AA64*(1+AB82)</f>
        <v>1516.8392365651875</v>
      </c>
      <c r="AC64" s="267">
        <f t="shared" si="58"/>
        <v>1592.6811983934469</v>
      </c>
      <c r="AD64" s="267">
        <f t="shared" si="58"/>
        <v>1672.3152583131193</v>
      </c>
      <c r="AE64" s="267">
        <f t="shared" si="58"/>
        <v>1755.9310212287753</v>
      </c>
      <c r="AF64" s="267">
        <f t="shared" si="58"/>
        <v>1843.7275722902141</v>
      </c>
      <c r="AG64" s="1433"/>
      <c r="AH64" s="1433"/>
      <c r="AI64" s="180"/>
      <c r="AJ64" s="180"/>
      <c r="AK64" s="180"/>
      <c r="AL64" s="180"/>
      <c r="AM64" s="180"/>
      <c r="AN64" s="180"/>
      <c r="AO64" s="180"/>
    </row>
    <row r="65" spans="1:69">
      <c r="A65" s="1037" t="s">
        <v>1583</v>
      </c>
      <c r="B65" s="336"/>
      <c r="C65" s="336"/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267">
        <f>7%*R63</f>
        <v>75.631500000000017</v>
      </c>
      <c r="S65" s="267">
        <f>7%*S63</f>
        <v>71.799000000000007</v>
      </c>
      <c r="T65" s="267">
        <f>7%*T63</f>
        <v>71.908200000000008</v>
      </c>
      <c r="U65" s="267">
        <f>7%*U63</f>
        <v>93.056441713960538</v>
      </c>
      <c r="V65" s="267">
        <f>U65*(1+V81)</f>
        <v>51.181042942678303</v>
      </c>
      <c r="W65" s="267">
        <f>V65*(1+W81)</f>
        <v>43.503886501276554</v>
      </c>
      <c r="X65" s="267">
        <f t="shared" ref="X65:AF65" si="59">W65*(1+X80)</f>
        <v>58.730246776723355</v>
      </c>
      <c r="Y65" s="267">
        <f t="shared" si="59"/>
        <v>88.095370165085029</v>
      </c>
      <c r="Z65" s="267">
        <f t="shared" si="59"/>
        <v>107.47635160140374</v>
      </c>
      <c r="AA65" s="267">
        <f t="shared" si="59"/>
        <v>112.85016918147393</v>
      </c>
      <c r="AB65" s="267">
        <f t="shared" si="59"/>
        <v>118.49267764054763</v>
      </c>
      <c r="AC65" s="267">
        <f t="shared" si="59"/>
        <v>124.41731152257502</v>
      </c>
      <c r="AD65" s="267">
        <f t="shared" si="59"/>
        <v>130.63817709870378</v>
      </c>
      <c r="AE65" s="267">
        <f t="shared" si="59"/>
        <v>137.17008595363896</v>
      </c>
      <c r="AF65" s="267">
        <f t="shared" si="59"/>
        <v>144.02859025132091</v>
      </c>
      <c r="AG65" s="1433"/>
      <c r="AH65" s="1433"/>
      <c r="AI65" s="180"/>
      <c r="AJ65" s="180"/>
      <c r="AK65" s="180"/>
      <c r="AL65" s="180"/>
      <c r="AM65" s="180"/>
      <c r="AN65" s="180"/>
      <c r="AO65" s="180"/>
    </row>
    <row r="66" spans="1:69">
      <c r="A66" s="343" t="s">
        <v>1590</v>
      </c>
      <c r="B66" s="336"/>
      <c r="C66" s="336"/>
      <c r="D66" s="336"/>
      <c r="E66" s="336"/>
      <c r="F66" s="336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267">
        <f>R69*25%</f>
        <v>360.15000000000003</v>
      </c>
      <c r="S66" s="267">
        <f>S69*25%</f>
        <v>341.90000000000003</v>
      </c>
      <c r="T66" s="267">
        <f>T69*25%</f>
        <v>342.42</v>
      </c>
      <c r="U66" s="267">
        <f>U69*25%</f>
        <v>443.12591292362157</v>
      </c>
      <c r="V66" s="267">
        <f t="shared" ref="V66:AA66" si="60">SUM(V67:V68)</f>
        <v>280.27713992419069</v>
      </c>
      <c r="W66" s="267">
        <f t="shared" si="60"/>
        <v>250.17781228885366</v>
      </c>
      <c r="X66" s="267">
        <f t="shared" si="60"/>
        <v>314.19676683632042</v>
      </c>
      <c r="Y66" s="267">
        <f t="shared" si="60"/>
        <v>414.79127884576383</v>
      </c>
      <c r="Z66" s="267">
        <f t="shared" si="60"/>
        <v>501.52505047913451</v>
      </c>
      <c r="AA66" s="267">
        <f t="shared" si="60"/>
        <v>513.0403738649992</v>
      </c>
      <c r="AB66" s="267">
        <f t="shared" ref="AB66:AE66" si="61">SUM(AB67:AB68)</f>
        <v>525.13146342015716</v>
      </c>
      <c r="AC66" s="267">
        <f t="shared" si="61"/>
        <v>537.82710745307304</v>
      </c>
      <c r="AD66" s="267">
        <f t="shared" si="61"/>
        <v>551.15753368763467</v>
      </c>
      <c r="AE66" s="267">
        <f t="shared" si="61"/>
        <v>565.15448123392434</v>
      </c>
      <c r="AF66" s="267">
        <f t="shared" ref="AF66" si="62">SUM(AF67:AF68)</f>
        <v>579.85127615752845</v>
      </c>
      <c r="AG66" s="1433"/>
      <c r="AH66" s="1433"/>
      <c r="AI66" s="180"/>
      <c r="AJ66" s="180"/>
      <c r="AK66" s="180"/>
      <c r="AL66" s="180"/>
      <c r="AM66" s="180"/>
      <c r="AN66" s="180"/>
      <c r="AO66" s="180"/>
    </row>
    <row r="67" spans="1:69">
      <c r="A67" s="1037" t="s">
        <v>927</v>
      </c>
      <c r="B67" s="336"/>
      <c r="C67" s="336"/>
      <c r="D67" s="336"/>
      <c r="E67" s="336"/>
      <c r="F67" s="336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267">
        <f>55%*R66</f>
        <v>198.08250000000004</v>
      </c>
      <c r="S67" s="267">
        <f>55%*S66</f>
        <v>188.04500000000004</v>
      </c>
      <c r="T67" s="267">
        <f>55%*T66</f>
        <v>188.33100000000002</v>
      </c>
      <c r="U67" s="267">
        <f>55%*U66</f>
        <v>243.71925210799188</v>
      </c>
      <c r="V67" s="267">
        <f>U67*(1+V82)</f>
        <v>170.60347647559431</v>
      </c>
      <c r="W67" s="267">
        <f>V67*(1+W82)</f>
        <v>156.95519835754678</v>
      </c>
      <c r="X67" s="267">
        <f>W67*(1+X82)</f>
        <v>188.34623802905614</v>
      </c>
      <c r="Y67" s="267">
        <f>X67*(1+Y82)</f>
        <v>226.01548563486736</v>
      </c>
      <c r="Z67" s="267">
        <f>Y67*(1+Z82)</f>
        <v>271.21858276184082</v>
      </c>
      <c r="AA67" s="267">
        <f>Z67</f>
        <v>271.21858276184082</v>
      </c>
      <c r="AB67" s="267">
        <f t="shared" ref="AB67:AE67" si="63">AA67</f>
        <v>271.21858276184082</v>
      </c>
      <c r="AC67" s="267">
        <f t="shared" si="63"/>
        <v>271.21858276184082</v>
      </c>
      <c r="AD67" s="267">
        <f t="shared" si="63"/>
        <v>271.21858276184082</v>
      </c>
      <c r="AE67" s="267">
        <f t="shared" si="63"/>
        <v>271.21858276184082</v>
      </c>
      <c r="AF67" s="267">
        <f t="shared" ref="AF67" si="64">AE67</f>
        <v>271.21858276184082</v>
      </c>
      <c r="AG67" s="1433"/>
      <c r="AH67" s="1433"/>
      <c r="AI67" s="180"/>
      <c r="AJ67" s="227"/>
      <c r="AK67" s="227"/>
      <c r="AL67" s="227"/>
      <c r="AM67" s="227"/>
      <c r="AN67" s="227"/>
      <c r="AO67" s="22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</row>
    <row r="68" spans="1:69">
      <c r="A68" s="1037" t="s">
        <v>1583</v>
      </c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267">
        <f>45%*R66</f>
        <v>162.06750000000002</v>
      </c>
      <c r="S68" s="267">
        <f>45%*S66</f>
        <v>153.85500000000002</v>
      </c>
      <c r="T68" s="267">
        <f>45%*T66</f>
        <v>154.089</v>
      </c>
      <c r="U68" s="267">
        <f>45%*U66</f>
        <v>199.40666081562972</v>
      </c>
      <c r="V68" s="267">
        <f>U68*(V81+1)</f>
        <v>109.67366344859636</v>
      </c>
      <c r="W68" s="267">
        <f>V68*(W81+1)</f>
        <v>93.222613931306896</v>
      </c>
      <c r="X68" s="267">
        <f t="shared" ref="X68:AF68" si="65">W68*(X80+1)</f>
        <v>125.85052880726431</v>
      </c>
      <c r="Y68" s="267">
        <f t="shared" si="65"/>
        <v>188.77579321089647</v>
      </c>
      <c r="Z68" s="267">
        <f t="shared" si="65"/>
        <v>230.30646771729369</v>
      </c>
      <c r="AA68" s="267">
        <f t="shared" si="65"/>
        <v>241.82179110315838</v>
      </c>
      <c r="AB68" s="267">
        <f t="shared" si="65"/>
        <v>253.91288065831631</v>
      </c>
      <c r="AC68" s="267">
        <f t="shared" si="65"/>
        <v>266.60852469123216</v>
      </c>
      <c r="AD68" s="267">
        <f t="shared" si="65"/>
        <v>279.93895092579379</v>
      </c>
      <c r="AE68" s="267">
        <f t="shared" si="65"/>
        <v>293.93589847208347</v>
      </c>
      <c r="AF68" s="267">
        <f t="shared" si="65"/>
        <v>308.63269339568762</v>
      </c>
      <c r="AG68" s="1433"/>
      <c r="AH68" s="1433"/>
      <c r="AI68" s="180"/>
      <c r="AJ68" s="227"/>
      <c r="AK68" s="227"/>
      <c r="AL68" s="227"/>
      <c r="AM68" s="227"/>
      <c r="AN68" s="227"/>
      <c r="AO68" s="22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</row>
    <row r="69" spans="1:69">
      <c r="A69" s="1038" t="s">
        <v>1591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234">
        <f>R87*R44</f>
        <v>1440.6000000000001</v>
      </c>
      <c r="S69" s="234">
        <f t="shared" ref="S69:U69" si="66">S87*S44</f>
        <v>1367.6000000000001</v>
      </c>
      <c r="T69" s="234">
        <f t="shared" si="66"/>
        <v>1369.68</v>
      </c>
      <c r="U69" s="234">
        <f t="shared" si="66"/>
        <v>1772.5036516944863</v>
      </c>
      <c r="V69" s="234">
        <f t="shared" ref="V69:AB69" si="67">SUM(V63+V66)</f>
        <v>1196.8830908067018</v>
      </c>
      <c r="W69" s="234">
        <f t="shared" si="67"/>
        <v>1089.8726140947763</v>
      </c>
      <c r="X69" s="234">
        <f t="shared" si="67"/>
        <v>1328.3561119786191</v>
      </c>
      <c r="Y69" s="234">
        <f t="shared" si="67"/>
        <v>1649.4015670495394</v>
      </c>
      <c r="Z69" s="234">
        <f t="shared" si="67"/>
        <v>1984.8193037269668</v>
      </c>
      <c r="AA69" s="234">
        <f t="shared" si="67"/>
        <v>2070.4993397752232</v>
      </c>
      <c r="AB69" s="234">
        <f t="shared" si="67"/>
        <v>2160.4633776258925</v>
      </c>
      <c r="AC69" s="234">
        <f t="shared" ref="AC69:AE69" si="68">SUM(AC63+AC66)</f>
        <v>2254.9256173690951</v>
      </c>
      <c r="AD69" s="234">
        <f t="shared" si="68"/>
        <v>2354.1109690994581</v>
      </c>
      <c r="AE69" s="234">
        <f t="shared" si="68"/>
        <v>2458.2555884163385</v>
      </c>
      <c r="AF69" s="234">
        <f t="shared" ref="AF69" si="69">SUM(AF63+AF66)</f>
        <v>2567.6074386990636</v>
      </c>
      <c r="AG69" s="1433"/>
      <c r="AH69" s="1433"/>
      <c r="AI69" s="180"/>
      <c r="AJ69" s="1399"/>
      <c r="AK69" s="1010"/>
      <c r="AL69" s="1010"/>
      <c r="AM69" s="1010"/>
      <c r="AN69" s="1010"/>
      <c r="AO69" s="1010"/>
      <c r="AP69" s="1010"/>
      <c r="AQ69" s="1010"/>
      <c r="AR69" s="1010"/>
      <c r="AS69" s="1010"/>
      <c r="AT69" s="1010"/>
      <c r="AU69" s="1010"/>
      <c r="AV69" s="1017"/>
      <c r="AW69" s="1017"/>
      <c r="AX69" s="1017"/>
      <c r="AY69" s="1017"/>
      <c r="AZ69" s="1017"/>
      <c r="BA69" s="1017"/>
      <c r="BB69" s="1017"/>
      <c r="BC69" s="1017"/>
      <c r="BD69" s="1017"/>
      <c r="BE69" s="1017"/>
      <c r="BF69" s="1017"/>
      <c r="BG69" s="1017"/>
      <c r="BH69" s="1017"/>
      <c r="BI69" s="1017"/>
      <c r="BJ69" s="1017"/>
      <c r="BK69" s="1017"/>
      <c r="BL69" s="1017"/>
      <c r="BM69" s="1017"/>
      <c r="BN69" s="1017"/>
      <c r="BO69" s="1017"/>
      <c r="BP69" s="37"/>
      <c r="BQ69" s="37"/>
    </row>
    <row r="70" spans="1:69">
      <c r="A70" s="1038"/>
      <c r="B70" s="306"/>
      <c r="C70" s="306"/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1433"/>
      <c r="AH70" s="1433"/>
      <c r="AI70" s="180"/>
      <c r="AJ70" s="227"/>
      <c r="AK70" s="227"/>
      <c r="AL70" s="227"/>
      <c r="AM70" s="227"/>
      <c r="AN70" s="227"/>
      <c r="AO70" s="22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</row>
    <row r="71" spans="1:69">
      <c r="A71" s="1399" t="s">
        <v>1768</v>
      </c>
      <c r="B71" s="1010"/>
      <c r="C71" s="1010"/>
      <c r="D71" s="1010"/>
      <c r="E71" s="1010"/>
      <c r="F71" s="1010"/>
      <c r="G71" s="1010"/>
      <c r="H71" s="1010"/>
      <c r="I71" s="1010"/>
      <c r="J71" s="1010"/>
      <c r="K71" s="1010"/>
      <c r="L71" s="1010"/>
      <c r="M71" s="1017"/>
      <c r="N71" s="1017"/>
      <c r="O71" s="1017"/>
      <c r="P71" s="1017"/>
      <c r="Q71" s="1017"/>
      <c r="R71" s="1017"/>
      <c r="S71" s="1017"/>
      <c r="T71" s="1017"/>
      <c r="U71" s="1017"/>
      <c r="V71" s="1017"/>
      <c r="W71" s="1017"/>
      <c r="X71" s="1017"/>
      <c r="Y71" s="1017"/>
      <c r="Z71" s="1017"/>
      <c r="AA71" s="1017"/>
      <c r="AB71" s="1017"/>
      <c r="AC71" s="1017"/>
      <c r="AD71" s="1017"/>
      <c r="AE71" s="1017"/>
      <c r="AF71" s="1017"/>
      <c r="AG71" s="1433"/>
      <c r="AH71" s="1433"/>
      <c r="AI71" s="180"/>
      <c r="AJ71" s="227"/>
      <c r="AK71" s="227"/>
      <c r="AL71" s="227"/>
      <c r="AM71" s="227"/>
      <c r="AN71" s="227"/>
      <c r="AO71" s="22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</row>
    <row r="72" spans="1:69">
      <c r="A72" s="180" t="s">
        <v>1074</v>
      </c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267">
        <f>1550/Z90</f>
        <v>1398.5091390103598</v>
      </c>
      <c r="AA72" s="267">
        <v>650</v>
      </c>
      <c r="AB72" s="267">
        <f>AA72*(12/5)*1.07</f>
        <v>1669.2</v>
      </c>
      <c r="AC72" s="267">
        <f t="shared" ref="AC72:AF72" si="70">AB72*1.07</f>
        <v>1786.0440000000001</v>
      </c>
      <c r="AD72" s="267">
        <f t="shared" si="70"/>
        <v>1911.0670800000003</v>
      </c>
      <c r="AE72" s="267">
        <f t="shared" si="70"/>
        <v>2044.8417756000003</v>
      </c>
      <c r="AF72" s="267">
        <f t="shared" si="70"/>
        <v>2187.9806998920003</v>
      </c>
      <c r="AG72" s="1433" t="s">
        <v>1770</v>
      </c>
      <c r="AH72" s="1433"/>
      <c r="AI72" s="180"/>
      <c r="AJ72" s="227"/>
      <c r="AK72" s="227"/>
      <c r="AL72" s="227"/>
      <c r="AM72" s="227"/>
      <c r="AN72" s="227"/>
      <c r="AO72" s="22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</row>
    <row r="73" spans="1:69">
      <c r="A73" s="1037" t="s">
        <v>927</v>
      </c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267">
        <f>AA72*0.6</f>
        <v>390</v>
      </c>
      <c r="AB73" s="267">
        <f t="shared" ref="AB73:AF73" si="71">AB72*0.6</f>
        <v>1001.52</v>
      </c>
      <c r="AC73" s="267">
        <f t="shared" si="71"/>
        <v>1071.6264000000001</v>
      </c>
      <c r="AD73" s="267">
        <f t="shared" si="71"/>
        <v>1146.6402480000002</v>
      </c>
      <c r="AE73" s="267">
        <f t="shared" si="71"/>
        <v>1226.9050653600002</v>
      </c>
      <c r="AF73" s="267">
        <f t="shared" si="71"/>
        <v>1312.7884199352002</v>
      </c>
      <c r="AG73" s="1433"/>
      <c r="AH73" s="1433"/>
      <c r="AI73" s="180"/>
      <c r="AJ73" s="227"/>
      <c r="AK73" s="227"/>
      <c r="AL73" s="227"/>
      <c r="AM73" s="227"/>
      <c r="AN73" s="227"/>
      <c r="AO73" s="22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</row>
    <row r="74" spans="1:69">
      <c r="A74" s="1037" t="s">
        <v>1583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267">
        <f>AA72*0.4</f>
        <v>260</v>
      </c>
      <c r="AB74" s="267">
        <f t="shared" ref="AB74:AF74" si="72">AB72*0.4</f>
        <v>667.68000000000006</v>
      </c>
      <c r="AC74" s="267">
        <f t="shared" si="72"/>
        <v>714.41760000000011</v>
      </c>
      <c r="AD74" s="267">
        <f t="shared" si="72"/>
        <v>764.4268320000001</v>
      </c>
      <c r="AE74" s="267">
        <f t="shared" si="72"/>
        <v>817.93671024000014</v>
      </c>
      <c r="AF74" s="267">
        <f t="shared" si="72"/>
        <v>875.19227995680012</v>
      </c>
      <c r="AG74" s="1433" t="s">
        <v>1772</v>
      </c>
      <c r="AH74" s="1433"/>
      <c r="AI74" s="180"/>
      <c r="AJ74" s="227"/>
      <c r="AK74" s="227"/>
      <c r="AL74" s="227"/>
      <c r="AM74" s="227"/>
      <c r="AN74" s="227"/>
      <c r="AO74" s="22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</row>
    <row r="75" spans="1:69">
      <c r="A75" s="180" t="s">
        <v>287</v>
      </c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267">
        <f>Z72*Z76</f>
        <v>97.895639730725193</v>
      </c>
      <c r="AA75" s="267">
        <f>AA72*AA76</f>
        <v>45.500000000000007</v>
      </c>
      <c r="AB75" s="267">
        <f t="shared" ref="AB75:AF75" si="73">AB72*AB76</f>
        <v>125.19000000000003</v>
      </c>
      <c r="AC75" s="267">
        <f t="shared" si="73"/>
        <v>142.88352000000003</v>
      </c>
      <c r="AD75" s="267">
        <f t="shared" si="73"/>
        <v>162.44070180000006</v>
      </c>
      <c r="AE75" s="267">
        <f t="shared" si="73"/>
        <v>184.03575980400009</v>
      </c>
      <c r="AF75" s="267">
        <f t="shared" si="73"/>
        <v>207.85816648974009</v>
      </c>
      <c r="AG75" s="1433"/>
      <c r="AH75" s="1433"/>
      <c r="AI75" s="180"/>
      <c r="AJ75" s="227"/>
      <c r="AK75" s="227"/>
      <c r="AL75" s="227"/>
      <c r="AM75" s="227"/>
      <c r="AN75" s="227"/>
      <c r="AO75" s="22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</row>
    <row r="76" spans="1:69">
      <c r="A76" s="180" t="s">
        <v>1769</v>
      </c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228">
        <v>7.0000000000000007E-2</v>
      </c>
      <c r="AA76" s="944">
        <v>7.0000000000000007E-2</v>
      </c>
      <c r="AB76" s="944">
        <f>AA76+0.5%</f>
        <v>7.5000000000000011E-2</v>
      </c>
      <c r="AC76" s="944">
        <f t="shared" ref="AC76:AF76" si="74">AB76+0.5%</f>
        <v>8.0000000000000016E-2</v>
      </c>
      <c r="AD76" s="944">
        <f t="shared" si="74"/>
        <v>8.500000000000002E-2</v>
      </c>
      <c r="AE76" s="944">
        <f t="shared" si="74"/>
        <v>9.0000000000000024E-2</v>
      </c>
      <c r="AF76" s="944">
        <f t="shared" si="74"/>
        <v>9.5000000000000029E-2</v>
      </c>
      <c r="AG76" s="1433" t="s">
        <v>1771</v>
      </c>
      <c r="AH76" s="1433"/>
      <c r="AI76" s="180"/>
      <c r="AJ76" s="227"/>
      <c r="AK76" s="227"/>
      <c r="AL76" s="227"/>
      <c r="AM76" s="227"/>
      <c r="AN76" s="227"/>
      <c r="AO76" s="22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</row>
    <row r="77" spans="1:69">
      <c r="A77" s="1038"/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1433"/>
      <c r="AH77" s="1433"/>
      <c r="AI77" s="180"/>
      <c r="AJ77" s="227"/>
      <c r="AK77" s="227"/>
      <c r="AL77" s="227"/>
      <c r="AM77" s="227"/>
      <c r="AN77" s="227"/>
      <c r="AO77" s="22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</row>
    <row r="78" spans="1:69">
      <c r="A78" s="1039"/>
      <c r="B78" s="336"/>
      <c r="C78" s="336"/>
      <c r="D78" s="33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  <c r="Z78" s="336"/>
      <c r="AA78" s="336"/>
      <c r="AB78" s="336"/>
      <c r="AC78" s="336"/>
      <c r="AD78" s="336"/>
      <c r="AE78" s="336"/>
      <c r="AF78" s="336"/>
      <c r="AG78" s="1433"/>
      <c r="AH78" s="1433"/>
      <c r="AI78" s="180"/>
      <c r="AJ78" s="227"/>
      <c r="AK78" s="227"/>
      <c r="AL78" s="227"/>
      <c r="AM78" s="227"/>
      <c r="AN78" s="227"/>
      <c r="AO78" s="22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</row>
    <row r="79" spans="1:69">
      <c r="A79" s="1040" t="s">
        <v>1290</v>
      </c>
      <c r="B79" s="336"/>
      <c r="C79" s="336"/>
      <c r="D79" s="336"/>
      <c r="E79" s="336"/>
      <c r="F79" s="336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  <c r="AA79" s="336"/>
      <c r="AB79" s="336"/>
      <c r="AC79" s="336"/>
      <c r="AD79" s="336"/>
      <c r="AE79" s="336"/>
      <c r="AF79" s="336"/>
      <c r="AG79" s="1433"/>
      <c r="AH79" s="1433"/>
      <c r="AI79" s="180"/>
      <c r="AJ79" s="1399"/>
      <c r="AK79" s="1010"/>
      <c r="AL79" s="1010"/>
      <c r="AM79" s="1010"/>
      <c r="AN79" s="1010"/>
      <c r="AO79" s="1010"/>
      <c r="AP79" s="1010"/>
      <c r="AQ79" s="1010"/>
      <c r="AR79" s="1010"/>
      <c r="AS79" s="1010"/>
      <c r="AT79" s="1010"/>
      <c r="AU79" s="1010"/>
      <c r="AV79" s="1017"/>
      <c r="AW79" s="1017"/>
      <c r="AX79" s="1017"/>
      <c r="AY79" s="1017"/>
      <c r="AZ79" s="1017"/>
      <c r="BA79" s="1017"/>
      <c r="BB79" s="1017"/>
      <c r="BC79" s="1017"/>
      <c r="BD79" s="1017"/>
      <c r="BE79" s="1017"/>
      <c r="BF79" s="1017"/>
      <c r="BG79" s="1017"/>
      <c r="BH79" s="1017"/>
      <c r="BI79" s="1017"/>
      <c r="BJ79" s="1017"/>
      <c r="BK79" s="1017"/>
      <c r="BL79" s="1017"/>
      <c r="BM79" s="1017"/>
      <c r="BN79" s="1017"/>
      <c r="BO79" s="1017"/>
      <c r="BP79" s="37"/>
      <c r="BQ79" s="37"/>
    </row>
    <row r="80" spans="1:69">
      <c r="A80" s="343" t="s">
        <v>1592</v>
      </c>
      <c r="B80" s="336"/>
      <c r="C80" s="336"/>
      <c r="D80" s="336"/>
      <c r="E80" s="336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44">
        <v>0.06</v>
      </c>
      <c r="U80" s="344">
        <v>0.1</v>
      </c>
      <c r="V80" s="344">
        <v>-0.15</v>
      </c>
      <c r="W80" s="345">
        <v>0.1</v>
      </c>
      <c r="X80" s="345">
        <v>0.35</v>
      </c>
      <c r="Y80" s="345">
        <v>0.5</v>
      </c>
      <c r="Z80" s="345">
        <v>0.22</v>
      </c>
      <c r="AA80" s="941">
        <v>0.05</v>
      </c>
      <c r="AB80" s="941">
        <v>0.05</v>
      </c>
      <c r="AC80" s="941">
        <v>0.05</v>
      </c>
      <c r="AD80" s="941">
        <v>0.05</v>
      </c>
      <c r="AE80" s="941">
        <v>0.05</v>
      </c>
      <c r="AF80" s="941">
        <v>0.05</v>
      </c>
      <c r="AG80" s="1433"/>
      <c r="AH80" s="1433"/>
      <c r="AI80" s="180"/>
      <c r="AJ80" s="227"/>
      <c r="AK80" s="227"/>
      <c r="AL80" s="227"/>
      <c r="AM80" s="227"/>
      <c r="AN80" s="227"/>
      <c r="AO80" s="22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</row>
    <row r="81" spans="1:69">
      <c r="A81" s="343" t="s">
        <v>1593</v>
      </c>
      <c r="B81" s="336"/>
      <c r="C81" s="336"/>
      <c r="D81" s="336"/>
      <c r="E81" s="336"/>
      <c r="F81" s="336"/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237">
        <f>SUM(S68,S65,S60,S56,S53)/SUM(R68,R65,R60,R56,R53)-1</f>
        <v>-3.9735099337748436E-2</v>
      </c>
      <c r="T81" s="237">
        <f>SUM(T68,T65,T60,T56,T53)/SUM(S68,S65,S60,S56,S53)-1</f>
        <v>2.2811671087533236E-2</v>
      </c>
      <c r="U81" s="237">
        <f>SUM(U68,U65,U60,U56,U53)/SUM(T68,T65,T60,T56,T53)-1</f>
        <v>2.1790042248303276E-2</v>
      </c>
      <c r="V81" s="228">
        <v>-0.45</v>
      </c>
      <c r="W81" s="229">
        <v>-0.15</v>
      </c>
      <c r="X81" s="229">
        <v>0.35</v>
      </c>
      <c r="Y81" s="226">
        <f t="shared" ref="Y81:AF81" si="75">SUM(Y68,Y65,Y60,Y56,Y53)/SUM(X68,X65,X60,X56,X53)-1</f>
        <v>0.51807104313014962</v>
      </c>
      <c r="Z81" s="226">
        <f t="shared" si="75"/>
        <v>0.23904632140839843</v>
      </c>
      <c r="AA81" s="226">
        <f t="shared" si="75"/>
        <v>5.0000000000000044E-2</v>
      </c>
      <c r="AB81" s="226">
        <f t="shared" si="75"/>
        <v>5.0000000000000044E-2</v>
      </c>
      <c r="AC81" s="226">
        <f t="shared" si="75"/>
        <v>5.0000000000000044E-2</v>
      </c>
      <c r="AD81" s="226">
        <f t="shared" si="75"/>
        <v>5.0000000000000044E-2</v>
      </c>
      <c r="AE81" s="226">
        <f t="shared" si="75"/>
        <v>4.9999999999999822E-2</v>
      </c>
      <c r="AF81" s="226">
        <f t="shared" si="75"/>
        <v>5.0000000000000266E-2</v>
      </c>
      <c r="AG81" s="1433"/>
      <c r="AH81" s="1433"/>
      <c r="AI81" s="180"/>
      <c r="AJ81" s="227"/>
      <c r="AK81" s="227"/>
      <c r="AL81" s="227"/>
      <c r="AM81" s="227"/>
      <c r="AN81" s="227"/>
      <c r="AO81" s="22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</row>
    <row r="82" spans="1:69">
      <c r="A82" s="343" t="s">
        <v>1594</v>
      </c>
      <c r="B82" s="336"/>
      <c r="C82" s="336"/>
      <c r="D82" s="336"/>
      <c r="E82" s="336"/>
      <c r="F82" s="336"/>
      <c r="G82" s="336"/>
      <c r="H82" s="336"/>
      <c r="I82" s="336"/>
      <c r="J82" s="336"/>
      <c r="K82" s="336"/>
      <c r="L82" s="336"/>
      <c r="M82" s="336"/>
      <c r="N82" s="336"/>
      <c r="O82" s="336"/>
      <c r="P82" s="336"/>
      <c r="Q82" s="336"/>
      <c r="R82" s="336"/>
      <c r="S82" s="237"/>
      <c r="T82" s="237"/>
      <c r="U82" s="237"/>
      <c r="V82" s="228">
        <v>-0.3</v>
      </c>
      <c r="W82" s="229">
        <v>-0.08</v>
      </c>
      <c r="X82" s="229">
        <v>0.2</v>
      </c>
      <c r="Y82" s="229">
        <v>0.2</v>
      </c>
      <c r="Z82" s="229">
        <v>0.2</v>
      </c>
      <c r="AA82" s="944">
        <v>0.05</v>
      </c>
      <c r="AB82" s="944">
        <v>0.05</v>
      </c>
      <c r="AC82" s="944">
        <v>0.05</v>
      </c>
      <c r="AD82" s="944">
        <v>0.05</v>
      </c>
      <c r="AE82" s="944">
        <v>0.05</v>
      </c>
      <c r="AF82" s="944">
        <v>0.05</v>
      </c>
      <c r="AG82" s="1433"/>
      <c r="AH82" s="1433"/>
      <c r="AI82" s="180"/>
      <c r="AJ82" s="180"/>
      <c r="AK82" s="180"/>
      <c r="AL82" s="180"/>
      <c r="AM82" s="180"/>
      <c r="AN82" s="180"/>
      <c r="AO82" s="180"/>
    </row>
    <row r="83" spans="1:69">
      <c r="A83" s="343"/>
      <c r="B83" s="336"/>
      <c r="C83" s="336"/>
      <c r="D83" s="336"/>
      <c r="E83" s="336"/>
      <c r="F83" s="336"/>
      <c r="G83" s="336"/>
      <c r="H83" s="336"/>
      <c r="I83" s="336"/>
      <c r="J83" s="336"/>
      <c r="K83" s="336"/>
      <c r="L83" s="336"/>
      <c r="M83" s="336"/>
      <c r="N83" s="336"/>
      <c r="O83" s="336"/>
      <c r="P83" s="336"/>
      <c r="Q83" s="336"/>
      <c r="R83" s="336"/>
      <c r="S83" s="237"/>
      <c r="T83" s="237"/>
      <c r="U83" s="237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1433"/>
      <c r="AH83" s="1433"/>
      <c r="AI83" s="180"/>
      <c r="AJ83" s="180"/>
      <c r="AK83" s="180"/>
      <c r="AL83" s="180"/>
      <c r="AM83" s="180"/>
      <c r="AN83" s="180"/>
      <c r="AO83" s="180"/>
    </row>
    <row r="84" spans="1:69">
      <c r="A84" s="1041" t="s">
        <v>1595</v>
      </c>
      <c r="B84" s="1042"/>
      <c r="C84" s="1042"/>
      <c r="D84" s="1042"/>
      <c r="E84" s="1042"/>
      <c r="F84" s="1042"/>
      <c r="G84" s="1042"/>
      <c r="H84" s="1042"/>
      <c r="I84" s="1042"/>
      <c r="J84" s="1042"/>
      <c r="K84" s="1042"/>
      <c r="L84" s="1042"/>
      <c r="M84" s="1042"/>
      <c r="N84" s="1042"/>
      <c r="O84" s="1042"/>
      <c r="P84" s="1042"/>
      <c r="Q84" s="1042"/>
      <c r="R84" s="330"/>
      <c r="S84" s="330"/>
      <c r="T84" s="330"/>
      <c r="U84" s="330"/>
      <c r="V84" s="1043"/>
      <c r="W84" s="1043"/>
      <c r="X84" s="1044"/>
      <c r="Y84" s="1043"/>
      <c r="Z84" s="1043"/>
      <c r="AA84" s="1043"/>
      <c r="AB84" s="1043"/>
      <c r="AC84" s="1043"/>
      <c r="AD84" s="1043"/>
      <c r="AE84" s="1043"/>
      <c r="AF84" s="1043"/>
      <c r="AG84" s="1433"/>
      <c r="AH84" s="1433"/>
      <c r="AI84" s="180"/>
      <c r="AJ84" s="180"/>
      <c r="AK84" s="180"/>
      <c r="AL84" s="180"/>
      <c r="AM84" s="180"/>
      <c r="AN84" s="180"/>
      <c r="AO84" s="180"/>
    </row>
    <row r="85" spans="1:69">
      <c r="A85" s="227" t="s">
        <v>1596</v>
      </c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1045">
        <v>0.47</v>
      </c>
      <c r="O85" s="1045">
        <v>0.46</v>
      </c>
      <c r="P85" s="1045">
        <v>0.45</v>
      </c>
      <c r="Q85" s="342">
        <v>0.48</v>
      </c>
      <c r="R85" s="342">
        <v>0.48</v>
      </c>
      <c r="S85" s="342">
        <v>0.48</v>
      </c>
      <c r="T85" s="342">
        <f t="shared" ref="T85:T87" si="76">S85</f>
        <v>0.48</v>
      </c>
      <c r="U85" s="342">
        <f>T85-4%</f>
        <v>0.44</v>
      </c>
      <c r="V85" s="340"/>
      <c r="W85" s="340"/>
      <c r="X85" s="340"/>
      <c r="Y85" s="340"/>
      <c r="Z85" s="340"/>
      <c r="AA85" s="340"/>
      <c r="AB85" s="340"/>
      <c r="AC85" s="340"/>
      <c r="AD85" s="340"/>
      <c r="AE85" s="340"/>
      <c r="AF85" s="340"/>
      <c r="AG85" s="1433"/>
      <c r="AH85" s="1433"/>
      <c r="AI85" s="180"/>
      <c r="AJ85" s="180"/>
      <c r="AK85" s="180"/>
      <c r="AL85" s="180"/>
      <c r="AM85" s="180"/>
      <c r="AN85" s="180"/>
      <c r="AO85" s="180"/>
    </row>
    <row r="86" spans="1:69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1045">
        <v>0.27</v>
      </c>
      <c r="O86" s="1045">
        <v>0.28999999999999998</v>
      </c>
      <c r="P86" s="1045">
        <v>0.26</v>
      </c>
      <c r="Q86" s="342">
        <v>0.23</v>
      </c>
      <c r="R86" s="342">
        <v>0.24</v>
      </c>
      <c r="S86" s="342">
        <v>0.26</v>
      </c>
      <c r="T86" s="342">
        <f t="shared" si="76"/>
        <v>0.26</v>
      </c>
      <c r="U86" s="342">
        <f>T86+2%</f>
        <v>0.28000000000000003</v>
      </c>
      <c r="V86" s="340"/>
      <c r="W86" s="340"/>
      <c r="X86" s="340"/>
      <c r="Y86" s="340"/>
      <c r="Z86" s="340"/>
      <c r="AA86" s="340"/>
      <c r="AB86" s="340"/>
      <c r="AC86" s="340"/>
      <c r="AD86" s="340"/>
      <c r="AE86" s="340"/>
      <c r="AF86" s="340"/>
      <c r="AG86" s="1433"/>
      <c r="AH86" s="1433"/>
      <c r="AI86" s="180"/>
      <c r="AJ86" s="180"/>
      <c r="AK86" s="180"/>
      <c r="AL86" s="180"/>
      <c r="AM86" s="180"/>
      <c r="AN86" s="180"/>
      <c r="AO86" s="180"/>
    </row>
    <row r="87" spans="1:69">
      <c r="A87" s="227" t="s">
        <v>1597</v>
      </c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1045">
        <v>0.24</v>
      </c>
      <c r="O87" s="1045">
        <v>0.23</v>
      </c>
      <c r="P87" s="1045">
        <v>0.28999999999999998</v>
      </c>
      <c r="Q87" s="342">
        <v>0.28999999999999998</v>
      </c>
      <c r="R87" s="342">
        <v>0.28000000000000003</v>
      </c>
      <c r="S87" s="342">
        <v>0.26</v>
      </c>
      <c r="T87" s="342">
        <f t="shared" si="76"/>
        <v>0.26</v>
      </c>
      <c r="U87" s="342">
        <f>T87+2%</f>
        <v>0.28000000000000003</v>
      </c>
      <c r="V87" s="340"/>
      <c r="W87" s="340"/>
      <c r="X87" s="340"/>
      <c r="Y87" s="340"/>
      <c r="Z87" s="340"/>
      <c r="AA87" s="340"/>
      <c r="AB87" s="340"/>
      <c r="AC87" s="340"/>
      <c r="AD87" s="340"/>
      <c r="AE87" s="340"/>
      <c r="AF87" s="340"/>
      <c r="AG87" s="1433"/>
      <c r="AH87" s="1433"/>
      <c r="AI87" s="180"/>
      <c r="AJ87" s="180"/>
      <c r="AK87" s="180"/>
      <c r="AL87" s="180"/>
      <c r="AM87" s="180"/>
      <c r="AN87" s="180"/>
      <c r="AO87" s="180"/>
    </row>
    <row r="88" spans="1:69">
      <c r="A88" s="227" t="s">
        <v>1598</v>
      </c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1045">
        <v>0.02</v>
      </c>
      <c r="O88" s="1045">
        <v>0.02</v>
      </c>
      <c r="P88" s="1045">
        <v>0</v>
      </c>
      <c r="Q88" s="1045">
        <v>0</v>
      </c>
      <c r="R88" s="1045">
        <v>0</v>
      </c>
      <c r="S88" s="1045">
        <v>0</v>
      </c>
      <c r="T88" s="1045">
        <v>0</v>
      </c>
      <c r="U88" s="1045">
        <v>0</v>
      </c>
      <c r="V88" s="1046"/>
      <c r="W88" s="1046"/>
      <c r="X88" s="1046"/>
      <c r="Y88" s="1046"/>
      <c r="Z88" s="1046"/>
      <c r="AA88" s="1046"/>
      <c r="AB88" s="1046"/>
      <c r="AC88" s="1046"/>
      <c r="AD88" s="1046"/>
      <c r="AE88" s="1046"/>
      <c r="AF88" s="1046"/>
      <c r="AG88" s="1433"/>
      <c r="AH88" s="1433"/>
      <c r="AI88" s="180"/>
      <c r="AJ88" s="180"/>
      <c r="AK88" s="180"/>
      <c r="AL88" s="180"/>
      <c r="AM88" s="180"/>
      <c r="AN88" s="180"/>
      <c r="AO88" s="180"/>
    </row>
    <row r="89" spans="1:69">
      <c r="A89" s="227" t="s">
        <v>752</v>
      </c>
      <c r="B89" s="336"/>
      <c r="C89" s="336"/>
      <c r="D89" s="336"/>
      <c r="E89" s="336"/>
      <c r="F89" s="336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1433"/>
      <c r="AH89" s="1433"/>
      <c r="AI89" s="180"/>
      <c r="AJ89" s="180"/>
      <c r="AK89" s="180"/>
      <c r="AL89" s="180"/>
      <c r="AM89" s="180"/>
      <c r="AN89" s="180"/>
      <c r="AO89" s="180"/>
    </row>
    <row r="90" spans="1:69">
      <c r="A90" s="227" t="s">
        <v>1599</v>
      </c>
      <c r="B90" s="227"/>
      <c r="C90" s="227"/>
      <c r="D90" s="227"/>
      <c r="E90" s="227"/>
      <c r="F90" s="227"/>
      <c r="G90" s="227"/>
      <c r="H90" s="227"/>
      <c r="I90" s="227"/>
      <c r="J90" s="227"/>
      <c r="K90" s="1047">
        <v>1.3942000000000001</v>
      </c>
      <c r="L90" s="1047">
        <v>1.3267</v>
      </c>
      <c r="M90" s="1047">
        <v>1.3924000000000001</v>
      </c>
      <c r="N90" s="1047">
        <v>1.2855785440613019</v>
      </c>
      <c r="O90" s="1047">
        <v>1.3283</v>
      </c>
      <c r="P90" s="1047">
        <v>1.2839400000000001</v>
      </c>
      <c r="Q90" s="1047">
        <v>1.20086</v>
      </c>
      <c r="R90" s="1047">
        <v>1.1933450000000001</v>
      </c>
      <c r="S90" s="1047">
        <v>1.1818949999999999</v>
      </c>
      <c r="T90" s="1047">
        <v>1.18028</v>
      </c>
      <c r="U90" s="1047">
        <v>1.159077672574627</v>
      </c>
      <c r="V90" s="1047">
        <v>1.1490638246268656</v>
      </c>
      <c r="W90" s="1047">
        <v>1.1713242788461544</v>
      </c>
      <c r="X90" s="1047">
        <v>1.1065795550914248</v>
      </c>
      <c r="Y90" s="1047">
        <v>1.1105369302909465</v>
      </c>
      <c r="Z90" s="1047">
        <v>1.1083231112074399</v>
      </c>
      <c r="AA90" s="1101">
        <f>'Income Statement'!AA155</f>
        <v>1.1207295968584789</v>
      </c>
      <c r="AB90" s="1101">
        <f>'Income Statement'!AB155</f>
        <v>1.1426415000000001</v>
      </c>
      <c r="AC90" s="1101">
        <f>'Income Statement'!AC155</f>
        <v>1.1426415000000001</v>
      </c>
      <c r="AD90" s="1101">
        <f>'Income Statement'!AD155</f>
        <v>1.1426415000000001</v>
      </c>
      <c r="AE90" s="1101">
        <f>'Income Statement'!AE155</f>
        <v>1.1426415000000001</v>
      </c>
      <c r="AF90" s="1101">
        <f>'Income Statement'!AF155</f>
        <v>1.1426415000000001</v>
      </c>
      <c r="AG90" s="1433"/>
      <c r="AH90" s="1433"/>
      <c r="AI90" s="180"/>
      <c r="AJ90" s="180"/>
      <c r="AK90" s="180"/>
      <c r="AL90" s="180"/>
      <c r="AM90" s="180"/>
      <c r="AN90" s="180"/>
      <c r="AO90" s="180"/>
    </row>
    <row r="91" spans="1:69">
      <c r="A91" s="227" t="s">
        <v>1600</v>
      </c>
      <c r="B91" s="227"/>
      <c r="C91" s="227"/>
      <c r="D91" s="227"/>
      <c r="E91" s="227"/>
      <c r="F91" s="227"/>
      <c r="G91" s="227"/>
      <c r="H91" s="227"/>
      <c r="I91" s="227"/>
      <c r="J91" s="227"/>
      <c r="K91" s="1048"/>
      <c r="L91" s="1049">
        <f t="shared" ref="L91:AF91" si="77">K90/L90-1</f>
        <v>5.087811864023517E-2</v>
      </c>
      <c r="M91" s="1049">
        <f t="shared" si="77"/>
        <v>-4.7184717035334778E-2</v>
      </c>
      <c r="N91" s="1049">
        <f t="shared" si="77"/>
        <v>8.3092127223309165E-2</v>
      </c>
      <c r="O91" s="1049">
        <f t="shared" si="77"/>
        <v>-3.2162505411953757E-2</v>
      </c>
      <c r="P91" s="1049">
        <f t="shared" si="77"/>
        <v>3.4549901085720425E-2</v>
      </c>
      <c r="Q91" s="1049">
        <f t="shared" si="77"/>
        <v>6.9183751644654734E-2</v>
      </c>
      <c r="R91" s="1049">
        <f t="shared" si="77"/>
        <v>6.2974244665205958E-3</v>
      </c>
      <c r="S91" s="1049">
        <f t="shared" si="77"/>
        <v>9.6878318293927013E-3</v>
      </c>
      <c r="T91" s="1049">
        <f t="shared" si="77"/>
        <v>1.3683193818414541E-3</v>
      </c>
      <c r="U91" s="1049">
        <f t="shared" si="77"/>
        <v>1.8292412947854331E-2</v>
      </c>
      <c r="V91" s="1049">
        <f t="shared" si="77"/>
        <v>8.7147882764591067E-3</v>
      </c>
      <c r="W91" s="1049">
        <f t="shared" si="77"/>
        <v>-1.9004518749681454E-2</v>
      </c>
      <c r="X91" s="1049">
        <f t="shared" si="77"/>
        <v>5.8508873995399613E-2</v>
      </c>
      <c r="Y91" s="1049">
        <f t="shared" si="77"/>
        <v>-3.5634791528138532E-3</v>
      </c>
      <c r="Z91" s="1049">
        <f t="shared" si="77"/>
        <v>1.9974491744512157E-3</v>
      </c>
      <c r="AA91" s="1049">
        <f t="shared" si="77"/>
        <v>-1.1070008042810442E-2</v>
      </c>
      <c r="AB91" s="1049">
        <f t="shared" si="77"/>
        <v>-1.9176533621018566E-2</v>
      </c>
      <c r="AC91" s="1049">
        <f t="shared" si="77"/>
        <v>0</v>
      </c>
      <c r="AD91" s="1049">
        <f t="shared" si="77"/>
        <v>0</v>
      </c>
      <c r="AE91" s="1049">
        <f t="shared" si="77"/>
        <v>0</v>
      </c>
      <c r="AF91" s="1049">
        <f t="shared" si="77"/>
        <v>0</v>
      </c>
      <c r="AG91" s="1433"/>
      <c r="AH91" s="1433"/>
      <c r="AI91" s="180"/>
      <c r="AJ91" s="180"/>
      <c r="AK91" s="180"/>
      <c r="AL91" s="180"/>
      <c r="AM91" s="180"/>
      <c r="AN91" s="180"/>
      <c r="AO91" s="180"/>
    </row>
    <row r="92" spans="1:69">
      <c r="A92" s="230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1433"/>
      <c r="AH92" s="1433"/>
      <c r="AI92" s="180"/>
      <c r="AJ92" s="180"/>
      <c r="AK92" s="180"/>
      <c r="AL92" s="180"/>
      <c r="AM92" s="180"/>
      <c r="AN92" s="180"/>
      <c r="AO92" s="180"/>
    </row>
    <row r="93" spans="1:69">
      <c r="A93" s="360" t="s">
        <v>744</v>
      </c>
      <c r="B93" s="368"/>
      <c r="C93" s="368"/>
      <c r="D93" s="368"/>
      <c r="E93" s="368"/>
      <c r="F93" s="368"/>
      <c r="G93" s="368"/>
      <c r="H93" s="368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1"/>
      <c r="W93" s="370"/>
      <c r="X93" s="370"/>
      <c r="Y93" s="370"/>
      <c r="Z93" s="370"/>
      <c r="AA93" s="322"/>
      <c r="AB93" s="322"/>
      <c r="AC93" s="322"/>
      <c r="AD93" s="322"/>
      <c r="AE93" s="322"/>
      <c r="AF93" s="322"/>
      <c r="AG93" s="1433"/>
      <c r="AH93" s="1433"/>
      <c r="AI93" s="180"/>
      <c r="AJ93" s="180"/>
      <c r="AK93" s="180"/>
      <c r="AL93" s="180"/>
      <c r="AM93" s="180"/>
      <c r="AN93" s="180"/>
      <c r="AO93" s="180"/>
    </row>
    <row r="94" spans="1:69">
      <c r="A94" s="258" t="s">
        <v>1074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1433"/>
      <c r="AH94" s="1433"/>
      <c r="AI94" s="180"/>
      <c r="AJ94" s="180"/>
      <c r="AK94" s="180"/>
      <c r="AL94" s="180"/>
      <c r="AM94" s="180"/>
      <c r="AN94" s="180"/>
      <c r="AO94" s="180"/>
    </row>
    <row r="95" spans="1:69">
      <c r="A95" s="225" t="s">
        <v>927</v>
      </c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223"/>
      <c r="P95" s="223"/>
      <c r="Q95" s="224">
        <v>802</v>
      </c>
      <c r="R95" s="224">
        <v>799</v>
      </c>
      <c r="S95" s="224">
        <v>887</v>
      </c>
      <c r="T95" s="223">
        <v>934.18085106382978</v>
      </c>
      <c r="U95" s="223">
        <v>1287.1715244015957</v>
      </c>
      <c r="V95" s="223">
        <v>1287.1715244015957</v>
      </c>
      <c r="W95" s="223">
        <v>1300.0432396456117</v>
      </c>
      <c r="X95" s="223">
        <v>1322.3060712487686</v>
      </c>
      <c r="Y95" s="223">
        <v>1388.421374811207</v>
      </c>
      <c r="Z95" s="223">
        <v>1666.105649773448</v>
      </c>
      <c r="AA95" s="223">
        <f>Z95*(1+AA100)</f>
        <v>1749.4109322621205</v>
      </c>
      <c r="AB95" s="223">
        <f t="shared" ref="AB95:AF96" si="78">AA95*(1+AB100)</f>
        <v>1959.3402441335752</v>
      </c>
      <c r="AC95" s="223">
        <f t="shared" si="78"/>
        <v>2116.0874636642616</v>
      </c>
      <c r="AD95" s="223">
        <f t="shared" si="78"/>
        <v>2306.5353353940454</v>
      </c>
      <c r="AE95" s="223">
        <f t="shared" si="78"/>
        <v>2421.8621021637477</v>
      </c>
      <c r="AF95" s="223">
        <f t="shared" si="78"/>
        <v>2446.0807231853851</v>
      </c>
      <c r="AG95" s="1433"/>
      <c r="AH95" s="1433"/>
      <c r="AI95" s="180"/>
      <c r="AJ95" s="180"/>
      <c r="AK95" s="180"/>
      <c r="AL95" s="180"/>
      <c r="AM95" s="180"/>
      <c r="AN95" s="180"/>
      <c r="AO95" s="180"/>
    </row>
    <row r="96" spans="1:69">
      <c r="A96" s="225" t="s">
        <v>1116</v>
      </c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223"/>
      <c r="P96" s="223"/>
      <c r="Q96" s="224">
        <v>326</v>
      </c>
      <c r="R96" s="223">
        <v>439</v>
      </c>
      <c r="S96" s="223">
        <v>429</v>
      </c>
      <c r="T96" s="223">
        <v>451.81914893617022</v>
      </c>
      <c r="U96" s="223">
        <v>622.54406309840419</v>
      </c>
      <c r="V96" s="223">
        <v>622.54406309840419</v>
      </c>
      <c r="W96" s="223">
        <v>628.76950372938813</v>
      </c>
      <c r="X96" s="223">
        <v>639.53698372685631</v>
      </c>
      <c r="Y96" s="223">
        <v>671.51383291319917</v>
      </c>
      <c r="Z96" s="223">
        <v>805.816599495839</v>
      </c>
      <c r="AA96" s="223">
        <f>Z96*(1+AA101)</f>
        <v>846.10742947063102</v>
      </c>
      <c r="AB96" s="223">
        <f t="shared" si="78"/>
        <v>947.64032100710688</v>
      </c>
      <c r="AC96" s="223">
        <f t="shared" si="78"/>
        <v>1023.4515466876755</v>
      </c>
      <c r="AD96" s="223">
        <f t="shared" si="78"/>
        <v>1115.5621858895665</v>
      </c>
      <c r="AE96" s="223">
        <f t="shared" si="78"/>
        <v>1171.3402951840449</v>
      </c>
      <c r="AF96" s="223">
        <f t="shared" si="78"/>
        <v>1183.0536981358853</v>
      </c>
      <c r="AG96" s="1433"/>
      <c r="AH96" s="1433"/>
      <c r="AI96" s="180"/>
      <c r="AJ96" s="180"/>
      <c r="AK96" s="180"/>
      <c r="AL96" s="180"/>
      <c r="AM96" s="180"/>
      <c r="AN96" s="180"/>
      <c r="AO96" s="180"/>
    </row>
    <row r="97" spans="1:41">
      <c r="A97" s="57" t="s">
        <v>1294</v>
      </c>
      <c r="B97" s="57"/>
      <c r="C97" s="57"/>
      <c r="D97" s="57"/>
      <c r="E97" s="57"/>
      <c r="F97" s="57"/>
      <c r="G97" s="57"/>
      <c r="H97" s="57"/>
      <c r="I97" s="57"/>
      <c r="J97" s="236">
        <v>1021</v>
      </c>
      <c r="K97" s="236">
        <v>1061</v>
      </c>
      <c r="L97" s="236">
        <v>1240</v>
      </c>
      <c r="M97" s="236">
        <v>1264</v>
      </c>
      <c r="N97" s="236">
        <v>1315</v>
      </c>
      <c r="O97" s="236">
        <v>1197</v>
      </c>
      <c r="P97" s="236">
        <v>1221</v>
      </c>
      <c r="Q97" s="234">
        <f t="shared" ref="Q97:Z97" si="79">SUM(Q95:Q96)</f>
        <v>1128</v>
      </c>
      <c r="R97" s="234">
        <f t="shared" si="79"/>
        <v>1238</v>
      </c>
      <c r="S97" s="234">
        <f t="shared" si="79"/>
        <v>1316</v>
      </c>
      <c r="T97" s="234">
        <f t="shared" si="79"/>
        <v>1386</v>
      </c>
      <c r="U97" s="234">
        <f t="shared" si="79"/>
        <v>1909.7155874999999</v>
      </c>
      <c r="V97" s="234">
        <f t="shared" si="79"/>
        <v>1909.7155874999999</v>
      </c>
      <c r="W97" s="234">
        <f t="shared" si="79"/>
        <v>1928.8127433749999</v>
      </c>
      <c r="X97" s="234">
        <f t="shared" si="79"/>
        <v>1961.8430549756249</v>
      </c>
      <c r="Y97" s="234">
        <f t="shared" si="79"/>
        <v>2059.9352077244062</v>
      </c>
      <c r="Z97" s="234">
        <f t="shared" si="79"/>
        <v>2471.922249269287</v>
      </c>
      <c r="AA97" s="234">
        <f>SUM(AA95:AA96)</f>
        <v>2595.5183617327516</v>
      </c>
      <c r="AB97" s="234">
        <f t="shared" ref="AB97:AF97" si="80">SUM(AB95:AB96)</f>
        <v>2906.9805651406823</v>
      </c>
      <c r="AC97" s="234">
        <f t="shared" si="80"/>
        <v>3139.5390103519371</v>
      </c>
      <c r="AD97" s="234">
        <f t="shared" si="80"/>
        <v>3422.097521283612</v>
      </c>
      <c r="AE97" s="234">
        <f t="shared" si="80"/>
        <v>3593.2023973477926</v>
      </c>
      <c r="AF97" s="234">
        <f t="shared" si="80"/>
        <v>3629.1344213212706</v>
      </c>
      <c r="AG97" s="1433"/>
      <c r="AH97" s="1433"/>
      <c r="AI97" s="180"/>
      <c r="AJ97" s="180"/>
      <c r="AK97" s="180"/>
      <c r="AL97" s="180"/>
      <c r="AM97" s="180"/>
      <c r="AN97" s="180"/>
      <c r="AO97" s="180"/>
    </row>
    <row r="98" spans="1:41">
      <c r="A98" s="323" t="s">
        <v>1242</v>
      </c>
      <c r="B98" s="324"/>
      <c r="C98" s="324"/>
      <c r="D98" s="324"/>
      <c r="E98" s="324"/>
      <c r="F98" s="324"/>
      <c r="G98" s="324"/>
      <c r="H98" s="324"/>
      <c r="I98" s="324"/>
      <c r="J98" s="324"/>
      <c r="K98" s="339">
        <f t="shared" ref="K98:AF98" si="81">K97/J97-1</f>
        <v>3.9177277179236025E-2</v>
      </c>
      <c r="L98" s="339">
        <f t="shared" si="81"/>
        <v>0.16870876531573997</v>
      </c>
      <c r="M98" s="339">
        <f t="shared" si="81"/>
        <v>1.9354838709677358E-2</v>
      </c>
      <c r="N98" s="339">
        <f t="shared" si="81"/>
        <v>4.0348101265822889E-2</v>
      </c>
      <c r="O98" s="339">
        <f t="shared" si="81"/>
        <v>-8.9733840304182522E-2</v>
      </c>
      <c r="P98" s="339">
        <f t="shared" si="81"/>
        <v>2.0050125313283207E-2</v>
      </c>
      <c r="Q98" s="339">
        <f t="shared" si="81"/>
        <v>-7.6167076167076186E-2</v>
      </c>
      <c r="R98" s="339">
        <f t="shared" si="81"/>
        <v>9.7517730496453847E-2</v>
      </c>
      <c r="S98" s="339">
        <f t="shared" si="81"/>
        <v>6.3004846526655944E-2</v>
      </c>
      <c r="T98" s="339">
        <f t="shared" si="81"/>
        <v>5.3191489361702038E-2</v>
      </c>
      <c r="U98" s="339">
        <f t="shared" si="81"/>
        <v>0.37786117424242405</v>
      </c>
      <c r="V98" s="339">
        <f t="shared" si="81"/>
        <v>0</v>
      </c>
      <c r="W98" s="339">
        <f t="shared" si="81"/>
        <v>1.0000000000000009E-2</v>
      </c>
      <c r="X98" s="339">
        <f t="shared" si="81"/>
        <v>1.7124685490634617E-2</v>
      </c>
      <c r="Y98" s="339">
        <f t="shared" si="81"/>
        <v>5.0000000000000044E-2</v>
      </c>
      <c r="Z98" s="339">
        <f t="shared" si="81"/>
        <v>0.19999999999999973</v>
      </c>
      <c r="AA98" s="339">
        <f t="shared" si="81"/>
        <v>5.0000000000000044E-2</v>
      </c>
      <c r="AB98" s="339">
        <f t="shared" si="81"/>
        <v>0.12000000000000011</v>
      </c>
      <c r="AC98" s="339">
        <f t="shared" si="81"/>
        <v>8.0000000000000071E-2</v>
      </c>
      <c r="AD98" s="339">
        <f t="shared" si="81"/>
        <v>9.000000000000008E-2</v>
      </c>
      <c r="AE98" s="339">
        <f t="shared" si="81"/>
        <v>5.0000000000000044E-2</v>
      </c>
      <c r="AF98" s="339">
        <f t="shared" si="81"/>
        <v>1.0000000000000009E-2</v>
      </c>
      <c r="AG98" s="1433"/>
      <c r="AH98" s="1433"/>
      <c r="AI98" s="180"/>
      <c r="AJ98" s="180"/>
      <c r="AK98" s="180"/>
      <c r="AL98" s="180"/>
      <c r="AM98" s="180"/>
      <c r="AN98" s="180"/>
      <c r="AO98" s="180"/>
    </row>
    <row r="99" spans="1:41">
      <c r="A99" s="258" t="s">
        <v>1578</v>
      </c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1433"/>
      <c r="AH99" s="1433"/>
      <c r="AI99" s="180"/>
      <c r="AJ99" s="180"/>
      <c r="AK99" s="180"/>
      <c r="AL99" s="180"/>
      <c r="AM99" s="180"/>
      <c r="AN99" s="180"/>
      <c r="AO99" s="180"/>
    </row>
    <row r="100" spans="1:41">
      <c r="A100" s="230" t="s">
        <v>927</v>
      </c>
      <c r="B100" s="227"/>
      <c r="C100" s="227"/>
      <c r="D100" s="227"/>
      <c r="E100" s="227"/>
      <c r="F100" s="227"/>
      <c r="G100" s="227"/>
      <c r="H100" s="227"/>
      <c r="I100" s="227"/>
      <c r="J100" s="227"/>
      <c r="K100" s="1022"/>
      <c r="L100" s="1022"/>
      <c r="M100" s="1022"/>
      <c r="N100" s="1022"/>
      <c r="O100" s="1022"/>
      <c r="P100" s="1022"/>
      <c r="Q100" s="1022"/>
      <c r="R100" s="1022">
        <f>R95/Q95-1</f>
        <v>-3.7406483790524137E-3</v>
      </c>
      <c r="S100" s="1022">
        <f t="shared" ref="S100:Z101" si="82">S95/R95-1</f>
        <v>0.1101376720901126</v>
      </c>
      <c r="T100" s="1022">
        <f t="shared" si="82"/>
        <v>5.3191489361702038E-2</v>
      </c>
      <c r="U100" s="1022">
        <f t="shared" si="82"/>
        <v>0.37786117424242427</v>
      </c>
      <c r="V100" s="1022">
        <f t="shared" si="82"/>
        <v>0</v>
      </c>
      <c r="W100" s="1022">
        <f t="shared" si="82"/>
        <v>1.0000000000000009E-2</v>
      </c>
      <c r="X100" s="1022">
        <f t="shared" si="82"/>
        <v>1.7124685490634617E-2</v>
      </c>
      <c r="Y100" s="1022">
        <f t="shared" si="82"/>
        <v>5.0000000000000044E-2</v>
      </c>
      <c r="Z100" s="1022">
        <f t="shared" si="82"/>
        <v>0.19999999999999973</v>
      </c>
      <c r="AA100" s="944">
        <v>0.05</v>
      </c>
      <c r="AB100" s="944">
        <v>0.12</v>
      </c>
      <c r="AC100" s="944">
        <v>0.08</v>
      </c>
      <c r="AD100" s="944">
        <v>0.09</v>
      </c>
      <c r="AE100" s="944">
        <v>0.05</v>
      </c>
      <c r="AF100" s="944">
        <v>0.01</v>
      </c>
      <c r="AG100" s="1433"/>
      <c r="AH100" s="1433"/>
      <c r="AI100" s="180"/>
      <c r="AJ100" s="180"/>
      <c r="AK100" s="180"/>
      <c r="AL100" s="180"/>
      <c r="AM100" s="180"/>
      <c r="AN100" s="180"/>
      <c r="AO100" s="180"/>
    </row>
    <row r="101" spans="1:41">
      <c r="A101" s="230" t="s">
        <v>928</v>
      </c>
      <c r="B101" s="227"/>
      <c r="C101" s="227"/>
      <c r="D101" s="227"/>
      <c r="E101" s="227"/>
      <c r="F101" s="227"/>
      <c r="G101" s="227"/>
      <c r="H101" s="227"/>
      <c r="I101" s="227"/>
      <c r="J101" s="227"/>
      <c r="K101" s="1022"/>
      <c r="L101" s="1022"/>
      <c r="M101" s="1022"/>
      <c r="N101" s="1022"/>
      <c r="O101" s="1022"/>
      <c r="P101" s="1022"/>
      <c r="Q101" s="1022"/>
      <c r="R101" s="1022">
        <f>R96/Q96-1</f>
        <v>0.34662576687116564</v>
      </c>
      <c r="S101" s="1022">
        <f t="shared" si="82"/>
        <v>-2.277904328018221E-2</v>
      </c>
      <c r="T101" s="1022">
        <f t="shared" si="82"/>
        <v>5.319148936170226E-2</v>
      </c>
      <c r="U101" s="1022">
        <f t="shared" si="82"/>
        <v>0.37786117424242405</v>
      </c>
      <c r="V101" s="1022">
        <f t="shared" si="82"/>
        <v>0</v>
      </c>
      <c r="W101" s="1022">
        <f t="shared" si="82"/>
        <v>9.9999999999997868E-3</v>
      </c>
      <c r="X101" s="1022">
        <f t="shared" si="82"/>
        <v>1.7124685490634617E-2</v>
      </c>
      <c r="Y101" s="1022">
        <f t="shared" si="82"/>
        <v>5.0000000000000044E-2</v>
      </c>
      <c r="Z101" s="1022">
        <f t="shared" si="82"/>
        <v>0.19999999999999996</v>
      </c>
      <c r="AA101" s="944">
        <v>0.05</v>
      </c>
      <c r="AB101" s="944">
        <v>0.12</v>
      </c>
      <c r="AC101" s="944">
        <v>0.08</v>
      </c>
      <c r="AD101" s="944">
        <v>0.09</v>
      </c>
      <c r="AE101" s="944">
        <v>0.05</v>
      </c>
      <c r="AF101" s="944">
        <v>0.01</v>
      </c>
      <c r="AG101" s="1433"/>
      <c r="AH101" s="1433"/>
      <c r="AI101" s="180"/>
      <c r="AJ101" s="180"/>
      <c r="AK101" s="180"/>
      <c r="AL101" s="180"/>
      <c r="AM101" s="180"/>
      <c r="AN101" s="180"/>
      <c r="AO101" s="180"/>
    </row>
    <row r="102" spans="1:41">
      <c r="A102" s="1023"/>
      <c r="B102" s="1024"/>
      <c r="C102" s="1024"/>
      <c r="D102" s="1024"/>
      <c r="E102" s="1024"/>
      <c r="F102" s="1024"/>
      <c r="G102" s="1024"/>
      <c r="H102" s="1024"/>
      <c r="I102" s="1024"/>
      <c r="J102" s="1024"/>
      <c r="K102" s="1024"/>
      <c r="L102" s="1024"/>
      <c r="M102" s="1024"/>
      <c r="N102" s="1024"/>
      <c r="O102" s="1024"/>
      <c r="P102" s="1024"/>
      <c r="Q102" s="1024"/>
      <c r="R102" s="1024"/>
      <c r="S102" s="1024"/>
      <c r="T102" s="1024"/>
      <c r="U102" s="1024"/>
      <c r="V102" s="1025"/>
      <c r="W102" s="1025"/>
      <c r="X102" s="1025"/>
      <c r="Y102" s="1025"/>
      <c r="Z102" s="1025"/>
      <c r="AA102" s="1026"/>
      <c r="AB102" s="1026"/>
      <c r="AC102" s="1026"/>
      <c r="AD102" s="1026"/>
      <c r="AE102" s="1026"/>
      <c r="AF102" s="1026"/>
      <c r="AG102" s="1433"/>
      <c r="AH102" s="1433"/>
      <c r="AI102" s="180"/>
      <c r="AJ102" s="180"/>
      <c r="AK102" s="180"/>
      <c r="AL102" s="180"/>
      <c r="AM102" s="180"/>
      <c r="AN102" s="180"/>
      <c r="AO102" s="180"/>
    </row>
    <row r="103" spans="1:41">
      <c r="A103" s="360" t="s">
        <v>1070</v>
      </c>
      <c r="B103" s="368"/>
      <c r="C103" s="368"/>
      <c r="D103" s="368"/>
      <c r="E103" s="368"/>
      <c r="F103" s="368"/>
      <c r="G103" s="368"/>
      <c r="H103" s="368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1"/>
      <c r="W103" s="370"/>
      <c r="X103" s="370"/>
      <c r="Y103" s="370"/>
      <c r="Z103" s="370"/>
      <c r="AA103" s="322"/>
      <c r="AB103" s="322"/>
      <c r="AC103" s="322"/>
      <c r="AD103" s="322"/>
      <c r="AE103" s="322"/>
      <c r="AF103" s="322"/>
      <c r="AG103" s="1433"/>
      <c r="AH103" s="1433"/>
      <c r="AI103" s="180"/>
      <c r="AJ103" s="180"/>
      <c r="AK103" s="180"/>
      <c r="AL103" s="180"/>
      <c r="AM103" s="180"/>
      <c r="AN103" s="180"/>
      <c r="AO103" s="180"/>
    </row>
    <row r="104" spans="1:41">
      <c r="A104" s="258" t="s">
        <v>1074</v>
      </c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1433"/>
      <c r="AH104" s="1433"/>
      <c r="AI104" s="180"/>
      <c r="AJ104" s="180"/>
      <c r="AK104" s="180"/>
      <c r="AL104" s="180"/>
      <c r="AM104" s="180"/>
      <c r="AN104" s="180"/>
      <c r="AO104" s="180"/>
    </row>
    <row r="105" spans="1:41">
      <c r="A105" s="231" t="s">
        <v>927</v>
      </c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67">
        <v>901.52714893616985</v>
      </c>
      <c r="U105" s="267">
        <v>731.81082208550674</v>
      </c>
      <c r="V105" s="267">
        <v>412.97746363713145</v>
      </c>
      <c r="W105" s="336">
        <v>356.46187533557588</v>
      </c>
      <c r="X105" s="336">
        <v>448.85240056738689</v>
      </c>
      <c r="Y105" s="336">
        <v>612.96689501126866</v>
      </c>
      <c r="Z105" s="336">
        <v>687.93951871700324</v>
      </c>
      <c r="AA105" s="336">
        <f>Z105*(1+AA110)</f>
        <v>729.21588984002346</v>
      </c>
      <c r="AB105" s="336">
        <f t="shared" ref="AB105:AF106" si="83">AA105*(1+AB110)</f>
        <v>809.42963772242615</v>
      </c>
      <c r="AC105" s="336">
        <f t="shared" si="83"/>
        <v>898.46689787189314</v>
      </c>
      <c r="AD105" s="336">
        <f t="shared" si="83"/>
        <v>1006.2829256165204</v>
      </c>
      <c r="AE105" s="336">
        <f t="shared" si="83"/>
        <v>1086.7855596658421</v>
      </c>
      <c r="AF105" s="336">
        <f t="shared" si="83"/>
        <v>1151.9926932457927</v>
      </c>
      <c r="AG105" s="1433"/>
      <c r="AH105" s="1433"/>
      <c r="AI105" s="180"/>
      <c r="AJ105" s="180"/>
      <c r="AK105" s="180"/>
      <c r="AL105" s="180"/>
      <c r="AM105" s="180"/>
      <c r="AN105" s="180"/>
      <c r="AO105" s="180"/>
    </row>
    <row r="106" spans="1:41">
      <c r="A106" s="231" t="s">
        <v>928</v>
      </c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67">
        <v>386.47285106383015</v>
      </c>
      <c r="U106" s="267">
        <v>284.10340579132912</v>
      </c>
      <c r="V106" s="267">
        <v>398.50724931388277</v>
      </c>
      <c r="W106" s="267">
        <v>343.97189661193045</v>
      </c>
      <c r="X106" s="267">
        <v>433.12517327872888</v>
      </c>
      <c r="Y106" s="267">
        <v>591.48930089329338</v>
      </c>
      <c r="Z106" s="267">
        <v>663.83497754035875</v>
      </c>
      <c r="AA106" s="336">
        <f>Z106*(1+AA111)</f>
        <v>703.66507619278036</v>
      </c>
      <c r="AB106" s="336">
        <f t="shared" si="83"/>
        <v>781.06823457398627</v>
      </c>
      <c r="AC106" s="336">
        <f t="shared" si="83"/>
        <v>866.98574037712478</v>
      </c>
      <c r="AD106" s="336">
        <f t="shared" si="83"/>
        <v>971.0240292223798</v>
      </c>
      <c r="AE106" s="336">
        <f t="shared" si="83"/>
        <v>1048.7059515601702</v>
      </c>
      <c r="AF106" s="336">
        <f t="shared" si="83"/>
        <v>1111.6283086537806</v>
      </c>
      <c r="AG106" s="1433"/>
      <c r="AH106" s="1433"/>
      <c r="AI106" s="180"/>
      <c r="AJ106" s="180"/>
      <c r="AK106" s="180"/>
      <c r="AL106" s="180"/>
      <c r="AM106" s="180"/>
      <c r="AN106" s="180"/>
      <c r="AO106" s="180"/>
    </row>
    <row r="107" spans="1:41">
      <c r="A107" s="57" t="s">
        <v>1295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234">
        <f>S119</f>
        <v>2249.5109999999995</v>
      </c>
      <c r="T107" s="234">
        <f t="shared" ref="T107:Z107" si="84">SUM(T105:T106)</f>
        <v>1288</v>
      </c>
      <c r="U107" s="234">
        <f t="shared" si="84"/>
        <v>1015.9142278768359</v>
      </c>
      <c r="V107" s="234">
        <f t="shared" si="84"/>
        <v>811.48471295101422</v>
      </c>
      <c r="W107" s="234">
        <f t="shared" si="84"/>
        <v>700.43377194750633</v>
      </c>
      <c r="X107" s="234">
        <f t="shared" si="84"/>
        <v>881.97757384611577</v>
      </c>
      <c r="Y107" s="234">
        <f t="shared" si="84"/>
        <v>1204.456195904562</v>
      </c>
      <c r="Z107" s="234">
        <f t="shared" si="84"/>
        <v>1351.774496257362</v>
      </c>
      <c r="AA107" s="234">
        <f>SUM(AA105:AA106)</f>
        <v>1432.8809660328038</v>
      </c>
      <c r="AB107" s="234">
        <f t="shared" ref="AB107:AF107" si="85">SUM(AB105:AB106)</f>
        <v>1590.4978722964124</v>
      </c>
      <c r="AC107" s="234">
        <f t="shared" si="85"/>
        <v>1765.452638249018</v>
      </c>
      <c r="AD107" s="234">
        <f t="shared" si="85"/>
        <v>1977.3069548389003</v>
      </c>
      <c r="AE107" s="234">
        <f t="shared" si="85"/>
        <v>2135.4915112260123</v>
      </c>
      <c r="AF107" s="234">
        <f t="shared" si="85"/>
        <v>2263.6210018995735</v>
      </c>
      <c r="AG107" s="1433"/>
      <c r="AH107" s="1433"/>
      <c r="AI107" s="180"/>
      <c r="AJ107" s="180"/>
      <c r="AK107" s="180"/>
      <c r="AL107" s="180"/>
      <c r="AM107" s="180"/>
      <c r="AN107" s="180"/>
      <c r="AO107" s="180"/>
    </row>
    <row r="108" spans="1:41">
      <c r="A108" s="323" t="s">
        <v>1242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346">
        <f t="shared" ref="T108:AF108" si="86">T107/S107-1</f>
        <v>-0.4274311172517048</v>
      </c>
      <c r="U108" s="347">
        <f t="shared" si="86"/>
        <v>-0.21124671748692869</v>
      </c>
      <c r="V108" s="346">
        <f t="shared" si="86"/>
        <v>-0.20122714035914224</v>
      </c>
      <c r="W108" s="346">
        <f t="shared" si="86"/>
        <v>-0.13684908567120668</v>
      </c>
      <c r="X108" s="346">
        <f t="shared" si="86"/>
        <v>0.25918767650771568</v>
      </c>
      <c r="Y108" s="346">
        <f t="shared" si="86"/>
        <v>0.36563131719119113</v>
      </c>
      <c r="Z108" s="346">
        <f t="shared" si="86"/>
        <v>0.12231104863233488</v>
      </c>
      <c r="AA108" s="346">
        <f t="shared" si="86"/>
        <v>6.0000000000000053E-2</v>
      </c>
      <c r="AB108" s="346">
        <f t="shared" si="86"/>
        <v>0.1100000000000001</v>
      </c>
      <c r="AC108" s="346">
        <f t="shared" si="86"/>
        <v>0.1100000000000001</v>
      </c>
      <c r="AD108" s="346">
        <f t="shared" si="86"/>
        <v>0.12000000000000011</v>
      </c>
      <c r="AE108" s="346">
        <f t="shared" si="86"/>
        <v>8.0000000000000071E-2</v>
      </c>
      <c r="AF108" s="346">
        <f t="shared" si="86"/>
        <v>6.0000000000000275E-2</v>
      </c>
      <c r="AG108" s="1433"/>
      <c r="AH108" s="1433"/>
      <c r="AI108" s="180"/>
      <c r="AJ108" s="180"/>
      <c r="AK108" s="180"/>
      <c r="AL108" s="180"/>
      <c r="AM108" s="180"/>
      <c r="AN108" s="180"/>
      <c r="AO108" s="180"/>
    </row>
    <row r="109" spans="1:41">
      <c r="A109" s="258" t="s">
        <v>1578</v>
      </c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1433"/>
      <c r="AH109" s="1433"/>
      <c r="AI109" s="180"/>
      <c r="AJ109" s="180"/>
      <c r="AK109" s="180"/>
      <c r="AL109" s="180"/>
      <c r="AM109" s="180"/>
      <c r="AN109" s="180"/>
      <c r="AO109" s="180"/>
    </row>
    <row r="110" spans="1:41">
      <c r="A110" s="230" t="s">
        <v>927</v>
      </c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>
        <f>U105/T105-1</f>
        <v>-0.18825426061869976</v>
      </c>
      <c r="V110" s="338">
        <f t="shared" ref="V110:Z110" si="87">V105/U105-1</f>
        <v>-0.43567729367511587</v>
      </c>
      <c r="W110" s="338">
        <f t="shared" si="87"/>
        <v>-0.13684908567120702</v>
      </c>
      <c r="X110" s="338">
        <f t="shared" si="87"/>
        <v>0.2591876765077159</v>
      </c>
      <c r="Y110" s="338">
        <f t="shared" si="87"/>
        <v>0.36563131719119113</v>
      </c>
      <c r="Z110" s="338">
        <f t="shared" si="87"/>
        <v>0.12231104863233488</v>
      </c>
      <c r="AA110" s="944">
        <v>0.06</v>
      </c>
      <c r="AB110" s="944">
        <v>0.11</v>
      </c>
      <c r="AC110" s="944">
        <f t="shared" ref="AC110" si="88">AB110</f>
        <v>0.11</v>
      </c>
      <c r="AD110" s="944">
        <v>0.12</v>
      </c>
      <c r="AE110" s="944">
        <v>0.08</v>
      </c>
      <c r="AF110" s="944">
        <v>0.06</v>
      </c>
      <c r="AG110" s="1433"/>
      <c r="AH110" s="1433"/>
      <c r="AI110" s="180"/>
      <c r="AJ110" s="180"/>
      <c r="AK110" s="180"/>
      <c r="AL110" s="180"/>
      <c r="AM110" s="180"/>
      <c r="AN110" s="180"/>
      <c r="AO110" s="180"/>
    </row>
    <row r="111" spans="1:41">
      <c r="A111" s="230" t="s">
        <v>928</v>
      </c>
      <c r="B111" s="338"/>
      <c r="C111" s="338"/>
      <c r="D111" s="338"/>
      <c r="E111" s="338"/>
      <c r="F111" s="338"/>
      <c r="G111" s="338"/>
      <c r="H111" s="338"/>
      <c r="I111" s="338"/>
      <c r="J111" s="340"/>
      <c r="K111" s="340"/>
      <c r="L111" s="340"/>
      <c r="M111" s="340"/>
      <c r="N111" s="340"/>
      <c r="O111" s="340"/>
      <c r="P111" s="340"/>
      <c r="Q111" s="340"/>
      <c r="R111" s="340"/>
      <c r="S111" s="341"/>
      <c r="T111" s="342"/>
      <c r="U111" s="338">
        <f>U106/T106-1</f>
        <v>-0.2648813364010234</v>
      </c>
      <c r="V111" s="338">
        <f t="shared" ref="V111:Z111" si="89">V106/U106-1</f>
        <v>0.40268381578847401</v>
      </c>
      <c r="W111" s="338">
        <f t="shared" si="89"/>
        <v>-0.13684908567120635</v>
      </c>
      <c r="X111" s="338">
        <f t="shared" si="89"/>
        <v>0.25918767650771568</v>
      </c>
      <c r="Y111" s="338">
        <f t="shared" si="89"/>
        <v>0.36563131719119113</v>
      </c>
      <c r="Z111" s="338">
        <f t="shared" si="89"/>
        <v>0.12231104863233488</v>
      </c>
      <c r="AA111" s="944">
        <v>0.06</v>
      </c>
      <c r="AB111" s="1400">
        <v>0.11</v>
      </c>
      <c r="AC111" s="1400">
        <f t="shared" ref="AC111" si="90">AB111</f>
        <v>0.11</v>
      </c>
      <c r="AD111" s="1400">
        <v>0.12</v>
      </c>
      <c r="AE111" s="1400">
        <v>0.08</v>
      </c>
      <c r="AF111" s="1400">
        <v>0.06</v>
      </c>
      <c r="AG111" s="1433"/>
      <c r="AH111" s="1433"/>
      <c r="AI111" s="180"/>
      <c r="AJ111" s="180"/>
      <c r="AK111" s="180"/>
      <c r="AL111" s="180"/>
      <c r="AM111" s="180"/>
      <c r="AN111" s="180"/>
      <c r="AO111" s="180"/>
    </row>
    <row r="112" spans="1:41">
      <c r="A112" s="231"/>
      <c r="B112" s="338"/>
      <c r="C112" s="338"/>
      <c r="D112" s="338"/>
      <c r="E112" s="338"/>
      <c r="F112" s="338"/>
      <c r="G112" s="338"/>
      <c r="H112" s="338"/>
      <c r="I112" s="338"/>
      <c r="J112" s="340"/>
      <c r="K112" s="340"/>
      <c r="L112" s="340"/>
      <c r="M112" s="340"/>
      <c r="N112" s="340"/>
      <c r="O112" s="340"/>
      <c r="P112" s="340"/>
      <c r="Q112" s="340"/>
      <c r="R112" s="340"/>
      <c r="S112" s="341"/>
      <c r="T112" s="342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1433"/>
      <c r="AH112" s="1433"/>
      <c r="AI112" s="180"/>
      <c r="AJ112" s="180"/>
      <c r="AK112" s="180"/>
      <c r="AL112" s="180"/>
      <c r="AM112" s="180"/>
      <c r="AN112" s="180"/>
      <c r="AO112" s="180"/>
    </row>
    <row r="113" spans="1:41">
      <c r="A113" s="258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1433"/>
      <c r="AH113" s="1433"/>
      <c r="AI113" s="180"/>
      <c r="AJ113" s="180"/>
      <c r="AK113" s="180"/>
      <c r="AL113" s="180"/>
      <c r="AM113" s="180"/>
      <c r="AN113" s="180"/>
      <c r="AO113" s="180"/>
    </row>
    <row r="114" spans="1:41">
      <c r="A114" s="360" t="s">
        <v>904</v>
      </c>
      <c r="B114" s="368"/>
      <c r="C114" s="368"/>
      <c r="D114" s="368"/>
      <c r="E114" s="368"/>
      <c r="F114" s="368"/>
      <c r="G114" s="368"/>
      <c r="H114" s="368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1"/>
      <c r="W114" s="370"/>
      <c r="X114" s="370"/>
      <c r="Y114" s="370"/>
      <c r="Z114" s="370"/>
      <c r="AA114" s="322"/>
      <c r="AB114" s="322"/>
      <c r="AC114" s="322"/>
      <c r="AD114" s="322"/>
      <c r="AE114" s="322"/>
      <c r="AF114" s="322"/>
      <c r="AG114" s="1433"/>
      <c r="AH114" s="1433"/>
      <c r="AI114" s="180"/>
      <c r="AJ114" s="180"/>
      <c r="AK114" s="180"/>
      <c r="AL114" s="180"/>
      <c r="AM114" s="180"/>
      <c r="AN114" s="180"/>
      <c r="AO114" s="180"/>
    </row>
    <row r="115" spans="1:41">
      <c r="A115" s="227" t="s">
        <v>908</v>
      </c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256">
        <v>70</v>
      </c>
      <c r="U115" s="256">
        <v>100</v>
      </c>
      <c r="V115" s="256">
        <v>40</v>
      </c>
      <c r="W115" s="256">
        <v>20</v>
      </c>
      <c r="X115" s="256">
        <v>20</v>
      </c>
      <c r="Y115" s="256">
        <v>0</v>
      </c>
      <c r="Z115" s="256">
        <v>0</v>
      </c>
      <c r="AA115" s="256">
        <v>0</v>
      </c>
      <c r="AB115" s="256">
        <v>0</v>
      </c>
      <c r="AC115" s="256">
        <v>0</v>
      </c>
      <c r="AD115" s="256">
        <v>0</v>
      </c>
      <c r="AE115" s="256">
        <v>0</v>
      </c>
      <c r="AF115" s="256">
        <v>0</v>
      </c>
      <c r="AG115" s="1433"/>
      <c r="AH115" s="1433"/>
      <c r="AI115" s="180"/>
      <c r="AJ115" s="180"/>
      <c r="AK115" s="180"/>
      <c r="AL115" s="180"/>
      <c r="AM115" s="180"/>
      <c r="AN115" s="180"/>
      <c r="AO115" s="180"/>
    </row>
    <row r="116" spans="1:41">
      <c r="A116" s="180" t="s">
        <v>1073</v>
      </c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233">
        <v>-75</v>
      </c>
      <c r="U116" s="227">
        <f>75-75</f>
        <v>0</v>
      </c>
      <c r="V116" s="227">
        <f>75-25</f>
        <v>50</v>
      </c>
      <c r="W116" s="227">
        <f>25-25</f>
        <v>0</v>
      </c>
      <c r="X116" s="227">
        <f>25-15</f>
        <v>10</v>
      </c>
      <c r="Y116" s="227">
        <v>0</v>
      </c>
      <c r="Z116" s="233">
        <v>0</v>
      </c>
      <c r="AA116" s="233">
        <v>0</v>
      </c>
      <c r="AB116" s="233">
        <v>0</v>
      </c>
      <c r="AC116" s="233">
        <v>0</v>
      </c>
      <c r="AD116" s="233">
        <v>0</v>
      </c>
      <c r="AE116" s="233">
        <v>0</v>
      </c>
      <c r="AF116" s="233">
        <v>0</v>
      </c>
      <c r="AG116" s="1433"/>
      <c r="AH116" s="1433"/>
      <c r="AI116" s="180"/>
      <c r="AJ116" s="180"/>
      <c r="AK116" s="180"/>
      <c r="AL116" s="180"/>
      <c r="AM116" s="180"/>
      <c r="AN116" s="180"/>
      <c r="AO116" s="180"/>
    </row>
    <row r="117" spans="1:4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433"/>
      <c r="AH117" s="1433"/>
      <c r="AI117" s="180"/>
      <c r="AJ117" s="180"/>
      <c r="AK117" s="180"/>
      <c r="AL117" s="180"/>
      <c r="AM117" s="180"/>
      <c r="AN117" s="180"/>
      <c r="AO117" s="180"/>
    </row>
    <row r="118" spans="1:41">
      <c r="A118" s="227" t="s">
        <v>1096</v>
      </c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3">
        <f>S119+S120</f>
        <v>4968.0459211527996</v>
      </c>
      <c r="T118" s="267">
        <f t="shared" ref="T118:AF118" si="91">SUM(T119:T120)</f>
        <v>3799</v>
      </c>
      <c r="U118" s="267">
        <f t="shared" si="91"/>
        <v>4336.9142278768359</v>
      </c>
      <c r="V118" s="267">
        <f t="shared" si="91"/>
        <v>2733.4847129510144</v>
      </c>
      <c r="W118" s="267">
        <f t="shared" si="91"/>
        <v>2175.4337719475061</v>
      </c>
      <c r="X118" s="267">
        <f t="shared" si="91"/>
        <v>2859.9775738461158</v>
      </c>
      <c r="Y118" s="267">
        <f t="shared" si="91"/>
        <v>3681.4561959045623</v>
      </c>
      <c r="Z118" s="267">
        <f t="shared" si="91"/>
        <v>4388.7744962573615</v>
      </c>
      <c r="AA118" s="267">
        <f t="shared" si="91"/>
        <v>4856.740966032804</v>
      </c>
      <c r="AB118" s="267">
        <f t="shared" si="91"/>
        <v>5373.6228722964124</v>
      </c>
      <c r="AC118" s="267">
        <f t="shared" si="91"/>
        <v>5900.0407202490187</v>
      </c>
      <c r="AD118" s="267">
        <f t="shared" si="91"/>
        <v>6449.1685678189006</v>
      </c>
      <c r="AE118" s="267">
        <f t="shared" si="91"/>
        <v>6752.1084302310128</v>
      </c>
      <c r="AF118" s="267">
        <f t="shared" si="91"/>
        <v>7011.2929109204542</v>
      </c>
      <c r="AG118" s="1433"/>
      <c r="AH118" s="1433"/>
      <c r="AI118" s="180"/>
      <c r="AJ118" s="180"/>
      <c r="AK118" s="180"/>
      <c r="AL118" s="180"/>
      <c r="AM118" s="180"/>
      <c r="AN118" s="180"/>
      <c r="AO118" s="180"/>
    </row>
    <row r="119" spans="1:41">
      <c r="A119" s="231" t="s">
        <v>1068</v>
      </c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4">
        <v>2249.5109999999995</v>
      </c>
      <c r="T119" s="232">
        <v>1288</v>
      </c>
      <c r="U119" s="232">
        <v>1015.9142278768363</v>
      </c>
      <c r="V119" s="232">
        <v>811.48471295101444</v>
      </c>
      <c r="W119" s="232">
        <v>700.43377194750633</v>
      </c>
      <c r="X119" s="267">
        <f t="shared" ref="X119:AF119" si="92">X107</f>
        <v>881.97757384611577</v>
      </c>
      <c r="Y119" s="267">
        <f t="shared" si="92"/>
        <v>1204.456195904562</v>
      </c>
      <c r="Z119" s="267">
        <f t="shared" si="92"/>
        <v>1351.774496257362</v>
      </c>
      <c r="AA119" s="267">
        <f t="shared" si="92"/>
        <v>1432.8809660328038</v>
      </c>
      <c r="AB119" s="267">
        <f t="shared" si="92"/>
        <v>1590.4978722964124</v>
      </c>
      <c r="AC119" s="267">
        <f t="shared" si="92"/>
        <v>1765.452638249018</v>
      </c>
      <c r="AD119" s="267">
        <f t="shared" si="92"/>
        <v>1977.3069548389003</v>
      </c>
      <c r="AE119" s="267">
        <f t="shared" si="92"/>
        <v>2135.4915112260123</v>
      </c>
      <c r="AF119" s="267">
        <f t="shared" si="92"/>
        <v>2263.6210018995735</v>
      </c>
      <c r="AG119" s="1433"/>
      <c r="AH119" s="1433"/>
      <c r="AI119" s="180"/>
      <c r="AJ119" s="180"/>
      <c r="AK119" s="180"/>
      <c r="AL119" s="180"/>
      <c r="AM119" s="180"/>
      <c r="AN119" s="180"/>
      <c r="AO119" s="180"/>
    </row>
    <row r="120" spans="1:41">
      <c r="A120" s="231" t="s">
        <v>1067</v>
      </c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4">
        <v>2718.5349211528001</v>
      </c>
      <c r="T120" s="232">
        <v>2511</v>
      </c>
      <c r="U120" s="232">
        <v>3321</v>
      </c>
      <c r="V120" s="232">
        <v>1922</v>
      </c>
      <c r="W120" s="232">
        <v>1475</v>
      </c>
      <c r="X120" s="267">
        <f>'Aircraft Interiors Division'!L6</f>
        <v>1978</v>
      </c>
      <c r="Y120" s="267">
        <f>'Aircraft Interiors Division'!M6</f>
        <v>2477</v>
      </c>
      <c r="Z120" s="267">
        <f>'Aircraft Interiors Division'!N6</f>
        <v>3037</v>
      </c>
      <c r="AA120" s="268">
        <f>'Aircraft Interiors Division'!O6</f>
        <v>3423.86</v>
      </c>
      <c r="AB120" s="268">
        <f>'Aircraft Interiors Division'!P6</f>
        <v>3783.125</v>
      </c>
      <c r="AC120" s="268">
        <f>'Aircraft Interiors Division'!Q6</f>
        <v>4134.5880820000002</v>
      </c>
      <c r="AD120" s="268">
        <f>'Aircraft Interiors Division'!R6</f>
        <v>4471.8616129800002</v>
      </c>
      <c r="AE120" s="268">
        <f>'Aircraft Interiors Division'!S6</f>
        <v>4616.6169190050005</v>
      </c>
      <c r="AF120" s="268">
        <f>'Aircraft Interiors Division'!T6</f>
        <v>4747.6719090208808</v>
      </c>
      <c r="AG120" s="1433"/>
      <c r="AH120" s="1433"/>
      <c r="AI120" s="180"/>
      <c r="AJ120" s="180"/>
      <c r="AK120" s="180"/>
      <c r="AL120" s="180"/>
      <c r="AM120" s="180"/>
      <c r="AN120" s="180"/>
      <c r="AO120" s="180"/>
    </row>
    <row r="121" spans="1:41">
      <c r="A121" s="343"/>
      <c r="B121" s="336"/>
      <c r="C121" s="336"/>
      <c r="D121" s="336"/>
      <c r="E121" s="336"/>
      <c r="F121" s="336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1433"/>
      <c r="AH121" s="1433"/>
      <c r="AI121" s="180"/>
      <c r="AJ121" s="180"/>
      <c r="AK121" s="180"/>
      <c r="AL121" s="180"/>
      <c r="AM121" s="180"/>
      <c r="AN121" s="180"/>
      <c r="AO121" s="180"/>
    </row>
    <row r="122" spans="1:41">
      <c r="AH122" s="1433"/>
      <c r="AI122" s="180"/>
      <c r="AJ122" s="180"/>
      <c r="AK122" s="180"/>
      <c r="AL122" s="180"/>
      <c r="AM122" s="180"/>
      <c r="AN122" s="180"/>
      <c r="AO122" s="180"/>
    </row>
    <row r="123" spans="1:41">
      <c r="AH123" s="1433"/>
      <c r="AI123" s="180"/>
      <c r="AJ123" s="180"/>
      <c r="AK123" s="180"/>
      <c r="AL123" s="180"/>
      <c r="AM123" s="180"/>
      <c r="AN123" s="180"/>
      <c r="AO123" s="180"/>
    </row>
    <row r="124" spans="1:41">
      <c r="AH124" s="1433"/>
      <c r="AI124" s="180"/>
      <c r="AJ124" s="180"/>
      <c r="AK124" s="180"/>
      <c r="AL124" s="180"/>
      <c r="AM124" s="180"/>
      <c r="AN124" s="180"/>
      <c r="AO124" s="180"/>
    </row>
    <row r="125" spans="1:41">
      <c r="AH125" s="1433"/>
      <c r="AI125" s="180"/>
      <c r="AJ125" s="180"/>
      <c r="AK125" s="180"/>
      <c r="AL125" s="180"/>
      <c r="AM125" s="180"/>
      <c r="AN125" s="180"/>
      <c r="AO125" s="180"/>
    </row>
    <row r="126" spans="1:41">
      <c r="AH126" s="1433"/>
      <c r="AI126" s="180"/>
      <c r="AJ126" s="180"/>
      <c r="AK126" s="180"/>
      <c r="AL126" s="180"/>
      <c r="AM126" s="180"/>
      <c r="AN126" s="180"/>
      <c r="AO126" s="180"/>
    </row>
    <row r="127" spans="1:41">
      <c r="AH127" s="1433"/>
      <c r="AI127" s="180"/>
      <c r="AJ127" s="180"/>
      <c r="AK127" s="180"/>
      <c r="AL127" s="180"/>
      <c r="AM127" s="180"/>
      <c r="AN127" s="180"/>
      <c r="AO127" s="180"/>
    </row>
    <row r="128" spans="1:41">
      <c r="AH128" s="1433"/>
      <c r="AI128" s="180"/>
      <c r="AJ128" s="180"/>
      <c r="AK128" s="180"/>
      <c r="AL128" s="180"/>
      <c r="AM128" s="180"/>
      <c r="AN128" s="180"/>
      <c r="AO128" s="180"/>
    </row>
    <row r="129" spans="34:41">
      <c r="AH129" s="1433"/>
      <c r="AI129" s="180"/>
      <c r="AJ129" s="180"/>
      <c r="AK129" s="180"/>
      <c r="AL129" s="180"/>
      <c r="AM129" s="180"/>
      <c r="AN129" s="180"/>
      <c r="AO129" s="180"/>
    </row>
    <row r="130" spans="34:41">
      <c r="AH130" s="1433"/>
      <c r="AI130" s="180"/>
      <c r="AJ130" s="180"/>
      <c r="AK130" s="180"/>
      <c r="AL130" s="180"/>
      <c r="AM130" s="180"/>
      <c r="AN130" s="180"/>
      <c r="AO130" s="180"/>
    </row>
    <row r="131" spans="34:41">
      <c r="AH131" s="1433"/>
      <c r="AI131" s="180"/>
      <c r="AJ131" s="180"/>
      <c r="AK131" s="180"/>
      <c r="AL131" s="180"/>
      <c r="AM131" s="180"/>
      <c r="AN131" s="180"/>
      <c r="AO131" s="180"/>
    </row>
    <row r="132" spans="34:41">
      <c r="AH132" s="1433"/>
      <c r="AI132" s="180"/>
      <c r="AJ132" s="180"/>
      <c r="AK132" s="180"/>
      <c r="AL132" s="180"/>
      <c r="AM132" s="180"/>
      <c r="AN132" s="180"/>
      <c r="AO132" s="180"/>
    </row>
    <row r="133" spans="34:41">
      <c r="AH133" s="1433"/>
      <c r="AI133" s="180"/>
      <c r="AJ133" s="180"/>
      <c r="AK133" s="180"/>
      <c r="AL133" s="180"/>
      <c r="AM133" s="180"/>
      <c r="AN133" s="180"/>
      <c r="AO133" s="180"/>
    </row>
    <row r="134" spans="34:41">
      <c r="AH134" s="1433"/>
      <c r="AI134" s="180"/>
      <c r="AJ134" s="180"/>
      <c r="AK134" s="180"/>
      <c r="AL134" s="180"/>
      <c r="AM134" s="180"/>
      <c r="AN134" s="180"/>
      <c r="AO134" s="180"/>
    </row>
    <row r="135" spans="34:41">
      <c r="AH135" s="1433"/>
      <c r="AI135" s="180"/>
      <c r="AJ135" s="180"/>
      <c r="AK135" s="180"/>
      <c r="AL135" s="180"/>
      <c r="AM135" s="180"/>
      <c r="AN135" s="180"/>
      <c r="AO135" s="180"/>
    </row>
    <row r="136" spans="34:41">
      <c r="AH136" s="1433"/>
      <c r="AI136" s="180"/>
      <c r="AJ136" s="180"/>
      <c r="AK136" s="180"/>
      <c r="AL136" s="180"/>
      <c r="AM136" s="180"/>
      <c r="AN136" s="180"/>
      <c r="AO136" s="180"/>
    </row>
    <row r="137" spans="34:41">
      <c r="AH137" s="1433"/>
      <c r="AI137" s="180"/>
      <c r="AJ137" s="180"/>
      <c r="AK137" s="180"/>
      <c r="AL137" s="180"/>
      <c r="AM137" s="180"/>
      <c r="AN137" s="180"/>
      <c r="AO137" s="180"/>
    </row>
    <row r="138" spans="34:41">
      <c r="AH138" s="1433"/>
      <c r="AI138" s="180"/>
      <c r="AJ138" s="180"/>
      <c r="AK138" s="180"/>
      <c r="AL138" s="180"/>
      <c r="AM138" s="180"/>
      <c r="AN138" s="180"/>
      <c r="AO138" s="180"/>
    </row>
    <row r="139" spans="34:41">
      <c r="AH139" s="1433"/>
      <c r="AI139" s="180"/>
      <c r="AJ139" s="180"/>
      <c r="AK139" s="180"/>
      <c r="AL139" s="180"/>
      <c r="AM139" s="180"/>
      <c r="AN139" s="180"/>
      <c r="AO139" s="180"/>
    </row>
    <row r="140" spans="34:41">
      <c r="AH140" s="1433"/>
      <c r="AI140" s="180"/>
      <c r="AJ140" s="180"/>
      <c r="AK140" s="180"/>
      <c r="AL140" s="180"/>
      <c r="AM140" s="180"/>
      <c r="AN140" s="180"/>
      <c r="AO140" s="180"/>
    </row>
    <row r="141" spans="34:41">
      <c r="AH141" s="1433"/>
      <c r="AI141" s="180"/>
      <c r="AJ141" s="180"/>
      <c r="AK141" s="180"/>
      <c r="AL141" s="180"/>
      <c r="AM141" s="180"/>
      <c r="AN141" s="180"/>
      <c r="AO141" s="180"/>
    </row>
    <row r="142" spans="34:41">
      <c r="AH142" s="1433"/>
      <c r="AI142" s="180"/>
      <c r="AJ142" s="180"/>
      <c r="AK142" s="180"/>
      <c r="AL142" s="180"/>
      <c r="AM142" s="180"/>
      <c r="AN142" s="180"/>
      <c r="AO142" s="180"/>
    </row>
    <row r="143" spans="34:41">
      <c r="AH143" s="1433"/>
      <c r="AI143" s="180"/>
      <c r="AJ143" s="180"/>
      <c r="AK143" s="180"/>
      <c r="AL143" s="180"/>
      <c r="AM143" s="180"/>
      <c r="AN143" s="180"/>
      <c r="AO143" s="180"/>
    </row>
    <row r="144" spans="34:41">
      <c r="AH144" s="1433"/>
      <c r="AI144" s="180"/>
      <c r="AJ144" s="180"/>
      <c r="AK144" s="180"/>
      <c r="AL144" s="180"/>
      <c r="AM144" s="180"/>
      <c r="AN144" s="180"/>
      <c r="AO144" s="180"/>
    </row>
    <row r="145" spans="34:41">
      <c r="AH145" s="1433"/>
      <c r="AI145" s="180"/>
      <c r="AJ145" s="180"/>
      <c r="AK145" s="180"/>
      <c r="AL145" s="180"/>
      <c r="AM145" s="180"/>
      <c r="AN145" s="180"/>
      <c r="AO145" s="180"/>
    </row>
    <row r="146" spans="34:41">
      <c r="AH146" s="1433"/>
      <c r="AI146" s="180"/>
      <c r="AJ146" s="180"/>
      <c r="AK146" s="180"/>
      <c r="AL146" s="180"/>
      <c r="AM146" s="180"/>
      <c r="AN146" s="180"/>
      <c r="AO146" s="180"/>
    </row>
    <row r="147" spans="34:41">
      <c r="AH147" s="1433"/>
      <c r="AI147" s="180"/>
      <c r="AJ147" s="180"/>
      <c r="AK147" s="180"/>
      <c r="AL147" s="180"/>
      <c r="AM147" s="180"/>
      <c r="AN147" s="180"/>
      <c r="AO147" s="180"/>
    </row>
    <row r="148" spans="34:41">
      <c r="AH148" s="1433"/>
      <c r="AI148" s="180"/>
      <c r="AJ148" s="180"/>
      <c r="AK148" s="180"/>
      <c r="AL148" s="180"/>
      <c r="AM148" s="180"/>
      <c r="AN148" s="180"/>
      <c r="AO148" s="180"/>
    </row>
    <row r="149" spans="34:41">
      <c r="AH149" s="1433"/>
      <c r="AI149" s="180"/>
      <c r="AJ149" s="180"/>
      <c r="AK149" s="180"/>
      <c r="AL149" s="180"/>
      <c r="AM149" s="180"/>
      <c r="AN149" s="180"/>
      <c r="AO149" s="180"/>
    </row>
    <row r="150" spans="34:41">
      <c r="AH150" s="1433"/>
      <c r="AI150" s="180"/>
      <c r="AJ150" s="180"/>
      <c r="AK150" s="180"/>
      <c r="AL150" s="180"/>
      <c r="AM150" s="180"/>
      <c r="AN150" s="180"/>
      <c r="AO150" s="180"/>
    </row>
  </sheetData>
  <pageMargins left="0.7" right="0.7" top="0.75" bottom="0.75" header="0.3" footer="0.3"/>
  <customProperties>
    <customPr name="Qube.Worksheet.Visibility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>
    <pageSetUpPr autoPageBreaks="0" fitToPage="1"/>
  </sheetPr>
  <dimension ref="A1:EB80"/>
  <sheetViews>
    <sheetView showGridLines="0" topLeftCell="G1" zoomScale="110" zoomScaleNormal="110" workbookViewId="0">
      <selection activeCell="AA56" sqref="AA56"/>
    </sheetView>
  </sheetViews>
  <sheetFormatPr defaultColWidth="8" defaultRowHeight="14.25" outlineLevelRow="1" outlineLevelCol="2"/>
  <cols>
    <col min="1" max="1" width="11.375" style="83" customWidth="1"/>
    <col min="2" max="2" width="14.125" style="84" bestFit="1" customWidth="1"/>
    <col min="3" max="3" width="9.25" style="83" bestFit="1" customWidth="1"/>
    <col min="4" max="4" width="11.375" style="83" customWidth="1"/>
    <col min="5" max="5" width="47" style="118" customWidth="1"/>
    <col min="6" max="6" width="1.625" customWidth="1"/>
    <col min="7" max="7" width="27.25" style="83" bestFit="1" customWidth="1"/>
    <col min="8" max="8" width="9.125" style="83" hidden="1" customWidth="1"/>
    <col min="9" max="9" width="1.125" style="83" hidden="1" customWidth="1"/>
    <col min="10" max="12" width="9.125" style="83" hidden="1" customWidth="1"/>
    <col min="13" max="13" width="9.375" style="83" hidden="1" customWidth="1"/>
    <col min="14" max="14" width="2.125" style="83" hidden="1" customWidth="1"/>
    <col min="15" max="15" width="10.625" style="83" hidden="1" customWidth="1" collapsed="1"/>
    <col min="16" max="17" width="9.125" style="83" hidden="1" customWidth="1"/>
    <col min="18" max="18" width="2.125" style="83" hidden="1" customWidth="1"/>
    <col min="19" max="19" width="10.875" style="83" hidden="1" customWidth="1"/>
    <col min="20" max="21" width="9.125" style="83" hidden="1" customWidth="1"/>
    <col min="22" max="22" width="2.125" style="83" hidden="1" customWidth="1"/>
    <col min="23" max="25" width="9.125" style="83" hidden="1" customWidth="1"/>
    <col min="26" max="26" width="2.125" style="83" customWidth="1"/>
    <col min="27" max="29" width="9.125" style="83" hidden="1" customWidth="1" outlineLevel="2"/>
    <col min="30" max="30" width="2.125" style="83" customWidth="1" collapsed="1"/>
    <col min="31" max="31" width="10.625" style="83" hidden="1" customWidth="1"/>
    <col min="32" max="32" width="9.125" style="83" hidden="1" customWidth="1"/>
    <col min="33" max="33" width="1.25" style="83" hidden="1" customWidth="1"/>
    <col min="34" max="36" width="9.125" style="83" hidden="1" customWidth="1"/>
    <col min="37" max="37" width="0.75" style="83" hidden="1" customWidth="1"/>
    <col min="38" max="39" width="9.125" style="83" hidden="1" customWidth="1"/>
    <col min="40" max="40" width="1" style="83" hidden="1" customWidth="1"/>
    <col min="41" max="41" width="10.625" style="83" hidden="1" customWidth="1"/>
    <col min="42" max="42" width="1" style="83" hidden="1" customWidth="1"/>
    <col min="43" max="43" width="10.625" style="83" hidden="1" customWidth="1"/>
    <col min="44" max="45" width="9.375" style="83" hidden="1" customWidth="1"/>
    <col min="46" max="46" width="1" style="83" hidden="1" customWidth="1"/>
    <col min="47" max="47" width="10.625" style="83" hidden="1" customWidth="1"/>
    <col min="48" max="49" width="9.375" style="83" hidden="1" customWidth="1"/>
    <col min="50" max="50" width="1" style="83" hidden="1" customWidth="1"/>
    <col min="51" max="51" width="10.625" style="83" hidden="1" customWidth="1"/>
    <col min="52" max="53" width="9.375" style="83" hidden="1" customWidth="1"/>
    <col min="54" max="54" width="1" style="83" hidden="1" customWidth="1"/>
    <col min="55" max="55" width="10.625" style="83" hidden="1" customWidth="1"/>
    <col min="56" max="57" width="9.375" style="83" hidden="1" customWidth="1"/>
    <col min="58" max="58" width="1.25" style="83" customWidth="1"/>
    <col min="59" max="61" width="8.625" style="83" hidden="1" customWidth="1" outlineLevel="1"/>
    <col min="62" max="62" width="11.625" style="83" hidden="1" customWidth="1" collapsed="1"/>
    <col min="63" max="63" width="15.625" style="83" hidden="1" customWidth="1"/>
    <col min="64" max="64" width="10.375" style="83" hidden="1" customWidth="1"/>
    <col min="65" max="65" width="8.125" style="83" hidden="1" customWidth="1"/>
    <col min="66" max="66" width="11.125" style="83" hidden="1" customWidth="1"/>
    <col min="67" max="67" width="17.375" style="83" customWidth="1"/>
    <col min="68" max="68" width="1.25" style="83" hidden="1" customWidth="1"/>
    <col min="69" max="71" width="8.375" style="83" hidden="1" customWidth="1"/>
    <col min="72" max="72" width="1.25" style="83" hidden="1" customWidth="1"/>
    <col min="73" max="73" width="22.25" style="392" hidden="1" customWidth="1"/>
    <col min="74" max="74" width="1.25" style="83" customWidth="1"/>
    <col min="75" max="77" width="8.375" style="83" customWidth="1"/>
    <col min="78" max="78" width="1.25" style="83" customWidth="1"/>
    <col min="79" max="79" width="7.25" style="83" bestFit="1" customWidth="1"/>
    <col min="80" max="81" width="8.375" style="83" customWidth="1"/>
    <col min="82" max="82" width="1.25" style="83" customWidth="1"/>
    <col min="83" max="83" width="7.25" style="83" bestFit="1" customWidth="1"/>
    <col min="84" max="85" width="8.375" style="83" customWidth="1"/>
    <col min="86" max="86" width="1.25" style="83" customWidth="1"/>
    <col min="87" max="89" width="8.375" style="83" customWidth="1"/>
    <col min="90" max="90" width="1.375" style="83" customWidth="1"/>
    <col min="91" max="92" width="7.375" style="83" bestFit="1" customWidth="1"/>
    <col min="93" max="93" width="8.625" style="83" bestFit="1" customWidth="1"/>
    <col min="94" max="94" width="0.75" style="83" customWidth="1"/>
    <col min="95" max="96" width="7.25" style="83" bestFit="1" customWidth="1"/>
    <col min="97" max="97" width="8.375" style="83" bestFit="1" customWidth="1"/>
    <col min="98" max="98" width="13.875" style="83" customWidth="1"/>
    <col min="99" max="99" width="28" style="392" bestFit="1" customWidth="1"/>
    <col min="100" max="100" width="8.125" style="83" customWidth="1"/>
    <col min="101" max="101" width="12.625" style="83" customWidth="1"/>
    <col min="102" max="102" width="12.25" style="83" customWidth="1"/>
    <col min="103" max="103" width="9.5" style="83" customWidth="1"/>
    <col min="104" max="104" width="0.5" style="83" customWidth="1"/>
    <col min="105" max="106" width="9.5" style="83" customWidth="1"/>
    <col min="107" max="107" width="8.625" style="83" customWidth="1"/>
    <col min="108" max="108" width="0.5" style="83" customWidth="1"/>
    <col min="109" max="110" width="7.5" style="83" customWidth="1"/>
    <col min="111" max="111" width="1.125" style="83" customWidth="1"/>
    <col min="112" max="112" width="22.375" style="83" customWidth="1"/>
    <col min="113" max="114" width="8" style="83"/>
    <col min="115" max="115" width="25.875" style="83" customWidth="1"/>
    <col min="116" max="116" width="1" style="83" hidden="1" customWidth="1" outlineLevel="1"/>
    <col min="117" max="118" width="11.625" style="83" hidden="1" customWidth="1" outlineLevel="1"/>
    <col min="119" max="119" width="1" style="83" customWidth="1" collapsed="1"/>
    <col min="120" max="120" width="21.875" style="83" customWidth="1"/>
    <col min="121" max="121" width="1" style="83" customWidth="1"/>
    <col min="122" max="123" width="11.625" style="83" customWidth="1"/>
    <col min="124" max="124" width="1" style="83" customWidth="1" outlineLevel="1"/>
    <col min="125" max="125" width="21.875" style="83" customWidth="1"/>
    <col min="126" max="126" width="1" style="83" customWidth="1"/>
    <col min="127" max="128" width="9.75" style="83" hidden="1" customWidth="1" outlineLevel="1"/>
    <col min="129" max="129" width="1" style="83" hidden="1" customWidth="1" outlineLevel="1"/>
    <col min="130" max="130" width="14.75" style="83" bestFit="1" customWidth="1" collapsed="1"/>
    <col min="131" max="131" width="1" style="83" customWidth="1"/>
    <col min="132" max="132" width="14" style="83" bestFit="1" customWidth="1"/>
    <col min="133" max="16384" width="8" style="83"/>
  </cols>
  <sheetData>
    <row r="1" spans="1:112" ht="16.5" customHeight="1">
      <c r="A1"/>
      <c r="B1"/>
      <c r="C1"/>
      <c r="D1"/>
      <c r="E1" s="125" t="s">
        <v>1188</v>
      </c>
      <c r="F1" s="83"/>
      <c r="G1" s="214" t="s">
        <v>1379</v>
      </c>
      <c r="H1" s="210" t="s">
        <v>1266</v>
      </c>
      <c r="I1" s="209"/>
      <c r="J1" s="209"/>
      <c r="K1" s="209"/>
      <c r="L1" s="209"/>
      <c r="M1" s="204"/>
      <c r="O1" s="201" t="s">
        <v>1264</v>
      </c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E1" s="203" t="s">
        <v>1265</v>
      </c>
      <c r="AF1" s="203"/>
      <c r="AG1" s="204"/>
      <c r="AH1" s="203"/>
      <c r="AI1" s="203"/>
      <c r="AJ1" s="203"/>
      <c r="AK1" s="203"/>
      <c r="AL1" s="203"/>
      <c r="AM1" s="203"/>
      <c r="AO1" s="204"/>
      <c r="AQ1" s="204"/>
      <c r="AR1" s="204"/>
      <c r="AS1" s="204"/>
      <c r="AU1" s="204"/>
      <c r="AV1" s="204"/>
      <c r="AW1" s="204"/>
      <c r="AY1" s="204"/>
      <c r="AZ1" s="204"/>
      <c r="BA1" s="204"/>
      <c r="BC1" s="204"/>
      <c r="BD1" s="204"/>
      <c r="BE1" s="204"/>
      <c r="BF1" s="204"/>
      <c r="BG1" s="204"/>
      <c r="BH1" s="204"/>
      <c r="BI1" s="204"/>
      <c r="BJ1" s="204"/>
      <c r="BK1" s="203"/>
      <c r="BL1" s="203"/>
      <c r="BM1" s="203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  <c r="CL1" s="204"/>
      <c r="CM1" s="204"/>
      <c r="CN1" s="204"/>
      <c r="CO1" s="204"/>
      <c r="CP1" s="1175"/>
      <c r="CQ1" s="204"/>
      <c r="CR1" s="204"/>
      <c r="CS1" s="204"/>
      <c r="CT1" s="1175"/>
      <c r="CW1" s="83" t="s">
        <v>1498</v>
      </c>
      <c r="CX1" s="83" t="s">
        <v>1499</v>
      </c>
      <c r="CY1" s="83" t="s">
        <v>1500</v>
      </c>
      <c r="CZ1" s="83" t="s">
        <v>1501</v>
      </c>
      <c r="DA1" s="83" t="s">
        <v>1502</v>
      </c>
      <c r="DB1" s="83" t="s">
        <v>1503</v>
      </c>
      <c r="DC1" s="83" t="s">
        <v>1504</v>
      </c>
      <c r="DD1" s="83" t="s">
        <v>1505</v>
      </c>
      <c r="DE1" s="83" t="s">
        <v>1506</v>
      </c>
      <c r="DF1" s="83" t="s">
        <v>1507</v>
      </c>
      <c r="DG1" s="83" t="s">
        <v>1508</v>
      </c>
      <c r="DH1" s="83" t="s">
        <v>1509</v>
      </c>
    </row>
    <row r="2" spans="1:112">
      <c r="A2"/>
      <c r="B2" s="86" t="s">
        <v>736</v>
      </c>
      <c r="C2" s="206" t="s">
        <v>1156</v>
      </c>
      <c r="D2"/>
      <c r="E2" s="116"/>
    </row>
    <row r="3" spans="1:112">
      <c r="A3"/>
      <c r="B3" s="86" t="s">
        <v>1157</v>
      </c>
      <c r="C3" s="87" t="str">
        <f>_xll.VisibleAlpha.UDF.VADetail("Name",C2)</f>
        <v>Safran</v>
      </c>
      <c r="D3"/>
      <c r="E3" s="116"/>
    </row>
    <row r="4" spans="1:112">
      <c r="A4"/>
      <c r="B4" s="86" t="s">
        <v>1158</v>
      </c>
      <c r="C4" s="206" t="s">
        <v>1159</v>
      </c>
      <c r="D4"/>
      <c r="E4" s="116"/>
    </row>
    <row r="5" spans="1:112">
      <c r="A5"/>
      <c r="B5" s="86" t="s">
        <v>1160</v>
      </c>
      <c r="C5" s="206" t="s">
        <v>1161</v>
      </c>
      <c r="D5"/>
      <c r="E5" s="116"/>
    </row>
    <row r="6" spans="1:112" ht="15" thickBot="1">
      <c r="A6"/>
      <c r="B6" s="88" t="s">
        <v>1162</v>
      </c>
      <c r="C6" s="205">
        <f ca="1">TODAY()-1</f>
        <v>45970</v>
      </c>
      <c r="D6"/>
      <c r="E6" s="116"/>
      <c r="F6" s="83"/>
      <c r="H6" s="85"/>
      <c r="O6" s="126" t="s">
        <v>1258</v>
      </c>
      <c r="S6" s="126" t="s">
        <v>1260</v>
      </c>
      <c r="W6" s="126" t="s">
        <v>1262</v>
      </c>
      <c r="AA6" s="126" t="s">
        <v>1777</v>
      </c>
      <c r="AE6" s="126" t="s">
        <v>1233</v>
      </c>
      <c r="AH6" s="126" t="s">
        <v>1403</v>
      </c>
      <c r="AL6" s="126" t="s">
        <v>1403</v>
      </c>
      <c r="AM6" s="126" t="s">
        <v>1408</v>
      </c>
      <c r="AO6" s="126"/>
      <c r="AQ6" s="126" t="s">
        <v>1380</v>
      </c>
      <c r="AU6" s="126" t="s">
        <v>1380</v>
      </c>
      <c r="AY6" s="126" t="s">
        <v>1380</v>
      </c>
      <c r="BC6" s="126" t="s">
        <v>1163</v>
      </c>
      <c r="BG6" s="126" t="s">
        <v>1728</v>
      </c>
      <c r="BK6" s="126" t="s">
        <v>1494</v>
      </c>
      <c r="BQ6" s="126" t="s">
        <v>1189</v>
      </c>
      <c r="BW6" s="126" t="s">
        <v>1189</v>
      </c>
      <c r="CA6" s="126" t="s">
        <v>1195</v>
      </c>
      <c r="CE6" s="126" t="s">
        <v>1347</v>
      </c>
      <c r="CI6" s="126" t="s">
        <v>1396</v>
      </c>
      <c r="CM6" s="126" t="s">
        <v>1496</v>
      </c>
      <c r="CQ6" s="126" t="s">
        <v>1685</v>
      </c>
      <c r="CW6" s="126" t="s">
        <v>1496</v>
      </c>
    </row>
    <row r="7" spans="1:112" ht="11.25" customHeight="1">
      <c r="A7"/>
      <c r="B7"/>
      <c r="C7"/>
      <c r="D7"/>
      <c r="E7" s="116"/>
      <c r="CA7" s="132"/>
      <c r="CE7" s="132"/>
      <c r="CI7" s="132"/>
    </row>
    <row r="8" spans="1:112" ht="14.25" customHeight="1">
      <c r="A8"/>
      <c r="B8"/>
      <c r="C8"/>
      <c r="D8"/>
      <c r="E8" s="116"/>
      <c r="G8" s="484"/>
      <c r="H8" s="83">
        <v>2023</v>
      </c>
      <c r="BW8" s="584"/>
      <c r="BX8" s="127"/>
      <c r="BY8" s="127"/>
      <c r="CA8" s="584"/>
      <c r="CB8" s="127"/>
      <c r="CC8" s="127"/>
      <c r="CE8" s="584"/>
      <c r="CF8" s="127"/>
      <c r="CG8" s="127"/>
      <c r="CI8" s="584"/>
      <c r="CJ8" s="127"/>
      <c r="CK8" s="127"/>
      <c r="CW8" s="584"/>
      <c r="CX8" s="127"/>
      <c r="CY8" s="127"/>
    </row>
    <row r="9" spans="1:112" ht="3" customHeight="1">
      <c r="A9" s="90"/>
      <c r="B9" s="91"/>
      <c r="C9" s="91"/>
      <c r="D9" s="91"/>
      <c r="E9" s="117"/>
      <c r="Q9" s="92"/>
      <c r="U9" s="92"/>
      <c r="Y9" s="92"/>
      <c r="AC9" s="92"/>
      <c r="AF9" s="92"/>
      <c r="AJ9" s="92"/>
      <c r="AS9" s="92"/>
      <c r="AW9" s="92"/>
      <c r="BA9" s="92"/>
      <c r="BE9" s="92"/>
      <c r="BI9" s="92"/>
      <c r="BM9" s="92"/>
      <c r="BO9" s="654"/>
      <c r="BS9" s="92"/>
      <c r="BU9" s="838"/>
      <c r="BY9" s="92"/>
      <c r="CC9" s="92"/>
      <c r="CG9" s="92"/>
      <c r="CK9" s="92"/>
      <c r="CU9" s="838"/>
      <c r="CY9" s="92"/>
    </row>
    <row r="10" spans="1:112">
      <c r="A10" s="90"/>
      <c r="B10" s="91"/>
      <c r="C10" s="91"/>
      <c r="D10" s="91"/>
      <c r="G10" s="479" t="s">
        <v>732</v>
      </c>
      <c r="H10" s="583" t="s">
        <v>1166</v>
      </c>
      <c r="J10" s="119" t="s">
        <v>740</v>
      </c>
      <c r="K10" s="119" t="s">
        <v>740</v>
      </c>
      <c r="L10" s="119" t="s">
        <v>740</v>
      </c>
      <c r="M10" s="119" t="s">
        <v>740</v>
      </c>
      <c r="O10" s="119" t="s">
        <v>1271</v>
      </c>
      <c r="P10" s="119" t="s">
        <v>1166</v>
      </c>
      <c r="Q10" s="120" t="s">
        <v>1166</v>
      </c>
      <c r="S10" s="119" t="s">
        <v>1271</v>
      </c>
      <c r="T10" s="119" t="s">
        <v>1166</v>
      </c>
      <c r="U10" s="120" t="s">
        <v>1166</v>
      </c>
      <c r="W10" s="119" t="s">
        <v>1165</v>
      </c>
      <c r="X10" s="119" t="s">
        <v>1166</v>
      </c>
      <c r="Y10" s="120" t="s">
        <v>1166</v>
      </c>
      <c r="AA10" s="119" t="s">
        <v>1165</v>
      </c>
      <c r="AB10" s="119" t="s">
        <v>1166</v>
      </c>
      <c r="AC10" s="120" t="s">
        <v>1166</v>
      </c>
      <c r="AE10" s="119" t="s">
        <v>1271</v>
      </c>
      <c r="AF10" s="120" t="s">
        <v>1166</v>
      </c>
      <c r="AH10" s="482" t="s">
        <v>1387</v>
      </c>
      <c r="AI10" s="482" t="s">
        <v>1344</v>
      </c>
      <c r="AJ10" s="483" t="s">
        <v>1344</v>
      </c>
      <c r="AL10" s="482" t="s">
        <v>1165</v>
      </c>
      <c r="AM10" s="482" t="s">
        <v>1165</v>
      </c>
      <c r="AO10" s="493" t="s">
        <v>740</v>
      </c>
      <c r="AQ10" s="119" t="s">
        <v>1384</v>
      </c>
      <c r="AR10" s="119" t="s">
        <v>1344</v>
      </c>
      <c r="AS10" s="120" t="s">
        <v>1378</v>
      </c>
      <c r="AU10" s="119" t="s">
        <v>1366</v>
      </c>
      <c r="AV10" s="119" t="s">
        <v>1344</v>
      </c>
      <c r="AW10" s="120" t="s">
        <v>1378</v>
      </c>
      <c r="AY10" s="119" t="s">
        <v>1366</v>
      </c>
      <c r="AZ10" s="119" t="s">
        <v>1344</v>
      </c>
      <c r="BA10" s="120" t="s">
        <v>1378</v>
      </c>
      <c r="BC10" s="119" t="s">
        <v>1165</v>
      </c>
      <c r="BD10" s="119" t="s">
        <v>1344</v>
      </c>
      <c r="BE10" s="120" t="s">
        <v>1344</v>
      </c>
      <c r="BG10" s="482" t="s">
        <v>1387</v>
      </c>
      <c r="BH10" s="482" t="s">
        <v>1344</v>
      </c>
      <c r="BI10" s="483" t="s">
        <v>1344</v>
      </c>
      <c r="BK10" s="482" t="s">
        <v>1387</v>
      </c>
      <c r="BL10" s="482" t="s">
        <v>1344</v>
      </c>
      <c r="BM10" s="483" t="s">
        <v>1344</v>
      </c>
      <c r="BO10" s="549" t="s">
        <v>1167</v>
      </c>
      <c r="BQ10" s="119" t="s">
        <v>1387</v>
      </c>
      <c r="BR10" s="119" t="s">
        <v>1344</v>
      </c>
      <c r="BS10" s="120" t="s">
        <v>1344</v>
      </c>
      <c r="BU10" s="839" t="s">
        <v>1437</v>
      </c>
      <c r="BW10" s="119" t="s">
        <v>1387</v>
      </c>
      <c r="BX10" s="119" t="s">
        <v>1344</v>
      </c>
      <c r="BY10" s="120" t="s">
        <v>1344</v>
      </c>
      <c r="CA10" s="119" t="s">
        <v>1387</v>
      </c>
      <c r="CB10" s="119" t="s">
        <v>1344</v>
      </c>
      <c r="CC10" s="120" t="s">
        <v>1344</v>
      </c>
      <c r="CE10" s="119" t="s">
        <v>1387</v>
      </c>
      <c r="CF10" s="119" t="s">
        <v>1344</v>
      </c>
      <c r="CG10" s="120" t="s">
        <v>1344</v>
      </c>
      <c r="CI10" s="119" t="s">
        <v>1387</v>
      </c>
      <c r="CJ10" s="119" t="s">
        <v>1344</v>
      </c>
      <c r="CK10" s="120" t="s">
        <v>1344</v>
      </c>
      <c r="CM10" s="119" t="s">
        <v>1387</v>
      </c>
      <c r="CN10" s="119" t="s">
        <v>1344</v>
      </c>
      <c r="CO10" s="120" t="s">
        <v>1344</v>
      </c>
      <c r="CP10" s="95"/>
      <c r="CQ10" s="119" t="s">
        <v>1387</v>
      </c>
      <c r="CR10" s="119" t="s">
        <v>1344</v>
      </c>
      <c r="CS10" s="120" t="s">
        <v>1344</v>
      </c>
      <c r="CT10" s="95"/>
      <c r="CU10" s="839" t="s">
        <v>1437</v>
      </c>
      <c r="CW10" s="119" t="s">
        <v>1387</v>
      </c>
      <c r="CX10" s="119" t="s">
        <v>1344</v>
      </c>
      <c r="CY10" s="120" t="s">
        <v>1344</v>
      </c>
    </row>
    <row r="11" spans="1:112">
      <c r="A11" s="93"/>
      <c r="B11" s="91"/>
      <c r="C11" s="91"/>
      <c r="D11" s="91"/>
      <c r="E11" s="118" t="s">
        <v>1161</v>
      </c>
      <c r="G11" s="82" t="s">
        <v>1164</v>
      </c>
      <c r="H11" s="583" t="s">
        <v>1168</v>
      </c>
      <c r="J11" s="119" t="s">
        <v>1236</v>
      </c>
      <c r="K11" s="119" t="s">
        <v>1235</v>
      </c>
      <c r="L11" s="119" t="s">
        <v>1339</v>
      </c>
      <c r="M11" s="119" t="s">
        <v>1340</v>
      </c>
      <c r="O11" s="119" t="s">
        <v>1259</v>
      </c>
      <c r="P11" s="119" t="s">
        <v>1259</v>
      </c>
      <c r="Q11" s="120" t="s">
        <v>1169</v>
      </c>
      <c r="S11" s="119" t="s">
        <v>1261</v>
      </c>
      <c r="T11" s="119" t="s">
        <v>1261</v>
      </c>
      <c r="U11" s="120" t="s">
        <v>1169</v>
      </c>
      <c r="W11" s="119" t="s">
        <v>1263</v>
      </c>
      <c r="X11" s="119" t="s">
        <v>1263</v>
      </c>
      <c r="Y11" s="120" t="s">
        <v>1169</v>
      </c>
      <c r="AA11" s="119" t="s">
        <v>1778</v>
      </c>
      <c r="AB11" s="119" t="s">
        <v>1779</v>
      </c>
      <c r="AC11" s="120" t="s">
        <v>1169</v>
      </c>
      <c r="AE11" s="119" t="s">
        <v>1234</v>
      </c>
      <c r="AF11" s="120" t="s">
        <v>1169</v>
      </c>
      <c r="AH11" s="482" t="s">
        <v>1404</v>
      </c>
      <c r="AI11" s="482" t="s">
        <v>1404</v>
      </c>
      <c r="AJ11" s="483" t="s">
        <v>1169</v>
      </c>
      <c r="AL11" s="482" t="s">
        <v>1404</v>
      </c>
      <c r="AM11" s="482" t="s">
        <v>1409</v>
      </c>
      <c r="AO11" s="493" t="s">
        <v>1382</v>
      </c>
      <c r="AQ11" s="119" t="s">
        <v>1383</v>
      </c>
      <c r="AR11" s="119" t="s">
        <v>1352</v>
      </c>
      <c r="AS11" s="120" t="s">
        <v>1355</v>
      </c>
      <c r="AU11" s="119" t="s">
        <v>1385</v>
      </c>
      <c r="AV11" s="119" t="s">
        <v>1353</v>
      </c>
      <c r="AW11" s="120" t="s">
        <v>1355</v>
      </c>
      <c r="AY11" s="119" t="s">
        <v>1386</v>
      </c>
      <c r="AZ11" s="119" t="s">
        <v>1381</v>
      </c>
      <c r="BA11" s="120" t="s">
        <v>1355</v>
      </c>
      <c r="BC11" s="119" t="s">
        <v>1170</v>
      </c>
      <c r="BD11" s="119" t="s">
        <v>1170</v>
      </c>
      <c r="BE11" s="120" t="s">
        <v>1169</v>
      </c>
      <c r="BG11" s="482" t="s">
        <v>1729</v>
      </c>
      <c r="BH11" s="482" t="s">
        <v>1729</v>
      </c>
      <c r="BI11" s="483" t="s">
        <v>1169</v>
      </c>
      <c r="BK11" s="482" t="s">
        <v>1495</v>
      </c>
      <c r="BL11" s="482" t="s">
        <v>1495</v>
      </c>
      <c r="BM11" s="483" t="s">
        <v>1169</v>
      </c>
      <c r="BO11" s="549" t="s">
        <v>1449</v>
      </c>
      <c r="BQ11" s="119" t="s">
        <v>1191</v>
      </c>
      <c r="BR11" s="119" t="s">
        <v>1191</v>
      </c>
      <c r="BS11" s="120" t="s">
        <v>1169</v>
      </c>
      <c r="BU11" s="839" t="s">
        <v>1449</v>
      </c>
      <c r="BW11" s="119" t="s">
        <v>1191</v>
      </c>
      <c r="BX11" s="119" t="s">
        <v>1191</v>
      </c>
      <c r="BY11" s="120" t="s">
        <v>1169</v>
      </c>
      <c r="CA11" s="119" t="s">
        <v>1197</v>
      </c>
      <c r="CB11" s="119" t="s">
        <v>1197</v>
      </c>
      <c r="CC11" s="120" t="s">
        <v>1169</v>
      </c>
      <c r="CE11" s="119" t="s">
        <v>1348</v>
      </c>
      <c r="CF11" s="119" t="s">
        <v>1348</v>
      </c>
      <c r="CG11" s="120" t="s">
        <v>1169</v>
      </c>
      <c r="CI11" s="119" t="s">
        <v>1397</v>
      </c>
      <c r="CJ11" s="119" t="s">
        <v>1397</v>
      </c>
      <c r="CK11" s="120" t="s">
        <v>1169</v>
      </c>
      <c r="CM11" s="119" t="s">
        <v>1579</v>
      </c>
      <c r="CN11" s="119" t="s">
        <v>1579</v>
      </c>
      <c r="CO11" s="120" t="s">
        <v>1169</v>
      </c>
      <c r="CP11" s="95"/>
      <c r="CQ11" s="119" t="s">
        <v>1686</v>
      </c>
      <c r="CR11" s="119" t="s">
        <v>1686</v>
      </c>
      <c r="CS11" s="120" t="s">
        <v>1169</v>
      </c>
      <c r="CT11" s="95"/>
      <c r="CU11" s="839" t="s">
        <v>1438</v>
      </c>
      <c r="CW11" s="119" t="s">
        <v>1397</v>
      </c>
      <c r="CX11" s="119" t="s">
        <v>1397</v>
      </c>
      <c r="CY11" s="120" t="s">
        <v>1169</v>
      </c>
    </row>
    <row r="12" spans="1:112">
      <c r="A12" s="93"/>
      <c r="B12" s="91"/>
      <c r="C12" s="91"/>
      <c r="D12" s="91"/>
      <c r="G12" s="94" t="s">
        <v>1074</v>
      </c>
      <c r="H12" s="95"/>
      <c r="J12" s="95"/>
      <c r="K12" s="95"/>
      <c r="L12" s="95"/>
      <c r="M12" s="95"/>
      <c r="O12" s="95"/>
      <c r="P12" s="95"/>
      <c r="Q12" s="96"/>
      <c r="S12" s="95"/>
      <c r="T12" s="95"/>
      <c r="U12" s="96"/>
      <c r="W12" s="95"/>
      <c r="X12" s="95"/>
      <c r="Y12" s="96"/>
      <c r="AA12" s="95"/>
      <c r="AB12" s="95"/>
      <c r="AC12" s="96"/>
      <c r="AE12" s="95"/>
      <c r="AF12" s="96"/>
      <c r="AH12" s="95"/>
      <c r="AI12" s="95"/>
      <c r="AJ12" s="96"/>
      <c r="AL12" s="95"/>
      <c r="AM12" s="95"/>
      <c r="AO12" s="95"/>
      <c r="AQ12" s="95"/>
      <c r="AR12" s="95"/>
      <c r="AS12" s="96"/>
      <c r="AU12" s="95"/>
      <c r="AV12" s="95"/>
      <c r="AW12" s="96"/>
      <c r="AY12" s="95"/>
      <c r="AZ12" s="95"/>
      <c r="BA12" s="96"/>
      <c r="BC12" s="95"/>
      <c r="BD12" s="95"/>
      <c r="BE12" s="96"/>
      <c r="BG12" s="95"/>
      <c r="BH12" s="95"/>
      <c r="BI12" s="96"/>
      <c r="BK12" s="95"/>
      <c r="BL12" s="95"/>
      <c r="BM12" s="96"/>
      <c r="BO12" s="655"/>
      <c r="BQ12" s="95"/>
      <c r="BR12" s="95"/>
      <c r="BS12" s="96"/>
      <c r="BU12" s="840"/>
      <c r="BW12" s="95"/>
      <c r="BX12" s="95"/>
      <c r="BY12" s="96"/>
      <c r="CA12" s="95"/>
      <c r="CB12" s="95"/>
      <c r="CC12" s="96"/>
      <c r="CE12" s="95"/>
      <c r="CF12" s="95"/>
      <c r="CG12" s="96"/>
      <c r="CI12" s="95"/>
      <c r="CJ12" s="95"/>
      <c r="CK12" s="96"/>
      <c r="CM12" s="95"/>
      <c r="CN12" s="95"/>
      <c r="CO12" s="96"/>
      <c r="CP12" s="1176"/>
      <c r="CQ12" s="95"/>
      <c r="CR12" s="95"/>
      <c r="CS12" s="96"/>
      <c r="CT12" s="1176"/>
      <c r="CU12" s="840"/>
      <c r="CW12" s="95"/>
      <c r="CX12" s="95"/>
      <c r="CY12" s="96"/>
    </row>
    <row r="13" spans="1:112">
      <c r="A13" s="89"/>
      <c r="B13" s="97"/>
      <c r="C13" s="97"/>
      <c r="D13" s="97"/>
      <c r="E13" s="118" t="s">
        <v>1171</v>
      </c>
      <c r="G13" s="89" t="s">
        <v>900</v>
      </c>
      <c r="H13" s="98">
        <f>'Income Statement'!$W$5</f>
        <v>7439</v>
      </c>
      <c r="J13" s="98" t="e">
        <f>#REF!</f>
        <v>#REF!</v>
      </c>
      <c r="K13" s="98" t="e">
        <f>#REF!</f>
        <v>#REF!</v>
      </c>
      <c r="L13" s="98" t="e">
        <f>#REF!</f>
        <v>#REF!</v>
      </c>
      <c r="M13" s="98">
        <f>'Income Statement'!$X$5</f>
        <v>9506</v>
      </c>
      <c r="O13" s="98" t="s">
        <v>1267</v>
      </c>
      <c r="P13" s="98" t="e">
        <f>#REF!</f>
        <v>#REF!</v>
      </c>
      <c r="Q13" s="99" t="s">
        <v>1267</v>
      </c>
      <c r="S13" s="98">
        <f ca="1">_xll.VisibleAlpha.UDF.VAData($C$2,S$6,$E13,$E$11,"CD","IMPL",$C$6)</f>
        <v>2234</v>
      </c>
      <c r="T13" s="98" t="e">
        <f>#REF!</f>
        <v>#REF!</v>
      </c>
      <c r="U13" s="99" t="e">
        <f ca="1">T13/S13-1</f>
        <v>#REF!</v>
      </c>
      <c r="W13" s="98">
        <f ca="1">_xll.VisibleAlpha.UDF.VAData($C$2,W$6,$E13,$E$11,"CD","IMPL",$C$6)</f>
        <v>2503</v>
      </c>
      <c r="X13" s="98" t="e">
        <f>#REF!</f>
        <v>#REF!</v>
      </c>
      <c r="Y13" s="99" t="e">
        <f ca="1">X13/W13-1</f>
        <v>#REF!</v>
      </c>
      <c r="AA13" s="98">
        <f ca="1">_xll.VisibleAlpha.UDF.VAData($C$2,AA$6,$E13,$E$11,"CD","IMPL",$C$6)</f>
        <v>4226.5334686768865</v>
      </c>
      <c r="AB13" s="98">
        <f>'Interim (New)'!DO6</f>
        <v>4249.3770604247129</v>
      </c>
      <c r="AC13" s="99">
        <f ca="1">AB13/AA13-1</f>
        <v>5.4048055970978837E-3</v>
      </c>
      <c r="AE13" s="98" t="s">
        <v>1267</v>
      </c>
      <c r="AF13" s="99" t="s">
        <v>1267</v>
      </c>
      <c r="AH13" s="98">
        <f ca="1">_xll.VisibleAlpha.UDF.VAData($C$2,AH$6,$E13,$E$11,"CD","IMPL",$C$6)</f>
        <v>6461</v>
      </c>
      <c r="AI13" s="98" t="e">
        <f>#REF!</f>
        <v>#REF!</v>
      </c>
      <c r="AJ13" s="99" t="e">
        <f ca="1">AI13/AH13-1</f>
        <v>#REF!</v>
      </c>
      <c r="AL13" s="98">
        <f ca="1">_xll.VisibleAlpha.UDF.VAData($C$2,AL$6,$E13,$E$11,"CD","IMPL",$C$6)</f>
        <v>6461</v>
      </c>
      <c r="AM13" s="98">
        <f ca="1">_xll.VisibleAlpha.UDF.VAData($C$2,AM$6,$E13,$E$11,"CD","IMPL",$C$6)</f>
        <v>3364</v>
      </c>
      <c r="AO13" s="98">
        <v>8760</v>
      </c>
      <c r="AQ13" s="98">
        <f>AU13-AO13</f>
        <v>3195</v>
      </c>
      <c r="AR13" s="98" t="e">
        <f>#REF!</f>
        <v>#REF!</v>
      </c>
      <c r="AS13" s="99" t="e">
        <f>AR13/AQ13-1</f>
        <v>#REF!</v>
      </c>
      <c r="AU13" s="98">
        <v>11955</v>
      </c>
      <c r="AV13" s="98">
        <f>'Income Statement'!$Y$5</f>
        <v>11876</v>
      </c>
      <c r="AW13" s="99">
        <f>AV13/AU13-1</f>
        <v>-6.6081137599330875E-3</v>
      </c>
      <c r="AY13" s="98">
        <v>13754</v>
      </c>
      <c r="AZ13" s="98">
        <f>'Income Statement'!$Z$5</f>
        <v>13652</v>
      </c>
      <c r="BA13" s="99">
        <f>AZ13/AY13-1</f>
        <v>-7.4160244292569288E-3</v>
      </c>
      <c r="BC13" s="98">
        <f ca="1">_xll.VisibleAlpha.UDF.VAData($C$2,BC$6,$E13,$E$11,"CD","IMPL",$C$6)</f>
        <v>11867.519008467336</v>
      </c>
      <c r="BD13" s="98">
        <f>'Income Statement'!$Y$5</f>
        <v>11876</v>
      </c>
      <c r="BE13" s="99">
        <f ca="1">BD13/BC13-1</f>
        <v>7.1463896764045742E-4</v>
      </c>
      <c r="BG13" s="98">
        <f ca="1">_xll.VisibleAlpha.UDF.VAData($C$2,BG$6,$E13,$E$11,"CD","IMPL",$C$6)</f>
        <v>4044</v>
      </c>
      <c r="BH13" s="98">
        <f>'Interim (New)'!DM6</f>
        <v>4044</v>
      </c>
      <c r="BI13" s="99">
        <f ca="1">BH13/BG13-1</f>
        <v>0</v>
      </c>
      <c r="BK13" s="98">
        <f ca="1">_xll.VisibleAlpha.UDF.VAData($C$2,BK$6,$E13,$E$11,"CD","IMPL",$C$6)</f>
        <v>7541</v>
      </c>
      <c r="BL13" s="98" t="e">
        <f>#REF!</f>
        <v>#REF!</v>
      </c>
      <c r="BM13" s="99" t="e">
        <f ca="1">BL13/BK13-1</f>
        <v>#REF!</v>
      </c>
      <c r="BO13" s="655"/>
      <c r="BQ13" s="98">
        <f ca="1">_xll.VisibleAlpha.UDF.VAData($C$2,BQ$6,$E13,$E$11,"CD","IMPL",$C$6)</f>
        <v>15618.91530954966</v>
      </c>
      <c r="BR13" s="98">
        <f>'Income Statement'!$AA$5</f>
        <v>15834.377060424713</v>
      </c>
      <c r="BS13" s="99">
        <f ca="1">BR13/BQ13-1</f>
        <v>1.3794924077942472E-2</v>
      </c>
      <c r="BU13" s="840"/>
      <c r="BW13" s="98">
        <f ca="1">_xll.VisibleAlpha.UDF.VAData($C$2,BW$6,$E13,$E$11,"CD","IMPL",$C$6)</f>
        <v>15618.91530954966</v>
      </c>
      <c r="BX13" s="98">
        <f>'Income Statement'!$AA$5</f>
        <v>15834.377060424713</v>
      </c>
      <c r="BY13" s="99">
        <f ca="1">BX13/BW13-1</f>
        <v>1.3794924077942472E-2</v>
      </c>
      <c r="CA13" s="98">
        <f ca="1">_xll.VisibleAlpha.UDF.VAData($C$2,CA$6,$E13,$E$11,"CD","IMPL",$C$6)</f>
        <v>17463.112447391468</v>
      </c>
      <c r="CB13" s="98">
        <f>'Income Statement'!$AB$5</f>
        <v>17806.596817035024</v>
      </c>
      <c r="CC13" s="99">
        <f ca="1">CB13/CA13-1</f>
        <v>1.9669138057624158E-2</v>
      </c>
      <c r="CE13" s="98">
        <f ca="1">_xll.VisibleAlpha.UDF.VAData($C$2,CE$6,$E13,$E$11,"CD","IMPL",$C$6)</f>
        <v>19132.943586196237</v>
      </c>
      <c r="CF13" s="98">
        <f>'Income Statement'!$AC$5</f>
        <v>19932.222204194346</v>
      </c>
      <c r="CG13" s="99">
        <f ca="1">CF13/CE13-1</f>
        <v>4.1774994756936357E-2</v>
      </c>
      <c r="CI13" s="98">
        <f ca="1">_xll.VisibleAlpha.UDF.VAData($C$2,CI$6,$E13,$E$11,"CD","IMPL",$C$6)</f>
        <v>20657.02440084768</v>
      </c>
      <c r="CJ13" s="98">
        <f>'Income Statement'!$AD$5</f>
        <v>21615.123364652041</v>
      </c>
      <c r="CK13" s="99">
        <f ca="1">CJ13/CI13-1</f>
        <v>4.6381266982723934E-2</v>
      </c>
      <c r="CM13" s="98">
        <f ca="1">_xll.VisibleAlpha.UDF.VAData($C$2,CM$6,$E13,$E$11,"CD","IMPL",$C$6)</f>
        <v>21727.908710846066</v>
      </c>
      <c r="CN13" s="98">
        <f>'Income Statement'!$AE$5</f>
        <v>22915.426191351562</v>
      </c>
      <c r="CO13" s="99">
        <f ca="1">CN13/CM13-1</f>
        <v>5.4654016468355104E-2</v>
      </c>
      <c r="CP13" s="1177"/>
      <c r="CQ13" s="98">
        <f ca="1">_xll.VisibleAlpha.UDF.VAData($C$2,CQ$6,$E13,$E$11,"CD","IMPL",$C$6)</f>
        <v>23076.062038850909</v>
      </c>
      <c r="CR13" s="98">
        <f>'Income Statement'!$AF$5</f>
        <v>24191.628720664365</v>
      </c>
      <c r="CS13" s="99">
        <f ca="1">CR13/CQ13-1</f>
        <v>4.83430266366629E-2</v>
      </c>
      <c r="CT13" s="1177"/>
      <c r="CU13" s="840"/>
      <c r="CW13" s="98">
        <f ca="1">_xll.VisibleAlpha.UDF.VAData($C$2,CW$6,$E13,$E$11,"CD","IMPL",$C$6)</f>
        <v>21727.908710846066</v>
      </c>
      <c r="CX13" s="98">
        <f>'Income Statement'!$AE$5</f>
        <v>22915.426191351562</v>
      </c>
      <c r="CY13" s="99">
        <f ca="1">CX13/CW13-1</f>
        <v>5.4654016468355104E-2</v>
      </c>
    </row>
    <row r="14" spans="1:112" ht="12" customHeight="1">
      <c r="A14" s="89"/>
      <c r="B14" s="97"/>
      <c r="C14" s="97"/>
      <c r="D14" s="97"/>
      <c r="E14" s="118" t="s">
        <v>1173</v>
      </c>
      <c r="G14" s="89" t="s">
        <v>1572</v>
      </c>
      <c r="H14" s="98">
        <f>'Income Statement'!$W$6</f>
        <v>6325</v>
      </c>
      <c r="J14" s="98" t="e">
        <f>#REF!</f>
        <v>#REF!</v>
      </c>
      <c r="K14" s="98" t="e">
        <f>#REF!</f>
        <v>#REF!</v>
      </c>
      <c r="L14" s="98" t="e">
        <f>#REF!</f>
        <v>#REF!</v>
      </c>
      <c r="M14" s="98">
        <f>'Income Statement'!$X$6</f>
        <v>7535</v>
      </c>
      <c r="O14" s="98" t="s">
        <v>1267</v>
      </c>
      <c r="P14" s="98" t="e">
        <f>#REF!</f>
        <v>#REF!</v>
      </c>
      <c r="Q14" s="99" t="s">
        <v>1267</v>
      </c>
      <c r="S14" s="98">
        <f ca="1">_xll.VisibleAlpha.UDF.VAData($C$2,S$6,$E14,$E$11,"CD","IMPL",$C$6)</f>
        <v>1790</v>
      </c>
      <c r="T14" s="98" t="e">
        <f>#REF!</f>
        <v>#REF!</v>
      </c>
      <c r="U14" s="99" t="e">
        <f t="shared" ref="U14:U16" ca="1" si="0">T14/S14-1</f>
        <v>#REF!</v>
      </c>
      <c r="W14" s="98">
        <f ca="1">_xll.VisibleAlpha.UDF.VAData($C$2,W$6,$E14,$E$11,"CD","IMPL",$C$6)</f>
        <v>1820</v>
      </c>
      <c r="X14" s="98" t="e">
        <f>#REF!</f>
        <v>#REF!</v>
      </c>
      <c r="Y14" s="99" t="e">
        <f t="shared" ref="Y14:Y16" ca="1" si="1">X14/W14-1</f>
        <v>#REF!</v>
      </c>
      <c r="AA14" s="98">
        <f ca="1">_xll.VisibleAlpha.UDF.VAData($C$2,AA$6,$E14,$E$11,"CD","IMPL",$C$6)</f>
        <v>3530.2333960045335</v>
      </c>
      <c r="AB14" s="98">
        <f>'Interim (New)'!DO10</f>
        <v>3675.3315548582905</v>
      </c>
      <c r="AC14" s="99">
        <f t="shared" ref="AC14:AC16" ca="1" si="2">AB14/AA14-1</f>
        <v>4.1101576745032453E-2</v>
      </c>
      <c r="AE14" s="98" t="s">
        <v>1267</v>
      </c>
      <c r="AF14" s="99" t="s">
        <v>1267</v>
      </c>
      <c r="AH14" s="98">
        <f ca="1">_xll.VisibleAlpha.UDF.VAData($C$2,AH$6,$E14,$E$11,"CD","IMPL",$C$6)</f>
        <v>5170</v>
      </c>
      <c r="AI14" s="98" t="e">
        <f>#REF!</f>
        <v>#REF!</v>
      </c>
      <c r="AJ14" s="99" t="e">
        <f t="shared" ref="AJ14:AJ16" ca="1" si="3">AI14/AH14-1</f>
        <v>#REF!</v>
      </c>
      <c r="AL14" s="98">
        <f ca="1">_xll.VisibleAlpha.UDF.VAData($C$2,AL$6,$E14,$E$11,"CD","IMPL",$C$6)</f>
        <v>5170</v>
      </c>
      <c r="AM14" s="98">
        <f ca="1">_xll.VisibleAlpha.UDF.VAData($C$2,AM$6,$E14,$E$11,"CD","IMPL",$C$6)</f>
        <v>2726</v>
      </c>
      <c r="AO14" s="98">
        <v>6234</v>
      </c>
      <c r="AQ14" s="98">
        <f>AU14-AO14</f>
        <v>2557</v>
      </c>
      <c r="AR14" s="98" t="e">
        <f>#REF!</f>
        <v>#REF!</v>
      </c>
      <c r="AS14" s="99" t="e">
        <f>AR14/AQ14-1</f>
        <v>#REF!</v>
      </c>
      <c r="AU14" s="98">
        <v>8791</v>
      </c>
      <c r="AV14" s="98">
        <f>'Income Statement'!$Y$6</f>
        <v>8835</v>
      </c>
      <c r="AW14" s="99">
        <f>AV14/AU14-1</f>
        <v>5.0051188715731776E-3</v>
      </c>
      <c r="AY14" s="98">
        <v>9911</v>
      </c>
      <c r="AZ14" s="98">
        <f>'Income Statement'!$Z$6</f>
        <v>10618</v>
      </c>
      <c r="BA14" s="99">
        <f>AZ14/AY14-1</f>
        <v>7.1334880435879322E-2</v>
      </c>
      <c r="BC14" s="98">
        <f ca="1">_xll.VisibleAlpha.UDF.VAData($C$2,BC$6,$E14,$E$11,"CD","IMPL",$C$6)</f>
        <v>8835</v>
      </c>
      <c r="BD14" s="98">
        <f>'Income Statement'!$Y$6</f>
        <v>8835</v>
      </c>
      <c r="BE14" s="99">
        <f t="shared" ref="BE14:BE16" ca="1" si="4">BD14/BC14-1</f>
        <v>0</v>
      </c>
      <c r="BG14" s="98">
        <f ca="1">_xll.VisibleAlpha.UDF.VAData($C$2,BG$6,$E14,$E$11,"CD","IMPL",$C$6)</f>
        <v>3004</v>
      </c>
      <c r="BH14" s="98">
        <f>'Interim (New)'!DM10</f>
        <v>3004</v>
      </c>
      <c r="BI14" s="99">
        <f ca="1">BH14/BG14-1</f>
        <v>0</v>
      </c>
      <c r="BK14" s="98">
        <f ca="1">_xll.VisibleAlpha.UDF.VAData($C$2,BK$6,$E14,$E$11,"CD","IMPL",$C$6)</f>
        <v>5609</v>
      </c>
      <c r="BL14" s="98" t="e">
        <f>#REF!</f>
        <v>#REF!</v>
      </c>
      <c r="BM14" s="99" t="e">
        <f t="shared" ref="BM14:BM16" ca="1" si="5">BL14/BK14-1</f>
        <v>#REF!</v>
      </c>
      <c r="BO14" s="655"/>
      <c r="BQ14" s="98">
        <f ca="1">_xll.VisibleAlpha.UDF.VAData($C$2,BQ$6,$E14,$E$11,"CD","IMPL",$C$6)</f>
        <v>12219.9116005137</v>
      </c>
      <c r="BR14" s="98">
        <f>'Income Statement'!$AA$6</f>
        <v>12288.33155485829</v>
      </c>
      <c r="BS14" s="99">
        <f t="shared" ref="BS14:BS16" ca="1" si="6">BR14/BQ14-1</f>
        <v>5.5990547707165383E-3</v>
      </c>
      <c r="BU14" s="840"/>
      <c r="BW14" s="98">
        <f ca="1">_xll.VisibleAlpha.UDF.VAData($C$2,BW$6,$E14,$E$11,"CD","IMPL",$C$6)</f>
        <v>12219.9116005137</v>
      </c>
      <c r="BX14" s="98">
        <f>'Income Statement'!$AA$6</f>
        <v>12288.33155485829</v>
      </c>
      <c r="BY14" s="99">
        <f t="shared" ref="BY14:BY16" ca="1" si="7">BX14/BW14-1</f>
        <v>5.5990547707165383E-3</v>
      </c>
      <c r="CA14" s="98">
        <f ca="1">_xll.VisibleAlpha.UDF.VAData($C$2,CA$6,$E14,$E$11,"CD","IMPL",$C$6)</f>
        <v>13995.578676224906</v>
      </c>
      <c r="CB14" s="98">
        <f>'Income Statement'!$AB$6</f>
        <v>14054.009960512189</v>
      </c>
      <c r="CC14" s="99">
        <f t="shared" ref="CC14:CC16" ca="1" si="8">CB14/CA14-1</f>
        <v>4.1749816594967015E-3</v>
      </c>
      <c r="CE14" s="98">
        <f ca="1">_xll.VisibleAlpha.UDF.VAData($C$2,CE$6,$E14,$E$11,"CD","IMPL",$C$6)</f>
        <v>15210.590647255944</v>
      </c>
      <c r="CF14" s="98">
        <f>'Income Statement'!$AC$6</f>
        <v>15155.733002753315</v>
      </c>
      <c r="CG14" s="99">
        <f t="shared" ref="CG14:CG16" ca="1" si="9">CF14/CE14-1</f>
        <v>-3.6065426895519614E-3</v>
      </c>
      <c r="CI14" s="98">
        <f ca="1">_xll.VisibleAlpha.UDF.VAData($C$2,CI$6,$E14,$E$11,"CD","IMPL",$C$6)</f>
        <v>16369.176576096957</v>
      </c>
      <c r="CJ14" s="98">
        <f>'Income Statement'!$AD$6</f>
        <v>16185.1078488444</v>
      </c>
      <c r="CK14" s="99">
        <f t="shared" ref="CK14:CK16" ca="1" si="10">CJ14/CI14-1</f>
        <v>-1.1244837295074639E-2</v>
      </c>
      <c r="CM14" s="98">
        <f ca="1">_xll.VisibleAlpha.UDF.VAData($C$2,CM$6,$E14,$E$11,"CD","IMPL",$C$6)</f>
        <v>17089.382822240153</v>
      </c>
      <c r="CN14" s="98">
        <f>'Income Statement'!$AE$6</f>
        <v>17078.607862393696</v>
      </c>
      <c r="CO14" s="99">
        <f t="shared" ref="CO14:CO16" ca="1" si="11">CN14/CM14-1</f>
        <v>-6.3050608430603727E-4</v>
      </c>
      <c r="CP14" s="1177"/>
      <c r="CQ14" s="98">
        <f ca="1">_xll.VisibleAlpha.UDF.VAData($C$2,CQ$6,$E14,$E$11,"CD","IMPL",$C$6)</f>
        <v>18046.98133746468</v>
      </c>
      <c r="CR14" s="98">
        <f>'Income Statement'!$AF$6</f>
        <v>17837.765981105636</v>
      </c>
      <c r="CS14" s="99">
        <f t="shared" ref="CS14:CS16" ca="1" si="12">CR14/CQ14-1</f>
        <v>-1.1592817238898712E-2</v>
      </c>
      <c r="CT14" s="1177"/>
      <c r="CU14" s="840"/>
      <c r="CW14" s="98">
        <f ca="1">_xll.VisibleAlpha.UDF.VAData($C$2,CW$6,$E14,$E$11,"CD","IMPL",$C$6)</f>
        <v>17089.382822240153</v>
      </c>
      <c r="CX14" s="98">
        <f>'Income Statement'!$AE$6</f>
        <v>17078.607862393696</v>
      </c>
      <c r="CY14" s="99">
        <f t="shared" ref="CY14:CY16" ca="1" si="13">CX14/CW14-1</f>
        <v>-6.3050608430603727E-4</v>
      </c>
    </row>
    <row r="15" spans="1:112">
      <c r="A15" s="89"/>
      <c r="B15" s="97"/>
      <c r="C15" s="97"/>
      <c r="D15" s="97"/>
      <c r="E15" s="118" t="s">
        <v>1175</v>
      </c>
      <c r="G15" s="89" t="s">
        <v>1093</v>
      </c>
      <c r="H15" s="98">
        <f>'Income Statement'!$W$7</f>
        <v>1475</v>
      </c>
      <c r="J15" s="98" t="e">
        <f>#REF!</f>
        <v>#REF!</v>
      </c>
      <c r="K15" s="98" t="e">
        <f>#REF!</f>
        <v>#REF!</v>
      </c>
      <c r="L15" s="98" t="e">
        <f>#REF!</f>
        <v>#REF!</v>
      </c>
      <c r="M15" s="98">
        <f>'Income Statement'!$X$7</f>
        <v>1978</v>
      </c>
      <c r="O15" s="98" t="s">
        <v>1267</v>
      </c>
      <c r="P15" s="98" t="e">
        <f>#REF!</f>
        <v>#REF!</v>
      </c>
      <c r="Q15" s="99" t="s">
        <v>1267</v>
      </c>
      <c r="S15" s="98">
        <f ca="1">_xll.VisibleAlpha.UDF.VAData($C$2,S$6,$E15,$E$11,"CD","IMPL",$C$6)</f>
        <v>461</v>
      </c>
      <c r="T15" s="98" t="e">
        <f>#REF!</f>
        <v>#REF!</v>
      </c>
      <c r="U15" s="99" t="e">
        <f t="shared" ca="1" si="0"/>
        <v>#REF!</v>
      </c>
      <c r="W15" s="98">
        <f ca="1">_xll.VisibleAlpha.UDF.VAData($C$2,W$6,$E15,$E$11,"CD","IMPL",$C$6)</f>
        <v>522</v>
      </c>
      <c r="X15" s="98" t="e">
        <f>#REF!</f>
        <v>#REF!</v>
      </c>
      <c r="Y15" s="99" t="e">
        <f t="shared" ca="1" si="1"/>
        <v>#REF!</v>
      </c>
      <c r="AA15" s="98">
        <f ca="1">_xll.VisibleAlpha.UDF.VAData($C$2,AA$6,$E15,$E$11,"CD","IMPL",$C$6)</f>
        <v>946.90188185406282</v>
      </c>
      <c r="AB15" s="98">
        <f>'Interim (New)'!DO11</f>
        <v>1005.8600000000001</v>
      </c>
      <c r="AC15" s="99">
        <f t="shared" ca="1" si="2"/>
        <v>6.2264231675720705E-2</v>
      </c>
      <c r="AE15" s="98" t="s">
        <v>1267</v>
      </c>
      <c r="AF15" s="99" t="s">
        <v>1267</v>
      </c>
      <c r="AH15" s="98">
        <f ca="1">_xll.VisibleAlpha.UDF.VAData($C$2,AH$6,$E15,$E$11,"CD","IMPL",$C$6)</f>
        <v>1411</v>
      </c>
      <c r="AI15" s="98" t="e">
        <f>#REF!</f>
        <v>#REF!</v>
      </c>
      <c r="AJ15" s="99" t="e">
        <f t="shared" ca="1" si="3"/>
        <v>#REF!</v>
      </c>
      <c r="AL15" s="98">
        <f ca="1">_xll.VisibleAlpha.UDF.VAData($C$2,AL$6,$E15,$E$11,"CD","IMPL",$C$6)</f>
        <v>1411</v>
      </c>
      <c r="AM15" s="98">
        <f ca="1">_xll.VisibleAlpha.UDF.VAData($C$2,AM$6,$E15,$E$11,"CD","IMPL",$C$6)</f>
        <v>735</v>
      </c>
      <c r="AO15" s="98">
        <v>1768</v>
      </c>
      <c r="AQ15" s="98">
        <f>AU15-AO15</f>
        <v>702</v>
      </c>
      <c r="AR15" s="98" t="e">
        <f>#REF!</f>
        <v>#REF!</v>
      </c>
      <c r="AS15" s="99" t="e">
        <f>AR15/AQ15-1</f>
        <v>#REF!</v>
      </c>
      <c r="AU15" s="98">
        <v>2470</v>
      </c>
      <c r="AV15" s="98">
        <f>'Income Statement'!$Y$7</f>
        <v>2477</v>
      </c>
      <c r="AW15" s="99">
        <f>AV15/AU15-1</f>
        <v>2.834008097166052E-3</v>
      </c>
      <c r="AY15" s="98">
        <v>2923</v>
      </c>
      <c r="AZ15" s="98">
        <f>'Income Statement'!$Z$7</f>
        <v>3037</v>
      </c>
      <c r="BA15" s="99">
        <f>AZ15/AY15-1</f>
        <v>3.900102634279845E-2</v>
      </c>
      <c r="BC15" s="98">
        <f ca="1">_xll.VisibleAlpha.UDF.VAData($C$2,BC$6,$E15,$E$11,"CD","IMPL",$C$6)</f>
        <v>2477</v>
      </c>
      <c r="BD15" s="98">
        <f>'Income Statement'!$Y$7</f>
        <v>2477</v>
      </c>
      <c r="BE15" s="99">
        <f t="shared" ca="1" si="4"/>
        <v>0</v>
      </c>
      <c r="BG15" s="98">
        <f ca="1">_xll.VisibleAlpha.UDF.VAData($C$2,BG$6,$E15,$E$11,"CD","IMPL",$C$6)</f>
        <v>802</v>
      </c>
      <c r="BH15" s="98">
        <f>'Interim (New)'!DM11</f>
        <v>802</v>
      </c>
      <c r="BI15" s="99">
        <f ca="1">BH15/BG15-1</f>
        <v>0</v>
      </c>
      <c r="BK15" s="98">
        <f ca="1">_xll.VisibleAlpha.UDF.VAData($C$2,BK$6,$E15,$E$11,"CD","IMPL",$C$6)</f>
        <v>1616</v>
      </c>
      <c r="BL15" s="98" t="e">
        <f>#REF!</f>
        <v>#REF!</v>
      </c>
      <c r="BM15" s="99" t="e">
        <f t="shared" ca="1" si="5"/>
        <v>#REF!</v>
      </c>
      <c r="BO15" s="655"/>
      <c r="BQ15" s="98">
        <f ca="1">_xll.VisibleAlpha.UDF.VAData($C$2,BQ$6,$E15,$E$11,"CD","IMPL",$C$6)</f>
        <v>3415.3039489938528</v>
      </c>
      <c r="BR15" s="98">
        <f>'Income Statement'!$AA$7</f>
        <v>3423.86</v>
      </c>
      <c r="BS15" s="99">
        <f t="shared" ca="1" si="6"/>
        <v>2.5052092387467528E-3</v>
      </c>
      <c r="BU15" s="840"/>
      <c r="BW15" s="98">
        <f ca="1">_xll.VisibleAlpha.UDF.VAData($C$2,BW$6,$E15,$E$11,"CD","IMPL",$C$6)</f>
        <v>3415.3039489938528</v>
      </c>
      <c r="BX15" s="98">
        <f>'Income Statement'!$AA$7</f>
        <v>3423.86</v>
      </c>
      <c r="BY15" s="99">
        <f t="shared" ca="1" si="7"/>
        <v>2.5052092387467528E-3</v>
      </c>
      <c r="CA15" s="98">
        <f ca="1">_xll.VisibleAlpha.UDF.VAData($C$2,CA$6,$E15,$E$11,"CD","IMPL",$C$6)</f>
        <v>3773.0980319597852</v>
      </c>
      <c r="CB15" s="98">
        <f>'Income Statement'!$AB$7</f>
        <v>3783.125</v>
      </c>
      <c r="CC15" s="99">
        <f t="shared" ca="1" si="8"/>
        <v>2.6574894040074515E-3</v>
      </c>
      <c r="CE15" s="98">
        <f ca="1">_xll.VisibleAlpha.UDF.VAData($C$2,CE$6,$E15,$E$11,"CD","IMPL",$C$6)</f>
        <v>4114.4750136388284</v>
      </c>
      <c r="CF15" s="98">
        <f>'Income Statement'!$AC$7</f>
        <v>4134.5880820000002</v>
      </c>
      <c r="CG15" s="99">
        <f t="shared" ca="1" si="9"/>
        <v>4.8883680893674342E-3</v>
      </c>
      <c r="CI15" s="98">
        <f ca="1">_xll.VisibleAlpha.UDF.VAData($C$2,CI$6,$E15,$E$11,"CD","IMPL",$C$6)</f>
        <v>4415.4055075786046</v>
      </c>
      <c r="CJ15" s="98">
        <f>'Income Statement'!$AD$7</f>
        <v>4471.8616129800002</v>
      </c>
      <c r="CK15" s="99">
        <f t="shared" ca="1" si="10"/>
        <v>1.2786165461925236E-2</v>
      </c>
      <c r="CM15" s="98">
        <f ca="1">_xll.VisibleAlpha.UDF.VAData($C$2,CM$6,$E15,$E$11,"CD","IMPL",$C$6)</f>
        <v>4587.026297153735</v>
      </c>
      <c r="CN15" s="98">
        <f>'Income Statement'!$AE$7</f>
        <v>4616.6169190049995</v>
      </c>
      <c r="CO15" s="99">
        <f t="shared" ca="1" si="11"/>
        <v>6.4509379136599154E-3</v>
      </c>
      <c r="CP15" s="1177"/>
      <c r="CQ15" s="98">
        <f ca="1">_xll.VisibleAlpha.UDF.VAData($C$2,CQ$6,$E15,$E$11,"CD","IMPL",$C$6)</f>
        <v>4758.424652271945</v>
      </c>
      <c r="CR15" s="98">
        <f>'Income Statement'!$AF$7</f>
        <v>4747.6719090208799</v>
      </c>
      <c r="CS15" s="99">
        <f t="shared" ca="1" si="12"/>
        <v>-2.2597275436380126E-3</v>
      </c>
      <c r="CT15" s="1177"/>
      <c r="CU15" s="840"/>
      <c r="CW15" s="98">
        <f ca="1">_xll.VisibleAlpha.UDF.VAData($C$2,CW$6,$E15,$E$11,"CD","IMPL",$C$6)</f>
        <v>4587.026297153735</v>
      </c>
      <c r="CX15" s="98">
        <f>'Income Statement'!$AE$7</f>
        <v>4616.6169190049995</v>
      </c>
      <c r="CY15" s="99">
        <f t="shared" ca="1" si="13"/>
        <v>6.4509379136599154E-3</v>
      </c>
    </row>
    <row r="16" spans="1:112" hidden="1" outlineLevel="1">
      <c r="A16" s="89"/>
      <c r="B16" s="97"/>
      <c r="C16" s="97"/>
      <c r="D16" s="97"/>
      <c r="E16" s="118" t="s">
        <v>1176</v>
      </c>
      <c r="G16" s="89" t="s">
        <v>752</v>
      </c>
      <c r="H16" s="98">
        <f>'Income Statement'!$W$8</f>
        <v>18</v>
      </c>
      <c r="J16" s="98" t="e">
        <f>#REF!</f>
        <v>#REF!</v>
      </c>
      <c r="K16" s="98" t="e">
        <f>#REF!</f>
        <v>#REF!</v>
      </c>
      <c r="L16" s="98" t="e">
        <f>#REF!</f>
        <v>#REF!</v>
      </c>
      <c r="M16" s="98">
        <f>'Income Statement'!$X$8</f>
        <v>16</v>
      </c>
      <c r="O16" s="98" t="s">
        <v>1267</v>
      </c>
      <c r="P16" s="98" t="e">
        <f>#REF!</f>
        <v>#REF!</v>
      </c>
      <c r="Q16" s="99" t="s">
        <v>1267</v>
      </c>
      <c r="S16" s="98">
        <f ca="1">_xll.VisibleAlpha.UDF.VAData($C$2,S$6,$E16,$E$11,"CD","IMPL",$C$6)</f>
        <v>4</v>
      </c>
      <c r="T16" s="98" t="e">
        <f>#REF!</f>
        <v>#REF!</v>
      </c>
      <c r="U16" s="99" t="e">
        <f t="shared" ca="1" si="0"/>
        <v>#REF!</v>
      </c>
      <c r="W16" s="98">
        <f ca="1">_xll.VisibleAlpha.UDF.VAData($C$2,W$6,$E16,$E$11,"CD","IMPL",$C$6)</f>
        <v>4</v>
      </c>
      <c r="X16" s="98" t="e">
        <f>#REF!</f>
        <v>#REF!</v>
      </c>
      <c r="Y16" s="99" t="e">
        <f t="shared" ca="1" si="1"/>
        <v>#REF!</v>
      </c>
      <c r="AA16" s="98">
        <f ca="1">_xll.VisibleAlpha.UDF.VAData($C$2,AA$6,$E16,$E$11,"CD","IMPL",$C$6)</f>
        <v>4.5529999999999999</v>
      </c>
      <c r="AB16" s="98" t="e">
        <f>#REF!</f>
        <v>#REF!</v>
      </c>
      <c r="AC16" s="99" t="e">
        <f t="shared" ca="1" si="2"/>
        <v>#REF!</v>
      </c>
      <c r="AE16" s="98">
        <f ca="1">_xll.VisibleAlpha.UDF.VAData($C$2,AE$6,$E16,$E$11,"CD","IMPL",$C$6)</f>
        <v>8</v>
      </c>
      <c r="AF16" s="99" t="e">
        <f ca="1">L16/AE16-1</f>
        <v>#REF!</v>
      </c>
      <c r="AH16" s="98">
        <f ca="1">_xll.VisibleAlpha.UDF.VAData($C$2,AH$6,$E16,$E$11,"CD","IMPL",$C$6)</f>
        <v>5</v>
      </c>
      <c r="AI16" s="98" t="e">
        <f>#REF!</f>
        <v>#REF!</v>
      </c>
      <c r="AJ16" s="99" t="e">
        <f t="shared" ca="1" si="3"/>
        <v>#REF!</v>
      </c>
      <c r="AL16" s="98">
        <f ca="1">_xll.VisibleAlpha.UDF.VAData($C$2,AL$6,$E16,$E$11,"CD","IMPL",$C$6)</f>
        <v>5</v>
      </c>
      <c r="AM16" s="98">
        <f ca="1">_xll.VisibleAlpha.UDF.VAData($C$2,AM$6,$E16,$E$11,"CD","IMPL",$C$6)</f>
        <v>2.0454545454545454</v>
      </c>
      <c r="AO16" s="98">
        <v>8</v>
      </c>
      <c r="AQ16" s="98">
        <f>AU16-AO16</f>
        <v>8</v>
      </c>
      <c r="AR16" s="98" t="e">
        <f>#REF!</f>
        <v>#REF!</v>
      </c>
      <c r="AS16" s="99" t="e">
        <f>AR16/AQ16-1</f>
        <v>#REF!</v>
      </c>
      <c r="AU16" s="98">
        <v>16</v>
      </c>
      <c r="AV16" s="98">
        <f>'Income Statement'!$Y$8</f>
        <v>11</v>
      </c>
      <c r="AW16" s="99">
        <f>AV16/AU16-1</f>
        <v>-0.3125</v>
      </c>
      <c r="AY16" s="98">
        <v>16</v>
      </c>
      <c r="AZ16" s="98">
        <f>'Income Statement'!$Z$8</f>
        <v>10</v>
      </c>
      <c r="BA16" s="99">
        <f>AZ16/AY16-1</f>
        <v>-0.375</v>
      </c>
      <c r="BC16" s="98">
        <f ca="1">_xll.VisibleAlpha.UDF.VAData($C$2,BC$6,$E16,$E$11,"CD","IMPL",$C$6)</f>
        <v>11</v>
      </c>
      <c r="BD16" s="98">
        <f>'Income Statement'!$Y$8</f>
        <v>11</v>
      </c>
      <c r="BE16" s="99">
        <f t="shared" ca="1" si="4"/>
        <v>0</v>
      </c>
      <c r="BG16" s="98">
        <f ca="1">_xll.VisibleAlpha.UDF.VAData($C$2,BG$6,$E16,$E$11,"CD","IMPL",$C$6)</f>
        <v>2</v>
      </c>
      <c r="BH16" s="98" t="e">
        <f>#REF!</f>
        <v>#REF!</v>
      </c>
      <c r="BI16" s="99" t="e">
        <f ca="1">BH16/BG16-1</f>
        <v>#REF!</v>
      </c>
      <c r="BK16" s="98">
        <f ca="1">_xll.VisibleAlpha.UDF.VAData($C$2,BK$6,$E16,$E$11,"CD","IMPL",$C$6)</f>
        <v>3.1818181818181817</v>
      </c>
      <c r="BL16" s="98" t="e">
        <f>#REF!</f>
        <v>#REF!</v>
      </c>
      <c r="BM16" s="99" t="e">
        <f t="shared" ca="1" si="5"/>
        <v>#REF!</v>
      </c>
      <c r="BO16" s="655"/>
      <c r="BQ16" s="98">
        <f ca="1">_xll.VisibleAlpha.UDF.VAData($C$2,BQ$6,$E16,$E$11,"CD","IMPL",$C$6)</f>
        <v>9.9208333333333325</v>
      </c>
      <c r="BR16" s="98">
        <f>'Income Statement'!$Z$8</f>
        <v>10</v>
      </c>
      <c r="BS16" s="99">
        <f t="shared" ca="1" si="6"/>
        <v>7.9798404031921066E-3</v>
      </c>
      <c r="BU16" s="840"/>
      <c r="BW16" s="98">
        <f ca="1">_xll.VisibleAlpha.UDF.VAData($C$2,BW$6,$E16,$E$11,"CD","IMPL",$C$6)</f>
        <v>9.9208333333333325</v>
      </c>
      <c r="BX16" s="98">
        <f>'Income Statement'!$AA$8</f>
        <v>10</v>
      </c>
      <c r="BY16" s="99">
        <f t="shared" ca="1" si="7"/>
        <v>7.9798404031921066E-3</v>
      </c>
      <c r="CA16" s="98">
        <f ca="1">_xll.VisibleAlpha.UDF.VAData($C$2,CA$6,$E16,$E$11,"CD","IMPL",$C$6)</f>
        <v>10.384590909090909</v>
      </c>
      <c r="CB16" s="98">
        <f>'Income Statement'!$AB$8</f>
        <v>10</v>
      </c>
      <c r="CC16" s="99">
        <f t="shared" ca="1" si="8"/>
        <v>-3.7034767422010728E-2</v>
      </c>
      <c r="CE16" s="98">
        <f ca="1">_xll.VisibleAlpha.UDF.VAData($C$2,CE$6,$E16,$E$11,"CD","IMPL",$C$6)</f>
        <v>10.391982272727272</v>
      </c>
      <c r="CF16" s="98">
        <f>'Income Statement'!$AC$8</f>
        <v>10</v>
      </c>
      <c r="CG16" s="99">
        <f t="shared" ca="1" si="9"/>
        <v>-3.7719682582214475E-2</v>
      </c>
      <c r="CI16" s="98">
        <f ca="1">_xll.VisibleAlpha.UDF.VAData($C$2,CI$6,$E16,$E$11,"CD","IMPL",$C$6)</f>
        <v>10.329392305000001</v>
      </c>
      <c r="CJ16" s="98">
        <f>'Income Statement'!$AD$8</f>
        <v>10</v>
      </c>
      <c r="CK16" s="99">
        <f t="shared" ca="1" si="10"/>
        <v>-3.1888836755726291E-2</v>
      </c>
      <c r="CM16" s="98">
        <f ca="1">_xll.VisibleAlpha.UDF.VAData($C$2,CM$6,$E16,$E$11,"CD","IMPL",$C$6)</f>
        <v>10.33768622805</v>
      </c>
      <c r="CN16" s="98">
        <f>'Income Statement'!$AD$8</f>
        <v>10</v>
      </c>
      <c r="CO16" s="99">
        <f t="shared" ca="1" si="11"/>
        <v>-3.2665552097502326E-2</v>
      </c>
      <c r="CP16" s="1177"/>
      <c r="CQ16" s="98">
        <f ca="1">_xll.VisibleAlpha.UDF.VAData($C$2,CQ$6,$E16,$E$11,"CD","IMPL",$C$6)</f>
        <v>10.3460630903305</v>
      </c>
      <c r="CR16" s="98">
        <f>'Income Statement'!$AD$8</f>
        <v>10</v>
      </c>
      <c r="CS16" s="99">
        <f t="shared" ca="1" si="12"/>
        <v>-3.3448770542867878E-2</v>
      </c>
      <c r="CT16" s="1177"/>
      <c r="CU16" s="840"/>
      <c r="CW16" s="98">
        <f ca="1">_xll.VisibleAlpha.UDF.VAData($C$2,CW$6,$E16,$E$11,"CD","IMPL",$C$6)</f>
        <v>10.33768622805</v>
      </c>
      <c r="CX16" s="98">
        <f>'Income Statement'!$AD$8</f>
        <v>10</v>
      </c>
      <c r="CY16" s="99">
        <f t="shared" ca="1" si="13"/>
        <v>-3.2665552097502326E-2</v>
      </c>
    </row>
    <row r="17" spans="1:103" collapsed="1">
      <c r="A17" s="100"/>
      <c r="B17" s="101"/>
      <c r="C17" s="101"/>
      <c r="D17" s="101"/>
      <c r="E17" s="118" t="s">
        <v>1177</v>
      </c>
      <c r="G17" s="121" t="s">
        <v>1178</v>
      </c>
      <c r="H17" s="122">
        <f>'Income Statement'!$W$9</f>
        <v>15257</v>
      </c>
      <c r="J17" s="122" t="e">
        <f>#REF!</f>
        <v>#REF!</v>
      </c>
      <c r="K17" s="122" t="e">
        <f>#REF!</f>
        <v>#REF!</v>
      </c>
      <c r="L17" s="122" t="e">
        <f>#REF!</f>
        <v>#REF!</v>
      </c>
      <c r="M17" s="122">
        <f>'Income Statement'!$X$9</f>
        <v>19035</v>
      </c>
      <c r="O17" s="122">
        <v>4164</v>
      </c>
      <c r="P17" s="122" t="e">
        <f>#REF!</f>
        <v>#REF!</v>
      </c>
      <c r="Q17" s="123" t="e">
        <f>P17/O17-1</f>
        <v>#REF!</v>
      </c>
      <c r="S17" s="122">
        <f ca="1">_xll.VisibleAlpha.UDF.VAData($C$2,S$6,$E17,$E$11,"CD","IMPL",$C$6)</f>
        <v>4489</v>
      </c>
      <c r="T17" s="122" t="e">
        <f>#REF!</f>
        <v>#REF!</v>
      </c>
      <c r="U17" s="123" t="e">
        <f ca="1">T17/S17-1</f>
        <v>#REF!</v>
      </c>
      <c r="W17" s="122">
        <f ca="1">_xll.VisibleAlpha.UDF.VAData($C$2,W$6,$E17,$E$11,"CD","IMPL",$C$6)</f>
        <v>4849</v>
      </c>
      <c r="X17" s="122" t="e">
        <f>#REF!</f>
        <v>#REF!</v>
      </c>
      <c r="Y17" s="123" t="e">
        <f ca="1">X17/W17-1</f>
        <v>#REF!</v>
      </c>
      <c r="AA17" s="122">
        <f ca="1">_xll.VisibleAlpha.UDF.VAData($C$2,AA$6,$E17,$E$11,"CD","IMPL",$C$6)</f>
        <v>8682.9323211890369</v>
      </c>
      <c r="AB17" s="122">
        <f>'Interim (New)'!DO16</f>
        <v>8934.568615283004</v>
      </c>
      <c r="AC17" s="123">
        <f ca="1">AB17/AA17-1</f>
        <v>2.898056610206412E-2</v>
      </c>
      <c r="AE17" s="122">
        <v>8611</v>
      </c>
      <c r="AF17" s="123" t="e">
        <f>L17/AE17-1</f>
        <v>#REF!</v>
      </c>
      <c r="AH17" s="122">
        <f ca="1">_xll.VisibleAlpha.UDF.VAData($C$2,AH$6,$E17,$E$11,"CD","IMPL",$C$6)</f>
        <v>13047</v>
      </c>
      <c r="AI17" s="122" t="e">
        <f>#REF!</f>
        <v>#REF!</v>
      </c>
      <c r="AJ17" s="123" t="e">
        <f ca="1">AI17/AH17-1</f>
        <v>#REF!</v>
      </c>
      <c r="AL17" s="122">
        <f ca="1">_xll.VisibleAlpha.UDF.VAData($C$2,AL$6,$E17,$E$11,"CD","IMPL",$C$6)</f>
        <v>13047</v>
      </c>
      <c r="AM17" s="122">
        <f ca="1">_xll.VisibleAlpha.UDF.VAData($C$2,AM$6,$E17,$E$11,"CD","IMPL",$C$6)</f>
        <v>6827.041666666667</v>
      </c>
      <c r="AO17" s="122">
        <v>16770</v>
      </c>
      <c r="AQ17" s="122">
        <f>AU17-AO17</f>
        <v>6496</v>
      </c>
      <c r="AR17" s="122" t="e">
        <f>#REF!</f>
        <v>#REF!</v>
      </c>
      <c r="AS17" s="123" t="e">
        <f>AR17/AQ17-1</f>
        <v>#REF!</v>
      </c>
      <c r="AU17" s="122">
        <v>23266</v>
      </c>
      <c r="AV17" s="122">
        <f>'Income Statement'!$Y$9</f>
        <v>23199</v>
      </c>
      <c r="AW17" s="123">
        <f>AV17/AU17-1</f>
        <v>-2.8797386744605635E-3</v>
      </c>
      <c r="AY17" s="122">
        <v>26630</v>
      </c>
      <c r="AZ17" s="122">
        <f>'Income Statement'!$Z$9</f>
        <v>27317</v>
      </c>
      <c r="BA17" s="123">
        <f>AZ17/AY17-1</f>
        <v>2.5797972211791143E-2</v>
      </c>
      <c r="BC17" s="122">
        <f ca="1">_xll.VisibleAlpha.UDF.VAData($C$2,BC$6,$E17,$E$11,"CD","IMPL",$C$6)</f>
        <v>23227.25</v>
      </c>
      <c r="BD17" s="122">
        <f>'Income Statement'!$Y$9</f>
        <v>23199</v>
      </c>
      <c r="BE17" s="123">
        <f ca="1">BD17/BC17-1</f>
        <v>-1.2162438515106455E-3</v>
      </c>
      <c r="BG17" s="122">
        <f ca="1">_xll.VisibleAlpha.UDF.VAData($C$2,BG$6,$E17,$E$11,"CD","IMPL",$C$6)</f>
        <v>7852</v>
      </c>
      <c r="BH17" s="122">
        <f>'Interim (New)'!DM16</f>
        <v>7852</v>
      </c>
      <c r="BI17" s="123">
        <f ca="1">BH17/BG17-1</f>
        <v>0</v>
      </c>
      <c r="BK17" s="122">
        <f ca="1">_xll.VisibleAlpha.UDF.VAData($C$2,BK$6,$E17,$E$11,"CD","IMPL",$C$6)</f>
        <v>14768.846153846154</v>
      </c>
      <c r="BL17" s="122" t="e">
        <f>#REF!</f>
        <v>#REF!</v>
      </c>
      <c r="BM17" s="123" t="e">
        <f ca="1">BL17/BK17-1</f>
        <v>#REF!</v>
      </c>
      <c r="BO17" s="485" t="s">
        <v>1737</v>
      </c>
      <c r="BQ17" s="122">
        <f ca="1">_xll.VisibleAlpha.UDF.VAData($C$2,BQ$6,$E17,$E$11,"CD","IMPL",$C$6)</f>
        <v>31241.907670232456</v>
      </c>
      <c r="BR17" s="122">
        <f>'Income Statement'!$Z$9</f>
        <v>27317</v>
      </c>
      <c r="BS17" s="123">
        <f ca="1">BR17/BQ17-1</f>
        <v>-0.12562957779854589</v>
      </c>
      <c r="BU17" s="836" t="s">
        <v>1450</v>
      </c>
      <c r="BW17" s="122">
        <f ca="1">_xll.VisibleAlpha.UDF.VAData($C$2,BW$6,$E17,$E$11,"CD","IMPL",$C$6)</f>
        <v>31241.907670232456</v>
      </c>
      <c r="BX17" s="122">
        <f>'Income Statement'!$AA$9</f>
        <v>31556.568615283002</v>
      </c>
      <c r="BY17" s="123">
        <f ca="1">BX17/BW17-1</f>
        <v>1.0071758369299522E-2</v>
      </c>
      <c r="CA17" s="122">
        <f ca="1">_xll.VisibleAlpha.UDF.VAData($C$2,CA$6,$E17,$E$11,"CD","IMPL",$C$6)</f>
        <v>35217.79880667384</v>
      </c>
      <c r="CB17" s="122">
        <f>'Income Statement'!$AB$9</f>
        <v>35653.731777547211</v>
      </c>
      <c r="CC17" s="123">
        <f ca="1">CB17/CA17-1</f>
        <v>1.2378200388570626E-2</v>
      </c>
      <c r="CE17" s="122">
        <f ca="1">_xll.VisibleAlpha.UDF.VAData($C$2,CE$6,$E17,$E$11,"CD","IMPL",$C$6)</f>
        <v>38387.974307319157</v>
      </c>
      <c r="CF17" s="122">
        <f>'Income Statement'!$AC$9</f>
        <v>39232.543288947665</v>
      </c>
      <c r="CG17" s="123">
        <f ca="1">CF17/CE17-1</f>
        <v>2.2000873890016148E-2</v>
      </c>
      <c r="CI17" s="122">
        <f ca="1">_xll.VisibleAlpha.UDF.VAData($C$2,CI$6,$E17,$E$11,"CD","IMPL",$C$6)</f>
        <v>41561.537707122625</v>
      </c>
      <c r="CJ17" s="122">
        <f>'Income Statement'!$AD$9</f>
        <v>42282.092826476444</v>
      </c>
      <c r="CK17" s="123">
        <f ca="1">CJ17/CI17-1</f>
        <v>1.7337065929356354E-2</v>
      </c>
      <c r="CM17" s="122">
        <f ca="1">_xll.VisibleAlpha.UDF.VAData($C$2,CM$6,$E17,$E$11,"CD","IMPL",$C$6)</f>
        <v>43722.795275146134</v>
      </c>
      <c r="CN17" s="122">
        <f>'Income Statement'!$AE$9</f>
        <v>44620.650972750256</v>
      </c>
      <c r="CO17" s="123">
        <f ca="1">CN17/CM17-1</f>
        <v>2.0535185180955207E-2</v>
      </c>
      <c r="CP17" s="1178"/>
      <c r="CQ17" s="122">
        <f ca="1">_xll.VisibleAlpha.UDF.VAData($C$2,CQ$6,$E17,$E$11,"CD","IMPL",$C$6)</f>
        <v>46066.835627545668</v>
      </c>
      <c r="CR17" s="122">
        <f>'Income Statement'!$AF$9</f>
        <v>46787.066610790876</v>
      </c>
      <c r="CS17" s="123">
        <f ca="1">CR17/CQ17-1</f>
        <v>1.5634479196017237E-2</v>
      </c>
      <c r="CT17" s="1178"/>
      <c r="CU17" s="858">
        <f>27100*1.085^4</f>
        <v>37556.770786937494</v>
      </c>
      <c r="CW17" s="122">
        <f ca="1">_xll.VisibleAlpha.UDF.VAData($C$2,CW$6,$E17,$E$11,"CD","IMPL",$C$6)</f>
        <v>43722.795275146134</v>
      </c>
      <c r="CX17" s="122">
        <f>'Income Statement'!$AE$9</f>
        <v>44620.650972750256</v>
      </c>
      <c r="CY17" s="123">
        <f ca="1">CX17/CW17-1</f>
        <v>2.0535185180955207E-2</v>
      </c>
    </row>
    <row r="18" spans="1:103" ht="13.5" customHeight="1" outlineLevel="1">
      <c r="G18" s="657" t="s">
        <v>1722</v>
      </c>
      <c r="H18" s="112"/>
      <c r="J18" s="108"/>
      <c r="K18" s="108"/>
      <c r="L18" s="108"/>
      <c r="M18" s="108"/>
      <c r="O18" s="108"/>
      <c r="P18" s="108"/>
      <c r="Q18" s="113"/>
      <c r="S18" s="108"/>
      <c r="T18" s="108"/>
      <c r="U18" s="113"/>
      <c r="V18" s="207"/>
      <c r="W18" s="108"/>
      <c r="X18" s="108"/>
      <c r="Y18" s="113"/>
      <c r="Z18" s="207"/>
      <c r="AA18" s="108"/>
      <c r="AB18" s="108"/>
      <c r="AC18" s="113"/>
      <c r="AE18" s="110"/>
      <c r="AF18" s="113"/>
      <c r="AH18" s="108"/>
      <c r="AI18" s="108"/>
      <c r="AJ18" s="113"/>
      <c r="AL18" s="108"/>
      <c r="AM18" s="108"/>
      <c r="AO18" s="108"/>
      <c r="AQ18" s="108"/>
      <c r="AR18" s="108"/>
      <c r="AS18" s="113"/>
      <c r="AU18" s="108"/>
      <c r="AV18" s="108"/>
      <c r="AW18" s="113"/>
      <c r="AY18" s="108"/>
      <c r="AZ18" s="108"/>
      <c r="BA18" s="113"/>
      <c r="BC18" s="108"/>
      <c r="BD18" s="108"/>
      <c r="BE18" s="113"/>
      <c r="BG18" s="108"/>
      <c r="BH18" s="108"/>
      <c r="BI18" s="659"/>
      <c r="BK18" s="108"/>
      <c r="BL18" s="108"/>
      <c r="BM18" s="113"/>
      <c r="BO18" s="655"/>
      <c r="BQ18" s="108"/>
      <c r="BR18" s="108"/>
      <c r="BS18" s="113"/>
      <c r="BU18" s="840"/>
      <c r="BW18" s="108">
        <f ca="1">BW17/'Income Statement'!$Z$9-1</f>
        <v>0.14368004064254691</v>
      </c>
      <c r="BX18" s="108">
        <f>BX17/'Income Statement'!$Z$9-1</f>
        <v>0.15519890966368943</v>
      </c>
      <c r="BY18" s="113"/>
      <c r="CA18" s="108">
        <f ca="1">CA17/BW17-1</f>
        <v>0.12726147130348386</v>
      </c>
      <c r="CB18" s="108">
        <f>CB17/BX17-1</f>
        <v>0.12983550943748479</v>
      </c>
      <c r="CC18" s="113"/>
      <c r="CE18" s="108">
        <f ca="1">CE17/CA17-1</f>
        <v>9.0016287447373333E-2</v>
      </c>
      <c r="CF18" s="108">
        <f>CF17/CB17-1</f>
        <v>0.10037691240091151</v>
      </c>
      <c r="CG18" s="113"/>
      <c r="CI18" s="108">
        <f ca="1">CI17/CE17-1</f>
        <v>8.2670770132259541E-2</v>
      </c>
      <c r="CJ18" s="108">
        <f>CJ17/CF17-1</f>
        <v>7.7730100622558362E-2</v>
      </c>
      <c r="CK18" s="113"/>
      <c r="CM18" s="108">
        <f ca="1">CM17/CI17-1</f>
        <v>5.2001386071264699E-2</v>
      </c>
      <c r="CN18" s="108">
        <f>CN17/CJ17-1</f>
        <v>5.5308476708358256E-2</v>
      </c>
      <c r="CO18" s="113"/>
      <c r="CP18" s="1179"/>
      <c r="CQ18" s="108">
        <f ca="1">CQ17/CM17-1</f>
        <v>5.3611401962032845E-2</v>
      </c>
      <c r="CR18" s="108">
        <f>CR17/CN17-1</f>
        <v>4.8551860871856034E-2</v>
      </c>
      <c r="CS18" s="113"/>
      <c r="CT18" s="1179"/>
      <c r="CU18" s="845" t="s">
        <v>1443</v>
      </c>
      <c r="CW18" s="108">
        <f ca="1">(CW17/BW17)^(0.25)-1</f>
        <v>8.7658588934040216E-2</v>
      </c>
      <c r="CX18" s="108">
        <f>(CX17/BX17)^(0.25)-1</f>
        <v>9.0464501314283963E-2</v>
      </c>
      <c r="CY18" s="113"/>
    </row>
    <row r="19" spans="1:103" ht="6.75" customHeight="1">
      <c r="A19" s="102"/>
      <c r="B19" s="103"/>
      <c r="C19" s="89"/>
      <c r="D19" s="89"/>
      <c r="G19" s="89"/>
      <c r="H19" s="104"/>
      <c r="J19" s="104"/>
      <c r="K19" s="104"/>
      <c r="L19" s="104"/>
      <c r="M19" s="104"/>
      <c r="O19" s="106"/>
      <c r="P19" s="106"/>
      <c r="Q19" s="105"/>
      <c r="S19" s="106"/>
      <c r="T19" s="106"/>
      <c r="U19" s="105"/>
      <c r="W19" s="106"/>
      <c r="X19" s="106"/>
      <c r="Y19" s="105"/>
      <c r="AA19" s="106"/>
      <c r="AB19" s="106"/>
      <c r="AC19" s="105"/>
      <c r="AE19" s="106"/>
      <c r="AF19" s="105"/>
      <c r="AH19" s="106"/>
      <c r="AI19" s="104"/>
      <c r="AJ19" s="105"/>
      <c r="AL19" s="106"/>
      <c r="AM19" s="106"/>
      <c r="AO19" s="106"/>
      <c r="AQ19" s="106"/>
      <c r="AR19" s="104"/>
      <c r="AS19" s="105"/>
      <c r="AU19" s="106"/>
      <c r="AV19" s="104"/>
      <c r="AW19" s="105"/>
      <c r="AY19" s="106"/>
      <c r="AZ19" s="104"/>
      <c r="BA19" s="105"/>
      <c r="BC19" s="106"/>
      <c r="BD19" s="104"/>
      <c r="BE19" s="105"/>
      <c r="BG19" s="106"/>
      <c r="BH19" s="104"/>
      <c r="BI19" s="105"/>
      <c r="BK19" s="106"/>
      <c r="BL19" s="104"/>
      <c r="BM19" s="105"/>
      <c r="BO19" s="655"/>
      <c r="BQ19" s="106"/>
      <c r="BR19" s="104"/>
      <c r="BS19" s="105"/>
      <c r="BU19" s="845"/>
      <c r="BW19" s="106"/>
      <c r="BX19" s="104"/>
      <c r="BY19" s="105"/>
      <c r="CA19" s="106"/>
      <c r="CB19" s="104"/>
      <c r="CC19" s="105"/>
      <c r="CE19" s="106"/>
      <c r="CF19" s="104"/>
      <c r="CG19" s="105"/>
      <c r="CI19" s="106"/>
      <c r="CJ19" s="104"/>
      <c r="CK19" s="105"/>
      <c r="CM19" s="106"/>
      <c r="CN19" s="104"/>
      <c r="CO19" s="105"/>
      <c r="CP19" s="110"/>
      <c r="CQ19" s="106"/>
      <c r="CR19" s="104"/>
      <c r="CS19" s="105"/>
      <c r="CT19" s="110"/>
      <c r="CU19" s="840"/>
      <c r="CW19" s="106"/>
      <c r="CX19" s="104"/>
      <c r="CY19" s="105"/>
    </row>
    <row r="20" spans="1:103" outlineLevel="1">
      <c r="A20" s="102"/>
      <c r="B20" s="103"/>
      <c r="C20" s="89"/>
      <c r="D20" s="89"/>
      <c r="G20" s="94" t="s">
        <v>1497</v>
      </c>
      <c r="M20" s="431"/>
      <c r="O20" s="108"/>
      <c r="P20" s="108"/>
      <c r="Q20" s="107"/>
      <c r="S20" s="108"/>
      <c r="T20" s="108"/>
      <c r="U20" s="107"/>
      <c r="W20" s="108"/>
      <c r="X20" s="108"/>
      <c r="Y20" s="107"/>
      <c r="AA20" s="108"/>
      <c r="AB20" s="108"/>
      <c r="AC20" s="107"/>
      <c r="AE20" s="108"/>
      <c r="AF20" s="107"/>
      <c r="AH20" s="108"/>
      <c r="AJ20" s="107"/>
      <c r="AL20" s="108"/>
      <c r="AM20" s="108"/>
      <c r="AO20" s="108"/>
      <c r="AQ20" s="108"/>
      <c r="AS20" s="107"/>
      <c r="AU20" s="108"/>
      <c r="AW20" s="107"/>
      <c r="AY20" s="108"/>
      <c r="BA20" s="107"/>
      <c r="BC20" s="108"/>
      <c r="BE20" s="107"/>
      <c r="BG20" s="108"/>
      <c r="BI20" s="107"/>
      <c r="BK20" s="108"/>
      <c r="BM20" s="107"/>
      <c r="BO20" s="655"/>
      <c r="BQ20" s="108"/>
      <c r="BR20" s="690"/>
      <c r="BS20" s="107"/>
      <c r="BU20" s="845"/>
      <c r="BW20" s="690"/>
      <c r="BX20" s="690"/>
      <c r="BY20" s="107"/>
      <c r="CA20" s="690"/>
      <c r="CB20" s="690"/>
      <c r="CC20" s="107"/>
      <c r="CE20" s="690"/>
      <c r="CF20" s="690"/>
      <c r="CG20" s="107"/>
      <c r="CI20" s="108"/>
      <c r="CJ20" s="690"/>
      <c r="CK20" s="107"/>
      <c r="CM20" s="108"/>
      <c r="CN20" s="690"/>
      <c r="CO20" s="107"/>
      <c r="CQ20" s="108"/>
      <c r="CR20" s="690"/>
      <c r="CS20" s="107"/>
      <c r="CU20" s="845"/>
      <c r="CW20" s="108"/>
      <c r="CX20" s="690"/>
      <c r="CY20" s="107"/>
    </row>
    <row r="21" spans="1:103" ht="13.5" customHeight="1" outlineLevel="1">
      <c r="A21" s="109"/>
      <c r="B21" s="103"/>
      <c r="C21" s="89"/>
      <c r="D21" s="89"/>
      <c r="E21" s="118" t="s">
        <v>1179</v>
      </c>
      <c r="G21" s="89" t="s">
        <v>900</v>
      </c>
      <c r="H21" s="110">
        <f>'Income Statement'!$W$19</f>
        <v>1342</v>
      </c>
      <c r="J21" s="110" t="e">
        <f>#REF!</f>
        <v>#REF!</v>
      </c>
      <c r="K21" s="110" t="e">
        <f>#REF!</f>
        <v>#REF!</v>
      </c>
      <c r="L21" s="110" t="e">
        <f>#REF!</f>
        <v>#REF!</v>
      </c>
      <c r="M21" s="110">
        <f>'Income Statement'!$X$19</f>
        <v>1710</v>
      </c>
      <c r="O21" s="110" t="s">
        <v>1267</v>
      </c>
      <c r="P21" s="110" t="s">
        <v>1267</v>
      </c>
      <c r="Q21" s="99" t="s">
        <v>1267</v>
      </c>
      <c r="S21" s="110" t="s">
        <v>1267</v>
      </c>
      <c r="T21" s="110" t="s">
        <v>1267</v>
      </c>
      <c r="U21" s="99" t="s">
        <v>1267</v>
      </c>
      <c r="V21" s="110"/>
      <c r="W21" s="110" t="s">
        <v>1267</v>
      </c>
      <c r="X21" s="110" t="s">
        <v>1267</v>
      </c>
      <c r="Y21" s="99" t="s">
        <v>1267</v>
      </c>
      <c r="Z21" s="110"/>
      <c r="AA21" s="110" t="s">
        <v>1267</v>
      </c>
      <c r="AB21" s="110" t="s">
        <v>1267</v>
      </c>
      <c r="AC21" s="99" t="s">
        <v>1267</v>
      </c>
      <c r="AE21" s="110" t="s">
        <v>1267</v>
      </c>
      <c r="AF21" s="99" t="s">
        <v>1267</v>
      </c>
      <c r="AH21" s="110">
        <f ca="1">_xll.VisibleAlpha.UDF.VAData($C$2,AH$6,$E21,$E$11,"CD","IMPL",$C$6)</f>
        <v>1285</v>
      </c>
      <c r="AI21" s="110" t="e">
        <f>#REF!</f>
        <v>#REF!</v>
      </c>
      <c r="AJ21" s="99" t="e">
        <f ca="1">AI21/AH21-1</f>
        <v>#REF!</v>
      </c>
      <c r="AL21" s="110">
        <f ca="1">_xll.VisibleAlpha.UDF.VAData($C$2,AL$6,$E21,$E$11,"CD","IMPL",$C$6)</f>
        <v>1285</v>
      </c>
      <c r="AM21" s="110" t="str">
        <f ca="1">_xll.VisibleAlpha.UDF.VAData($C$2,AM$6,$E21,$E$11,"CD","IMPL",$C$6)</f>
        <v>-</v>
      </c>
      <c r="AO21" s="110" t="s">
        <v>1267</v>
      </c>
      <c r="AQ21" s="110" t="s">
        <v>1267</v>
      </c>
      <c r="AR21" s="110" t="s">
        <v>1267</v>
      </c>
      <c r="AS21" s="99" t="s">
        <v>1267</v>
      </c>
      <c r="AU21" s="110">
        <v>2314</v>
      </c>
      <c r="AV21" s="110">
        <f>'Income Statement'!$Y$19</f>
        <v>2390</v>
      </c>
      <c r="AW21" s="99">
        <f>AV21/AU21-1</f>
        <v>3.2843560933448535E-2</v>
      </c>
      <c r="AY21" s="110">
        <v>2689</v>
      </c>
      <c r="AZ21" s="110">
        <f>'Income Statement'!$Z$19</f>
        <v>2819</v>
      </c>
      <c r="BA21" s="99">
        <f>AZ21/AY21-1</f>
        <v>4.8345109706210421E-2</v>
      </c>
      <c r="BC21" s="110">
        <f ca="1">_xll.VisibleAlpha.UDF.VAData($C$2,BC$6,$E21,$E$11,"CD","IMPL",$C$6)</f>
        <v>2389.997109465593</v>
      </c>
      <c r="BD21" s="110">
        <f>'Income Statement'!$Y$19</f>
        <v>2390</v>
      </c>
      <c r="BE21" s="99">
        <f ca="1">BD21/BC21-1</f>
        <v>1.2094300849696538E-6</v>
      </c>
      <c r="BG21" s="110" t="str">
        <f ca="1">_xll.VisibleAlpha.UDF.VAData($C$2,BG$6,$E21,$E$11,"CD","IMPL",$C$6)</f>
        <v>-</v>
      </c>
      <c r="BH21" s="110" t="s">
        <v>1267</v>
      </c>
      <c r="BI21" s="658" t="s">
        <v>1267</v>
      </c>
      <c r="BK21" s="110">
        <f ca="1">_xll.VisibleAlpha.UDF.VAData($C$2,BK$6,$E21,$E$11,"CD","IMPL",$C$6)</f>
        <v>1758</v>
      </c>
      <c r="BL21" s="110" t="e">
        <f>#REF!</f>
        <v>#REF!</v>
      </c>
      <c r="BM21" s="99" t="e">
        <f ca="1">BL21/BK21-1</f>
        <v>#REF!</v>
      </c>
      <c r="BO21" s="655"/>
      <c r="BQ21" s="110">
        <f ca="1">_xll.VisibleAlpha.UDF.VAData($C$2,BQ$6,$E21,$E$11,"CD","IMPL",$C$6)</f>
        <v>3547.3382545185764</v>
      </c>
      <c r="BR21" s="110">
        <f>'Income Statement'!$AA$19</f>
        <v>3573.190883274262</v>
      </c>
      <c r="BS21" s="99">
        <f ca="1">BR21/BQ21-1</f>
        <v>7.2878950076877835E-3</v>
      </c>
      <c r="BU21" s="845"/>
      <c r="BW21" s="110">
        <f ca="1">_xll.VisibleAlpha.UDF.VAData($C$2,BW$6,$E21,$E$11,"CD","IMPL",$C$6)</f>
        <v>3547.3382545185764</v>
      </c>
      <c r="BX21" s="110">
        <f>'Income Statement'!$AA$19</f>
        <v>3573.190883274262</v>
      </c>
      <c r="BY21" s="99">
        <f ca="1">BX21/BW21-1</f>
        <v>7.2878950076877835E-3</v>
      </c>
      <c r="CA21" s="110">
        <f ca="1">_xll.VisibleAlpha.UDF.VAData($C$2,CA$6,$E21,$E$11,"CD","IMPL",$C$6)</f>
        <v>3970.3385807275499</v>
      </c>
      <c r="CB21" s="110">
        <f>'Income Statement'!$AB$19</f>
        <v>4022.7156495722697</v>
      </c>
      <c r="CC21" s="99">
        <f ca="1">CB21/CA21-1</f>
        <v>1.3192091248581006E-2</v>
      </c>
      <c r="CE21" s="110">
        <f ca="1">_xll.VisibleAlpha.UDF.VAData($C$2,CE$6,$E21,$E$11,"CD","IMPL",$C$6)</f>
        <v>4380.9400756555442</v>
      </c>
      <c r="CF21" s="110">
        <f>'Income Statement'!$AC$19</f>
        <v>4530.2242218427427</v>
      </c>
      <c r="CG21" s="99">
        <f ca="1">CF21/CE21-1</f>
        <v>3.4075824733772464E-2</v>
      </c>
      <c r="CI21" s="110">
        <f ca="1">_xll.VisibleAlpha.UDF.VAData($C$2,CI$6,$E21,$E$11,"CD","IMPL",$C$6)</f>
        <v>4848.6726673064659</v>
      </c>
      <c r="CJ21" s="110">
        <f>'Income Statement'!$AD$19</f>
        <v>4955.6890119088566</v>
      </c>
      <c r="CK21" s="99">
        <f ca="1">CJ21/CI21-1</f>
        <v>2.2071266085660568E-2</v>
      </c>
      <c r="CM21" s="110">
        <f ca="1">_xll.VisibleAlpha.UDF.VAData($C$2,CM$6,$E21,$E$11,"CD","IMPL",$C$6)</f>
        <v>5140.681109320788</v>
      </c>
      <c r="CN21" s="110">
        <f>'Income Statement'!$AE$19</f>
        <v>5298.5022462866154</v>
      </c>
      <c r="CO21" s="99">
        <f ca="1">CN21/CM21-1</f>
        <v>3.0700433193507237E-2</v>
      </c>
      <c r="CP21" s="1177"/>
      <c r="CQ21" s="110">
        <f ca="1">_xll.VisibleAlpha.UDF.VAData($C$2,CQ$6,$E21,$E$11,"CD","IMPL",$C$6)</f>
        <v>5528.6619195870426</v>
      </c>
      <c r="CR21" s="110">
        <f>'Income Statement'!$AF$19</f>
        <v>5689.8015205137017</v>
      </c>
      <c r="CS21" s="99">
        <f ca="1">CR21/CQ21-1</f>
        <v>2.9146220780071674E-2</v>
      </c>
      <c r="CT21" s="1177"/>
      <c r="CU21" s="845"/>
      <c r="CW21" s="110">
        <f ca="1">_xll.VisibleAlpha.UDF.VAData($C$2,CW$6,$E21,$E$11,"CD","IMPL",$C$6)</f>
        <v>5140.681109320788</v>
      </c>
      <c r="CX21" s="110">
        <f>'Income Statement'!$AE$19</f>
        <v>5298.5022462866154</v>
      </c>
      <c r="CY21" s="99">
        <f ca="1">CX21/CW21-1</f>
        <v>3.0700433193507237E-2</v>
      </c>
    </row>
    <row r="22" spans="1:103" ht="13.5" customHeight="1" outlineLevel="1">
      <c r="G22" s="657" t="s">
        <v>903</v>
      </c>
      <c r="H22" s="112">
        <f>H21/H13</f>
        <v>0.1804005914773491</v>
      </c>
      <c r="J22" s="108" t="e">
        <f>J21/J13</f>
        <v>#REF!</v>
      </c>
      <c r="K22" s="108" t="e">
        <f>K21/K13</f>
        <v>#REF!</v>
      </c>
      <c r="L22" s="108" t="e">
        <f>L21/L13</f>
        <v>#REF!</v>
      </c>
      <c r="M22" s="108">
        <f>M21/M13</f>
        <v>0.17988638754470859</v>
      </c>
      <c r="O22" s="108" t="s">
        <v>1267</v>
      </c>
      <c r="P22" s="108" t="s">
        <v>1267</v>
      </c>
      <c r="Q22" s="113" t="s">
        <v>1267</v>
      </c>
      <c r="S22" s="108" t="s">
        <v>1267</v>
      </c>
      <c r="T22" s="108" t="s">
        <v>1267</v>
      </c>
      <c r="U22" s="113" t="s">
        <v>1267</v>
      </c>
      <c r="V22" s="207"/>
      <c r="W22" s="108" t="s">
        <v>1267</v>
      </c>
      <c r="X22" s="108" t="s">
        <v>1267</v>
      </c>
      <c r="Y22" s="113" t="s">
        <v>1267</v>
      </c>
      <c r="Z22" s="207"/>
      <c r="AA22" s="108" t="s">
        <v>1267</v>
      </c>
      <c r="AB22" s="108" t="s">
        <v>1267</v>
      </c>
      <c r="AC22" s="113" t="s">
        <v>1267</v>
      </c>
      <c r="AE22" s="110" t="s">
        <v>1267</v>
      </c>
      <c r="AF22" s="113" t="s">
        <v>1267</v>
      </c>
      <c r="AH22" s="108">
        <f ca="1">AH21/AH13</f>
        <v>0.19888562142083269</v>
      </c>
      <c r="AI22" s="108" t="e">
        <f>AI21/AI13</f>
        <v>#REF!</v>
      </c>
      <c r="AJ22" s="113" t="e">
        <f ca="1">(AI22-AH22)*100</f>
        <v>#REF!</v>
      </c>
      <c r="AL22" s="108">
        <f ca="1">AL21/AL13</f>
        <v>0.19888562142083269</v>
      </c>
      <c r="AM22" s="108" t="e">
        <f ca="1">AM21/AM13</f>
        <v>#VALUE!</v>
      </c>
      <c r="AO22" s="108" t="s">
        <v>1267</v>
      </c>
      <c r="AQ22" s="108" t="s">
        <v>1267</v>
      </c>
      <c r="AR22" s="108" t="s">
        <v>1267</v>
      </c>
      <c r="AS22" s="113" t="s">
        <v>1267</v>
      </c>
      <c r="AU22" s="108">
        <f>AU21/AU13</f>
        <v>0.19355918025930574</v>
      </c>
      <c r="AV22" s="108">
        <f>AV21/AV13</f>
        <v>0.20124621084540248</v>
      </c>
      <c r="AW22" s="113">
        <f>(AV22-AU22)*100</f>
        <v>0.76870305860967381</v>
      </c>
      <c r="AY22" s="108">
        <f>AY21/AY13</f>
        <v>0.19550676166933256</v>
      </c>
      <c r="AZ22" s="108">
        <f>AZ21/AZ13</f>
        <v>0.20648989159097569</v>
      </c>
      <c r="BA22" s="113">
        <f>(AZ22-AY22)*100</f>
        <v>1.0983129921643131</v>
      </c>
      <c r="BC22" s="108">
        <f ca="1">BC21/BC13</f>
        <v>0.20138978566289703</v>
      </c>
      <c r="BD22" s="108">
        <f>BD21/BD13</f>
        <v>0.20124621084540248</v>
      </c>
      <c r="BE22" s="113">
        <f ca="1">(BD22-BC22)*100</f>
        <v>-1.435748174945517E-2</v>
      </c>
      <c r="BG22" s="108"/>
      <c r="BH22" s="108" t="s">
        <v>1267</v>
      </c>
      <c r="BI22" s="659" t="s">
        <v>1267</v>
      </c>
      <c r="BK22" s="108">
        <f ca="1">BK21/BK13</f>
        <v>0.23312558016178225</v>
      </c>
      <c r="BL22" s="108" t="e">
        <f>BL21/BL13</f>
        <v>#REF!</v>
      </c>
      <c r="BM22" s="113" t="e">
        <f ca="1">(BL22-BK22)*100</f>
        <v>#REF!</v>
      </c>
      <c r="BO22" s="655"/>
      <c r="BQ22" s="108">
        <f ca="1">BQ21/BQ13</f>
        <v>0.22711809265971727</v>
      </c>
      <c r="BR22" s="108">
        <f>BR21/BR13</f>
        <v>0.22566033823994469</v>
      </c>
      <c r="BS22" s="113">
        <f ca="1">(BR22-BQ22)*100</f>
        <v>-0.14577544197725834</v>
      </c>
      <c r="BU22" s="845"/>
      <c r="BW22" s="108">
        <f ca="1">BW21/BW13</f>
        <v>0.22711809265971727</v>
      </c>
      <c r="BX22" s="108">
        <f>BX21/BX13</f>
        <v>0.22566033823994469</v>
      </c>
      <c r="BY22" s="113">
        <f ca="1">(BX22-BW22)*100</f>
        <v>-0.14577544197725834</v>
      </c>
      <c r="CA22" s="108">
        <f ca="1">CA21/CA13</f>
        <v>0.2273557243984084</v>
      </c>
      <c r="CB22" s="108">
        <f>CB21/CB13</f>
        <v>0.22591153665723823</v>
      </c>
      <c r="CC22" s="113">
        <f ca="1">(CB22-CA22)*100</f>
        <v>-0.14441877411701665</v>
      </c>
      <c r="CE22" s="108">
        <f ca="1">CE21/CE13</f>
        <v>0.22897365770817629</v>
      </c>
      <c r="CF22" s="108">
        <f>CF21/CF13</f>
        <v>0.22728144285334356</v>
      </c>
      <c r="CG22" s="113">
        <f ca="1">(CF22-CE22)*100</f>
        <v>-0.16922148548327298</v>
      </c>
      <c r="CI22" s="108">
        <f ca="1">CI21/CI13</f>
        <v>0.23472270609834281</v>
      </c>
      <c r="CJ22" s="108">
        <f>CJ21/CJ13</f>
        <v>0.22926952246837815</v>
      </c>
      <c r="CK22" s="113">
        <f ca="1">(CJ22-CI22)*100</f>
        <v>-0.54531836299646641</v>
      </c>
      <c r="CM22" s="108">
        <f ca="1">CM21/CM13</f>
        <v>0.236593460407659</v>
      </c>
      <c r="CN22" s="108">
        <f>CN21/CN13</f>
        <v>0.23121988664065546</v>
      </c>
      <c r="CO22" s="113">
        <f ca="1">(CN22-CM22)*100</f>
        <v>-0.53735737670035366</v>
      </c>
      <c r="CP22" s="1179"/>
      <c r="CQ22" s="108">
        <f ca="1">CQ21/CQ13</f>
        <v>0.23958428913386415</v>
      </c>
      <c r="CR22" s="108">
        <f>CR21/CR13</f>
        <v>0.23519712484895663</v>
      </c>
      <c r="CS22" s="113">
        <f ca="1">(CR22-CQ22)*100</f>
        <v>-0.43871642849075132</v>
      </c>
      <c r="CT22" s="1179"/>
      <c r="CU22" s="845" t="s">
        <v>1448</v>
      </c>
      <c r="CW22" s="108">
        <f ca="1">CW21/CW13</f>
        <v>0.236593460407659</v>
      </c>
      <c r="CX22" s="108">
        <f>CX21/CX13</f>
        <v>0.23121988664065546</v>
      </c>
      <c r="CY22" s="113">
        <f ca="1">(CX22-CW22)*100</f>
        <v>-0.53735737670035366</v>
      </c>
    </row>
    <row r="23" spans="1:103" ht="13.5" customHeight="1" outlineLevel="1">
      <c r="E23" s="118" t="s">
        <v>1180</v>
      </c>
      <c r="G23" s="89" t="s">
        <v>1572</v>
      </c>
      <c r="H23" s="110">
        <f>'Income Statement'!$W$20</f>
        <v>650</v>
      </c>
      <c r="J23" s="110" t="e">
        <f>#REF!</f>
        <v>#REF!</v>
      </c>
      <c r="K23" s="110" t="e">
        <f>#REF!</f>
        <v>#REF!</v>
      </c>
      <c r="L23" s="110" t="e">
        <f>#REF!</f>
        <v>#REF!</v>
      </c>
      <c r="M23" s="110">
        <f>'Income Statement'!$X$20</f>
        <v>874</v>
      </c>
      <c r="O23" s="110" t="s">
        <v>1267</v>
      </c>
      <c r="P23" s="110" t="s">
        <v>1267</v>
      </c>
      <c r="Q23" s="99" t="s">
        <v>1267</v>
      </c>
      <c r="S23" s="110" t="s">
        <v>1267</v>
      </c>
      <c r="T23" s="110" t="s">
        <v>1267</v>
      </c>
      <c r="U23" s="99" t="s">
        <v>1267</v>
      </c>
      <c r="V23" s="110"/>
      <c r="W23" s="110" t="s">
        <v>1267</v>
      </c>
      <c r="X23" s="110" t="s">
        <v>1267</v>
      </c>
      <c r="Y23" s="99" t="s">
        <v>1267</v>
      </c>
      <c r="Z23" s="110"/>
      <c r="AA23" s="110" t="s">
        <v>1267</v>
      </c>
      <c r="AB23" s="110" t="s">
        <v>1267</v>
      </c>
      <c r="AC23" s="99" t="s">
        <v>1267</v>
      </c>
      <c r="AE23" s="110" t="s">
        <v>1267</v>
      </c>
      <c r="AF23" s="99" t="s">
        <v>1267</v>
      </c>
      <c r="AH23" s="110">
        <f ca="1">_xll.VisibleAlpha.UDF.VAData($C$2,AH$6,$E23,$E$11,"CD","IMPL",$C$6)</f>
        <v>657</v>
      </c>
      <c r="AI23" s="110" t="e">
        <f>#REF!</f>
        <v>#REF!</v>
      </c>
      <c r="AJ23" s="99" t="e">
        <f t="shared" ref="AJ23" ca="1" si="14">AI23/AH23-1</f>
        <v>#REF!</v>
      </c>
      <c r="AL23" s="110">
        <f ca="1">_xll.VisibleAlpha.UDF.VAData($C$2,AL$6,$E23,$E$11,"CD","IMPL",$C$6)</f>
        <v>657</v>
      </c>
      <c r="AM23" s="110" t="str">
        <f ca="1">_xll.VisibleAlpha.UDF.VAData($C$2,AM$6,$E23,$E$11,"CD","IMPL",$C$6)</f>
        <v>-</v>
      </c>
      <c r="AO23" s="110" t="s">
        <v>1267</v>
      </c>
      <c r="AQ23" s="110" t="s">
        <v>1267</v>
      </c>
      <c r="AR23" s="110" t="s">
        <v>1267</v>
      </c>
      <c r="AS23" s="99" t="s">
        <v>1267</v>
      </c>
      <c r="AU23" s="110">
        <v>1030</v>
      </c>
      <c r="AV23" s="110">
        <f>'Income Statement'!$Y$20</f>
        <v>992</v>
      </c>
      <c r="AW23" s="99">
        <f t="shared" ref="AW23" si="15">AV23/AU23-1</f>
        <v>-3.6893203883495151E-2</v>
      </c>
      <c r="AY23" s="110">
        <v>1245</v>
      </c>
      <c r="AZ23" s="110">
        <f>'Income Statement'!$Z$20</f>
        <v>1298</v>
      </c>
      <c r="BA23" s="99">
        <f t="shared" ref="BA23" si="16">AZ23/AY23-1</f>
        <v>4.25702811244979E-2</v>
      </c>
      <c r="BC23" s="110">
        <f ca="1">_xll.VisibleAlpha.UDF.VAData($C$2,BC$6,$E23,$E$11,"CD","IMPL",$C$6)</f>
        <v>992.0000077918229</v>
      </c>
      <c r="BD23" s="110">
        <f>'Income Statement'!$Y$20</f>
        <v>992</v>
      </c>
      <c r="BE23" s="99">
        <f t="shared" ref="BE23" ca="1" si="17">BD23/BC23-1</f>
        <v>-7.8546601445239617E-9</v>
      </c>
      <c r="BG23" s="110"/>
      <c r="BH23" s="110" t="s">
        <v>1267</v>
      </c>
      <c r="BI23" s="658" t="s">
        <v>1267</v>
      </c>
      <c r="BK23" s="110">
        <f ca="1">_xll.VisibleAlpha.UDF.VAData($C$2,BK$6,$E23,$E$11,"CD","IMPL",$C$6)</f>
        <v>703</v>
      </c>
      <c r="BL23" s="110" t="e">
        <f>#REF!</f>
        <v>#REF!</v>
      </c>
      <c r="BM23" s="99" t="e">
        <f t="shared" ref="BM23" ca="1" si="18">BL23/BK23-1</f>
        <v>#REF!</v>
      </c>
      <c r="BO23" s="655"/>
      <c r="BQ23" s="110">
        <f ca="1">_xll.VisibleAlpha.UDF.VAData($C$2,BQ$6,$E23,$E$11,"CD","IMPL",$C$6)</f>
        <v>1562.5161737032399</v>
      </c>
      <c r="BR23" s="110">
        <f>'Income Statement'!$AA$20</f>
        <v>1566.0905547253578</v>
      </c>
      <c r="BS23" s="99">
        <f t="shared" ref="BS23" ca="1" si="19">BR23/BQ23-1</f>
        <v>2.2875801750239511E-3</v>
      </c>
      <c r="BU23" s="845"/>
      <c r="BW23" s="110">
        <f ca="1">_xll.VisibleAlpha.UDF.VAData($C$2,BW$6,$E23,$E$11,"CD","IMPL",$C$6)</f>
        <v>1562.5161737032399</v>
      </c>
      <c r="BX23" s="110">
        <f>'Income Statement'!$AA$20</f>
        <v>1566.0905547253578</v>
      </c>
      <c r="BY23" s="99">
        <f t="shared" ref="BY23" ca="1" si="20">BX23/BW23-1</f>
        <v>2.2875801750239511E-3</v>
      </c>
      <c r="CA23" s="110">
        <f ca="1">_xll.VisibleAlpha.UDF.VAData($C$2,CA$6,$E23,$E$11,"CD","IMPL",$C$6)</f>
        <v>1884.2038230294518</v>
      </c>
      <c r="CB23" s="110">
        <f>'Income Statement'!$AB$20</f>
        <v>1952.7463492974887</v>
      </c>
      <c r="CC23" s="99">
        <f t="shared" ref="CC23" ca="1" si="21">CB23/CA23-1</f>
        <v>3.6377447827185216E-2</v>
      </c>
      <c r="CE23" s="110">
        <f ca="1">_xll.VisibleAlpha.UDF.VAData($C$2,CE$6,$E23,$E$11,"CD","IMPL",$C$6)</f>
        <v>2152.0954416090067</v>
      </c>
      <c r="CF23" s="110">
        <f>'Income Statement'!$AC$20</f>
        <v>2176.3224869626247</v>
      </c>
      <c r="CG23" s="99">
        <f t="shared" ref="CG23" ca="1" si="22">CF23/CE23-1</f>
        <v>1.1257421434573978E-2</v>
      </c>
      <c r="CI23" s="110">
        <f ca="1">_xll.VisibleAlpha.UDF.VAData($C$2,CI$6,$E23,$E$11,"CD","IMPL",$C$6)</f>
        <v>2369.128667779868</v>
      </c>
      <c r="CJ23" s="110">
        <f>'Income Statement'!$AD$20</f>
        <v>2384.4682977314997</v>
      </c>
      <c r="CK23" s="99">
        <f t="shared" ref="CK23" ca="1" si="23">CJ23/CI23-1</f>
        <v>6.4747981653552333E-3</v>
      </c>
      <c r="CM23" s="110">
        <f ca="1">_xll.VisibleAlpha.UDF.VAData($C$2,CM$6,$E23,$E$11,"CD","IMPL",$C$6)</f>
        <v>2490.2244692473569</v>
      </c>
      <c r="CN23" s="110">
        <f>'Income Statement'!$AE$20</f>
        <v>2546.3490319259013</v>
      </c>
      <c r="CO23" s="99">
        <f t="shared" ref="CO23" ca="1" si="24">CN23/CM23-1</f>
        <v>2.2537953253470189E-2</v>
      </c>
      <c r="CP23" s="1177"/>
      <c r="CQ23" s="110">
        <f ca="1">_xll.VisibleAlpha.UDF.VAData($C$2,CQ$6,$E23,$E$11,"CD","IMPL",$C$6)</f>
        <v>2639.5106016935001</v>
      </c>
      <c r="CR23" s="110">
        <f>'Income Statement'!$AF$20</f>
        <v>2693.8536423182982</v>
      </c>
      <c r="CS23" s="99">
        <f t="shared" ref="CS23" ca="1" si="25">CR23/CQ23-1</f>
        <v>2.0588301706358614E-2</v>
      </c>
      <c r="CT23" s="1177"/>
      <c r="CU23" s="845"/>
      <c r="CW23" s="110">
        <f ca="1">_xll.VisibleAlpha.UDF.VAData($C$2,CW$6,$E23,$E$11,"CD","IMPL",$C$6)</f>
        <v>2490.2244692473569</v>
      </c>
      <c r="CX23" s="110">
        <f>'Income Statement'!$AE$20</f>
        <v>2546.3490319259013</v>
      </c>
      <c r="CY23" s="99">
        <f t="shared" ref="CY23" ca="1" si="26">CX23/CW23-1</f>
        <v>2.2537953253470189E-2</v>
      </c>
    </row>
    <row r="24" spans="1:103" ht="13.5" customHeight="1" outlineLevel="1">
      <c r="G24" s="657" t="s">
        <v>903</v>
      </c>
      <c r="H24" s="112">
        <f>H23/H14</f>
        <v>0.10276679841897234</v>
      </c>
      <c r="J24" s="108" t="e">
        <f>J23/J14</f>
        <v>#REF!</v>
      </c>
      <c r="K24" s="108" t="e">
        <f>K23/K14</f>
        <v>#REF!</v>
      </c>
      <c r="L24" s="108" t="e">
        <f>L23/L14</f>
        <v>#REF!</v>
      </c>
      <c r="M24" s="108">
        <f>M23/M14</f>
        <v>0.11599203715992037</v>
      </c>
      <c r="O24" s="108" t="s">
        <v>1267</v>
      </c>
      <c r="P24" s="108" t="s">
        <v>1267</v>
      </c>
      <c r="Q24" s="113" t="s">
        <v>1267</v>
      </c>
      <c r="S24" s="108" t="s">
        <v>1267</v>
      </c>
      <c r="T24" s="108" t="s">
        <v>1267</v>
      </c>
      <c r="U24" s="113" t="s">
        <v>1267</v>
      </c>
      <c r="V24" s="207"/>
      <c r="W24" s="108" t="s">
        <v>1267</v>
      </c>
      <c r="X24" s="108" t="s">
        <v>1267</v>
      </c>
      <c r="Y24" s="113" t="s">
        <v>1267</v>
      </c>
      <c r="Z24" s="207"/>
      <c r="AA24" s="108" t="s">
        <v>1267</v>
      </c>
      <c r="AB24" s="108" t="s">
        <v>1267</v>
      </c>
      <c r="AC24" s="113" t="s">
        <v>1267</v>
      </c>
      <c r="AE24" s="110" t="s">
        <v>1267</v>
      </c>
      <c r="AF24" s="113" t="s">
        <v>1267</v>
      </c>
      <c r="AH24" s="108">
        <f ca="1">AH23/AH14</f>
        <v>0.12707930367504836</v>
      </c>
      <c r="AI24" s="108" t="e">
        <f>AI23/AI14</f>
        <v>#REF!</v>
      </c>
      <c r="AJ24" s="113" t="e">
        <f ca="1">(AI24-AH24)*100</f>
        <v>#REF!</v>
      </c>
      <c r="AL24" s="108">
        <f ca="1">AL23/AL14</f>
        <v>0.12707930367504836</v>
      </c>
      <c r="AM24" s="108" t="e">
        <f ca="1">AM23/AM14</f>
        <v>#VALUE!</v>
      </c>
      <c r="AO24" s="108" t="s">
        <v>1267</v>
      </c>
      <c r="AQ24" s="108" t="s">
        <v>1267</v>
      </c>
      <c r="AR24" s="108" t="s">
        <v>1267</v>
      </c>
      <c r="AS24" s="113" t="s">
        <v>1267</v>
      </c>
      <c r="AU24" s="108">
        <f>AU23/AU14</f>
        <v>0.11716528267546354</v>
      </c>
      <c r="AV24" s="108">
        <f>AV23/AV14</f>
        <v>0.11228070175438597</v>
      </c>
      <c r="AW24" s="113">
        <f>(AV24-AU24)*100</f>
        <v>-0.48845809210775748</v>
      </c>
      <c r="AY24" s="108">
        <f>AY23/AY14</f>
        <v>0.12561800020179598</v>
      </c>
      <c r="AZ24" s="108">
        <f>AZ23/AZ14</f>
        <v>0.12224524392540968</v>
      </c>
      <c r="BA24" s="113">
        <f>(AZ24-AY24)*100</f>
        <v>-0.33727562763862934</v>
      </c>
      <c r="BC24" s="108">
        <f ca="1">BC23/BC14</f>
        <v>0.11228070263631272</v>
      </c>
      <c r="BD24" s="108">
        <f>BD23/BD14</f>
        <v>0.11228070175438597</v>
      </c>
      <c r="BE24" s="113">
        <f ca="1">(BD24-BC24)*100</f>
        <v>-8.8192675384846098E-8</v>
      </c>
      <c r="BG24" s="108"/>
      <c r="BH24" s="108" t="s">
        <v>1267</v>
      </c>
      <c r="BI24" s="659" t="s">
        <v>1267</v>
      </c>
      <c r="BK24" s="108">
        <f ca="1">BK23/BK14</f>
        <v>0.12533428418612944</v>
      </c>
      <c r="BL24" s="108" t="e">
        <f>BL23/BL14</f>
        <v>#REF!</v>
      </c>
      <c r="BM24" s="113" t="e">
        <f ca="1">(BL24-BK24)*100</f>
        <v>#REF!</v>
      </c>
      <c r="BO24" s="655"/>
      <c r="BQ24" s="108">
        <f ca="1">BQ23/BQ14</f>
        <v>0.12786640564875731</v>
      </c>
      <c r="BR24" s="108">
        <f>BR23/BR14</f>
        <v>0.12744533688189683</v>
      </c>
      <c r="BS24" s="113">
        <f ca="1">(BR24-BQ24)*100</f>
        <v>-4.2106876686048844E-2</v>
      </c>
      <c r="BU24" s="845"/>
      <c r="BW24" s="108">
        <f ca="1">BW23/BW14</f>
        <v>0.12786640564875731</v>
      </c>
      <c r="BX24" s="108">
        <f>BX23/BX14</f>
        <v>0.12744533688189683</v>
      </c>
      <c r="BY24" s="113">
        <f ca="1">(BX24-BW24)*100</f>
        <v>-4.2106876686048844E-2</v>
      </c>
      <c r="CA24" s="108">
        <f ca="1">CA23/CA14</f>
        <v>0.13462850423114386</v>
      </c>
      <c r="CB24" s="108">
        <f>CB23/CB14</f>
        <v>0.1389458492475924</v>
      </c>
      <c r="CC24" s="113">
        <f ca="1">(CB24-CA24)*100</f>
        <v>0.43173450164485372</v>
      </c>
      <c r="CE24" s="108">
        <f ca="1">CE23/CE14</f>
        <v>0.14148664516175471</v>
      </c>
      <c r="CF24" s="108">
        <f>CF23/CF14</f>
        <v>0.14359730978153654</v>
      </c>
      <c r="CG24" s="113">
        <f ca="1">(CF24-CE24)*100</f>
        <v>0.21106646197818213</v>
      </c>
      <c r="CI24" s="108">
        <f ca="1">CI23/CI14</f>
        <v>0.14473108386156586</v>
      </c>
      <c r="CJ24" s="108">
        <f>CJ23/CJ14</f>
        <v>0.14732483218527012</v>
      </c>
      <c r="CK24" s="113">
        <f ca="1">(CJ24-CI24)*100</f>
        <v>0.25937483237042647</v>
      </c>
      <c r="CM24" s="108">
        <f ca="1">CM23/CM14</f>
        <v>0.14571763621601211</v>
      </c>
      <c r="CN24" s="108">
        <f>CN23/CN14</f>
        <v>0.14909581931047461</v>
      </c>
      <c r="CO24" s="113">
        <f ca="1">(CN24-CM24)*100</f>
        <v>0.33781830944625002</v>
      </c>
      <c r="CP24" s="1179"/>
      <c r="CQ24" s="108">
        <f ca="1">CQ23/CQ14</f>
        <v>0.14625773431781641</v>
      </c>
      <c r="CR24" s="108">
        <f>CR23/CR14</f>
        <v>0.15101967618432258</v>
      </c>
      <c r="CS24" s="113">
        <f ca="1">(CR24-CQ24)*100</f>
        <v>0.47619418665061641</v>
      </c>
      <c r="CT24" s="1179"/>
      <c r="CU24" s="845" t="s">
        <v>1445</v>
      </c>
      <c r="CW24" s="108">
        <f ca="1">CW23/CW14</f>
        <v>0.14571763621601211</v>
      </c>
      <c r="CX24" s="108">
        <f>CX23/CX14</f>
        <v>0.14909581931047461</v>
      </c>
      <c r="CY24" s="113">
        <f ca="1">(CX24-CW24)*100</f>
        <v>0.33781830944625002</v>
      </c>
    </row>
    <row r="25" spans="1:103" ht="13.5" customHeight="1" outlineLevel="1">
      <c r="E25" s="118" t="s">
        <v>1181</v>
      </c>
      <c r="G25" s="89" t="s">
        <v>1093</v>
      </c>
      <c r="H25" s="110">
        <f>'Income Statement'!$W$21</f>
        <v>-167</v>
      </c>
      <c r="J25" s="110" t="e">
        <f>#REF!</f>
        <v>#REF!</v>
      </c>
      <c r="K25" s="110" t="e">
        <f>#REF!</f>
        <v>#REF!</v>
      </c>
      <c r="L25" s="110" t="e">
        <f>#REF!</f>
        <v>#REF!</v>
      </c>
      <c r="M25" s="110">
        <f>'Income Statement'!$X$21</f>
        <v>-140</v>
      </c>
      <c r="O25" s="110" t="s">
        <v>1267</v>
      </c>
      <c r="P25" s="110" t="s">
        <v>1267</v>
      </c>
      <c r="Q25" s="99" t="s">
        <v>1267</v>
      </c>
      <c r="S25" s="110" t="s">
        <v>1267</v>
      </c>
      <c r="T25" s="110" t="s">
        <v>1267</v>
      </c>
      <c r="U25" s="99" t="s">
        <v>1267</v>
      </c>
      <c r="V25" s="110"/>
      <c r="W25" s="110" t="s">
        <v>1267</v>
      </c>
      <c r="X25" s="110" t="s">
        <v>1267</v>
      </c>
      <c r="Y25" s="99" t="s">
        <v>1267</v>
      </c>
      <c r="Z25" s="110"/>
      <c r="AA25" s="110" t="s">
        <v>1267</v>
      </c>
      <c r="AB25" s="110" t="s">
        <v>1267</v>
      </c>
      <c r="AC25" s="99" t="s">
        <v>1267</v>
      </c>
      <c r="AE25" s="110" t="s">
        <v>1267</v>
      </c>
      <c r="AF25" s="99" t="s">
        <v>1267</v>
      </c>
      <c r="AH25" s="110">
        <f ca="1">_xll.VisibleAlpha.UDF.VAData($C$2,AH$6,$E25,$E$11,"CD","IMPL",$C$6)</f>
        <v>10</v>
      </c>
      <c r="AI25" s="110" t="e">
        <f>#REF!</f>
        <v>#REF!</v>
      </c>
      <c r="AJ25" s="99" t="e">
        <f t="shared" ref="AJ25" ca="1" si="27">AI25/AH25-1</f>
        <v>#REF!</v>
      </c>
      <c r="AL25" s="110">
        <f ca="1">_xll.VisibleAlpha.UDF.VAData($C$2,AL$6,$E25,$E$11,"CD","IMPL",$C$6)</f>
        <v>10</v>
      </c>
      <c r="AM25" s="110" t="str">
        <f ca="1">_xll.VisibleAlpha.UDF.VAData($C$2,AM$6,$E25,$E$11,"CD","IMPL",$C$6)</f>
        <v>-</v>
      </c>
      <c r="AO25" s="110" t="s">
        <v>1267</v>
      </c>
      <c r="AQ25" s="110" t="s">
        <v>1267</v>
      </c>
      <c r="AR25" s="110" t="s">
        <v>1267</v>
      </c>
      <c r="AS25" s="99" t="s">
        <v>1267</v>
      </c>
      <c r="AU25" s="110">
        <v>-106</v>
      </c>
      <c r="AV25" s="110">
        <f>'Income Statement'!$Y$21</f>
        <v>-116</v>
      </c>
      <c r="AW25" s="99">
        <f>-(AV25/AU25-1)</f>
        <v>-9.4339622641509413E-2</v>
      </c>
      <c r="AY25" s="110">
        <v>43</v>
      </c>
      <c r="AZ25" s="110">
        <f>'Income Statement'!$Z$21</f>
        <v>27</v>
      </c>
      <c r="BA25" s="99">
        <f>-(AZ25/AY25-1)</f>
        <v>0.37209302325581395</v>
      </c>
      <c r="BC25" s="110">
        <f ca="1">_xll.VisibleAlpha.UDF.VAData($C$2,BC$6,$E25,$E$11,"CD","IMPL",$C$6)</f>
        <v>-115.99879726713846</v>
      </c>
      <c r="BD25" s="110">
        <f>'Income Statement'!$Y$21</f>
        <v>-116</v>
      </c>
      <c r="BE25" s="99">
        <f ca="1">-(BD25/BC25-1)</f>
        <v>-1.0368494242074533E-5</v>
      </c>
      <c r="BG25" s="110"/>
      <c r="BH25" s="110" t="s">
        <v>1267</v>
      </c>
      <c r="BI25" s="658" t="s">
        <v>1267</v>
      </c>
      <c r="BK25" s="110">
        <f ca="1">_xll.VisibleAlpha.UDF.VAData($C$2,BK$6,$E25,$E$11,"CD","IMPL",$C$6)</f>
        <v>27</v>
      </c>
      <c r="BL25" s="110" t="e">
        <f>#REF!</f>
        <v>#REF!</v>
      </c>
      <c r="BM25" s="99" t="e">
        <f t="shared" ref="BM25" ca="1" si="28">BL25/BK25-1</f>
        <v>#REF!</v>
      </c>
      <c r="BO25" s="655"/>
      <c r="BQ25" s="110">
        <f ca="1">_xll.VisibleAlpha.UDF.VAData($C$2,BQ$6,$E25,$E$11,"CD","IMPL",$C$6)</f>
        <v>100.44275434908413</v>
      </c>
      <c r="BR25" s="110">
        <f>'Income Statement'!$AA$21</f>
        <v>106.69281550872572</v>
      </c>
      <c r="BS25" s="99">
        <f t="shared" ref="BS25" ca="1" si="29">BR25/BQ25-1</f>
        <v>6.2225107227941834E-2</v>
      </c>
      <c r="BU25" s="845"/>
      <c r="BW25" s="110">
        <f ca="1">_xll.VisibleAlpha.UDF.VAData($C$2,BW$6,$E25,$E$11,"CD","IMPL",$C$6)</f>
        <v>100.44275434908413</v>
      </c>
      <c r="BX25" s="110">
        <f>'Income Statement'!$AA$21</f>
        <v>106.69281550872572</v>
      </c>
      <c r="BY25" s="1182">
        <f t="shared" ref="BY25" ca="1" si="30">BX25/BW25-1</f>
        <v>6.2225107227941834E-2</v>
      </c>
      <c r="CA25" s="110">
        <f ca="1">_xll.VisibleAlpha.UDF.VAData($C$2,CA$6,$E25,$E$11,"CD","IMPL",$C$6)</f>
        <v>196.93354711338168</v>
      </c>
      <c r="CB25" s="110">
        <f>'Income Statement'!$AB$21</f>
        <v>200.53140626440566</v>
      </c>
      <c r="CC25" s="99">
        <f t="shared" ref="CC25" ca="1" si="31">CB25/CA25-1</f>
        <v>1.8269407136370486E-2</v>
      </c>
      <c r="CE25" s="110">
        <f ca="1">_xll.VisibleAlpha.UDF.VAData($C$2,CE$6,$E25,$E$11,"CD","IMPL",$C$6)</f>
        <v>304.2432013219202</v>
      </c>
      <c r="CF25" s="110">
        <f>'Income Statement'!$AC$21</f>
        <v>309.38033969793548</v>
      </c>
      <c r="CG25" s="99">
        <f t="shared" ref="CG25" ca="1" si="32">CF25/CE25-1</f>
        <v>1.68849734478691E-2</v>
      </c>
      <c r="CI25" s="110">
        <f ca="1">_xll.VisibleAlpha.UDF.VAData($C$2,CI$6,$E25,$E$11,"CD","IMPL",$C$6)</f>
        <v>403.00189985595807</v>
      </c>
      <c r="CJ25" s="110">
        <f>'Income Statement'!$AD$21</f>
        <v>401.1613011765312</v>
      </c>
      <c r="CK25" s="99">
        <f t="shared" ref="CK25" ca="1" si="33">CJ25/CI25-1</f>
        <v>-4.5672208495413091E-3</v>
      </c>
      <c r="CM25" s="110">
        <f ca="1">_xll.VisibleAlpha.UDF.VAData($C$2,CM$6,$E25,$E$11,"CD","IMPL",$C$6)</f>
        <v>419.93586458584809</v>
      </c>
      <c r="CN25" s="110">
        <f>'Income Statement'!$AE$21</f>
        <v>431.91275843864668</v>
      </c>
      <c r="CO25" s="99">
        <f t="shared" ref="CO25" ca="1" si="34">CN25/CM25-1</f>
        <v>2.8520769152714509E-2</v>
      </c>
      <c r="CP25" s="1177"/>
      <c r="CQ25" s="110">
        <f ca="1">_xll.VisibleAlpha.UDF.VAData($C$2,CQ$6,$E25,$E$11,"CD","IMPL",$C$6)</f>
        <v>440.15190256945243</v>
      </c>
      <c r="CR25" s="110">
        <f>'Income Statement'!$AF$21</f>
        <v>446.20993327077412</v>
      </c>
      <c r="CS25" s="99">
        <f t="shared" ref="CS25" ca="1" si="35">CR25/CQ25-1</f>
        <v>1.37634999779781E-2</v>
      </c>
      <c r="CT25" s="1177"/>
      <c r="CU25" s="845"/>
      <c r="CW25" s="110">
        <f ca="1">_xll.VisibleAlpha.UDF.VAData($C$2,CW$6,$E25,$E$11,"CD","IMPL",$C$6)</f>
        <v>419.93586458584809</v>
      </c>
      <c r="CX25" s="110">
        <f>'Income Statement'!$AE$21</f>
        <v>431.91275843864668</v>
      </c>
      <c r="CY25" s="99">
        <f t="shared" ref="CY25" ca="1" si="36">CX25/CW25-1</f>
        <v>2.8520769152714509E-2</v>
      </c>
    </row>
    <row r="26" spans="1:103" ht="13.5" customHeight="1" outlineLevel="1">
      <c r="G26" s="657" t="s">
        <v>903</v>
      </c>
      <c r="H26" s="112">
        <f>H25/H15</f>
        <v>-0.11322033898305085</v>
      </c>
      <c r="J26" s="108" t="e">
        <f>J25/J15</f>
        <v>#REF!</v>
      </c>
      <c r="K26" s="108" t="e">
        <f>K25/K15</f>
        <v>#REF!</v>
      </c>
      <c r="L26" s="108" t="e">
        <f>L25/L15</f>
        <v>#REF!</v>
      </c>
      <c r="M26" s="108">
        <f>M25/M15</f>
        <v>-7.0778564206268962E-2</v>
      </c>
      <c r="O26" s="108" t="s">
        <v>1267</v>
      </c>
      <c r="P26" s="108" t="s">
        <v>1267</v>
      </c>
      <c r="Q26" s="113" t="s">
        <v>1267</v>
      </c>
      <c r="S26" s="108" t="s">
        <v>1267</v>
      </c>
      <c r="T26" s="108" t="s">
        <v>1267</v>
      </c>
      <c r="U26" s="113" t="s">
        <v>1267</v>
      </c>
      <c r="V26" s="207"/>
      <c r="W26" s="108" t="s">
        <v>1267</v>
      </c>
      <c r="X26" s="108" t="s">
        <v>1267</v>
      </c>
      <c r="Y26" s="113" t="s">
        <v>1267</v>
      </c>
      <c r="Z26" s="207"/>
      <c r="AA26" s="108" t="s">
        <v>1267</v>
      </c>
      <c r="AB26" s="108" t="s">
        <v>1267</v>
      </c>
      <c r="AC26" s="113" t="s">
        <v>1267</v>
      </c>
      <c r="AE26" s="110" t="s">
        <v>1267</v>
      </c>
      <c r="AF26" s="113" t="s">
        <v>1267</v>
      </c>
      <c r="AH26" s="108">
        <f ca="1">AH25/AH15</f>
        <v>7.0871722182849041E-3</v>
      </c>
      <c r="AI26" s="108" t="e">
        <f>AI25/AI15</f>
        <v>#REF!</v>
      </c>
      <c r="AJ26" s="113" t="e">
        <f ca="1">(AI26-AH26)*100</f>
        <v>#REF!</v>
      </c>
      <c r="AL26" s="108">
        <f ca="1">AL25/AL15</f>
        <v>7.0871722182849041E-3</v>
      </c>
      <c r="AM26" s="108" t="e">
        <f ca="1">AM25/AM15</f>
        <v>#VALUE!</v>
      </c>
      <c r="AO26" s="108" t="s">
        <v>1267</v>
      </c>
      <c r="AQ26" s="108" t="s">
        <v>1267</v>
      </c>
      <c r="AR26" s="108" t="s">
        <v>1267</v>
      </c>
      <c r="AS26" s="113" t="s">
        <v>1267</v>
      </c>
      <c r="AU26" s="108">
        <f>AU25/AU15</f>
        <v>-4.2914979757085019E-2</v>
      </c>
      <c r="AV26" s="108">
        <f>AV25/AV15</f>
        <v>-4.6830843762616065E-2</v>
      </c>
      <c r="AW26" s="113">
        <f>(AV26-AU26)*100</f>
        <v>-0.39158640055310456</v>
      </c>
      <c r="AY26" s="108">
        <f>AY25/AY15</f>
        <v>1.471091344509066E-2</v>
      </c>
      <c r="AZ26" s="108">
        <f>AZ25/AZ15</f>
        <v>8.8903523213697735E-3</v>
      </c>
      <c r="BA26" s="113">
        <f>(AZ26-AY26)*100</f>
        <v>-0.58205611237208865</v>
      </c>
      <c r="BC26" s="108">
        <f ca="1">BC25/BC15</f>
        <v>-4.6830358202316694E-2</v>
      </c>
      <c r="BD26" s="108">
        <f>BD25/BD15</f>
        <v>-4.6830843762616065E-2</v>
      </c>
      <c r="BE26" s="113">
        <f ca="1">(BD26-BC26)*100</f>
        <v>-4.8556029937085743E-5</v>
      </c>
      <c r="BG26" s="108"/>
      <c r="BH26" s="108" t="s">
        <v>1267</v>
      </c>
      <c r="BI26" s="659" t="s">
        <v>1267</v>
      </c>
      <c r="BK26" s="108">
        <f ca="1">BK25/BK15</f>
        <v>1.6707920792079209E-2</v>
      </c>
      <c r="BL26" s="108" t="e">
        <f>BL25/BL15</f>
        <v>#REF!</v>
      </c>
      <c r="BM26" s="113" t="e">
        <f ca="1">(BL26-BK26)*100</f>
        <v>#REF!</v>
      </c>
      <c r="BO26" s="655"/>
      <c r="BQ26" s="108">
        <f ca="1">BQ25/BQ15</f>
        <v>2.9409609173635783E-2</v>
      </c>
      <c r="BR26" s="108">
        <f>BR25/BR15</f>
        <v>3.1161559032415378E-2</v>
      </c>
      <c r="BS26" s="113">
        <f ca="1">(BR26-BQ26)*100</f>
        <v>0.17519498587795951</v>
      </c>
      <c r="BU26" s="845"/>
      <c r="BW26" s="108">
        <f ca="1">BW25/BW15</f>
        <v>2.9409609173635783E-2</v>
      </c>
      <c r="BX26" s="108">
        <f>BX25/BX15</f>
        <v>3.1161559032415378E-2</v>
      </c>
      <c r="BY26" s="1183">
        <f ca="1">(BX26-BW26)*100</f>
        <v>0.17519498587795951</v>
      </c>
      <c r="CA26" s="108">
        <f ca="1">CA25/CA15</f>
        <v>5.219412415083538E-2</v>
      </c>
      <c r="CB26" s="108">
        <f>CB25/CB15</f>
        <v>5.3006814806385111E-2</v>
      </c>
      <c r="CC26" s="113">
        <f ca="1">(CB26-CA26)*100</f>
        <v>8.1269065554973041E-2</v>
      </c>
      <c r="CE26" s="108">
        <f ca="1">CE25/CE15</f>
        <v>7.3944598111156959E-2</v>
      </c>
      <c r="CF26" s="108">
        <f>CF25/CF15</f>
        <v>7.4827366973950343E-2</v>
      </c>
      <c r="CG26" s="113">
        <f ca="1">(CF26-CE26)*100</f>
        <v>8.827688627933844E-2</v>
      </c>
      <c r="CI26" s="108">
        <f ca="1">CI25/CI15</f>
        <v>9.1271775415473252E-2</v>
      </c>
      <c r="CJ26" s="108">
        <f>CJ25/CJ15</f>
        <v>8.9707897044962806E-2</v>
      </c>
      <c r="CK26" s="113">
        <f ca="1">(CJ26-CI26)*100</f>
        <v>-0.15638783705104464</v>
      </c>
      <c r="CM26" s="108">
        <f ca="1">CM25/CM15</f>
        <v>9.1548606304354449E-2</v>
      </c>
      <c r="CN26" s="108">
        <f>CN25/CN15</f>
        <v>9.3556118260671076E-2</v>
      </c>
      <c r="CO26" s="113">
        <f ca="1">(CN26-CM26)*100</f>
        <v>0.20075119563166266</v>
      </c>
      <c r="CP26" s="1179"/>
      <c r="CQ26" s="108">
        <f ca="1">CQ25/CQ15</f>
        <v>9.2499500304013146E-2</v>
      </c>
      <c r="CR26" s="108">
        <f>CR25/CR15</f>
        <v>9.3984997662316716E-2</v>
      </c>
      <c r="CS26" s="113">
        <f ca="1">(CR26-CQ26)*100</f>
        <v>0.14854973583035697</v>
      </c>
      <c r="CT26" s="1179"/>
      <c r="CU26" s="845" t="s">
        <v>1446</v>
      </c>
      <c r="CW26" s="108">
        <f ca="1">CW25/CW15</f>
        <v>9.1548606304354449E-2</v>
      </c>
      <c r="CX26" s="108">
        <f>CX25/CX15</f>
        <v>9.3556118260671076E-2</v>
      </c>
      <c r="CY26" s="113">
        <f ca="1">(CX26-CW26)*100</f>
        <v>0.20075119563166266</v>
      </c>
    </row>
    <row r="27" spans="1:103" ht="13.5" customHeight="1" outlineLevel="1">
      <c r="E27" s="118" t="s">
        <v>1182</v>
      </c>
      <c r="G27" s="89" t="s">
        <v>1183</v>
      </c>
      <c r="H27" s="110">
        <f>'Income Statement'!$W$22</f>
        <v>-20</v>
      </c>
      <c r="J27" s="110" t="e">
        <f>#REF!</f>
        <v>#REF!</v>
      </c>
      <c r="K27" s="110" t="e">
        <f>#REF!</f>
        <v>#REF!</v>
      </c>
      <c r="L27" s="110" t="e">
        <f>#REF!</f>
        <v>#REF!</v>
      </c>
      <c r="M27" s="110">
        <f>'Income Statement'!$X$22</f>
        <v>-36</v>
      </c>
      <c r="O27" s="110" t="s">
        <v>1267</v>
      </c>
      <c r="P27" s="110" t="s">
        <v>1267</v>
      </c>
      <c r="Q27" s="99" t="s">
        <v>1267</v>
      </c>
      <c r="S27" s="110" t="s">
        <v>1267</v>
      </c>
      <c r="T27" s="110" t="s">
        <v>1267</v>
      </c>
      <c r="U27" s="99" t="s">
        <v>1267</v>
      </c>
      <c r="V27" s="110"/>
      <c r="W27" s="110" t="s">
        <v>1267</v>
      </c>
      <c r="X27" s="110" t="s">
        <v>1267</v>
      </c>
      <c r="Y27" s="99" t="s">
        <v>1267</v>
      </c>
      <c r="Z27" s="110"/>
      <c r="AA27" s="110" t="s">
        <v>1267</v>
      </c>
      <c r="AB27" s="110" t="s">
        <v>1267</v>
      </c>
      <c r="AC27" s="99" t="s">
        <v>1267</v>
      </c>
      <c r="AE27" s="110" t="s">
        <v>1267</v>
      </c>
      <c r="AF27" s="99" t="s">
        <v>1267</v>
      </c>
      <c r="AH27" s="110">
        <f ca="1">_xll.VisibleAlpha.UDF.VAData($C$2,AH$6,$E27,$E$11,"CD","IMPL",$C$6)</f>
        <v>22</v>
      </c>
      <c r="AI27" s="110" t="e">
        <f>#REF!</f>
        <v>#REF!</v>
      </c>
      <c r="AJ27" s="99" t="e">
        <f ca="1">AI27/AH27-1</f>
        <v>#REF!</v>
      </c>
      <c r="AL27" s="110">
        <f ca="1">_xll.VisibleAlpha.UDF.VAData($C$2,AL$6,$E27,$E$11,"CD","IMPL",$C$6)</f>
        <v>22</v>
      </c>
      <c r="AM27" s="110" t="str">
        <f ca="1">_xll.VisibleAlpha.UDF.VAData($C$2,AM$6,$E27,$E$11,"CD","IMPL",$C$6)</f>
        <v>-</v>
      </c>
      <c r="AO27" s="110" t="s">
        <v>1267</v>
      </c>
      <c r="AQ27" s="110" t="s">
        <v>1267</v>
      </c>
      <c r="AR27" s="110" t="s">
        <v>1267</v>
      </c>
      <c r="AS27" s="99" t="s">
        <v>1267</v>
      </c>
      <c r="AU27" s="110">
        <v>-80</v>
      </c>
      <c r="AV27" s="110">
        <f>'Income Statement'!$Y$22</f>
        <v>-100</v>
      </c>
      <c r="AW27" s="99">
        <f>AV27/AU27-1</f>
        <v>0.25</v>
      </c>
      <c r="AY27" s="110">
        <v>-84</v>
      </c>
      <c r="AZ27" s="110">
        <f>'Income Statement'!$Z$22</f>
        <v>-25</v>
      </c>
      <c r="BA27" s="99">
        <f>AZ27/AY27-1</f>
        <v>-0.70238095238095233</v>
      </c>
      <c r="BC27" s="110">
        <f ca="1">_xll.VisibleAlpha.UDF.VAData($C$2,BC$6,$E27,$E$11,"CD","IMPL",$C$6)</f>
        <v>-100</v>
      </c>
      <c r="BD27" s="110">
        <f>'Income Statement'!$Y$22</f>
        <v>-100</v>
      </c>
      <c r="BE27" s="99">
        <f ca="1">BD27/BC27-1</f>
        <v>0</v>
      </c>
      <c r="BG27" s="110"/>
      <c r="BH27" s="110" t="s">
        <v>1267</v>
      </c>
      <c r="BI27" s="658" t="s">
        <v>1267</v>
      </c>
      <c r="BK27" s="110">
        <f ca="1">_xll.VisibleAlpha.UDF.VAData($C$2,BK$6,$E27,$E$11,"CD","IMPL",$C$6)</f>
        <v>22</v>
      </c>
      <c r="BL27" s="110" t="e">
        <f>#REF!</f>
        <v>#REF!</v>
      </c>
      <c r="BM27" s="99" t="e">
        <f ca="1">BL27/BK27-1</f>
        <v>#REF!</v>
      </c>
      <c r="BO27" s="655"/>
      <c r="BQ27" s="110">
        <f ca="1">_xll.VisibleAlpha.UDF.VAData($C$2,BQ$6,$E27,$E$11,"CD","IMPL",$C$6)</f>
        <v>-41.822243392576311</v>
      </c>
      <c r="BR27" s="110">
        <f>'Income Statement'!$AA$22</f>
        <v>-28.879972741592237</v>
      </c>
      <c r="BS27" s="99">
        <f ca="1">BR27/BQ27-1</f>
        <v>-0.30945902469883768</v>
      </c>
      <c r="BW27" s="110">
        <f ca="1">_xll.VisibleAlpha.UDF.VAData($C$2,BW$6,$E27,$E$11,"CD","IMPL",$C$6)</f>
        <v>-41.822243392576311</v>
      </c>
      <c r="BX27" s="110">
        <f>'Income Statement'!$AA$22</f>
        <v>-28.879972741592237</v>
      </c>
      <c r="BY27" s="1182">
        <f ca="1">BX27/BW27-1</f>
        <v>-0.30945902469883768</v>
      </c>
      <c r="CA27" s="110">
        <f ca="1">_xll.VisibleAlpha.UDF.VAData($C$2,CA$6,$E27,$E$11,"CD","IMPL",$C$6)</f>
        <v>-43.866891304218903</v>
      </c>
      <c r="CB27" s="110">
        <f>'Income Statement'!$AB$22</f>
        <v>-32.629618715037537</v>
      </c>
      <c r="CC27" s="99">
        <f ca="1">CB27/CA27-1</f>
        <v>-0.25616751620830314</v>
      </c>
      <c r="CE27" s="110">
        <f ca="1">_xll.VisibleAlpha.UDF.VAData($C$2,CE$6,$E27,$E$11,"CD","IMPL",$C$6)</f>
        <v>-45.046583361550439</v>
      </c>
      <c r="CF27" s="110">
        <f>'Income Statement'!$AC$22</f>
        <v>-35.904879094472001</v>
      </c>
      <c r="CG27" s="99">
        <f ca="1">CF27/CE27-1</f>
        <v>-0.20293890423843663</v>
      </c>
      <c r="CI27" s="110">
        <f ca="1">_xll.VisibleAlpha.UDF.VAData($C$2,CI$6,$E27,$E$11,"CD","IMPL",$C$6)</f>
        <v>-45.434719762739739</v>
      </c>
      <c r="CJ27" s="110">
        <f>'Income Statement'!$AD$22</f>
        <v>-38.695768959326102</v>
      </c>
      <c r="CK27" s="99">
        <f ca="1">CJ27/CI27-1</f>
        <v>-0.14832161040289149</v>
      </c>
      <c r="CM27" s="110">
        <f ca="1">_xll.VisibleAlpha.UDF.VAData($C$2,CM$6,$E27,$E$11,"CD","IMPL",$C$6)</f>
        <v>-49.227416464130222</v>
      </c>
      <c r="CN27" s="110">
        <f>'Income Statement'!$AE$22</f>
        <v>-40.835972995525005</v>
      </c>
      <c r="CO27" s="99">
        <f ca="1">CN27/CM27-1</f>
        <v>-0.17046280449675189</v>
      </c>
      <c r="CP27" s="1177"/>
      <c r="CQ27" s="110">
        <f ca="1">_xll.VisibleAlpha.UDF.VAData($C$2,CQ$6,$E27,$E$11,"CD","IMPL",$C$6)</f>
        <v>-50.648534339906334</v>
      </c>
      <c r="CR27" s="110">
        <f>'Income Statement'!$AF$22</f>
        <v>-42.818635474970606</v>
      </c>
      <c r="CS27" s="99">
        <f ca="1">CR27/CQ27-1</f>
        <v>-0.15459280247654661</v>
      </c>
      <c r="CT27" s="1177"/>
      <c r="CU27" s="845"/>
      <c r="CW27" s="110">
        <f ca="1">_xll.VisibleAlpha.UDF.VAData($C$2,CW$6,$E27,$E$11,"CD","IMPL",$C$6)</f>
        <v>-49.227416464130222</v>
      </c>
      <c r="CX27" s="110">
        <f>'Income Statement'!$AE$22</f>
        <v>-40.835972995525005</v>
      </c>
      <c r="CY27" s="99">
        <f ca="1">CX27/CW27-1</f>
        <v>-0.17046280449675189</v>
      </c>
    </row>
    <row r="28" spans="1:103" ht="13.5" customHeight="1" outlineLevel="1">
      <c r="E28" s="118" t="s">
        <v>1184</v>
      </c>
      <c r="G28" s="121" t="s">
        <v>1185</v>
      </c>
      <c r="H28" s="124">
        <f>'Income Statement'!$W$23</f>
        <v>1805</v>
      </c>
      <c r="J28" s="124" t="e">
        <f>#REF!</f>
        <v>#REF!</v>
      </c>
      <c r="K28" s="124" t="e">
        <f>#REF!</f>
        <v>#REF!</v>
      </c>
      <c r="L28" s="124" t="e">
        <f>#REF!</f>
        <v>#REF!</v>
      </c>
      <c r="M28" s="124">
        <f>'Income Statement'!$X$23</f>
        <v>2408</v>
      </c>
      <c r="O28" s="124" t="s">
        <v>1267</v>
      </c>
      <c r="P28" s="124" t="s">
        <v>1267</v>
      </c>
      <c r="Q28" s="123" t="s">
        <v>1267</v>
      </c>
      <c r="S28" s="124" t="s">
        <v>1267</v>
      </c>
      <c r="T28" s="124" t="s">
        <v>1267</v>
      </c>
      <c r="U28" s="123" t="s">
        <v>1267</v>
      </c>
      <c r="V28" s="208"/>
      <c r="W28" s="124" t="s">
        <v>1267</v>
      </c>
      <c r="X28" s="124" t="s">
        <v>1267</v>
      </c>
      <c r="Y28" s="123" t="s">
        <v>1267</v>
      </c>
      <c r="Z28" s="208"/>
      <c r="AA28" s="124" t="s">
        <v>1267</v>
      </c>
      <c r="AB28" s="124" t="s">
        <v>1267</v>
      </c>
      <c r="AC28" s="123" t="s">
        <v>1267</v>
      </c>
      <c r="AE28" s="124">
        <v>1078</v>
      </c>
      <c r="AF28" s="123" t="e">
        <f>L28/AE28-1</f>
        <v>#REF!</v>
      </c>
      <c r="AH28" s="124">
        <f ca="1">_xll.VisibleAlpha.UDF.VAData($C$2,AH$6,$E28,$E$11,"CD","IMPL",$C$6)</f>
        <v>1974</v>
      </c>
      <c r="AI28" s="124" t="e">
        <f>#REF!</f>
        <v>#REF!</v>
      </c>
      <c r="AJ28" s="123" t="e">
        <f ca="1">AI28/AH28-1</f>
        <v>#REF!</v>
      </c>
      <c r="AL28" s="124">
        <f ca="1">_xll.VisibleAlpha.UDF.VAData($C$2,AL$6,$E28,$E$11,"CD","IMPL",$C$6)</f>
        <v>1974</v>
      </c>
      <c r="AM28" s="124" t="str">
        <f ca="1">_xll.VisibleAlpha.UDF.VAData($C$2,AM$6,$E28,$E$11,"CD","IMPL",$C$6)</f>
        <v>-</v>
      </c>
      <c r="AO28" s="124" t="s">
        <v>1267</v>
      </c>
      <c r="AQ28" s="124" t="s">
        <v>1267</v>
      </c>
      <c r="AR28" s="124" t="s">
        <v>1267</v>
      </c>
      <c r="AS28" s="123" t="s">
        <v>1267</v>
      </c>
      <c r="AU28" s="124">
        <v>3150</v>
      </c>
      <c r="AV28" s="124">
        <f>AV27+AV25+AV23+AV21</f>
        <v>3166</v>
      </c>
      <c r="AW28" s="123">
        <f>AV28/AU28-1</f>
        <v>5.0793650793650169E-3</v>
      </c>
      <c r="AY28" s="124">
        <v>3902</v>
      </c>
      <c r="AZ28" s="124">
        <f>'Income Statement'!$Z$23</f>
        <v>4119</v>
      </c>
      <c r="BA28" s="123">
        <f>AZ28/AY28-1</f>
        <v>5.5612506406970796E-2</v>
      </c>
      <c r="BC28" s="124">
        <f ca="1">_xll.VisibleAlpha.UDF.VAData($C$2,BC$6,$E28,$E$11,"CD","IMPL",$C$6)</f>
        <v>3172.2666666666669</v>
      </c>
      <c r="BD28" s="124">
        <f>BD27+BD25+BD23+BD21</f>
        <v>3166</v>
      </c>
      <c r="BE28" s="123">
        <f ca="1">BD28/BC28-1</f>
        <v>-1.9754539340955946E-3</v>
      </c>
      <c r="BG28" s="124" t="s">
        <v>1267</v>
      </c>
      <c r="BH28" s="124" t="s">
        <v>1267</v>
      </c>
      <c r="BI28" s="653" t="s">
        <v>1267</v>
      </c>
      <c r="BK28" s="124">
        <f ca="1">_xll.VisibleAlpha.UDF.VAData($C$2,BK$6,$E28,$E$11,"CD","IMPL",$C$6)</f>
        <v>2510</v>
      </c>
      <c r="BL28" s="124" t="e">
        <f>#REF!</f>
        <v>#REF!</v>
      </c>
      <c r="BM28" s="123" t="e">
        <f ca="1">BL28/BK28-1</f>
        <v>#REF!</v>
      </c>
      <c r="BO28" s="485" t="str">
        <f>'Results table'!BB107</f>
        <v>€5.1bn - €5.2bn</v>
      </c>
      <c r="BQ28" s="124">
        <f ca="1">_xll.VisibleAlpha.UDF.VAData($C$2,BQ$6,$E28,$E$11,"CD","IMPL",$C$6)</f>
        <v>5154.0806380172498</v>
      </c>
      <c r="BR28" s="124">
        <f>'Income Statement'!$AA$23</f>
        <v>5217.0942807667525</v>
      </c>
      <c r="BS28" s="123">
        <f ca="1">BR28/BQ28-1</f>
        <v>1.2225971453512896E-2</v>
      </c>
      <c r="BU28" s="836" t="s">
        <v>1451</v>
      </c>
      <c r="BW28" s="124">
        <f ca="1">_xll.VisibleAlpha.UDF.VAData($C$2,BW$6,$E28,$E$11,"CD","IMPL",$C$6)</f>
        <v>5154.0806380172498</v>
      </c>
      <c r="BX28" s="124">
        <f>'Income Statement'!$AA$23</f>
        <v>5217.0942807667525</v>
      </c>
      <c r="BY28" s="123">
        <f ca="1">BX28/BW28-1</f>
        <v>1.2225971453512896E-2</v>
      </c>
      <c r="CA28" s="124">
        <f ca="1">_xll.VisibleAlpha.UDF.VAData($C$2,CA$6,$E28,$E$11,"CD","IMPL",$C$6)</f>
        <v>6001.692147392384</v>
      </c>
      <c r="CB28" s="124">
        <f>'Income Statement'!$AB$23</f>
        <v>6143.3637864191269</v>
      </c>
      <c r="CC28" s="123">
        <f ca="1">CB28/CA28-1</f>
        <v>2.3605282568233132E-2</v>
      </c>
      <c r="CE28" s="124">
        <f ca="1">_xll.VisibleAlpha.UDF.VAData($C$2,CE$6,$E28,$E$11,"CD","IMPL",$C$6)</f>
        <v>6771.6596459337197</v>
      </c>
      <c r="CF28" s="124">
        <f>'Income Statement'!$AC$23</f>
        <v>6980.0221694088314</v>
      </c>
      <c r="CG28" s="123">
        <f ca="1">CF28/CE28-1</f>
        <v>3.0769786783396702E-2</v>
      </c>
      <c r="CI28" s="124">
        <f ca="1">_xll.VisibleAlpha.UDF.VAData($C$2,CI$6,$E28,$E$11,"CD","IMPL",$C$6)</f>
        <v>7559.1394811746359</v>
      </c>
      <c r="CJ28" s="124">
        <f>'Income Statement'!$AD$23</f>
        <v>7702.6228418575611</v>
      </c>
      <c r="CK28" s="123">
        <f ca="1">CJ28/CI28-1</f>
        <v>1.8981441080728523E-2</v>
      </c>
      <c r="CM28" s="124">
        <f ca="1">_xll.VisibleAlpha.UDF.VAData($C$2,CM$6,$E28,$E$11,"CD","IMPL",$C$6)</f>
        <v>7940.4147244845171</v>
      </c>
      <c r="CN28" s="124">
        <f>'Income Statement'!$AE$23</f>
        <v>8235.9280636556377</v>
      </c>
      <c r="CO28" s="123">
        <f ca="1">CN28/CM28-1</f>
        <v>3.7216360785274238E-2</v>
      </c>
      <c r="CP28" s="1178"/>
      <c r="CQ28" s="124">
        <f ca="1">_xll.VisibleAlpha.UDF.VAData($C$2,CQ$6,$E28,$E$11,"CD","IMPL",$C$6)</f>
        <v>8457.3100573751562</v>
      </c>
      <c r="CR28" s="124">
        <f>'Income Statement'!$AF$23</f>
        <v>8787.0464606278038</v>
      </c>
      <c r="CS28" s="123">
        <f ca="1">CR28/CQ28-1</f>
        <v>3.8988330925044279E-2</v>
      </c>
      <c r="CT28" s="1178"/>
      <c r="CU28" s="836" t="s">
        <v>1444</v>
      </c>
      <c r="CW28" s="124">
        <f ca="1">_xll.VisibleAlpha.UDF.VAData($C$2,CW$6,$E28,$E$11,"CD","IMPL",$C$6)</f>
        <v>7940.4147244845171</v>
      </c>
      <c r="CX28" s="124">
        <f>'Income Statement'!$AE$23</f>
        <v>8235.9280636556377</v>
      </c>
      <c r="CY28" s="123">
        <f ca="1">CX28/CW28-1</f>
        <v>3.7216360785274238E-2</v>
      </c>
    </row>
    <row r="29" spans="1:103" ht="13.5" customHeight="1" outlineLevel="1">
      <c r="G29" s="657" t="s">
        <v>1722</v>
      </c>
      <c r="H29" s="208"/>
      <c r="J29" s="208"/>
      <c r="K29" s="208"/>
      <c r="L29" s="208"/>
      <c r="M29" s="208"/>
      <c r="O29" s="208"/>
      <c r="P29" s="208"/>
      <c r="Q29" s="1237"/>
      <c r="S29" s="208"/>
      <c r="T29" s="208"/>
      <c r="U29" s="1237"/>
      <c r="V29" s="208"/>
      <c r="W29" s="208"/>
      <c r="X29" s="208"/>
      <c r="Y29" s="1237"/>
      <c r="Z29" s="208"/>
      <c r="AA29" s="208"/>
      <c r="AB29" s="208"/>
      <c r="AC29" s="1237"/>
      <c r="AE29" s="208"/>
      <c r="AF29" s="1237"/>
      <c r="AH29" s="208"/>
      <c r="AI29" s="208"/>
      <c r="AJ29" s="1237"/>
      <c r="AL29" s="208"/>
      <c r="AM29" s="208"/>
      <c r="AO29" s="208"/>
      <c r="AQ29" s="208"/>
      <c r="AR29" s="208"/>
      <c r="AS29" s="1237"/>
      <c r="AU29" s="208"/>
      <c r="AV29" s="208"/>
      <c r="AW29" s="1237"/>
      <c r="AY29" s="208"/>
      <c r="AZ29" s="208"/>
      <c r="BA29" s="1237"/>
      <c r="BC29" s="208"/>
      <c r="BD29" s="208"/>
      <c r="BE29" s="1237"/>
      <c r="BG29" s="208"/>
      <c r="BH29" s="208"/>
      <c r="BI29" s="1238"/>
      <c r="BK29" s="208"/>
      <c r="BL29" s="208"/>
      <c r="BM29" s="1237"/>
      <c r="BO29" s="1239"/>
      <c r="BQ29" s="208"/>
      <c r="BR29" s="208"/>
      <c r="BS29" s="1237"/>
      <c r="BU29" s="844"/>
      <c r="BW29" s="1244">
        <f ca="1">BW28/'Income Statement'!$Z$23-1</f>
        <v>0.25129415829503521</v>
      </c>
      <c r="BX29" s="1244">
        <f>BX28/'Income Statement'!$Z$23-1</f>
        <v>0.26659244495429779</v>
      </c>
      <c r="BY29" s="1237"/>
      <c r="CA29" s="1244">
        <f ca="1">CA28/BW28-1</f>
        <v>0.16445445248237456</v>
      </c>
      <c r="CB29" s="1244">
        <f>CB28/BX28-1</f>
        <v>0.17754509614042124</v>
      </c>
      <c r="CC29" s="1182"/>
      <c r="CD29" s="1245"/>
      <c r="CE29" s="1244">
        <f ca="1">CE28/CA28-1</f>
        <v>0.12829173500274771</v>
      </c>
      <c r="CF29" s="1244">
        <f>CF28/CB28-1</f>
        <v>0.13618896944362469</v>
      </c>
      <c r="CG29" s="1182"/>
      <c r="CH29" s="1245"/>
      <c r="CI29" s="1244">
        <f ca="1">CI28/CE28-1</f>
        <v>0.11629052203085632</v>
      </c>
      <c r="CJ29" s="1244">
        <f>CJ28/CF28-1</f>
        <v>0.10352412283382906</v>
      </c>
      <c r="CK29" s="1182"/>
      <c r="CL29" s="1245"/>
      <c r="CM29" s="1244">
        <f ca="1">CM28/CI28-1</f>
        <v>5.043897447049539E-2</v>
      </c>
      <c r="CN29" s="1244">
        <f>CN28/CJ28-1</f>
        <v>6.9236834354655441E-2</v>
      </c>
      <c r="CO29" s="1182"/>
      <c r="CP29" s="1177"/>
      <c r="CQ29" s="1244">
        <f ca="1">CQ28/CM28-1</f>
        <v>6.5096767716272597E-2</v>
      </c>
      <c r="CR29" s="1244">
        <f>CR28/CN28-1</f>
        <v>6.691636846662119E-2</v>
      </c>
      <c r="CS29" s="1237"/>
      <c r="CT29" s="1178"/>
      <c r="CU29" s="836"/>
      <c r="CW29" s="124"/>
      <c r="CX29" s="124"/>
      <c r="CY29" s="123"/>
    </row>
    <row r="30" spans="1:103" ht="13.5" customHeight="1" outlineLevel="1">
      <c r="G30" s="657" t="s">
        <v>903</v>
      </c>
      <c r="H30" s="108">
        <f>H28/H17</f>
        <v>0.11830635118306351</v>
      </c>
      <c r="J30" s="108" t="e">
        <f>J28/J17</f>
        <v>#REF!</v>
      </c>
      <c r="K30" s="108" t="e">
        <f>K28/K17</f>
        <v>#REF!</v>
      </c>
      <c r="L30" s="108" t="e">
        <f>L28/L17</f>
        <v>#REF!</v>
      </c>
      <c r="M30" s="432">
        <f>M28/M17</f>
        <v>0.12650380877331233</v>
      </c>
      <c r="O30" s="108" t="s">
        <v>1267</v>
      </c>
      <c r="P30" s="108" t="s">
        <v>1267</v>
      </c>
      <c r="Q30" s="114" t="s">
        <v>1267</v>
      </c>
      <c r="S30" s="108" t="s">
        <v>1267</v>
      </c>
      <c r="T30" s="108" t="s">
        <v>1267</v>
      </c>
      <c r="U30" s="114" t="s">
        <v>1267</v>
      </c>
      <c r="V30" s="207"/>
      <c r="W30" s="108" t="s">
        <v>1267</v>
      </c>
      <c r="X30" s="108" t="s">
        <v>1267</v>
      </c>
      <c r="Y30" s="114" t="s">
        <v>1267</v>
      </c>
      <c r="Z30" s="207"/>
      <c r="AA30" s="108" t="s">
        <v>1267</v>
      </c>
      <c r="AB30" s="108" t="s">
        <v>1267</v>
      </c>
      <c r="AC30" s="114" t="s">
        <v>1267</v>
      </c>
      <c r="AE30" s="108">
        <f>AE28/AE17</f>
        <v>0.12518871211241436</v>
      </c>
      <c r="AF30" s="114" t="e">
        <f>(L30-AE30)*100</f>
        <v>#REF!</v>
      </c>
      <c r="AH30" s="108">
        <f ca="1">AH28/AH17</f>
        <v>0.15129914922970797</v>
      </c>
      <c r="AI30" s="108" t="e">
        <f>AI28/AI17</f>
        <v>#REF!</v>
      </c>
      <c r="AJ30" s="114" t="e">
        <f ca="1">(AI30-AH30)*100</f>
        <v>#REF!</v>
      </c>
      <c r="AL30" s="108">
        <f ca="1">AL28/AL17</f>
        <v>0.15129914922970797</v>
      </c>
      <c r="AM30" s="108" t="e">
        <f ca="1">AM28/AM17</f>
        <v>#VALUE!</v>
      </c>
      <c r="AO30" s="108" t="s">
        <v>1267</v>
      </c>
      <c r="AQ30" s="108" t="s">
        <v>1267</v>
      </c>
      <c r="AR30" s="108" t="s">
        <v>1267</v>
      </c>
      <c r="AS30" s="114" t="s">
        <v>1267</v>
      </c>
      <c r="AU30" s="108">
        <f>AU28/AU17</f>
        <v>0.13539069887389324</v>
      </c>
      <c r="AV30" s="108">
        <f>AV28/AV17</f>
        <v>0.13647139962929436</v>
      </c>
      <c r="AW30" s="114">
        <f>(AV30-AU30)*100</f>
        <v>0.10807007554011205</v>
      </c>
      <c r="AY30" s="108">
        <f>AY28/AY17</f>
        <v>0.14652647390161472</v>
      </c>
      <c r="AZ30" s="108">
        <f>AZ28/AZ17</f>
        <v>0.15078522531756783</v>
      </c>
      <c r="BA30" s="114">
        <f>(AZ30-AY30)*100</f>
        <v>0.42587514159531104</v>
      </c>
      <c r="BC30" s="108">
        <f ca="1">BC28/BC17</f>
        <v>0.136575215174705</v>
      </c>
      <c r="BD30" s="108">
        <f>BD28/BD17</f>
        <v>0.13647139962929436</v>
      </c>
      <c r="BE30" s="114">
        <f ca="1">(BD30-BC30)*100</f>
        <v>-1.0381554541064042E-2</v>
      </c>
      <c r="BG30" s="108" t="s">
        <v>1267</v>
      </c>
      <c r="BH30" s="108" t="s">
        <v>1267</v>
      </c>
      <c r="BI30" s="659" t="s">
        <v>1267</v>
      </c>
      <c r="BK30" s="108">
        <f ca="1">BK28/BK17</f>
        <v>0.1699523425089195</v>
      </c>
      <c r="BL30" s="108" t="e">
        <f>BL28/BL17</f>
        <v>#REF!</v>
      </c>
      <c r="BM30" s="114" t="e">
        <f ca="1">(BL30-BK30)*100</f>
        <v>#REF!</v>
      </c>
      <c r="BO30" s="833"/>
      <c r="BQ30" s="108">
        <f ca="1">BQ28/BQ17</f>
        <v>0.16497330100389804</v>
      </c>
      <c r="BR30" s="108">
        <f>BR28/BR17</f>
        <v>0.19098342719796291</v>
      </c>
      <c r="BS30" s="114">
        <f ca="1">(BR30-BQ30)*100</f>
        <v>2.6010126194064869</v>
      </c>
      <c r="BU30" s="842"/>
      <c r="BW30" s="108">
        <f ca="1">BW28/BW17</f>
        <v>0.16497330100389804</v>
      </c>
      <c r="BX30" s="108">
        <f>BX28/BX17</f>
        <v>0.16532514496015541</v>
      </c>
      <c r="BY30" s="114">
        <f ca="1">(BX30-BW30)*100</f>
        <v>3.5184395625736942E-2</v>
      </c>
      <c r="CA30" s="108">
        <f ca="1">CA28/CA17</f>
        <v>0.1704164471021696</v>
      </c>
      <c r="CB30" s="108">
        <f>CB28/CB17</f>
        <v>0.17230633317009145</v>
      </c>
      <c r="CC30" s="114">
        <f ca="1">(CB30-CA30)*100</f>
        <v>0.18898860679218421</v>
      </c>
      <c r="CE30" s="108">
        <f ca="1">CE28/CE17</f>
        <v>0.17640054647641609</v>
      </c>
      <c r="CF30" s="108">
        <f>CF28/CF17</f>
        <v>0.17791408826088512</v>
      </c>
      <c r="CG30" s="114">
        <f ca="1">(CF30-CE30)*100</f>
        <v>0.15135417844690247</v>
      </c>
      <c r="CI30" s="108">
        <f ca="1">CI28/CI17</f>
        <v>0.1818782436406145</v>
      </c>
      <c r="CJ30" s="108">
        <f>CJ28/CJ17</f>
        <v>0.18217222296608479</v>
      </c>
      <c r="CK30" s="114">
        <f ca="1">(CJ30-CI30)*100</f>
        <v>2.9397932547028938E-2</v>
      </c>
      <c r="CM30" s="108">
        <f ca="1">CM28/CM17</f>
        <v>0.18160812167922349</v>
      </c>
      <c r="CN30" s="108">
        <f>CN28/CN17</f>
        <v>0.18457660038813201</v>
      </c>
      <c r="CO30" s="114">
        <f ca="1">(CN30-CM30)*100</f>
        <v>0.29684787089085118</v>
      </c>
      <c r="CP30" s="1180"/>
      <c r="CQ30" s="108">
        <f ca="1">CQ28/CQ17</f>
        <v>0.18358782282666941</v>
      </c>
      <c r="CR30" s="108">
        <f>CR28/CR17</f>
        <v>0.18780930494584966</v>
      </c>
      <c r="CS30" s="114">
        <f ca="1">(CR30-CQ30)*100</f>
        <v>0.42214821191802476</v>
      </c>
      <c r="CT30" s="1180"/>
      <c r="CU30" s="842"/>
      <c r="CW30" s="108">
        <f ca="1">CW28/CW17</f>
        <v>0.18160812167922349</v>
      </c>
      <c r="CX30" s="108">
        <f>CX28/CX17</f>
        <v>0.18457660038813201</v>
      </c>
      <c r="CY30" s="114">
        <f ca="1">(CX30-CW30)*100</f>
        <v>0.29684787089085118</v>
      </c>
    </row>
    <row r="31" spans="1:103" ht="4.5" customHeight="1" outlineLevel="1">
      <c r="G31" s="111"/>
      <c r="O31" s="85"/>
      <c r="P31" s="85"/>
      <c r="Q31" s="107"/>
      <c r="S31" s="85"/>
      <c r="T31" s="85"/>
      <c r="U31" s="107"/>
      <c r="W31" s="85"/>
      <c r="X31" s="85"/>
      <c r="Y31" s="107"/>
      <c r="AA31" s="85"/>
      <c r="AB31" s="85"/>
      <c r="AC31" s="107"/>
      <c r="AE31" s="85"/>
      <c r="AF31" s="107"/>
      <c r="AH31" s="85"/>
      <c r="AJ31" s="107"/>
      <c r="AL31" s="85"/>
      <c r="AM31" s="85"/>
      <c r="AO31" s="85"/>
      <c r="AQ31" s="85"/>
      <c r="AR31" s="85"/>
      <c r="AS31" s="107"/>
      <c r="AU31" s="85"/>
      <c r="AW31" s="107"/>
      <c r="AY31" s="85"/>
      <c r="BA31" s="107"/>
      <c r="BC31" s="85"/>
      <c r="BE31" s="107"/>
      <c r="BG31" s="85"/>
      <c r="BH31" s="85"/>
      <c r="BI31" s="660"/>
      <c r="BK31" s="85"/>
      <c r="BM31" s="107"/>
      <c r="BO31" s="655"/>
      <c r="BQ31" s="85"/>
      <c r="BS31" s="107"/>
      <c r="BU31" s="840"/>
      <c r="BW31" s="85"/>
      <c r="BY31" s="107"/>
      <c r="CA31" s="85"/>
      <c r="CC31" s="107"/>
      <c r="CE31" s="85"/>
      <c r="CG31" s="107"/>
      <c r="CI31" s="85"/>
      <c r="CK31" s="107"/>
      <c r="CM31" s="85"/>
      <c r="CO31" s="107"/>
      <c r="CQ31" s="85"/>
      <c r="CS31" s="107"/>
      <c r="CU31" s="840"/>
      <c r="CW31" s="85"/>
      <c r="CY31" s="107"/>
    </row>
    <row r="32" spans="1:103" ht="13.5" customHeight="1" outlineLevel="1">
      <c r="E32" s="118" t="s">
        <v>1186</v>
      </c>
      <c r="G32" s="121" t="s">
        <v>901</v>
      </c>
      <c r="H32" s="124">
        <f>'Cashflow Statement'!$W$57</f>
        <v>1680</v>
      </c>
      <c r="J32" s="124" t="e">
        <f>#REF!</f>
        <v>#REF!</v>
      </c>
      <c r="K32" s="124" t="e">
        <f>#REF!</f>
        <v>#REF!</v>
      </c>
      <c r="L32" s="124" t="e">
        <f>#REF!</f>
        <v>#REF!</v>
      </c>
      <c r="M32" s="124">
        <f>'Cashflow Statement'!$X$57</f>
        <v>2666</v>
      </c>
      <c r="N32" s="211"/>
      <c r="O32" s="124" t="s">
        <v>1267</v>
      </c>
      <c r="P32" s="124" t="s">
        <v>1267</v>
      </c>
      <c r="Q32" s="123" t="s">
        <v>1267</v>
      </c>
      <c r="R32" s="211"/>
      <c r="S32" s="124" t="s">
        <v>1267</v>
      </c>
      <c r="T32" s="124" t="s">
        <v>1267</v>
      </c>
      <c r="U32" s="123" t="s">
        <v>1267</v>
      </c>
      <c r="V32" s="208"/>
      <c r="W32" s="124" t="s">
        <v>1267</v>
      </c>
      <c r="X32" s="124" t="s">
        <v>1267</v>
      </c>
      <c r="Y32" s="123" t="s">
        <v>1267</v>
      </c>
      <c r="Z32" s="208"/>
      <c r="AA32" s="124" t="s">
        <v>1267</v>
      </c>
      <c r="AB32" s="124" t="s">
        <v>1267</v>
      </c>
      <c r="AC32" s="123" t="s">
        <v>1267</v>
      </c>
      <c r="AD32" s="211"/>
      <c r="AE32" s="124">
        <v>934</v>
      </c>
      <c r="AF32" s="123" t="e">
        <f>L32/AE32-1</f>
        <v>#REF!</v>
      </c>
      <c r="AG32" s="211"/>
      <c r="AH32" s="124">
        <f ca="1">_xll.VisibleAlpha.UDF.VAData($C$2,AH$6,$E32,$E$11,"CD","IMPL",$C$6)</f>
        <v>1463</v>
      </c>
      <c r="AI32" s="124" t="e">
        <f>#REF!</f>
        <v>#REF!</v>
      </c>
      <c r="AJ32" s="123" t="e">
        <f ca="1">AI32/AH32-1</f>
        <v>#REF!</v>
      </c>
      <c r="AK32" s="211"/>
      <c r="AL32" s="124">
        <f ca="1">_xll.VisibleAlpha.UDF.VAData($C$2,AL$6,$E32,$E$11,"CD","IMPL",$C$6)</f>
        <v>1463</v>
      </c>
      <c r="AM32" s="124" t="str">
        <f ca="1">_xll.VisibleAlpha.UDF.VAData($C$2,AM$6,$E32,$E$11,"CD","IMPL",$C$6)</f>
        <v>-</v>
      </c>
      <c r="AN32" s="211"/>
      <c r="AO32" s="124" t="s">
        <v>1267</v>
      </c>
      <c r="AP32" s="211"/>
      <c r="AQ32" s="124" t="s">
        <v>1267</v>
      </c>
      <c r="AR32" s="124" t="s">
        <v>1267</v>
      </c>
      <c r="AS32" s="123" t="s">
        <v>1267</v>
      </c>
      <c r="AT32" s="211"/>
      <c r="AU32" s="124">
        <v>2799</v>
      </c>
      <c r="AV32" s="124">
        <f>'Cashflow Statement'!$Y$57</f>
        <v>2945</v>
      </c>
      <c r="AW32" s="123">
        <f>AV32/AU32-1</f>
        <v>5.2161486245087429E-2</v>
      </c>
      <c r="AX32" s="211"/>
      <c r="AY32" s="124">
        <v>2940</v>
      </c>
      <c r="AZ32" s="124">
        <f>'Cashflow Statement'!$Z$57</f>
        <v>3189</v>
      </c>
      <c r="BA32" s="123">
        <f>AZ32/AY32-1</f>
        <v>8.4693877551020424E-2</v>
      </c>
      <c r="BB32" s="211"/>
      <c r="BC32" s="124">
        <f ca="1">_xll.VisibleAlpha.UDF.VAData($C$2,BC$6,$E32,$E$11,"CD","IMPL",$C$6)</f>
        <v>2945</v>
      </c>
      <c r="BD32" s="124">
        <f>'Cashflow Statement'!$Y$57</f>
        <v>2945</v>
      </c>
      <c r="BE32" s="123">
        <f ca="1">BD32/BC32-1</f>
        <v>0</v>
      </c>
      <c r="BF32" s="211"/>
      <c r="BG32" s="124" t="s">
        <v>1267</v>
      </c>
      <c r="BH32" s="124" t="s">
        <v>1267</v>
      </c>
      <c r="BI32" s="653" t="s">
        <v>1267</v>
      </c>
      <c r="BJ32" s="211"/>
      <c r="BK32" s="124">
        <f ca="1">_xll.VisibleAlpha.UDF.VAData($C$2,BK$6,$E32,$E$11,"CD","IMPL",$C$6)</f>
        <v>1834</v>
      </c>
      <c r="BL32" s="124" t="e">
        <f>#REF!</f>
        <v>#REF!</v>
      </c>
      <c r="BM32" s="123" t="e">
        <f ca="1">BL32/BK32-1</f>
        <v>#REF!</v>
      </c>
      <c r="BN32" s="211"/>
      <c r="BO32" s="485" t="str">
        <f>'Results table'!BB109</f>
        <v>€3.5bn - €3.7bn *</v>
      </c>
      <c r="BP32" s="211"/>
      <c r="BQ32" s="124">
        <f ca="1">_xll.VisibleAlpha.UDF.VAData($C$2,BQ$6,$E32,$E$11,"CD","IMPL",$C$6)</f>
        <v>3545.5160794154453</v>
      </c>
      <c r="BR32" s="124">
        <f>'Cashflow Statement'!$AA$57</f>
        <v>3613.1854263217751</v>
      </c>
      <c r="BS32" s="123">
        <f ca="1">BR32/BQ32-1</f>
        <v>1.908589480081746E-2</v>
      </c>
      <c r="BT32" s="211"/>
      <c r="BU32" s="836" t="s">
        <v>1455</v>
      </c>
      <c r="BV32" s="211"/>
      <c r="BW32" s="124">
        <f ca="1">_xll.VisibleAlpha.UDF.VAData($C$2,BW$6,$E32,$E$11,"CD","IMPL",$C$6)</f>
        <v>3545.5160794154453</v>
      </c>
      <c r="BX32" s="124">
        <f>'Cashflow Statement'!$AA$57</f>
        <v>3613.1854263217751</v>
      </c>
      <c r="BY32" s="123">
        <f ca="1">BX32/BW32-1</f>
        <v>1.908589480081746E-2</v>
      </c>
      <c r="BZ32" s="211"/>
      <c r="CA32" s="124">
        <f ca="1">_xll.VisibleAlpha.UDF.VAData($C$2,CA$6,$E32,$E$11,"CD","IMPL",$C$6)</f>
        <v>4227.0780385950684</v>
      </c>
      <c r="CB32" s="124">
        <f>'Cashflow Statement'!$AB$57</f>
        <v>4332.1968154349925</v>
      </c>
      <c r="CC32" s="123">
        <f ca="1">CB32/CA32-1</f>
        <v>2.4867952727662956E-2</v>
      </c>
      <c r="CD32" s="211"/>
      <c r="CE32" s="124">
        <f ca="1">_xll.VisibleAlpha.UDF.VAData($C$2,CE$6,$E32,$E$11,"CD","IMPL",$C$6)</f>
        <v>4840.0303227726936</v>
      </c>
      <c r="CF32" s="124">
        <f>'Cashflow Statement'!$AC$57</f>
        <v>4940.4466821238366</v>
      </c>
      <c r="CG32" s="123">
        <f ca="1">CF32/CE32-1</f>
        <v>2.0747051703101205E-2</v>
      </c>
      <c r="CH32" s="211"/>
      <c r="CI32" s="124">
        <f ca="1">_xll.VisibleAlpha.UDF.VAData($C$2,CI$6,$E32,$E$11,"CD","IMPL",$C$6)</f>
        <v>5386.3889473937916</v>
      </c>
      <c r="CJ32" s="124">
        <f>'Cashflow Statement'!$AD$57</f>
        <v>5589.2571500394397</v>
      </c>
      <c r="CK32" s="123">
        <f ca="1">CJ32/CI32-1</f>
        <v>3.7663118023403497E-2</v>
      </c>
      <c r="CL32" s="211"/>
      <c r="CM32" s="124">
        <f ca="1">_xll.VisibleAlpha.UDF.VAData($C$2,CM$6,$E32,$E$11,"CD","IMPL",$C$6)</f>
        <v>5879.1712436142188</v>
      </c>
      <c r="CN32" s="124">
        <f>'Cashflow Statement'!$AE$57</f>
        <v>6076.0778047832791</v>
      </c>
      <c r="CO32" s="123">
        <f ca="1">CN32/CM32-1</f>
        <v>3.349223096417453E-2</v>
      </c>
      <c r="CP32" s="1178"/>
      <c r="CQ32" s="124">
        <f ca="1">_xll.VisibleAlpha.UDF.VAData($C$2,CQ$6,$E32,$E$11,"CD","IMPL",$C$6)</f>
        <v>6332.050267582481</v>
      </c>
      <c r="CR32" s="124">
        <f>'Cashflow Statement'!$AF$57</f>
        <v>6537.6130455842185</v>
      </c>
      <c r="CS32" s="123">
        <f ca="1">CR32/CQ32-1</f>
        <v>3.2463857568240551E-2</v>
      </c>
      <c r="CT32" s="1178"/>
      <c r="CU32" s="836"/>
      <c r="CW32" s="124">
        <f ca="1">_xll.VisibleAlpha.UDF.VAData($C$2,CW$6,$E32,$E$11,"CD","IMPL",$C$6)</f>
        <v>5879.1712436142188</v>
      </c>
      <c r="CX32" s="124">
        <f>'Cashflow Statement'!$AE$57</f>
        <v>6076.0778047832791</v>
      </c>
      <c r="CY32" s="123">
        <f ca="1">CX32/CW32-1</f>
        <v>3.349223096417453E-2</v>
      </c>
    </row>
    <row r="33" spans="2:103" ht="13.5" customHeight="1" outlineLevel="1">
      <c r="G33" s="657" t="s">
        <v>1722</v>
      </c>
      <c r="H33" s="208"/>
      <c r="J33" s="208"/>
      <c r="K33" s="208"/>
      <c r="L33" s="208"/>
      <c r="M33" s="208"/>
      <c r="N33" s="211"/>
      <c r="O33" s="208"/>
      <c r="P33" s="208"/>
      <c r="Q33" s="1237"/>
      <c r="R33" s="211"/>
      <c r="S33" s="208"/>
      <c r="T33" s="208"/>
      <c r="U33" s="1237"/>
      <c r="V33" s="208"/>
      <c r="W33" s="208"/>
      <c r="X33" s="208"/>
      <c r="Y33" s="1237"/>
      <c r="Z33" s="208"/>
      <c r="AA33" s="208"/>
      <c r="AB33" s="208"/>
      <c r="AC33" s="1237"/>
      <c r="AD33" s="211"/>
      <c r="AE33" s="208"/>
      <c r="AF33" s="1237"/>
      <c r="AG33" s="211"/>
      <c r="AH33" s="208"/>
      <c r="AI33" s="208"/>
      <c r="AJ33" s="1237"/>
      <c r="AK33" s="211"/>
      <c r="AL33" s="208"/>
      <c r="AM33" s="208"/>
      <c r="AN33" s="211"/>
      <c r="AO33" s="208"/>
      <c r="AP33" s="211"/>
      <c r="AQ33" s="208"/>
      <c r="AR33" s="208"/>
      <c r="AS33" s="1237"/>
      <c r="AT33" s="211"/>
      <c r="AU33" s="208"/>
      <c r="AV33" s="208"/>
      <c r="AW33" s="1237"/>
      <c r="AX33" s="211"/>
      <c r="AY33" s="208"/>
      <c r="AZ33" s="208"/>
      <c r="BA33" s="1237"/>
      <c r="BB33" s="211"/>
      <c r="BC33" s="208"/>
      <c r="BD33" s="208"/>
      <c r="BE33" s="1237"/>
      <c r="BF33" s="211"/>
      <c r="BG33" s="208"/>
      <c r="BH33" s="208"/>
      <c r="BI33" s="1238"/>
      <c r="BJ33" s="211"/>
      <c r="BK33" s="208"/>
      <c r="BL33" s="208"/>
      <c r="BM33" s="1237"/>
      <c r="BN33" s="211"/>
      <c r="BO33" s="1239"/>
      <c r="BP33" s="211"/>
      <c r="BQ33" s="208"/>
      <c r="BR33" s="208"/>
      <c r="BS33" s="1237"/>
      <c r="BT33" s="211"/>
      <c r="BU33" s="844"/>
      <c r="BV33" s="211"/>
      <c r="BW33" s="1244">
        <f ca="1">BW32/'Cashflow Statement'!$Z$57-1</f>
        <v>0.11179557209640811</v>
      </c>
      <c r="BX33" s="1244">
        <f>BX32/'Cashflow Statement'!$Z$57-1</f>
        <v>0.13301518542545465</v>
      </c>
      <c r="BY33" s="1237"/>
      <c r="BZ33" s="211"/>
      <c r="CA33" s="1244">
        <f ca="1">CA32/BW32-1</f>
        <v>0.19223208805528613</v>
      </c>
      <c r="CB33" s="1244">
        <f>CB32/BX32-1</f>
        <v>0.1989965374805498</v>
      </c>
      <c r="CC33" s="1182"/>
      <c r="CD33" s="1245"/>
      <c r="CE33" s="1244">
        <f ca="1">CE32/CA32-1</f>
        <v>0.1450061433881995</v>
      </c>
      <c r="CF33" s="1244">
        <f>CF32/CB32-1</f>
        <v>0.140402177602305</v>
      </c>
      <c r="CG33" s="1182"/>
      <c r="CH33" s="1245"/>
      <c r="CI33" s="1244">
        <f ca="1">CI32/CE32-1</f>
        <v>0.11288330613352593</v>
      </c>
      <c r="CJ33" s="1244">
        <f>CJ32/CF32-1</f>
        <v>0.13132627668328323</v>
      </c>
      <c r="CK33" s="1182"/>
      <c r="CL33" s="1245"/>
      <c r="CM33" s="1244">
        <f ca="1">CM32/CI32-1</f>
        <v>9.1486578676955865E-2</v>
      </c>
      <c r="CN33" s="1244">
        <f>CN32/CJ32-1</f>
        <v>8.709934820952081E-2</v>
      </c>
      <c r="CO33" s="1182"/>
      <c r="CP33" s="1177"/>
      <c r="CQ33" s="1244">
        <f ca="1">CQ32/CM32-1</f>
        <v>7.7031099316960061E-2</v>
      </c>
      <c r="CR33" s="1244">
        <f>CR32/CN32-1</f>
        <v>7.5959402698497991E-2</v>
      </c>
      <c r="CS33" s="1237"/>
      <c r="CT33" s="1178"/>
      <c r="CU33" s="836"/>
      <c r="CW33" s="124"/>
      <c r="CX33" s="124"/>
      <c r="CY33" s="123"/>
    </row>
    <row r="34" spans="2:103" ht="13.5" customHeight="1" outlineLevel="1">
      <c r="G34" s="657" t="s">
        <v>1401</v>
      </c>
      <c r="H34" s="108">
        <f>H32/H28</f>
        <v>0.93074792243767313</v>
      </c>
      <c r="J34" s="108" t="e">
        <f>J32/J22</f>
        <v>#REF!</v>
      </c>
      <c r="K34" s="108" t="e">
        <f>K32/K22</f>
        <v>#REF!</v>
      </c>
      <c r="L34" s="108" t="e">
        <f>L32/L22</f>
        <v>#REF!</v>
      </c>
      <c r="M34" s="432">
        <f>M32/M22</f>
        <v>14820.465497076024</v>
      </c>
      <c r="O34" s="108" t="s">
        <v>1267</v>
      </c>
      <c r="P34" s="108" t="s">
        <v>1267</v>
      </c>
      <c r="Q34" s="114" t="s">
        <v>1267</v>
      </c>
      <c r="S34" s="108" t="s">
        <v>1267</v>
      </c>
      <c r="T34" s="108" t="s">
        <v>1267</v>
      </c>
      <c r="U34" s="114" t="s">
        <v>1267</v>
      </c>
      <c r="V34" s="207"/>
      <c r="W34" s="108" t="s">
        <v>1267</v>
      </c>
      <c r="X34" s="108" t="s">
        <v>1267</v>
      </c>
      <c r="Y34" s="114" t="s">
        <v>1267</v>
      </c>
      <c r="Z34" s="207"/>
      <c r="AA34" s="108" t="s">
        <v>1267</v>
      </c>
      <c r="AB34" s="108" t="s">
        <v>1267</v>
      </c>
      <c r="AC34" s="114" t="s">
        <v>1267</v>
      </c>
      <c r="AE34" s="108" t="e">
        <f>AE32/AE22</f>
        <v>#VALUE!</v>
      </c>
      <c r="AF34" s="114" t="e">
        <f>(L34-AE34)*100</f>
        <v>#REF!</v>
      </c>
      <c r="AH34" s="108">
        <f ca="1">AH32/AH28</f>
        <v>0.74113475177304966</v>
      </c>
      <c r="AI34" s="108" t="e">
        <f>AI32/AI28</f>
        <v>#REF!</v>
      </c>
      <c r="AJ34" s="114" t="e">
        <f ca="1">(AI34-AH34)*100</f>
        <v>#REF!</v>
      </c>
      <c r="AL34" s="108">
        <f ca="1">AL32/AL28</f>
        <v>0.74113475177304966</v>
      </c>
      <c r="AM34" s="108" t="e">
        <f ca="1">AM32/AM28</f>
        <v>#VALUE!</v>
      </c>
      <c r="AO34" s="108" t="s">
        <v>1267</v>
      </c>
      <c r="AQ34" s="108" t="s">
        <v>1267</v>
      </c>
      <c r="AR34" s="108" t="s">
        <v>1267</v>
      </c>
      <c r="AS34" s="114" t="s">
        <v>1267</v>
      </c>
      <c r="AU34" s="108">
        <f>AU32/AU28</f>
        <v>0.88857142857142857</v>
      </c>
      <c r="AV34" s="108">
        <f>AV32/AV28</f>
        <v>0.93019583070120027</v>
      </c>
      <c r="AW34" s="114">
        <f>(AV34-AU34)*100</f>
        <v>4.1624402129771703</v>
      </c>
      <c r="AY34" s="108">
        <f>AY32/AY28</f>
        <v>0.75345976422347516</v>
      </c>
      <c r="AZ34" s="108">
        <f>AZ32/AZ28</f>
        <v>0.77421704297159499</v>
      </c>
      <c r="BA34" s="114">
        <f>(AZ34-AY34)*100</f>
        <v>2.0757278748119834</v>
      </c>
      <c r="BC34" s="108">
        <f ca="1">BC32/BC28</f>
        <v>0.92835827168796226</v>
      </c>
      <c r="BD34" s="108">
        <f>BD32/BD28</f>
        <v>0.93019583070120027</v>
      </c>
      <c r="BE34" s="114">
        <f ca="1">(BD34-BC34)*100</f>
        <v>0.18375590132380104</v>
      </c>
      <c r="BG34" s="108" t="s">
        <v>1267</v>
      </c>
      <c r="BH34" s="108" t="s">
        <v>1267</v>
      </c>
      <c r="BI34" s="659" t="s">
        <v>1267</v>
      </c>
      <c r="BK34" s="108">
        <f ca="1">BK32/BK28</f>
        <v>0.73067729083665334</v>
      </c>
      <c r="BL34" s="108" t="e">
        <f>BL32/BL28</f>
        <v>#REF!</v>
      </c>
      <c r="BM34" s="114" t="e">
        <f ca="1">(BL34-BK34)*100</f>
        <v>#REF!</v>
      </c>
      <c r="BO34" s="655"/>
      <c r="BQ34" s="108">
        <f ca="1">BQ32/BQ28</f>
        <v>0.68790465815827606</v>
      </c>
      <c r="BR34" s="108">
        <f>BR32/BR28</f>
        <v>0.69256663419752262</v>
      </c>
      <c r="BS34" s="114">
        <f ca="1">(BR34-BQ34)*100</f>
        <v>0.46619760392465626</v>
      </c>
      <c r="BU34" s="842" t="s">
        <v>1456</v>
      </c>
      <c r="BW34" s="108">
        <f ca="1">BW32/BW28</f>
        <v>0.68790465815827606</v>
      </c>
      <c r="BX34" s="108">
        <f>BX32/BX28</f>
        <v>0.69256663419752262</v>
      </c>
      <c r="BY34" s="114">
        <f ca="1">(BX34-BW34)*100</f>
        <v>0.46619760392465626</v>
      </c>
      <c r="CA34" s="108">
        <f ca="1">CA32/CA28</f>
        <v>0.70431437247771023</v>
      </c>
      <c r="CB34" s="108">
        <f>CB32/CB28</f>
        <v>0.70518318075383979</v>
      </c>
      <c r="CC34" s="114">
        <f ca="1">(CB34-CA34)*100</f>
        <v>8.6880827612956235E-2</v>
      </c>
      <c r="CE34" s="108">
        <f ca="1">CE32/CE28</f>
        <v>0.714748019812109</v>
      </c>
      <c r="CF34" s="108">
        <f>CF32/CF28</f>
        <v>0.70779813619736176</v>
      </c>
      <c r="CG34" s="114">
        <f ca="1">(CF34-CE34)*100</f>
        <v>-0.69498836147472431</v>
      </c>
      <c r="CI34" s="108">
        <f ca="1">CI32/CI28</f>
        <v>0.71256641854646474</v>
      </c>
      <c r="CJ34" s="108">
        <f>CJ32/CJ28</f>
        <v>0.72563038133794133</v>
      </c>
      <c r="CK34" s="114">
        <f ca="1">(CJ34-CI34)*100</f>
        <v>1.3063962791476591</v>
      </c>
      <c r="CM34" s="108">
        <f ca="1">CM32/CM28</f>
        <v>0.74041110541564159</v>
      </c>
      <c r="CN34" s="108">
        <f>CN32/CN28</f>
        <v>0.73775265614526542</v>
      </c>
      <c r="CO34" s="114">
        <f ca="1">(CN34-CM34)*100</f>
        <v>-0.26584492703761731</v>
      </c>
      <c r="CP34" s="1180"/>
      <c r="CQ34" s="108">
        <f ca="1">CQ32/CQ28</f>
        <v>0.74870735785081532</v>
      </c>
      <c r="CR34" s="108">
        <f>CR32/CR28</f>
        <v>0.74400574469218506</v>
      </c>
      <c r="CS34" s="114">
        <f ca="1">(CR34-CQ34)*100</f>
        <v>-0.4701613158630269</v>
      </c>
      <c r="CT34" s="1180"/>
      <c r="CU34" s="845" t="s">
        <v>1453</v>
      </c>
      <c r="CW34" s="108">
        <f ca="1">CW32/CW28</f>
        <v>0.74041110541564159</v>
      </c>
      <c r="CX34" s="108">
        <f>CX32/CX28</f>
        <v>0.73775265614526542</v>
      </c>
      <c r="CY34" s="114">
        <f ca="1">(CX34-CW34)*100</f>
        <v>-0.26584492703761731</v>
      </c>
    </row>
    <row r="35" spans="2:103" ht="13.5" customHeight="1" outlineLevel="1">
      <c r="G35" s="657"/>
      <c r="H35" s="108"/>
      <c r="J35" s="108"/>
      <c r="K35" s="108"/>
      <c r="L35" s="108"/>
      <c r="M35" s="108"/>
      <c r="O35" s="108"/>
      <c r="P35" s="108"/>
      <c r="Q35" s="114"/>
      <c r="S35" s="108"/>
      <c r="T35" s="108"/>
      <c r="U35" s="114"/>
      <c r="V35" s="207"/>
      <c r="W35" s="108"/>
      <c r="X35" s="108"/>
      <c r="Y35" s="114"/>
      <c r="Z35" s="207"/>
      <c r="AA35" s="108"/>
      <c r="AB35" s="108"/>
      <c r="AC35" s="114"/>
      <c r="AE35" s="108"/>
      <c r="AF35" s="114"/>
      <c r="AH35" s="108"/>
      <c r="AI35" s="108"/>
      <c r="AJ35" s="114"/>
      <c r="AL35" s="108"/>
      <c r="AM35" s="108"/>
      <c r="AO35" s="108"/>
      <c r="AQ35" s="108"/>
      <c r="AR35" s="108"/>
      <c r="AS35" s="114"/>
      <c r="AU35" s="108"/>
      <c r="AV35" s="108"/>
      <c r="AW35" s="114"/>
      <c r="AY35" s="108"/>
      <c r="AZ35" s="108"/>
      <c r="BA35" s="114"/>
      <c r="BC35" s="108"/>
      <c r="BD35" s="108"/>
      <c r="BE35" s="114"/>
      <c r="BG35" s="108"/>
      <c r="BH35" s="108"/>
      <c r="BI35" s="659"/>
      <c r="BK35" s="108"/>
      <c r="BL35" s="108"/>
      <c r="BM35" s="114"/>
      <c r="BO35" s="655"/>
      <c r="BQ35" s="108"/>
      <c r="BR35" s="108"/>
      <c r="BS35" s="114"/>
      <c r="BU35" s="840"/>
      <c r="BW35" s="108"/>
      <c r="BX35" s="108"/>
      <c r="BY35" s="114"/>
      <c r="CA35" s="108"/>
      <c r="CB35" s="108"/>
      <c r="CC35" s="114"/>
      <c r="CE35" s="108"/>
      <c r="CF35" s="108"/>
      <c r="CG35" s="114"/>
      <c r="CI35" s="110"/>
      <c r="CJ35" s="110"/>
      <c r="CK35" s="114"/>
      <c r="CM35" s="110"/>
      <c r="CN35" s="110"/>
      <c r="CO35" s="114"/>
      <c r="CP35" s="1180"/>
      <c r="CQ35" s="110"/>
      <c r="CR35" s="110"/>
      <c r="CS35" s="114"/>
      <c r="CT35" s="1180"/>
      <c r="CU35" s="845" t="s">
        <v>1447</v>
      </c>
      <c r="CW35" s="110">
        <f ca="1">BW32+CC32+CG32+CK32+CW32</f>
        <v>9424.7706011521186</v>
      </c>
      <c r="CX35" s="110">
        <f>BX32+CD32+CH32+CL32+CX32</f>
        <v>9689.2632311050547</v>
      </c>
      <c r="CY35" s="114"/>
    </row>
    <row r="36" spans="2:103" ht="4.5" customHeight="1" outlineLevel="1">
      <c r="G36" s="111"/>
      <c r="O36" s="85"/>
      <c r="P36" s="85"/>
      <c r="Q36" s="107"/>
      <c r="S36" s="85"/>
      <c r="T36" s="85"/>
      <c r="U36" s="107"/>
      <c r="W36" s="85"/>
      <c r="X36" s="85"/>
      <c r="Y36" s="107"/>
      <c r="AA36" s="85"/>
      <c r="AB36" s="85"/>
      <c r="AC36" s="107"/>
      <c r="AE36" s="85"/>
      <c r="AF36" s="107"/>
      <c r="AH36" s="85"/>
      <c r="AJ36" s="107"/>
      <c r="AL36" s="85"/>
      <c r="AM36" s="85"/>
      <c r="AO36" s="85"/>
      <c r="AQ36" s="85"/>
      <c r="AR36" s="85"/>
      <c r="AS36" s="107"/>
      <c r="AU36" s="85"/>
      <c r="AW36" s="107"/>
      <c r="AY36" s="85"/>
      <c r="BA36" s="107"/>
      <c r="BC36" s="85"/>
      <c r="BE36" s="107"/>
      <c r="BG36" s="85"/>
      <c r="BH36" s="85"/>
      <c r="BI36" s="660"/>
      <c r="BK36" s="85"/>
      <c r="BM36" s="107"/>
      <c r="BO36" s="655"/>
      <c r="BQ36" s="85"/>
      <c r="BS36" s="107"/>
      <c r="BW36" s="85"/>
      <c r="BY36" s="107"/>
      <c r="CA36" s="85"/>
      <c r="CC36" s="107"/>
      <c r="CE36" s="85"/>
      <c r="CG36" s="107"/>
      <c r="CI36" s="85"/>
      <c r="CK36" s="107"/>
      <c r="CM36" s="85"/>
      <c r="CO36" s="107"/>
      <c r="CQ36" s="85"/>
      <c r="CS36" s="107"/>
      <c r="CU36" s="840"/>
      <c r="CW36" s="85"/>
      <c r="CY36" s="107"/>
    </row>
    <row r="37" spans="2:103" ht="13.5" customHeight="1" outlineLevel="1">
      <c r="E37" s="118" t="s">
        <v>1442</v>
      </c>
      <c r="G37" s="121" t="s">
        <v>1440</v>
      </c>
      <c r="H37" s="212"/>
      <c r="J37" s="212"/>
      <c r="K37" s="212"/>
      <c r="L37" s="212"/>
      <c r="M37" s="212"/>
      <c r="N37" s="211"/>
      <c r="O37" s="124"/>
      <c r="P37" s="212"/>
      <c r="Q37" s="123"/>
      <c r="R37" s="211"/>
      <c r="S37" s="212"/>
      <c r="T37" s="212"/>
      <c r="U37" s="213"/>
      <c r="V37" s="211"/>
      <c r="W37" s="212"/>
      <c r="X37" s="212"/>
      <c r="Y37" s="213"/>
      <c r="Z37" s="211"/>
      <c r="AA37" s="212"/>
      <c r="AB37" s="212"/>
      <c r="AC37" s="213"/>
      <c r="AD37" s="211"/>
      <c r="AE37" s="212"/>
      <c r="AF37" s="123"/>
      <c r="AG37" s="211"/>
      <c r="AH37" s="494"/>
      <c r="AI37" s="494"/>
      <c r="AJ37" s="661"/>
      <c r="AK37" s="211"/>
      <c r="AL37" s="494"/>
      <c r="AM37" s="494"/>
      <c r="AN37" s="211"/>
      <c r="AO37" s="494"/>
      <c r="AP37" s="211"/>
      <c r="AQ37" s="494"/>
      <c r="AR37" s="494"/>
      <c r="AS37" s="123"/>
      <c r="AT37" s="211"/>
      <c r="AU37" s="494"/>
      <c r="AV37" s="494"/>
      <c r="AW37" s="123"/>
      <c r="AX37" s="211"/>
      <c r="AY37" s="494"/>
      <c r="AZ37" s="494"/>
      <c r="BA37" s="123"/>
      <c r="BB37" s="211"/>
      <c r="BC37" s="494"/>
      <c r="BD37" s="494"/>
      <c r="BE37" s="123"/>
      <c r="BF37" s="211"/>
      <c r="BG37" s="494"/>
      <c r="BH37" s="494"/>
      <c r="BI37" s="661"/>
      <c r="BJ37" s="211"/>
      <c r="BK37" s="494"/>
      <c r="BL37" s="494"/>
      <c r="BM37" s="661"/>
      <c r="BN37" s="211"/>
      <c r="BO37" s="485"/>
      <c r="BP37" s="211"/>
      <c r="BQ37" s="494" cm="1">
        <f t="array" ref="BQ37">_xll.VAData($C$2, BQ$6, "EPS Basic", $C$5, "SD", "","","")</f>
        <v>8.2558620278666748</v>
      </c>
      <c r="BR37" s="494" t="e">
        <f>#REF!</f>
        <v>#REF!</v>
      </c>
      <c r="BS37" s="123" t="e">
        <f>BR37/BQ37-1</f>
        <v>#REF!</v>
      </c>
      <c r="BT37" s="211"/>
      <c r="BU37" s="836"/>
      <c r="BV37" s="211"/>
      <c r="BW37" s="494" cm="1">
        <f t="array" ref="BW37">_xll.VAData($C$2, BW$6, "EPS Basic", $C$5, "SD", "","","")</f>
        <v>8.2558620278666748</v>
      </c>
      <c r="BX37" s="494">
        <f>'Income Statement'!AA104</f>
        <v>8.5516240573697857</v>
      </c>
      <c r="BY37" s="123">
        <f>BX37/BW37-1</f>
        <v>3.5824487922012427E-2</v>
      </c>
      <c r="BZ37" s="211"/>
      <c r="CA37" s="494" cm="1">
        <f t="array" ref="CA37">_xll.VAData($C$2, CA$6, "EPS Basic", $C$5, "SD", "","","")</f>
        <v>10.699479044796837</v>
      </c>
      <c r="CB37" s="494">
        <f>'Income Statement'!AB104</f>
        <v>11.261879118882948</v>
      </c>
      <c r="CC37" s="123">
        <f>CB37/CA37-1</f>
        <v>5.2563313758683172E-2</v>
      </c>
      <c r="CD37" s="211"/>
      <c r="CE37" s="494" cm="1">
        <f t="array" ref="CE37">_xll.VAData($C$2, CE$6, "EPS Basic", $C$5, "SD", "","","")</f>
        <v>12.23651832167466</v>
      </c>
      <c r="CF37" s="494">
        <f>'Income Statement'!AC104</f>
        <v>12.953693258987919</v>
      </c>
      <c r="CG37" s="123">
        <f>CF37/CE37-1</f>
        <v>5.8609395128589759E-2</v>
      </c>
      <c r="CH37" s="211"/>
      <c r="CI37" s="494" cm="1">
        <f t="array" ref="CI37">_xll.VAData($C$2, CI$6, "EPS Basic", $C$5, "SD", "","","")</f>
        <v>13.776355016049013</v>
      </c>
      <c r="CJ37" s="494">
        <f>'Income Statement'!AD104</f>
        <v>14.485404546340749</v>
      </c>
      <c r="CK37" s="123">
        <f>CJ37/CI37-1</f>
        <v>5.1468587261704224E-2</v>
      </c>
      <c r="CL37" s="211"/>
      <c r="CM37" s="494" cm="1">
        <f t="array" ref="CM37">_xll.VAData($C$2, CM$6, "EPS Basic", $C$5, "SD", "","","")</f>
        <v>14.585057910864352</v>
      </c>
      <c r="CN37" s="494">
        <f>'Income Statement'!AE104</f>
        <v>15.525571687854178</v>
      </c>
      <c r="CO37" s="123">
        <f>CN37/CM37-1</f>
        <v>6.4484747522959296E-2</v>
      </c>
      <c r="CP37" s="1178"/>
      <c r="CQ37" s="494" cm="1">
        <f t="array" ref="CQ37">_xll.VAData($C$2, CQ$6, "EPS Basic", $C$5, "SD", "","","")</f>
        <v>15.664522154777151</v>
      </c>
      <c r="CR37" s="494">
        <f>'Income Statement'!AF104</f>
        <v>16.634187113713171</v>
      </c>
      <c r="CS37" s="123">
        <f>CR37/CQ37-1</f>
        <v>6.1901981391772276E-2</v>
      </c>
      <c r="CT37" s="1178"/>
      <c r="CU37" s="836"/>
      <c r="CW37" s="494" cm="1">
        <f t="array" ref="CW37">_xll.VAData($C$2, CW$6, "EPS Basic", $C$5, "SD", "","","")</f>
        <v>14.585057910864352</v>
      </c>
      <c r="CX37" s="494" t="e">
        <f>#REF!</f>
        <v>#REF!</v>
      </c>
      <c r="CY37" s="123" t="e">
        <f>CX37/CW37-1</f>
        <v>#REF!</v>
      </c>
    </row>
    <row r="38" spans="2:103" ht="13.5" customHeight="1" outlineLevel="1">
      <c r="G38" s="657" t="s">
        <v>1722</v>
      </c>
      <c r="H38" s="1240"/>
      <c r="J38" s="1240"/>
      <c r="K38" s="1240"/>
      <c r="L38" s="1240"/>
      <c r="M38" s="1240"/>
      <c r="N38" s="211"/>
      <c r="O38" s="208"/>
      <c r="P38" s="1240"/>
      <c r="Q38" s="1237"/>
      <c r="R38" s="211"/>
      <c r="S38" s="1240"/>
      <c r="T38" s="1240"/>
      <c r="U38" s="1241"/>
      <c r="V38" s="211"/>
      <c r="W38" s="1240"/>
      <c r="X38" s="1240"/>
      <c r="Y38" s="1241"/>
      <c r="Z38" s="211"/>
      <c r="AA38" s="1240"/>
      <c r="AB38" s="1240"/>
      <c r="AC38" s="1241"/>
      <c r="AD38" s="211"/>
      <c r="AE38" s="1240"/>
      <c r="AF38" s="1237"/>
      <c r="AG38" s="211"/>
      <c r="AH38" s="1242"/>
      <c r="AI38" s="1242"/>
      <c r="AJ38" s="1243"/>
      <c r="AK38" s="211"/>
      <c r="AL38" s="1242"/>
      <c r="AM38" s="1242"/>
      <c r="AN38" s="211"/>
      <c r="AO38" s="1242"/>
      <c r="AP38" s="211"/>
      <c r="AQ38" s="1242"/>
      <c r="AR38" s="1242"/>
      <c r="AS38" s="1237"/>
      <c r="AT38" s="211"/>
      <c r="AU38" s="1242"/>
      <c r="AV38" s="1242"/>
      <c r="AW38" s="1237"/>
      <c r="AX38" s="211"/>
      <c r="AY38" s="1242"/>
      <c r="AZ38" s="1242"/>
      <c r="BA38" s="1237"/>
      <c r="BB38" s="211"/>
      <c r="BC38" s="1242"/>
      <c r="BD38" s="1242"/>
      <c r="BE38" s="1237"/>
      <c r="BF38" s="211"/>
      <c r="BG38" s="1242"/>
      <c r="BH38" s="1242"/>
      <c r="BI38" s="1243"/>
      <c r="BJ38" s="211"/>
      <c r="BK38" s="1242"/>
      <c r="BL38" s="1242"/>
      <c r="BM38" s="1243"/>
      <c r="BN38" s="211"/>
      <c r="BO38" s="1239"/>
      <c r="BP38" s="211"/>
      <c r="BQ38" s="1242"/>
      <c r="BR38" s="1242"/>
      <c r="BS38" s="1237"/>
      <c r="BT38" s="211"/>
      <c r="BU38" s="844"/>
      <c r="BV38" s="211"/>
      <c r="BW38" s="1177">
        <f>BW37/'Income Statement'!$Z$104-1</f>
        <v>0.11947641011455334</v>
      </c>
      <c r="BX38" s="1177">
        <f>BX37/'Income Statement'!$Z$104-1</f>
        <v>0.15958107924767995</v>
      </c>
      <c r="BY38" s="1237"/>
      <c r="BZ38" s="211"/>
      <c r="CA38" s="1177">
        <f>CA37/BW37-1</f>
        <v>0.29598568976589301</v>
      </c>
      <c r="CB38" s="1177">
        <f>CB37/BX37-1</f>
        <v>0.31692869603844032</v>
      </c>
      <c r="CC38" s="1182"/>
      <c r="CD38" s="1245"/>
      <c r="CE38" s="1177">
        <f>CE37/CA37-1</f>
        <v>0.14365552476363663</v>
      </c>
      <c r="CF38" s="1177">
        <f>CF37/CB37-1</f>
        <v>0.15022485344104619</v>
      </c>
      <c r="CG38" s="1182"/>
      <c r="CH38" s="1245"/>
      <c r="CI38" s="1177">
        <f>CI37/CE37-1</f>
        <v>0.12583944663792357</v>
      </c>
      <c r="CJ38" s="1177">
        <f>CJ37/CF37-1</f>
        <v>0.11824514111371709</v>
      </c>
      <c r="CK38" s="1182"/>
      <c r="CL38" s="1245"/>
      <c r="CM38" s="1177">
        <f>CM37/CI37-1</f>
        <v>5.8702239734184092E-2</v>
      </c>
      <c r="CN38" s="1177">
        <f>CN37/CJ37-1</f>
        <v>7.1807945590045108E-2</v>
      </c>
      <c r="CO38" s="1182"/>
      <c r="CP38" s="1177"/>
      <c r="CQ38" s="1177">
        <f>CQ37/CM37-1</f>
        <v>7.4011652919712567E-2</v>
      </c>
      <c r="CR38" s="1177">
        <f>CR37/CN37-1</f>
        <v>7.1405771597207846E-2</v>
      </c>
      <c r="CS38" s="1237"/>
      <c r="CT38" s="1178"/>
      <c r="CU38" s="836"/>
      <c r="CW38" s="494"/>
      <c r="CX38" s="494"/>
      <c r="CY38" s="123"/>
    </row>
    <row r="39" spans="2:103" ht="4.5" customHeight="1" outlineLevel="1">
      <c r="G39" s="111"/>
      <c r="O39" s="85"/>
      <c r="P39" s="85"/>
      <c r="Q39" s="107"/>
      <c r="S39" s="85"/>
      <c r="T39" s="85"/>
      <c r="U39" s="107"/>
      <c r="W39" s="85"/>
      <c r="X39" s="85"/>
      <c r="Y39" s="107"/>
      <c r="AA39" s="85"/>
      <c r="AB39" s="85"/>
      <c r="AC39" s="107"/>
      <c r="AE39" s="85"/>
      <c r="AF39" s="107"/>
      <c r="AH39" s="85"/>
      <c r="AJ39" s="107"/>
      <c r="AL39" s="85"/>
      <c r="AM39" s="85"/>
      <c r="AO39" s="85"/>
      <c r="AQ39" s="85"/>
      <c r="AR39" s="85"/>
      <c r="AS39" s="107"/>
      <c r="AU39" s="85"/>
      <c r="AW39" s="107"/>
      <c r="AY39" s="85"/>
      <c r="BA39" s="107"/>
      <c r="BC39" s="85"/>
      <c r="BE39" s="107"/>
      <c r="BG39" s="85"/>
      <c r="BH39" s="85"/>
      <c r="BI39" s="660"/>
      <c r="BK39" s="85"/>
      <c r="BM39" s="107"/>
      <c r="BO39" s="655"/>
      <c r="BQ39" s="85"/>
      <c r="BS39" s="107"/>
      <c r="BU39" s="840"/>
      <c r="BW39" s="85"/>
      <c r="BY39" s="107"/>
      <c r="CA39" s="85"/>
      <c r="CC39" s="107"/>
      <c r="CE39" s="85"/>
      <c r="CG39" s="107"/>
      <c r="CI39" s="85"/>
      <c r="CK39" s="107"/>
      <c r="CM39" s="85"/>
      <c r="CO39" s="107"/>
      <c r="CQ39" s="85"/>
      <c r="CS39" s="107"/>
      <c r="CU39" s="840"/>
      <c r="CW39" s="85"/>
      <c r="CY39" s="107"/>
    </row>
    <row r="40" spans="2:103" ht="13.5" customHeight="1" outlineLevel="1">
      <c r="E40" s="118" t="s">
        <v>1346</v>
      </c>
      <c r="G40" s="121" t="s">
        <v>1441</v>
      </c>
      <c r="H40" s="212"/>
      <c r="J40" s="212"/>
      <c r="K40" s="212"/>
      <c r="L40" s="212"/>
      <c r="M40" s="212"/>
      <c r="N40" s="211"/>
      <c r="O40" s="124"/>
      <c r="P40" s="212"/>
      <c r="Q40" s="123"/>
      <c r="R40" s="211"/>
      <c r="S40" s="212"/>
      <c r="T40" s="212"/>
      <c r="U40" s="213"/>
      <c r="V40" s="211"/>
      <c r="W40" s="212"/>
      <c r="X40" s="212"/>
      <c r="Y40" s="213"/>
      <c r="Z40" s="211"/>
      <c r="AA40" s="212"/>
      <c r="AB40" s="212"/>
      <c r="AC40" s="213"/>
      <c r="AD40" s="211"/>
      <c r="AE40" s="212"/>
      <c r="AF40" s="123"/>
      <c r="AG40" s="211"/>
      <c r="AH40" s="494" t="s">
        <v>1267</v>
      </c>
      <c r="AI40" s="494" t="s">
        <v>1267</v>
      </c>
      <c r="AJ40" s="661" t="s">
        <v>1267</v>
      </c>
      <c r="AK40" s="211"/>
      <c r="AL40" s="494">
        <f ca="1">_xll.VisibleAlpha.UDF.VAData($C$2,AL$6,$E40,$E$11,"CD","IMPL",$C$6)</f>
        <v>1.1021517657270801</v>
      </c>
      <c r="AM40" s="494" t="str">
        <f ca="1">_xll.VisibleAlpha.UDF.VAData($C$2,AM$6,$E40,$E$11,"CD","IMPL",$C$6)</f>
        <v>-</v>
      </c>
      <c r="AN40" s="211"/>
      <c r="AO40" s="494" t="s">
        <v>1267</v>
      </c>
      <c r="AP40" s="211"/>
      <c r="AQ40" s="494" t="s">
        <v>1267</v>
      </c>
      <c r="AR40" s="494" t="s">
        <v>1267</v>
      </c>
      <c r="AS40" s="123" t="s">
        <v>1267</v>
      </c>
      <c r="AT40" s="211"/>
      <c r="AU40" s="494">
        <v>2.1</v>
      </c>
      <c r="AV40" s="494">
        <f>'Income Statement'!$Y$109</f>
        <v>2.2000000000000002</v>
      </c>
      <c r="AW40" s="123">
        <f>AV40/AU40-1</f>
        <v>4.7619047619047672E-2</v>
      </c>
      <c r="AX40" s="211"/>
      <c r="AY40" s="494">
        <v>2.7</v>
      </c>
      <c r="AZ40" s="494">
        <f>'Income Statement'!$Z$109</f>
        <v>2.9</v>
      </c>
      <c r="BA40" s="123">
        <f>AZ40/AY40-1</f>
        <v>7.4074074074073959E-2</v>
      </c>
      <c r="BB40" s="211"/>
      <c r="BC40" s="494">
        <f ca="1">_xll.VisibleAlpha.UDF.VAData($C$2,BC$6,$E40,$E$11,"CD","IMPL",$C$6)</f>
        <v>2.1386904343955999</v>
      </c>
      <c r="BD40" s="494">
        <f>'Income Statement'!$Y$109</f>
        <v>2.2000000000000002</v>
      </c>
      <c r="BE40" s="123">
        <f ca="1">BD40/BC40-1</f>
        <v>2.8666872315126213E-2</v>
      </c>
      <c r="BF40" s="211"/>
      <c r="BG40" s="494" t="s">
        <v>1267</v>
      </c>
      <c r="BH40" s="494" t="s">
        <v>1267</v>
      </c>
      <c r="BI40" s="661" t="s">
        <v>1267</v>
      </c>
      <c r="BJ40" s="211"/>
      <c r="BK40" s="494" t="s">
        <v>1267</v>
      </c>
      <c r="BL40" s="494" t="s">
        <v>1267</v>
      </c>
      <c r="BM40" s="661" t="s">
        <v>1267</v>
      </c>
      <c r="BN40" s="211"/>
      <c r="BO40" s="485"/>
      <c r="BP40" s="211"/>
      <c r="BQ40" s="494">
        <f ca="1">_xll.VisibleAlpha.UDF.VAData($C$2,BQ$6,$E40,$E$11,"CD","IMPL",$C$6)</f>
        <v>3.2757216117609418</v>
      </c>
      <c r="BR40" s="494">
        <f>'Income Statement'!$AA$109</f>
        <v>3.4206496229479146</v>
      </c>
      <c r="BS40" s="123">
        <f ca="1">BR40/BQ40-1</f>
        <v>4.4243079346740766E-2</v>
      </c>
      <c r="BT40" s="211"/>
      <c r="BU40" s="836"/>
      <c r="BV40" s="211"/>
      <c r="BW40" s="494">
        <f ca="1">_xll.VisibleAlpha.UDF.VAData($C$2,BW$6,$E40,$E$11,"CD","IMPL",$C$6)</f>
        <v>3.2757216117609418</v>
      </c>
      <c r="BX40" s="494">
        <f>'Income Statement'!$AA$109</f>
        <v>3.4206496229479146</v>
      </c>
      <c r="BY40" s="123">
        <f ca="1">BX40/BW40-1</f>
        <v>4.4243079346740766E-2</v>
      </c>
      <c r="BZ40" s="211"/>
      <c r="CA40" s="494">
        <f ca="1">_xll.VisibleAlpha.UDF.VAData($C$2,CA$6,$E40,$E$11,"CD","IMPL",$C$6)</f>
        <v>4.1401963460985431</v>
      </c>
      <c r="CB40" s="494">
        <f>'Income Statement'!$AB$109</f>
        <v>4.448442251958765</v>
      </c>
      <c r="CC40" s="123">
        <f ca="1">CB40/CA40-1</f>
        <v>7.4452001811627477E-2</v>
      </c>
      <c r="CD40" s="211"/>
      <c r="CE40" s="494">
        <f ca="1">_xll.VisibleAlpha.UDF.VAData($C$2,CE$6,$E40,$E$11,"CD","IMPL",$C$6)</f>
        <v>4.7814639529851108</v>
      </c>
      <c r="CF40" s="494">
        <f>'Income Statement'!$AC$109</f>
        <v>5.1167088373002283</v>
      </c>
      <c r="CG40" s="123">
        <f ca="1">CF40/CE40-1</f>
        <v>7.0113439651849907E-2</v>
      </c>
      <c r="CH40" s="211"/>
      <c r="CI40" s="494">
        <f ca="1">_xll.VisibleAlpha.UDF.VAData($C$2,CI$6,$E40,$E$11,"CD","IMPL",$C$6)</f>
        <v>5.4495604400878026</v>
      </c>
      <c r="CJ40" s="494">
        <f>'Income Statement'!$AD$109</f>
        <v>5.7217347958045961</v>
      </c>
      <c r="CK40" s="123">
        <f ca="1">CJ40/CI40-1</f>
        <v>4.9944276920875552E-2</v>
      </c>
      <c r="CL40" s="211"/>
      <c r="CM40" s="494">
        <f ca="1">_xll.VisibleAlpha.UDF.VAData($C$2,CM$6,$E40,$E$11,"CD","IMPL",$C$6)</f>
        <v>5.8080523633020267</v>
      </c>
      <c r="CN40" s="494">
        <f>'Income Statement'!$AE$109</f>
        <v>6.1326008167024009</v>
      </c>
      <c r="CO40" s="123">
        <f ca="1">CN40/CM40-1</f>
        <v>5.5879050858945734E-2</v>
      </c>
      <c r="CP40" s="1178"/>
      <c r="CQ40" s="494">
        <f ca="1">_xll.VisibleAlpha.UDF.VAData($C$2,CQ$6,$E40,$E$11,"CD","IMPL",$C$6)</f>
        <v>6.2834855401814842</v>
      </c>
      <c r="CR40" s="494">
        <f>'Income Statement'!$AF$109</f>
        <v>6.5705039099167033</v>
      </c>
      <c r="CS40" s="123">
        <f ca="1">CR40/CQ40-1</f>
        <v>4.5678209633777334E-2</v>
      </c>
      <c r="CT40" s="1178"/>
      <c r="CU40" s="836"/>
      <c r="CW40" s="494">
        <f ca="1">_xll.VisibleAlpha.UDF.VAData($C$2,CW$6,$E40,$E$11,"CD","IMPL",$C$6)</f>
        <v>5.8080523633020267</v>
      </c>
      <c r="CX40" s="494">
        <f>'Income Statement'!$AE$109</f>
        <v>6.1326008167024009</v>
      </c>
      <c r="CY40" s="123">
        <f ca="1">CX40/CW40-1</f>
        <v>5.5879050858945734E-2</v>
      </c>
    </row>
    <row r="41" spans="2:103" ht="4.5" customHeight="1" outlineLevel="1">
      <c r="G41" s="111"/>
      <c r="O41" s="85"/>
      <c r="P41" s="85"/>
      <c r="Q41" s="107"/>
      <c r="S41" s="85"/>
      <c r="T41" s="85"/>
      <c r="U41" s="107"/>
      <c r="W41" s="85"/>
      <c r="X41" s="85"/>
      <c r="Y41" s="107"/>
      <c r="AA41" s="85"/>
      <c r="AB41" s="85"/>
      <c r="AC41" s="107"/>
      <c r="AE41" s="85"/>
      <c r="AF41" s="107"/>
      <c r="AH41" s="85"/>
      <c r="AJ41" s="107"/>
      <c r="AL41" s="85"/>
      <c r="AM41" s="85"/>
      <c r="AO41" s="85"/>
      <c r="AQ41" s="85"/>
      <c r="AR41" s="85"/>
      <c r="AS41" s="107"/>
      <c r="AU41" s="85"/>
      <c r="AW41" s="107"/>
      <c r="AY41" s="85"/>
      <c r="BA41" s="107"/>
      <c r="BC41" s="85"/>
      <c r="BE41" s="107"/>
      <c r="BG41" s="85"/>
      <c r="BH41" s="85"/>
      <c r="BI41" s="107"/>
      <c r="BK41" s="85"/>
      <c r="BM41" s="107"/>
      <c r="BO41" s="655"/>
      <c r="BQ41" s="85"/>
      <c r="BS41" s="107"/>
      <c r="BU41" s="840"/>
      <c r="BW41" s="85"/>
      <c r="BY41" s="107"/>
      <c r="CA41" s="85"/>
      <c r="CC41" s="107"/>
      <c r="CE41" s="85"/>
      <c r="CG41" s="107"/>
      <c r="CI41" s="85"/>
      <c r="CK41" s="107"/>
      <c r="CM41" s="85"/>
      <c r="CO41" s="107"/>
      <c r="CQ41" s="85"/>
      <c r="CS41" s="107"/>
      <c r="CU41" s="840"/>
      <c r="CW41" s="85"/>
      <c r="CY41" s="107"/>
    </row>
    <row r="42" spans="2:103" s="392" customFormat="1" ht="48">
      <c r="B42" s="457"/>
      <c r="E42" s="692" t="s">
        <v>1187</v>
      </c>
      <c r="F42" s="693"/>
      <c r="G42" s="694" t="s">
        <v>1322</v>
      </c>
      <c r="H42" s="130">
        <f>'Aerospace Propulsion Division'!$W$104</f>
        <v>7.0999999999999994E-2</v>
      </c>
      <c r="J42" s="130" t="e">
        <f>'Aerospace Propulsion Division'!#REF!</f>
        <v>#REF!</v>
      </c>
      <c r="K42" s="130" t="e">
        <f>'Aerospace Propulsion Division'!#REF!</f>
        <v>#REF!</v>
      </c>
      <c r="L42" s="130" t="e">
        <f>'Aerospace Propulsion Division'!#REF!</f>
        <v>#REF!</v>
      </c>
      <c r="M42" s="130">
        <f>'Aerospace Propulsion Division'!$X$104</f>
        <v>0.29299999999999998</v>
      </c>
      <c r="N42" s="410"/>
      <c r="O42" s="695" t="s">
        <v>1267</v>
      </c>
      <c r="P42" s="130" t="e">
        <f>'Aerospace Propulsion Division'!#REF!</f>
        <v>#REF!</v>
      </c>
      <c r="Q42" s="696" t="s">
        <v>1267</v>
      </c>
      <c r="R42" s="410"/>
      <c r="S42" s="130">
        <f ca="1">_xll.VisibleAlpha.UDF.VAData($C$2,S$6,$E42,$E$11,"CD","IMPL",$C$6)/100</f>
        <v>0.41</v>
      </c>
      <c r="T42" s="130" t="e">
        <f>'Aerospace Propulsion Division'!#REF!</f>
        <v>#REF!</v>
      </c>
      <c r="U42" s="697" t="e">
        <f ca="1">(T42-S42)*100</f>
        <v>#REF!</v>
      </c>
      <c r="V42" s="410"/>
      <c r="W42" s="130">
        <f ca="1">_xll.VisibleAlpha.UDF.VAData($C$2,W$6,$E42,$E$11,"CD","IMPL",$C$6)/100</f>
        <v>0.36</v>
      </c>
      <c r="X42" s="130" t="e">
        <f>'Aerospace Propulsion Division'!#REF!</f>
        <v>#REF!</v>
      </c>
      <c r="Y42" s="697" t="e">
        <f ca="1">(X42-W42)*100</f>
        <v>#REF!</v>
      </c>
      <c r="Z42" s="410"/>
      <c r="AA42" s="130"/>
      <c r="AB42" s="130"/>
      <c r="AC42" s="697"/>
      <c r="AD42" s="410"/>
      <c r="AE42" s="130" t="s">
        <v>1267</v>
      </c>
      <c r="AF42" s="696" t="s">
        <v>1267</v>
      </c>
      <c r="AG42" s="410"/>
      <c r="AH42" s="130">
        <f ca="1">_xll.VisibleAlpha.UDF.VAData($C$2,AH$6,$E42,$E$11,"CD","IMPL",$C$6)/100</f>
        <v>0.30336846632663123</v>
      </c>
      <c r="AI42" s="130" t="e">
        <f>'Aerospace Propulsion Division'!#REF!</f>
        <v>#REF!</v>
      </c>
      <c r="AJ42" s="697" t="e">
        <f ca="1">(AI42-AH42)*100</f>
        <v>#REF!</v>
      </c>
      <c r="AK42" s="410"/>
      <c r="AL42" s="130">
        <f ca="1">_xll.VisibleAlpha.UDF.VAData($C$2,AL$6,$E42,$E$11,"CD","IMPL",$C$6)/100</f>
        <v>0.30336846632663123</v>
      </c>
      <c r="AM42" s="130">
        <f ca="1">_xll.VisibleAlpha.UDF.VAData($C$2,AM$6,$E42,$E$11,"CD","IMPL",$C$6)/100</f>
        <v>0.32463546186658271</v>
      </c>
      <c r="AN42" s="410"/>
      <c r="AO42" s="130" t="s">
        <v>1267</v>
      </c>
      <c r="AP42" s="410"/>
      <c r="AQ42" s="130" t="s">
        <v>1267</v>
      </c>
      <c r="AR42" s="130" t="e">
        <f>'Aerospace Propulsion Division'!#REF!</f>
        <v>#REF!</v>
      </c>
      <c r="AS42" s="697" t="s">
        <v>1267</v>
      </c>
      <c r="AT42" s="410"/>
      <c r="AU42" s="130">
        <v>0.32</v>
      </c>
      <c r="AV42" s="130">
        <f>'Aerospace Propulsion Division'!$Y$104</f>
        <v>0.32900000000000001</v>
      </c>
      <c r="AW42" s="697">
        <f>(AV42-AU42)*100</f>
        <v>0.9000000000000008</v>
      </c>
      <c r="AX42" s="410"/>
      <c r="AY42" s="130">
        <v>0.17100000000000001</v>
      </c>
      <c r="AZ42" s="130">
        <f>'Aerospace Propulsion Division'!$Z$104</f>
        <v>0.249</v>
      </c>
      <c r="BA42" s="697">
        <f>(AZ42-AY42)*100</f>
        <v>7.7999999999999989</v>
      </c>
      <c r="BB42" s="410"/>
      <c r="BC42" s="130">
        <f ca="1">_xll.VisibleAlpha.UDF.VAData($C$2,BC$6,$E42,$E$11,"CD","IMPL",$C$6)/100</f>
        <v>0.32769125328047366</v>
      </c>
      <c r="BD42" s="130">
        <f>'Aerospace Propulsion Division'!$Y$104</f>
        <v>0.32900000000000001</v>
      </c>
      <c r="BE42" s="697">
        <f ca="1">(BD42-BC42)*100</f>
        <v>0.13087467195263547</v>
      </c>
      <c r="BF42" s="410"/>
      <c r="BG42" s="130"/>
      <c r="BH42" s="130"/>
      <c r="BI42" s="697"/>
      <c r="BJ42" s="410"/>
      <c r="BK42" s="130">
        <f ca="1">_xll.VisibleAlpha.UDF.VAData($C$2,BK$6,$E42,$E$11,"CD","IMPL",$C$6)/100</f>
        <v>0.21448843733244199</v>
      </c>
      <c r="BL42" s="130" t="e">
        <f>'Aerospace Propulsion Division'!#REF!</f>
        <v>#REF!</v>
      </c>
      <c r="BM42" s="697" t="e">
        <f ca="1">(BL42-BK42)*100</f>
        <v>#REF!</v>
      </c>
      <c r="BN42" s="410"/>
      <c r="BO42" s="691" t="str">
        <f>'Results table'!BB114</f>
        <v xml:space="preserve">Spares: up mid to high teens
Services: up low to mid twenties </v>
      </c>
      <c r="BP42" s="410"/>
      <c r="BQ42" s="130">
        <f ca="1">_xll.VisibleAlpha.UDF.VAData($C$2,BQ$6,$E42,$E$11,"CD","IMPL",$C$6)/100</f>
        <v>0.17310912991620808</v>
      </c>
      <c r="BR42" s="130">
        <f>'Aerospace Propulsion Division'!$AA$105</f>
        <v>0.21905359840388816</v>
      </c>
      <c r="BS42" s="697">
        <f ca="1">(BR42-BQ42)*100</f>
        <v>4.5944468487680084</v>
      </c>
      <c r="BT42" s="410"/>
      <c r="BU42" s="836"/>
      <c r="BV42" s="410"/>
      <c r="BW42" s="130">
        <f ca="1">_xll.VisibleAlpha.UDF.VAData($C$2,BW$6,$E42,$E$11,"CD","IMPL",$C$6)/100</f>
        <v>0.17310912991620808</v>
      </c>
      <c r="BX42" s="130">
        <f>'Aerospace Propulsion Division'!$AA$105</f>
        <v>0.21905359840388816</v>
      </c>
      <c r="BY42" s="697">
        <f ca="1">(BX42-BW42)*100</f>
        <v>4.5944468487680084</v>
      </c>
      <c r="BZ42" s="410"/>
      <c r="CA42" s="130">
        <f ca="1">_xll.VisibleAlpha.UDF.VAData($C$2,CA$6,$E42,$E$11,"CD","IMPL",$C$6)/100</f>
        <v>0.13005050928464121</v>
      </c>
      <c r="CB42" s="130">
        <f>'Aerospace Propulsion Division'!$AB$104</f>
        <v>0.17435513085767562</v>
      </c>
      <c r="CC42" s="697">
        <f ca="1">(CB42-CA42)*100</f>
        <v>4.4304621573034417</v>
      </c>
      <c r="CD42" s="410"/>
      <c r="CE42" s="130">
        <f ca="1">_xll.VisibleAlpha.UDF.VAData($C$2,CE$6,$E42,$E$11,"CD","IMPL",$C$6)/100</f>
        <v>9.9381641993314188E-2</v>
      </c>
      <c r="CF42" s="130">
        <f>'Aerospace Propulsion Division'!$AC$104</f>
        <v>0.11570692625428669</v>
      </c>
      <c r="CG42" s="697">
        <f ca="1">(CF42-CE42)*100</f>
        <v>1.6325284260972504</v>
      </c>
      <c r="CH42" s="410"/>
      <c r="CI42" s="130">
        <f ca="1">_xll.VisibleAlpha.UDF.VAData($C$2,CI$6,$E42,$E$11,"CD","IMPL",$C$6)/100</f>
        <v>7.6616744744034279E-2</v>
      </c>
      <c r="CJ42" s="130">
        <f>'Aerospace Propulsion Division'!$AD$104</f>
        <v>0.10488129227462473</v>
      </c>
      <c r="CK42" s="697">
        <f ca="1">(CJ42-CI42)*100</f>
        <v>2.8264547530590449</v>
      </c>
      <c r="CL42" s="410"/>
      <c r="CM42" s="130">
        <f ca="1">_xll.VisibleAlpha.UDF.VAData($C$2,CM$6,$E42,$E$11,"CD","IMPL",$C$6)/100</f>
        <v>5.5934417258691881E-2</v>
      </c>
      <c r="CN42" s="130">
        <f>'Aerospace Propulsion Division'!$AE$104</f>
        <v>5.7358934569718301E-2</v>
      </c>
      <c r="CO42" s="697">
        <f ca="1">(CN42-CM42)*100</f>
        <v>0.142451731102642</v>
      </c>
      <c r="CP42" s="1380"/>
      <c r="CQ42" s="130">
        <f ca="1">_xll.VisibleAlpha.UDF.VAData($C$2,CQ$6,$E42,$E$11,"CD","IMPL",$C$6)/100</f>
        <v>6.496320892258084E-2</v>
      </c>
      <c r="CR42" s="130">
        <f>'Aerospace Propulsion Division'!$AF$104</f>
        <v>7.4222999495234365E-2</v>
      </c>
      <c r="CS42" s="697">
        <f ca="1">(CR42-CQ42)*100</f>
        <v>0.92597905726535257</v>
      </c>
      <c r="CT42" s="1380"/>
      <c r="CU42" s="836"/>
      <c r="CW42" s="130">
        <f ca="1">_xll.VisibleAlpha.UDF.VAData($C$2,CW$6,$E42,$E$11,"CD","IMPL",$C$6)/100</f>
        <v>5.5934417258691881E-2</v>
      </c>
      <c r="CX42" s="130">
        <f>'Aerospace Propulsion Division'!$AE$104</f>
        <v>5.7358934569718301E-2</v>
      </c>
      <c r="CY42" s="697">
        <f ca="1">(CX42-CW42)*100</f>
        <v>0.142451731102642</v>
      </c>
    </row>
    <row r="43" spans="2:103" ht="24" hidden="1">
      <c r="G43" s="121" t="s">
        <v>1375</v>
      </c>
      <c r="H43" s="212">
        <f>'Aerospace Propulsion Division'!$W$169</f>
        <v>0</v>
      </c>
      <c r="J43" s="212" t="e">
        <f>'Aerospace Propulsion Division'!#REF!</f>
        <v>#REF!</v>
      </c>
      <c r="K43" s="212" t="e">
        <f>'Aerospace Propulsion Division'!#REF!</f>
        <v>#REF!</v>
      </c>
      <c r="L43" s="212" t="e">
        <f>'Aerospace Propulsion Division'!#REF!</f>
        <v>#REF!</v>
      </c>
      <c r="M43" s="212">
        <f>'Aerospace Propulsion Division'!$X$169</f>
        <v>0.29937500000000017</v>
      </c>
      <c r="N43" s="211"/>
      <c r="O43" s="124" t="s">
        <v>1267</v>
      </c>
      <c r="P43" s="212" t="e">
        <f>#REF!</f>
        <v>#REF!</v>
      </c>
      <c r="Q43" s="123" t="s">
        <v>1267</v>
      </c>
      <c r="R43" s="211"/>
      <c r="S43" s="212" t="e">
        <f ca="1">_xll.VisibleAlpha.UDF.VAData($C$2,S$6,$E43,$E$11,"CD","IMPL",$C$6)/100</f>
        <v>#VALUE!</v>
      </c>
      <c r="T43" s="212" t="e">
        <f>#REF!</f>
        <v>#REF!</v>
      </c>
      <c r="U43" s="213" t="e">
        <f ca="1">(T43-S43)*100</f>
        <v>#REF!</v>
      </c>
      <c r="V43" s="211"/>
      <c r="W43" s="212" t="e">
        <f ca="1">_xll.VisibleAlpha.UDF.VAData($C$2,W$6,$E43,$E$11,"CD","IMPL",$C$6)/100</f>
        <v>#VALUE!</v>
      </c>
      <c r="X43" s="212" t="e">
        <f>#REF!</f>
        <v>#REF!</v>
      </c>
      <c r="Y43" s="213" t="e">
        <f ca="1">(X43-W43)*100</f>
        <v>#REF!</v>
      </c>
      <c r="Z43" s="211"/>
      <c r="AA43" s="212" t="e">
        <f ca="1">_xll.VisibleAlpha.UDF.VAData($C$2,AA$6,$E43,$E$11,"CD","IMPL",$C$6)/100</f>
        <v>#VALUE!</v>
      </c>
      <c r="AB43" s="212" t="e">
        <f>#REF!</f>
        <v>#REF!</v>
      </c>
      <c r="AC43" s="213" t="e">
        <f ca="1">(AB43-AA43)*100</f>
        <v>#REF!</v>
      </c>
      <c r="AD43" s="211"/>
      <c r="AE43" s="212" t="s">
        <v>1267</v>
      </c>
      <c r="AF43" s="123" t="s">
        <v>1267</v>
      </c>
      <c r="AG43" s="211"/>
      <c r="AH43" s="212" t="e">
        <f ca="1">_xll.VisibleAlpha.UDF.VAData($C$2,AH$6,$E43,$E$11,"CD","IMPL",$C$6)/100</f>
        <v>#VALUE!</v>
      </c>
      <c r="AI43" s="212" t="e">
        <f>'Aerospace Propulsion Division'!#REF!</f>
        <v>#REF!</v>
      </c>
      <c r="AJ43" s="213" t="e">
        <f ca="1">(AI43-AH43)*100</f>
        <v>#REF!</v>
      </c>
      <c r="AK43" s="211"/>
      <c r="AL43" s="212" t="s">
        <v>1267</v>
      </c>
      <c r="AM43" s="212" t="s">
        <v>1267</v>
      </c>
      <c r="AN43" s="211"/>
      <c r="AO43" s="212" t="s">
        <v>1267</v>
      </c>
      <c r="AP43" s="211"/>
      <c r="AQ43" s="212" t="s">
        <v>1267</v>
      </c>
      <c r="AR43" s="212" t="s">
        <v>1267</v>
      </c>
      <c r="AS43" s="213" t="s">
        <v>1267</v>
      </c>
      <c r="AT43" s="211"/>
      <c r="AU43" s="212" t="s">
        <v>1267</v>
      </c>
      <c r="AV43" s="212">
        <f>'Aerospace Propulsion Division'!$Y$169</f>
        <v>0.36042499999999977</v>
      </c>
      <c r="AW43" s="213" t="s">
        <v>1267</v>
      </c>
      <c r="AX43" s="211"/>
      <c r="AY43" s="212" t="s">
        <v>1267</v>
      </c>
      <c r="AZ43" s="212">
        <f>'Aerospace Propulsion Division'!$Z$169</f>
        <v>0.10617500000000013</v>
      </c>
      <c r="BA43" s="213" t="s">
        <v>1267</v>
      </c>
      <c r="BB43" s="211"/>
      <c r="BC43" s="212" t="s">
        <v>1267</v>
      </c>
      <c r="BD43" s="212">
        <f>'Aerospace Propulsion Division'!$Y$169</f>
        <v>0.36042499999999977</v>
      </c>
      <c r="BE43" s="213" t="s">
        <v>1267</v>
      </c>
      <c r="BF43" s="211"/>
      <c r="BG43" s="212"/>
      <c r="BH43" s="212"/>
      <c r="BI43" s="213"/>
      <c r="BJ43" s="211"/>
      <c r="BK43" s="212" t="e">
        <f ca="1">_xll.VisibleAlpha.UDF.VAData($C$2,BK$6,$E43,$E$11,"CD","IMPL",$C$6)/100</f>
        <v>#VALUE!</v>
      </c>
      <c r="BL43" s="212" t="e">
        <f>'Aerospace Propulsion Division'!#REF!</f>
        <v>#REF!</v>
      </c>
      <c r="BM43" s="213" t="e">
        <f ca="1">(BL43-BK43)*100</f>
        <v>#REF!</v>
      </c>
      <c r="BN43" s="211"/>
      <c r="BO43" s="656"/>
      <c r="BP43" s="211"/>
      <c r="BQ43" s="212" t="s">
        <v>1267</v>
      </c>
      <c r="BR43" s="212">
        <f>'Aerospace Propulsion Division'!$Z$169</f>
        <v>0.10617500000000013</v>
      </c>
      <c r="BS43" s="213" t="s">
        <v>1267</v>
      </c>
      <c r="BT43" s="211"/>
      <c r="BU43" s="847" t="s">
        <v>1452</v>
      </c>
      <c r="BV43" s="211"/>
      <c r="BW43" s="212" t="s">
        <v>1267</v>
      </c>
      <c r="BX43" s="212">
        <f>'Aerospace Propulsion Division'!$AA$169</f>
        <v>0.25378089070966059</v>
      </c>
      <c r="BY43" s="213" t="s">
        <v>1267</v>
      </c>
      <c r="BZ43" s="211"/>
      <c r="CA43" s="212" t="s">
        <v>1267</v>
      </c>
      <c r="CB43" s="212">
        <f>'Aerospace Propulsion Division'!$AB$169</f>
        <v>0.11173247058823499</v>
      </c>
      <c r="CC43" s="213" t="s">
        <v>1267</v>
      </c>
      <c r="CD43" s="211"/>
      <c r="CE43" s="212" t="s">
        <v>1267</v>
      </c>
      <c r="CF43" s="212">
        <f>'Aerospace Propulsion Division'!$AC$169</f>
        <v>-6.1405405405403624E-3</v>
      </c>
      <c r="CG43" s="213" t="s">
        <v>1267</v>
      </c>
      <c r="CH43" s="211"/>
      <c r="CI43" s="212" t="s">
        <v>1267</v>
      </c>
      <c r="CJ43" s="212">
        <f>'Aerospace Propulsion Division'!$AD$169</f>
        <v>-2.5731970006816596E-2</v>
      </c>
      <c r="CK43" s="213" t="s">
        <v>1267</v>
      </c>
      <c r="CL43" s="211"/>
      <c r="CM43" s="212" t="s">
        <v>1267</v>
      </c>
      <c r="CN43" s="212">
        <f>'Aerospace Propulsion Division'!$AD$169</f>
        <v>-2.5731970006816596E-2</v>
      </c>
      <c r="CO43" s="213" t="s">
        <v>1267</v>
      </c>
      <c r="CP43" s="1181"/>
      <c r="CQ43" s="212" t="s">
        <v>1267</v>
      </c>
      <c r="CR43" s="212">
        <f>'Aerospace Propulsion Division'!$AD$169</f>
        <v>-2.5731970006816596E-2</v>
      </c>
      <c r="CS43" s="213" t="s">
        <v>1267</v>
      </c>
      <c r="CT43" s="1181"/>
      <c r="CU43" s="844"/>
      <c r="CW43" s="212" t="s">
        <v>1267</v>
      </c>
      <c r="CX43" s="212">
        <f>'Aerospace Propulsion Division'!$AD$169</f>
        <v>-2.5731970006816596E-2</v>
      </c>
      <c r="CY43" s="213" t="s">
        <v>1267</v>
      </c>
    </row>
    <row r="44" spans="2:103" s="392" customFormat="1" ht="24">
      <c r="B44" s="457"/>
      <c r="E44" s="692" t="s">
        <v>1400</v>
      </c>
      <c r="F44" s="693"/>
      <c r="G44" s="694" t="s">
        <v>1439</v>
      </c>
      <c r="H44" s="130"/>
      <c r="J44" s="130"/>
      <c r="K44" s="130"/>
      <c r="L44" s="130"/>
      <c r="M44" s="130"/>
      <c r="N44" s="410"/>
      <c r="O44" s="695"/>
      <c r="P44" s="130"/>
      <c r="Q44" s="696"/>
      <c r="R44" s="410"/>
      <c r="S44" s="130"/>
      <c r="T44" s="130"/>
      <c r="U44" s="697"/>
      <c r="V44" s="410"/>
      <c r="W44" s="130"/>
      <c r="X44" s="130"/>
      <c r="Y44" s="697"/>
      <c r="Z44" s="410"/>
      <c r="AA44" s="130"/>
      <c r="AB44" s="130"/>
      <c r="AC44" s="697"/>
      <c r="AD44" s="410"/>
      <c r="AE44" s="130"/>
      <c r="AF44" s="696"/>
      <c r="AG44" s="410"/>
      <c r="AH44" s="695">
        <f ca="1">_xll.VisibleAlpha.UDF.VAData($C$2,AH$6,$E44,$E$11,"CD","IMPL",$C$6)</f>
        <v>664</v>
      </c>
      <c r="AI44" s="130" t="s">
        <v>1267</v>
      </c>
      <c r="AJ44" s="697" t="s">
        <v>1267</v>
      </c>
      <c r="AK44" s="410"/>
      <c r="AL44" s="695">
        <f ca="1">_xll.VisibleAlpha.UDF.VAData($C$2,AL$6,$E44,$E$11,"CD","IMPL",$C$6)</f>
        <v>664</v>
      </c>
      <c r="AM44" s="695">
        <f ca="1">_xll.VisibleAlpha.UDF.VAData($C$2,AM$6,$E44,$E$11,"CD","IMPL",$C$6)</f>
        <v>297</v>
      </c>
      <c r="AN44" s="410"/>
      <c r="AO44" s="130"/>
      <c r="AP44" s="410"/>
      <c r="AQ44" s="130"/>
      <c r="AR44" s="130"/>
      <c r="AS44" s="697"/>
      <c r="AT44" s="410"/>
      <c r="AU44" s="130"/>
      <c r="AV44" s="130"/>
      <c r="AW44" s="697"/>
      <c r="AX44" s="410"/>
      <c r="AY44" s="130"/>
      <c r="AZ44" s="130"/>
      <c r="BA44" s="697"/>
      <c r="BB44" s="410"/>
      <c r="BC44" s="130"/>
      <c r="BD44" s="130"/>
      <c r="BE44" s="697"/>
      <c r="BF44" s="410"/>
      <c r="BG44" s="130" t="s">
        <v>1267</v>
      </c>
      <c r="BH44" s="130" t="s">
        <v>1267</v>
      </c>
      <c r="BI44" s="698" t="s">
        <v>1267</v>
      </c>
      <c r="BJ44" s="410"/>
      <c r="BK44" s="695">
        <f ca="1">_xll.VisibleAlpha.UDF.VAData($C$2,BK$6,$E44,$E$11,"CD","IMPL",$C$6)</f>
        <v>729</v>
      </c>
      <c r="BL44" s="130" t="s">
        <v>1267</v>
      </c>
      <c r="BM44" s="697" t="s">
        <v>1267</v>
      </c>
      <c r="BN44" s="410"/>
      <c r="BO44" s="691" t="s">
        <v>1744</v>
      </c>
      <c r="BP44" s="410"/>
      <c r="BQ44" s="695">
        <f ca="1">_xll.VisibleAlpha.UDF.VAData($C$2,BQ$6,$E44,$E$11,"CD","IMPL",$C$6)</f>
        <v>1725.3919249471455</v>
      </c>
      <c r="BR44" s="695">
        <f>'Aerospace Propulsion Division'!$AA$27</f>
        <v>1846</v>
      </c>
      <c r="BS44" s="696">
        <f ca="1">BR44/BQ44-1</f>
        <v>6.9901842769171996E-2</v>
      </c>
      <c r="BT44" s="410"/>
      <c r="BU44" s="835" t="s">
        <v>1454</v>
      </c>
      <c r="BV44" s="410"/>
      <c r="BW44" s="695">
        <f ca="1">_xll.VisibleAlpha.UDF.VAData($C$2,BW$6,$E44,$E$11,"CD","IMPL",$C$6)</f>
        <v>1725.3919249471455</v>
      </c>
      <c r="BX44" s="695">
        <f>'Aerospace Propulsion Division'!$AA$27</f>
        <v>1846</v>
      </c>
      <c r="BY44" s="696">
        <f ca="1">BX44/BW44-1</f>
        <v>6.9901842769171996E-2</v>
      </c>
      <c r="BZ44" s="410"/>
      <c r="CA44" s="695">
        <f ca="1">_xll.VisibleAlpha.UDF.VAData($C$2,CA$6,$E44,$E$11,"CD","IMPL",$C$6)</f>
        <v>2039.487396212121</v>
      </c>
      <c r="CB44" s="695">
        <f>'Aerospace Propulsion Division'!$AB$27</f>
        <v>2070.6</v>
      </c>
      <c r="CC44" s="696">
        <f ca="1">CB44/CA44-1</f>
        <v>1.5255109615123663E-2</v>
      </c>
      <c r="CD44" s="410"/>
      <c r="CE44" s="695">
        <f ca="1">_xll.VisibleAlpha.UDF.VAData($C$2,CE$6,$E44,$E$11,"CD","IMPL",$C$6)</f>
        <v>2277.8434444444438</v>
      </c>
      <c r="CF44" s="695">
        <f>'Aerospace Propulsion Division'!$AC$27</f>
        <v>2343</v>
      </c>
      <c r="CG44" s="696">
        <f ca="1">CF44/CE44-1</f>
        <v>2.8604492426584471E-2</v>
      </c>
      <c r="CH44" s="410"/>
      <c r="CI44" s="695">
        <f ca="1">_xll.VisibleAlpha.UDF.VAData($C$2,CI$6,$E44,$E$11,"CD","IMPL",$C$6)</f>
        <v>2440.5890916872422</v>
      </c>
      <c r="CJ44" s="695">
        <f>'Aerospace Propulsion Division'!$AD$27</f>
        <v>2507.0100000000002</v>
      </c>
      <c r="CK44" s="696">
        <f ca="1">CJ44/CI44-1</f>
        <v>2.7215113162224025E-2</v>
      </c>
      <c r="CL44" s="410"/>
      <c r="CM44" s="695">
        <f ca="1">_xll.VisibleAlpha.UDF.VAData($C$2,CM$6,$E44,$E$11,"CD","IMPL",$C$6)</f>
        <v>2590.1941771343322</v>
      </c>
      <c r="CN44" s="695">
        <f>'Aerospace Propulsion Division'!$AE$27</f>
        <v>2657.4306000000001</v>
      </c>
      <c r="CO44" s="696">
        <f ca="1">CN44/CM44-1</f>
        <v>2.595806270403056E-2</v>
      </c>
      <c r="CP44" s="411"/>
      <c r="CQ44" s="695">
        <f ca="1">_xll.VisibleAlpha.UDF.VAData($C$2,CQ$6,$E44,$E$11,"CD","IMPL",$C$6)</f>
        <v>2352.9517345182876</v>
      </c>
      <c r="CR44" s="695">
        <f>'Aerospace Propulsion Division'!$AF$27</f>
        <v>2657.4306000000001</v>
      </c>
      <c r="CS44" s="696">
        <f ca="1">CR44/CQ44-1</f>
        <v>0.12940293717671492</v>
      </c>
      <c r="CT44" s="411"/>
      <c r="CU44" s="840"/>
      <c r="CW44" s="695">
        <f ca="1">_xll.VisibleAlpha.UDF.VAData($C$2,CW$6,$E44,$E$11,"CD","IMPL",$C$6)</f>
        <v>2590.1941771343322</v>
      </c>
      <c r="CX44" s="695">
        <f>'Aerospace Propulsion Division'!$AE$27</f>
        <v>2657.4306000000001</v>
      </c>
      <c r="CY44" s="696">
        <f ca="1">CX44/CW44-1</f>
        <v>2.595806270403056E-2</v>
      </c>
    </row>
    <row r="45" spans="2:103" s="392" customFormat="1">
      <c r="B45" s="457"/>
      <c r="E45" s="692"/>
      <c r="F45" s="693"/>
      <c r="G45" s="421" t="s">
        <v>1722</v>
      </c>
      <c r="H45" s="1286"/>
      <c r="I45" s="421"/>
      <c r="J45" s="1286"/>
      <c r="K45" s="1286"/>
      <c r="L45" s="1286"/>
      <c r="M45" s="1286"/>
      <c r="N45" s="421"/>
      <c r="O45" s="1287"/>
      <c r="P45" s="1286"/>
      <c r="Q45" s="1288"/>
      <c r="R45" s="421"/>
      <c r="S45" s="1286"/>
      <c r="T45" s="1286"/>
      <c r="U45" s="1289"/>
      <c r="V45" s="421"/>
      <c r="W45" s="1286"/>
      <c r="X45" s="1286"/>
      <c r="Y45" s="1289"/>
      <c r="Z45" s="421"/>
      <c r="AA45" s="1286"/>
      <c r="AB45" s="1286"/>
      <c r="AC45" s="1289"/>
      <c r="AD45" s="421"/>
      <c r="AE45" s="1286"/>
      <c r="AF45" s="1288"/>
      <c r="AG45" s="421"/>
      <c r="AH45" s="1287"/>
      <c r="AI45" s="1286"/>
      <c r="AJ45" s="1289"/>
      <c r="AK45" s="421"/>
      <c r="AL45" s="1287"/>
      <c r="AM45" s="1287"/>
      <c r="AN45" s="421"/>
      <c r="AO45" s="1286"/>
      <c r="AP45" s="421"/>
      <c r="AQ45" s="1286"/>
      <c r="AR45" s="1286"/>
      <c r="AS45" s="1289"/>
      <c r="AT45" s="421"/>
      <c r="AU45" s="1286"/>
      <c r="AV45" s="1286"/>
      <c r="AW45" s="1289"/>
      <c r="AX45" s="421"/>
      <c r="AY45" s="1286"/>
      <c r="AZ45" s="1286"/>
      <c r="BA45" s="1289"/>
      <c r="BB45" s="421"/>
      <c r="BC45" s="1286"/>
      <c r="BD45" s="1286"/>
      <c r="BE45" s="1289"/>
      <c r="BF45" s="421"/>
      <c r="BG45" s="1286"/>
      <c r="BH45" s="1286"/>
      <c r="BI45" s="1290"/>
      <c r="BJ45" s="421"/>
      <c r="BK45" s="1287"/>
      <c r="BL45" s="1286"/>
      <c r="BM45" s="1289"/>
      <c r="BN45" s="421"/>
      <c r="BO45" s="1291"/>
      <c r="BP45" s="421"/>
      <c r="BQ45" s="1287"/>
      <c r="BR45" s="1287"/>
      <c r="BS45" s="1288"/>
      <c r="BT45" s="421"/>
      <c r="BU45" s="1292"/>
      <c r="BV45" s="421"/>
      <c r="BW45" s="1294">
        <f ca="1">BW44/'Aerospace Propulsion Division'!Z27-1</f>
        <v>0.226291346799677</v>
      </c>
      <c r="BX45" s="1294">
        <f>BX44/'Aerospace Propulsion Division'!Z27-1</f>
        <v>0.3120113717128643</v>
      </c>
      <c r="BY45" s="1288"/>
      <c r="BZ45" s="421"/>
      <c r="CA45" s="1294">
        <f ca="1">CA44/BW44-1</f>
        <v>0.18204297048312501</v>
      </c>
      <c r="CB45" s="1294">
        <f>CB44/BX44-1</f>
        <v>0.12166847237269773</v>
      </c>
      <c r="CC45" s="1288"/>
      <c r="CD45" s="421"/>
      <c r="CE45" s="1294">
        <f ca="1">CE44/CA44-1</f>
        <v>0.11687056692530406</v>
      </c>
      <c r="CF45" s="1294">
        <f>CF44/CB44-1</f>
        <v>0.13155607070414388</v>
      </c>
      <c r="CG45" s="1288"/>
      <c r="CH45" s="421"/>
      <c r="CI45" s="1294">
        <f ca="1">CI44/CE44-1</f>
        <v>7.1447248773715222E-2</v>
      </c>
      <c r="CJ45" s="1294">
        <f>CJ44/CF44-1</f>
        <v>7.0000000000000062E-2</v>
      </c>
      <c r="CK45" s="1288"/>
      <c r="CL45" s="421"/>
      <c r="CM45" s="1294">
        <f ca="1">CM44/CI44-1</f>
        <v>6.1298760187305401E-2</v>
      </c>
      <c r="CN45" s="1294">
        <f>CN44/CJ44-1</f>
        <v>6.0000000000000053E-2</v>
      </c>
      <c r="CO45" s="1288"/>
      <c r="CP45" s="1293"/>
      <c r="CQ45" s="1294">
        <f ca="1">CQ44/CM44-1</f>
        <v>-9.1592531830381296E-2</v>
      </c>
      <c r="CR45" s="1294">
        <f>CR44/CN44-1</f>
        <v>0</v>
      </c>
      <c r="CS45" s="1288"/>
      <c r="CT45" s="411"/>
      <c r="CU45" s="840"/>
      <c r="CW45" s="695"/>
      <c r="CX45" s="695"/>
      <c r="CY45" s="696"/>
    </row>
    <row r="46" spans="2:103" ht="4.5" customHeight="1">
      <c r="Q46" s="115"/>
      <c r="U46" s="115"/>
      <c r="Y46" s="115"/>
      <c r="AC46" s="115"/>
      <c r="AF46" s="115"/>
      <c r="AJ46" s="115"/>
      <c r="AS46" s="115"/>
      <c r="AW46" s="115"/>
      <c r="BA46" s="115"/>
      <c r="BE46" s="115"/>
      <c r="BI46" s="115"/>
      <c r="BM46" s="115"/>
      <c r="BO46" s="575"/>
      <c r="BS46" s="115"/>
      <c r="BU46" s="843"/>
      <c r="BY46" s="115"/>
      <c r="CC46" s="115"/>
      <c r="CG46" s="115"/>
      <c r="CK46" s="115"/>
      <c r="CO46" s="115"/>
      <c r="CS46" s="115"/>
      <c r="CU46" s="837"/>
      <c r="CY46" s="115"/>
    </row>
    <row r="47" spans="2:103" ht="12.75" customHeight="1">
      <c r="G47" s="215" t="s">
        <v>1298</v>
      </c>
      <c r="J47" s="138"/>
      <c r="K47" s="138"/>
      <c r="L47" s="138"/>
      <c r="M47" s="138"/>
      <c r="O47" s="139"/>
      <c r="P47" s="138"/>
      <c r="S47" s="139"/>
      <c r="T47" s="138"/>
      <c r="W47" s="139"/>
      <c r="X47" s="138"/>
      <c r="AA47" s="139"/>
      <c r="AB47" s="138"/>
      <c r="AE47" s="139"/>
      <c r="AH47" s="139"/>
      <c r="AI47" s="138"/>
      <c r="AL47" s="139"/>
      <c r="AM47" s="138"/>
      <c r="BK47" s="139"/>
      <c r="BL47" s="138"/>
      <c r="BX47" s="860"/>
      <c r="BY47" s="138"/>
      <c r="CB47" s="83" t="s">
        <v>1747</v>
      </c>
      <c r="CU47" s="843"/>
    </row>
    <row r="48" spans="2:103">
      <c r="G48" s="215"/>
      <c r="AR48" s="495"/>
      <c r="AV48" s="495"/>
      <c r="AZ48" s="495"/>
      <c r="BD48" s="495"/>
      <c r="BU48" s="846"/>
    </row>
    <row r="49" spans="7:132">
      <c r="G49" s="215"/>
      <c r="AR49" s="495"/>
      <c r="AV49" s="495"/>
      <c r="AZ49" s="495"/>
      <c r="BD49" s="495"/>
      <c r="BU49" s="846"/>
    </row>
    <row r="50" spans="7:132">
      <c r="G50" s="215"/>
      <c r="AR50" s="495"/>
      <c r="AV50" s="495"/>
      <c r="AZ50" s="495"/>
      <c r="BD50" s="495"/>
      <c r="BU50" s="846"/>
    </row>
    <row r="51" spans="7:132">
      <c r="G51" s="215"/>
      <c r="AR51" s="495"/>
      <c r="AV51" s="495"/>
      <c r="AZ51" s="495"/>
      <c r="BD51" s="495"/>
      <c r="BU51" s="846"/>
    </row>
    <row r="52" spans="7:132">
      <c r="G52" s="215"/>
      <c r="AR52" s="495"/>
      <c r="AV52" s="495"/>
      <c r="AZ52" s="495"/>
      <c r="BD52" s="495"/>
      <c r="BU52" s="846"/>
    </row>
    <row r="53" spans="7:132">
      <c r="G53" s="215"/>
      <c r="AR53" s="495"/>
      <c r="AV53" s="495"/>
      <c r="AZ53" s="495"/>
      <c r="BD53" s="495"/>
      <c r="BU53" s="846"/>
      <c r="DR53" s="1420" t="s">
        <v>1487</v>
      </c>
      <c r="DS53" s="1420"/>
      <c r="DZ53" s="710" t="s">
        <v>1430</v>
      </c>
    </row>
    <row r="54" spans="7:132">
      <c r="G54" s="215"/>
      <c r="AR54" s="495"/>
      <c r="AV54" s="495"/>
      <c r="AZ54" s="495"/>
      <c r="BD54" s="495"/>
      <c r="BU54" s="846"/>
      <c r="CW54" s="427"/>
      <c r="CX54" s="84"/>
      <c r="CY54" s="427"/>
      <c r="CZ54" s="84"/>
      <c r="DA54" s="1421" t="s">
        <v>1388</v>
      </c>
      <c r="DB54" s="1421"/>
      <c r="DC54" s="504"/>
      <c r="DD54" s="84"/>
      <c r="DE54" s="504"/>
      <c r="DF54" s="504"/>
      <c r="DG54" s="84"/>
      <c r="DH54" s="427"/>
      <c r="DK54" s="427"/>
      <c r="DP54" s="427"/>
      <c r="DR54" s="1425" t="s">
        <v>1488</v>
      </c>
      <c r="DS54" s="1425"/>
      <c r="DU54" s="427"/>
      <c r="DZ54" s="709" t="s">
        <v>1429</v>
      </c>
    </row>
    <row r="55" spans="7:132" ht="4.5" customHeight="1">
      <c r="G55" s="215"/>
      <c r="AR55" s="495"/>
      <c r="AV55" s="495"/>
      <c r="AZ55" s="495"/>
      <c r="BD55" s="495"/>
      <c r="BU55" s="846"/>
      <c r="CW55" s="427"/>
      <c r="CX55" s="84"/>
      <c r="CY55" s="427"/>
      <c r="CZ55" s="84"/>
      <c r="DA55" s="492"/>
      <c r="DB55" s="507"/>
      <c r="DC55" s="580"/>
      <c r="DD55" s="84"/>
      <c r="DE55" s="427"/>
      <c r="DF55" s="427"/>
      <c r="DG55" s="84"/>
      <c r="DH55" s="568"/>
      <c r="DK55" s="427"/>
      <c r="DP55" s="568"/>
      <c r="DU55" s="568"/>
      <c r="DW55" s="662"/>
      <c r="DX55" s="663"/>
      <c r="EB55" s="711"/>
    </row>
    <row r="56" spans="7:132">
      <c r="G56" s="215"/>
      <c r="AR56" s="495"/>
      <c r="AV56" s="495"/>
      <c r="AZ56" s="495"/>
      <c r="BD56" s="495"/>
      <c r="BU56" s="846"/>
      <c r="CW56" s="433" t="s">
        <v>732</v>
      </c>
      <c r="CX56" s="84"/>
      <c r="CY56" s="505" t="s">
        <v>740</v>
      </c>
      <c r="CZ56" s="84"/>
      <c r="DA56" s="506" t="s">
        <v>1344</v>
      </c>
      <c r="DB56" s="508" t="s">
        <v>1394</v>
      </c>
      <c r="DC56" s="581" t="s">
        <v>1354</v>
      </c>
      <c r="DD56" s="84"/>
      <c r="DE56" s="520" t="s">
        <v>1344</v>
      </c>
      <c r="DF56" s="520" t="s">
        <v>1394</v>
      </c>
      <c r="DG56" s="84"/>
      <c r="DH56" s="549" t="s">
        <v>1167</v>
      </c>
      <c r="DK56" s="433" t="s">
        <v>732</v>
      </c>
      <c r="DM56" s="1422" t="s">
        <v>1344</v>
      </c>
      <c r="DN56" s="1422"/>
      <c r="DP56" s="549" t="s">
        <v>1167</v>
      </c>
      <c r="DR56" s="1422" t="s">
        <v>1410</v>
      </c>
      <c r="DS56" s="1422"/>
      <c r="DU56" s="549" t="s">
        <v>1484</v>
      </c>
      <c r="DW56" s="1423" t="s">
        <v>1411</v>
      </c>
      <c r="DX56" s="1424"/>
      <c r="DZ56" s="707" t="s">
        <v>1412</v>
      </c>
      <c r="EB56" s="866" t="s">
        <v>1413</v>
      </c>
    </row>
    <row r="57" spans="7:132">
      <c r="G57" s="215"/>
      <c r="AR57" s="495"/>
      <c r="AV57" s="495"/>
      <c r="AZ57" s="495"/>
      <c r="BD57" s="495"/>
      <c r="BU57" s="846"/>
      <c r="CW57" s="82" t="s">
        <v>1164</v>
      </c>
      <c r="CX57" s="211"/>
      <c r="CY57" s="505" t="s">
        <v>1332</v>
      </c>
      <c r="CZ57" s="211"/>
      <c r="DA57" s="506" t="s">
        <v>1190</v>
      </c>
      <c r="DB57" s="566" t="s">
        <v>1190</v>
      </c>
      <c r="DC57" s="581" t="s">
        <v>1395</v>
      </c>
      <c r="DD57" s="211"/>
      <c r="DE57" s="520" t="s">
        <v>1358</v>
      </c>
      <c r="DF57" s="520" t="s">
        <v>1358</v>
      </c>
      <c r="DG57" s="211"/>
      <c r="DH57" s="549" t="s">
        <v>1333</v>
      </c>
      <c r="DK57" s="82" t="s">
        <v>1164</v>
      </c>
      <c r="DM57" s="545" t="s">
        <v>1422</v>
      </c>
      <c r="DN57" s="545" t="s">
        <v>1381</v>
      </c>
      <c r="DP57" s="549" t="s">
        <v>1333</v>
      </c>
      <c r="DR57" s="545" t="s">
        <v>1381</v>
      </c>
      <c r="DS57" s="545" t="s">
        <v>1483</v>
      </c>
      <c r="DU57" s="549" t="s">
        <v>1449</v>
      </c>
      <c r="DW57" s="664" t="s">
        <v>1402</v>
      </c>
      <c r="DX57" s="665" t="s">
        <v>1381</v>
      </c>
      <c r="DZ57" s="708" t="s">
        <v>1381</v>
      </c>
      <c r="EB57" s="865" t="s">
        <v>1381</v>
      </c>
    </row>
    <row r="58" spans="7:132">
      <c r="G58" s="215"/>
      <c r="AR58" s="495"/>
      <c r="AV58" s="495"/>
      <c r="AZ58" s="495"/>
      <c r="BD58" s="495"/>
      <c r="BU58" s="846"/>
      <c r="CW58" s="434" t="s">
        <v>1074</v>
      </c>
      <c r="CX58" s="458"/>
      <c r="CY58" s="393"/>
      <c r="CZ58" s="458"/>
      <c r="DA58" s="472"/>
      <c r="DB58" s="509"/>
      <c r="DC58" s="577"/>
      <c r="DD58" s="458"/>
      <c r="DE58" s="541"/>
      <c r="DF58" s="541"/>
      <c r="DG58" s="458"/>
      <c r="DH58" s="569"/>
      <c r="DK58" s="434" t="s">
        <v>1074</v>
      </c>
      <c r="DM58" s="434"/>
      <c r="DN58" s="434"/>
      <c r="DP58" s="569"/>
      <c r="DR58" s="434"/>
      <c r="DS58" s="434"/>
      <c r="DU58" s="569"/>
      <c r="DW58" s="666"/>
      <c r="DX58" s="667"/>
      <c r="DZ58" s="434"/>
      <c r="EB58" s="712"/>
    </row>
    <row r="59" spans="7:132">
      <c r="G59" s="215"/>
      <c r="AR59" s="495"/>
      <c r="AV59" s="495"/>
      <c r="AZ59" s="495"/>
      <c r="BD59" s="495"/>
      <c r="BU59" s="846"/>
      <c r="CW59" s="399" t="s">
        <v>1172</v>
      </c>
      <c r="CX59" s="447"/>
      <c r="CY59" s="98">
        <f>'Income Statement'!$Y$5</f>
        <v>11876</v>
      </c>
      <c r="CZ59" s="447"/>
      <c r="DA59" s="473">
        <f>'GSe vs Consensus'!$BR$13</f>
        <v>15834.377060424713</v>
      </c>
      <c r="DB59" s="510">
        <f ca="1">'GSe vs Consensus'!$BQ$13</f>
        <v>15618.91530954966</v>
      </c>
      <c r="DC59" s="756">
        <f ca="1">DA59/DB59-1</f>
        <v>1.3794924077942472E-2</v>
      </c>
      <c r="DD59" s="447"/>
      <c r="DE59" s="744">
        <f t="shared" ref="DE59:DF61" si="37">DA59/$CY59-1</f>
        <v>0.33330894749281859</v>
      </c>
      <c r="DF59" s="744">
        <f t="shared" ca="1" si="37"/>
        <v>0.31516632785025767</v>
      </c>
      <c r="DG59" s="447"/>
      <c r="DH59" s="570"/>
      <c r="DK59" s="399" t="s">
        <v>1172</v>
      </c>
      <c r="DM59" s="400">
        <v>3339</v>
      </c>
      <c r="DN59" s="98">
        <v>13184.937570725149</v>
      </c>
      <c r="DP59" s="570"/>
      <c r="DR59" s="400">
        <v>13443</v>
      </c>
      <c r="DS59" s="400">
        <v>15115</v>
      </c>
      <c r="DU59" s="570"/>
      <c r="DW59" s="720" t="e">
        <f>DM59/#REF!-1</f>
        <v>#REF!</v>
      </c>
      <c r="DX59" s="722">
        <f>DN59/DR59-1</f>
        <v>-1.9196788609302295E-2</v>
      </c>
      <c r="DZ59" s="400">
        <v>13528</v>
      </c>
      <c r="EB59" s="724">
        <f>DR59/DZ59-1</f>
        <v>-6.2832643406268707E-3</v>
      </c>
    </row>
    <row r="60" spans="7:132">
      <c r="G60" s="215"/>
      <c r="AR60" s="495"/>
      <c r="AV60" s="495"/>
      <c r="AZ60" s="495"/>
      <c r="BD60" s="495"/>
      <c r="BU60" s="846"/>
      <c r="CW60" s="399" t="s">
        <v>1174</v>
      </c>
      <c r="CX60" s="455"/>
      <c r="CY60" s="98">
        <f>'Income Statement'!$Y$6</f>
        <v>8835</v>
      </c>
      <c r="CZ60" s="455"/>
      <c r="DA60" s="473">
        <f>'GSe vs Consensus'!$BR$14</f>
        <v>12288.33155485829</v>
      </c>
      <c r="DB60" s="510">
        <f ca="1">'GSe vs Consensus'!$BQ$14</f>
        <v>12219.9116005137</v>
      </c>
      <c r="DC60" s="756">
        <f t="shared" ref="DC60:DC62" ca="1" si="38">DA60/DB60-1</f>
        <v>5.5990547707165383E-3</v>
      </c>
      <c r="DD60" s="455"/>
      <c r="DE60" s="744">
        <f t="shared" si="37"/>
        <v>0.39086944593755413</v>
      </c>
      <c r="DF60" s="744">
        <f t="shared" ca="1" si="37"/>
        <v>0.38312525189741931</v>
      </c>
      <c r="DG60" s="455"/>
      <c r="DH60" s="570"/>
      <c r="DK60" s="399" t="s">
        <v>1174</v>
      </c>
      <c r="DM60" s="400">
        <v>2527</v>
      </c>
      <c r="DN60" s="98">
        <v>10707.090649076501</v>
      </c>
      <c r="DP60" s="570"/>
      <c r="DR60" s="400">
        <v>10612</v>
      </c>
      <c r="DS60" s="400">
        <v>11761</v>
      </c>
      <c r="DU60" s="570"/>
      <c r="DW60" s="720" t="e">
        <f>DM60/#REF!-1</f>
        <v>#REF!</v>
      </c>
      <c r="DX60" s="722">
        <f>DN60/DR60-1</f>
        <v>8.9606717938655045E-3</v>
      </c>
      <c r="DZ60" s="400">
        <v>10617</v>
      </c>
      <c r="EB60" s="724">
        <f>DR60/DZ60-1</f>
        <v>-4.7094282754078787E-4</v>
      </c>
    </row>
    <row r="61" spans="7:132">
      <c r="G61" s="215"/>
      <c r="AR61" s="495"/>
      <c r="AV61" s="495"/>
      <c r="AZ61" s="495"/>
      <c r="BD61" s="495"/>
      <c r="BU61" s="846"/>
      <c r="CW61" s="399" t="s">
        <v>1093</v>
      </c>
      <c r="CX61" s="455"/>
      <c r="CY61" s="98">
        <f>'Income Statement'!$Y$7</f>
        <v>2477</v>
      </c>
      <c r="CZ61" s="455"/>
      <c r="DA61" s="473">
        <f>'GSe vs Consensus'!$BR$15</f>
        <v>3423.86</v>
      </c>
      <c r="DB61" s="510">
        <f ca="1">'GSe vs Consensus'!$BQ$15</f>
        <v>3415.3039489938528</v>
      </c>
      <c r="DC61" s="756">
        <f t="shared" ca="1" si="38"/>
        <v>2.5052092387467528E-3</v>
      </c>
      <c r="DD61" s="455"/>
      <c r="DE61" s="744">
        <f t="shared" si="37"/>
        <v>0.38226079935405743</v>
      </c>
      <c r="DF61" s="744">
        <f t="shared" ca="1" si="37"/>
        <v>0.37880660032048974</v>
      </c>
      <c r="DG61" s="455"/>
      <c r="DH61" s="570"/>
      <c r="DK61" s="399" t="s">
        <v>1093</v>
      </c>
      <c r="DM61" s="400">
        <v>771</v>
      </c>
      <c r="DN61" s="98">
        <v>3042.0762942980091</v>
      </c>
      <c r="DP61" s="570"/>
      <c r="DR61" s="400">
        <v>3039</v>
      </c>
      <c r="DS61" s="400">
        <v>3477</v>
      </c>
      <c r="DU61" s="570"/>
      <c r="DW61" s="720" t="e">
        <f>DM61/#REF!-1</f>
        <v>#REF!</v>
      </c>
      <c r="DX61" s="722">
        <f>DN61/DR61-1</f>
        <v>1.0122718979956868E-3</v>
      </c>
      <c r="DZ61" s="400">
        <v>3000</v>
      </c>
      <c r="EB61" s="724">
        <f>DR61/DZ61-1</f>
        <v>1.2999999999999901E-2</v>
      </c>
    </row>
    <row r="62" spans="7:132" hidden="1">
      <c r="G62" s="215"/>
      <c r="AR62" s="495"/>
      <c r="AV62" s="495"/>
      <c r="AZ62" s="495"/>
      <c r="BD62" s="495"/>
      <c r="BU62" s="846"/>
      <c r="CW62" s="399" t="s">
        <v>752</v>
      </c>
      <c r="CX62" s="459"/>
      <c r="CY62" s="98">
        <f>'Income Statement'!$Y$8</f>
        <v>11</v>
      </c>
      <c r="CZ62" s="459"/>
      <c r="DA62" s="473">
        <f>'GSe vs Consensus'!$BR$16</f>
        <v>10</v>
      </c>
      <c r="DB62" s="510">
        <f ca="1">'GSe vs Consensus'!$BQ$16</f>
        <v>9.9208333333333325</v>
      </c>
      <c r="DC62" s="756">
        <f t="shared" ca="1" si="38"/>
        <v>7.9798404031921066E-3</v>
      </c>
      <c r="DD62" s="459"/>
      <c r="DE62" s="744"/>
      <c r="DF62" s="744"/>
      <c r="DG62" s="459"/>
      <c r="DH62" s="570"/>
      <c r="DK62" s="399" t="s">
        <v>752</v>
      </c>
      <c r="DM62" s="400"/>
      <c r="DN62" s="98">
        <v>11</v>
      </c>
      <c r="DP62" s="570"/>
      <c r="DR62" s="400"/>
      <c r="DS62" s="400"/>
      <c r="DU62" s="570"/>
      <c r="DW62" s="720" t="e">
        <f>DM62/#REF!-1</f>
        <v>#REF!</v>
      </c>
      <c r="DX62" s="722" t="e">
        <f>DN62/DR62-1</f>
        <v>#DIV/0!</v>
      </c>
      <c r="DZ62" s="400"/>
      <c r="EB62" s="724"/>
    </row>
    <row r="63" spans="7:132">
      <c r="G63" s="215"/>
      <c r="AR63" s="495"/>
      <c r="AV63" s="495"/>
      <c r="AZ63" s="495"/>
      <c r="BD63" s="495"/>
      <c r="BU63" s="846"/>
      <c r="CW63" s="435" t="s">
        <v>1178</v>
      </c>
      <c r="CX63" s="416"/>
      <c r="CY63" s="122">
        <f>'Income Statement'!$Y$9</f>
        <v>23199</v>
      </c>
      <c r="CZ63" s="416"/>
      <c r="DA63" s="474">
        <f>'GSe vs Consensus'!$BR$17</f>
        <v>27317</v>
      </c>
      <c r="DB63" s="511">
        <f ca="1">'GSe vs Consensus'!$BQ$17</f>
        <v>31241.907670232456</v>
      </c>
      <c r="DC63" s="757">
        <f ca="1">DA63/DB63-1</f>
        <v>-0.12562957779854589</v>
      </c>
      <c r="DD63" s="416"/>
      <c r="DE63" s="745">
        <f>DA63/$CY63-1</f>
        <v>0.17750765119186163</v>
      </c>
      <c r="DF63" s="745">
        <f ca="1">DB63/$CY63-1</f>
        <v>0.34669199837201847</v>
      </c>
      <c r="DG63" s="416"/>
      <c r="DH63" s="485" t="s">
        <v>1432</v>
      </c>
      <c r="DK63" s="435" t="s">
        <v>1178</v>
      </c>
      <c r="DM63" s="404">
        <v>6639</v>
      </c>
      <c r="DN63" s="122">
        <v>26945.104514099658</v>
      </c>
      <c r="DP63" s="485" t="s">
        <v>1432</v>
      </c>
      <c r="DR63" s="404">
        <v>27157</v>
      </c>
      <c r="DS63" s="404">
        <v>30610</v>
      </c>
      <c r="DU63" s="485" t="s">
        <v>1485</v>
      </c>
      <c r="DW63" s="721" t="e">
        <f>DM63/#REF!-1</f>
        <v>#REF!</v>
      </c>
      <c r="DX63" s="723">
        <f>DN63/DR63-1</f>
        <v>-7.8026102257371388E-3</v>
      </c>
      <c r="DZ63" s="862">
        <v>27223</v>
      </c>
      <c r="EB63" s="863">
        <f>DR63/DZ63-1</f>
        <v>-2.4244205267605068E-3</v>
      </c>
    </row>
    <row r="64" spans="7:132">
      <c r="CW64" s="408" t="s">
        <v>287</v>
      </c>
      <c r="CX64" s="416"/>
      <c r="CY64" s="131"/>
      <c r="CZ64" s="416"/>
      <c r="DA64" s="475"/>
      <c r="DB64" s="512"/>
      <c r="DC64" s="758"/>
      <c r="DD64" s="416"/>
      <c r="DE64" s="131"/>
      <c r="DF64" s="131"/>
      <c r="DG64" s="416"/>
      <c r="DH64" s="569"/>
      <c r="DK64" s="408" t="s">
        <v>287</v>
      </c>
      <c r="DM64" s="131"/>
      <c r="DN64" s="104"/>
      <c r="DP64" s="569"/>
      <c r="DR64" s="131"/>
      <c r="DS64" s="131"/>
      <c r="DU64" s="569"/>
      <c r="DW64" s="714"/>
      <c r="DX64" s="715"/>
      <c r="DZ64" s="131"/>
      <c r="EB64" s="718"/>
    </row>
    <row r="65" spans="101:132">
      <c r="CW65" s="470" t="s">
        <v>900</v>
      </c>
      <c r="CX65" s="416"/>
      <c r="CY65" s="471">
        <f>'Income Statement'!$Y$19</f>
        <v>2390</v>
      </c>
      <c r="CZ65" s="416"/>
      <c r="DA65" s="476">
        <f>'GSe vs Consensus'!$BR$21</f>
        <v>3573.190883274262</v>
      </c>
      <c r="DB65" s="513">
        <f ca="1">'GSe vs Consensus'!$BQ$21</f>
        <v>3547.3382545185764</v>
      </c>
      <c r="DC65" s="756">
        <f ca="1">DA65/DB65-1</f>
        <v>7.2878950076877835E-3</v>
      </c>
      <c r="DD65" s="416"/>
      <c r="DE65" s="744">
        <f>DA65/$CY65-1</f>
        <v>0.49505894697667863</v>
      </c>
      <c r="DF65" s="744">
        <f ca="1">DB65/$CY65-1</f>
        <v>0.48424194749731231</v>
      </c>
      <c r="DG65" s="416"/>
      <c r="DH65" s="569"/>
      <c r="DK65" s="470" t="s">
        <v>900</v>
      </c>
      <c r="DM65" s="110" t="s">
        <v>1267</v>
      </c>
      <c r="DN65" s="110">
        <v>2910.4903311897051</v>
      </c>
      <c r="DP65" s="569"/>
      <c r="DR65" s="471">
        <v>2853</v>
      </c>
      <c r="DS65" s="471">
        <v>3188</v>
      </c>
      <c r="DU65" s="569"/>
      <c r="DW65" s="720" t="s">
        <v>1267</v>
      </c>
      <c r="DX65" s="722">
        <f>DN65/DR65-1</f>
        <v>2.0150834626605274E-2</v>
      </c>
      <c r="DZ65" s="471">
        <v>2853</v>
      </c>
      <c r="EB65" s="724">
        <f>DR65/DZ65-1</f>
        <v>0</v>
      </c>
    </row>
    <row r="66" spans="101:132">
      <c r="CW66" s="421" t="s">
        <v>906</v>
      </c>
      <c r="CX66" s="416"/>
      <c r="CY66" s="489">
        <f>CY65/CY59</f>
        <v>0.20124621084540248</v>
      </c>
      <c r="CZ66" s="416"/>
      <c r="DA66" s="486">
        <f>'GSe vs Consensus'!$BR$22</f>
        <v>0.22566033823994469</v>
      </c>
      <c r="DB66" s="514">
        <f ca="1">'GSe vs Consensus'!$BQ$22</f>
        <v>0.22711809265971727</v>
      </c>
      <c r="DC66" s="759">
        <f ca="1">(DA66-DB66)*100</f>
        <v>-0.14577544197725834</v>
      </c>
      <c r="DD66" s="416"/>
      <c r="DE66" s="748">
        <f>(DA66-$CY66)*100</f>
        <v>2.4414127394542211</v>
      </c>
      <c r="DF66" s="748">
        <f ca="1">(DB66-$CY66)*100</f>
        <v>2.5871881814314794</v>
      </c>
      <c r="DG66" s="416"/>
      <c r="DH66" s="570"/>
      <c r="DK66" s="421" t="s">
        <v>906</v>
      </c>
      <c r="DM66" s="489" t="s">
        <v>1267</v>
      </c>
      <c r="DN66" s="489">
        <f>DN65/DN59</f>
        <v>0.22074358073958125</v>
      </c>
      <c r="DP66" s="570"/>
      <c r="DR66" s="489">
        <f>DR65/DR59</f>
        <v>0.21222941307743806</v>
      </c>
      <c r="DS66" s="489">
        <f>DS65/DS59</f>
        <v>0.21091630830301025</v>
      </c>
      <c r="DU66" s="570"/>
      <c r="DW66" s="716" t="s">
        <v>1267</v>
      </c>
      <c r="DX66" s="717">
        <f>(DN66-DR66)*100</f>
        <v>0.85141676621431905</v>
      </c>
      <c r="DZ66" s="489">
        <v>0.21089591957421644</v>
      </c>
      <c r="EB66" s="719">
        <f>(DR66-DZ66)*100</f>
        <v>0.13334935032216222</v>
      </c>
    </row>
    <row r="67" spans="101:132">
      <c r="CW67" s="399" t="s">
        <v>1174</v>
      </c>
      <c r="CX67" s="411"/>
      <c r="CY67" s="471">
        <f>'Income Statement'!$Y$20</f>
        <v>992</v>
      </c>
      <c r="CZ67" s="411"/>
      <c r="DA67" s="476">
        <f>'GSe vs Consensus'!$BR$23</f>
        <v>1566.0905547253578</v>
      </c>
      <c r="DB67" s="513">
        <f ca="1">'GSe vs Consensus'!$BQ$23</f>
        <v>1562.5161737032399</v>
      </c>
      <c r="DC67" s="756">
        <f ca="1">DA67/DB67-1</f>
        <v>2.2875801750239511E-3</v>
      </c>
      <c r="DD67" s="411"/>
      <c r="DE67" s="744">
        <f>DA67/$CY67-1</f>
        <v>0.57872031726346562</v>
      </c>
      <c r="DF67" s="744">
        <f ca="1">DB67/$CY67-1</f>
        <v>0.57511711058794357</v>
      </c>
      <c r="DG67" s="411"/>
      <c r="DH67" s="571"/>
      <c r="DK67" s="399" t="s">
        <v>1174</v>
      </c>
      <c r="DM67" s="110" t="s">
        <v>1267</v>
      </c>
      <c r="DN67" s="110">
        <v>1353.4263972212764</v>
      </c>
      <c r="DP67" s="571"/>
      <c r="DR67" s="471">
        <v>1314</v>
      </c>
      <c r="DS67" s="471">
        <v>1585</v>
      </c>
      <c r="DU67" s="571"/>
      <c r="DW67" s="720" t="s">
        <v>1267</v>
      </c>
      <c r="DX67" s="722">
        <f>DN67/DR67-1</f>
        <v>3.0004868509342808E-2</v>
      </c>
      <c r="DZ67" s="471">
        <v>1319</v>
      </c>
      <c r="EB67" s="724">
        <f>DR67/DZ67-1</f>
        <v>-3.7907505686125553E-3</v>
      </c>
    </row>
    <row r="68" spans="101:132">
      <c r="CW68" s="421" t="s">
        <v>906</v>
      </c>
      <c r="CX68" s="460"/>
      <c r="CY68" s="489">
        <f>CY67/CY60</f>
        <v>0.11228070175438597</v>
      </c>
      <c r="CZ68" s="460"/>
      <c r="DA68" s="486">
        <f>'GSe vs Consensus'!$BR$24</f>
        <v>0.12744533688189683</v>
      </c>
      <c r="DB68" s="514">
        <f ca="1">'GSe vs Consensus'!$BQ$24</f>
        <v>0.12786640564875731</v>
      </c>
      <c r="DC68" s="759">
        <f ca="1">(DA68-DB68)*100</f>
        <v>-4.2106876686048844E-2</v>
      </c>
      <c r="DD68" s="460"/>
      <c r="DE68" s="748">
        <f>(DA68-$CY68)*100</f>
        <v>1.5164635127510859</v>
      </c>
      <c r="DF68" s="748">
        <f ca="1">(DB68-$CY68)*100</f>
        <v>1.5585703894371348</v>
      </c>
      <c r="DG68" s="460"/>
      <c r="DH68" s="570"/>
      <c r="DK68" s="421" t="s">
        <v>906</v>
      </c>
      <c r="DM68" s="489" t="s">
        <v>1267</v>
      </c>
      <c r="DN68" s="489">
        <f>DN67/DN60</f>
        <v>0.12640468280129963</v>
      </c>
      <c r="DP68" s="570"/>
      <c r="DR68" s="489">
        <f>DR67/DR60</f>
        <v>0.12382208820203543</v>
      </c>
      <c r="DS68" s="489">
        <f>DS67/DS60</f>
        <v>0.1347674517473004</v>
      </c>
      <c r="DU68" s="570"/>
      <c r="DW68" s="716" t="s">
        <v>1267</v>
      </c>
      <c r="DX68" s="717">
        <f>(DN68-DR68)*100</f>
        <v>0.25825945992642013</v>
      </c>
      <c r="DZ68" s="489">
        <v>0.1242347179052463</v>
      </c>
      <c r="EB68" s="719">
        <f>(DR68-DZ68)*100</f>
        <v>-4.1262970321087611E-2</v>
      </c>
    </row>
    <row r="69" spans="101:132">
      <c r="CW69" s="399" t="s">
        <v>1093</v>
      </c>
      <c r="CX69" s="392"/>
      <c r="CY69" s="471">
        <f>'Income Statement'!$Y$21</f>
        <v>-116</v>
      </c>
      <c r="CZ69" s="392"/>
      <c r="DA69" s="476">
        <f>'GSe vs Consensus'!$BR$25</f>
        <v>106.69281550872572</v>
      </c>
      <c r="DB69" s="513">
        <f ca="1">'GSe vs Consensus'!$BQ$25</f>
        <v>100.44275434908413</v>
      </c>
      <c r="DC69" s="756">
        <f ca="1">DA69/DB69-1</f>
        <v>6.2225107227941834E-2</v>
      </c>
      <c r="DD69" s="392"/>
      <c r="DE69" s="744">
        <f>DA69/$CY69-1</f>
        <v>-1.9197656509372907</v>
      </c>
      <c r="DF69" s="744">
        <f ca="1">DB69/$CY69-1</f>
        <v>-1.8658858133541734</v>
      </c>
      <c r="DG69" s="392"/>
      <c r="DH69" s="571"/>
      <c r="DK69" s="399" t="s">
        <v>1093</v>
      </c>
      <c r="DM69" s="110" t="s">
        <v>1267</v>
      </c>
      <c r="DN69" s="110">
        <v>46.476243132030305</v>
      </c>
      <c r="DP69" s="571"/>
      <c r="DR69" s="471">
        <v>47</v>
      </c>
      <c r="DS69" s="471">
        <v>146</v>
      </c>
      <c r="DU69" s="571"/>
      <c r="DW69" s="720" t="s">
        <v>1267</v>
      </c>
      <c r="DX69" s="722">
        <f>DN69/DR69-1</f>
        <v>-1.1143763148291352E-2</v>
      </c>
      <c r="DZ69" s="471">
        <v>46</v>
      </c>
      <c r="EB69" s="724">
        <f>DR69/DZ69-1</f>
        <v>2.1739130434782705E-2</v>
      </c>
    </row>
    <row r="70" spans="101:132">
      <c r="CW70" s="421" t="s">
        <v>906</v>
      </c>
      <c r="CX70" s="416"/>
      <c r="CY70" s="489">
        <f>CY69/CY61</f>
        <v>-4.6830843762616065E-2</v>
      </c>
      <c r="CZ70" s="416"/>
      <c r="DA70" s="486">
        <f>'GSe vs Consensus'!$BR$26</f>
        <v>3.1161559032415378E-2</v>
      </c>
      <c r="DB70" s="514">
        <f ca="1">'GSe vs Consensus'!$BQ$26</f>
        <v>2.9409609173635783E-2</v>
      </c>
      <c r="DC70" s="759">
        <f ca="1">(DA70-DB70)*100</f>
        <v>0.17519498587795951</v>
      </c>
      <c r="DD70" s="416"/>
      <c r="DE70" s="748">
        <f>(DA70-$CY70)*100</f>
        <v>7.7992402795031444</v>
      </c>
      <c r="DF70" s="748">
        <f ca="1">(DB70-$CY70)*100</f>
        <v>7.6240452936251843</v>
      </c>
      <c r="DG70" s="416"/>
      <c r="DH70" s="570"/>
      <c r="DK70" s="421" t="s">
        <v>906</v>
      </c>
      <c r="DM70" s="489" t="s">
        <v>1267</v>
      </c>
      <c r="DN70" s="489">
        <f>DN69/DN61</f>
        <v>1.527780326191825E-2</v>
      </c>
      <c r="DO70" s="489"/>
      <c r="DP70" s="570"/>
      <c r="DQ70" s="489"/>
      <c r="DR70" s="489">
        <f>DR69/DR61</f>
        <v>1.5465613688713393E-2</v>
      </c>
      <c r="DS70" s="489">
        <f>DS69/DS61</f>
        <v>4.1990221455277539E-2</v>
      </c>
      <c r="DU70" s="570"/>
      <c r="DW70" s="716" t="s">
        <v>1267</v>
      </c>
      <c r="DX70" s="717">
        <f>(DN70-DR70)*100</f>
        <v>-1.8781042679514269E-2</v>
      </c>
      <c r="DZ70" s="489">
        <v>1.5333333333333332E-2</v>
      </c>
      <c r="EB70" s="719">
        <f>(DR70-DZ70)*100</f>
        <v>1.3228035538006069E-2</v>
      </c>
    </row>
    <row r="71" spans="101:132" hidden="1">
      <c r="CW71" s="399" t="s">
        <v>1183</v>
      </c>
      <c r="CX71" s="392"/>
      <c r="CY71" s="471"/>
      <c r="CZ71" s="392"/>
      <c r="DA71" s="476"/>
      <c r="DB71" s="513"/>
      <c r="DC71" s="756"/>
      <c r="DD71" s="392"/>
      <c r="DE71" s="744"/>
      <c r="DF71" s="744"/>
      <c r="DG71" s="392"/>
      <c r="DH71" s="571"/>
      <c r="DK71" s="399" t="s">
        <v>1183</v>
      </c>
      <c r="DM71" s="110"/>
      <c r="DN71" s="110">
        <v>-105</v>
      </c>
      <c r="DP71" s="571"/>
      <c r="DR71" s="471">
        <v>-100</v>
      </c>
      <c r="DS71" s="471"/>
      <c r="DU71" s="571"/>
      <c r="DW71" s="720"/>
      <c r="DX71" s="722">
        <f>-(DN71/DR71-1)</f>
        <v>-5.0000000000000044E-2</v>
      </c>
      <c r="DZ71" s="471">
        <v>-100</v>
      </c>
      <c r="EB71" s="724">
        <f>DR71/DZ71-1</f>
        <v>0</v>
      </c>
    </row>
    <row r="72" spans="101:132">
      <c r="CW72" s="469" t="s">
        <v>1185</v>
      </c>
      <c r="CX72" s="456"/>
      <c r="CY72" s="404">
        <f>'Income Statement'!$Y$23</f>
        <v>3166</v>
      </c>
      <c r="CZ72" s="456"/>
      <c r="DA72" s="474">
        <f>'GSe vs Consensus'!$BR$28</f>
        <v>5217.0942807667525</v>
      </c>
      <c r="DB72" s="511">
        <f ca="1">'GSe vs Consensus'!$BQ$28</f>
        <v>5154.0806380172498</v>
      </c>
      <c r="DC72" s="757">
        <f ca="1">DA72/DB72-1</f>
        <v>1.2225971453512896E-2</v>
      </c>
      <c r="DD72" s="456"/>
      <c r="DE72" s="745">
        <f>DA72/$CY72-1</f>
        <v>0.64785037295222758</v>
      </c>
      <c r="DF72" s="745">
        <f ca="1">DB72/$CY72-1</f>
        <v>0.62794713771865118</v>
      </c>
      <c r="DG72" s="456"/>
      <c r="DH72" s="485" t="s">
        <v>1433</v>
      </c>
      <c r="DK72" s="469" t="s">
        <v>1185</v>
      </c>
      <c r="DM72" s="124" t="s">
        <v>1267</v>
      </c>
      <c r="DN72" s="124">
        <v>4205.3929715430122</v>
      </c>
      <c r="DP72" s="485" t="s">
        <v>1433</v>
      </c>
      <c r="DR72" s="404">
        <v>4132</v>
      </c>
      <c r="DS72" s="404">
        <v>4814</v>
      </c>
      <c r="DU72" s="485" t="s">
        <v>1451</v>
      </c>
      <c r="DW72" s="721" t="s">
        <v>1267</v>
      </c>
      <c r="DX72" s="723">
        <f>DN72/DR72-1</f>
        <v>1.7762093790661293E-2</v>
      </c>
      <c r="DZ72" s="862">
        <v>4102</v>
      </c>
      <c r="EB72" s="863">
        <f>DR72/DZ72-1</f>
        <v>7.3135056070210425E-3</v>
      </c>
    </row>
    <row r="73" spans="101:132">
      <c r="CW73" s="421" t="s">
        <v>906</v>
      </c>
      <c r="CX73" s="416"/>
      <c r="CY73" s="490">
        <f>CY72/CY63</f>
        <v>0.13647139962929436</v>
      </c>
      <c r="CZ73" s="416"/>
      <c r="DA73" s="487">
        <f>'GSe vs Consensus'!$BR$30</f>
        <v>0.19098342719796291</v>
      </c>
      <c r="DB73" s="515">
        <f ca="1">'GSe vs Consensus'!$BQ$30</f>
        <v>0.16497330100389804</v>
      </c>
      <c r="DC73" s="759">
        <f ca="1">(DA73-DB73)*100</f>
        <v>2.6010126194064869</v>
      </c>
      <c r="DD73" s="416"/>
      <c r="DE73" s="748">
        <f>(DA73-$CY73)*100</f>
        <v>5.4512027568668548</v>
      </c>
      <c r="DF73" s="748">
        <f ca="1">(DB73-$CY73)*100</f>
        <v>2.850190137460368</v>
      </c>
      <c r="DG73" s="416"/>
      <c r="DH73" s="572" t="s">
        <v>1434</v>
      </c>
      <c r="DK73" s="421" t="s">
        <v>906</v>
      </c>
      <c r="DM73" s="490" t="s">
        <v>1267</v>
      </c>
      <c r="DN73" s="490">
        <f>DN72/DN63</f>
        <v>0.15607261680289425</v>
      </c>
      <c r="DO73" s="490"/>
      <c r="DP73" s="572" t="s">
        <v>1434</v>
      </c>
      <c r="DQ73" s="490"/>
      <c r="DR73" s="490">
        <f>DR72/DR63</f>
        <v>0.15215229959126561</v>
      </c>
      <c r="DS73" s="490">
        <f>DS72/DS63</f>
        <v>0.15726886638353479</v>
      </c>
      <c r="DU73" s="572"/>
      <c r="DW73" s="716" t="s">
        <v>1267</v>
      </c>
      <c r="DX73" s="717">
        <f>(DN73-DR73)*100</f>
        <v>0.39203172116286378</v>
      </c>
      <c r="DZ73" s="490">
        <v>0.15068140910259706</v>
      </c>
      <c r="EB73" s="719">
        <f>(DR73-DZ73)*100</f>
        <v>0.14708904886685525</v>
      </c>
    </row>
    <row r="74" spans="101:132">
      <c r="CW74" s="469" t="s">
        <v>901</v>
      </c>
      <c r="CX74" s="416"/>
      <c r="CY74" s="404">
        <f>'Cashflow Statement'!$Y$57</f>
        <v>2945</v>
      </c>
      <c r="CZ74" s="416"/>
      <c r="DA74" s="474">
        <f>'GSe vs Consensus'!$BR$32</f>
        <v>3613.1854263217751</v>
      </c>
      <c r="DB74" s="511">
        <f ca="1">'GSe vs Consensus'!$BQ$32</f>
        <v>3545.5160794154453</v>
      </c>
      <c r="DC74" s="757">
        <f ca="1">DA74/DB74-1</f>
        <v>1.908589480081746E-2</v>
      </c>
      <c r="DD74" s="416"/>
      <c r="DE74" s="745">
        <f>DA74/$CY74-1</f>
        <v>0.22688809043184222</v>
      </c>
      <c r="DF74" s="745">
        <f ca="1">DB74/$CY74-1</f>
        <v>0.20391038350269786</v>
      </c>
      <c r="DG74" s="416"/>
      <c r="DH74" s="485" t="s">
        <v>1393</v>
      </c>
      <c r="DK74" s="469" t="s">
        <v>901</v>
      </c>
      <c r="DM74" s="404" t="s">
        <v>1267</v>
      </c>
      <c r="DN74" s="404">
        <v>2895.2698027181477</v>
      </c>
      <c r="DP74" s="485" t="s">
        <v>1393</v>
      </c>
      <c r="DR74" s="404">
        <v>3001</v>
      </c>
      <c r="DS74" s="404">
        <v>3030</v>
      </c>
      <c r="DU74" s="485" t="s">
        <v>1486</v>
      </c>
      <c r="DW74" s="721" t="s">
        <v>1267</v>
      </c>
      <c r="DX74" s="723">
        <f>DN74/DR74-1</f>
        <v>-3.5231655208881163E-2</v>
      </c>
      <c r="DZ74" s="862">
        <v>2978</v>
      </c>
      <c r="EB74" s="863">
        <f>DR74/DZ74-1</f>
        <v>7.7233042310276279E-3</v>
      </c>
    </row>
    <row r="75" spans="101:132">
      <c r="CW75" s="469" t="s">
        <v>267</v>
      </c>
      <c r="CX75" s="456"/>
      <c r="CY75" s="576">
        <f>'Income Statement'!$Y$109</f>
        <v>2.2000000000000002</v>
      </c>
      <c r="CZ75" s="456"/>
      <c r="DA75" s="582">
        <f>'GSe vs Consensus'!$BR$40</f>
        <v>3.4206496229479146</v>
      </c>
      <c r="DB75" s="516">
        <f ca="1">'GSe vs Consensus'!$BQ$40</f>
        <v>3.2757216117609418</v>
      </c>
      <c r="DC75" s="757">
        <f ca="1">DA75/DB75-1</f>
        <v>4.4243079346740766E-2</v>
      </c>
      <c r="DD75" s="456"/>
      <c r="DE75" s="745">
        <f>DA75/$CY75-1</f>
        <v>0.55484073770359754</v>
      </c>
      <c r="DF75" s="745">
        <f ca="1">DB75/$CY75-1</f>
        <v>0.48896436898224604</v>
      </c>
      <c r="DG75" s="456"/>
      <c r="DH75" s="573"/>
      <c r="DK75" s="469" t="s">
        <v>267</v>
      </c>
      <c r="DM75" s="546" t="s">
        <v>1267</v>
      </c>
      <c r="DN75" s="546">
        <v>2.6629119718940837</v>
      </c>
      <c r="DP75" s="573"/>
      <c r="DR75" s="546" t="s">
        <v>1267</v>
      </c>
      <c r="DS75" s="546"/>
      <c r="DU75" s="573"/>
      <c r="DW75" s="670" t="s">
        <v>1267</v>
      </c>
      <c r="DX75" s="671" t="s">
        <v>1267</v>
      </c>
      <c r="DZ75" s="546" t="s">
        <v>1267</v>
      </c>
      <c r="EB75" s="864" t="s">
        <v>1267</v>
      </c>
    </row>
    <row r="76" spans="101:132">
      <c r="CW76" s="469" t="s">
        <v>1331</v>
      </c>
      <c r="CX76" s="416"/>
      <c r="CY76" s="491">
        <f>'Aerospace Propulsion Division'!$Y$104</f>
        <v>0.32900000000000001</v>
      </c>
      <c r="CZ76" s="416"/>
      <c r="DA76" s="488">
        <f>'GSe vs Consensus'!$BR$42</f>
        <v>0.21905359840388816</v>
      </c>
      <c r="DB76" s="517">
        <f ca="1">'GSe vs Consensus'!$BQ$42</f>
        <v>0.17310912991620808</v>
      </c>
      <c r="DC76" s="760">
        <f ca="1">(DA76-DB76)*100</f>
        <v>4.5944468487680084</v>
      </c>
      <c r="DD76" s="416"/>
      <c r="DE76" s="761">
        <f>(DA76-$CY76)*100</f>
        <v>-10.994640159611185</v>
      </c>
      <c r="DF76" s="761">
        <f ca="1">(DB76-$CY76)*100</f>
        <v>-15.589087008379193</v>
      </c>
      <c r="DG76" s="416"/>
      <c r="DH76" s="485" t="s">
        <v>1420</v>
      </c>
      <c r="DK76" s="469" t="s">
        <v>1331</v>
      </c>
      <c r="DM76" s="491">
        <v>0</v>
      </c>
      <c r="DN76" s="491">
        <v>704.59125313791105</v>
      </c>
      <c r="DP76" s="485"/>
      <c r="DR76" s="546" t="s">
        <v>1267</v>
      </c>
      <c r="DS76" s="546"/>
      <c r="DU76" s="485"/>
      <c r="DW76" s="670" t="s">
        <v>1267</v>
      </c>
      <c r="DX76" s="671" t="s">
        <v>1267</v>
      </c>
      <c r="DZ76" s="546" t="s">
        <v>1267</v>
      </c>
      <c r="EB76" s="864" t="s">
        <v>1267</v>
      </c>
    </row>
    <row r="77" spans="101:132" ht="3.75" customHeight="1">
      <c r="CW77" s="428"/>
      <c r="CX77" s="428"/>
      <c r="CY77" s="428"/>
      <c r="CZ77" s="428"/>
      <c r="DA77" s="533"/>
      <c r="DB77" s="534"/>
      <c r="DC77" s="578"/>
      <c r="DD77" s="428"/>
      <c r="DE77" s="428"/>
      <c r="DF77" s="428"/>
      <c r="DG77" s="428"/>
      <c r="DH77" s="574"/>
      <c r="DK77" s="428"/>
      <c r="DP77" s="575"/>
      <c r="DU77" s="575"/>
      <c r="DW77" s="668" t="s">
        <v>1267</v>
      </c>
      <c r="DX77" s="669"/>
      <c r="EB77" s="713"/>
    </row>
    <row r="78" spans="101:132">
      <c r="CW78" s="435" t="s">
        <v>1399</v>
      </c>
      <c r="CX78" s="416"/>
      <c r="CY78" s="404">
        <v>1570</v>
      </c>
      <c r="CZ78" s="416"/>
      <c r="DA78" s="474">
        <f>'Aerospace Propulsion Division'!Z27</f>
        <v>1407</v>
      </c>
      <c r="DB78" s="511" cm="1">
        <f t="array" ref="DB78">_xll.VisibleAlpha.UDF.VAData("SAF_FR", "FY-2024", "Deliveries - LEAP engines", "Consensus", "CD", "IMPL","","")</f>
        <v>1416.48</v>
      </c>
      <c r="DC78" s="757">
        <f>DA78/DB78-1</f>
        <v>-6.6926465604879581E-3</v>
      </c>
      <c r="DD78" s="428"/>
      <c r="DE78" s="745">
        <f>DA78/$CY78-1</f>
        <v>-0.10382165605095539</v>
      </c>
      <c r="DF78" s="745">
        <f>DB78/$CY78-1</f>
        <v>-9.7783439490445878E-2</v>
      </c>
      <c r="DG78" s="428"/>
      <c r="DH78" s="485" t="s">
        <v>1435</v>
      </c>
    </row>
    <row r="79" spans="101:132" ht="3" customHeight="1">
      <c r="CY79" s="428"/>
      <c r="DA79" s="518"/>
      <c r="DB79" s="519"/>
      <c r="DC79" s="579"/>
      <c r="DH79" s="575"/>
    </row>
    <row r="80" spans="101:132">
      <c r="CW80" s="567" t="s">
        <v>1392</v>
      </c>
    </row>
  </sheetData>
  <mergeCells count="6">
    <mergeCell ref="DR53:DS53"/>
    <mergeCell ref="DA54:DB54"/>
    <mergeCell ref="DM56:DN56"/>
    <mergeCell ref="DW56:DX56"/>
    <mergeCell ref="DR54:DS54"/>
    <mergeCell ref="DR56:DS5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customProperties>
    <customPr name="Qube.Worksheet.Visibility" r:id="rId2"/>
    <customPr name="QXL_SHEET_ID" r:id="rId3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AF9A-CAE0-47D3-ACBF-37A6714AAB96}">
  <sheetPr>
    <pageSetUpPr fitToPage="1"/>
  </sheetPr>
  <dimension ref="B1:BJ36"/>
  <sheetViews>
    <sheetView showGridLines="0" zoomScale="110" zoomScaleNormal="110" workbookViewId="0">
      <selection activeCell="AA56" sqref="AA56"/>
    </sheetView>
  </sheetViews>
  <sheetFormatPr defaultColWidth="9" defaultRowHeight="14.25" outlineLevelCol="2"/>
  <cols>
    <col min="1" max="1" width="9" style="1320"/>
    <col min="2" max="2" width="0.625" style="1319" customWidth="1"/>
    <col min="3" max="3" width="34.125" style="1320" customWidth="1"/>
    <col min="4" max="4" width="0.625" style="1319" customWidth="1"/>
    <col min="5" max="7" width="6.875" style="537" hidden="1" customWidth="1" outlineLevel="2"/>
    <col min="8" max="8" width="0.625" style="1319" hidden="1" customWidth="1" collapsed="1"/>
    <col min="9" max="11" width="6.875" style="537" hidden="1" customWidth="1"/>
    <col min="12" max="12" width="0.75" style="537" hidden="1" customWidth="1"/>
    <col min="13" max="15" width="6.875" style="537" hidden="1" customWidth="1"/>
    <col min="16" max="16" width="0.625" style="1319" customWidth="1"/>
    <col min="17" max="17" width="14.125" style="1320" customWidth="1"/>
    <col min="18" max="18" width="0.625" style="1319" customWidth="1"/>
    <col min="19" max="20" width="6.875" style="537" hidden="1" customWidth="1"/>
    <col min="21" max="26" width="6.875" style="537" customWidth="1"/>
    <col min="27" max="27" width="0.625" style="1319" customWidth="1"/>
    <col min="28" max="29" width="6.875" style="537" hidden="1" customWidth="1"/>
    <col min="30" max="33" width="6.875" style="537" customWidth="1"/>
    <col min="34" max="34" width="5.625" style="537" bestFit="1" customWidth="1"/>
    <col min="35" max="35" width="5.625" style="537" customWidth="1"/>
    <col min="36" max="36" width="0.625" style="1319" customWidth="1"/>
    <col min="37" max="38" width="6.875" style="537" hidden="1" customWidth="1"/>
    <col min="39" max="44" width="6.875" style="537" customWidth="1"/>
    <col min="45" max="45" width="2.375" style="1319" customWidth="1"/>
    <col min="46" max="46" width="5.875" style="1320" customWidth="1"/>
    <col min="47" max="48" width="9" style="1320"/>
    <col min="49" max="49" width="30.5" style="1362" customWidth="1"/>
    <col min="50" max="50" width="17.875" style="1362" customWidth="1"/>
    <col min="51" max="54" width="9.125" style="1362" hidden="1" customWidth="1"/>
    <col min="55" max="55" width="9.625" style="1362" hidden="1" customWidth="1"/>
    <col min="56" max="57" width="9.625" style="1362" bestFit="1" customWidth="1"/>
    <col min="58" max="58" width="17.125" style="1362" bestFit="1" customWidth="1"/>
    <col min="59" max="60" width="9.625" style="1362" bestFit="1" customWidth="1"/>
    <col min="61" max="62" width="9" style="1362"/>
    <col min="63" max="64" width="9" style="1320"/>
    <col min="65" max="65" width="9" style="1320" customWidth="1"/>
    <col min="66" max="16384" width="9" style="1320"/>
  </cols>
  <sheetData>
    <row r="1" spans="2:62">
      <c r="Q1" s="1321"/>
    </row>
    <row r="2" spans="2:62" s="137" customFormat="1" ht="12.75">
      <c r="E2" s="1322" t="s">
        <v>1748</v>
      </c>
      <c r="F2" s="1322"/>
      <c r="G2" s="1322"/>
      <c r="I2" s="1322" t="s">
        <v>1748</v>
      </c>
      <c r="J2" s="1322"/>
      <c r="K2" s="1322"/>
      <c r="L2" s="537"/>
      <c r="M2" s="1322" t="s">
        <v>1748</v>
      </c>
      <c r="N2" s="1322"/>
      <c r="O2" s="1322"/>
      <c r="Q2" s="1377" t="s">
        <v>1167</v>
      </c>
      <c r="S2" s="1322"/>
      <c r="T2" s="1322"/>
      <c r="U2" s="1322" t="s">
        <v>1749</v>
      </c>
      <c r="V2" s="1323"/>
      <c r="W2" s="1323"/>
      <c r="X2" s="1323"/>
      <c r="Y2" s="1323"/>
      <c r="Z2" s="1323"/>
      <c r="AB2" s="1322"/>
      <c r="AC2" s="1322"/>
      <c r="AD2" s="1322" t="s">
        <v>1750</v>
      </c>
      <c r="AE2" s="1323"/>
      <c r="AF2" s="1323"/>
      <c r="AG2" s="1323"/>
      <c r="AH2" s="1323"/>
      <c r="AI2" s="1323"/>
      <c r="AK2" s="1322"/>
      <c r="AL2" s="1322"/>
      <c r="AM2" s="1322" t="s">
        <v>1751</v>
      </c>
      <c r="AN2" s="1323"/>
      <c r="AO2" s="1323"/>
      <c r="AP2" s="1323"/>
      <c r="AQ2" s="1323"/>
      <c r="AR2" s="1323"/>
      <c r="AW2" s="1363"/>
      <c r="AX2" s="1363"/>
      <c r="AY2" s="1364"/>
      <c r="AZ2" s="1364"/>
      <c r="BA2" s="1364"/>
      <c r="BB2" s="1364"/>
      <c r="BC2" s="1364"/>
      <c r="BD2" s="1364"/>
      <c r="BE2" s="1364"/>
      <c r="BF2" s="1364"/>
      <c r="BG2" s="1364"/>
      <c r="BH2" s="1364"/>
      <c r="BI2" s="1363"/>
      <c r="BJ2" s="1363"/>
    </row>
    <row r="3" spans="2:62" s="1319" customFormat="1" ht="2.25" customHeight="1">
      <c r="L3" s="537"/>
      <c r="Q3" s="1324"/>
      <c r="AW3" s="1365"/>
      <c r="AX3" s="1365"/>
      <c r="AY3" s="1365"/>
      <c r="AZ3" s="1365"/>
      <c r="BA3" s="1365"/>
      <c r="BB3" s="1365"/>
      <c r="BC3" s="1365"/>
      <c r="BD3" s="1365"/>
      <c r="BE3" s="1365"/>
      <c r="BF3" s="1365"/>
      <c r="BG3" s="1365"/>
      <c r="BH3" s="1365"/>
      <c r="BI3" s="1365"/>
      <c r="BJ3" s="1365"/>
    </row>
    <row r="4" spans="2:62" ht="12.75">
      <c r="B4" s="137"/>
      <c r="C4" s="1325" t="s">
        <v>1752</v>
      </c>
      <c r="D4" s="137"/>
      <c r="E4" s="1326" t="s">
        <v>1753</v>
      </c>
      <c r="F4" s="1327" t="s">
        <v>1422</v>
      </c>
      <c r="G4" s="1328" t="s">
        <v>1754</v>
      </c>
      <c r="H4" s="137"/>
      <c r="I4" s="1326" t="s">
        <v>1755</v>
      </c>
      <c r="J4" s="1327" t="s">
        <v>1402</v>
      </c>
      <c r="K4" s="1328" t="s">
        <v>1754</v>
      </c>
      <c r="M4" s="1326" t="s">
        <v>1756</v>
      </c>
      <c r="N4" s="1328" t="s">
        <v>1757</v>
      </c>
      <c r="O4" s="1328" t="s">
        <v>1754</v>
      </c>
      <c r="P4" s="137"/>
      <c r="Q4" s="1329" t="s">
        <v>1449</v>
      </c>
      <c r="R4" s="137"/>
      <c r="S4" s="1330" t="s">
        <v>1422</v>
      </c>
      <c r="T4" s="1327" t="s">
        <v>1418</v>
      </c>
      <c r="U4" s="1378">
        <v>2025</v>
      </c>
      <c r="V4" s="1378">
        <v>2026</v>
      </c>
      <c r="W4" s="1378">
        <v>2027</v>
      </c>
      <c r="X4" s="1378">
        <v>2028</v>
      </c>
      <c r="Y4" s="1378">
        <v>2029</v>
      </c>
      <c r="Z4" s="1378">
        <v>2030</v>
      </c>
      <c r="AA4" s="137"/>
      <c r="AB4" s="1330" t="s">
        <v>1422</v>
      </c>
      <c r="AC4" s="1327" t="s">
        <v>1418</v>
      </c>
      <c r="AD4" s="1378">
        <v>2025</v>
      </c>
      <c r="AE4" s="1378">
        <v>2026</v>
      </c>
      <c r="AF4" s="1378">
        <v>2027</v>
      </c>
      <c r="AG4" s="1378">
        <v>2028</v>
      </c>
      <c r="AH4" s="1378">
        <v>2029</v>
      </c>
      <c r="AI4" s="1378">
        <v>2030</v>
      </c>
      <c r="AJ4" s="137"/>
      <c r="AK4" s="1330" t="s">
        <v>1422</v>
      </c>
      <c r="AL4" s="1327" t="s">
        <v>1418</v>
      </c>
      <c r="AM4" s="1378">
        <v>2025</v>
      </c>
      <c r="AN4" s="1378">
        <v>2026</v>
      </c>
      <c r="AO4" s="1378">
        <v>2027</v>
      </c>
      <c r="AP4" s="1378">
        <v>2028</v>
      </c>
      <c r="AQ4" s="1378">
        <v>2029</v>
      </c>
      <c r="AR4" s="1378">
        <v>2030</v>
      </c>
      <c r="AS4" s="137"/>
      <c r="AW4" s="1366"/>
      <c r="AX4" s="1367"/>
      <c r="AY4" s="1368"/>
      <c r="AZ4" s="1368"/>
      <c r="BA4" s="1368"/>
      <c r="BB4" s="1368"/>
      <c r="BC4" s="1368"/>
      <c r="BD4" s="1368"/>
      <c r="BE4" s="1368"/>
      <c r="BF4" s="1368"/>
      <c r="BG4" s="1368"/>
      <c r="BH4" s="1368"/>
    </row>
    <row r="5" spans="2:62" ht="5.25" customHeight="1">
      <c r="B5" s="1331"/>
      <c r="C5" s="1331"/>
      <c r="D5" s="1331"/>
      <c r="E5" s="1332"/>
      <c r="F5" s="1332"/>
      <c r="G5" s="1332"/>
      <c r="H5" s="1331"/>
      <c r="I5" s="1332"/>
      <c r="J5" s="1332"/>
      <c r="K5" s="1332"/>
      <c r="M5" s="1333"/>
      <c r="N5" s="1332"/>
      <c r="O5" s="1334"/>
      <c r="P5" s="1331"/>
      <c r="Q5" s="1335"/>
      <c r="R5" s="1331"/>
      <c r="S5" s="1332"/>
      <c r="T5" s="1332"/>
      <c r="U5" s="1332"/>
      <c r="V5" s="1336"/>
      <c r="W5" s="1332"/>
      <c r="X5" s="1332"/>
      <c r="Y5" s="1332"/>
      <c r="Z5" s="1332"/>
      <c r="AA5" s="1331"/>
      <c r="AB5" s="1332"/>
      <c r="AC5" s="1332"/>
      <c r="AD5" s="1332"/>
      <c r="AE5" s="1336"/>
      <c r="AF5" s="1332"/>
      <c r="AG5" s="1332"/>
      <c r="AH5" s="1332"/>
      <c r="AI5" s="1332"/>
      <c r="AJ5" s="1331"/>
      <c r="AK5" s="131"/>
      <c r="AL5" s="131"/>
      <c r="AM5" s="131"/>
      <c r="AN5" s="131"/>
      <c r="AO5" s="131"/>
      <c r="AP5" s="1337"/>
      <c r="AQ5" s="1337"/>
      <c r="AR5" s="1337"/>
      <c r="AS5" s="1331"/>
    </row>
    <row r="6" spans="2:62" ht="12.75" customHeight="1">
      <c r="B6" s="137"/>
      <c r="C6" s="1338" t="s">
        <v>757</v>
      </c>
      <c r="D6" s="137"/>
      <c r="E6" s="1339"/>
      <c r="F6" s="1340"/>
      <c r="G6" s="1341"/>
      <c r="H6" s="137"/>
      <c r="I6" s="1339"/>
      <c r="J6" s="1340"/>
      <c r="K6" s="1341"/>
      <c r="M6" s="1339"/>
      <c r="N6" s="1339"/>
      <c r="O6" s="1341"/>
      <c r="P6" s="137"/>
      <c r="Q6" s="1342"/>
      <c r="R6" s="137"/>
      <c r="S6" s="1339"/>
      <c r="T6" s="1339"/>
      <c r="U6" s="1339"/>
      <c r="V6" s="1339"/>
      <c r="W6" s="1339"/>
      <c r="X6" s="1339"/>
      <c r="Y6" s="1339"/>
      <c r="Z6" s="1339"/>
      <c r="AA6" s="137"/>
      <c r="AB6" s="1343"/>
      <c r="AC6" s="1343"/>
      <c r="AD6" s="1343"/>
      <c r="AE6" s="1339"/>
      <c r="AF6" s="1343"/>
      <c r="AG6" s="1339"/>
      <c r="AH6" s="1339"/>
      <c r="AI6" s="1339"/>
      <c r="AJ6" s="137"/>
      <c r="AK6" s="1337"/>
      <c r="AL6" s="1337"/>
      <c r="AM6" s="1337"/>
      <c r="AN6" s="1339"/>
      <c r="AO6" s="1339"/>
      <c r="AP6" s="1339"/>
      <c r="AQ6" s="1337"/>
      <c r="AR6" s="1337"/>
      <c r="AS6" s="137"/>
    </row>
    <row r="7" spans="2:62" ht="15" customHeight="1">
      <c r="B7" s="137"/>
      <c r="C7" s="137" t="s">
        <v>900</v>
      </c>
      <c r="D7" s="137"/>
      <c r="E7" s="1339">
        <v>3339</v>
      </c>
      <c r="F7" s="1339">
        <v>3339</v>
      </c>
      <c r="G7" s="1344">
        <f>E7/F7-1</f>
        <v>0</v>
      </c>
      <c r="H7" s="137"/>
      <c r="I7" s="1339">
        <v>6461</v>
      </c>
      <c r="J7" s="1339">
        <v>6461</v>
      </c>
      <c r="K7" s="1344">
        <f>I7/J7-1</f>
        <v>0</v>
      </c>
      <c r="M7" s="1339">
        <v>11876</v>
      </c>
      <c r="N7" s="1339">
        <v>11876</v>
      </c>
      <c r="O7" s="1341">
        <f>M7/N7-1</f>
        <v>0</v>
      </c>
      <c r="P7" s="137"/>
      <c r="Q7" s="1345"/>
      <c r="R7" s="137"/>
      <c r="S7" s="1339">
        <v>3339</v>
      </c>
      <c r="T7" s="1339">
        <v>7191</v>
      </c>
      <c r="U7" s="1339">
        <f>'Income Statement'!AA5</f>
        <v>15834.377060424713</v>
      </c>
      <c r="V7" s="1339">
        <f>'Income Statement'!AB5</f>
        <v>17806.596817035024</v>
      </c>
      <c r="W7" s="1339">
        <f>'Income Statement'!AC5</f>
        <v>19932.222204194346</v>
      </c>
      <c r="X7" s="1339">
        <f>'Income Statement'!AD5</f>
        <v>21615.123364652041</v>
      </c>
      <c r="Y7" s="1339">
        <f>'Income Statement'!AE5</f>
        <v>22915.426191351562</v>
      </c>
      <c r="Z7" s="1339">
        <f>'Income Statement'!AF5</f>
        <v>24191.628720664365</v>
      </c>
      <c r="AA7" s="137"/>
      <c r="AB7" s="1339">
        <v>3339</v>
      </c>
      <c r="AC7" s="1339">
        <v>6723.9375707251493</v>
      </c>
      <c r="AD7" s="1339">
        <f>'Income Statement'!AA5</f>
        <v>15834.377060424713</v>
      </c>
      <c r="AE7" s="1339">
        <f>'Income Statement'!AB5</f>
        <v>17806.596817035024</v>
      </c>
      <c r="AF7" s="1339">
        <f>'Income Statement'!AC5</f>
        <v>19932.222204194346</v>
      </c>
      <c r="AG7" s="1339">
        <f>'Income Statement'!AD5</f>
        <v>21615.123364652041</v>
      </c>
      <c r="AH7" s="1339">
        <f>'Income Statement'!AE5</f>
        <v>22915.426191351562</v>
      </c>
      <c r="AI7" s="1339">
        <f>'Income Statement'!AF5</f>
        <v>24191.628720664365</v>
      </c>
      <c r="AJ7" s="137"/>
      <c r="AK7" s="1341">
        <f t="shared" ref="AK7:AR9" si="0">S7/AB7-1</f>
        <v>0</v>
      </c>
      <c r="AL7" s="1341">
        <f t="shared" si="0"/>
        <v>6.9462636195249505E-2</v>
      </c>
      <c r="AM7" s="1341">
        <f t="shared" si="0"/>
        <v>0</v>
      </c>
      <c r="AN7" s="1341">
        <f t="shared" si="0"/>
        <v>0</v>
      </c>
      <c r="AO7" s="1341">
        <f t="shared" si="0"/>
        <v>0</v>
      </c>
      <c r="AP7" s="1341">
        <f t="shared" si="0"/>
        <v>0</v>
      </c>
      <c r="AQ7" s="1341">
        <f t="shared" si="0"/>
        <v>0</v>
      </c>
      <c r="AR7" s="1341">
        <f t="shared" si="0"/>
        <v>0</v>
      </c>
      <c r="AS7" s="137"/>
      <c r="AW7" s="1369"/>
      <c r="AX7" s="1370"/>
      <c r="AY7" s="1365"/>
      <c r="AZ7" s="1365"/>
      <c r="BA7" s="1365"/>
      <c r="BB7" s="1365"/>
      <c r="BC7" s="1365"/>
      <c r="BD7" s="1365"/>
      <c r="BE7" s="1260"/>
      <c r="BF7" s="1260"/>
      <c r="BG7" s="1260"/>
      <c r="BH7" s="1260"/>
    </row>
    <row r="8" spans="2:62" ht="15" customHeight="1">
      <c r="B8" s="137"/>
      <c r="C8" s="137" t="s">
        <v>1776</v>
      </c>
      <c r="D8" s="137"/>
      <c r="E8" s="1339">
        <v>2527</v>
      </c>
      <c r="F8" s="1339">
        <v>2527</v>
      </c>
      <c r="G8" s="1344">
        <f>E8/F8-1</f>
        <v>0</v>
      </c>
      <c r="H8" s="137"/>
      <c r="I8" s="1339">
        <v>5170</v>
      </c>
      <c r="J8" s="1339">
        <v>5170</v>
      </c>
      <c r="K8" s="1344">
        <f>I8/J8-1</f>
        <v>0</v>
      </c>
      <c r="M8" s="1339">
        <v>8835</v>
      </c>
      <c r="N8" s="1339">
        <v>8835</v>
      </c>
      <c r="O8" s="1341">
        <f>M8/N8-1</f>
        <v>0</v>
      </c>
      <c r="P8" s="137"/>
      <c r="Q8" s="1345"/>
      <c r="R8" s="137"/>
      <c r="S8" s="1339">
        <v>2527</v>
      </c>
      <c r="T8" s="1339">
        <v>5448</v>
      </c>
      <c r="U8" s="1339">
        <f>'Income Statement'!AA6</f>
        <v>12288.33155485829</v>
      </c>
      <c r="V8" s="1339">
        <f>'Income Statement'!AB6</f>
        <v>14054.009960512189</v>
      </c>
      <c r="W8" s="1339">
        <f>'Income Statement'!AC6</f>
        <v>15155.733002753315</v>
      </c>
      <c r="X8" s="1339">
        <f>'Income Statement'!AD6</f>
        <v>16185.1078488444</v>
      </c>
      <c r="Y8" s="1339">
        <f>'Income Statement'!AE6</f>
        <v>17078.607862393696</v>
      </c>
      <c r="Z8" s="1339">
        <f>'Income Statement'!AF6</f>
        <v>17837.765981105636</v>
      </c>
      <c r="AA8" s="137"/>
      <c r="AB8" s="1339">
        <v>2527</v>
      </c>
      <c r="AC8" s="1339">
        <v>5537.090649076501</v>
      </c>
      <c r="AD8" s="1339">
        <f>'Income Statement'!AA6</f>
        <v>12288.33155485829</v>
      </c>
      <c r="AE8" s="1339">
        <f>'Income Statement'!AB6</f>
        <v>14054.009960512189</v>
      </c>
      <c r="AF8" s="1339">
        <f>'Income Statement'!AC6</f>
        <v>15155.733002753315</v>
      </c>
      <c r="AG8" s="1339">
        <f>'Income Statement'!AD6</f>
        <v>16185.1078488444</v>
      </c>
      <c r="AH8" s="1339">
        <f>'Income Statement'!AE6</f>
        <v>17078.607862393696</v>
      </c>
      <c r="AI8" s="1339">
        <f>'Income Statement'!AF6</f>
        <v>17837.765981105636</v>
      </c>
      <c r="AJ8" s="137"/>
      <c r="AK8" s="1341">
        <f t="shared" si="0"/>
        <v>0</v>
      </c>
      <c r="AL8" s="1341">
        <f t="shared" si="0"/>
        <v>-1.6089794211940456E-2</v>
      </c>
      <c r="AM8" s="1341">
        <f t="shared" si="0"/>
        <v>0</v>
      </c>
      <c r="AN8" s="1341">
        <f t="shared" si="0"/>
        <v>0</v>
      </c>
      <c r="AO8" s="1341">
        <f t="shared" si="0"/>
        <v>0</v>
      </c>
      <c r="AP8" s="1341">
        <f t="shared" si="0"/>
        <v>0</v>
      </c>
      <c r="AQ8" s="1341">
        <f t="shared" si="0"/>
        <v>0</v>
      </c>
      <c r="AR8" s="1341">
        <f t="shared" si="0"/>
        <v>0</v>
      </c>
      <c r="AS8" s="137"/>
      <c r="AW8" s="1369"/>
      <c r="AX8" s="1371"/>
      <c r="AY8" s="1372"/>
      <c r="AZ8" s="1372"/>
      <c r="BA8" s="1372"/>
      <c r="BB8" s="1372"/>
      <c r="BC8" s="1372"/>
      <c r="BD8" s="1372"/>
      <c r="BE8" s="1372"/>
      <c r="BF8" s="1372"/>
      <c r="BG8" s="1372"/>
      <c r="BH8" s="1372"/>
    </row>
    <row r="9" spans="2:62" ht="15" customHeight="1">
      <c r="B9" s="137"/>
      <c r="C9" s="137" t="s">
        <v>1093</v>
      </c>
      <c r="D9" s="137"/>
      <c r="E9" s="1339">
        <v>771</v>
      </c>
      <c r="F9" s="1339">
        <v>771</v>
      </c>
      <c r="G9" s="1344">
        <f>E9/F9-1</f>
        <v>0</v>
      </c>
      <c r="H9" s="137"/>
      <c r="I9" s="1339">
        <v>1411</v>
      </c>
      <c r="J9" s="1339">
        <v>1411</v>
      </c>
      <c r="K9" s="1344">
        <f>I9/J9-1</f>
        <v>0</v>
      </c>
      <c r="M9" s="1339">
        <v>2477</v>
      </c>
      <c r="N9" s="1339">
        <v>2477</v>
      </c>
      <c r="O9" s="1341">
        <f>M9/N9-1</f>
        <v>0</v>
      </c>
      <c r="P9" s="137"/>
      <c r="Q9" s="1345"/>
      <c r="R9" s="137"/>
      <c r="S9" s="1339">
        <v>771</v>
      </c>
      <c r="T9" s="1339">
        <v>1626</v>
      </c>
      <c r="U9" s="1339">
        <f>'Income Statement'!AA7</f>
        <v>3423.86</v>
      </c>
      <c r="V9" s="1339">
        <f>'Income Statement'!AB7</f>
        <v>3783.125</v>
      </c>
      <c r="W9" s="1339">
        <f>'Income Statement'!AC7</f>
        <v>4134.5880820000002</v>
      </c>
      <c r="X9" s="1339">
        <f>'Income Statement'!AD7</f>
        <v>4471.8616129800002</v>
      </c>
      <c r="Y9" s="1339">
        <f>'Income Statement'!AE7</f>
        <v>4616.6169190049995</v>
      </c>
      <c r="Z9" s="1339">
        <f>'Income Statement'!AF7</f>
        <v>4747.6719090208799</v>
      </c>
      <c r="AA9" s="137"/>
      <c r="AB9" s="1339">
        <v>771</v>
      </c>
      <c r="AC9" s="1339">
        <v>1631.0762942980091</v>
      </c>
      <c r="AD9" s="1339">
        <f>'Income Statement'!AA7</f>
        <v>3423.86</v>
      </c>
      <c r="AE9" s="1339">
        <f>'Income Statement'!AB7</f>
        <v>3783.125</v>
      </c>
      <c r="AF9" s="1339">
        <f>'Income Statement'!AC7</f>
        <v>4134.5880820000002</v>
      </c>
      <c r="AG9" s="1339">
        <f>'Income Statement'!AD7</f>
        <v>4471.8616129800002</v>
      </c>
      <c r="AH9" s="1339">
        <f>'Income Statement'!AE7</f>
        <v>4616.6169190049995</v>
      </c>
      <c r="AI9" s="1339">
        <f>'Income Statement'!AF7</f>
        <v>4747.6719090208799</v>
      </c>
      <c r="AJ9" s="137"/>
      <c r="AK9" s="1341">
        <f t="shared" si="0"/>
        <v>0</v>
      </c>
      <c r="AL9" s="1341">
        <f t="shared" si="0"/>
        <v>-3.1122359608529715E-3</v>
      </c>
      <c r="AM9" s="1341">
        <f t="shared" si="0"/>
        <v>0</v>
      </c>
      <c r="AN9" s="1341">
        <f t="shared" si="0"/>
        <v>0</v>
      </c>
      <c r="AO9" s="1341">
        <f t="shared" si="0"/>
        <v>0</v>
      </c>
      <c r="AP9" s="1341">
        <f t="shared" si="0"/>
        <v>0</v>
      </c>
      <c r="AQ9" s="1341">
        <f t="shared" si="0"/>
        <v>0</v>
      </c>
      <c r="AR9" s="1341">
        <f t="shared" si="0"/>
        <v>0</v>
      </c>
      <c r="AS9" s="137"/>
      <c r="AX9" s="1371"/>
      <c r="AY9" s="1372"/>
      <c r="AZ9" s="1372"/>
      <c r="BA9" s="1372"/>
      <c r="BB9" s="1372"/>
      <c r="BC9" s="1372"/>
      <c r="BD9" s="1372"/>
      <c r="BE9" s="1372"/>
      <c r="BF9" s="1372"/>
      <c r="BG9" s="1372"/>
      <c r="BH9" s="1372"/>
    </row>
    <row r="10" spans="2:62" ht="13.7" customHeight="1">
      <c r="B10" s="1331"/>
      <c r="C10" s="1346" t="s">
        <v>1758</v>
      </c>
      <c r="D10" s="1331"/>
      <c r="E10" s="1347">
        <v>6639</v>
      </c>
      <c r="F10" s="1347">
        <v>6639</v>
      </c>
      <c r="G10" s="1348">
        <f>E10/F10-1</f>
        <v>0</v>
      </c>
      <c r="H10" s="1331"/>
      <c r="I10" s="1347">
        <v>13047</v>
      </c>
      <c r="J10" s="1347">
        <v>13047</v>
      </c>
      <c r="K10" s="1348">
        <f>I10/J10-1</f>
        <v>0</v>
      </c>
      <c r="M10" s="1347">
        <v>23199</v>
      </c>
      <c r="N10" s="1347">
        <v>23199</v>
      </c>
      <c r="O10" s="130">
        <f>M10/N10-1</f>
        <v>0</v>
      </c>
      <c r="P10" s="1331"/>
      <c r="Q10" s="485" t="s">
        <v>1737</v>
      </c>
      <c r="R10" s="1331"/>
      <c r="S10" s="1347">
        <v>6639</v>
      </c>
      <c r="T10" s="1347">
        <v>14270</v>
      </c>
      <c r="U10" s="1347">
        <f>'Income Statement'!AA9</f>
        <v>31556.568615283002</v>
      </c>
      <c r="V10" s="1347">
        <f>'Income Statement'!AB9</f>
        <v>35653.731777547211</v>
      </c>
      <c r="W10" s="1347">
        <f>'Income Statement'!AC9</f>
        <v>39232.543288947665</v>
      </c>
      <c r="X10" s="1347">
        <f>'Income Statement'!AD9</f>
        <v>42282.092826476444</v>
      </c>
      <c r="Y10" s="1347">
        <f>'Income Statement'!AE9</f>
        <v>44620.650972750256</v>
      </c>
      <c r="Z10" s="1347">
        <f>'Income Statement'!AF9</f>
        <v>46787.066610790876</v>
      </c>
      <c r="AA10" s="1331"/>
      <c r="AB10" s="1347">
        <v>6639</v>
      </c>
      <c r="AC10" s="1347">
        <v>13898.104514099659</v>
      </c>
      <c r="AD10" s="1347">
        <f>'Income Statement'!AA9</f>
        <v>31556.568615283002</v>
      </c>
      <c r="AE10" s="1347">
        <f>'Income Statement'!AB9</f>
        <v>35653.731777547211</v>
      </c>
      <c r="AF10" s="1347">
        <f>'Income Statement'!AC9</f>
        <v>39232.543288947665</v>
      </c>
      <c r="AG10" s="1347">
        <f>'Income Statement'!AD9</f>
        <v>42282.092826476444</v>
      </c>
      <c r="AH10" s="1347">
        <f>'Income Statement'!AE9</f>
        <v>44620.650972750256</v>
      </c>
      <c r="AI10" s="1347">
        <f>'Income Statement'!AF9</f>
        <v>46787.066610790876</v>
      </c>
      <c r="AJ10" s="1379"/>
      <c r="AK10" s="1347">
        <f>'Income Statement'!AH9</f>
        <v>0</v>
      </c>
      <c r="AL10" s="1347">
        <f>'Income Statement'!AI9</f>
        <v>0</v>
      </c>
      <c r="AM10" s="130">
        <f t="shared" ref="AM10:AR10" si="1">U10/AD10-1</f>
        <v>0</v>
      </c>
      <c r="AN10" s="130">
        <f t="shared" si="1"/>
        <v>0</v>
      </c>
      <c r="AO10" s="130">
        <f t="shared" si="1"/>
        <v>0</v>
      </c>
      <c r="AP10" s="130">
        <f t="shared" si="1"/>
        <v>0</v>
      </c>
      <c r="AQ10" s="130">
        <f t="shared" si="1"/>
        <v>0</v>
      </c>
      <c r="AR10" s="130">
        <f t="shared" si="1"/>
        <v>0</v>
      </c>
      <c r="AS10" s="1331"/>
      <c r="AX10" s="1371"/>
      <c r="AY10" s="1372"/>
      <c r="AZ10" s="1372"/>
      <c r="BA10" s="1372"/>
      <c r="BB10" s="1372"/>
      <c r="BC10" s="1372"/>
      <c r="BD10" s="1372"/>
      <c r="BE10" s="1372"/>
      <c r="BF10" s="1372"/>
      <c r="BG10" s="1372"/>
      <c r="BH10" s="1372"/>
    </row>
    <row r="11" spans="2:62" ht="5.25" customHeight="1">
      <c r="B11" s="1331"/>
      <c r="C11" s="1331"/>
      <c r="D11" s="1331"/>
      <c r="E11" s="1332"/>
      <c r="F11" s="1332"/>
      <c r="G11" s="1332"/>
      <c r="H11" s="1331"/>
      <c r="I11" s="1332"/>
      <c r="J11" s="1332"/>
      <c r="K11" s="1332"/>
      <c r="M11" s="1332"/>
      <c r="N11" s="1332"/>
      <c r="O11" s="1334"/>
      <c r="P11" s="1331"/>
      <c r="Q11" s="1335"/>
      <c r="R11" s="1331"/>
      <c r="S11" s="1332"/>
      <c r="T11" s="1332"/>
      <c r="U11" s="1332"/>
      <c r="V11" s="1336"/>
      <c r="W11" s="1332"/>
      <c r="X11" s="1332"/>
      <c r="Y11" s="1332"/>
      <c r="Z11" s="1332"/>
      <c r="AA11" s="1331"/>
      <c r="AB11" s="1332"/>
      <c r="AC11" s="1332"/>
      <c r="AD11" s="1332"/>
      <c r="AE11" s="1336"/>
      <c r="AF11" s="1332"/>
      <c r="AG11" s="1332"/>
      <c r="AH11" s="1332"/>
      <c r="AI11" s="1332"/>
      <c r="AJ11" s="1331"/>
      <c r="AK11" s="131"/>
      <c r="AL11" s="131"/>
      <c r="AM11" s="131"/>
      <c r="AN11" s="131"/>
      <c r="AO11" s="131"/>
      <c r="AP11" s="1337"/>
      <c r="AQ11" s="1337"/>
      <c r="AR11" s="1337"/>
      <c r="AS11" s="1331"/>
    </row>
    <row r="12" spans="2:62" ht="15" customHeight="1">
      <c r="B12" s="137"/>
      <c r="C12" s="1338" t="s">
        <v>1421</v>
      </c>
      <c r="D12" s="137"/>
      <c r="E12" s="1339"/>
      <c r="F12" s="1339"/>
      <c r="G12" s="1344"/>
      <c r="H12" s="137"/>
      <c r="I12" s="1339"/>
      <c r="J12" s="1339"/>
      <c r="K12" s="1344"/>
      <c r="M12" s="1339"/>
      <c r="N12" s="1339"/>
      <c r="O12" s="1341"/>
      <c r="P12" s="137"/>
      <c r="Q12" s="1345"/>
      <c r="R12" s="137"/>
      <c r="S12" s="1339"/>
      <c r="T12" s="1339"/>
      <c r="U12" s="1339"/>
      <c r="V12" s="1339"/>
      <c r="W12" s="1339"/>
      <c r="X12" s="1339"/>
      <c r="Y12" s="1339"/>
      <c r="Z12" s="1339"/>
      <c r="AA12" s="137"/>
      <c r="AB12" s="1339"/>
      <c r="AC12" s="1339"/>
      <c r="AD12" s="1339"/>
      <c r="AE12" s="1339"/>
      <c r="AF12" s="1339"/>
      <c r="AG12" s="1339"/>
      <c r="AH12" s="1339"/>
      <c r="AI12" s="1339"/>
      <c r="AJ12" s="137"/>
      <c r="AK12" s="1339"/>
      <c r="AL12" s="1341"/>
      <c r="AM12" s="1341"/>
      <c r="AN12" s="1341"/>
      <c r="AO12" s="1341"/>
      <c r="AP12" s="1341"/>
      <c r="AQ12" s="1337"/>
      <c r="AR12" s="1337"/>
      <c r="AS12" s="137"/>
      <c r="AW12" s="1369"/>
      <c r="AX12" s="1370"/>
      <c r="AY12" s="1365"/>
      <c r="AZ12" s="1365"/>
      <c r="BA12" s="1365"/>
      <c r="BB12" s="1365"/>
      <c r="BC12" s="1365"/>
      <c r="BD12" s="1365"/>
      <c r="BE12" s="1260"/>
      <c r="BF12" s="1260"/>
      <c r="BG12" s="1260"/>
      <c r="BH12" s="1260"/>
    </row>
    <row r="13" spans="2:62" ht="15" customHeight="1">
      <c r="B13" s="137"/>
      <c r="C13" s="137" t="s">
        <v>900</v>
      </c>
      <c r="D13" s="137"/>
      <c r="E13" s="1339" t="s">
        <v>1267</v>
      </c>
      <c r="F13" s="1339" t="s">
        <v>1267</v>
      </c>
      <c r="G13" s="1344" t="s">
        <v>1267</v>
      </c>
      <c r="H13" s="137"/>
      <c r="I13" s="1339">
        <v>1285</v>
      </c>
      <c r="J13" s="1339">
        <v>1285</v>
      </c>
      <c r="K13" s="1344">
        <f t="shared" ref="K13:K14" si="2">I13/J13-1</f>
        <v>0</v>
      </c>
      <c r="M13" s="1339">
        <v>2390</v>
      </c>
      <c r="N13" s="1339">
        <v>2390</v>
      </c>
      <c r="O13" s="1341">
        <f>M13/N13-1</f>
        <v>0</v>
      </c>
      <c r="P13" s="137"/>
      <c r="Q13" s="1345"/>
      <c r="R13" s="137"/>
      <c r="S13" s="1339" t="s">
        <v>1267</v>
      </c>
      <c r="T13" s="1339">
        <v>1534</v>
      </c>
      <c r="U13" s="1339">
        <f>'Income Statement'!AA19</f>
        <v>3573.190883274262</v>
      </c>
      <c r="V13" s="1339">
        <f>'Income Statement'!AB19</f>
        <v>4022.7156495722697</v>
      </c>
      <c r="W13" s="1339">
        <f>'Income Statement'!AC19</f>
        <v>4530.2242218427427</v>
      </c>
      <c r="X13" s="1339">
        <f>'Income Statement'!AD19</f>
        <v>4955.6890119088566</v>
      </c>
      <c r="Y13" s="1339">
        <f>'Income Statement'!AE19</f>
        <v>5298.5022462866154</v>
      </c>
      <c r="Z13" s="1339">
        <f>'Income Statement'!AF19</f>
        <v>5689.8015205137017</v>
      </c>
      <c r="AA13" s="137"/>
      <c r="AB13" s="1339" t="s">
        <v>1267</v>
      </c>
      <c r="AC13" s="1339">
        <v>1625.4903311897051</v>
      </c>
      <c r="AD13" s="1339">
        <f>'Income Statement'!AA19</f>
        <v>3573.190883274262</v>
      </c>
      <c r="AE13" s="1339">
        <f>'Income Statement'!AB19</f>
        <v>4022.7156495722697</v>
      </c>
      <c r="AF13" s="1339">
        <f>'Income Statement'!AC19</f>
        <v>4530.2242218427427</v>
      </c>
      <c r="AG13" s="1339">
        <f>'Income Statement'!AD19</f>
        <v>4955.6890119088566</v>
      </c>
      <c r="AH13" s="1339">
        <f>'Income Statement'!AE19</f>
        <v>5298.5022462866154</v>
      </c>
      <c r="AI13" s="1339">
        <f>'Income Statement'!AF19</f>
        <v>5689.8015205137017</v>
      </c>
      <c r="AJ13" s="137"/>
      <c r="AK13" s="1339" t="s">
        <v>1267</v>
      </c>
      <c r="AL13" s="1341">
        <f t="shared" ref="AL13:AR16" si="3">T13/AC13-1</f>
        <v>-5.6284758779674093E-2</v>
      </c>
      <c r="AM13" s="1341">
        <f t="shared" si="3"/>
        <v>0</v>
      </c>
      <c r="AN13" s="1341">
        <f t="shared" si="3"/>
        <v>0</v>
      </c>
      <c r="AO13" s="1341">
        <f t="shared" si="3"/>
        <v>0</v>
      </c>
      <c r="AP13" s="1341">
        <f t="shared" si="3"/>
        <v>0</v>
      </c>
      <c r="AQ13" s="1341">
        <f t="shared" si="3"/>
        <v>0</v>
      </c>
      <c r="AR13" s="1341">
        <f t="shared" si="3"/>
        <v>0</v>
      </c>
      <c r="AS13" s="137"/>
      <c r="AW13" s="1369"/>
      <c r="AX13" s="1370"/>
      <c r="AY13" s="1365"/>
      <c r="AZ13" s="1365"/>
      <c r="BA13" s="1365"/>
      <c r="BB13" s="1365"/>
      <c r="BC13" s="1365"/>
      <c r="BD13" s="1365"/>
      <c r="BE13" s="1260"/>
      <c r="BF13" s="1260"/>
      <c r="BG13" s="1260"/>
      <c r="BH13" s="1260"/>
    </row>
    <row r="14" spans="2:62" ht="15" customHeight="1">
      <c r="B14" s="137"/>
      <c r="C14" s="137" t="s">
        <v>1776</v>
      </c>
      <c r="D14" s="137"/>
      <c r="E14" s="1339" t="s">
        <v>1267</v>
      </c>
      <c r="F14" s="1339" t="s">
        <v>1267</v>
      </c>
      <c r="G14" s="1344" t="s">
        <v>1267</v>
      </c>
      <c r="H14" s="137"/>
      <c r="I14" s="1339">
        <v>657</v>
      </c>
      <c r="J14" s="1339">
        <v>657</v>
      </c>
      <c r="K14" s="1344">
        <f t="shared" si="2"/>
        <v>0</v>
      </c>
      <c r="M14" s="1339">
        <v>992</v>
      </c>
      <c r="N14" s="1339">
        <v>992</v>
      </c>
      <c r="O14" s="1341">
        <f>M14/N14-1</f>
        <v>0</v>
      </c>
      <c r="P14" s="137"/>
      <c r="Q14" s="1345"/>
      <c r="R14" s="137"/>
      <c r="S14" s="1339" t="s">
        <v>1267</v>
      </c>
      <c r="T14" s="1339">
        <v>641</v>
      </c>
      <c r="U14" s="1339">
        <f>'Income Statement'!AA20</f>
        <v>1566.0905547253578</v>
      </c>
      <c r="V14" s="1339">
        <f>'Income Statement'!AB20</f>
        <v>1952.7463492974887</v>
      </c>
      <c r="W14" s="1339">
        <f>'Income Statement'!AC20</f>
        <v>2176.3224869626247</v>
      </c>
      <c r="X14" s="1339">
        <f>'Income Statement'!AD20</f>
        <v>2384.4682977314997</v>
      </c>
      <c r="Y14" s="1339">
        <f>'Income Statement'!AE20</f>
        <v>2546.3490319259013</v>
      </c>
      <c r="Z14" s="1339">
        <f>'Income Statement'!AF20</f>
        <v>2693.8536423182982</v>
      </c>
      <c r="AA14" s="137"/>
      <c r="AB14" s="1339" t="s">
        <v>1267</v>
      </c>
      <c r="AC14" s="1339">
        <v>696.42639722127637</v>
      </c>
      <c r="AD14" s="1339">
        <f>'Income Statement'!AA20</f>
        <v>1566.0905547253578</v>
      </c>
      <c r="AE14" s="1339">
        <f>'Income Statement'!AB20</f>
        <v>1952.7463492974887</v>
      </c>
      <c r="AF14" s="1339">
        <f>'Income Statement'!AC20</f>
        <v>2176.3224869626247</v>
      </c>
      <c r="AG14" s="1339">
        <f>'Income Statement'!AD20</f>
        <v>2384.4682977314997</v>
      </c>
      <c r="AH14" s="1339">
        <f>'Income Statement'!AE20</f>
        <v>2546.3490319259013</v>
      </c>
      <c r="AI14" s="1339">
        <f>'Income Statement'!AF20</f>
        <v>2693.8536423182982</v>
      </c>
      <c r="AJ14" s="137"/>
      <c r="AK14" s="1339" t="s">
        <v>1267</v>
      </c>
      <c r="AL14" s="1341">
        <f t="shared" si="3"/>
        <v>-7.9586870116391761E-2</v>
      </c>
      <c r="AM14" s="1341">
        <f t="shared" si="3"/>
        <v>0</v>
      </c>
      <c r="AN14" s="1341">
        <f t="shared" si="3"/>
        <v>0</v>
      </c>
      <c r="AO14" s="1341">
        <f t="shared" si="3"/>
        <v>0</v>
      </c>
      <c r="AP14" s="1341">
        <f t="shared" si="3"/>
        <v>0</v>
      </c>
      <c r="AQ14" s="1341">
        <f t="shared" si="3"/>
        <v>0</v>
      </c>
      <c r="AR14" s="1341">
        <f t="shared" si="3"/>
        <v>0</v>
      </c>
      <c r="AS14" s="137"/>
      <c r="AW14" s="1369"/>
      <c r="AX14" s="1371"/>
      <c r="AY14" s="1372"/>
      <c r="AZ14" s="1372"/>
      <c r="BA14" s="1372"/>
      <c r="BB14" s="1372"/>
      <c r="BC14" s="1372"/>
      <c r="BD14" s="1372"/>
      <c r="BE14" s="1372"/>
      <c r="BF14" s="1372"/>
      <c r="BG14" s="1372"/>
      <c r="BH14" s="1372"/>
    </row>
    <row r="15" spans="2:62" ht="15" customHeight="1">
      <c r="B15" s="137"/>
      <c r="C15" s="137" t="s">
        <v>1093</v>
      </c>
      <c r="D15" s="137"/>
      <c r="E15" s="1339" t="s">
        <v>1267</v>
      </c>
      <c r="F15" s="1339" t="s">
        <v>1267</v>
      </c>
      <c r="G15" s="1344" t="s">
        <v>1267</v>
      </c>
      <c r="H15" s="137"/>
      <c r="I15" s="1339">
        <v>10</v>
      </c>
      <c r="J15" s="1339">
        <v>10</v>
      </c>
      <c r="K15" s="1344">
        <f>-(I15/J15-1)</f>
        <v>0</v>
      </c>
      <c r="M15" s="1339">
        <v>-116</v>
      </c>
      <c r="N15" s="1339">
        <v>-116</v>
      </c>
      <c r="O15" s="1341" t="s">
        <v>1267</v>
      </c>
      <c r="P15" s="137"/>
      <c r="Q15" s="1345"/>
      <c r="R15" s="137"/>
      <c r="S15" s="1339" t="s">
        <v>1267</v>
      </c>
      <c r="T15" s="1339">
        <v>17</v>
      </c>
      <c r="U15" s="1339">
        <f>'Income Statement'!AA21</f>
        <v>106.69281550872572</v>
      </c>
      <c r="V15" s="1339">
        <f>'Income Statement'!AB21</f>
        <v>200.53140626440566</v>
      </c>
      <c r="W15" s="1339">
        <f>'Income Statement'!AC21</f>
        <v>309.38033969793548</v>
      </c>
      <c r="X15" s="1339">
        <f>'Income Statement'!AD21</f>
        <v>401.1613011765312</v>
      </c>
      <c r="Y15" s="1339">
        <f>'Income Statement'!AE21</f>
        <v>431.91275843864668</v>
      </c>
      <c r="Z15" s="1339">
        <f>'Income Statement'!AF21</f>
        <v>446.20993327077412</v>
      </c>
      <c r="AA15" s="137"/>
      <c r="AB15" s="1339" t="s">
        <v>1267</v>
      </c>
      <c r="AC15" s="1339">
        <v>36.476243132030305</v>
      </c>
      <c r="AD15" s="1339">
        <f>'Income Statement'!AA21</f>
        <v>106.69281550872572</v>
      </c>
      <c r="AE15" s="1339">
        <f>'Income Statement'!AB21</f>
        <v>200.53140626440566</v>
      </c>
      <c r="AF15" s="1339">
        <f>'Income Statement'!AC21</f>
        <v>309.38033969793548</v>
      </c>
      <c r="AG15" s="1339">
        <f>'Income Statement'!AD21</f>
        <v>401.1613011765312</v>
      </c>
      <c r="AH15" s="1339">
        <f>'Income Statement'!AE21</f>
        <v>431.91275843864668</v>
      </c>
      <c r="AI15" s="1339">
        <f>'Income Statement'!AF21</f>
        <v>446.20993327077412</v>
      </c>
      <c r="AJ15" s="137"/>
      <c r="AK15" s="1339" t="s">
        <v>1267</v>
      </c>
      <c r="AL15" s="1341">
        <f t="shared" si="3"/>
        <v>-0.53394323153109868</v>
      </c>
      <c r="AM15" s="1341">
        <f t="shared" si="3"/>
        <v>0</v>
      </c>
      <c r="AN15" s="1341">
        <f t="shared" si="3"/>
        <v>0</v>
      </c>
      <c r="AO15" s="1341">
        <f t="shared" si="3"/>
        <v>0</v>
      </c>
      <c r="AP15" s="1341">
        <f t="shared" si="3"/>
        <v>0</v>
      </c>
      <c r="AQ15" s="1341">
        <f t="shared" si="3"/>
        <v>0</v>
      </c>
      <c r="AR15" s="1341">
        <f t="shared" si="3"/>
        <v>0</v>
      </c>
      <c r="AS15" s="137"/>
      <c r="AX15" s="1371"/>
      <c r="AY15" s="1372"/>
      <c r="AZ15" s="1372"/>
      <c r="BA15" s="1372"/>
      <c r="BB15" s="1372"/>
      <c r="BC15" s="1372"/>
      <c r="BD15" s="1372"/>
      <c r="BE15" s="1372"/>
      <c r="BF15" s="1372"/>
      <c r="BG15" s="1372"/>
      <c r="BH15" s="1372"/>
    </row>
    <row r="16" spans="2:62" ht="13.7" customHeight="1">
      <c r="B16" s="1331"/>
      <c r="C16" s="1346" t="s">
        <v>1759</v>
      </c>
      <c r="D16" s="1331"/>
      <c r="E16" s="1347" t="s">
        <v>1267</v>
      </c>
      <c r="F16" s="1347" t="s">
        <v>1267</v>
      </c>
      <c r="G16" s="1348" t="s">
        <v>1267</v>
      </c>
      <c r="H16" s="1331"/>
      <c r="I16" s="1347">
        <v>1974</v>
      </c>
      <c r="J16" s="1347">
        <v>1974</v>
      </c>
      <c r="K16" s="1348">
        <f>I16/J16-1</f>
        <v>0</v>
      </c>
      <c r="M16" s="1347">
        <v>3166</v>
      </c>
      <c r="N16" s="1347">
        <v>3166</v>
      </c>
      <c r="O16" s="130">
        <f>M16/N16-1</f>
        <v>0</v>
      </c>
      <c r="P16" s="1331"/>
      <c r="Q16" s="485" t="s">
        <v>1738</v>
      </c>
      <c r="R16" s="1331"/>
      <c r="S16" s="1347" t="s">
        <v>1267</v>
      </c>
      <c r="T16" s="1347">
        <v>2145</v>
      </c>
      <c r="U16" s="1347">
        <f>'Income Statement'!AA23</f>
        <v>5217.0942807667525</v>
      </c>
      <c r="V16" s="1347">
        <f>'Income Statement'!AB23</f>
        <v>6143.3637864191269</v>
      </c>
      <c r="W16" s="1347">
        <f>'Income Statement'!AC23</f>
        <v>6980.0221694088314</v>
      </c>
      <c r="X16" s="1347">
        <f>'Income Statement'!AD23</f>
        <v>7702.6228418575611</v>
      </c>
      <c r="Y16" s="1347">
        <f>'Income Statement'!AE23</f>
        <v>8235.9280636556377</v>
      </c>
      <c r="Z16" s="1347">
        <f>'Income Statement'!AF23</f>
        <v>8787.0464606278038</v>
      </c>
      <c r="AA16" s="1331"/>
      <c r="AB16" s="1347" t="s">
        <v>1267</v>
      </c>
      <c r="AC16" s="1347">
        <v>2231.3929715430118</v>
      </c>
      <c r="AD16" s="1347">
        <f>'Income Statement'!AA23</f>
        <v>5217.0942807667525</v>
      </c>
      <c r="AE16" s="1347">
        <f>'Income Statement'!AB23</f>
        <v>6143.3637864191269</v>
      </c>
      <c r="AF16" s="1347">
        <f>'Income Statement'!AC23</f>
        <v>6980.0221694088314</v>
      </c>
      <c r="AG16" s="1347">
        <f>'Income Statement'!AD23</f>
        <v>7702.6228418575611</v>
      </c>
      <c r="AH16" s="1347">
        <f>'Income Statement'!AE23</f>
        <v>8235.9280636556377</v>
      </c>
      <c r="AI16" s="1347">
        <f>'Income Statement'!AF23</f>
        <v>8787.0464606278038</v>
      </c>
      <c r="AJ16" s="1331"/>
      <c r="AK16" s="1347" t="s">
        <v>1267</v>
      </c>
      <c r="AL16" s="130">
        <f t="shared" si="3"/>
        <v>-3.8717058198525556E-2</v>
      </c>
      <c r="AM16" s="130">
        <f t="shared" si="3"/>
        <v>0</v>
      </c>
      <c r="AN16" s="130">
        <f t="shared" si="3"/>
        <v>0</v>
      </c>
      <c r="AO16" s="130">
        <f t="shared" si="3"/>
        <v>0</v>
      </c>
      <c r="AP16" s="130">
        <f t="shared" si="3"/>
        <v>0</v>
      </c>
      <c r="AQ16" s="130">
        <f t="shared" si="3"/>
        <v>0</v>
      </c>
      <c r="AR16" s="130">
        <f t="shared" si="3"/>
        <v>0</v>
      </c>
      <c r="AS16" s="1331"/>
      <c r="AX16" s="1371"/>
      <c r="AY16" s="1372"/>
      <c r="AZ16" s="1372"/>
      <c r="BA16" s="1372"/>
      <c r="BB16" s="1372"/>
      <c r="BC16" s="1372"/>
      <c r="BD16" s="1372"/>
      <c r="BE16" s="1372"/>
      <c r="BF16" s="1372"/>
      <c r="BG16" s="1372"/>
      <c r="BH16" s="1372"/>
    </row>
    <row r="17" spans="2:60" ht="5.25" customHeight="1">
      <c r="B17" s="1331"/>
      <c r="C17" s="1331"/>
      <c r="D17" s="1331"/>
      <c r="E17" s="1332"/>
      <c r="F17" s="1332"/>
      <c r="G17" s="1332"/>
      <c r="H17" s="1331"/>
      <c r="I17" s="1332"/>
      <c r="J17" s="1332"/>
      <c r="K17" s="1332"/>
      <c r="M17" s="1332"/>
      <c r="N17" s="1332"/>
      <c r="O17" s="1334"/>
      <c r="P17" s="1331"/>
      <c r="Q17" s="1335"/>
      <c r="R17" s="1331"/>
      <c r="S17" s="1332"/>
      <c r="T17" s="1332"/>
      <c r="U17" s="1332"/>
      <c r="V17" s="1336"/>
      <c r="W17" s="1332"/>
      <c r="X17" s="1332"/>
      <c r="Y17" s="1332"/>
      <c r="Z17" s="1332"/>
      <c r="AA17" s="1331"/>
      <c r="AB17" s="1332"/>
      <c r="AC17" s="1332"/>
      <c r="AD17" s="1332"/>
      <c r="AE17" s="1336"/>
      <c r="AF17" s="1332"/>
      <c r="AG17" s="1332"/>
      <c r="AH17" s="1332"/>
      <c r="AI17" s="1332"/>
      <c r="AJ17" s="1331"/>
      <c r="AK17" s="131"/>
      <c r="AL17" s="131"/>
      <c r="AM17" s="131"/>
      <c r="AN17" s="131"/>
      <c r="AO17" s="131"/>
      <c r="AP17" s="1337"/>
      <c r="AQ17" s="1337"/>
      <c r="AR17" s="1337"/>
      <c r="AS17" s="1331"/>
    </row>
    <row r="18" spans="2:60" ht="13.7" customHeight="1">
      <c r="B18" s="1331"/>
      <c r="C18" s="1346" t="s">
        <v>1760</v>
      </c>
      <c r="D18" s="1331"/>
      <c r="E18" s="1347" t="s">
        <v>1267</v>
      </c>
      <c r="F18" s="1347" t="s">
        <v>1267</v>
      </c>
      <c r="G18" s="1348" t="s">
        <v>1267</v>
      </c>
      <c r="H18" s="1331"/>
      <c r="I18" s="1347">
        <v>1463</v>
      </c>
      <c r="J18" s="1347">
        <v>1463</v>
      </c>
      <c r="K18" s="1348">
        <f>I18/J18-1</f>
        <v>0</v>
      </c>
      <c r="M18" s="1347">
        <v>2945</v>
      </c>
      <c r="N18" s="1347">
        <v>2945</v>
      </c>
      <c r="O18" s="130">
        <f>M18/N18-1</f>
        <v>0</v>
      </c>
      <c r="P18" s="1331"/>
      <c r="Q18" s="485" t="s">
        <v>1766</v>
      </c>
      <c r="R18" s="1331"/>
      <c r="S18" s="1347" t="s">
        <v>1267</v>
      </c>
      <c r="T18" s="1347">
        <v>1726</v>
      </c>
      <c r="U18" s="1347">
        <f>'Cashflow Statement'!AA57</f>
        <v>3613.1854263217751</v>
      </c>
      <c r="V18" s="1347">
        <f>'Cashflow Statement'!AB57</f>
        <v>4332.1968154349925</v>
      </c>
      <c r="W18" s="1347">
        <f>'Cashflow Statement'!AC57</f>
        <v>4940.4466821238366</v>
      </c>
      <c r="X18" s="1347">
        <f>'Cashflow Statement'!AD57</f>
        <v>5589.2571500394397</v>
      </c>
      <c r="Y18" s="1347">
        <f>'Cashflow Statement'!AE57</f>
        <v>6076.0778047832791</v>
      </c>
      <c r="Z18" s="1347">
        <f>'Cashflow Statement'!AF57</f>
        <v>6537.6130455842185</v>
      </c>
      <c r="AA18" s="1331"/>
      <c r="AB18" s="1347" t="s">
        <v>1267</v>
      </c>
      <c r="AC18" s="1347">
        <v>1432.2698027181477</v>
      </c>
      <c r="AD18" s="1347">
        <f>'Cashflow Statement'!AA57</f>
        <v>3613.1854263217751</v>
      </c>
      <c r="AE18" s="1347">
        <f>'Cashflow Statement'!AB57</f>
        <v>4332.1968154349925</v>
      </c>
      <c r="AF18" s="1347">
        <f>'Cashflow Statement'!AC57</f>
        <v>4940.4466821238366</v>
      </c>
      <c r="AG18" s="1347">
        <f>'Cashflow Statement'!AD57</f>
        <v>5589.2571500394397</v>
      </c>
      <c r="AH18" s="1347">
        <f>'Cashflow Statement'!AE57</f>
        <v>6076.0778047832791</v>
      </c>
      <c r="AI18" s="1347">
        <f>'Cashflow Statement'!AF57</f>
        <v>6537.6130455842185</v>
      </c>
      <c r="AJ18" s="1331"/>
      <c r="AK18" s="1347" t="s">
        <v>1267</v>
      </c>
      <c r="AL18" s="130">
        <f t="shared" ref="AL18:AR18" si="4">T18/AC18-1</f>
        <v>0.20508021374493413</v>
      </c>
      <c r="AM18" s="130">
        <f t="shared" si="4"/>
        <v>0</v>
      </c>
      <c r="AN18" s="130">
        <f t="shared" si="4"/>
        <v>0</v>
      </c>
      <c r="AO18" s="130">
        <f t="shared" si="4"/>
        <v>0</v>
      </c>
      <c r="AP18" s="130">
        <f t="shared" si="4"/>
        <v>0</v>
      </c>
      <c r="AQ18" s="130">
        <f t="shared" si="4"/>
        <v>0</v>
      </c>
      <c r="AR18" s="130">
        <f t="shared" si="4"/>
        <v>0</v>
      </c>
      <c r="AS18" s="1331"/>
      <c r="AX18" s="1373"/>
    </row>
    <row r="19" spans="2:60" ht="13.7" customHeight="1">
      <c r="B19" s="1352"/>
      <c r="C19" s="1352" t="s">
        <v>1761</v>
      </c>
      <c r="D19" s="1352"/>
      <c r="E19" s="415" t="s">
        <v>1267</v>
      </c>
      <c r="F19" s="415" t="s">
        <v>1267</v>
      </c>
      <c r="G19" s="1349" t="s">
        <v>1267</v>
      </c>
      <c r="H19" s="1352"/>
      <c r="I19" s="415">
        <f>I18/I16</f>
        <v>0.74113475177304966</v>
      </c>
      <c r="J19" s="415">
        <f>J18/J16</f>
        <v>0.74113475177304966</v>
      </c>
      <c r="K19" s="1349">
        <f t="shared" ref="K19" si="5">(I19-J19)*100</f>
        <v>0</v>
      </c>
      <c r="M19" s="415">
        <f>M18/M16</f>
        <v>0.93019583070120027</v>
      </c>
      <c r="N19" s="415">
        <f>N18/N16</f>
        <v>0.93019583070120027</v>
      </c>
      <c r="O19" s="1349">
        <f>(M19-N19)*100</f>
        <v>0</v>
      </c>
      <c r="P19" s="1352"/>
      <c r="Q19" s="1350"/>
      <c r="R19" s="1352"/>
      <c r="S19" s="1353" t="s">
        <v>1267</v>
      </c>
      <c r="T19" s="415">
        <f t="shared" ref="T19:Z19" si="6">T18/T16</f>
        <v>0.80466200466200466</v>
      </c>
      <c r="U19" s="415">
        <f t="shared" si="6"/>
        <v>0.69256663419752262</v>
      </c>
      <c r="V19" s="415">
        <f t="shared" si="6"/>
        <v>0.70518318075383979</v>
      </c>
      <c r="W19" s="415">
        <f t="shared" si="6"/>
        <v>0.70779813619736176</v>
      </c>
      <c r="X19" s="415">
        <f t="shared" si="6"/>
        <v>0.72563038133794133</v>
      </c>
      <c r="Y19" s="415">
        <f t="shared" si="6"/>
        <v>0.73775265614526542</v>
      </c>
      <c r="Z19" s="415">
        <f t="shared" si="6"/>
        <v>0.74400574469218506</v>
      </c>
      <c r="AA19" s="1352"/>
      <c r="AB19" s="1353" t="s">
        <v>1267</v>
      </c>
      <c r="AC19" s="415">
        <f t="shared" ref="AC19:AI19" si="7">AC18/AC16</f>
        <v>0.64187250788359829</v>
      </c>
      <c r="AD19" s="415">
        <f t="shared" si="7"/>
        <v>0.69256663419752262</v>
      </c>
      <c r="AE19" s="415">
        <f t="shared" si="7"/>
        <v>0.70518318075383979</v>
      </c>
      <c r="AF19" s="415">
        <f t="shared" si="7"/>
        <v>0.70779813619736176</v>
      </c>
      <c r="AG19" s="415">
        <f t="shared" si="7"/>
        <v>0.72563038133794133</v>
      </c>
      <c r="AH19" s="415">
        <f t="shared" si="7"/>
        <v>0.73775265614526542</v>
      </c>
      <c r="AI19" s="415">
        <f t="shared" si="7"/>
        <v>0.74400574469218506</v>
      </c>
      <c r="AJ19" s="1352"/>
      <c r="AK19" s="1353" t="s">
        <v>1267</v>
      </c>
      <c r="AL19" s="1349">
        <f t="shared" ref="AL19:AR19" si="8">(T19-AC19)*100</f>
        <v>16.278949677840636</v>
      </c>
      <c r="AM19" s="1349">
        <f t="shared" si="8"/>
        <v>0</v>
      </c>
      <c r="AN19" s="1349">
        <f t="shared" si="8"/>
        <v>0</v>
      </c>
      <c r="AO19" s="1349">
        <f t="shared" si="8"/>
        <v>0</v>
      </c>
      <c r="AP19" s="1349">
        <f t="shared" si="8"/>
        <v>0</v>
      </c>
      <c r="AQ19" s="1349">
        <f t="shared" si="8"/>
        <v>0</v>
      </c>
      <c r="AR19" s="1349">
        <f t="shared" si="8"/>
        <v>0</v>
      </c>
      <c r="AS19" s="1352"/>
      <c r="AX19" s="1371"/>
      <c r="AY19" s="1372"/>
      <c r="AZ19" s="1372"/>
      <c r="BA19" s="1372"/>
      <c r="BB19" s="1372"/>
      <c r="BC19" s="1372"/>
      <c r="BD19" s="1372"/>
      <c r="BE19" s="1372"/>
      <c r="BF19" s="1372"/>
      <c r="BG19" s="1372"/>
      <c r="BH19" s="1372"/>
    </row>
    <row r="20" spans="2:60" ht="4.5" customHeight="1">
      <c r="B20" s="1331"/>
      <c r="C20" s="1331"/>
      <c r="D20" s="1331"/>
      <c r="E20" s="1332"/>
      <c r="F20" s="1332"/>
      <c r="G20" s="1332"/>
      <c r="H20" s="1331"/>
      <c r="I20" s="1332"/>
      <c r="J20" s="1332"/>
      <c r="K20" s="1332"/>
      <c r="M20" s="1332"/>
      <c r="N20" s="1332"/>
      <c r="O20" s="131"/>
      <c r="P20" s="1331"/>
      <c r="Q20" s="1335"/>
      <c r="R20" s="1331"/>
      <c r="S20" s="1332"/>
      <c r="T20" s="1332"/>
      <c r="U20" s="1336"/>
      <c r="V20" s="1332"/>
      <c r="W20" s="1332"/>
      <c r="X20" s="1332"/>
      <c r="Y20" s="1332"/>
      <c r="Z20" s="1332"/>
      <c r="AA20" s="1331"/>
      <c r="AB20" s="1332"/>
      <c r="AC20" s="1332"/>
      <c r="AD20" s="1336"/>
      <c r="AE20" s="1332"/>
      <c r="AF20" s="1332"/>
      <c r="AG20" s="1332"/>
      <c r="AH20" s="1332"/>
      <c r="AI20" s="1332"/>
      <c r="AJ20" s="1331"/>
      <c r="AK20" s="131"/>
      <c r="AL20" s="131"/>
      <c r="AM20" s="131"/>
      <c r="AN20" s="131"/>
      <c r="AO20" s="131"/>
      <c r="AP20" s="131"/>
      <c r="AQ20" s="1337"/>
      <c r="AR20" s="1337"/>
      <c r="AS20" s="1331"/>
      <c r="AX20" s="1371"/>
      <c r="AY20" s="1372"/>
      <c r="AZ20" s="1372"/>
      <c r="BA20" s="1372"/>
      <c r="BB20" s="1372"/>
      <c r="BC20" s="1372"/>
      <c r="BD20" s="1372"/>
      <c r="BE20" s="1372"/>
      <c r="BF20" s="1372"/>
      <c r="BG20" s="1372"/>
      <c r="BH20" s="1372"/>
    </row>
    <row r="21" spans="2:60" ht="13.7" customHeight="1">
      <c r="B21" s="1331"/>
      <c r="C21" s="1346" t="s">
        <v>1762</v>
      </c>
      <c r="D21" s="1331"/>
      <c r="E21" s="130" t="e">
        <v>#REF!</v>
      </c>
      <c r="F21" s="130">
        <v>0.20499999999999999</v>
      </c>
      <c r="G21" s="1351" t="e">
        <f>(E21-F21)*100</f>
        <v>#REF!</v>
      </c>
      <c r="H21" s="1331"/>
      <c r="I21" s="130" t="e">
        <v>#REF!</v>
      </c>
      <c r="J21" s="130">
        <v>0.29846971329484839</v>
      </c>
      <c r="K21" s="1351" t="e">
        <f>(I21-J21)*100</f>
        <v>#REF!</v>
      </c>
      <c r="M21" s="130">
        <v>0.33014474873070321</v>
      </c>
      <c r="N21" s="130">
        <v>0.32899999999999996</v>
      </c>
      <c r="O21" s="1351">
        <f>(M21-N21)*100</f>
        <v>0.11447487307032489</v>
      </c>
      <c r="P21" s="1331"/>
      <c r="Q21" s="1426" t="s">
        <v>1740</v>
      </c>
      <c r="R21" s="1331"/>
      <c r="S21" s="130" t="e">
        <v>#REF!</v>
      </c>
      <c r="T21" s="130" t="e">
        <v>#REF!</v>
      </c>
      <c r="U21" s="130">
        <f>'Aerospace Propulsion Division'!AA104</f>
        <v>0.20838941743807404</v>
      </c>
      <c r="V21" s="130">
        <f>'Aerospace Propulsion Division'!AB104</f>
        <v>0.17435513085767562</v>
      </c>
      <c r="W21" s="130">
        <f>'Aerospace Propulsion Division'!AC104</f>
        <v>0.11570692625428669</v>
      </c>
      <c r="X21" s="130">
        <f>'Aerospace Propulsion Division'!AD104</f>
        <v>0.10488129227462473</v>
      </c>
      <c r="Y21" s="130">
        <f>'Aerospace Propulsion Division'!AE104</f>
        <v>5.7358934569718301E-2</v>
      </c>
      <c r="Z21" s="130">
        <f>'Aerospace Propulsion Division'!AF104</f>
        <v>7.4222999495234365E-2</v>
      </c>
      <c r="AA21" s="1331"/>
      <c r="AB21" s="130">
        <v>0.20499999999999999</v>
      </c>
      <c r="AC21" s="130">
        <v>0.20911653469786251</v>
      </c>
      <c r="AD21" s="130">
        <f>'Aerospace Propulsion Division'!AA104</f>
        <v>0.20838941743807404</v>
      </c>
      <c r="AE21" s="130">
        <f>'Aerospace Propulsion Division'!AB104</f>
        <v>0.17435513085767562</v>
      </c>
      <c r="AF21" s="130">
        <f>'Aerospace Propulsion Division'!AC104</f>
        <v>0.11570692625428669</v>
      </c>
      <c r="AG21" s="130">
        <f>'Aerospace Propulsion Division'!AD104</f>
        <v>0.10488129227462473</v>
      </c>
      <c r="AH21" s="130">
        <f>'Aerospace Propulsion Division'!AE104</f>
        <v>5.7358934569718301E-2</v>
      </c>
      <c r="AI21" s="130">
        <f>'Aerospace Propulsion Division'!AF104</f>
        <v>7.4222999495234365E-2</v>
      </c>
      <c r="AJ21" s="1331"/>
      <c r="AK21" s="1351" t="e">
        <f t="shared" ref="AK21:AR21" si="9">(S21-AB21)*100</f>
        <v>#REF!</v>
      </c>
      <c r="AL21" s="1351" t="e">
        <f t="shared" si="9"/>
        <v>#REF!</v>
      </c>
      <c r="AM21" s="1351">
        <f t="shared" si="9"/>
        <v>0</v>
      </c>
      <c r="AN21" s="1351">
        <f t="shared" si="9"/>
        <v>0</v>
      </c>
      <c r="AO21" s="1351">
        <f t="shared" si="9"/>
        <v>0</v>
      </c>
      <c r="AP21" s="1351">
        <f t="shared" si="9"/>
        <v>0</v>
      </c>
      <c r="AQ21" s="1351">
        <f t="shared" si="9"/>
        <v>0</v>
      </c>
      <c r="AR21" s="1351">
        <f t="shared" si="9"/>
        <v>0</v>
      </c>
      <c r="AS21" s="1331"/>
      <c r="AX21" s="1371"/>
      <c r="AY21" s="1372"/>
      <c r="AZ21" s="1372"/>
      <c r="BA21" s="1372"/>
      <c r="BB21" s="1372"/>
      <c r="BC21" s="1372"/>
      <c r="BD21" s="1372"/>
      <c r="BE21" s="1372"/>
      <c r="BF21" s="1372"/>
      <c r="BG21" s="1372"/>
      <c r="BH21" s="1372"/>
    </row>
    <row r="22" spans="2:60" ht="13.7" customHeight="1">
      <c r="B22" s="1331"/>
      <c r="C22" s="1354" t="s">
        <v>1763</v>
      </c>
      <c r="D22" s="1331"/>
      <c r="E22" s="130"/>
      <c r="F22" s="130"/>
      <c r="G22" s="1351"/>
      <c r="H22" s="1331"/>
      <c r="I22" s="130"/>
      <c r="J22" s="130"/>
      <c r="K22" s="1351"/>
      <c r="M22" s="130"/>
      <c r="N22" s="130"/>
      <c r="O22" s="1351"/>
      <c r="P22" s="1331"/>
      <c r="Q22" s="1426"/>
      <c r="R22" s="1331"/>
      <c r="S22" s="130"/>
      <c r="T22" s="130"/>
      <c r="U22" s="130">
        <f>'Aerospace Propulsion Division'!AA105</f>
        <v>0.21905359840388816</v>
      </c>
      <c r="V22" s="130">
        <f>'Aerospace Propulsion Division'!AB105</f>
        <v>0.13435446811479901</v>
      </c>
      <c r="W22" s="130">
        <f>'Aerospace Propulsion Division'!AC105</f>
        <v>3.5129929390939285E-2</v>
      </c>
      <c r="X22" s="130">
        <f>'Aerospace Propulsion Division'!AD105</f>
        <v>2.7677906873930791E-2</v>
      </c>
      <c r="Y22" s="130">
        <f>'Aerospace Propulsion Division'!AE105</f>
        <v>1.4391460814504153E-2</v>
      </c>
      <c r="Z22" s="130">
        <f>'Aerospace Propulsion Division'!AF105</f>
        <v>2.0042863887938411E-2</v>
      </c>
      <c r="AA22" s="1331"/>
      <c r="AB22" s="130"/>
      <c r="AC22" s="130"/>
      <c r="AD22" s="130">
        <f>'Aerospace Propulsion Division'!AA105</f>
        <v>0.21905359840388816</v>
      </c>
      <c r="AE22" s="130">
        <f>'Aerospace Propulsion Division'!AB105</f>
        <v>0.13435446811479901</v>
      </c>
      <c r="AF22" s="130">
        <f>'Aerospace Propulsion Division'!AC105</f>
        <v>3.5129929390939285E-2</v>
      </c>
      <c r="AG22" s="130">
        <f>'Aerospace Propulsion Division'!AD105</f>
        <v>2.7677906873930791E-2</v>
      </c>
      <c r="AH22" s="130">
        <f>'Aerospace Propulsion Division'!AE105</f>
        <v>1.4391460814504153E-2</v>
      </c>
      <c r="AI22" s="130">
        <f>'Aerospace Propulsion Division'!AF105</f>
        <v>2.0042863887938411E-2</v>
      </c>
      <c r="AJ22" s="1331"/>
      <c r="AK22" s="1351"/>
      <c r="AL22" s="1351"/>
      <c r="AM22" s="1351">
        <f t="shared" ref="AM22:AM23" si="10">(U22-AD22)*100</f>
        <v>0</v>
      </c>
      <c r="AN22" s="1351">
        <f t="shared" ref="AN22:AN23" si="11">(V22-AE22)*100</f>
        <v>0</v>
      </c>
      <c r="AO22" s="1351">
        <f t="shared" ref="AO22:AO23" si="12">(W22-AF22)*100</f>
        <v>0</v>
      </c>
      <c r="AP22" s="1351">
        <f t="shared" ref="AP22:AP23" si="13">(X22-AG22)*100</f>
        <v>0</v>
      </c>
      <c r="AQ22" s="1351">
        <f t="shared" ref="AQ22:AQ23" si="14">(Y22-AH22)*100</f>
        <v>0</v>
      </c>
      <c r="AR22" s="1351">
        <f t="shared" ref="AR22:AR23" si="15">(Z22-AI22)*100</f>
        <v>0</v>
      </c>
      <c r="AS22" s="1331"/>
      <c r="AX22" s="1371"/>
      <c r="AY22" s="1372"/>
      <c r="AZ22" s="1372"/>
      <c r="BA22" s="1372"/>
      <c r="BB22" s="1372"/>
      <c r="BC22" s="1372"/>
      <c r="BD22" s="1372"/>
      <c r="BE22" s="1372"/>
      <c r="BF22" s="1372"/>
      <c r="BG22" s="1372"/>
      <c r="BH22" s="1372"/>
    </row>
    <row r="23" spans="2:60" ht="22.5" customHeight="1">
      <c r="B23" s="1331"/>
      <c r="C23" s="1354" t="s">
        <v>1764</v>
      </c>
      <c r="D23" s="1331"/>
      <c r="E23" s="130">
        <v>0</v>
      </c>
      <c r="F23" s="130">
        <v>0</v>
      </c>
      <c r="G23" s="1351">
        <f>(E23-F23)*100</f>
        <v>0</v>
      </c>
      <c r="H23" s="1331"/>
      <c r="I23" s="130">
        <v>0</v>
      </c>
      <c r="J23" s="130">
        <v>0</v>
      </c>
      <c r="K23" s="1351">
        <f>(I23-J23)*100</f>
        <v>0</v>
      </c>
      <c r="M23" s="130" t="e">
        <v>#REF!</v>
      </c>
      <c r="N23" s="130">
        <v>0.33513214451768292</v>
      </c>
      <c r="O23" s="1351" t="e">
        <f>(M23-N23)*100</f>
        <v>#REF!</v>
      </c>
      <c r="P23" s="1331"/>
      <c r="Q23" s="1426"/>
      <c r="R23" s="1331"/>
      <c r="S23" s="130" t="e">
        <v>#REF!</v>
      </c>
      <c r="T23" s="130">
        <v>0</v>
      </c>
      <c r="U23" s="130">
        <f>'Aerospace Propulsion Division'!AA106</f>
        <v>0.19217592970097264</v>
      </c>
      <c r="V23" s="130">
        <f>'Aerospace Propulsion Division'!AB106</f>
        <v>0.23654198387598746</v>
      </c>
      <c r="W23" s="130">
        <f>'Aerospace Propulsion Division'!AC106</f>
        <v>0.23062342606379871</v>
      </c>
      <c r="X23" s="130">
        <f>'Aerospace Propulsion Division'!AD106</f>
        <v>0.19749544224314786</v>
      </c>
      <c r="Y23" s="130">
        <f>'Aerospace Propulsion Division'!AE106</f>
        <v>0.10159372475353678</v>
      </c>
      <c r="Z23" s="130">
        <f>'Aerospace Propulsion Division'!AF106</f>
        <v>0.12558576158119283</v>
      </c>
      <c r="AA23" s="1331"/>
      <c r="AB23" s="130">
        <v>0.20499999999999999</v>
      </c>
      <c r="AC23" s="130">
        <v>0</v>
      </c>
      <c r="AD23" s="130">
        <f>'Aerospace Propulsion Division'!AA106</f>
        <v>0.19217592970097264</v>
      </c>
      <c r="AE23" s="130">
        <f>'Aerospace Propulsion Division'!AB106</f>
        <v>0.23654198387598746</v>
      </c>
      <c r="AF23" s="130">
        <f>'Aerospace Propulsion Division'!AC106</f>
        <v>0.23062342606379871</v>
      </c>
      <c r="AG23" s="130">
        <f>'Aerospace Propulsion Division'!AD106</f>
        <v>0.19749544224314786</v>
      </c>
      <c r="AH23" s="130">
        <f>'Aerospace Propulsion Division'!AE106</f>
        <v>0.10159372475353678</v>
      </c>
      <c r="AI23" s="130">
        <f>'Aerospace Propulsion Division'!AF106</f>
        <v>0.12558576158119283</v>
      </c>
      <c r="AJ23" s="1331"/>
      <c r="AK23" s="1351"/>
      <c r="AL23" s="1351"/>
      <c r="AM23" s="1351">
        <f t="shared" si="10"/>
        <v>0</v>
      </c>
      <c r="AN23" s="1351">
        <f t="shared" si="11"/>
        <v>0</v>
      </c>
      <c r="AO23" s="1351">
        <f t="shared" si="12"/>
        <v>0</v>
      </c>
      <c r="AP23" s="1351">
        <f t="shared" si="13"/>
        <v>0</v>
      </c>
      <c r="AQ23" s="1351">
        <f t="shared" si="14"/>
        <v>0</v>
      </c>
      <c r="AR23" s="1351">
        <f t="shared" si="15"/>
        <v>0</v>
      </c>
      <c r="AS23" s="1331"/>
      <c r="AX23" s="1371"/>
      <c r="AY23" s="1372"/>
      <c r="AZ23" s="1372"/>
      <c r="BA23" s="1372"/>
      <c r="BB23" s="1372"/>
      <c r="BC23" s="1372"/>
      <c r="BD23" s="1372"/>
      <c r="BE23" s="1372"/>
      <c r="BF23" s="1372"/>
      <c r="BG23" s="1372"/>
      <c r="BH23" s="1372"/>
    </row>
    <row r="24" spans="2:60" ht="6.75" customHeight="1">
      <c r="B24" s="1331"/>
      <c r="C24" s="1331"/>
      <c r="D24" s="1331"/>
      <c r="E24" s="131"/>
      <c r="F24" s="131"/>
      <c r="G24" s="1355"/>
      <c r="H24" s="1331"/>
      <c r="I24" s="131"/>
      <c r="J24" s="131"/>
      <c r="K24" s="1355"/>
      <c r="M24" s="131"/>
      <c r="N24" s="131"/>
      <c r="O24" s="1355"/>
      <c r="P24" s="1331"/>
      <c r="Q24" s="1356"/>
      <c r="R24" s="1331"/>
      <c r="S24" s="131"/>
      <c r="T24" s="131"/>
      <c r="U24" s="131"/>
      <c r="V24" s="131"/>
      <c r="W24" s="131"/>
      <c r="X24" s="1334"/>
      <c r="Y24" s="131"/>
      <c r="Z24" s="131"/>
      <c r="AA24" s="1331"/>
      <c r="AB24" s="131"/>
      <c r="AC24" s="131"/>
      <c r="AD24" s="131"/>
      <c r="AE24" s="131"/>
      <c r="AF24" s="131"/>
      <c r="AG24" s="131"/>
      <c r="AH24" s="131"/>
      <c r="AI24" s="131"/>
      <c r="AJ24" s="1331"/>
      <c r="AK24" s="1355"/>
      <c r="AL24" s="1355"/>
      <c r="AM24" s="1355"/>
      <c r="AN24" s="1355"/>
      <c r="AO24" s="1355"/>
      <c r="AP24" s="1355"/>
      <c r="AQ24" s="1355"/>
      <c r="AR24" s="1355"/>
      <c r="AS24" s="1331"/>
    </row>
    <row r="25" spans="2:60">
      <c r="C25" s="1346" t="s">
        <v>1765</v>
      </c>
      <c r="D25" s="1331"/>
      <c r="E25" s="1347" t="s">
        <v>1267</v>
      </c>
      <c r="F25" s="1347" t="s">
        <v>1267</v>
      </c>
      <c r="G25" s="1347" t="s">
        <v>1267</v>
      </c>
      <c r="H25" s="1331"/>
      <c r="I25" s="1347" t="s">
        <v>1267</v>
      </c>
      <c r="J25" s="1347" t="s">
        <v>1267</v>
      </c>
      <c r="K25" s="1347" t="s">
        <v>1267</v>
      </c>
      <c r="M25" s="1357" t="e">
        <v>#REF!</v>
      </c>
      <c r="N25" s="1357">
        <v>4.8540495022861565</v>
      </c>
      <c r="O25" s="130" t="e">
        <f>M25/N25-1</f>
        <v>#REF!</v>
      </c>
      <c r="P25" s="1331"/>
      <c r="Q25" s="1358"/>
      <c r="R25" s="1331"/>
      <c r="S25" s="1347" t="s">
        <v>1267</v>
      </c>
      <c r="T25" s="1347" t="s">
        <v>1267</v>
      </c>
      <c r="U25" s="1357">
        <f>'Income Statement'!AA104</f>
        <v>8.5516240573697857</v>
      </c>
      <c r="V25" s="1357">
        <f>'Income Statement'!AB104</f>
        <v>11.261879118882948</v>
      </c>
      <c r="W25" s="1357">
        <f>'Income Statement'!AC104</f>
        <v>12.953693258987919</v>
      </c>
      <c r="X25" s="1357">
        <f>'Income Statement'!AD104</f>
        <v>14.485404546340749</v>
      </c>
      <c r="Y25" s="1357">
        <f>'Income Statement'!AE104</f>
        <v>15.525571687854178</v>
      </c>
      <c r="Z25" s="1357">
        <f>'Income Statement'!AF104</f>
        <v>16.634187113713171</v>
      </c>
      <c r="AA25" s="1331"/>
      <c r="AB25" s="1347" t="s">
        <v>1267</v>
      </c>
      <c r="AC25" s="1347" t="s">
        <v>1267</v>
      </c>
      <c r="AD25" s="1357">
        <f>'Income Statement'!AA104</f>
        <v>8.5516240573697857</v>
      </c>
      <c r="AE25" s="1357">
        <f>'Income Statement'!AB104</f>
        <v>11.261879118882948</v>
      </c>
      <c r="AF25" s="1357">
        <f>'Income Statement'!AC104</f>
        <v>12.953693258987919</v>
      </c>
      <c r="AG25" s="1357">
        <f>'Income Statement'!AD104</f>
        <v>14.485404546340749</v>
      </c>
      <c r="AH25" s="1357">
        <f>'Income Statement'!AE104</f>
        <v>15.525571687854178</v>
      </c>
      <c r="AI25" s="1357">
        <f>'Income Statement'!AF104</f>
        <v>16.634187113713171</v>
      </c>
      <c r="AJ25" s="1331"/>
      <c r="AK25" s="1347" t="s">
        <v>1267</v>
      </c>
      <c r="AL25" s="1347" t="s">
        <v>1267</v>
      </c>
      <c r="AM25" s="130">
        <f t="shared" ref="AM25:AR25" si="16">U25/AD25-1</f>
        <v>0</v>
      </c>
      <c r="AN25" s="130">
        <f t="shared" si="16"/>
        <v>0</v>
      </c>
      <c r="AO25" s="130">
        <f t="shared" si="16"/>
        <v>0</v>
      </c>
      <c r="AP25" s="130">
        <f t="shared" si="16"/>
        <v>0</v>
      </c>
      <c r="AQ25" s="130">
        <f t="shared" si="16"/>
        <v>0</v>
      </c>
      <c r="AR25" s="130">
        <f t="shared" si="16"/>
        <v>0</v>
      </c>
      <c r="AX25" s="1371"/>
      <c r="AY25" s="1374"/>
      <c r="AZ25" s="1374"/>
      <c r="BA25" s="1374"/>
      <c r="BB25" s="1374"/>
      <c r="BC25" s="1374"/>
      <c r="BD25" s="1374"/>
      <c r="BE25" s="1374"/>
      <c r="BF25" s="1374"/>
      <c r="BG25" s="1374"/>
      <c r="BH25" s="1374"/>
    </row>
    <row r="26" spans="2:60" ht="6" customHeight="1">
      <c r="C26" s="1359"/>
      <c r="M26" s="1360"/>
      <c r="O26" s="1320"/>
      <c r="Q26" s="1361"/>
      <c r="S26" s="1360"/>
      <c r="T26" s="1360"/>
      <c r="U26" s="1360"/>
      <c r="V26" s="1360"/>
      <c r="W26" s="1360"/>
      <c r="X26" s="1360"/>
      <c r="Y26" s="1360"/>
      <c r="Z26" s="1360"/>
      <c r="BF26" s="1375"/>
    </row>
    <row r="27" spans="2:60">
      <c r="O27" s="1320"/>
      <c r="AZ27" s="1376"/>
      <c r="BA27" s="1376"/>
      <c r="BB27" s="1376"/>
      <c r="BC27" s="1376"/>
      <c r="BD27" s="1376"/>
      <c r="BE27" s="1376"/>
      <c r="BF27" s="1376"/>
      <c r="BG27" s="1376"/>
      <c r="BH27" s="1376"/>
    </row>
    <row r="28" spans="2:60">
      <c r="C28" s="1319"/>
      <c r="M28" s="1319"/>
      <c r="O28" s="1320"/>
      <c r="AP28" s="1337"/>
      <c r="AQ28" s="1337"/>
      <c r="AR28" s="1337"/>
      <c r="AZ28" s="1376"/>
      <c r="BA28" s="1376"/>
      <c r="BB28" s="1376"/>
      <c r="BC28" s="1376"/>
      <c r="BD28" s="1376"/>
      <c r="BE28" s="1376"/>
      <c r="BF28" s="1376"/>
      <c r="BG28" s="1376"/>
      <c r="BH28" s="1376"/>
    </row>
    <row r="29" spans="2:60" ht="6" customHeight="1">
      <c r="C29" s="1319"/>
      <c r="M29" s="1319"/>
    </row>
    <row r="30" spans="2:60">
      <c r="C30" s="1319"/>
      <c r="M30" s="1319"/>
    </row>
    <row r="31" spans="2:60" ht="5.45" customHeight="1">
      <c r="C31" s="1319"/>
      <c r="M31" s="1319"/>
    </row>
    <row r="32" spans="2:60">
      <c r="C32" s="1319"/>
      <c r="M32" s="1319"/>
    </row>
    <row r="33" spans="2:62" s="537" customFormat="1">
      <c r="B33" s="1319"/>
      <c r="P33" s="1319"/>
      <c r="Q33" s="1320"/>
      <c r="R33" s="1319"/>
      <c r="AA33" s="1319"/>
      <c r="AJ33" s="1319"/>
      <c r="AS33" s="1319"/>
      <c r="AW33" s="1260"/>
      <c r="AX33" s="1260"/>
      <c r="AY33" s="1260"/>
      <c r="AZ33" s="1260"/>
      <c r="BA33" s="1260"/>
      <c r="BB33" s="1260"/>
      <c r="BC33" s="1260"/>
      <c r="BD33" s="1260"/>
      <c r="BE33" s="1260"/>
      <c r="BF33" s="1260"/>
      <c r="BG33" s="1260"/>
      <c r="BH33" s="1260"/>
      <c r="BI33" s="1260"/>
      <c r="BJ33" s="1260"/>
    </row>
    <row r="34" spans="2:62" s="537" customFormat="1">
      <c r="B34" s="1319"/>
      <c r="P34" s="1319"/>
      <c r="Q34" s="1320"/>
      <c r="R34" s="1319"/>
      <c r="AA34" s="1319"/>
      <c r="AJ34" s="1319"/>
      <c r="AS34" s="1319"/>
      <c r="AW34" s="1260"/>
      <c r="AX34" s="1260"/>
      <c r="AY34" s="1260"/>
      <c r="AZ34" s="1260"/>
      <c r="BA34" s="1260"/>
      <c r="BB34" s="1260"/>
      <c r="BC34" s="1260"/>
      <c r="BD34" s="1260"/>
      <c r="BE34" s="1260"/>
      <c r="BF34" s="1260"/>
      <c r="BG34" s="1260"/>
      <c r="BH34" s="1260"/>
      <c r="BI34" s="1260"/>
      <c r="BJ34" s="1260"/>
    </row>
    <row r="35" spans="2:62" s="537" customFormat="1">
      <c r="B35" s="1319"/>
      <c r="P35" s="1319"/>
      <c r="Q35" s="1320"/>
      <c r="R35" s="1319"/>
      <c r="AA35" s="1319"/>
      <c r="AJ35" s="1319"/>
      <c r="AS35" s="1319"/>
      <c r="AW35" s="1260"/>
      <c r="AX35" s="1260"/>
      <c r="AY35" s="1260"/>
      <c r="AZ35" s="1260"/>
      <c r="BA35" s="1260"/>
      <c r="BB35" s="1260"/>
      <c r="BC35" s="1260"/>
      <c r="BD35" s="1260"/>
      <c r="BE35" s="1260"/>
      <c r="BF35" s="1260"/>
      <c r="BG35" s="1260"/>
      <c r="BH35" s="1260"/>
      <c r="BI35" s="1260"/>
      <c r="BJ35" s="1260"/>
    </row>
    <row r="36" spans="2:62" s="537" customFormat="1">
      <c r="B36" s="1319"/>
      <c r="P36" s="1319"/>
      <c r="Q36" s="1320"/>
      <c r="R36" s="1319"/>
      <c r="AA36" s="1319"/>
      <c r="AJ36" s="1319"/>
      <c r="AS36" s="1319"/>
      <c r="AW36" s="1260"/>
      <c r="AX36" s="1260"/>
      <c r="AY36" s="1260"/>
      <c r="AZ36" s="1260"/>
      <c r="BA36" s="1260"/>
      <c r="BB36" s="1260"/>
      <c r="BC36" s="1260"/>
      <c r="BD36" s="1260"/>
      <c r="BE36" s="1260"/>
      <c r="BF36" s="1260"/>
      <c r="BG36" s="1260"/>
      <c r="BH36" s="1260"/>
      <c r="BI36" s="1260"/>
      <c r="BJ36" s="1260"/>
    </row>
  </sheetData>
  <mergeCells count="1">
    <mergeCell ref="Q21:Q23"/>
  </mergeCells>
  <dataValidations count="2">
    <dataValidation type="list" allowBlank="1" showInputMessage="1" showErrorMessage="1" sqref="AW13" xr:uid="{5086856D-28B5-488A-AAF3-38B6D7220BB5}">
      <formula1>$C$13:$C$16</formula1>
    </dataValidation>
    <dataValidation type="list" allowBlank="1" showInputMessage="1" showErrorMessage="1" sqref="AW7" xr:uid="{00E59492-2E2A-4A88-BC19-3511A9FAE279}">
      <formula1>$C$7:$C$10</formula1>
    </dataValidation>
  </dataValidations>
  <printOptions horizontalCentered="1" verticalCentered="1"/>
  <pageMargins left="0.7" right="0.7" top="0.75" bottom="0.75" header="0.3" footer="0.3"/>
  <pageSetup scale="14" orientation="portrait" r:id="rId1"/>
  <customProperties>
    <customPr name="Qube.Worksheet.Visibility" r:id="rId2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C6F3-90F3-49DB-A91B-2A73B042A94B}">
  <sheetPr codeName="Sheet18">
    <tabColor theme="3"/>
    <pageSetUpPr autoPageBreaks="0" fitToPage="1"/>
  </sheetPr>
  <dimension ref="B1:BK146"/>
  <sheetViews>
    <sheetView showGridLines="0" topLeftCell="AJ65" zoomScale="110" zoomScaleNormal="110" workbookViewId="0">
      <selection activeCell="AA56" sqref="AA56"/>
    </sheetView>
  </sheetViews>
  <sheetFormatPr defaultColWidth="8" defaultRowHeight="12" outlineLevelRow="1" outlineLevelCol="2"/>
  <cols>
    <col min="1" max="1" width="1.25" style="782" customWidth="1"/>
    <col min="2" max="2" width="41.875" style="83" bestFit="1" customWidth="1"/>
    <col min="3" max="3" width="2.375" style="83" customWidth="1"/>
    <col min="4" max="4" width="25.875" style="83" bestFit="1" customWidth="1"/>
    <col min="5" max="8" width="8.625" style="83" hidden="1" customWidth="1" outlineLevel="1"/>
    <col min="9" max="9" width="8.625" style="83" customWidth="1" collapsed="1"/>
    <col min="10" max="12" width="8.625" style="83" hidden="1" customWidth="1" outlineLevel="1"/>
    <col min="13" max="13" width="8.625" style="83" customWidth="1" collapsed="1"/>
    <col min="14" max="14" width="8.625" style="83" customWidth="1"/>
    <col min="15" max="15" width="0.875" style="84" customWidth="1"/>
    <col min="16" max="16" width="8.625" style="84" customWidth="1"/>
    <col min="17" max="17" width="8.625" style="429" customWidth="1"/>
    <col min="18" max="18" width="9.125" style="429" hidden="1" customWidth="1"/>
    <col min="19" max="19" width="9.125" style="83" customWidth="1" outlineLevel="1"/>
    <col min="20" max="20" width="9.125" style="427" customWidth="1" outlineLevel="1"/>
    <col min="21" max="21" width="9.125" style="427" hidden="1" customWidth="1" outlineLevel="1"/>
    <col min="22" max="22" width="0.75" style="428" customWidth="1"/>
    <col min="23" max="23" width="9.125" style="83" hidden="1" customWidth="1" outlineLevel="2"/>
    <col min="24" max="25" width="8.625" style="83" hidden="1" customWidth="1" outlineLevel="2"/>
    <col min="26" max="26" width="8.625" style="83" customWidth="1" outlineLevel="1" collapsed="1"/>
    <col min="27" max="27" width="8.625" style="83" customWidth="1" outlineLevel="1"/>
    <col min="28" max="28" width="8.625" style="83" hidden="1" customWidth="1" outlineLevel="2"/>
    <col min="29" max="29" width="8.625" style="83" customWidth="1" outlineLevel="1" collapsed="1"/>
    <col min="30" max="30" width="1.5" style="782" hidden="1" customWidth="1" outlineLevel="1"/>
    <col min="31" max="32" width="8" style="782" hidden="1" customWidth="1" outlineLevel="1"/>
    <col min="33" max="33" width="13.75" style="782" bestFit="1" customWidth="1" outlineLevel="1"/>
    <col min="34" max="34" width="2.625" style="782" customWidth="1" outlineLevel="1"/>
    <col min="35" max="35" width="8" style="782" customWidth="1" outlineLevel="1"/>
    <col min="36" max="36" width="8.75" style="782" bestFit="1" customWidth="1" outlineLevel="1"/>
    <col min="37" max="37" width="15.5" style="427" customWidth="1"/>
    <col min="38" max="38" width="8" style="428" customWidth="1"/>
    <col min="39" max="39" width="43.375" style="428" bestFit="1" customWidth="1"/>
    <col min="40" max="40" width="2.875" style="428" customWidth="1"/>
    <col min="41" max="41" width="26.375" style="428" customWidth="1"/>
    <col min="42" max="42" width="0.875" style="428" customWidth="1"/>
    <col min="43" max="43" width="8" style="428" customWidth="1"/>
    <col min="44" max="44" width="0.875" style="428" customWidth="1"/>
    <col min="45" max="45" width="8.25" style="428" customWidth="1"/>
    <col min="46" max="46" width="11" style="428" hidden="1" customWidth="1"/>
    <col min="47" max="47" width="10.375" style="428" customWidth="1"/>
    <col min="48" max="48" width="9.75" style="428" hidden="1" customWidth="1"/>
    <col min="49" max="51" width="8" style="428" customWidth="1"/>
    <col min="52" max="52" width="0.875" style="428" customWidth="1"/>
    <col min="53" max="54" width="20.5" style="428" customWidth="1"/>
    <col min="55" max="55" width="2" style="428" customWidth="1"/>
    <col min="56" max="56" width="8" style="428" hidden="1" customWidth="1"/>
    <col min="57" max="57" width="0" style="428" hidden="1" customWidth="1"/>
    <col min="58" max="58" width="7.75" style="428" customWidth="1"/>
    <col min="59" max="61" width="8" style="782"/>
    <col min="62" max="62" width="18" style="782" bestFit="1" customWidth="1"/>
    <col min="63" max="16384" width="8" style="782"/>
  </cols>
  <sheetData>
    <row r="1" spans="2:58" ht="6" customHeight="1"/>
    <row r="2" spans="2:58" ht="14.25">
      <c r="B2" s="892">
        <v>2025</v>
      </c>
      <c r="M2" s="1272" t="s">
        <v>1735</v>
      </c>
      <c r="P2" s="83"/>
    </row>
    <row r="3" spans="2:58">
      <c r="B3" s="893" t="s">
        <v>1730</v>
      </c>
    </row>
    <row r="4" spans="2:58">
      <c r="B4" s="894" t="str" cm="1">
        <f t="array" ref="B4">_xlfn.IFS(OR(B3="1Q",B3="2Q"),"1H",OR(B3="3Q",B3="4Q"),"2H")</f>
        <v>2H</v>
      </c>
    </row>
    <row r="6" spans="2:58">
      <c r="D6" s="382"/>
      <c r="O6" s="83"/>
      <c r="Q6" s="89"/>
      <c r="R6" s="960"/>
      <c r="T6" s="83"/>
      <c r="U6" s="83"/>
      <c r="V6" s="83"/>
      <c r="AK6" s="419"/>
      <c r="AL6" s="782"/>
      <c r="AM6" s="782"/>
      <c r="AN6" s="782"/>
      <c r="AO6" s="782"/>
      <c r="AP6" s="782"/>
      <c r="AQ6" s="782"/>
      <c r="AR6" s="782"/>
      <c r="AS6" s="782"/>
      <c r="AT6" s="782"/>
      <c r="AU6" s="782"/>
      <c r="AV6" s="782"/>
      <c r="AW6" s="782"/>
      <c r="AX6" s="782"/>
      <c r="AY6" s="782"/>
      <c r="AZ6" s="782"/>
      <c r="BA6" s="782"/>
      <c r="BB6" s="782"/>
      <c r="BC6" s="782"/>
      <c r="BD6" s="782"/>
      <c r="BE6" s="782"/>
      <c r="BF6" s="782"/>
    </row>
    <row r="7" spans="2:58">
      <c r="D7" s="382"/>
      <c r="O7" s="83"/>
      <c r="Q7" s="83"/>
      <c r="R7" s="83"/>
      <c r="T7" s="83"/>
      <c r="U7" s="83"/>
      <c r="V7" s="83"/>
      <c r="X7" s="84"/>
      <c r="AK7" s="419"/>
      <c r="AL7" s="782"/>
      <c r="AM7" s="782"/>
      <c r="AN7" s="782"/>
      <c r="AO7" s="782"/>
      <c r="AP7" s="782"/>
      <c r="AQ7" s="782"/>
      <c r="AR7" s="782"/>
      <c r="AS7" s="782"/>
      <c r="AT7" s="782"/>
      <c r="AU7" s="782"/>
      <c r="AV7" s="782"/>
      <c r="AW7" s="782"/>
      <c r="AX7" s="782"/>
      <c r="AY7" s="782"/>
      <c r="AZ7" s="782"/>
      <c r="BA7" s="782"/>
      <c r="BB7" s="782"/>
      <c r="BC7" s="782"/>
      <c r="BD7" s="782"/>
      <c r="BE7" s="782"/>
      <c r="BF7" s="782"/>
    </row>
    <row r="8" spans="2:58">
      <c r="E8" s="383" t="str">
        <f>LEFT(E11,2)</f>
        <v>1Q</v>
      </c>
      <c r="F8" s="383" t="str">
        <f t="shared" ref="F8:H8" si="0">LEFT(F11,2)</f>
        <v>2Q</v>
      </c>
      <c r="G8" s="383" t="str">
        <f t="shared" si="0"/>
        <v>3Q</v>
      </c>
      <c r="H8" s="383" t="str">
        <f t="shared" si="0"/>
        <v>4Q</v>
      </c>
      <c r="I8" s="383" t="str" cm="1">
        <f t="array" ref="I8">_xlfn.IFS(VALUE(LEFT(J8,1))=1,"4Q",VALUE(LEFT(J8,1))=2,"1Q",VALUE(LEFT(J8,1))=3,"2Q",VALUE(LEFT(J8,1))=4,"3Q")</f>
        <v>3Q</v>
      </c>
      <c r="J8" s="383" t="str" cm="1">
        <f t="array" ref="J8">_xlfn.IFS(VALUE(LEFT(K8,1))=1,"4Q",VALUE(LEFT(K8,1))=2,"1Q",VALUE(LEFT(K8,1))=3,"2Q",VALUE(LEFT(K8,1))=4,"3Q")</f>
        <v>4Q</v>
      </c>
      <c r="K8" s="383" t="str" cm="1">
        <f t="array" ref="K8">_xlfn.IFS(VALUE(LEFT(L8,1))=1,"4Q",VALUE(LEFT(L8,1))=2,"1Q",VALUE(LEFT(L8,1))=3,"2Q",VALUE(LEFT(L8,1))=4,"3Q")</f>
        <v>1Q</v>
      </c>
      <c r="L8" s="383" t="str" cm="1">
        <f t="array" ref="L8">_xlfn.IFS(VALUE(LEFT(M8,1))=1,"4Q",VALUE(LEFT(M8,1))=2,"1Q",VALUE(LEFT(M8,1))=3,"2Q",VALUE(LEFT(M8,1))=4,"3Q")</f>
        <v>2Q</v>
      </c>
      <c r="M8" s="383" t="str">
        <f>B3</f>
        <v>3Q</v>
      </c>
      <c r="N8" s="383"/>
      <c r="O8" s="85"/>
      <c r="P8" s="383" t="str">
        <f t="shared" ref="P8" si="1">LEFT(P11,2)</f>
        <v>3Q</v>
      </c>
      <c r="Q8" s="384"/>
      <c r="R8" s="384"/>
      <c r="S8" s="383" t="str">
        <f t="shared" ref="S8" si="2">LEFT(S11,2)</f>
        <v>3Q</v>
      </c>
      <c r="T8" s="385"/>
      <c r="U8" s="384"/>
      <c r="V8" s="386"/>
      <c r="W8" s="383"/>
      <c r="X8" s="383"/>
      <c r="Y8" s="383"/>
      <c r="Z8" s="383" t="str">
        <f>AB8</f>
        <v>4Q</v>
      </c>
      <c r="AA8" s="383" t="str">
        <f>AB8</f>
        <v>4Q</v>
      </c>
      <c r="AB8" s="383" t="s">
        <v>1492</v>
      </c>
      <c r="AC8" s="383"/>
      <c r="AK8" s="419"/>
      <c r="AL8" s="782"/>
      <c r="AM8" s="782"/>
      <c r="AN8" s="782"/>
      <c r="AO8" s="782"/>
      <c r="AP8" s="782"/>
      <c r="AQ8" s="782"/>
      <c r="AR8" s="782"/>
      <c r="AS8" s="782"/>
      <c r="AT8" s="782"/>
      <c r="AU8" s="782"/>
      <c r="AV8" s="782"/>
      <c r="AW8" s="782"/>
      <c r="AX8" s="782"/>
      <c r="AY8" s="782"/>
      <c r="AZ8" s="782"/>
      <c r="BA8" s="782"/>
      <c r="BB8" s="782"/>
      <c r="BC8" s="782"/>
      <c r="BD8" s="782"/>
      <c r="BE8" s="782"/>
      <c r="BF8" s="782"/>
    </row>
    <row r="9" spans="2:58" ht="3" customHeight="1">
      <c r="E9" s="110"/>
      <c r="F9" s="110"/>
      <c r="G9" s="110"/>
      <c r="H9" s="110"/>
      <c r="I9" s="110"/>
      <c r="J9" s="110"/>
      <c r="K9" s="110"/>
      <c r="L9" s="110"/>
      <c r="M9" s="110"/>
      <c r="N9" s="384"/>
      <c r="O9" s="85"/>
      <c r="P9" s="387"/>
      <c r="Q9" s="388"/>
      <c r="R9" s="384"/>
      <c r="S9" s="110"/>
      <c r="T9" s="388"/>
      <c r="U9" s="384"/>
      <c r="V9" s="386"/>
      <c r="W9" s="110"/>
      <c r="X9" s="110"/>
      <c r="Y9" s="110"/>
      <c r="Z9" s="110"/>
      <c r="AA9" s="110"/>
      <c r="AB9" s="110"/>
      <c r="AC9" s="110"/>
      <c r="AI9" s="798"/>
      <c r="AJ9" s="799"/>
      <c r="AK9" s="419"/>
      <c r="AL9" s="782"/>
      <c r="AM9" s="782"/>
      <c r="AN9" s="782"/>
      <c r="AO9" s="782"/>
      <c r="AP9" s="782"/>
      <c r="AQ9" s="782"/>
      <c r="AR9" s="782"/>
      <c r="AS9" s="782"/>
      <c r="AT9" s="782"/>
      <c r="AU9" s="782"/>
      <c r="AV9" s="782"/>
      <c r="AW9" s="782"/>
      <c r="AX9" s="782"/>
      <c r="AY9" s="782"/>
      <c r="AZ9" s="782"/>
      <c r="BA9" s="782"/>
      <c r="BB9" s="782"/>
      <c r="BC9" s="782"/>
      <c r="BD9" s="782"/>
      <c r="BE9" s="782"/>
      <c r="BF9" s="782"/>
    </row>
    <row r="10" spans="2:58" ht="17.100000000000001" customHeight="1">
      <c r="B10" s="389" t="s">
        <v>1326</v>
      </c>
      <c r="D10" s="810" t="s">
        <v>732</v>
      </c>
      <c r="E10" s="482" t="s">
        <v>740</v>
      </c>
      <c r="F10" s="482" t="s">
        <v>740</v>
      </c>
      <c r="G10" s="482" t="s">
        <v>740</v>
      </c>
      <c r="H10" s="482" t="s">
        <v>740</v>
      </c>
      <c r="I10" s="119" t="s">
        <v>740</v>
      </c>
      <c r="J10" s="119" t="s">
        <v>740</v>
      </c>
      <c r="K10" s="119" t="s">
        <v>740</v>
      </c>
      <c r="L10" s="119" t="s">
        <v>740</v>
      </c>
      <c r="M10" s="390" t="s">
        <v>740</v>
      </c>
      <c r="N10" s="1427" t="s">
        <v>1358</v>
      </c>
      <c r="O10" s="85"/>
      <c r="P10" s="505" t="s">
        <v>1345</v>
      </c>
      <c r="Q10" s="544" t="s">
        <v>1376</v>
      </c>
      <c r="R10" s="920"/>
      <c r="S10" s="505" t="s">
        <v>1344</v>
      </c>
      <c r="T10" s="544" t="s">
        <v>1376</v>
      </c>
      <c r="U10" s="676" t="s">
        <v>1378</v>
      </c>
      <c r="V10" s="391"/>
      <c r="W10" s="390" t="s">
        <v>740</v>
      </c>
      <c r="X10" s="119" t="s">
        <v>1345</v>
      </c>
      <c r="Y10" s="119" t="s">
        <v>1344</v>
      </c>
      <c r="Z10" s="1429" t="str">
        <f>"Implied
Cons. 
"&amp;Z8&amp;" "&amp;B2&amp;"E"</f>
        <v>Implied
Cons. 
4Q 2025E</v>
      </c>
      <c r="AA10" s="1429" t="str">
        <f>"Implied
GSe 
"&amp;Z8&amp;" "&amp;B2&amp;"E"</f>
        <v>Implied
GSe 
4Q 2025E</v>
      </c>
      <c r="AB10" s="119" t="s">
        <v>1344</v>
      </c>
      <c r="AC10" s="770" t="s">
        <v>1378</v>
      </c>
      <c r="AE10" s="676" t="s">
        <v>1167</v>
      </c>
      <c r="AF10" s="676" t="s">
        <v>1167</v>
      </c>
      <c r="AG10" s="1268" t="s">
        <v>1732</v>
      </c>
      <c r="AI10" s="800" t="s">
        <v>1167</v>
      </c>
      <c r="AJ10" s="801" t="s">
        <v>1426</v>
      </c>
      <c r="AK10" s="419"/>
      <c r="AL10" s="782"/>
      <c r="AM10" s="782"/>
      <c r="AN10" s="782"/>
      <c r="AO10" s="782"/>
      <c r="AP10" s="782"/>
      <c r="AQ10" s="782"/>
      <c r="AR10" s="782"/>
      <c r="AS10" s="782"/>
      <c r="AT10" s="782"/>
      <c r="AU10" s="782"/>
      <c r="AV10" s="782"/>
      <c r="AW10" s="782"/>
      <c r="AX10" s="782"/>
      <c r="AY10" s="782"/>
      <c r="AZ10" s="782"/>
      <c r="BA10" s="782"/>
      <c r="BB10" s="782"/>
      <c r="BC10" s="782"/>
      <c r="BD10" s="782"/>
      <c r="BE10" s="782"/>
      <c r="BF10" s="782"/>
    </row>
    <row r="11" spans="2:58" ht="20.25" customHeight="1">
      <c r="D11" s="811" t="s">
        <v>1164</v>
      </c>
      <c r="E11" s="779" t="s">
        <v>1216</v>
      </c>
      <c r="F11" s="779" t="s">
        <v>1217</v>
      </c>
      <c r="G11" s="779" t="s">
        <v>1218</v>
      </c>
      <c r="H11" s="779" t="s">
        <v>1193</v>
      </c>
      <c r="I11" s="778" t="str" cm="1">
        <f t="array" ref="I11">I8&amp;" "&amp;_xlfn.IFS(AND(VALUE(LEFT(I8,1))&gt;VALUE(LEFT(J8,1)),VALUE(LEFT(J8,1))=1),$B$2-1,AND(VALUE(LEFT(I8,1))&lt;VALUE(LEFT(J8,1)),VALUE(LEFT(J8,1))&lt;&gt;1),VALUE(RIGHT(J11,4)))</f>
        <v>3Q 2024</v>
      </c>
      <c r="J11" s="778" t="str" cm="1">
        <f t="array" ref="J11">J8&amp;" "&amp;_xlfn.IFS(AND(VALUE(LEFT(J8,1))&gt;VALUE(LEFT(K8,1)),VALUE(LEFT(K8,1))=1),$B$2-1,AND(VALUE(LEFT(J8,1))&lt;VALUE(LEFT(K8,1)),VALUE(LEFT(K8,1))&lt;&gt;1),VALUE(RIGHT(K11,4)))</f>
        <v>4Q 2024</v>
      </c>
      <c r="K11" s="778" t="str" cm="1">
        <f t="array" ref="K11">K8&amp;" "&amp;_xlfn.IFS(AND(VALUE(LEFT(K8,1))&gt;VALUE(LEFT(L8,1)),VALUE(LEFT(L8,1))=1),$B$2-1,AND(VALUE(LEFT(K8,1))&lt;VALUE(LEFT(L8,1)),VALUE(LEFT(L8,1))&lt;&gt;1),VALUE(RIGHT(L11,4)))</f>
        <v>1Q 2025</v>
      </c>
      <c r="L11" s="778" t="str" cm="1">
        <f t="array" ref="L11">L8&amp;" "&amp;_xlfn.IFS(AND(VALUE(LEFT(L8,1))&gt;VALUE(LEFT(M8,1)),VALUE(LEFT(M8,1))=1),$B$2-1,AND(VALUE(LEFT(L8,1))&lt;VALUE(LEFT(M8,1)),VALUE(LEFT(M8,1))&lt;&gt;1),VALUE(RIGHT(M11,4)))</f>
        <v>2Q 2025</v>
      </c>
      <c r="M11" s="777" t="str">
        <f>B3&amp;" "&amp;B2</f>
        <v>3Q 2025</v>
      </c>
      <c r="N11" s="1427"/>
      <c r="O11" s="85"/>
      <c r="P11" s="776" t="str">
        <f>B3&amp;" "&amp;B2&amp;"E"</f>
        <v>3Q 2025E</v>
      </c>
      <c r="Q11" s="780" t="s">
        <v>1355</v>
      </c>
      <c r="R11" s="921"/>
      <c r="S11" s="776" t="str">
        <f>B3&amp;" "&amp;B2&amp;"E"</f>
        <v>3Q 2025E</v>
      </c>
      <c r="T11" s="780" t="s">
        <v>1377</v>
      </c>
      <c r="U11" s="781" t="s">
        <v>1355</v>
      </c>
      <c r="V11" s="391"/>
      <c r="W11" s="777" t="str">
        <f>"9M "&amp;B2</f>
        <v>9M 2025</v>
      </c>
      <c r="X11" s="778" t="str">
        <f>B2&amp;"E"</f>
        <v>2025E</v>
      </c>
      <c r="Y11" s="778" t="str">
        <f>B2&amp;"E"</f>
        <v>2025E</v>
      </c>
      <c r="Z11" s="1429"/>
      <c r="AA11" s="1429"/>
      <c r="AB11" s="778" t="str">
        <f>AB8&amp;" "&amp;B2&amp;"E"</f>
        <v>4Q 2025E</v>
      </c>
      <c r="AC11" s="775" t="s">
        <v>1355</v>
      </c>
      <c r="AE11" s="781" t="s">
        <v>1427</v>
      </c>
      <c r="AF11" s="781" t="s">
        <v>1428</v>
      </c>
      <c r="AG11" s="1269" t="s">
        <v>1733</v>
      </c>
      <c r="AI11" s="800">
        <f>B2</f>
        <v>2025</v>
      </c>
      <c r="AJ11" s="801" t="str">
        <f>AA8&amp;" "&amp;B2</f>
        <v>4Q 2025</v>
      </c>
      <c r="AK11" s="419"/>
      <c r="AL11" s="782"/>
      <c r="AM11" s="782"/>
      <c r="AN11" s="782"/>
      <c r="AO11" s="782"/>
      <c r="AP11" s="782"/>
      <c r="AQ11" s="782"/>
      <c r="AR11" s="782"/>
      <c r="AS11" s="782"/>
      <c r="AT11" s="782"/>
      <c r="AU11" s="782"/>
      <c r="AV11" s="782"/>
      <c r="AW11" s="782"/>
      <c r="AX11" s="782"/>
      <c r="AY11" s="782"/>
      <c r="AZ11" s="782"/>
      <c r="BA11" s="782"/>
      <c r="BB11" s="782"/>
      <c r="BC11" s="782"/>
      <c r="BD11" s="782"/>
      <c r="BE11" s="782"/>
      <c r="BF11" s="782"/>
    </row>
    <row r="12" spans="2:58" ht="6.75" customHeight="1">
      <c r="B12" s="392"/>
      <c r="C12" s="392"/>
      <c r="D12" s="499"/>
      <c r="E12" s="700"/>
      <c r="F12" s="700"/>
      <c r="G12" s="700"/>
      <c r="H12" s="700"/>
      <c r="I12" s="400"/>
      <c r="J12" s="400"/>
      <c r="K12" s="400"/>
      <c r="L12" s="400"/>
      <c r="M12" s="394"/>
      <c r="N12" s="402"/>
      <c r="O12" s="397"/>
      <c r="P12" s="400"/>
      <c r="Q12" s="683"/>
      <c r="R12" s="402"/>
      <c r="S12" s="400"/>
      <c r="T12" s="728"/>
      <c r="U12" s="726"/>
      <c r="V12" s="403"/>
      <c r="W12" s="400"/>
      <c r="X12" s="400"/>
      <c r="Y12" s="400"/>
      <c r="Z12" s="400"/>
      <c r="AA12" s="400"/>
      <c r="AB12" s="400"/>
      <c r="AC12" s="772"/>
      <c r="AE12" s="137"/>
      <c r="AF12" s="137"/>
      <c r="AG12" s="137"/>
      <c r="AI12" s="802"/>
      <c r="AJ12" s="807"/>
      <c r="AK12" s="419"/>
      <c r="AL12" s="782"/>
      <c r="AM12" s="782"/>
      <c r="AN12" s="782"/>
      <c r="AO12" s="782"/>
      <c r="AP12" s="782"/>
      <c r="AQ12" s="782"/>
      <c r="AR12" s="782"/>
      <c r="AS12" s="782"/>
      <c r="AT12" s="782"/>
      <c r="AU12" s="782"/>
      <c r="AV12" s="782"/>
      <c r="AW12" s="782"/>
      <c r="AX12" s="782"/>
      <c r="AY12" s="782"/>
      <c r="AZ12" s="782"/>
      <c r="BA12" s="782"/>
      <c r="BB12" s="782"/>
      <c r="BC12" s="782"/>
      <c r="BD12" s="782"/>
      <c r="BE12" s="782"/>
      <c r="BF12" s="782"/>
    </row>
    <row r="13" spans="2:58" ht="15" customHeight="1">
      <c r="B13" s="392"/>
      <c r="C13" s="392"/>
      <c r="D13" s="498" t="s">
        <v>1074</v>
      </c>
      <c r="E13" s="699"/>
      <c r="F13" s="699"/>
      <c r="G13" s="699"/>
      <c r="H13" s="699"/>
      <c r="I13" s="393"/>
      <c r="J13" s="393"/>
      <c r="K13" s="393"/>
      <c r="L13" s="393"/>
      <c r="M13" s="394"/>
      <c r="N13" s="672"/>
      <c r="O13" s="397"/>
      <c r="P13" s="395"/>
      <c r="Q13" s="521"/>
      <c r="R13" s="672"/>
      <c r="S13" s="393"/>
      <c r="T13" s="521"/>
      <c r="U13" s="672"/>
      <c r="V13" s="398"/>
      <c r="W13" s="393"/>
      <c r="X13" s="393"/>
      <c r="Y13" s="393"/>
      <c r="Z13" s="393"/>
      <c r="AA13" s="393"/>
      <c r="AB13" s="393"/>
      <c r="AC13" s="771"/>
      <c r="AE13" s="137"/>
      <c r="AF13" s="137"/>
      <c r="AG13" s="137"/>
      <c r="AI13" s="802"/>
      <c r="AJ13" s="807"/>
      <c r="AK13" s="419"/>
      <c r="AL13" s="782"/>
      <c r="AM13" s="782"/>
      <c r="AN13" s="782"/>
      <c r="AO13" s="782"/>
      <c r="AP13" s="782"/>
      <c r="AQ13" s="782"/>
      <c r="AR13" s="782"/>
      <c r="AS13" s="782"/>
      <c r="AT13" s="782"/>
      <c r="AU13" s="782"/>
      <c r="AV13" s="782"/>
      <c r="AW13" s="782"/>
      <c r="AX13" s="782"/>
      <c r="AY13" s="782"/>
      <c r="AZ13" s="782"/>
      <c r="BA13" s="782"/>
      <c r="BB13" s="782"/>
      <c r="BC13" s="782"/>
      <c r="BD13" s="782"/>
      <c r="BE13" s="782"/>
      <c r="BF13" s="782"/>
    </row>
    <row r="14" spans="2:58" ht="15" customHeight="1">
      <c r="B14" s="392"/>
      <c r="C14" s="392"/>
      <c r="D14" s="499" t="s">
        <v>1172</v>
      </c>
      <c r="E14" s="700">
        <v>2771</v>
      </c>
      <c r="F14" s="700">
        <v>3131</v>
      </c>
      <c r="G14" s="700">
        <v>2987</v>
      </c>
      <c r="H14" s="700">
        <v>3156</v>
      </c>
      <c r="I14" s="400">
        <f>'Interim (New)'!DE6</f>
        <v>3339</v>
      </c>
      <c r="J14" s="400" t="e">
        <v>#N/A</v>
      </c>
      <c r="K14" s="400">
        <f>'Interim (New)'!DJ6</f>
        <v>3684</v>
      </c>
      <c r="L14" s="400">
        <f>'Interim (New)'!DK6</f>
        <v>3857</v>
      </c>
      <c r="M14" s="394">
        <v>4044</v>
      </c>
      <c r="N14" s="402">
        <f>M14/I14-1</f>
        <v>0.21114106019766399</v>
      </c>
      <c r="O14" s="397"/>
      <c r="P14" s="400">
        <v>3820</v>
      </c>
      <c r="Q14" s="683">
        <f>M14/P14-1</f>
        <v>5.8638743455497355E-2</v>
      </c>
      <c r="R14" s="402"/>
      <c r="S14" s="400">
        <f>'Interim (New)'!DM6</f>
        <v>4044</v>
      </c>
      <c r="T14" s="728">
        <f>M14/S14-1</f>
        <v>0</v>
      </c>
      <c r="U14" s="726">
        <f>S14/P14-1</f>
        <v>5.8638743455497355E-2</v>
      </c>
      <c r="V14" s="403"/>
      <c r="W14" s="400">
        <f>IF(B3&lt;&gt;"3Q","n.a.",SUM(K14:M14))</f>
        <v>11585</v>
      </c>
      <c r="X14" s="400">
        <v>15437</v>
      </c>
      <c r="Y14" s="400">
        <f>'Interim (New)'!DQ6</f>
        <v>15834.377060424713</v>
      </c>
      <c r="Z14" s="400">
        <f>IF(B3&lt;&gt;"3Q","n.a.",X14-W14)</f>
        <v>3852</v>
      </c>
      <c r="AA14" s="400">
        <f>IF(B3&lt;&gt;"3Q","n.a.",Y14-W14)</f>
        <v>4249.3770604247129</v>
      </c>
      <c r="AB14" s="400" t="e">
        <v>#N/A</v>
      </c>
      <c r="AC14" s="772">
        <f>IF(B3&lt;&gt;"3Q","n.a.",AA14/Z14-1)</f>
        <v>0.10316123063985283</v>
      </c>
      <c r="AE14" s="137"/>
      <c r="AF14" s="137"/>
      <c r="AG14" s="137"/>
      <c r="AI14" s="802"/>
      <c r="AJ14" s="807"/>
      <c r="AK14" s="419"/>
      <c r="AL14" s="19"/>
      <c r="AM14" s="782"/>
      <c r="AN14" s="782"/>
      <c r="AO14" s="782"/>
      <c r="AP14" s="782"/>
      <c r="AQ14" s="782"/>
      <c r="AR14" s="782"/>
      <c r="AS14" s="782"/>
      <c r="AT14" s="782"/>
      <c r="AU14" s="782"/>
      <c r="AV14" s="782"/>
      <c r="AW14" s="782"/>
      <c r="AX14" s="782"/>
      <c r="AY14" s="782"/>
      <c r="AZ14" s="782"/>
      <c r="BA14" s="782"/>
      <c r="BB14" s="782"/>
      <c r="BC14" s="782"/>
      <c r="BD14" s="782"/>
      <c r="BE14" s="782"/>
      <c r="BF14" s="782"/>
    </row>
    <row r="15" spans="2:58" ht="15" customHeight="1">
      <c r="B15" s="392"/>
      <c r="C15" s="392"/>
      <c r="D15" s="499" t="s">
        <v>1174</v>
      </c>
      <c r="E15" s="700">
        <v>2201</v>
      </c>
      <c r="F15" s="700">
        <v>2352</v>
      </c>
      <c r="G15" s="700">
        <v>2298</v>
      </c>
      <c r="H15" s="700">
        <v>2405</v>
      </c>
      <c r="I15" s="400">
        <f>'Interim (New)'!DE10</f>
        <v>2527</v>
      </c>
      <c r="J15" s="400" t="e">
        <v>#N/A</v>
      </c>
      <c r="K15" s="400">
        <f>'Interim (New)'!DJ10</f>
        <v>2783</v>
      </c>
      <c r="L15" s="400">
        <f>'Interim (New)'!DK10</f>
        <v>2826</v>
      </c>
      <c r="M15" s="394">
        <v>3004</v>
      </c>
      <c r="N15" s="402">
        <f t="shared" ref="N15:N16" si="3">M15/I15-1</f>
        <v>0.18876137712702801</v>
      </c>
      <c r="O15" s="397"/>
      <c r="P15" s="400">
        <v>2912</v>
      </c>
      <c r="Q15" s="683">
        <f>M15/P15-1</f>
        <v>3.1593406593406703E-2</v>
      </c>
      <c r="R15" s="402"/>
      <c r="S15" s="400">
        <f>'Interim (New)'!DM10</f>
        <v>3004</v>
      </c>
      <c r="T15" s="728">
        <f>M15/S15-1</f>
        <v>0</v>
      </c>
      <c r="U15" s="726">
        <f>S15/P15-1</f>
        <v>3.1593406593406703E-2</v>
      </c>
      <c r="V15" s="403"/>
      <c r="W15" s="400">
        <f>IF(B3&lt;&gt;"3Q","n.a.",SUM(K15:M15))</f>
        <v>8613</v>
      </c>
      <c r="X15" s="400">
        <v>12202</v>
      </c>
      <c r="Y15" s="400">
        <f>'Interim (New)'!DQ10</f>
        <v>12288.33155485829</v>
      </c>
      <c r="Z15" s="400">
        <f>IF(B3&lt;&gt;"3Q","n.a.",X15-W15)</f>
        <v>3589</v>
      </c>
      <c r="AA15" s="400">
        <f>IF(B3&lt;&gt;"3Q","n.a.",Y15-W15)</f>
        <v>3675.3315548582905</v>
      </c>
      <c r="AB15" s="400" t="e">
        <v>#N/A</v>
      </c>
      <c r="AC15" s="772">
        <f>IF(B3&lt;&gt;"3Q","n.a.",AA15/Z15-1)</f>
        <v>2.4054487282889614E-2</v>
      </c>
      <c r="AE15" s="137"/>
      <c r="AF15" s="137"/>
      <c r="AG15" s="137"/>
      <c r="AI15" s="802"/>
      <c r="AJ15" s="807"/>
      <c r="AK15" s="419"/>
      <c r="AL15" s="249"/>
      <c r="AM15" s="782"/>
      <c r="AN15" s="782"/>
      <c r="AO15" s="782"/>
      <c r="AP15" s="782"/>
      <c r="AQ15" s="782"/>
      <c r="AR15" s="782"/>
      <c r="AS15" s="782"/>
      <c r="AT15" s="782"/>
      <c r="AU15" s="782"/>
      <c r="AV15" s="782"/>
      <c r="AW15" s="782"/>
      <c r="AX15" s="782"/>
      <c r="AY15" s="782"/>
      <c r="AZ15" s="782"/>
      <c r="BA15" s="782"/>
      <c r="BB15" s="782"/>
      <c r="BC15" s="782"/>
      <c r="BD15" s="782"/>
      <c r="BE15" s="782"/>
      <c r="BF15" s="782"/>
    </row>
    <row r="16" spans="2:58" ht="15" customHeight="1">
      <c r="B16" s="392"/>
      <c r="C16" s="392"/>
      <c r="D16" s="499" t="s">
        <v>1093</v>
      </c>
      <c r="E16" s="700">
        <v>806</v>
      </c>
      <c r="F16" s="700">
        <v>834</v>
      </c>
      <c r="G16" s="700">
        <v>805</v>
      </c>
      <c r="H16" s="700">
        <v>876</v>
      </c>
      <c r="I16" s="400">
        <f>'Interim (New)'!DE11</f>
        <v>771</v>
      </c>
      <c r="J16" s="400" t="e">
        <v>#N/A</v>
      </c>
      <c r="K16" s="400">
        <f>'Interim (New)'!DJ11</f>
        <v>788</v>
      </c>
      <c r="L16" s="400">
        <f>'Interim (New)'!DK11</f>
        <v>828</v>
      </c>
      <c r="M16" s="394">
        <v>802</v>
      </c>
      <c r="N16" s="402">
        <f t="shared" si="3"/>
        <v>4.0207522697795151E-2</v>
      </c>
      <c r="O16" s="397"/>
      <c r="P16" s="400">
        <v>856</v>
      </c>
      <c r="Q16" s="683">
        <f>M16/P16-1</f>
        <v>-6.308411214953269E-2</v>
      </c>
      <c r="R16" s="402"/>
      <c r="S16" s="400">
        <f>'Interim (New)'!DM11</f>
        <v>802</v>
      </c>
      <c r="T16" s="728">
        <f>M16/S16-1</f>
        <v>0</v>
      </c>
      <c r="U16" s="726">
        <f>S16/P16-1</f>
        <v>-6.308411214953269E-2</v>
      </c>
      <c r="V16" s="403"/>
      <c r="W16" s="400">
        <f>IF(B3&lt;&gt;"3Q","n.a.",SUM(K16:M16))</f>
        <v>2418</v>
      </c>
      <c r="X16" s="400">
        <v>3432</v>
      </c>
      <c r="Y16" s="400">
        <f>'Interim (New)'!DQ11</f>
        <v>3423.86</v>
      </c>
      <c r="Z16" s="400">
        <f>IF(B3&lt;&gt;"3Q","n.a.",X16-W16)</f>
        <v>1014</v>
      </c>
      <c r="AA16" s="400">
        <f>IF(B3&lt;&gt;"3Q","n.a.",Y16-W16)</f>
        <v>1005.8600000000001</v>
      </c>
      <c r="AB16" s="400" t="e">
        <v>#N/A</v>
      </c>
      <c r="AC16" s="772">
        <f>IF(B3&lt;&gt;"3Q","n.a.",AA16/Z16-1)</f>
        <v>-8.0276134122286846E-3</v>
      </c>
      <c r="AE16" s="137"/>
      <c r="AF16" s="137"/>
      <c r="AG16" s="137"/>
      <c r="AI16" s="802"/>
      <c r="AJ16" s="807"/>
      <c r="AK16" s="419"/>
      <c r="AL16" s="249"/>
      <c r="AM16" s="782"/>
      <c r="AN16" s="782"/>
      <c r="AO16" s="782"/>
      <c r="AP16" s="782"/>
      <c r="AQ16" s="782"/>
      <c r="AR16" s="782"/>
      <c r="AS16" s="782"/>
      <c r="AT16" s="782"/>
      <c r="AU16" s="782"/>
      <c r="AV16" s="782"/>
      <c r="AW16" s="782"/>
      <c r="AX16" s="782"/>
      <c r="AY16" s="782"/>
      <c r="AZ16" s="782"/>
      <c r="BA16" s="782"/>
      <c r="BB16" s="782"/>
      <c r="BC16" s="782"/>
      <c r="BD16" s="782"/>
      <c r="BE16" s="782"/>
      <c r="BF16" s="782"/>
    </row>
    <row r="17" spans="2:58" ht="15" customHeight="1">
      <c r="B17" s="392"/>
      <c r="C17" s="392"/>
      <c r="D17" s="500" t="s">
        <v>1178</v>
      </c>
      <c r="E17" s="704">
        <v>5781</v>
      </c>
      <c r="F17" s="704">
        <v>6322</v>
      </c>
      <c r="G17" s="704">
        <v>6095</v>
      </c>
      <c r="H17" s="704">
        <v>6443</v>
      </c>
      <c r="I17" s="404">
        <f>'Interim (New)'!DE16</f>
        <v>6639</v>
      </c>
      <c r="J17" s="404" t="e">
        <v>#N/A</v>
      </c>
      <c r="K17" s="404">
        <f>'Interim (New)'!DJ16</f>
        <v>7257</v>
      </c>
      <c r="L17" s="404">
        <f>'Interim (New)'!DK16</f>
        <v>7512</v>
      </c>
      <c r="M17" s="405">
        <v>7852</v>
      </c>
      <c r="N17" s="731">
        <f>M17/I17-1</f>
        <v>0.18270823919264956</v>
      </c>
      <c r="O17" s="406"/>
      <c r="P17" s="404">
        <v>7588</v>
      </c>
      <c r="Q17" s="730">
        <f>M17/P17-1</f>
        <v>3.4791776489193404E-2</v>
      </c>
      <c r="R17" s="731"/>
      <c r="S17" s="404">
        <f>'Interim (New)'!DM16</f>
        <v>7852</v>
      </c>
      <c r="T17" s="729">
        <f>M17/S17-1</f>
        <v>0</v>
      </c>
      <c r="U17" s="727">
        <f>S17/P17-1</f>
        <v>3.4791776489193404E-2</v>
      </c>
      <c r="V17" s="407"/>
      <c r="W17" s="404">
        <f>IF(B3&lt;&gt;"3Q","n.a.",SUM(K17:M17))</f>
        <v>22621</v>
      </c>
      <c r="X17" s="404">
        <v>31163</v>
      </c>
      <c r="Y17" s="404">
        <f>'Interim (New)'!DQ16</f>
        <v>31556.568615283002</v>
      </c>
      <c r="Z17" s="404">
        <f>IF(B3&lt;&gt;"3Q","n.a.",X17-W17)</f>
        <v>8542</v>
      </c>
      <c r="AA17" s="404">
        <f>IF(B3&lt;&gt;"3Q","n.a.",Y17-W17)</f>
        <v>8935.5686152830021</v>
      </c>
      <c r="AB17" s="404" t="e">
        <v>#N/A</v>
      </c>
      <c r="AC17" s="773">
        <f>IF(B3&lt;&gt;"3Q","n.a.",AA17/Z17-1)</f>
        <v>4.6074527661320808E-2</v>
      </c>
      <c r="AE17" s="809">
        <f>IF(B3&lt;&gt;"3Q","n.a.",AJ17/Z17-1)</f>
        <v>-6.6490283306016806E-2</v>
      </c>
      <c r="AF17" s="809">
        <f>IF(B3&lt;&gt;"3Q","n.a.",AJ17/AA17-1)</f>
        <v>-0.10760687502734201</v>
      </c>
      <c r="AG17" s="1270">
        <f>AJ17/1000</f>
        <v>7.9740400000000049</v>
      </c>
      <c r="AI17" s="891">
        <f>BG99</f>
        <v>30595.040000000005</v>
      </c>
      <c r="AJ17" s="808">
        <f>IF(B3&lt;&gt;"3Q","n.a.",AI17-W17)</f>
        <v>7974.0400000000045</v>
      </c>
      <c r="AK17" s="419"/>
      <c r="AL17" s="249"/>
      <c r="AM17" s="782"/>
      <c r="AN17" s="782"/>
      <c r="AO17" s="783"/>
      <c r="AP17" s="783"/>
      <c r="AQ17" s="783"/>
      <c r="AR17" s="783"/>
      <c r="AS17" s="783"/>
      <c r="AT17" s="783"/>
      <c r="AU17" s="783"/>
      <c r="AV17" s="783"/>
      <c r="AW17" s="783"/>
      <c r="AX17" s="783"/>
      <c r="AY17" s="783"/>
      <c r="AZ17" s="783"/>
      <c r="BA17" s="783"/>
      <c r="BB17" s="783"/>
      <c r="BC17" s="783"/>
      <c r="BD17" s="783"/>
      <c r="BE17" s="783"/>
      <c r="BF17" s="783"/>
    </row>
    <row r="18" spans="2:58" ht="6.75" customHeight="1">
      <c r="B18" s="392"/>
      <c r="C18" s="392"/>
      <c r="D18" s="499"/>
      <c r="E18" s="700"/>
      <c r="F18" s="700"/>
      <c r="G18" s="700"/>
      <c r="H18" s="700"/>
      <c r="I18" s="400"/>
      <c r="J18" s="400"/>
      <c r="K18" s="400"/>
      <c r="L18" s="400"/>
      <c r="M18" s="394"/>
      <c r="N18" s="402"/>
      <c r="O18" s="397"/>
      <c r="P18" s="400"/>
      <c r="Q18" s="683"/>
      <c r="R18" s="402"/>
      <c r="S18" s="400"/>
      <c r="T18" s="728"/>
      <c r="U18" s="726"/>
      <c r="V18" s="403"/>
      <c r="W18" s="400"/>
      <c r="X18" s="400"/>
      <c r="Y18" s="400"/>
      <c r="Z18" s="400"/>
      <c r="AA18" s="400"/>
      <c r="AB18" s="400"/>
      <c r="AC18" s="772"/>
      <c r="AE18" s="137"/>
      <c r="AF18" s="137"/>
      <c r="AG18" s="137"/>
      <c r="AI18" s="802"/>
      <c r="AJ18" s="807"/>
      <c r="AK18" s="419"/>
      <c r="AL18" s="19"/>
      <c r="AM18" s="782"/>
      <c r="AN18" s="782"/>
      <c r="AO18" s="782"/>
      <c r="AP18" s="782"/>
      <c r="AQ18" s="782"/>
      <c r="AR18" s="782"/>
      <c r="AS18" s="782"/>
      <c r="AT18" s="782"/>
      <c r="AU18" s="782"/>
      <c r="AV18" s="782"/>
      <c r="AW18" s="782"/>
      <c r="AX18" s="782"/>
      <c r="AY18" s="782"/>
      <c r="AZ18" s="782"/>
      <c r="BA18" s="782"/>
      <c r="BB18" s="782"/>
      <c r="BC18" s="782"/>
      <c r="BD18" s="782"/>
      <c r="BE18" s="782"/>
      <c r="BF18" s="782"/>
    </row>
    <row r="19" spans="2:58" ht="15" hidden="1" customHeight="1" outlineLevel="1">
      <c r="B19" s="565" t="s">
        <v>1391</v>
      </c>
      <c r="C19" s="408"/>
      <c r="D19" s="560" t="s">
        <v>1280</v>
      </c>
      <c r="E19" s="561">
        <v>1403.1792520304778</v>
      </c>
      <c r="F19" s="561">
        <v>1381.9255450877865</v>
      </c>
      <c r="G19" s="561">
        <v>1497.22695313946</v>
      </c>
      <c r="H19" s="561">
        <v>1511.3748602595324</v>
      </c>
      <c r="I19" s="561">
        <v>2148.1340976605925</v>
      </c>
      <c r="J19" s="561" t="e">
        <v>#N/A</v>
      </c>
      <c r="K19" s="561" t="e">
        <v>#N/A</v>
      </c>
      <c r="L19" s="561" t="e">
        <v>#N/A</v>
      </c>
      <c r="M19" s="725"/>
      <c r="N19" s="677"/>
      <c r="O19" s="562"/>
      <c r="P19" s="725">
        <f>I19*(1+P20)</f>
        <v>2565.3017394262793</v>
      </c>
      <c r="Q19" s="679"/>
      <c r="R19" s="677"/>
      <c r="S19" s="561" t="e">
        <v>#N/A</v>
      </c>
      <c r="T19" s="679"/>
      <c r="U19" s="677"/>
      <c r="V19" s="430"/>
      <c r="W19" s="862" t="e">
        <f>IF(B3&lt;&gt;"3Q","n.a.",SUM(K19:M19))</f>
        <v>#N/A</v>
      </c>
      <c r="X19" s="725" t="e">
        <v>#N/A</v>
      </c>
      <c r="Y19" s="561">
        <v>9003.1238435554515</v>
      </c>
      <c r="Z19" s="862" t="e">
        <f>IF(B3&lt;&gt;"3Q","n.a.",X19-W19)</f>
        <v>#N/A</v>
      </c>
      <c r="AA19" s="862" t="e">
        <f>IF(B3&lt;&gt;"3Q","n.a.",Y19-W19)</f>
        <v>#N/A</v>
      </c>
      <c r="AB19" s="561" t="e">
        <v>#N/A</v>
      </c>
      <c r="AC19" s="773" t="e">
        <f>IF(B3&lt;&gt;"3Q","n.a.",AA19/Z19-1)</f>
        <v>#N/A</v>
      </c>
      <c r="AE19" s="137"/>
      <c r="AF19" s="137"/>
      <c r="AG19" s="137"/>
      <c r="AI19" s="803" t="e">
        <f>BG113</f>
        <v>#REF!</v>
      </c>
      <c r="AJ19" s="808">
        <v>1976.1510239626023</v>
      </c>
      <c r="AK19" s="419"/>
      <c r="AL19" s="19"/>
      <c r="AM19" s="782"/>
      <c r="AN19" s="782"/>
      <c r="AO19" s="784"/>
      <c r="AP19" s="784"/>
      <c r="AQ19" s="784"/>
      <c r="AR19" s="784"/>
      <c r="AS19" s="784"/>
      <c r="AT19" s="784"/>
      <c r="AU19" s="784"/>
      <c r="AV19" s="784"/>
      <c r="AW19" s="784"/>
      <c r="AX19" s="784"/>
      <c r="AY19" s="784"/>
      <c r="AZ19" s="784"/>
      <c r="BA19" s="784"/>
      <c r="BB19" s="784"/>
      <c r="BC19" s="784"/>
      <c r="BD19" s="784"/>
      <c r="BE19" s="784"/>
      <c r="BF19" s="784"/>
    </row>
    <row r="20" spans="2:58" ht="15" hidden="1" customHeight="1" collapsed="1">
      <c r="B20" s="399" t="s">
        <v>1187</v>
      </c>
      <c r="C20" s="1273"/>
      <c r="D20" s="500" t="s">
        <v>1406</v>
      </c>
      <c r="E20" s="705">
        <v>0.10112926052288196</v>
      </c>
      <c r="F20" s="705">
        <v>0.10112926052288196</v>
      </c>
      <c r="G20" s="705">
        <v>9.1137161970042513E-2</v>
      </c>
      <c r="H20" s="705">
        <v>0.10112926052288218</v>
      </c>
      <c r="I20" s="130">
        <v>0.20499999999999999</v>
      </c>
      <c r="J20" s="130" t="e">
        <v>#N/A</v>
      </c>
      <c r="K20" s="130" t="e">
        <v>#N/A</v>
      </c>
      <c r="L20" s="130">
        <v>0.251</v>
      </c>
      <c r="M20" s="409"/>
      <c r="N20" s="678">
        <f>(M20-I20)*100</f>
        <v>-20.5</v>
      </c>
      <c r="O20" s="406"/>
      <c r="P20" s="130">
        <f>_xll.VisibleAlpha.UDF.VAData("SAF_FR",MID(P$11,2,1)&amp;LEFT(P$11,1)&amp;"-"&amp;MID(P$11,4,4),$B20,"Consensus","CD","IMPL")/100</f>
        <v>0.19420000000000001</v>
      </c>
      <c r="Q20" s="680">
        <f>(M20-P20)*100</f>
        <v>-19.420000000000002</v>
      </c>
      <c r="R20" s="678"/>
      <c r="S20" s="130" t="s">
        <v>1731</v>
      </c>
      <c r="T20" s="680"/>
      <c r="U20" s="678"/>
      <c r="V20" s="430"/>
      <c r="W20" s="130"/>
      <c r="X20" s="130">
        <f>IF(B3&lt;&gt;"3Q","n.a.",_xll.VisibleAlpha.UDF.VAData("SAF_FR","FY-"&amp;LEFT(X$11,4),$B20,"Consensus","CD","IMPL")/100)</f>
        <v>0.17310912991620808</v>
      </c>
      <c r="Y20" s="130">
        <f>'Aerospace Propulsion Division'!AA104</f>
        <v>0.20838941743807404</v>
      </c>
      <c r="Z20" s="130"/>
      <c r="AA20" s="130"/>
      <c r="AB20" s="130" t="e">
        <v>#N/A</v>
      </c>
      <c r="AC20" s="774"/>
      <c r="AE20" s="832"/>
      <c r="AF20" s="832"/>
      <c r="AG20" s="832"/>
      <c r="AI20" s="802"/>
      <c r="AJ20" s="804"/>
      <c r="AK20" s="419"/>
      <c r="AL20" s="782"/>
      <c r="AM20" s="782"/>
      <c r="AN20" s="782"/>
      <c r="AO20" s="784"/>
      <c r="AP20" s="784"/>
      <c r="AQ20" s="784"/>
      <c r="AR20" s="784"/>
      <c r="AS20" s="784"/>
      <c r="AT20" s="784"/>
      <c r="AU20" s="784"/>
      <c r="AV20" s="784"/>
      <c r="AW20" s="784"/>
      <c r="AX20" s="784"/>
      <c r="AY20" s="784"/>
      <c r="AZ20" s="784"/>
      <c r="BA20" s="784"/>
      <c r="BB20" s="784"/>
      <c r="BC20" s="784"/>
      <c r="BD20" s="784"/>
      <c r="BE20" s="784"/>
      <c r="BF20" s="784"/>
    </row>
    <row r="21" spans="2:58" ht="15" hidden="1" customHeight="1" outlineLevel="1">
      <c r="B21" s="399"/>
      <c r="C21" s="408"/>
      <c r="D21" s="500" t="s">
        <v>1407</v>
      </c>
      <c r="E21" s="705">
        <f t="shared" ref="E21:J21" si="4">E19/(INDEX($E$19:$H$19,MATCH(E8,$E$8:$H$8,0)))</f>
        <v>1</v>
      </c>
      <c r="F21" s="705">
        <f t="shared" si="4"/>
        <v>1</v>
      </c>
      <c r="G21" s="705">
        <f t="shared" si="4"/>
        <v>1</v>
      </c>
      <c r="H21" s="705">
        <f t="shared" si="4"/>
        <v>1</v>
      </c>
      <c r="I21" s="130">
        <f t="shared" si="4"/>
        <v>1.4347418026080001</v>
      </c>
      <c r="J21" s="130" t="e">
        <f t="shared" si="4"/>
        <v>#N/A</v>
      </c>
      <c r="K21" s="130" t="e">
        <f>K19/(INDEX($E$19:$H$19,MATCH(K8,$E$8:$H$8,0)))</f>
        <v>#N/A</v>
      </c>
      <c r="L21" s="130" t="e">
        <f>L19/(INDEX($E$19:$H$19,MATCH(L8,$E$8:$H$8,0)))</f>
        <v>#N/A</v>
      </c>
      <c r="M21" s="409"/>
      <c r="N21" s="678">
        <f>(M21-I21)*100</f>
        <v>-143.47418026080001</v>
      </c>
      <c r="O21" s="406"/>
      <c r="P21" s="130">
        <f>P19/(INDEX($E$19:$H$19,MATCH(P8,$E$8:$H$8,0)))</f>
        <v>1.7133686606744736</v>
      </c>
      <c r="Q21" s="680">
        <f>(M21-P21)*100</f>
        <v>-171.33686606744735</v>
      </c>
      <c r="R21" s="678"/>
      <c r="S21" s="130" t="e">
        <f>S19/(INDEX($E$19:$H$19,MATCH(S8,$E$8:$H$8,0)))</f>
        <v>#N/A</v>
      </c>
      <c r="T21" s="680" t="e">
        <f>(M21-S21)*100</f>
        <v>#N/A</v>
      </c>
      <c r="U21" s="678" t="e">
        <f>(S21-P21)*100</f>
        <v>#N/A</v>
      </c>
      <c r="V21" s="430"/>
      <c r="W21" s="130"/>
      <c r="X21" s="130"/>
      <c r="Y21" s="130"/>
      <c r="Z21" s="130" t="e">
        <f>IF(B3&lt;&gt;"3Q","n.a.",Z19/(INDEX($E$19:$H$19,MATCH(Z8,$E$8:$H$8,0))))</f>
        <v>#N/A</v>
      </c>
      <c r="AA21" s="130" t="e">
        <f>IF(B3&lt;&gt;"3Q","n.a.",AA19/(INDEX($E$19:$H$19,MATCH(AA8,$E$8:$H$8,0))))</f>
        <v>#N/A</v>
      </c>
      <c r="AB21" s="130" t="e">
        <f>IF(B3&lt;&gt;"3Q","n.a.",AB19/(INDEX($E$19:$H$19,MATCH(AB8,$E$8:$H$8,0))))</f>
        <v>#N/A</v>
      </c>
      <c r="AC21" s="774" t="e">
        <f>IF(B3&lt;&gt;"3Q","n.a.",(AA21-Z21)*100)</f>
        <v>#N/A</v>
      </c>
      <c r="AE21" s="832"/>
      <c r="AF21" s="832"/>
      <c r="AG21" s="832"/>
      <c r="AI21" s="802"/>
      <c r="AJ21" s="804"/>
      <c r="AK21" s="419"/>
      <c r="AL21" s="782"/>
      <c r="AM21" s="782"/>
      <c r="AN21" s="782"/>
      <c r="AO21" s="784"/>
      <c r="AP21" s="784"/>
      <c r="AQ21" s="784"/>
      <c r="AR21" s="784"/>
      <c r="AS21" s="784"/>
      <c r="AT21" s="784"/>
      <c r="AU21" s="784"/>
      <c r="AV21" s="784"/>
      <c r="AW21" s="784"/>
      <c r="AX21" s="784"/>
      <c r="AY21" s="784"/>
      <c r="AZ21" s="784"/>
      <c r="BA21" s="784"/>
      <c r="BB21" s="784"/>
      <c r="BC21" s="784"/>
      <c r="BD21" s="784"/>
      <c r="BE21" s="784"/>
      <c r="BF21" s="784"/>
    </row>
    <row r="22" spans="2:58" ht="6.75" customHeight="1" collapsed="1">
      <c r="B22" s="392"/>
      <c r="C22" s="392"/>
      <c r="D22" s="499"/>
      <c r="E22" s="700"/>
      <c r="F22" s="700"/>
      <c r="G22" s="700"/>
      <c r="H22" s="700"/>
      <c r="I22" s="400"/>
      <c r="J22" s="400"/>
      <c r="K22" s="400"/>
      <c r="L22" s="400"/>
      <c r="M22" s="394"/>
      <c r="N22" s="402"/>
      <c r="O22" s="397"/>
      <c r="P22" s="400"/>
      <c r="Q22" s="683"/>
      <c r="R22" s="402"/>
      <c r="S22" s="400"/>
      <c r="T22" s="728"/>
      <c r="U22" s="726"/>
      <c r="V22" s="403"/>
      <c r="W22" s="400"/>
      <c r="X22" s="400"/>
      <c r="Y22" s="400"/>
      <c r="Z22" s="400"/>
      <c r="AA22" s="400"/>
      <c r="AB22" s="400"/>
      <c r="AC22" s="772"/>
      <c r="AE22" s="137"/>
      <c r="AF22" s="137"/>
      <c r="AG22" s="137"/>
      <c r="AI22" s="802"/>
      <c r="AJ22" s="807"/>
      <c r="AK22" s="419"/>
      <c r="AL22" s="782"/>
      <c r="AM22" s="782"/>
      <c r="AN22" s="782"/>
      <c r="AO22" s="782"/>
      <c r="AP22" s="782"/>
      <c r="AQ22" s="782"/>
      <c r="AR22" s="782"/>
      <c r="AS22" s="782"/>
      <c r="AT22" s="782"/>
      <c r="AU22" s="782"/>
      <c r="AV22" s="782"/>
      <c r="AW22" s="782"/>
      <c r="AX22" s="782"/>
      <c r="AY22" s="782"/>
      <c r="AZ22" s="782"/>
      <c r="BA22" s="782"/>
      <c r="BB22" s="782"/>
      <c r="BC22" s="782"/>
      <c r="BD22" s="782"/>
      <c r="BE22" s="782"/>
      <c r="BF22" s="782"/>
    </row>
    <row r="23" spans="2:58" ht="15" customHeight="1">
      <c r="B23" s="399" t="s">
        <v>1400</v>
      </c>
      <c r="C23" s="392" t="s">
        <v>1736</v>
      </c>
      <c r="D23" s="694" t="s">
        <v>1389</v>
      </c>
      <c r="E23" s="704"/>
      <c r="F23" s="704"/>
      <c r="G23" s="704"/>
      <c r="H23" s="704"/>
      <c r="I23" s="404">
        <v>365</v>
      </c>
      <c r="J23" s="404"/>
      <c r="K23" s="404">
        <v>319</v>
      </c>
      <c r="L23" s="404">
        <f>729-K23</f>
        <v>410</v>
      </c>
      <c r="M23" s="405">
        <v>511</v>
      </c>
      <c r="N23" s="731">
        <f>M23/I23-1</f>
        <v>0.39999999999999991</v>
      </c>
      <c r="O23" s="406"/>
      <c r="P23" s="404">
        <f>_xll.VisibleAlpha.UDF.VAData("SAF_FR",MID(P$11,2,1)&amp;LEFT(P$11,1)&amp;"-"&amp;MID(P$11,4,4),$B23,"Consensus","CD","IMPL")</f>
        <v>511</v>
      </c>
      <c r="Q23" s="730">
        <f>M23/P23-1</f>
        <v>0</v>
      </c>
      <c r="R23" s="731"/>
      <c r="S23" s="404" t="s">
        <v>1731</v>
      </c>
      <c r="T23" s="729" t="s">
        <v>1267</v>
      </c>
      <c r="U23" s="727" t="s">
        <v>1267</v>
      </c>
      <c r="V23" s="407"/>
      <c r="W23" s="404">
        <f>IF(B3&lt;&gt;"3Q","n.a.",SUM(K23:M23))</f>
        <v>1240</v>
      </c>
      <c r="X23" s="404">
        <f>IF(B3&lt;&gt;"3Q","n.a.",_xll.VisibleAlpha.UDF.VAData("SAF_FR","FY-"&amp;LEFT(X$11,4),$B23,"Consensus","CD","IMPL"))</f>
        <v>1725.3919249471455</v>
      </c>
      <c r="Y23" s="404">
        <f>'Aerospace Propulsion Division'!AA27</f>
        <v>1846</v>
      </c>
      <c r="Z23" s="404">
        <f>IF(B3&lt;&gt;"3Q","n.a.",X23-W23)</f>
        <v>485.39192494714553</v>
      </c>
      <c r="AA23" s="404">
        <f>IF(B3&lt;&gt;"3Q","n.a.",Y23-W23)</f>
        <v>606</v>
      </c>
      <c r="AB23" s="404" t="e">
        <v>#N/A</v>
      </c>
      <c r="AC23" s="773">
        <f>IF(B3&lt;&gt;"3Q","n.a.",AA23/Z23-1)</f>
        <v>0.24847565205372457</v>
      </c>
      <c r="AE23" s="809"/>
      <c r="AF23" s="809"/>
      <c r="AG23" s="809"/>
      <c r="AI23" s="803"/>
      <c r="AJ23" s="808"/>
      <c r="AK23" s="419"/>
      <c r="AL23" s="782"/>
      <c r="AM23" s="782"/>
      <c r="AN23" s="782"/>
      <c r="AO23" s="783"/>
      <c r="AP23" s="783"/>
      <c r="AQ23" s="783"/>
      <c r="AR23" s="783"/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</row>
    <row r="24" spans="2:58" ht="3.75" customHeight="1">
      <c r="B24" s="410"/>
      <c r="C24" s="410"/>
      <c r="D24" s="501"/>
      <c r="E24" s="131"/>
      <c r="F24" s="131"/>
      <c r="G24" s="131"/>
      <c r="H24" s="131"/>
      <c r="I24" s="411"/>
      <c r="J24" s="411"/>
      <c r="K24" s="411"/>
      <c r="L24" s="411"/>
      <c r="M24" s="412"/>
      <c r="N24" s="673"/>
      <c r="O24" s="406"/>
      <c r="P24" s="481"/>
      <c r="Q24" s="480"/>
      <c r="R24" s="673"/>
      <c r="S24" s="411"/>
      <c r="T24" s="413"/>
      <c r="U24" s="673"/>
      <c r="V24" s="414"/>
      <c r="W24" s="411"/>
      <c r="X24" s="411"/>
      <c r="Y24" s="411"/>
      <c r="Z24" s="411"/>
      <c r="AA24" s="411"/>
      <c r="AB24" s="411"/>
      <c r="AC24" s="411"/>
      <c r="AI24" s="805"/>
      <c r="AJ24" s="806"/>
      <c r="AK24" s="419"/>
      <c r="AL24" s="782"/>
      <c r="AM24" s="782"/>
      <c r="AN24" s="782"/>
      <c r="AO24" s="782"/>
      <c r="AP24" s="782"/>
      <c r="AQ24" s="782"/>
      <c r="AR24" s="782"/>
      <c r="AS24" s="782"/>
      <c r="AT24" s="782"/>
      <c r="AU24" s="782"/>
      <c r="AV24" s="782"/>
      <c r="AW24" s="782"/>
      <c r="AX24" s="782"/>
      <c r="AY24" s="782"/>
      <c r="AZ24" s="782"/>
      <c r="BA24" s="782"/>
      <c r="BB24" s="782"/>
      <c r="BC24" s="782"/>
      <c r="BD24" s="782"/>
      <c r="BE24" s="782"/>
      <c r="BF24" s="782"/>
    </row>
    <row r="25" spans="2:58">
      <c r="B25" s="392"/>
      <c r="C25" s="392"/>
      <c r="D25" s="785" t="s">
        <v>1390</v>
      </c>
      <c r="E25" s="443"/>
      <c r="F25" s="443"/>
      <c r="G25" s="443"/>
      <c r="H25" s="443"/>
      <c r="I25" s="436"/>
      <c r="J25" s="436"/>
      <c r="K25" s="436"/>
      <c r="L25" s="436"/>
      <c r="M25" s="436"/>
      <c r="N25" s="436"/>
      <c r="O25" s="446"/>
      <c r="P25" s="1428"/>
      <c r="Q25" s="1428"/>
      <c r="R25" s="1428"/>
      <c r="S25" s="1428"/>
      <c r="T25" s="438"/>
      <c r="U25" s="743"/>
      <c r="V25" s="420"/>
      <c r="W25" s="420"/>
      <c r="X25" s="420"/>
      <c r="Y25" s="420"/>
      <c r="Z25" s="420"/>
      <c r="AA25" s="420"/>
      <c r="AB25" s="420"/>
      <c r="AC25" s="420"/>
      <c r="AK25" s="419"/>
      <c r="AL25" s="782"/>
      <c r="AM25" s="782"/>
      <c r="AN25" s="782"/>
      <c r="AO25" s="782"/>
      <c r="AP25" s="782"/>
      <c r="AQ25" s="782"/>
      <c r="AR25" s="782"/>
      <c r="AS25" s="782"/>
      <c r="AT25" s="782"/>
      <c r="AU25" s="782"/>
      <c r="AV25" s="782"/>
      <c r="AW25" s="782"/>
      <c r="AX25" s="782"/>
      <c r="AY25" s="782"/>
      <c r="AZ25" s="782"/>
      <c r="BA25" s="782"/>
      <c r="BB25" s="782"/>
      <c r="BC25" s="782"/>
      <c r="BD25" s="782"/>
      <c r="BE25" s="782"/>
      <c r="BF25" s="782"/>
    </row>
    <row r="26" spans="2:58">
      <c r="B26" s="392"/>
      <c r="C26" s="392"/>
      <c r="D26" s="786"/>
      <c r="E26" s="443"/>
      <c r="F26" s="443"/>
      <c r="G26" s="383" t="str">
        <f t="shared" ref="G26:H26" si="5">LEFT(G29,2)</f>
        <v>1H</v>
      </c>
      <c r="H26" s="383" t="str">
        <f t="shared" si="5"/>
        <v>2H</v>
      </c>
      <c r="I26" s="383" t="str">
        <f>M26</f>
        <v>2H</v>
      </c>
      <c r="J26" s="383"/>
      <c r="L26" s="383" t="str">
        <f>IF(VALUE(LEFT(M26,1))=1,"2H","1H")</f>
        <v>1H</v>
      </c>
      <c r="M26" s="383" t="str">
        <f>B4</f>
        <v>2H</v>
      </c>
      <c r="N26" s="436"/>
      <c r="O26" s="446"/>
      <c r="P26" s="383" t="str">
        <f t="shared" ref="P26" si="6">LEFT(P29,2)</f>
        <v>2H</v>
      </c>
      <c r="Q26" s="442"/>
      <c r="R26" s="442"/>
      <c r="S26" s="383" t="str">
        <f t="shared" ref="S26" si="7">LEFT(S29,2)</f>
        <v>2H</v>
      </c>
      <c r="T26" s="438"/>
      <c r="U26" s="743"/>
      <c r="V26" s="420"/>
      <c r="W26" s="383"/>
      <c r="X26" s="383"/>
      <c r="Y26" s="383"/>
      <c r="Z26" s="383"/>
      <c r="AA26" s="383"/>
      <c r="AB26" s="383"/>
      <c r="AC26" s="383"/>
      <c r="AI26" s="784"/>
      <c r="AK26" s="419"/>
      <c r="AL26" s="782"/>
      <c r="AM26" s="782"/>
      <c r="AN26" s="782"/>
      <c r="AO26" s="782"/>
      <c r="AP26" s="782"/>
      <c r="AQ26" s="782"/>
      <c r="AR26" s="782"/>
      <c r="AS26" s="782"/>
      <c r="AT26" s="782"/>
      <c r="AU26" s="782"/>
      <c r="AV26" s="782"/>
      <c r="AW26" s="782"/>
      <c r="AX26" s="782"/>
      <c r="AY26" s="782"/>
      <c r="AZ26" s="782"/>
      <c r="BA26" s="782"/>
      <c r="BB26" s="782"/>
      <c r="BC26" s="782"/>
      <c r="BD26" s="782"/>
      <c r="BE26" s="782"/>
      <c r="BF26" s="782"/>
    </row>
    <row r="27" spans="2:58" ht="3" customHeight="1">
      <c r="D27" s="502"/>
      <c r="E27" s="110"/>
      <c r="F27" s="110"/>
      <c r="G27" s="110"/>
      <c r="H27" s="110"/>
      <c r="I27" s="110"/>
      <c r="J27" s="110"/>
      <c r="L27" s="110"/>
      <c r="M27" s="110"/>
      <c r="N27" s="384"/>
      <c r="O27" s="85"/>
      <c r="P27" s="387"/>
      <c r="Q27" s="388"/>
      <c r="R27" s="384"/>
      <c r="S27" s="110"/>
      <c r="T27" s="388"/>
      <c r="U27" s="384"/>
      <c r="V27" s="420"/>
      <c r="W27" s="383"/>
      <c r="X27" s="383"/>
      <c r="Y27" s="383"/>
      <c r="Z27" s="383"/>
      <c r="AA27" s="383"/>
      <c r="AB27" s="383"/>
      <c r="AC27" s="383"/>
      <c r="AK27" s="419"/>
      <c r="AL27" s="782"/>
      <c r="AM27" s="782"/>
      <c r="AN27" s="782"/>
      <c r="AO27" s="782"/>
      <c r="AP27" s="782"/>
      <c r="AQ27" s="782"/>
      <c r="AR27" s="782"/>
      <c r="AS27" s="782"/>
      <c r="AT27" s="782"/>
      <c r="AU27" s="782"/>
      <c r="AV27" s="782"/>
      <c r="AW27" s="782"/>
      <c r="AX27" s="782"/>
      <c r="AY27" s="782"/>
      <c r="AZ27" s="782"/>
      <c r="BA27" s="782"/>
      <c r="BB27" s="782"/>
      <c r="BC27" s="782"/>
      <c r="BD27" s="782"/>
      <c r="BE27" s="782"/>
      <c r="BF27" s="782"/>
    </row>
    <row r="28" spans="2:58">
      <c r="B28" s="389" t="s">
        <v>1328</v>
      </c>
      <c r="D28" s="496" t="s">
        <v>732</v>
      </c>
      <c r="E28" s="482"/>
      <c r="F28" s="482"/>
      <c r="G28" s="482" t="s">
        <v>740</v>
      </c>
      <c r="H28" s="482" t="s">
        <v>740</v>
      </c>
      <c r="I28" s="119" t="s">
        <v>740</v>
      </c>
      <c r="J28" s="119"/>
      <c r="K28" s="119"/>
      <c r="L28" s="119" t="s">
        <v>740</v>
      </c>
      <c r="M28" s="390" t="s">
        <v>740</v>
      </c>
      <c r="N28" s="1427" t="s">
        <v>1358</v>
      </c>
      <c r="O28" s="85"/>
      <c r="P28" s="505" t="s">
        <v>1345</v>
      </c>
      <c r="Q28" s="544" t="s">
        <v>1376</v>
      </c>
      <c r="R28" s="920"/>
      <c r="S28" s="505" t="s">
        <v>1344</v>
      </c>
      <c r="T28" s="544" t="s">
        <v>1376</v>
      </c>
      <c r="U28" s="676" t="s">
        <v>1378</v>
      </c>
      <c r="V28" s="420"/>
      <c r="W28" s="383"/>
      <c r="X28" s="383"/>
      <c r="Y28" s="383"/>
      <c r="Z28" s="383"/>
      <c r="AA28" s="383"/>
      <c r="AB28" s="383"/>
      <c r="AC28" s="383"/>
      <c r="AH28" s="787"/>
      <c r="AI28" s="787"/>
      <c r="AK28" s="419"/>
      <c r="AL28" s="782"/>
      <c r="AM28" s="782"/>
      <c r="AN28" s="782"/>
      <c r="AO28" s="782"/>
      <c r="AP28" s="782"/>
      <c r="AQ28" s="782"/>
      <c r="AR28" s="782"/>
      <c r="AS28" s="782"/>
      <c r="AT28" s="782"/>
      <c r="AU28" s="782"/>
      <c r="AV28" s="782"/>
      <c r="AW28" s="782"/>
      <c r="AX28" s="782"/>
      <c r="AY28" s="782"/>
      <c r="AZ28" s="782"/>
      <c r="BA28" s="782"/>
      <c r="BB28" s="782"/>
      <c r="BC28" s="782"/>
      <c r="BD28" s="782"/>
      <c r="BE28" s="782"/>
      <c r="BF28" s="782"/>
    </row>
    <row r="29" spans="2:58">
      <c r="D29" s="497" t="s">
        <v>1164</v>
      </c>
      <c r="E29" s="482"/>
      <c r="F29" s="482"/>
      <c r="G29" s="482" t="s">
        <v>1306</v>
      </c>
      <c r="H29" s="482" t="s">
        <v>1194</v>
      </c>
      <c r="I29" s="119" t="str">
        <f>I26&amp;" "&amp;B2-1</f>
        <v>2H 2024</v>
      </c>
      <c r="J29" s="119"/>
      <c r="K29" s="119"/>
      <c r="L29" s="119" t="str">
        <f>L26&amp;" "&amp;IF(B4="1H",B2-1,B2)</f>
        <v>1H 2025</v>
      </c>
      <c r="M29" s="390" t="str">
        <f>B4&amp;" "&amp;B2</f>
        <v>2H 2025</v>
      </c>
      <c r="N29" s="1427"/>
      <c r="O29" s="85"/>
      <c r="P29" s="505" t="str">
        <f>B4&amp;" "&amp;B2&amp;"E"</f>
        <v>2H 2025E</v>
      </c>
      <c r="Q29" s="544" t="s">
        <v>1355</v>
      </c>
      <c r="R29" s="920"/>
      <c r="S29" s="505" t="str">
        <f>B4&amp;" "&amp;B2&amp;"E"</f>
        <v>2H 2025E</v>
      </c>
      <c r="T29" s="544" t="s">
        <v>1377</v>
      </c>
      <c r="U29" s="676" t="s">
        <v>1355</v>
      </c>
      <c r="V29" s="420"/>
      <c r="W29" s="383"/>
      <c r="X29" s="383"/>
      <c r="Y29" s="383"/>
      <c r="Z29" s="383"/>
      <c r="AA29" s="383"/>
      <c r="AB29" s="383"/>
      <c r="AC29" s="383"/>
      <c r="AH29" s="787"/>
      <c r="AI29" s="787"/>
      <c r="AK29" s="419"/>
      <c r="AL29" s="782"/>
      <c r="AM29" s="782"/>
      <c r="AN29" s="782"/>
      <c r="AO29" s="782"/>
      <c r="AP29" s="782"/>
      <c r="AQ29" s="782"/>
      <c r="AR29" s="782"/>
      <c r="AS29" s="782"/>
      <c r="AT29" s="782"/>
      <c r="AU29" s="782"/>
      <c r="AV29" s="782"/>
      <c r="AW29" s="782"/>
      <c r="AX29" s="782"/>
      <c r="AY29" s="782"/>
      <c r="AZ29" s="782"/>
      <c r="BA29" s="782"/>
      <c r="BB29" s="782"/>
      <c r="BC29" s="782"/>
      <c r="BD29" s="782"/>
      <c r="BE29" s="782"/>
      <c r="BF29" s="782"/>
    </row>
    <row r="30" spans="2:58" ht="6.75" customHeight="1">
      <c r="B30" s="410"/>
      <c r="C30" s="410"/>
      <c r="D30" s="501"/>
      <c r="E30" s="702"/>
      <c r="F30" s="702"/>
      <c r="G30" s="702"/>
      <c r="H30" s="702"/>
      <c r="I30" s="131"/>
      <c r="J30" s="131"/>
      <c r="K30" s="131"/>
      <c r="L30" s="131"/>
      <c r="M30" s="394"/>
      <c r="N30" s="674"/>
      <c r="O30" s="397"/>
      <c r="P30" s="131"/>
      <c r="Q30" s="396"/>
      <c r="R30" s="674"/>
      <c r="S30" s="131"/>
      <c r="T30" s="396"/>
      <c r="U30" s="674"/>
      <c r="V30" s="420"/>
      <c r="W30" s="383"/>
      <c r="X30" s="383"/>
      <c r="Y30" s="383"/>
      <c r="Z30" s="383"/>
      <c r="AA30" s="383"/>
      <c r="AB30" s="383"/>
      <c r="AC30" s="383"/>
      <c r="AK30" s="419"/>
    </row>
    <row r="31" spans="2:58">
      <c r="D31" s="498" t="s">
        <v>1074</v>
      </c>
      <c r="E31" s="699"/>
      <c r="F31" s="699"/>
      <c r="G31" s="699"/>
      <c r="H31" s="699"/>
      <c r="I31" s="393"/>
      <c r="J31" s="393"/>
      <c r="K31" s="393"/>
      <c r="L31" s="393"/>
      <c r="M31" s="394"/>
      <c r="N31" s="674"/>
      <c r="O31" s="397"/>
      <c r="P31" s="395"/>
      <c r="Q31" s="396"/>
      <c r="R31" s="674"/>
      <c r="S31" s="393"/>
      <c r="T31" s="396"/>
      <c r="U31" s="674"/>
      <c r="V31" s="420"/>
      <c r="W31" s="383"/>
      <c r="X31" s="383"/>
      <c r="Y31" s="383"/>
      <c r="Z31" s="383"/>
      <c r="AA31" s="383"/>
      <c r="AB31" s="383"/>
      <c r="AC31" s="383"/>
      <c r="AH31" s="787"/>
      <c r="AI31" s="787"/>
      <c r="AK31" s="419"/>
      <c r="AL31" s="782"/>
      <c r="AM31" s="782"/>
      <c r="AN31" s="782"/>
      <c r="AO31" s="782"/>
      <c r="AP31" s="782"/>
      <c r="AQ31" s="782"/>
      <c r="AR31" s="782"/>
      <c r="AS31" s="782"/>
      <c r="AT31" s="782"/>
      <c r="AU31" s="782"/>
      <c r="AV31" s="782"/>
      <c r="AW31" s="782"/>
      <c r="AX31" s="782"/>
      <c r="AY31" s="782"/>
      <c r="AZ31" s="782"/>
      <c r="BA31" s="782"/>
      <c r="BB31" s="782"/>
      <c r="BC31" s="782"/>
      <c r="BD31" s="782"/>
      <c r="BE31" s="782"/>
      <c r="BF31" s="782"/>
    </row>
    <row r="32" spans="2:58">
      <c r="D32" s="499" t="s">
        <v>1172</v>
      </c>
      <c r="E32" s="700"/>
      <c r="F32" s="700"/>
      <c r="G32" s="700">
        <v>5902</v>
      </c>
      <c r="H32" s="700">
        <v>6143</v>
      </c>
      <c r="I32" s="400" t="e">
        <v>#N/A</v>
      </c>
      <c r="J32" s="400"/>
      <c r="K32" s="400"/>
      <c r="L32" s="400">
        <f>3339+3852</f>
        <v>7191</v>
      </c>
      <c r="M32" s="394">
        <v>7541</v>
      </c>
      <c r="N32" s="402" t="e">
        <f>M32/I32-1</f>
        <v>#N/A</v>
      </c>
      <c r="O32" s="397"/>
      <c r="P32" s="400">
        <v>7479</v>
      </c>
      <c r="Q32" s="683">
        <f>M32/P32-1</f>
        <v>8.2898783259794939E-3</v>
      </c>
      <c r="R32" s="402"/>
      <c r="S32" s="400">
        <v>0</v>
      </c>
      <c r="T32" s="683" t="e">
        <f>M32/S32-1</f>
        <v>#DIV/0!</v>
      </c>
      <c r="U32" s="402">
        <f>S32/P32-1</f>
        <v>-1</v>
      </c>
      <c r="V32" s="420"/>
      <c r="W32" s="383"/>
      <c r="X32" s="383"/>
      <c r="Y32" s="383"/>
      <c r="Z32" s="383"/>
      <c r="AA32" s="383"/>
      <c r="AB32" s="383"/>
      <c r="AC32" s="383"/>
      <c r="AH32" s="788"/>
      <c r="AI32" s="788"/>
      <c r="AK32" s="419"/>
      <c r="AL32" s="782"/>
      <c r="AM32" s="782"/>
      <c r="AN32" s="782"/>
      <c r="AO32" s="782"/>
      <c r="AP32" s="782"/>
      <c r="AQ32" s="782"/>
      <c r="AR32" s="782"/>
      <c r="AS32" s="782"/>
      <c r="AT32" s="782"/>
      <c r="AU32" s="782"/>
      <c r="AV32" s="782"/>
      <c r="AW32" s="782"/>
      <c r="AX32" s="782"/>
      <c r="AY32" s="782"/>
      <c r="AZ32" s="782"/>
      <c r="BA32" s="782"/>
      <c r="BB32" s="782"/>
      <c r="BC32" s="782"/>
      <c r="BD32" s="782"/>
      <c r="BE32" s="782"/>
      <c r="BF32" s="782"/>
    </row>
    <row r="33" spans="2:58">
      <c r="D33" s="499" t="s">
        <v>1174</v>
      </c>
      <c r="E33" s="700"/>
      <c r="F33" s="700"/>
      <c r="G33" s="700">
        <v>4553</v>
      </c>
      <c r="H33" s="700">
        <v>4703</v>
      </c>
      <c r="I33" s="400" t="e">
        <v>#N/A</v>
      </c>
      <c r="J33" s="400"/>
      <c r="K33" s="400"/>
      <c r="L33" s="400">
        <f>2527+2921</f>
        <v>5448</v>
      </c>
      <c r="M33" s="394">
        <v>5609</v>
      </c>
      <c r="N33" s="402" t="e">
        <f>M33/I33-1</f>
        <v>#N/A</v>
      </c>
      <c r="O33" s="397"/>
      <c r="P33" s="400">
        <v>5732</v>
      </c>
      <c r="Q33" s="683">
        <f>M33/P33-1</f>
        <v>-2.14584787159805E-2</v>
      </c>
      <c r="R33" s="402"/>
      <c r="S33" s="400">
        <v>0</v>
      </c>
      <c r="T33" s="683" t="e">
        <f>M33/S33-1</f>
        <v>#DIV/0!</v>
      </c>
      <c r="U33" s="402">
        <f>S33/P33-1</f>
        <v>-1</v>
      </c>
      <c r="V33" s="420"/>
      <c r="W33" s="383"/>
      <c r="X33" s="383"/>
      <c r="Y33" s="383"/>
      <c r="Z33" s="383"/>
      <c r="AA33" s="383"/>
      <c r="AB33" s="383"/>
      <c r="AC33" s="383"/>
      <c r="AH33" s="788"/>
      <c r="AI33" s="788"/>
      <c r="AK33" s="419"/>
      <c r="AL33" s="782"/>
      <c r="AM33" s="782"/>
      <c r="AN33" s="782"/>
      <c r="AO33" s="782"/>
      <c r="AP33" s="782"/>
      <c r="AQ33" s="782"/>
      <c r="AR33" s="782"/>
      <c r="AS33" s="782"/>
      <c r="AT33" s="782"/>
      <c r="AU33" s="782"/>
      <c r="AV33" s="782"/>
      <c r="AW33" s="782"/>
      <c r="AX33" s="782"/>
      <c r="AY33" s="782"/>
      <c r="AZ33" s="782"/>
      <c r="BA33" s="782"/>
      <c r="BB33" s="782"/>
      <c r="BC33" s="782"/>
      <c r="BD33" s="782"/>
      <c r="BE33" s="782"/>
      <c r="BF33" s="782"/>
    </row>
    <row r="34" spans="2:58">
      <c r="D34" s="499" t="s">
        <v>1093</v>
      </c>
      <c r="E34" s="700"/>
      <c r="F34" s="700"/>
      <c r="G34" s="700">
        <v>1640</v>
      </c>
      <c r="H34" s="700">
        <v>1681</v>
      </c>
      <c r="I34" s="400" t="e">
        <v>#N/A</v>
      </c>
      <c r="J34" s="400"/>
      <c r="K34" s="400"/>
      <c r="L34" s="400">
        <f>771+855</f>
        <v>1626</v>
      </c>
      <c r="M34" s="394">
        <v>1616</v>
      </c>
      <c r="N34" s="402" t="e">
        <f>M34/I34-1</f>
        <v>#N/A</v>
      </c>
      <c r="O34" s="397"/>
      <c r="P34" s="400">
        <v>1597</v>
      </c>
      <c r="Q34" s="683">
        <f>M34/P34-1</f>
        <v>1.1897307451471439E-2</v>
      </c>
      <c r="R34" s="402"/>
      <c r="S34" s="400">
        <v>0</v>
      </c>
      <c r="T34" s="683" t="e">
        <f>M34/S34-1</f>
        <v>#DIV/0!</v>
      </c>
      <c r="U34" s="402">
        <f>S34/P34-1</f>
        <v>-1</v>
      </c>
      <c r="V34" s="420"/>
      <c r="W34" s="383"/>
      <c r="X34" s="383"/>
      <c r="Y34" s="383"/>
      <c r="Z34" s="383"/>
      <c r="AA34" s="383"/>
      <c r="AB34" s="383"/>
      <c r="AC34" s="383"/>
      <c r="AH34" s="788"/>
      <c r="AI34" s="788"/>
      <c r="AK34" s="419"/>
      <c r="AL34" s="782"/>
      <c r="AM34" s="782"/>
      <c r="AN34" s="782"/>
      <c r="AO34" s="782"/>
      <c r="AP34" s="782"/>
      <c r="AQ34" s="782"/>
      <c r="AR34" s="782"/>
      <c r="AS34" s="782"/>
      <c r="AT34" s="782"/>
      <c r="AU34" s="782"/>
      <c r="AV34" s="782"/>
      <c r="AW34" s="782"/>
      <c r="AX34" s="782"/>
      <c r="AY34" s="782"/>
      <c r="AZ34" s="782"/>
      <c r="BA34" s="782"/>
      <c r="BB34" s="782"/>
      <c r="BC34" s="782"/>
      <c r="BD34" s="782"/>
      <c r="BE34" s="782"/>
      <c r="BF34" s="782"/>
    </row>
    <row r="35" spans="2:58" hidden="1" outlineLevel="1">
      <c r="D35" s="499" t="s">
        <v>752</v>
      </c>
      <c r="E35" s="700"/>
      <c r="F35" s="700"/>
      <c r="G35" s="700">
        <v>1.3683193818416761E-3</v>
      </c>
      <c r="H35" s="700">
        <v>1.8292412947854331E-2</v>
      </c>
      <c r="I35" s="400">
        <v>8.7147882764591067E-3</v>
      </c>
      <c r="J35" s="400"/>
      <c r="K35" s="400"/>
      <c r="L35" s="400">
        <v>5.8508873995399613E-2</v>
      </c>
      <c r="M35" s="394">
        <f t="shared" ref="M35" si="8">M66-L35</f>
        <v>-5.8508873995399613E-2</v>
      </c>
      <c r="N35" s="455"/>
      <c r="O35" s="397"/>
      <c r="P35" s="400">
        <f>P66-L35</f>
        <v>-5.8508873995399613E-2</v>
      </c>
      <c r="Q35" s="401">
        <f>M35/P35-1</f>
        <v>0</v>
      </c>
      <c r="R35" s="455"/>
      <c r="S35" s="400">
        <v>0</v>
      </c>
      <c r="T35" s="401" t="e">
        <f>M35/S35-1</f>
        <v>#DIV/0!</v>
      </c>
      <c r="U35" s="455">
        <f>S35/P35-1</f>
        <v>-1</v>
      </c>
      <c r="V35" s="420"/>
      <c r="W35" s="383"/>
      <c r="X35" s="383"/>
      <c r="Y35" s="383"/>
      <c r="Z35" s="383"/>
      <c r="AA35" s="383"/>
      <c r="AB35" s="383"/>
      <c r="AC35" s="383"/>
      <c r="AH35" s="788"/>
      <c r="AI35" s="788"/>
      <c r="AK35" s="419"/>
      <c r="AL35" s="782"/>
      <c r="AM35" s="782"/>
      <c r="AN35" s="782"/>
      <c r="AO35" s="782"/>
      <c r="AP35" s="782"/>
      <c r="AQ35" s="782"/>
      <c r="AR35" s="782"/>
      <c r="AS35" s="782"/>
      <c r="AT35" s="782"/>
      <c r="AU35" s="782"/>
      <c r="AV35" s="782"/>
      <c r="AW35" s="782"/>
      <c r="AX35" s="782"/>
      <c r="AY35" s="782"/>
      <c r="AZ35" s="782"/>
      <c r="BA35" s="782"/>
      <c r="BB35" s="782"/>
      <c r="BC35" s="782"/>
      <c r="BD35" s="782"/>
      <c r="BE35" s="782"/>
      <c r="BF35" s="782"/>
    </row>
    <row r="36" spans="2:58" collapsed="1">
      <c r="D36" s="500" t="s">
        <v>1178</v>
      </c>
      <c r="E36" s="704"/>
      <c r="F36" s="704"/>
      <c r="G36" s="704">
        <v>12102</v>
      </c>
      <c r="H36" s="704">
        <v>12538</v>
      </c>
      <c r="I36" s="404" t="e">
        <v>#N/A</v>
      </c>
      <c r="J36" s="404"/>
      <c r="K36" s="404"/>
      <c r="L36" s="404">
        <f>6639+7631</f>
        <v>14270</v>
      </c>
      <c r="M36" s="405">
        <v>14769</v>
      </c>
      <c r="N36" s="682" t="e">
        <f>M36/I36-1</f>
        <v>#N/A</v>
      </c>
      <c r="O36" s="406"/>
      <c r="P36" s="404">
        <v>14737</v>
      </c>
      <c r="Q36" s="684">
        <f>M36/P36-1</f>
        <v>2.1714053063717209E-3</v>
      </c>
      <c r="R36" s="682"/>
      <c r="S36" s="404">
        <v>0</v>
      </c>
      <c r="T36" s="684" t="e">
        <f>M36/S36-1</f>
        <v>#DIV/0!</v>
      </c>
      <c r="U36" s="682">
        <f>S36/P36-1</f>
        <v>-1</v>
      </c>
      <c r="V36" s="420"/>
      <c r="W36" s="383"/>
      <c r="X36" s="383"/>
      <c r="Y36" s="383"/>
      <c r="Z36" s="383"/>
      <c r="AA36" s="383"/>
      <c r="AB36" s="383"/>
      <c r="AC36" s="383"/>
      <c r="AH36" s="789"/>
      <c r="AI36" s="788"/>
      <c r="AK36" s="419"/>
      <c r="AL36" s="782"/>
      <c r="AM36" s="782"/>
      <c r="AN36" s="782"/>
      <c r="AO36" s="782"/>
      <c r="AP36" s="782"/>
      <c r="AQ36" s="782"/>
      <c r="AR36" s="782"/>
      <c r="AS36" s="782"/>
      <c r="AT36" s="782"/>
      <c r="AU36" s="782"/>
      <c r="AV36" s="782"/>
      <c r="AW36" s="782"/>
      <c r="AX36" s="782"/>
      <c r="AY36" s="782"/>
      <c r="AZ36" s="782"/>
      <c r="BA36" s="782"/>
      <c r="BB36" s="782"/>
      <c r="BC36" s="782"/>
      <c r="BD36" s="782"/>
      <c r="BE36" s="782"/>
      <c r="BF36" s="782"/>
    </row>
    <row r="37" spans="2:58" ht="6.75" customHeight="1">
      <c r="B37" s="410"/>
      <c r="C37" s="410"/>
      <c r="D37" s="501"/>
      <c r="E37" s="702"/>
      <c r="F37" s="702"/>
      <c r="G37" s="702"/>
      <c r="H37" s="702"/>
      <c r="I37" s="131"/>
      <c r="J37" s="131"/>
      <c r="K37" s="131"/>
      <c r="L37" s="131"/>
      <c r="M37" s="394"/>
      <c r="N37" s="674"/>
      <c r="O37" s="397"/>
      <c r="P37" s="131"/>
      <c r="Q37" s="396"/>
      <c r="R37" s="674"/>
      <c r="S37" s="131"/>
      <c r="T37" s="396"/>
      <c r="U37" s="674"/>
      <c r="V37" s="420"/>
      <c r="W37" s="383"/>
      <c r="X37" s="383"/>
      <c r="Y37" s="383"/>
      <c r="Z37" s="383"/>
      <c r="AA37" s="383"/>
      <c r="AB37" s="383"/>
      <c r="AC37" s="383"/>
      <c r="AK37" s="419"/>
    </row>
    <row r="38" spans="2:58" ht="15" customHeight="1">
      <c r="B38" s="392"/>
      <c r="C38" s="392"/>
      <c r="D38" s="498" t="s">
        <v>287</v>
      </c>
      <c r="E38" s="699"/>
      <c r="F38" s="699"/>
      <c r="G38" s="699"/>
      <c r="H38" s="699"/>
      <c r="I38" s="393"/>
      <c r="J38" s="393"/>
      <c r="K38" s="393"/>
      <c r="L38" s="393"/>
      <c r="M38" s="394"/>
      <c r="N38" s="674"/>
      <c r="O38" s="397"/>
      <c r="P38" s="395"/>
      <c r="Q38" s="396"/>
      <c r="R38" s="674"/>
      <c r="S38" s="393"/>
      <c r="T38" s="396"/>
      <c r="U38" s="674"/>
      <c r="V38" s="420"/>
      <c r="W38" s="383"/>
      <c r="X38" s="383"/>
      <c r="Y38" s="383"/>
      <c r="Z38" s="383"/>
      <c r="AA38" s="383"/>
      <c r="AB38" s="383"/>
      <c r="AC38" s="383"/>
      <c r="AH38" s="788"/>
      <c r="AI38" s="788"/>
      <c r="AK38" s="419"/>
      <c r="AL38" s="782"/>
      <c r="AM38" s="782"/>
      <c r="AN38" s="782"/>
      <c r="AO38" s="782"/>
      <c r="AP38" s="782"/>
      <c r="AQ38" s="782"/>
      <c r="AR38" s="782"/>
      <c r="AS38" s="782"/>
      <c r="AT38" s="782"/>
      <c r="AU38" s="782"/>
      <c r="AV38" s="782"/>
      <c r="AW38" s="782"/>
      <c r="AX38" s="782"/>
      <c r="AY38" s="782"/>
      <c r="AZ38" s="782"/>
      <c r="BA38" s="782"/>
      <c r="BB38" s="782"/>
      <c r="BC38" s="782"/>
      <c r="BD38" s="782"/>
      <c r="BE38" s="782"/>
      <c r="BF38" s="782"/>
    </row>
    <row r="39" spans="2:58" ht="15" customHeight="1">
      <c r="B39" s="559"/>
      <c r="C39" s="392"/>
      <c r="D39" s="499" t="s">
        <v>900</v>
      </c>
      <c r="E39" s="700"/>
      <c r="F39" s="700"/>
      <c r="G39" s="700">
        <v>1227</v>
      </c>
      <c r="H39" s="700">
        <v>1258</v>
      </c>
      <c r="I39" s="400" t="e">
        <v>#N/A</v>
      </c>
      <c r="J39" s="400"/>
      <c r="K39" s="400"/>
      <c r="L39" s="400">
        <v>1534</v>
      </c>
      <c r="M39" s="394">
        <v>1758</v>
      </c>
      <c r="N39" s="402" t="e">
        <f>M39/I39-1</f>
        <v>#N/A</v>
      </c>
      <c r="O39" s="397"/>
      <c r="P39" s="400">
        <v>1624</v>
      </c>
      <c r="Q39" s="683">
        <f>M39/P39-1</f>
        <v>8.2512315270935943E-2</v>
      </c>
      <c r="R39" s="402"/>
      <c r="S39" s="400">
        <v>0</v>
      </c>
      <c r="T39" s="683" t="e">
        <f>M39/S39-1</f>
        <v>#DIV/0!</v>
      </c>
      <c r="U39" s="402">
        <f>S39/P39-1</f>
        <v>-1</v>
      </c>
      <c r="V39" s="420"/>
      <c r="W39" s="383"/>
      <c r="X39" s="383"/>
      <c r="Y39" s="383"/>
      <c r="Z39" s="383"/>
      <c r="AA39" s="383"/>
      <c r="AB39" s="383"/>
      <c r="AC39" s="383"/>
      <c r="AH39" s="788"/>
      <c r="AI39" s="788"/>
      <c r="AK39" s="419"/>
      <c r="AL39" s="782"/>
      <c r="AM39" s="782"/>
      <c r="AN39" s="782"/>
      <c r="AO39" s="782"/>
      <c r="AP39" s="782"/>
      <c r="AQ39" s="782"/>
      <c r="AR39" s="782"/>
      <c r="AS39" s="782"/>
      <c r="AT39" s="782"/>
      <c r="AU39" s="782"/>
      <c r="AV39" s="782"/>
      <c r="AW39" s="782"/>
      <c r="AX39" s="782"/>
      <c r="AY39" s="782"/>
      <c r="AZ39" s="782"/>
      <c r="BA39" s="782"/>
      <c r="BB39" s="782"/>
      <c r="BC39" s="782"/>
      <c r="BD39" s="782"/>
      <c r="BE39" s="782"/>
      <c r="BF39" s="782"/>
    </row>
    <row r="40" spans="2:58" ht="15" customHeight="1">
      <c r="B40" s="392"/>
      <c r="C40" s="392"/>
      <c r="D40" s="681" t="s">
        <v>903</v>
      </c>
      <c r="E40" s="703"/>
      <c r="F40" s="703"/>
      <c r="G40" s="703">
        <f>G39/G32</f>
        <v>0.20789562860047442</v>
      </c>
      <c r="H40" s="703">
        <f>H39/H32</f>
        <v>0.20478593521080904</v>
      </c>
      <c r="I40" s="415" t="e">
        <f>I39/I32</f>
        <v>#N/A</v>
      </c>
      <c r="J40" s="415"/>
      <c r="K40" s="415"/>
      <c r="L40" s="415">
        <f>L39/L32</f>
        <v>0.2133222083159505</v>
      </c>
      <c r="M40" s="422">
        <f>M39/M32</f>
        <v>0.23312558016178225</v>
      </c>
      <c r="N40" s="456" t="e">
        <f>(M40-I40)*100</f>
        <v>#N/A</v>
      </c>
      <c r="O40" s="397"/>
      <c r="P40" s="841">
        <f>P39/P32</f>
        <v>0.21714132905468644</v>
      </c>
      <c r="Q40" s="685">
        <f>(M40-P40)*100</f>
        <v>1.5984251107095808</v>
      </c>
      <c r="R40" s="456"/>
      <c r="S40" s="841" t="e">
        <f t="shared" ref="S40" si="9">S39/S32</f>
        <v>#DIV/0!</v>
      </c>
      <c r="T40" s="685" t="e">
        <f>(M40-S40)*100</f>
        <v>#DIV/0!</v>
      </c>
      <c r="U40" s="456" t="e">
        <f>(S40-P40)*100</f>
        <v>#DIV/0!</v>
      </c>
      <c r="V40" s="420"/>
      <c r="W40" s="383"/>
      <c r="X40" s="383"/>
      <c r="Y40" s="383"/>
      <c r="Z40" s="383"/>
      <c r="AA40" s="383"/>
      <c r="AB40" s="383"/>
      <c r="AC40" s="383"/>
      <c r="AH40" s="788"/>
      <c r="AI40" s="788"/>
      <c r="AK40" s="419"/>
      <c r="AL40" s="782"/>
      <c r="AM40" s="782"/>
      <c r="AN40" s="782"/>
      <c r="AO40" s="782"/>
      <c r="AP40" s="782"/>
      <c r="AQ40" s="782"/>
      <c r="AR40" s="782"/>
      <c r="AS40" s="782"/>
      <c r="AT40" s="782"/>
      <c r="AU40" s="782"/>
      <c r="AV40" s="782"/>
      <c r="AW40" s="782"/>
      <c r="AX40" s="782"/>
      <c r="AY40" s="782"/>
      <c r="AZ40" s="782"/>
      <c r="BA40" s="782"/>
      <c r="BB40" s="782"/>
      <c r="BC40" s="782"/>
      <c r="BD40" s="782"/>
      <c r="BE40" s="782"/>
      <c r="BF40" s="782"/>
    </row>
    <row r="41" spans="2:58" ht="15" customHeight="1">
      <c r="B41" s="392"/>
      <c r="C41" s="392"/>
      <c r="D41" s="499" t="s">
        <v>1174</v>
      </c>
      <c r="E41" s="700"/>
      <c r="F41" s="700"/>
      <c r="G41" s="700">
        <v>588</v>
      </c>
      <c r="H41" s="700">
        <v>621</v>
      </c>
      <c r="I41" s="400" t="e">
        <v>#N/A</v>
      </c>
      <c r="J41" s="400"/>
      <c r="K41" s="400"/>
      <c r="L41" s="400">
        <v>641</v>
      </c>
      <c r="M41" s="394">
        <v>703</v>
      </c>
      <c r="N41" s="402" t="e">
        <f>M41/I41-1</f>
        <v>#N/A</v>
      </c>
      <c r="O41" s="397"/>
      <c r="P41" s="400">
        <v>738</v>
      </c>
      <c r="Q41" s="683">
        <f>M41/P41-1</f>
        <v>-4.7425474254742528E-2</v>
      </c>
      <c r="R41" s="402"/>
      <c r="S41" s="400">
        <v>0</v>
      </c>
      <c r="T41" s="683" t="e">
        <f>M41/S41-1</f>
        <v>#DIV/0!</v>
      </c>
      <c r="U41" s="402">
        <f>S41/P41-1</f>
        <v>-1</v>
      </c>
      <c r="V41" s="420"/>
      <c r="W41" s="383"/>
      <c r="X41" s="383"/>
      <c r="Y41" s="383"/>
      <c r="Z41" s="383"/>
      <c r="AA41" s="383"/>
      <c r="AB41" s="383"/>
      <c r="AC41" s="383"/>
      <c r="AH41" s="788"/>
      <c r="AI41" s="788"/>
      <c r="AK41" s="419"/>
      <c r="AL41" s="782"/>
      <c r="AM41" s="782"/>
      <c r="AN41" s="782"/>
      <c r="AO41" s="782"/>
      <c r="AP41" s="782"/>
      <c r="AQ41" s="782"/>
      <c r="AR41" s="782"/>
      <c r="AS41" s="782"/>
      <c r="AT41" s="782"/>
      <c r="AU41" s="782"/>
      <c r="AV41" s="782"/>
      <c r="AW41" s="782"/>
      <c r="AX41" s="782"/>
      <c r="AY41" s="782"/>
      <c r="AZ41" s="782"/>
      <c r="BA41" s="782"/>
      <c r="BB41" s="782"/>
      <c r="BC41" s="782"/>
      <c r="BD41" s="782"/>
      <c r="BE41" s="782"/>
      <c r="BF41" s="782"/>
    </row>
    <row r="42" spans="2:58" ht="15" customHeight="1">
      <c r="B42" s="392"/>
      <c r="C42" s="392"/>
      <c r="D42" s="681" t="s">
        <v>903</v>
      </c>
      <c r="E42" s="703"/>
      <c r="F42" s="703"/>
      <c r="G42" s="703">
        <f>G41/G33</f>
        <v>0.12914561827366572</v>
      </c>
      <c r="H42" s="703">
        <f>H41/H33</f>
        <v>0.13204337656814799</v>
      </c>
      <c r="I42" s="415" t="e">
        <f>I41/I33</f>
        <v>#N/A</v>
      </c>
      <c r="J42" s="415"/>
      <c r="K42" s="415"/>
      <c r="L42" s="415">
        <f>L41/L33</f>
        <v>0.11765785609397944</v>
      </c>
      <c r="M42" s="422">
        <f>M41/M33</f>
        <v>0.12533428418612944</v>
      </c>
      <c r="N42" s="456" t="e">
        <f>(M42-I42)*100</f>
        <v>#N/A</v>
      </c>
      <c r="O42" s="397"/>
      <c r="P42" s="841">
        <f>P41/P33</f>
        <v>0.12875087229588275</v>
      </c>
      <c r="Q42" s="685">
        <f>(M42-P42)*100</f>
        <v>-0.34165881097533157</v>
      </c>
      <c r="R42" s="456"/>
      <c r="S42" s="841" t="e">
        <f t="shared" ref="S42" si="10">S41/S33</f>
        <v>#DIV/0!</v>
      </c>
      <c r="T42" s="685" t="e">
        <f>(M42-S42)*100</f>
        <v>#DIV/0!</v>
      </c>
      <c r="U42" s="456" t="e">
        <f>(S42-P42)*100</f>
        <v>#DIV/0!</v>
      </c>
      <c r="V42" s="420"/>
      <c r="W42" s="383"/>
      <c r="X42" s="383"/>
      <c r="Y42" s="383"/>
      <c r="Z42" s="383"/>
      <c r="AA42" s="383"/>
      <c r="AB42" s="383"/>
      <c r="AC42" s="383"/>
      <c r="AH42" s="788"/>
      <c r="AI42" s="788"/>
      <c r="AK42" s="419"/>
      <c r="AL42" s="782"/>
      <c r="AM42" s="782"/>
      <c r="AN42" s="782"/>
      <c r="AO42" s="782"/>
      <c r="AP42" s="782"/>
      <c r="AQ42" s="782"/>
      <c r="AR42" s="782"/>
      <c r="AS42" s="782"/>
      <c r="AT42" s="782"/>
      <c r="AU42" s="782"/>
      <c r="AV42" s="782"/>
      <c r="AW42" s="782"/>
      <c r="AX42" s="782"/>
      <c r="AY42" s="782"/>
      <c r="AZ42" s="782"/>
      <c r="BA42" s="782"/>
      <c r="BB42" s="782"/>
      <c r="BC42" s="782"/>
      <c r="BD42" s="782"/>
      <c r="BE42" s="782"/>
      <c r="BF42" s="782"/>
    </row>
    <row r="43" spans="2:58" ht="15" customHeight="1">
      <c r="B43" s="392"/>
      <c r="C43" s="392"/>
      <c r="D43" s="499" t="s">
        <v>1093</v>
      </c>
      <c r="E43" s="700"/>
      <c r="F43" s="700"/>
      <c r="G43" s="700">
        <v>85</v>
      </c>
      <c r="H43" s="700">
        <v>103</v>
      </c>
      <c r="I43" s="400" t="e">
        <v>#N/A</v>
      </c>
      <c r="J43" s="400"/>
      <c r="K43" s="400"/>
      <c r="L43" s="400">
        <v>17</v>
      </c>
      <c r="M43" s="394">
        <v>27</v>
      </c>
      <c r="N43" s="402" t="e">
        <f>-(M43/I43-1)</f>
        <v>#N/A</v>
      </c>
      <c r="O43" s="397"/>
      <c r="P43" s="400">
        <v>38</v>
      </c>
      <c r="Q43" s="683">
        <f>-(M43/P43-1)</f>
        <v>0.28947368421052633</v>
      </c>
      <c r="R43" s="402"/>
      <c r="S43" s="400">
        <v>0</v>
      </c>
      <c r="T43" s="683" t="e">
        <f>-(M43/S43-1)</f>
        <v>#DIV/0!</v>
      </c>
      <c r="U43" s="402">
        <f>-(S43/P43-1)</f>
        <v>1</v>
      </c>
      <c r="V43" s="420"/>
      <c r="W43" s="383"/>
      <c r="X43" s="383"/>
      <c r="Y43" s="383"/>
      <c r="Z43" s="383"/>
      <c r="AA43" s="383"/>
      <c r="AB43" s="383"/>
      <c r="AC43" s="383"/>
      <c r="AH43" s="788"/>
      <c r="AI43" s="788"/>
      <c r="AK43" s="419"/>
      <c r="AL43" s="782"/>
      <c r="AM43" s="782"/>
      <c r="AN43" s="782"/>
      <c r="AO43" s="782"/>
      <c r="AP43" s="782"/>
      <c r="AQ43" s="782"/>
      <c r="AR43" s="782"/>
      <c r="AS43" s="782"/>
      <c r="AT43" s="782"/>
      <c r="AU43" s="782"/>
      <c r="AV43" s="782"/>
      <c r="AW43" s="782"/>
      <c r="AX43" s="782"/>
      <c r="AY43" s="782"/>
      <c r="AZ43" s="782"/>
      <c r="BA43" s="782"/>
      <c r="BB43" s="782"/>
      <c r="BC43" s="782"/>
      <c r="BD43" s="782"/>
      <c r="BE43" s="782"/>
      <c r="BF43" s="782"/>
    </row>
    <row r="44" spans="2:58" ht="15" customHeight="1">
      <c r="B44" s="392"/>
      <c r="C44" s="392"/>
      <c r="D44" s="681" t="s">
        <v>903</v>
      </c>
      <c r="E44" s="703"/>
      <c r="F44" s="703"/>
      <c r="G44" s="703">
        <f>G43/G34</f>
        <v>5.1829268292682924E-2</v>
      </c>
      <c r="H44" s="703">
        <f>H43/H34</f>
        <v>6.1273051754907791E-2</v>
      </c>
      <c r="I44" s="415" t="e">
        <f>I43/I34</f>
        <v>#N/A</v>
      </c>
      <c r="J44" s="415"/>
      <c r="K44" s="415"/>
      <c r="L44" s="415">
        <f>L43/L34</f>
        <v>1.0455104551045511E-2</v>
      </c>
      <c r="M44" s="422">
        <f>M43/M34</f>
        <v>1.6707920792079209E-2</v>
      </c>
      <c r="N44" s="456" t="e">
        <f>(M44-I44)*100</f>
        <v>#N/A</v>
      </c>
      <c r="O44" s="397"/>
      <c r="P44" s="841">
        <f>P43/P34</f>
        <v>2.3794614902943018E-2</v>
      </c>
      <c r="Q44" s="685">
        <f>(M44-P44)*100</f>
        <v>-0.70866941108638093</v>
      </c>
      <c r="R44" s="456"/>
      <c r="S44" s="841" t="e">
        <f>S43/S34</f>
        <v>#DIV/0!</v>
      </c>
      <c r="T44" s="685" t="e">
        <f>(M44-S44)*100</f>
        <v>#DIV/0!</v>
      </c>
      <c r="U44" s="456" t="e">
        <f>(S44-P44)*100</f>
        <v>#DIV/0!</v>
      </c>
      <c r="V44" s="420"/>
      <c r="W44" s="383"/>
      <c r="X44" s="383"/>
      <c r="Y44" s="383"/>
      <c r="Z44" s="383"/>
      <c r="AA44" s="383"/>
      <c r="AB44" s="383"/>
      <c r="AC44" s="383"/>
      <c r="AH44" s="788"/>
      <c r="AI44" s="788"/>
      <c r="AK44" s="419"/>
      <c r="AL44" s="782"/>
      <c r="AM44" s="782"/>
      <c r="AN44" s="782"/>
      <c r="AO44" s="782"/>
      <c r="AP44" s="782"/>
      <c r="AQ44" s="782"/>
      <c r="AR44" s="782"/>
      <c r="AS44" s="782"/>
      <c r="AT44" s="782"/>
      <c r="AU44" s="782"/>
      <c r="AV44" s="782"/>
      <c r="AW44" s="782"/>
      <c r="AX44" s="782"/>
      <c r="AY44" s="782"/>
      <c r="AZ44" s="782"/>
      <c r="BA44" s="782"/>
      <c r="BB44" s="782"/>
      <c r="BC44" s="782"/>
      <c r="BD44" s="782"/>
      <c r="BE44" s="782"/>
      <c r="BF44" s="782"/>
    </row>
    <row r="45" spans="2:58" ht="15" customHeight="1">
      <c r="B45" s="392"/>
      <c r="C45" s="392"/>
      <c r="D45" s="500" t="s">
        <v>1185</v>
      </c>
      <c r="E45" s="704"/>
      <c r="F45" s="704"/>
      <c r="G45" s="704">
        <v>1883</v>
      </c>
      <c r="H45" s="704">
        <v>1937</v>
      </c>
      <c r="I45" s="404" t="e">
        <v>#N/A</v>
      </c>
      <c r="J45" s="404"/>
      <c r="K45" s="404"/>
      <c r="L45" s="404">
        <v>2145</v>
      </c>
      <c r="M45" s="405">
        <v>2510</v>
      </c>
      <c r="N45" s="682" t="e">
        <f>M45/I45-1</f>
        <v>#N/A</v>
      </c>
      <c r="O45" s="406"/>
      <c r="P45" s="404">
        <v>2392</v>
      </c>
      <c r="Q45" s="684">
        <f>M45/P45-1</f>
        <v>4.9331103678929678E-2</v>
      </c>
      <c r="R45" s="682"/>
      <c r="S45" s="404">
        <v>0</v>
      </c>
      <c r="T45" s="684" t="e">
        <f>M45/S45-1</f>
        <v>#DIV/0!</v>
      </c>
      <c r="U45" s="682">
        <f>S45/P45-1</f>
        <v>-1</v>
      </c>
      <c r="V45" s="420"/>
      <c r="W45" s="383"/>
      <c r="X45" s="383"/>
      <c r="Y45" s="383"/>
      <c r="Z45" s="383"/>
      <c r="AA45" s="383"/>
      <c r="AB45" s="383"/>
      <c r="AC45" s="383"/>
      <c r="AH45" s="790"/>
      <c r="AI45" s="790"/>
      <c r="AK45" s="419"/>
      <c r="AL45" s="782"/>
      <c r="AM45" s="782"/>
      <c r="AN45" s="782"/>
      <c r="AO45" s="782"/>
      <c r="AP45" s="782"/>
      <c r="AQ45" s="782"/>
      <c r="AR45" s="782"/>
      <c r="AS45" s="782"/>
      <c r="AT45" s="782"/>
      <c r="AU45" s="782"/>
      <c r="AV45" s="782"/>
      <c r="AW45" s="782"/>
      <c r="AX45" s="782"/>
      <c r="AY45" s="782"/>
      <c r="AZ45" s="782"/>
      <c r="BA45" s="782"/>
      <c r="BB45" s="782"/>
      <c r="BC45" s="782"/>
      <c r="BD45" s="782"/>
      <c r="BE45" s="782"/>
      <c r="BF45" s="782"/>
    </row>
    <row r="46" spans="2:58" ht="15" customHeight="1">
      <c r="B46" s="392"/>
      <c r="C46" s="392"/>
      <c r="D46" s="681" t="s">
        <v>903</v>
      </c>
      <c r="E46" s="703"/>
      <c r="F46" s="703"/>
      <c r="G46" s="703">
        <f>G45/G36</f>
        <v>0.15559411667492976</v>
      </c>
      <c r="H46" s="703">
        <f>H45/H36</f>
        <v>0.15449034933801245</v>
      </c>
      <c r="I46" s="415" t="e">
        <f>I45/I36</f>
        <v>#N/A</v>
      </c>
      <c r="J46" s="415"/>
      <c r="K46" s="415"/>
      <c r="L46" s="415">
        <f>L45/L36</f>
        <v>0.15031534688156972</v>
      </c>
      <c r="M46" s="422">
        <f>M45/M36</f>
        <v>0.16995057214435641</v>
      </c>
      <c r="N46" s="456" t="e">
        <f>(M46-I46)*100</f>
        <v>#N/A</v>
      </c>
      <c r="O46" s="397"/>
      <c r="P46" s="841">
        <f>P45/P36</f>
        <v>0.16231254665128589</v>
      </c>
      <c r="Q46" s="685">
        <f>(M46-P46)*100</f>
        <v>0.76380254930705216</v>
      </c>
      <c r="R46" s="456"/>
      <c r="S46" s="841" t="e">
        <f>S45/S36</f>
        <v>#DIV/0!</v>
      </c>
      <c r="T46" s="685" t="e">
        <f>(M46-S46)*100</f>
        <v>#DIV/0!</v>
      </c>
      <c r="U46" s="456" t="e">
        <f>(S46-P46)*100</f>
        <v>#DIV/0!</v>
      </c>
      <c r="V46" s="420"/>
      <c r="W46" s="383"/>
      <c r="X46" s="383"/>
      <c r="Y46" s="383"/>
      <c r="Z46" s="383"/>
      <c r="AA46" s="383"/>
      <c r="AB46" s="383"/>
      <c r="AC46" s="383"/>
      <c r="AH46" s="791"/>
      <c r="AI46" s="788"/>
      <c r="AK46" s="419"/>
      <c r="AL46" s="782"/>
      <c r="AM46" s="782"/>
      <c r="AN46" s="782"/>
      <c r="AO46" s="782"/>
      <c r="AP46" s="782"/>
      <c r="AQ46" s="782"/>
      <c r="AR46" s="782"/>
      <c r="AS46" s="782"/>
      <c r="AT46" s="782"/>
      <c r="AU46" s="782"/>
      <c r="AV46" s="782"/>
      <c r="AW46" s="782"/>
      <c r="AX46" s="782"/>
      <c r="AY46" s="782"/>
      <c r="AZ46" s="782"/>
      <c r="BA46" s="782"/>
      <c r="BB46" s="782"/>
      <c r="BC46" s="782"/>
      <c r="BD46" s="782"/>
      <c r="BE46" s="782"/>
      <c r="BF46" s="782"/>
    </row>
    <row r="47" spans="2:58" ht="6.75" customHeight="1">
      <c r="B47" s="410"/>
      <c r="C47" s="410"/>
      <c r="D47" s="501"/>
      <c r="E47" s="702"/>
      <c r="F47" s="702"/>
      <c r="G47" s="702"/>
      <c r="H47" s="702"/>
      <c r="I47" s="131"/>
      <c r="J47" s="131"/>
      <c r="K47" s="131"/>
      <c r="L47" s="131"/>
      <c r="M47" s="394"/>
      <c r="N47" s="674"/>
      <c r="O47" s="397"/>
      <c r="P47" s="131"/>
      <c r="Q47" s="396"/>
      <c r="R47" s="674"/>
      <c r="S47" s="131"/>
      <c r="T47" s="396"/>
      <c r="U47" s="674"/>
      <c r="V47" s="420"/>
      <c r="W47" s="383"/>
      <c r="X47" s="383"/>
      <c r="Y47" s="383"/>
      <c r="Z47" s="383"/>
      <c r="AA47" s="383"/>
      <c r="AB47" s="383"/>
      <c r="AC47" s="383"/>
      <c r="AK47" s="419"/>
    </row>
    <row r="48" spans="2:58" ht="15" customHeight="1">
      <c r="B48" s="392"/>
      <c r="C48" s="392"/>
      <c r="D48" s="500" t="s">
        <v>901</v>
      </c>
      <c r="E48" s="704"/>
      <c r="F48" s="704"/>
      <c r="G48" s="704">
        <v>1177</v>
      </c>
      <c r="H48" s="704">
        <v>806</v>
      </c>
      <c r="I48" s="404" t="e">
        <v>#N/A</v>
      </c>
      <c r="J48" s="404"/>
      <c r="K48" s="404"/>
      <c r="L48" s="404">
        <v>1726</v>
      </c>
      <c r="M48" s="405">
        <v>1834</v>
      </c>
      <c r="N48" s="731" t="e">
        <f>M48/I48-1</f>
        <v>#N/A</v>
      </c>
      <c r="O48" s="406"/>
      <c r="P48" s="404">
        <v>1745</v>
      </c>
      <c r="Q48" s="730">
        <f>M48/P48-1</f>
        <v>5.1002865329512925E-2</v>
      </c>
      <c r="R48" s="731"/>
      <c r="S48" s="404">
        <v>0</v>
      </c>
      <c r="T48" s="730" t="e">
        <f>M48/S48-1</f>
        <v>#DIV/0!</v>
      </c>
      <c r="U48" s="731">
        <f>S48/P48-1</f>
        <v>-1</v>
      </c>
      <c r="V48" s="420"/>
      <c r="W48" s="383"/>
      <c r="X48" s="383"/>
      <c r="Y48" s="383"/>
      <c r="Z48" s="383"/>
      <c r="AA48" s="383"/>
      <c r="AB48" s="383"/>
      <c r="AC48" s="383"/>
      <c r="AH48" s="790"/>
      <c r="AI48" s="790"/>
      <c r="AK48" s="419"/>
      <c r="AL48" s="782"/>
      <c r="AM48" s="782"/>
      <c r="AN48" s="782"/>
      <c r="AO48" s="782"/>
      <c r="AP48" s="782"/>
      <c r="AQ48" s="782"/>
      <c r="AR48" s="782"/>
      <c r="AS48" s="782"/>
      <c r="AT48" s="782"/>
      <c r="AU48" s="782"/>
      <c r="AV48" s="782"/>
      <c r="AW48" s="782"/>
      <c r="AX48" s="782"/>
      <c r="AY48" s="782"/>
      <c r="AZ48" s="782"/>
      <c r="BA48" s="782"/>
      <c r="BB48" s="782"/>
      <c r="BC48" s="782"/>
      <c r="BD48" s="782"/>
      <c r="BE48" s="782"/>
      <c r="BF48" s="782"/>
    </row>
    <row r="49" spans="2:58" ht="6.75" customHeight="1">
      <c r="B49" s="410"/>
      <c r="C49" s="410"/>
      <c r="D49" s="501"/>
      <c r="E49" s="702"/>
      <c r="F49" s="702"/>
      <c r="G49" s="702"/>
      <c r="H49" s="702"/>
      <c r="I49" s="131"/>
      <c r="J49" s="131"/>
      <c r="K49" s="131"/>
      <c r="L49" s="131"/>
      <c r="M49" s="394"/>
      <c r="N49" s="674"/>
      <c r="O49" s="397"/>
      <c r="P49" s="131"/>
      <c r="Q49" s="396"/>
      <c r="R49" s="674"/>
      <c r="S49" s="131"/>
      <c r="T49" s="396"/>
      <c r="U49" s="674"/>
      <c r="V49" s="420"/>
      <c r="W49" s="383"/>
      <c r="X49" s="383"/>
      <c r="Y49" s="383"/>
      <c r="Z49" s="383"/>
      <c r="AA49" s="383"/>
      <c r="AB49" s="383"/>
      <c r="AC49" s="383"/>
      <c r="AK49" s="419"/>
    </row>
    <row r="50" spans="2:58" ht="15" hidden="1" customHeight="1" outlineLevel="1">
      <c r="B50" s="565" t="s">
        <v>1391</v>
      </c>
      <c r="C50" s="392"/>
      <c r="D50" s="560" t="s">
        <v>1280</v>
      </c>
      <c r="E50" s="561"/>
      <c r="F50" s="561"/>
      <c r="G50" s="561">
        <v>2785.1047971182643</v>
      </c>
      <c r="H50" s="561">
        <v>3008.6018133989924</v>
      </c>
      <c r="I50" s="561" t="e">
        <v>#N/A</v>
      </c>
      <c r="J50" s="561"/>
      <c r="K50" s="561"/>
      <c r="L50" s="561" t="e">
        <v>#N/A</v>
      </c>
      <c r="M50" s="405" t="e">
        <f>M83-L50</f>
        <v>#N/A</v>
      </c>
      <c r="N50" s="675"/>
      <c r="O50" s="562"/>
      <c r="P50" s="725" t="e">
        <f>I50*(1+P51)</f>
        <v>#N/A</v>
      </c>
      <c r="Q50" s="686"/>
      <c r="R50" s="675"/>
      <c r="S50" s="561">
        <v>0</v>
      </c>
      <c r="T50" s="686"/>
      <c r="U50" s="675"/>
      <c r="V50" s="420"/>
      <c r="W50" s="383"/>
      <c r="X50" s="383"/>
      <c r="Y50" s="383"/>
      <c r="Z50" s="383"/>
      <c r="AA50" s="383"/>
      <c r="AB50" s="383"/>
      <c r="AC50" s="383"/>
      <c r="AH50" s="792"/>
      <c r="AI50" s="792"/>
      <c r="AK50" s="419"/>
      <c r="AL50" s="782"/>
      <c r="AM50" s="782"/>
      <c r="AN50" s="782"/>
      <c r="AO50" s="793"/>
      <c r="AP50" s="784"/>
      <c r="AQ50" s="784"/>
      <c r="AR50" s="782"/>
      <c r="AS50" s="782"/>
      <c r="AT50" s="782"/>
      <c r="AU50" s="782"/>
      <c r="AV50" s="782"/>
      <c r="AW50" s="782"/>
      <c r="AX50" s="782"/>
      <c r="AY50" s="782"/>
      <c r="AZ50" s="782"/>
      <c r="BA50" s="782"/>
      <c r="BB50" s="782"/>
      <c r="BC50" s="782"/>
      <c r="BD50" s="782"/>
      <c r="BE50" s="782"/>
      <c r="BF50" s="782"/>
    </row>
    <row r="51" spans="2:58" ht="15" hidden="1" customHeight="1" outlineLevel="1" collapsed="1">
      <c r="B51" s="399" t="s">
        <v>1187</v>
      </c>
      <c r="C51" s="408"/>
      <c r="D51" s="500" t="s">
        <v>1406</v>
      </c>
      <c r="E51" s="705"/>
      <c r="F51" s="705"/>
      <c r="G51" s="705">
        <v>0.10112926052288196</v>
      </c>
      <c r="H51" s="705">
        <v>9.7036240486914505E-2</v>
      </c>
      <c r="I51" s="130" t="e">
        <v>#N/A</v>
      </c>
      <c r="J51" s="130"/>
      <c r="K51" s="130"/>
      <c r="L51" s="130" t="e">
        <v>#N/A</v>
      </c>
      <c r="M51" s="409">
        <v>0.216</v>
      </c>
      <c r="N51" s="678" t="e">
        <f>(M51-I51)*100</f>
        <v>#N/A</v>
      </c>
      <c r="O51" s="406"/>
      <c r="P51" s="130">
        <f>_xll.VisibleAlpha.UDF.VAData("SAF_FR",MID(P$29,2,1)&amp;LEFT(P$29,1)&amp;"-"&amp;MID(P$29,4,4),$B51,"Consensus","CD","IMPL")/100</f>
        <v>0.15324505271824901</v>
      </c>
      <c r="Q51" s="680">
        <f>(M51-P51)*100</f>
        <v>6.275494728175099</v>
      </c>
      <c r="R51" s="678"/>
      <c r="S51" s="130">
        <v>0</v>
      </c>
      <c r="T51" s="680">
        <f>(M51-S51)*100</f>
        <v>21.6</v>
      </c>
      <c r="U51" s="678">
        <f>(S51-P51)*100</f>
        <v>-15.324505271824901</v>
      </c>
      <c r="V51" s="420"/>
      <c r="W51" s="383"/>
      <c r="X51" s="383"/>
      <c r="Y51" s="383"/>
      <c r="Z51" s="383"/>
      <c r="AA51" s="383"/>
      <c r="AB51" s="383"/>
      <c r="AC51" s="383"/>
      <c r="AH51" s="794"/>
      <c r="AI51" s="794"/>
      <c r="AK51" s="419"/>
      <c r="AO51" s="793"/>
      <c r="AP51" s="784"/>
      <c r="AQ51" s="784"/>
      <c r="AR51" s="784"/>
      <c r="AS51" s="784"/>
      <c r="AT51" s="784"/>
      <c r="AU51" s="784"/>
      <c r="AV51" s="784"/>
      <c r="AW51" s="784"/>
      <c r="AX51" s="784"/>
      <c r="AY51" s="784"/>
      <c r="AZ51" s="784"/>
      <c r="BA51" s="784"/>
      <c r="BB51" s="784"/>
      <c r="BC51" s="784"/>
      <c r="BD51" s="784"/>
      <c r="BE51" s="784"/>
      <c r="BF51" s="784"/>
    </row>
    <row r="52" spans="2:58" ht="15" hidden="1" customHeight="1" outlineLevel="1">
      <c r="B52" s="399"/>
      <c r="C52" s="408"/>
      <c r="D52" s="500" t="s">
        <v>1407</v>
      </c>
      <c r="E52" s="705"/>
      <c r="F52" s="705"/>
      <c r="G52" s="705">
        <f t="shared" ref="G52:H52" si="11">G50/(INDEX($G$50:$H$50,MATCH(G26,$G$26:$H$26,0)))</f>
        <v>1</v>
      </c>
      <c r="H52" s="705">
        <f t="shared" si="11"/>
        <v>1</v>
      </c>
      <c r="I52" s="130" t="e">
        <f>I50/(INDEX($G$50:$H$50,MATCH(I26,$G$26:$H$26,0)))</f>
        <v>#N/A</v>
      </c>
      <c r="J52" s="130"/>
      <c r="K52" s="130"/>
      <c r="L52" s="130" t="e">
        <f>L50/(INDEX($G$50:$H$50,MATCH(L26,$G$26:$H$26,0)))</f>
        <v>#N/A</v>
      </c>
      <c r="M52" s="409"/>
      <c r="N52" s="678" t="e">
        <f>(M52-I52)*100</f>
        <v>#N/A</v>
      </c>
      <c r="O52" s="406"/>
      <c r="P52" s="130" t="e">
        <f>P50/(INDEX($G$50:$H$50,MATCH(P26,$G$26:$H$26,0)))</f>
        <v>#N/A</v>
      </c>
      <c r="Q52" s="680" t="e">
        <f>(M52-P52)*100</f>
        <v>#N/A</v>
      </c>
      <c r="R52" s="678"/>
      <c r="S52" s="130">
        <f t="shared" ref="S52" si="12">S50/(INDEX($G$50:$H$50,MATCH(S26,$G$26:$H$26,0)))</f>
        <v>0</v>
      </c>
      <c r="T52" s="680">
        <f>(M52-S52)*100</f>
        <v>0</v>
      </c>
      <c r="U52" s="678" t="e">
        <f>(S52-P52)*100</f>
        <v>#N/A</v>
      </c>
      <c r="V52" s="420"/>
      <c r="W52" s="383"/>
      <c r="X52" s="383"/>
      <c r="Y52" s="383"/>
      <c r="Z52" s="383"/>
      <c r="AA52" s="383"/>
      <c r="AB52" s="383"/>
      <c r="AC52" s="383"/>
      <c r="AH52" s="788"/>
      <c r="AI52" s="788"/>
      <c r="AK52" s="419"/>
      <c r="AL52" s="784"/>
      <c r="AM52" s="784"/>
      <c r="AN52" s="784"/>
      <c r="AO52" s="784"/>
      <c r="AP52" s="784"/>
      <c r="AQ52" s="784"/>
      <c r="AR52" s="784"/>
      <c r="AS52" s="784"/>
      <c r="AT52" s="784"/>
      <c r="AU52" s="784"/>
      <c r="AV52" s="784"/>
      <c r="AW52" s="784"/>
      <c r="AX52" s="784"/>
      <c r="AY52" s="784"/>
      <c r="AZ52" s="784"/>
      <c r="BA52" s="784"/>
      <c r="BB52" s="784"/>
      <c r="BC52" s="784"/>
      <c r="BD52" s="784"/>
      <c r="BE52" s="784"/>
      <c r="BF52" s="784"/>
    </row>
    <row r="53" spans="2:58" ht="6.75" customHeight="1" collapsed="1">
      <c r="B53" s="410"/>
      <c r="C53" s="410"/>
      <c r="D53" s="501"/>
      <c r="E53" s="702"/>
      <c r="F53" s="702"/>
      <c r="G53" s="702"/>
      <c r="H53" s="702"/>
      <c r="I53" s="131"/>
      <c r="J53" s="131"/>
      <c r="K53" s="131"/>
      <c r="L53" s="131"/>
      <c r="M53" s="394"/>
      <c r="N53" s="674"/>
      <c r="O53" s="397"/>
      <c r="P53" s="131"/>
      <c r="Q53" s="396"/>
      <c r="R53" s="674"/>
      <c r="S53" s="131"/>
      <c r="T53" s="396"/>
      <c r="U53" s="674"/>
      <c r="V53" s="420"/>
      <c r="W53" s="383"/>
      <c r="X53" s="383"/>
      <c r="Y53" s="383"/>
      <c r="Z53" s="383"/>
      <c r="AA53" s="383"/>
      <c r="AB53" s="383"/>
      <c r="AC53" s="383"/>
      <c r="AK53" s="419"/>
    </row>
    <row r="54" spans="2:58" ht="15" customHeight="1">
      <c r="B54" s="399" t="s">
        <v>1400</v>
      </c>
      <c r="C54" s="392"/>
      <c r="D54" s="500" t="s">
        <v>1389</v>
      </c>
      <c r="E54" s="704"/>
      <c r="F54" s="704"/>
      <c r="G54" s="704"/>
      <c r="H54" s="704"/>
      <c r="I54" s="404" t="e">
        <v>#N/A</v>
      </c>
      <c r="J54" s="404"/>
      <c r="K54" s="404"/>
      <c r="L54" s="404">
        <v>743</v>
      </c>
      <c r="M54" s="405">
        <v>729</v>
      </c>
      <c r="N54" s="731" t="e">
        <f>M54/I54-1</f>
        <v>#N/A</v>
      </c>
      <c r="O54" s="406"/>
      <c r="P54" s="404">
        <f>_xll.VisibleAlpha.UDF.VAData("SAF_FR",MID(P$29,2,1)&amp;LEFT(P$29,1)&amp;"-"&amp;MID(P$29,4,4),$B54,"Consensus","CD","IMPL")</f>
        <v>1066.8881468023251</v>
      </c>
      <c r="Q54" s="730">
        <f>M54/P54-1</f>
        <v>-0.31670437788163897</v>
      </c>
      <c r="R54" s="731"/>
      <c r="S54" s="404" t="s">
        <v>1267</v>
      </c>
      <c r="T54" s="729" t="s">
        <v>1267</v>
      </c>
      <c r="U54" s="727" t="s">
        <v>1267</v>
      </c>
      <c r="V54" s="420"/>
      <c r="W54" s="383"/>
      <c r="X54" s="383"/>
      <c r="Y54" s="383"/>
      <c r="Z54" s="383"/>
      <c r="AA54" s="383"/>
      <c r="AB54" s="383"/>
      <c r="AC54" s="383"/>
      <c r="AH54" s="790"/>
      <c r="AI54" s="790"/>
      <c r="AK54" s="419"/>
      <c r="AL54" s="782"/>
      <c r="AM54" s="782"/>
      <c r="AN54" s="782"/>
      <c r="AO54" s="782"/>
      <c r="AP54" s="782"/>
      <c r="AQ54" s="782"/>
      <c r="AR54" s="782"/>
      <c r="AS54" s="782"/>
      <c r="AT54" s="782"/>
      <c r="AU54" s="782"/>
      <c r="AV54" s="782"/>
      <c r="AW54" s="782"/>
      <c r="AX54" s="782"/>
      <c r="AY54" s="782"/>
      <c r="AZ54" s="782"/>
      <c r="BA54" s="782"/>
      <c r="BB54" s="782"/>
      <c r="BC54" s="782"/>
      <c r="BD54" s="782"/>
      <c r="BE54" s="782"/>
      <c r="BF54" s="782"/>
    </row>
    <row r="55" spans="2:58" ht="3.75" customHeight="1">
      <c r="B55" s="410"/>
      <c r="C55" s="410"/>
      <c r="D55" s="501"/>
      <c r="E55" s="131"/>
      <c r="F55" s="131"/>
      <c r="G55" s="131"/>
      <c r="H55" s="131"/>
      <c r="I55" s="411"/>
      <c r="J55" s="411"/>
      <c r="K55" s="411"/>
      <c r="L55" s="411"/>
      <c r="M55" s="412"/>
      <c r="N55" s="673"/>
      <c r="O55" s="406"/>
      <c r="P55" s="411"/>
      <c r="Q55" s="413"/>
      <c r="R55" s="673"/>
      <c r="S55" s="411"/>
      <c r="T55" s="413"/>
      <c r="U55" s="673"/>
      <c r="V55" s="420"/>
      <c r="W55" s="383"/>
      <c r="X55" s="383"/>
      <c r="Y55" s="383"/>
      <c r="Z55" s="383"/>
      <c r="AA55" s="383"/>
      <c r="AB55" s="383"/>
      <c r="AC55" s="383"/>
      <c r="AK55" s="419"/>
      <c r="AL55" s="782"/>
      <c r="AM55" s="782"/>
      <c r="AN55" s="782"/>
      <c r="AO55" s="782"/>
      <c r="AP55" s="782"/>
      <c r="AQ55" s="782"/>
      <c r="AR55" s="782"/>
      <c r="AS55" s="782"/>
      <c r="AT55" s="782"/>
      <c r="AU55" s="782"/>
      <c r="AV55" s="782"/>
      <c r="AW55" s="782"/>
      <c r="AX55" s="782"/>
      <c r="AY55" s="782"/>
      <c r="AZ55" s="782"/>
      <c r="BA55" s="782"/>
      <c r="BB55" s="782"/>
      <c r="BC55" s="782"/>
      <c r="BD55" s="782"/>
      <c r="BE55" s="782"/>
      <c r="BF55" s="782"/>
    </row>
    <row r="56" spans="2:58">
      <c r="B56" s="392"/>
      <c r="C56" s="392"/>
      <c r="D56" s="785" t="s">
        <v>1390</v>
      </c>
      <c r="E56" s="415"/>
      <c r="F56" s="415"/>
      <c r="G56" s="415"/>
      <c r="H56" s="415"/>
      <c r="I56" s="416"/>
      <c r="J56" s="416"/>
      <c r="K56" s="416"/>
      <c r="L56" s="416"/>
      <c r="M56" s="417"/>
      <c r="N56" s="417"/>
      <c r="O56" s="397"/>
      <c r="P56" s="416"/>
      <c r="Q56" s="418"/>
      <c r="R56" s="418"/>
      <c r="S56" s="416"/>
      <c r="T56" s="402"/>
      <c r="U56" s="419"/>
      <c r="V56" s="420"/>
      <c r="W56" s="383"/>
      <c r="X56" s="383"/>
      <c r="Y56" s="383"/>
      <c r="Z56" s="383"/>
      <c r="AA56" s="383"/>
      <c r="AB56" s="383"/>
      <c r="AC56" s="383"/>
      <c r="AK56" s="419"/>
    </row>
    <row r="57" spans="2:58">
      <c r="B57" s="392"/>
      <c r="C57" s="392"/>
      <c r="D57" s="499"/>
      <c r="E57" s="415"/>
      <c r="F57" s="415"/>
      <c r="G57" s="415"/>
      <c r="H57" s="415"/>
      <c r="I57" s="416"/>
      <c r="J57" s="416"/>
      <c r="K57" s="416"/>
      <c r="L57" s="416"/>
      <c r="M57" s="417"/>
      <c r="N57" s="417"/>
      <c r="O57" s="397"/>
      <c r="P57" s="416"/>
      <c r="Q57" s="418"/>
      <c r="R57" s="418"/>
      <c r="S57" s="416"/>
      <c r="T57" s="402"/>
      <c r="U57" s="419"/>
      <c r="V57" s="420"/>
      <c r="W57" s="383"/>
      <c r="X57" s="383"/>
      <c r="Y57" s="383"/>
      <c r="Z57" s="383"/>
      <c r="AA57" s="383"/>
      <c r="AB57" s="383"/>
      <c r="AC57" s="383"/>
      <c r="AK57" s="419"/>
    </row>
    <row r="58" spans="2:58" ht="3" customHeight="1">
      <c r="D58" s="502"/>
      <c r="E58" s="110"/>
      <c r="F58" s="110"/>
      <c r="G58" s="110"/>
      <c r="H58" s="110"/>
      <c r="I58" s="110"/>
      <c r="J58" s="110"/>
      <c r="K58" s="110"/>
      <c r="L58" s="110"/>
      <c r="M58" s="110"/>
      <c r="N58" s="384"/>
      <c r="O58" s="85"/>
      <c r="P58" s="387"/>
      <c r="Q58" s="388"/>
      <c r="R58" s="384"/>
      <c r="S58" s="110"/>
      <c r="T58" s="388"/>
      <c r="U58" s="384"/>
      <c r="V58" s="420"/>
      <c r="W58" s="383"/>
      <c r="X58" s="383"/>
      <c r="Y58" s="383"/>
      <c r="Z58" s="383"/>
      <c r="AA58" s="383"/>
      <c r="AB58" s="383"/>
      <c r="AC58" s="383"/>
      <c r="AK58" s="550"/>
    </row>
    <row r="59" spans="2:58">
      <c r="B59" s="389" t="s">
        <v>1329</v>
      </c>
      <c r="D59" s="496" t="s">
        <v>732</v>
      </c>
      <c r="E59" s="482"/>
      <c r="F59" s="482"/>
      <c r="G59" s="482"/>
      <c r="H59" s="482" t="s">
        <v>740</v>
      </c>
      <c r="I59" s="119" t="s">
        <v>740</v>
      </c>
      <c r="J59" s="119"/>
      <c r="K59" s="119"/>
      <c r="L59" s="119"/>
      <c r="M59" s="390" t="s">
        <v>740</v>
      </c>
      <c r="N59" s="1427" t="s">
        <v>1358</v>
      </c>
      <c r="O59" s="85"/>
      <c r="P59" s="505" t="s">
        <v>1345</v>
      </c>
      <c r="Q59" s="544" t="s">
        <v>1376</v>
      </c>
      <c r="R59" s="920"/>
      <c r="S59" s="505" t="s">
        <v>1344</v>
      </c>
      <c r="T59" s="544" t="s">
        <v>1376</v>
      </c>
      <c r="U59" s="676" t="s">
        <v>1378</v>
      </c>
      <c r="V59" s="420"/>
      <c r="W59" s="383"/>
      <c r="X59" s="383"/>
      <c r="Y59" s="383"/>
      <c r="Z59" s="383"/>
      <c r="AA59" s="383"/>
      <c r="AB59" s="383"/>
      <c r="AC59" s="383"/>
      <c r="AK59" s="551" t="s">
        <v>1330</v>
      </c>
    </row>
    <row r="60" spans="2:58">
      <c r="D60" s="497" t="s">
        <v>1164</v>
      </c>
      <c r="E60" s="482"/>
      <c r="F60" s="482"/>
      <c r="G60" s="482"/>
      <c r="H60" s="482">
        <v>2019</v>
      </c>
      <c r="I60" s="119">
        <f>B2-1</f>
        <v>2024</v>
      </c>
      <c r="J60" s="119"/>
      <c r="K60" s="119"/>
      <c r="L60" s="119"/>
      <c r="M60" s="390">
        <f>B2</f>
        <v>2025</v>
      </c>
      <c r="N60" s="1427"/>
      <c r="O60" s="85"/>
      <c r="P60" s="505" t="str">
        <f>B2&amp;"E"</f>
        <v>2025E</v>
      </c>
      <c r="Q60" s="544" t="s">
        <v>1355</v>
      </c>
      <c r="R60" s="920"/>
      <c r="S60" s="505" t="str">
        <f>B2&amp;"E"</f>
        <v>2025E</v>
      </c>
      <c r="T60" s="544" t="s">
        <v>1377</v>
      </c>
      <c r="U60" s="676" t="s">
        <v>1355</v>
      </c>
      <c r="V60" s="420"/>
      <c r="W60" s="383"/>
      <c r="X60" s="383"/>
      <c r="Y60" s="383"/>
      <c r="Z60" s="383"/>
      <c r="AA60" s="383"/>
      <c r="AB60" s="383"/>
      <c r="AC60" s="383"/>
      <c r="AK60" s="551" t="s">
        <v>1333</v>
      </c>
    </row>
    <row r="61" spans="2:58" ht="6.75" customHeight="1">
      <c r="B61" s="410"/>
      <c r="C61" s="410"/>
      <c r="D61" s="501"/>
      <c r="E61" s="702"/>
      <c r="F61" s="702"/>
      <c r="G61" s="702"/>
      <c r="H61" s="702"/>
      <c r="I61" s="131"/>
      <c r="J61" s="131"/>
      <c r="K61" s="131"/>
      <c r="L61" s="131"/>
      <c r="M61" s="394"/>
      <c r="N61" s="674"/>
      <c r="O61" s="397"/>
      <c r="P61" s="131"/>
      <c r="Q61" s="396"/>
      <c r="R61" s="674"/>
      <c r="S61" s="131"/>
      <c r="T61" s="396"/>
      <c r="U61" s="674"/>
      <c r="V61" s="420"/>
      <c r="W61" s="383"/>
      <c r="X61" s="383"/>
      <c r="Y61" s="383"/>
      <c r="Z61" s="383"/>
      <c r="AA61" s="383"/>
      <c r="AB61" s="383"/>
      <c r="AC61" s="383"/>
      <c r="AK61" s="552"/>
    </row>
    <row r="62" spans="2:58" ht="15" customHeight="1">
      <c r="B62" s="392"/>
      <c r="C62" s="392"/>
      <c r="D62" s="498" t="s">
        <v>1074</v>
      </c>
      <c r="E62" s="699"/>
      <c r="F62" s="699"/>
      <c r="G62" s="699"/>
      <c r="H62" s="699"/>
      <c r="I62" s="393"/>
      <c r="J62" s="393"/>
      <c r="K62" s="393"/>
      <c r="L62" s="393"/>
      <c r="M62" s="394"/>
      <c r="N62" s="674"/>
      <c r="O62" s="397"/>
      <c r="P62" s="395"/>
      <c r="Q62" s="396"/>
      <c r="R62" s="674"/>
      <c r="S62" s="393"/>
      <c r="T62" s="396"/>
      <c r="U62" s="674"/>
      <c r="V62" s="420"/>
      <c r="W62" s="383"/>
      <c r="X62" s="383"/>
      <c r="Y62" s="383"/>
      <c r="Z62" s="383"/>
      <c r="AA62" s="383"/>
      <c r="AB62" s="383"/>
      <c r="AC62" s="383"/>
      <c r="AK62" s="552"/>
    </row>
    <row r="63" spans="2:58" ht="15" customHeight="1">
      <c r="B63" s="392"/>
      <c r="C63" s="392"/>
      <c r="D63" s="499" t="s">
        <v>1172</v>
      </c>
      <c r="E63" s="700"/>
      <c r="F63" s="700"/>
      <c r="G63" s="700"/>
      <c r="H63" s="700">
        <v>12045</v>
      </c>
      <c r="I63" s="400" t="e" cm="1">
        <f t="array" ref="I63">INDEX('Income Statement'!5:5,MATCH('Results table'!$I$60:$I$60,'Income Statement'!$41:$41,0))</f>
        <v>#N/A</v>
      </c>
      <c r="J63" s="400"/>
      <c r="K63" s="400"/>
      <c r="L63" s="400"/>
      <c r="M63" s="394">
        <v>13652</v>
      </c>
      <c r="N63" s="402" t="e">
        <f>M63/I63-1</f>
        <v>#N/A</v>
      </c>
      <c r="O63" s="397"/>
      <c r="P63" s="400">
        <v>13443</v>
      </c>
      <c r="Q63" s="683">
        <f>M63/P63-1</f>
        <v>1.5547124897716369E-2</v>
      </c>
      <c r="R63" s="402"/>
      <c r="S63" s="400">
        <v>15542.793436296139</v>
      </c>
      <c r="T63" s="683">
        <f>M63/S63-1</f>
        <v>-0.12165081161541291</v>
      </c>
      <c r="U63" s="402">
        <f>S63/P63-1</f>
        <v>0.1561997646578992</v>
      </c>
      <c r="V63" s="420"/>
      <c r="W63" s="383"/>
      <c r="X63" s="383"/>
      <c r="Y63" s="383"/>
      <c r="Z63" s="383"/>
      <c r="AA63" s="383"/>
      <c r="AB63" s="383"/>
      <c r="AC63" s="383"/>
      <c r="AK63" s="553"/>
    </row>
    <row r="64" spans="2:58" ht="15" customHeight="1">
      <c r="B64" s="392"/>
      <c r="C64" s="392"/>
      <c r="D64" s="499" t="s">
        <v>1174</v>
      </c>
      <c r="E64" s="700"/>
      <c r="F64" s="700"/>
      <c r="G64" s="700"/>
      <c r="H64" s="700">
        <v>9256</v>
      </c>
      <c r="I64" s="400" t="e" cm="1">
        <f t="array" ref="I64">INDEX('Income Statement'!6:6,MATCH('Results table'!$I$60:$I$60,'Income Statement'!$41:$41,0))</f>
        <v>#N/A</v>
      </c>
      <c r="J64" s="400"/>
      <c r="K64" s="400"/>
      <c r="L64" s="400"/>
      <c r="M64" s="394">
        <v>10618</v>
      </c>
      <c r="N64" s="402" t="e">
        <f t="shared" ref="N64:N67" si="13">M64/I64-1</f>
        <v>#N/A</v>
      </c>
      <c r="O64" s="397"/>
      <c r="P64" s="400">
        <v>10612</v>
      </c>
      <c r="Q64" s="683">
        <f>M64/P64-1</f>
        <v>5.6539766302288186E-4</v>
      </c>
      <c r="R64" s="402"/>
      <c r="S64" s="400">
        <v>11919.971635478207</v>
      </c>
      <c r="T64" s="683">
        <f>M64/S64-1</f>
        <v>-0.10922606825699666</v>
      </c>
      <c r="U64" s="402">
        <f>S64/P64-1</f>
        <v>0.12325401766662325</v>
      </c>
      <c r="V64" s="420"/>
      <c r="W64" s="383"/>
      <c r="X64" s="383"/>
      <c r="Y64" s="383"/>
      <c r="Z64" s="383"/>
      <c r="AA64" s="383"/>
      <c r="AB64" s="383"/>
      <c r="AC64" s="383"/>
      <c r="AK64" s="553"/>
    </row>
    <row r="65" spans="2:37" ht="15" customHeight="1">
      <c r="B65" s="392"/>
      <c r="C65" s="392"/>
      <c r="D65" s="499" t="s">
        <v>1093</v>
      </c>
      <c r="E65" s="700"/>
      <c r="F65" s="700"/>
      <c r="G65" s="700"/>
      <c r="H65" s="700">
        <v>3321</v>
      </c>
      <c r="I65" s="400" t="e" cm="1">
        <f t="array" ref="I65">INDEX('Income Statement'!7:7,MATCH('Results table'!$I$60:$I$60,'Income Statement'!$41:$41,0))</f>
        <v>#N/A</v>
      </c>
      <c r="J65" s="400"/>
      <c r="K65" s="400"/>
      <c r="L65" s="400"/>
      <c r="M65" s="394">
        <v>3037</v>
      </c>
      <c r="N65" s="402" t="e">
        <f t="shared" si="13"/>
        <v>#N/A</v>
      </c>
      <c r="O65" s="397"/>
      <c r="P65" s="400">
        <v>3039</v>
      </c>
      <c r="Q65" s="683">
        <f>M65/P65-1</f>
        <v>-6.5811122079628692E-4</v>
      </c>
      <c r="R65" s="402"/>
      <c r="S65" s="400">
        <v>3460.4098491359587</v>
      </c>
      <c r="T65" s="683">
        <f>M65/S65-1</f>
        <v>-0.12235829499840356</v>
      </c>
      <c r="U65" s="402">
        <f>S65/P65-1</f>
        <v>0.13866727513522825</v>
      </c>
      <c r="V65" s="420"/>
      <c r="W65" s="383"/>
      <c r="X65" s="383"/>
      <c r="Y65" s="383"/>
      <c r="Z65" s="383"/>
      <c r="AA65" s="383"/>
      <c r="AB65" s="383"/>
      <c r="AC65" s="383"/>
      <c r="AK65" s="553"/>
    </row>
    <row r="66" spans="2:37" ht="15" hidden="1" customHeight="1" outlineLevel="1">
      <c r="B66" s="392"/>
      <c r="C66" s="392"/>
      <c r="D66" s="499" t="s">
        <v>752</v>
      </c>
      <c r="E66" s="700"/>
      <c r="F66" s="700"/>
      <c r="G66" s="700"/>
      <c r="H66" s="700">
        <v>18</v>
      </c>
      <c r="I66" s="400" t="e">
        <v>#N/A</v>
      </c>
      <c r="J66" s="400"/>
      <c r="K66" s="400"/>
      <c r="L66" s="400"/>
      <c r="M66" s="394"/>
      <c r="N66" s="455" t="e">
        <f t="shared" si="13"/>
        <v>#N/A</v>
      </c>
      <c r="O66" s="397"/>
      <c r="P66" s="400"/>
      <c r="Q66" s="401" t="e">
        <f>M66/P66-1</f>
        <v>#DIV/0!</v>
      </c>
      <c r="R66" s="455"/>
      <c r="S66" s="400">
        <v>11</v>
      </c>
      <c r="T66" s="401">
        <f>M66/S66-1</f>
        <v>-1</v>
      </c>
      <c r="U66" s="455" t="e">
        <f>S66/P66-1</f>
        <v>#DIV/0!</v>
      </c>
      <c r="V66" s="420"/>
      <c r="W66" s="383"/>
      <c r="X66" s="383"/>
      <c r="Y66" s="383"/>
      <c r="Z66" s="383"/>
      <c r="AA66" s="383"/>
      <c r="AB66" s="383"/>
      <c r="AC66" s="383"/>
      <c r="AK66" s="553"/>
    </row>
    <row r="67" spans="2:37" ht="15" customHeight="1" collapsed="1">
      <c r="B67" s="392"/>
      <c r="C67" s="392"/>
      <c r="D67" s="500" t="s">
        <v>1178</v>
      </c>
      <c r="E67" s="704"/>
      <c r="F67" s="704"/>
      <c r="G67" s="704"/>
      <c r="H67" s="704">
        <v>24640</v>
      </c>
      <c r="I67" s="404" t="e">
        <f>INDEX('Income Statement'!9:9,MATCH('Results table'!$I$60,'Income Statement'!$41:$41,0))</f>
        <v>#N/A</v>
      </c>
      <c r="J67" s="404"/>
      <c r="K67" s="404"/>
      <c r="L67" s="404"/>
      <c r="M67" s="405">
        <v>27317</v>
      </c>
      <c r="N67" s="731" t="e">
        <f t="shared" si="13"/>
        <v>#N/A</v>
      </c>
      <c r="O67" s="406"/>
      <c r="P67" s="404">
        <v>27157</v>
      </c>
      <c r="Q67" s="730">
        <f>M67/P67-1</f>
        <v>5.8916669735242788E-3</v>
      </c>
      <c r="R67" s="731"/>
      <c r="S67" s="404">
        <v>30934.174920910304</v>
      </c>
      <c r="T67" s="730">
        <f>M67/S67-1</f>
        <v>-0.11693135278889344</v>
      </c>
      <c r="U67" s="731">
        <f>S67/P67-1</f>
        <v>0.13908660459219746</v>
      </c>
      <c r="V67" s="420"/>
      <c r="W67" s="383"/>
      <c r="X67" s="383"/>
      <c r="Y67" s="383"/>
      <c r="Z67" s="383"/>
      <c r="AA67" s="383"/>
      <c r="AB67" s="383"/>
      <c r="AC67" s="383"/>
      <c r="AK67" s="554" t="s">
        <v>1432</v>
      </c>
    </row>
    <row r="68" spans="2:37" ht="6.75" customHeight="1">
      <c r="B68" s="410"/>
      <c r="C68" s="410"/>
      <c r="D68" s="501"/>
      <c r="E68" s="702"/>
      <c r="F68" s="702"/>
      <c r="G68" s="702"/>
      <c r="H68" s="702"/>
      <c r="I68" s="131"/>
      <c r="J68" s="131"/>
      <c r="K68" s="131"/>
      <c r="L68" s="131"/>
      <c r="M68" s="394"/>
      <c r="N68" s="674"/>
      <c r="O68" s="397"/>
      <c r="P68" s="131"/>
      <c r="Q68" s="396"/>
      <c r="R68" s="674"/>
      <c r="S68" s="131"/>
      <c r="T68" s="396"/>
      <c r="U68" s="674"/>
      <c r="V68" s="420"/>
      <c r="W68" s="383"/>
      <c r="X68" s="383"/>
      <c r="Y68" s="383"/>
      <c r="Z68" s="383"/>
      <c r="AA68" s="383"/>
      <c r="AB68" s="383"/>
      <c r="AC68" s="383"/>
      <c r="AK68" s="552"/>
    </row>
    <row r="69" spans="2:37" ht="15" customHeight="1">
      <c r="B69" s="392"/>
      <c r="C69" s="392"/>
      <c r="D69" s="498" t="s">
        <v>287</v>
      </c>
      <c r="E69" s="699"/>
      <c r="F69" s="699"/>
      <c r="G69" s="699"/>
      <c r="H69" s="699"/>
      <c r="I69" s="393"/>
      <c r="J69" s="393"/>
      <c r="K69" s="393"/>
      <c r="L69" s="393"/>
      <c r="M69" s="394"/>
      <c r="N69" s="674"/>
      <c r="O69" s="397"/>
      <c r="P69" s="393"/>
      <c r="Q69" s="396"/>
      <c r="R69" s="674"/>
      <c r="S69" s="393"/>
      <c r="T69" s="396"/>
      <c r="U69" s="674"/>
      <c r="V69" s="420"/>
      <c r="W69" s="383"/>
      <c r="X69" s="383"/>
      <c r="Y69" s="383"/>
      <c r="Z69" s="383"/>
      <c r="AA69" s="383"/>
      <c r="AB69" s="383"/>
      <c r="AC69" s="383"/>
      <c r="AK69" s="552"/>
    </row>
    <row r="70" spans="2:37" ht="15" customHeight="1">
      <c r="B70" s="392"/>
      <c r="C70" s="392"/>
      <c r="D70" s="499" t="s">
        <v>900</v>
      </c>
      <c r="E70" s="700"/>
      <c r="F70" s="700"/>
      <c r="G70" s="700"/>
      <c r="H70" s="700">
        <v>2485</v>
      </c>
      <c r="I70" s="400" t="e">
        <f>INDEX('Income Statement'!#REF!,MATCH('Results table'!$I$60,'Income Statement'!41:41,0))</f>
        <v>#REF!</v>
      </c>
      <c r="J70" s="400"/>
      <c r="K70" s="400"/>
      <c r="L70" s="400"/>
      <c r="M70" s="394">
        <v>2819</v>
      </c>
      <c r="N70" s="402" t="e">
        <f t="shared" ref="N70" si="14">M70/I70-1</f>
        <v>#REF!</v>
      </c>
      <c r="O70" s="397"/>
      <c r="P70" s="400">
        <v>2853</v>
      </c>
      <c r="Q70" s="683">
        <f>M70/P70-1</f>
        <v>-1.1917280056081281E-2</v>
      </c>
      <c r="R70" s="402"/>
      <c r="S70" s="400">
        <v>3432.4267157502773</v>
      </c>
      <c r="T70" s="683">
        <f>M70/S70-1</f>
        <v>-0.17871516759133232</v>
      </c>
      <c r="U70" s="402">
        <f>S70/P70-1</f>
        <v>0.20309383657563163</v>
      </c>
      <c r="V70" s="420"/>
      <c r="W70" s="383"/>
      <c r="X70" s="383"/>
      <c r="Y70" s="383"/>
      <c r="Z70" s="383"/>
      <c r="AA70" s="383"/>
      <c r="AB70" s="383"/>
      <c r="AC70" s="383"/>
      <c r="AK70" s="553"/>
    </row>
    <row r="71" spans="2:37" ht="15" customHeight="1">
      <c r="B71" s="392"/>
      <c r="C71" s="392"/>
      <c r="D71" s="503" t="s">
        <v>906</v>
      </c>
      <c r="E71" s="703"/>
      <c r="F71" s="703"/>
      <c r="G71" s="703"/>
      <c r="H71" s="703">
        <f>H70/H63</f>
        <v>0.20630967206309672</v>
      </c>
      <c r="I71" s="415" t="e">
        <f>I70/I63</f>
        <v>#REF!</v>
      </c>
      <c r="J71" s="415"/>
      <c r="K71" s="415"/>
      <c r="L71" s="415"/>
      <c r="M71" s="422">
        <f>M70/M63</f>
        <v>0.20648989159097569</v>
      </c>
      <c r="N71" s="456" t="e">
        <f>(M71-I71)*100</f>
        <v>#REF!</v>
      </c>
      <c r="O71" s="397"/>
      <c r="P71" s="415">
        <f>P70/P63</f>
        <v>0.21222941307743806</v>
      </c>
      <c r="Q71" s="687">
        <f>(M71-P71)*100</f>
        <v>-0.57395214864623678</v>
      </c>
      <c r="R71" s="456"/>
      <c r="S71" s="415">
        <f>S70/S63</f>
        <v>0.22083718282807133</v>
      </c>
      <c r="T71" s="687">
        <f>(M71-S71)*100</f>
        <v>-1.4347291237095634</v>
      </c>
      <c r="U71" s="456">
        <f>(S71-P71)*100</f>
        <v>0.86077697506332651</v>
      </c>
      <c r="V71" s="420"/>
      <c r="W71" s="383"/>
      <c r="X71" s="383"/>
      <c r="Y71" s="383"/>
      <c r="Z71" s="383"/>
      <c r="AA71" s="383"/>
      <c r="AB71" s="383"/>
      <c r="AC71" s="383"/>
      <c r="AK71" s="553"/>
    </row>
    <row r="72" spans="2:37" ht="15" customHeight="1">
      <c r="B72" s="392"/>
      <c r="C72" s="392"/>
      <c r="D72" s="499" t="s">
        <v>1174</v>
      </c>
      <c r="E72" s="700"/>
      <c r="F72" s="700"/>
      <c r="G72" s="700"/>
      <c r="H72" s="700">
        <v>1209</v>
      </c>
      <c r="I72" s="400" t="e">
        <f>INDEX('Income Statement'!22:22,MATCH('Results table'!$I$60,'Income Statement'!$41:$41,0))</f>
        <v>#N/A</v>
      </c>
      <c r="J72" s="400"/>
      <c r="K72" s="400"/>
      <c r="L72" s="400"/>
      <c r="M72" s="394">
        <v>1298</v>
      </c>
      <c r="N72" s="402" t="e">
        <f t="shared" ref="N72" si="15">M72/I72-1</f>
        <v>#N/A</v>
      </c>
      <c r="O72" s="397"/>
      <c r="P72" s="400">
        <v>1314</v>
      </c>
      <c r="Q72" s="683">
        <f>M72/P72-1</f>
        <v>-1.2176560121765601E-2</v>
      </c>
      <c r="R72" s="402"/>
      <c r="S72" s="400">
        <v>1618.956264963902</v>
      </c>
      <c r="T72" s="683">
        <f>M72/S72-1</f>
        <v>-0.19824887917590428</v>
      </c>
      <c r="U72" s="402">
        <f>S72/P72-1</f>
        <v>0.23208239342762704</v>
      </c>
      <c r="V72" s="420"/>
      <c r="W72" s="383"/>
      <c r="X72" s="383"/>
      <c r="Y72" s="383"/>
      <c r="Z72" s="383"/>
      <c r="AA72" s="383"/>
      <c r="AB72" s="383"/>
      <c r="AC72" s="383"/>
      <c r="AK72" s="553"/>
    </row>
    <row r="73" spans="2:37" ht="15" customHeight="1">
      <c r="B73" s="392"/>
      <c r="C73" s="392"/>
      <c r="D73" s="503" t="s">
        <v>906</v>
      </c>
      <c r="E73" s="703"/>
      <c r="F73" s="703"/>
      <c r="G73" s="703"/>
      <c r="H73" s="703">
        <f>H72/H64</f>
        <v>0.1306179775280899</v>
      </c>
      <c r="I73" s="415" t="e">
        <f>I72/I64</f>
        <v>#N/A</v>
      </c>
      <c r="J73" s="415"/>
      <c r="K73" s="415"/>
      <c r="L73" s="415"/>
      <c r="M73" s="422">
        <f>M72/M64</f>
        <v>0.12224524392540968</v>
      </c>
      <c r="N73" s="456" t="e">
        <f>(M73-I73)*100</f>
        <v>#N/A</v>
      </c>
      <c r="O73" s="397"/>
      <c r="P73" s="415">
        <f>P72/P64</f>
        <v>0.12382208820203543</v>
      </c>
      <c r="Q73" s="687">
        <f>(M73-P73)*100</f>
        <v>-0.1576844276625744</v>
      </c>
      <c r="R73" s="456"/>
      <c r="S73" s="415">
        <f>S72/S64</f>
        <v>0.13581880179524039</v>
      </c>
      <c r="T73" s="687">
        <f>(M73-S73)*100</f>
        <v>-1.3573557869830708</v>
      </c>
      <c r="U73" s="456">
        <f>(S73-P73)*100</f>
        <v>1.1996713593204964</v>
      </c>
      <c r="V73" s="420"/>
      <c r="W73" s="383"/>
      <c r="X73" s="383"/>
      <c r="Y73" s="383"/>
      <c r="Z73" s="383"/>
      <c r="AA73" s="383"/>
      <c r="AB73" s="383"/>
      <c r="AC73" s="383"/>
      <c r="AK73" s="553"/>
    </row>
    <row r="74" spans="2:37" ht="15" customHeight="1">
      <c r="B74" s="392"/>
      <c r="C74" s="392"/>
      <c r="D74" s="499" t="s">
        <v>1093</v>
      </c>
      <c r="E74" s="700"/>
      <c r="F74" s="700"/>
      <c r="G74" s="700"/>
      <c r="H74" s="700">
        <v>188</v>
      </c>
      <c r="I74" s="400" t="e">
        <f>INDEX('Income Statement'!#REF!,MATCH('Results table'!$I$60,'Income Statement'!$41:$41,0))</f>
        <v>#REF!</v>
      </c>
      <c r="J74" s="400"/>
      <c r="K74" s="400"/>
      <c r="L74" s="400"/>
      <c r="M74" s="394">
        <v>27</v>
      </c>
      <c r="N74" s="402" t="e">
        <f t="shared" ref="N74" si="16">M74/I74-1</f>
        <v>#REF!</v>
      </c>
      <c r="O74" s="397"/>
      <c r="P74" s="400">
        <v>47</v>
      </c>
      <c r="Q74" s="683">
        <f>M74/P74-1</f>
        <v>-0.42553191489361697</v>
      </c>
      <c r="R74" s="402"/>
      <c r="S74" s="400">
        <v>192.77504964939797</v>
      </c>
      <c r="T74" s="683">
        <f>-(M74/S74-1)</f>
        <v>0.85994038103424075</v>
      </c>
      <c r="U74" s="402">
        <f>-(S74/P74-1)</f>
        <v>-3.1015968010510209</v>
      </c>
      <c r="V74" s="420"/>
      <c r="W74" s="383"/>
      <c r="X74" s="383"/>
      <c r="Y74" s="383"/>
      <c r="Z74" s="383"/>
      <c r="AA74" s="383"/>
      <c r="AB74" s="383"/>
      <c r="AC74" s="383"/>
      <c r="AK74" s="553"/>
    </row>
    <row r="75" spans="2:37" ht="15" customHeight="1">
      <c r="B75" s="392"/>
      <c r="C75" s="392"/>
      <c r="D75" s="503" t="s">
        <v>906</v>
      </c>
      <c r="E75" s="703"/>
      <c r="F75" s="703"/>
      <c r="G75" s="703"/>
      <c r="H75" s="703">
        <f>H74/H65</f>
        <v>5.6609454983438723E-2</v>
      </c>
      <c r="I75" s="415" t="e">
        <f>I74/I65</f>
        <v>#REF!</v>
      </c>
      <c r="J75" s="415"/>
      <c r="K75" s="415"/>
      <c r="L75" s="415"/>
      <c r="M75" s="422">
        <f>M74/M65</f>
        <v>8.8903523213697735E-3</v>
      </c>
      <c r="N75" s="456" t="e">
        <f>(M75-I75)*100</f>
        <v>#REF!</v>
      </c>
      <c r="O75" s="397"/>
      <c r="P75" s="415">
        <f>P74/P65</f>
        <v>1.5465613688713393E-2</v>
      </c>
      <c r="Q75" s="687">
        <f>(M75-P75)*100</f>
        <v>-0.657526136734362</v>
      </c>
      <c r="R75" s="456"/>
      <c r="S75" s="415">
        <f>S74/S65</f>
        <v>5.5708733373745489E-2</v>
      </c>
      <c r="T75" s="687">
        <f>(M75-S75)*100</f>
        <v>-4.6818381052375715</v>
      </c>
      <c r="U75" s="456">
        <f>(S75-P75)*100</f>
        <v>4.0243119685032092</v>
      </c>
      <c r="V75" s="420"/>
      <c r="W75" s="383"/>
      <c r="X75" s="383"/>
      <c r="Y75" s="383"/>
      <c r="Z75" s="383"/>
      <c r="AA75" s="383"/>
      <c r="AB75" s="383"/>
      <c r="AC75" s="383"/>
      <c r="AK75" s="555"/>
    </row>
    <row r="76" spans="2:37" ht="15" customHeight="1">
      <c r="B76" s="392"/>
      <c r="C76" s="392"/>
      <c r="D76" s="500" t="s">
        <v>1185</v>
      </c>
      <c r="E76" s="704"/>
      <c r="F76" s="704"/>
      <c r="G76" s="704"/>
      <c r="H76" s="704">
        <v>3820</v>
      </c>
      <c r="I76" s="404" t="e">
        <f>INDEX('Income Statement'!26:26, MATCH('Results table'!I60,'Income Statement'!41:41,0))</f>
        <v>#N/A</v>
      </c>
      <c r="J76" s="404"/>
      <c r="K76" s="404"/>
      <c r="L76" s="404"/>
      <c r="M76" s="405">
        <v>4119</v>
      </c>
      <c r="N76" s="731" t="e">
        <f t="shared" ref="N76" si="17">M76/I76-1</f>
        <v>#N/A</v>
      </c>
      <c r="O76" s="406"/>
      <c r="P76" s="404">
        <v>4132</v>
      </c>
      <c r="Q76" s="684">
        <f>M76/P76-1</f>
        <v>-3.1461761858664339E-3</v>
      </c>
      <c r="R76" s="682"/>
      <c r="S76" s="404">
        <v>5134.1580303635774</v>
      </c>
      <c r="T76" s="684">
        <f>M76/S76-1</f>
        <v>-0.19772629209305592</v>
      </c>
      <c r="U76" s="682">
        <f>S76/P76-1</f>
        <v>0.24253582535420559</v>
      </c>
      <c r="V76" s="420"/>
      <c r="W76" s="383"/>
      <c r="X76" s="383"/>
      <c r="Y76" s="383"/>
      <c r="Z76" s="383"/>
      <c r="AA76" s="383"/>
      <c r="AB76" s="383"/>
      <c r="AC76" s="383"/>
      <c r="AK76" s="554" t="s">
        <v>1433</v>
      </c>
    </row>
    <row r="77" spans="2:37" ht="15" customHeight="1">
      <c r="B77" s="392"/>
      <c r="C77" s="392"/>
      <c r="D77" s="503" t="s">
        <v>906</v>
      </c>
      <c r="E77" s="703"/>
      <c r="F77" s="703"/>
      <c r="G77" s="703"/>
      <c r="H77" s="703">
        <f>H76/H67</f>
        <v>0.15503246753246752</v>
      </c>
      <c r="I77" s="415" t="e">
        <f>I76/I67</f>
        <v>#N/A</v>
      </c>
      <c r="J77" s="415"/>
      <c r="K77" s="415"/>
      <c r="L77" s="415"/>
      <c r="M77" s="422">
        <f>M76/M67</f>
        <v>0.15078522531756783</v>
      </c>
      <c r="N77" s="456" t="e">
        <f>(M77-I77)*100</f>
        <v>#N/A</v>
      </c>
      <c r="O77" s="397"/>
      <c r="P77" s="415">
        <f>P76/P67</f>
        <v>0.15215229959126561</v>
      </c>
      <c r="Q77" s="687">
        <f>(M77-P77)*100</f>
        <v>-0.13670742736977826</v>
      </c>
      <c r="R77" s="456"/>
      <c r="S77" s="415">
        <f>S76/S67</f>
        <v>0.16597042085299277</v>
      </c>
      <c r="T77" s="687">
        <f>(M77-S77)*100</f>
        <v>-1.518519553542494</v>
      </c>
      <c r="U77" s="456">
        <f>(S77-P77)*100</f>
        <v>1.3818121261727156</v>
      </c>
      <c r="V77" s="420"/>
      <c r="W77" s="383"/>
      <c r="X77" s="383"/>
      <c r="Y77" s="383"/>
      <c r="Z77" s="383"/>
      <c r="AA77" s="383"/>
      <c r="AB77" s="383"/>
      <c r="AC77" s="383"/>
      <c r="AK77" s="556"/>
    </row>
    <row r="78" spans="2:37" ht="6.75" customHeight="1">
      <c r="B78" s="410"/>
      <c r="C78" s="410"/>
      <c r="D78" s="501"/>
      <c r="E78" s="702"/>
      <c r="F78" s="702"/>
      <c r="G78" s="702"/>
      <c r="H78" s="702"/>
      <c r="I78" s="131"/>
      <c r="J78" s="131"/>
      <c r="K78" s="131"/>
      <c r="L78" s="131"/>
      <c r="M78" s="394"/>
      <c r="N78" s="674"/>
      <c r="O78" s="397"/>
      <c r="P78" s="131"/>
      <c r="Q78" s="396"/>
      <c r="R78" s="674"/>
      <c r="S78" s="131"/>
      <c r="T78" s="396"/>
      <c r="U78" s="674"/>
      <c r="V78" s="420"/>
      <c r="W78" s="383"/>
      <c r="X78" s="383"/>
      <c r="Y78" s="383"/>
      <c r="Z78" s="383"/>
      <c r="AA78" s="383"/>
      <c r="AB78" s="383"/>
      <c r="AC78" s="383"/>
      <c r="AK78" s="552"/>
    </row>
    <row r="79" spans="2:37" ht="15" customHeight="1">
      <c r="B79" s="392"/>
      <c r="C79" s="392"/>
      <c r="D79" s="500" t="s">
        <v>901</v>
      </c>
      <c r="E79" s="704"/>
      <c r="F79" s="704"/>
      <c r="G79" s="704"/>
      <c r="H79" s="704">
        <v>1983</v>
      </c>
      <c r="I79" s="404">
        <f>INDEX('Cashflow Statement'!57:57,MATCH('Results table'!I60,'Cashflow Statement'!2:2,0))</f>
        <v>3189</v>
      </c>
      <c r="J79" s="404"/>
      <c r="K79" s="404"/>
      <c r="L79" s="404"/>
      <c r="M79" s="405">
        <v>3189</v>
      </c>
      <c r="N79" s="731">
        <f t="shared" ref="N79" si="18">M79/I79-1</f>
        <v>0</v>
      </c>
      <c r="O79" s="406"/>
      <c r="P79" s="404">
        <v>3001</v>
      </c>
      <c r="Q79" s="684">
        <f>M79/P79-1</f>
        <v>6.2645784738420529E-2</v>
      </c>
      <c r="R79" s="682"/>
      <c r="S79" s="404">
        <v>3448.8574610911833</v>
      </c>
      <c r="T79" s="684">
        <f>M79/S79-1</f>
        <v>-7.5345955587554747E-2</v>
      </c>
      <c r="U79" s="682">
        <f>S79/P79-1</f>
        <v>0.14923607500539271</v>
      </c>
      <c r="V79" s="420"/>
      <c r="W79" s="383"/>
      <c r="X79" s="383"/>
      <c r="Y79" s="383"/>
      <c r="Z79" s="383"/>
      <c r="AA79" s="383"/>
      <c r="AB79" s="383"/>
      <c r="AC79" s="383"/>
      <c r="AK79" s="554" t="s">
        <v>1393</v>
      </c>
    </row>
    <row r="80" spans="2:37" ht="6.75" customHeight="1">
      <c r="B80" s="410"/>
      <c r="C80" s="410"/>
      <c r="D80" s="501"/>
      <c r="E80" s="702"/>
      <c r="F80" s="702"/>
      <c r="G80" s="702"/>
      <c r="H80" s="702"/>
      <c r="I80" s="131"/>
      <c r="J80" s="131"/>
      <c r="K80" s="131"/>
      <c r="L80" s="131"/>
      <c r="M80" s="394"/>
      <c r="N80" s="674"/>
      <c r="O80" s="397"/>
      <c r="P80" s="131"/>
      <c r="Q80" s="396"/>
      <c r="R80" s="674"/>
      <c r="S80" s="131"/>
      <c r="T80" s="396"/>
      <c r="U80" s="674"/>
      <c r="V80" s="420"/>
      <c r="W80" s="383"/>
      <c r="X80" s="383"/>
      <c r="Y80" s="383"/>
      <c r="Z80" s="383"/>
      <c r="AA80" s="383"/>
      <c r="AB80" s="383"/>
      <c r="AC80" s="383"/>
      <c r="AK80" s="552"/>
    </row>
    <row r="81" spans="2:59" ht="15" customHeight="1">
      <c r="B81" s="392" t="s">
        <v>1346</v>
      </c>
      <c r="C81" s="392"/>
      <c r="D81" s="500" t="s">
        <v>1405</v>
      </c>
      <c r="E81" s="706"/>
      <c r="F81" s="706"/>
      <c r="G81" s="706"/>
      <c r="H81" s="706">
        <v>0</v>
      </c>
      <c r="I81" s="423" t="e">
        <f>INDEX('Income Statement'!112:112,MATCH('Results table'!$I$60,'Income Statement'!$41:$41,0))</f>
        <v>#N/A</v>
      </c>
      <c r="J81" s="423"/>
      <c r="K81" s="423"/>
      <c r="L81" s="423"/>
      <c r="M81" s="424">
        <v>2.9</v>
      </c>
      <c r="N81" s="731" t="e">
        <f t="shared" ref="N81" si="19">M81/I81-1</f>
        <v>#N/A</v>
      </c>
      <c r="O81" s="406"/>
      <c r="P81" s="423">
        <f>_xll.VisibleAlpha.UDF.VAData("SAF_FR","FY-"&amp;LEFT(P$60,4),$B81,"Consensus","CD","IMPL")</f>
        <v>3.2757216117609418</v>
      </c>
      <c r="Q81" s="684">
        <f>M81/P81-1</f>
        <v>-0.11469888357178304</v>
      </c>
      <c r="R81" s="682"/>
      <c r="S81" s="423">
        <v>3.5018801820075902</v>
      </c>
      <c r="T81" s="684">
        <f>M81/S81-1</f>
        <v>-0.17187343676120259</v>
      </c>
      <c r="U81" s="682">
        <f>S81/P81-1</f>
        <v>6.9040839561781864E-2</v>
      </c>
      <c r="V81" s="420"/>
      <c r="W81" s="383"/>
      <c r="X81" s="383"/>
      <c r="Y81" s="383"/>
      <c r="Z81" s="383"/>
      <c r="AA81" s="383"/>
      <c r="AB81" s="383"/>
      <c r="AC81" s="383"/>
      <c r="AK81" s="554"/>
    </row>
    <row r="82" spans="2:59" ht="6.75" customHeight="1">
      <c r="B82" s="410"/>
      <c r="C82" s="410"/>
      <c r="D82" s="501"/>
      <c r="E82" s="702"/>
      <c r="F82" s="702"/>
      <c r="G82" s="702"/>
      <c r="H82" s="702"/>
      <c r="I82" s="131"/>
      <c r="J82" s="131"/>
      <c r="K82" s="131"/>
      <c r="L82" s="131"/>
      <c r="M82" s="394"/>
      <c r="N82" s="674"/>
      <c r="O82" s="397"/>
      <c r="P82" s="131"/>
      <c r="Q82" s="396"/>
      <c r="R82" s="674"/>
      <c r="S82" s="131"/>
      <c r="T82" s="396"/>
      <c r="U82" s="674"/>
      <c r="V82" s="420"/>
      <c r="W82" s="383"/>
      <c r="X82" s="383"/>
      <c r="Y82" s="383"/>
      <c r="Z82" s="383"/>
      <c r="AA82" s="383"/>
      <c r="AB82" s="383"/>
      <c r="AC82" s="383"/>
      <c r="AK82" s="552"/>
    </row>
    <row r="83" spans="2:59" ht="15" hidden="1" customHeight="1" outlineLevel="1">
      <c r="B83" s="565" t="s">
        <v>1391</v>
      </c>
      <c r="C83" s="392"/>
      <c r="D83" s="560" t="s">
        <v>1280</v>
      </c>
      <c r="E83" s="701"/>
      <c r="F83" s="701"/>
      <c r="G83" s="701"/>
      <c r="H83" s="701">
        <v>5793.7066105172571</v>
      </c>
      <c r="I83" s="561" t="e">
        <v>#N/A</v>
      </c>
      <c r="J83" s="561"/>
      <c r="K83" s="561"/>
      <c r="L83" s="561"/>
      <c r="M83" s="725" t="e">
        <f>I83*(1+M84)</f>
        <v>#N/A</v>
      </c>
      <c r="N83" s="675"/>
      <c r="O83" s="562"/>
      <c r="P83" s="725" t="e">
        <f>I83*(1+P84)</f>
        <v>#N/A</v>
      </c>
      <c r="Q83" s="563"/>
      <c r="R83" s="675"/>
      <c r="S83" s="561">
        <v>9003.1238435554515</v>
      </c>
      <c r="T83" s="563"/>
      <c r="U83" s="675"/>
      <c r="V83" s="420"/>
      <c r="W83" s="383"/>
      <c r="X83" s="383"/>
      <c r="Y83" s="383"/>
      <c r="Z83" s="383"/>
      <c r="AA83" s="383"/>
      <c r="AB83" s="383"/>
      <c r="AC83" s="383"/>
      <c r="AK83" s="564"/>
    </row>
    <row r="84" spans="2:59" ht="15" customHeight="1" collapsed="1">
      <c r="B84" s="399" t="s">
        <v>1187</v>
      </c>
      <c r="C84" s="408"/>
      <c r="D84" s="500" t="s">
        <v>1406</v>
      </c>
      <c r="E84" s="705"/>
      <c r="F84" s="705"/>
      <c r="G84" s="705"/>
      <c r="H84" s="705">
        <v>9.8999999999999977E-2</v>
      </c>
      <c r="I84" s="130" t="e">
        <v>#N/A</v>
      </c>
      <c r="J84" s="130"/>
      <c r="K84" s="130"/>
      <c r="L84" s="130"/>
      <c r="M84" s="409">
        <v>0.249</v>
      </c>
      <c r="N84" s="678" t="e">
        <f>(M84-I84)*100</f>
        <v>#N/A</v>
      </c>
      <c r="O84" s="406"/>
      <c r="P84" s="130">
        <f>_xll.VisibleAlpha.UDF.VAData("SAF_FR","FY-"&amp;LEFT(P$60,4),$B84,"Consensus","CD","IMPL")/100</f>
        <v>0.17310912991620808</v>
      </c>
      <c r="Q84" s="680">
        <f>(M84-P84)*100</f>
        <v>7.5890870083791917</v>
      </c>
      <c r="R84" s="678"/>
      <c r="S84" s="130">
        <v>0.18988968070685597</v>
      </c>
      <c r="T84" s="680">
        <f>(M84-S84)*100</f>
        <v>5.9110319293144027</v>
      </c>
      <c r="U84" s="678">
        <f>(S84-P84)*100</f>
        <v>1.6780550790647886</v>
      </c>
      <c r="V84" s="420"/>
      <c r="W84" s="383"/>
      <c r="X84" s="383"/>
      <c r="Y84" s="383"/>
      <c r="Z84" s="383"/>
      <c r="AA84" s="383"/>
      <c r="AB84" s="383"/>
      <c r="AC84" s="383"/>
      <c r="AK84" s="557" t="s">
        <v>1489</v>
      </c>
    </row>
    <row r="85" spans="2:59" ht="15" customHeight="1">
      <c r="B85" s="408"/>
      <c r="C85" s="408"/>
      <c r="D85" s="500" t="s">
        <v>1407</v>
      </c>
      <c r="E85" s="705"/>
      <c r="F85" s="705"/>
      <c r="G85" s="705"/>
      <c r="H85" s="705">
        <f>H83/$H$83</f>
        <v>1</v>
      </c>
      <c r="I85" s="130" t="e">
        <f>I83/$H$83</f>
        <v>#N/A</v>
      </c>
      <c r="J85" s="130"/>
      <c r="K85" s="130"/>
      <c r="L85" s="130"/>
      <c r="M85" s="409" t="e">
        <f>M83/$H$83</f>
        <v>#N/A</v>
      </c>
      <c r="N85" s="678" t="e">
        <f>(M85-I85)*100</f>
        <v>#N/A</v>
      </c>
      <c r="O85" s="406"/>
      <c r="P85" s="130" t="e">
        <f>P83/H83</f>
        <v>#N/A</v>
      </c>
      <c r="Q85" s="680" t="e">
        <f>(M85-P85)*100</f>
        <v>#N/A</v>
      </c>
      <c r="R85" s="678"/>
      <c r="S85" s="130">
        <f>S83/$H$83</f>
        <v>1.5539488705230899</v>
      </c>
      <c r="T85" s="680" t="e">
        <f>(M85-S85)*100</f>
        <v>#N/A</v>
      </c>
      <c r="U85" s="678" t="e">
        <f>(S85-P85)*100</f>
        <v>#N/A</v>
      </c>
      <c r="V85" s="420"/>
      <c r="W85" s="383"/>
      <c r="X85" s="383"/>
      <c r="Y85" s="383"/>
      <c r="Z85" s="383"/>
      <c r="AA85" s="383"/>
      <c r="AB85" s="383"/>
      <c r="AC85" s="383"/>
      <c r="AK85" s="557"/>
    </row>
    <row r="86" spans="2:59" ht="6.75" customHeight="1">
      <c r="B86" s="410"/>
      <c r="C86" s="410"/>
      <c r="D86" s="501"/>
      <c r="E86" s="702"/>
      <c r="F86" s="702"/>
      <c r="G86" s="702"/>
      <c r="H86" s="702"/>
      <c r="I86" s="131"/>
      <c r="J86" s="131"/>
      <c r="K86" s="131"/>
      <c r="L86" s="131"/>
      <c r="M86" s="394"/>
      <c r="N86" s="674"/>
      <c r="O86" s="397"/>
      <c r="P86" s="131"/>
      <c r="Q86" s="396"/>
      <c r="R86" s="674"/>
      <c r="S86" s="131"/>
      <c r="T86" s="396"/>
      <c r="U86" s="674"/>
      <c r="V86" s="420"/>
      <c r="W86" s="383"/>
      <c r="X86" s="383"/>
      <c r="Y86" s="383"/>
      <c r="Z86" s="383"/>
      <c r="AA86" s="383"/>
      <c r="AB86" s="383"/>
      <c r="AC86" s="383"/>
      <c r="AK86" s="552"/>
    </row>
    <row r="87" spans="2:59" ht="15" customHeight="1">
      <c r="B87" s="399" t="s">
        <v>1400</v>
      </c>
      <c r="C87" s="408"/>
      <c r="D87" s="694" t="s">
        <v>1389</v>
      </c>
      <c r="E87" s="705"/>
      <c r="F87" s="705"/>
      <c r="G87" s="705"/>
      <c r="H87" s="705"/>
      <c r="I87" s="404">
        <f>INDEX('Aerospace Propulsion Division'!27:27, MATCH('Results table'!$I$60,'Aerospace Propulsion Division'!2:2,0))</f>
        <v>1407</v>
      </c>
      <c r="J87" s="404"/>
      <c r="K87" s="404"/>
      <c r="L87" s="404"/>
      <c r="M87" s="405">
        <v>1407</v>
      </c>
      <c r="N87" s="731">
        <f t="shared" ref="N87" si="20">M87/I87-1</f>
        <v>0</v>
      </c>
      <c r="O87" s="406"/>
      <c r="P87" s="404">
        <f>_xll.VisibleAlpha.UDF.VAData("SAF_FR","FY-"&amp;LEFT(P$60,4),$B87,"Consensus","CD","IMPL")</f>
        <v>1725.3919249471455</v>
      </c>
      <c r="Q87" s="684">
        <f>M87/P87-1</f>
        <v>-0.18453310250475352</v>
      </c>
      <c r="R87" s="682"/>
      <c r="S87" s="404">
        <v>1825</v>
      </c>
      <c r="T87" s="684">
        <f>M87/S87-1</f>
        <v>-0.229041095890411</v>
      </c>
      <c r="U87" s="682">
        <f>S87/P87-1</f>
        <v>5.7730695045362435E-2</v>
      </c>
      <c r="V87" s="420"/>
      <c r="W87" s="383"/>
      <c r="X87" s="383"/>
      <c r="Y87" s="383"/>
      <c r="Z87" s="383"/>
      <c r="AA87" s="383"/>
      <c r="AB87" s="383"/>
      <c r="AC87" s="383"/>
      <c r="AK87" s="557" t="s">
        <v>1435</v>
      </c>
      <c r="AO87" s="871">
        <v>2025</v>
      </c>
      <c r="AT87" s="872" t="str">
        <f>"FY-"&amp;AO87</f>
        <v>FY-2025</v>
      </c>
    </row>
    <row r="88" spans="2:59" ht="3.75" customHeight="1">
      <c r="B88" s="410"/>
      <c r="C88" s="410"/>
      <c r="D88" s="410"/>
      <c r="E88" s="131"/>
      <c r="F88" s="131"/>
      <c r="G88" s="131"/>
      <c r="H88" s="131"/>
      <c r="I88" s="411"/>
      <c r="J88" s="411"/>
      <c r="K88" s="411"/>
      <c r="L88" s="411"/>
      <c r="M88" s="412"/>
      <c r="N88" s="673"/>
      <c r="O88" s="406"/>
      <c r="P88" s="411"/>
      <c r="Q88" s="413"/>
      <c r="R88" s="673"/>
      <c r="S88" s="411"/>
      <c r="T88" s="413"/>
      <c r="U88" s="673"/>
      <c r="V88" s="420"/>
      <c r="W88" s="383"/>
      <c r="X88" s="383"/>
      <c r="Y88" s="383"/>
      <c r="Z88" s="383"/>
      <c r="AA88" s="383"/>
      <c r="AB88" s="383"/>
      <c r="AC88" s="383"/>
      <c r="AK88" s="558"/>
    </row>
    <row r="89" spans="2:59" ht="13.5" customHeight="1">
      <c r="D89" s="867" t="s">
        <v>1390</v>
      </c>
      <c r="E89" s="97"/>
      <c r="F89" s="97"/>
      <c r="G89" s="97"/>
      <c r="H89" s="97"/>
      <c r="I89" s="97"/>
      <c r="J89" s="97"/>
      <c r="K89" s="97"/>
      <c r="L89" s="97"/>
      <c r="M89" s="425"/>
      <c r="N89" s="425"/>
      <c r="Q89" s="426"/>
      <c r="R89" s="426"/>
      <c r="V89" s="420"/>
      <c r="W89" s="383"/>
      <c r="X89" s="383"/>
      <c r="Y89" s="383"/>
      <c r="Z89" s="383"/>
      <c r="AA89" s="383"/>
      <c r="AB89" s="383"/>
      <c r="AC89" s="383"/>
    </row>
    <row r="90" spans="2:59" ht="13.5" customHeight="1">
      <c r="D90" s="111"/>
      <c r="E90" s="97"/>
      <c r="F90" s="97"/>
      <c r="G90" s="97"/>
      <c r="H90" s="97"/>
      <c r="I90" s="97"/>
      <c r="J90" s="97"/>
      <c r="K90" s="97"/>
      <c r="L90" s="97"/>
      <c r="M90" s="425"/>
      <c r="N90" s="425"/>
      <c r="Q90" s="426"/>
      <c r="R90" s="426"/>
      <c r="V90" s="420"/>
      <c r="W90" s="383"/>
      <c r="X90" s="383"/>
      <c r="Y90" s="383"/>
      <c r="Z90" s="383"/>
      <c r="AA90" s="383"/>
      <c r="AB90" s="383"/>
      <c r="AC90" s="383"/>
      <c r="AO90" s="427"/>
      <c r="AP90" s="84"/>
      <c r="AQ90" s="427"/>
      <c r="AR90" s="84"/>
      <c r="AS90" s="1430" t="str">
        <f>"Focus on "&amp;AO87</f>
        <v>Focus on 2025</v>
      </c>
      <c r="AT90" s="1430"/>
      <c r="AU90" s="1430"/>
      <c r="AV90" s="504"/>
      <c r="AW90" s="504"/>
      <c r="AX90" s="504"/>
      <c r="AY90" s="504"/>
      <c r="AZ90" s="84"/>
      <c r="BA90" s="427"/>
      <c r="BB90" s="427"/>
      <c r="BC90" s="427"/>
      <c r="BD90" s="504"/>
      <c r="BE90" s="504"/>
      <c r="BF90" s="427"/>
    </row>
    <row r="91" spans="2:59" ht="3.75" customHeight="1">
      <c r="D91" s="111"/>
      <c r="E91" s="97"/>
      <c r="F91" s="97"/>
      <c r="G91" s="97"/>
      <c r="H91" s="97"/>
      <c r="I91" s="97"/>
      <c r="J91" s="97"/>
      <c r="K91" s="97"/>
      <c r="L91" s="97"/>
      <c r="M91" s="425"/>
      <c r="N91" s="425"/>
      <c r="Q91" s="426"/>
      <c r="R91" s="426"/>
      <c r="T91" s="451"/>
      <c r="U91" s="451"/>
      <c r="V91" s="420"/>
      <c r="W91" s="383"/>
      <c r="X91" s="383"/>
      <c r="Y91" s="383"/>
      <c r="Z91" s="383"/>
      <c r="AA91" s="383"/>
      <c r="AB91" s="383"/>
      <c r="AC91" s="383"/>
      <c r="AO91" s="427"/>
      <c r="AP91" s="84"/>
      <c r="AQ91" s="427"/>
      <c r="AR91" s="873"/>
      <c r="AS91" s="492"/>
      <c r="AT91" s="901"/>
      <c r="AU91" s="507"/>
      <c r="AV91" s="538"/>
      <c r="AW91" s="538"/>
      <c r="AX91" s="427"/>
      <c r="AY91" s="427"/>
      <c r="AZ91" s="84"/>
      <c r="BA91" s="896"/>
      <c r="BB91" s="568"/>
      <c r="BD91" s="427"/>
      <c r="BE91" s="427"/>
      <c r="BG91" s="812"/>
    </row>
    <row r="92" spans="2:59" ht="15" customHeight="1"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451"/>
      <c r="U92" s="451"/>
      <c r="V92" s="420"/>
      <c r="W92" s="383"/>
      <c r="X92" s="383"/>
      <c r="Y92" s="383"/>
      <c r="Z92" s="383"/>
      <c r="AA92" s="383"/>
      <c r="AB92" s="383"/>
      <c r="AC92" s="383"/>
      <c r="AO92" s="433" t="s">
        <v>732</v>
      </c>
      <c r="AP92" s="84"/>
      <c r="AQ92" s="493" t="s">
        <v>740</v>
      </c>
      <c r="AR92" s="873"/>
      <c r="AS92" s="506" t="s">
        <v>1344</v>
      </c>
      <c r="AT92" s="902" t="s">
        <v>1387</v>
      </c>
      <c r="AU92" s="508" t="s">
        <v>1345</v>
      </c>
      <c r="AV92" s="539" t="s">
        <v>1354</v>
      </c>
      <c r="AW92" s="539" t="s">
        <v>1354</v>
      </c>
      <c r="AX92" s="520" t="s">
        <v>1356</v>
      </c>
      <c r="AY92" s="520" t="s">
        <v>1357</v>
      </c>
      <c r="AZ92" s="84"/>
      <c r="BA92" s="897" t="s">
        <v>1431</v>
      </c>
      <c r="BB92" s="549" t="s">
        <v>1742</v>
      </c>
      <c r="BD92" s="520" t="s">
        <v>1167</v>
      </c>
      <c r="BE92" s="520" t="s">
        <v>1167</v>
      </c>
      <c r="BG92" s="813" t="s">
        <v>1167</v>
      </c>
    </row>
    <row r="93" spans="2:59" ht="15" customHeight="1">
      <c r="D93" s="89"/>
      <c r="E93" s="97"/>
      <c r="F93" s="97"/>
      <c r="G93" s="97"/>
      <c r="H93" s="97"/>
      <c r="I93" s="868"/>
      <c r="J93" s="97"/>
      <c r="K93" s="97"/>
      <c r="L93" s="97"/>
      <c r="M93" s="425"/>
      <c r="N93" s="425"/>
      <c r="O93" s="211"/>
      <c r="P93" s="211"/>
      <c r="Q93" s="211"/>
      <c r="R93" s="211"/>
      <c r="S93" s="211"/>
      <c r="T93" s="451"/>
      <c r="U93" s="451"/>
      <c r="V93" s="420"/>
      <c r="W93" s="383"/>
      <c r="X93" s="383"/>
      <c r="Y93" s="383"/>
      <c r="Z93" s="383"/>
      <c r="AA93" s="383"/>
      <c r="AB93" s="383"/>
      <c r="AC93" s="383"/>
      <c r="AL93" s="100"/>
      <c r="AM93" s="100"/>
      <c r="AN93" s="100"/>
      <c r="AO93" s="82" t="s">
        <v>1164</v>
      </c>
      <c r="AP93" s="211"/>
      <c r="AQ93" s="885">
        <f>AO87-1</f>
        <v>2024</v>
      </c>
      <c r="AR93" s="874"/>
      <c r="AS93" s="506" t="str">
        <f>AO87&amp;"E"</f>
        <v>2025E</v>
      </c>
      <c r="AT93" s="508" t="str">
        <f>AO87&amp;"E"</f>
        <v>2025E</v>
      </c>
      <c r="AU93" s="508" t="str">
        <f>AO87&amp;"E"</f>
        <v>2025E</v>
      </c>
      <c r="AV93" s="539" t="s">
        <v>1734</v>
      </c>
      <c r="AW93" s="539" t="s">
        <v>1355</v>
      </c>
      <c r="AX93" s="520" t="s">
        <v>893</v>
      </c>
      <c r="AY93" s="520" t="s">
        <v>893</v>
      </c>
      <c r="AZ93" s="211"/>
      <c r="BA93" s="897" t="s">
        <v>1449</v>
      </c>
      <c r="BB93" s="549" t="s">
        <v>1449</v>
      </c>
      <c r="BD93" s="520" t="s">
        <v>1428</v>
      </c>
      <c r="BE93" s="520" t="s">
        <v>1427</v>
      </c>
      <c r="BG93" s="895">
        <f>AO87</f>
        <v>2025</v>
      </c>
    </row>
    <row r="94" spans="2:59" ht="15" customHeight="1">
      <c r="C94" s="452"/>
      <c r="D94" s="447"/>
      <c r="E94" s="462"/>
      <c r="F94" s="462"/>
      <c r="G94" s="462"/>
      <c r="H94" s="462"/>
      <c r="I94" s="462"/>
      <c r="J94" s="462"/>
      <c r="K94" s="462"/>
      <c r="L94" s="462"/>
      <c r="M94" s="462"/>
      <c r="N94" s="462"/>
      <c r="O94" s="462"/>
      <c r="P94" s="447"/>
      <c r="Q94" s="462"/>
      <c r="R94" s="462"/>
      <c r="S94" s="447"/>
      <c r="T94" s="451"/>
      <c r="U94" s="447"/>
      <c r="V94" s="420"/>
      <c r="W94" s="383"/>
      <c r="X94" s="383"/>
      <c r="Y94" s="383"/>
      <c r="Z94" s="383"/>
      <c r="AA94" s="383"/>
      <c r="AB94" s="383"/>
      <c r="AC94" s="383"/>
      <c r="AO94" s="434" t="s">
        <v>1074</v>
      </c>
      <c r="AP94" s="458"/>
      <c r="AQ94" s="393"/>
      <c r="AR94" s="875"/>
      <c r="AS94" s="472"/>
      <c r="AT94" s="393"/>
      <c r="AU94" s="509"/>
      <c r="AV94" s="540"/>
      <c r="AW94" s="540"/>
      <c r="AX94" s="393"/>
      <c r="AY94" s="393"/>
      <c r="AZ94" s="458"/>
      <c r="BA94" s="898"/>
      <c r="BB94" s="569"/>
      <c r="BD94" s="393"/>
      <c r="BE94" s="393"/>
      <c r="BG94" s="813"/>
    </row>
    <row r="95" spans="2:59" ht="15" customHeight="1">
      <c r="C95" s="452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38"/>
      <c r="Q95" s="447"/>
      <c r="R95" s="447"/>
      <c r="S95" s="438"/>
      <c r="T95" s="447"/>
      <c r="U95" s="438"/>
      <c r="V95" s="420"/>
      <c r="W95" s="383"/>
      <c r="X95" s="383"/>
      <c r="Y95" s="383"/>
      <c r="Z95" s="383"/>
      <c r="AA95" s="383"/>
      <c r="AB95" s="383"/>
      <c r="AC95" s="383"/>
      <c r="AM95" s="870" t="s">
        <v>1171</v>
      </c>
      <c r="AN95" s="869"/>
      <c r="AO95" s="470" t="s">
        <v>900</v>
      </c>
      <c r="AP95" s="447"/>
      <c r="AQ95" s="400">
        <f>'Interim (New)'!DI6</f>
        <v>13652</v>
      </c>
      <c r="AR95" s="876"/>
      <c r="AS95" s="473">
        <f>'Income Statement'!AA5</f>
        <v>15834.377060424713</v>
      </c>
      <c r="AT95" s="400">
        <f>_xll.VisibleAlpha.UDF.VAData("SAF_FR",$AT$87,$AM95,"Consensus","CD","IMPL")</f>
        <v>15618.91530954966</v>
      </c>
      <c r="AU95" s="510">
        <v>15437</v>
      </c>
      <c r="AV95" s="826">
        <f>AS95/AT95-1</f>
        <v>1.3794924077942472E-2</v>
      </c>
      <c r="AW95" s="826">
        <f>AS95/AU95-1</f>
        <v>2.5741857901451892E-2</v>
      </c>
      <c r="AX95" s="823">
        <f>AS95/AQ95-1</f>
        <v>0.15985768095698161</v>
      </c>
      <c r="AY95" s="823">
        <f>AU95/AQ95-1</f>
        <v>0.13075007324934074</v>
      </c>
      <c r="AZ95" s="447"/>
      <c r="BA95" s="899"/>
      <c r="BB95" s="570"/>
      <c r="BD95" s="823"/>
      <c r="BE95" s="823"/>
      <c r="BG95" s="814"/>
    </row>
    <row r="96" spans="2:59" ht="15" customHeight="1">
      <c r="C96" s="452"/>
      <c r="D96" s="464" t="s">
        <v>732</v>
      </c>
      <c r="E96" s="393"/>
      <c r="F96" s="393"/>
      <c r="G96" s="393"/>
      <c r="H96" s="393"/>
      <c r="I96" s="393"/>
      <c r="J96" s="393"/>
      <c r="K96" s="393"/>
      <c r="L96" s="393"/>
      <c r="M96" s="439"/>
      <c r="N96" s="439"/>
      <c r="O96" s="439"/>
      <c r="P96" s="439"/>
      <c r="Q96" s="393"/>
      <c r="R96" s="393"/>
      <c r="S96" s="439"/>
      <c r="T96" s="439"/>
      <c r="U96" s="439"/>
      <c r="V96" s="420"/>
      <c r="W96" s="383"/>
      <c r="X96" s="383"/>
      <c r="Y96" s="383"/>
      <c r="Z96" s="383"/>
      <c r="AA96" s="383"/>
      <c r="AB96" s="383"/>
      <c r="AC96" s="383"/>
      <c r="AM96" s="870" t="s">
        <v>1173</v>
      </c>
      <c r="AN96" s="869"/>
      <c r="AO96" s="399" t="s">
        <v>1174</v>
      </c>
      <c r="AP96" s="455"/>
      <c r="AQ96" s="400">
        <f>'Interim (New)'!DI10</f>
        <v>10618</v>
      </c>
      <c r="AR96" s="877"/>
      <c r="AS96" s="473">
        <f>'Income Statement'!AA6</f>
        <v>12288.33155485829</v>
      </c>
      <c r="AT96" s="400">
        <f>_xll.VisibleAlpha.UDF.VAData("SAF_FR",$AT$87,$AM96,"Consensus","CD","IMPL")</f>
        <v>12219.9116005137</v>
      </c>
      <c r="AU96" s="510">
        <v>12202</v>
      </c>
      <c r="AV96" s="826">
        <f>AS96/AT96-1</f>
        <v>5.5990547707165383E-3</v>
      </c>
      <c r="AW96" s="826">
        <f>AS96/AU96-1</f>
        <v>7.0751970872227066E-3</v>
      </c>
      <c r="AX96" s="823">
        <f>AS96/AQ96-1</f>
        <v>0.1573113161478894</v>
      </c>
      <c r="AY96" s="823">
        <f>AU96/AQ96-1</f>
        <v>0.14918063665473724</v>
      </c>
      <c r="AZ96" s="455"/>
      <c r="BA96" s="899"/>
      <c r="BB96" s="570"/>
      <c r="BD96" s="823"/>
      <c r="BE96" s="823"/>
      <c r="BG96" s="814"/>
    </row>
    <row r="97" spans="3:59" ht="15" customHeight="1">
      <c r="C97" s="452"/>
      <c r="D97" s="465" t="s">
        <v>1164</v>
      </c>
      <c r="E97" s="393"/>
      <c r="F97" s="393"/>
      <c r="G97" s="393"/>
      <c r="H97" s="393"/>
      <c r="I97" s="393"/>
      <c r="J97" s="393"/>
      <c r="K97" s="393"/>
      <c r="L97" s="393"/>
      <c r="M97" s="439"/>
      <c r="N97" s="439"/>
      <c r="O97" s="439"/>
      <c r="P97" s="439"/>
      <c r="Q97" s="393"/>
      <c r="R97" s="393"/>
      <c r="S97" s="439"/>
      <c r="T97" s="439"/>
      <c r="U97" s="439"/>
      <c r="V97" s="420"/>
      <c r="W97" s="383"/>
      <c r="X97" s="383"/>
      <c r="Y97" s="383"/>
      <c r="Z97" s="383"/>
      <c r="AA97" s="383"/>
      <c r="AB97" s="383"/>
      <c r="AC97" s="383"/>
      <c r="AM97" s="870" t="s">
        <v>1175</v>
      </c>
      <c r="AN97" s="869"/>
      <c r="AO97" s="399" t="s">
        <v>1093</v>
      </c>
      <c r="AP97" s="455"/>
      <c r="AQ97" s="400">
        <f>'Interim (New)'!DI11</f>
        <v>3037</v>
      </c>
      <c r="AR97" s="877"/>
      <c r="AS97" s="473">
        <f>'Income Statement'!AA7</f>
        <v>3423.86</v>
      </c>
      <c r="AT97" s="400">
        <f>_xll.VisibleAlpha.UDF.VAData("SAF_FR",$AT$87,$AM97,"Consensus","CD","IMPL")</f>
        <v>3415.3039489938528</v>
      </c>
      <c r="AU97" s="510">
        <v>3432</v>
      </c>
      <c r="AV97" s="826">
        <f>AS97/AT97-1</f>
        <v>2.5052092387467528E-3</v>
      </c>
      <c r="AW97" s="826">
        <f>AS97/AU97-1</f>
        <v>-2.3717948717948412E-3</v>
      </c>
      <c r="AX97" s="823">
        <f>AS97/AQ97-1</f>
        <v>0.12738228514981897</v>
      </c>
      <c r="AY97" s="823">
        <f>AU97/AQ97-1</f>
        <v>0.13006256173855779</v>
      </c>
      <c r="AZ97" s="455"/>
      <c r="BA97" s="899"/>
      <c r="BB97" s="570"/>
      <c r="BD97" s="823"/>
      <c r="BE97" s="823"/>
      <c r="BG97" s="814"/>
    </row>
    <row r="98" spans="3:59" ht="15" hidden="1" customHeight="1">
      <c r="C98" s="452"/>
      <c r="D98" s="466"/>
      <c r="E98" s="393"/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439"/>
      <c r="Q98" s="393"/>
      <c r="R98" s="393"/>
      <c r="S98" s="439"/>
      <c r="T98" s="393"/>
      <c r="U98" s="439"/>
      <c r="V98" s="420"/>
      <c r="W98" s="383"/>
      <c r="X98" s="383"/>
      <c r="Y98" s="383"/>
      <c r="Z98" s="383"/>
      <c r="AA98" s="383"/>
      <c r="AB98" s="383"/>
      <c r="AC98" s="383"/>
      <c r="AM98" s="870"/>
      <c r="AN98" s="869"/>
      <c r="AO98" s="399" t="s">
        <v>752</v>
      </c>
      <c r="AP98" s="459"/>
      <c r="AQ98" s="400" t="e">
        <f>'Income Statement'!#REF!</f>
        <v>#REF!</v>
      </c>
      <c r="AR98" s="878"/>
      <c r="AS98" s="473">
        <v>11</v>
      </c>
      <c r="AT98" s="400" t="str">
        <f>_xll.VisibleAlpha.UDF.VAData("SAF_FR",$AT$87,$AM98,"Consensus","CD","IMPL")</f>
        <v>#InvalidLineItem</v>
      </c>
      <c r="AU98" s="510"/>
      <c r="AV98" s="826" t="e">
        <f>AS98/AT98-1</f>
        <v>#VALUE!</v>
      </c>
      <c r="AW98" s="826" t="e">
        <f>AS98/AU98-1</f>
        <v>#DIV/0!</v>
      </c>
      <c r="AX98" s="823" t="e">
        <f>AS98/AQ98-1</f>
        <v>#REF!</v>
      </c>
      <c r="AY98" s="823" t="e">
        <f>AU98/AQ98-1</f>
        <v>#REF!</v>
      </c>
      <c r="AZ98" s="459"/>
      <c r="BA98" s="899"/>
      <c r="BB98" s="570"/>
      <c r="BD98" s="823"/>
      <c r="BE98" s="823"/>
      <c r="BG98" s="814"/>
    </row>
    <row r="99" spans="3:59" ht="15" customHeight="1">
      <c r="C99" s="452"/>
      <c r="D99" s="447"/>
      <c r="E99" s="444"/>
      <c r="F99" s="444"/>
      <c r="G99" s="444"/>
      <c r="H99" s="444"/>
      <c r="I99" s="444"/>
      <c r="J99" s="444"/>
      <c r="K99" s="444"/>
      <c r="L99" s="444"/>
      <c r="M99" s="436"/>
      <c r="N99" s="436"/>
      <c r="O99" s="436"/>
      <c r="P99" s="439"/>
      <c r="Q99" s="444"/>
      <c r="R99" s="444"/>
      <c r="S99" s="439"/>
      <c r="T99" s="436"/>
      <c r="U99" s="439"/>
      <c r="V99" s="420"/>
      <c r="W99" s="383"/>
      <c r="X99" s="383"/>
      <c r="Y99" s="383"/>
      <c r="Z99" s="383"/>
      <c r="AA99" s="383"/>
      <c r="AB99" s="383"/>
      <c r="AC99" s="383"/>
      <c r="AM99" s="870" t="s">
        <v>1177</v>
      </c>
      <c r="AN99" s="869"/>
      <c r="AO99" s="435" t="s">
        <v>1178</v>
      </c>
      <c r="AP99" s="416"/>
      <c r="AQ99" s="404">
        <f>'Interim (New)'!DI16</f>
        <v>27317</v>
      </c>
      <c r="AR99" s="879"/>
      <c r="AS99" s="474">
        <f>'Income Statement'!AA9</f>
        <v>31556.568615283002</v>
      </c>
      <c r="AT99" s="404">
        <f>_xll.VisibleAlpha.UDF.VAData("SAF_FR",$AT$87,$AM99,"Consensus","CD","IMPL")</f>
        <v>31241.907670232456</v>
      </c>
      <c r="AU99" s="511">
        <v>31163</v>
      </c>
      <c r="AV99" s="827">
        <f>AS99/AT99-1</f>
        <v>1.0071758369299522E-2</v>
      </c>
      <c r="AW99" s="827">
        <f>AS99/AU99-1</f>
        <v>1.2629355815646726E-2</v>
      </c>
      <c r="AX99" s="824">
        <f>AS99/AQ99-1</f>
        <v>0.15519890966368943</v>
      </c>
      <c r="AY99" s="824">
        <f>AU100/AQ99-1</f>
        <v>-0.99999484601352462</v>
      </c>
      <c r="AZ99" s="416"/>
      <c r="BA99" s="1274" t="s">
        <v>1649</v>
      </c>
      <c r="BB99" s="890" t="s">
        <v>1737</v>
      </c>
      <c r="BD99" s="824">
        <f>BG99/AS99-1</f>
        <v>-3.0469999035868667E-2</v>
      </c>
      <c r="BE99" s="824">
        <f>BG99/AU100-1</f>
        <v>217306.51629745195</v>
      </c>
      <c r="BG99" s="815">
        <f>AQ99*(1.12)</f>
        <v>30595.040000000005</v>
      </c>
    </row>
    <row r="100" spans="3:59" ht="15" customHeight="1">
      <c r="C100" s="452"/>
      <c r="D100" s="447"/>
      <c r="E100" s="444"/>
      <c r="F100" s="444"/>
      <c r="G100" s="444"/>
      <c r="H100" s="444"/>
      <c r="I100" s="444"/>
      <c r="J100" s="444"/>
      <c r="K100" s="444"/>
      <c r="L100" s="444"/>
      <c r="M100" s="436"/>
      <c r="N100" s="436"/>
      <c r="O100" s="436"/>
      <c r="P100" s="439"/>
      <c r="Q100" s="444"/>
      <c r="R100" s="444"/>
      <c r="S100" s="439"/>
      <c r="T100" s="436"/>
      <c r="U100" s="439"/>
      <c r="V100" s="420"/>
      <c r="W100" s="439"/>
      <c r="X100" s="439"/>
      <c r="Y100" s="439"/>
      <c r="Z100" s="439"/>
      <c r="AA100" s="439"/>
      <c r="AB100" s="439"/>
      <c r="AC100" s="439"/>
      <c r="AM100" s="870"/>
      <c r="AN100" s="869"/>
      <c r="AO100" s="408" t="s">
        <v>287</v>
      </c>
      <c r="AP100" s="416"/>
      <c r="AQ100" s="131"/>
      <c r="AR100" s="879"/>
      <c r="AS100" s="475"/>
      <c r="AT100" s="131"/>
      <c r="AU100" s="1285">
        <f>AU99/AQ99-1</f>
        <v>0.14079144854852288</v>
      </c>
      <c r="AV100" s="746"/>
      <c r="AW100" s="746"/>
      <c r="AX100" s="131"/>
      <c r="AY100" s="131"/>
      <c r="AZ100" s="416"/>
      <c r="BA100" s="1275"/>
      <c r="BB100" s="569"/>
      <c r="BD100" s="131"/>
      <c r="BE100" s="131"/>
      <c r="BG100" s="814"/>
    </row>
    <row r="101" spans="3:59" ht="15" customHeight="1">
      <c r="C101" s="452"/>
      <c r="D101" s="447"/>
      <c r="E101" s="444"/>
      <c r="F101" s="444"/>
      <c r="G101" s="444"/>
      <c r="H101" s="444"/>
      <c r="I101" s="444"/>
      <c r="J101" s="444"/>
      <c r="K101" s="444"/>
      <c r="L101" s="444"/>
      <c r="M101" s="436"/>
      <c r="N101" s="436"/>
      <c r="O101" s="436"/>
      <c r="P101" s="440"/>
      <c r="Q101" s="444"/>
      <c r="R101" s="444"/>
      <c r="S101" s="440"/>
      <c r="T101" s="436"/>
      <c r="U101" s="440"/>
      <c r="V101" s="420"/>
      <c r="W101" s="440"/>
      <c r="X101" s="440"/>
      <c r="Y101" s="440"/>
      <c r="Z101" s="440"/>
      <c r="AA101" s="440"/>
      <c r="AB101" s="440"/>
      <c r="AC101" s="440"/>
      <c r="AM101" s="870" t="s">
        <v>1179</v>
      </c>
      <c r="AN101" s="869"/>
      <c r="AO101" s="470" t="s">
        <v>900</v>
      </c>
      <c r="AP101" s="416"/>
      <c r="AQ101" s="400">
        <f>'Income Statement'!Z19</f>
        <v>2819</v>
      </c>
      <c r="AR101" s="879"/>
      <c r="AS101" s="476">
        <f>'Income Statement'!AA19</f>
        <v>3573.190883274262</v>
      </c>
      <c r="AT101" s="471">
        <f>_xll.VisibleAlpha.UDF.VAData("SAF_FR",$AT$87,$AM101,"Consensus","CD","IMPL")</f>
        <v>3547.3382545185764</v>
      </c>
      <c r="AU101" s="513">
        <v>3562</v>
      </c>
      <c r="AV101" s="826">
        <f>AS101/AT101-1</f>
        <v>7.2878950076877835E-3</v>
      </c>
      <c r="AW101" s="826">
        <f>AS101/AU101-1</f>
        <v>3.141741514391283E-3</v>
      </c>
      <c r="AX101" s="823">
        <f>AS101/AQ101-1</f>
        <v>0.26753844741903587</v>
      </c>
      <c r="AY101" s="823">
        <f>AU101/AQ101-1</f>
        <v>0.26356864136218516</v>
      </c>
      <c r="AZ101" s="416"/>
      <c r="BA101" s="1275"/>
      <c r="BB101" s="569"/>
      <c r="BD101" s="823"/>
      <c r="BE101" s="823"/>
      <c r="BG101" s="814"/>
    </row>
    <row r="102" spans="3:59" ht="15" customHeight="1">
      <c r="C102" s="452"/>
      <c r="D102" s="447"/>
      <c r="E102" s="444"/>
      <c r="F102" s="444"/>
      <c r="G102" s="444"/>
      <c r="H102" s="444"/>
      <c r="I102" s="444"/>
      <c r="J102" s="444"/>
      <c r="K102" s="444"/>
      <c r="L102" s="444"/>
      <c r="M102" s="436"/>
      <c r="N102" s="436"/>
      <c r="O102" s="436"/>
      <c r="P102" s="440"/>
      <c r="Q102" s="444"/>
      <c r="R102" s="444"/>
      <c r="S102" s="440"/>
      <c r="T102" s="436"/>
      <c r="U102" s="440"/>
      <c r="V102" s="420"/>
      <c r="W102" s="440"/>
      <c r="X102" s="440"/>
      <c r="Y102" s="440"/>
      <c r="Z102" s="440"/>
      <c r="AA102" s="440"/>
      <c r="AB102" s="440"/>
      <c r="AC102" s="440"/>
      <c r="AM102" s="870"/>
      <c r="AN102" s="869"/>
      <c r="AO102" s="421" t="s">
        <v>906</v>
      </c>
      <c r="AP102" s="416"/>
      <c r="AQ102" s="489">
        <f>AQ101/AQ95</f>
        <v>0.20648989159097569</v>
      </c>
      <c r="AR102" s="879"/>
      <c r="AS102" s="486">
        <f>AS101/AS95</f>
        <v>0.22566033823994469</v>
      </c>
      <c r="AT102" s="489">
        <f>AT101/AT95</f>
        <v>0.22711809265971727</v>
      </c>
      <c r="AU102" s="515">
        <f>AU101/AU95</f>
        <v>0.23074431560536374</v>
      </c>
      <c r="AV102" s="747">
        <f>(AS102-AT102)*100</f>
        <v>-0.14577544197725834</v>
      </c>
      <c r="AW102" s="747">
        <f>(AS102-AU102)*100</f>
        <v>-0.50839773654190457</v>
      </c>
      <c r="AX102" s="748">
        <f>(AS102-AQ102)*100</f>
        <v>1.9170446648968997</v>
      </c>
      <c r="AY102" s="748">
        <f>(AU102-AQ102)*100</f>
        <v>2.4254424014388043</v>
      </c>
      <c r="AZ102" s="416"/>
      <c r="BA102" s="1276"/>
      <c r="BB102" s="570"/>
      <c r="BD102" s="748"/>
      <c r="BE102" s="748"/>
      <c r="BG102" s="814"/>
    </row>
    <row r="103" spans="3:59" ht="15" customHeight="1">
      <c r="C103" s="452"/>
      <c r="D103" s="450"/>
      <c r="E103" s="445"/>
      <c r="F103" s="445"/>
      <c r="G103" s="445"/>
      <c r="H103" s="445"/>
      <c r="I103" s="445"/>
      <c r="J103" s="445"/>
      <c r="K103" s="445"/>
      <c r="L103" s="445"/>
      <c r="M103" s="442"/>
      <c r="N103" s="442"/>
      <c r="O103" s="442"/>
      <c r="P103" s="441"/>
      <c r="Q103" s="445"/>
      <c r="R103" s="445"/>
      <c r="S103" s="441"/>
      <c r="T103" s="442"/>
      <c r="U103" s="441"/>
      <c r="V103" s="411"/>
      <c r="W103" s="441"/>
      <c r="X103" s="441"/>
      <c r="Y103" s="441"/>
      <c r="Z103" s="441"/>
      <c r="AA103" s="441"/>
      <c r="AB103" s="441"/>
      <c r="AC103" s="441"/>
      <c r="AM103" s="870" t="s">
        <v>1180</v>
      </c>
      <c r="AN103" s="869"/>
      <c r="AO103" s="399" t="s">
        <v>1174</v>
      </c>
      <c r="AP103" s="411"/>
      <c r="AQ103" s="400">
        <f>'Income Statement'!Z20</f>
        <v>1298</v>
      </c>
      <c r="AR103" s="880"/>
      <c r="AS103" s="476">
        <f>'Income Statement'!AA20</f>
        <v>1566.0905547253578</v>
      </c>
      <c r="AT103" s="471">
        <f>_xll.VisibleAlpha.UDF.VAData("SAF_FR",$AT$87,$AM103,"Consensus","CD","IMPL")</f>
        <v>1562.5161737032399</v>
      </c>
      <c r="AU103" s="513">
        <v>1564</v>
      </c>
      <c r="AV103" s="826">
        <f>AS103/AT103-1</f>
        <v>2.2875801750239511E-3</v>
      </c>
      <c r="AW103" s="826">
        <f>AS103/AU103-1</f>
        <v>1.3366718192824312E-3</v>
      </c>
      <c r="AX103" s="823">
        <f>AS103/AQ103-1</f>
        <v>0.20654125941861157</v>
      </c>
      <c r="AY103" s="823">
        <f>AU103/AQ103-1</f>
        <v>0.20493066255778114</v>
      </c>
      <c r="AZ103" s="411"/>
      <c r="BA103" s="1277"/>
      <c r="BB103" s="571"/>
      <c r="BD103" s="823"/>
      <c r="BE103" s="823"/>
      <c r="BG103" s="814"/>
    </row>
    <row r="104" spans="3:59" ht="15" customHeight="1">
      <c r="C104" s="452"/>
      <c r="D104" s="447"/>
      <c r="E104" s="446"/>
      <c r="F104" s="446"/>
      <c r="G104" s="446"/>
      <c r="H104" s="446"/>
      <c r="I104" s="437"/>
      <c r="J104" s="437"/>
      <c r="K104" s="437"/>
      <c r="L104" s="437"/>
      <c r="M104" s="444"/>
      <c r="N104" s="444"/>
      <c r="O104" s="444"/>
      <c r="P104" s="437"/>
      <c r="Q104" s="437"/>
      <c r="R104" s="437"/>
      <c r="S104" s="437"/>
      <c r="T104" s="444"/>
      <c r="U104" s="437"/>
      <c r="V104" s="460"/>
      <c r="W104" s="437"/>
      <c r="X104" s="437"/>
      <c r="Y104" s="437"/>
      <c r="Z104" s="437"/>
      <c r="AA104" s="437"/>
      <c r="AB104" s="437"/>
      <c r="AC104" s="437"/>
      <c r="AM104" s="870"/>
      <c r="AN104" s="869"/>
      <c r="AO104" s="421" t="s">
        <v>906</v>
      </c>
      <c r="AP104" s="460"/>
      <c r="AQ104" s="489">
        <f>AQ103/AQ96</f>
        <v>0.12224524392540968</v>
      </c>
      <c r="AR104" s="881"/>
      <c r="AS104" s="486">
        <f>AS103/AS96</f>
        <v>0.12744533688189683</v>
      </c>
      <c r="AT104" s="489">
        <f>AT103/AT96</f>
        <v>0.12786640564875731</v>
      </c>
      <c r="AU104" s="515">
        <f>AU103/AU96</f>
        <v>0.12817570890018029</v>
      </c>
      <c r="AV104" s="747">
        <f>(AS104-AT104)*100</f>
        <v>-4.2106876686048844E-2</v>
      </c>
      <c r="AW104" s="747">
        <f>(AS104-AU104)*100</f>
        <v>-7.3037201828346499E-2</v>
      </c>
      <c r="AX104" s="748">
        <f>(AS104-AQ104)*100</f>
        <v>0.52000929564871434</v>
      </c>
      <c r="AY104" s="748">
        <f>(AU104-AQ104)*100</f>
        <v>0.59304649747706084</v>
      </c>
      <c r="AZ104" s="460"/>
      <c r="BA104" s="1276"/>
      <c r="BB104" s="570"/>
      <c r="BD104" s="748"/>
      <c r="BE104" s="748"/>
      <c r="BG104" s="814"/>
    </row>
    <row r="105" spans="3:59" ht="15" customHeight="1">
      <c r="C105" s="452"/>
      <c r="D105" s="466"/>
      <c r="E105" s="393"/>
      <c r="F105" s="393"/>
      <c r="G105" s="393"/>
      <c r="H105" s="393"/>
      <c r="I105" s="436"/>
      <c r="J105" s="436"/>
      <c r="K105" s="436"/>
      <c r="L105" s="436"/>
      <c r="M105" s="447"/>
      <c r="N105" s="447"/>
      <c r="O105" s="447"/>
      <c r="P105" s="436"/>
      <c r="Q105" s="436"/>
      <c r="R105" s="436"/>
      <c r="S105" s="436"/>
      <c r="T105" s="447"/>
      <c r="U105" s="436"/>
      <c r="V105" s="392"/>
      <c r="W105" s="436"/>
      <c r="X105" s="436"/>
      <c r="Y105" s="436"/>
      <c r="Z105" s="436"/>
      <c r="AA105" s="436"/>
      <c r="AB105" s="436"/>
      <c r="AC105" s="436"/>
      <c r="AM105" s="870" t="s">
        <v>1181</v>
      </c>
      <c r="AN105" s="869"/>
      <c r="AO105" s="399" t="s">
        <v>1093</v>
      </c>
      <c r="AP105" s="392"/>
      <c r="AQ105" s="400">
        <f>'Income Statement'!Z21</f>
        <v>27</v>
      </c>
      <c r="AR105" s="882"/>
      <c r="AS105" s="476">
        <f>'Income Statement'!AA21</f>
        <v>106.69281550872572</v>
      </c>
      <c r="AT105" s="471">
        <f>_xll.VisibleAlpha.UDF.VAData("SAF_FR",$AT$87,$AM105,"Consensus","CD","IMPL")</f>
        <v>100.44275434908413</v>
      </c>
      <c r="AU105" s="513">
        <v>105</v>
      </c>
      <c r="AV105" s="826">
        <f>AS105/AT105-1</f>
        <v>6.2225107227941834E-2</v>
      </c>
      <c r="AW105" s="826">
        <f>AS105/AU105-1</f>
        <v>1.6122052464054404E-2</v>
      </c>
      <c r="AX105" s="823">
        <f>AS105/AQ105-1</f>
        <v>2.951585759582434</v>
      </c>
      <c r="AY105" s="823">
        <f>AU105/AQ105-1</f>
        <v>2.8888888888888888</v>
      </c>
      <c r="AZ105" s="392"/>
      <c r="BA105" s="1277"/>
      <c r="BB105" s="571"/>
      <c r="BD105" s="823"/>
      <c r="BE105" s="823"/>
      <c r="BG105" s="814"/>
    </row>
    <row r="106" spans="3:59" ht="15" customHeight="1">
      <c r="C106" s="452"/>
      <c r="D106" s="447"/>
      <c r="E106" s="444"/>
      <c r="F106" s="444"/>
      <c r="G106" s="444"/>
      <c r="H106" s="444"/>
      <c r="I106" s="444"/>
      <c r="J106" s="444"/>
      <c r="K106" s="444"/>
      <c r="L106" s="444"/>
      <c r="M106" s="436"/>
      <c r="N106" s="436"/>
      <c r="O106" s="436"/>
      <c r="P106" s="446"/>
      <c r="Q106" s="444"/>
      <c r="R106" s="444"/>
      <c r="S106" s="446"/>
      <c r="T106" s="436"/>
      <c r="U106" s="446"/>
      <c r="V106" s="416"/>
      <c r="W106" s="446"/>
      <c r="X106" s="446"/>
      <c r="Y106" s="446"/>
      <c r="Z106" s="446"/>
      <c r="AA106" s="446"/>
      <c r="AB106" s="446"/>
      <c r="AC106" s="446"/>
      <c r="AM106" s="870"/>
      <c r="AN106" s="869"/>
      <c r="AO106" s="421" t="s">
        <v>906</v>
      </c>
      <c r="AP106" s="416"/>
      <c r="AQ106" s="489">
        <f>AQ105/AQ97</f>
        <v>8.8903523213697735E-3</v>
      </c>
      <c r="AR106" s="879"/>
      <c r="AS106" s="486">
        <f>AS105/AS97</f>
        <v>3.1161559032415378E-2</v>
      </c>
      <c r="AT106" s="489">
        <f>AT105/AT97</f>
        <v>2.9409609173635783E-2</v>
      </c>
      <c r="AU106" s="1271">
        <f>AU105/AU97</f>
        <v>3.0594405594405596E-2</v>
      </c>
      <c r="AV106" s="747">
        <f>(AS106-AT106)*100</f>
        <v>0.17519498587795951</v>
      </c>
      <c r="AW106" s="747">
        <f>(AS106-AU106)*100</f>
        <v>5.6715343800978202E-2</v>
      </c>
      <c r="AX106" s="748">
        <f>(AS106-AQ106)*100</f>
        <v>2.2271206711045606</v>
      </c>
      <c r="AY106" s="748">
        <f>(AU106-AQ106)*100</f>
        <v>2.1704053273035826</v>
      </c>
      <c r="AZ106" s="416"/>
      <c r="BA106" s="1276"/>
      <c r="BB106" s="570"/>
      <c r="BD106" s="748"/>
      <c r="BE106" s="748"/>
      <c r="BG106" s="814"/>
    </row>
    <row r="107" spans="3:59" ht="15" customHeight="1">
      <c r="C107" s="452"/>
      <c r="D107" s="447"/>
      <c r="E107" s="443"/>
      <c r="F107" s="443"/>
      <c r="G107" s="443"/>
      <c r="H107" s="443"/>
      <c r="I107" s="443"/>
      <c r="J107" s="443"/>
      <c r="K107" s="443"/>
      <c r="L107" s="443"/>
      <c r="M107" s="453"/>
      <c r="N107" s="453"/>
      <c r="O107" s="453"/>
      <c r="P107" s="436"/>
      <c r="Q107" s="443"/>
      <c r="R107" s="443"/>
      <c r="S107" s="436"/>
      <c r="T107" s="453"/>
      <c r="U107" s="436"/>
      <c r="V107" s="456"/>
      <c r="W107" s="436"/>
      <c r="X107" s="436"/>
      <c r="Y107" s="436"/>
      <c r="Z107" s="436"/>
      <c r="AA107" s="436"/>
      <c r="AB107" s="436"/>
      <c r="AC107" s="436"/>
      <c r="AM107" s="870" t="s">
        <v>1184</v>
      </c>
      <c r="AN107" s="869"/>
      <c r="AO107" s="469" t="s">
        <v>1185</v>
      </c>
      <c r="AP107" s="456"/>
      <c r="AQ107" s="404">
        <f>'Income Statement'!Z23</f>
        <v>4119</v>
      </c>
      <c r="AR107" s="883"/>
      <c r="AS107" s="474">
        <f>'Income Statement'!AA23</f>
        <v>5217.0942807667525</v>
      </c>
      <c r="AT107" s="404">
        <f>_xll.VisibleAlpha.UDF.VAData("SAF_FR",$AT$87,$AM107,"Consensus","CD","IMPL")</f>
        <v>5154.0806380172498</v>
      </c>
      <c r="AU107" s="511">
        <v>5182</v>
      </c>
      <c r="AV107" s="827">
        <f>AS107/AT107-1</f>
        <v>1.2225971453512896E-2</v>
      </c>
      <c r="AW107" s="827">
        <f>AS107/AU107-1</f>
        <v>6.7723428727812784E-3</v>
      </c>
      <c r="AX107" s="824">
        <f>AS107/AQ107-1</f>
        <v>0.26659244495429779</v>
      </c>
      <c r="AY107" s="824">
        <f>AU107/AQ107-1</f>
        <v>0.25807234765719844</v>
      </c>
      <c r="AZ107" s="456"/>
      <c r="BA107" s="1274" t="s">
        <v>1650</v>
      </c>
      <c r="BB107" s="886" t="s">
        <v>1738</v>
      </c>
      <c r="BD107" s="824">
        <f>BG107/AS107-1</f>
        <v>-1.2860469287300558E-2</v>
      </c>
      <c r="BE107" s="824">
        <f>BG107/AU107-1</f>
        <v>-6.175221922037788E-3</v>
      </c>
      <c r="BF107" s="1283">
        <f>BG107/AU107-1</f>
        <v>-6.175221922037788E-3</v>
      </c>
      <c r="BG107" s="815">
        <v>5150</v>
      </c>
    </row>
    <row r="108" spans="3:59" ht="15" customHeight="1">
      <c r="C108" s="452"/>
      <c r="D108" s="447"/>
      <c r="E108" s="444"/>
      <c r="F108" s="444"/>
      <c r="G108" s="444"/>
      <c r="H108" s="444"/>
      <c r="I108" s="444"/>
      <c r="J108" s="444"/>
      <c r="K108" s="444"/>
      <c r="L108" s="444"/>
      <c r="M108" s="436"/>
      <c r="N108" s="436"/>
      <c r="O108" s="436"/>
      <c r="P108" s="446"/>
      <c r="Q108" s="444"/>
      <c r="R108" s="444"/>
      <c r="S108" s="446"/>
      <c r="T108" s="436"/>
      <c r="U108" s="446"/>
      <c r="V108" s="416"/>
      <c r="W108" s="446"/>
      <c r="X108" s="446"/>
      <c r="Y108" s="446"/>
      <c r="Z108" s="446"/>
      <c r="AA108" s="446"/>
      <c r="AB108" s="446"/>
      <c r="AC108" s="446"/>
      <c r="AM108" s="870"/>
      <c r="AN108" s="869"/>
      <c r="AO108" s="421" t="s">
        <v>906</v>
      </c>
      <c r="AP108" s="416"/>
      <c r="AQ108" s="490">
        <f>AQ107/AQ99</f>
        <v>0.15078522531756783</v>
      </c>
      <c r="AR108" s="879"/>
      <c r="AS108" s="487">
        <f>AS107/AS99</f>
        <v>0.16532514496015541</v>
      </c>
      <c r="AT108" s="490">
        <f>AT107/AT99</f>
        <v>0.16497330100389804</v>
      </c>
      <c r="AU108" s="1271">
        <f>AU107/AU99</f>
        <v>0.16628694284889131</v>
      </c>
      <c r="AV108" s="747">
        <f>(AS108-AT108)*100</f>
        <v>3.5184395625736942E-2</v>
      </c>
      <c r="AW108" s="747">
        <f>(AS108-AU108)*100</f>
        <v>-9.6179788873590466E-2</v>
      </c>
      <c r="AX108" s="748">
        <f>(AS108-AQ108)*100</f>
        <v>1.453991964258758</v>
      </c>
      <c r="AY108" s="748">
        <f>(AU108-AQ108)*100</f>
        <v>1.5501717531323482</v>
      </c>
      <c r="AZ108" s="416"/>
      <c r="BA108" s="1278"/>
      <c r="BB108" s="734"/>
      <c r="BD108" s="748">
        <f>(BG108-AS108)*100</f>
        <v>0.30027931631482208</v>
      </c>
      <c r="BE108" s="748">
        <f>(BG108-AU108)*100</f>
        <v>0.20409952744123161</v>
      </c>
      <c r="BG108" s="816">
        <f>BG107/BG99</f>
        <v>0.16832793812330363</v>
      </c>
    </row>
    <row r="109" spans="3:59" ht="15" customHeight="1">
      <c r="C109" s="452"/>
      <c r="D109" s="447"/>
      <c r="E109" s="467"/>
      <c r="F109" s="467"/>
      <c r="G109" s="467"/>
      <c r="H109" s="467"/>
      <c r="I109" s="444"/>
      <c r="J109" s="444"/>
      <c r="K109" s="444"/>
      <c r="L109" s="444"/>
      <c r="M109" s="436"/>
      <c r="N109" s="436"/>
      <c r="O109" s="436"/>
      <c r="P109" s="446"/>
      <c r="Q109" s="444"/>
      <c r="R109" s="444"/>
      <c r="S109" s="446"/>
      <c r="T109" s="436"/>
      <c r="U109" s="446"/>
      <c r="V109" s="416"/>
      <c r="W109" s="446"/>
      <c r="X109" s="446"/>
      <c r="Y109" s="446"/>
      <c r="Z109" s="446"/>
      <c r="AA109" s="446"/>
      <c r="AB109" s="446"/>
      <c r="AC109" s="446"/>
      <c r="AM109" s="870" t="s">
        <v>1186</v>
      </c>
      <c r="AN109" s="869"/>
      <c r="AO109" s="469" t="s">
        <v>901</v>
      </c>
      <c r="AP109" s="416"/>
      <c r="AQ109" s="404">
        <f>'Cashflow Statement'!Z57</f>
        <v>3189</v>
      </c>
      <c r="AR109" s="879"/>
      <c r="AS109" s="474">
        <f>'Cashflow Statement'!AA57</f>
        <v>3613.1854263217751</v>
      </c>
      <c r="AT109" s="404">
        <f>_xll.VisibleAlpha.UDF.VAData("SAF_FR",$AT$87,$AM109,"Consensus","CD","IMPL")</f>
        <v>3545.5160794154453</v>
      </c>
      <c r="AU109" s="511">
        <v>3519</v>
      </c>
      <c r="AV109" s="827">
        <f>AS109/AT109-1</f>
        <v>1.908589480081746E-2</v>
      </c>
      <c r="AW109" s="827">
        <f>AS109/AU109-1</f>
        <v>2.6764827030910876E-2</v>
      </c>
      <c r="AX109" s="824">
        <f>AS109/AQ109-1</f>
        <v>0.13301518542545465</v>
      </c>
      <c r="AY109" s="824">
        <f>AU109/AQ109-1</f>
        <v>0.10348071495766709</v>
      </c>
      <c r="AZ109" s="416"/>
      <c r="BA109" s="1274" t="s">
        <v>1651</v>
      </c>
      <c r="BB109" s="886" t="s">
        <v>1739</v>
      </c>
      <c r="BD109" s="824">
        <f>BG109/AS109-1</f>
        <v>-3.6492526029028305E-3</v>
      </c>
      <c r="BE109" s="824">
        <f>BG109/AU109-1</f>
        <v>2.3017902813299296E-2</v>
      </c>
      <c r="BF109" s="1284">
        <f>BG109/AU109-1</f>
        <v>2.3017902813299296E-2</v>
      </c>
      <c r="BG109" s="815">
        <v>3600</v>
      </c>
    </row>
    <row r="110" spans="3:59" ht="3.75" customHeight="1">
      <c r="C110" s="452"/>
      <c r="D110" s="450"/>
      <c r="E110" s="445"/>
      <c r="F110" s="445"/>
      <c r="G110" s="445"/>
      <c r="H110" s="445"/>
      <c r="I110" s="445"/>
      <c r="J110" s="445"/>
      <c r="K110" s="445"/>
      <c r="L110" s="445"/>
      <c r="M110" s="442"/>
      <c r="N110" s="442"/>
      <c r="O110" s="442"/>
      <c r="P110" s="448"/>
      <c r="Q110" s="445"/>
      <c r="R110" s="445"/>
      <c r="S110" s="448"/>
      <c r="T110" s="442"/>
      <c r="U110" s="448"/>
      <c r="V110" s="411"/>
      <c r="W110" s="448"/>
      <c r="X110" s="448"/>
      <c r="Y110" s="448"/>
      <c r="Z110" s="448"/>
      <c r="AA110" s="448"/>
      <c r="AB110" s="448"/>
      <c r="AC110" s="448"/>
      <c r="AK110" s="410"/>
      <c r="AM110" s="870"/>
      <c r="AN110" s="869"/>
      <c r="AR110" s="534"/>
      <c r="AS110" s="533"/>
      <c r="AU110" s="534"/>
      <c r="AV110" s="828"/>
      <c r="AW110" s="828"/>
      <c r="AX110" s="825"/>
      <c r="AY110" s="825"/>
      <c r="BA110" s="1279"/>
      <c r="BB110" s="689"/>
      <c r="BD110" s="825"/>
      <c r="BE110" s="825"/>
      <c r="BG110" s="818"/>
    </row>
    <row r="111" spans="3:59" ht="15" customHeight="1">
      <c r="C111" s="452"/>
      <c r="D111" s="447"/>
      <c r="E111" s="443"/>
      <c r="F111" s="443"/>
      <c r="G111" s="443"/>
      <c r="H111" s="443"/>
      <c r="I111" s="443"/>
      <c r="J111" s="443"/>
      <c r="K111" s="443"/>
      <c r="L111" s="443"/>
      <c r="M111" s="453"/>
      <c r="N111" s="453"/>
      <c r="O111" s="453"/>
      <c r="P111" s="436"/>
      <c r="Q111" s="443"/>
      <c r="R111" s="443"/>
      <c r="S111" s="436"/>
      <c r="T111" s="453"/>
      <c r="U111" s="436"/>
      <c r="V111" s="456"/>
      <c r="W111" s="436"/>
      <c r="X111" s="436"/>
      <c r="Y111" s="436"/>
      <c r="Z111" s="436"/>
      <c r="AA111" s="436"/>
      <c r="AB111" s="436"/>
      <c r="AC111" s="436"/>
      <c r="AM111" s="870" t="s">
        <v>1346</v>
      </c>
      <c r="AN111" s="869"/>
      <c r="AO111" s="469" t="s">
        <v>1405</v>
      </c>
      <c r="AP111" s="456"/>
      <c r="AQ111" s="546">
        <v>2.9</v>
      </c>
      <c r="AR111" s="883"/>
      <c r="AS111" s="547">
        <f>'Income Statement'!AA109</f>
        <v>3.4206496229479146</v>
      </c>
      <c r="AT111" s="903">
        <f>_xll.VisibleAlpha.UDF.VAData("SAF_FR",$AT$87,$AM111,"Consensus","CD","IMPL")</f>
        <v>3.2757216117609418</v>
      </c>
      <c r="AU111" s="548">
        <f>AT111</f>
        <v>3.2757216117609418</v>
      </c>
      <c r="AV111" s="827">
        <f>AS111/AT111-1</f>
        <v>4.4243079346740766E-2</v>
      </c>
      <c r="AW111" s="827">
        <f>AS111/AU111-1</f>
        <v>4.4243079346740766E-2</v>
      </c>
      <c r="AX111" s="824">
        <f>AS111/AQ111-1</f>
        <v>0.17953435274066032</v>
      </c>
      <c r="AY111" s="824">
        <f>AU111/AQ111-1</f>
        <v>0.12955917646929027</v>
      </c>
      <c r="AZ111" s="456"/>
      <c r="BA111" s="1280"/>
      <c r="BB111" s="573"/>
      <c r="BD111" s="824"/>
      <c r="BE111" s="824"/>
      <c r="BG111" s="818"/>
    </row>
    <row r="112" spans="3:59" ht="3.75" customHeight="1">
      <c r="C112" s="452"/>
      <c r="D112" s="450"/>
      <c r="E112" s="445"/>
      <c r="F112" s="445"/>
      <c r="G112" s="445"/>
      <c r="H112" s="445"/>
      <c r="I112" s="445"/>
      <c r="J112" s="445"/>
      <c r="K112" s="445"/>
      <c r="L112" s="445"/>
      <c r="M112" s="442"/>
      <c r="N112" s="442"/>
      <c r="O112" s="442"/>
      <c r="P112" s="448"/>
      <c r="Q112" s="445"/>
      <c r="R112" s="445"/>
      <c r="S112" s="448"/>
      <c r="T112" s="442"/>
      <c r="U112" s="448"/>
      <c r="V112" s="411"/>
      <c r="W112" s="448"/>
      <c r="X112" s="448"/>
      <c r="Y112" s="448"/>
      <c r="Z112" s="448"/>
      <c r="AA112" s="448"/>
      <c r="AB112" s="448"/>
      <c r="AC112" s="448"/>
      <c r="AK112" s="410"/>
      <c r="AM112" s="870"/>
      <c r="AN112" s="869"/>
      <c r="AR112" s="534"/>
      <c r="AS112" s="533"/>
      <c r="AU112" s="534"/>
      <c r="AV112" s="535"/>
      <c r="AW112" s="535"/>
      <c r="BA112" s="1279"/>
      <c r="BB112" s="689"/>
      <c r="BG112" s="818"/>
    </row>
    <row r="113" spans="3:59" ht="15" hidden="1" customHeight="1" outlineLevel="1">
      <c r="C113" s="452"/>
      <c r="D113" s="447"/>
      <c r="E113" s="446"/>
      <c r="F113" s="446"/>
      <c r="G113" s="446"/>
      <c r="H113" s="446"/>
      <c r="I113" s="444"/>
      <c r="J113" s="444"/>
      <c r="K113" s="444"/>
      <c r="L113" s="444"/>
      <c r="M113" s="436"/>
      <c r="N113" s="436"/>
      <c r="O113" s="436"/>
      <c r="P113" s="446"/>
      <c r="Q113" s="444"/>
      <c r="R113" s="444"/>
      <c r="S113" s="446"/>
      <c r="T113" s="436"/>
      <c r="U113" s="446"/>
      <c r="V113" s="416"/>
      <c r="W113" s="446"/>
      <c r="X113" s="446"/>
      <c r="Y113" s="446"/>
      <c r="Z113" s="446"/>
      <c r="AA113" s="446"/>
      <c r="AB113" s="446"/>
      <c r="AC113" s="446"/>
      <c r="AM113" s="870"/>
      <c r="AN113" s="869"/>
      <c r="AO113" s="560" t="s">
        <v>1280</v>
      </c>
      <c r="AP113" s="751"/>
      <c r="AQ113" s="561" t="e">
        <f>INDEX(#REF!,MATCH(AQ$93,#REF!,0))</f>
        <v>#REF!</v>
      </c>
      <c r="AR113" s="884"/>
      <c r="AS113" s="754">
        <v>9003.1238435554515</v>
      </c>
      <c r="AT113" s="561"/>
      <c r="AU113" s="755" t="e">
        <f>AQ113*(1+AU114)</f>
        <v>#REF!</v>
      </c>
      <c r="AV113" s="752"/>
      <c r="AW113" s="752"/>
      <c r="AX113" s="753"/>
      <c r="AY113" s="753"/>
      <c r="AZ113" s="751"/>
      <c r="BA113" s="1281"/>
      <c r="BB113" s="733"/>
      <c r="BD113" s="753"/>
      <c r="BE113" s="753"/>
      <c r="BG113" s="817" t="e">
        <f>AQ113*(1+BG114)</f>
        <v>#REF!</v>
      </c>
    </row>
    <row r="114" spans="3:59" ht="48" collapsed="1">
      <c r="C114" s="452"/>
      <c r="D114" s="447"/>
      <c r="E114" s="446"/>
      <c r="F114" s="446"/>
      <c r="G114" s="446"/>
      <c r="H114" s="446"/>
      <c r="I114" s="444"/>
      <c r="J114" s="444"/>
      <c r="K114" s="444"/>
      <c r="L114" s="444"/>
      <c r="M114" s="436"/>
      <c r="N114" s="436"/>
      <c r="O114" s="436"/>
      <c r="P114" s="446"/>
      <c r="Q114" s="444"/>
      <c r="R114" s="444"/>
      <c r="S114" s="446"/>
      <c r="T114" s="436"/>
      <c r="U114" s="446"/>
      <c r="V114" s="416"/>
      <c r="W114" s="446"/>
      <c r="X114" s="446"/>
      <c r="Y114" s="446"/>
      <c r="Z114" s="446"/>
      <c r="AA114" s="446"/>
      <c r="AB114" s="446"/>
      <c r="AC114" s="446"/>
      <c r="AM114" s="870" t="s">
        <v>1187</v>
      </c>
      <c r="AN114" s="869"/>
      <c r="AO114" s="469" t="s">
        <v>1406</v>
      </c>
      <c r="AP114" s="416"/>
      <c r="AQ114" s="130">
        <f>'Aerospace Propulsion Division'!Z104</f>
        <v>0.249</v>
      </c>
      <c r="AR114" s="879"/>
      <c r="AS114" s="830">
        <f>'Aerospace Propulsion Division'!AA104</f>
        <v>0.20838941743807404</v>
      </c>
      <c r="AT114" s="130">
        <f>_xll.VisibleAlpha.UDF.VAData("SAF_FR",$AT$87,$AM114,"Consensus","CD","IMPL")/100</f>
        <v>0.17310912991620808</v>
      </c>
      <c r="AU114" s="831">
        <f>AT114</f>
        <v>0.17310912991620808</v>
      </c>
      <c r="AV114" s="749">
        <f>(AS114-AT114)*100</f>
        <v>3.5280287521865961</v>
      </c>
      <c r="AW114" s="749">
        <f>(AS114-AU114)*100</f>
        <v>3.5280287521865961</v>
      </c>
      <c r="AX114" s="750">
        <f>(AS114-AQ114)*100</f>
        <v>-4.0610582561925952</v>
      </c>
      <c r="AY114" s="750">
        <f>(AU114-AQ114)*100</f>
        <v>-7.5890870083791917</v>
      </c>
      <c r="AZ114" s="416"/>
      <c r="BA114" s="1282" t="s">
        <v>1652</v>
      </c>
      <c r="BB114" s="890" t="s">
        <v>1740</v>
      </c>
      <c r="BD114" s="750"/>
      <c r="BE114" s="750"/>
      <c r="BG114" s="819"/>
    </row>
    <row r="115" spans="3:59" ht="3.75" customHeight="1">
      <c r="C115" s="452"/>
      <c r="D115" s="450"/>
      <c r="E115" s="445"/>
      <c r="F115" s="445"/>
      <c r="G115" s="445"/>
      <c r="H115" s="445"/>
      <c r="I115" s="445"/>
      <c r="J115" s="445"/>
      <c r="K115" s="445"/>
      <c r="L115" s="445"/>
      <c r="M115" s="442"/>
      <c r="N115" s="442"/>
      <c r="O115" s="442"/>
      <c r="P115" s="448"/>
      <c r="Q115" s="445"/>
      <c r="R115" s="445"/>
      <c r="S115" s="448"/>
      <c r="T115" s="442"/>
      <c r="U115" s="448"/>
      <c r="V115" s="411"/>
      <c r="W115" s="448"/>
      <c r="X115" s="448"/>
      <c r="Y115" s="448"/>
      <c r="Z115" s="448"/>
      <c r="AA115" s="448"/>
      <c r="AB115" s="448"/>
      <c r="AC115" s="448"/>
      <c r="AK115" s="410"/>
      <c r="AM115" s="870"/>
      <c r="AN115" s="869"/>
      <c r="AR115" s="534"/>
      <c r="AS115" s="533"/>
      <c r="AU115" s="534"/>
      <c r="AV115" s="535"/>
      <c r="AW115" s="535"/>
      <c r="BA115" s="1279"/>
      <c r="BB115" s="689"/>
      <c r="BG115" s="818"/>
    </row>
    <row r="116" spans="3:59" ht="15" customHeight="1">
      <c r="C116" s="452"/>
      <c r="D116" s="447"/>
      <c r="E116" s="443"/>
      <c r="F116" s="443"/>
      <c r="G116" s="443"/>
      <c r="H116" s="443"/>
      <c r="I116" s="443"/>
      <c r="J116" s="443"/>
      <c r="K116" s="443"/>
      <c r="L116" s="443"/>
      <c r="M116" s="454"/>
      <c r="N116" s="454"/>
      <c r="O116" s="454"/>
      <c r="P116" s="436"/>
      <c r="Q116" s="443"/>
      <c r="R116" s="443"/>
      <c r="S116" s="436"/>
      <c r="T116" s="454"/>
      <c r="U116" s="436"/>
      <c r="V116" s="461"/>
      <c r="W116" s="436"/>
      <c r="X116" s="436"/>
      <c r="Y116" s="436"/>
      <c r="Z116" s="436"/>
      <c r="AA116" s="436"/>
      <c r="AB116" s="436"/>
      <c r="AC116" s="436"/>
      <c r="AK116" s="410"/>
      <c r="AM116" s="870" t="s">
        <v>1400</v>
      </c>
      <c r="AN116" s="869"/>
      <c r="AO116" s="435" t="s">
        <v>1389</v>
      </c>
      <c r="AP116" s="416"/>
      <c r="AQ116" s="404">
        <f>'Aerospace Propulsion Division'!Z27</f>
        <v>1407</v>
      </c>
      <c r="AR116" s="879"/>
      <c r="AS116" s="474">
        <f>'Aerospace Propulsion Division'!AA27</f>
        <v>1846</v>
      </c>
      <c r="AT116" s="404">
        <f>_xll.VisibleAlpha.UDF.VAData("SAF_FR",$AT$87,$AM116,"Consensus","CD","IMPL")</f>
        <v>1725.3919249471455</v>
      </c>
      <c r="AU116" s="511">
        <f>AT116</f>
        <v>1725.3919249471455</v>
      </c>
      <c r="AV116" s="827">
        <f>AS116/AT116-1</f>
        <v>6.9901842769171996E-2</v>
      </c>
      <c r="AW116" s="827">
        <f>AS116/AU116-1</f>
        <v>6.9901842769171996E-2</v>
      </c>
      <c r="AX116" s="824">
        <f>AS116/AQ116-1</f>
        <v>0.3120113717128643</v>
      </c>
      <c r="AY116" s="824">
        <f>AU116/AQ116-1</f>
        <v>0.226291346799677</v>
      </c>
      <c r="BA116" s="1274" t="s">
        <v>1491</v>
      </c>
      <c r="BB116" s="890" t="s">
        <v>1741</v>
      </c>
      <c r="BD116" s="824"/>
      <c r="BE116" s="824"/>
      <c r="BG116" s="818"/>
    </row>
    <row r="117" spans="3:59" ht="6" customHeight="1">
      <c r="C117" s="452"/>
      <c r="D117" s="468"/>
      <c r="E117" s="449"/>
      <c r="F117" s="449"/>
      <c r="G117" s="449"/>
      <c r="H117" s="449"/>
      <c r="I117" s="446"/>
      <c r="J117" s="446"/>
      <c r="K117" s="446"/>
      <c r="L117" s="446"/>
      <c r="M117" s="447"/>
      <c r="N117" s="447"/>
      <c r="O117" s="447"/>
      <c r="P117" s="446"/>
      <c r="Q117" s="446"/>
      <c r="R117" s="446"/>
      <c r="S117" s="446"/>
      <c r="T117" s="447"/>
      <c r="U117" s="446"/>
      <c r="V117" s="392"/>
      <c r="W117" s="446"/>
      <c r="X117" s="446"/>
      <c r="Y117" s="446"/>
      <c r="Z117" s="446"/>
      <c r="AA117" s="446"/>
      <c r="AB117" s="446"/>
      <c r="AC117" s="446"/>
      <c r="AK117" s="463"/>
      <c r="AR117" s="534"/>
      <c r="AS117" s="518"/>
      <c r="AT117" s="904"/>
      <c r="AU117" s="519"/>
      <c r="AV117" s="536"/>
      <c r="AW117" s="536"/>
      <c r="BA117" s="900"/>
      <c r="BB117" s="688"/>
      <c r="BG117" s="820"/>
    </row>
    <row r="118" spans="3:59" ht="46.5" customHeight="1">
      <c r="C118" s="452"/>
      <c r="D118" s="450"/>
      <c r="E118" s="445"/>
      <c r="F118" s="445"/>
      <c r="G118" s="445"/>
      <c r="H118" s="445"/>
      <c r="I118" s="445"/>
      <c r="J118" s="445"/>
      <c r="K118" s="445"/>
      <c r="L118" s="445"/>
      <c r="M118" s="442"/>
      <c r="N118" s="442"/>
      <c r="O118" s="442"/>
      <c r="P118" s="448"/>
      <c r="Q118" s="445"/>
      <c r="R118" s="445"/>
      <c r="S118" s="448"/>
      <c r="T118" s="442"/>
      <c r="U118" s="448"/>
      <c r="V118" s="411"/>
      <c r="W118" s="448"/>
      <c r="X118" s="448"/>
      <c r="Y118" s="448"/>
      <c r="Z118" s="448"/>
      <c r="AA118" s="448"/>
      <c r="AB118" s="448"/>
      <c r="AC118" s="448"/>
      <c r="AK118" s="410"/>
      <c r="AO118" s="887" t="s">
        <v>1390</v>
      </c>
      <c r="BA118" s="888" t="s">
        <v>1490</v>
      </c>
      <c r="BB118" s="889" t="s">
        <v>1490</v>
      </c>
      <c r="BC118" s="785"/>
      <c r="BF118" s="785"/>
    </row>
    <row r="119" spans="3:59">
      <c r="C119" s="452"/>
      <c r="D119" s="450"/>
      <c r="E119" s="445"/>
      <c r="F119" s="445"/>
      <c r="G119" s="445"/>
      <c r="H119" s="445"/>
      <c r="I119" s="445"/>
      <c r="J119" s="445"/>
      <c r="K119" s="445"/>
      <c r="L119" s="445"/>
      <c r="M119" s="442"/>
      <c r="N119" s="442"/>
      <c r="O119" s="442"/>
      <c r="P119" s="448"/>
      <c r="Q119" s="445"/>
      <c r="R119" s="445"/>
      <c r="S119" s="448"/>
      <c r="T119" s="442"/>
      <c r="U119" s="448"/>
      <c r="V119" s="411"/>
      <c r="W119" s="448"/>
      <c r="X119" s="448"/>
      <c r="Y119" s="448"/>
      <c r="Z119" s="448"/>
      <c r="AA119" s="448"/>
      <c r="AB119" s="448"/>
      <c r="AC119" s="448"/>
      <c r="AK119" s="410"/>
      <c r="BA119" s="795"/>
      <c r="BB119" s="795"/>
      <c r="BC119" s="785"/>
      <c r="BF119" s="785"/>
    </row>
    <row r="120" spans="3:59" ht="13.5" customHeight="1">
      <c r="D120" s="111"/>
      <c r="E120" s="97"/>
      <c r="F120" s="97"/>
      <c r="G120" s="97"/>
      <c r="H120" s="97"/>
      <c r="I120" s="97"/>
      <c r="J120" s="97"/>
      <c r="K120" s="97"/>
      <c r="L120" s="97"/>
      <c r="M120" s="425"/>
      <c r="N120" s="425"/>
      <c r="Q120" s="426"/>
      <c r="R120" s="426"/>
      <c r="AO120" s="427"/>
      <c r="AP120" s="84"/>
      <c r="AQ120" s="427"/>
      <c r="AR120" s="84"/>
      <c r="AS120" s="1421" t="s">
        <v>1417</v>
      </c>
      <c r="AT120" s="1421"/>
      <c r="AU120" s="1421"/>
      <c r="AV120" s="504"/>
      <c r="AW120" s="504"/>
      <c r="AX120" s="504"/>
      <c r="AY120" s="504"/>
      <c r="AZ120" s="84"/>
      <c r="BA120" s="427"/>
      <c r="BB120" s="427"/>
      <c r="BC120" s="427"/>
      <c r="BD120" s="504"/>
      <c r="BE120" s="504"/>
      <c r="BF120" s="427"/>
    </row>
    <row r="121" spans="3:59" ht="3.75" customHeight="1">
      <c r="D121" s="111"/>
      <c r="E121" s="97"/>
      <c r="F121" s="97"/>
      <c r="G121" s="97"/>
      <c r="H121" s="97"/>
      <c r="I121" s="97"/>
      <c r="J121" s="97"/>
      <c r="K121" s="97"/>
      <c r="L121" s="97"/>
      <c r="M121" s="425"/>
      <c r="N121" s="425"/>
      <c r="Q121" s="426"/>
      <c r="R121" s="426"/>
      <c r="T121" s="451"/>
      <c r="U121" s="451"/>
      <c r="AO121" s="427"/>
      <c r="AP121" s="84"/>
      <c r="AQ121" s="427"/>
      <c r="AR121" s="84"/>
      <c r="AS121" s="492"/>
      <c r="AT121" s="507"/>
      <c r="AU121" s="507"/>
      <c r="AV121" s="538"/>
      <c r="AW121" s="538"/>
      <c r="AX121" s="427"/>
      <c r="AY121" s="427"/>
      <c r="AZ121" s="84"/>
      <c r="BA121" s="568"/>
      <c r="BB121" s="568"/>
      <c r="BC121" s="427"/>
      <c r="BD121" s="427"/>
      <c r="BE121" s="427"/>
      <c r="BF121" s="427"/>
      <c r="BG121" s="812"/>
    </row>
    <row r="122" spans="3:59" ht="15" customHeight="1"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51"/>
      <c r="U122" s="451"/>
      <c r="W122" s="447"/>
      <c r="X122" s="447"/>
      <c r="Y122" s="447"/>
      <c r="Z122" s="447"/>
      <c r="AA122" s="447"/>
      <c r="AB122" s="447"/>
      <c r="AC122" s="447"/>
      <c r="AO122" s="433" t="s">
        <v>732</v>
      </c>
      <c r="AP122" s="84"/>
      <c r="AQ122" s="505" t="s">
        <v>740</v>
      </c>
      <c r="AR122" s="84"/>
      <c r="AS122" s="506" t="s">
        <v>1344</v>
      </c>
      <c r="AT122" s="508" t="s">
        <v>1387</v>
      </c>
      <c r="AU122" s="508" t="s">
        <v>1345</v>
      </c>
      <c r="AV122" s="539" t="s">
        <v>1354</v>
      </c>
      <c r="AW122" s="539" t="s">
        <v>1354</v>
      </c>
      <c r="AX122" s="520" t="s">
        <v>1356</v>
      </c>
      <c r="AY122" s="520" t="s">
        <v>1357</v>
      </c>
      <c r="AZ122" s="84"/>
      <c r="BA122" s="549"/>
      <c r="BB122" s="549" t="s">
        <v>1327</v>
      </c>
      <c r="BC122" s="738"/>
      <c r="BD122" s="520" t="s">
        <v>1167</v>
      </c>
      <c r="BE122" s="520" t="s">
        <v>1167</v>
      </c>
      <c r="BF122" s="738"/>
      <c r="BG122" s="813" t="s">
        <v>1415</v>
      </c>
    </row>
    <row r="123" spans="3:59" ht="15" customHeight="1">
      <c r="D123" s="89"/>
      <c r="E123" s="97"/>
      <c r="F123" s="97"/>
      <c r="G123" s="97"/>
      <c r="H123" s="97"/>
      <c r="I123" s="97"/>
      <c r="J123" s="97"/>
      <c r="K123" s="97"/>
      <c r="L123" s="97"/>
      <c r="M123" s="425"/>
      <c r="N123" s="425"/>
      <c r="O123" s="211"/>
      <c r="P123" s="211"/>
      <c r="Q123" s="211"/>
      <c r="R123" s="211"/>
      <c r="S123" s="211"/>
      <c r="T123" s="451"/>
      <c r="U123" s="451"/>
      <c r="V123" s="100"/>
      <c r="W123" s="211"/>
      <c r="X123" s="211"/>
      <c r="Y123" s="211"/>
      <c r="Z123" s="211"/>
      <c r="AA123" s="211"/>
      <c r="AB123" s="211"/>
      <c r="AC123" s="211"/>
      <c r="AL123" s="100"/>
      <c r="AM123" s="100"/>
      <c r="AN123" s="100"/>
      <c r="AO123" s="82" t="s">
        <v>1164</v>
      </c>
      <c r="AP123" s="211"/>
      <c r="AQ123" s="505" t="s">
        <v>1342</v>
      </c>
      <c r="AR123" s="211"/>
      <c r="AS123" s="506" t="s">
        <v>1418</v>
      </c>
      <c r="AT123" s="508" t="s">
        <v>1418</v>
      </c>
      <c r="AU123" s="508" t="s">
        <v>1418</v>
      </c>
      <c r="AV123" s="539" t="s">
        <v>1355</v>
      </c>
      <c r="AW123" s="539" t="s">
        <v>1355</v>
      </c>
      <c r="AX123" s="520" t="s">
        <v>893</v>
      </c>
      <c r="AY123" s="520" t="s">
        <v>893</v>
      </c>
      <c r="AZ123" s="211"/>
      <c r="BA123" s="549"/>
      <c r="BB123" s="549" t="s">
        <v>1414</v>
      </c>
      <c r="BC123" s="738"/>
      <c r="BD123" s="520" t="s">
        <v>1428</v>
      </c>
      <c r="BE123" s="520" t="s">
        <v>1427</v>
      </c>
      <c r="BF123" s="738"/>
      <c r="BG123" s="813" t="s">
        <v>1414</v>
      </c>
    </row>
    <row r="124" spans="3:59" ht="15" customHeight="1">
      <c r="C124" s="452"/>
      <c r="D124" s="447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47"/>
      <c r="Q124" s="462"/>
      <c r="R124" s="462"/>
      <c r="S124" s="447"/>
      <c r="T124" s="451"/>
      <c r="U124" s="447"/>
      <c r="V124" s="457"/>
      <c r="W124" s="447"/>
      <c r="X124" s="447"/>
      <c r="Y124" s="447"/>
      <c r="Z124" s="447"/>
      <c r="AA124" s="447"/>
      <c r="AB124" s="447"/>
      <c r="AC124" s="447"/>
      <c r="AO124" s="434" t="s">
        <v>1074</v>
      </c>
      <c r="AP124" s="458"/>
      <c r="AQ124" s="393"/>
      <c r="AR124" s="458"/>
      <c r="AS124" s="472"/>
      <c r="AT124" s="509"/>
      <c r="AU124" s="509"/>
      <c r="AV124" s="540"/>
      <c r="AW124" s="540"/>
      <c r="AX124" s="393"/>
      <c r="AY124" s="393"/>
      <c r="AZ124" s="458"/>
      <c r="BA124" s="569"/>
      <c r="BB124" s="569"/>
      <c r="BC124" s="739"/>
      <c r="BD124" s="393"/>
      <c r="BE124" s="393"/>
      <c r="BF124" s="739"/>
      <c r="BG124" s="813"/>
    </row>
    <row r="125" spans="3:59" ht="15" customHeight="1">
      <c r="C125" s="452"/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38"/>
      <c r="Q125" s="447"/>
      <c r="R125" s="447"/>
      <c r="S125" s="438"/>
      <c r="T125" s="447"/>
      <c r="U125" s="438"/>
      <c r="V125" s="447"/>
      <c r="W125" s="438"/>
      <c r="X125" s="438"/>
      <c r="Y125" s="438"/>
      <c r="Z125" s="438"/>
      <c r="AA125" s="438"/>
      <c r="AB125" s="438"/>
      <c r="AC125" s="438"/>
      <c r="AO125" s="470" t="s">
        <v>900</v>
      </c>
      <c r="AP125" s="447"/>
      <c r="AQ125" s="400">
        <v>6199</v>
      </c>
      <c r="AR125" s="447"/>
      <c r="AS125" s="473">
        <v>6723.9375707251493</v>
      </c>
      <c r="AT125" s="510">
        <f ca="1">'GSe vs Consensus'!$BK$13</f>
        <v>7541</v>
      </c>
      <c r="AU125" s="510">
        <f>AU95-L32</f>
        <v>8246</v>
      </c>
      <c r="AV125" s="826">
        <f ca="1">AS125/AT125-1</f>
        <v>-0.10834934747047487</v>
      </c>
      <c r="AW125" s="826">
        <f>AS125/AU125-1</f>
        <v>-0.18458190992903845</v>
      </c>
      <c r="AX125" s="823">
        <f>AS125/AQ125-1</f>
        <v>8.4681008344111852E-2</v>
      </c>
      <c r="AY125" s="823">
        <f>AU125/AQ125-1</f>
        <v>0.33021455073398931</v>
      </c>
      <c r="AZ125" s="447"/>
      <c r="BA125" s="570"/>
      <c r="BB125" s="570"/>
      <c r="BC125" s="735"/>
      <c r="BD125" s="744"/>
      <c r="BE125" s="744"/>
      <c r="BF125" s="735"/>
      <c r="BG125" s="814"/>
    </row>
    <row r="126" spans="3:59" ht="15" customHeight="1">
      <c r="C126" s="452"/>
      <c r="D126" s="464"/>
      <c r="E126" s="393"/>
      <c r="F126" s="393"/>
      <c r="G126" s="393"/>
      <c r="H126" s="393"/>
      <c r="I126" s="393"/>
      <c r="J126" s="393"/>
      <c r="K126" s="393"/>
      <c r="L126" s="393"/>
      <c r="M126" s="439"/>
      <c r="N126" s="439"/>
      <c r="O126" s="439"/>
      <c r="P126" s="439"/>
      <c r="Q126" s="393"/>
      <c r="R126" s="393"/>
      <c r="S126" s="439"/>
      <c r="T126" s="439"/>
      <c r="U126" s="439"/>
      <c r="V126" s="455"/>
      <c r="W126" s="439"/>
      <c r="X126" s="439"/>
      <c r="Y126" s="439"/>
      <c r="Z126" s="439"/>
      <c r="AA126" s="439"/>
      <c r="AB126" s="439"/>
      <c r="AC126" s="439"/>
      <c r="AO126" s="399" t="s">
        <v>1174</v>
      </c>
      <c r="AP126" s="455"/>
      <c r="AQ126" s="400">
        <v>4735</v>
      </c>
      <c r="AR126" s="455"/>
      <c r="AS126" s="473">
        <v>5537.090649076501</v>
      </c>
      <c r="AT126" s="510">
        <f ca="1">'GSe vs Consensus'!$BK$14</f>
        <v>5609</v>
      </c>
      <c r="AU126" s="510">
        <f>AU96-L33</f>
        <v>6754</v>
      </c>
      <c r="AV126" s="826">
        <f ca="1">AS126/AT126-1</f>
        <v>-1.2820351385897433E-2</v>
      </c>
      <c r="AW126" s="826">
        <f>AS126/AU126-1</f>
        <v>-0.18017609578375759</v>
      </c>
      <c r="AX126" s="823">
        <f>AS126/AQ126-1</f>
        <v>0.16939612440897589</v>
      </c>
      <c r="AY126" s="823">
        <f>AU126/AQ126-1</f>
        <v>0.42639915522703276</v>
      </c>
      <c r="AZ126" s="455"/>
      <c r="BA126" s="570"/>
      <c r="BB126" s="570"/>
      <c r="BC126" s="735"/>
      <c r="BD126" s="744"/>
      <c r="BE126" s="744"/>
      <c r="BF126" s="735"/>
      <c r="BG126" s="814"/>
    </row>
    <row r="127" spans="3:59" ht="15" customHeight="1">
      <c r="C127" s="452"/>
      <c r="D127" s="465"/>
      <c r="E127" s="393"/>
      <c r="F127" s="393"/>
      <c r="G127" s="393"/>
      <c r="H127" s="393"/>
      <c r="I127" s="393"/>
      <c r="J127" s="393"/>
      <c r="K127" s="393"/>
      <c r="L127" s="393"/>
      <c r="M127" s="439"/>
      <c r="N127" s="439"/>
      <c r="O127" s="439"/>
      <c r="P127" s="439"/>
      <c r="Q127" s="393"/>
      <c r="R127" s="393"/>
      <c r="S127" s="439"/>
      <c r="T127" s="439"/>
      <c r="U127" s="439"/>
      <c r="V127" s="455"/>
      <c r="W127" s="439"/>
      <c r="X127" s="439"/>
      <c r="Y127" s="439"/>
      <c r="Z127" s="439"/>
      <c r="AA127" s="439"/>
      <c r="AB127" s="439"/>
      <c r="AC127" s="439"/>
      <c r="AO127" s="399" t="s">
        <v>1093</v>
      </c>
      <c r="AP127" s="455"/>
      <c r="AQ127" s="400">
        <v>1314</v>
      </c>
      <c r="AR127" s="455"/>
      <c r="AS127" s="473">
        <v>1631.0762942980091</v>
      </c>
      <c r="AT127" s="510">
        <f ca="1">'GSe vs Consensus'!$BK$15</f>
        <v>1616</v>
      </c>
      <c r="AU127" s="510">
        <f>AU97-L34</f>
        <v>1806</v>
      </c>
      <c r="AV127" s="826">
        <f ca="1">AS127/AT127-1</f>
        <v>9.329390035896612E-3</v>
      </c>
      <c r="AW127" s="826">
        <f>AS127/AU127-1</f>
        <v>-9.6856979901434603E-2</v>
      </c>
      <c r="AX127" s="823">
        <f>AS127/AQ127-1</f>
        <v>0.24130616004414684</v>
      </c>
      <c r="AY127" s="823">
        <f>AU127/AQ127-1</f>
        <v>0.37442922374429233</v>
      </c>
      <c r="AZ127" s="455"/>
      <c r="BA127" s="570"/>
      <c r="BB127" s="570"/>
      <c r="BC127" s="735"/>
      <c r="BD127" s="744"/>
      <c r="BE127" s="744"/>
      <c r="BF127" s="735"/>
      <c r="BG127" s="814"/>
    </row>
    <row r="128" spans="3:59" ht="15" hidden="1" customHeight="1">
      <c r="C128" s="452"/>
      <c r="D128" s="466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439"/>
      <c r="Q128" s="393"/>
      <c r="R128" s="393"/>
      <c r="S128" s="439"/>
      <c r="T128" s="393"/>
      <c r="U128" s="439"/>
      <c r="V128" s="459"/>
      <c r="W128" s="439"/>
      <c r="X128" s="439"/>
      <c r="Y128" s="439"/>
      <c r="Z128" s="439"/>
      <c r="AA128" s="439"/>
      <c r="AB128" s="439"/>
      <c r="AC128" s="439"/>
      <c r="AO128" s="399" t="s">
        <v>752</v>
      </c>
      <c r="AP128" s="459"/>
      <c r="AQ128" s="400">
        <v>0</v>
      </c>
      <c r="AR128" s="459"/>
      <c r="AS128" s="473">
        <v>0</v>
      </c>
      <c r="AT128" s="510">
        <f ca="1">'GSe vs Consensus'!$BK$16</f>
        <v>3.1818181818181817</v>
      </c>
      <c r="AU128" s="510" t="e">
        <v>#REF!</v>
      </c>
      <c r="AV128" s="826">
        <f ca="1">AS128/AT128-1</f>
        <v>-1</v>
      </c>
      <c r="AW128" s="826" t="e">
        <f>AS128/AU128-1</f>
        <v>#REF!</v>
      </c>
      <c r="AX128" s="823" t="e">
        <f>AS128/AQ128-1</f>
        <v>#DIV/0!</v>
      </c>
      <c r="AY128" s="823" t="e">
        <f>AU128/AQ128-1</f>
        <v>#REF!</v>
      </c>
      <c r="AZ128" s="459"/>
      <c r="BA128" s="570"/>
      <c r="BB128" s="570"/>
      <c r="BC128" s="735"/>
      <c r="BD128" s="744"/>
      <c r="BE128" s="744"/>
      <c r="BF128" s="735"/>
      <c r="BG128" s="814"/>
    </row>
    <row r="129" spans="3:63" ht="15" customHeight="1">
      <c r="C129" s="452"/>
      <c r="D129" s="447"/>
      <c r="E129" s="444"/>
      <c r="F129" s="444"/>
      <c r="G129" s="444"/>
      <c r="H129" s="444"/>
      <c r="I129" s="444"/>
      <c r="J129" s="444"/>
      <c r="K129" s="444"/>
      <c r="L129" s="444"/>
      <c r="M129" s="436"/>
      <c r="N129" s="436"/>
      <c r="O129" s="436"/>
      <c r="P129" s="439"/>
      <c r="Q129" s="444"/>
      <c r="R129" s="444"/>
      <c r="S129" s="439"/>
      <c r="T129" s="436"/>
      <c r="U129" s="439"/>
      <c r="V129" s="416"/>
      <c r="W129" s="439"/>
      <c r="X129" s="439"/>
      <c r="Y129" s="439"/>
      <c r="Z129" s="439"/>
      <c r="AA129" s="439"/>
      <c r="AB129" s="439"/>
      <c r="AC129" s="439"/>
      <c r="AO129" s="435" t="s">
        <v>1178</v>
      </c>
      <c r="AP129" s="416"/>
      <c r="AQ129" s="404">
        <v>12254</v>
      </c>
      <c r="AR129" s="416"/>
      <c r="AS129" s="474">
        <v>13898.104514099659</v>
      </c>
      <c r="AT129" s="511">
        <f ca="1">'GSe vs Consensus'!$BK$17</f>
        <v>14768.846153846154</v>
      </c>
      <c r="AU129" s="511">
        <f>AU100-L36</f>
        <v>-14269.859208551452</v>
      </c>
      <c r="AV129" s="827">
        <f ca="1">AS129/AT129-1</f>
        <v>-5.8958000555766721E-2</v>
      </c>
      <c r="AW129" s="827">
        <f>AS129/AU129-1</f>
        <v>-1.9739482577214909</v>
      </c>
      <c r="AX129" s="824">
        <f>AS129/AQ129-1</f>
        <v>0.13416880317444591</v>
      </c>
      <c r="AY129" s="824">
        <f>AU129/AQ129-1</f>
        <v>-2.1645062190755224</v>
      </c>
      <c r="AZ129" s="416"/>
      <c r="BA129" s="485"/>
      <c r="BB129" s="485" t="str">
        <f>"~ €"&amp;TEXT(ROUND(BG129/1000,1),"#,##0.0")&amp;"bn"</f>
        <v>~ €16.3bn</v>
      </c>
      <c r="BC129" s="740"/>
      <c r="BD129" s="824">
        <f>BG129/AS129-1</f>
        <v>0.1746234879323445</v>
      </c>
      <c r="BE129" s="824">
        <f>BG129/AU129-1</f>
        <v>-2.1440224995504478</v>
      </c>
      <c r="BF129" s="740"/>
      <c r="BG129" s="817">
        <f>BG99-L36</f>
        <v>16325.040000000005</v>
      </c>
    </row>
    <row r="130" spans="3:63" ht="15" customHeight="1">
      <c r="C130" s="452"/>
      <c r="D130" s="447"/>
      <c r="E130" s="444"/>
      <c r="F130" s="444"/>
      <c r="G130" s="444"/>
      <c r="H130" s="444"/>
      <c r="I130" s="444"/>
      <c r="J130" s="444"/>
      <c r="K130" s="444"/>
      <c r="L130" s="444"/>
      <c r="M130" s="436"/>
      <c r="N130" s="436"/>
      <c r="O130" s="436"/>
      <c r="P130" s="439"/>
      <c r="Q130" s="444"/>
      <c r="R130" s="444"/>
      <c r="S130" s="439"/>
      <c r="T130" s="436"/>
      <c r="U130" s="439"/>
      <c r="V130" s="416"/>
      <c r="W130" s="439"/>
      <c r="X130" s="439"/>
      <c r="Y130" s="439"/>
      <c r="Z130" s="439"/>
      <c r="AA130" s="439"/>
      <c r="AB130" s="439"/>
      <c r="AC130" s="439"/>
      <c r="AO130" s="408" t="s">
        <v>287</v>
      </c>
      <c r="AP130" s="416"/>
      <c r="AQ130" s="131"/>
      <c r="AR130" s="416"/>
      <c r="AS130" s="475"/>
      <c r="AT130" s="512"/>
      <c r="AU130" s="512"/>
      <c r="AV130" s="829"/>
      <c r="AW130" s="829"/>
      <c r="AX130" s="411"/>
      <c r="AY130" s="411"/>
      <c r="AZ130" s="416"/>
      <c r="BA130" s="569"/>
      <c r="BB130" s="569"/>
      <c r="BC130" s="739"/>
      <c r="BD130" s="131"/>
      <c r="BE130" s="131"/>
      <c r="BF130" s="739"/>
      <c r="BG130" s="814"/>
    </row>
    <row r="131" spans="3:63" ht="15" customHeight="1">
      <c r="C131" s="452"/>
      <c r="D131" s="447"/>
      <c r="E131" s="444"/>
      <c r="F131" s="444"/>
      <c r="G131" s="444"/>
      <c r="H131" s="444"/>
      <c r="I131" s="444"/>
      <c r="J131" s="444"/>
      <c r="K131" s="444"/>
      <c r="L131" s="444"/>
      <c r="M131" s="436"/>
      <c r="N131" s="436"/>
      <c r="O131" s="436"/>
      <c r="P131" s="440"/>
      <c r="Q131" s="444"/>
      <c r="R131" s="444"/>
      <c r="S131" s="440"/>
      <c r="T131" s="436"/>
      <c r="U131" s="440"/>
      <c r="V131" s="416"/>
      <c r="W131" s="440"/>
      <c r="X131" s="440"/>
      <c r="Y131" s="440"/>
      <c r="Z131" s="440"/>
      <c r="AA131" s="440"/>
      <c r="AB131" s="440"/>
      <c r="AC131" s="440"/>
      <c r="AO131" s="470" t="s">
        <v>900</v>
      </c>
      <c r="AP131" s="416"/>
      <c r="AQ131" s="471">
        <v>1339</v>
      </c>
      <c r="AR131" s="416"/>
      <c r="AS131" s="476">
        <v>1625.4903311897051</v>
      </c>
      <c r="AT131" s="513">
        <f ca="1">'GSe vs Consensus'!$BK$21</f>
        <v>1758</v>
      </c>
      <c r="AU131" s="513">
        <f>AU101-L39</f>
        <v>2028</v>
      </c>
      <c r="AV131" s="826">
        <f ca="1">AS131/AT131-1</f>
        <v>-7.5375238231112029E-2</v>
      </c>
      <c r="AW131" s="826">
        <f>AS131/AU131-1</f>
        <v>-0.19847616805241364</v>
      </c>
      <c r="AX131" s="823">
        <f>AS131/AQ131-1</f>
        <v>0.21395842508566476</v>
      </c>
      <c r="AY131" s="823">
        <f>AU131/AQ131-1</f>
        <v>0.5145631067961165</v>
      </c>
      <c r="AZ131" s="416"/>
      <c r="BA131" s="569"/>
      <c r="BB131" s="569"/>
      <c r="BC131" s="739"/>
      <c r="BD131" s="744"/>
      <c r="BE131" s="744"/>
      <c r="BF131" s="739"/>
      <c r="BG131" s="814"/>
    </row>
    <row r="132" spans="3:63" ht="15" customHeight="1">
      <c r="C132" s="452"/>
      <c r="D132" s="447"/>
      <c r="E132" s="444"/>
      <c r="F132" s="444"/>
      <c r="G132" s="444"/>
      <c r="H132" s="444"/>
      <c r="I132" s="444"/>
      <c r="J132" s="444"/>
      <c r="K132" s="444"/>
      <c r="L132" s="444"/>
      <c r="M132" s="436"/>
      <c r="N132" s="436"/>
      <c r="O132" s="436"/>
      <c r="P132" s="440"/>
      <c r="Q132" s="444"/>
      <c r="R132" s="444"/>
      <c r="S132" s="440"/>
      <c r="T132" s="436"/>
      <c r="U132" s="440"/>
      <c r="V132" s="416"/>
      <c r="W132" s="440"/>
      <c r="X132" s="440"/>
      <c r="Y132" s="440"/>
      <c r="Z132" s="440"/>
      <c r="AA132" s="440"/>
      <c r="AB132" s="440"/>
      <c r="AC132" s="440"/>
      <c r="AO132" s="421" t="s">
        <v>906</v>
      </c>
      <c r="AP132" s="416"/>
      <c r="AQ132" s="489">
        <v>0.21600258106146153</v>
      </c>
      <c r="AR132" s="416"/>
      <c r="AS132" s="486">
        <v>0.24174679108664041</v>
      </c>
      <c r="AT132" s="514">
        <f ca="1">'GSe vs Consensus'!$BK$22</f>
        <v>0.23312558016178225</v>
      </c>
      <c r="AU132" s="514">
        <f>AU131/AU125</f>
        <v>0.24593742420567549</v>
      </c>
      <c r="AV132" s="747">
        <f ca="1">(AS132-AT132)*100</f>
        <v>0.86212109248581525</v>
      </c>
      <c r="AW132" s="747">
        <f>(AS132-AU132)*100</f>
        <v>-0.41906331190350865</v>
      </c>
      <c r="AX132" s="748">
        <f>(AS132-AQ132)*100</f>
        <v>2.5744210025178877</v>
      </c>
      <c r="AY132" s="748">
        <f>(AU132-AQ132)*100</f>
        <v>2.9934843144213961</v>
      </c>
      <c r="AZ132" s="416"/>
      <c r="BA132" s="570"/>
      <c r="BB132" s="570"/>
      <c r="BC132" s="735"/>
      <c r="BD132" s="748"/>
      <c r="BE132" s="748"/>
      <c r="BF132" s="735"/>
      <c r="BG132" s="814"/>
    </row>
    <row r="133" spans="3:63" ht="15" customHeight="1">
      <c r="C133" s="452"/>
      <c r="D133" s="450"/>
      <c r="E133" s="445"/>
      <c r="F133" s="445"/>
      <c r="G133" s="445"/>
      <c r="H133" s="445"/>
      <c r="I133" s="445"/>
      <c r="J133" s="445"/>
      <c r="K133" s="445"/>
      <c r="L133" s="445"/>
      <c r="M133" s="442"/>
      <c r="N133" s="442"/>
      <c r="O133" s="442"/>
      <c r="P133" s="441"/>
      <c r="Q133" s="445"/>
      <c r="R133" s="445"/>
      <c r="S133" s="441"/>
      <c r="T133" s="442"/>
      <c r="U133" s="441"/>
      <c r="V133" s="411"/>
      <c r="W133" s="441"/>
      <c r="X133" s="441"/>
      <c r="Y133" s="441"/>
      <c r="Z133" s="441"/>
      <c r="AA133" s="441"/>
      <c r="AB133" s="441"/>
      <c r="AC133" s="441"/>
      <c r="AO133" s="399" t="s">
        <v>1174</v>
      </c>
      <c r="AP133" s="411"/>
      <c r="AQ133" s="471">
        <v>526</v>
      </c>
      <c r="AR133" s="411"/>
      <c r="AS133" s="476">
        <v>696.42639722127637</v>
      </c>
      <c r="AT133" s="513">
        <f ca="1">'GSe vs Consensus'!$BK$23</f>
        <v>703</v>
      </c>
      <c r="AU133" s="513">
        <f>AU103-L41</f>
        <v>923</v>
      </c>
      <c r="AV133" s="826">
        <f ca="1">AS133/AT133-1</f>
        <v>-9.3507863139739023E-3</v>
      </c>
      <c r="AW133" s="826">
        <f>AS133/AU133-1</f>
        <v>-0.2454751926096681</v>
      </c>
      <c r="AX133" s="823">
        <f>AS133/AQ133-1</f>
        <v>0.32400455745489798</v>
      </c>
      <c r="AY133" s="823">
        <f>AU133/AQ133-1</f>
        <v>0.75475285171102668</v>
      </c>
      <c r="AZ133" s="411"/>
      <c r="BA133" s="571"/>
      <c r="BB133" s="571"/>
      <c r="BC133" s="736"/>
      <c r="BD133" s="744"/>
      <c r="BE133" s="744"/>
      <c r="BF133" s="736"/>
      <c r="BG133" s="814"/>
    </row>
    <row r="134" spans="3:63" ht="15" customHeight="1">
      <c r="C134" s="452"/>
      <c r="D134" s="447"/>
      <c r="E134" s="446"/>
      <c r="F134" s="446"/>
      <c r="G134" s="446"/>
      <c r="H134" s="446"/>
      <c r="I134" s="437"/>
      <c r="J134" s="437"/>
      <c r="K134" s="437"/>
      <c r="L134" s="437"/>
      <c r="M134" s="444"/>
      <c r="N134" s="444"/>
      <c r="O134" s="444"/>
      <c r="P134" s="437"/>
      <c r="Q134" s="437"/>
      <c r="R134" s="437"/>
      <c r="S134" s="437"/>
      <c r="T134" s="444"/>
      <c r="U134" s="437"/>
      <c r="V134" s="460"/>
      <c r="W134" s="437"/>
      <c r="X134" s="437"/>
      <c r="Y134" s="437"/>
      <c r="Z134" s="437"/>
      <c r="AA134" s="437"/>
      <c r="AB134" s="437"/>
      <c r="AC134" s="437"/>
      <c r="AO134" s="421" t="s">
        <v>906</v>
      </c>
      <c r="AP134" s="460"/>
      <c r="AQ134" s="489">
        <v>0.11108764519535375</v>
      </c>
      <c r="AR134" s="460"/>
      <c r="AS134" s="486">
        <v>0.12577478704225825</v>
      </c>
      <c r="AT134" s="514">
        <f ca="1">'GSe vs Consensus'!$BK$24</f>
        <v>0.12533428418612944</v>
      </c>
      <c r="AU134" s="514">
        <f>AU133/AU126</f>
        <v>0.13665975718092982</v>
      </c>
      <c r="AV134" s="747">
        <f ca="1">(AS134-AT134)*100</f>
        <v>4.4050285612881601E-2</v>
      </c>
      <c r="AW134" s="747">
        <f>(AS134-AU134)*100</f>
        <v>-1.0884970138671568</v>
      </c>
      <c r="AX134" s="748">
        <f>(AS134-AQ134)*100</f>
        <v>1.4687141846904506</v>
      </c>
      <c r="AY134" s="748">
        <f>(AU134-AQ134)*100</f>
        <v>2.5572111985576074</v>
      </c>
      <c r="AZ134" s="460"/>
      <c r="BA134" s="570"/>
      <c r="BB134" s="570"/>
      <c r="BC134" s="735"/>
      <c r="BD134" s="748"/>
      <c r="BE134" s="748"/>
      <c r="BF134" s="735"/>
      <c r="BG134" s="814"/>
    </row>
    <row r="135" spans="3:63" ht="15" customHeight="1">
      <c r="C135" s="452"/>
      <c r="D135" s="466"/>
      <c r="E135" s="393"/>
      <c r="F135" s="393"/>
      <c r="G135" s="393"/>
      <c r="H135" s="393"/>
      <c r="I135" s="436"/>
      <c r="J135" s="436"/>
      <c r="K135" s="436"/>
      <c r="L135" s="436"/>
      <c r="M135" s="447"/>
      <c r="N135" s="447"/>
      <c r="O135" s="447"/>
      <c r="P135" s="436"/>
      <c r="Q135" s="436"/>
      <c r="R135" s="436"/>
      <c r="S135" s="436"/>
      <c r="T135" s="447"/>
      <c r="U135" s="436"/>
      <c r="V135" s="392"/>
      <c r="W135" s="436"/>
      <c r="X135" s="436"/>
      <c r="Y135" s="436"/>
      <c r="Z135" s="436"/>
      <c r="AA135" s="436"/>
      <c r="AB135" s="436"/>
      <c r="AC135" s="436"/>
      <c r="AO135" s="399" t="s">
        <v>1093</v>
      </c>
      <c r="AP135" s="392"/>
      <c r="AQ135" s="471">
        <v>-16</v>
      </c>
      <c r="AR135" s="392"/>
      <c r="AS135" s="476">
        <v>36.476243132030305</v>
      </c>
      <c r="AT135" s="513">
        <f ca="1">'GSe vs Consensus'!$BK$25</f>
        <v>27</v>
      </c>
      <c r="AU135" s="513">
        <f>AU105-L43</f>
        <v>88</v>
      </c>
      <c r="AV135" s="826">
        <f ca="1">AS135/AT135-1</f>
        <v>0.35097196785297435</v>
      </c>
      <c r="AW135" s="826">
        <f>AS135/AU135-1</f>
        <v>-0.5854972371360192</v>
      </c>
      <c r="AX135" s="823">
        <f>AS135/AQ135-1</f>
        <v>-3.2797651957518941</v>
      </c>
      <c r="AY135" s="823">
        <f>AU135/AQ135-1</f>
        <v>-6.5</v>
      </c>
      <c r="AZ135" s="392"/>
      <c r="BA135" s="571"/>
      <c r="BB135" s="571"/>
      <c r="BC135" s="736"/>
      <c r="BD135" s="744"/>
      <c r="BE135" s="744"/>
      <c r="BF135" s="736"/>
      <c r="BG135" s="814"/>
    </row>
    <row r="136" spans="3:63" ht="15" customHeight="1">
      <c r="C136" s="452"/>
      <c r="D136" s="447"/>
      <c r="E136" s="444"/>
      <c r="F136" s="444"/>
      <c r="G136" s="444"/>
      <c r="H136" s="444"/>
      <c r="I136" s="444"/>
      <c r="J136" s="444"/>
      <c r="K136" s="444"/>
      <c r="L136" s="444"/>
      <c r="M136" s="436"/>
      <c r="N136" s="436"/>
      <c r="O136" s="436"/>
      <c r="P136" s="446"/>
      <c r="Q136" s="444"/>
      <c r="R136" s="444"/>
      <c r="S136" s="446"/>
      <c r="T136" s="436"/>
      <c r="U136" s="446"/>
      <c r="V136" s="416"/>
      <c r="W136" s="446"/>
      <c r="X136" s="446"/>
      <c r="Y136" s="446"/>
      <c r="Z136" s="446"/>
      <c r="AA136" s="446"/>
      <c r="AB136" s="446"/>
      <c r="AC136" s="446"/>
      <c r="AO136" s="421" t="s">
        <v>906</v>
      </c>
      <c r="AP136" s="416"/>
      <c r="AQ136" s="489">
        <v>-1.2176560121765601E-2</v>
      </c>
      <c r="AR136" s="416"/>
      <c r="AS136" s="486">
        <v>2.2363296713676498E-2</v>
      </c>
      <c r="AT136" s="514">
        <f ca="1">'GSe vs Consensus'!$BK$26</f>
        <v>1.6707920792079209E-2</v>
      </c>
      <c r="AU136" s="514">
        <f>AU135/AU127</f>
        <v>4.8726467331118496E-2</v>
      </c>
      <c r="AV136" s="747">
        <f ca="1">(AS136-AT136)*100</f>
        <v>0.56553759215972887</v>
      </c>
      <c r="AW136" s="747">
        <f>(AS136-AU136)*100</f>
        <v>-2.6363170617442</v>
      </c>
      <c r="AX136" s="748">
        <f>(AS136-AQ136)*100</f>
        <v>3.45398568354421</v>
      </c>
      <c r="AY136" s="748">
        <f>(AU136-AQ136)*100</f>
        <v>6.09030274528841</v>
      </c>
      <c r="AZ136" s="416"/>
      <c r="BA136" s="570"/>
      <c r="BB136" s="570"/>
      <c r="BC136" s="735"/>
      <c r="BD136" s="748"/>
      <c r="BE136" s="748"/>
      <c r="BF136" s="735"/>
      <c r="BG136" s="814"/>
    </row>
    <row r="137" spans="3:63" ht="15" customHeight="1">
      <c r="C137" s="452"/>
      <c r="D137" s="447"/>
      <c r="E137" s="443"/>
      <c r="F137" s="443"/>
      <c r="G137" s="443"/>
      <c r="H137" s="443"/>
      <c r="I137" s="443"/>
      <c r="J137" s="443"/>
      <c r="K137" s="443"/>
      <c r="L137" s="443"/>
      <c r="M137" s="453"/>
      <c r="N137" s="453"/>
      <c r="O137" s="453"/>
      <c r="P137" s="436"/>
      <c r="Q137" s="443"/>
      <c r="R137" s="443"/>
      <c r="S137" s="436"/>
      <c r="T137" s="453"/>
      <c r="U137" s="436"/>
      <c r="V137" s="456"/>
      <c r="W137" s="436"/>
      <c r="X137" s="436"/>
      <c r="Y137" s="436"/>
      <c r="Z137" s="436"/>
      <c r="AA137" s="436"/>
      <c r="AB137" s="436"/>
      <c r="AC137" s="436"/>
      <c r="AO137" s="469" t="s">
        <v>1185</v>
      </c>
      <c r="AP137" s="456"/>
      <c r="AQ137" s="404">
        <v>1769</v>
      </c>
      <c r="AR137" s="456"/>
      <c r="AS137" s="474">
        <v>2231.3929715430118</v>
      </c>
      <c r="AT137" s="511">
        <f ca="1">'GSe vs Consensus'!$BK$28</f>
        <v>2510</v>
      </c>
      <c r="AU137" s="511">
        <f>AU107-L45</f>
        <v>3037</v>
      </c>
      <c r="AV137" s="827">
        <f ca="1">AS137/AT137-1</f>
        <v>-0.11099881611832196</v>
      </c>
      <c r="AW137" s="827">
        <f>AS137/AU137-1</f>
        <v>-0.26526408576127369</v>
      </c>
      <c r="AX137" s="824">
        <f>AS137/AQ137-1</f>
        <v>0.26138664304296877</v>
      </c>
      <c r="AY137" s="824">
        <f>AU137/AQ137-1</f>
        <v>0.71678914641040126</v>
      </c>
      <c r="AZ137" s="456"/>
      <c r="BA137" s="732"/>
      <c r="BB137" s="732" t="str">
        <f>"Close to €"&amp;TEXT(ROUND(BG137/1000,1),"#,##0.0")&amp;"bn"</f>
        <v>Close to €3.0bn</v>
      </c>
      <c r="BC137" s="741"/>
      <c r="BD137" s="824">
        <f>BG137/AS137-1</f>
        <v>0.346692419633301</v>
      </c>
      <c r="BE137" s="824">
        <f>BG137/AU137-1</f>
        <v>-1.0536713862364211E-2</v>
      </c>
      <c r="BF137" s="741"/>
      <c r="BG137" s="817">
        <f>BG107-L45</f>
        <v>3005</v>
      </c>
    </row>
    <row r="138" spans="3:63" ht="15" customHeight="1">
      <c r="C138" s="452"/>
      <c r="D138" s="447"/>
      <c r="E138" s="444"/>
      <c r="F138" s="444"/>
      <c r="G138" s="444"/>
      <c r="H138" s="444"/>
      <c r="I138" s="444"/>
      <c r="J138" s="444"/>
      <c r="K138" s="444"/>
      <c r="L138" s="444"/>
      <c r="M138" s="436"/>
      <c r="N138" s="436"/>
      <c r="O138" s="436"/>
      <c r="P138" s="446"/>
      <c r="Q138" s="444"/>
      <c r="R138" s="444"/>
      <c r="S138" s="446"/>
      <c r="T138" s="436"/>
      <c r="U138" s="446"/>
      <c r="V138" s="416"/>
      <c r="W138" s="446"/>
      <c r="X138" s="446"/>
      <c r="Y138" s="446"/>
      <c r="Z138" s="446"/>
      <c r="AA138" s="446"/>
      <c r="AB138" s="446"/>
      <c r="AC138" s="446"/>
      <c r="AO138" s="421" t="s">
        <v>906</v>
      </c>
      <c r="AP138" s="416"/>
      <c r="AQ138" s="490">
        <v>0.14436102497143791</v>
      </c>
      <c r="AR138" s="416"/>
      <c r="AS138" s="487">
        <v>0.16055376251338868</v>
      </c>
      <c r="AT138" s="515">
        <f ca="1">'GSe vs Consensus'!$BK$30</f>
        <v>0.1699523425089195</v>
      </c>
      <c r="AU138" s="515">
        <f>AU137/AU129</f>
        <v>-0.21282620631463742</v>
      </c>
      <c r="AV138" s="747">
        <f ca="1">(AS138-AT138)*100</f>
        <v>-0.93985799955308147</v>
      </c>
      <c r="AW138" s="747">
        <f>(AS138-AU138)*100</f>
        <v>37.337996882802607</v>
      </c>
      <c r="AX138" s="748">
        <f>(AS138-AQ138)*100</f>
        <v>1.6192737541950775</v>
      </c>
      <c r="AY138" s="748">
        <f>(AU138-AQ138)*100</f>
        <v>-35.718723128607536</v>
      </c>
      <c r="AZ138" s="416"/>
      <c r="BA138" s="734"/>
      <c r="BB138" s="734" t="str">
        <f>"Implied ~"&amp;ROUND(BG138*100,1)&amp;"%"</f>
        <v>Implied ~18.4%</v>
      </c>
      <c r="BC138" s="737"/>
      <c r="BD138" s="748">
        <f>(BG138-AS138)*100</f>
        <v>2.3519293356612208</v>
      </c>
      <c r="BE138" s="748">
        <f>(BG138-AU138)*100</f>
        <v>39.689926218463832</v>
      </c>
      <c r="BF138" s="737"/>
      <c r="BG138" s="821">
        <f>BG137/BG129</f>
        <v>0.18407305587000089</v>
      </c>
      <c r="BJ138" s="793" t="s">
        <v>1416</v>
      </c>
      <c r="BK138" s="784">
        <v>3335.2305022859628</v>
      </c>
    </row>
    <row r="139" spans="3:63" ht="15" customHeight="1">
      <c r="C139" s="452"/>
      <c r="D139" s="447"/>
      <c r="E139" s="467"/>
      <c r="F139" s="467"/>
      <c r="G139" s="467"/>
      <c r="H139" s="467"/>
      <c r="I139" s="444"/>
      <c r="J139" s="444"/>
      <c r="K139" s="444"/>
      <c r="L139" s="444"/>
      <c r="M139" s="436"/>
      <c r="N139" s="436"/>
      <c r="O139" s="436"/>
      <c r="P139" s="446"/>
      <c r="Q139" s="444"/>
      <c r="R139" s="444"/>
      <c r="S139" s="446"/>
      <c r="T139" s="436"/>
      <c r="U139" s="446"/>
      <c r="V139" s="416"/>
      <c r="W139" s="446"/>
      <c r="X139" s="446"/>
      <c r="Y139" s="446"/>
      <c r="Z139" s="446"/>
      <c r="AA139" s="446"/>
      <c r="AB139" s="446"/>
      <c r="AC139" s="446"/>
      <c r="AO139" s="469" t="s">
        <v>901</v>
      </c>
      <c r="AP139" s="416"/>
      <c r="AQ139" s="404">
        <v>1482</v>
      </c>
      <c r="AR139" s="416"/>
      <c r="AS139" s="474">
        <v>1432.2698027181477</v>
      </c>
      <c r="AT139" s="511">
        <f ca="1">'GSe vs Consensus'!$BK$32</f>
        <v>1834</v>
      </c>
      <c r="AU139" s="511">
        <f>AU109-L48</f>
        <v>1793</v>
      </c>
      <c r="AV139" s="827">
        <f ca="1">AS139/AT139-1</f>
        <v>-0.21904590909588451</v>
      </c>
      <c r="AW139" s="827">
        <f>AS139/AU139-1</f>
        <v>-0.20118806318006266</v>
      </c>
      <c r="AX139" s="824">
        <f>AS139/AQ139-1</f>
        <v>-3.3556138516769418E-2</v>
      </c>
      <c r="AY139" s="824">
        <f>AU139/AQ139-1</f>
        <v>0.20985155195681515</v>
      </c>
      <c r="AZ139" s="416"/>
      <c r="BA139" s="485"/>
      <c r="BB139" s="485" t="str">
        <f>"~ €"&amp;TEXT(ROUND(BG139/1000,1),"#,##0.0")&amp;"bn"</f>
        <v>~ €1.9bn</v>
      </c>
      <c r="BC139" s="740"/>
      <c r="BD139" s="824">
        <f>BG139/AS139-1</f>
        <v>0.30841270020741973</v>
      </c>
      <c r="BE139" s="824">
        <f>BG139/AU139-1</f>
        <v>4.517568321249299E-2</v>
      </c>
      <c r="BF139" s="740"/>
      <c r="BG139" s="817">
        <f>BG109-L48</f>
        <v>1874</v>
      </c>
      <c r="BJ139" s="793" t="s">
        <v>1419</v>
      </c>
      <c r="BK139" s="784" t="e">
        <f>BG113-L50</f>
        <v>#REF!</v>
      </c>
    </row>
    <row r="140" spans="3:63" ht="3.75" customHeight="1">
      <c r="C140" s="452"/>
      <c r="D140" s="450"/>
      <c r="E140" s="445"/>
      <c r="F140" s="445"/>
      <c r="G140" s="445"/>
      <c r="H140" s="445"/>
      <c r="I140" s="445"/>
      <c r="J140" s="445"/>
      <c r="K140" s="445"/>
      <c r="L140" s="445"/>
      <c r="M140" s="442"/>
      <c r="N140" s="442"/>
      <c r="O140" s="442"/>
      <c r="P140" s="448"/>
      <c r="Q140" s="445"/>
      <c r="R140" s="445"/>
      <c r="S140" s="448"/>
      <c r="T140" s="442"/>
      <c r="U140" s="448"/>
      <c r="V140" s="411"/>
      <c r="W140" s="448"/>
      <c r="X140" s="448"/>
      <c r="Y140" s="448"/>
      <c r="Z140" s="448"/>
      <c r="AA140" s="448"/>
      <c r="AB140" s="448"/>
      <c r="AC140" s="448"/>
      <c r="AK140" s="410"/>
      <c r="AS140" s="533"/>
      <c r="AT140" s="534"/>
      <c r="AU140" s="534"/>
      <c r="AV140" s="535"/>
      <c r="AW140" s="535"/>
      <c r="BA140" s="689"/>
      <c r="BB140" s="689"/>
      <c r="BC140" s="742"/>
      <c r="BF140" s="742"/>
      <c r="BG140" s="814"/>
      <c r="BJ140" s="793"/>
      <c r="BK140" s="784"/>
    </row>
    <row r="141" spans="3:63" ht="15" customHeight="1">
      <c r="C141" s="452"/>
      <c r="D141" s="447"/>
      <c r="E141" s="446"/>
      <c r="F141" s="446"/>
      <c r="G141" s="446"/>
      <c r="H141" s="446"/>
      <c r="I141" s="444"/>
      <c r="J141" s="444"/>
      <c r="K141" s="444"/>
      <c r="L141" s="444"/>
      <c r="M141" s="436"/>
      <c r="N141" s="436"/>
      <c r="O141" s="436"/>
      <c r="P141" s="446"/>
      <c r="Q141" s="444"/>
      <c r="R141" s="444"/>
      <c r="S141" s="446"/>
      <c r="T141" s="436"/>
      <c r="U141" s="446"/>
      <c r="V141" s="416"/>
      <c r="W141" s="446"/>
      <c r="X141" s="446"/>
      <c r="Y141" s="446"/>
      <c r="Z141" s="446"/>
      <c r="AA141" s="446"/>
      <c r="AB141" s="446"/>
      <c r="AC141" s="446"/>
      <c r="AO141" s="469" t="s">
        <v>1406</v>
      </c>
      <c r="AP141" s="416"/>
      <c r="AQ141" s="130">
        <v>0.30105302727973471</v>
      </c>
      <c r="AR141" s="416"/>
      <c r="AS141" s="830">
        <v>0.20911653469786251</v>
      </c>
      <c r="AT141" s="831">
        <f ca="1">'GSe vs Consensus'!$BK$42</f>
        <v>0.21448843733244199</v>
      </c>
      <c r="AU141" s="831" t="e">
        <f>(AU113-L50)/BK138-1</f>
        <v>#REF!</v>
      </c>
      <c r="AV141" s="749">
        <f ca="1">(AS141-AT141)*100</f>
        <v>-0.5371902634579484</v>
      </c>
      <c r="AW141" s="749" t="e">
        <f>(AS141-AU141)*100</f>
        <v>#REF!</v>
      </c>
      <c r="AX141" s="750">
        <f>(AS141-AQ141)*100</f>
        <v>-9.1936492581872198</v>
      </c>
      <c r="AY141" s="750" t="e">
        <f>(AU141-AQ141)*100</f>
        <v>#REF!</v>
      </c>
      <c r="AZ141" s="416"/>
      <c r="BA141" s="485"/>
      <c r="BB141" s="485" t="e">
        <f>"~ "&amp;ROUND(BG141*100,0)&amp;"%"</f>
        <v>#REF!</v>
      </c>
      <c r="BC141" s="740"/>
      <c r="BD141" s="750" t="e">
        <f>(BG141-AS141)*100</f>
        <v>#REF!</v>
      </c>
      <c r="BE141" s="750" t="e">
        <f>(BG141-AU141)*100</f>
        <v>#REF!</v>
      </c>
      <c r="BF141" s="740"/>
      <c r="BG141" s="822" t="e">
        <f>BK139/BK138-1</f>
        <v>#REF!</v>
      </c>
    </row>
    <row r="142" spans="3:63" ht="6" customHeight="1">
      <c r="C142" s="452"/>
      <c r="D142" s="468"/>
      <c r="E142" s="449"/>
      <c r="F142" s="449"/>
      <c r="G142" s="449"/>
      <c r="H142" s="449"/>
      <c r="I142" s="446"/>
      <c r="J142" s="446"/>
      <c r="K142" s="446"/>
      <c r="L142" s="446"/>
      <c r="M142" s="447"/>
      <c r="N142" s="447"/>
      <c r="O142" s="447"/>
      <c r="P142" s="446"/>
      <c r="Q142" s="446"/>
      <c r="R142" s="446"/>
      <c r="S142" s="446"/>
      <c r="T142" s="447"/>
      <c r="U142" s="446"/>
      <c r="V142" s="392"/>
      <c r="W142" s="446"/>
      <c r="X142" s="446"/>
      <c r="Y142" s="446"/>
      <c r="Z142" s="446"/>
      <c r="AA142" s="446"/>
      <c r="AB142" s="446"/>
      <c r="AC142" s="446"/>
      <c r="AK142" s="463"/>
      <c r="AS142" s="518"/>
      <c r="AT142" s="519"/>
      <c r="AU142" s="519"/>
      <c r="AV142" s="536"/>
      <c r="AW142" s="536"/>
      <c r="BA142" s="688"/>
      <c r="BB142" s="688"/>
      <c r="BC142" s="427"/>
      <c r="BF142" s="427"/>
      <c r="BG142" s="820"/>
    </row>
    <row r="143" spans="3:63" ht="22.5" customHeight="1">
      <c r="C143" s="452"/>
      <c r="D143" s="450"/>
      <c r="E143" s="445"/>
      <c r="F143" s="445"/>
      <c r="G143" s="445"/>
      <c r="H143" s="445"/>
      <c r="I143" s="445"/>
      <c r="J143" s="445"/>
      <c r="K143" s="445"/>
      <c r="L143" s="445"/>
      <c r="M143" s="442"/>
      <c r="N143" s="442"/>
      <c r="O143" s="442"/>
      <c r="P143" s="448"/>
      <c r="Q143" s="445"/>
      <c r="R143" s="445"/>
      <c r="S143" s="448"/>
      <c r="T143" s="442"/>
      <c r="U143" s="448"/>
      <c r="V143" s="411"/>
      <c r="W143" s="448"/>
      <c r="X143" s="448"/>
      <c r="Y143" s="448"/>
      <c r="Z143" s="448"/>
      <c r="AA143" s="448"/>
      <c r="AB143" s="448"/>
      <c r="AC143" s="448"/>
      <c r="AK143" s="410"/>
      <c r="AO143" s="796" t="s">
        <v>1390</v>
      </c>
      <c r="BA143" s="785"/>
      <c r="BB143" s="785"/>
      <c r="BC143" s="797"/>
      <c r="BF143" s="797"/>
      <c r="BJ143" s="793"/>
      <c r="BK143" s="784"/>
    </row>
    <row r="144" spans="3:63">
      <c r="BC144" s="427"/>
      <c r="BF144" s="427"/>
    </row>
    <row r="145" spans="55:63">
      <c r="BC145" s="427"/>
      <c r="BF145" s="427"/>
      <c r="BJ145" s="793"/>
      <c r="BK145" s="784"/>
    </row>
    <row r="146" spans="55:63">
      <c r="BC146" s="427"/>
      <c r="BF146" s="427"/>
    </row>
  </sheetData>
  <mergeCells count="8">
    <mergeCell ref="AS120:AU120"/>
    <mergeCell ref="N10:N11"/>
    <mergeCell ref="N28:N29"/>
    <mergeCell ref="N59:N60"/>
    <mergeCell ref="P25:S25"/>
    <mergeCell ref="AA10:AA11"/>
    <mergeCell ref="Z10:Z11"/>
    <mergeCell ref="AS90:AU90"/>
  </mergeCells>
  <phoneticPr fontId="216" type="noConversion"/>
  <dataValidations disablePrompts="1" count="1">
    <dataValidation type="list" allowBlank="1" showInputMessage="1" showErrorMessage="1" sqref="B3" xr:uid="{0540A521-BD04-49F3-9B17-4C1A5FC09D3A}">
      <formula1>"1Q,2Q,3Q,4Q"</formula1>
    </dataValidation>
  </dataValidations>
  <hyperlinks>
    <hyperlink ref="M2" r:id="rId1" xr:uid="{369750D6-C78F-4CCE-9A2F-446DD8CE62F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2"/>
  <customProperties>
    <customPr name="Qube.Worksheet.Visibility" r:id="rId3"/>
    <customPr name="QXL_SHEET_ID" r:id="rId4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CCCC-303C-4454-9774-532D6FC71144}">
  <sheetPr codeName="Sheet24"/>
  <dimension ref="B2:M19"/>
  <sheetViews>
    <sheetView workbookViewId="0"/>
  </sheetViews>
  <sheetFormatPr defaultColWidth="9" defaultRowHeight="12.75"/>
  <cols>
    <col min="1" max="16384" width="9" style="522"/>
  </cols>
  <sheetData>
    <row r="2" spans="2:13">
      <c r="C2" s="526" t="s">
        <v>1359</v>
      </c>
      <c r="D2" s="526" t="s">
        <v>1360</v>
      </c>
      <c r="E2" s="526" t="s">
        <v>1351</v>
      </c>
      <c r="F2" s="526" t="s">
        <v>1362</v>
      </c>
      <c r="G2" s="526" t="s">
        <v>1361</v>
      </c>
      <c r="H2" s="526" t="s">
        <v>1341</v>
      </c>
      <c r="I2" s="526" t="s">
        <v>1350</v>
      </c>
      <c r="J2" s="526" t="s">
        <v>1363</v>
      </c>
      <c r="K2" s="525"/>
      <c r="L2" s="526" t="s">
        <v>1072</v>
      </c>
      <c r="M2" s="526" t="s">
        <v>1335</v>
      </c>
    </row>
    <row r="3" spans="2:13" ht="13.5" thickBot="1">
      <c r="B3" s="522" t="s">
        <v>1364</v>
      </c>
      <c r="C3" s="522">
        <v>966.79196114906244</v>
      </c>
      <c r="D3" s="522">
        <v>1026.8674147883812</v>
      </c>
      <c r="E3" s="522">
        <v>1282.506401779511</v>
      </c>
      <c r="F3" s="522">
        <v>1280.9790460498698</v>
      </c>
      <c r="G3" s="524" t="e">
        <f>C3*(1+G4)</f>
        <v>#REF!</v>
      </c>
      <c r="H3" s="524" t="e">
        <f t="shared" ref="H3:I3" si="0">D3*(1+H4)</f>
        <v>#N/A</v>
      </c>
      <c r="I3" s="524">
        <f t="shared" si="0"/>
        <v>1782.6838984735205</v>
      </c>
      <c r="J3" s="527" t="e">
        <f>M3-SUM(G3:I3)</f>
        <v>#REF!</v>
      </c>
      <c r="L3" s="522">
        <f>SUM(C3:F3)</f>
        <v>4557.1448237668246</v>
      </c>
      <c r="M3" s="524">
        <f>L3*(1+M4)</f>
        <v>5869.6025330116699</v>
      </c>
    </row>
    <row r="4" spans="2:13" ht="13.5" thickBot="1">
      <c r="G4" s="523" t="e">
        <f>'Results table'!#REF!</f>
        <v>#REF!</v>
      </c>
      <c r="H4" s="523" t="e">
        <f>'Results table'!K20</f>
        <v>#N/A</v>
      </c>
      <c r="I4" s="532">
        <v>0.39</v>
      </c>
      <c r="J4" s="528" t="e">
        <f>J3/F3-1</f>
        <v>#REF!</v>
      </c>
      <c r="M4" s="523">
        <v>0.28799999999999998</v>
      </c>
    </row>
    <row r="8" spans="2:13">
      <c r="C8" s="522" t="s">
        <v>1365</v>
      </c>
      <c r="D8" s="522" t="s">
        <v>1364</v>
      </c>
    </row>
    <row r="9" spans="2:13">
      <c r="B9" s="526" t="s">
        <v>1361</v>
      </c>
      <c r="C9" s="522">
        <v>0.25</v>
      </c>
      <c r="D9" s="523" t="e">
        <f>G4</f>
        <v>#REF!</v>
      </c>
      <c r="E9" s="522" t="e">
        <f>D9*C9</f>
        <v>#REF!</v>
      </c>
    </row>
    <row r="10" spans="2:13">
      <c r="B10" s="526" t="s">
        <v>1341</v>
      </c>
      <c r="C10" s="522">
        <v>0.25</v>
      </c>
      <c r="D10" s="523" t="e">
        <f>H4</f>
        <v>#N/A</v>
      </c>
      <c r="E10" s="522" t="e">
        <f t="shared" ref="E10:E11" si="1">D10*C10</f>
        <v>#N/A</v>
      </c>
    </row>
    <row r="11" spans="2:13" ht="13.5" thickBot="1">
      <c r="B11" s="526" t="s">
        <v>1350</v>
      </c>
      <c r="C11" s="522">
        <v>0.25</v>
      </c>
      <c r="D11" s="532">
        <f>I4</f>
        <v>0.39</v>
      </c>
      <c r="E11" s="522">
        <f t="shared" si="1"/>
        <v>9.7500000000000003E-2</v>
      </c>
    </row>
    <row r="12" spans="2:13" ht="13.5" thickBot="1">
      <c r="B12" s="526" t="s">
        <v>1363</v>
      </c>
      <c r="C12" s="522">
        <v>0.25</v>
      </c>
      <c r="D12" s="531" t="e">
        <f>(D14-SUM(E9:E11))/C12</f>
        <v>#REF!</v>
      </c>
    </row>
    <row r="14" spans="2:13">
      <c r="B14" s="526" t="s">
        <v>1335</v>
      </c>
      <c r="C14" s="529">
        <v>1</v>
      </c>
      <c r="D14" s="523">
        <f>M4</f>
        <v>0.28799999999999998</v>
      </c>
    </row>
    <row r="19" spans="4:4">
      <c r="D19" s="530" t="e">
        <f>D12=J4</f>
        <v>#REF!</v>
      </c>
    </row>
  </sheetData>
  <pageMargins left="0.7" right="0.7" top="0.75" bottom="0.75" header="0.3" footer="0.3"/>
  <pageSetup paperSize="0" orientation="portrait" r:id="rId1"/>
  <customProperties>
    <customPr name="Qube.Worksheet.Visibility" r:id="rId2"/>
    <customPr name="QXL_SHEET_ID" r:id="rId3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>
    <tabColor theme="0"/>
    <pageSetUpPr autoPageBreaks="0" fitToPage="1"/>
  </sheetPr>
  <dimension ref="B2:R146"/>
  <sheetViews>
    <sheetView showGridLines="0" workbookViewId="0">
      <selection activeCell="AA56" sqref="AA56"/>
    </sheetView>
  </sheetViews>
  <sheetFormatPr defaultColWidth="9" defaultRowHeight="12" outlineLevelCol="1"/>
  <cols>
    <col min="1" max="1" width="8.875" style="782" customWidth="1"/>
    <col min="2" max="2" width="44.5" style="782" customWidth="1"/>
    <col min="3" max="5" width="9" style="782" hidden="1" customWidth="1" outlineLevel="1"/>
    <col min="6" max="6" width="0" style="782" hidden="1" customWidth="1" collapsed="1"/>
    <col min="7" max="10" width="0" style="782" hidden="1" customWidth="1"/>
    <col min="11" max="16384" width="9" style="782"/>
  </cols>
  <sheetData>
    <row r="2" spans="2:18" ht="12.75">
      <c r="B2" s="907" t="s">
        <v>995</v>
      </c>
      <c r="C2" s="908">
        <v>2015</v>
      </c>
      <c r="D2" s="908" t="s">
        <v>748</v>
      </c>
      <c r="E2" s="908">
        <v>2017</v>
      </c>
      <c r="F2" s="1144">
        <v>2018</v>
      </c>
      <c r="G2" s="1144">
        <f t="shared" ref="G2:N2" si="0">F2+1</f>
        <v>2019</v>
      </c>
      <c r="H2" s="1144">
        <f t="shared" si="0"/>
        <v>2020</v>
      </c>
      <c r="I2" s="1144">
        <f t="shared" si="0"/>
        <v>2021</v>
      </c>
      <c r="J2" s="1144">
        <f t="shared" si="0"/>
        <v>2022</v>
      </c>
      <c r="K2" s="1144">
        <f t="shared" si="0"/>
        <v>2023</v>
      </c>
      <c r="L2" s="1144">
        <f t="shared" si="0"/>
        <v>2024</v>
      </c>
      <c r="M2" s="1056">
        <f t="shared" si="0"/>
        <v>2025</v>
      </c>
      <c r="N2" s="1056">
        <f t="shared" si="0"/>
        <v>2026</v>
      </c>
      <c r="O2" s="1056">
        <f t="shared" ref="O2" si="1">N2+1</f>
        <v>2027</v>
      </c>
      <c r="P2" s="1056">
        <f t="shared" ref="P2" si="2">O2+1</f>
        <v>2028</v>
      </c>
      <c r="Q2" s="1056">
        <f t="shared" ref="Q2:R2" si="3">P2+1</f>
        <v>2029</v>
      </c>
      <c r="R2" s="1056">
        <f t="shared" si="3"/>
        <v>2030</v>
      </c>
    </row>
    <row r="3" spans="2:18">
      <c r="B3" s="1145" t="s">
        <v>1668</v>
      </c>
      <c r="C3" s="1146">
        <f>'Income Statement'!Q39</f>
        <v>17414</v>
      </c>
      <c r="D3" s="1146">
        <f>'Income Statement'!R39</f>
        <v>15781</v>
      </c>
      <c r="E3" s="1146">
        <f>'Income Statement'!S39</f>
        <v>15953</v>
      </c>
      <c r="F3" s="1146">
        <f>'Income Statement'!T39</f>
        <v>21050</v>
      </c>
      <c r="G3" s="1146">
        <f>'Income Statement'!U39</f>
        <v>24640</v>
      </c>
      <c r="H3" s="1146">
        <f>'Income Statement'!V39</f>
        <v>16498</v>
      </c>
      <c r="I3" s="1146">
        <f>'Income Statement'!W39</f>
        <v>15257</v>
      </c>
      <c r="J3" s="1146">
        <f>'Income Statement'!X39</f>
        <v>19035</v>
      </c>
      <c r="K3" s="1146">
        <f>'Income Statement'!Y39</f>
        <v>23199</v>
      </c>
      <c r="L3" s="1146">
        <f>'Income Statement'!Z39</f>
        <v>27317</v>
      </c>
      <c r="M3" s="1146">
        <f>'Income Statement'!AA39</f>
        <v>31556.568615283002</v>
      </c>
      <c r="N3" s="1146">
        <f>'Income Statement'!AB39</f>
        <v>35653.731777547211</v>
      </c>
      <c r="O3" s="1146">
        <f>'Income Statement'!AC39</f>
        <v>39232.543288947665</v>
      </c>
      <c r="P3" s="1146">
        <f>'Income Statement'!AD39</f>
        <v>42282.092826476444</v>
      </c>
      <c r="Q3" s="1146">
        <f>'Income Statement'!AE39</f>
        <v>44620.650972750256</v>
      </c>
      <c r="R3" s="1146">
        <f>'Income Statement'!AF39</f>
        <v>46787.066610790876</v>
      </c>
    </row>
    <row r="4" spans="2:18">
      <c r="B4" s="783" t="s">
        <v>1665</v>
      </c>
      <c r="C4" s="909"/>
      <c r="D4" s="909"/>
      <c r="E4" s="909"/>
      <c r="F4" s="909">
        <f>'Income Statement'!T41</f>
        <v>21025</v>
      </c>
      <c r="G4" s="909">
        <f>'Income Statement'!U41</f>
        <v>25098</v>
      </c>
      <c r="H4" s="909">
        <f>'Income Statement'!V41</f>
        <v>16631</v>
      </c>
      <c r="I4" s="909">
        <f>'Income Statement'!W41</f>
        <v>15133</v>
      </c>
      <c r="J4" s="909">
        <f>'Income Statement'!X41</f>
        <v>19523</v>
      </c>
      <c r="K4" s="909">
        <f>'Income Statement'!Y41</f>
        <v>23651</v>
      </c>
      <c r="L4" s="909">
        <f>'Income Statement'!Z41</f>
        <v>27716</v>
      </c>
      <c r="M4" s="909">
        <f>'Income Statement'!AA41</f>
        <v>31556.568615283002</v>
      </c>
      <c r="N4" s="909">
        <f>'Income Statement'!AB41</f>
        <v>35653.731777547211</v>
      </c>
      <c r="O4" s="909">
        <f>'Income Statement'!AC41</f>
        <v>39232.543288947665</v>
      </c>
      <c r="P4" s="909">
        <f>'Income Statement'!AD41</f>
        <v>42282.092826476444</v>
      </c>
      <c r="Q4" s="909">
        <f>'Income Statement'!AE41</f>
        <v>44620.650972750256</v>
      </c>
      <c r="R4" s="909">
        <f>'Income Statement'!AF41</f>
        <v>46787.066610790876</v>
      </c>
    </row>
    <row r="5" spans="2:18">
      <c r="B5" s="782" t="s">
        <v>892</v>
      </c>
      <c r="C5" s="784">
        <f>'Income Statement'!Q43</f>
        <v>285</v>
      </c>
      <c r="D5" s="784">
        <f>'Income Statement'!R43</f>
        <v>277</v>
      </c>
      <c r="E5" s="784">
        <f>'Income Statement'!S43</f>
        <v>280</v>
      </c>
      <c r="F5" s="784">
        <f>'Income Statement'!T43</f>
        <v>321</v>
      </c>
      <c r="G5" s="784">
        <f>'Income Statement'!U43</f>
        <v>297</v>
      </c>
      <c r="H5" s="784">
        <f>'Income Statement'!V43</f>
        <v>267</v>
      </c>
      <c r="I5" s="784">
        <f>'Income Statement'!W43</f>
        <v>373</v>
      </c>
      <c r="J5" s="784">
        <f>'Income Statement'!X43</f>
        <v>440</v>
      </c>
      <c r="K5" s="784">
        <f>'Income Statement'!Y43</f>
        <v>474</v>
      </c>
      <c r="L5" s="784">
        <f>'Income Statement'!Z43</f>
        <v>438</v>
      </c>
      <c r="M5" s="784">
        <f>'Income Statement'!AA43</f>
        <v>498.69306730747422</v>
      </c>
      <c r="N5" s="784">
        <f>'Income Statement'!AB43</f>
        <v>563.44113575428196</v>
      </c>
      <c r="O5" s="784">
        <f>'Income Statement'!AC43</f>
        <v>619.99761728095962</v>
      </c>
      <c r="P5" s="784">
        <f>'Income Statement'!AD43</f>
        <v>668.19009445795507</v>
      </c>
      <c r="Q5" s="784">
        <f>'Income Statement'!AE43</f>
        <v>705.14667073403859</v>
      </c>
      <c r="R5" s="784">
        <f>'Income Statement'!AF43</f>
        <v>739.38285378577007</v>
      </c>
    </row>
    <row r="6" spans="2:18">
      <c r="B6" s="782" t="s">
        <v>1092</v>
      </c>
      <c r="C6" s="784">
        <f>'Income Statement'!Q45</f>
        <v>257</v>
      </c>
      <c r="D6" s="784">
        <f>'Income Statement'!R45</f>
        <v>308</v>
      </c>
      <c r="E6" s="784">
        <f>'Income Statement'!S45</f>
        <v>195</v>
      </c>
      <c r="F6" s="784">
        <f>'Income Statement'!T45</f>
        <v>3</v>
      </c>
      <c r="G6" s="784">
        <f>'Income Statement'!U45</f>
        <v>453</v>
      </c>
      <c r="H6" s="784">
        <f>'Income Statement'!V45</f>
        <v>-865</v>
      </c>
      <c r="I6" s="784">
        <f>'Income Statement'!W45</f>
        <v>-199</v>
      </c>
      <c r="J6" s="784">
        <f>'Income Statement'!X45</f>
        <v>1204</v>
      </c>
      <c r="K6" s="784">
        <f>'Income Statement'!Y45</f>
        <v>1000</v>
      </c>
      <c r="L6" s="784">
        <f>'Income Statement'!Z45</f>
        <v>989</v>
      </c>
      <c r="M6" s="784">
        <f>'Income Statement'!AA45</f>
        <v>1126.0443917056893</v>
      </c>
      <c r="N6" s="784">
        <f>'Income Statement'!AB45</f>
        <v>1272.24493895202</v>
      </c>
      <c r="O6" s="784">
        <f>'Income Statement'!AC45</f>
        <v>1399.94895774171</v>
      </c>
      <c r="P6" s="784">
        <f>'Income Statement'!AD45</f>
        <v>1508.767131093419</v>
      </c>
      <c r="Q6" s="784">
        <f>'Income Statement'!AE45</f>
        <v>1592.2147428218357</v>
      </c>
      <c r="R6" s="784">
        <f>'Income Statement'!AF45</f>
        <v>1669.5197314934396</v>
      </c>
    </row>
    <row r="7" spans="2:18">
      <c r="B7" s="782" t="s">
        <v>890</v>
      </c>
      <c r="C7" s="784">
        <f>'Income Statement'!Q47</f>
        <v>946</v>
      </c>
      <c r="D7" s="784">
        <f>'Income Statement'!R47</f>
        <v>624</v>
      </c>
      <c r="E7" s="784">
        <f>'Income Statement'!S47</f>
        <v>522</v>
      </c>
      <c r="F7" s="784">
        <f>'Income Statement'!T47</f>
        <v>447</v>
      </c>
      <c r="G7" s="784">
        <f>'Income Statement'!U47</f>
        <v>438</v>
      </c>
      <c r="H7" s="784">
        <f>'Income Statement'!V47</f>
        <v>329</v>
      </c>
      <c r="I7" s="784">
        <f>'Income Statement'!W47</f>
        <v>372</v>
      </c>
      <c r="J7" s="784">
        <f>'Income Statement'!X47</f>
        <v>382</v>
      </c>
      <c r="K7" s="784">
        <f>'Income Statement'!Y47</f>
        <v>480</v>
      </c>
      <c r="L7" s="784">
        <f>'Income Statement'!Z47</f>
        <v>526</v>
      </c>
      <c r="M7" s="784">
        <f>'Income Statement'!AA47</f>
        <v>598.88710822769724</v>
      </c>
      <c r="N7" s="784">
        <f>'Income Statement'!AB47</f>
        <v>676.64392101998237</v>
      </c>
      <c r="O7" s="784">
        <f>'Income Statement'!AC47</f>
        <v>744.56334860681454</v>
      </c>
      <c r="P7" s="784">
        <f>'Income Statement'!AD47</f>
        <v>802.43833261389125</v>
      </c>
      <c r="Q7" s="784">
        <f>'Income Statement'!AE47</f>
        <v>846.81997444316039</v>
      </c>
      <c r="R7" s="784">
        <f>'Income Statement'!AF47</f>
        <v>887.93466002583341</v>
      </c>
    </row>
    <row r="8" spans="2:18">
      <c r="B8" s="782" t="s">
        <v>889</v>
      </c>
      <c r="C8" s="784">
        <f>'Income Statement'!Q49</f>
        <v>-9275</v>
      </c>
      <c r="D8" s="784">
        <f>'Income Statement'!R49</f>
        <v>-9340</v>
      </c>
      <c r="E8" s="784">
        <f>'Income Statement'!S49</f>
        <v>-9449</v>
      </c>
      <c r="F8" s="784">
        <f>'Income Statement'!T49</f>
        <v>-12440</v>
      </c>
      <c r="G8" s="784">
        <f>'Income Statement'!U49</f>
        <v>-14448</v>
      </c>
      <c r="H8" s="784">
        <f>'Income Statement'!V49</f>
        <v>-8450</v>
      </c>
      <c r="I8" s="784">
        <f>'Income Statement'!W49</f>
        <v>-7999</v>
      </c>
      <c r="J8" s="784">
        <f>'Income Statement'!X49</f>
        <v>-11724</v>
      </c>
      <c r="K8" s="784">
        <f>'Income Statement'!Y49</f>
        <v>-14072</v>
      </c>
      <c r="L8" s="784">
        <f>'Income Statement'!Z49</f>
        <v>-15960</v>
      </c>
      <c r="M8" s="784">
        <f>'Income Statement'!AA49</f>
        <v>-18171.55560325865</v>
      </c>
      <c r="N8" s="784">
        <f>'Income Statement'!AB49</f>
        <v>-20530.868782279314</v>
      </c>
      <c r="O8" s="784">
        <f>'Income Statement'!AC49</f>
        <v>-22591.693999552775</v>
      </c>
      <c r="P8" s="784">
        <f>'Income Statement'!AD49</f>
        <v>-24347.74864737206</v>
      </c>
      <c r="Q8" s="784">
        <f>'Income Statement'!AE49</f>
        <v>-25694.385536336198</v>
      </c>
      <c r="R8" s="784">
        <f>'Income Statement'!AF49</f>
        <v>-26941.895768084225</v>
      </c>
    </row>
    <row r="9" spans="2:18">
      <c r="B9" s="782" t="s">
        <v>888</v>
      </c>
      <c r="C9" s="784">
        <f>'Income Statement'!Q51</f>
        <v>-4524</v>
      </c>
      <c r="D9" s="784">
        <f>'Income Statement'!R51</f>
        <v>-4406</v>
      </c>
      <c r="E9" s="784">
        <f>'Income Statement'!S51</f>
        <v>-4353</v>
      </c>
      <c r="F9" s="784">
        <f>'Income Statement'!T51</f>
        <v>-5665</v>
      </c>
      <c r="G9" s="784">
        <f>'Income Statement'!U51</f>
        <v>-6349</v>
      </c>
      <c r="H9" s="784">
        <f>'Income Statement'!V51</f>
        <v>-5028</v>
      </c>
      <c r="I9" s="784">
        <f>'Income Statement'!W51</f>
        <v>-4919</v>
      </c>
      <c r="J9" s="784">
        <f>'Income Statement'!X51</f>
        <v>-5792</v>
      </c>
      <c r="K9" s="784">
        <f>'Income Statement'!Y51</f>
        <v>-6767</v>
      </c>
      <c r="L9" s="784">
        <f>'Income Statement'!Z51</f>
        <v>-7801</v>
      </c>
      <c r="M9" s="784">
        <f>'Income Statement'!AA51</f>
        <v>-8430.9280886731867</v>
      </c>
      <c r="N9" s="784">
        <f>'Income Statement'!AB51</f>
        <v>-9276.6565201712365</v>
      </c>
      <c r="O9" s="784">
        <f>'Income Statement'!AC51</f>
        <v>-9987.8121647164335</v>
      </c>
      <c r="P9" s="784">
        <f>'Income Statement'!AD51</f>
        <v>-10584.122962406154</v>
      </c>
      <c r="Q9" s="784">
        <f>'Income Statement'!AE51</f>
        <v>-11062.229794994868</v>
      </c>
      <c r="R9" s="784">
        <f>'Income Statement'!AF51</f>
        <v>-11448.072873459016</v>
      </c>
    </row>
    <row r="10" spans="2:18">
      <c r="B10" s="782" t="s">
        <v>887</v>
      </c>
      <c r="C10" s="784">
        <f>'Income Statement'!Q53</f>
        <v>-277</v>
      </c>
      <c r="D10" s="784">
        <f>'Income Statement'!R53</f>
        <v>-286</v>
      </c>
      <c r="E10" s="784">
        <f>'Income Statement'!S53</f>
        <v>-284</v>
      </c>
      <c r="F10" s="784">
        <f>'Income Statement'!T53</f>
        <v>-295</v>
      </c>
      <c r="G10" s="784">
        <f>'Income Statement'!U53</f>
        <v>-388</v>
      </c>
      <c r="H10" s="784">
        <f>'Income Statement'!V53</f>
        <v>-326</v>
      </c>
      <c r="I10" s="784">
        <f>'Income Statement'!W53</f>
        <v>-257</v>
      </c>
      <c r="J10" s="784">
        <f>'Income Statement'!X53</f>
        <v>-290</v>
      </c>
      <c r="K10" s="784">
        <f>'Income Statement'!Y53</f>
        <v>-308</v>
      </c>
      <c r="L10" s="784">
        <f>'Income Statement'!Z53</f>
        <v>-337</v>
      </c>
      <c r="M10" s="784">
        <f>'Income Statement'!AA53</f>
        <v>-383.69763397858173</v>
      </c>
      <c r="N10" s="784">
        <f>'Income Statement'!AB53</f>
        <v>-433.5152117561484</v>
      </c>
      <c r="O10" s="784">
        <f>'Income Statement'!AC53</f>
        <v>-477.03013019105794</v>
      </c>
      <c r="P10" s="784">
        <f>'Income Statement'!AD53</f>
        <v>-514.10973021080099</v>
      </c>
      <c r="Q10" s="784">
        <f>'Income Statement'!AE53</f>
        <v>-542.5443562497054</v>
      </c>
      <c r="R10" s="784">
        <f>'Income Statement'!AF53</f>
        <v>-568.88589435115182</v>
      </c>
    </row>
    <row r="11" spans="2:18">
      <c r="B11" s="782" t="s">
        <v>1091</v>
      </c>
      <c r="C11" s="784">
        <f>'Income Statement'!Q55</f>
        <v>-763</v>
      </c>
      <c r="D11" s="784">
        <f>'Income Statement'!R55</f>
        <v>-634</v>
      </c>
      <c r="E11" s="784">
        <f>'Income Statement'!S55</f>
        <v>-1012</v>
      </c>
      <c r="F11" s="784">
        <f>'Income Statement'!T55</f>
        <v>-1176</v>
      </c>
      <c r="G11" s="784">
        <f>'Income Statement'!U55</f>
        <v>-1600</v>
      </c>
      <c r="H11" s="784">
        <f>'Income Statement'!V55</f>
        <v>-1212</v>
      </c>
      <c r="I11" s="784">
        <f>'Income Statement'!W55</f>
        <v>-1509</v>
      </c>
      <c r="J11" s="784">
        <f>'Income Statement'!X55</f>
        <v>-1174</v>
      </c>
      <c r="K11" s="784">
        <f>'Income Statement'!Y55</f>
        <v>-1282</v>
      </c>
      <c r="L11" s="784">
        <f>'Income Statement'!Z55</f>
        <v>-1578</v>
      </c>
      <c r="M11" s="784">
        <f>'Income Statement'!AA55</f>
        <v>-1796.6613246830921</v>
      </c>
      <c r="N11" s="784">
        <f>'Income Statement'!AB55</f>
        <v>-2029.9317630599473</v>
      </c>
      <c r="O11" s="784">
        <f>'Income Statement'!AC55</f>
        <v>-2233.6900458204436</v>
      </c>
      <c r="P11" s="784">
        <f>'Income Statement'!AD55</f>
        <v>-2407.3149978416736</v>
      </c>
      <c r="Q11" s="784">
        <f>'Income Statement'!AE55</f>
        <v>-2540.4599233294812</v>
      </c>
      <c r="R11" s="784">
        <f>'Income Statement'!AF55</f>
        <v>-2663.8039800775005</v>
      </c>
    </row>
    <row r="12" spans="2:18">
      <c r="B12" s="782" t="s">
        <v>886</v>
      </c>
      <c r="C12" s="784">
        <f>'Income Statement'!Q58</f>
        <v>-179</v>
      </c>
      <c r="D12" s="784">
        <f>'Income Statement'!R58</f>
        <v>-237</v>
      </c>
      <c r="E12" s="784">
        <f>'Income Statement'!S58</f>
        <v>-60</v>
      </c>
      <c r="F12" s="784">
        <f>'Income Statement'!T58</f>
        <v>62</v>
      </c>
      <c r="G12" s="784">
        <f>'Income Statement'!U58</f>
        <v>57</v>
      </c>
      <c r="H12" s="784">
        <f>'Income Statement'!V58</f>
        <v>-149</v>
      </c>
      <c r="I12" s="784">
        <f>'Income Statement'!W58</f>
        <v>78</v>
      </c>
      <c r="J12" s="784">
        <f>'Income Statement'!X58</f>
        <v>-252</v>
      </c>
      <c r="K12" s="784">
        <f>'Income Statement'!Y58</f>
        <v>-50</v>
      </c>
      <c r="L12" s="784">
        <f>'Income Statement'!Z58</f>
        <v>18</v>
      </c>
      <c r="M12" s="784">
        <f>'Income Statement'!AA58</f>
        <v>20.494235642772914</v>
      </c>
      <c r="N12" s="784">
        <f>'Income Statement'!AB58</f>
        <v>23.155115167984192</v>
      </c>
      <c r="O12" s="784">
        <f>'Income Statement'!AC58</f>
        <v>25.479354134833958</v>
      </c>
      <c r="P12" s="784">
        <f>'Income Statement'!AD58</f>
        <v>27.4598668955324</v>
      </c>
      <c r="Q12" s="784">
        <f>'Income Statement'!AE58</f>
        <v>28.978630304138573</v>
      </c>
      <c r="R12" s="784">
        <f>'Income Statement'!AF58</f>
        <v>30.38559673092206</v>
      </c>
    </row>
    <row r="13" spans="2:18">
      <c r="B13" s="782" t="s">
        <v>885</v>
      </c>
      <c r="C13" s="784">
        <f>'Income Statement'!Q60</f>
        <v>118</v>
      </c>
      <c r="D13" s="784">
        <f>'Income Statement'!R60</f>
        <v>115</v>
      </c>
      <c r="E13" s="784">
        <f>'Income Statement'!S60</f>
        <v>159</v>
      </c>
      <c r="F13" s="784">
        <f>'Income Statement'!T60</f>
        <v>-191</v>
      </c>
      <c r="G13" s="784">
        <f>'Income Statement'!U60</f>
        <v>102</v>
      </c>
      <c r="H13" s="784">
        <f>'Income Statement'!V60</f>
        <v>148</v>
      </c>
      <c r="I13" s="784">
        <f>'Income Statement'!W60</f>
        <v>156</v>
      </c>
      <c r="J13" s="784">
        <f>'Income Statement'!X60</f>
        <v>103</v>
      </c>
      <c r="K13" s="784">
        <f>'Income Statement'!Y60</f>
        <v>84</v>
      </c>
      <c r="L13" s="784">
        <f>'Income Statement'!Z60</f>
        <v>39</v>
      </c>
      <c r="M13" s="784">
        <f>'Income Statement'!AA60</f>
        <v>44.404177226007974</v>
      </c>
      <c r="N13" s="784">
        <f>'Income Statement'!AB60</f>
        <v>50.169416197299078</v>
      </c>
      <c r="O13" s="784">
        <f>'Income Statement'!AC60</f>
        <v>55.205267292140242</v>
      </c>
      <c r="P13" s="784">
        <f>'Income Statement'!AD60</f>
        <v>59.496378273653534</v>
      </c>
      <c r="Q13" s="784">
        <f>'Income Statement'!AE60</f>
        <v>62.787032325633568</v>
      </c>
      <c r="R13" s="784">
        <f>'Income Statement'!AF60</f>
        <v>65.835459583664459</v>
      </c>
    </row>
    <row r="14" spans="2:18">
      <c r="B14" s="782" t="s">
        <v>989</v>
      </c>
      <c r="C14" s="784">
        <f>'Income Statement'!Q62</f>
        <v>44</v>
      </c>
      <c r="D14" s="784">
        <f>'Income Statement'!R62</f>
        <v>87</v>
      </c>
      <c r="E14" s="784">
        <f>'Income Statement'!S62</f>
        <v>144</v>
      </c>
      <c r="F14" s="784">
        <f>'Income Statement'!T62</f>
        <v>189</v>
      </c>
      <c r="G14" s="784">
        <f>'Income Statement'!U62</f>
        <v>164</v>
      </c>
      <c r="H14" s="784">
        <f>'Income Statement'!V62</f>
        <v>48</v>
      </c>
      <c r="I14" s="784">
        <f>'Income Statement'!W62</f>
        <v>40</v>
      </c>
      <c r="J14" s="784">
        <f>'Income Statement'!X62</f>
        <v>73</v>
      </c>
      <c r="K14" s="784">
        <f>'Income Statement'!Y62</f>
        <v>99</v>
      </c>
      <c r="L14" s="784">
        <f>'Income Statement'!Z62</f>
        <v>136</v>
      </c>
      <c r="M14" s="784">
        <f>'Income Statement'!AA62</f>
        <v>154.84533596761756</v>
      </c>
      <c r="N14" s="784">
        <f>'Income Statement'!AB62</f>
        <v>174.94975904699166</v>
      </c>
      <c r="O14" s="784">
        <f>'Income Statement'!AC62</f>
        <v>192.51067568541214</v>
      </c>
      <c r="P14" s="784">
        <f>'Income Statement'!AD62</f>
        <v>207.47454987735591</v>
      </c>
      <c r="Q14" s="784">
        <f>'Income Statement'!AE62</f>
        <v>218.94965118682478</v>
      </c>
      <c r="R14" s="784">
        <f>'Income Statement'!AF62</f>
        <v>229.5800641891889</v>
      </c>
    </row>
    <row r="15" spans="2:18">
      <c r="B15" s="783" t="s">
        <v>1497</v>
      </c>
      <c r="C15" s="909">
        <f>'Income Statement'!Q70</f>
        <v>0</v>
      </c>
      <c r="D15" s="909">
        <f>'Income Statement'!R70</f>
        <v>2404</v>
      </c>
      <c r="E15" s="909">
        <f>'Income Statement'!S70</f>
        <v>2192</v>
      </c>
      <c r="F15" s="909">
        <f>'Income Statement'!T64</f>
        <v>2280</v>
      </c>
      <c r="G15" s="909">
        <f>'Income Statement'!U64</f>
        <v>3824</v>
      </c>
      <c r="H15" s="909">
        <f>'Income Statement'!V64</f>
        <v>1393</v>
      </c>
      <c r="I15" s="909">
        <f>'Income Statement'!W64</f>
        <v>1269</v>
      </c>
      <c r="J15" s="909">
        <f>'Income Statement'!X64</f>
        <v>2493</v>
      </c>
      <c r="K15" s="909">
        <f>'Income Statement'!Y64</f>
        <v>3309</v>
      </c>
      <c r="L15" s="909">
        <f>'Income Statement'!Z64</f>
        <v>4186</v>
      </c>
      <c r="M15" s="909">
        <f>'Income Statement'!AA64</f>
        <v>5217.0942807667525</v>
      </c>
      <c r="N15" s="909">
        <f>'Income Statement'!AB64</f>
        <v>6143.363786419126</v>
      </c>
      <c r="O15" s="909">
        <f>'Income Statement'!AC64</f>
        <v>6980.0221694088314</v>
      </c>
      <c r="P15" s="909">
        <f>'Income Statement'!AD64</f>
        <v>7702.6228418575593</v>
      </c>
      <c r="Q15" s="909">
        <f>'Income Statement'!AE64</f>
        <v>8235.9280636556377</v>
      </c>
      <c r="R15" s="909">
        <f>'Income Statement'!AF64</f>
        <v>8787.0464606278074</v>
      </c>
    </row>
    <row r="16" spans="2:18" hidden="1">
      <c r="B16" s="782" t="s">
        <v>1666</v>
      </c>
      <c r="C16" s="784"/>
      <c r="D16" s="784"/>
      <c r="E16" s="784"/>
      <c r="F16" s="784">
        <f>SUM('Income Statement'!T66:T69)</f>
        <v>743</v>
      </c>
      <c r="G16" s="784">
        <f>SUM('Income Statement'!U66:U69)</f>
        <v>-4</v>
      </c>
      <c r="H16" s="784">
        <f>SUM('Income Statement'!V66:V69)</f>
        <v>293</v>
      </c>
      <c r="I16" s="784">
        <f>SUM('Income Statement'!W66:W69)</f>
        <v>536</v>
      </c>
      <c r="J16" s="784">
        <f>SUM('Income Statement'!X66:X69)</f>
        <v>-85</v>
      </c>
      <c r="K16" s="784">
        <f>SUM('Income Statement'!Y66:Y69)</f>
        <v>-143</v>
      </c>
      <c r="L16" s="784">
        <f>SUM('Income Statement'!Z66:Z69)</f>
        <v>-67</v>
      </c>
      <c r="M16" s="784">
        <f>SUM('Income Statement'!AA66:AA69)</f>
        <v>0</v>
      </c>
      <c r="N16" s="784">
        <f>SUM('Income Statement'!AB66:AB69)</f>
        <v>0</v>
      </c>
      <c r="O16" s="784">
        <f>SUM('Income Statement'!AC66:AC69)</f>
        <v>0</v>
      </c>
      <c r="P16" s="784">
        <f>SUM('Income Statement'!AD66:AD69)</f>
        <v>0</v>
      </c>
      <c r="Q16" s="784">
        <f>SUM('Income Statement'!AE66:AE69)</f>
        <v>0</v>
      </c>
      <c r="R16" s="784">
        <f>SUM('Income Statement'!AF66:AF69)</f>
        <v>0</v>
      </c>
    </row>
    <row r="17" spans="2:18" s="783" customFormat="1">
      <c r="B17" s="1145" t="s">
        <v>1667</v>
      </c>
      <c r="C17" s="1146"/>
      <c r="D17" s="1146"/>
      <c r="E17" s="1146"/>
      <c r="F17" s="1146">
        <f>'Income Statement'!T70</f>
        <v>3023</v>
      </c>
      <c r="G17" s="1146">
        <f>'Income Statement'!U70</f>
        <v>3820</v>
      </c>
      <c r="H17" s="1146">
        <f>'Income Statement'!V70</f>
        <v>1686</v>
      </c>
      <c r="I17" s="1146">
        <f>'Income Statement'!W70</f>
        <v>1805</v>
      </c>
      <c r="J17" s="1146">
        <f>'Income Statement'!X70</f>
        <v>2408</v>
      </c>
      <c r="K17" s="1146">
        <f>'Income Statement'!Y70</f>
        <v>3166</v>
      </c>
      <c r="L17" s="1146">
        <f>'Income Statement'!Z70</f>
        <v>4119</v>
      </c>
      <c r="M17" s="1146">
        <f>'Income Statement'!AA70</f>
        <v>5217.0942807667525</v>
      </c>
      <c r="N17" s="1146">
        <f>'Income Statement'!AB70</f>
        <v>6143.363786419126</v>
      </c>
      <c r="O17" s="1146">
        <f>'Income Statement'!AC70</f>
        <v>6980.0221694088314</v>
      </c>
      <c r="P17" s="1146">
        <f>'Income Statement'!AD70</f>
        <v>7702.6228418575593</v>
      </c>
      <c r="Q17" s="1146">
        <f>'Income Statement'!AE70</f>
        <v>8235.9280636556377</v>
      </c>
      <c r="R17" s="1146">
        <f>'Income Statement'!AF70</f>
        <v>8787.0464606278074</v>
      </c>
    </row>
    <row r="18" spans="2:18" hidden="1">
      <c r="B18" s="782" t="s">
        <v>990</v>
      </c>
      <c r="C18" s="784">
        <f>'Income Statement'!Q72</f>
        <v>-778</v>
      </c>
      <c r="D18" s="784">
        <f>'Income Statement'!R72</f>
        <v>349</v>
      </c>
      <c r="E18" s="784">
        <f>'Income Statement'!S72</f>
        <v>-90</v>
      </c>
      <c r="F18" s="784">
        <f>'Income Statement'!T72</f>
        <v>-115</v>
      </c>
      <c r="G18" s="784">
        <f>'Income Statement'!U72</f>
        <v>13</v>
      </c>
      <c r="H18" s="784">
        <f>'Income Statement'!V72</f>
        <v>-466</v>
      </c>
      <c r="I18" s="784">
        <f>'Income Statement'!W72</f>
        <v>-405</v>
      </c>
      <c r="J18" s="784">
        <f>'Income Statement'!X72</f>
        <v>-450</v>
      </c>
      <c r="K18" s="784">
        <f>'Income Statement'!Y72</f>
        <v>-511</v>
      </c>
      <c r="L18" s="784">
        <f>'Income Statement'!Z72</f>
        <v>6</v>
      </c>
      <c r="M18" s="784">
        <f>'Income Statement'!AA72</f>
        <v>0</v>
      </c>
      <c r="N18" s="784">
        <f>'Income Statement'!AB72</f>
        <v>0</v>
      </c>
      <c r="O18" s="784">
        <f>'Income Statement'!AC72</f>
        <v>0</v>
      </c>
      <c r="P18" s="784">
        <f>'Income Statement'!AD72</f>
        <v>0</v>
      </c>
      <c r="Q18" s="784">
        <f>'Income Statement'!AE72</f>
        <v>0</v>
      </c>
      <c r="R18" s="784">
        <f>'Income Statement'!AF72</f>
        <v>0</v>
      </c>
    </row>
    <row r="19" spans="2:18" s="783" customFormat="1">
      <c r="B19" s="783" t="s">
        <v>287</v>
      </c>
      <c r="C19" s="909"/>
      <c r="D19" s="909"/>
      <c r="E19" s="909"/>
      <c r="F19" s="909">
        <f>'Income Statement'!T73</f>
        <v>2165</v>
      </c>
      <c r="G19" s="909">
        <f>'Income Statement'!U73</f>
        <v>3837</v>
      </c>
      <c r="H19" s="909">
        <f>'Income Statement'!V73</f>
        <v>927</v>
      </c>
      <c r="I19" s="909">
        <f>'Income Statement'!W73</f>
        <v>864</v>
      </c>
      <c r="J19" s="909">
        <f>'Income Statement'!X73</f>
        <v>2043</v>
      </c>
      <c r="K19" s="909">
        <f>'Income Statement'!Y73</f>
        <v>2798</v>
      </c>
      <c r="L19" s="909">
        <f>'Income Statement'!Z73</f>
        <v>4192</v>
      </c>
      <c r="M19" s="909">
        <f>'Income Statement'!AA73</f>
        <v>5217.0942807667525</v>
      </c>
      <c r="N19" s="909">
        <f>'Income Statement'!AB73</f>
        <v>6143.363786419126</v>
      </c>
      <c r="O19" s="909">
        <f>'Income Statement'!AC73</f>
        <v>6980.0221694088314</v>
      </c>
      <c r="P19" s="909">
        <f>'Income Statement'!AD73</f>
        <v>7702.6228418575593</v>
      </c>
      <c r="Q19" s="909">
        <f>'Income Statement'!AE73</f>
        <v>8235.9280636556377</v>
      </c>
      <c r="R19" s="909">
        <f>'Income Statement'!AF73</f>
        <v>8787.0464606278074</v>
      </c>
    </row>
    <row r="20" spans="2:18" s="783" customFormat="1">
      <c r="B20" s="1145" t="s">
        <v>1421</v>
      </c>
      <c r="C20" s="1146"/>
      <c r="D20" s="1146"/>
      <c r="E20" s="1146"/>
      <c r="F20" s="1146">
        <f>'Income Statement'!T74</f>
        <v>2908</v>
      </c>
      <c r="G20" s="1146">
        <f>'Income Statement'!U74</f>
        <v>3833</v>
      </c>
      <c r="H20" s="1146">
        <f>'Income Statement'!V74</f>
        <v>1220</v>
      </c>
      <c r="I20" s="1146">
        <f>'Income Statement'!W74</f>
        <v>1400</v>
      </c>
      <c r="J20" s="1146">
        <f>'Income Statement'!X74</f>
        <v>1958</v>
      </c>
      <c r="K20" s="1146">
        <f>'Income Statement'!Y74</f>
        <v>2655</v>
      </c>
      <c r="L20" s="1146">
        <f>'Income Statement'!Z74</f>
        <v>4125</v>
      </c>
      <c r="M20" s="1146">
        <f>'Income Statement'!AA74</f>
        <v>5217.0942807667525</v>
      </c>
      <c r="N20" s="1146">
        <f>'Income Statement'!AB74</f>
        <v>6143.363786419126</v>
      </c>
      <c r="O20" s="1146">
        <f>'Income Statement'!AC74</f>
        <v>6980.0221694088314</v>
      </c>
      <c r="P20" s="1146">
        <f>'Income Statement'!AD74</f>
        <v>7702.6228418575593</v>
      </c>
      <c r="Q20" s="1146">
        <f>'Income Statement'!AE74</f>
        <v>8235.9280636556377</v>
      </c>
      <c r="R20" s="1146">
        <f>'Income Statement'!AF74</f>
        <v>8787.0464606278074</v>
      </c>
    </row>
    <row r="21" spans="2:18">
      <c r="B21" s="782" t="s">
        <v>1669</v>
      </c>
      <c r="C21" s="784"/>
      <c r="D21" s="784"/>
      <c r="E21" s="784"/>
      <c r="F21" s="784">
        <f>'Income Statement'!T75</f>
        <v>-476</v>
      </c>
      <c r="G21" s="784">
        <f>'Income Statement'!U75</f>
        <v>-363</v>
      </c>
      <c r="H21" s="784">
        <f>'Income Statement'!V75</f>
        <v>-357</v>
      </c>
      <c r="I21" s="784">
        <f>'Income Statement'!W75</f>
        <v>-596</v>
      </c>
      <c r="J21" s="784">
        <f>'Income Statement'!X75</f>
        <v>-5163</v>
      </c>
      <c r="K21" s="784">
        <f>'Income Statement'!Y75</f>
        <v>1958</v>
      </c>
      <c r="L21" s="784">
        <f>'Income Statement'!Z75</f>
        <v>-5051</v>
      </c>
      <c r="M21" s="784">
        <f>'Income Statement'!AA75</f>
        <v>113.98500000000001</v>
      </c>
      <c r="N21" s="784">
        <f>'Income Statement'!AB75</f>
        <v>128.5245970689017</v>
      </c>
      <c r="O21" s="784">
        <f>'Income Statement'!AC75</f>
        <v>148.70104984327952</v>
      </c>
      <c r="P21" s="784">
        <f>'Income Statement'!AD75</f>
        <v>175.34642134960728</v>
      </c>
      <c r="Q21" s="784">
        <f>'Income Statement'!AE75</f>
        <v>204.65437767661587</v>
      </c>
      <c r="R21" s="784">
        <f>'Income Statement'!AF75</f>
        <v>251.72900097228268</v>
      </c>
    </row>
    <row r="22" spans="2:18">
      <c r="B22" s="782" t="s">
        <v>1670</v>
      </c>
      <c r="C22" s="784">
        <f>'Income Statement'!Q79</f>
        <v>0</v>
      </c>
      <c r="D22" s="784">
        <f>'Income Statement'!R79</f>
        <v>-144</v>
      </c>
      <c r="E22" s="784">
        <f>'Income Statement'!S79</f>
        <v>7</v>
      </c>
      <c r="F22" s="784">
        <f>'Income Statement'!T79</f>
        <v>-211</v>
      </c>
      <c r="G22" s="784">
        <f>'Income Statement'!U79</f>
        <v>-89</v>
      </c>
      <c r="H22" s="784">
        <f>'Income Statement'!V79</f>
        <v>-7</v>
      </c>
      <c r="I22" s="784">
        <f>'Income Statement'!W79</f>
        <v>-204</v>
      </c>
      <c r="J22" s="784">
        <f>'Income Statement'!X79</f>
        <v>-186</v>
      </c>
      <c r="K22" s="784">
        <f>'Income Statement'!Y79</f>
        <v>174</v>
      </c>
      <c r="L22" s="784">
        <f>'Income Statement'!Z79</f>
        <v>23</v>
      </c>
      <c r="M22" s="784">
        <f>'Income Statement'!AA79</f>
        <v>113.98500000000001</v>
      </c>
      <c r="N22" s="784">
        <f>'Income Statement'!AB79</f>
        <v>128.5245970689017</v>
      </c>
      <c r="O22" s="784">
        <f>'Income Statement'!AC79</f>
        <v>148.70104984327952</v>
      </c>
      <c r="P22" s="784">
        <f>'Income Statement'!AD79</f>
        <v>175.34642134960728</v>
      </c>
      <c r="Q22" s="784">
        <f>'Income Statement'!AE79</f>
        <v>204.65437767661587</v>
      </c>
      <c r="R22" s="784">
        <f>'Income Statement'!AF79</f>
        <v>251.72900097228268</v>
      </c>
    </row>
    <row r="23" spans="2:18">
      <c r="B23" s="782" t="s">
        <v>880</v>
      </c>
      <c r="C23" s="784">
        <f>'Income Statement'!Q85</f>
        <v>0</v>
      </c>
      <c r="D23" s="784">
        <f>'Income Statement'!R85</f>
        <v>2609</v>
      </c>
      <c r="E23" s="784">
        <f>'Income Statement'!S85</f>
        <v>2109</v>
      </c>
      <c r="F23" s="784">
        <f>'Income Statement'!T84</f>
        <v>1689</v>
      </c>
      <c r="G23" s="784">
        <f>'Income Statement'!U84</f>
        <v>3474</v>
      </c>
      <c r="H23" s="784">
        <f>'Income Statement'!V84</f>
        <v>570</v>
      </c>
      <c r="I23" s="784">
        <f>'Income Statement'!W84</f>
        <v>268</v>
      </c>
      <c r="J23" s="784">
        <f>'Income Statement'!X84</f>
        <v>-3120</v>
      </c>
      <c r="K23" s="784">
        <f>'Income Statement'!Y84</f>
        <v>4756</v>
      </c>
      <c r="L23" s="784">
        <f>'Income Statement'!Z84</f>
        <v>-859</v>
      </c>
      <c r="M23" s="784">
        <f>'Income Statement'!AA84</f>
        <v>5331.0792807667522</v>
      </c>
      <c r="N23" s="784">
        <f>'Income Statement'!AB84</f>
        <v>6271.888383488028</v>
      </c>
      <c r="O23" s="784">
        <f>'Income Statement'!AC84</f>
        <v>7128.7232192521105</v>
      </c>
      <c r="P23" s="784">
        <f>'Income Statement'!AD84</f>
        <v>7877.9692632071665</v>
      </c>
      <c r="Q23" s="784">
        <f>'Income Statement'!AE84</f>
        <v>8440.5824413322534</v>
      </c>
      <c r="R23" s="784">
        <f>'Income Statement'!AF84</f>
        <v>9038.7754616000893</v>
      </c>
    </row>
    <row r="24" spans="2:18">
      <c r="B24" s="782" t="s">
        <v>1561</v>
      </c>
      <c r="C24" s="784"/>
      <c r="D24" s="784"/>
      <c r="E24" s="784"/>
      <c r="F24" s="784">
        <f>'Income Statement'!T85</f>
        <v>2697</v>
      </c>
      <c r="G24" s="784">
        <f>'Income Statement'!U85</f>
        <v>3744</v>
      </c>
      <c r="H24" s="784">
        <f>'Income Statement'!V85</f>
        <v>1213</v>
      </c>
      <c r="I24" s="784">
        <f>'Income Statement'!W85</f>
        <v>1196</v>
      </c>
      <c r="J24" s="784">
        <f>'Income Statement'!X85</f>
        <v>1772</v>
      </c>
      <c r="K24" s="784">
        <f>'Income Statement'!Y85</f>
        <v>2829</v>
      </c>
      <c r="L24" s="784">
        <f>'Income Statement'!Z85</f>
        <v>4148</v>
      </c>
      <c r="M24" s="784">
        <f>'Income Statement'!AA85</f>
        <v>5331.0792807667522</v>
      </c>
      <c r="N24" s="784">
        <f>'Income Statement'!AB85</f>
        <v>6271.888383488028</v>
      </c>
      <c r="O24" s="784">
        <f>'Income Statement'!AC85</f>
        <v>7128.7232192521105</v>
      </c>
      <c r="P24" s="784">
        <f>'Income Statement'!AD85</f>
        <v>7877.9692632071665</v>
      </c>
      <c r="Q24" s="784">
        <f>'Income Statement'!AE85</f>
        <v>8440.5824413322534</v>
      </c>
      <c r="R24" s="784">
        <f>'Income Statement'!AF85</f>
        <v>9038.7754616000893</v>
      </c>
    </row>
    <row r="25" spans="2:18">
      <c r="B25" s="782" t="s">
        <v>1671</v>
      </c>
      <c r="C25" s="784">
        <f>'Income Statement'!Q88</f>
        <v>0</v>
      </c>
      <c r="D25" s="784">
        <f>'Income Statement'!R88</f>
        <v>-498</v>
      </c>
      <c r="E25" s="784">
        <f>'Income Statement'!S88</f>
        <v>-485</v>
      </c>
      <c r="F25" s="784">
        <f>'Income Statement'!T86</f>
        <v>-348</v>
      </c>
      <c r="G25" s="784">
        <f>'Income Statement'!U86</f>
        <v>-962</v>
      </c>
      <c r="H25" s="784">
        <f>'Income Statement'!V86</f>
        <v>-184</v>
      </c>
      <c r="I25" s="784">
        <f>'Income Statement'!W86</f>
        <v>-200</v>
      </c>
      <c r="J25" s="784">
        <f>'Income Statement'!X86</f>
        <v>694</v>
      </c>
      <c r="K25" s="784">
        <f>'Income Statement'!Y86</f>
        <v>-1236</v>
      </c>
      <c r="L25" s="784">
        <f>'Income Statement'!Z86</f>
        <v>284</v>
      </c>
      <c r="M25" s="784">
        <f>'Income Statement'!AA86</f>
        <v>-1824.2953298783825</v>
      </c>
      <c r="N25" s="784">
        <f>'Income Statement'!AB86</f>
        <v>-1888.4655922682455</v>
      </c>
      <c r="O25" s="784">
        <f>'Income Statement'!AC86</f>
        <v>-1853.4680370055487</v>
      </c>
      <c r="P25" s="784">
        <f>'Income Statement'!AD86</f>
        <v>-2048.2720084338634</v>
      </c>
      <c r="Q25" s="784">
        <f>'Income Statement'!AE86</f>
        <v>-2194.5514347463859</v>
      </c>
      <c r="R25" s="784">
        <f>'Income Statement'!AF86</f>
        <v>-2350.0816200160234</v>
      </c>
    </row>
    <row r="26" spans="2:18">
      <c r="B26" s="782" t="s">
        <v>1672</v>
      </c>
      <c r="C26" s="784"/>
      <c r="D26" s="784"/>
      <c r="E26" s="784"/>
      <c r="F26" s="784">
        <f>'Income Statement'!T88</f>
        <v>-638</v>
      </c>
      <c r="G26" s="784">
        <f>'Income Statement'!U88</f>
        <v>-1012</v>
      </c>
      <c r="H26" s="784">
        <f>'Income Statement'!V88</f>
        <v>-334</v>
      </c>
      <c r="I26" s="784">
        <f>'Income Statement'!W88</f>
        <v>-412</v>
      </c>
      <c r="J26" s="784">
        <f>'Income Statement'!X88</f>
        <v>-557</v>
      </c>
      <c r="K26" s="784">
        <f>'Income Statement'!Y88</f>
        <v>-724</v>
      </c>
      <c r="L26" s="784">
        <f>'Income Statement'!Z88</f>
        <v>-987</v>
      </c>
      <c r="M26" s="784">
        <f>'Income Statement'!AA88</f>
        <v>-1705.9453698453608</v>
      </c>
      <c r="N26" s="784">
        <f>'Income Statement'!AB88</f>
        <v>-1567.972095872007</v>
      </c>
      <c r="O26" s="784">
        <f>'Income Statement'!AC88</f>
        <v>-1782.1808048130276</v>
      </c>
      <c r="P26" s="784">
        <f>'Income Statement'!AD88</f>
        <v>-1969.4923158017916</v>
      </c>
      <c r="Q26" s="784">
        <f>'Income Statement'!AE88</f>
        <v>-2110.1456103330634</v>
      </c>
      <c r="R26" s="784">
        <f>'Income Statement'!AF88</f>
        <v>-2259.6938654000223</v>
      </c>
    </row>
    <row r="27" spans="2:18">
      <c r="B27" s="910" t="s">
        <v>878</v>
      </c>
      <c r="C27" s="911">
        <f>'Income Statement'!Q93</f>
        <v>0</v>
      </c>
      <c r="D27" s="911">
        <f>'Income Statement'!R93</f>
        <v>2111</v>
      </c>
      <c r="E27" s="911">
        <f>'Income Statement'!S93</f>
        <v>1624</v>
      </c>
      <c r="F27" s="911">
        <f>'Income Statement'!T92</f>
        <v>1341</v>
      </c>
      <c r="G27" s="911">
        <f>'Income Statement'!U92</f>
        <v>2512</v>
      </c>
      <c r="H27" s="911">
        <f>'Income Statement'!V92</f>
        <v>386</v>
      </c>
      <c r="I27" s="911">
        <f>'Income Statement'!W92</f>
        <v>68</v>
      </c>
      <c r="J27" s="911">
        <f>'Income Statement'!X92</f>
        <v>-2426</v>
      </c>
      <c r="K27" s="911">
        <f>'Income Statement'!Y92</f>
        <v>3520</v>
      </c>
      <c r="L27" s="911">
        <f>'Income Statement'!Z92</f>
        <v>-575</v>
      </c>
      <c r="M27" s="911">
        <f>'Income Statement'!AA92</f>
        <v>3506.7839508883699</v>
      </c>
      <c r="N27" s="911">
        <f>'Income Statement'!AB92</f>
        <v>4383.4227912197821</v>
      </c>
      <c r="O27" s="911">
        <f>'Income Statement'!AC92</f>
        <v>5275.2551822465621</v>
      </c>
      <c r="P27" s="911">
        <f>'Income Statement'!AD92</f>
        <v>5829.697254773303</v>
      </c>
      <c r="Q27" s="911">
        <f>'Income Statement'!AE92</f>
        <v>6246.0310065858675</v>
      </c>
      <c r="R27" s="911">
        <f>'Income Statement'!AF92</f>
        <v>6688.6938415840659</v>
      </c>
    </row>
    <row r="28" spans="2:18">
      <c r="B28" s="910" t="s">
        <v>1673</v>
      </c>
      <c r="C28" s="911">
        <f>'Income Statement'!Q94</f>
        <v>29</v>
      </c>
      <c r="D28" s="911">
        <f>'Income Statement'!R94</f>
        <v>74</v>
      </c>
      <c r="E28" s="911">
        <f>'Income Statement'!S94</f>
        <v>831</v>
      </c>
      <c r="F28" s="911">
        <f>'Income Statement'!T93</f>
        <v>2059</v>
      </c>
      <c r="G28" s="911">
        <f>'Income Statement'!U93</f>
        <v>2732</v>
      </c>
      <c r="H28" s="911">
        <f>'Income Statement'!V93</f>
        <v>879</v>
      </c>
      <c r="I28" s="911">
        <f>'Income Statement'!W93</f>
        <v>784</v>
      </c>
      <c r="J28" s="911">
        <f>'Income Statement'!X93</f>
        <v>1215</v>
      </c>
      <c r="K28" s="911">
        <f>'Income Statement'!Y93</f>
        <v>2105</v>
      </c>
      <c r="L28" s="911">
        <f>'Income Statement'!Z93</f>
        <v>3161</v>
      </c>
      <c r="M28" s="911">
        <f>'Income Statement'!AA93</f>
        <v>3625.1339109213914</v>
      </c>
      <c r="N28" s="911">
        <f>'Income Statement'!AB93</f>
        <v>4703.9162876160208</v>
      </c>
      <c r="O28" s="911">
        <f>'Income Statement'!AC93</f>
        <v>5346.5424144390827</v>
      </c>
      <c r="P28" s="911">
        <f>'Income Statement'!AD93</f>
        <v>5908.4769474053746</v>
      </c>
      <c r="Q28" s="911">
        <f>'Income Statement'!AE93</f>
        <v>6330.4368309991896</v>
      </c>
      <c r="R28" s="911">
        <f>'Income Statement'!AF93</f>
        <v>6779.081596200067</v>
      </c>
    </row>
    <row r="29" spans="2:18">
      <c r="B29" s="782" t="s">
        <v>876</v>
      </c>
      <c r="C29" s="784">
        <f>'Income Statement'!Q95</f>
        <v>47</v>
      </c>
      <c r="D29" s="784">
        <f>'Income Statement'!R95</f>
        <v>55</v>
      </c>
      <c r="E29" s="784">
        <f>'Income Statement'!S95</f>
        <v>61</v>
      </c>
      <c r="F29" s="784">
        <f>'Income Statement'!T95</f>
        <v>58</v>
      </c>
      <c r="G29" s="784">
        <f>'Income Statement'!U95</f>
        <v>65</v>
      </c>
      <c r="H29" s="784">
        <f>'Income Statement'!V95</f>
        <v>34</v>
      </c>
      <c r="I29" s="784">
        <f>'Income Statement'!W95</f>
        <v>25</v>
      </c>
      <c r="J29" s="784">
        <f>'Income Statement'!X95</f>
        <v>33</v>
      </c>
      <c r="K29" s="784">
        <f>'Income Statement'!Y95</f>
        <v>76</v>
      </c>
      <c r="L29" s="784">
        <f>'Income Statement'!Z95</f>
        <v>92</v>
      </c>
      <c r="M29" s="784">
        <f>'Income Statement'!AA95</f>
        <v>104.74831550750601</v>
      </c>
      <c r="N29" s="784">
        <f>'Income Statement'!AB95</f>
        <v>118.34836641414142</v>
      </c>
      <c r="O29" s="784">
        <f>'Income Statement'!AC95</f>
        <v>130.22781002248468</v>
      </c>
      <c r="P29" s="784">
        <f>'Income Statement'!AD95</f>
        <v>140.35043079938782</v>
      </c>
      <c r="Q29" s="784">
        <f>'Income Statement'!AE95</f>
        <v>148.11299933226383</v>
      </c>
      <c r="R29" s="784">
        <f>'Income Statement'!AF95</f>
        <v>155.3041610691572</v>
      </c>
    </row>
    <row r="30" spans="2:18">
      <c r="B30" s="910" t="s">
        <v>1647</v>
      </c>
      <c r="C30" s="911"/>
      <c r="D30" s="911"/>
      <c r="E30" s="911"/>
      <c r="F30" s="911">
        <f>'Income Statement'!T97</f>
        <v>1283</v>
      </c>
      <c r="G30" s="911">
        <f>'Income Statement'!U97</f>
        <v>2447</v>
      </c>
      <c r="H30" s="911">
        <f>'Income Statement'!V97</f>
        <v>352</v>
      </c>
      <c r="I30" s="911">
        <f>'Income Statement'!W97</f>
        <v>43</v>
      </c>
      <c r="J30" s="911">
        <f>'Income Statement'!X97</f>
        <v>-2459</v>
      </c>
      <c r="K30" s="911">
        <f>'Income Statement'!Y97</f>
        <v>3444</v>
      </c>
      <c r="L30" s="911">
        <f>'Income Statement'!Z97</f>
        <v>-667</v>
      </c>
      <c r="M30" s="911">
        <f>'Income Statement'!AA97</f>
        <v>3402.0356353808638</v>
      </c>
      <c r="N30" s="911">
        <f>'Income Statement'!AB97</f>
        <v>4265.0744248056408</v>
      </c>
      <c r="O30" s="911">
        <f>'Income Statement'!AC97</f>
        <v>5145.0273722240772</v>
      </c>
      <c r="P30" s="911">
        <f>'Income Statement'!AD97</f>
        <v>5689.346823973915</v>
      </c>
      <c r="Q30" s="911">
        <f>'Income Statement'!AE97</f>
        <v>6097.9180072536037</v>
      </c>
      <c r="R30" s="911">
        <f>'Income Statement'!AF97</f>
        <v>6533.3896805149088</v>
      </c>
    </row>
    <row r="31" spans="2:18">
      <c r="B31" s="910" t="s">
        <v>1674</v>
      </c>
      <c r="C31" s="911"/>
      <c r="D31" s="911"/>
      <c r="E31" s="911"/>
      <c r="F31" s="911">
        <f>'Income Statement'!T98</f>
        <v>2001</v>
      </c>
      <c r="G31" s="911">
        <f>'Income Statement'!U98</f>
        <v>2667</v>
      </c>
      <c r="H31" s="911">
        <f>'Income Statement'!V98</f>
        <v>845</v>
      </c>
      <c r="I31" s="911">
        <f>'Income Statement'!W98</f>
        <v>759</v>
      </c>
      <c r="J31" s="911">
        <f>'Income Statement'!X98</f>
        <v>1182</v>
      </c>
      <c r="K31" s="911">
        <f>'Income Statement'!Y98</f>
        <v>2028</v>
      </c>
      <c r="L31" s="911">
        <f>'Income Statement'!Z98</f>
        <v>3069</v>
      </c>
      <c r="M31" s="911">
        <f>'Income Statement'!AA98</f>
        <v>3520.3855954138853</v>
      </c>
      <c r="N31" s="911">
        <f>'Income Statement'!AB98</f>
        <v>4585.5679212018795</v>
      </c>
      <c r="O31" s="911">
        <f>'Income Statement'!AC98</f>
        <v>5216.3146044165978</v>
      </c>
      <c r="P31" s="911">
        <f>'Income Statement'!AD98</f>
        <v>5768.1265166059866</v>
      </c>
      <c r="Q31" s="911">
        <f>'Income Statement'!AE98</f>
        <v>6182.3238316669258</v>
      </c>
      <c r="R31" s="911">
        <f>'Income Statement'!AF98</f>
        <v>6623.7774351309099</v>
      </c>
    </row>
    <row r="32" spans="2:18">
      <c r="B32" s="910" t="s">
        <v>873</v>
      </c>
      <c r="C32" s="912">
        <f>'Income Statement'!Q106</f>
        <v>-0.18200583462330566</v>
      </c>
      <c r="D32" s="912">
        <f>'Income Statement'!R106</f>
        <v>4.7607024277598358</v>
      </c>
      <c r="E32" s="912">
        <f>'Income Statement'!S106</f>
        <v>3.8099552121117242</v>
      </c>
      <c r="F32" s="912">
        <f>'Income Statement'!T102</f>
        <v>2.9774073725201449</v>
      </c>
      <c r="G32" s="912">
        <f>'Income Statement'!U102</f>
        <v>5.6943609760187766</v>
      </c>
      <c r="H32" s="912">
        <f>'Income Statement'!V102</f>
        <v>0.82622177803621399</v>
      </c>
      <c r="I32" s="912">
        <f>'Income Statement'!W102</f>
        <v>0.10078508652604765</v>
      </c>
      <c r="J32" s="912">
        <f>'Income Statement'!X102</f>
        <v>-5.7630922791046508</v>
      </c>
      <c r="K32" s="912">
        <f>'Income Statement'!Y102</f>
        <v>8.2432674979652472</v>
      </c>
      <c r="L32" s="912">
        <f>'Income Statement'!Z102</f>
        <v>-1.6027892666369226</v>
      </c>
      <c r="M32" s="912">
        <f>'Income Statement'!AA102</f>
        <v>8.2641315830437883</v>
      </c>
      <c r="N32" s="912">
        <f>'Income Statement'!AB102</f>
        <v>10.474766360588751</v>
      </c>
      <c r="O32" s="912">
        <f>'Income Statement'!AC102</f>
        <v>12.776665412867921</v>
      </c>
      <c r="P32" s="912">
        <f>'Income Statement'!AD102</f>
        <v>14.28756635494071</v>
      </c>
      <c r="Q32" s="912">
        <f>'Income Statement'!AE102</f>
        <v>15.313604681032388</v>
      </c>
      <c r="R32" s="912">
        <f>'Income Statement'!AF102</f>
        <v>16.407197780542557</v>
      </c>
    </row>
    <row r="33" spans="2:18">
      <c r="B33" s="910" t="s">
        <v>1567</v>
      </c>
      <c r="C33" s="912">
        <f>'Income Statement'!Q107</f>
        <v>-0.18200583462330566</v>
      </c>
      <c r="D33" s="912">
        <f>'Income Statement'!R107</f>
        <v>4.6787331146481197</v>
      </c>
      <c r="E33" s="912">
        <f>'Income Statement'!S107</f>
        <v>3.7435489526196708</v>
      </c>
      <c r="F33" s="912">
        <f>'Income Statement'!T106</f>
        <v>4.5972283748732714</v>
      </c>
      <c r="G33" s="912">
        <f>'Income Statement'!U106</f>
        <v>6.2016640789088857</v>
      </c>
      <c r="H33" s="912">
        <f>'Income Statement'!V106</f>
        <v>1.9834017114789799</v>
      </c>
      <c r="I33" s="912">
        <f>'Income Statement'!W106</f>
        <v>1.7789739691458177</v>
      </c>
      <c r="J33" s="912">
        <f>'Income Statement'!X106</f>
        <v>2.760846972259162</v>
      </c>
      <c r="K33" s="912">
        <f>'Income Statement'!Y106</f>
        <v>4.8564430178198279</v>
      </c>
      <c r="L33" s="912">
        <f>'Income Statement'!Z106</f>
        <v>7.3747530124568437</v>
      </c>
      <c r="M33" s="912">
        <f>'Income Statement'!AA106</f>
        <v>8.5516240573697857</v>
      </c>
      <c r="N33" s="912">
        <f>'Income Statement'!AB106</f>
        <v>11.261879118882948</v>
      </c>
      <c r="O33" s="912">
        <f>'Income Statement'!AC106</f>
        <v>12.953693258987919</v>
      </c>
      <c r="P33" s="912">
        <f>'Income Statement'!AD106</f>
        <v>14.485404546340749</v>
      </c>
      <c r="Q33" s="912">
        <f>'Income Statement'!AE106</f>
        <v>15.525571687854178</v>
      </c>
      <c r="R33" s="912">
        <f>'Income Statement'!AF106</f>
        <v>16.634187113713171</v>
      </c>
    </row>
    <row r="34" spans="2:18">
      <c r="C34" s="784"/>
      <c r="D34" s="784"/>
      <c r="E34" s="784"/>
      <c r="F34" s="784"/>
      <c r="G34" s="784"/>
      <c r="H34" s="784"/>
      <c r="I34" s="784"/>
      <c r="J34" s="784"/>
      <c r="K34" s="784"/>
      <c r="L34" s="784"/>
      <c r="M34" s="784"/>
      <c r="N34" s="784"/>
      <c r="O34" s="784"/>
      <c r="P34" s="784"/>
      <c r="Q34" s="784"/>
      <c r="R34" s="784"/>
    </row>
    <row r="35" spans="2:18">
      <c r="B35" s="782" t="s">
        <v>963</v>
      </c>
      <c r="C35" s="784">
        <f>'Income Statement'!Q116</f>
        <v>417569.03100000002</v>
      </c>
      <c r="D35" s="784">
        <f>'Income Statement'!R116</f>
        <v>416325.11800000002</v>
      </c>
      <c r="E35" s="784">
        <f>'Income Statement'!S116</f>
        <v>410241.04300000001</v>
      </c>
      <c r="F35" s="784">
        <f>'Income Statement'!T116</f>
        <v>430911.81</v>
      </c>
      <c r="G35" s="784">
        <f>'Income Statement'!U116</f>
        <v>429723.37199999997</v>
      </c>
      <c r="H35" s="784">
        <f>'Income Statement'!V116</f>
        <v>426035.73200000002</v>
      </c>
      <c r="I35" s="784">
        <f>'Income Statement'!W116</f>
        <v>426650.42499999999</v>
      </c>
      <c r="J35" s="784">
        <f>'Income Statement'!X116</f>
        <v>426680.65700000001</v>
      </c>
      <c r="K35" s="784">
        <f>'Income Statement'!Y116</f>
        <v>417795.49200000003</v>
      </c>
      <c r="L35" s="784">
        <f>'Income Statement'!Z116</f>
        <v>416149.53</v>
      </c>
      <c r="M35" s="784">
        <f>'Income Statement'!AA116</f>
        <v>411662.81068916013</v>
      </c>
      <c r="N35" s="784">
        <f>'Income Statement'!AB116</f>
        <v>407176.09137832024</v>
      </c>
      <c r="O35" s="784">
        <f>'Income Statement'!AC116</f>
        <v>402689.37206748035</v>
      </c>
      <c r="P35" s="784">
        <f>'Income Statement'!AD116</f>
        <v>398202.65275664045</v>
      </c>
      <c r="Q35" s="784">
        <f>'Income Statement'!AE116</f>
        <v>398202.65275664045</v>
      </c>
      <c r="R35" s="784">
        <f>'Income Statement'!AF116</f>
        <v>398202.65275664045</v>
      </c>
    </row>
    <row r="36" spans="2:18">
      <c r="B36" s="783" t="s">
        <v>964</v>
      </c>
      <c r="C36" s="909">
        <f>'Income Statement'!Q117</f>
        <v>417569.03100000002</v>
      </c>
      <c r="D36" s="909">
        <f>'Income Statement'!R117</f>
        <v>423618.94799999997</v>
      </c>
      <c r="E36" s="909">
        <f>'Income Statement'!S117</f>
        <v>417518.24800000002</v>
      </c>
      <c r="F36" s="909">
        <f>'Income Statement'!T117</f>
        <v>436335.63099999999</v>
      </c>
      <c r="G36" s="909">
        <f>'Income Statement'!U117</f>
        <v>434976.73300000001</v>
      </c>
      <c r="H36" s="909">
        <f>'Income Statement'!V117</f>
        <v>440460.495</v>
      </c>
      <c r="I36" s="909">
        <f>'Income Statement'!W117</f>
        <v>440087.02899999998</v>
      </c>
      <c r="J36" s="909">
        <f>'Income Statement'!X117</f>
        <v>440159.929</v>
      </c>
      <c r="K36" s="909">
        <f>'Income Statement'!Y117</f>
        <v>431373.56099999999</v>
      </c>
      <c r="L36" s="909">
        <f>'Income Statement'!Z117</f>
        <v>420722.353</v>
      </c>
      <c r="M36" s="909">
        <f>'Income Statement'!AA117</f>
        <v>416235.63368916011</v>
      </c>
      <c r="N36" s="909">
        <f>'Income Statement'!AB117</f>
        <v>411748.91437832022</v>
      </c>
      <c r="O36" s="909">
        <f>'Income Statement'!AC117</f>
        <v>407262.19506748032</v>
      </c>
      <c r="P36" s="909">
        <f>'Income Statement'!AD117</f>
        <v>402775.47575664043</v>
      </c>
      <c r="Q36" s="909">
        <f>'Income Statement'!AE117</f>
        <v>402775.47575664043</v>
      </c>
      <c r="R36" s="909">
        <f>'Income Statement'!AF117</f>
        <v>402775.47575664043</v>
      </c>
    </row>
    <row r="37" spans="2:18">
      <c r="B37" s="782" t="s">
        <v>267</v>
      </c>
      <c r="C37" s="913">
        <f>'Income Statement'!Q109</f>
        <v>1.38</v>
      </c>
      <c r="D37" s="913">
        <f>'Income Statement'!R109</f>
        <v>1.52</v>
      </c>
      <c r="E37" s="913">
        <f>'Income Statement'!S109</f>
        <v>1.6</v>
      </c>
      <c r="F37" s="913">
        <f>'Income Statement'!T109</f>
        <v>1.82</v>
      </c>
      <c r="G37" s="913">
        <f>'Income Statement'!U109</f>
        <v>0</v>
      </c>
      <c r="H37" s="913">
        <f>'Income Statement'!V109</f>
        <v>0.43</v>
      </c>
      <c r="I37" s="913">
        <f>'Income Statement'!W109</f>
        <v>0.5</v>
      </c>
      <c r="J37" s="913">
        <f>'Income Statement'!X109</f>
        <v>1.35</v>
      </c>
      <c r="K37" s="913">
        <f>'Income Statement'!Y109</f>
        <v>2.2000000000000002</v>
      </c>
      <c r="L37" s="913">
        <f>'Income Statement'!Z109</f>
        <v>2.9</v>
      </c>
      <c r="M37" s="913">
        <f>'Income Statement'!AA109</f>
        <v>3.4206496229479146</v>
      </c>
      <c r="N37" s="913">
        <f>'Income Statement'!AB109</f>
        <v>4.448442251958765</v>
      </c>
      <c r="O37" s="913">
        <f>'Income Statement'!AC109</f>
        <v>5.1167088373002283</v>
      </c>
      <c r="P37" s="913">
        <f>'Income Statement'!AD109</f>
        <v>5.7217347958045961</v>
      </c>
      <c r="Q37" s="913">
        <f>'Income Statement'!AE109</f>
        <v>6.1326008167024009</v>
      </c>
      <c r="R37" s="913">
        <f>'Income Statement'!AF109</f>
        <v>6.5705039099167033</v>
      </c>
    </row>
    <row r="38" spans="2:18" collapsed="1">
      <c r="B38" s="782" t="s">
        <v>996</v>
      </c>
      <c r="C38" s="914">
        <f>'Income Statement'!Q110</f>
        <v>-0.55783665322362053</v>
      </c>
      <c r="D38" s="914">
        <f>'Income Statement'!R110</f>
        <v>-0.85515429643243257</v>
      </c>
      <c r="E38" s="914">
        <f>'Income Statement'!S110</f>
        <v>-0.92972474334277622</v>
      </c>
      <c r="F38" s="914">
        <f>'Income Statement'!T110</f>
        <v>0.3958907088339223</v>
      </c>
      <c r="G38" s="914">
        <f>'Income Statement'!U110</f>
        <v>0</v>
      </c>
      <c r="H38" s="914">
        <f>'Income Statement'!V110</f>
        <v>0.21705611938388628</v>
      </c>
      <c r="I38" s="914">
        <f>'Income Statement'!W110</f>
        <v>0.28069106907894736</v>
      </c>
      <c r="J38" s="914">
        <f>'Income Statement'!X110</f>
        <v>0.48898037941426148</v>
      </c>
      <c r="K38" s="914">
        <f>'Income Statement'!Y110</f>
        <v>0.45322982366863912</v>
      </c>
      <c r="L38" s="914">
        <f>'Income Statement'!Z110</f>
        <v>0.39336168089960888</v>
      </c>
      <c r="M38" s="914">
        <f>'Income Statement'!AA110</f>
        <v>0.4</v>
      </c>
      <c r="N38" s="914">
        <f>'Income Statement'!AB110</f>
        <v>0.39500000000000002</v>
      </c>
      <c r="O38" s="914">
        <f>'Income Statement'!AC110</f>
        <v>0.39500000000000002</v>
      </c>
      <c r="P38" s="914">
        <f>'Income Statement'!AD110</f>
        <v>0.39500000000000002</v>
      </c>
      <c r="Q38" s="914">
        <f>'Income Statement'!AE110</f>
        <v>0.39500000000000002</v>
      </c>
      <c r="R38" s="914">
        <f>'Income Statement'!AF110</f>
        <v>0.39500000000000002</v>
      </c>
    </row>
    <row r="39" spans="2:18">
      <c r="C39" s="914"/>
      <c r="D39" s="914"/>
      <c r="E39" s="914"/>
      <c r="F39" s="914"/>
      <c r="G39" s="914"/>
      <c r="H39" s="914"/>
      <c r="I39" s="914"/>
      <c r="J39" s="914"/>
      <c r="K39" s="914"/>
      <c r="L39" s="914"/>
      <c r="M39" s="914"/>
      <c r="N39" s="914"/>
      <c r="O39" s="914"/>
      <c r="P39" s="914"/>
      <c r="Q39" s="914"/>
      <c r="R39" s="914"/>
    </row>
    <row r="40" spans="2:18" ht="12.75">
      <c r="B40" s="907" t="s">
        <v>997</v>
      </c>
      <c r="C40" s="908">
        <f t="shared" ref="C40:R40" si="4">C2</f>
        <v>2015</v>
      </c>
      <c r="D40" s="908" t="str">
        <f t="shared" si="4"/>
        <v>2016E</v>
      </c>
      <c r="E40" s="908">
        <f t="shared" si="4"/>
        <v>2017</v>
      </c>
      <c r="F40" s="1144">
        <f t="shared" si="4"/>
        <v>2018</v>
      </c>
      <c r="G40" s="1144">
        <f t="shared" si="4"/>
        <v>2019</v>
      </c>
      <c r="H40" s="1144">
        <f t="shared" si="4"/>
        <v>2020</v>
      </c>
      <c r="I40" s="1144">
        <f t="shared" si="4"/>
        <v>2021</v>
      </c>
      <c r="J40" s="1144">
        <f t="shared" si="4"/>
        <v>2022</v>
      </c>
      <c r="K40" s="1144">
        <f t="shared" si="4"/>
        <v>2023</v>
      </c>
      <c r="L40" s="1144">
        <f t="shared" si="4"/>
        <v>2024</v>
      </c>
      <c r="M40" s="1056">
        <f t="shared" si="4"/>
        <v>2025</v>
      </c>
      <c r="N40" s="1056">
        <f t="shared" si="4"/>
        <v>2026</v>
      </c>
      <c r="O40" s="1056">
        <f t="shared" si="4"/>
        <v>2027</v>
      </c>
      <c r="P40" s="1056">
        <f t="shared" si="4"/>
        <v>2028</v>
      </c>
      <c r="Q40" s="1056">
        <f t="shared" si="4"/>
        <v>2029</v>
      </c>
      <c r="R40" s="1056">
        <f t="shared" si="4"/>
        <v>2030</v>
      </c>
    </row>
    <row r="41" spans="2:18" s="783" customFormat="1">
      <c r="B41" s="783" t="str">
        <f>'Cashflow Statement'!A4</f>
        <v>Reported Net Income</v>
      </c>
      <c r="C41" s="909">
        <f>'Cashflow Statement'!Q4</f>
        <v>-424</v>
      </c>
      <c r="D41" s="909">
        <f>'Cashflow Statement'!R4</f>
        <v>1908</v>
      </c>
      <c r="E41" s="909">
        <f>'Cashflow Statement'!S4</f>
        <v>4550</v>
      </c>
      <c r="F41" s="909">
        <f>'Cashflow Statement'!T4</f>
        <v>1283</v>
      </c>
      <c r="G41" s="909">
        <f>'Cashflow Statement'!U4</f>
        <v>2447</v>
      </c>
      <c r="H41" s="909">
        <f>'Cashflow Statement'!V4</f>
        <v>352</v>
      </c>
      <c r="I41" s="909">
        <f>'Cashflow Statement'!W4</f>
        <v>43</v>
      </c>
      <c r="J41" s="909">
        <f>'Cashflow Statement'!X4</f>
        <v>-2459</v>
      </c>
      <c r="K41" s="909">
        <f>'Cashflow Statement'!Y4</f>
        <v>3444</v>
      </c>
      <c r="L41" s="909">
        <f>'Cashflow Statement'!Z4</f>
        <v>-667</v>
      </c>
      <c r="M41" s="909">
        <f>'Cashflow Statement'!AA4</f>
        <v>3402.0356353808638</v>
      </c>
      <c r="N41" s="909">
        <f>'Cashflow Statement'!AB4</f>
        <v>4265.0744248056408</v>
      </c>
      <c r="O41" s="909">
        <f>'Cashflow Statement'!AC4</f>
        <v>5145.0273722240772</v>
      </c>
      <c r="P41" s="909">
        <f>'Cashflow Statement'!AD4</f>
        <v>5689.346823973915</v>
      </c>
      <c r="Q41" s="909">
        <f>'Cashflow Statement'!AE4</f>
        <v>6097.9180072536037</v>
      </c>
      <c r="R41" s="909">
        <f>'Cashflow Statement'!AF4</f>
        <v>6533.3896805149088</v>
      </c>
    </row>
    <row r="42" spans="2:18">
      <c r="B42" s="782" t="str">
        <f>'Cashflow Statement'!A5</f>
        <v>Depreciation</v>
      </c>
      <c r="C42" s="784">
        <f>'Cashflow Statement'!Q5</f>
        <v>331.54767726161367</v>
      </c>
      <c r="D42" s="784">
        <f>'Cashflow Statement'!R5</f>
        <v>324.83618581907086</v>
      </c>
      <c r="E42" s="784">
        <f>'Cashflow Statement'!S5</f>
        <v>352.57701711491438</v>
      </c>
      <c r="F42" s="784">
        <f>'Cashflow Statement'!T5</f>
        <v>540.94621026894856</v>
      </c>
      <c r="G42" s="784">
        <f>'Cashflow Statement'!U5</f>
        <v>654.59413202933968</v>
      </c>
      <c r="H42" s="784">
        <f>'Cashflow Statement'!V5</f>
        <v>647.4352078239607</v>
      </c>
      <c r="I42" s="784">
        <f>'Cashflow Statement'!W5</f>
        <v>617.45721271393631</v>
      </c>
      <c r="J42" s="784">
        <f>'Cashflow Statement'!X5</f>
        <v>614.32518337408294</v>
      </c>
      <c r="K42" s="784">
        <f>'Cashflow Statement'!Y5</f>
        <v>597.77017114914406</v>
      </c>
      <c r="L42" s="784">
        <f>'Cashflow Statement'!Z5</f>
        <v>629.09046454767702</v>
      </c>
      <c r="M42" s="784">
        <f>'Cashflow Statement'!AA5</f>
        <v>716.26267894786508</v>
      </c>
      <c r="N42" s="784">
        <f>'Cashflow Statement'!AB5</f>
        <v>809.25900876011872</v>
      </c>
      <c r="O42" s="784">
        <f>'Cashflow Statement'!AC5</f>
        <v>890.48992939208165</v>
      </c>
      <c r="P42" s="784">
        <f>'Cashflow Statement'!AD5</f>
        <v>959.7078012071031</v>
      </c>
      <c r="Q42" s="784">
        <f>'Cashflow Statement'!AE5</f>
        <v>1012.7877777769959</v>
      </c>
      <c r="R42" s="784">
        <f>'Cashflow Statement'!AF5</f>
        <v>1061.9605090563409</v>
      </c>
    </row>
    <row r="43" spans="2:18">
      <c r="B43" s="782" t="str">
        <f>'Cashflow Statement'!A7</f>
        <v>Amortisation</v>
      </c>
      <c r="C43" s="784">
        <f>'Cashflow Statement'!Q7</f>
        <v>409.45232273838633</v>
      </c>
      <c r="D43" s="784">
        <f>'Cashflow Statement'!R7</f>
        <v>401.16381418092914</v>
      </c>
      <c r="E43" s="784">
        <f>'Cashflow Statement'!S7</f>
        <v>435.42298288508562</v>
      </c>
      <c r="F43" s="784">
        <f>'Cashflow Statement'!T7</f>
        <v>668.05378973105144</v>
      </c>
      <c r="G43" s="784">
        <f>'Cashflow Statement'!U7</f>
        <v>808.40586797066032</v>
      </c>
      <c r="H43" s="784">
        <f>'Cashflow Statement'!V7</f>
        <v>799.5647921760393</v>
      </c>
      <c r="I43" s="784">
        <f>'Cashflow Statement'!W7</f>
        <v>762.54278728606369</v>
      </c>
      <c r="J43" s="784">
        <f>'Cashflow Statement'!X7</f>
        <v>758.67481662591706</v>
      </c>
      <c r="K43" s="784">
        <f>'Cashflow Statement'!Y7</f>
        <v>738.22982885085594</v>
      </c>
      <c r="L43" s="784">
        <f>'Cashflow Statement'!Z7</f>
        <v>776.90953545232298</v>
      </c>
      <c r="M43" s="784">
        <f>'Cashflow Statement'!AA7</f>
        <v>884.56483848206358</v>
      </c>
      <c r="N43" s="784">
        <f>'Cashflow Statement'!AB7</f>
        <v>1069.6119533264164</v>
      </c>
      <c r="O43" s="784">
        <f>'Cashflow Statement'!AC7</f>
        <v>1098.5112120905346</v>
      </c>
      <c r="P43" s="784">
        <f>'Cashflow Statement'!AD7</f>
        <v>1183.8985991413404</v>
      </c>
      <c r="Q43" s="784">
        <f>'Cashflow Statement'!AE7</f>
        <v>1249.3782272370072</v>
      </c>
      <c r="R43" s="784">
        <f>'Cashflow Statement'!AF7</f>
        <v>1310.0378651021447</v>
      </c>
    </row>
    <row r="44" spans="2:18">
      <c r="B44" s="782" t="str">
        <f>'Cashflow Statement'!A9</f>
        <v>Impairment</v>
      </c>
      <c r="C44" s="784">
        <f>'Cashflow Statement'!Q9</f>
        <v>1004</v>
      </c>
      <c r="D44" s="784">
        <f>'Cashflow Statement'!R9</f>
        <v>243</v>
      </c>
      <c r="E44" s="784">
        <f>'Cashflow Statement'!S9</f>
        <v>60</v>
      </c>
      <c r="F44" s="784">
        <f>'Cashflow Statement'!T9</f>
        <v>-19</v>
      </c>
      <c r="G44" s="784">
        <f>'Cashflow Statement'!U9</f>
        <v>-42</v>
      </c>
      <c r="H44" s="784">
        <f>'Cashflow Statement'!V9</f>
        <v>377</v>
      </c>
      <c r="I44" s="784">
        <f>'Cashflow Statement'!W9</f>
        <v>91</v>
      </c>
      <c r="J44" s="784">
        <f>'Cashflow Statement'!X9</f>
        <v>411</v>
      </c>
      <c r="K44" s="784">
        <f>'Cashflow Statement'!Y9</f>
        <v>148</v>
      </c>
      <c r="L44" s="784">
        <f>'Cashflow Statement'!Z9</f>
        <v>0</v>
      </c>
      <c r="M44" s="784">
        <f>'Cashflow Statement'!AA9</f>
        <v>0</v>
      </c>
      <c r="N44" s="784">
        <f>'Cashflow Statement'!AB9</f>
        <v>0</v>
      </c>
      <c r="O44" s="784">
        <f>'Cashflow Statement'!AC9</f>
        <v>0</v>
      </c>
      <c r="P44" s="784">
        <f>'Cashflow Statement'!AD9</f>
        <v>0</v>
      </c>
      <c r="Q44" s="784">
        <f>'Cashflow Statement'!AE9</f>
        <v>0</v>
      </c>
      <c r="R44" s="784">
        <f>'Cashflow Statement'!AF9</f>
        <v>0</v>
      </c>
    </row>
    <row r="45" spans="2:18">
      <c r="B45" s="782" t="str">
        <f>'Cashflow Statement'!A10</f>
        <v>Change in Provisions</v>
      </c>
      <c r="C45" s="784">
        <f>'Cashflow Statement'!Q10</f>
        <v>114</v>
      </c>
      <c r="D45" s="784">
        <f>'Cashflow Statement'!R10</f>
        <v>-42</v>
      </c>
      <c r="E45" s="784">
        <f>'Cashflow Statement'!S10</f>
        <v>178</v>
      </c>
      <c r="F45" s="784">
        <f>'Cashflow Statement'!T10</f>
        <v>45</v>
      </c>
      <c r="G45" s="784">
        <f>'Cashflow Statement'!U10</f>
        <v>168</v>
      </c>
      <c r="H45" s="784">
        <f>'Cashflow Statement'!V10</f>
        <v>-259</v>
      </c>
      <c r="I45" s="784">
        <f>'Cashflow Statement'!W10</f>
        <v>171</v>
      </c>
      <c r="J45" s="784">
        <f>'Cashflow Statement'!X10</f>
        <v>-169</v>
      </c>
      <c r="K45" s="784">
        <f>'Cashflow Statement'!Y10</f>
        <v>-51</v>
      </c>
      <c r="L45" s="784">
        <f>'Cashflow Statement'!Z10</f>
        <v>285</v>
      </c>
      <c r="M45" s="784">
        <f>'Cashflow Statement'!AA10</f>
        <v>100</v>
      </c>
      <c r="N45" s="784">
        <f>'Cashflow Statement'!AB10</f>
        <v>100</v>
      </c>
      <c r="O45" s="784">
        <f>'Cashflow Statement'!AC10</f>
        <v>100</v>
      </c>
      <c r="P45" s="784">
        <f>'Cashflow Statement'!AD10</f>
        <v>100</v>
      </c>
      <c r="Q45" s="784">
        <f>'Cashflow Statement'!AE10</f>
        <v>100</v>
      </c>
      <c r="R45" s="784">
        <f>'Cashflow Statement'!AF10</f>
        <v>100</v>
      </c>
    </row>
    <row r="46" spans="2:18">
      <c r="B46" s="782" t="str">
        <f>'Cashflow Statement'!A11</f>
        <v>Share of profit in associates (net of dividends received)</v>
      </c>
      <c r="C46" s="784">
        <f>'Cashflow Statement'!Q11</f>
        <v>-20</v>
      </c>
      <c r="D46" s="784">
        <f>'Cashflow Statement'!R11</f>
        <v>-63</v>
      </c>
      <c r="E46" s="784">
        <f>'Cashflow Statement'!S11</f>
        <v>-100</v>
      </c>
      <c r="F46" s="784">
        <f>'Cashflow Statement'!T11</f>
        <v>-124</v>
      </c>
      <c r="G46" s="784">
        <f>'Cashflow Statement'!U11</f>
        <v>-87</v>
      </c>
      <c r="H46" s="784">
        <f>'Cashflow Statement'!V11</f>
        <v>22</v>
      </c>
      <c r="I46" s="784">
        <f>'Cashflow Statement'!W11</f>
        <v>702</v>
      </c>
      <c r="J46" s="784">
        <f>'Cashflow Statement'!X11</f>
        <v>11</v>
      </c>
      <c r="K46" s="784">
        <f>'Cashflow Statement'!Y11</f>
        <v>-83</v>
      </c>
      <c r="L46" s="784">
        <f>'Cashflow Statement'!Z11</f>
        <v>-120</v>
      </c>
      <c r="M46" s="784">
        <f>'Cashflow Statement'!AA11</f>
        <v>0</v>
      </c>
      <c r="N46" s="784">
        <f>'Cashflow Statement'!AB11</f>
        <v>0</v>
      </c>
      <c r="O46" s="784">
        <f>'Cashflow Statement'!AC11</f>
        <v>0</v>
      </c>
      <c r="P46" s="784">
        <f>'Cashflow Statement'!AD11</f>
        <v>0</v>
      </c>
      <c r="Q46" s="784">
        <f>'Cashflow Statement'!AE11</f>
        <v>0</v>
      </c>
      <c r="R46" s="784">
        <f>'Cashflow Statement'!AF11</f>
        <v>0</v>
      </c>
    </row>
    <row r="47" spans="2:18">
      <c r="B47" s="782" t="str">
        <f>'Cashflow Statement'!A12</f>
        <v>Change in fair value of derivatives</v>
      </c>
      <c r="C47" s="784">
        <f>'Cashflow Statement'!Q12</f>
        <v>2475</v>
      </c>
      <c r="D47" s="784">
        <f>'Cashflow Statement'!R12</f>
        <v>81</v>
      </c>
      <c r="E47" s="784">
        <f>'Cashflow Statement'!S12</f>
        <v>-3608</v>
      </c>
      <c r="F47" s="784">
        <f>'Cashflow Statement'!T12</f>
        <v>316</v>
      </c>
      <c r="G47" s="784">
        <f>'Cashflow Statement'!U12</f>
        <v>-152</v>
      </c>
      <c r="H47" s="784">
        <f>'Cashflow Statement'!V12</f>
        <v>209</v>
      </c>
      <c r="I47" s="784">
        <f>'Cashflow Statement'!W12</f>
        <v>538</v>
      </c>
      <c r="J47" s="784">
        <f>'Cashflow Statement'!X12</f>
        <v>4207</v>
      </c>
      <c r="K47" s="784">
        <f>'Cashflow Statement'!Y12</f>
        <v>-2161</v>
      </c>
      <c r="L47" s="784">
        <f>'Cashflow Statement'!Z12</f>
        <v>4684</v>
      </c>
      <c r="M47" s="784">
        <f>'Cashflow Statement'!AA12</f>
        <v>0</v>
      </c>
      <c r="N47" s="784">
        <f>'Cashflow Statement'!AB12</f>
        <v>0</v>
      </c>
      <c r="O47" s="784">
        <f>'Cashflow Statement'!AC12</f>
        <v>0</v>
      </c>
      <c r="P47" s="784">
        <f>'Cashflow Statement'!AD12</f>
        <v>0</v>
      </c>
      <c r="Q47" s="784">
        <f>'Cashflow Statement'!AE12</f>
        <v>0</v>
      </c>
      <c r="R47" s="784">
        <f>'Cashflow Statement'!AF12</f>
        <v>0</v>
      </c>
    </row>
    <row r="48" spans="2:18">
      <c r="B48" s="782" t="str">
        <f>'Cashflow Statement'!A13</f>
        <v>Capital gains on asset disposals</v>
      </c>
      <c r="C48" s="784">
        <f>'Cashflow Statement'!Q13</f>
        <v>-453</v>
      </c>
      <c r="D48" s="784">
        <f>'Cashflow Statement'!R13</f>
        <v>-364</v>
      </c>
      <c r="E48" s="784">
        <f>'Cashflow Statement'!S13</f>
        <v>-20</v>
      </c>
      <c r="F48" s="784">
        <f>'Cashflow Statement'!T13</f>
        <v>12</v>
      </c>
      <c r="G48" s="784">
        <f>'Cashflow Statement'!U13</f>
        <v>-41</v>
      </c>
      <c r="H48" s="784">
        <f>'Cashflow Statement'!V13</f>
        <v>20</v>
      </c>
      <c r="I48" s="784">
        <f>'Cashflow Statement'!W13</f>
        <v>-57</v>
      </c>
      <c r="J48" s="784">
        <f>'Cashflow Statement'!X13</f>
        <v>289</v>
      </c>
      <c r="K48" s="784">
        <f>'Cashflow Statement'!Y13</f>
        <v>344</v>
      </c>
      <c r="L48" s="784">
        <f>'Cashflow Statement'!Z13</f>
        <v>-47</v>
      </c>
      <c r="M48" s="784">
        <f>'Cashflow Statement'!AA13</f>
        <v>0</v>
      </c>
      <c r="N48" s="784">
        <f>'Cashflow Statement'!AB13</f>
        <v>0</v>
      </c>
      <c r="O48" s="784">
        <f>'Cashflow Statement'!AC13</f>
        <v>0</v>
      </c>
      <c r="P48" s="784">
        <f>'Cashflow Statement'!AD13</f>
        <v>0</v>
      </c>
      <c r="Q48" s="784">
        <f>'Cashflow Statement'!AE13</f>
        <v>0</v>
      </c>
      <c r="R48" s="784">
        <f>'Cashflow Statement'!AF13</f>
        <v>0</v>
      </c>
    </row>
    <row r="49" spans="2:18">
      <c r="B49" s="782" t="str">
        <f>'Cashflow Statement'!A15</f>
        <v>Profit attributable to non-controlling interests</v>
      </c>
      <c r="C49" s="784">
        <f>'Cashflow Statement'!Q15</f>
        <v>47</v>
      </c>
      <c r="D49" s="784">
        <f>'Cashflow Statement'!R15</f>
        <v>55</v>
      </c>
      <c r="E49" s="784">
        <f>'Cashflow Statement'!S15</f>
        <v>60</v>
      </c>
      <c r="F49" s="784">
        <f>'Cashflow Statement'!T15</f>
        <v>58</v>
      </c>
      <c r="G49" s="784">
        <f>'Cashflow Statement'!U15</f>
        <v>65</v>
      </c>
      <c r="H49" s="784">
        <f>'Cashflow Statement'!V15</f>
        <v>34</v>
      </c>
      <c r="I49" s="784">
        <f>'Cashflow Statement'!W15</f>
        <v>25</v>
      </c>
      <c r="J49" s="784">
        <f>'Cashflow Statement'!X15</f>
        <v>33</v>
      </c>
      <c r="K49" s="784">
        <f>'Cashflow Statement'!Y15</f>
        <v>76</v>
      </c>
      <c r="L49" s="784">
        <f>'Cashflow Statement'!Z15</f>
        <v>92</v>
      </c>
      <c r="M49" s="784">
        <f>'Cashflow Statement'!AA15</f>
        <v>104.74831550750601</v>
      </c>
      <c r="N49" s="784">
        <f>'Cashflow Statement'!AB15</f>
        <v>118.34836641414142</v>
      </c>
      <c r="O49" s="784">
        <f>'Cashflow Statement'!AC15</f>
        <v>130.22781002248468</v>
      </c>
      <c r="P49" s="784">
        <f>'Cashflow Statement'!AD15</f>
        <v>140.35043079938782</v>
      </c>
      <c r="Q49" s="784">
        <f>'Cashflow Statement'!AE15</f>
        <v>148.11299933226383</v>
      </c>
      <c r="R49" s="784">
        <f>'Cashflow Statement'!AF15</f>
        <v>155.3041610691572</v>
      </c>
    </row>
    <row r="50" spans="2:18">
      <c r="B50" s="782" t="str">
        <f>'Cashflow Statement'!A16</f>
        <v>Co-detailed Other</v>
      </c>
      <c r="C50" s="784">
        <f>'Cashflow Statement'!Q16</f>
        <v>-821</v>
      </c>
      <c r="D50" s="784">
        <f>'Cashflow Statement'!R16</f>
        <v>217</v>
      </c>
      <c r="E50" s="784">
        <f>'Cashflow Statement'!S16</f>
        <v>1150</v>
      </c>
      <c r="F50" s="784">
        <f>'Cashflow Statement'!T16</f>
        <v>318</v>
      </c>
      <c r="G50" s="784">
        <f>'Cashflow Statement'!U16</f>
        <v>221</v>
      </c>
      <c r="H50" s="784">
        <f>'Cashflow Statement'!V16</f>
        <v>-328</v>
      </c>
      <c r="I50" s="784">
        <f>'Cashflow Statement'!W16</f>
        <v>-707</v>
      </c>
      <c r="J50" s="784">
        <f>'Cashflow Statement'!X16</f>
        <v>-880</v>
      </c>
      <c r="K50" s="784">
        <f>'Cashflow Statement'!Y16</f>
        <v>459</v>
      </c>
      <c r="L50" s="784">
        <f>'Cashflow Statement'!Z16</f>
        <v>-907</v>
      </c>
      <c r="M50" s="784">
        <f>'Cashflow Statement'!AA16</f>
        <v>0</v>
      </c>
      <c r="N50" s="784">
        <f>'Cashflow Statement'!AB16</f>
        <v>0</v>
      </c>
      <c r="O50" s="784">
        <f>'Cashflow Statement'!AC16</f>
        <v>0</v>
      </c>
      <c r="P50" s="784">
        <f>'Cashflow Statement'!AD16</f>
        <v>0</v>
      </c>
      <c r="Q50" s="784">
        <f>'Cashflow Statement'!AE16</f>
        <v>0</v>
      </c>
      <c r="R50" s="784">
        <f>'Cashflow Statement'!AF16</f>
        <v>0</v>
      </c>
    </row>
    <row r="51" spans="2:18">
      <c r="B51" s="782" t="str">
        <f>'Cashflow Statement'!A18</f>
        <v>Change in Inventory and Work in Progress</v>
      </c>
      <c r="C51" s="784">
        <f>'Cashflow Statement'!Q18</f>
        <v>-280</v>
      </c>
      <c r="D51" s="784">
        <f>'Cashflow Statement'!R18</f>
        <v>-347</v>
      </c>
      <c r="E51" s="784">
        <f>'Cashflow Statement'!S18</f>
        <v>-280</v>
      </c>
      <c r="F51" s="784">
        <f>'Cashflow Statement'!T18</f>
        <v>-393</v>
      </c>
      <c r="G51" s="784">
        <f>'Cashflow Statement'!U18</f>
        <v>-590</v>
      </c>
      <c r="H51" s="784">
        <f>'Cashflow Statement'!V18</f>
        <v>1016</v>
      </c>
      <c r="I51" s="784">
        <f>'Cashflow Statement'!W18</f>
        <v>296</v>
      </c>
      <c r="J51" s="784">
        <f>'Cashflow Statement'!X18</f>
        <v>-1545</v>
      </c>
      <c r="K51" s="784">
        <f>'Cashflow Statement'!Y18</f>
        <v>-1494</v>
      </c>
      <c r="L51" s="784">
        <f>'Cashflow Statement'!Z18</f>
        <v>-1452</v>
      </c>
      <c r="M51" s="784">
        <f>'Cashflow Statement'!AA18</f>
        <v>-665.1571042870255</v>
      </c>
      <c r="N51" s="784">
        <f>'Cashflow Statement'!AB18</f>
        <v>-137.40176463657735</v>
      </c>
      <c r="O51" s="784">
        <f>'Cashflow Statement'!AC18</f>
        <v>-847.55050071886217</v>
      </c>
      <c r="P51" s="784">
        <f>'Cashflow Statement'!AD18</f>
        <v>-865.99955234923618</v>
      </c>
      <c r="Q51" s="784">
        <f>'Cashflow Statement'!AE18</f>
        <v>-804.88605777045632</v>
      </c>
      <c r="R51" s="784">
        <f>'Cashflow Statement'!AF18</f>
        <v>-695.85961081157802</v>
      </c>
    </row>
    <row r="52" spans="2:18">
      <c r="B52" s="782" t="str">
        <f>'Cashflow Statement'!A19</f>
        <v>Change in operating receivables and payables</v>
      </c>
      <c r="C52" s="784">
        <f>'Cashflow Statement'!Q19</f>
        <v>210</v>
      </c>
      <c r="D52" s="784">
        <f>'Cashflow Statement'!R19</f>
        <v>219</v>
      </c>
      <c r="E52" s="784">
        <f>'Cashflow Statement'!S19</f>
        <v>890</v>
      </c>
      <c r="F52" s="784">
        <f>'Cashflow Statement'!T19</f>
        <v>-280</v>
      </c>
      <c r="G52" s="784">
        <f>'Cashflow Statement'!U19</f>
        <v>-563</v>
      </c>
      <c r="H52" s="784">
        <f>'Cashflow Statement'!V19</f>
        <v>41</v>
      </c>
      <c r="I52" s="784">
        <f>'Cashflow Statement'!W19</f>
        <v>-53</v>
      </c>
      <c r="J52" s="784">
        <f>'Cashflow Statement'!X19</f>
        <v>-81</v>
      </c>
      <c r="K52" s="784">
        <f>'Cashflow Statement'!Y19</f>
        <v>478</v>
      </c>
      <c r="L52" s="784">
        <f>'Cashflow Statement'!Z19</f>
        <v>549</v>
      </c>
      <c r="M52" s="784">
        <f>'Cashflow Statement'!AA19</f>
        <v>868.55949305465219</v>
      </c>
      <c r="N52" s="784">
        <f>'Cashflow Statement'!AB19</f>
        <v>391.72275675487799</v>
      </c>
      <c r="O52" s="784">
        <f>'Cashflow Statement'!AC19</f>
        <v>743.04259067142812</v>
      </c>
      <c r="P52" s="784">
        <f>'Cashflow Statement'!AD19</f>
        <v>411.82629619360523</v>
      </c>
      <c r="Q52" s="784">
        <f>'Cashflow Statement'!AE19</f>
        <v>161.38638013637319</v>
      </c>
      <c r="R52" s="784">
        <f>'Cashflow Statement'!AF19</f>
        <v>-207.54289407698343</v>
      </c>
    </row>
    <row r="53" spans="2:18">
      <c r="B53" s="782" t="str">
        <f>'Cashflow Statement'!A20</f>
        <v>Change in contract assets and liabilities</v>
      </c>
      <c r="C53" s="784">
        <f>'Cashflow Statement'!Q20</f>
        <v>0</v>
      </c>
      <c r="D53" s="784">
        <f>'Cashflow Statement'!R20</f>
        <v>0</v>
      </c>
      <c r="E53" s="784">
        <f>'Cashflow Statement'!S20</f>
        <v>96</v>
      </c>
      <c r="F53" s="784">
        <f>'Cashflow Statement'!T20</f>
        <v>748</v>
      </c>
      <c r="G53" s="784">
        <f>'Cashflow Statement'!U20</f>
        <v>229</v>
      </c>
      <c r="H53" s="784">
        <f>'Cashflow Statement'!V20</f>
        <v>-999</v>
      </c>
      <c r="I53" s="784">
        <f>'Cashflow Statement'!W20</f>
        <v>88</v>
      </c>
      <c r="J53" s="784">
        <f>'Cashflow Statement'!X20</f>
        <v>2333</v>
      </c>
      <c r="K53" s="784">
        <f>'Cashflow Statement'!Y20</f>
        <v>1970</v>
      </c>
      <c r="L53" s="784">
        <f>'Cashflow Statement'!Z20</f>
        <v>915</v>
      </c>
      <c r="M53" s="784">
        <f>'Cashflow Statement'!AA20</f>
        <v>0</v>
      </c>
      <c r="N53" s="784">
        <f>'Cashflow Statement'!AB20</f>
        <v>0</v>
      </c>
      <c r="O53" s="784">
        <f>'Cashflow Statement'!AC20</f>
        <v>0</v>
      </c>
      <c r="P53" s="784">
        <f>'Cashflow Statement'!AD20</f>
        <v>0</v>
      </c>
      <c r="Q53" s="784">
        <f>'Cashflow Statement'!AE20</f>
        <v>0</v>
      </c>
      <c r="R53" s="784">
        <f>'Cashflow Statement'!AF20</f>
        <v>0</v>
      </c>
    </row>
    <row r="54" spans="2:18">
      <c r="B54" s="782" t="str">
        <f>'Cashflow Statement'!A21</f>
        <v>Change in other receivables and payables</v>
      </c>
      <c r="C54" s="784">
        <f>'Cashflow Statement'!Q21</f>
        <v>75</v>
      </c>
      <c r="D54" s="784">
        <f>'Cashflow Statement'!R21</f>
        <v>-40</v>
      </c>
      <c r="E54" s="784">
        <f>'Cashflow Statement'!S21</f>
        <v>-15</v>
      </c>
      <c r="F54" s="784">
        <f>'Cashflow Statement'!T21</f>
        <v>-102</v>
      </c>
      <c r="G54" s="784">
        <f>'Cashflow Statement'!U21</f>
        <v>27</v>
      </c>
      <c r="H54" s="784">
        <f>'Cashflow Statement'!V21</f>
        <v>-66</v>
      </c>
      <c r="I54" s="784">
        <f>'Cashflow Statement'!W21</f>
        <v>-81</v>
      </c>
      <c r="J54" s="784">
        <f>'Cashflow Statement'!X21</f>
        <v>22</v>
      </c>
      <c r="K54" s="784">
        <f>'Cashflow Statement'!Y21</f>
        <v>-196</v>
      </c>
      <c r="L54" s="784">
        <f>'Cashflow Statement'!Z21</f>
        <v>-5</v>
      </c>
      <c r="M54" s="784">
        <f>'Cashflow Statement'!AA21</f>
        <v>0</v>
      </c>
      <c r="N54" s="784">
        <f>'Cashflow Statement'!AB21</f>
        <v>0</v>
      </c>
      <c r="O54" s="784">
        <f>'Cashflow Statement'!AC21</f>
        <v>0</v>
      </c>
      <c r="P54" s="784">
        <f>'Cashflow Statement'!AD21</f>
        <v>0</v>
      </c>
      <c r="Q54" s="784">
        <f>'Cashflow Statement'!AE21</f>
        <v>0</v>
      </c>
      <c r="R54" s="784">
        <f>'Cashflow Statement'!AF21</f>
        <v>0</v>
      </c>
    </row>
    <row r="55" spans="2:18">
      <c r="B55" s="782" t="s">
        <v>752</v>
      </c>
      <c r="C55" s="784"/>
      <c r="D55" s="784"/>
      <c r="E55" s="784"/>
      <c r="F55" s="784">
        <f>F56-SUM(F41:F54)</f>
        <v>0</v>
      </c>
      <c r="G55" s="784">
        <f t="shared" ref="G55:Q55" si="5">G56-SUM(G41:G54)</f>
        <v>0</v>
      </c>
      <c r="H55" s="784">
        <f t="shared" si="5"/>
        <v>0</v>
      </c>
      <c r="I55" s="784">
        <f t="shared" si="5"/>
        <v>0</v>
      </c>
      <c r="J55" s="784">
        <f t="shared" si="5"/>
        <v>0</v>
      </c>
      <c r="K55" s="784">
        <f t="shared" si="5"/>
        <v>0</v>
      </c>
      <c r="L55" s="784">
        <f t="shared" si="5"/>
        <v>0</v>
      </c>
      <c r="M55" s="784">
        <f t="shared" si="5"/>
        <v>330</v>
      </c>
      <c r="N55" s="784">
        <f t="shared" si="5"/>
        <v>-130</v>
      </c>
      <c r="O55" s="784">
        <f t="shared" si="5"/>
        <v>-200</v>
      </c>
      <c r="P55" s="784">
        <f t="shared" si="5"/>
        <v>0</v>
      </c>
      <c r="Q55" s="784">
        <f t="shared" si="5"/>
        <v>0</v>
      </c>
      <c r="R55" s="784">
        <f t="shared" ref="R55" si="6">R56-SUM(R41:R54)</f>
        <v>0</v>
      </c>
    </row>
    <row r="56" spans="2:18" s="783" customFormat="1">
      <c r="B56" s="910" t="str">
        <f>'Cashflow Statement'!A24</f>
        <v>Cash flow from Operations</v>
      </c>
      <c r="C56" s="911">
        <f>'Cashflow Statement'!Q24</f>
        <v>2631</v>
      </c>
      <c r="D56" s="911">
        <f>'Cashflow Statement'!R24</f>
        <v>2483</v>
      </c>
      <c r="E56" s="911">
        <f>'Cashflow Statement'!S24</f>
        <v>2752</v>
      </c>
      <c r="F56" s="911">
        <f>'Cashflow Statement'!T24</f>
        <v>3071</v>
      </c>
      <c r="G56" s="911">
        <f>'Cashflow Statement'!U24</f>
        <v>3145</v>
      </c>
      <c r="H56" s="911">
        <f>'Cashflow Statement'!V24</f>
        <v>1866</v>
      </c>
      <c r="I56" s="911">
        <f>'Cashflow Statement'!W24</f>
        <v>2436</v>
      </c>
      <c r="J56" s="911">
        <f>'Cashflow Statement'!X24</f>
        <v>3545</v>
      </c>
      <c r="K56" s="911">
        <f>'Cashflow Statement'!Y24</f>
        <v>4270</v>
      </c>
      <c r="L56" s="911">
        <f>'Cashflow Statement'!Z24</f>
        <v>4733</v>
      </c>
      <c r="M56" s="911">
        <f>'Cashflow Statement'!AA24</f>
        <v>5741.0138570859253</v>
      </c>
      <c r="N56" s="911">
        <f>'Cashflow Statement'!AB24</f>
        <v>6486.6147454246175</v>
      </c>
      <c r="O56" s="911">
        <f>'Cashflow Statement'!AC24</f>
        <v>7059.7484136817438</v>
      </c>
      <c r="P56" s="911">
        <f>'Cashflow Statement'!AD24</f>
        <v>7619.1303989661155</v>
      </c>
      <c r="Q56" s="911">
        <f>'Cashflow Statement'!AE24</f>
        <v>7964.697333965787</v>
      </c>
      <c r="R56" s="911">
        <f>'Cashflow Statement'!AF24</f>
        <v>8257.289710853991</v>
      </c>
    </row>
    <row r="57" spans="2:18">
      <c r="C57" s="784"/>
      <c r="D57" s="784"/>
      <c r="E57" s="784"/>
      <c r="F57" s="784"/>
      <c r="G57" s="784"/>
      <c r="H57" s="784"/>
      <c r="I57" s="784"/>
      <c r="J57" s="784"/>
      <c r="K57" s="784"/>
      <c r="L57" s="784"/>
      <c r="M57" s="784"/>
      <c r="N57" s="784"/>
      <c r="O57" s="784"/>
      <c r="P57" s="784"/>
      <c r="Q57" s="784"/>
      <c r="R57" s="784"/>
    </row>
    <row r="58" spans="2:18">
      <c r="B58" s="782" t="str">
        <f>'Cashflow Statement'!A26</f>
        <v>Purchase of Intangible assets (net of disposals)</v>
      </c>
      <c r="C58" s="784">
        <f>'Cashflow Statement'!Q26</f>
        <v>-997</v>
      </c>
      <c r="D58" s="784">
        <f>'Cashflow Statement'!R26</f>
        <v>-324</v>
      </c>
      <c r="E58" s="784">
        <f>'Cashflow Statement'!S26</f>
        <v>-574</v>
      </c>
      <c r="F58" s="784">
        <f>'Cashflow Statement'!T26</f>
        <v>-510</v>
      </c>
      <c r="G58" s="784">
        <f>'Cashflow Statement'!U26</f>
        <v>-467</v>
      </c>
      <c r="H58" s="784">
        <f>'Cashflow Statement'!V26</f>
        <v>-344</v>
      </c>
      <c r="I58" s="784">
        <f>'Cashflow Statement'!W26</f>
        <v>-369</v>
      </c>
      <c r="J58" s="784">
        <f>'Cashflow Statement'!X26</f>
        <v>-381</v>
      </c>
      <c r="K58" s="784">
        <f>'Cashflow Statement'!Y26</f>
        <v>-502</v>
      </c>
      <c r="L58" s="784">
        <f>'Cashflow Statement'!Z26</f>
        <v>-500</v>
      </c>
      <c r="M58" s="784">
        <f>'Cashflow Statement'!AA26</f>
        <v>-550</v>
      </c>
      <c r="N58" s="784">
        <f>'Cashflow Statement'!AB26</f>
        <v>-550</v>
      </c>
      <c r="O58" s="784">
        <f>'Cashflow Statement'!AC26</f>
        <v>-550</v>
      </c>
      <c r="P58" s="784">
        <f>'Cashflow Statement'!AD26</f>
        <v>-550</v>
      </c>
      <c r="Q58" s="784">
        <f>'Cashflow Statement'!AE26</f>
        <v>-550</v>
      </c>
      <c r="R58" s="784">
        <f>'Cashflow Statement'!AF26</f>
        <v>-550</v>
      </c>
    </row>
    <row r="59" spans="2:18">
      <c r="B59" s="782" t="str">
        <f>'Cashflow Statement'!A28</f>
        <v>Purchase of PP&amp;E (net of disposals)</v>
      </c>
      <c r="C59" s="784">
        <f>'Cashflow Statement'!Q28</f>
        <v>-705</v>
      </c>
      <c r="D59" s="784">
        <f>'Cashflow Statement'!R28</f>
        <v>-704</v>
      </c>
      <c r="E59" s="784">
        <f>'Cashflow Statement'!S28</f>
        <v>-740</v>
      </c>
      <c r="F59" s="784">
        <f>'Cashflow Statement'!T28</f>
        <v>-780</v>
      </c>
      <c r="G59" s="784">
        <f>'Cashflow Statement'!U28</f>
        <v>-695</v>
      </c>
      <c r="H59" s="784">
        <f>'Cashflow Statement'!V28</f>
        <v>-449</v>
      </c>
      <c r="I59" s="784">
        <f>'Cashflow Statement'!W28</f>
        <v>-387</v>
      </c>
      <c r="J59" s="784">
        <f>'Cashflow Statement'!X28</f>
        <v>-498</v>
      </c>
      <c r="K59" s="784">
        <f>'Cashflow Statement'!Y28</f>
        <v>-823</v>
      </c>
      <c r="L59" s="784">
        <f>'Cashflow Statement'!Z28</f>
        <v>-1044</v>
      </c>
      <c r="M59" s="784">
        <f>'Cashflow Statement'!AA28</f>
        <v>-1577.8284307641502</v>
      </c>
      <c r="N59" s="784">
        <f>'Cashflow Statement'!AB28</f>
        <v>-1604.4179299896248</v>
      </c>
      <c r="O59" s="784">
        <f>'Cashflow Statement'!AC28</f>
        <v>-1569.3017315579068</v>
      </c>
      <c r="P59" s="784">
        <f>'Cashflow Statement'!AD28</f>
        <v>-1479.8732489266761</v>
      </c>
      <c r="Q59" s="784">
        <f>'Cashflow Statement'!AE28</f>
        <v>-1338.6195291825081</v>
      </c>
      <c r="R59" s="784">
        <f>'Cashflow Statement'!AF28</f>
        <v>-1169.6766652697722</v>
      </c>
    </row>
    <row r="60" spans="2:18">
      <c r="B60" s="782" t="str">
        <f>'Cashflow Statement'!A30</f>
        <v>Proceeds/(Payments) from Investments</v>
      </c>
      <c r="C60" s="784">
        <f>'Cashflow Statement'!Q30</f>
        <v>583</v>
      </c>
      <c r="D60" s="784">
        <f>'Cashflow Statement'!R30</f>
        <v>-810</v>
      </c>
      <c r="E60" s="784">
        <f>'Cashflow Statement'!S30</f>
        <v>-54</v>
      </c>
      <c r="F60" s="784">
        <f>'Cashflow Statement'!T30</f>
        <v>-4172</v>
      </c>
      <c r="G60" s="784">
        <f>'Cashflow Statement'!U30</f>
        <v>-29</v>
      </c>
      <c r="H60" s="784">
        <f>'Cashflow Statement'!V30</f>
        <v>-21</v>
      </c>
      <c r="I60" s="784">
        <f>'Cashflow Statement'!W30</f>
        <v>-33</v>
      </c>
      <c r="J60" s="784">
        <f>'Cashflow Statement'!X30</f>
        <v>-490</v>
      </c>
      <c r="K60" s="784">
        <f>'Cashflow Statement'!Y30</f>
        <v>-328</v>
      </c>
      <c r="L60" s="784">
        <f>'Cashflow Statement'!Z30</f>
        <v>-344</v>
      </c>
      <c r="M60" s="784">
        <f>'Cashflow Statement'!AA30</f>
        <v>-344</v>
      </c>
      <c r="N60" s="784">
        <f>'Cashflow Statement'!AB30</f>
        <v>-344</v>
      </c>
      <c r="O60" s="784">
        <f>'Cashflow Statement'!AC30</f>
        <v>-344</v>
      </c>
      <c r="P60" s="784">
        <f>'Cashflow Statement'!AD30</f>
        <v>-344</v>
      </c>
      <c r="Q60" s="784">
        <f>'Cashflow Statement'!AE30</f>
        <v>-344</v>
      </c>
      <c r="R60" s="784">
        <f>'Cashflow Statement'!AF30</f>
        <v>-344</v>
      </c>
    </row>
    <row r="61" spans="2:18">
      <c r="B61" s="782" t="str">
        <f>'Cashflow Statement'!A31</f>
        <v>of which additions to PP&amp;E</v>
      </c>
      <c r="C61" s="784">
        <f>'Cashflow Statement'!Q31</f>
        <v>0</v>
      </c>
      <c r="D61" s="784">
        <f>'Cashflow Statement'!R31</f>
        <v>-405</v>
      </c>
      <c r="E61" s="784">
        <f>'Cashflow Statement'!S31</f>
        <v>-27</v>
      </c>
      <c r="F61" s="784">
        <f>'Cashflow Statement'!T31</f>
        <v>-2086</v>
      </c>
      <c r="G61" s="784">
        <f>'Cashflow Statement'!U31</f>
        <v>-14.5</v>
      </c>
      <c r="H61" s="784">
        <f>'Cashflow Statement'!V31</f>
        <v>-10.5</v>
      </c>
      <c r="I61" s="784">
        <f>'Cashflow Statement'!W31</f>
        <v>-16.5</v>
      </c>
      <c r="J61" s="784">
        <f>'Cashflow Statement'!X31</f>
        <v>-245</v>
      </c>
      <c r="K61" s="784">
        <f>'Cashflow Statement'!Y31</f>
        <v>-164</v>
      </c>
      <c r="L61" s="784">
        <f>'Cashflow Statement'!Z31</f>
        <v>-172</v>
      </c>
      <c r="M61" s="784">
        <f>'Cashflow Statement'!AA31</f>
        <v>-172</v>
      </c>
      <c r="N61" s="784">
        <f>'Cashflow Statement'!AB31</f>
        <v>-172</v>
      </c>
      <c r="O61" s="784">
        <f>'Cashflow Statement'!AC31</f>
        <v>-172</v>
      </c>
      <c r="P61" s="784">
        <f>'Cashflow Statement'!AD31</f>
        <v>-172</v>
      </c>
      <c r="Q61" s="784">
        <f>'Cashflow Statement'!AE31</f>
        <v>-172</v>
      </c>
      <c r="R61" s="784">
        <f>'Cashflow Statement'!AF31</f>
        <v>-172</v>
      </c>
    </row>
    <row r="62" spans="2:18">
      <c r="B62" s="782" t="str">
        <f>'Cashflow Statement'!A32</f>
        <v>of which additions to Intangibles (Goodwill)</v>
      </c>
      <c r="C62" s="784">
        <f>'Cashflow Statement'!Q32</f>
        <v>0</v>
      </c>
      <c r="D62" s="784">
        <f>'Cashflow Statement'!R32</f>
        <v>-405</v>
      </c>
      <c r="E62" s="784">
        <f>'Cashflow Statement'!S32</f>
        <v>-27</v>
      </c>
      <c r="F62" s="784">
        <f>'Cashflow Statement'!T32</f>
        <v>-2086</v>
      </c>
      <c r="G62" s="784">
        <f>'Cashflow Statement'!U32</f>
        <v>-14.5</v>
      </c>
      <c r="H62" s="784">
        <f>'Cashflow Statement'!V32</f>
        <v>-10.5</v>
      </c>
      <c r="I62" s="784">
        <f>'Cashflow Statement'!W32</f>
        <v>-16.5</v>
      </c>
      <c r="J62" s="784">
        <f>'Cashflow Statement'!X32</f>
        <v>-245</v>
      </c>
      <c r="K62" s="784">
        <f>'Cashflow Statement'!Y32</f>
        <v>-164</v>
      </c>
      <c r="L62" s="784">
        <f>'Cashflow Statement'!Z32</f>
        <v>-172</v>
      </c>
      <c r="M62" s="784">
        <f>'Cashflow Statement'!AA32</f>
        <v>-172</v>
      </c>
      <c r="N62" s="784">
        <f>'Cashflow Statement'!AB32</f>
        <v>-172</v>
      </c>
      <c r="O62" s="784">
        <f>'Cashflow Statement'!AC32</f>
        <v>-172</v>
      </c>
      <c r="P62" s="784">
        <f>'Cashflow Statement'!AD32</f>
        <v>-172</v>
      </c>
      <c r="Q62" s="784">
        <f>'Cashflow Statement'!AE32</f>
        <v>-172</v>
      </c>
      <c r="R62" s="784">
        <f>'Cashflow Statement'!AF32</f>
        <v>-172</v>
      </c>
    </row>
    <row r="63" spans="2:18">
      <c r="B63" s="782" t="str">
        <f>'Cashflow Statement'!A33</f>
        <v>Proceeds/(Payments) from Financial Assets</v>
      </c>
      <c r="C63" s="784">
        <f>'Cashflow Statement'!Q33</f>
        <v>-61</v>
      </c>
      <c r="D63" s="784">
        <f>'Cashflow Statement'!R33</f>
        <v>5</v>
      </c>
      <c r="E63" s="784">
        <f>'Cashflow Statement'!S33</f>
        <v>-1974</v>
      </c>
      <c r="F63" s="784">
        <f>'Cashflow Statement'!T33</f>
        <v>1950</v>
      </c>
      <c r="G63" s="784">
        <f>'Cashflow Statement'!U33</f>
        <v>39</v>
      </c>
      <c r="H63" s="784">
        <f>'Cashflow Statement'!V33</f>
        <v>14</v>
      </c>
      <c r="I63" s="784">
        <f>'Cashflow Statement'!W33</f>
        <v>-212</v>
      </c>
      <c r="J63" s="784">
        <f>'Cashflow Statement'!X33</f>
        <v>-167</v>
      </c>
      <c r="K63" s="784">
        <f>'Cashflow Statement'!Y33</f>
        <v>-202</v>
      </c>
      <c r="L63" s="784">
        <f>'Cashflow Statement'!Z33</f>
        <v>-73</v>
      </c>
      <c r="M63" s="784">
        <f>'Cashflow Statement'!AA33</f>
        <v>0</v>
      </c>
      <c r="N63" s="784">
        <f>'Cashflow Statement'!AB33</f>
        <v>0</v>
      </c>
      <c r="O63" s="784">
        <f>'Cashflow Statement'!AC33</f>
        <v>0</v>
      </c>
      <c r="P63" s="784">
        <f>'Cashflow Statement'!AD33</f>
        <v>0</v>
      </c>
      <c r="Q63" s="784">
        <f>'Cashflow Statement'!AE33</f>
        <v>0</v>
      </c>
      <c r="R63" s="784">
        <f>'Cashflow Statement'!AF33</f>
        <v>0</v>
      </c>
    </row>
    <row r="64" spans="2:18">
      <c r="B64" s="782" t="str">
        <f>'Cashflow Statement'!A34</f>
        <v>Other</v>
      </c>
      <c r="C64" s="784">
        <f>'Cashflow Statement'!Q34</f>
        <v>0</v>
      </c>
      <c r="D64" s="784">
        <f>'Cashflow Statement'!R34</f>
        <v>-362</v>
      </c>
      <c r="E64" s="784">
        <f>'Cashflow Statement'!S34</f>
        <v>3060</v>
      </c>
      <c r="F64" s="784">
        <f>F65-SUM(F58:F63)</f>
        <v>4190</v>
      </c>
      <c r="G64" s="784">
        <f t="shared" ref="G64:Q64" si="7">G65-SUM(G58:G63)</f>
        <v>76</v>
      </c>
      <c r="H64" s="784">
        <f t="shared" si="7"/>
        <v>22</v>
      </c>
      <c r="I64" s="784">
        <f t="shared" si="7"/>
        <v>296</v>
      </c>
      <c r="J64" s="784">
        <f t="shared" si="7"/>
        <v>738</v>
      </c>
      <c r="K64" s="784">
        <f t="shared" si="7"/>
        <v>479</v>
      </c>
      <c r="L64" s="784">
        <f t="shared" si="7"/>
        <v>457</v>
      </c>
      <c r="M64" s="784">
        <f t="shared" si="7"/>
        <v>344</v>
      </c>
      <c r="N64" s="784">
        <f t="shared" si="7"/>
        <v>344</v>
      </c>
      <c r="O64" s="784">
        <f t="shared" si="7"/>
        <v>344</v>
      </c>
      <c r="P64" s="784">
        <f t="shared" si="7"/>
        <v>344</v>
      </c>
      <c r="Q64" s="784">
        <f t="shared" si="7"/>
        <v>344</v>
      </c>
      <c r="R64" s="784">
        <f t="shared" ref="R64" si="8">R65-SUM(R58:R63)</f>
        <v>344</v>
      </c>
    </row>
    <row r="65" spans="2:18" s="783" customFormat="1">
      <c r="B65" s="910" t="str">
        <f>'Cashflow Statement'!A35</f>
        <v>Cash flow from Investing</v>
      </c>
      <c r="C65" s="911">
        <f>'Cashflow Statement'!Q35</f>
        <v>-1180</v>
      </c>
      <c r="D65" s="911">
        <f>'Cashflow Statement'!R35</f>
        <v>-2195</v>
      </c>
      <c r="E65" s="911">
        <f>'Cashflow Statement'!S35</f>
        <v>-282</v>
      </c>
      <c r="F65" s="911">
        <f>'Cashflow Statement'!T35</f>
        <v>-3494</v>
      </c>
      <c r="G65" s="911">
        <f>'Cashflow Statement'!U35</f>
        <v>-1105</v>
      </c>
      <c r="H65" s="911">
        <f>'Cashflow Statement'!V35</f>
        <v>-799</v>
      </c>
      <c r="I65" s="911">
        <f>'Cashflow Statement'!W35</f>
        <v>-738</v>
      </c>
      <c r="J65" s="911">
        <f>'Cashflow Statement'!X35</f>
        <v>-1288</v>
      </c>
      <c r="K65" s="911">
        <f>'Cashflow Statement'!Y35</f>
        <v>-1704</v>
      </c>
      <c r="L65" s="911">
        <f>'Cashflow Statement'!Z35</f>
        <v>-1848</v>
      </c>
      <c r="M65" s="911">
        <f>'Cashflow Statement'!AA35</f>
        <v>-2471.8284307641502</v>
      </c>
      <c r="N65" s="911">
        <f>'Cashflow Statement'!AB35</f>
        <v>-2498.417929989625</v>
      </c>
      <c r="O65" s="911">
        <f>'Cashflow Statement'!AC35</f>
        <v>-2463.3017315579068</v>
      </c>
      <c r="P65" s="911">
        <f>'Cashflow Statement'!AD35</f>
        <v>-2373.8732489266758</v>
      </c>
      <c r="Q65" s="911">
        <f>'Cashflow Statement'!AE35</f>
        <v>-2232.6195291825079</v>
      </c>
      <c r="R65" s="911">
        <f>'Cashflow Statement'!AF35</f>
        <v>-2063.6766652697725</v>
      </c>
    </row>
    <row r="66" spans="2:18">
      <c r="C66" s="784"/>
      <c r="D66" s="784"/>
      <c r="E66" s="784"/>
      <c r="F66" s="784"/>
      <c r="G66" s="784"/>
      <c r="H66" s="784"/>
      <c r="I66" s="784"/>
      <c r="J66" s="784"/>
      <c r="K66" s="784"/>
      <c r="L66" s="784"/>
      <c r="M66" s="784"/>
      <c r="N66" s="784"/>
      <c r="O66" s="784"/>
      <c r="P66" s="784"/>
      <c r="Q66" s="784"/>
      <c r="R66" s="784"/>
    </row>
    <row r="67" spans="2:18">
      <c r="B67" s="782" t="str">
        <f>'Cashflow Statement'!A37</f>
        <v>Change in Share Capital</v>
      </c>
      <c r="C67" s="784">
        <f>'Cashflow Statement'!Q37</f>
        <v>-5</v>
      </c>
      <c r="D67" s="784">
        <f>'Cashflow Statement'!R37</f>
        <v>-9</v>
      </c>
      <c r="E67" s="784">
        <f>'Cashflow Statement'!S37</f>
        <v>-4</v>
      </c>
      <c r="F67" s="784">
        <f>'Cashflow Statement'!T37</f>
        <v>-1</v>
      </c>
      <c r="G67" s="784">
        <f>'Cashflow Statement'!U37</f>
        <v>-7</v>
      </c>
      <c r="H67" s="784">
        <f>'Cashflow Statement'!V37</f>
        <v>0</v>
      </c>
      <c r="I67" s="784">
        <f>'Cashflow Statement'!W37</f>
        <v>1</v>
      </c>
      <c r="J67" s="784">
        <f>'Cashflow Statement'!X37</f>
        <v>0</v>
      </c>
      <c r="K67" s="784">
        <f>'Cashflow Statement'!Y37</f>
        <v>2</v>
      </c>
      <c r="L67" s="784">
        <f>'Cashflow Statement'!Z37</f>
        <v>0</v>
      </c>
      <c r="M67" s="784">
        <f>'Cashflow Statement'!AA37</f>
        <v>0</v>
      </c>
      <c r="N67" s="784">
        <f>'Cashflow Statement'!AB37</f>
        <v>0</v>
      </c>
      <c r="O67" s="784">
        <f>'Cashflow Statement'!AC37</f>
        <v>0</v>
      </c>
      <c r="P67" s="784">
        <f>'Cashflow Statement'!AD37</f>
        <v>0</v>
      </c>
      <c r="Q67" s="784">
        <f>'Cashflow Statement'!AE37</f>
        <v>0</v>
      </c>
      <c r="R67" s="784">
        <f>'Cashflow Statement'!AF37</f>
        <v>0</v>
      </c>
    </row>
    <row r="68" spans="2:18">
      <c r="B68" s="782" t="str">
        <f>'Cashflow Statement'!A38</f>
        <v>Acquisitions and disposals of treasury shares</v>
      </c>
      <c r="C68" s="784">
        <f>'Cashflow Statement'!Q38</f>
        <v>0</v>
      </c>
      <c r="D68" s="784">
        <f>'Cashflow Statement'!R38</f>
        <v>-38</v>
      </c>
      <c r="E68" s="784">
        <f>'Cashflow Statement'!S38</f>
        <v>-449</v>
      </c>
      <c r="F68" s="784">
        <f>'Cashflow Statement'!T38</f>
        <v>-539</v>
      </c>
      <c r="G68" s="784">
        <f>'Cashflow Statement'!U38</f>
        <v>-1299</v>
      </c>
      <c r="H68" s="784">
        <f>'Cashflow Statement'!V38</f>
        <v>96</v>
      </c>
      <c r="I68" s="784">
        <f>'Cashflow Statement'!W38</f>
        <v>-73</v>
      </c>
      <c r="J68" s="784">
        <f>'Cashflow Statement'!X38</f>
        <v>-270</v>
      </c>
      <c r="K68" s="784">
        <f>'Cashflow Statement'!Y38</f>
        <v>-1535</v>
      </c>
      <c r="L68" s="784">
        <f>'Cashflow Statement'!Z38</f>
        <v>-1320</v>
      </c>
      <c r="M68" s="784">
        <f>'Cashflow Statement'!AA38</f>
        <v>0</v>
      </c>
      <c r="N68" s="784">
        <f>'Cashflow Statement'!AB38</f>
        <v>0</v>
      </c>
      <c r="O68" s="784">
        <f>'Cashflow Statement'!AC38</f>
        <v>0</v>
      </c>
      <c r="P68" s="784">
        <f>'Cashflow Statement'!AD38</f>
        <v>0</v>
      </c>
      <c r="Q68" s="784">
        <f>'Cashflow Statement'!AE38</f>
        <v>0</v>
      </c>
      <c r="R68" s="784">
        <f>'Cashflow Statement'!AF38</f>
        <v>0</v>
      </c>
    </row>
    <row r="69" spans="2:18">
      <c r="B69" s="782" t="str">
        <f>'Cashflow Statement'!A39</f>
        <v>Repayment of borrowings and long-term debt</v>
      </c>
      <c r="C69" s="784">
        <f>'Cashflow Statement'!Q39</f>
        <v>-79</v>
      </c>
      <c r="D69" s="784">
        <f>'Cashflow Statement'!R39</f>
        <v>-73</v>
      </c>
      <c r="E69" s="784">
        <f>'Cashflow Statement'!S39</f>
        <v>-66</v>
      </c>
      <c r="F69" s="784">
        <f>'Cashflow Statement'!T39</f>
        <v>-1895</v>
      </c>
      <c r="G69" s="784">
        <f>'Cashflow Statement'!U39</f>
        <v>-875</v>
      </c>
      <c r="H69" s="784">
        <f>'Cashflow Statement'!V39</f>
        <v>-778</v>
      </c>
      <c r="I69" s="784">
        <f>'Cashflow Statement'!W39</f>
        <v>-1367</v>
      </c>
      <c r="J69" s="784">
        <f>'Cashflow Statement'!X39</f>
        <v>-654</v>
      </c>
      <c r="K69" s="784">
        <f>'Cashflow Statement'!Y39</f>
        <v>-311</v>
      </c>
      <c r="L69" s="784">
        <f>'Cashflow Statement'!Z39</f>
        <v>-863</v>
      </c>
      <c r="M69" s="784">
        <f>'Cashflow Statement'!AA39</f>
        <v>0</v>
      </c>
      <c r="N69" s="784">
        <f>'Cashflow Statement'!AB39</f>
        <v>0</v>
      </c>
      <c r="O69" s="784">
        <f>'Cashflow Statement'!AC39</f>
        <v>0</v>
      </c>
      <c r="P69" s="784">
        <f>'Cashflow Statement'!AD39</f>
        <v>0</v>
      </c>
      <c r="Q69" s="784">
        <f>'Cashflow Statement'!AE39</f>
        <v>0</v>
      </c>
      <c r="R69" s="784">
        <f>'Cashflow Statement'!AF39</f>
        <v>0</v>
      </c>
    </row>
    <row r="70" spans="2:18">
      <c r="B70" s="782" t="str">
        <f>'Cashflow Statement'!A40</f>
        <v>Increase in borrowings</v>
      </c>
      <c r="C70" s="784">
        <f>'Cashflow Statement'!Q40</f>
        <v>12</v>
      </c>
      <c r="D70" s="784">
        <f>'Cashflow Statement'!R40</f>
        <v>682</v>
      </c>
      <c r="E70" s="784">
        <f>'Cashflow Statement'!S40</f>
        <v>1058</v>
      </c>
      <c r="F70" s="784">
        <f>'Cashflow Statement'!T40</f>
        <v>1480</v>
      </c>
      <c r="G70" s="784">
        <f>'Cashflow Statement'!U40</f>
        <v>24</v>
      </c>
      <c r="H70" s="784">
        <f>'Cashflow Statement'!V40</f>
        <v>1595</v>
      </c>
      <c r="I70" s="784">
        <f>'Cashflow Statement'!W40</f>
        <v>2146</v>
      </c>
      <c r="J70" s="784">
        <f>'Cashflow Statement'!X40</f>
        <v>510</v>
      </c>
      <c r="K70" s="784">
        <f>'Cashflow Statement'!Y40</f>
        <v>17</v>
      </c>
      <c r="L70" s="784">
        <f>'Cashflow Statement'!Z40</f>
        <v>56</v>
      </c>
      <c r="M70" s="784">
        <f>'Cashflow Statement'!AA40</f>
        <v>0</v>
      </c>
      <c r="N70" s="784">
        <f>'Cashflow Statement'!AB40</f>
        <v>0</v>
      </c>
      <c r="O70" s="784">
        <f>'Cashflow Statement'!AC40</f>
        <v>0</v>
      </c>
      <c r="P70" s="784">
        <f>'Cashflow Statement'!AD40</f>
        <v>0</v>
      </c>
      <c r="Q70" s="784">
        <f>'Cashflow Statement'!AE40</f>
        <v>0</v>
      </c>
      <c r="R70" s="784">
        <f>'Cashflow Statement'!AF40</f>
        <v>0</v>
      </c>
    </row>
    <row r="71" spans="2:18">
      <c r="B71" s="782" t="str">
        <f>'Cashflow Statement'!A41</f>
        <v>Change in repayable advances</v>
      </c>
      <c r="C71" s="784">
        <f>'Cashflow Statement'!Q41</f>
        <v>-14</v>
      </c>
      <c r="D71" s="784">
        <f>'Cashflow Statement'!R41</f>
        <v>-24</v>
      </c>
      <c r="E71" s="784">
        <f>'Cashflow Statement'!S41</f>
        <v>-25</v>
      </c>
      <c r="F71" s="784">
        <f>'Cashflow Statement'!T41</f>
        <v>-10</v>
      </c>
      <c r="G71" s="784">
        <f>'Cashflow Statement'!U41</f>
        <v>-27</v>
      </c>
      <c r="H71" s="784">
        <f>'Cashflow Statement'!V41</f>
        <v>-10</v>
      </c>
      <c r="I71" s="784">
        <f>'Cashflow Statement'!W41</f>
        <v>-12</v>
      </c>
      <c r="J71" s="784">
        <f>'Cashflow Statement'!X41</f>
        <v>-17</v>
      </c>
      <c r="K71" s="784">
        <f>'Cashflow Statement'!Y41</f>
        <v>-5</v>
      </c>
      <c r="L71" s="784">
        <f>'Cashflow Statement'!Z41</f>
        <v>-21</v>
      </c>
      <c r="M71" s="784">
        <f>'Cashflow Statement'!AA41</f>
        <v>0</v>
      </c>
      <c r="N71" s="784">
        <f>'Cashflow Statement'!AB41</f>
        <v>0</v>
      </c>
      <c r="O71" s="784">
        <f>'Cashflow Statement'!AC41</f>
        <v>0</v>
      </c>
      <c r="P71" s="784">
        <f>'Cashflow Statement'!AD41</f>
        <v>0</v>
      </c>
      <c r="Q71" s="784">
        <f>'Cashflow Statement'!AE41</f>
        <v>0</v>
      </c>
      <c r="R71" s="784">
        <f>'Cashflow Statement'!AF41</f>
        <v>0</v>
      </c>
    </row>
    <row r="72" spans="2:18">
      <c r="B72" s="782" t="str">
        <f>'Cashflow Statement'!A42</f>
        <v>Change in short term borrowings</v>
      </c>
      <c r="C72" s="784">
        <f>'Cashflow Statement'!Q42</f>
        <v>-631</v>
      </c>
      <c r="D72" s="784">
        <f>'Cashflow Statement'!R42</f>
        <v>10</v>
      </c>
      <c r="E72" s="784">
        <f>'Cashflow Statement'!S42</f>
        <v>449</v>
      </c>
      <c r="F72" s="784">
        <f>'Cashflow Statement'!T42</f>
        <v>-472</v>
      </c>
      <c r="G72" s="784">
        <f>'Cashflow Statement'!U42</f>
        <v>1261</v>
      </c>
      <c r="H72" s="784">
        <f>'Cashflow Statement'!V42</f>
        <v>-831</v>
      </c>
      <c r="I72" s="784">
        <f>'Cashflow Statement'!W42</f>
        <v>-775</v>
      </c>
      <c r="J72" s="784">
        <f>'Cashflow Statement'!X42</f>
        <v>-159</v>
      </c>
      <c r="K72" s="784">
        <f>'Cashflow Statement'!Y42</f>
        <v>-161</v>
      </c>
      <c r="L72" s="784">
        <f>'Cashflow Statement'!Z42</f>
        <v>45</v>
      </c>
      <c r="M72" s="784">
        <f>'Cashflow Statement'!AA42</f>
        <v>0</v>
      </c>
      <c r="N72" s="784">
        <f>'Cashflow Statement'!AB42</f>
        <v>0</v>
      </c>
      <c r="O72" s="784">
        <f>'Cashflow Statement'!AC42</f>
        <v>0</v>
      </c>
      <c r="P72" s="784">
        <f>'Cashflow Statement'!AD42</f>
        <v>0</v>
      </c>
      <c r="Q72" s="784">
        <f>'Cashflow Statement'!AE42</f>
        <v>0</v>
      </c>
      <c r="R72" s="784">
        <f>'Cashflow Statement'!AF42</f>
        <v>0</v>
      </c>
    </row>
    <row r="73" spans="2:18">
      <c r="B73" s="782" t="str">
        <f>'Cashflow Statement'!A43</f>
        <v>Dividends Paid</v>
      </c>
      <c r="C73" s="784">
        <f>'Cashflow Statement'!Q43</f>
        <v>-517</v>
      </c>
      <c r="D73" s="784">
        <f>'Cashflow Statement'!R43</f>
        <v>-612</v>
      </c>
      <c r="E73" s="784">
        <f>'Cashflow Statement'!S43</f>
        <v>-340</v>
      </c>
      <c r="F73" s="784">
        <f>'Cashflow Statement'!T43</f>
        <v>-695</v>
      </c>
      <c r="G73" s="784">
        <f>'Cashflow Statement'!U43</f>
        <v>-785</v>
      </c>
      <c r="H73" s="784">
        <f>'Cashflow Statement'!V43</f>
        <v>0</v>
      </c>
      <c r="I73" s="784">
        <f>'Cashflow Statement'!W43</f>
        <v>-183</v>
      </c>
      <c r="J73" s="784">
        <f>'Cashflow Statement'!X43</f>
        <v>-213</v>
      </c>
      <c r="K73" s="784">
        <f>'Cashflow Statement'!Y43</f>
        <v>-564</v>
      </c>
      <c r="L73" s="784">
        <f>'Cashflow Statement'!Z43</f>
        <v>-911</v>
      </c>
      <c r="M73" s="784">
        <f>'Cashflow Statement'!AA43</f>
        <v>-1206.8336370000002</v>
      </c>
      <c r="N73" s="784">
        <f>'Cashflow Statement'!AB43</f>
        <v>-1408.1542381655543</v>
      </c>
      <c r="O73" s="784">
        <f>'Cashflow Statement'!AC43</f>
        <v>-1811.2993288747427</v>
      </c>
      <c r="P73" s="784">
        <f>'Cashflow Statement'!AD43</f>
        <v>-2060.4442687445567</v>
      </c>
      <c r="Q73" s="784">
        <f>'Cashflow Statement'!AE43</f>
        <v>-2278.4099740593647</v>
      </c>
      <c r="R73" s="784">
        <f>'Cashflow Statement'!AF43</f>
        <v>-2442.0179135084359</v>
      </c>
    </row>
    <row r="74" spans="2:18">
      <c r="B74" s="782" t="str">
        <f>'Cashflow Statement'!A47</f>
        <v>Share Buybacks</v>
      </c>
      <c r="C74" s="784">
        <f>'Cashflow Statement'!Q47</f>
        <v>0</v>
      </c>
      <c r="D74" s="784">
        <f>'Cashflow Statement'!R47</f>
        <v>0</v>
      </c>
      <c r="E74" s="784">
        <f>'Cashflow Statement'!S47</f>
        <v>0</v>
      </c>
      <c r="F74" s="784">
        <f>'Cashflow Statement'!T47</f>
        <v>0</v>
      </c>
      <c r="G74" s="784">
        <f>'Cashflow Statement'!U47</f>
        <v>0</v>
      </c>
      <c r="H74" s="784">
        <f>'Cashflow Statement'!V47</f>
        <v>0</v>
      </c>
      <c r="I74" s="784">
        <f>'Cashflow Statement'!W47</f>
        <v>0</v>
      </c>
      <c r="J74" s="784">
        <f>'Cashflow Statement'!X47</f>
        <v>0</v>
      </c>
      <c r="K74" s="784">
        <f>'Cashflow Statement'!Y47</f>
        <v>0</v>
      </c>
      <c r="L74" s="784">
        <f>'Cashflow Statement'!Z47</f>
        <v>0</v>
      </c>
      <c r="M74" s="784">
        <f>'Cashflow Statement'!AA47</f>
        <v>-1250</v>
      </c>
      <c r="N74" s="784">
        <f>'Cashflow Statement'!AB47</f>
        <v>-1250</v>
      </c>
      <c r="O74" s="784">
        <f>'Cashflow Statement'!AC47</f>
        <v>-1250</v>
      </c>
      <c r="P74" s="784">
        <f>'Cashflow Statement'!AD47</f>
        <v>-1250</v>
      </c>
      <c r="Q74" s="784">
        <f>'Cashflow Statement'!AE47</f>
        <v>0</v>
      </c>
      <c r="R74" s="784">
        <f>'Cashflow Statement'!AF47</f>
        <v>0</v>
      </c>
    </row>
    <row r="75" spans="2:18">
      <c r="B75" s="782" t="str">
        <f>'Cashflow Statement'!A48</f>
        <v>Other</v>
      </c>
      <c r="C75" s="784">
        <f>'Cashflow Statement'!Q48</f>
        <v>0</v>
      </c>
      <c r="D75" s="784">
        <f>'Cashflow Statement'!R48</f>
        <v>0</v>
      </c>
      <c r="E75" s="784">
        <f>'Cashflow Statement'!S48</f>
        <v>0</v>
      </c>
      <c r="F75" s="784">
        <f>F76-SUM(F67:F74)</f>
        <v>-26</v>
      </c>
      <c r="G75" s="784">
        <f t="shared" ref="G75:Q75" si="9">G76-SUM(G67:G74)</f>
        <v>-32</v>
      </c>
      <c r="H75" s="784">
        <f t="shared" si="9"/>
        <v>-4</v>
      </c>
      <c r="I75" s="784">
        <f t="shared" si="9"/>
        <v>-5</v>
      </c>
      <c r="J75" s="784">
        <f t="shared" si="9"/>
        <v>-12</v>
      </c>
      <c r="K75" s="784">
        <f t="shared" si="9"/>
        <v>-19</v>
      </c>
      <c r="L75" s="784">
        <f t="shared" si="9"/>
        <v>-59</v>
      </c>
      <c r="M75" s="784">
        <f t="shared" si="9"/>
        <v>0</v>
      </c>
      <c r="N75" s="784">
        <f t="shared" si="9"/>
        <v>0</v>
      </c>
      <c r="O75" s="784">
        <f t="shared" si="9"/>
        <v>0</v>
      </c>
      <c r="P75" s="784">
        <f t="shared" si="9"/>
        <v>0</v>
      </c>
      <c r="Q75" s="784">
        <f t="shared" si="9"/>
        <v>0</v>
      </c>
      <c r="R75" s="784">
        <f t="shared" ref="R75" si="10">R76-SUM(R67:R74)</f>
        <v>0</v>
      </c>
    </row>
    <row r="76" spans="2:18" s="783" customFormat="1">
      <c r="B76" s="910" t="str">
        <f>'Cashflow Statement'!A49</f>
        <v>Cash flow from Financing</v>
      </c>
      <c r="C76" s="911">
        <f>'Cashflow Statement'!Q49</f>
        <v>-1257</v>
      </c>
      <c r="D76" s="911">
        <f>'Cashflow Statement'!R49</f>
        <v>-94</v>
      </c>
      <c r="E76" s="911">
        <f>'Cashflow Statement'!S49</f>
        <v>591</v>
      </c>
      <c r="F76" s="911">
        <f>'Cashflow Statement'!T49</f>
        <v>-2158</v>
      </c>
      <c r="G76" s="911">
        <f>'Cashflow Statement'!U49</f>
        <v>-1740</v>
      </c>
      <c r="H76" s="911">
        <f>'Cashflow Statement'!V49</f>
        <v>68</v>
      </c>
      <c r="I76" s="911">
        <f>'Cashflow Statement'!W49</f>
        <v>-268</v>
      </c>
      <c r="J76" s="911">
        <f>'Cashflow Statement'!X49</f>
        <v>-815</v>
      </c>
      <c r="K76" s="911">
        <f>'Cashflow Statement'!Y49</f>
        <v>-2576</v>
      </c>
      <c r="L76" s="911">
        <f>'Cashflow Statement'!Z49</f>
        <v>-3073</v>
      </c>
      <c r="M76" s="911">
        <f>'Cashflow Statement'!AA49</f>
        <v>-2456.8336370000002</v>
      </c>
      <c r="N76" s="911">
        <f>'Cashflow Statement'!AB49</f>
        <v>-2658.1542381655545</v>
      </c>
      <c r="O76" s="911">
        <f>'Cashflow Statement'!AC49</f>
        <v>-3061.299328874743</v>
      </c>
      <c r="P76" s="911">
        <f>'Cashflow Statement'!AD49</f>
        <v>-3310.4442687445567</v>
      </c>
      <c r="Q76" s="911">
        <f>'Cashflow Statement'!AE49</f>
        <v>-2278.4099740593647</v>
      </c>
      <c r="R76" s="911">
        <f>'Cashflow Statement'!AF49</f>
        <v>-2442.0179135084359</v>
      </c>
    </row>
    <row r="77" spans="2:18">
      <c r="C77" s="784"/>
      <c r="D77" s="784"/>
      <c r="E77" s="784"/>
      <c r="F77" s="784"/>
      <c r="G77" s="784"/>
      <c r="H77" s="784"/>
      <c r="I77" s="784"/>
      <c r="J77" s="784"/>
      <c r="K77" s="784"/>
      <c r="L77" s="784"/>
      <c r="M77" s="784"/>
      <c r="N77" s="784"/>
      <c r="O77" s="784"/>
      <c r="P77" s="784"/>
      <c r="Q77" s="784"/>
      <c r="R77" s="784"/>
    </row>
    <row r="78" spans="2:18" s="783" customFormat="1">
      <c r="B78" s="783" t="str">
        <f>'Cashflow Statement'!A51</f>
        <v>Change in Cash</v>
      </c>
      <c r="C78" s="909">
        <f>'Cashflow Statement'!Q51</f>
        <v>206</v>
      </c>
      <c r="D78" s="909">
        <f>'Cashflow Statement'!R51</f>
        <v>246</v>
      </c>
      <c r="E78" s="909">
        <f>'Cashflow Statement'!S51</f>
        <v>2825</v>
      </c>
      <c r="F78" s="909">
        <f>'Cashflow Statement'!T51</f>
        <v>-2581</v>
      </c>
      <c r="G78" s="909">
        <f>'Cashflow Statement'!U51</f>
        <v>300</v>
      </c>
      <c r="H78" s="909">
        <f>'Cashflow Statement'!V51</f>
        <v>1135</v>
      </c>
      <c r="I78" s="909">
        <f>'Cashflow Statement'!W51</f>
        <v>1430</v>
      </c>
      <c r="J78" s="909">
        <f>'Cashflow Statement'!X51</f>
        <v>1442</v>
      </c>
      <c r="K78" s="909">
        <f>'Cashflow Statement'!Y51</f>
        <v>-10</v>
      </c>
      <c r="L78" s="909">
        <f>'Cashflow Statement'!Z51</f>
        <v>-188</v>
      </c>
      <c r="M78" s="909">
        <f>'Cashflow Statement'!AA51</f>
        <v>812.35178932177496</v>
      </c>
      <c r="N78" s="909">
        <f>'Cashflow Statement'!AB51</f>
        <v>1330.042577269438</v>
      </c>
      <c r="O78" s="909">
        <f>'Cashflow Statement'!AC51</f>
        <v>1535.1473532490936</v>
      </c>
      <c r="P78" s="909">
        <f>'Cashflow Statement'!AD51</f>
        <v>1934.812881294883</v>
      </c>
      <c r="Q78" s="909">
        <f>'Cashflow Statement'!AE51</f>
        <v>3453.6678307239144</v>
      </c>
      <c r="R78" s="909">
        <f>'Cashflow Statement'!AF51</f>
        <v>3751.5951320757827</v>
      </c>
    </row>
    <row r="79" spans="2:18">
      <c r="B79" s="782" t="str">
        <f>'Cashflow Statement'!A52</f>
        <v>FX</v>
      </c>
      <c r="C79" s="784">
        <f>'Cashflow Statement'!Q52</f>
        <v>6</v>
      </c>
      <c r="D79" s="784">
        <f>'Cashflow Statement'!R52</f>
        <v>15</v>
      </c>
      <c r="E79" s="784">
        <f>'Cashflow Statement'!S52</f>
        <v>-17</v>
      </c>
      <c r="F79" s="784">
        <f>'Cashflow Statement'!T52</f>
        <v>-3</v>
      </c>
      <c r="G79" s="784">
        <f>'Cashflow Statement'!U52</f>
        <v>2</v>
      </c>
      <c r="H79" s="784">
        <f>'Cashflow Statement'!V52</f>
        <v>-20</v>
      </c>
      <c r="I79" s="784">
        <f>'Cashflow Statement'!W52</f>
        <v>70</v>
      </c>
      <c r="J79" s="784">
        <f>'Cashflow Statement'!X52</f>
        <v>-2</v>
      </c>
      <c r="K79" s="784">
        <f>'Cashflow Statement'!Y52</f>
        <v>-1</v>
      </c>
      <c r="L79" s="784">
        <f>'Cashflow Statement'!Z52</f>
        <v>26</v>
      </c>
      <c r="M79" s="784">
        <f>'Cashflow Statement'!AA52</f>
        <v>0</v>
      </c>
      <c r="N79" s="784">
        <f>'Cashflow Statement'!AB52</f>
        <v>0</v>
      </c>
      <c r="O79" s="784">
        <f>'Cashflow Statement'!AC52</f>
        <v>0</v>
      </c>
      <c r="P79" s="784">
        <f>'Cashflow Statement'!AD52</f>
        <v>0</v>
      </c>
      <c r="Q79" s="784">
        <f>'Cashflow Statement'!AE52</f>
        <v>0</v>
      </c>
      <c r="R79" s="784">
        <f>'Cashflow Statement'!AF52</f>
        <v>0</v>
      </c>
    </row>
    <row r="80" spans="2:18" hidden="1">
      <c r="B80" s="782" t="str">
        <f>'Cashflow Statement'!A53</f>
        <v>Other</v>
      </c>
      <c r="C80" s="784">
        <f>'Cashflow Statement'!Q53</f>
        <v>0</v>
      </c>
      <c r="D80" s="784">
        <f>'Cashflow Statement'!R53</f>
        <v>0</v>
      </c>
      <c r="E80" s="784">
        <f>'Cashflow Statement'!S53</f>
        <v>180</v>
      </c>
      <c r="F80" s="784">
        <f>'Cashflow Statement'!T53</f>
        <v>0</v>
      </c>
      <c r="G80" s="784">
        <f>'Cashflow Statement'!U53</f>
        <v>0</v>
      </c>
      <c r="H80" s="784">
        <f>'Cashflow Statement'!V53</f>
        <v>0</v>
      </c>
      <c r="I80" s="784">
        <f>'Cashflow Statement'!W53</f>
        <v>0</v>
      </c>
      <c r="J80" s="784">
        <f>'Cashflow Statement'!X53</f>
        <v>0</v>
      </c>
      <c r="K80" s="784">
        <f>'Cashflow Statement'!Y53</f>
        <v>0</v>
      </c>
      <c r="L80" s="784">
        <f>'Cashflow Statement'!Z53</f>
        <v>0</v>
      </c>
      <c r="M80" s="784">
        <f>'Cashflow Statement'!AA53</f>
        <v>0</v>
      </c>
      <c r="N80" s="784">
        <f>'Cashflow Statement'!AB53</f>
        <v>0</v>
      </c>
      <c r="O80" s="784">
        <f>'Cashflow Statement'!AC53</f>
        <v>0</v>
      </c>
      <c r="P80" s="784">
        <f>'Cashflow Statement'!AD53</f>
        <v>0</v>
      </c>
      <c r="Q80" s="784">
        <f>'Cashflow Statement'!AE53</f>
        <v>0</v>
      </c>
      <c r="R80" s="784">
        <f>'Cashflow Statement'!AF53</f>
        <v>0</v>
      </c>
    </row>
    <row r="81" spans="2:18" s="783" customFormat="1">
      <c r="B81" s="783" t="str">
        <f>'Cashflow Statement'!A54</f>
        <v>Cash at the beginning of the year</v>
      </c>
      <c r="C81" s="909">
        <f>'Cashflow Statement'!Q54</f>
        <v>1633</v>
      </c>
      <c r="D81" s="909">
        <f>'Cashflow Statement'!R54</f>
        <v>1845</v>
      </c>
      <c r="E81" s="909">
        <f>'Cashflow Statement'!S54</f>
        <v>1926</v>
      </c>
      <c r="F81" s="909">
        <f>'Cashflow Statement'!T54</f>
        <v>4914</v>
      </c>
      <c r="G81" s="909">
        <f>'Cashflow Statement'!U54</f>
        <v>2330</v>
      </c>
      <c r="H81" s="909">
        <f>'Cashflow Statement'!V54</f>
        <v>2632</v>
      </c>
      <c r="I81" s="909">
        <f>'Cashflow Statement'!W54</f>
        <v>3747</v>
      </c>
      <c r="J81" s="909">
        <f>'Cashflow Statement'!X54</f>
        <v>5247</v>
      </c>
      <c r="K81" s="909">
        <f>'Cashflow Statement'!Y54</f>
        <v>6687</v>
      </c>
      <c r="L81" s="909">
        <f>'Cashflow Statement'!Z54</f>
        <v>6676</v>
      </c>
      <c r="M81" s="909">
        <f>'Cashflow Statement'!AA54</f>
        <v>6514</v>
      </c>
      <c r="N81" s="909">
        <f>'Cashflow Statement'!AB54</f>
        <v>7326.351789321775</v>
      </c>
      <c r="O81" s="909">
        <f>'Cashflow Statement'!AC54</f>
        <v>8656.394366591212</v>
      </c>
      <c r="P81" s="909">
        <f>'Cashflow Statement'!AD54</f>
        <v>10191.541719840305</v>
      </c>
      <c r="Q81" s="909">
        <f>'Cashflow Statement'!AE54</f>
        <v>12126.354601135188</v>
      </c>
      <c r="R81" s="909">
        <f>'Cashflow Statement'!AF54</f>
        <v>15580.022431859103</v>
      </c>
    </row>
    <row r="82" spans="2:18" s="1103" customFormat="1">
      <c r="B82" s="910" t="str">
        <f>'Cashflow Statement'!A55</f>
        <v>Cash at the end of the year</v>
      </c>
      <c r="C82" s="911">
        <f>'Cashflow Statement'!Q55</f>
        <v>1659</v>
      </c>
      <c r="D82" s="911">
        <f>'Cashflow Statement'!R55</f>
        <v>1926</v>
      </c>
      <c r="E82" s="911">
        <f>'Cashflow Statement'!S55</f>
        <v>4914</v>
      </c>
      <c r="F82" s="911">
        <f>'Cashflow Statement'!T55</f>
        <v>2330</v>
      </c>
      <c r="G82" s="911">
        <f>'Cashflow Statement'!U55</f>
        <v>2632</v>
      </c>
      <c r="H82" s="911">
        <f>'Cashflow Statement'!V55</f>
        <v>3747</v>
      </c>
      <c r="I82" s="911">
        <f>'Cashflow Statement'!W55</f>
        <v>5247</v>
      </c>
      <c r="J82" s="911">
        <f>'Cashflow Statement'!X55</f>
        <v>6687</v>
      </c>
      <c r="K82" s="911">
        <f>'Cashflow Statement'!Y55</f>
        <v>6676</v>
      </c>
      <c r="L82" s="911">
        <f>'Cashflow Statement'!Z55</f>
        <v>6514</v>
      </c>
      <c r="M82" s="911">
        <f>'Cashflow Statement'!AA55</f>
        <v>7326.351789321775</v>
      </c>
      <c r="N82" s="911">
        <f>'Cashflow Statement'!AB55</f>
        <v>8656.394366591212</v>
      </c>
      <c r="O82" s="911">
        <f>'Cashflow Statement'!AC55</f>
        <v>10191.541719840305</v>
      </c>
      <c r="P82" s="911">
        <f>'Cashflow Statement'!AD55</f>
        <v>12126.354601135188</v>
      </c>
      <c r="Q82" s="911">
        <f>'Cashflow Statement'!AE55</f>
        <v>15580.022431859103</v>
      </c>
      <c r="R82" s="911">
        <f>'Cashflow Statement'!AF55</f>
        <v>19331.617563934884</v>
      </c>
    </row>
    <row r="83" spans="2:18" s="1105" customFormat="1">
      <c r="B83" s="782"/>
      <c r="C83" s="784"/>
      <c r="D83" s="784"/>
      <c r="E83" s="784"/>
      <c r="F83" s="784"/>
      <c r="G83" s="784"/>
      <c r="H83" s="784"/>
      <c r="I83" s="784"/>
      <c r="J83" s="784"/>
      <c r="K83" s="784"/>
      <c r="L83" s="784"/>
      <c r="M83" s="784"/>
      <c r="N83" s="784"/>
      <c r="O83" s="784"/>
      <c r="P83" s="784"/>
      <c r="Q83" s="784"/>
      <c r="R83" s="784"/>
    </row>
    <row r="84" spans="2:18" s="1103" customFormat="1">
      <c r="B84" s="783" t="str">
        <f>'Cashflow Statement'!A57</f>
        <v>Company defined FCF</v>
      </c>
      <c r="C84" s="909">
        <f>'Cashflow Statement'!Q57</f>
        <v>929</v>
      </c>
      <c r="D84" s="909">
        <f>'Cashflow Statement'!R57</f>
        <v>1455</v>
      </c>
      <c r="E84" s="909">
        <f>'Cashflow Statement'!S57</f>
        <v>1438</v>
      </c>
      <c r="F84" s="909">
        <f>'Cashflow Statement'!T57</f>
        <v>1781</v>
      </c>
      <c r="G84" s="909">
        <f>'Cashflow Statement'!U57</f>
        <v>1983</v>
      </c>
      <c r="H84" s="909">
        <f>'Cashflow Statement'!V57</f>
        <v>1073</v>
      </c>
      <c r="I84" s="909">
        <f>'Cashflow Statement'!W57</f>
        <v>1680</v>
      </c>
      <c r="J84" s="909">
        <f>'Cashflow Statement'!X57</f>
        <v>2666</v>
      </c>
      <c r="K84" s="909">
        <f>'Cashflow Statement'!Y57</f>
        <v>2945</v>
      </c>
      <c r="L84" s="909">
        <f>'Cashflow Statement'!Z57</f>
        <v>3189</v>
      </c>
      <c r="M84" s="909">
        <f>'Cashflow Statement'!AA57</f>
        <v>3613.1854263217751</v>
      </c>
      <c r="N84" s="909">
        <f>'Cashflow Statement'!AB57</f>
        <v>4332.1968154349925</v>
      </c>
      <c r="O84" s="909">
        <f>'Cashflow Statement'!AC57</f>
        <v>4940.4466821238366</v>
      </c>
      <c r="P84" s="909">
        <f>'Cashflow Statement'!AD57</f>
        <v>5589.2571500394397</v>
      </c>
      <c r="Q84" s="909">
        <f>'Cashflow Statement'!AE57</f>
        <v>6076.0778047832791</v>
      </c>
      <c r="R84" s="909">
        <f>'Cashflow Statement'!AF57</f>
        <v>6537.6130455842185</v>
      </c>
    </row>
    <row r="85" spans="2:18" s="1105" customFormat="1">
      <c r="B85" s="782" t="str">
        <f>'Cashflow Statement'!A58</f>
        <v>% of underlying EBITA</v>
      </c>
      <c r="C85" s="784">
        <f>'Cashflow Statement'!Q58</f>
        <v>-11.329268292682928</v>
      </c>
      <c r="D85" s="784">
        <f>'Cashflow Statement'!R58</f>
        <v>-58.2</v>
      </c>
      <c r="E85" s="784">
        <f>'Cashflow Statement'!S58</f>
        <v>-39.944444444444443</v>
      </c>
      <c r="F85" s="1106">
        <f>'Cashflow Statement'!T58</f>
        <v>0.5891498511412504</v>
      </c>
      <c r="G85" s="1106">
        <f>'Cashflow Statement'!U58</f>
        <v>0.51910994764397911</v>
      </c>
      <c r="H85" s="1106">
        <f>'Cashflow Statement'!V58</f>
        <v>0.63641755634638197</v>
      </c>
      <c r="I85" s="1106">
        <f>'Cashflow Statement'!W58</f>
        <v>0.93074792243767313</v>
      </c>
      <c r="J85" s="1106">
        <f>'Cashflow Statement'!X58</f>
        <v>1.1071428571428572</v>
      </c>
      <c r="K85" s="1106">
        <f>'Cashflow Statement'!Y58</f>
        <v>0.93019583070120027</v>
      </c>
      <c r="L85" s="1106">
        <f>'Cashflow Statement'!Z58</f>
        <v>0.77421704297159499</v>
      </c>
      <c r="M85" s="1106">
        <f>'Cashflow Statement'!AA58</f>
        <v>0.69256663419752262</v>
      </c>
      <c r="N85" s="1106">
        <f>'Cashflow Statement'!AB58</f>
        <v>0.70518318075383979</v>
      </c>
      <c r="O85" s="1106">
        <f>'Cashflow Statement'!AC58</f>
        <v>0.70779813619736176</v>
      </c>
      <c r="P85" s="1106">
        <f>'Cashflow Statement'!AD58</f>
        <v>0.72563038133794155</v>
      </c>
      <c r="Q85" s="1106">
        <f>'Cashflow Statement'!AE58</f>
        <v>0.73775265614526542</v>
      </c>
      <c r="R85" s="1106">
        <f>'Cashflow Statement'!AF58</f>
        <v>0.74400574469218483</v>
      </c>
    </row>
    <row r="86" spans="2:18" s="1103" customFormat="1">
      <c r="B86" s="910" t="str">
        <f>'Cashflow Statement'!A59</f>
        <v>FCF per share</v>
      </c>
      <c r="C86" s="911">
        <f>'Cashflow Statement'!Q59</f>
        <v>0</v>
      </c>
      <c r="D86" s="911">
        <f>'Cashflow Statement'!R59</f>
        <v>0</v>
      </c>
      <c r="E86" s="911">
        <f>'Cashflow Statement'!S59</f>
        <v>0</v>
      </c>
      <c r="F86" s="1107">
        <f>'Cashflow Statement'!T59</f>
        <v>4.1330962825084789</v>
      </c>
      <c r="G86" s="1107">
        <f>'Cashflow Statement'!U59</f>
        <v>4.6145965735370797</v>
      </c>
      <c r="H86" s="1107">
        <f>'Cashflow Statement'!V59</f>
        <v>2.5185680904342549</v>
      </c>
      <c r="I86" s="1107">
        <f>'Cashflow Statement'!W59</f>
        <v>3.9376498921804663</v>
      </c>
      <c r="J86" s="1107">
        <f>'Cashflow Statement'!X59</f>
        <v>6.2482326214286292</v>
      </c>
      <c r="K86" s="1107">
        <f>'Cashflow Statement'!Y59</f>
        <v>7.0489032466630821</v>
      </c>
      <c r="L86" s="1107">
        <f>'Cashflow Statement'!Z59</f>
        <v>7.6631109015069656</v>
      </c>
      <c r="M86" s="1107">
        <f>'Cashflow Statement'!AA59</f>
        <v>8.777050859350112</v>
      </c>
      <c r="N86" s="1107">
        <f>'Cashflow Statement'!AB59</f>
        <v>10.639614916411707</v>
      </c>
      <c r="O86" s="1107">
        <f>'Cashflow Statement'!AC59</f>
        <v>12.268629432057486</v>
      </c>
      <c r="P86" s="1107">
        <f>'Cashflow Statement'!AD59</f>
        <v>14.036212745813339</v>
      </c>
      <c r="Q86" s="1107">
        <f>'Cashflow Statement'!AE59</f>
        <v>15.25875772730385</v>
      </c>
      <c r="R86" s="1107">
        <f>'Cashflow Statement'!AF59</f>
        <v>16.417803850190943</v>
      </c>
    </row>
    <row r="87" spans="2:18" s="1105" customFormat="1">
      <c r="B87" s="782"/>
      <c r="C87" s="784"/>
      <c r="D87" s="784"/>
      <c r="E87" s="784"/>
      <c r="F87" s="784"/>
      <c r="G87" s="784"/>
      <c r="H87" s="784"/>
      <c r="I87" s="784"/>
      <c r="J87" s="784"/>
      <c r="K87" s="784"/>
      <c r="L87" s="784"/>
      <c r="M87" s="784"/>
      <c r="N87" s="784"/>
      <c r="O87" s="784"/>
      <c r="P87" s="784"/>
      <c r="Q87" s="784"/>
      <c r="R87" s="784"/>
    </row>
    <row r="88" spans="2:18" s="1105" customFormat="1">
      <c r="B88" s="782"/>
      <c r="C88" s="784"/>
      <c r="D88" s="784"/>
      <c r="E88" s="784"/>
      <c r="F88" s="784"/>
      <c r="G88" s="784"/>
      <c r="H88" s="784"/>
      <c r="I88" s="784"/>
      <c r="J88" s="784"/>
      <c r="K88" s="784"/>
      <c r="L88" s="784"/>
      <c r="M88" s="784"/>
      <c r="N88" s="784"/>
      <c r="O88" s="784"/>
      <c r="P88" s="784"/>
      <c r="Q88" s="784"/>
      <c r="R88" s="784"/>
    </row>
    <row r="89" spans="2:18" s="1105" customFormat="1">
      <c r="B89" s="1103"/>
      <c r="C89" s="1104"/>
      <c r="D89" s="1104"/>
      <c r="E89" s="1104"/>
      <c r="F89" s="1104"/>
      <c r="G89" s="1104"/>
      <c r="H89" s="1104"/>
      <c r="I89" s="1104"/>
      <c r="J89" s="1104"/>
      <c r="K89" s="1104"/>
      <c r="L89" s="1104"/>
      <c r="M89" s="1104"/>
      <c r="N89" s="1104"/>
      <c r="O89" s="1104"/>
      <c r="P89" s="1104"/>
      <c r="Q89" s="1104"/>
      <c r="R89" s="1104"/>
    </row>
    <row r="92" spans="2:18" ht="12.75">
      <c r="B92" s="907" t="s">
        <v>652</v>
      </c>
      <c r="C92" s="908">
        <f t="shared" ref="C92:J92" si="11">C40</f>
        <v>2015</v>
      </c>
      <c r="D92" s="908" t="str">
        <f t="shared" si="11"/>
        <v>2016E</v>
      </c>
      <c r="E92" s="908">
        <f t="shared" si="11"/>
        <v>2017</v>
      </c>
      <c r="F92" s="1144">
        <f t="shared" si="11"/>
        <v>2018</v>
      </c>
      <c r="G92" s="1144">
        <f t="shared" si="11"/>
        <v>2019</v>
      </c>
      <c r="H92" s="1144">
        <f t="shared" si="11"/>
        <v>2020</v>
      </c>
      <c r="I92" s="1144">
        <f t="shared" si="11"/>
        <v>2021</v>
      </c>
      <c r="J92" s="1144">
        <f t="shared" si="11"/>
        <v>2022</v>
      </c>
      <c r="K92" s="1144">
        <f>K40</f>
        <v>2023</v>
      </c>
      <c r="L92" s="1144">
        <f>L40</f>
        <v>2024</v>
      </c>
      <c r="M92" s="1056">
        <f>M40</f>
        <v>2025</v>
      </c>
      <c r="N92" s="1056">
        <f>N40</f>
        <v>2026</v>
      </c>
      <c r="O92" s="1056">
        <f t="shared" ref="O92:Q92" si="12">O40</f>
        <v>2027</v>
      </c>
      <c r="P92" s="1056">
        <f t="shared" si="12"/>
        <v>2028</v>
      </c>
      <c r="Q92" s="1056">
        <f t="shared" si="12"/>
        <v>2029</v>
      </c>
      <c r="R92" s="1056">
        <f t="shared" ref="R92" si="13">R40</f>
        <v>2030</v>
      </c>
    </row>
    <row r="93" spans="2:18">
      <c r="B93" s="782" t="str">
        <f>'Balance Sheet'!A4</f>
        <v>Goodwill</v>
      </c>
      <c r="C93" s="784"/>
      <c r="D93" s="784"/>
      <c r="E93" s="784"/>
      <c r="F93" s="784">
        <f>'Balance Sheet'!T4</f>
        <v>5173</v>
      </c>
      <c r="G93" s="784">
        <f>'Balance Sheet'!U4</f>
        <v>5199</v>
      </c>
      <c r="H93" s="784">
        <f>'Balance Sheet'!V4</f>
        <v>5060</v>
      </c>
      <c r="I93" s="784">
        <f>'Balance Sheet'!W4</f>
        <v>5068</v>
      </c>
      <c r="J93" s="784">
        <f>'Balance Sheet'!X4</f>
        <v>4994</v>
      </c>
      <c r="K93" s="784">
        <f>'Balance Sheet'!Y4</f>
        <v>4706</v>
      </c>
      <c r="L93" s="784">
        <f>'Balance Sheet'!Z4</f>
        <v>4937</v>
      </c>
      <c r="M93" s="784">
        <f>'Balance Sheet'!AA4</f>
        <v>5109</v>
      </c>
      <c r="N93" s="784">
        <f>'Balance Sheet'!AB4</f>
        <v>5281</v>
      </c>
      <c r="O93" s="784">
        <f>'Balance Sheet'!AC4</f>
        <v>5453</v>
      </c>
      <c r="P93" s="784">
        <f>'Balance Sheet'!AD4</f>
        <v>5625</v>
      </c>
      <c r="Q93" s="784">
        <f>'Balance Sheet'!AE4</f>
        <v>5797</v>
      </c>
      <c r="R93" s="784">
        <f>'Balance Sheet'!AF4</f>
        <v>5969</v>
      </c>
    </row>
    <row r="94" spans="2:18">
      <c r="B94" s="782" t="str">
        <f>'Balance Sheet'!A5</f>
        <v>Intangible Assets</v>
      </c>
      <c r="C94" s="784"/>
      <c r="D94" s="784"/>
      <c r="E94" s="784"/>
      <c r="F94" s="784">
        <f>'Balance Sheet'!T5</f>
        <v>9757</v>
      </c>
      <c r="G94" s="784">
        <f>'Balance Sheet'!U5</f>
        <v>9479</v>
      </c>
      <c r="H94" s="784">
        <f>'Balance Sheet'!V5</f>
        <v>8676</v>
      </c>
      <c r="I94" s="784">
        <f>'Balance Sheet'!W5</f>
        <v>8382</v>
      </c>
      <c r="J94" s="784">
        <f>'Balance Sheet'!X5</f>
        <v>8096</v>
      </c>
      <c r="K94" s="784">
        <f>'Balance Sheet'!Y5</f>
        <v>7830</v>
      </c>
      <c r="L94" s="784">
        <f>'Balance Sheet'!Z5</f>
        <v>7947</v>
      </c>
      <c r="M94" s="784">
        <f>'Balance Sheet'!AA5</f>
        <v>7612.4351615179366</v>
      </c>
      <c r="N94" s="784">
        <f>'Balance Sheet'!AB5</f>
        <v>7092.8232081915203</v>
      </c>
      <c r="O94" s="784">
        <f>'Balance Sheet'!AC5</f>
        <v>6544.3119961009852</v>
      </c>
      <c r="P94" s="784">
        <f>'Balance Sheet'!AD5</f>
        <v>5910.4133969596451</v>
      </c>
      <c r="Q94" s="784">
        <f>'Balance Sheet'!AE5</f>
        <v>5211.0351697226379</v>
      </c>
      <c r="R94" s="784">
        <f>'Balance Sheet'!AF5</f>
        <v>4450.9973046204932</v>
      </c>
    </row>
    <row r="95" spans="2:18">
      <c r="B95" s="782" t="str">
        <f>'Balance Sheet'!A6</f>
        <v>PP&amp;E</v>
      </c>
      <c r="C95" s="784"/>
      <c r="D95" s="784"/>
      <c r="E95" s="784"/>
      <c r="F95" s="784">
        <f>'Balance Sheet'!T6</f>
        <v>4454</v>
      </c>
      <c r="G95" s="784">
        <f>'Balance Sheet'!U6</f>
        <v>4398</v>
      </c>
      <c r="H95" s="784">
        <f>'Balance Sheet'!V6</f>
        <v>4055</v>
      </c>
      <c r="I95" s="784">
        <f>'Balance Sheet'!W6</f>
        <v>3937</v>
      </c>
      <c r="J95" s="784">
        <f>'Balance Sheet'!X6</f>
        <v>3847</v>
      </c>
      <c r="K95" s="784">
        <f>'Balance Sheet'!Y6</f>
        <v>4121</v>
      </c>
      <c r="L95" s="784">
        <f>'Balance Sheet'!Z6</f>
        <v>4629</v>
      </c>
      <c r="M95" s="784">
        <f>'Balance Sheet'!AA6</f>
        <v>5662.5657518162852</v>
      </c>
      <c r="N95" s="784">
        <f>'Balance Sheet'!AB6</f>
        <v>6629.7246730457919</v>
      </c>
      <c r="O95" s="784">
        <f>'Balance Sheet'!AC6</f>
        <v>7480.5364752116166</v>
      </c>
      <c r="P95" s="784">
        <f>'Balance Sheet'!AD6</f>
        <v>8172.7019229311891</v>
      </c>
      <c r="Q95" s="784">
        <f>'Balance Sheet'!AE6</f>
        <v>8670.5336743367006</v>
      </c>
      <c r="R95" s="784">
        <f>'Balance Sheet'!AF6</f>
        <v>8950.2498305501322</v>
      </c>
    </row>
    <row r="96" spans="2:18">
      <c r="B96" s="782" t="str">
        <f>'Balance Sheet'!A7</f>
        <v>Non-current financial assets</v>
      </c>
      <c r="C96" s="784"/>
      <c r="D96" s="784"/>
      <c r="E96" s="784"/>
      <c r="F96" s="784">
        <f>'Balance Sheet'!T7</f>
        <v>416</v>
      </c>
      <c r="G96" s="784">
        <f>'Balance Sheet'!U7</f>
        <v>429</v>
      </c>
      <c r="H96" s="784">
        <f>'Balance Sheet'!V7</f>
        <v>431</v>
      </c>
      <c r="I96" s="784">
        <f>'Balance Sheet'!W7</f>
        <v>688</v>
      </c>
      <c r="J96" s="784">
        <f>'Balance Sheet'!X7</f>
        <v>752</v>
      </c>
      <c r="K96" s="784">
        <f>'Balance Sheet'!Y7</f>
        <v>997</v>
      </c>
      <c r="L96" s="784">
        <f>'Balance Sheet'!Z7</f>
        <v>1073</v>
      </c>
      <c r="M96" s="784">
        <f>'Balance Sheet'!AA7</f>
        <v>1073</v>
      </c>
      <c r="N96" s="784">
        <f>'Balance Sheet'!AB7</f>
        <v>1073</v>
      </c>
      <c r="O96" s="784">
        <f>'Balance Sheet'!AC7</f>
        <v>1073</v>
      </c>
      <c r="P96" s="784">
        <f>'Balance Sheet'!AD7</f>
        <v>1073</v>
      </c>
      <c r="Q96" s="784">
        <f>'Balance Sheet'!AE7</f>
        <v>1073</v>
      </c>
      <c r="R96" s="784">
        <f>'Balance Sheet'!AF7</f>
        <v>1073</v>
      </c>
    </row>
    <row r="97" spans="2:18">
      <c r="B97" s="782" t="str">
        <f>'Balance Sheet'!A8</f>
        <v>Investments in associates</v>
      </c>
      <c r="C97" s="784"/>
      <c r="D97" s="784"/>
      <c r="E97" s="784"/>
      <c r="F97" s="784">
        <f>'Balance Sheet'!T8</f>
        <v>2253</v>
      </c>
      <c r="G97" s="784">
        <f>'Balance Sheet'!U8</f>
        <v>2211</v>
      </c>
      <c r="H97" s="784">
        <f>'Balance Sheet'!V8</f>
        <v>2126</v>
      </c>
      <c r="I97" s="784">
        <f>'Balance Sheet'!W8</f>
        <v>1969</v>
      </c>
      <c r="J97" s="784">
        <f>'Balance Sheet'!X8</f>
        <v>1974</v>
      </c>
      <c r="K97" s="784">
        <f>'Balance Sheet'!Y8</f>
        <v>1928</v>
      </c>
      <c r="L97" s="784">
        <f>'Balance Sheet'!Z8</f>
        <v>1894</v>
      </c>
      <c r="M97" s="784">
        <f>'Balance Sheet'!AA8</f>
        <v>1894</v>
      </c>
      <c r="N97" s="784">
        <f>'Balance Sheet'!AB8</f>
        <v>1894</v>
      </c>
      <c r="O97" s="784">
        <f>'Balance Sheet'!AC8</f>
        <v>1894</v>
      </c>
      <c r="P97" s="784">
        <f>'Balance Sheet'!AD8</f>
        <v>1894</v>
      </c>
      <c r="Q97" s="784">
        <f>'Balance Sheet'!AE8</f>
        <v>1894</v>
      </c>
      <c r="R97" s="784">
        <f>'Balance Sheet'!AF8</f>
        <v>1894</v>
      </c>
    </row>
    <row r="98" spans="2:18">
      <c r="B98" s="782" t="str">
        <f>'Balance Sheet'!A9</f>
        <v>Non-current derivatives</v>
      </c>
      <c r="C98" s="784"/>
      <c r="D98" s="784"/>
      <c r="E98" s="784"/>
      <c r="F98" s="784">
        <f>'Balance Sheet'!T9</f>
        <v>13</v>
      </c>
      <c r="G98" s="784">
        <f>'Balance Sheet'!U9</f>
        <v>33</v>
      </c>
      <c r="H98" s="784">
        <f>'Balance Sheet'!V9</f>
        <v>52</v>
      </c>
      <c r="I98" s="784">
        <f>'Balance Sheet'!W9</f>
        <v>23</v>
      </c>
      <c r="J98" s="784">
        <f>'Balance Sheet'!X9</f>
        <v>18</v>
      </c>
      <c r="K98" s="784">
        <f>'Balance Sheet'!Y9</f>
        <v>0</v>
      </c>
      <c r="L98" s="784">
        <f>'Balance Sheet'!Z9</f>
        <v>4</v>
      </c>
      <c r="M98" s="784">
        <f>'Balance Sheet'!AA9</f>
        <v>4</v>
      </c>
      <c r="N98" s="784">
        <f>'Balance Sheet'!AB9</f>
        <v>4</v>
      </c>
      <c r="O98" s="784">
        <f>'Balance Sheet'!AC9</f>
        <v>4</v>
      </c>
      <c r="P98" s="784">
        <f>'Balance Sheet'!AD9</f>
        <v>4</v>
      </c>
      <c r="Q98" s="784">
        <f>'Balance Sheet'!AE9</f>
        <v>4</v>
      </c>
      <c r="R98" s="784">
        <f>'Balance Sheet'!AF9</f>
        <v>4</v>
      </c>
    </row>
    <row r="99" spans="2:18">
      <c r="B99" s="782" t="str">
        <f>'Balance Sheet'!A10</f>
        <v>Deferred tax assets</v>
      </c>
      <c r="C99" s="784"/>
      <c r="D99" s="784"/>
      <c r="E99" s="784"/>
      <c r="F99" s="784">
        <f>'Balance Sheet'!T10</f>
        <v>391</v>
      </c>
      <c r="G99" s="784">
        <f>'Balance Sheet'!U10</f>
        <v>251</v>
      </c>
      <c r="H99" s="784">
        <f>'Balance Sheet'!V10</f>
        <v>316</v>
      </c>
      <c r="I99" s="784">
        <f>'Balance Sheet'!W10</f>
        <v>449</v>
      </c>
      <c r="J99" s="784">
        <f>'Balance Sheet'!X10</f>
        <v>1576</v>
      </c>
      <c r="K99" s="784">
        <f>'Balance Sheet'!Y10</f>
        <v>1122</v>
      </c>
      <c r="L99" s="784">
        <f>'Balance Sheet'!Z10</f>
        <v>2349</v>
      </c>
      <c r="M99" s="784">
        <f>'Balance Sheet'!AA10</f>
        <v>2349</v>
      </c>
      <c r="N99" s="784">
        <f>'Balance Sheet'!AB10</f>
        <v>2349</v>
      </c>
      <c r="O99" s="784">
        <f>'Balance Sheet'!AC10</f>
        <v>2349</v>
      </c>
      <c r="P99" s="784">
        <f>'Balance Sheet'!AD10</f>
        <v>2349</v>
      </c>
      <c r="Q99" s="784">
        <f>'Balance Sheet'!AE10</f>
        <v>2349</v>
      </c>
      <c r="R99" s="784">
        <f>'Balance Sheet'!AF10</f>
        <v>2349</v>
      </c>
    </row>
    <row r="100" spans="2:18">
      <c r="B100" s="782" t="str">
        <f>'Balance Sheet'!A11</f>
        <v>Right of use Asset</v>
      </c>
      <c r="C100" s="784"/>
      <c r="D100" s="784"/>
      <c r="E100" s="784"/>
      <c r="F100" s="784">
        <f>'Balance Sheet'!T11</f>
        <v>0</v>
      </c>
      <c r="G100" s="784">
        <f>'Balance Sheet'!U11</f>
        <v>732</v>
      </c>
      <c r="H100" s="784">
        <f>'Balance Sheet'!V11</f>
        <v>623</v>
      </c>
      <c r="I100" s="784">
        <f>'Balance Sheet'!W11</f>
        <v>606</v>
      </c>
      <c r="J100" s="784">
        <f>'Balance Sheet'!X11</f>
        <v>566</v>
      </c>
      <c r="K100" s="784">
        <f>'Balance Sheet'!Y11</f>
        <v>582</v>
      </c>
      <c r="L100" s="784">
        <f>'Balance Sheet'!Z11</f>
        <v>653</v>
      </c>
      <c r="M100" s="784">
        <f>'Balance Sheet'!AA11</f>
        <v>653</v>
      </c>
      <c r="N100" s="784">
        <f>'Balance Sheet'!AB11</f>
        <v>653</v>
      </c>
      <c r="O100" s="784">
        <f>'Balance Sheet'!AC11</f>
        <v>653</v>
      </c>
      <c r="P100" s="784">
        <f>'Balance Sheet'!AD11</f>
        <v>653</v>
      </c>
      <c r="Q100" s="784">
        <f>'Balance Sheet'!AE11</f>
        <v>653</v>
      </c>
      <c r="R100" s="784">
        <f>'Balance Sheet'!AF11</f>
        <v>653</v>
      </c>
    </row>
    <row r="101" spans="2:18">
      <c r="B101" s="782" t="str">
        <f>'Balance Sheet'!A12</f>
        <v>Other non-current financial assets</v>
      </c>
      <c r="C101" s="784"/>
      <c r="D101" s="784"/>
      <c r="E101" s="784"/>
      <c r="F101" s="784">
        <f>'Balance Sheet'!T12</f>
        <v>4</v>
      </c>
      <c r="G101" s="784">
        <f>'Balance Sheet'!U12</f>
        <v>4</v>
      </c>
      <c r="H101" s="784">
        <f>'Balance Sheet'!V12</f>
        <v>4</v>
      </c>
      <c r="I101" s="784">
        <f>'Balance Sheet'!W12</f>
        <v>11</v>
      </c>
      <c r="J101" s="784">
        <f>'Balance Sheet'!X12</f>
        <v>8</v>
      </c>
      <c r="K101" s="784">
        <f>'Balance Sheet'!Y12</f>
        <v>7</v>
      </c>
      <c r="L101" s="784">
        <f>'Balance Sheet'!Z12</f>
        <v>3</v>
      </c>
      <c r="M101" s="784">
        <f>'Balance Sheet'!AA12</f>
        <v>3</v>
      </c>
      <c r="N101" s="784">
        <f>'Balance Sheet'!AB12</f>
        <v>3</v>
      </c>
      <c r="O101" s="784">
        <f>'Balance Sheet'!AC12</f>
        <v>3</v>
      </c>
      <c r="P101" s="784">
        <f>'Balance Sheet'!AD12</f>
        <v>3</v>
      </c>
      <c r="Q101" s="784">
        <f>'Balance Sheet'!AE12</f>
        <v>3</v>
      </c>
      <c r="R101" s="784">
        <f>'Balance Sheet'!AF12</f>
        <v>3</v>
      </c>
    </row>
    <row r="102" spans="2:18" hidden="1">
      <c r="B102" s="782" t="str">
        <f>'Balance Sheet'!A13</f>
        <v xml:space="preserve">Other </v>
      </c>
      <c r="C102" s="784"/>
      <c r="D102" s="784"/>
      <c r="E102" s="784"/>
      <c r="F102" s="784">
        <f>F103-SUM(F93:F101)</f>
        <v>0</v>
      </c>
      <c r="G102" s="784">
        <f t="shared" ref="G102:Q102" si="14">G103-SUM(G93:G101)</f>
        <v>0</v>
      </c>
      <c r="H102" s="784">
        <f t="shared" si="14"/>
        <v>0</v>
      </c>
      <c r="I102" s="784">
        <f t="shared" si="14"/>
        <v>0</v>
      </c>
      <c r="J102" s="784">
        <f t="shared" si="14"/>
        <v>0</v>
      </c>
      <c r="K102" s="784">
        <f t="shared" si="14"/>
        <v>0</v>
      </c>
      <c r="L102" s="784">
        <f t="shared" si="14"/>
        <v>0</v>
      </c>
      <c r="M102" s="784">
        <f t="shared" si="14"/>
        <v>0</v>
      </c>
      <c r="N102" s="784">
        <f t="shared" si="14"/>
        <v>0</v>
      </c>
      <c r="O102" s="784">
        <f t="shared" si="14"/>
        <v>0</v>
      </c>
      <c r="P102" s="784">
        <f t="shared" si="14"/>
        <v>0</v>
      </c>
      <c r="Q102" s="784">
        <f t="shared" si="14"/>
        <v>0</v>
      </c>
      <c r="R102" s="784">
        <f t="shared" ref="R102" si="15">R103-SUM(R93:R101)</f>
        <v>0</v>
      </c>
    </row>
    <row r="103" spans="2:18" s="783" customFormat="1">
      <c r="B103" s="910" t="str">
        <f>'Balance Sheet'!A14</f>
        <v>Non-current assets</v>
      </c>
      <c r="C103" s="911"/>
      <c r="D103" s="911"/>
      <c r="E103" s="911"/>
      <c r="F103" s="911">
        <f>'Balance Sheet'!T14</f>
        <v>22461</v>
      </c>
      <c r="G103" s="911">
        <f>'Balance Sheet'!U14</f>
        <v>22736</v>
      </c>
      <c r="H103" s="911">
        <f>'Balance Sheet'!V14</f>
        <v>21343</v>
      </c>
      <c r="I103" s="911">
        <f>'Balance Sheet'!W14</f>
        <v>21133</v>
      </c>
      <c r="J103" s="911">
        <f>'Balance Sheet'!X14</f>
        <v>21831</v>
      </c>
      <c r="K103" s="911">
        <f>'Balance Sheet'!Y14</f>
        <v>21293</v>
      </c>
      <c r="L103" s="911">
        <f>'Balance Sheet'!Z14</f>
        <v>23489</v>
      </c>
      <c r="M103" s="911">
        <f>'Balance Sheet'!AA14</f>
        <v>24360.000913334221</v>
      </c>
      <c r="N103" s="911">
        <f>'Balance Sheet'!AB14</f>
        <v>24979.547881237311</v>
      </c>
      <c r="O103" s="911">
        <f>'Balance Sheet'!AC14</f>
        <v>25453.848471312602</v>
      </c>
      <c r="P103" s="911">
        <f>'Balance Sheet'!AD14</f>
        <v>25684.115319890832</v>
      </c>
      <c r="Q103" s="911">
        <f>'Balance Sheet'!AE14</f>
        <v>25654.568844059337</v>
      </c>
      <c r="R103" s="911">
        <f>'Balance Sheet'!AF14</f>
        <v>25346.247135170626</v>
      </c>
    </row>
    <row r="104" spans="2:18">
      <c r="C104" s="784"/>
      <c r="D104" s="784"/>
      <c r="E104" s="784"/>
      <c r="F104" s="784"/>
      <c r="G104" s="784"/>
      <c r="H104" s="784"/>
      <c r="I104" s="784"/>
      <c r="J104" s="784"/>
      <c r="K104" s="784"/>
      <c r="L104" s="784"/>
      <c r="M104" s="784"/>
      <c r="N104" s="784"/>
      <c r="O104" s="784"/>
      <c r="P104" s="784"/>
      <c r="Q104" s="784"/>
      <c r="R104" s="784"/>
    </row>
    <row r="105" spans="2:18">
      <c r="B105" s="782" t="str">
        <f>'Balance Sheet'!A16</f>
        <v>Current financial assets</v>
      </c>
      <c r="C105" s="784"/>
      <c r="D105" s="784"/>
      <c r="E105" s="784"/>
      <c r="F105" s="784">
        <f>'Balance Sheet'!T16</f>
        <v>185</v>
      </c>
      <c r="G105" s="784">
        <f>'Balance Sheet'!U16</f>
        <v>143</v>
      </c>
      <c r="H105" s="784">
        <f>'Balance Sheet'!V16</f>
        <v>126</v>
      </c>
      <c r="I105" s="784">
        <f>'Balance Sheet'!W16</f>
        <v>104</v>
      </c>
      <c r="J105" s="784">
        <f>'Balance Sheet'!X16</f>
        <v>242</v>
      </c>
      <c r="K105" s="784">
        <f>'Balance Sheet'!Y16</f>
        <v>270</v>
      </c>
      <c r="L105" s="784">
        <f>'Balance Sheet'!Z16</f>
        <v>243</v>
      </c>
      <c r="M105" s="784">
        <f>'Balance Sheet'!AA16</f>
        <v>243</v>
      </c>
      <c r="N105" s="784">
        <f>'Balance Sheet'!AB16</f>
        <v>243</v>
      </c>
      <c r="O105" s="784">
        <f>'Balance Sheet'!AC16</f>
        <v>243</v>
      </c>
      <c r="P105" s="784">
        <f>'Balance Sheet'!AD16</f>
        <v>243</v>
      </c>
      <c r="Q105" s="784">
        <f>'Balance Sheet'!AE16</f>
        <v>243</v>
      </c>
      <c r="R105" s="784">
        <f>'Balance Sheet'!AF16</f>
        <v>243</v>
      </c>
    </row>
    <row r="106" spans="2:18">
      <c r="B106" s="782" t="str">
        <f>'Balance Sheet'!A17</f>
        <v>Current derivatives</v>
      </c>
      <c r="C106" s="784"/>
      <c r="D106" s="784"/>
      <c r="E106" s="784"/>
      <c r="F106" s="784">
        <f>'Balance Sheet'!T17</f>
        <v>740</v>
      </c>
      <c r="G106" s="784">
        <f>'Balance Sheet'!U17</f>
        <v>674</v>
      </c>
      <c r="H106" s="784">
        <f>'Balance Sheet'!V17</f>
        <v>694</v>
      </c>
      <c r="I106" s="784">
        <f>'Balance Sheet'!W17</f>
        <v>705</v>
      </c>
      <c r="J106" s="784">
        <f>'Balance Sheet'!X17</f>
        <v>540</v>
      </c>
      <c r="K106" s="784">
        <f>'Balance Sheet'!Y17</f>
        <v>1577</v>
      </c>
      <c r="L106" s="784">
        <f>'Balance Sheet'!Z17</f>
        <v>952</v>
      </c>
      <c r="M106" s="784">
        <f>'Balance Sheet'!AA17</f>
        <v>952</v>
      </c>
      <c r="N106" s="784">
        <f>'Balance Sheet'!AB17</f>
        <v>952</v>
      </c>
      <c r="O106" s="784">
        <f>'Balance Sheet'!AC17</f>
        <v>952</v>
      </c>
      <c r="P106" s="784">
        <f>'Balance Sheet'!AD17</f>
        <v>952</v>
      </c>
      <c r="Q106" s="784">
        <f>'Balance Sheet'!AE17</f>
        <v>952</v>
      </c>
      <c r="R106" s="784">
        <f>'Balance Sheet'!AF17</f>
        <v>952</v>
      </c>
    </row>
    <row r="107" spans="2:18">
      <c r="B107" s="782" t="str">
        <f>'Balance Sheet'!A18</f>
        <v>Inventories and work-in-progress</v>
      </c>
      <c r="C107" s="784"/>
      <c r="D107" s="784"/>
      <c r="E107" s="784"/>
      <c r="F107" s="784">
        <f>'Balance Sheet'!T18</f>
        <v>5558</v>
      </c>
      <c r="G107" s="784">
        <f>'Balance Sheet'!U18</f>
        <v>6312</v>
      </c>
      <c r="H107" s="784">
        <f>'Balance Sheet'!V18</f>
        <v>5190</v>
      </c>
      <c r="I107" s="784">
        <f>'Balance Sheet'!W18</f>
        <v>5063</v>
      </c>
      <c r="J107" s="784">
        <f>'Balance Sheet'!X18</f>
        <v>6408</v>
      </c>
      <c r="K107" s="784">
        <f>'Balance Sheet'!Y18</f>
        <v>7903</v>
      </c>
      <c r="L107" s="784">
        <f>'Balance Sheet'!Z18</f>
        <v>9491</v>
      </c>
      <c r="M107" s="784">
        <f>'Balance Sheet'!AA18</f>
        <v>10156.157104287026</v>
      </c>
      <c r="N107" s="784">
        <f>'Balance Sheet'!AB18</f>
        <v>10293.558868923603</v>
      </c>
      <c r="O107" s="784">
        <f>'Balance Sheet'!AC18</f>
        <v>11141.109369642465</v>
      </c>
      <c r="P107" s="784">
        <f>'Balance Sheet'!AD18</f>
        <v>12007.108921991701</v>
      </c>
      <c r="Q107" s="784">
        <f>'Balance Sheet'!AE18</f>
        <v>12811.994979762158</v>
      </c>
      <c r="R107" s="784">
        <f>'Balance Sheet'!AF18</f>
        <v>13507.854590573736</v>
      </c>
    </row>
    <row r="108" spans="2:18">
      <c r="B108" s="782" t="str">
        <f>'Balance Sheet'!A19</f>
        <v>DIO</v>
      </c>
      <c r="C108" s="784"/>
      <c r="D108" s="784"/>
      <c r="E108" s="784"/>
      <c r="F108" s="784">
        <f>'Balance Sheet'!T19</f>
        <v>0</v>
      </c>
      <c r="G108" s="784">
        <f>'Balance Sheet'!U19</f>
        <v>0</v>
      </c>
      <c r="H108" s="784">
        <f>'Balance Sheet'!V19</f>
        <v>0</v>
      </c>
      <c r="I108" s="784">
        <f>'Balance Sheet'!W19</f>
        <v>231.02825353169146</v>
      </c>
      <c r="J108" s="784">
        <f>'Balance Sheet'!X19</f>
        <v>199.49846468781985</v>
      </c>
      <c r="K108" s="784">
        <f>'Balance Sheet'!Y19</f>
        <v>204.98827458783401</v>
      </c>
      <c r="L108" s="784">
        <f>'Balance Sheet'!Z19</f>
        <v>217.0560776942356</v>
      </c>
      <c r="M108" s="784">
        <f>'Balance Sheet'!AA19</f>
        <v>204</v>
      </c>
      <c r="N108" s="784">
        <f>'Balance Sheet'!AB19</f>
        <v>183</v>
      </c>
      <c r="O108" s="784">
        <f>'Balance Sheet'!AC19</f>
        <v>180</v>
      </c>
      <c r="P108" s="784">
        <f>'Balance Sheet'!AD19</f>
        <v>180</v>
      </c>
      <c r="Q108" s="784">
        <f>'Balance Sheet'!AE19</f>
        <v>182</v>
      </c>
      <c r="R108" s="784">
        <f>'Balance Sheet'!AF19</f>
        <v>183</v>
      </c>
    </row>
    <row r="109" spans="2:18">
      <c r="B109" s="782" t="str">
        <f>'Balance Sheet'!A20</f>
        <v>Trade and Other receivables</v>
      </c>
      <c r="C109" s="784"/>
      <c r="D109" s="784"/>
      <c r="E109" s="784"/>
      <c r="F109" s="784">
        <f>'Balance Sheet'!T20</f>
        <v>6580</v>
      </c>
      <c r="G109" s="784">
        <f>'Balance Sheet'!U20</f>
        <v>7639</v>
      </c>
      <c r="H109" s="784">
        <f>'Balance Sheet'!V20</f>
        <v>5769</v>
      </c>
      <c r="I109" s="784">
        <f>'Balance Sheet'!W20</f>
        <v>6504</v>
      </c>
      <c r="J109" s="784">
        <f>'Balance Sheet'!X20</f>
        <v>7904</v>
      </c>
      <c r="K109" s="784">
        <f>'Balance Sheet'!Y20</f>
        <v>9417</v>
      </c>
      <c r="L109" s="784">
        <f>'Balance Sheet'!Z20</f>
        <v>10572</v>
      </c>
      <c r="M109" s="784">
        <f>'Balance Sheet'!AA20</f>
        <v>11152.869455812348</v>
      </c>
      <c r="N109" s="784">
        <f>'Balance Sheet'!AB20</f>
        <v>12503.226486372721</v>
      </c>
      <c r="O109" s="784">
        <f>'Balance Sheet'!AC20</f>
        <v>13435.802496214954</v>
      </c>
      <c r="P109" s="784">
        <f>'Balance Sheet'!AD20</f>
        <v>14364.327425981037</v>
      </c>
      <c r="Q109" s="784">
        <f>'Balance Sheet'!AE20</f>
        <v>15158.796494852142</v>
      </c>
      <c r="R109" s="784">
        <f>'Balance Sheet'!AF20</f>
        <v>15894.784273254983</v>
      </c>
    </row>
    <row r="110" spans="2:18">
      <c r="B110" s="782" t="str">
        <f>'Balance Sheet'!A21</f>
        <v>DSO</v>
      </c>
      <c r="C110" s="784"/>
      <c r="D110" s="784"/>
      <c r="E110" s="784"/>
      <c r="F110" s="784">
        <f>'Balance Sheet'!T21</f>
        <v>0</v>
      </c>
      <c r="G110" s="784">
        <f>'Balance Sheet'!U21</f>
        <v>0</v>
      </c>
      <c r="H110" s="784">
        <f>'Balance Sheet'!V21</f>
        <v>0</v>
      </c>
      <c r="I110" s="784">
        <f>'Balance Sheet'!W21</f>
        <v>155.59808612440193</v>
      </c>
      <c r="J110" s="784">
        <f>'Balance Sheet'!X21</f>
        <v>151.56080903598635</v>
      </c>
      <c r="K110" s="784">
        <f>'Balance Sheet'!Y21</f>
        <v>148.1617742144058</v>
      </c>
      <c r="L110" s="784">
        <f>'Balance Sheet'!Z21</f>
        <v>141.25928908738149</v>
      </c>
      <c r="M110" s="784">
        <f>'Balance Sheet'!AA21</f>
        <v>129</v>
      </c>
      <c r="N110" s="784">
        <f>'Balance Sheet'!AB21</f>
        <v>128</v>
      </c>
      <c r="O110" s="784">
        <f>'Balance Sheet'!AC21</f>
        <v>125</v>
      </c>
      <c r="P110" s="784">
        <f>'Balance Sheet'!AD21</f>
        <v>124</v>
      </c>
      <c r="Q110" s="784">
        <f>'Balance Sheet'!AE21</f>
        <v>124</v>
      </c>
      <c r="R110" s="784">
        <f>'Balance Sheet'!AF21</f>
        <v>124</v>
      </c>
    </row>
    <row r="111" spans="2:18">
      <c r="B111" s="782" t="str">
        <f>'Balance Sheet'!A22</f>
        <v>Tax assets</v>
      </c>
      <c r="C111" s="784"/>
      <c r="D111" s="784"/>
      <c r="E111" s="784"/>
      <c r="F111" s="784">
        <f>'Balance Sheet'!T22</f>
        <v>752</v>
      </c>
      <c r="G111" s="784">
        <f>'Balance Sheet'!U22</f>
        <v>458</v>
      </c>
      <c r="H111" s="784">
        <f>'Balance Sheet'!V22</f>
        <v>481</v>
      </c>
      <c r="I111" s="784">
        <f>'Balance Sheet'!W22</f>
        <v>555</v>
      </c>
      <c r="J111" s="784">
        <f>'Balance Sheet'!X22</f>
        <v>358</v>
      </c>
      <c r="K111" s="784">
        <f>'Balance Sheet'!Y22</f>
        <v>422</v>
      </c>
      <c r="L111" s="784">
        <f>'Balance Sheet'!Z22</f>
        <v>364</v>
      </c>
      <c r="M111" s="784">
        <f>'Balance Sheet'!AA22</f>
        <v>364</v>
      </c>
      <c r="N111" s="784">
        <f>'Balance Sheet'!AB22</f>
        <v>364</v>
      </c>
      <c r="O111" s="784">
        <f>'Balance Sheet'!AC22</f>
        <v>364</v>
      </c>
      <c r="P111" s="784">
        <f>'Balance Sheet'!AD22</f>
        <v>364</v>
      </c>
      <c r="Q111" s="784">
        <f>'Balance Sheet'!AE22</f>
        <v>364</v>
      </c>
      <c r="R111" s="784">
        <f>'Balance Sheet'!AF22</f>
        <v>364</v>
      </c>
    </row>
    <row r="112" spans="2:18">
      <c r="B112" s="782" t="str">
        <f>'Balance Sheet'!A23</f>
        <v>Cash and Cash equivalents</v>
      </c>
      <c r="C112" s="784"/>
      <c r="D112" s="784"/>
      <c r="E112" s="784"/>
      <c r="F112" s="784">
        <f>'Balance Sheet'!T23</f>
        <v>2330</v>
      </c>
      <c r="G112" s="784">
        <f>'Balance Sheet'!U23</f>
        <v>2632</v>
      </c>
      <c r="H112" s="784">
        <f>'Balance Sheet'!V23</f>
        <v>3747</v>
      </c>
      <c r="I112" s="784">
        <f>'Balance Sheet'!W23</f>
        <v>5247</v>
      </c>
      <c r="J112" s="784">
        <f>'Balance Sheet'!X23</f>
        <v>6687</v>
      </c>
      <c r="K112" s="784">
        <f>'Balance Sheet'!Y23</f>
        <v>6676</v>
      </c>
      <c r="L112" s="784">
        <f>'Balance Sheet'!Z23</f>
        <v>6514</v>
      </c>
      <c r="M112" s="784">
        <f>'Balance Sheet'!AA23</f>
        <v>7326.351789321775</v>
      </c>
      <c r="N112" s="784">
        <f>'Balance Sheet'!AB23</f>
        <v>8656.394366591212</v>
      </c>
      <c r="O112" s="784">
        <f>'Balance Sheet'!AC23</f>
        <v>10191.541719840305</v>
      </c>
      <c r="P112" s="784">
        <f>'Balance Sheet'!AD23</f>
        <v>12126.354601135188</v>
      </c>
      <c r="Q112" s="784">
        <f>'Balance Sheet'!AE23</f>
        <v>15580.022431859103</v>
      </c>
      <c r="R112" s="784">
        <f>'Balance Sheet'!AF23</f>
        <v>19331.617563934884</v>
      </c>
    </row>
    <row r="113" spans="2:18">
      <c r="B113" s="782" t="str">
        <f>'Balance Sheet'!A24</f>
        <v>Contract costs</v>
      </c>
      <c r="C113" s="784"/>
      <c r="D113" s="784"/>
      <c r="E113" s="784"/>
      <c r="F113" s="784">
        <f>'Balance Sheet'!T24</f>
        <v>470</v>
      </c>
      <c r="G113" s="784">
        <f>'Balance Sheet'!U24</f>
        <v>471</v>
      </c>
      <c r="H113" s="784">
        <f>'Balance Sheet'!V24</f>
        <v>486</v>
      </c>
      <c r="I113" s="784">
        <f>'Balance Sheet'!W24</f>
        <v>552</v>
      </c>
      <c r="J113" s="784">
        <f>'Balance Sheet'!X24</f>
        <v>664</v>
      </c>
      <c r="K113" s="784">
        <f>'Balance Sheet'!Y24</f>
        <v>753</v>
      </c>
      <c r="L113" s="784">
        <f>'Balance Sheet'!Z24</f>
        <v>884</v>
      </c>
      <c r="M113" s="784">
        <f>'Balance Sheet'!AA24</f>
        <v>884</v>
      </c>
      <c r="N113" s="784">
        <f>'Balance Sheet'!AB24</f>
        <v>884</v>
      </c>
      <c r="O113" s="784">
        <f>'Balance Sheet'!AC24</f>
        <v>884</v>
      </c>
      <c r="P113" s="784">
        <f>'Balance Sheet'!AD24</f>
        <v>884</v>
      </c>
      <c r="Q113" s="784">
        <f>'Balance Sheet'!AE24</f>
        <v>884</v>
      </c>
      <c r="R113" s="784">
        <f>'Balance Sheet'!AF24</f>
        <v>884</v>
      </c>
    </row>
    <row r="114" spans="2:18">
      <c r="B114" s="782" t="str">
        <f>'Balance Sheet'!A25</f>
        <v>Contract assets</v>
      </c>
      <c r="C114" s="784"/>
      <c r="D114" s="784"/>
      <c r="E114" s="784"/>
      <c r="F114" s="784">
        <f>'Balance Sheet'!T25</f>
        <v>1544</v>
      </c>
      <c r="G114" s="784">
        <f>'Balance Sheet'!U25</f>
        <v>1743</v>
      </c>
      <c r="H114" s="784">
        <f>'Balance Sheet'!V25</f>
        <v>1695</v>
      </c>
      <c r="I114" s="784">
        <f>'Balance Sheet'!W25</f>
        <v>1853</v>
      </c>
      <c r="J114" s="784">
        <f>'Balance Sheet'!X25</f>
        <v>1982</v>
      </c>
      <c r="K114" s="784">
        <f>'Balance Sheet'!Y25</f>
        <v>2157</v>
      </c>
      <c r="L114" s="784">
        <f>'Balance Sheet'!Z25</f>
        <v>2503</v>
      </c>
      <c r="M114" s="784">
        <f>'Balance Sheet'!AA25</f>
        <v>2503</v>
      </c>
      <c r="N114" s="784">
        <f>'Balance Sheet'!AB25</f>
        <v>2503</v>
      </c>
      <c r="O114" s="784">
        <f>'Balance Sheet'!AC25</f>
        <v>2503</v>
      </c>
      <c r="P114" s="784">
        <f>'Balance Sheet'!AD25</f>
        <v>2503</v>
      </c>
      <c r="Q114" s="784">
        <f>'Balance Sheet'!AE25</f>
        <v>2503</v>
      </c>
      <c r="R114" s="784">
        <f>'Balance Sheet'!AF25</f>
        <v>2503</v>
      </c>
    </row>
    <row r="115" spans="2:18">
      <c r="B115" s="782" t="str">
        <f>'Balance Sheet'!A26</f>
        <v>Other</v>
      </c>
      <c r="C115" s="784"/>
      <c r="D115" s="784"/>
      <c r="E115" s="784"/>
      <c r="F115" s="784">
        <f>F116-SUM(F105:F114)</f>
        <v>0</v>
      </c>
      <c r="G115" s="784">
        <f t="shared" ref="G115:Q115" si="16">G116-SUM(G105:G114)</f>
        <v>0</v>
      </c>
      <c r="H115" s="784">
        <f t="shared" si="16"/>
        <v>0</v>
      </c>
      <c r="I115" s="784">
        <f t="shared" si="16"/>
        <v>-386.62633965609348</v>
      </c>
      <c r="J115" s="784">
        <f t="shared" si="16"/>
        <v>-139.05927372380393</v>
      </c>
      <c r="K115" s="784">
        <f t="shared" si="16"/>
        <v>-353.15004880223933</v>
      </c>
      <c r="L115" s="784">
        <f t="shared" si="16"/>
        <v>-358.31536678161865</v>
      </c>
      <c r="M115" s="784">
        <f t="shared" si="16"/>
        <v>-333</v>
      </c>
      <c r="N115" s="784">
        <f t="shared" si="16"/>
        <v>-311</v>
      </c>
      <c r="O115" s="784">
        <f t="shared" si="16"/>
        <v>-305</v>
      </c>
      <c r="P115" s="784">
        <f t="shared" si="16"/>
        <v>-304</v>
      </c>
      <c r="Q115" s="784">
        <f t="shared" si="16"/>
        <v>-306</v>
      </c>
      <c r="R115" s="784">
        <f t="shared" ref="R115" si="17">R116-SUM(R105:R114)</f>
        <v>-307</v>
      </c>
    </row>
    <row r="116" spans="2:18" s="783" customFormat="1">
      <c r="B116" s="910" t="str">
        <f>'Balance Sheet'!A27</f>
        <v>Current Assets</v>
      </c>
      <c r="C116" s="911"/>
      <c r="D116" s="911"/>
      <c r="E116" s="911"/>
      <c r="F116" s="911">
        <f>'Balance Sheet'!T27</f>
        <v>18159</v>
      </c>
      <c r="G116" s="911">
        <f>'Balance Sheet'!U27</f>
        <v>20072</v>
      </c>
      <c r="H116" s="911">
        <f>'Balance Sheet'!V27</f>
        <v>18188</v>
      </c>
      <c r="I116" s="911">
        <f>'Balance Sheet'!W27</f>
        <v>20583</v>
      </c>
      <c r="J116" s="911">
        <f>'Balance Sheet'!X27</f>
        <v>24997</v>
      </c>
      <c r="K116" s="911">
        <f>'Balance Sheet'!Y27</f>
        <v>29175</v>
      </c>
      <c r="L116" s="911">
        <f>'Balance Sheet'!Z27</f>
        <v>31523</v>
      </c>
      <c r="M116" s="911">
        <f>'Balance Sheet'!AA27</f>
        <v>33581.378349421153</v>
      </c>
      <c r="N116" s="911">
        <f>'Balance Sheet'!AB27</f>
        <v>36399.179721887536</v>
      </c>
      <c r="O116" s="911">
        <f>'Balance Sheet'!AC27</f>
        <v>39714.453585697724</v>
      </c>
      <c r="P116" s="911">
        <f>'Balance Sheet'!AD27</f>
        <v>43443.790949107926</v>
      </c>
      <c r="Q116" s="911">
        <f>'Balance Sheet'!AE27</f>
        <v>48496.813906473399</v>
      </c>
      <c r="R116" s="911">
        <f>'Balance Sheet'!AF27</f>
        <v>53680.256427763597</v>
      </c>
    </row>
    <row r="117" spans="2:18">
      <c r="C117" s="784"/>
      <c r="D117" s="784"/>
      <c r="E117" s="784"/>
      <c r="F117" s="784"/>
      <c r="G117" s="784"/>
      <c r="H117" s="784"/>
      <c r="I117" s="784"/>
      <c r="J117" s="784"/>
      <c r="K117" s="784"/>
      <c r="L117" s="784"/>
      <c r="M117" s="784"/>
      <c r="N117" s="784"/>
      <c r="O117" s="784"/>
      <c r="P117" s="784"/>
      <c r="Q117" s="784"/>
      <c r="R117" s="784"/>
    </row>
    <row r="118" spans="2:18">
      <c r="B118" s="782" t="str">
        <f>'Balance Sheet'!A29</f>
        <v>Provisions</v>
      </c>
      <c r="C118" s="784"/>
      <c r="D118" s="784"/>
      <c r="E118" s="784"/>
      <c r="F118" s="784">
        <f>'Balance Sheet'!T29</f>
        <v>-1588</v>
      </c>
      <c r="G118" s="784">
        <f>'Balance Sheet'!U29</f>
        <v>-2093</v>
      </c>
      <c r="H118" s="784">
        <f>'Balance Sheet'!V29</f>
        <v>-1942</v>
      </c>
      <c r="I118" s="784">
        <f>'Balance Sheet'!W29</f>
        <v>-1798</v>
      </c>
      <c r="J118" s="784">
        <f>'Balance Sheet'!X29</f>
        <v>-1549</v>
      </c>
      <c r="K118" s="784">
        <f>'Balance Sheet'!Y29</f>
        <v>-1547</v>
      </c>
      <c r="L118" s="784">
        <f>'Balance Sheet'!Z29</f>
        <v>-1835</v>
      </c>
      <c r="M118" s="784">
        <f>'Balance Sheet'!AA29</f>
        <v>-1935</v>
      </c>
      <c r="N118" s="784">
        <f>'Balance Sheet'!AB29</f>
        <v>-2035</v>
      </c>
      <c r="O118" s="784">
        <f>'Balance Sheet'!AC29</f>
        <v>-2135</v>
      </c>
      <c r="P118" s="784">
        <f>'Balance Sheet'!AD29</f>
        <v>-2235</v>
      </c>
      <c r="Q118" s="784">
        <f>'Balance Sheet'!AE29</f>
        <v>-2335</v>
      </c>
      <c r="R118" s="784">
        <f>'Balance Sheet'!AF29</f>
        <v>-2435</v>
      </c>
    </row>
    <row r="119" spans="2:18">
      <c r="B119" s="782" t="str">
        <f>'Balance Sheet'!A30</f>
        <v>Borrowings subject to specific conditions</v>
      </c>
      <c r="C119" s="784"/>
      <c r="D119" s="784"/>
      <c r="E119" s="784"/>
      <c r="F119" s="784">
        <f>'Balance Sheet'!T30</f>
        <v>-585</v>
      </c>
      <c r="G119" s="784">
        <f>'Balance Sheet'!U30</f>
        <v>-505</v>
      </c>
      <c r="H119" s="784">
        <f>'Balance Sheet'!V30</f>
        <v>-426</v>
      </c>
      <c r="I119" s="784">
        <f>'Balance Sheet'!W30</f>
        <v>-327</v>
      </c>
      <c r="J119" s="784">
        <f>'Balance Sheet'!X30</f>
        <v>-302</v>
      </c>
      <c r="K119" s="784">
        <f>'Balance Sheet'!Y30</f>
        <v>-292</v>
      </c>
      <c r="L119" s="784">
        <f>'Balance Sheet'!Z30</f>
        <v>-287</v>
      </c>
      <c r="M119" s="784">
        <f>'Balance Sheet'!AA30</f>
        <v>-287</v>
      </c>
      <c r="N119" s="784">
        <f>'Balance Sheet'!AB30</f>
        <v>-287</v>
      </c>
      <c r="O119" s="784">
        <f>'Balance Sheet'!AC30</f>
        <v>-287</v>
      </c>
      <c r="P119" s="784">
        <f>'Balance Sheet'!AD30</f>
        <v>-287</v>
      </c>
      <c r="Q119" s="784">
        <f>'Balance Sheet'!AE30</f>
        <v>-287</v>
      </c>
      <c r="R119" s="784">
        <f>'Balance Sheet'!AF30</f>
        <v>-287</v>
      </c>
    </row>
    <row r="120" spans="2:18">
      <c r="B120" s="782" t="str">
        <f>'Balance Sheet'!A31</f>
        <v>Non-current interest-bearing financial liabilities</v>
      </c>
      <c r="C120" s="784"/>
      <c r="D120" s="784"/>
      <c r="E120" s="784"/>
      <c r="F120" s="784">
        <f>'Balance Sheet'!T31</f>
        <v>-3384</v>
      </c>
      <c r="G120" s="784">
        <f>'Balance Sheet'!U31</f>
        <v>-3239</v>
      </c>
      <c r="H120" s="784">
        <f>'Balance Sheet'!V31</f>
        <v>-4082</v>
      </c>
      <c r="I120" s="784">
        <f>'Balance Sheet'!W31</f>
        <v>-5094</v>
      </c>
      <c r="J120" s="784">
        <f>'Balance Sheet'!X31</f>
        <v>-5378</v>
      </c>
      <c r="K120" s="784">
        <f>'Balance Sheet'!Y31</f>
        <v>-4691</v>
      </c>
      <c r="L120" s="784">
        <f>'Balance Sheet'!Z31</f>
        <v>-3788</v>
      </c>
      <c r="M120" s="784">
        <f>'Balance Sheet'!AA31</f>
        <v>-3788</v>
      </c>
      <c r="N120" s="784">
        <f>'Balance Sheet'!AB31</f>
        <v>-3788</v>
      </c>
      <c r="O120" s="784">
        <f>'Balance Sheet'!AC31</f>
        <v>-3788</v>
      </c>
      <c r="P120" s="784">
        <f>'Balance Sheet'!AD31</f>
        <v>-3788</v>
      </c>
      <c r="Q120" s="784">
        <f>'Balance Sheet'!AE31</f>
        <v>-3788</v>
      </c>
      <c r="R120" s="784">
        <f>'Balance Sheet'!AF31</f>
        <v>-3788</v>
      </c>
    </row>
    <row r="121" spans="2:18">
      <c r="B121" s="782" t="str">
        <f>'Balance Sheet'!A32</f>
        <v>Non-current derivatives</v>
      </c>
      <c r="C121" s="784"/>
      <c r="D121" s="784"/>
      <c r="E121" s="784"/>
      <c r="F121" s="784">
        <f>'Balance Sheet'!T32</f>
        <v>-7</v>
      </c>
      <c r="G121" s="784">
        <f>'Balance Sheet'!U32</f>
        <v>-5</v>
      </c>
      <c r="H121" s="784">
        <f>'Balance Sheet'!V32</f>
        <v>-18</v>
      </c>
      <c r="I121" s="784">
        <f>'Balance Sheet'!W32</f>
        <v>-8</v>
      </c>
      <c r="J121" s="784">
        <f>'Balance Sheet'!X32</f>
        <v>-18</v>
      </c>
      <c r="K121" s="784">
        <f>'Balance Sheet'!Y32</f>
        <v>-8</v>
      </c>
      <c r="L121" s="784">
        <f>'Balance Sheet'!Z32</f>
        <v>-15</v>
      </c>
      <c r="M121" s="784">
        <f>'Balance Sheet'!AA32</f>
        <v>-15</v>
      </c>
      <c r="N121" s="784">
        <f>'Balance Sheet'!AB32</f>
        <v>-15</v>
      </c>
      <c r="O121" s="784">
        <f>'Balance Sheet'!AC32</f>
        <v>-15</v>
      </c>
      <c r="P121" s="784">
        <f>'Balance Sheet'!AD32</f>
        <v>-15</v>
      </c>
      <c r="Q121" s="784">
        <f>'Balance Sheet'!AE32</f>
        <v>-15</v>
      </c>
      <c r="R121" s="784">
        <f>'Balance Sheet'!AF32</f>
        <v>-15</v>
      </c>
    </row>
    <row r="122" spans="2:18">
      <c r="B122" s="782" t="str">
        <f>'Balance Sheet'!A33</f>
        <v>Deferred tax liabilities</v>
      </c>
      <c r="C122" s="784"/>
      <c r="D122" s="784"/>
      <c r="E122" s="784"/>
      <c r="F122" s="784">
        <f>'Balance Sheet'!T33</f>
        <v>-1662</v>
      </c>
      <c r="G122" s="784">
        <f>'Balance Sheet'!U33</f>
        <v>-1340</v>
      </c>
      <c r="H122" s="784">
        <f>'Balance Sheet'!V33</f>
        <v>-1285</v>
      </c>
      <c r="I122" s="784">
        <f>'Balance Sheet'!W33</f>
        <v>-1275</v>
      </c>
      <c r="J122" s="784">
        <f>'Balance Sheet'!X33</f>
        <v>-1164</v>
      </c>
      <c r="K122" s="784">
        <f>'Balance Sheet'!Y33</f>
        <v>-1022</v>
      </c>
      <c r="L122" s="784">
        <f>'Balance Sheet'!Z33</f>
        <v>-911</v>
      </c>
      <c r="M122" s="784">
        <f>'Balance Sheet'!AA33</f>
        <v>-1241</v>
      </c>
      <c r="N122" s="784">
        <f>'Balance Sheet'!AB33</f>
        <v>-1111</v>
      </c>
      <c r="O122" s="784">
        <f>'Balance Sheet'!AC33</f>
        <v>-911</v>
      </c>
      <c r="P122" s="784">
        <f>'Balance Sheet'!AD33</f>
        <v>-911</v>
      </c>
      <c r="Q122" s="784">
        <f>'Balance Sheet'!AE33</f>
        <v>-911</v>
      </c>
      <c r="R122" s="784">
        <f>'Balance Sheet'!AF33</f>
        <v>-911</v>
      </c>
    </row>
    <row r="123" spans="2:18">
      <c r="B123" s="782" t="str">
        <f>'Balance Sheet'!A34</f>
        <v>Other non-current financial liabilities</v>
      </c>
      <c r="C123" s="784"/>
      <c r="D123" s="784"/>
      <c r="E123" s="784"/>
      <c r="F123" s="784">
        <f>'Balance Sheet'!T34</f>
        <v>-2</v>
      </c>
      <c r="G123" s="784">
        <f>'Balance Sheet'!U34</f>
        <v>-2</v>
      </c>
      <c r="H123" s="784">
        <f>'Balance Sheet'!V34</f>
        <v>-2</v>
      </c>
      <c r="I123" s="784">
        <f>'Balance Sheet'!W34</f>
        <v>-116</v>
      </c>
      <c r="J123" s="784">
        <f>'Balance Sheet'!X34</f>
        <v>-75</v>
      </c>
      <c r="K123" s="784">
        <f>'Balance Sheet'!Y34</f>
        <v>-43</v>
      </c>
      <c r="L123" s="784">
        <f>'Balance Sheet'!Z34</f>
        <v>-11</v>
      </c>
      <c r="M123" s="784">
        <f>'Balance Sheet'!AA34</f>
        <v>-11</v>
      </c>
      <c r="N123" s="784">
        <f>'Balance Sheet'!AB34</f>
        <v>-11</v>
      </c>
      <c r="O123" s="784">
        <f>'Balance Sheet'!AC34</f>
        <v>-11</v>
      </c>
      <c r="P123" s="784">
        <f>'Balance Sheet'!AD34</f>
        <v>-11</v>
      </c>
      <c r="Q123" s="784">
        <f>'Balance Sheet'!AE34</f>
        <v>-11</v>
      </c>
      <c r="R123" s="784">
        <f>'Balance Sheet'!AF34</f>
        <v>-11</v>
      </c>
    </row>
    <row r="124" spans="2:18" hidden="1">
      <c r="B124" s="782" t="str">
        <f>'Balance Sheet'!A35</f>
        <v>Other</v>
      </c>
      <c r="C124" s="784"/>
      <c r="D124" s="784"/>
      <c r="E124" s="784"/>
      <c r="F124" s="784">
        <f>F125-SUM(F118:F123)</f>
        <v>0</v>
      </c>
      <c r="G124" s="784">
        <f t="shared" ref="G124:Q124" si="18">G125-SUM(G118:G123)</f>
        <v>0</v>
      </c>
      <c r="H124" s="784">
        <f t="shared" si="18"/>
        <v>0</v>
      </c>
      <c r="I124" s="784">
        <f t="shared" si="18"/>
        <v>0</v>
      </c>
      <c r="J124" s="784">
        <f t="shared" si="18"/>
        <v>-49</v>
      </c>
      <c r="K124" s="784">
        <f t="shared" si="18"/>
        <v>0</v>
      </c>
      <c r="L124" s="784">
        <f t="shared" si="18"/>
        <v>0</v>
      </c>
      <c r="M124" s="784">
        <f t="shared" si="18"/>
        <v>0</v>
      </c>
      <c r="N124" s="784">
        <f t="shared" si="18"/>
        <v>0</v>
      </c>
      <c r="O124" s="784">
        <f t="shared" si="18"/>
        <v>0</v>
      </c>
      <c r="P124" s="784">
        <f t="shared" si="18"/>
        <v>0</v>
      </c>
      <c r="Q124" s="784">
        <f t="shared" si="18"/>
        <v>0</v>
      </c>
      <c r="R124" s="784">
        <f t="shared" ref="R124" si="19">R125-SUM(R118:R123)</f>
        <v>0</v>
      </c>
    </row>
    <row r="125" spans="2:18" s="783" customFormat="1">
      <c r="B125" s="910" t="str">
        <f>'Balance Sheet'!A36</f>
        <v>Non-current liabilities</v>
      </c>
      <c r="C125" s="911"/>
      <c r="D125" s="911"/>
      <c r="E125" s="911"/>
      <c r="F125" s="911">
        <f>'Balance Sheet'!T36</f>
        <v>-7228</v>
      </c>
      <c r="G125" s="911">
        <f>'Balance Sheet'!U36</f>
        <v>-7184</v>
      </c>
      <c r="H125" s="911">
        <f>'Balance Sheet'!V36</f>
        <v>-7755</v>
      </c>
      <c r="I125" s="911">
        <f>'Balance Sheet'!W36</f>
        <v>-8618</v>
      </c>
      <c r="J125" s="911">
        <f>'Balance Sheet'!X36</f>
        <v>-8535</v>
      </c>
      <c r="K125" s="911">
        <f>'Balance Sheet'!Y36</f>
        <v>-7603</v>
      </c>
      <c r="L125" s="911">
        <f>'Balance Sheet'!Z36</f>
        <v>-6847</v>
      </c>
      <c r="M125" s="911">
        <f>'Balance Sheet'!AA36</f>
        <v>-7277</v>
      </c>
      <c r="N125" s="911">
        <f>'Balance Sheet'!AB36</f>
        <v>-7247</v>
      </c>
      <c r="O125" s="911">
        <f>'Balance Sheet'!AC36</f>
        <v>-7147</v>
      </c>
      <c r="P125" s="911">
        <f>'Balance Sheet'!AD36</f>
        <v>-7247</v>
      </c>
      <c r="Q125" s="911">
        <f>'Balance Sheet'!AE36</f>
        <v>-7347</v>
      </c>
      <c r="R125" s="911">
        <f>'Balance Sheet'!AF36</f>
        <v>-7447</v>
      </c>
    </row>
    <row r="126" spans="2:18">
      <c r="C126" s="784"/>
      <c r="D126" s="784"/>
      <c r="E126" s="784"/>
      <c r="F126" s="784"/>
      <c r="G126" s="784"/>
      <c r="H126" s="784"/>
      <c r="I126" s="784"/>
      <c r="J126" s="784"/>
      <c r="K126" s="784"/>
      <c r="L126" s="784"/>
      <c r="M126" s="784"/>
      <c r="N126" s="784"/>
      <c r="O126" s="784"/>
      <c r="P126" s="784"/>
      <c r="Q126" s="784"/>
      <c r="R126" s="784"/>
    </row>
    <row r="127" spans="2:18">
      <c r="B127" s="782" t="str">
        <f>'Balance Sheet'!A38</f>
        <v>Provisions</v>
      </c>
      <c r="C127" s="784"/>
      <c r="D127" s="784"/>
      <c r="E127" s="784"/>
      <c r="F127" s="784">
        <f>'Balance Sheet'!T38</f>
        <v>-1189</v>
      </c>
      <c r="G127" s="784">
        <f>'Balance Sheet'!U38</f>
        <v>-990</v>
      </c>
      <c r="H127" s="784">
        <f>'Balance Sheet'!V38</f>
        <v>-905</v>
      </c>
      <c r="I127" s="784">
        <f>'Balance Sheet'!W38</f>
        <v>-1058</v>
      </c>
      <c r="J127" s="784">
        <f>'Balance Sheet'!X38</f>
        <v>-1018</v>
      </c>
      <c r="K127" s="784">
        <f>'Balance Sheet'!Y38</f>
        <v>-1064</v>
      </c>
      <c r="L127" s="784">
        <f>'Balance Sheet'!Z38</f>
        <v>-1173</v>
      </c>
      <c r="M127" s="784">
        <f>'Balance Sheet'!AA38</f>
        <v>-1173</v>
      </c>
      <c r="N127" s="784">
        <f>'Balance Sheet'!AB38</f>
        <v>-1173</v>
      </c>
      <c r="O127" s="784">
        <f>'Balance Sheet'!AC38</f>
        <v>-1173</v>
      </c>
      <c r="P127" s="784">
        <f>'Balance Sheet'!AD38</f>
        <v>-1173</v>
      </c>
      <c r="Q127" s="784">
        <f>'Balance Sheet'!AE38</f>
        <v>-1173</v>
      </c>
      <c r="R127" s="784">
        <f>'Balance Sheet'!AF38</f>
        <v>-1173</v>
      </c>
    </row>
    <row r="128" spans="2:18">
      <c r="B128" s="782" t="str">
        <f>'Balance Sheet'!A39</f>
        <v>Interest-bearing current financial liabilities</v>
      </c>
      <c r="C128" s="784"/>
      <c r="D128" s="784"/>
      <c r="E128" s="784"/>
      <c r="F128" s="784">
        <f>'Balance Sheet'!T39</f>
        <v>-2221</v>
      </c>
      <c r="G128" s="784">
        <f>'Balance Sheet'!U39</f>
        <v>-3540</v>
      </c>
      <c r="H128" s="784">
        <f>'Balance Sheet'!V39</f>
        <v>-2509</v>
      </c>
      <c r="I128" s="784">
        <f>'Balance Sheet'!W39</f>
        <v>-1720</v>
      </c>
      <c r="J128" s="784">
        <f>'Balance Sheet'!X39</f>
        <v>-1277</v>
      </c>
      <c r="K128" s="784">
        <f>'Balance Sheet'!Y39</f>
        <v>-1608</v>
      </c>
      <c r="L128" s="784">
        <f>'Balance Sheet'!Z39</f>
        <v>-988</v>
      </c>
      <c r="M128" s="784">
        <f>'Balance Sheet'!AA39</f>
        <v>-988</v>
      </c>
      <c r="N128" s="784">
        <f>'Balance Sheet'!AB39</f>
        <v>-988</v>
      </c>
      <c r="O128" s="784">
        <f>'Balance Sheet'!AC39</f>
        <v>-988</v>
      </c>
      <c r="P128" s="784">
        <f>'Balance Sheet'!AD39</f>
        <v>-988</v>
      </c>
      <c r="Q128" s="784">
        <f>'Balance Sheet'!AE39</f>
        <v>-988</v>
      </c>
      <c r="R128" s="784">
        <f>'Balance Sheet'!AF39</f>
        <v>-988</v>
      </c>
    </row>
    <row r="129" spans="2:18">
      <c r="B129" s="782" t="str">
        <f>'Balance Sheet'!A40</f>
        <v>Trade and other payables</v>
      </c>
      <c r="C129" s="784"/>
      <c r="D129" s="784"/>
      <c r="E129" s="784"/>
      <c r="F129" s="784">
        <f>'Balance Sheet'!T40</f>
        <v>-5650</v>
      </c>
      <c r="G129" s="784">
        <f>'Balance Sheet'!U40</f>
        <v>-6164</v>
      </c>
      <c r="H129" s="784">
        <f>'Balance Sheet'!V40</f>
        <v>-4353</v>
      </c>
      <c r="I129" s="784">
        <f>'Balance Sheet'!W40</f>
        <v>-4950</v>
      </c>
      <c r="J129" s="784">
        <f>'Balance Sheet'!X40</f>
        <v>-6298</v>
      </c>
      <c r="K129" s="784">
        <f>'Balance Sheet'!Y40</f>
        <v>-8097</v>
      </c>
      <c r="L129" s="784">
        <f>'Balance Sheet'!Z40</f>
        <v>-9802</v>
      </c>
      <c r="M129" s="784">
        <f>'Balance Sheet'!AA40</f>
        <v>-11251.428948867</v>
      </c>
      <c r="N129" s="784">
        <f>'Balance Sheet'!AB40</f>
        <v>-12993.508736182252</v>
      </c>
      <c r="O129" s="784">
        <f>'Balance Sheet'!AC40</f>
        <v>-14669.127336695912</v>
      </c>
      <c r="P129" s="784">
        <f>'Balance Sheet'!AD40</f>
        <v>-16009.4785626556</v>
      </c>
      <c r="Q129" s="784">
        <f>'Balance Sheet'!AE40</f>
        <v>-16965.334011663079</v>
      </c>
      <c r="R129" s="784">
        <f>'Balance Sheet'!AF40</f>
        <v>-17493.778895988937</v>
      </c>
    </row>
    <row r="130" spans="2:18">
      <c r="B130" s="782" t="str">
        <f>'Balance Sheet'!A41</f>
        <v>DPO</v>
      </c>
      <c r="C130" s="784"/>
      <c r="D130" s="784"/>
      <c r="E130" s="784"/>
      <c r="F130" s="784">
        <f>'Balance Sheet'!T41</f>
        <v>0</v>
      </c>
      <c r="G130" s="784">
        <f>'Balance Sheet'!U41</f>
        <v>0</v>
      </c>
      <c r="H130" s="784">
        <f>'Balance Sheet'!V41</f>
        <v>0</v>
      </c>
      <c r="I130" s="784">
        <f>'Balance Sheet'!W41</f>
        <v>225.87198399799973</v>
      </c>
      <c r="J130" s="784">
        <f>'Balance Sheet'!X41</f>
        <v>196.07386557488911</v>
      </c>
      <c r="K130" s="784">
        <f>'Balance Sheet'!Y41</f>
        <v>210.0202529846504</v>
      </c>
      <c r="L130" s="784">
        <f>'Balance Sheet'!Z41</f>
        <v>224.16854636591478</v>
      </c>
      <c r="M130" s="784">
        <f>'Balance Sheet'!AA41</f>
        <v>226</v>
      </c>
      <c r="N130" s="784">
        <f>'Balance Sheet'!AB41</f>
        <v>231</v>
      </c>
      <c r="O130" s="784">
        <f>'Balance Sheet'!AC41</f>
        <v>237</v>
      </c>
      <c r="P130" s="784">
        <f>'Balance Sheet'!AD41</f>
        <v>240</v>
      </c>
      <c r="Q130" s="784">
        <f>'Balance Sheet'!AE41</f>
        <v>241</v>
      </c>
      <c r="R130" s="784">
        <f>'Balance Sheet'!AF41</f>
        <v>237</v>
      </c>
    </row>
    <row r="131" spans="2:18">
      <c r="B131" s="782" t="str">
        <f>'Balance Sheet'!A42</f>
        <v>Tax liabilities</v>
      </c>
      <c r="C131" s="784"/>
      <c r="D131" s="784"/>
      <c r="E131" s="784"/>
      <c r="F131" s="784">
        <f>'Balance Sheet'!T42</f>
        <v>-210</v>
      </c>
      <c r="G131" s="784">
        <f>'Balance Sheet'!U42</f>
        <v>-111</v>
      </c>
      <c r="H131" s="784">
        <f>'Balance Sheet'!V42</f>
        <v>-118</v>
      </c>
      <c r="I131" s="784">
        <f>'Balance Sheet'!W42</f>
        <v>-109</v>
      </c>
      <c r="J131" s="784">
        <f>'Balance Sheet'!X42</f>
        <v>-105</v>
      </c>
      <c r="K131" s="784">
        <f>'Balance Sheet'!Y42</f>
        <v>-104</v>
      </c>
      <c r="L131" s="784">
        <f>'Balance Sheet'!Z42</f>
        <v>-105</v>
      </c>
      <c r="M131" s="784">
        <f>'Balance Sheet'!AA42</f>
        <v>-105</v>
      </c>
      <c r="N131" s="784">
        <f>'Balance Sheet'!AB42</f>
        <v>-105</v>
      </c>
      <c r="O131" s="784">
        <f>'Balance Sheet'!AC42</f>
        <v>-105</v>
      </c>
      <c r="P131" s="784">
        <f>'Balance Sheet'!AD42</f>
        <v>-105</v>
      </c>
      <c r="Q131" s="784">
        <f>'Balance Sheet'!AE42</f>
        <v>-105</v>
      </c>
      <c r="R131" s="784">
        <f>'Balance Sheet'!AF42</f>
        <v>-105</v>
      </c>
    </row>
    <row r="132" spans="2:18">
      <c r="B132" s="782" t="str">
        <f>'Balance Sheet'!A43</f>
        <v>Current derivatives</v>
      </c>
      <c r="C132" s="784"/>
      <c r="D132" s="784"/>
      <c r="E132" s="784"/>
      <c r="F132" s="784">
        <f>'Balance Sheet'!T43</f>
        <v>-1255</v>
      </c>
      <c r="G132" s="784">
        <f>'Balance Sheet'!U43</f>
        <v>-1033</v>
      </c>
      <c r="H132" s="784">
        <f>'Balance Sheet'!V43</f>
        <v>-1244</v>
      </c>
      <c r="I132" s="784">
        <f>'Balance Sheet'!W43</f>
        <v>-1788</v>
      </c>
      <c r="J132" s="784">
        <f>'Balance Sheet'!X43</f>
        <v>-5848</v>
      </c>
      <c r="K132" s="784">
        <f>'Balance Sheet'!Y43</f>
        <v>-4735</v>
      </c>
      <c r="L132" s="784">
        <f>'Balance Sheet'!Z43</f>
        <v>-8803</v>
      </c>
      <c r="M132" s="784">
        <f>'Balance Sheet'!AA43</f>
        <v>-8803</v>
      </c>
      <c r="N132" s="784">
        <f>'Balance Sheet'!AB43</f>
        <v>-8803</v>
      </c>
      <c r="O132" s="784">
        <f>'Balance Sheet'!AC43</f>
        <v>-8803</v>
      </c>
      <c r="P132" s="784">
        <f>'Balance Sheet'!AD43</f>
        <v>-8803</v>
      </c>
      <c r="Q132" s="784">
        <f>'Balance Sheet'!AE43</f>
        <v>-8803</v>
      </c>
      <c r="R132" s="784">
        <f>'Balance Sheet'!AF43</f>
        <v>-8803</v>
      </c>
    </row>
    <row r="133" spans="2:18">
      <c r="B133" s="782" t="str">
        <f>'Balance Sheet'!A44</f>
        <v>Contract liabilities</v>
      </c>
      <c r="C133" s="784"/>
      <c r="D133" s="784"/>
      <c r="E133" s="784"/>
      <c r="F133" s="784">
        <f>'Balance Sheet'!T44</f>
        <v>-10453</v>
      </c>
      <c r="G133" s="784">
        <f>'Balance Sheet'!U44</f>
        <v>-10923</v>
      </c>
      <c r="H133" s="784">
        <f>'Balance Sheet'!V44</f>
        <v>-9838</v>
      </c>
      <c r="I133" s="784">
        <f>'Balance Sheet'!W44</f>
        <v>-10141</v>
      </c>
      <c r="J133" s="784">
        <f>'Balance Sheet'!X44</f>
        <v>-12756</v>
      </c>
      <c r="K133" s="784">
        <f>'Balance Sheet'!Y44</f>
        <v>-15029</v>
      </c>
      <c r="L133" s="784">
        <f>'Balance Sheet'!Z44</f>
        <v>-16421</v>
      </c>
      <c r="M133" s="784">
        <f>'Balance Sheet'!AA44</f>
        <v>-16421</v>
      </c>
      <c r="N133" s="784">
        <f>'Balance Sheet'!AB44</f>
        <v>-16421</v>
      </c>
      <c r="O133" s="784">
        <f>'Balance Sheet'!AC44</f>
        <v>-16421</v>
      </c>
      <c r="P133" s="784">
        <f>'Balance Sheet'!AD44</f>
        <v>-16421</v>
      </c>
      <c r="Q133" s="784">
        <f>'Balance Sheet'!AE44</f>
        <v>-16421</v>
      </c>
      <c r="R133" s="784">
        <f>'Balance Sheet'!AF44</f>
        <v>-16421</v>
      </c>
    </row>
    <row r="134" spans="2:18" hidden="1">
      <c r="B134" s="782" t="str">
        <f>'Balance Sheet'!A45</f>
        <v>RPFH cash advances</v>
      </c>
      <c r="C134" s="784"/>
      <c r="D134" s="784"/>
      <c r="E134" s="784"/>
      <c r="F134" s="784">
        <f>'Balance Sheet'!T45</f>
        <v>0</v>
      </c>
      <c r="G134" s="784">
        <f>'Balance Sheet'!U45</f>
        <v>0</v>
      </c>
      <c r="H134" s="784">
        <f>'Balance Sheet'!V45</f>
        <v>0</v>
      </c>
      <c r="I134" s="784">
        <f>'Balance Sheet'!W45</f>
        <v>0</v>
      </c>
      <c r="J134" s="784">
        <f>'Balance Sheet'!X45</f>
        <v>0</v>
      </c>
      <c r="K134" s="784">
        <f>'Balance Sheet'!Y45</f>
        <v>0</v>
      </c>
      <c r="L134" s="784">
        <f>'Balance Sheet'!Z45</f>
        <v>0</v>
      </c>
      <c r="M134" s="784">
        <f>'Balance Sheet'!AA45</f>
        <v>0</v>
      </c>
      <c r="N134" s="784">
        <f>'Balance Sheet'!AB45</f>
        <v>0</v>
      </c>
      <c r="O134" s="784">
        <f>'Balance Sheet'!AC45</f>
        <v>0</v>
      </c>
      <c r="P134" s="784">
        <f>'Balance Sheet'!AD45</f>
        <v>0</v>
      </c>
      <c r="Q134" s="784">
        <f>'Balance Sheet'!AE45</f>
        <v>0</v>
      </c>
      <c r="R134" s="784">
        <f>'Balance Sheet'!AF45</f>
        <v>0</v>
      </c>
    </row>
    <row r="135" spans="2:18">
      <c r="B135" s="782" t="str">
        <f>'Balance Sheet'!A46</f>
        <v>Other</v>
      </c>
      <c r="C135" s="784"/>
      <c r="D135" s="784"/>
      <c r="E135" s="784"/>
      <c r="F135" s="784">
        <f>F136-SUM(F127:F134)</f>
        <v>-113</v>
      </c>
      <c r="G135" s="784">
        <f t="shared" ref="G135:Q135" si="20">G136-SUM(G127:G134)</f>
        <v>-115</v>
      </c>
      <c r="H135" s="784">
        <f t="shared" si="20"/>
        <v>-59</v>
      </c>
      <c r="I135" s="784">
        <f t="shared" si="20"/>
        <v>-287.87198399800036</v>
      </c>
      <c r="J135" s="784">
        <f t="shared" si="20"/>
        <v>-321.07386557488644</v>
      </c>
      <c r="K135" s="784">
        <f t="shared" si="20"/>
        <v>-350.02025298465014</v>
      </c>
      <c r="L135" s="784">
        <f t="shared" si="20"/>
        <v>-372.16854636591597</v>
      </c>
      <c r="M135" s="784">
        <f t="shared" si="20"/>
        <v>-374</v>
      </c>
      <c r="N135" s="784">
        <f t="shared" si="20"/>
        <v>-379</v>
      </c>
      <c r="O135" s="784">
        <f t="shared" si="20"/>
        <v>-385</v>
      </c>
      <c r="P135" s="784">
        <f t="shared" si="20"/>
        <v>-388</v>
      </c>
      <c r="Q135" s="784">
        <f t="shared" si="20"/>
        <v>-389</v>
      </c>
      <c r="R135" s="784">
        <f t="shared" ref="R135" si="21">R136-SUM(R127:R134)</f>
        <v>-385</v>
      </c>
    </row>
    <row r="136" spans="2:18" s="783" customFormat="1">
      <c r="B136" s="910" t="str">
        <f>'Balance Sheet'!A47</f>
        <v>Current liabilities</v>
      </c>
      <c r="C136" s="911"/>
      <c r="D136" s="911"/>
      <c r="E136" s="911"/>
      <c r="F136" s="911">
        <f>'Balance Sheet'!T47</f>
        <v>-21091</v>
      </c>
      <c r="G136" s="911">
        <f>'Balance Sheet'!U47</f>
        <v>-22876</v>
      </c>
      <c r="H136" s="911">
        <f>'Balance Sheet'!V47</f>
        <v>-19026</v>
      </c>
      <c r="I136" s="911">
        <f>'Balance Sheet'!W47</f>
        <v>-19828</v>
      </c>
      <c r="J136" s="911">
        <f>'Balance Sheet'!X47</f>
        <v>-27427</v>
      </c>
      <c r="K136" s="911">
        <f>'Balance Sheet'!Y47</f>
        <v>-30777</v>
      </c>
      <c r="L136" s="911">
        <f>'Balance Sheet'!Z47</f>
        <v>-37440</v>
      </c>
      <c r="M136" s="911">
        <f>'Balance Sheet'!AA47</f>
        <v>-38889.428948867004</v>
      </c>
      <c r="N136" s="911">
        <f>'Balance Sheet'!AB47</f>
        <v>-40631.508736182252</v>
      </c>
      <c r="O136" s="911">
        <f>'Balance Sheet'!AC47</f>
        <v>-42307.127336695914</v>
      </c>
      <c r="P136" s="911">
        <f>'Balance Sheet'!AD47</f>
        <v>-43647.478562655597</v>
      </c>
      <c r="Q136" s="911">
        <f>'Balance Sheet'!AE47</f>
        <v>-44603.334011663079</v>
      </c>
      <c r="R136" s="911">
        <f>'Balance Sheet'!AF47</f>
        <v>-45131.778895988937</v>
      </c>
    </row>
    <row r="137" spans="2:18">
      <c r="C137" s="784"/>
      <c r="D137" s="784"/>
      <c r="E137" s="784"/>
      <c r="F137" s="784"/>
      <c r="G137" s="784"/>
      <c r="H137" s="784"/>
      <c r="I137" s="784"/>
      <c r="J137" s="784"/>
      <c r="K137" s="784"/>
      <c r="L137" s="784"/>
      <c r="M137" s="784"/>
      <c r="N137" s="784"/>
      <c r="O137" s="784"/>
      <c r="P137" s="784"/>
      <c r="Q137" s="784"/>
      <c r="R137" s="784"/>
    </row>
    <row r="138" spans="2:18">
      <c r="B138" s="782" t="str">
        <f>'Balance Sheet'!A49</f>
        <v>Share capital</v>
      </c>
      <c r="C138" s="784"/>
      <c r="D138" s="784"/>
      <c r="E138" s="784"/>
      <c r="F138" s="784">
        <f>'Balance Sheet'!T49</f>
        <v>87</v>
      </c>
      <c r="G138" s="784">
        <f>'Balance Sheet'!U49</f>
        <v>85</v>
      </c>
      <c r="H138" s="784">
        <f>'Balance Sheet'!V49</f>
        <v>85</v>
      </c>
      <c r="I138" s="784">
        <f>'Balance Sheet'!W49</f>
        <v>85</v>
      </c>
      <c r="J138" s="784">
        <f>'Balance Sheet'!X49</f>
        <v>85</v>
      </c>
      <c r="K138" s="784">
        <f>'Balance Sheet'!Y49</f>
        <v>85</v>
      </c>
      <c r="L138" s="784">
        <f>'Balance Sheet'!Z49</f>
        <v>85</v>
      </c>
      <c r="M138" s="784">
        <f>'Balance Sheet'!AA49</f>
        <v>85</v>
      </c>
      <c r="N138" s="784">
        <f>'Balance Sheet'!AB49</f>
        <v>85</v>
      </c>
      <c r="O138" s="784">
        <f>'Balance Sheet'!AC49</f>
        <v>85</v>
      </c>
      <c r="P138" s="784">
        <f>'Balance Sheet'!AD49</f>
        <v>85</v>
      </c>
      <c r="Q138" s="784">
        <f>'Balance Sheet'!AE49</f>
        <v>85</v>
      </c>
      <c r="R138" s="784">
        <f>'Balance Sheet'!AF49</f>
        <v>85</v>
      </c>
    </row>
    <row r="139" spans="2:18">
      <c r="B139" s="782" t="str">
        <f>'Balance Sheet'!A50</f>
        <v>Retained Earnings</v>
      </c>
      <c r="C139" s="784"/>
      <c r="D139" s="784"/>
      <c r="E139" s="784"/>
      <c r="F139" s="784">
        <f>'Balance Sheet'!T50</f>
        <v>10585</v>
      </c>
      <c r="G139" s="784">
        <f>'Balance Sheet'!U50</f>
        <v>9839</v>
      </c>
      <c r="H139" s="784">
        <f>'Balance Sheet'!V50</f>
        <v>11912</v>
      </c>
      <c r="I139" s="784">
        <f>'Balance Sheet'!W50</f>
        <v>12713</v>
      </c>
      <c r="J139" s="784">
        <f>'Balance Sheet'!X50</f>
        <v>12785</v>
      </c>
      <c r="K139" s="784">
        <f>'Balance Sheet'!Y50</f>
        <v>8048</v>
      </c>
      <c r="L139" s="784">
        <f>'Balance Sheet'!Z50</f>
        <v>10758</v>
      </c>
      <c r="M139" s="784">
        <f>'Balance Sheet'!AA50</f>
        <v>7634.1663630000003</v>
      </c>
      <c r="N139" s="784">
        <f>'Balance Sheet'!AB50</f>
        <v>8378.0477602153096</v>
      </c>
      <c r="O139" s="784">
        <f>'Balance Sheet'!AC50</f>
        <v>9581.8228561462074</v>
      </c>
      <c r="P139" s="784">
        <f>'Balance Sheet'!AD50</f>
        <v>11416.405959625728</v>
      </c>
      <c r="Q139" s="784">
        <f>'Balance Sheet'!AE50</f>
        <v>14827.34280954028</v>
      </c>
      <c r="R139" s="784">
        <f>'Balance Sheet'!AF50</f>
        <v>18483.242903285445</v>
      </c>
    </row>
    <row r="140" spans="2:18" hidden="1">
      <c r="B140" s="782" t="str">
        <f>'Balance Sheet'!A51</f>
        <v>Net unrealised gain on available-for-sale financial assets</v>
      </c>
      <c r="C140" s="784"/>
      <c r="D140" s="784"/>
      <c r="E140" s="784"/>
      <c r="F140" s="784">
        <f>'Balance Sheet'!T51</f>
        <v>0</v>
      </c>
      <c r="G140" s="784">
        <f>'Balance Sheet'!U51</f>
        <v>0</v>
      </c>
      <c r="H140" s="784">
        <f>'Balance Sheet'!V51</f>
        <v>0</v>
      </c>
      <c r="I140" s="784">
        <f>'Balance Sheet'!W51</f>
        <v>0</v>
      </c>
      <c r="J140" s="784">
        <f>'Balance Sheet'!X51</f>
        <v>0</v>
      </c>
      <c r="K140" s="784">
        <f>'Balance Sheet'!Y51</f>
        <v>0</v>
      </c>
      <c r="L140" s="784">
        <f>'Balance Sheet'!Z51</f>
        <v>0</v>
      </c>
      <c r="M140" s="784">
        <f>'Balance Sheet'!AA51</f>
        <v>0</v>
      </c>
      <c r="N140" s="784">
        <f>'Balance Sheet'!AB51</f>
        <v>0</v>
      </c>
      <c r="O140" s="784">
        <f>'Balance Sheet'!AC51</f>
        <v>0</v>
      </c>
      <c r="P140" s="784">
        <f>'Balance Sheet'!AD51</f>
        <v>0</v>
      </c>
      <c r="Q140" s="784">
        <f>'Balance Sheet'!AE51</f>
        <v>0</v>
      </c>
      <c r="R140" s="784">
        <f>'Balance Sheet'!AF51</f>
        <v>0</v>
      </c>
    </row>
    <row r="141" spans="2:18">
      <c r="B141" s="782" t="str">
        <f>'Balance Sheet'!A52</f>
        <v>Profit for the period</v>
      </c>
      <c r="C141" s="784"/>
      <c r="D141" s="784"/>
      <c r="E141" s="784"/>
      <c r="F141" s="784">
        <f>'Balance Sheet'!T52</f>
        <v>1283</v>
      </c>
      <c r="G141" s="784">
        <f>'Balance Sheet'!U52</f>
        <v>2447</v>
      </c>
      <c r="H141" s="784">
        <f>'Balance Sheet'!V52</f>
        <v>352</v>
      </c>
      <c r="I141" s="784">
        <f>'Balance Sheet'!W52</f>
        <v>43</v>
      </c>
      <c r="J141" s="784">
        <f>'Balance Sheet'!X52</f>
        <v>-2459</v>
      </c>
      <c r="K141" s="784">
        <f>'Balance Sheet'!Y52</f>
        <v>3444</v>
      </c>
      <c r="L141" s="784">
        <f>'Balance Sheet'!Z52</f>
        <v>-667</v>
      </c>
      <c r="M141" s="784">
        <f>'Balance Sheet'!AA52</f>
        <v>3402.0356353808638</v>
      </c>
      <c r="N141" s="784">
        <f>'Balance Sheet'!AB52</f>
        <v>4265.0744248056408</v>
      </c>
      <c r="O141" s="784">
        <f>'Balance Sheet'!AC52</f>
        <v>5145.0273722240772</v>
      </c>
      <c r="P141" s="784">
        <f>'Balance Sheet'!AD52</f>
        <v>5689.346823973915</v>
      </c>
      <c r="Q141" s="784">
        <f>'Balance Sheet'!AE52</f>
        <v>6097.9180072536037</v>
      </c>
      <c r="R141" s="784">
        <f>'Balance Sheet'!AF52</f>
        <v>6533.3896805149088</v>
      </c>
    </row>
    <row r="142" spans="2:18">
      <c r="B142" s="782" t="str">
        <f>'Balance Sheet'!A53</f>
        <v>Non-controlling interests</v>
      </c>
      <c r="C142" s="784"/>
      <c r="D142" s="784"/>
      <c r="E142" s="784"/>
      <c r="F142" s="784">
        <f>'Balance Sheet'!T53</f>
        <v>346</v>
      </c>
      <c r="G142" s="784">
        <f>'Balance Sheet'!U53</f>
        <v>377</v>
      </c>
      <c r="H142" s="784">
        <f>'Balance Sheet'!V53</f>
        <v>401</v>
      </c>
      <c r="I142" s="784">
        <f>'Balance Sheet'!W53</f>
        <v>429</v>
      </c>
      <c r="J142" s="784">
        <f>'Balance Sheet'!X53</f>
        <v>455</v>
      </c>
      <c r="K142" s="784">
        <f>'Balance Sheet'!Y53</f>
        <v>511</v>
      </c>
      <c r="L142" s="784">
        <f>'Balance Sheet'!Z53</f>
        <v>549</v>
      </c>
      <c r="M142" s="784">
        <f>'Balance Sheet'!AA53</f>
        <v>653.74831550750605</v>
      </c>
      <c r="N142" s="784">
        <f>'Balance Sheet'!AB53</f>
        <v>772.09668192164747</v>
      </c>
      <c r="O142" s="784">
        <f>'Balance Sheet'!AC53</f>
        <v>902.32449194413221</v>
      </c>
      <c r="P142" s="784">
        <f>'Balance Sheet'!AD53</f>
        <v>1042.67492274352</v>
      </c>
      <c r="Q142" s="784">
        <f>'Balance Sheet'!AE53</f>
        <v>1190.7879220757839</v>
      </c>
      <c r="R142" s="784">
        <f>'Balance Sheet'!AF53</f>
        <v>1346.0920831449412</v>
      </c>
    </row>
    <row r="143" spans="2:18" hidden="1">
      <c r="B143" s="782" t="s">
        <v>752</v>
      </c>
      <c r="C143" s="784"/>
      <c r="D143" s="784"/>
      <c r="E143" s="784"/>
      <c r="F143" s="784">
        <f>F144-SUM(F138:F142)</f>
        <v>0</v>
      </c>
      <c r="G143" s="784">
        <f t="shared" ref="G143:Q143" si="22">G144-SUM(G138:G142)</f>
        <v>0</v>
      </c>
      <c r="H143" s="784">
        <f t="shared" si="22"/>
        <v>0</v>
      </c>
      <c r="I143" s="784">
        <f t="shared" si="22"/>
        <v>0</v>
      </c>
      <c r="J143" s="784">
        <f t="shared" si="22"/>
        <v>0</v>
      </c>
      <c r="K143" s="784">
        <f t="shared" si="22"/>
        <v>0</v>
      </c>
      <c r="L143" s="784">
        <f t="shared" si="22"/>
        <v>0</v>
      </c>
      <c r="M143" s="784">
        <f t="shared" si="22"/>
        <v>0</v>
      </c>
      <c r="N143" s="784">
        <f t="shared" si="22"/>
        <v>0</v>
      </c>
      <c r="O143" s="784">
        <f t="shared" si="22"/>
        <v>0</v>
      </c>
      <c r="P143" s="784">
        <f t="shared" si="22"/>
        <v>0</v>
      </c>
      <c r="Q143" s="784">
        <f t="shared" si="22"/>
        <v>0</v>
      </c>
      <c r="R143" s="784">
        <f t="shared" ref="R143" si="23">R144-SUM(R138:R142)</f>
        <v>0</v>
      </c>
    </row>
    <row r="144" spans="2:18" s="783" customFormat="1">
      <c r="B144" s="910" t="str">
        <f>'Balance Sheet'!A54</f>
        <v>Total Equity</v>
      </c>
      <c r="C144" s="911"/>
      <c r="D144" s="911"/>
      <c r="E144" s="911"/>
      <c r="F144" s="911">
        <f>'Balance Sheet'!T54</f>
        <v>12301</v>
      </c>
      <c r="G144" s="911">
        <f>'Balance Sheet'!U54</f>
        <v>12748</v>
      </c>
      <c r="H144" s="911">
        <f>'Balance Sheet'!V54</f>
        <v>12750</v>
      </c>
      <c r="I144" s="911">
        <f>'Balance Sheet'!W54</f>
        <v>13270</v>
      </c>
      <c r="J144" s="911">
        <f>'Balance Sheet'!X54</f>
        <v>10866</v>
      </c>
      <c r="K144" s="911">
        <f>'Balance Sheet'!Y54</f>
        <v>12088</v>
      </c>
      <c r="L144" s="911">
        <f>'Balance Sheet'!Z54</f>
        <v>10725</v>
      </c>
      <c r="M144" s="911">
        <f>'Balance Sheet'!AA54</f>
        <v>11774.95031388837</v>
      </c>
      <c r="N144" s="911">
        <f>'Balance Sheet'!AB54</f>
        <v>13500.2188669426</v>
      </c>
      <c r="O144" s="911">
        <f>'Balance Sheet'!AC54</f>
        <v>15714.174720314415</v>
      </c>
      <c r="P144" s="911">
        <f>'Balance Sheet'!AD54</f>
        <v>18233.427706343165</v>
      </c>
      <c r="Q144" s="911">
        <f>'Balance Sheet'!AE54</f>
        <v>22201.048738869664</v>
      </c>
      <c r="R144" s="911">
        <f>'Balance Sheet'!AF54</f>
        <v>26447.724666945294</v>
      </c>
    </row>
    <row r="145" spans="6:18">
      <c r="F145" s="784"/>
      <c r="G145" s="784"/>
      <c r="H145" s="784"/>
      <c r="I145" s="784"/>
      <c r="J145" s="784"/>
      <c r="K145" s="784"/>
      <c r="L145" s="784"/>
      <c r="M145" s="784"/>
      <c r="N145" s="784"/>
      <c r="O145" s="784"/>
      <c r="P145" s="784"/>
      <c r="Q145" s="784"/>
      <c r="R145" s="784"/>
    </row>
    <row r="146" spans="6:18">
      <c r="F146" s="784"/>
      <c r="G146" s="784"/>
      <c r="H146" s="784"/>
      <c r="I146" s="784"/>
      <c r="J146" s="784"/>
      <c r="K146" s="784"/>
      <c r="L146" s="784"/>
      <c r="M146" s="784"/>
      <c r="N146" s="784"/>
      <c r="O146" s="784"/>
      <c r="P146" s="784"/>
      <c r="Q146" s="784"/>
      <c r="R146" s="784"/>
    </row>
  </sheetData>
  <printOptions horizontalCentered="1" verticalCentered="1"/>
  <pageMargins left="0.7" right="0.7" top="0.75" bottom="0.75" header="0.3" footer="0.3"/>
  <pageSetup paperSize="9" orientation="portrait" horizontalDpi="200" verticalDpi="200" r:id="rId1"/>
  <customProperties>
    <customPr name="Qube.Worksheet.Visibility" r:id="rId2"/>
    <customPr name="QXL_SHEET_ID" r:id="rId3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3">
    <tabColor theme="0"/>
    <pageSetUpPr autoPageBreaks="0"/>
  </sheetPr>
  <dimension ref="B2:AG61"/>
  <sheetViews>
    <sheetView showGridLines="0" workbookViewId="0">
      <selection activeCell="AA56" sqref="AA56"/>
    </sheetView>
  </sheetViews>
  <sheetFormatPr defaultColWidth="9" defaultRowHeight="12.75"/>
  <cols>
    <col min="1" max="1" width="9" style="44"/>
    <col min="2" max="2" width="36" style="44" customWidth="1"/>
    <col min="3" max="3" width="19.875" style="44" customWidth="1"/>
    <col min="4" max="4" width="9.125" style="44" customWidth="1"/>
    <col min="5" max="22" width="9" style="44"/>
    <col min="23" max="23" width="16.625" style="44" bestFit="1" customWidth="1"/>
    <col min="24" max="16384" width="9" style="44"/>
  </cols>
  <sheetData>
    <row r="2" spans="2:33">
      <c r="B2" s="76"/>
      <c r="C2" s="77"/>
      <c r="D2" s="77">
        <v>2013</v>
      </c>
      <c r="E2" s="77">
        <v>2014</v>
      </c>
      <c r="F2" s="77">
        <v>2015</v>
      </c>
      <c r="G2" s="77" t="s">
        <v>748</v>
      </c>
      <c r="H2" s="78">
        <v>2017</v>
      </c>
      <c r="I2" s="78">
        <v>2018</v>
      </c>
      <c r="J2" s="78">
        <v>2021</v>
      </c>
      <c r="K2" s="78">
        <f>J2+1</f>
        <v>2022</v>
      </c>
      <c r="L2" s="78">
        <f t="shared" ref="L2:Q2" si="0">K2+1</f>
        <v>2023</v>
      </c>
      <c r="M2" s="78">
        <f t="shared" si="0"/>
        <v>2024</v>
      </c>
      <c r="N2" s="78">
        <f t="shared" si="0"/>
        <v>2025</v>
      </c>
      <c r="O2" s="78">
        <f t="shared" si="0"/>
        <v>2026</v>
      </c>
      <c r="P2" s="78">
        <f t="shared" si="0"/>
        <v>2027</v>
      </c>
      <c r="Q2" s="78">
        <f t="shared" si="0"/>
        <v>2028</v>
      </c>
      <c r="S2" s="54" t="s">
        <v>976</v>
      </c>
      <c r="W2" s="50"/>
      <c r="X2" s="45" t="s">
        <v>1044</v>
      </c>
    </row>
    <row r="3" spans="2:33">
      <c r="B3" s="46" t="s">
        <v>504</v>
      </c>
      <c r="C3" s="46" t="s">
        <v>169</v>
      </c>
      <c r="D3" s="50">
        <v>1.6650000000000002E-2</v>
      </c>
      <c r="E3" s="50">
        <v>1.6650000000000002E-2</v>
      </c>
      <c r="F3" s="50">
        <f>X$10*0.9*0.05</f>
        <v>1.6650000000000002E-2</v>
      </c>
      <c r="G3" s="50">
        <f>Y$10*0.9*0.05</f>
        <v>1.575E-2</v>
      </c>
      <c r="H3" s="50">
        <f>Z$10*0.9*0.05</f>
        <v>1.5300000000000003E-2</v>
      </c>
      <c r="I3" s="50">
        <f>AA$10*0.9*0.05</f>
        <v>1.4850000000000002E-2</v>
      </c>
      <c r="J3" s="50">
        <f>AC$10*0.9*0.05</f>
        <v>1.4850000000000002E-2</v>
      </c>
      <c r="K3" s="1171">
        <f>AD$10*0.9*0.05</f>
        <v>6.7771084337349408E-3</v>
      </c>
      <c r="L3" s="1171">
        <f>AE$10*0.9*0.05</f>
        <v>7.7642770352369384E-3</v>
      </c>
      <c r="M3" s="1171">
        <f>AF$10*0.9*0.05</f>
        <v>7.3706896551724134E-3</v>
      </c>
      <c r="N3" s="1171">
        <f>M3</f>
        <v>7.3706896551724134E-3</v>
      </c>
      <c r="O3" s="50"/>
      <c r="P3" s="50"/>
      <c r="Q3" s="50"/>
      <c r="R3" s="47"/>
      <c r="S3" s="51"/>
    </row>
    <row r="4" spans="2:33">
      <c r="B4" s="46" t="s">
        <v>505</v>
      </c>
      <c r="C4" s="46" t="s">
        <v>170</v>
      </c>
      <c r="D4" s="50">
        <v>0.31635000000000002</v>
      </c>
      <c r="E4" s="50">
        <v>0.31635000000000002</v>
      </c>
      <c r="F4" s="50">
        <f>X$10*0.9*0.95</f>
        <v>0.31635000000000002</v>
      </c>
      <c r="G4" s="50">
        <f>Y$10*0.9*0.95</f>
        <v>0.29924999999999996</v>
      </c>
      <c r="H4" s="50">
        <f>Z$10*0.9*0.95</f>
        <v>0.29070000000000001</v>
      </c>
      <c r="I4" s="50">
        <f>AA$10*0.9*0.9434</f>
        <v>0.28018980000000004</v>
      </c>
      <c r="J4" s="50">
        <f>AC$10*0.9*0.9434</f>
        <v>0.28018980000000004</v>
      </c>
      <c r="K4" s="1171">
        <f>AD$10*0.9*0.95</f>
        <v>0.12876506024096387</v>
      </c>
      <c r="L4" s="1171">
        <f>AE$10*0.9*0.9434</f>
        <v>0.14649637910085056</v>
      </c>
      <c r="M4" s="1171">
        <f>AF$10*0.9*0.9434</f>
        <v>0.1390701724137931</v>
      </c>
      <c r="N4" s="1171">
        <f t="shared" ref="N4:N50" si="1">M4</f>
        <v>0.1390701724137931</v>
      </c>
      <c r="O4" s="50"/>
      <c r="P4" s="50"/>
      <c r="Q4" s="50"/>
      <c r="R4" s="47"/>
      <c r="S4" s="48"/>
      <c r="W4" s="79" t="s">
        <v>1045</v>
      </c>
      <c r="X4" s="55" t="s">
        <v>1051</v>
      </c>
    </row>
    <row r="5" spans="2:33">
      <c r="B5" s="46" t="s">
        <v>999</v>
      </c>
      <c r="C5" s="46" t="s">
        <v>1000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1172">
        <v>0</v>
      </c>
      <c r="L5" s="1172">
        <v>0</v>
      </c>
      <c r="M5" s="1172">
        <v>0</v>
      </c>
      <c r="N5" s="1172">
        <f t="shared" si="1"/>
        <v>0</v>
      </c>
      <c r="O5" s="49"/>
      <c r="P5" s="49"/>
      <c r="Q5" s="49"/>
      <c r="R5" s="47"/>
      <c r="S5" s="48"/>
      <c r="X5" s="55" t="s">
        <v>1060</v>
      </c>
    </row>
    <row r="6" spans="2:33">
      <c r="B6" s="46" t="s">
        <v>1001</v>
      </c>
      <c r="C6" s="46" t="s">
        <v>1002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1172">
        <v>0</v>
      </c>
      <c r="L6" s="1172">
        <v>0</v>
      </c>
      <c r="M6" s="1172">
        <v>0</v>
      </c>
      <c r="N6" s="1172">
        <f t="shared" si="1"/>
        <v>0</v>
      </c>
      <c r="O6" s="49"/>
      <c r="P6" s="49"/>
      <c r="Q6" s="49"/>
      <c r="R6" s="47"/>
      <c r="S6" s="48"/>
    </row>
    <row r="7" spans="2:33">
      <c r="B7" s="46" t="s">
        <v>503</v>
      </c>
      <c r="C7" s="46" t="s">
        <v>168</v>
      </c>
      <c r="D7" s="49">
        <v>3.6999999999999998E-2</v>
      </c>
      <c r="E7" s="49">
        <v>3.6999999999999998E-2</v>
      </c>
      <c r="F7" s="49">
        <f>0.37*0.1</f>
        <v>3.6999999999999998E-2</v>
      </c>
      <c r="G7" s="49">
        <f>0.35*0.1</f>
        <v>3.4999999999999996E-2</v>
      </c>
      <c r="H7" s="49">
        <f>0.35*0.1</f>
        <v>3.4999999999999996E-2</v>
      </c>
      <c r="I7" s="49">
        <f>0.35*0.1</f>
        <v>3.4999999999999996E-2</v>
      </c>
      <c r="J7" s="49">
        <f>0.35*0.1</f>
        <v>3.4999999999999996E-2</v>
      </c>
      <c r="K7" s="1172">
        <v>1.5100000000000001E-2</v>
      </c>
      <c r="L7" s="1172">
        <v>1.8300000000000004E-2</v>
      </c>
      <c r="M7" s="1172">
        <v>1.7399999999999999E-2</v>
      </c>
      <c r="N7" s="1172">
        <f t="shared" si="1"/>
        <v>1.7399999999999999E-2</v>
      </c>
      <c r="O7" s="49"/>
      <c r="P7" s="49"/>
      <c r="Q7" s="49"/>
      <c r="R7" s="47"/>
      <c r="S7" s="52" t="s">
        <v>1052</v>
      </c>
      <c r="X7" s="77" t="s">
        <v>991</v>
      </c>
      <c r="Y7" s="77" t="s">
        <v>1059</v>
      </c>
      <c r="Z7" s="77" t="s">
        <v>1061</v>
      </c>
      <c r="AA7" s="77">
        <v>2017</v>
      </c>
      <c r="AB7" s="77">
        <v>2018</v>
      </c>
      <c r="AC7" s="77">
        <v>2021</v>
      </c>
      <c r="AD7" s="77">
        <v>2022</v>
      </c>
      <c r="AE7" s="77">
        <v>2023</v>
      </c>
      <c r="AF7" s="77">
        <v>2024</v>
      </c>
      <c r="AG7" s="1127"/>
    </row>
    <row r="8" spans="2:33">
      <c r="B8" s="46" t="s">
        <v>1003</v>
      </c>
      <c r="C8" s="46" t="s">
        <v>1004</v>
      </c>
      <c r="D8" s="49">
        <v>0</v>
      </c>
      <c r="E8" s="49">
        <v>0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1172">
        <v>0</v>
      </c>
      <c r="L8" s="1172">
        <v>0</v>
      </c>
      <c r="M8" s="1172">
        <v>0</v>
      </c>
      <c r="N8" s="1172">
        <f t="shared" si="1"/>
        <v>0</v>
      </c>
      <c r="O8" s="49"/>
      <c r="P8" s="49"/>
      <c r="Q8" s="49"/>
      <c r="R8" s="47"/>
      <c r="S8" s="48"/>
      <c r="W8" s="52" t="s">
        <v>1046</v>
      </c>
      <c r="X8" s="53">
        <v>0.21</v>
      </c>
      <c r="Y8" s="53">
        <v>0.22</v>
      </c>
      <c r="Z8" s="56">
        <v>0.21</v>
      </c>
      <c r="AA8" s="56">
        <v>0.17</v>
      </c>
      <c r="AB8" s="56">
        <v>0.16</v>
      </c>
      <c r="AC8" s="56">
        <v>0.22</v>
      </c>
      <c r="AD8" s="56">
        <f>337/498</f>
        <v>0.67670682730923692</v>
      </c>
      <c r="AE8" s="56">
        <f>543/823</f>
        <v>0.65978128797083835</v>
      </c>
      <c r="AF8" s="56">
        <f>648/1044</f>
        <v>0.62068965517241381</v>
      </c>
    </row>
    <row r="9" spans="2:33">
      <c r="B9" s="46" t="s">
        <v>1005</v>
      </c>
      <c r="C9" s="46" t="s">
        <v>1006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1172">
        <v>0</v>
      </c>
      <c r="L9" s="1172">
        <v>0</v>
      </c>
      <c r="M9" s="1172">
        <v>0</v>
      </c>
      <c r="N9" s="1172">
        <f t="shared" si="1"/>
        <v>0</v>
      </c>
      <c r="O9" s="49"/>
      <c r="P9" s="49"/>
      <c r="Q9" s="49"/>
      <c r="R9" s="47"/>
      <c r="S9" s="48"/>
      <c r="W9" s="1128" t="s">
        <v>1047</v>
      </c>
      <c r="X9" s="53">
        <v>0.2</v>
      </c>
      <c r="Y9" s="53">
        <v>0.2</v>
      </c>
      <c r="Z9" s="56">
        <v>0.22</v>
      </c>
      <c r="AA9" s="56">
        <v>0.27</v>
      </c>
      <c r="AB9" s="56">
        <v>0.24</v>
      </c>
      <c r="AC9" s="56">
        <v>0.21</v>
      </c>
      <c r="AD9" s="56">
        <f>34/498</f>
        <v>6.8273092369477914E-2</v>
      </c>
      <c r="AE9" s="56">
        <f>79/823</f>
        <v>9.5990279465370601E-2</v>
      </c>
      <c r="AF9" s="56">
        <f>107/1044</f>
        <v>0.1024904214559387</v>
      </c>
    </row>
    <row r="10" spans="2:33">
      <c r="B10" s="46" t="s">
        <v>1007</v>
      </c>
      <c r="C10" s="46" t="s">
        <v>1008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1172">
        <v>0</v>
      </c>
      <c r="L10" s="1172">
        <v>0</v>
      </c>
      <c r="M10" s="1172">
        <v>0</v>
      </c>
      <c r="N10" s="1172">
        <f t="shared" si="1"/>
        <v>0</v>
      </c>
      <c r="O10" s="49"/>
      <c r="P10" s="49"/>
      <c r="Q10" s="49"/>
      <c r="R10" s="47"/>
      <c r="S10" s="48"/>
      <c r="W10" s="52" t="s">
        <v>1048</v>
      </c>
      <c r="X10" s="53">
        <v>0.37</v>
      </c>
      <c r="Y10" s="53">
        <v>0.35</v>
      </c>
      <c r="Z10" s="56">
        <v>0.34</v>
      </c>
      <c r="AA10" s="56">
        <v>0.33</v>
      </c>
      <c r="AB10" s="56">
        <v>0.37</v>
      </c>
      <c r="AC10" s="56">
        <v>0.33</v>
      </c>
      <c r="AD10" s="56">
        <f>75/498</f>
        <v>0.15060240963855423</v>
      </c>
      <c r="AE10" s="56">
        <f>142/823</f>
        <v>0.17253948967193194</v>
      </c>
      <c r="AF10" s="56">
        <f>171/1044</f>
        <v>0.16379310344827586</v>
      </c>
    </row>
    <row r="11" spans="2:33">
      <c r="B11" s="46" t="s">
        <v>1009</v>
      </c>
      <c r="C11" s="46" t="s">
        <v>1010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1172">
        <v>0</v>
      </c>
      <c r="L11" s="1172">
        <v>0</v>
      </c>
      <c r="M11" s="1172">
        <v>0</v>
      </c>
      <c r="N11" s="1172">
        <f t="shared" si="1"/>
        <v>0</v>
      </c>
      <c r="O11" s="49"/>
      <c r="P11" s="49"/>
      <c r="Q11" s="49"/>
      <c r="R11" s="47"/>
      <c r="S11" s="48"/>
      <c r="W11" s="52" t="s">
        <v>1049</v>
      </c>
      <c r="X11" s="53">
        <v>0.14000000000000001</v>
      </c>
      <c r="Y11" s="53">
        <v>0.14000000000000001</v>
      </c>
      <c r="Z11" s="56">
        <v>0.15</v>
      </c>
      <c r="AA11" s="56">
        <v>0.16</v>
      </c>
      <c r="AB11" s="56">
        <v>0.16</v>
      </c>
      <c r="AC11" s="56">
        <v>0.18</v>
      </c>
      <c r="AD11" s="56">
        <f>34/498</f>
        <v>6.8273092369477914E-2</v>
      </c>
      <c r="AE11" s="56">
        <f>35/823</f>
        <v>4.25273390036452E-2</v>
      </c>
      <c r="AF11" s="56">
        <f>97/1044</f>
        <v>9.2911877394636022E-2</v>
      </c>
    </row>
    <row r="12" spans="2:33">
      <c r="B12" s="46" t="s">
        <v>1011</v>
      </c>
      <c r="C12" s="46" t="s">
        <v>1012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1172">
        <v>0</v>
      </c>
      <c r="L12" s="1172">
        <v>0</v>
      </c>
      <c r="M12" s="1172">
        <v>0</v>
      </c>
      <c r="N12" s="1172">
        <f t="shared" si="1"/>
        <v>0</v>
      </c>
      <c r="O12" s="49"/>
      <c r="P12" s="49"/>
      <c r="Q12" s="49"/>
      <c r="R12" s="47"/>
      <c r="W12" s="52" t="s">
        <v>1050</v>
      </c>
      <c r="X12" s="53">
        <v>0.08</v>
      </c>
      <c r="Y12" s="53">
        <v>0.09</v>
      </c>
      <c r="Z12" s="56">
        <v>0.08</v>
      </c>
      <c r="AA12" s="56">
        <v>7.0000000000000007E-2</v>
      </c>
      <c r="AB12" s="56">
        <v>7.0000000000000007E-2</v>
      </c>
      <c r="AC12" s="56">
        <v>0.06</v>
      </c>
      <c r="AD12" s="56">
        <f>18/498</f>
        <v>3.614457831325301E-2</v>
      </c>
      <c r="AE12" s="56">
        <f>24/823</f>
        <v>2.9161603888213851E-2</v>
      </c>
      <c r="AF12" s="56">
        <f>21/1044</f>
        <v>2.0114942528735632E-2</v>
      </c>
    </row>
    <row r="13" spans="2:33">
      <c r="B13" s="46" t="s">
        <v>423</v>
      </c>
      <c r="C13" s="46" t="s">
        <v>163</v>
      </c>
      <c r="D13" s="49">
        <v>5.7142857142857151E-3</v>
      </c>
      <c r="E13" s="49">
        <v>5.7142857142857151E-3</v>
      </c>
      <c r="F13" s="49">
        <f t="shared" ref="F13:I14" si="2">(X$9-F$16-F$19-F$23-F$26)/14</f>
        <v>5.7142857142857151E-3</v>
      </c>
      <c r="G13" s="49">
        <f t="shared" si="2"/>
        <v>5.7142857142857151E-3</v>
      </c>
      <c r="H13" s="49">
        <f t="shared" si="2"/>
        <v>7.1428571428571435E-3</v>
      </c>
      <c r="I13" s="49">
        <f t="shared" si="2"/>
        <v>1.0714285714285716E-2</v>
      </c>
      <c r="J13" s="49">
        <f t="shared" ref="J13:M14" si="3">(AC$9-J$16-J$19-J$23-J$26)/14</f>
        <v>6.4285714285714285E-3</v>
      </c>
      <c r="K13" s="1172">
        <f t="shared" si="3"/>
        <v>2.0195065978198504E-3</v>
      </c>
      <c r="L13" s="1172">
        <f t="shared" si="3"/>
        <v>1.1421628189550437E-3</v>
      </c>
      <c r="M13" s="1172">
        <f t="shared" si="3"/>
        <v>1.7788724685276501E-4</v>
      </c>
      <c r="N13" s="1172">
        <f t="shared" si="1"/>
        <v>1.7788724685276501E-4</v>
      </c>
      <c r="O13" s="49"/>
      <c r="P13" s="49"/>
      <c r="Q13" s="49"/>
      <c r="R13" s="47"/>
      <c r="W13" s="52"/>
      <c r="X13" s="53">
        <f t="shared" ref="X13:AF13" si="4">SUM(X8:X12)</f>
        <v>1</v>
      </c>
      <c r="Y13" s="53">
        <f t="shared" si="4"/>
        <v>1</v>
      </c>
      <c r="Z13" s="56">
        <f t="shared" si="4"/>
        <v>1</v>
      </c>
      <c r="AA13" s="56">
        <f t="shared" si="4"/>
        <v>1</v>
      </c>
      <c r="AB13" s="56">
        <f t="shared" si="4"/>
        <v>1</v>
      </c>
      <c r="AC13" s="56">
        <f t="shared" si="4"/>
        <v>1</v>
      </c>
      <c r="AD13" s="56">
        <f t="shared" si="4"/>
        <v>0.99999999999999989</v>
      </c>
      <c r="AE13" s="56">
        <f t="shared" si="4"/>
        <v>1</v>
      </c>
      <c r="AF13" s="56">
        <f t="shared" si="4"/>
        <v>0.99999999999999989</v>
      </c>
    </row>
    <row r="14" spans="2:33">
      <c r="B14" s="46" t="s">
        <v>422</v>
      </c>
      <c r="C14" s="46" t="s">
        <v>162</v>
      </c>
      <c r="D14" s="49">
        <v>5.7142857142857151E-3</v>
      </c>
      <c r="E14" s="49">
        <v>5.7142857142857151E-3</v>
      </c>
      <c r="F14" s="49">
        <f t="shared" si="2"/>
        <v>5.7142857142857151E-3</v>
      </c>
      <c r="G14" s="49">
        <f t="shared" si="2"/>
        <v>5.7142857142857151E-3</v>
      </c>
      <c r="H14" s="49">
        <f t="shared" si="2"/>
        <v>7.1428571428571435E-3</v>
      </c>
      <c r="I14" s="49">
        <f t="shared" si="2"/>
        <v>1.0714285714285716E-2</v>
      </c>
      <c r="J14" s="49">
        <f t="shared" si="3"/>
        <v>6.4285714285714285E-3</v>
      </c>
      <c r="K14" s="1172">
        <f t="shared" si="3"/>
        <v>2.0195065978198504E-3</v>
      </c>
      <c r="L14" s="1172">
        <f t="shared" si="3"/>
        <v>1.1421628189550437E-3</v>
      </c>
      <c r="M14" s="1172">
        <f t="shared" si="3"/>
        <v>1.7788724685276501E-4</v>
      </c>
      <c r="N14" s="1172">
        <f t="shared" si="1"/>
        <v>1.7788724685276501E-4</v>
      </c>
      <c r="O14" s="49"/>
      <c r="P14" s="49"/>
      <c r="Q14" s="49"/>
      <c r="R14" s="47"/>
      <c r="W14" s="52"/>
      <c r="X14" s="53"/>
      <c r="Y14" s="53"/>
    </row>
    <row r="15" spans="2:33">
      <c r="B15" s="46" t="s">
        <v>419</v>
      </c>
      <c r="C15" s="46" t="s">
        <v>159</v>
      </c>
      <c r="D15" s="50">
        <v>0.21</v>
      </c>
      <c r="E15" s="50">
        <v>0.21</v>
      </c>
      <c r="F15" s="50">
        <f>X8</f>
        <v>0.21</v>
      </c>
      <c r="G15" s="50">
        <f>Y8</f>
        <v>0.22</v>
      </c>
      <c r="H15" s="50">
        <v>0.20899999999999999</v>
      </c>
      <c r="I15" s="50">
        <f>AA8</f>
        <v>0.17</v>
      </c>
      <c r="J15" s="50">
        <f>AC8</f>
        <v>0.22</v>
      </c>
      <c r="K15" s="1171">
        <f>AD8</f>
        <v>0.67670682730923692</v>
      </c>
      <c r="L15" s="1171">
        <f>AE8</f>
        <v>0.65978128797083835</v>
      </c>
      <c r="M15" s="1171">
        <f>AF8</f>
        <v>0.62068965517241381</v>
      </c>
      <c r="N15" s="1171">
        <f t="shared" si="1"/>
        <v>0.62068965517241381</v>
      </c>
      <c r="O15" s="50"/>
      <c r="P15" s="50"/>
      <c r="Q15" s="50"/>
      <c r="R15" s="47"/>
      <c r="W15" s="52"/>
      <c r="X15" s="53"/>
      <c r="Y15" s="53"/>
    </row>
    <row r="16" spans="2:33">
      <c r="B16" s="46" t="s">
        <v>418</v>
      </c>
      <c r="C16" s="46" t="s">
        <v>158</v>
      </c>
      <c r="D16" s="49">
        <v>0.03</v>
      </c>
      <c r="E16" s="49">
        <v>0.03</v>
      </c>
      <c r="F16" s="49">
        <v>0.03</v>
      </c>
      <c r="G16" s="49">
        <v>0.03</v>
      </c>
      <c r="H16" s="49">
        <v>0.03</v>
      </c>
      <c r="I16" s="49">
        <v>0.03</v>
      </c>
      <c r="J16" s="49">
        <v>0.03</v>
      </c>
      <c r="K16" s="1172">
        <v>0.01</v>
      </c>
      <c r="L16" s="1172">
        <v>0.01</v>
      </c>
      <c r="M16" s="1172">
        <v>0.01</v>
      </c>
      <c r="N16" s="1172">
        <f t="shared" si="1"/>
        <v>0.01</v>
      </c>
      <c r="O16" s="49"/>
      <c r="P16" s="49"/>
      <c r="Q16" s="49"/>
      <c r="R16" s="47"/>
      <c r="S16" s="52" t="s">
        <v>1053</v>
      </c>
      <c r="X16" s="53"/>
      <c r="Y16" s="53"/>
    </row>
    <row r="17" spans="2:19">
      <c r="B17" s="46" t="s">
        <v>417</v>
      </c>
      <c r="C17" s="46" t="s">
        <v>157</v>
      </c>
      <c r="D17" s="49">
        <v>5.7142857142857151E-3</v>
      </c>
      <c r="E17" s="49">
        <v>5.7142857142857151E-3</v>
      </c>
      <c r="F17" s="49">
        <f t="shared" ref="F17:I18" si="5">(X$9-F$16-F$19-F$23-F$26)/14</f>
        <v>5.7142857142857151E-3</v>
      </c>
      <c r="G17" s="49">
        <f t="shared" si="5"/>
        <v>5.7142857142857151E-3</v>
      </c>
      <c r="H17" s="49">
        <f t="shared" si="5"/>
        <v>7.1428571428571435E-3</v>
      </c>
      <c r="I17" s="49">
        <f t="shared" si="5"/>
        <v>1.0714285714285716E-2</v>
      </c>
      <c r="J17" s="49">
        <f t="shared" ref="J17:M18" si="6">(AC$9-J$16-J$19-J$23-J$26)/14</f>
        <v>6.4285714285714285E-3</v>
      </c>
      <c r="K17" s="1172">
        <f t="shared" si="6"/>
        <v>2.0195065978198504E-3</v>
      </c>
      <c r="L17" s="1172">
        <f t="shared" si="6"/>
        <v>1.1421628189550437E-3</v>
      </c>
      <c r="M17" s="1172">
        <f t="shared" si="6"/>
        <v>1.7788724685276501E-4</v>
      </c>
      <c r="N17" s="1172">
        <f t="shared" si="1"/>
        <v>1.7788724685276501E-4</v>
      </c>
      <c r="O17" s="49"/>
      <c r="P17" s="49"/>
      <c r="Q17" s="49"/>
      <c r="R17" s="47"/>
    </row>
    <row r="18" spans="2:19">
      <c r="B18" s="46" t="s">
        <v>415</v>
      </c>
      <c r="C18" s="46" t="s">
        <v>155</v>
      </c>
      <c r="D18" s="49">
        <v>5.7142857142857151E-3</v>
      </c>
      <c r="E18" s="49">
        <v>5.7142857142857151E-3</v>
      </c>
      <c r="F18" s="49">
        <f t="shared" si="5"/>
        <v>5.7142857142857151E-3</v>
      </c>
      <c r="G18" s="49">
        <f t="shared" si="5"/>
        <v>5.7142857142857151E-3</v>
      </c>
      <c r="H18" s="49">
        <f t="shared" si="5"/>
        <v>7.1428571428571435E-3</v>
      </c>
      <c r="I18" s="49">
        <f t="shared" si="5"/>
        <v>1.0714285714285716E-2</v>
      </c>
      <c r="J18" s="49">
        <f t="shared" si="6"/>
        <v>6.4285714285714285E-3</v>
      </c>
      <c r="K18" s="1172">
        <f t="shared" si="6"/>
        <v>2.0195065978198504E-3</v>
      </c>
      <c r="L18" s="1172">
        <f t="shared" si="6"/>
        <v>1.1421628189550437E-3</v>
      </c>
      <c r="M18" s="1172">
        <f t="shared" si="6"/>
        <v>1.7788724685276501E-4</v>
      </c>
      <c r="N18" s="1172">
        <f t="shared" si="1"/>
        <v>1.7788724685276501E-4</v>
      </c>
      <c r="O18" s="49"/>
      <c r="P18" s="49"/>
      <c r="Q18" s="49"/>
      <c r="R18" s="47"/>
    </row>
    <row r="19" spans="2:19">
      <c r="B19" s="46" t="s">
        <v>414</v>
      </c>
      <c r="C19" s="46" t="s">
        <v>154</v>
      </c>
      <c r="D19" s="49">
        <v>0.03</v>
      </c>
      <c r="E19" s="49">
        <v>0.03</v>
      </c>
      <c r="F19" s="49">
        <v>0.03</v>
      </c>
      <c r="G19" s="49">
        <v>0.03</v>
      </c>
      <c r="H19" s="49">
        <v>0.03</v>
      </c>
      <c r="I19" s="49">
        <v>0.03</v>
      </c>
      <c r="J19" s="49">
        <v>0.03</v>
      </c>
      <c r="K19" s="1172">
        <v>0.01</v>
      </c>
      <c r="L19" s="1172">
        <v>0.01</v>
      </c>
      <c r="M19" s="1172">
        <v>0.03</v>
      </c>
      <c r="N19" s="1172">
        <f t="shared" si="1"/>
        <v>0.03</v>
      </c>
      <c r="O19" s="49"/>
      <c r="P19" s="49"/>
      <c r="Q19" s="49"/>
      <c r="R19" s="47"/>
    </row>
    <row r="20" spans="2:19">
      <c r="B20" s="46" t="s">
        <v>413</v>
      </c>
      <c r="C20" s="46" t="s">
        <v>153</v>
      </c>
      <c r="D20" s="49">
        <v>5.7142857142857151E-3</v>
      </c>
      <c r="E20" s="49">
        <v>5.7142857142857151E-3</v>
      </c>
      <c r="F20" s="49">
        <f t="shared" ref="F20:I22" si="7">(X$9-F$16-F$19-F$23-F$26)/14</f>
        <v>5.7142857142857151E-3</v>
      </c>
      <c r="G20" s="49">
        <f t="shared" si="7"/>
        <v>5.7142857142857151E-3</v>
      </c>
      <c r="H20" s="49">
        <f t="shared" si="7"/>
        <v>7.1428571428571435E-3</v>
      </c>
      <c r="I20" s="49">
        <f t="shared" si="7"/>
        <v>1.0714285714285716E-2</v>
      </c>
      <c r="J20" s="49">
        <f t="shared" ref="J20:M22" si="8">(AC$9-J$16-J$19-J$23-J$26)/14</f>
        <v>6.4285714285714285E-3</v>
      </c>
      <c r="K20" s="1172">
        <f t="shared" si="8"/>
        <v>2.0195065978198504E-3</v>
      </c>
      <c r="L20" s="1172">
        <f t="shared" si="8"/>
        <v>1.1421628189550437E-3</v>
      </c>
      <c r="M20" s="1172">
        <f t="shared" si="8"/>
        <v>1.7788724685276501E-4</v>
      </c>
      <c r="N20" s="1172">
        <f t="shared" si="1"/>
        <v>1.7788724685276501E-4</v>
      </c>
      <c r="O20" s="49"/>
      <c r="P20" s="49"/>
      <c r="Q20" s="49"/>
      <c r="R20" s="47"/>
    </row>
    <row r="21" spans="2:19">
      <c r="B21" s="46" t="s">
        <v>412</v>
      </c>
      <c r="C21" s="46" t="s">
        <v>152</v>
      </c>
      <c r="D21" s="49">
        <v>5.7142857142857151E-3</v>
      </c>
      <c r="E21" s="49">
        <v>5.7142857142857151E-3</v>
      </c>
      <c r="F21" s="49">
        <f t="shared" si="7"/>
        <v>5.7142857142857151E-3</v>
      </c>
      <c r="G21" s="49">
        <f t="shared" si="7"/>
        <v>5.7142857142857151E-3</v>
      </c>
      <c r="H21" s="49">
        <f t="shared" si="7"/>
        <v>7.1428571428571435E-3</v>
      </c>
      <c r="I21" s="49">
        <f t="shared" si="7"/>
        <v>1.0714285714285716E-2</v>
      </c>
      <c r="J21" s="49">
        <f t="shared" si="8"/>
        <v>6.4285714285714285E-3</v>
      </c>
      <c r="K21" s="1172">
        <f t="shared" si="8"/>
        <v>2.0195065978198504E-3</v>
      </c>
      <c r="L21" s="1172">
        <f t="shared" si="8"/>
        <v>1.1421628189550437E-3</v>
      </c>
      <c r="M21" s="1172">
        <f t="shared" si="8"/>
        <v>1.7788724685276501E-4</v>
      </c>
      <c r="N21" s="1172">
        <f t="shared" si="1"/>
        <v>1.7788724685276501E-4</v>
      </c>
      <c r="O21" s="49"/>
      <c r="P21" s="49"/>
      <c r="Q21" s="49"/>
      <c r="R21" s="47"/>
    </row>
    <row r="22" spans="2:19">
      <c r="B22" s="46" t="s">
        <v>411</v>
      </c>
      <c r="C22" s="46" t="s">
        <v>151</v>
      </c>
      <c r="D22" s="49">
        <v>5.7142857142857151E-3</v>
      </c>
      <c r="E22" s="49">
        <v>5.7142857142857151E-3</v>
      </c>
      <c r="F22" s="49">
        <f t="shared" si="7"/>
        <v>5.7142857142857151E-3</v>
      </c>
      <c r="G22" s="49">
        <f t="shared" si="7"/>
        <v>5.7142857142857151E-3</v>
      </c>
      <c r="H22" s="49">
        <f t="shared" si="7"/>
        <v>7.1428571428571435E-3</v>
      </c>
      <c r="I22" s="49">
        <f t="shared" si="7"/>
        <v>1.0714285714285716E-2</v>
      </c>
      <c r="J22" s="49">
        <f t="shared" si="8"/>
        <v>6.4285714285714285E-3</v>
      </c>
      <c r="K22" s="1172">
        <f t="shared" si="8"/>
        <v>2.0195065978198504E-3</v>
      </c>
      <c r="L22" s="1172">
        <f t="shared" si="8"/>
        <v>1.1421628189550437E-3</v>
      </c>
      <c r="M22" s="1172">
        <f t="shared" si="8"/>
        <v>1.7788724685276501E-4</v>
      </c>
      <c r="N22" s="1172">
        <f t="shared" si="1"/>
        <v>1.7788724685276501E-4</v>
      </c>
      <c r="O22" s="49"/>
      <c r="P22" s="49"/>
      <c r="Q22" s="49"/>
      <c r="R22" s="47"/>
    </row>
    <row r="23" spans="2:19">
      <c r="B23" s="46" t="s">
        <v>410</v>
      </c>
      <c r="C23" s="46" t="s">
        <v>150</v>
      </c>
      <c r="D23" s="49">
        <v>0.03</v>
      </c>
      <c r="E23" s="49">
        <v>0.03</v>
      </c>
      <c r="F23" s="49">
        <v>0.03</v>
      </c>
      <c r="G23" s="49">
        <v>0.03</v>
      </c>
      <c r="H23" s="49">
        <v>0.03</v>
      </c>
      <c r="I23" s="49">
        <v>0.03</v>
      </c>
      <c r="J23" s="49">
        <v>0.03</v>
      </c>
      <c r="K23" s="1172">
        <v>0.01</v>
      </c>
      <c r="L23" s="1172">
        <v>0.03</v>
      </c>
      <c r="M23" s="1172">
        <v>0.03</v>
      </c>
      <c r="N23" s="1172">
        <f t="shared" si="1"/>
        <v>0.03</v>
      </c>
      <c r="O23" s="49"/>
      <c r="P23" s="49"/>
      <c r="Q23" s="49"/>
      <c r="R23" s="47"/>
    </row>
    <row r="24" spans="2:19">
      <c r="B24" s="46" t="s">
        <v>409</v>
      </c>
      <c r="C24" s="46" t="s">
        <v>149</v>
      </c>
      <c r="D24" s="49">
        <v>5.7142857142857151E-3</v>
      </c>
      <c r="E24" s="49">
        <v>5.7142857142857151E-3</v>
      </c>
      <c r="F24" s="49">
        <f t="shared" ref="F24:I25" si="9">(X$9-F$16-F$19-F$23-F$26)/14</f>
        <v>5.7142857142857151E-3</v>
      </c>
      <c r="G24" s="49">
        <f t="shared" si="9"/>
        <v>5.7142857142857151E-3</v>
      </c>
      <c r="H24" s="49">
        <f t="shared" si="9"/>
        <v>7.1428571428571435E-3</v>
      </c>
      <c r="I24" s="49">
        <f t="shared" si="9"/>
        <v>1.0714285714285716E-2</v>
      </c>
      <c r="J24" s="49">
        <f t="shared" ref="J24:M25" si="10">(AC$9-J$16-J$19-J$23-J$26)/14</f>
        <v>6.4285714285714285E-3</v>
      </c>
      <c r="K24" s="1172">
        <f t="shared" si="10"/>
        <v>2.0195065978198504E-3</v>
      </c>
      <c r="L24" s="1172">
        <f t="shared" si="10"/>
        <v>1.1421628189550437E-3</v>
      </c>
      <c r="M24" s="1172">
        <f t="shared" si="10"/>
        <v>1.7788724685276501E-4</v>
      </c>
      <c r="N24" s="1172">
        <f t="shared" si="1"/>
        <v>1.7788724685276501E-4</v>
      </c>
      <c r="O24" s="49"/>
      <c r="P24" s="49"/>
      <c r="Q24" s="49"/>
      <c r="R24" s="47"/>
    </row>
    <row r="25" spans="2:19">
      <c r="B25" s="46" t="s">
        <v>408</v>
      </c>
      <c r="C25" s="46" t="s">
        <v>148</v>
      </c>
      <c r="D25" s="49">
        <v>5.7142857142857151E-3</v>
      </c>
      <c r="E25" s="49">
        <v>5.7142857142857151E-3</v>
      </c>
      <c r="F25" s="49">
        <f t="shared" si="9"/>
        <v>5.7142857142857151E-3</v>
      </c>
      <c r="G25" s="49">
        <f t="shared" si="9"/>
        <v>5.7142857142857151E-3</v>
      </c>
      <c r="H25" s="49">
        <f t="shared" si="9"/>
        <v>7.1428571428571435E-3</v>
      </c>
      <c r="I25" s="49">
        <f t="shared" si="9"/>
        <v>1.0714285714285716E-2</v>
      </c>
      <c r="J25" s="49">
        <f t="shared" si="10"/>
        <v>6.4285714285714285E-3</v>
      </c>
      <c r="K25" s="1172">
        <f t="shared" si="10"/>
        <v>2.0195065978198504E-3</v>
      </c>
      <c r="L25" s="1172">
        <f t="shared" si="10"/>
        <v>1.1421628189550437E-3</v>
      </c>
      <c r="M25" s="1172">
        <f t="shared" si="10"/>
        <v>1.7788724685276501E-4</v>
      </c>
      <c r="N25" s="1172">
        <f t="shared" si="1"/>
        <v>1.7788724685276501E-4</v>
      </c>
      <c r="O25" s="49"/>
      <c r="P25" s="49"/>
      <c r="Q25" s="49"/>
      <c r="R25" s="47"/>
    </row>
    <row r="26" spans="2:19">
      <c r="B26" s="46" t="s">
        <v>500</v>
      </c>
      <c r="C26" s="46" t="s">
        <v>165</v>
      </c>
      <c r="D26" s="49">
        <v>0.03</v>
      </c>
      <c r="E26" s="49">
        <v>0.03</v>
      </c>
      <c r="F26" s="49">
        <v>0.03</v>
      </c>
      <c r="G26" s="49">
        <v>0.03</v>
      </c>
      <c r="H26" s="49">
        <v>0.03</v>
      </c>
      <c r="I26" s="49">
        <v>0.03</v>
      </c>
      <c r="J26" s="49">
        <v>0.03</v>
      </c>
      <c r="K26" s="1172">
        <v>0.01</v>
      </c>
      <c r="L26" s="1172">
        <v>0.03</v>
      </c>
      <c r="M26" s="1172">
        <v>0.03</v>
      </c>
      <c r="N26" s="1172">
        <f t="shared" si="1"/>
        <v>0.03</v>
      </c>
      <c r="O26" s="49"/>
      <c r="P26" s="49"/>
      <c r="Q26" s="49"/>
      <c r="R26" s="47"/>
    </row>
    <row r="27" spans="2:19">
      <c r="B27" s="46" t="s">
        <v>1013</v>
      </c>
      <c r="C27" s="46" t="s">
        <v>1014</v>
      </c>
      <c r="D27" s="49">
        <v>5.7142857142857151E-3</v>
      </c>
      <c r="E27" s="49">
        <v>5.7142857142857151E-3</v>
      </c>
      <c r="F27" s="49">
        <f t="shared" ref="F27:I31" si="11">(X$9-F$16-F$19-F$23-F$26)/14</f>
        <v>5.7142857142857151E-3</v>
      </c>
      <c r="G27" s="49">
        <f t="shared" si="11"/>
        <v>5.7142857142857151E-3</v>
      </c>
      <c r="H27" s="49">
        <f t="shared" si="11"/>
        <v>7.1428571428571435E-3</v>
      </c>
      <c r="I27" s="49">
        <f t="shared" si="11"/>
        <v>1.0714285714285716E-2</v>
      </c>
      <c r="J27" s="49">
        <f t="shared" ref="J27:M31" si="12">(AC$9-J$16-J$19-J$23-J$26)/14</f>
        <v>6.4285714285714285E-3</v>
      </c>
      <c r="K27" s="1172">
        <f t="shared" si="12"/>
        <v>2.0195065978198504E-3</v>
      </c>
      <c r="L27" s="1172">
        <f t="shared" si="12"/>
        <v>1.1421628189550437E-3</v>
      </c>
      <c r="M27" s="1172">
        <f t="shared" si="12"/>
        <v>1.7788724685276501E-4</v>
      </c>
      <c r="N27" s="1172">
        <f t="shared" si="1"/>
        <v>1.7788724685276501E-4</v>
      </c>
      <c r="O27" s="49"/>
      <c r="P27" s="49"/>
      <c r="Q27" s="49"/>
      <c r="R27" s="47"/>
    </row>
    <row r="28" spans="2:19">
      <c r="B28" s="46" t="s">
        <v>1015</v>
      </c>
      <c r="C28" s="46" t="s">
        <v>1016</v>
      </c>
      <c r="D28" s="49">
        <v>5.7142857142857151E-3</v>
      </c>
      <c r="E28" s="49">
        <v>5.7142857142857151E-3</v>
      </c>
      <c r="F28" s="49">
        <f t="shared" si="11"/>
        <v>5.7142857142857151E-3</v>
      </c>
      <c r="G28" s="49">
        <f t="shared" si="11"/>
        <v>5.7142857142857151E-3</v>
      </c>
      <c r="H28" s="49">
        <f t="shared" si="11"/>
        <v>7.1428571428571435E-3</v>
      </c>
      <c r="I28" s="49">
        <f t="shared" si="11"/>
        <v>1.0714285714285716E-2</v>
      </c>
      <c r="J28" s="49">
        <f t="shared" si="12"/>
        <v>6.4285714285714285E-3</v>
      </c>
      <c r="K28" s="1172">
        <f t="shared" si="12"/>
        <v>2.0195065978198504E-3</v>
      </c>
      <c r="L28" s="1172">
        <f t="shared" si="12"/>
        <v>1.1421628189550437E-3</v>
      </c>
      <c r="M28" s="1172">
        <f t="shared" si="12"/>
        <v>1.7788724685276501E-4</v>
      </c>
      <c r="N28" s="1172">
        <f t="shared" si="1"/>
        <v>1.7788724685276501E-4</v>
      </c>
      <c r="O28" s="49"/>
      <c r="P28" s="49"/>
      <c r="Q28" s="49"/>
      <c r="R28" s="47"/>
    </row>
    <row r="29" spans="2:19">
      <c r="B29" s="46" t="s">
        <v>496</v>
      </c>
      <c r="C29" s="46" t="s">
        <v>145</v>
      </c>
      <c r="D29" s="49">
        <v>5.7142857142857151E-3</v>
      </c>
      <c r="E29" s="49">
        <v>5.7142857142857151E-3</v>
      </c>
      <c r="F29" s="49">
        <f t="shared" si="11"/>
        <v>5.7142857142857151E-3</v>
      </c>
      <c r="G29" s="49">
        <f t="shared" si="11"/>
        <v>5.7142857142857151E-3</v>
      </c>
      <c r="H29" s="49">
        <f t="shared" si="11"/>
        <v>7.1428571428571435E-3</v>
      </c>
      <c r="I29" s="49">
        <f t="shared" si="11"/>
        <v>1.0714285714285716E-2</v>
      </c>
      <c r="J29" s="49">
        <f t="shared" si="12"/>
        <v>6.4285714285714285E-3</v>
      </c>
      <c r="K29" s="1172">
        <f t="shared" si="12"/>
        <v>2.0195065978198504E-3</v>
      </c>
      <c r="L29" s="1172">
        <f t="shared" si="12"/>
        <v>1.1421628189550437E-3</v>
      </c>
      <c r="M29" s="1172">
        <f t="shared" si="12"/>
        <v>1.7788724685276501E-4</v>
      </c>
      <c r="N29" s="1172">
        <f t="shared" si="1"/>
        <v>1.7788724685276501E-4</v>
      </c>
      <c r="O29" s="49"/>
      <c r="P29" s="49"/>
      <c r="Q29" s="49"/>
      <c r="R29" s="47"/>
    </row>
    <row r="30" spans="2:19">
      <c r="B30" s="46" t="s">
        <v>1017</v>
      </c>
      <c r="C30" s="46" t="s">
        <v>1018</v>
      </c>
      <c r="D30" s="49">
        <v>5.7142857142857151E-3</v>
      </c>
      <c r="E30" s="49">
        <v>5.7142857142857151E-3</v>
      </c>
      <c r="F30" s="49">
        <f t="shared" si="11"/>
        <v>5.7142857142857151E-3</v>
      </c>
      <c r="G30" s="49">
        <f t="shared" si="11"/>
        <v>5.7142857142857151E-3</v>
      </c>
      <c r="H30" s="49">
        <f t="shared" si="11"/>
        <v>7.1428571428571435E-3</v>
      </c>
      <c r="I30" s="49">
        <f t="shared" si="11"/>
        <v>1.0714285714285716E-2</v>
      </c>
      <c r="J30" s="49">
        <f t="shared" si="12"/>
        <v>6.4285714285714285E-3</v>
      </c>
      <c r="K30" s="1172">
        <f t="shared" si="12"/>
        <v>2.0195065978198504E-3</v>
      </c>
      <c r="L30" s="1172">
        <f t="shared" si="12"/>
        <v>1.1421628189550437E-3</v>
      </c>
      <c r="M30" s="1172">
        <f t="shared" si="12"/>
        <v>1.7788724685276501E-4</v>
      </c>
      <c r="N30" s="1172">
        <f t="shared" si="1"/>
        <v>1.7788724685276501E-4</v>
      </c>
      <c r="O30" s="49"/>
      <c r="P30" s="49"/>
      <c r="Q30" s="49"/>
      <c r="R30" s="47"/>
    </row>
    <row r="31" spans="2:19">
      <c r="B31" s="46" t="s">
        <v>1019</v>
      </c>
      <c r="C31" s="46" t="s">
        <v>1020</v>
      </c>
      <c r="D31" s="49">
        <v>5.7142857142857151E-3</v>
      </c>
      <c r="E31" s="49">
        <v>5.7142857142857151E-3</v>
      </c>
      <c r="F31" s="49">
        <f t="shared" si="11"/>
        <v>5.7142857142857151E-3</v>
      </c>
      <c r="G31" s="49">
        <f t="shared" si="11"/>
        <v>5.7142857142857151E-3</v>
      </c>
      <c r="H31" s="49">
        <f t="shared" si="11"/>
        <v>7.1428571428571435E-3</v>
      </c>
      <c r="I31" s="49">
        <f t="shared" si="11"/>
        <v>1.0714285714285716E-2</v>
      </c>
      <c r="J31" s="49">
        <f t="shared" si="12"/>
        <v>6.4285714285714285E-3</v>
      </c>
      <c r="K31" s="1172">
        <f t="shared" si="12"/>
        <v>2.0195065978198504E-3</v>
      </c>
      <c r="L31" s="1172">
        <f t="shared" si="12"/>
        <v>1.1421628189550437E-3</v>
      </c>
      <c r="M31" s="1172">
        <f t="shared" si="12"/>
        <v>1.7788724685276501E-4</v>
      </c>
      <c r="N31" s="1172">
        <f t="shared" si="1"/>
        <v>1.7788724685276501E-4</v>
      </c>
      <c r="O31" s="49"/>
      <c r="P31" s="49"/>
      <c r="Q31" s="49"/>
      <c r="R31" s="47"/>
    </row>
    <row r="32" spans="2:19">
      <c r="B32" s="46" t="s">
        <v>1021</v>
      </c>
      <c r="C32" s="46" t="s">
        <v>1022</v>
      </c>
      <c r="D32" s="49">
        <v>0.02</v>
      </c>
      <c r="E32" s="49">
        <v>0.02</v>
      </c>
      <c r="F32" s="49">
        <f t="shared" ref="F32:G34" si="13">X$12*0.25</f>
        <v>0.02</v>
      </c>
      <c r="G32" s="49">
        <f t="shared" si="13"/>
        <v>2.2499999999999999E-2</v>
      </c>
      <c r="H32" s="49">
        <f t="shared" ref="H32:I34" si="14">Z$12*0.25</f>
        <v>0.02</v>
      </c>
      <c r="I32" s="49">
        <f t="shared" si="14"/>
        <v>1.7500000000000002E-2</v>
      </c>
      <c r="J32" s="49">
        <f t="shared" ref="J32:M34" si="15">AC$12*0.25</f>
        <v>1.4999999999999999E-2</v>
      </c>
      <c r="K32" s="1172">
        <f t="shared" si="15"/>
        <v>9.0361445783132526E-3</v>
      </c>
      <c r="L32" s="1172">
        <f t="shared" si="15"/>
        <v>7.2904009720534627E-3</v>
      </c>
      <c r="M32" s="1172">
        <f t="shared" si="15"/>
        <v>5.028735632183908E-3</v>
      </c>
      <c r="N32" s="1172">
        <f t="shared" si="1"/>
        <v>5.028735632183908E-3</v>
      </c>
      <c r="O32" s="49"/>
      <c r="P32" s="49"/>
      <c r="Q32" s="49"/>
      <c r="R32" s="47"/>
      <c r="S32" s="52" t="s">
        <v>1054</v>
      </c>
    </row>
    <row r="33" spans="2:19">
      <c r="B33" s="46" t="s">
        <v>1023</v>
      </c>
      <c r="C33" s="46" t="s">
        <v>1024</v>
      </c>
      <c r="D33" s="49">
        <v>0.02</v>
      </c>
      <c r="E33" s="49">
        <v>0.02</v>
      </c>
      <c r="F33" s="49">
        <f t="shared" si="13"/>
        <v>0.02</v>
      </c>
      <c r="G33" s="49">
        <f t="shared" si="13"/>
        <v>2.2499999999999999E-2</v>
      </c>
      <c r="H33" s="49">
        <f t="shared" si="14"/>
        <v>0.02</v>
      </c>
      <c r="I33" s="49">
        <f t="shared" si="14"/>
        <v>1.7500000000000002E-2</v>
      </c>
      <c r="J33" s="49">
        <f t="shared" si="15"/>
        <v>1.4999999999999999E-2</v>
      </c>
      <c r="K33" s="1172">
        <f t="shared" si="15"/>
        <v>9.0361445783132526E-3</v>
      </c>
      <c r="L33" s="1172">
        <f t="shared" si="15"/>
        <v>7.2904009720534627E-3</v>
      </c>
      <c r="M33" s="1172">
        <f t="shared" si="15"/>
        <v>5.028735632183908E-3</v>
      </c>
      <c r="N33" s="1172">
        <f t="shared" si="1"/>
        <v>5.028735632183908E-3</v>
      </c>
      <c r="O33" s="49"/>
      <c r="P33" s="49"/>
      <c r="Q33" s="49"/>
      <c r="R33" s="47"/>
    </row>
    <row r="34" spans="2:19">
      <c r="B34" s="46" t="s">
        <v>1025</v>
      </c>
      <c r="C34" s="46" t="s">
        <v>1026</v>
      </c>
      <c r="D34" s="49">
        <v>0.02</v>
      </c>
      <c r="E34" s="49">
        <v>0.02</v>
      </c>
      <c r="F34" s="49">
        <f t="shared" si="13"/>
        <v>0.02</v>
      </c>
      <c r="G34" s="49">
        <f t="shared" si="13"/>
        <v>2.2499999999999999E-2</v>
      </c>
      <c r="H34" s="49">
        <f t="shared" si="14"/>
        <v>0.02</v>
      </c>
      <c r="I34" s="49">
        <f t="shared" si="14"/>
        <v>1.7500000000000002E-2</v>
      </c>
      <c r="J34" s="49">
        <f t="shared" si="15"/>
        <v>1.4999999999999999E-2</v>
      </c>
      <c r="K34" s="1172">
        <f t="shared" si="15"/>
        <v>9.0361445783132526E-3</v>
      </c>
      <c r="L34" s="1172">
        <f t="shared" si="15"/>
        <v>7.2904009720534627E-3</v>
      </c>
      <c r="M34" s="1172">
        <f t="shared" si="15"/>
        <v>5.028735632183908E-3</v>
      </c>
      <c r="N34" s="1172">
        <f t="shared" si="1"/>
        <v>5.028735632183908E-3</v>
      </c>
      <c r="O34" s="49"/>
      <c r="P34" s="49"/>
      <c r="Q34" s="49"/>
      <c r="R34" s="47"/>
    </row>
    <row r="35" spans="2:19">
      <c r="B35" s="46" t="s">
        <v>949</v>
      </c>
      <c r="C35" s="46" t="s">
        <v>950</v>
      </c>
      <c r="D35" s="49">
        <v>4.0000000000000001E-3</v>
      </c>
      <c r="E35" s="49">
        <v>4.0000000000000001E-3</v>
      </c>
      <c r="F35" s="49">
        <f t="shared" ref="F35:I36" si="16">X$12*0.05</f>
        <v>4.0000000000000001E-3</v>
      </c>
      <c r="G35" s="49">
        <f t="shared" si="16"/>
        <v>4.4999999999999997E-3</v>
      </c>
      <c r="H35" s="49">
        <f t="shared" si="16"/>
        <v>4.0000000000000001E-3</v>
      </c>
      <c r="I35" s="49">
        <f t="shared" si="16"/>
        <v>3.5000000000000005E-3</v>
      </c>
      <c r="J35" s="49">
        <f t="shared" ref="J35:M36" si="17">AC$12*0.05</f>
        <v>3.0000000000000001E-3</v>
      </c>
      <c r="K35" s="1172">
        <f t="shared" si="17"/>
        <v>1.8072289156626507E-3</v>
      </c>
      <c r="L35" s="1172">
        <f t="shared" si="17"/>
        <v>1.4580801944106927E-3</v>
      </c>
      <c r="M35" s="1172">
        <f t="shared" si="17"/>
        <v>1.0057471264367816E-3</v>
      </c>
      <c r="N35" s="1172">
        <f t="shared" si="1"/>
        <v>1.0057471264367816E-3</v>
      </c>
      <c r="O35" s="49"/>
      <c r="P35" s="49"/>
      <c r="Q35" s="49"/>
      <c r="R35" s="47"/>
    </row>
    <row r="36" spans="2:19">
      <c r="B36" s="46" t="s">
        <v>947</v>
      </c>
      <c r="C36" s="46" t="s">
        <v>948</v>
      </c>
      <c r="D36" s="49">
        <v>4.0000000000000001E-3</v>
      </c>
      <c r="E36" s="49">
        <v>4.0000000000000001E-3</v>
      </c>
      <c r="F36" s="49">
        <f t="shared" si="16"/>
        <v>4.0000000000000001E-3</v>
      </c>
      <c r="G36" s="49">
        <f t="shared" si="16"/>
        <v>4.4999999999999997E-3</v>
      </c>
      <c r="H36" s="49">
        <f t="shared" si="16"/>
        <v>4.0000000000000001E-3</v>
      </c>
      <c r="I36" s="49">
        <f t="shared" si="16"/>
        <v>3.5000000000000005E-3</v>
      </c>
      <c r="J36" s="49">
        <f t="shared" si="17"/>
        <v>3.0000000000000001E-3</v>
      </c>
      <c r="K36" s="1172">
        <f t="shared" si="17"/>
        <v>1.8072289156626507E-3</v>
      </c>
      <c r="L36" s="1172">
        <f t="shared" si="17"/>
        <v>1.4580801944106927E-3</v>
      </c>
      <c r="M36" s="1172">
        <f t="shared" si="17"/>
        <v>1.0057471264367816E-3</v>
      </c>
      <c r="N36" s="1172">
        <f t="shared" si="1"/>
        <v>1.0057471264367816E-3</v>
      </c>
      <c r="O36" s="49"/>
      <c r="P36" s="49"/>
      <c r="Q36" s="49"/>
      <c r="R36" s="47"/>
    </row>
    <row r="37" spans="2:19">
      <c r="B37" s="46" t="s">
        <v>951</v>
      </c>
      <c r="C37" s="46" t="s">
        <v>952</v>
      </c>
      <c r="D37" s="49">
        <v>1.2E-2</v>
      </c>
      <c r="E37" s="49">
        <v>1.2E-2</v>
      </c>
      <c r="F37" s="49">
        <f>X$12*0.15</f>
        <v>1.2E-2</v>
      </c>
      <c r="G37" s="49">
        <f>Y$12*0.15</f>
        <v>1.35E-2</v>
      </c>
      <c r="H37" s="49">
        <f>Z$12*0.15</f>
        <v>1.2E-2</v>
      </c>
      <c r="I37" s="49">
        <f>AA$12*0.15</f>
        <v>1.0500000000000001E-2</v>
      </c>
      <c r="J37" s="49">
        <f>AC$12*0.15</f>
        <v>8.9999999999999993E-3</v>
      </c>
      <c r="K37" s="1172">
        <f>AD$12*0.15</f>
        <v>5.4216867469879517E-3</v>
      </c>
      <c r="L37" s="1172">
        <f>AE$12*0.15</f>
        <v>4.3742405832320778E-3</v>
      </c>
      <c r="M37" s="1172">
        <f>AF$12*0.15</f>
        <v>3.0172413793103448E-3</v>
      </c>
      <c r="N37" s="1172">
        <f t="shared" si="1"/>
        <v>3.0172413793103448E-3</v>
      </c>
      <c r="O37" s="49"/>
      <c r="P37" s="49"/>
      <c r="Q37" s="49"/>
      <c r="R37" s="47"/>
    </row>
    <row r="38" spans="2:19">
      <c r="B38" s="46" t="s">
        <v>1027</v>
      </c>
      <c r="C38" s="46" t="s">
        <v>1028</v>
      </c>
      <c r="D38" s="49">
        <v>2.8E-3</v>
      </c>
      <c r="E38" s="49">
        <v>2.8E-3</v>
      </c>
      <c r="F38" s="49">
        <f t="shared" ref="F38:I43" si="18">(X$11-F$44-F$45-F$49)/10</f>
        <v>2.8E-3</v>
      </c>
      <c r="G38" s="49">
        <f t="shared" si="18"/>
        <v>2.8E-3</v>
      </c>
      <c r="H38" s="49">
        <f t="shared" si="18"/>
        <v>3.7999999999999978E-3</v>
      </c>
      <c r="I38" s="49">
        <f t="shared" si="18"/>
        <v>4.7999999999999987E-3</v>
      </c>
      <c r="J38" s="49">
        <f t="shared" ref="J38:M43" si="19">(AC$11-J$44-J$45-J$49)/10</f>
        <v>6.7999999999999988E-3</v>
      </c>
      <c r="K38" s="1172">
        <f>(AD$11-K$44-K$45-K$49)/10</f>
        <v>1.9273092369477909E-3</v>
      </c>
      <c r="L38" s="1172">
        <f t="shared" si="19"/>
        <v>1.0527339003645198E-3</v>
      </c>
      <c r="M38" s="1172">
        <f t="shared" si="19"/>
        <v>6.8911877394636015E-3</v>
      </c>
      <c r="N38" s="1172">
        <f t="shared" si="1"/>
        <v>6.8911877394636015E-3</v>
      </c>
      <c r="O38" s="49"/>
      <c r="P38" s="49"/>
      <c r="Q38" s="49"/>
      <c r="R38" s="47"/>
    </row>
    <row r="39" spans="2:19">
      <c r="B39" s="46" t="s">
        <v>493</v>
      </c>
      <c r="C39" s="46" t="s">
        <v>142</v>
      </c>
      <c r="D39" s="49">
        <v>2.8E-3</v>
      </c>
      <c r="E39" s="49">
        <v>2.8E-3</v>
      </c>
      <c r="F39" s="49">
        <f t="shared" si="18"/>
        <v>2.8E-3</v>
      </c>
      <c r="G39" s="49">
        <f t="shared" si="18"/>
        <v>2.8E-3</v>
      </c>
      <c r="H39" s="49">
        <f t="shared" si="18"/>
        <v>3.7999999999999978E-3</v>
      </c>
      <c r="I39" s="49">
        <f t="shared" si="18"/>
        <v>4.7999999999999987E-3</v>
      </c>
      <c r="J39" s="49">
        <f t="shared" si="19"/>
        <v>6.7999999999999988E-3</v>
      </c>
      <c r="K39" s="1172">
        <f t="shared" si="19"/>
        <v>1.9273092369477909E-3</v>
      </c>
      <c r="L39" s="1172">
        <f t="shared" si="19"/>
        <v>1.0527339003645198E-3</v>
      </c>
      <c r="M39" s="1172">
        <f t="shared" si="19"/>
        <v>6.8911877394636015E-3</v>
      </c>
      <c r="N39" s="1172">
        <f t="shared" si="1"/>
        <v>6.8911877394636015E-3</v>
      </c>
      <c r="O39" s="49"/>
      <c r="P39" s="49"/>
      <c r="Q39" s="49"/>
      <c r="R39" s="47"/>
    </row>
    <row r="40" spans="2:19">
      <c r="B40" s="46" t="s">
        <v>1029</v>
      </c>
      <c r="C40" s="46" t="s">
        <v>1030</v>
      </c>
      <c r="D40" s="49">
        <v>2.8E-3</v>
      </c>
      <c r="E40" s="49">
        <v>2.8E-3</v>
      </c>
      <c r="F40" s="49">
        <f t="shared" si="18"/>
        <v>2.8E-3</v>
      </c>
      <c r="G40" s="49">
        <f t="shared" si="18"/>
        <v>2.8E-3</v>
      </c>
      <c r="H40" s="49">
        <f t="shared" si="18"/>
        <v>3.7999999999999978E-3</v>
      </c>
      <c r="I40" s="49">
        <f t="shared" si="18"/>
        <v>4.7999999999999987E-3</v>
      </c>
      <c r="J40" s="49">
        <f t="shared" si="19"/>
        <v>6.7999999999999988E-3</v>
      </c>
      <c r="K40" s="1172">
        <f t="shared" si="19"/>
        <v>1.9273092369477909E-3</v>
      </c>
      <c r="L40" s="1172">
        <f t="shared" si="19"/>
        <v>1.0527339003645198E-3</v>
      </c>
      <c r="M40" s="1172">
        <f t="shared" si="19"/>
        <v>6.8911877394636015E-3</v>
      </c>
      <c r="N40" s="1172">
        <f t="shared" si="1"/>
        <v>6.8911877394636015E-3</v>
      </c>
      <c r="O40" s="49"/>
      <c r="P40" s="49"/>
      <c r="Q40" s="49"/>
      <c r="R40" s="47"/>
    </row>
    <row r="41" spans="2:19">
      <c r="B41" s="46" t="s">
        <v>490</v>
      </c>
      <c r="C41" s="46" t="s">
        <v>139</v>
      </c>
      <c r="D41" s="49">
        <v>2.8E-3</v>
      </c>
      <c r="E41" s="49">
        <v>2.8E-3</v>
      </c>
      <c r="F41" s="49">
        <f t="shared" si="18"/>
        <v>2.8E-3</v>
      </c>
      <c r="G41" s="49">
        <f t="shared" si="18"/>
        <v>2.8E-3</v>
      </c>
      <c r="H41" s="49">
        <f t="shared" si="18"/>
        <v>3.7999999999999978E-3</v>
      </c>
      <c r="I41" s="49">
        <f t="shared" si="18"/>
        <v>4.7999999999999987E-3</v>
      </c>
      <c r="J41" s="49">
        <f t="shared" si="19"/>
        <v>6.7999999999999988E-3</v>
      </c>
      <c r="K41" s="1172">
        <f t="shared" si="19"/>
        <v>1.9273092369477909E-3</v>
      </c>
      <c r="L41" s="1172">
        <f t="shared" si="19"/>
        <v>1.0527339003645198E-3</v>
      </c>
      <c r="M41" s="1172">
        <f t="shared" si="19"/>
        <v>6.8911877394636015E-3</v>
      </c>
      <c r="N41" s="1172">
        <f t="shared" si="1"/>
        <v>6.8911877394636015E-3</v>
      </c>
      <c r="O41" s="49"/>
      <c r="P41" s="49"/>
      <c r="Q41" s="49"/>
      <c r="R41" s="47"/>
    </row>
    <row r="42" spans="2:19">
      <c r="B42" s="46" t="s">
        <v>1031</v>
      </c>
      <c r="C42" s="46" t="s">
        <v>1032</v>
      </c>
      <c r="D42" s="49">
        <v>2.8E-3</v>
      </c>
      <c r="E42" s="49">
        <v>2.8E-3</v>
      </c>
      <c r="F42" s="49">
        <f t="shared" si="18"/>
        <v>2.8E-3</v>
      </c>
      <c r="G42" s="49">
        <f t="shared" si="18"/>
        <v>2.8E-3</v>
      </c>
      <c r="H42" s="49">
        <f t="shared" si="18"/>
        <v>3.7999999999999978E-3</v>
      </c>
      <c r="I42" s="49">
        <f t="shared" si="18"/>
        <v>4.7999999999999987E-3</v>
      </c>
      <c r="J42" s="49">
        <f t="shared" si="19"/>
        <v>6.7999999999999988E-3</v>
      </c>
      <c r="K42" s="1172">
        <f t="shared" si="19"/>
        <v>1.9273092369477909E-3</v>
      </c>
      <c r="L42" s="1172">
        <f t="shared" si="19"/>
        <v>1.0527339003645198E-3</v>
      </c>
      <c r="M42" s="1172">
        <f t="shared" si="19"/>
        <v>6.8911877394636015E-3</v>
      </c>
      <c r="N42" s="1172">
        <f t="shared" si="1"/>
        <v>6.8911877394636015E-3</v>
      </c>
      <c r="O42" s="49"/>
      <c r="P42" s="49"/>
      <c r="Q42" s="49"/>
      <c r="R42" s="47"/>
    </row>
    <row r="43" spans="2:19">
      <c r="B43" s="46" t="s">
        <v>1033</v>
      </c>
      <c r="C43" s="46" t="s">
        <v>1034</v>
      </c>
      <c r="D43" s="49">
        <v>2.8E-3</v>
      </c>
      <c r="E43" s="49">
        <v>2.8E-3</v>
      </c>
      <c r="F43" s="49">
        <f t="shared" si="18"/>
        <v>2.8E-3</v>
      </c>
      <c r="G43" s="49">
        <f t="shared" si="18"/>
        <v>2.8E-3</v>
      </c>
      <c r="H43" s="49">
        <f t="shared" si="18"/>
        <v>3.7999999999999978E-3</v>
      </c>
      <c r="I43" s="49">
        <f t="shared" si="18"/>
        <v>4.7999999999999987E-3</v>
      </c>
      <c r="J43" s="49">
        <f t="shared" si="19"/>
        <v>6.7999999999999988E-3</v>
      </c>
      <c r="K43" s="1172">
        <f t="shared" si="19"/>
        <v>1.9273092369477909E-3</v>
      </c>
      <c r="L43" s="1172">
        <f t="shared" si="19"/>
        <v>1.0527339003645198E-3</v>
      </c>
      <c r="M43" s="1172">
        <f t="shared" si="19"/>
        <v>6.8911877394636015E-3</v>
      </c>
      <c r="N43" s="1172">
        <f t="shared" si="1"/>
        <v>6.8911877394636015E-3</v>
      </c>
      <c r="O43" s="49"/>
      <c r="P43" s="49"/>
      <c r="Q43" s="49"/>
      <c r="R43" s="47"/>
      <c r="S43" s="52" t="s">
        <v>1055</v>
      </c>
    </row>
    <row r="44" spans="2:19">
      <c r="B44" s="46" t="s">
        <v>957</v>
      </c>
      <c r="C44" s="46" t="s">
        <v>141</v>
      </c>
      <c r="D44" s="49">
        <v>7.0000000000000007E-2</v>
      </c>
      <c r="E44" s="49">
        <v>7.0000000000000007E-2</v>
      </c>
      <c r="F44" s="49">
        <f t="shared" ref="F44:J44" si="20">0.14*0.5</f>
        <v>7.0000000000000007E-2</v>
      </c>
      <c r="G44" s="49">
        <f t="shared" si="20"/>
        <v>7.0000000000000007E-2</v>
      </c>
      <c r="H44" s="49">
        <f t="shared" si="20"/>
        <v>7.0000000000000007E-2</v>
      </c>
      <c r="I44" s="49">
        <f t="shared" si="20"/>
        <v>7.0000000000000007E-2</v>
      </c>
      <c r="J44" s="49">
        <f t="shared" si="20"/>
        <v>7.0000000000000007E-2</v>
      </c>
      <c r="K44" s="1172">
        <f>0.07*0.5</f>
        <v>3.5000000000000003E-2</v>
      </c>
      <c r="L44" s="1172">
        <f>0.04*0.5</f>
        <v>0.02</v>
      </c>
      <c r="M44" s="1172">
        <f>0.03*0.5</f>
        <v>1.4999999999999999E-2</v>
      </c>
      <c r="N44" s="1172">
        <f t="shared" si="1"/>
        <v>1.4999999999999999E-2</v>
      </c>
      <c r="O44" s="49"/>
      <c r="P44" s="49"/>
      <c r="Q44" s="49"/>
      <c r="R44" s="47"/>
      <c r="S44" s="52" t="s">
        <v>1056</v>
      </c>
    </row>
    <row r="45" spans="2:19">
      <c r="B45" s="46" t="s">
        <v>491</v>
      </c>
      <c r="C45" s="46" t="s">
        <v>140</v>
      </c>
      <c r="D45" s="49">
        <v>2.8000000000000004E-2</v>
      </c>
      <c r="E45" s="49">
        <v>2.8000000000000004E-2</v>
      </c>
      <c r="F45" s="49">
        <f t="shared" ref="F45:J45" si="21">0.14*0.2</f>
        <v>2.8000000000000004E-2</v>
      </c>
      <c r="G45" s="49">
        <f t="shared" si="21"/>
        <v>2.8000000000000004E-2</v>
      </c>
      <c r="H45" s="49">
        <f t="shared" si="21"/>
        <v>2.8000000000000004E-2</v>
      </c>
      <c r="I45" s="49">
        <f t="shared" si="21"/>
        <v>2.8000000000000004E-2</v>
      </c>
      <c r="J45" s="49">
        <f t="shared" si="21"/>
        <v>2.8000000000000004E-2</v>
      </c>
      <c r="K45" s="1172">
        <f>0.07*0.2</f>
        <v>1.4000000000000002E-2</v>
      </c>
      <c r="L45" s="1172">
        <f>0.04*0.2</f>
        <v>8.0000000000000002E-3</v>
      </c>
      <c r="M45" s="1172">
        <f>0.03*0.2</f>
        <v>6.0000000000000001E-3</v>
      </c>
      <c r="N45" s="1172">
        <f t="shared" si="1"/>
        <v>6.0000000000000001E-3</v>
      </c>
      <c r="O45" s="49"/>
      <c r="P45" s="49"/>
      <c r="Q45" s="49"/>
      <c r="R45" s="47"/>
    </row>
    <row r="46" spans="2:19">
      <c r="B46" s="46" t="s">
        <v>1035</v>
      </c>
      <c r="C46" s="46" t="s">
        <v>1036</v>
      </c>
      <c r="D46" s="49">
        <v>2.8E-3</v>
      </c>
      <c r="E46" s="49">
        <v>2.8E-3</v>
      </c>
      <c r="F46" s="49">
        <f t="shared" ref="F46:I48" si="22">(X$11-F$44-F$45-F$49)/10</f>
        <v>2.8E-3</v>
      </c>
      <c r="G46" s="49">
        <f t="shared" si="22"/>
        <v>2.8E-3</v>
      </c>
      <c r="H46" s="49">
        <f t="shared" si="22"/>
        <v>3.7999999999999978E-3</v>
      </c>
      <c r="I46" s="49">
        <f t="shared" si="22"/>
        <v>4.7999999999999987E-3</v>
      </c>
      <c r="J46" s="49">
        <f t="shared" ref="J46:M48" si="23">(AC$11-J$44-J$45-J$49)/10</f>
        <v>6.7999999999999988E-3</v>
      </c>
      <c r="K46" s="1172">
        <f t="shared" si="23"/>
        <v>1.9273092369477909E-3</v>
      </c>
      <c r="L46" s="1172">
        <f t="shared" si="23"/>
        <v>1.0527339003645198E-3</v>
      </c>
      <c r="M46" s="1172">
        <f t="shared" si="23"/>
        <v>6.8911877394636015E-3</v>
      </c>
      <c r="N46" s="1172">
        <f t="shared" si="1"/>
        <v>6.8911877394636015E-3</v>
      </c>
      <c r="O46" s="49"/>
      <c r="P46" s="49"/>
      <c r="Q46" s="49"/>
      <c r="R46" s="47"/>
    </row>
    <row r="47" spans="2:19">
      <c r="B47" s="46" t="s">
        <v>1037</v>
      </c>
      <c r="C47" s="46" t="s">
        <v>1038</v>
      </c>
      <c r="D47" s="49">
        <v>2.8E-3</v>
      </c>
      <c r="E47" s="49">
        <v>2.8E-3</v>
      </c>
      <c r="F47" s="49">
        <f t="shared" si="22"/>
        <v>2.8E-3</v>
      </c>
      <c r="G47" s="49">
        <f t="shared" si="22"/>
        <v>2.8E-3</v>
      </c>
      <c r="H47" s="49">
        <f t="shared" si="22"/>
        <v>3.7999999999999978E-3</v>
      </c>
      <c r="I47" s="49">
        <f t="shared" si="22"/>
        <v>4.7999999999999987E-3</v>
      </c>
      <c r="J47" s="49">
        <f t="shared" si="23"/>
        <v>6.7999999999999988E-3</v>
      </c>
      <c r="K47" s="1172">
        <f t="shared" si="23"/>
        <v>1.9273092369477909E-3</v>
      </c>
      <c r="L47" s="1172">
        <f t="shared" si="23"/>
        <v>1.0527339003645198E-3</v>
      </c>
      <c r="M47" s="1172">
        <f t="shared" si="23"/>
        <v>6.8911877394636015E-3</v>
      </c>
      <c r="N47" s="1172">
        <f t="shared" si="1"/>
        <v>6.8911877394636015E-3</v>
      </c>
      <c r="O47" s="49"/>
      <c r="P47" s="49"/>
      <c r="Q47" s="49"/>
      <c r="R47" s="47"/>
    </row>
    <row r="48" spans="2:19">
      <c r="B48" s="46" t="s">
        <v>1039</v>
      </c>
      <c r="C48" s="46" t="s">
        <v>1040</v>
      </c>
      <c r="D48" s="49">
        <v>2.8E-3</v>
      </c>
      <c r="E48" s="49">
        <v>2.8E-3</v>
      </c>
      <c r="F48" s="49">
        <f t="shared" si="22"/>
        <v>2.8E-3</v>
      </c>
      <c r="G48" s="49">
        <f t="shared" si="22"/>
        <v>2.8E-3</v>
      </c>
      <c r="H48" s="49">
        <f t="shared" si="22"/>
        <v>3.7999999999999978E-3</v>
      </c>
      <c r="I48" s="49">
        <f t="shared" si="22"/>
        <v>4.7999999999999987E-3</v>
      </c>
      <c r="J48" s="49">
        <f t="shared" si="23"/>
        <v>6.7999999999999988E-3</v>
      </c>
      <c r="K48" s="1172">
        <f t="shared" si="23"/>
        <v>1.9273092369477909E-3</v>
      </c>
      <c r="L48" s="1172">
        <f t="shared" si="23"/>
        <v>1.0527339003645198E-3</v>
      </c>
      <c r="M48" s="1172">
        <f t="shared" si="23"/>
        <v>6.8911877394636015E-3</v>
      </c>
      <c r="N48" s="1172">
        <f t="shared" si="1"/>
        <v>6.8911877394636015E-3</v>
      </c>
      <c r="O48" s="49"/>
      <c r="P48" s="49"/>
      <c r="Q48" s="49"/>
      <c r="R48" s="47"/>
    </row>
    <row r="49" spans="2:19">
      <c r="B49" s="46" t="s">
        <v>407</v>
      </c>
      <c r="C49" s="46" t="s">
        <v>138</v>
      </c>
      <c r="D49" s="49">
        <v>1.4000000000000002E-2</v>
      </c>
      <c r="E49" s="49">
        <v>1.4000000000000002E-2</v>
      </c>
      <c r="F49" s="49">
        <f t="shared" ref="F49:J49" si="24">0.14*0.1</f>
        <v>1.4000000000000002E-2</v>
      </c>
      <c r="G49" s="49">
        <f t="shared" si="24"/>
        <v>1.4000000000000002E-2</v>
      </c>
      <c r="H49" s="49">
        <f t="shared" si="24"/>
        <v>1.4000000000000002E-2</v>
      </c>
      <c r="I49" s="49">
        <f t="shared" si="24"/>
        <v>1.4000000000000002E-2</v>
      </c>
      <c r="J49" s="49">
        <f t="shared" si="24"/>
        <v>1.4000000000000002E-2</v>
      </c>
      <c r="K49" s="1172">
        <v>0</v>
      </c>
      <c r="L49" s="1172">
        <f>0.04*0.1</f>
        <v>4.0000000000000001E-3</v>
      </c>
      <c r="M49" s="1172">
        <f>0.03*0.1</f>
        <v>3.0000000000000001E-3</v>
      </c>
      <c r="N49" s="1172">
        <f t="shared" si="1"/>
        <v>3.0000000000000001E-3</v>
      </c>
      <c r="O49" s="49"/>
      <c r="P49" s="49"/>
      <c r="Q49" s="49"/>
      <c r="R49" s="47"/>
    </row>
    <row r="50" spans="2:19">
      <c r="B50" s="46" t="s">
        <v>406</v>
      </c>
      <c r="C50" s="46" t="s">
        <v>137</v>
      </c>
      <c r="D50" s="49">
        <v>2.8E-3</v>
      </c>
      <c r="E50" s="49">
        <v>2.8E-3</v>
      </c>
      <c r="F50" s="49">
        <f>(X$11-F$44-F$45-F$49)/10</f>
        <v>2.8E-3</v>
      </c>
      <c r="G50" s="49">
        <f>(Y$11-G$44-G$45-G$49)/10</f>
        <v>2.8E-3</v>
      </c>
      <c r="H50" s="49">
        <f>(Z$11-H$44-H$45-H$49)/10</f>
        <v>3.7999999999999978E-3</v>
      </c>
      <c r="I50" s="49">
        <f>(AA$11-I$44-I$45-I$49)/10</f>
        <v>4.7999999999999987E-3</v>
      </c>
      <c r="J50" s="49">
        <f>(AC$11-J$44-J$45-J$49)/10</f>
        <v>6.7999999999999988E-3</v>
      </c>
      <c r="K50" s="1172">
        <f>(AD$11-K$44-K$45-K$49)/10</f>
        <v>1.9273092369477909E-3</v>
      </c>
      <c r="L50" s="1172">
        <f>(AE$11-L$44-L$45-L$49)/10</f>
        <v>1.0527339003645198E-3</v>
      </c>
      <c r="M50" s="1172">
        <f>(AF$11-M$44-M$45-M$49)/10</f>
        <v>6.8911877394636015E-3</v>
      </c>
      <c r="N50" s="1172">
        <f t="shared" si="1"/>
        <v>6.8911877394636015E-3</v>
      </c>
      <c r="O50" s="49"/>
      <c r="P50" s="49"/>
      <c r="Q50" s="49"/>
      <c r="R50" s="47"/>
    </row>
    <row r="51" spans="2:19">
      <c r="B51" s="162" t="s">
        <v>978</v>
      </c>
      <c r="C51" s="162"/>
      <c r="D51" s="163">
        <v>1</v>
      </c>
      <c r="E51" s="163">
        <v>1</v>
      </c>
      <c r="F51" s="163">
        <f t="shared" ref="F51:N51" si="25">SUM(F3:F50)</f>
        <v>1</v>
      </c>
      <c r="G51" s="163">
        <f t="shared" si="25"/>
        <v>0.99999999999999956</v>
      </c>
      <c r="H51" s="163">
        <f t="shared" si="25"/>
        <v>1</v>
      </c>
      <c r="I51" s="164">
        <f t="shared" si="25"/>
        <v>1.0000397999999997</v>
      </c>
      <c r="J51" s="164">
        <f t="shared" si="25"/>
        <v>1.0000398000000008</v>
      </c>
      <c r="K51" s="164">
        <f t="shared" si="25"/>
        <v>1.0000397590361445</v>
      </c>
      <c r="L51" s="164">
        <f t="shared" si="25"/>
        <v>1.0000211664641561</v>
      </c>
      <c r="M51" s="164">
        <f t="shared" si="25"/>
        <v>1.0000477586206895</v>
      </c>
      <c r="N51" s="164">
        <f t="shared" si="25"/>
        <v>1.0000477586206895</v>
      </c>
      <c r="O51" s="164"/>
      <c r="P51" s="164"/>
      <c r="Q51" s="164"/>
    </row>
    <row r="52" spans="2:19">
      <c r="B52" s="165" t="s">
        <v>1043</v>
      </c>
      <c r="C52" s="166"/>
      <c r="D52" s="166" t="b">
        <v>1</v>
      </c>
      <c r="E52" s="166" t="b">
        <v>1</v>
      </c>
      <c r="F52" s="166" t="b">
        <f t="shared" ref="F52:L52" si="26">IF(SUM(F48+F34+F43+F27+F12+F5)&lt;0.3, TRUE, FALSE)</f>
        <v>1</v>
      </c>
      <c r="G52" s="166" t="b">
        <f t="shared" si="26"/>
        <v>1</v>
      </c>
      <c r="H52" s="166" t="b">
        <f t="shared" si="26"/>
        <v>1</v>
      </c>
      <c r="I52" s="166" t="b">
        <f t="shared" si="26"/>
        <v>1</v>
      </c>
      <c r="J52" s="166" t="b">
        <f t="shared" si="26"/>
        <v>1</v>
      </c>
      <c r="K52" s="166" t="b">
        <f t="shared" si="26"/>
        <v>1</v>
      </c>
      <c r="L52" s="166" t="b">
        <f t="shared" si="26"/>
        <v>1</v>
      </c>
      <c r="M52" s="166" t="b">
        <f t="shared" ref="M52:N52" si="27">IF(SUM(M48+M34+M43+M27+M12+M5)&lt;0.3, TRUE, FALSE)</f>
        <v>1</v>
      </c>
      <c r="N52" s="166" t="b">
        <f t="shared" si="27"/>
        <v>1</v>
      </c>
      <c r="O52" s="166"/>
      <c r="P52" s="166"/>
      <c r="Q52" s="166"/>
    </row>
    <row r="53" spans="2:19">
      <c r="B53" s="46" t="s">
        <v>488</v>
      </c>
      <c r="C53" s="46" t="s">
        <v>135</v>
      </c>
      <c r="D53" s="49">
        <v>0</v>
      </c>
      <c r="E53" s="49">
        <v>0</v>
      </c>
      <c r="F53" s="49">
        <v>0</v>
      </c>
      <c r="G53" s="49">
        <v>0</v>
      </c>
      <c r="H53" s="49"/>
      <c r="I53" s="49"/>
      <c r="J53" s="49">
        <v>0</v>
      </c>
      <c r="K53" s="49"/>
      <c r="L53" s="49"/>
      <c r="M53" s="49"/>
      <c r="N53" s="49"/>
      <c r="O53" s="49"/>
      <c r="P53" s="49"/>
      <c r="Q53" s="49"/>
    </row>
    <row r="54" spans="2:19">
      <c r="B54" s="46" t="s">
        <v>468</v>
      </c>
      <c r="C54" s="46" t="s">
        <v>60</v>
      </c>
      <c r="D54" s="49">
        <v>0</v>
      </c>
      <c r="E54" s="49">
        <v>0</v>
      </c>
      <c r="F54" s="49">
        <v>0</v>
      </c>
      <c r="G54" s="49">
        <v>0</v>
      </c>
      <c r="H54" s="49"/>
      <c r="I54" s="49"/>
      <c r="J54" s="49">
        <v>0</v>
      </c>
      <c r="K54" s="49"/>
      <c r="L54" s="49"/>
      <c r="M54" s="49"/>
      <c r="N54" s="49"/>
      <c r="O54" s="49"/>
      <c r="P54" s="49"/>
      <c r="Q54" s="49"/>
    </row>
    <row r="55" spans="2:19">
      <c r="B55" s="46" t="s">
        <v>467</v>
      </c>
      <c r="C55" s="46" t="s">
        <v>59</v>
      </c>
      <c r="D55" s="49">
        <v>0.69</v>
      </c>
      <c r="E55" s="49">
        <v>0.69</v>
      </c>
      <c r="F55" s="49">
        <v>0.69</v>
      </c>
      <c r="G55" s="49">
        <v>0.69</v>
      </c>
      <c r="H55" s="49"/>
      <c r="I55" s="49"/>
      <c r="J55" s="49">
        <v>0.69</v>
      </c>
      <c r="K55" s="49">
        <f>J55</f>
        <v>0.69</v>
      </c>
      <c r="L55" s="49">
        <f t="shared" ref="L55:N55" si="28">K55</f>
        <v>0.69</v>
      </c>
      <c r="M55" s="49">
        <f t="shared" si="28"/>
        <v>0.69</v>
      </c>
      <c r="N55" s="49">
        <f t="shared" si="28"/>
        <v>0.69</v>
      </c>
      <c r="O55" s="49"/>
      <c r="P55" s="49"/>
      <c r="Q55" s="49"/>
      <c r="S55" s="52" t="s">
        <v>1057</v>
      </c>
    </row>
    <row r="56" spans="2:19">
      <c r="B56" s="46" t="s">
        <v>466</v>
      </c>
      <c r="C56" s="46" t="s">
        <v>58</v>
      </c>
      <c r="D56" s="49">
        <v>0.31</v>
      </c>
      <c r="E56" s="49">
        <v>0.31</v>
      </c>
      <c r="F56" s="49">
        <v>0.31</v>
      </c>
      <c r="G56" s="49">
        <v>0.31</v>
      </c>
      <c r="H56" s="49"/>
      <c r="I56" s="49"/>
      <c r="J56" s="49">
        <v>0.31</v>
      </c>
      <c r="K56" s="49">
        <f>J56</f>
        <v>0.31</v>
      </c>
      <c r="L56" s="49">
        <f t="shared" ref="L56:N56" si="29">K56</f>
        <v>0.31</v>
      </c>
      <c r="M56" s="49">
        <f t="shared" si="29"/>
        <v>0.31</v>
      </c>
      <c r="N56" s="49">
        <f t="shared" si="29"/>
        <v>0.31</v>
      </c>
      <c r="O56" s="49"/>
      <c r="P56" s="49"/>
      <c r="Q56" s="49"/>
    </row>
    <row r="57" spans="2:19">
      <c r="B57" s="46" t="s">
        <v>953</v>
      </c>
      <c r="C57" s="46" t="s">
        <v>954</v>
      </c>
      <c r="D57" s="49">
        <v>0</v>
      </c>
      <c r="E57" s="49">
        <v>0</v>
      </c>
      <c r="F57" s="49">
        <v>0</v>
      </c>
      <c r="G57" s="49">
        <v>0</v>
      </c>
      <c r="H57" s="49"/>
      <c r="I57" s="49"/>
      <c r="J57" s="49">
        <v>0</v>
      </c>
      <c r="K57" s="49"/>
      <c r="L57" s="49"/>
      <c r="M57" s="49"/>
      <c r="N57" s="49"/>
      <c r="O57" s="49"/>
      <c r="P57" s="49"/>
      <c r="Q57" s="49"/>
    </row>
    <row r="58" spans="2:19">
      <c r="B58" s="46" t="s">
        <v>1041</v>
      </c>
      <c r="C58" s="46" t="s">
        <v>1042</v>
      </c>
      <c r="D58" s="49">
        <v>1.4999999999999999E-2</v>
      </c>
      <c r="E58" s="49">
        <v>1.4999999999999999E-2</v>
      </c>
      <c r="F58" s="49" t="e">
        <f>#REF!*0.1</f>
        <v>#REF!</v>
      </c>
      <c r="G58" s="49" t="e">
        <f>#REF!*0.1</f>
        <v>#REF!</v>
      </c>
      <c r="H58" s="49"/>
      <c r="I58" s="49"/>
      <c r="J58" s="49" t="e">
        <f>#REF!*0.1</f>
        <v>#REF!</v>
      </c>
      <c r="K58" s="49"/>
      <c r="L58" s="49"/>
      <c r="M58" s="49"/>
      <c r="N58" s="49"/>
      <c r="O58" s="49"/>
      <c r="P58" s="49"/>
      <c r="Q58" s="49"/>
      <c r="S58" s="52" t="s">
        <v>1058</v>
      </c>
    </row>
    <row r="59" spans="2:19">
      <c r="B59" s="80"/>
      <c r="C59" s="80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</row>
    <row r="60" spans="2:19">
      <c r="B60" s="46" t="s">
        <v>945</v>
      </c>
      <c r="C60" s="46" t="s">
        <v>946</v>
      </c>
      <c r="D60" s="49">
        <v>0</v>
      </c>
      <c r="E60" s="49">
        <v>0</v>
      </c>
      <c r="F60" s="49">
        <v>0</v>
      </c>
      <c r="G60" s="49">
        <v>0</v>
      </c>
      <c r="H60" s="49"/>
      <c r="I60" s="49"/>
      <c r="J60" s="49">
        <v>0</v>
      </c>
      <c r="K60" s="49"/>
      <c r="L60" s="49"/>
      <c r="M60" s="49"/>
      <c r="N60" s="49"/>
      <c r="O60" s="49"/>
      <c r="P60" s="49"/>
      <c r="Q60" s="49"/>
    </row>
    <row r="61" spans="2:19">
      <c r="B61" s="46" t="s">
        <v>955</v>
      </c>
      <c r="C61" s="46" t="s">
        <v>956</v>
      </c>
      <c r="D61" s="49">
        <v>0</v>
      </c>
      <c r="E61" s="49">
        <v>0</v>
      </c>
      <c r="F61" s="49">
        <v>0</v>
      </c>
      <c r="G61" s="49">
        <v>0</v>
      </c>
      <c r="H61" s="49"/>
      <c r="I61" s="49"/>
      <c r="J61" s="49">
        <v>0</v>
      </c>
      <c r="K61" s="49"/>
      <c r="L61" s="49"/>
      <c r="M61" s="49"/>
      <c r="N61" s="49"/>
      <c r="O61" s="49"/>
      <c r="P61" s="49"/>
      <c r="Q61" s="49"/>
    </row>
  </sheetData>
  <conditionalFormatting sqref="B3:C51">
    <cfRule type="expression" dxfId="12" priority="13">
      <formula>"ERROR" = INDEX(s,ROW(),COLUMN())</formula>
    </cfRule>
    <cfRule type="expression" dxfId="11" priority="14">
      <formula>NOT(EXACT(IF(ISNUMBER(INDEX(E_ALL_ULE.L,ROW(),COLUMN())),ROUND(INDEX(E_ALL_ULE.L,ROW(),COLUMN()),6),INDEX(E_ALL_ULE.L,ROW(),COLUMN())),IF(ISNUMBER(INDEX(L_ALL_ULE.L,ROW(),COLUMN())),ROUND(INDEX(L_ALL_ULE.L,ROW(),COLUMN()),6),INDEX(L_ALL_ULE.L,ROW(),COLUMN()))))</formula>
    </cfRule>
    <cfRule type="expression" dxfId="10" priority="15">
      <formula>"Estimate" = INDEX(E_ALL_ULE.L,2,COLUMN())</formula>
    </cfRule>
    <cfRule type="expression" dxfId="9" priority="16">
      <formula>"Preliminary" = INDEX(E_ALL_ULE.L,2,COLUMN())</formula>
    </cfRule>
    <cfRule type="expression" dxfId="8" priority="17">
      <formula>"Actual" = INDEX(E_ALL_ULE.L,2,COLUMN())</formula>
    </cfRule>
    <cfRule type="expression" dxfId="7" priority="18">
      <formula>"Restated" = INDEX(E_ALL_ULE.L,2,COLUMN())</formula>
    </cfRule>
  </conditionalFormatting>
  <conditionalFormatting sqref="B53:C59">
    <cfRule type="expression" dxfId="6" priority="1">
      <formula>"ERROR" = INDEX(s,ROW(),COLUMN())</formula>
    </cfRule>
  </conditionalFormatting>
  <conditionalFormatting sqref="B53:C61">
    <cfRule type="expression" dxfId="5" priority="2">
      <formula>NOT(EXACT(IF(ISNUMBER(INDEX(E_ALL_ULE.L,ROW(),COLUMN())),ROUND(INDEX(E_ALL_ULE.L,ROW(),COLUMN()),6),INDEX(E_ALL_ULE.L,ROW(),COLUMN())),IF(ISNUMBER(INDEX(L_ALL_ULE.L,ROW(),COLUMN())),ROUND(INDEX(L_ALL_ULE.L,ROW(),COLUMN()),6),INDEX(L_ALL_ULE.L,ROW(),COLUMN()))))</formula>
    </cfRule>
    <cfRule type="expression" dxfId="4" priority="3">
      <formula>"Estimate" = INDEX(E_ALL_ULE.L,2,COLUMN())</formula>
    </cfRule>
    <cfRule type="expression" dxfId="3" priority="4">
      <formula>"Preliminary" = INDEX(E_ALL_ULE.L,2,COLUMN())</formula>
    </cfRule>
    <cfRule type="expression" dxfId="2" priority="5">
      <formula>"Actual" = INDEX(E_ALL_ULE.L,2,COLUMN())</formula>
    </cfRule>
    <cfRule type="expression" dxfId="1" priority="6">
      <formula>"Restated" = INDEX(E_ALL_ULE.L,2,COLUMN())</formula>
    </cfRule>
  </conditionalFormatting>
  <conditionalFormatting sqref="B60:C61">
    <cfRule type="expression" dxfId="0" priority="7">
      <formula>"ERROR" = INDEX(V_ALL_ULE.L,ROW(),COLUMN())</formula>
    </cfRule>
  </conditionalFormatting>
  <pageMargins left="0.7" right="0.7" top="0.75" bottom="0.75" header="0.3" footer="0.3"/>
  <pageSetup orientation="portrait" r:id="rId1"/>
  <customProperties>
    <customPr name="Qube.Worksheet.Visibility" r:id="rId2"/>
    <customPr name="QXL_SHEET_ID" r:id="rId3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21CC-B82B-4D6E-8C2A-1BBBDAFE9CD2}">
  <sheetPr codeName="Sheet17"/>
  <dimension ref="E7:R50"/>
  <sheetViews>
    <sheetView showGridLines="0" workbookViewId="0">
      <selection activeCell="AA56" sqref="AA56"/>
    </sheetView>
  </sheetViews>
  <sheetFormatPr defaultRowHeight="14.25"/>
  <cols>
    <col min="5" max="5" width="11.875" bestFit="1" customWidth="1"/>
  </cols>
  <sheetData>
    <row r="7" spans="5:15" ht="15">
      <c r="H7" s="1115">
        <v>2023</v>
      </c>
      <c r="I7" s="1115">
        <f>H7+1</f>
        <v>2024</v>
      </c>
      <c r="J7" s="1115">
        <f t="shared" ref="J7:O7" si="0">I7+1</f>
        <v>2025</v>
      </c>
      <c r="K7" s="1115">
        <f t="shared" si="0"/>
        <v>2026</v>
      </c>
      <c r="L7" s="1115">
        <f t="shared" si="0"/>
        <v>2027</v>
      </c>
      <c r="M7" s="1115">
        <f t="shared" si="0"/>
        <v>2028</v>
      </c>
      <c r="N7" s="1115">
        <f t="shared" si="0"/>
        <v>2029</v>
      </c>
      <c r="O7" s="1115">
        <f t="shared" si="0"/>
        <v>2030</v>
      </c>
    </row>
    <row r="8" spans="5:15">
      <c r="E8" t="s">
        <v>1628</v>
      </c>
      <c r="H8" s="1110">
        <v>700</v>
      </c>
      <c r="I8">
        <v>1200</v>
      </c>
      <c r="J8">
        <v>1700</v>
      </c>
      <c r="K8">
        <v>2133</v>
      </c>
      <c r="L8">
        <v>2567</v>
      </c>
      <c r="M8">
        <v>3000</v>
      </c>
      <c r="N8">
        <v>3250</v>
      </c>
      <c r="O8">
        <v>3500</v>
      </c>
    </row>
    <row r="9" spans="5:15">
      <c r="E9" t="s">
        <v>1629</v>
      </c>
      <c r="H9" s="1111">
        <v>2100</v>
      </c>
      <c r="I9">
        <v>2225</v>
      </c>
      <c r="J9">
        <v>2350</v>
      </c>
      <c r="K9">
        <v>2200</v>
      </c>
      <c r="L9">
        <v>2050</v>
      </c>
      <c r="M9">
        <v>1900</v>
      </c>
      <c r="N9">
        <v>1750</v>
      </c>
      <c r="O9">
        <v>1600</v>
      </c>
    </row>
    <row r="10" spans="5:15">
      <c r="H10" s="1110"/>
    </row>
    <row r="11" spans="5:15">
      <c r="E11" t="s">
        <v>1630</v>
      </c>
      <c r="H11" s="1110">
        <v>5</v>
      </c>
      <c r="I11">
        <f>H11*(1+F13)</f>
        <v>5.2</v>
      </c>
    </row>
    <row r="12" spans="5:15">
      <c r="E12" t="s">
        <v>1631</v>
      </c>
      <c r="H12" s="1110">
        <v>3.5</v>
      </c>
      <c r="I12">
        <f>H12*(1+F13)</f>
        <v>3.64</v>
      </c>
    </row>
    <row r="13" spans="5:15">
      <c r="E13" t="s">
        <v>1632</v>
      </c>
      <c r="F13" s="1113">
        <v>0.04</v>
      </c>
      <c r="H13" s="1110"/>
    </row>
    <row r="14" spans="5:15">
      <c r="H14" s="1110"/>
    </row>
    <row r="15" spans="5:15">
      <c r="E15" t="s">
        <v>1633</v>
      </c>
      <c r="H15" s="1112">
        <v>0.65</v>
      </c>
      <c r="I15" s="1109">
        <f>H15</f>
        <v>0.65</v>
      </c>
      <c r="J15" s="1109">
        <f t="shared" ref="J15:O15" si="1">I15</f>
        <v>0.65</v>
      </c>
      <c r="K15" s="1109">
        <f t="shared" si="1"/>
        <v>0.65</v>
      </c>
      <c r="L15" s="1109">
        <f t="shared" si="1"/>
        <v>0.65</v>
      </c>
      <c r="M15" s="1109">
        <f t="shared" si="1"/>
        <v>0.65</v>
      </c>
      <c r="N15" s="1109">
        <f t="shared" si="1"/>
        <v>0.65</v>
      </c>
      <c r="O15" s="1109">
        <f t="shared" si="1"/>
        <v>0.65</v>
      </c>
    </row>
    <row r="16" spans="5:15">
      <c r="E16" t="s">
        <v>1634</v>
      </c>
      <c r="H16" s="1112">
        <v>0.9</v>
      </c>
      <c r="I16" s="1114">
        <f>H16-5%</f>
        <v>0.85</v>
      </c>
      <c r="J16" s="1114">
        <f t="shared" ref="J16:O16" si="2">I16-5%</f>
        <v>0.79999999999999993</v>
      </c>
      <c r="K16" s="1114">
        <f t="shared" si="2"/>
        <v>0.74999999999999989</v>
      </c>
      <c r="L16" s="1114">
        <f t="shared" si="2"/>
        <v>0.69999999999999984</v>
      </c>
      <c r="M16" s="1114">
        <f t="shared" si="2"/>
        <v>0.6499999999999998</v>
      </c>
      <c r="N16" s="1114">
        <f t="shared" si="2"/>
        <v>0.59999999999999976</v>
      </c>
      <c r="O16" s="1114">
        <f t="shared" si="2"/>
        <v>0.54999999999999971</v>
      </c>
    </row>
    <row r="17" spans="5:15">
      <c r="H17" s="1110"/>
    </row>
    <row r="18" spans="5:15">
      <c r="E18" t="s">
        <v>1635</v>
      </c>
      <c r="H18" s="1110"/>
    </row>
    <row r="19" spans="5:15">
      <c r="E19" t="s">
        <v>1636</v>
      </c>
      <c r="H19" s="1110">
        <f>H8*H11*H15</f>
        <v>2275</v>
      </c>
      <c r="I19" s="37">
        <f t="shared" ref="I19:O19" si="3">I8*I11*I15</f>
        <v>4056</v>
      </c>
      <c r="J19" s="37">
        <f t="shared" si="3"/>
        <v>0</v>
      </c>
      <c r="K19" s="37">
        <f t="shared" si="3"/>
        <v>0</v>
      </c>
      <c r="L19" s="37">
        <f t="shared" si="3"/>
        <v>0</v>
      </c>
      <c r="M19" s="37">
        <f t="shared" si="3"/>
        <v>0</v>
      </c>
      <c r="N19" s="37">
        <f t="shared" si="3"/>
        <v>0</v>
      </c>
      <c r="O19" s="37">
        <f t="shared" si="3"/>
        <v>0</v>
      </c>
    </row>
    <row r="20" spans="5:15">
      <c r="E20" t="s">
        <v>1637</v>
      </c>
      <c r="H20" s="1110">
        <f>H9*H12*H16</f>
        <v>6615</v>
      </c>
      <c r="I20" s="37">
        <f t="shared" ref="I20:O20" si="4">I9*I12*I16</f>
        <v>6884.15</v>
      </c>
      <c r="J20" s="37">
        <f t="shared" si="4"/>
        <v>0</v>
      </c>
      <c r="K20" s="37">
        <f t="shared" si="4"/>
        <v>0</v>
      </c>
      <c r="L20" s="37">
        <f t="shared" si="4"/>
        <v>0</v>
      </c>
      <c r="M20" s="37">
        <f t="shared" si="4"/>
        <v>0</v>
      </c>
      <c r="N20" s="37">
        <f t="shared" si="4"/>
        <v>0</v>
      </c>
      <c r="O20" s="37">
        <f t="shared" si="4"/>
        <v>0</v>
      </c>
    </row>
    <row r="21" spans="5:15">
      <c r="E21" t="s">
        <v>1638</v>
      </c>
      <c r="H21" s="1116">
        <f>SUM(H19:H20)*0.5</f>
        <v>4445</v>
      </c>
      <c r="I21" s="1117">
        <f t="shared" ref="I21" si="5">SUM(I19:I20)*0.5</f>
        <v>5470.0749999999998</v>
      </c>
      <c r="J21" s="1117">
        <f t="shared" ref="J21" si="6">SUM(J19:J20)*0.5</f>
        <v>0</v>
      </c>
      <c r="K21" s="1117">
        <f t="shared" ref="K21" si="7">SUM(K19:K20)*0.5</f>
        <v>0</v>
      </c>
      <c r="L21" s="1117">
        <f t="shared" ref="L21" si="8">SUM(L19:L20)*0.5</f>
        <v>0</v>
      </c>
      <c r="M21" s="1117">
        <f t="shared" ref="M21" si="9">SUM(M19:M20)*0.5</f>
        <v>0</v>
      </c>
      <c r="N21" s="1117">
        <f t="shared" ref="N21" si="10">SUM(N19:N20)*0.5</f>
        <v>0</v>
      </c>
      <c r="O21" s="1117">
        <f t="shared" ref="O21" si="11">SUM(O19:O20)*0.5</f>
        <v>0</v>
      </c>
    </row>
    <row r="22" spans="5:15">
      <c r="E22" t="s">
        <v>1639</v>
      </c>
      <c r="H22" s="1109">
        <f>(M21/I21)^(1/4)-1</f>
        <v>-1</v>
      </c>
    </row>
    <row r="29" spans="5:15">
      <c r="E29" t="s">
        <v>1640</v>
      </c>
      <c r="H29" t="s">
        <v>1641</v>
      </c>
    </row>
    <row r="30" spans="5:15">
      <c r="G30" s="1119">
        <v>0.55000000000000004</v>
      </c>
      <c r="H30" s="1120">
        <f>G30+5%</f>
        <v>0.60000000000000009</v>
      </c>
      <c r="I30" s="1120">
        <f t="shared" ref="I30:L30" si="12">H30+5%</f>
        <v>0.65000000000000013</v>
      </c>
      <c r="J30" s="1120">
        <f t="shared" si="12"/>
        <v>0.70000000000000018</v>
      </c>
      <c r="K30" s="1120">
        <f t="shared" si="12"/>
        <v>0.75000000000000022</v>
      </c>
      <c r="L30" s="1120">
        <f t="shared" si="12"/>
        <v>0.80000000000000027</v>
      </c>
    </row>
    <row r="31" spans="5:15">
      <c r="F31" s="1119">
        <v>0.02</v>
      </c>
    </row>
    <row r="32" spans="5:15">
      <c r="F32" s="1119">
        <f>F31+1%</f>
        <v>0.03</v>
      </c>
    </row>
    <row r="33" spans="5:18">
      <c r="F33" s="1119">
        <f t="shared" ref="F33:F37" si="13">F32+1%</f>
        <v>0.04</v>
      </c>
    </row>
    <row r="34" spans="5:18">
      <c r="E34" t="s">
        <v>932</v>
      </c>
      <c r="F34" s="1119">
        <f t="shared" si="13"/>
        <v>0.05</v>
      </c>
    </row>
    <row r="35" spans="5:18">
      <c r="F35" s="1119">
        <f t="shared" si="13"/>
        <v>6.0000000000000005E-2</v>
      </c>
    </row>
    <row r="36" spans="5:18">
      <c r="F36" s="1119">
        <f t="shared" si="13"/>
        <v>7.0000000000000007E-2</v>
      </c>
      <c r="R36">
        <f>(5/4)-1</f>
        <v>0.25</v>
      </c>
    </row>
    <row r="37" spans="5:18">
      <c r="F37" s="1119">
        <f t="shared" si="13"/>
        <v>0.08</v>
      </c>
    </row>
    <row r="38" spans="5:18">
      <c r="F38" s="1109"/>
    </row>
    <row r="41" spans="5:18">
      <c r="G41" t="s">
        <v>1641</v>
      </c>
    </row>
    <row r="42" spans="5:18">
      <c r="F42" s="1119">
        <v>0.6</v>
      </c>
      <c r="G42" s="1119">
        <v>0.55000000000000004</v>
      </c>
      <c r="H42" s="1120">
        <f>G42+5%</f>
        <v>0.60000000000000009</v>
      </c>
      <c r="I42" s="1120">
        <f t="shared" ref="I42:L42" si="14">H42+5%</f>
        <v>0.65000000000000013</v>
      </c>
      <c r="J42" s="1120">
        <f t="shared" si="14"/>
        <v>0.70000000000000018</v>
      </c>
      <c r="K42" s="1120">
        <f t="shared" si="14"/>
        <v>0.75000000000000022</v>
      </c>
      <c r="L42" s="1120">
        <f t="shared" si="14"/>
        <v>0.80000000000000027</v>
      </c>
    </row>
    <row r="43" spans="5:18">
      <c r="F43" s="1119">
        <f>F42+10%</f>
        <v>0.7</v>
      </c>
    </row>
    <row r="44" spans="5:18">
      <c r="E44" t="s">
        <v>1634</v>
      </c>
      <c r="F44" s="1119">
        <f t="shared" ref="F44:F46" si="15">F43+10%</f>
        <v>0.79999999999999993</v>
      </c>
    </row>
    <row r="45" spans="5:18">
      <c r="F45" s="1119">
        <f t="shared" si="15"/>
        <v>0.89999999999999991</v>
      </c>
    </row>
    <row r="46" spans="5:18">
      <c r="F46" s="1119">
        <f t="shared" si="15"/>
        <v>0.99999999999999989</v>
      </c>
    </row>
    <row r="47" spans="5:18">
      <c r="F47" s="1118"/>
    </row>
    <row r="48" spans="5:18">
      <c r="F48" s="1118"/>
    </row>
    <row r="49" spans="6:6">
      <c r="F49" s="1118"/>
    </row>
    <row r="50" spans="6:6">
      <c r="F50" s="1118"/>
    </row>
  </sheetData>
  <pageMargins left="0.7" right="0.7" top="0.75" bottom="0.75" header="0.3" footer="0.3"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verPageProperties xmlns="http://schemas.microsoft.com/office/2006/coverPageProps">
  <PublishDate/>
  <Abstract/>
  <CompanyAddress/>
  <CompanyPhone/>
  <CompanyFax/>
  <CompanyEmail/>
</CoverPageProperties>
</file>

<file path=customXml/item2.xml><?xml version="1.0" encoding="utf-8"?>
<cp:coreProperties xmlns:dc="http://purl.org/dc/elements/1.1/" xmlns:cp="http://schemas.openxmlformats.org/package/2006/metadata/core-properties">
  <dc:creator>Andrew Steele</dc:creator>
  <cp:keywords/>
  <dc:description/>
  <dc:subject/>
  <dc:title/>
  <cp:category/>
  <cp:contentStatus/>
</cp:coreProperties>
</file>

<file path=customXml/item3.xml>��
</file>

<file path=customXml/item4.xml><?xml version="1.0" encoding="utf-8"?>
<Properties xmlns="http://schemas.openxmlformats.org/officeDocument/2006/extended-properties">
  <Company>Goldman Sachs &amp; Co</Company>
  <Manager/>
</Properties>
</file>

<file path=customXml/itemProps1.xml><?xml version="1.0" encoding="utf-8"?>
<ds:datastoreItem xmlns:ds="http://schemas.openxmlformats.org/officeDocument/2006/customXml" ds:itemID="{C788A911-D588-41BB-8EC7-3D52D09AB8CF}">
  <ds:schemaRefs>
    <ds:schemaRef ds:uri="http://schemas.microsoft.com/office/2006/coverPageProps"/>
  </ds:schemaRefs>
</ds:datastoreItem>
</file>

<file path=customXml/itemProps2.xml><?xml version="1.0" encoding="utf-8"?>
<ds:datastoreItem xmlns:ds="http://schemas.openxmlformats.org/officeDocument/2006/customXml" ds:itemID="{32FE8613-6EDE-4216-BD52-FDEE0643C083}">
  <ds:schemaRefs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862C8AE-C77A-4AC7-B2F7-3F5BBA43A699}">
  <ds:schemaRefs>
    <ds:schemaRef ds:uri="http://www.w3.org/2001/XMLSchema"/>
    <ds:schemaRef ds:uri="Exchange-SubmissionSheetWrapper"/>
  </ds:schemaRefs>
</ds:datastoreItem>
</file>

<file path=customXml/itemProps4.xml><?xml version="1.0" encoding="utf-8"?>
<ds:datastoreItem xmlns:ds="http://schemas.openxmlformats.org/officeDocument/2006/customXml" ds:itemID="{76EA9963-FEAD-4C63-AD8D-4352F312617E}">
  <ds:schemaRefs>
    <ds:schemaRef ds:uri="http://schemas.openxmlformats.org/officeDocument/2006/extended-properties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_QP_SAF.PA</vt:lpstr>
      <vt:lpstr>Cover Page</vt:lpstr>
      <vt:lpstr>DCF Valuation</vt:lpstr>
      <vt:lpstr>Sheet5</vt:lpstr>
      <vt:lpstr>Sheet4</vt:lpstr>
      <vt:lpstr>MigrationOutput_QP_SAF.PA</vt:lpstr>
      <vt:lpstr>QP_SAF.PA_migrated</vt:lpstr>
      <vt:lpstr>DCF</vt:lpstr>
      <vt:lpstr>DCF Feed</vt:lpstr>
      <vt:lpstr>Income Statement</vt:lpstr>
      <vt:lpstr>Balance Sheet</vt:lpstr>
      <vt:lpstr>Cashflow Statement</vt:lpstr>
      <vt:lpstr>Interim (New)</vt:lpstr>
      <vt:lpstr>Aerospace Propulsion Division</vt:lpstr>
      <vt:lpstr>Multiples</vt:lpstr>
      <vt:lpstr>Aircraft Interiors Division</vt:lpstr>
      <vt:lpstr>Equipment and Defense</vt:lpstr>
      <vt:lpstr>GSe vs Consensus</vt:lpstr>
      <vt:lpstr>Old vs New</vt:lpstr>
      <vt:lpstr>Results table</vt:lpstr>
      <vt:lpstr>Cons implied 4Q23</vt:lpstr>
      <vt:lpstr>Exhibit 3 Statements</vt:lpstr>
      <vt:lpstr>Regional Breakdown</vt:lpstr>
      <vt:lpstr>Sheet1</vt:lpstr>
      <vt:lpstr>MigrationOutput_QP_SAF.PA!ExchangeSheetLink</vt:lpstr>
      <vt:lpstr>MigrationOutput_QP_SAF.PA!HiddenSheetLink</vt:lpstr>
      <vt:lpstr>MigrationOutput_QP_SAF.PA!LastProblemKeyword</vt:lpstr>
    </vt:vector>
  </TitlesOfParts>
  <Company>Goldman Sachs &amp;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Victor.Allard@ln.gir.email.gs.com</dc:creator>
  <cp:lastModifiedBy>Sikchi, Milind [GIR]</cp:lastModifiedBy>
  <cp:lastPrinted>2025-11-06T13:49:43Z</cp:lastPrinted>
  <dcterms:created xsi:type="dcterms:W3CDTF">2013-07-08T08:38:46Z</dcterms:created>
  <dcterms:modified xsi:type="dcterms:W3CDTF">2025-11-10T11:11:47Z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450ab22c-33ee-483d-b876-6fd58643734c</vt:lpwstr>
  </property>
  <property fmtid="{D5CDD505-2E9C-101B-9397-08002B2CF9AE}" pid="3" name="Classification">
    <vt:lpwstr>I</vt:lpwstr>
  </property>
  <property fmtid="{D5CDD505-2E9C-101B-9397-08002B2CF9AE}" pid="4" name="GSRUdf">
    <vt:lpwstr>True</vt:lpwstr>
  </property>
  <property fmtid="{D5CDD505-2E9C-101B-9397-08002B2CF9AE}" pid="5" name="DocNoClass">
    <vt:lpwstr>Not In Use</vt:lpwstr>
  </property>
</Properties>
</file>