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threadedComments/threadedComment1.xml" ContentType="application/vnd.ms-excel.threaded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24226"/>
  <mc:AlternateContent xmlns:mc="http://schemas.openxmlformats.org/markup-compatibility/2006">
    <mc:Choice Requires="x15">
      <x15ac:absPath xmlns:x15ac="http://schemas.microsoft.com/office/spreadsheetml/2010/11/ac" url="C:\Users\knafegab\AppData\Local\Research\ModelPublishing\SubmittedModels\"/>
    </mc:Choice>
  </mc:AlternateContent>
  <xr:revisionPtr revIDLastSave="0" documentId="8_{267642C3-DFB2-439E-AAF0-2BC5E8E2796D}" xr6:coauthVersionLast="47" xr6:coauthVersionMax="47" xr10:uidLastSave="{00000000-0000-0000-0000-000000000000}"/>
  <bookViews>
    <workbookView xWindow="-120" yWindow="-120" windowWidth="22800" windowHeight="14565" xr2:uid="{59802AAE-B8B6-429F-A7BE-7C71C9940B66}"/>
  </bookViews>
  <sheets>
    <sheet name="CircularReferenceAlert" sheetId="113" r:id="rId1"/>
    <sheet name="ImportantDisclosures" sheetId="110" r:id="rId2"/>
    <sheet name="ProForma_IS_Annual" sheetId="15" r:id="rId3"/>
    <sheet name="ProForma_IS_Qtr" sheetId="13" r:id="rId4"/>
    <sheet name="Balance_Sheet_Annual" sheetId="18" r:id="rId5"/>
    <sheet name="Balance_Sheet_Qtr" sheetId="17" r:id="rId6"/>
    <sheet name="Cash_Flow_Annual" sheetId="16" r:id="rId7"/>
    <sheet name="Cash_Flow_Qtr" sheetId="14" r:id="rId8"/>
    <sheet name="Debt_Annual" sheetId="45" r:id="rId9"/>
    <sheet name="Debt_Qtr" sheetId="46" r:id="rId10"/>
    <sheet name="CES_Annual" sheetId="96" r:id="rId11"/>
    <sheet name="CES_Qtr" sheetId="95" r:id="rId12"/>
    <sheet name="CES Annual_Driver" sheetId="87" r:id="rId13"/>
    <sheet name="Def and Prop Tech_Annual" sheetId="93" r:id="rId14"/>
    <sheet name="Def and Prop Tech_Qtr" sheetId="94" r:id="rId15"/>
    <sheet name="IndexInformation" sheetId="111" r:id="rId16"/>
    <sheet name="ModPubIndex" sheetId="112" r:id="rId17"/>
  </sheets>
  <externalReferences>
    <externalReference r:id="rId18"/>
    <externalReference r:id="rId19"/>
  </externalReferences>
  <definedNames>
    <definedName name="__FDS_UNIQUE_RANGE_ID_GENERATOR_COUNTER">416</definedName>
    <definedName name="__FDS_USED_FOR_REUSING_RANGE_IDS_RECYCLE">{16,16,16,16,16,16,16,16,16,16,16}</definedName>
    <definedName name="actual_start_year">1992</definedName>
    <definedName name="AdditionalInstructions">#REF!</definedName>
    <definedName name="adf">[1]!val,[1]!INC,[1]!bal,[1]!Cash,[1]!int,[1]!assum1,[1]!assum2,[1]!dcf</definedName>
    <definedName name="adfasdfsd">[1]!val,[1]!INC,[1]!bal,[1]!Cash,[1]!int,[1]!assum1,[1]!assum2,[1]!dcf</definedName>
    <definedName name="admin">1</definedName>
    <definedName name="adsf">[1]!val,[1]!INC,[1]!bal,[1]!Cash,[1]!int,[1]!assum1,[1]!assum2,[1]!dcf</definedName>
    <definedName name="adsfasdfasd">[1]!val,[1]!INC,[1]!bal,[1]!Cash,[1]!int,[1]!assum1,[1]!assum2,[1]!dcf,[1]!_dcf1</definedName>
    <definedName name="africa">0.02</definedName>
    <definedName name="allRegions">#REF!</definedName>
    <definedName name="americaRegion">#REF!</definedName>
    <definedName name="americas">0.75</definedName>
    <definedName name="americasStates">#REF!</definedName>
    <definedName name="AppVersion">"GEG-1.0"</definedName>
    <definedName name="asiaPacific">0.06</definedName>
    <definedName name="asiaPacificExJapan">0.03</definedName>
    <definedName name="asiaPacificRegion">#REF!</definedName>
    <definedName name="AssetsCurrentDeferredIncomeTaxes">0</definedName>
    <definedName name="AssetsCurrentShortTermInvestments">0</definedName>
    <definedName name="AssetsIntangiblesAccumulatedAmortization">0</definedName>
    <definedName name="AssetsIntangiblesGross">0</definedName>
    <definedName name="AssetsOtherAccumulatedAmortization">0</definedName>
    <definedName name="AssetsOtherGross">0</definedName>
    <definedName name="AssetsOtherNet">0</definedName>
    <definedName name="australasia">0.01</definedName>
    <definedName name="Avg">"Avg"</definedName>
    <definedName name="BRICS">0.02</definedName>
    <definedName name="case_num">1</definedName>
    <definedName name="CashFlowCapitalExpenditureCellular">0</definedName>
    <definedName name="CashFlowCapitalExpenditureOther">0</definedName>
    <definedName name="CashFlowCapitalExpenditurePaging">0</definedName>
    <definedName name="CashFlowCapitalExpenditureTelephone">0</definedName>
    <definedName name="CashFlowCapitalExpenditureWireless">0</definedName>
    <definedName name="CashFlowDividendPaidPreferredStock">0</definedName>
    <definedName name="centralEasternEurope">0.01</definedName>
    <definedName name="china">0.01</definedName>
    <definedName name="Class_B">68.45</definedName>
    <definedName name="cm">1</definedName>
    <definedName name="conflict">[1]!val,[1]!INC,[1]!bal,[1]!Cash,[1]!int,[1]!assum1,[1]!assum2,[1]!dcf</definedName>
    <definedName name="consumersExposure">0</definedName>
    <definedName name="conv_rate">14.5352</definedName>
    <definedName name="countryList">"Country Mapping"</definedName>
    <definedName name="currentFY">2016</definedName>
    <definedName name="developedEuropeExUK">0.05</definedName>
    <definedName name="DEVELOPMENT">5</definedName>
    <definedName name="dropDown">1</definedName>
    <definedName name="dropDown2">1</definedName>
    <definedName name="EEMEA">0.11</definedName>
    <definedName name="EquityAdjustments">0</definedName>
    <definedName name="EquityEmployeeStockOwnershipPlan">0</definedName>
    <definedName name="EquityPaidInCapital">0</definedName>
    <definedName name="EquityTreasuryStock">0</definedName>
    <definedName name="europe">0.09</definedName>
    <definedName name="europeRegion">#REF!</definedName>
    <definedName name="europeStates">#REF!</definedName>
    <definedName name="Exch">" Sheet2!$F$2"</definedName>
    <definedName name="Goodwill_Amortization">25</definedName>
    <definedName name="GWyears">40</definedName>
    <definedName name="IncomeEPSFullyDiluted">0</definedName>
    <definedName name="IncomeEPSPrimary">0</definedName>
    <definedName name="IncomeEPSRegular">0</definedName>
    <definedName name="india">0.01</definedName>
    <definedName name="IndustryId">1500000156</definedName>
    <definedName name="instructions">#REF!</definedName>
    <definedName name="Int_exp">8%</definedName>
    <definedName name="IQ_CH">110000</definedName>
    <definedName name="IQ_CQ">5000</definedName>
    <definedName name="IQ_CY">10000</definedName>
    <definedName name="IQ_DAILY">500000</definedName>
    <definedName name="IQ_FH">100000</definedName>
    <definedName name="IQ_FQ">500</definedName>
    <definedName name="IQ_FY">1000</definedName>
    <definedName name="IQ_LTM">2000</definedName>
    <definedName name="IQ_MONTH">15000</definedName>
    <definedName name="IQ_NTM">6000</definedName>
    <definedName name="IQ_WEEK">50000</definedName>
    <definedName name="IQ_YTD">3000</definedName>
    <definedName name="italy">0.01</definedName>
    <definedName name="japan">0.01</definedName>
    <definedName name="L_\LIBRARY\LONG\FMC\Aug98\_fbpd_model1.xls_5_Year_DCF__07_28_98__10_03_AM">"DCF2"</definedName>
    <definedName name="L_\LIBRARY\LONG\FMC\Aug98\_fbpd_model1.xls_Combined__PF_BS__07_28_98__10_01_AM">"DCF1"</definedName>
    <definedName name="LanguageCode">"en-US"</definedName>
    <definedName name="latinAmerica">0.01</definedName>
    <definedName name="LiabilitiesCurrentAccruedLiabilities">0</definedName>
    <definedName name="LiabilitiesCurrentNotesPayable">0</definedName>
    <definedName name="LiabilitiesDeferredIncomeTaxes">0</definedName>
    <definedName name="LiabilitiesOther">0</definedName>
    <definedName name="LiabilitiesUnamortizedInvestmentTaxCredits">0</definedName>
    <definedName name="Linking_1">Balance_Sheet_Annual!$A$81:$V$100</definedName>
    <definedName name="Linking_2">Balance_Sheet_Annual!$A$102:$V$117</definedName>
    <definedName name="Linking_23">'[2]4Q18'!$A$3:$I$52</definedName>
    <definedName name="Linking_28">'[2]4Q18'!$A$3:$I$54</definedName>
    <definedName name="Linking_5">'[2]4Q20'!$A$2:$K$51</definedName>
    <definedName name="Linking_6">ProForma_IS_Annual!$A$1:$AF$52</definedName>
    <definedName name="Linking_8">Cash_Flow_Annual!$A$1:$AF$51</definedName>
    <definedName name="Linking_9">Balance_Sheet_Annual!$A$1:$AF$62</definedName>
    <definedName name="me">"Button 5"</definedName>
    <definedName name="middleEast">0.08</definedName>
    <definedName name="middleEastAfrica">0.1</definedName>
    <definedName name="middleEastAfricaRegion">#REF!</definedName>
    <definedName name="misc">1</definedName>
    <definedName name="misc2">1</definedName>
    <definedName name="MonitorCol">1</definedName>
    <definedName name="MonitorRow">1</definedName>
    <definedName name="MtCap">10000000000</definedName>
    <definedName name="NewName">"B45:G45"</definedName>
    <definedName name="NM">"NM"</definedName>
    <definedName name="Normalized_Income_Statement">"IS_Annual"</definedName>
    <definedName name="northAmerica">0.74</definedName>
    <definedName name="NvsASD">"V2000-09-08"</definedName>
    <definedName name="NvsAutoDrillOk">"VN"</definedName>
    <definedName name="NvsElapsedTime">0.000234143517445773</definedName>
    <definedName name="NvsEndTime">36707.2948738426</definedName>
    <definedName name="NvsInstSpec">"%,FMI_ALT_BU,TCA_ALTBU_CORPS,NCONSOLIDATING"</definedName>
    <definedName name="NvsLayoutType">"M3"</definedName>
    <definedName name="NvsNplSpec">"%,X,RZF..,CZF.."</definedName>
    <definedName name="NvsPanelEffdt">"V9999-01-01"</definedName>
    <definedName name="NvsPanelSetid">"VMIDIV"</definedName>
    <definedName name="NvsReqBU">"V52"</definedName>
    <definedName name="NvsReqBUOnly">"VN"</definedName>
    <definedName name="NvsTransLed">"VN"</definedName>
    <definedName name="NvsTreeASD">"V2000-09-08"</definedName>
    <definedName name="NvsValTbl.PRODUCT">"MI_GL_PRODCT_VW"</definedName>
    <definedName name="ObjectType">"excel"</definedName>
    <definedName name="OpExAmortization">0</definedName>
    <definedName name="OpExBeforeDepreciationAmortizationExtraordinariesOther">0</definedName>
    <definedName name="OpExBeforeDepreciationAmortizationExtraordinariesTotal">0</definedName>
    <definedName name="OpExCostOfEquipment">0</definedName>
    <definedName name="OpExDepreciation">0</definedName>
    <definedName name="OpExGeneralAdministrative">0</definedName>
    <definedName name="OpExSellingMarketing">0</definedName>
    <definedName name="OpExTotal">0</definedName>
    <definedName name="otherAfrica">0.02</definedName>
    <definedName name="otherAsiaPacific">0.01</definedName>
    <definedName name="otherCentralEasternEurope">0.01</definedName>
    <definedName name="otherDevelopedEurope">0.01</definedName>
    <definedName name="OtherExEquityIncome">0</definedName>
    <definedName name="OtherExGainOnSale">0</definedName>
    <definedName name="OtherExInterestIncome">0</definedName>
    <definedName name="OtherExMinorityInterest">0</definedName>
    <definedName name="OtherExTotal">0</definedName>
    <definedName name="otherLATAM">0.01</definedName>
    <definedName name="Pdate">35902</definedName>
    <definedName name="perc">{"0.85","0.875","0.9","0.925","0.95","0.975","1","1.025","1.05","1.075","1.1","1.125","1.15"}</definedName>
    <definedName name="pooling_Premium">25%</definedName>
    <definedName name="price_date">36098</definedName>
    <definedName name="_xlnm.Print_Area">"Formula removed, name can be deleted."</definedName>
    <definedName name="print_full">[1]!val,[1]!INC,[1]!bal,[1]!Cash,[1]!int,[1]!assum1,[1]!assum2,[1]!dcf,[1]!_dcf1</definedName>
    <definedName name="print_full1">[1]!val,[1]!INC,[1]!bal,[1]!Cash,[1]!int,[1]!assum1,[1]!assum2,[1]!dcf</definedName>
    <definedName name="_xlnm.Print_Titles">"Formula removed, name can be deleted."</definedName>
    <definedName name="printareafull">[1]!val,[1]!INC,[1]!bal,[1]!Cash,[1]!int,[1]!assum1,[1]!assum2,[1]!dcf,[1]!_dcf1</definedName>
    <definedName name="printfull2">[1]!val,[1]!INC,[1]!bal,[1]!Cash,[1]!int,[1]!assum1,[1]!assum2,[1]!dcf</definedName>
    <definedName name="Purchase_Premium_A">25%</definedName>
    <definedName name="Purchase_Premium_B">0.25</definedName>
    <definedName name="redux">1</definedName>
    <definedName name="Rem_Bus_ROIC">OFFSET([1]!XRange,11,0)</definedName>
    <definedName name="RepairedName0135">"iQShowAnnual"</definedName>
    <definedName name="RevenuesCellularEquipment">0</definedName>
    <definedName name="RevenuesCellularOther">0</definedName>
    <definedName name="RevenuesCellularService">0</definedName>
    <definedName name="RevenuesCellularTotal">0</definedName>
    <definedName name="RevenuesPagingEquipment">0</definedName>
    <definedName name="RevenuesPagingOther">0</definedName>
    <definedName name="RevenuesPagingService">0</definedName>
    <definedName name="RevenuesPagingTotal">0</definedName>
    <definedName name="RevenuesWirelessEquipment">0</definedName>
    <definedName name="RevenuesWirelessOther">0</definedName>
    <definedName name="RevenuesWirelessService">0</definedName>
    <definedName name="rngContinentWiseValue">#REF!</definedName>
    <definedName name="rngCountryWiseValue">#REF!</definedName>
    <definedName name="rngStateWiseValue">#REF!</definedName>
    <definedName name="rngTotalRegionExposure">1</definedName>
    <definedName name="ScenarioCharts">"Chart 15,Chart 16,Chart 17"</definedName>
    <definedName name="Sedol">"B1W9D46"</definedName>
    <definedName name="SedolTicker">"B1W9D46"</definedName>
    <definedName name="SharesConvertibleSecurities">0</definedName>
    <definedName name="SharesFullyDiluted">0</definedName>
    <definedName name="SharesOptions">0</definedName>
    <definedName name="SharesOutstandingLatestDate">0</definedName>
    <definedName name="SharesOutstandingOther">0</definedName>
    <definedName name="SharesOutstandingSenior">0</definedName>
    <definedName name="SharesOutstandingSubordinate">0</definedName>
    <definedName name="SharesPrimary">0</definedName>
    <definedName name="SharesWarrants">0</definedName>
    <definedName name="showVersionCheckMessage">1</definedName>
    <definedName name="socioEconomicRegion">#REF!</definedName>
    <definedName name="Sp">"       "</definedName>
    <definedName name="spain">0.01</definedName>
    <definedName name="SPWS_WBID">"F1754E3C-8B33-11D3-B915-000086369788"</definedName>
    <definedName name="StatsAccessLinesDomesticInternationalTotalAverage">0</definedName>
    <definedName name="StatsAccessLinesTotalAverage">0</definedName>
    <definedName name="StatsAverageMonthlyRevenue">0</definedName>
    <definedName name="StatsEmployeesConsolidatedInternational">0</definedName>
    <definedName name="StatsEmployeesTelephoneInternational">0</definedName>
    <definedName name="StatsPagingAverageMonthlyRevenue">0</definedName>
    <definedName name="StatsPagingSubscribers">0</definedName>
    <definedName name="StatsPenetration">0</definedName>
    <definedName name="StatsPOPS">0</definedName>
    <definedName name="StatsProportionatePenetration">0</definedName>
    <definedName name="StatsProportionatePOPS">0</definedName>
    <definedName name="StatsProportionateSubscribersAverage">0</definedName>
    <definedName name="StatsProportionateSubscribersBeginning">0</definedName>
    <definedName name="StatsProportionateSubscribersEnding">0</definedName>
    <definedName name="StatsProportionateSubscribersNetAdds">0</definedName>
    <definedName name="StatsSubscribersAverage">0</definedName>
    <definedName name="StatsSubscribersBeginning">0</definedName>
    <definedName name="StatsSubscribersEnding">0</definedName>
    <definedName name="StatsSubscribersNetAdds">0</definedName>
    <definedName name="SubmitterUserId">"holcojas"</definedName>
    <definedName name="Target_Net_Debt">"targ_netdebt"</definedName>
    <definedName name="TemplateRegion">"NorthAmerica"</definedName>
    <definedName name="This_Year">"1998E"</definedName>
    <definedName name="TickerRegion">1</definedName>
    <definedName name="Total_Bus_ROIC">OFFSET([1]!XRange,12,0)</definedName>
    <definedName name="totalConsumerDemandExposure">0</definedName>
    <definedName name="totalDomesticCostExposure">#REF!</definedName>
    <definedName name="totalDomesticRevenueExposure">#REF!</definedName>
    <definedName name="totalEndDemandRevenueExposure">#REF!</definedName>
    <definedName name="totalRegionCostExposure">#REF!</definedName>
    <definedName name="totalRegionRevenueExposure">#REF!</definedName>
    <definedName name="trEdate">"0FY"</definedName>
    <definedName name="trSdate">"'-7FY"</definedName>
    <definedName name="uk">0.03</definedName>
    <definedName name="ValidDateTable">#REF!</definedName>
    <definedName name="ValuationAdjustmentsOther">0</definedName>
    <definedName name="ValuationAdjustmentsValue">0</definedName>
    <definedName name="ValuationCellularValue">0</definedName>
    <definedName name="ValuationDebtAdjustment">0</definedName>
    <definedName name="ValuationDebtNet">0</definedName>
    <definedName name="ValuationDebtTotal">0</definedName>
    <definedName name="ValuationFirmValue">0</definedName>
    <definedName name="ValuationInvestments">0</definedName>
    <definedName name="ValuationMarketCapitalization">0</definedName>
    <definedName name="ValuationOtherValue">0</definedName>
    <definedName name="ValuationPagingValue">0</definedName>
    <definedName name="ValuationTelephoneValue">0</definedName>
    <definedName name="ValuationWirelessValue">0</definedName>
    <definedName name="Version">"June 29, 2004"</definedName>
    <definedName name="WACC">OFFSET([1]!XRange,13,0)</definedName>
    <definedName name="Year_End">1988</definedName>
    <definedName name="YrEnd_FFr_USD">0.1767</definedName>
  </definedNames>
  <calcPr calcId="191029" calcMode="manual"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Z19" i="13" l="1"/>
  <c r="AZ18" i="13"/>
  <c r="AZ8" i="13"/>
  <c r="AZ7" i="13"/>
  <c r="AB69" i="16"/>
  <c r="AA49" i="15"/>
  <c r="BI57" i="13" l="1"/>
  <c r="BI60" i="13"/>
  <c r="AO169" i="87"/>
  <c r="AN169" i="87"/>
  <c r="AM169" i="87"/>
  <c r="AL169" i="87"/>
  <c r="AK169" i="87"/>
  <c r="AJ169" i="87"/>
  <c r="BI3" i="94"/>
  <c r="BB76" i="14"/>
  <c r="BA76" i="14"/>
  <c r="BF72" i="14"/>
  <c r="BF71" i="14"/>
  <c r="BE77" i="14"/>
  <c r="BE72" i="14"/>
  <c r="BF77" i="14"/>
  <c r="BH11" i="17"/>
  <c r="BF91" i="14"/>
  <c r="BF90" i="14"/>
  <c r="BF89" i="14"/>
  <c r="BF88" i="14"/>
  <c r="BF87" i="14"/>
  <c r="BF65" i="14"/>
  <c r="BF69" i="14"/>
  <c r="BE66" i="14"/>
  <c r="BF24" i="14"/>
  <c r="BF15" i="14"/>
  <c r="BF76" i="14"/>
  <c r="BF73" i="14"/>
  <c r="BF23" i="14"/>
  <c r="BF50" i="14"/>
  <c r="BF48" i="14"/>
  <c r="BF47" i="14"/>
  <c r="BF46" i="14"/>
  <c r="BF45" i="14"/>
  <c r="BF44" i="14"/>
  <c r="BF43" i="14"/>
  <c r="BF42" i="14"/>
  <c r="BF38" i="14"/>
  <c r="BF36" i="14"/>
  <c r="BF35" i="14"/>
  <c r="BF33" i="14"/>
  <c r="BF34" i="14"/>
  <c r="BF32" i="14"/>
  <c r="BF31" i="14"/>
  <c r="BF30" i="14"/>
  <c r="BF22" i="14"/>
  <c r="BF25" i="14"/>
  <c r="BF26" i="14"/>
  <c r="BF21" i="14"/>
  <c r="BF20" i="14"/>
  <c r="BF19" i="14"/>
  <c r="BF18" i="14"/>
  <c r="BF17" i="14"/>
  <c r="BF16" i="14"/>
  <c r="BF13" i="14"/>
  <c r="BF12" i="14"/>
  <c r="BF11" i="14"/>
  <c r="BF10" i="14"/>
  <c r="BF9" i="14"/>
  <c r="BF8" i="14"/>
  <c r="BF7" i="14"/>
  <c r="BF6" i="14"/>
  <c r="BF5" i="14"/>
  <c r="BF4" i="14"/>
  <c r="BF93" i="13"/>
  <c r="BF92" i="13"/>
  <c r="BF81" i="13"/>
  <c r="BF86" i="13"/>
  <c r="BF83" i="13"/>
  <c r="BF74" i="17"/>
  <c r="BF70" i="17"/>
  <c r="BF69" i="17"/>
  <c r="BF66" i="17"/>
  <c r="BF60" i="17"/>
  <c r="BF56" i="17"/>
  <c r="BF44" i="17"/>
  <c r="BF36" i="17"/>
  <c r="BF34" i="17"/>
  <c r="BF22" i="17"/>
  <c r="BF10" i="17"/>
  <c r="BF46" i="13"/>
  <c r="BF7" i="94"/>
  <c r="BF4" i="94"/>
  <c r="BF73" i="94"/>
  <c r="BF63" i="94"/>
  <c r="BF20" i="94"/>
  <c r="BF68" i="95"/>
  <c r="BF22" i="95"/>
  <c r="BF21" i="95"/>
  <c r="BF20" i="95"/>
  <c r="BF4" i="95"/>
  <c r="BF7" i="95"/>
  <c r="BG33" i="17" l="1"/>
  <c r="BH33" i="17" l="1"/>
  <c r="BE77" i="17" l="1"/>
  <c r="BE53" i="17"/>
  <c r="BE44" i="17"/>
  <c r="BE34" i="17"/>
  <c r="BE10" i="17"/>
  <c r="BE71" i="13"/>
  <c r="BE90" i="14"/>
  <c r="BE73" i="14"/>
  <c r="BE71" i="14"/>
  <c r="BE24" i="14"/>
  <c r="BE81" i="13"/>
  <c r="BE9" i="94"/>
  <c r="BE21" i="94" s="1"/>
  <c r="BE7" i="94"/>
  <c r="BE4" i="94"/>
  <c r="BE73" i="94"/>
  <c r="BE46" i="13"/>
  <c r="BE20" i="94"/>
  <c r="BE63" i="94"/>
  <c r="BE68" i="95"/>
  <c r="BE9" i="95"/>
  <c r="BE21" i="95" s="1"/>
  <c r="BE7" i="95"/>
  <c r="BE4" i="95"/>
  <c r="BE20" i="95"/>
  <c r="BE78" i="17" l="1"/>
  <c r="BE68" i="17"/>
  <c r="BE67" i="17"/>
  <c r="AO102" i="13" l="1"/>
  <c r="AM102" i="13"/>
  <c r="AL102" i="13"/>
  <c r="AK102" i="13"/>
  <c r="AO97" i="13"/>
  <c r="AM97" i="13"/>
  <c r="AL97" i="13"/>
  <c r="AK97" i="13"/>
  <c r="A104" i="13"/>
  <c r="A103" i="13"/>
  <c r="A102" i="13"/>
  <c r="A101" i="13"/>
  <c r="AC98" i="15"/>
  <c r="AD98" i="15"/>
  <c r="AE98" i="15"/>
  <c r="AF98" i="15"/>
  <c r="A105" i="15"/>
  <c r="A102" i="15"/>
  <c r="AB10" i="16" l="1"/>
  <c r="AD86" i="96"/>
  <c r="AE86" i="96" s="1"/>
  <c r="AF86" i="96" s="1"/>
  <c r="AK45" i="93" l="1"/>
  <c r="AL45" i="93"/>
  <c r="X62" i="96"/>
  <c r="X75" i="96"/>
  <c r="X72" i="96"/>
  <c r="X68" i="96"/>
  <c r="X65" i="96"/>
  <c r="Y62" i="96"/>
  <c r="Y75" i="96"/>
  <c r="Y72" i="96"/>
  <c r="Y68" i="96"/>
  <c r="Y65" i="96"/>
  <c r="Z62" i="96"/>
  <c r="Z75" i="96"/>
  <c r="Z72" i="96"/>
  <c r="Z65" i="96"/>
  <c r="AA65" i="96"/>
  <c r="AA72" i="96"/>
  <c r="AA75" i="96"/>
  <c r="AA62" i="96"/>
  <c r="AY73" i="14" l="1"/>
  <c r="BD73" i="14"/>
  <c r="BD73" i="94" l="1"/>
  <c r="BB73" i="94"/>
  <c r="BA73" i="94"/>
  <c r="AZ73" i="94"/>
  <c r="AY73" i="94"/>
  <c r="AW73" i="94"/>
  <c r="AV73" i="94"/>
  <c r="BA63" i="94"/>
  <c r="AZ63" i="94"/>
  <c r="AY63" i="94"/>
  <c r="AX63" i="94"/>
  <c r="AW63" i="94"/>
  <c r="AV63" i="94"/>
  <c r="AU63" i="94"/>
  <c r="BD63" i="95"/>
  <c r="AA63" i="96" s="1"/>
  <c r="BC63" i="95"/>
  <c r="BB63" i="95"/>
  <c r="BA63" i="95"/>
  <c r="AZ63" i="95"/>
  <c r="BD66" i="95"/>
  <c r="AA66" i="96" s="1"/>
  <c r="BC66" i="95"/>
  <c r="BB66" i="95"/>
  <c r="BA66" i="95"/>
  <c r="AZ66" i="95"/>
  <c r="BA68" i="95"/>
  <c r="AZ68" i="95"/>
  <c r="AY68" i="95"/>
  <c r="Z68" i="96" s="1"/>
  <c r="AX68" i="95"/>
  <c r="AW68" i="95"/>
  <c r="AV68" i="95"/>
  <c r="AU68" i="95"/>
  <c r="X75" i="45" l="1"/>
  <c r="BM6" i="95" l="1"/>
  <c r="BN6" i="95" s="1"/>
  <c r="BM3" i="95"/>
  <c r="BN3" i="95" s="1"/>
  <c r="AO69" i="17"/>
  <c r="BM70" i="17" l="1"/>
  <c r="BN70" i="17"/>
  <c r="BP70" i="17"/>
  <c r="BL70" i="17"/>
  <c r="BK72" i="17"/>
  <c r="BK66" i="17"/>
  <c r="BK67" i="17"/>
  <c r="BK68" i="17"/>
  <c r="BK69" i="17"/>
  <c r="BK70" i="17"/>
  <c r="BK71" i="17"/>
  <c r="BK65" i="17"/>
  <c r="AB76" i="16"/>
  <c r="BH41" i="13"/>
  <c r="BH42" i="13"/>
  <c r="BH40" i="13"/>
  <c r="BH73" i="13"/>
  <c r="AB73" i="15" l="1"/>
  <c r="BL20" i="94"/>
  <c r="BD80" i="46" l="1"/>
  <c r="BC73" i="46"/>
  <c r="BC72" i="46"/>
  <c r="BC63" i="46"/>
  <c r="BD49" i="46"/>
  <c r="BD48" i="46"/>
  <c r="BD39" i="46"/>
  <c r="BC22" i="46"/>
  <c r="BD21" i="46"/>
  <c r="BD20" i="46"/>
  <c r="BD19" i="46"/>
  <c r="BD18" i="46"/>
  <c r="BD17" i="46"/>
  <c r="BD16" i="46"/>
  <c r="BD12" i="46"/>
  <c r="BD11" i="46"/>
  <c r="BD10" i="46"/>
  <c r="BD77" i="17"/>
  <c r="BD78" i="17" s="1"/>
  <c r="BC58" i="17"/>
  <c r="BD56" i="17"/>
  <c r="BD60" i="17" s="1"/>
  <c r="BC55" i="17"/>
  <c r="BC54" i="17"/>
  <c r="BC53" i="17"/>
  <c r="BC52" i="17"/>
  <c r="BC51" i="17"/>
  <c r="BC50" i="17"/>
  <c r="BD45" i="17"/>
  <c r="BC44" i="17"/>
  <c r="BC43" i="17"/>
  <c r="BC42" i="17"/>
  <c r="BC41" i="17"/>
  <c r="BC40" i="17"/>
  <c r="BC39" i="17"/>
  <c r="BC35" i="17"/>
  <c r="BD36" i="17"/>
  <c r="BC34" i="17"/>
  <c r="BC33" i="17"/>
  <c r="BC32" i="17"/>
  <c r="BC31" i="17"/>
  <c r="BC30" i="17"/>
  <c r="BC29" i="17"/>
  <c r="BD23" i="17"/>
  <c r="BC22" i="17"/>
  <c r="BC21" i="17"/>
  <c r="BC20" i="17"/>
  <c r="BC19" i="17"/>
  <c r="BC18" i="17"/>
  <c r="BC17" i="17"/>
  <c r="BC16" i="17"/>
  <c r="BC15" i="17"/>
  <c r="BD12" i="17"/>
  <c r="BC11" i="17"/>
  <c r="BC10" i="17"/>
  <c r="BC9" i="17"/>
  <c r="BC8" i="17"/>
  <c r="BC7" i="17"/>
  <c r="BC6" i="17"/>
  <c r="BC5" i="17"/>
  <c r="BD2" i="17"/>
  <c r="BC2" i="17"/>
  <c r="BD90" i="14"/>
  <c r="BC98" i="14"/>
  <c r="BD95" i="14"/>
  <c r="BC89" i="14"/>
  <c r="BC88" i="14"/>
  <c r="BD77" i="14"/>
  <c r="BD66" i="14"/>
  <c r="BD49" i="14"/>
  <c r="BD51" i="14" s="1"/>
  <c r="BD37" i="14"/>
  <c r="BD39" i="14" s="1"/>
  <c r="BD22" i="14"/>
  <c r="BD25" i="14" s="1"/>
  <c r="BD2" i="14"/>
  <c r="BC2" i="14"/>
  <c r="BD81" i="13"/>
  <c r="BD46" i="13"/>
  <c r="BC83" i="13"/>
  <c r="BC82" i="13"/>
  <c r="BD77" i="13"/>
  <c r="BC71" i="13"/>
  <c r="BD70" i="13"/>
  <c r="BD67" i="13"/>
  <c r="BD66" i="13"/>
  <c r="BC63" i="13"/>
  <c r="BC57" i="13" s="1"/>
  <c r="BD61" i="13"/>
  <c r="BD58" i="13"/>
  <c r="BC47" i="13"/>
  <c r="BC42" i="13"/>
  <c r="BC41" i="13"/>
  <c r="BC40" i="13"/>
  <c r="BC34" i="13"/>
  <c r="BC30" i="13"/>
  <c r="BC29" i="13"/>
  <c r="BD14" i="13"/>
  <c r="BC9" i="13"/>
  <c r="BH49" i="94"/>
  <c r="BG49" i="94"/>
  <c r="BF49" i="94"/>
  <c r="BH48" i="94"/>
  <c r="BG48" i="94"/>
  <c r="BF48" i="94"/>
  <c r="BE49" i="94"/>
  <c r="BE48" i="94"/>
  <c r="BD39" i="94"/>
  <c r="BC39" i="94"/>
  <c r="BD36" i="94"/>
  <c r="BC36" i="94"/>
  <c r="BC54" i="94"/>
  <c r="BD63" i="94"/>
  <c r="BD64" i="94" s="1"/>
  <c r="BC63" i="94"/>
  <c r="BC64" i="94" s="1"/>
  <c r="BD61" i="94"/>
  <c r="BC61" i="94"/>
  <c r="BD58" i="94"/>
  <c r="BC58" i="94"/>
  <c r="BC70" i="94"/>
  <c r="BC67" i="94"/>
  <c r="BD71" i="94"/>
  <c r="BD68" i="94"/>
  <c r="BC75" i="95"/>
  <c r="BC72" i="95"/>
  <c r="BC49" i="94"/>
  <c r="BC48" i="94"/>
  <c r="BD20" i="94"/>
  <c r="BD9" i="94"/>
  <c r="BD43" i="94" s="1"/>
  <c r="BD7" i="94"/>
  <c r="BD4" i="94"/>
  <c r="BD73" i="95"/>
  <c r="AA73" i="96" s="1"/>
  <c r="BD76" i="95"/>
  <c r="AA76" i="96" s="1"/>
  <c r="BD78" i="95"/>
  <c r="BD68" i="95"/>
  <c r="BC68" i="95"/>
  <c r="BC69" i="95" s="1"/>
  <c r="BC54" i="95"/>
  <c r="BC53" i="95"/>
  <c r="BD20" i="95"/>
  <c r="BD9" i="95"/>
  <c r="BD16" i="95" s="1"/>
  <c r="BD7" i="95"/>
  <c r="BD4" i="95"/>
  <c r="BD2" i="95"/>
  <c r="BC73" i="94" l="1"/>
  <c r="BD69" i="95"/>
  <c r="AA69" i="96" s="1"/>
  <c r="AA68" i="96"/>
  <c r="BC78" i="95"/>
  <c r="AA78" i="96"/>
  <c r="BC80" i="46"/>
  <c r="BC56" i="17"/>
  <c r="BC60" i="17" s="1"/>
  <c r="BD42" i="94"/>
  <c r="BD67" i="17"/>
  <c r="BD68" i="17"/>
  <c r="BD22" i="46"/>
  <c r="BC45" i="17"/>
  <c r="BD47" i="17"/>
  <c r="BD62" i="17" s="1"/>
  <c r="BC36" i="17"/>
  <c r="BC77" i="17"/>
  <c r="BC23" i="17"/>
  <c r="BC12" i="17"/>
  <c r="BD25" i="17"/>
  <c r="BD98" i="14"/>
  <c r="BD79" i="14"/>
  <c r="BD96" i="14" s="1"/>
  <c r="BD27" i="14"/>
  <c r="BD61" i="14" s="1"/>
  <c r="BC60" i="13"/>
  <c r="BD21" i="94"/>
  <c r="BD13" i="94"/>
  <c r="BD16" i="94"/>
  <c r="BD21" i="95"/>
  <c r="BD13" i="95"/>
  <c r="BC25" i="17" l="1"/>
  <c r="BC78" i="17"/>
  <c r="BC47" i="17"/>
  <c r="BC62" i="17" s="1"/>
  <c r="BC63" i="17" s="1"/>
  <c r="BD64" i="17"/>
  <c r="BD63" i="17"/>
  <c r="BD80" i="14"/>
  <c r="BD81" i="14"/>
  <c r="AB73" i="16"/>
  <c r="AB72" i="16"/>
  <c r="AB57" i="16"/>
  <c r="AB56" i="16"/>
  <c r="AB55" i="16"/>
  <c r="AB54" i="16"/>
  <c r="AB47" i="16"/>
  <c r="AB20" i="16"/>
  <c r="AI71" i="18" s="1"/>
  <c r="AB13" i="16"/>
  <c r="AB12" i="16"/>
  <c r="AC12" i="16" s="1"/>
  <c r="AD12" i="16" s="1"/>
  <c r="AE12" i="16" s="1"/>
  <c r="AF12" i="16" s="1"/>
  <c r="AB11" i="16"/>
  <c r="AB9" i="16"/>
  <c r="AB5" i="16"/>
  <c r="BG66" i="14"/>
  <c r="BH66" i="14" s="1"/>
  <c r="BG70" i="13"/>
  <c r="BI38" i="14"/>
  <c r="AB38" i="16" s="1"/>
  <c r="BC64" i="17" l="1"/>
  <c r="BH13" i="14"/>
  <c r="BH12" i="14"/>
  <c r="BH11" i="14"/>
  <c r="BH10" i="14"/>
  <c r="BI7" i="14"/>
  <c r="AB7" i="16" s="1"/>
  <c r="BG7" i="14"/>
  <c r="BH73" i="14"/>
  <c r="BH7" i="14" l="1"/>
  <c r="BH5" i="14"/>
  <c r="BG98" i="14"/>
  <c r="BE98" i="14"/>
  <c r="BI89" i="14"/>
  <c r="AB89" i="16" s="1"/>
  <c r="BI88" i="14"/>
  <c r="AB88" i="16" s="1"/>
  <c r="BI87" i="14"/>
  <c r="AB87" i="16" s="1"/>
  <c r="BI84" i="14"/>
  <c r="AB84" i="16" s="1"/>
  <c r="BI66" i="14"/>
  <c r="AB66" i="16" s="1"/>
  <c r="BH47" i="14"/>
  <c r="BI46" i="14"/>
  <c r="AB46" i="16" s="1"/>
  <c r="BI36" i="14"/>
  <c r="AB36" i="16" s="1"/>
  <c r="BI32" i="14"/>
  <c r="AB32" i="16" s="1"/>
  <c r="BI31" i="14"/>
  <c r="AB31" i="16" s="1"/>
  <c r="BI2" i="14"/>
  <c r="BP64" i="17" s="1"/>
  <c r="BH2" i="14"/>
  <c r="BO64" i="17" s="1"/>
  <c r="BG2" i="14"/>
  <c r="BN64" i="17" s="1"/>
  <c r="BF2" i="14"/>
  <c r="BM64" i="17" s="1"/>
  <c r="BE2" i="14"/>
  <c r="BL64" i="17" s="1"/>
  <c r="AB106" i="18"/>
  <c r="AB97" i="18"/>
  <c r="AB90" i="18"/>
  <c r="AB88" i="18"/>
  <c r="AB85" i="18"/>
  <c r="AB70" i="18"/>
  <c r="AC70" i="18" s="1"/>
  <c r="AD70" i="18" s="1"/>
  <c r="AE70" i="18" s="1"/>
  <c r="AF70" i="18" s="1"/>
  <c r="AB69" i="18"/>
  <c r="AC69" i="18" s="1"/>
  <c r="AD69" i="18" s="1"/>
  <c r="AE69" i="18" s="1"/>
  <c r="AF69" i="18" s="1"/>
  <c r="AB68" i="18"/>
  <c r="AB67" i="18"/>
  <c r="AB66" i="18"/>
  <c r="AC66" i="18" s="1"/>
  <c r="AD66" i="18" s="1"/>
  <c r="AE66" i="18" s="1"/>
  <c r="AB2" i="18"/>
  <c r="AI65" i="18" s="1"/>
  <c r="AC106" i="18" l="1"/>
  <c r="AC85" i="18"/>
  <c r="BI90" i="14"/>
  <c r="AB90" i="16" s="1"/>
  <c r="BI26" i="14"/>
  <c r="AB26" i="16" s="1"/>
  <c r="BI33" i="14"/>
  <c r="AB33" i="16" s="1"/>
  <c r="BI8" i="14"/>
  <c r="AB8" i="16" s="1"/>
  <c r="BH20" i="14"/>
  <c r="BO70" i="17" s="1"/>
  <c r="BI34" i="14"/>
  <c r="AB34" i="16" s="1"/>
  <c r="BI60" i="14"/>
  <c r="AB60" i="16" s="1"/>
  <c r="BI23" i="14"/>
  <c r="AB23" i="16" s="1"/>
  <c r="BI48" i="14"/>
  <c r="AB48" i="16" s="1"/>
  <c r="BG50" i="14"/>
  <c r="BI50" i="14" s="1"/>
  <c r="AB50" i="16" s="1"/>
  <c r="BI59" i="14"/>
  <c r="AB59" i="16" s="1"/>
  <c r="AA77" i="18"/>
  <c r="AA68" i="18"/>
  <c r="AA67" i="18"/>
  <c r="BG55" i="17"/>
  <c r="BH55" i="17" s="1"/>
  <c r="BI55" i="17" s="1"/>
  <c r="AB55" i="18" s="1"/>
  <c r="BG52" i="17"/>
  <c r="BH52" i="17" s="1"/>
  <c r="BI52" i="17" s="1"/>
  <c r="AB52" i="18" s="1"/>
  <c r="BG51" i="17"/>
  <c r="BH51" i="17" s="1"/>
  <c r="BI51" i="17" s="1"/>
  <c r="AB51" i="18" s="1"/>
  <c r="BF50" i="17"/>
  <c r="BG50" i="17" s="1"/>
  <c r="BH50" i="17" s="1"/>
  <c r="BG44" i="17"/>
  <c r="BH44" i="17" s="1"/>
  <c r="BI44" i="17" s="1"/>
  <c r="AB44" i="18" s="1"/>
  <c r="BG43" i="17"/>
  <c r="BH43" i="17" s="1"/>
  <c r="BI43" i="17" s="1"/>
  <c r="AB43" i="18" s="1"/>
  <c r="BG42" i="17"/>
  <c r="BH42" i="17" s="1"/>
  <c r="BI42" i="17" s="1"/>
  <c r="AB42" i="18" s="1"/>
  <c r="BG41" i="17"/>
  <c r="BH41" i="17" s="1"/>
  <c r="BI41" i="17" s="1"/>
  <c r="AB41" i="18" s="1"/>
  <c r="BE35" i="17"/>
  <c r="BF35" i="17" s="1"/>
  <c r="BG35" i="17" s="1"/>
  <c r="BH35" i="17" s="1"/>
  <c r="BI35" i="17" s="1"/>
  <c r="AB35" i="18" s="1"/>
  <c r="BG34" i="17"/>
  <c r="BH34" i="17" s="1"/>
  <c r="BG22" i="17"/>
  <c r="BG20" i="17"/>
  <c r="BH20" i="17" s="1"/>
  <c r="BI20" i="17" s="1"/>
  <c r="AB20" i="18" s="1"/>
  <c r="BG19" i="17"/>
  <c r="BH19" i="17" s="1"/>
  <c r="BI19" i="17" s="1"/>
  <c r="AB19" i="18" s="1"/>
  <c r="BG15" i="17"/>
  <c r="BH15" i="17" s="1"/>
  <c r="BE11" i="17"/>
  <c r="BF11" i="17" s="1"/>
  <c r="BG11" i="17" s="1"/>
  <c r="BE6" i="17"/>
  <c r="BI110" i="17"/>
  <c r="AB110" i="18" s="1"/>
  <c r="BI2" i="17"/>
  <c r="BH2" i="17"/>
  <c r="BG2" i="17"/>
  <c r="BF2" i="17"/>
  <c r="BE2" i="17"/>
  <c r="AD85" i="18" l="1"/>
  <c r="AD106" i="18"/>
  <c r="BG39" i="17"/>
  <c r="BH39" i="17" s="1"/>
  <c r="BI39" i="17" s="1"/>
  <c r="AB39" i="18" s="1"/>
  <c r="BI34" i="17"/>
  <c r="AB34" i="18" s="1"/>
  <c r="BH22" i="17"/>
  <c r="BI22" i="17" s="1"/>
  <c r="AB22" i="18" s="1"/>
  <c r="BI15" i="17"/>
  <c r="AB15" i="18" s="1"/>
  <c r="BI50" i="17"/>
  <c r="AB50" i="18" s="1"/>
  <c r="AB46" i="15"/>
  <c r="AB42" i="15"/>
  <c r="AB41" i="15"/>
  <c r="AB40" i="15"/>
  <c r="AB35" i="15"/>
  <c r="AB20" i="15"/>
  <c r="AB10" i="15"/>
  <c r="AB9" i="15"/>
  <c r="AB5" i="15"/>
  <c r="AB4" i="15"/>
  <c r="AB3" i="15"/>
  <c r="BI4" i="46"/>
  <c r="BH4" i="46"/>
  <c r="BG4" i="46"/>
  <c r="BF4" i="46"/>
  <c r="BE4" i="46"/>
  <c r="BI2" i="94"/>
  <c r="BH2" i="94"/>
  <c r="BG2" i="94"/>
  <c r="BF2" i="94"/>
  <c r="BE2" i="94"/>
  <c r="BI2" i="95"/>
  <c r="BH2" i="95"/>
  <c r="BG2" i="95"/>
  <c r="BF2" i="95"/>
  <c r="BE2" i="95"/>
  <c r="BH46" i="13"/>
  <c r="BI30" i="13"/>
  <c r="AB30" i="15" s="1"/>
  <c r="BI21" i="13"/>
  <c r="AB21" i="15" s="1"/>
  <c r="BG14" i="13"/>
  <c r="BF14" i="13"/>
  <c r="BE14" i="13"/>
  <c r="BH9" i="13"/>
  <c r="BH14" i="13" s="1"/>
  <c r="BG21" i="46"/>
  <c r="BH21" i="46" s="1"/>
  <c r="BI21" i="46" s="1"/>
  <c r="AB21" i="45" s="1"/>
  <c r="BG20" i="46"/>
  <c r="BH20" i="46" s="1"/>
  <c r="BI20" i="46" s="1"/>
  <c r="AB20" i="45" s="1"/>
  <c r="BG19" i="46"/>
  <c r="BH19" i="46" s="1"/>
  <c r="BI19" i="46" s="1"/>
  <c r="AB19" i="45" s="1"/>
  <c r="BE18" i="46"/>
  <c r="BG18" i="46" s="1"/>
  <c r="BH18" i="46" s="1"/>
  <c r="BI18" i="46" s="1"/>
  <c r="AB18" i="45" s="1"/>
  <c r="BE17" i="46"/>
  <c r="BG17" i="46" s="1"/>
  <c r="BH17" i="46" s="1"/>
  <c r="BI17" i="46" s="1"/>
  <c r="AB17" i="45" s="1"/>
  <c r="BE16" i="46"/>
  <c r="BG16" i="46" s="1"/>
  <c r="BH16" i="46" s="1"/>
  <c r="BE64" i="46"/>
  <c r="BG12" i="46"/>
  <c r="BH12" i="46" s="1"/>
  <c r="BI12" i="46" s="1"/>
  <c r="AB12" i="45" s="1"/>
  <c r="BG10" i="46"/>
  <c r="BH10" i="46" s="1"/>
  <c r="BI10" i="46" s="1"/>
  <c r="AB10" i="45" s="1"/>
  <c r="BF55" i="46"/>
  <c r="BE49" i="46"/>
  <c r="BE48" i="46"/>
  <c r="BF40" i="46"/>
  <c r="BG40" i="46" s="1"/>
  <c r="BE39" i="46"/>
  <c r="AF2" i="93"/>
  <c r="AB45" i="93"/>
  <c r="AB24" i="93"/>
  <c r="AB23" i="93"/>
  <c r="AB21" i="93"/>
  <c r="AB12" i="93"/>
  <c r="AB7" i="93"/>
  <c r="AB4" i="93"/>
  <c r="AB2" i="93"/>
  <c r="BG6" i="94"/>
  <c r="BG3" i="94"/>
  <c r="BG74" i="94"/>
  <c r="BF74" i="94"/>
  <c r="BE74" i="94"/>
  <c r="BG71" i="94"/>
  <c r="BF71" i="94"/>
  <c r="BE71" i="94"/>
  <c r="BG68" i="94"/>
  <c r="BF68" i="94"/>
  <c r="BE68" i="94"/>
  <c r="BF64" i="94"/>
  <c r="BE64" i="94"/>
  <c r="BG63" i="94"/>
  <c r="BG61" i="94"/>
  <c r="BF61" i="94"/>
  <c r="BE61" i="94"/>
  <c r="BG58" i="94"/>
  <c r="BF58" i="94"/>
  <c r="BE58" i="94"/>
  <c r="BG39" i="94"/>
  <c r="BF39" i="94"/>
  <c r="BE39" i="94"/>
  <c r="BG36" i="94"/>
  <c r="BF36" i="94"/>
  <c r="BE36" i="94"/>
  <c r="BH25" i="94"/>
  <c r="BH24" i="94"/>
  <c r="BH12" i="94"/>
  <c r="BI6" i="94"/>
  <c r="AB59" i="96"/>
  <c r="AB58" i="96"/>
  <c r="AB57" i="96"/>
  <c r="AB36" i="96"/>
  <c r="AB35" i="96"/>
  <c r="AB32" i="96"/>
  <c r="AB12" i="96"/>
  <c r="BG6" i="95"/>
  <c r="BG38" i="95" s="1"/>
  <c r="BF38" i="95"/>
  <c r="BG3" i="95"/>
  <c r="BG78" i="95"/>
  <c r="BF78" i="95"/>
  <c r="BE78" i="95"/>
  <c r="BG76" i="95"/>
  <c r="BF76" i="95"/>
  <c r="BE76" i="95"/>
  <c r="BG73" i="95"/>
  <c r="BF73" i="95"/>
  <c r="BE73" i="95"/>
  <c r="BF69" i="95"/>
  <c r="BE69" i="95"/>
  <c r="BG68" i="95"/>
  <c r="BG66" i="95"/>
  <c r="BF66" i="95"/>
  <c r="BE66" i="95"/>
  <c r="BG63" i="95"/>
  <c r="BF63" i="95"/>
  <c r="BE63" i="95"/>
  <c r="BH25" i="95"/>
  <c r="BH24" i="95"/>
  <c r="BH12" i="95"/>
  <c r="BG35" i="95" l="1"/>
  <c r="BH3" i="94"/>
  <c r="BE38" i="95"/>
  <c r="BE7" i="13"/>
  <c r="AC10" i="15"/>
  <c r="BE8" i="13"/>
  <c r="AB98" i="15"/>
  <c r="AE106" i="18"/>
  <c r="AE85" i="18"/>
  <c r="BG9" i="94"/>
  <c r="BG42" i="94" s="1"/>
  <c r="BF9" i="94"/>
  <c r="BE72" i="46"/>
  <c r="AB3" i="93"/>
  <c r="BG46" i="94"/>
  <c r="BF46" i="94"/>
  <c r="BG9" i="95"/>
  <c r="BG42" i="95" s="1"/>
  <c r="AB6" i="93"/>
  <c r="BG47" i="94"/>
  <c r="BF47" i="94"/>
  <c r="BE63" i="46"/>
  <c r="BF39" i="46"/>
  <c r="BG39" i="46" s="1"/>
  <c r="BG6" i="17"/>
  <c r="BG35" i="14" s="1"/>
  <c r="BI14" i="13"/>
  <c r="AB14" i="15" s="1"/>
  <c r="BH10" i="13"/>
  <c r="BE22" i="46"/>
  <c r="BE73" i="46"/>
  <c r="BF22" i="46"/>
  <c r="BH40" i="46"/>
  <c r="BF49" i="46"/>
  <c r="BG55" i="46"/>
  <c r="BH55" i="46" s="1"/>
  <c r="BF48" i="46"/>
  <c r="BI9" i="94"/>
  <c r="BF9" i="95"/>
  <c r="BF13" i="95" s="1"/>
  <c r="BF35" i="95"/>
  <c r="BE35" i="95"/>
  <c r="BF42" i="94" l="1"/>
  <c r="BF22" i="94"/>
  <c r="BF21" i="94"/>
  <c r="BE27" i="46"/>
  <c r="BE26" i="46"/>
  <c r="BE11" i="13"/>
  <c r="BE15" i="13" s="1"/>
  <c r="BI55" i="46"/>
  <c r="AB55" i="45" s="1"/>
  <c r="BE43" i="94"/>
  <c r="BE13" i="94"/>
  <c r="BG13" i="94"/>
  <c r="BG19" i="94" s="1"/>
  <c r="BF13" i="94"/>
  <c r="BF8" i="13"/>
  <c r="BG43" i="94"/>
  <c r="BE42" i="94"/>
  <c r="BF43" i="94"/>
  <c r="BG8" i="13"/>
  <c r="AD10" i="15"/>
  <c r="AF85" i="18"/>
  <c r="AF106" i="18"/>
  <c r="BF63" i="46"/>
  <c r="BG13" i="95"/>
  <c r="BG19" i="95" s="1"/>
  <c r="BG20" i="95" s="1"/>
  <c r="BG43" i="95"/>
  <c r="BF42" i="95"/>
  <c r="BG7" i="13"/>
  <c r="BF16" i="95"/>
  <c r="BF7" i="13"/>
  <c r="BF43" i="95"/>
  <c r="BL10" i="94"/>
  <c r="BE50" i="94"/>
  <c r="BG50" i="94"/>
  <c r="BF50" i="94"/>
  <c r="BF64" i="46"/>
  <c r="BG11" i="46"/>
  <c r="BF45" i="17"/>
  <c r="BE45" i="17"/>
  <c r="BH6" i="17"/>
  <c r="BI6" i="17" s="1"/>
  <c r="AB6" i="18" s="1"/>
  <c r="AB9" i="93"/>
  <c r="BI8" i="13"/>
  <c r="BI13" i="94"/>
  <c r="BI19" i="94"/>
  <c r="BI16" i="94" s="1"/>
  <c r="BI10" i="94"/>
  <c r="AB10" i="93" s="1"/>
  <c r="BF72" i="46"/>
  <c r="BG48" i="46"/>
  <c r="BF26" i="46"/>
  <c r="BF27" i="46"/>
  <c r="BG63" i="46"/>
  <c r="BH39" i="46"/>
  <c r="BI40" i="46"/>
  <c r="AB40" i="45" s="1"/>
  <c r="BG22" i="46"/>
  <c r="BG40" i="17" s="1"/>
  <c r="BG49" i="46"/>
  <c r="BF73" i="46"/>
  <c r="BE13" i="95"/>
  <c r="BE43" i="95"/>
  <c r="BE42" i="95"/>
  <c r="BE92" i="13" l="1"/>
  <c r="BE93" i="13"/>
  <c r="BE73" i="17"/>
  <c r="BE74" i="17"/>
  <c r="BE88" i="13"/>
  <c r="BE69" i="17"/>
  <c r="BE70" i="17"/>
  <c r="BE66" i="17"/>
  <c r="BE76" i="14"/>
  <c r="BE28" i="46"/>
  <c r="BG11" i="13"/>
  <c r="BG15" i="13" s="1"/>
  <c r="BG88" i="13" s="1"/>
  <c r="BE101" i="13"/>
  <c r="BF11" i="13"/>
  <c r="BF15" i="13" s="1"/>
  <c r="AE10" i="15"/>
  <c r="BI108" i="17"/>
  <c r="AB108" i="18" s="1"/>
  <c r="AB93" i="18"/>
  <c r="AC93" i="18" s="1"/>
  <c r="AD93" i="18" s="1"/>
  <c r="AE93" i="18" s="1"/>
  <c r="AF93" i="18" s="1"/>
  <c r="AB8" i="15"/>
  <c r="BK8" i="13"/>
  <c r="BG16" i="95"/>
  <c r="BG27" i="95"/>
  <c r="BG30" i="95" s="1"/>
  <c r="BF27" i="95"/>
  <c r="BG27" i="94"/>
  <c r="BG20" i="94"/>
  <c r="BG16" i="94"/>
  <c r="BF27" i="94"/>
  <c r="BF16" i="94"/>
  <c r="BE27" i="94"/>
  <c r="BE16" i="94"/>
  <c r="BI20" i="94"/>
  <c r="AB20" i="93" s="1"/>
  <c r="BI22" i="94"/>
  <c r="BH19" i="94"/>
  <c r="BH11" i="46"/>
  <c r="BG64" i="46"/>
  <c r="BG45" i="17"/>
  <c r="BF28" i="46"/>
  <c r="BH35" i="14"/>
  <c r="BI35" i="14" s="1"/>
  <c r="AB35" i="16" s="1"/>
  <c r="BI17" i="94"/>
  <c r="AB17" i="93" s="1"/>
  <c r="AB16" i="93"/>
  <c r="AB19" i="93" s="1"/>
  <c r="AB26" i="93" s="1"/>
  <c r="BI14" i="94"/>
  <c r="AB14" i="93" s="1"/>
  <c r="AB13" i="93"/>
  <c r="BI16" i="46"/>
  <c r="BH22" i="46"/>
  <c r="BH40" i="17" s="1"/>
  <c r="BH63" i="46"/>
  <c r="BI63" i="46" s="1"/>
  <c r="AB63" i="45" s="1"/>
  <c r="BI39" i="46"/>
  <c r="AB39" i="45" s="1"/>
  <c r="BH48" i="46"/>
  <c r="BG72" i="46"/>
  <c r="BG73" i="46"/>
  <c r="BH49" i="46"/>
  <c r="BG26" i="46"/>
  <c r="BG43" i="14" s="1"/>
  <c r="BG27" i="46"/>
  <c r="BG44" i="14" s="1"/>
  <c r="BF101" i="13" l="1"/>
  <c r="BE89" i="13"/>
  <c r="BG7" i="17"/>
  <c r="BE37" i="14"/>
  <c r="BE39" i="14" s="1"/>
  <c r="BE86" i="14"/>
  <c r="BG32" i="17"/>
  <c r="BM65" i="17"/>
  <c r="BG82" i="13"/>
  <c r="BG9" i="17"/>
  <c r="BM69" i="17"/>
  <c r="AF10" i="15"/>
  <c r="BM67" i="17"/>
  <c r="BG83" i="13"/>
  <c r="BG101" i="13"/>
  <c r="BG18" i="13"/>
  <c r="BF18" i="13"/>
  <c r="BF30" i="95"/>
  <c r="BE27" i="95"/>
  <c r="BE16" i="95"/>
  <c r="BG19" i="13"/>
  <c r="BG30" i="94"/>
  <c r="BF19" i="13"/>
  <c r="BF30" i="94"/>
  <c r="BE19" i="13"/>
  <c r="BE30" i="94"/>
  <c r="BH27" i="94"/>
  <c r="BI27" i="94" s="1"/>
  <c r="BI11" i="46"/>
  <c r="AB11" i="45" s="1"/>
  <c r="BH64" i="46"/>
  <c r="BI64" i="46" s="1"/>
  <c r="AB64" i="45" s="1"/>
  <c r="BI40" i="17"/>
  <c r="BH45" i="17"/>
  <c r="BI22" i="46"/>
  <c r="AB22" i="45" s="1"/>
  <c r="AB16" i="45"/>
  <c r="AB29" i="93"/>
  <c r="BH73" i="46"/>
  <c r="BI73" i="46" s="1"/>
  <c r="AB73" i="45" s="1"/>
  <c r="BI49" i="46"/>
  <c r="AB49" i="45" s="1"/>
  <c r="BH26" i="46"/>
  <c r="BH43" i="14" s="1"/>
  <c r="BI43" i="14" s="1"/>
  <c r="AB43" i="16" s="1"/>
  <c r="BH27" i="46"/>
  <c r="BH44" i="14" s="1"/>
  <c r="BI44" i="14" s="1"/>
  <c r="AB44" i="16" s="1"/>
  <c r="BH72" i="46"/>
  <c r="BI72" i="46" s="1"/>
  <c r="AB72" i="45" s="1"/>
  <c r="BI48" i="46"/>
  <c r="AB48" i="45" s="1"/>
  <c r="BG28" i="46"/>
  <c r="BF37" i="14" l="1"/>
  <c r="BF39" i="14" s="1"/>
  <c r="BG15" i="14"/>
  <c r="BN65" i="17" s="1"/>
  <c r="BG17" i="14"/>
  <c r="BN67" i="17" s="1"/>
  <c r="BG22" i="13"/>
  <c r="BG26" i="13" s="1"/>
  <c r="BG102" i="13" s="1"/>
  <c r="BF86" i="14"/>
  <c r="BG19" i="14"/>
  <c r="BN69" i="17" s="1"/>
  <c r="BF22" i="13"/>
  <c r="BH19" i="13"/>
  <c r="BE18" i="13"/>
  <c r="BE30" i="95"/>
  <c r="BI19" i="13"/>
  <c r="AB19" i="15" s="1"/>
  <c r="BG51" i="94"/>
  <c r="BF51" i="94"/>
  <c r="BE51" i="94"/>
  <c r="BH51" i="94"/>
  <c r="BI27" i="46"/>
  <c r="BI26" i="46"/>
  <c r="AB40" i="18"/>
  <c r="BI45" i="17"/>
  <c r="AB45" i="18" s="1"/>
  <c r="BH28" i="46"/>
  <c r="BI30" i="94"/>
  <c r="BF26" i="13" l="1"/>
  <c r="BG85" i="13"/>
  <c r="BG27" i="13"/>
  <c r="BF27" i="13"/>
  <c r="BF102" i="13"/>
  <c r="BE22" i="13"/>
  <c r="BF85" i="13"/>
  <c r="BI28" i="46"/>
  <c r="AB30" i="93"/>
  <c r="BE26" i="13" l="1"/>
  <c r="AA302" i="87"/>
  <c r="AA291" i="87"/>
  <c r="AA280" i="87"/>
  <c r="AF2" i="96"/>
  <c r="AF2" i="18"/>
  <c r="AM65" i="18" s="1"/>
  <c r="AF57" i="16"/>
  <c r="AF2" i="16"/>
  <c r="AF71" i="15"/>
  <c r="AF70" i="15"/>
  <c r="AF38" i="87"/>
  <c r="AF302" i="87"/>
  <c r="AF291" i="87"/>
  <c r="AF280" i="87"/>
  <c r="AF249" i="87"/>
  <c r="AF239" i="87"/>
  <c r="AF233" i="87"/>
  <c r="AF223" i="87"/>
  <c r="AF213" i="87"/>
  <c r="AF203" i="87"/>
  <c r="AF197" i="87"/>
  <c r="AF183" i="87"/>
  <c r="AF169" i="87"/>
  <c r="AF155" i="87"/>
  <c r="AF120" i="87"/>
  <c r="AF224" i="87" s="1"/>
  <c r="AF117" i="87"/>
  <c r="AF156" i="87" s="1"/>
  <c r="AF90" i="87"/>
  <c r="AF88" i="87"/>
  <c r="AF87" i="87"/>
  <c r="AF77" i="87"/>
  <c r="AF40" i="87"/>
  <c r="AF39" i="87"/>
  <c r="AF29" i="87"/>
  <c r="AF45" i="87"/>
  <c r="AF92" i="87"/>
  <c r="BE85" i="13" l="1"/>
  <c r="BE84" i="13" s="1"/>
  <c r="BE102" i="13"/>
  <c r="BE27" i="13"/>
  <c r="AF93" i="87"/>
  <c r="AF44" i="87"/>
  <c r="AF86" i="87"/>
  <c r="Z152" i="87" l="1"/>
  <c r="AA152" i="87" s="1"/>
  <c r="AB152" i="87" s="1"/>
  <c r="AC152" i="87" s="1"/>
  <c r="AD152" i="87" s="1"/>
  <c r="AE152" i="87" s="1"/>
  <c r="AF152" i="87" s="1"/>
  <c r="AE302" i="87"/>
  <c r="AD302" i="87"/>
  <c r="AC302" i="87"/>
  <c r="AB302" i="87"/>
  <c r="AE291" i="87"/>
  <c r="AD291" i="87"/>
  <c r="AC291" i="87"/>
  <c r="AB291" i="87"/>
  <c r="Y237" i="87"/>
  <c r="Y201" i="87"/>
  <c r="Y192" i="87"/>
  <c r="AB280" i="87"/>
  <c r="AC280" i="87"/>
  <c r="AD280" i="87"/>
  <c r="AE280" i="87"/>
  <c r="Y178" i="87"/>
  <c r="AN166" i="87"/>
  <c r="AO166" i="87"/>
  <c r="AM166" i="87"/>
  <c r="AL166" i="87"/>
  <c r="AK166" i="87"/>
  <c r="AJ166" i="87"/>
  <c r="AM163" i="87"/>
  <c r="AJ163" i="87"/>
  <c r="AK162" i="87"/>
  <c r="AK163" i="87" s="1"/>
  <c r="AI162" i="87"/>
  <c r="AL291" i="87"/>
  <c r="AK291" i="87"/>
  <c r="AJ291" i="87"/>
  <c r="AI291" i="87"/>
  <c r="AL283" i="87"/>
  <c r="AK283" i="87"/>
  <c r="AJ283" i="87"/>
  <c r="AI283" i="87"/>
  <c r="AJ277" i="87"/>
  <c r="Y150" i="87"/>
  <c r="Z150" i="87" s="1"/>
  <c r="AA150" i="87" s="1"/>
  <c r="AB150" i="87" s="1"/>
  <c r="AC150" i="87" s="1"/>
  <c r="A70" i="18"/>
  <c r="AO70" i="17"/>
  <c r="X70" i="18" s="1"/>
  <c r="AD150" i="87" l="1"/>
  <c r="AE150" i="87" s="1"/>
  <c r="AF150" i="87" s="1"/>
  <c r="AC167" i="87"/>
  <c r="AL162" i="87"/>
  <c r="AL163" i="87" s="1"/>
  <c r="AQ159" i="87"/>
  <c r="BG67" i="13"/>
  <c r="BH67" i="13" s="1"/>
  <c r="AZ90" i="14"/>
  <c r="BB90" i="14"/>
  <c r="AQ157" i="87" l="1"/>
  <c r="AQ160" i="87" s="1"/>
  <c r="AO73" i="94"/>
  <c r="AN73" i="94" s="1"/>
  <c r="AN70" i="94"/>
  <c r="AN67" i="94"/>
  <c r="AX67" i="94"/>
  <c r="AX70" i="94"/>
  <c r="BC71" i="94" s="1"/>
  <c r="AS70" i="94"/>
  <c r="AS67" i="94"/>
  <c r="AT73" i="94"/>
  <c r="AS73" i="94" s="1"/>
  <c r="BD74" i="94"/>
  <c r="BA74" i="94"/>
  <c r="AZ74" i="94"/>
  <c r="AW74" i="94"/>
  <c r="AV74" i="94"/>
  <c r="AU74" i="94"/>
  <c r="AR74" i="94"/>
  <c r="AQ74" i="94"/>
  <c r="AP74" i="94"/>
  <c r="AM74" i="94"/>
  <c r="AL74" i="94"/>
  <c r="AK74" i="94"/>
  <c r="AJ74" i="94"/>
  <c r="AH74" i="94"/>
  <c r="AG74" i="94"/>
  <c r="AF74" i="94"/>
  <c r="AC74" i="94"/>
  <c r="AB74" i="94"/>
  <c r="AA74" i="94"/>
  <c r="Y74" i="94"/>
  <c r="X74" i="94"/>
  <c r="W74" i="94"/>
  <c r="V74" i="94"/>
  <c r="T74" i="94"/>
  <c r="S74" i="94"/>
  <c r="R74" i="94"/>
  <c r="Q74" i="94"/>
  <c r="BB74" i="94"/>
  <c r="AI73" i="94"/>
  <c r="AD73" i="94"/>
  <c r="AD74" i="94" s="1"/>
  <c r="Z73" i="94"/>
  <c r="AE74" i="94" s="1"/>
  <c r="U73" i="94"/>
  <c r="P73" i="94"/>
  <c r="BB71" i="94"/>
  <c r="BA71" i="94"/>
  <c r="AZ71" i="94"/>
  <c r="AY71" i="94"/>
  <c r="AW71" i="94"/>
  <c r="AV71" i="94"/>
  <c r="AU71" i="94"/>
  <c r="AT71" i="94"/>
  <c r="AR71" i="94"/>
  <c r="AQ71" i="94"/>
  <c r="AP71" i="94"/>
  <c r="AO71" i="94"/>
  <c r="AM71" i="94"/>
  <c r="AL71" i="94"/>
  <c r="AK71" i="94"/>
  <c r="AJ71" i="94"/>
  <c r="AH71" i="94"/>
  <c r="AG71" i="94"/>
  <c r="AF71" i="94"/>
  <c r="AC71" i="94"/>
  <c r="AB71" i="94"/>
  <c r="AA71" i="94"/>
  <c r="Y71" i="94"/>
  <c r="X71" i="94"/>
  <c r="W71" i="94"/>
  <c r="V71" i="94"/>
  <c r="T71" i="94"/>
  <c r="S71" i="94"/>
  <c r="R71" i="94"/>
  <c r="Q71" i="94"/>
  <c r="AI70" i="94"/>
  <c r="AD70" i="94"/>
  <c r="AD71" i="94" s="1"/>
  <c r="Z70" i="94"/>
  <c r="AE71" i="94" s="1"/>
  <c r="U70" i="94"/>
  <c r="P70" i="94"/>
  <c r="BB68" i="94"/>
  <c r="BA68" i="94"/>
  <c r="AZ68" i="94"/>
  <c r="AY68" i="94"/>
  <c r="AW68" i="94"/>
  <c r="AV68" i="94"/>
  <c r="AU68" i="94"/>
  <c r="AT68" i="94"/>
  <c r="AR68" i="94"/>
  <c r="AQ68" i="94"/>
  <c r="AP68" i="94"/>
  <c r="AO68" i="94"/>
  <c r="AM68" i="94"/>
  <c r="AL68" i="94"/>
  <c r="AK68" i="94"/>
  <c r="AJ68" i="94"/>
  <c r="AH68" i="94"/>
  <c r="AG68" i="94"/>
  <c r="AF68" i="94"/>
  <c r="AC68" i="94"/>
  <c r="AB68" i="94"/>
  <c r="AA68" i="94"/>
  <c r="Y68" i="94"/>
  <c r="X68" i="94"/>
  <c r="W68" i="94"/>
  <c r="V68" i="94"/>
  <c r="T68" i="94"/>
  <c r="S68" i="94"/>
  <c r="R68" i="94"/>
  <c r="Q68" i="94"/>
  <c r="AI67" i="94"/>
  <c r="AD67" i="94"/>
  <c r="AD68" i="94" s="1"/>
  <c r="Z67" i="94"/>
  <c r="AE68" i="94" s="1"/>
  <c r="U67" i="94"/>
  <c r="P67" i="94"/>
  <c r="AX75" i="95"/>
  <c r="BC76" i="95" s="1"/>
  <c r="AX72" i="95"/>
  <c r="BC73" i="95" s="1"/>
  <c r="AS75" i="95"/>
  <c r="AS72" i="95"/>
  <c r="AN75" i="95"/>
  <c r="AN72" i="95"/>
  <c r="BB78" i="95"/>
  <c r="BG79" i="95" s="1"/>
  <c r="BA78" i="95"/>
  <c r="BF79" i="95" s="1"/>
  <c r="AZ78" i="95"/>
  <c r="BE79" i="95" s="1"/>
  <c r="AY78" i="95"/>
  <c r="AW78" i="95"/>
  <c r="AV78" i="95"/>
  <c r="AU78" i="95"/>
  <c r="AT78" i="95"/>
  <c r="AR78" i="95"/>
  <c r="AR79" i="95" s="1"/>
  <c r="AQ78" i="95"/>
  <c r="AQ79" i="95" s="1"/>
  <c r="AP78" i="95"/>
  <c r="AP79" i="95" s="1"/>
  <c r="AO78" i="95"/>
  <c r="AM79" i="95"/>
  <c r="AL79" i="95"/>
  <c r="AK79" i="95"/>
  <c r="AJ79" i="95"/>
  <c r="AH79" i="95"/>
  <c r="AG79" i="95"/>
  <c r="AF79" i="95"/>
  <c r="AC79" i="95"/>
  <c r="AB79" i="95"/>
  <c r="AA79" i="95"/>
  <c r="Y79" i="95"/>
  <c r="X79" i="95"/>
  <c r="W79" i="95"/>
  <c r="V79" i="95"/>
  <c r="T79" i="95"/>
  <c r="S79" i="95"/>
  <c r="R79" i="95"/>
  <c r="Q79" i="95"/>
  <c r="AI78" i="95"/>
  <c r="AD78" i="95"/>
  <c r="AD79" i="95" s="1"/>
  <c r="Z78" i="95"/>
  <c r="AE79" i="95" s="1"/>
  <c r="U78" i="95"/>
  <c r="P78" i="95"/>
  <c r="BB76" i="95"/>
  <c r="BA76" i="95"/>
  <c r="AZ76" i="95"/>
  <c r="AY76" i="95"/>
  <c r="Z76" i="96" s="1"/>
  <c r="AW76" i="95"/>
  <c r="AV76" i="95"/>
  <c r="AU76" i="95"/>
  <c r="AT76" i="95"/>
  <c r="Y76" i="96" s="1"/>
  <c r="AR76" i="95"/>
  <c r="AQ76" i="95"/>
  <c r="AP76" i="95"/>
  <c r="AO76" i="95"/>
  <c r="X76" i="96" s="1"/>
  <c r="AM76" i="95"/>
  <c r="AL76" i="95"/>
  <c r="AK76" i="95"/>
  <c r="AJ76" i="95"/>
  <c r="AH76" i="95"/>
  <c r="AG76" i="95"/>
  <c r="AF76" i="95"/>
  <c r="AC76" i="95"/>
  <c r="AB76" i="95"/>
  <c r="AA76" i="95"/>
  <c r="Y76" i="95"/>
  <c r="X76" i="95"/>
  <c r="W76" i="95"/>
  <c r="V76" i="95"/>
  <c r="T76" i="95"/>
  <c r="S76" i="95"/>
  <c r="R76" i="95"/>
  <c r="Q76" i="95"/>
  <c r="AI75" i="95"/>
  <c r="AD75" i="95"/>
  <c r="AD76" i="95" s="1"/>
  <c r="Z75" i="95"/>
  <c r="AE76" i="95" s="1"/>
  <c r="U75" i="95"/>
  <c r="P75" i="95"/>
  <c r="BB73" i="95"/>
  <c r="BA73" i="95"/>
  <c r="AZ73" i="95"/>
  <c r="AY73" i="95"/>
  <c r="Z73" i="96" s="1"/>
  <c r="AW73" i="95"/>
  <c r="AV73" i="95"/>
  <c r="AU73" i="95"/>
  <c r="AT73" i="95"/>
  <c r="Y73" i="96" s="1"/>
  <c r="AR73" i="95"/>
  <c r="AQ73" i="95"/>
  <c r="AP73" i="95"/>
  <c r="AO73" i="95"/>
  <c r="X73" i="96" s="1"/>
  <c r="AM73" i="95"/>
  <c r="AL73" i="95"/>
  <c r="AK73" i="95"/>
  <c r="AJ73" i="95"/>
  <c r="AH73" i="95"/>
  <c r="AG73" i="95"/>
  <c r="AF73" i="95"/>
  <c r="AC73" i="95"/>
  <c r="AB73" i="95"/>
  <c r="AA73" i="95"/>
  <c r="Y73" i="95"/>
  <c r="X73" i="95"/>
  <c r="W73" i="95"/>
  <c r="V73" i="95"/>
  <c r="T73" i="95"/>
  <c r="S73" i="95"/>
  <c r="R73" i="95"/>
  <c r="Q73" i="95"/>
  <c r="AI72" i="95"/>
  <c r="AD72" i="95"/>
  <c r="AD73" i="95" s="1"/>
  <c r="Z72" i="95"/>
  <c r="AE73" i="95" s="1"/>
  <c r="U72" i="95"/>
  <c r="P72" i="95"/>
  <c r="U71" i="94" l="1"/>
  <c r="AN78" i="95"/>
  <c r="X78" i="96"/>
  <c r="BC68" i="94"/>
  <c r="AX73" i="94"/>
  <c r="AS78" i="95"/>
  <c r="AS79" i="95" s="1"/>
  <c r="Y78" i="96"/>
  <c r="BD79" i="95"/>
  <c r="AA79" i="96" s="1"/>
  <c r="Z78" i="96"/>
  <c r="AO74" i="94"/>
  <c r="AX71" i="94"/>
  <c r="AY74" i="94"/>
  <c r="U76" i="95"/>
  <c r="AS73" i="95"/>
  <c r="AI73" i="95"/>
  <c r="BB79" i="95"/>
  <c r="AO79" i="95"/>
  <c r="X79" i="96" s="1"/>
  <c r="U68" i="94"/>
  <c r="Z71" i="94"/>
  <c r="AI74" i="94"/>
  <c r="AI68" i="94"/>
  <c r="AN76" i="95"/>
  <c r="U74" i="94"/>
  <c r="U73" i="95"/>
  <c r="AU79" i="95"/>
  <c r="AX76" i="95"/>
  <c r="AT74" i="94"/>
  <c r="AN73" i="95"/>
  <c r="Z76" i="95"/>
  <c r="AY79" i="95"/>
  <c r="Z79" i="96" s="1"/>
  <c r="AI76" i="95"/>
  <c r="U79" i="95"/>
  <c r="AZ79" i="95"/>
  <c r="AN68" i="94"/>
  <c r="AI71" i="94"/>
  <c r="AN71" i="94"/>
  <c r="AX73" i="95"/>
  <c r="AX78" i="95"/>
  <c r="Z68" i="94"/>
  <c r="AS74" i="94"/>
  <c r="Z73" i="95"/>
  <c r="AV79" i="95"/>
  <c r="AW79" i="95"/>
  <c r="BA79" i="95"/>
  <c r="AI79" i="95"/>
  <c r="AN79" i="95"/>
  <c r="AS68" i="94"/>
  <c r="AN74" i="94"/>
  <c r="AS71" i="94"/>
  <c r="AX68" i="94"/>
  <c r="Z74" i="94"/>
  <c r="AS76" i="95"/>
  <c r="AT79" i="95"/>
  <c r="Y79" i="96" s="1"/>
  <c r="Z79" i="95"/>
  <c r="BB80" i="46"/>
  <c r="BB98" i="14"/>
  <c r="BG99" i="14" s="1"/>
  <c r="BB53" i="17"/>
  <c r="BB56" i="17" s="1"/>
  <c r="BB60" i="17" s="1"/>
  <c r="BB22" i="17"/>
  <c r="BB23" i="17" s="1"/>
  <c r="BB77" i="17"/>
  <c r="BB78" i="17" s="1"/>
  <c r="BB45" i="17"/>
  <c r="BB36" i="17"/>
  <c r="BB81" i="13"/>
  <c r="BB71" i="13"/>
  <c r="BB61" i="13"/>
  <c r="BB58" i="13"/>
  <c r="BB46" i="13"/>
  <c r="BJ8" i="13"/>
  <c r="BA64" i="94"/>
  <c r="AZ64" i="94"/>
  <c r="AY64" i="94"/>
  <c r="AW64" i="94"/>
  <c r="AV64" i="94"/>
  <c r="AU64" i="94"/>
  <c r="AT64" i="94"/>
  <c r="AR64" i="94"/>
  <c r="AQ64" i="94"/>
  <c r="AP64" i="94"/>
  <c r="AO64" i="94"/>
  <c r="AM64" i="94"/>
  <c r="AL64" i="94"/>
  <c r="AK64" i="94"/>
  <c r="AJ64" i="94"/>
  <c r="AH64" i="94"/>
  <c r="AG64" i="94"/>
  <c r="AF64" i="94"/>
  <c r="AC64" i="94"/>
  <c r="AB64" i="94"/>
  <c r="AA64" i="94"/>
  <c r="Y64" i="94"/>
  <c r="X64" i="94"/>
  <c r="W64" i="94"/>
  <c r="V64" i="94"/>
  <c r="T64" i="94"/>
  <c r="S64" i="94"/>
  <c r="R64" i="94"/>
  <c r="Q64" i="94"/>
  <c r="BB63" i="94"/>
  <c r="AS63" i="94"/>
  <c r="AN63" i="94"/>
  <c r="AI63" i="94"/>
  <c r="AD63" i="94"/>
  <c r="AD64" i="94" s="1"/>
  <c r="Z63" i="94"/>
  <c r="AE64" i="94" s="1"/>
  <c r="U63" i="94"/>
  <c r="P63" i="94"/>
  <c r="BB61" i="94"/>
  <c r="BA61" i="94"/>
  <c r="AZ61" i="94"/>
  <c r="AY61" i="94"/>
  <c r="AW61" i="94"/>
  <c r="AV61" i="94"/>
  <c r="AU61" i="94"/>
  <c r="AT61" i="94"/>
  <c r="AR61" i="94"/>
  <c r="AQ61" i="94"/>
  <c r="AP61" i="94"/>
  <c r="AO61" i="94"/>
  <c r="AM61" i="94"/>
  <c r="AL61" i="94"/>
  <c r="AK61" i="94"/>
  <c r="AJ61" i="94"/>
  <c r="AH61" i="94"/>
  <c r="AG61" i="94"/>
  <c r="AF61" i="94"/>
  <c r="AC61" i="94"/>
  <c r="AB61" i="94"/>
  <c r="AA61" i="94"/>
  <c r="Y61" i="94"/>
  <c r="X61" i="94"/>
  <c r="W61" i="94"/>
  <c r="V61" i="94"/>
  <c r="T61" i="94"/>
  <c r="S61" i="94"/>
  <c r="R61" i="94"/>
  <c r="Q61" i="94"/>
  <c r="AS60" i="94"/>
  <c r="AX61" i="94" s="1"/>
  <c r="AN60" i="94"/>
  <c r="AI60" i="94"/>
  <c r="AD60" i="94"/>
  <c r="AD61" i="94" s="1"/>
  <c r="Z60" i="94"/>
  <c r="AE61" i="94" s="1"/>
  <c r="U60" i="94"/>
  <c r="P60" i="94"/>
  <c r="BB58" i="94"/>
  <c r="BA58" i="94"/>
  <c r="AZ58" i="94"/>
  <c r="AY58" i="94"/>
  <c r="AW58" i="94"/>
  <c r="AV58" i="94"/>
  <c r="AU58" i="94"/>
  <c r="AT58" i="94"/>
  <c r="AR58" i="94"/>
  <c r="AQ58" i="94"/>
  <c r="AP58" i="94"/>
  <c r="AO58" i="94"/>
  <c r="AM58" i="94"/>
  <c r="AL58" i="94"/>
  <c r="AK58" i="94"/>
  <c r="AJ58" i="94"/>
  <c r="AH58" i="94"/>
  <c r="AG58" i="94"/>
  <c r="AF58" i="94"/>
  <c r="AC58" i="94"/>
  <c r="AB58" i="94"/>
  <c r="AA58" i="94"/>
  <c r="Y58" i="94"/>
  <c r="X58" i="94"/>
  <c r="W58" i="94"/>
  <c r="V58" i="94"/>
  <c r="T58" i="94"/>
  <c r="S58" i="94"/>
  <c r="R58" i="94"/>
  <c r="Q58" i="94"/>
  <c r="AS57" i="94"/>
  <c r="AX58" i="94" s="1"/>
  <c r="AN57" i="94"/>
  <c r="AI57" i="94"/>
  <c r="AD57" i="94"/>
  <c r="AD58" i="94" s="1"/>
  <c r="Z57" i="94"/>
  <c r="AE58" i="94" s="1"/>
  <c r="U57" i="94"/>
  <c r="P57" i="94"/>
  <c r="BB49" i="94"/>
  <c r="BB48" i="94"/>
  <c r="BB39" i="94"/>
  <c r="BB36" i="94"/>
  <c r="BB27" i="94"/>
  <c r="BB20" i="94"/>
  <c r="BB9" i="94"/>
  <c r="BB7" i="94"/>
  <c r="BB4" i="94"/>
  <c r="BB68" i="95"/>
  <c r="BA69" i="95"/>
  <c r="AZ69" i="95"/>
  <c r="AY69" i="95"/>
  <c r="Z69" i="96" s="1"/>
  <c r="AW69" i="95"/>
  <c r="AV69" i="95"/>
  <c r="AU69" i="95"/>
  <c r="AT69" i="95"/>
  <c r="Y69" i="96" s="1"/>
  <c r="AR69" i="95"/>
  <c r="AQ69" i="95"/>
  <c r="AP69" i="95"/>
  <c r="AO69" i="95"/>
  <c r="X69" i="96" s="1"/>
  <c r="AM69" i="95"/>
  <c r="AL69" i="95"/>
  <c r="AK69" i="95"/>
  <c r="AJ69" i="95"/>
  <c r="AH69" i="95"/>
  <c r="AG69" i="95"/>
  <c r="AF69" i="95"/>
  <c r="AC69" i="95"/>
  <c r="AB69" i="95"/>
  <c r="AA69" i="95"/>
  <c r="Y69" i="95"/>
  <c r="X69" i="95"/>
  <c r="W69" i="95"/>
  <c r="V69" i="95"/>
  <c r="T69" i="95"/>
  <c r="S69" i="95"/>
  <c r="R69" i="95"/>
  <c r="Q69" i="95"/>
  <c r="AS68" i="95"/>
  <c r="AX69" i="95" s="1"/>
  <c r="AN68" i="95"/>
  <c r="AI68" i="95"/>
  <c r="AD68" i="95"/>
  <c r="AD69" i="95" s="1"/>
  <c r="Z68" i="95"/>
  <c r="U68" i="95"/>
  <c r="P68" i="95"/>
  <c r="AY66" i="95"/>
  <c r="Z66" i="96" s="1"/>
  <c r="AW66" i="95"/>
  <c r="AV66" i="95"/>
  <c r="AU66" i="95"/>
  <c r="AT66" i="95"/>
  <c r="Y66" i="96" s="1"/>
  <c r="AR66" i="95"/>
  <c r="AQ66" i="95"/>
  <c r="AP66" i="95"/>
  <c r="AO66" i="95"/>
  <c r="X66" i="96" s="1"/>
  <c r="AM66" i="95"/>
  <c r="AL66" i="95"/>
  <c r="AK66" i="95"/>
  <c r="AJ66" i="95"/>
  <c r="AH66" i="95"/>
  <c r="AG66" i="95"/>
  <c r="AF66" i="95"/>
  <c r="AC66" i="95"/>
  <c r="AB66" i="95"/>
  <c r="AA66" i="95"/>
  <c r="Y66" i="95"/>
  <c r="X66" i="95"/>
  <c r="W66" i="95"/>
  <c r="V66" i="95"/>
  <c r="T66" i="95"/>
  <c r="S66" i="95"/>
  <c r="R66" i="95"/>
  <c r="Q66" i="95"/>
  <c r="AS65" i="95"/>
  <c r="AN65" i="95"/>
  <c r="AI65" i="95"/>
  <c r="AD65" i="95"/>
  <c r="AD66" i="95" s="1"/>
  <c r="Z65" i="95"/>
  <c r="AE66" i="95" s="1"/>
  <c r="U65" i="95"/>
  <c r="P65" i="95"/>
  <c r="BJ7" i="13"/>
  <c r="BB20" i="95"/>
  <c r="BB7" i="95"/>
  <c r="BB4" i="95"/>
  <c r="BB9" i="95"/>
  <c r="BA22" i="17"/>
  <c r="BA23" i="17" s="1"/>
  <c r="BA10" i="17"/>
  <c r="BA77" i="17"/>
  <c r="BA78" i="17" s="1"/>
  <c r="BA56" i="17"/>
  <c r="BA60" i="17" s="1"/>
  <c r="BA45" i="17"/>
  <c r="BA36" i="17"/>
  <c r="BA90" i="14"/>
  <c r="BC90" i="14" s="1"/>
  <c r="BA87" i="14"/>
  <c r="BC87" i="14" s="1"/>
  <c r="BA60" i="14"/>
  <c r="BA59" i="14"/>
  <c r="BA50" i="14"/>
  <c r="BA48" i="14"/>
  <c r="BA47" i="14"/>
  <c r="BA45" i="14"/>
  <c r="BA44" i="14"/>
  <c r="BA42" i="14"/>
  <c r="BA36" i="14"/>
  <c r="BA33" i="14"/>
  <c r="BA38" i="14"/>
  <c r="BA35" i="14"/>
  <c r="BA34" i="14"/>
  <c r="BA32" i="14"/>
  <c r="BA31" i="14"/>
  <c r="BA30" i="14"/>
  <c r="BA21" i="14"/>
  <c r="BA20" i="14"/>
  <c r="BA19" i="14"/>
  <c r="BA18" i="14"/>
  <c r="BA17" i="14"/>
  <c r="BA16" i="14"/>
  <c r="BA15" i="14"/>
  <c r="BA13" i="14"/>
  <c r="BA12" i="14"/>
  <c r="BA11" i="14"/>
  <c r="BA10" i="14"/>
  <c r="BA9" i="14"/>
  <c r="BA8" i="14"/>
  <c r="BA7" i="14"/>
  <c r="BA6" i="14"/>
  <c r="BA5" i="14"/>
  <c r="BA4" i="14"/>
  <c r="BA46" i="14"/>
  <c r="BA43" i="14"/>
  <c r="BA23" i="14"/>
  <c r="BA46" i="13"/>
  <c r="BA38" i="95"/>
  <c r="BF39" i="95" s="1"/>
  <c r="BA35" i="95"/>
  <c r="BF36" i="95" s="1"/>
  <c r="BA27" i="95"/>
  <c r="BA20" i="95"/>
  <c r="BA9" i="95"/>
  <c r="BA7" i="95"/>
  <c r="BA4" i="95"/>
  <c r="BA9" i="94"/>
  <c r="BA49" i="94"/>
  <c r="BA48" i="94"/>
  <c r="BA39" i="94"/>
  <c r="BA36" i="94"/>
  <c r="BA27" i="94"/>
  <c r="BA20" i="94"/>
  <c r="BA7" i="94"/>
  <c r="BA4" i="94"/>
  <c r="BA81" i="13"/>
  <c r="BA71" i="13"/>
  <c r="BA61" i="13"/>
  <c r="BA58" i="13"/>
  <c r="BA14" i="13"/>
  <c r="AZ9" i="94"/>
  <c r="BE22" i="94" s="1"/>
  <c r="AZ20" i="94"/>
  <c r="AZ20" i="95"/>
  <c r="AZ77" i="13" l="1"/>
  <c r="AX74" i="94"/>
  <c r="BC74" i="94"/>
  <c r="BG28" i="94"/>
  <c r="BA71" i="14"/>
  <c r="BF28" i="95"/>
  <c r="BB8" i="14"/>
  <c r="BC8" i="14" s="1"/>
  <c r="BB21" i="14"/>
  <c r="BC21" i="14" s="1"/>
  <c r="BB47" i="14"/>
  <c r="BC47" i="14" s="1"/>
  <c r="BB10" i="14"/>
  <c r="BC10" i="14" s="1"/>
  <c r="BB67" i="17"/>
  <c r="BB68" i="17"/>
  <c r="AX79" i="95"/>
  <c r="BC79" i="95"/>
  <c r="BB21" i="94"/>
  <c r="BG10" i="94"/>
  <c r="BG22" i="94"/>
  <c r="BB31" i="14"/>
  <c r="BC31" i="14" s="1"/>
  <c r="BB60" i="14"/>
  <c r="BC60" i="14" s="1"/>
  <c r="BA86" i="14"/>
  <c r="BB11" i="14"/>
  <c r="BC11" i="14" s="1"/>
  <c r="BB7" i="14"/>
  <c r="BB73" i="14" s="1"/>
  <c r="BB9" i="14"/>
  <c r="BC9" i="14" s="1"/>
  <c r="BB35" i="14"/>
  <c r="BC35" i="14" s="1"/>
  <c r="BB43" i="14"/>
  <c r="BC43" i="14" s="1"/>
  <c r="BB38" i="14"/>
  <c r="BC38" i="14" s="1"/>
  <c r="BA68" i="17"/>
  <c r="BA67" i="17"/>
  <c r="BB44" i="14"/>
  <c r="BC44" i="14" s="1"/>
  <c r="BB59" i="14"/>
  <c r="BC59" i="14" s="1"/>
  <c r="BB64" i="94"/>
  <c r="BG64" i="94"/>
  <c r="BB34" i="14"/>
  <c r="BC34" i="14" s="1"/>
  <c r="BB23" i="14"/>
  <c r="BC23" i="14" s="1"/>
  <c r="BB15" i="14"/>
  <c r="BC15" i="14" s="1"/>
  <c r="BA21" i="94"/>
  <c r="BF10" i="94"/>
  <c r="BB46" i="14"/>
  <c r="BC46" i="14" s="1"/>
  <c r="BB16" i="14"/>
  <c r="BC16" i="14" s="1"/>
  <c r="BB33" i="14"/>
  <c r="BC33" i="14" s="1"/>
  <c r="BA21" i="95"/>
  <c r="BF10" i="95"/>
  <c r="BB19" i="14"/>
  <c r="BC19" i="14" s="1"/>
  <c r="BB45" i="14"/>
  <c r="BC45" i="14" s="1"/>
  <c r="BF28" i="94"/>
  <c r="BB32" i="14"/>
  <c r="BC32" i="14" s="1"/>
  <c r="BB12" i="14"/>
  <c r="BC12" i="14" s="1"/>
  <c r="BB13" i="14"/>
  <c r="BC13" i="14" s="1"/>
  <c r="BB36" i="14"/>
  <c r="BC36" i="14" s="1"/>
  <c r="BB69" i="95"/>
  <c r="BG69" i="95"/>
  <c r="BB20" i="14"/>
  <c r="BC20" i="14" s="1"/>
  <c r="BB48" i="14"/>
  <c r="BC48" i="14" s="1"/>
  <c r="BB21" i="95"/>
  <c r="BG10" i="95"/>
  <c r="BG22" i="95"/>
  <c r="BB50" i="14"/>
  <c r="BC50" i="14" s="1"/>
  <c r="AZ21" i="94"/>
  <c r="BE10" i="94"/>
  <c r="BB17" i="14"/>
  <c r="BC17" i="14" s="1"/>
  <c r="BB5" i="14"/>
  <c r="BC5" i="14" s="1"/>
  <c r="BB18" i="14"/>
  <c r="BC18" i="14" s="1"/>
  <c r="BB42" i="14"/>
  <c r="BC42" i="14" s="1"/>
  <c r="BB4" i="14"/>
  <c r="BC4" i="14" s="1"/>
  <c r="BH66" i="13"/>
  <c r="BH63" i="13" s="1"/>
  <c r="BG66" i="13"/>
  <c r="BG63" i="13" s="1"/>
  <c r="BI67" i="13"/>
  <c r="AI64" i="94"/>
  <c r="BA43" i="95"/>
  <c r="AI69" i="95"/>
  <c r="Z61" i="94"/>
  <c r="AS66" i="95"/>
  <c r="AI58" i="94"/>
  <c r="Z69" i="95"/>
  <c r="Z58" i="94"/>
  <c r="AN64" i="94"/>
  <c r="AN69" i="95"/>
  <c r="BA73" i="14"/>
  <c r="AE69" i="95"/>
  <c r="BB30" i="14"/>
  <c r="BC30" i="14" s="1"/>
  <c r="U61" i="94"/>
  <c r="AS64" i="94"/>
  <c r="AN58" i="94"/>
  <c r="U66" i="95"/>
  <c r="AS58" i="94"/>
  <c r="BB6" i="14"/>
  <c r="BC6" i="14" s="1"/>
  <c r="AI61" i="94"/>
  <c r="AI66" i="95"/>
  <c r="AN61" i="94"/>
  <c r="BA77" i="13"/>
  <c r="AN66" i="95"/>
  <c r="U69" i="95"/>
  <c r="U64" i="94"/>
  <c r="U58" i="94"/>
  <c r="AS61" i="94"/>
  <c r="BA12" i="17"/>
  <c r="BA25" i="17" s="1"/>
  <c r="BB47" i="17"/>
  <c r="BB62" i="17" s="1"/>
  <c r="BB12" i="17"/>
  <c r="BB25" i="17" s="1"/>
  <c r="Z64" i="94"/>
  <c r="AX64" i="94"/>
  <c r="BB13" i="94"/>
  <c r="BG14" i="94" s="1"/>
  <c r="BB42" i="94"/>
  <c r="BB43" i="94"/>
  <c r="BB16" i="94"/>
  <c r="BG17" i="94" s="1"/>
  <c r="AS69" i="95"/>
  <c r="Z66" i="95"/>
  <c r="AX66" i="95"/>
  <c r="BA47" i="17"/>
  <c r="BA62" i="17" s="1"/>
  <c r="BA49" i="14"/>
  <c r="BA51" i="14" s="1"/>
  <c r="BA37" i="14"/>
  <c r="BA39" i="14" s="1"/>
  <c r="BA22" i="14"/>
  <c r="BA18" i="13"/>
  <c r="BA42" i="95"/>
  <c r="BA16" i="95"/>
  <c r="BF17" i="95" s="1"/>
  <c r="BA13" i="95"/>
  <c r="BF14" i="95" s="1"/>
  <c r="BA43" i="94"/>
  <c r="BA16" i="94"/>
  <c r="BF17" i="94" s="1"/>
  <c r="BA42" i="94"/>
  <c r="BA13" i="94"/>
  <c r="BF14" i="94" s="1"/>
  <c r="BC7" i="14" l="1"/>
  <c r="BC73" i="14" s="1"/>
  <c r="BB95" i="14"/>
  <c r="BG32" i="94"/>
  <c r="BF32" i="95"/>
  <c r="BB49" i="14"/>
  <c r="BB51" i="14" s="1"/>
  <c r="BC71" i="14"/>
  <c r="BC49" i="14"/>
  <c r="BC51" i="14" s="1"/>
  <c r="BC86" i="14"/>
  <c r="BC37" i="14"/>
  <c r="BC39" i="14" s="1"/>
  <c r="BB22" i="14"/>
  <c r="BC95" i="14"/>
  <c r="BF32" i="94"/>
  <c r="BI116" i="17"/>
  <c r="AB116" i="18" s="1"/>
  <c r="AB67" i="15"/>
  <c r="BB77" i="13"/>
  <c r="BB71" i="14"/>
  <c r="BB30" i="94"/>
  <c r="BG31" i="94" s="1"/>
  <c r="BB37" i="14"/>
  <c r="BB39" i="14" s="1"/>
  <c r="BB86" i="14"/>
  <c r="BB64" i="17"/>
  <c r="BB63" i="17"/>
  <c r="BA63" i="17"/>
  <c r="BA64" i="17"/>
  <c r="BA30" i="95"/>
  <c r="BF31" i="95" s="1"/>
  <c r="BA30" i="94"/>
  <c r="BF31" i="94" s="1"/>
  <c r="BC77" i="13" l="1"/>
  <c r="AZ9" i="95"/>
  <c r="BE22" i="95" s="1"/>
  <c r="Y51" i="87"/>
  <c r="Z51" i="87"/>
  <c r="Y52" i="87"/>
  <c r="Z52" i="87"/>
  <c r="Y53" i="87"/>
  <c r="Z53" i="87"/>
  <c r="Y54" i="87"/>
  <c r="Z54" i="87"/>
  <c r="Y55" i="87"/>
  <c r="Z55" i="87"/>
  <c r="Y56" i="87"/>
  <c r="Z56" i="87"/>
  <c r="Y58" i="87"/>
  <c r="Z58" i="87"/>
  <c r="Y59" i="87"/>
  <c r="Z59" i="87"/>
  <c r="Y60" i="87"/>
  <c r="Z60" i="87"/>
  <c r="Y61" i="87"/>
  <c r="Z61" i="87"/>
  <c r="Y62" i="87"/>
  <c r="Z62" i="87"/>
  <c r="Y63" i="87"/>
  <c r="Z63" i="87"/>
  <c r="Y65" i="87"/>
  <c r="Z65" i="87"/>
  <c r="Y66" i="87"/>
  <c r="Z66" i="87"/>
  <c r="Y67" i="87"/>
  <c r="Z67" i="87"/>
  <c r="Y68" i="87"/>
  <c r="Z68" i="87"/>
  <c r="Y69" i="87"/>
  <c r="Z69" i="87"/>
  <c r="Z48" i="87"/>
  <c r="Z71" i="87" s="1"/>
  <c r="Y48" i="87"/>
  <c r="Y47" i="87" s="1"/>
  <c r="BE10" i="95" l="1"/>
  <c r="Y71" i="87"/>
  <c r="AZ21" i="95"/>
  <c r="AW89" i="14"/>
  <c r="AW88" i="14"/>
  <c r="AV90" i="14"/>
  <c r="AW90" i="14" s="1"/>
  <c r="AX90" i="14" s="1"/>
  <c r="AV87" i="14"/>
  <c r="AW87" i="14" s="1"/>
  <c r="AP60" i="13"/>
  <c r="AP57" i="13"/>
  <c r="AX63" i="13"/>
  <c r="AX57" i="13" s="1"/>
  <c r="AX60" i="13" l="1"/>
  <c r="BC61" i="13" s="1"/>
  <c r="BC58" i="13"/>
  <c r="AP83" i="13"/>
  <c r="AP82" i="13"/>
  <c r="AP81" i="13"/>
  <c r="AP46" i="13"/>
  <c r="AQ46" i="13"/>
  <c r="AP40" i="13"/>
  <c r="AP34" i="13"/>
  <c r="AP29" i="13"/>
  <c r="AP9" i="13"/>
  <c r="AP14" i="13" s="1"/>
  <c r="AP77" i="13"/>
  <c r="AP71" i="13"/>
  <c r="AP58" i="13"/>
  <c r="AQ81" i="13"/>
  <c r="AQ14" i="13"/>
  <c r="AP68" i="17" l="1"/>
  <c r="AP67" i="17"/>
  <c r="AQ68" i="17"/>
  <c r="AQ67" i="17"/>
  <c r="AQ71" i="13"/>
  <c r="AQ61" i="13"/>
  <c r="AQ58" i="13"/>
  <c r="AV81" i="13"/>
  <c r="AV46" i="13"/>
  <c r="AV71" i="13"/>
  <c r="AV61" i="13"/>
  <c r="AV58" i="13"/>
  <c r="AV14" i="13"/>
  <c r="AR81" i="13"/>
  <c r="AW81" i="13"/>
  <c r="AV67" i="17" l="1"/>
  <c r="AV68" i="17"/>
  <c r="AW67" i="17"/>
  <c r="AW68" i="17"/>
  <c r="AR67" i="17"/>
  <c r="AR68" i="17"/>
  <c r="AR46" i="13"/>
  <c r="AR71" i="13"/>
  <c r="AR61" i="13"/>
  <c r="AR58" i="13"/>
  <c r="AR14" i="13"/>
  <c r="AW46" i="13"/>
  <c r="AW71" i="13"/>
  <c r="AW61" i="13"/>
  <c r="AW58" i="13"/>
  <c r="AW14" i="13"/>
  <c r="AT81" i="13" l="1"/>
  <c r="AS81" i="13" s="1"/>
  <c r="AT46" i="13"/>
  <c r="AS46" i="13" s="1"/>
  <c r="AT14" i="13"/>
  <c r="AY14" i="13"/>
  <c r="AS83" i="13"/>
  <c r="AS82" i="13"/>
  <c r="AT77" i="13"/>
  <c r="AS71" i="13"/>
  <c r="AT70" i="13"/>
  <c r="AS47" i="13"/>
  <c r="AS42" i="13"/>
  <c r="AS41" i="13"/>
  <c r="AS40" i="13"/>
  <c r="AS34" i="13"/>
  <c r="AS30" i="13"/>
  <c r="AS29" i="13"/>
  <c r="AS9" i="13"/>
  <c r="AY81" i="13"/>
  <c r="AY70" i="13"/>
  <c r="BD71" i="13" s="1"/>
  <c r="AY67" i="13"/>
  <c r="AY46" i="13"/>
  <c r="AX41" i="13"/>
  <c r="AX40" i="13"/>
  <c r="AY9" i="94"/>
  <c r="AU81" i="13"/>
  <c r="BD10" i="94" l="1"/>
  <c r="BD22" i="94"/>
  <c r="AY67" i="17"/>
  <c r="AY68" i="17"/>
  <c r="AU67" i="17"/>
  <c r="AU68" i="17"/>
  <c r="AT67" i="13"/>
  <c r="AU46" i="13" l="1"/>
  <c r="AU9" i="95"/>
  <c r="AU77" i="13"/>
  <c r="AU71" i="13"/>
  <c r="AU58" i="13"/>
  <c r="AU14" i="13"/>
  <c r="AZ14" i="13"/>
  <c r="AZ81" i="13"/>
  <c r="AZ46" i="13"/>
  <c r="BC46" i="13" l="1"/>
  <c r="BC81" i="13"/>
  <c r="AZ67" i="17"/>
  <c r="AZ68" i="17"/>
  <c r="AU21" i="95"/>
  <c r="AZ22" i="95"/>
  <c r="Z32" i="18"/>
  <c r="Z33" i="18"/>
  <c r="Z50" i="16"/>
  <c r="A49" i="16"/>
  <c r="A50" i="16"/>
  <c r="Z38" i="16"/>
  <c r="Y38" i="16"/>
  <c r="A37" i="16"/>
  <c r="A38" i="16"/>
  <c r="Y26" i="16"/>
  <c r="Z26" i="16"/>
  <c r="Y21" i="16"/>
  <c r="Z21" i="16"/>
  <c r="Y19" i="16"/>
  <c r="Z19" i="16"/>
  <c r="A26" i="16"/>
  <c r="A25" i="16"/>
  <c r="A20" i="16"/>
  <c r="AH71" i="18" s="1"/>
  <c r="A21" i="16"/>
  <c r="AH72" i="18" s="1"/>
  <c r="A19" i="16"/>
  <c r="AH70" i="18" s="1"/>
  <c r="AA38" i="16"/>
  <c r="AA50" i="16"/>
  <c r="AW11" i="46"/>
  <c r="AV21" i="46"/>
  <c r="AV11" i="46"/>
  <c r="AR31" i="46"/>
  <c r="AQ31" i="46"/>
  <c r="AP31" i="46"/>
  <c r="AR30" i="46"/>
  <c r="AQ30" i="46"/>
  <c r="AP30" i="46"/>
  <c r="AT31" i="46"/>
  <c r="AT30" i="46"/>
  <c r="Y39" i="45"/>
  <c r="Y40" i="45"/>
  <c r="Y48" i="45"/>
  <c r="Y49" i="45"/>
  <c r="A49" i="45"/>
  <c r="A73" i="45" s="1"/>
  <c r="A48" i="45"/>
  <c r="A72" i="45" s="1"/>
  <c r="A40" i="45"/>
  <c r="A64" i="45" s="1"/>
  <c r="A39" i="45"/>
  <c r="A63" i="45" s="1"/>
  <c r="Y19" i="45"/>
  <c r="Y20" i="45"/>
  <c r="Y10" i="45"/>
  <c r="Y11" i="45"/>
  <c r="BC67" i="17" l="1"/>
  <c r="BC68" i="17"/>
  <c r="AS50" i="46"/>
  <c r="AS49" i="46"/>
  <c r="AS48" i="46"/>
  <c r="AS37" i="46"/>
  <c r="AS38" i="46"/>
  <c r="AS39" i="46"/>
  <c r="AS40" i="46"/>
  <c r="AS41" i="46"/>
  <c r="AS36" i="46"/>
  <c r="BA40" i="46"/>
  <c r="AU40" i="46"/>
  <c r="AA19" i="45"/>
  <c r="AA20" i="45"/>
  <c r="AU20" i="46"/>
  <c r="AU19" i="46"/>
  <c r="AU18" i="46"/>
  <c r="AV18" i="46" s="1"/>
  <c r="AW18" i="46" s="1"/>
  <c r="AU17" i="46"/>
  <c r="AV17" i="46" s="1"/>
  <c r="AW17" i="46" s="1"/>
  <c r="AU16" i="46"/>
  <c r="AV16" i="46" s="1"/>
  <c r="AW16" i="46" s="1"/>
  <c r="AU8" i="46"/>
  <c r="AV8" i="46" s="1"/>
  <c r="AW8" i="46" s="1"/>
  <c r="AU9" i="46"/>
  <c r="AV9" i="46" s="1"/>
  <c r="AW9" i="46" s="1"/>
  <c r="AU10" i="46"/>
  <c r="AU11" i="46"/>
  <c r="AU7" i="46"/>
  <c r="AY19" i="46"/>
  <c r="Z19" i="45" s="1"/>
  <c r="AY20" i="46"/>
  <c r="Z20" i="45" s="1"/>
  <c r="AY12" i="46"/>
  <c r="AY10" i="46"/>
  <c r="Z10" i="45" s="1"/>
  <c r="AY11" i="46"/>
  <c r="AU48" i="46"/>
  <c r="AU49" i="46"/>
  <c r="AY49" i="46"/>
  <c r="AY48" i="46"/>
  <c r="AY39" i="46"/>
  <c r="Z39" i="45" s="1"/>
  <c r="AU39" i="46"/>
  <c r="AS20" i="46"/>
  <c r="AS19" i="46"/>
  <c r="AS11" i="46"/>
  <c r="AS10" i="46"/>
  <c r="AS21" i="46"/>
  <c r="AS18" i="46"/>
  <c r="AS17" i="46"/>
  <c r="AS16" i="46"/>
  <c r="AS8" i="46"/>
  <c r="AS9" i="46"/>
  <c r="AS12" i="46"/>
  <c r="AT13" i="46"/>
  <c r="AU21" i="46"/>
  <c r="AS7" i="46"/>
  <c r="AV59" i="14"/>
  <c r="AW59" i="14" s="1"/>
  <c r="AV50" i="14"/>
  <c r="AW50" i="14" s="1"/>
  <c r="AV47" i="14"/>
  <c r="AW47" i="14" s="1"/>
  <c r="AV45" i="14"/>
  <c r="AW45" i="14" s="1"/>
  <c r="AV44" i="14"/>
  <c r="AW44" i="14" s="1"/>
  <c r="AV42" i="14"/>
  <c r="AW42" i="14" s="1"/>
  <c r="AV38" i="14"/>
  <c r="AW38" i="14" s="1"/>
  <c r="AV35" i="14"/>
  <c r="AW35" i="14" s="1"/>
  <c r="AV34" i="14"/>
  <c r="AW34" i="14" s="1"/>
  <c r="AV32" i="14"/>
  <c r="AV31" i="14"/>
  <c r="AW31" i="14" s="1"/>
  <c r="AV30" i="14"/>
  <c r="AV26" i="14"/>
  <c r="AW26" i="14" s="1"/>
  <c r="AV24" i="14"/>
  <c r="AW24" i="14" s="1"/>
  <c r="AV21" i="14"/>
  <c r="AW21" i="14" s="1"/>
  <c r="AX21" i="14" s="1"/>
  <c r="AV20" i="14"/>
  <c r="AW20" i="14" s="1"/>
  <c r="AV19" i="14"/>
  <c r="AW19" i="14" s="1"/>
  <c r="AV18" i="14"/>
  <c r="AW18" i="14" s="1"/>
  <c r="AV17" i="14"/>
  <c r="AW17" i="14" s="1"/>
  <c r="AV16" i="14"/>
  <c r="AW16" i="14" s="1"/>
  <c r="AV15" i="14"/>
  <c r="AW15" i="14" s="1"/>
  <c r="AV13" i="14"/>
  <c r="AW13" i="14" s="1"/>
  <c r="AV12" i="14"/>
  <c r="AW12" i="14" s="1"/>
  <c r="AV11" i="14"/>
  <c r="AW11" i="14" s="1"/>
  <c r="AV10" i="14"/>
  <c r="AW10" i="14" s="1"/>
  <c r="AV9" i="14"/>
  <c r="AW9" i="14" s="1"/>
  <c r="AV8" i="14"/>
  <c r="AW8" i="14" s="1"/>
  <c r="AV7" i="14"/>
  <c r="AW7" i="14" s="1"/>
  <c r="AV6" i="14"/>
  <c r="AV5" i="14"/>
  <c r="AW5" i="14" s="1"/>
  <c r="AV4" i="14"/>
  <c r="AW4" i="14" s="1"/>
  <c r="AZ26" i="14"/>
  <c r="AZ24" i="14"/>
  <c r="AV60" i="14"/>
  <c r="AW60" i="14" s="1"/>
  <c r="AV46" i="14"/>
  <c r="AW46" i="14" s="1"/>
  <c r="AV43" i="14"/>
  <c r="AW43" i="14" s="1"/>
  <c r="AV33" i="14"/>
  <c r="AW33" i="14" s="1"/>
  <c r="AV23" i="14"/>
  <c r="AW23" i="14" s="1"/>
  <c r="AU48" i="14"/>
  <c r="AU49" i="14" s="1"/>
  <c r="AZ49" i="14"/>
  <c r="AT49" i="14"/>
  <c r="Y49" i="16" s="1"/>
  <c r="AU36" i="14"/>
  <c r="AU37" i="14" s="1"/>
  <c r="AZ37" i="14"/>
  <c r="AY37" i="14"/>
  <c r="Z37" i="16" s="1"/>
  <c r="AS21" i="14"/>
  <c r="AS19" i="14"/>
  <c r="AY24" i="14"/>
  <c r="AT24" i="14"/>
  <c r="AZ22" i="14"/>
  <c r="BC22" i="14" s="1"/>
  <c r="AY22" i="14"/>
  <c r="AU22" i="14"/>
  <c r="AU25" i="14" s="1"/>
  <c r="AU27" i="14" s="1"/>
  <c r="AT22" i="14"/>
  <c r="AY48" i="14"/>
  <c r="AY49" i="14" s="1"/>
  <c r="Z49" i="16" s="1"/>
  <c r="AY66" i="14"/>
  <c r="AS66" i="14"/>
  <c r="BA24" i="14" l="1"/>
  <c r="BB24" i="14" s="1"/>
  <c r="BB25" i="14" s="1"/>
  <c r="BA25" i="14"/>
  <c r="BB40" i="46"/>
  <c r="AW30" i="14"/>
  <c r="BA26" i="14"/>
  <c r="BB26" i="14" s="1"/>
  <c r="AV77" i="13"/>
  <c r="AW22" i="14"/>
  <c r="AS73" i="46"/>
  <c r="AT73" i="46" s="1"/>
  <c r="Y73" i="45" s="1"/>
  <c r="AW32" i="14"/>
  <c r="AX19" i="14"/>
  <c r="AV22" i="14"/>
  <c r="AV25" i="14" s="1"/>
  <c r="AV36" i="14"/>
  <c r="AW36" i="14" s="1"/>
  <c r="AV48" i="14"/>
  <c r="AW48" i="14" s="1"/>
  <c r="AW49" i="14" s="1"/>
  <c r="AZ48" i="46"/>
  <c r="AZ72" i="46" s="1"/>
  <c r="Z48" i="45"/>
  <c r="Z11" i="45"/>
  <c r="AZ64" i="46"/>
  <c r="AS64" i="46"/>
  <c r="AT64" i="46" s="1"/>
  <c r="Y64" i="45" s="1"/>
  <c r="AS72" i="46"/>
  <c r="AT72" i="46" s="1"/>
  <c r="Y72" i="45" s="1"/>
  <c r="AZ49" i="46"/>
  <c r="AZ73" i="46" s="1"/>
  <c r="Z49" i="45"/>
  <c r="AS63" i="46"/>
  <c r="AT63" i="46" s="1"/>
  <c r="Y63" i="45" s="1"/>
  <c r="AV39" i="46"/>
  <c r="AV63" i="46" s="1"/>
  <c r="AU63" i="46"/>
  <c r="AV49" i="46"/>
  <c r="AV73" i="46" s="1"/>
  <c r="AU73" i="46"/>
  <c r="AS60" i="46"/>
  <c r="AS62" i="46"/>
  <c r="AS74" i="46"/>
  <c r="AW6" i="14"/>
  <c r="AW77" i="13" s="1"/>
  <c r="AS31" i="46"/>
  <c r="AS30" i="46"/>
  <c r="AV48" i="46"/>
  <c r="AV72" i="46" s="1"/>
  <c r="AU72" i="46"/>
  <c r="BA64" i="46"/>
  <c r="AV40" i="46"/>
  <c r="AU64" i="46"/>
  <c r="AS65" i="46"/>
  <c r="AS61" i="46"/>
  <c r="AC20" i="45"/>
  <c r="AC19" i="45"/>
  <c r="AX73" i="46"/>
  <c r="AY21" i="46"/>
  <c r="AX72" i="46"/>
  <c r="AX63" i="46"/>
  <c r="AZ39" i="46"/>
  <c r="AZ63" i="46" s="1"/>
  <c r="AX26" i="14"/>
  <c r="AZ25" i="14"/>
  <c r="AZ27" i="14" s="1"/>
  <c r="AT50" i="14"/>
  <c r="Y50" i="16" s="1"/>
  <c r="AX60" i="14"/>
  <c r="AX38" i="14"/>
  <c r="AX50" i="14"/>
  <c r="AS26" i="14"/>
  <c r="AS38" i="14"/>
  <c r="BC24" i="14" l="1"/>
  <c r="BC25" i="14" s="1"/>
  <c r="BC26" i="14"/>
  <c r="BB64" i="46"/>
  <c r="BC40" i="46"/>
  <c r="AA26" i="16"/>
  <c r="BA79" i="14"/>
  <c r="BA85" i="14"/>
  <c r="BA27" i="14"/>
  <c r="BA61" i="14" s="1"/>
  <c r="BA49" i="46"/>
  <c r="BB85" i="14"/>
  <c r="BB91" i="14" s="1"/>
  <c r="BB104" i="13" s="1"/>
  <c r="BB27" i="14"/>
  <c r="BB61" i="14" s="1"/>
  <c r="BB79" i="14"/>
  <c r="AV49" i="14"/>
  <c r="AW37" i="14"/>
  <c r="BA48" i="46"/>
  <c r="AW39" i="46"/>
  <c r="AW63" i="46" s="1"/>
  <c r="AY63" i="46" s="1"/>
  <c r="AW25" i="14"/>
  <c r="AW49" i="46"/>
  <c r="AW73" i="46" s="1"/>
  <c r="AY73" i="46" s="1"/>
  <c r="Z73" i="45" s="1"/>
  <c r="AW48" i="46"/>
  <c r="AW72" i="46" s="1"/>
  <c r="AY72" i="46" s="1"/>
  <c r="Z72" i="45" s="1"/>
  <c r="AS50" i="14"/>
  <c r="AW40" i="46"/>
  <c r="AV64" i="46"/>
  <c r="AS66" i="46"/>
  <c r="AV37" i="14"/>
  <c r="AD19" i="45"/>
  <c r="AD20" i="45"/>
  <c r="BA39" i="46"/>
  <c r="AT36" i="14"/>
  <c r="AT37" i="14" s="1"/>
  <c r="Y37" i="16" s="1"/>
  <c r="AY95" i="14"/>
  <c r="AX89" i="14"/>
  <c r="AX88" i="14"/>
  <c r="AX87" i="14"/>
  <c r="AY77" i="14"/>
  <c r="AX59" i="14"/>
  <c r="AX48" i="14"/>
  <c r="AX46" i="14"/>
  <c r="AX36" i="14"/>
  <c r="AX34" i="14"/>
  <c r="AX33" i="14"/>
  <c r="AX32" i="14"/>
  <c r="AX31" i="14"/>
  <c r="AX23" i="14"/>
  <c r="AY25" i="14"/>
  <c r="Z25" i="16" s="1"/>
  <c r="AX13" i="14"/>
  <c r="AX12" i="14"/>
  <c r="AX5" i="14"/>
  <c r="AS60" i="14"/>
  <c r="AS32" i="14"/>
  <c r="AS32" i="17"/>
  <c r="Y32" i="18" s="1"/>
  <c r="AS33" i="17"/>
  <c r="Y33" i="18" s="1"/>
  <c r="AU58" i="17"/>
  <c r="AU55" i="17"/>
  <c r="AU44" i="17"/>
  <c r="AU22" i="17"/>
  <c r="AU11" i="17"/>
  <c r="BC27" i="14" l="1"/>
  <c r="BC79" i="14"/>
  <c r="BC85" i="14"/>
  <c r="BC91" i="14" s="1"/>
  <c r="BC64" i="46"/>
  <c r="BD64" i="46" s="1"/>
  <c r="AA64" i="45" s="1"/>
  <c r="BD40" i="46"/>
  <c r="AA40" i="45" s="1"/>
  <c r="AC40" i="45" s="1"/>
  <c r="AD40" i="45" s="1"/>
  <c r="AE40" i="45" s="1"/>
  <c r="AF40" i="45" s="1"/>
  <c r="BB93" i="14"/>
  <c r="BB81" i="14"/>
  <c r="BB96" i="14"/>
  <c r="BB80" i="14"/>
  <c r="BA73" i="46"/>
  <c r="BB49" i="46"/>
  <c r="BB73" i="46" s="1"/>
  <c r="BA63" i="46"/>
  <c r="BB39" i="46"/>
  <c r="BB63" i="46" s="1"/>
  <c r="BA81" i="14"/>
  <c r="BA80" i="14"/>
  <c r="BA72" i="46"/>
  <c r="BB48" i="46"/>
  <c r="BB72" i="46" s="1"/>
  <c r="AX40" i="46"/>
  <c r="AW64" i="46"/>
  <c r="AA10" i="45"/>
  <c r="AE20" i="45"/>
  <c r="AF20" i="45" s="1"/>
  <c r="AE19" i="45"/>
  <c r="AF19" i="45" s="1"/>
  <c r="Z63" i="45"/>
  <c r="AA11" i="45"/>
  <c r="AY79" i="14"/>
  <c r="AY96" i="14" s="1"/>
  <c r="AY27" i="14"/>
  <c r="Z27" i="16" s="1"/>
  <c r="AZ58" i="17"/>
  <c r="AZ44" i="17"/>
  <c r="AZ45" i="17" s="1"/>
  <c r="AZ77" i="17"/>
  <c r="AZ56" i="17"/>
  <c r="AZ23" i="17"/>
  <c r="AZ12" i="17"/>
  <c r="AY58" i="17"/>
  <c r="AX58" i="17" s="1"/>
  <c r="AY34" i="17"/>
  <c r="AY36" i="17" s="1"/>
  <c r="AY22" i="17"/>
  <c r="AX22" i="17" s="1"/>
  <c r="AX32" i="17"/>
  <c r="AX33" i="17"/>
  <c r="AY77" i="17"/>
  <c r="AY56" i="17"/>
  <c r="AX55" i="17"/>
  <c r="AX54" i="17"/>
  <c r="AX53" i="17"/>
  <c r="AX52" i="17"/>
  <c r="AX51" i="17"/>
  <c r="AX50" i="17"/>
  <c r="AX44" i="17"/>
  <c r="AX43" i="17"/>
  <c r="AX42" i="17"/>
  <c r="AX41" i="17"/>
  <c r="AX40" i="17"/>
  <c r="AX39" i="17"/>
  <c r="AX35" i="17"/>
  <c r="AX31" i="17"/>
  <c r="AX30" i="17"/>
  <c r="AX29" i="17"/>
  <c r="AX21" i="17"/>
  <c r="AX20" i="17"/>
  <c r="AX19" i="17"/>
  <c r="AX18" i="17"/>
  <c r="AX17" i="17"/>
  <c r="AX16" i="17"/>
  <c r="AX15" i="17"/>
  <c r="AY12" i="17"/>
  <c r="AX11" i="17"/>
  <c r="AX10" i="17"/>
  <c r="AX9" i="17"/>
  <c r="AX8" i="17"/>
  <c r="AX7" i="17"/>
  <c r="AX6" i="17"/>
  <c r="AX5" i="17"/>
  <c r="AW44" i="17"/>
  <c r="AW45" i="17" s="1"/>
  <c r="AW10" i="17"/>
  <c r="AW77" i="17"/>
  <c r="AW78" i="17" s="1"/>
  <c r="AW56" i="17"/>
  <c r="AW60" i="17" s="1"/>
  <c r="AW36" i="17"/>
  <c r="AW23" i="17"/>
  <c r="AV56" i="17"/>
  <c r="AV60" i="17" s="1"/>
  <c r="AV35" i="17"/>
  <c r="AV36" i="17" s="1"/>
  <c r="AV11" i="17"/>
  <c r="AV12" i="17" s="1"/>
  <c r="AT44" i="17"/>
  <c r="AT45" i="17" s="1"/>
  <c r="AT35" i="17"/>
  <c r="AT36" i="17" s="1"/>
  <c r="AT55" i="17"/>
  <c r="AT56" i="17" s="1"/>
  <c r="AT22" i="17"/>
  <c r="AT11" i="17"/>
  <c r="AT12" i="17" s="1"/>
  <c r="AQ22" i="17"/>
  <c r="AV77" i="17"/>
  <c r="AV78" i="17" s="1"/>
  <c r="AV45" i="17"/>
  <c r="AV23" i="17"/>
  <c r="AU77" i="17"/>
  <c r="AU78" i="17" s="1"/>
  <c r="AU56" i="17"/>
  <c r="AU60" i="17" s="1"/>
  <c r="AU45" i="17"/>
  <c r="AU36" i="17"/>
  <c r="AU23" i="17"/>
  <c r="AU12" i="17"/>
  <c r="AV9" i="94"/>
  <c r="AP54" i="94"/>
  <c r="AP54" i="95"/>
  <c r="AP53" i="95"/>
  <c r="AP19" i="95"/>
  <c r="AS19" i="95" s="1"/>
  <c r="AP6" i="95"/>
  <c r="AU7" i="95" s="1"/>
  <c r="AP3" i="95"/>
  <c r="AU4" i="95" s="1"/>
  <c r="AP19" i="94"/>
  <c r="AS19" i="94" s="1"/>
  <c r="AP6" i="94"/>
  <c r="AU7" i="94" s="1"/>
  <c r="AP3" i="94"/>
  <c r="AU4" i="94" s="1"/>
  <c r="AZ49" i="94"/>
  <c r="BD49" i="94" s="1"/>
  <c r="AZ48" i="94"/>
  <c r="BD48" i="94" s="1"/>
  <c r="AZ38" i="95"/>
  <c r="BE39" i="95" s="1"/>
  <c r="AZ35" i="95"/>
  <c r="BE36" i="95" s="1"/>
  <c r="AZ27" i="95"/>
  <c r="BE28" i="95" s="1"/>
  <c r="AZ7" i="95"/>
  <c r="AZ4" i="95"/>
  <c r="AU63" i="95"/>
  <c r="AU38" i="95"/>
  <c r="AU35" i="95"/>
  <c r="AU27" i="95"/>
  <c r="AU18" i="13" s="1"/>
  <c r="AW49" i="94"/>
  <c r="AV49" i="94"/>
  <c r="AU49" i="94"/>
  <c r="AY49" i="94" s="1"/>
  <c r="AW48" i="94"/>
  <c r="AV48" i="94"/>
  <c r="AU48" i="94"/>
  <c r="AY48" i="94" s="1"/>
  <c r="AW47" i="94"/>
  <c r="AV47" i="94"/>
  <c r="AU47" i="94"/>
  <c r="AW46" i="94"/>
  <c r="AV46" i="94"/>
  <c r="AU46" i="94"/>
  <c r="AX49" i="94"/>
  <c r="AX48" i="94"/>
  <c r="AZ39" i="94"/>
  <c r="AZ36" i="94"/>
  <c r="AZ27" i="94"/>
  <c r="AZ42" i="94"/>
  <c r="AZ7" i="94"/>
  <c r="AZ4" i="94"/>
  <c r="AZ2" i="94"/>
  <c r="AU39" i="94"/>
  <c r="AU36" i="94"/>
  <c r="AU27" i="94"/>
  <c r="AU19" i="13" s="1"/>
  <c r="AU9" i="94"/>
  <c r="AU2" i="94"/>
  <c r="AX54" i="95"/>
  <c r="AX53" i="95"/>
  <c r="AY63" i="95"/>
  <c r="Z63" i="96" s="1"/>
  <c r="AY38" i="95"/>
  <c r="AY35" i="95"/>
  <c r="AY20" i="95"/>
  <c r="AY9" i="95"/>
  <c r="AY7" i="95"/>
  <c r="AY4" i="95"/>
  <c r="AX54" i="94"/>
  <c r="AY39" i="94"/>
  <c r="AY36" i="94"/>
  <c r="AY20" i="94"/>
  <c r="AY21" i="94"/>
  <c r="AY7" i="94"/>
  <c r="AY4" i="94"/>
  <c r="AW63" i="95"/>
  <c r="AW38" i="95"/>
  <c r="AW35" i="95"/>
  <c r="AW27" i="95"/>
  <c r="AW18" i="13" s="1"/>
  <c r="AW20" i="95"/>
  <c r="AW9" i="95"/>
  <c r="BB22" i="95" s="1"/>
  <c r="AW7" i="95"/>
  <c r="AW4" i="95"/>
  <c r="AW39" i="94"/>
  <c r="AW36" i="94"/>
  <c r="AW27" i="94"/>
  <c r="AW20" i="94"/>
  <c r="AW9" i="94"/>
  <c r="AW7" i="94"/>
  <c r="AW4" i="94"/>
  <c r="AV63" i="95"/>
  <c r="AV38" i="95"/>
  <c r="BA39" i="95" s="1"/>
  <c r="AV35" i="95"/>
  <c r="BA36" i="95" s="1"/>
  <c r="AV27" i="95"/>
  <c r="AV20" i="95"/>
  <c r="AV9" i="95"/>
  <c r="AV7" i="95"/>
  <c r="AV4" i="95"/>
  <c r="BD73" i="46" l="1"/>
  <c r="AA73" i="45" s="1"/>
  <c r="AZ78" i="17"/>
  <c r="BC93" i="14"/>
  <c r="BC104" i="13"/>
  <c r="BC61" i="14"/>
  <c r="BD22" i="95"/>
  <c r="BD10" i="95"/>
  <c r="AY78" i="17"/>
  <c r="Z78" i="18" s="1"/>
  <c r="Z77" i="18"/>
  <c r="BE28" i="94"/>
  <c r="AW12" i="17"/>
  <c r="AW25" i="17" s="1"/>
  <c r="BC81" i="14"/>
  <c r="BC96" i="14"/>
  <c r="BC80" i="14"/>
  <c r="BD63" i="46"/>
  <c r="AA63" i="45" s="1"/>
  <c r="BD72" i="46"/>
  <c r="BA22" i="94"/>
  <c r="BA10" i="94"/>
  <c r="BB10" i="94"/>
  <c r="BB22" i="94"/>
  <c r="AV18" i="13"/>
  <c r="BA28" i="95"/>
  <c r="AW19" i="13"/>
  <c r="AW22" i="13" s="1"/>
  <c r="BB28" i="94"/>
  <c r="BA22" i="95"/>
  <c r="BA10" i="95"/>
  <c r="AX34" i="17"/>
  <c r="AX36" i="17" s="1"/>
  <c r="AW47" i="95"/>
  <c r="AV49" i="95"/>
  <c r="AY23" i="17"/>
  <c r="AY25" i="17" s="1"/>
  <c r="AW48" i="95"/>
  <c r="AV47" i="95"/>
  <c r="AU22" i="13"/>
  <c r="AP20" i="94"/>
  <c r="AU20" i="94"/>
  <c r="AZ22" i="94"/>
  <c r="AU21" i="94"/>
  <c r="AY40" i="46"/>
  <c r="Z40" i="45" s="1"/>
  <c r="AX64" i="46"/>
  <c r="AY64" i="46" s="1"/>
  <c r="Z64" i="45" s="1"/>
  <c r="AU20" i="95"/>
  <c r="AP20" i="95"/>
  <c r="AC10" i="45"/>
  <c r="AC11" i="45"/>
  <c r="AW50" i="94"/>
  <c r="AY60" i="17"/>
  <c r="AV48" i="95"/>
  <c r="AY80" i="14"/>
  <c r="AU47" i="95"/>
  <c r="AU50" i="94"/>
  <c r="AU48" i="95"/>
  <c r="AU46" i="95"/>
  <c r="AW21" i="95"/>
  <c r="AV46" i="95"/>
  <c r="AU49" i="95"/>
  <c r="AW46" i="95"/>
  <c r="AV50" i="94"/>
  <c r="AW49" i="95"/>
  <c r="AZ60" i="17"/>
  <c r="AZ25" i="17"/>
  <c r="AZ36" i="17"/>
  <c r="AZ47" i="17" s="1"/>
  <c r="AX77" i="17"/>
  <c r="AX78" i="17" s="1"/>
  <c r="AX12" i="17"/>
  <c r="AX56" i="17"/>
  <c r="AX60" i="17" s="1"/>
  <c r="AX23" i="17"/>
  <c r="AX45" i="17"/>
  <c r="AY45" i="17"/>
  <c r="AY47" i="17" s="1"/>
  <c r="AW47" i="17"/>
  <c r="AW62" i="17" s="1"/>
  <c r="AV47" i="17"/>
  <c r="AV62" i="17" s="1"/>
  <c r="AV25" i="17"/>
  <c r="AT47" i="17"/>
  <c r="AU47" i="17"/>
  <c r="AU62" i="17" s="1"/>
  <c r="AU25" i="17"/>
  <c r="AZ28" i="95"/>
  <c r="AU42" i="95"/>
  <c r="AZ36" i="95"/>
  <c r="AU43" i="95"/>
  <c r="AZ43" i="95"/>
  <c r="AZ42" i="95"/>
  <c r="AZ10" i="95"/>
  <c r="AZ39" i="95"/>
  <c r="AZ16" i="95"/>
  <c r="BE17" i="95" s="1"/>
  <c r="AZ13" i="95"/>
  <c r="BE14" i="95" s="1"/>
  <c r="AU16" i="95"/>
  <c r="AU13" i="95"/>
  <c r="AZ28" i="94"/>
  <c r="AZ16" i="94"/>
  <c r="BE17" i="94" s="1"/>
  <c r="AZ10" i="94"/>
  <c r="AZ43" i="94"/>
  <c r="AZ13" i="94"/>
  <c r="BE14" i="94" s="1"/>
  <c r="AU43" i="94"/>
  <c r="AU16" i="94"/>
  <c r="AU42" i="94"/>
  <c r="AU13" i="94"/>
  <c r="AY21" i="95"/>
  <c r="AY43" i="95"/>
  <c r="AY13" i="95"/>
  <c r="BD14" i="95" s="1"/>
  <c r="AY42" i="95"/>
  <c r="AY16" i="95"/>
  <c r="BD17" i="95" s="1"/>
  <c r="AY42" i="94"/>
  <c r="AY13" i="94"/>
  <c r="BD14" i="94" s="1"/>
  <c r="AY16" i="94"/>
  <c r="BD17" i="94" s="1"/>
  <c r="AY43" i="94"/>
  <c r="AW43" i="95"/>
  <c r="AW13" i="95"/>
  <c r="AW30" i="95" s="1"/>
  <c r="AW42" i="95"/>
  <c r="AW16" i="95"/>
  <c r="AW21" i="94"/>
  <c r="AW16" i="94"/>
  <c r="BB17" i="94" s="1"/>
  <c r="AW42" i="94"/>
  <c r="AW43" i="94"/>
  <c r="AW13" i="94"/>
  <c r="BB14" i="94" s="1"/>
  <c r="AV43" i="95"/>
  <c r="AV16" i="95"/>
  <c r="BA17" i="95" s="1"/>
  <c r="AV13" i="95"/>
  <c r="BA14" i="95" s="1"/>
  <c r="AV42" i="95"/>
  <c r="AV21" i="95"/>
  <c r="AV39" i="94"/>
  <c r="AV36" i="94"/>
  <c r="AV27" i="94"/>
  <c r="AV20" i="94"/>
  <c r="AV21" i="94"/>
  <c r="AV7" i="94"/>
  <c r="AV4" i="94"/>
  <c r="AA47" i="16"/>
  <c r="AA20" i="16"/>
  <c r="AA106" i="18"/>
  <c r="AA97" i="18"/>
  <c r="AA90" i="18"/>
  <c r="AA88" i="18"/>
  <c r="AA85" i="18"/>
  <c r="AA46" i="15"/>
  <c r="AA42" i="15"/>
  <c r="AA41" i="15"/>
  <c r="AA40" i="15"/>
  <c r="AA24" i="15"/>
  <c r="AA20" i="15"/>
  <c r="AA10" i="15"/>
  <c r="AA59" i="96"/>
  <c r="AA58" i="96"/>
  <c r="AA170" i="87" s="1"/>
  <c r="AA57" i="96"/>
  <c r="AA112" i="87" s="1"/>
  <c r="AA36" i="96"/>
  <c r="AA35" i="96"/>
  <c r="AA32" i="96"/>
  <c r="AA12" i="96"/>
  <c r="AA45" i="93"/>
  <c r="AA24" i="93"/>
  <c r="AA23" i="93"/>
  <c r="AA21" i="93"/>
  <c r="AA12" i="93"/>
  <c r="AA7" i="93"/>
  <c r="AA4" i="93"/>
  <c r="AA110" i="18"/>
  <c r="AA90" i="16"/>
  <c r="AA89" i="16"/>
  <c r="AA88" i="16"/>
  <c r="AA87" i="16"/>
  <c r="AA84" i="16"/>
  <c r="AA60" i="16"/>
  <c r="AA59" i="16"/>
  <c r="AA56" i="16"/>
  <c r="AA55" i="16"/>
  <c r="AA54" i="16"/>
  <c r="AA48" i="16"/>
  <c r="AA46" i="16"/>
  <c r="AA36" i="16"/>
  <c r="AA34" i="16"/>
  <c r="AA33" i="16"/>
  <c r="AA32" i="16"/>
  <c r="AA31" i="16"/>
  <c r="AA23" i="16"/>
  <c r="AA13" i="16"/>
  <c r="AA12" i="16"/>
  <c r="AA5" i="16"/>
  <c r="AA21" i="15"/>
  <c r="BC25" i="95"/>
  <c r="BC24" i="95"/>
  <c r="BC12" i="95"/>
  <c r="BC25" i="94"/>
  <c r="BC24" i="94"/>
  <c r="BC12" i="94"/>
  <c r="BD2" i="94"/>
  <c r="BC2" i="94"/>
  <c r="BB2" i="94"/>
  <c r="BA2" i="94"/>
  <c r="BC2" i="95"/>
  <c r="BB2" i="95"/>
  <c r="BA2" i="95"/>
  <c r="AZ2" i="95"/>
  <c r="BD4" i="46"/>
  <c r="BC4" i="46"/>
  <c r="BB4" i="46"/>
  <c r="BA4" i="46"/>
  <c r="AZ4" i="46"/>
  <c r="BB2" i="14"/>
  <c r="BA2" i="14"/>
  <c r="AZ2" i="14"/>
  <c r="BB2" i="17"/>
  <c r="BA2" i="17"/>
  <c r="AZ2" i="17"/>
  <c r="AD46" i="15" l="1"/>
  <c r="BE32" i="94"/>
  <c r="AA49" i="45"/>
  <c r="BA32" i="95"/>
  <c r="BB32" i="94"/>
  <c r="AV19" i="13"/>
  <c r="AV22" i="13" s="1"/>
  <c r="AV24" i="13" s="1"/>
  <c r="AV26" i="13" s="1"/>
  <c r="AV102" i="13" s="1"/>
  <c r="BA28" i="94"/>
  <c r="AY62" i="17"/>
  <c r="AY64" i="17" s="1"/>
  <c r="AA72" i="45"/>
  <c r="AA48" i="45"/>
  <c r="AC49" i="45"/>
  <c r="AU24" i="13"/>
  <c r="AU26" i="13" s="1"/>
  <c r="AU102" i="13" s="1"/>
  <c r="AW24" i="13"/>
  <c r="AW26" i="13" s="1"/>
  <c r="AW102" i="13" s="1"/>
  <c r="AD11" i="45"/>
  <c r="AC64" i="45"/>
  <c r="AD10" i="45"/>
  <c r="AA39" i="45"/>
  <c r="AZ62" i="17"/>
  <c r="AZ63" i="17" s="1"/>
  <c r="AX25" i="17"/>
  <c r="AX47" i="17"/>
  <c r="AX62" i="17" s="1"/>
  <c r="AW64" i="17"/>
  <c r="AW63" i="17"/>
  <c r="AV63" i="17"/>
  <c r="AV64" i="17"/>
  <c r="AU63" i="17"/>
  <c r="AU64" i="17"/>
  <c r="AZ17" i="95"/>
  <c r="AZ30" i="95"/>
  <c r="BE31" i="95" s="1"/>
  <c r="AZ14" i="95"/>
  <c r="AU30" i="95"/>
  <c r="AZ17" i="94"/>
  <c r="AZ30" i="94"/>
  <c r="BE31" i="94" s="1"/>
  <c r="AZ14" i="94"/>
  <c r="AU30" i="94"/>
  <c r="AW30" i="94"/>
  <c r="BB31" i="94" s="1"/>
  <c r="AV30" i="95"/>
  <c r="BA31" i="95" s="1"/>
  <c r="AV16" i="94"/>
  <c r="BA17" i="94" s="1"/>
  <c r="AV43" i="94"/>
  <c r="AV13" i="94"/>
  <c r="BA14" i="94" s="1"/>
  <c r="AV42" i="94"/>
  <c r="AA57" i="16"/>
  <c r="AA9" i="15"/>
  <c r="Z59" i="96"/>
  <c r="Y59" i="96"/>
  <c r="X59" i="96"/>
  <c r="W59" i="96"/>
  <c r="V59" i="96"/>
  <c r="Y58" i="96"/>
  <c r="X58" i="96"/>
  <c r="X170" i="87" s="1"/>
  <c r="W58" i="96"/>
  <c r="W170" i="87" s="1"/>
  <c r="V58" i="96"/>
  <c r="V170" i="87" s="1"/>
  <c r="Y57" i="96"/>
  <c r="Y112" i="87" s="1"/>
  <c r="X57" i="96"/>
  <c r="W57" i="96"/>
  <c r="V57" i="96"/>
  <c r="T49" i="96"/>
  <c r="S49" i="96"/>
  <c r="S50" i="96" s="1"/>
  <c r="T46" i="96"/>
  <c r="S46" i="96"/>
  <c r="S47" i="96" s="1"/>
  <c r="Z36" i="96"/>
  <c r="Y36" i="96"/>
  <c r="X36" i="96"/>
  <c r="W36" i="96"/>
  <c r="V36" i="96"/>
  <c r="Z35" i="96"/>
  <c r="Y35" i="96"/>
  <c r="X35" i="96"/>
  <c r="W35" i="96"/>
  <c r="V35" i="96"/>
  <c r="Z32" i="96"/>
  <c r="Z12" i="96"/>
  <c r="Y12" i="96"/>
  <c r="X12" i="96"/>
  <c r="W12" i="96"/>
  <c r="V12" i="96"/>
  <c r="T9" i="96"/>
  <c r="S9" i="96"/>
  <c r="R9" i="96"/>
  <c r="Y6" i="96"/>
  <c r="Y347" i="87" s="1"/>
  <c r="X6" i="96"/>
  <c r="W6" i="96"/>
  <c r="V6" i="96"/>
  <c r="U6" i="96"/>
  <c r="Y3" i="96"/>
  <c r="Y83" i="96" s="1"/>
  <c r="X3" i="96"/>
  <c r="W3" i="96"/>
  <c r="V3" i="96"/>
  <c r="U3" i="96"/>
  <c r="AE2" i="96"/>
  <c r="AD2" i="96"/>
  <c r="AC2" i="96"/>
  <c r="AB2" i="96"/>
  <c r="AA2" i="96"/>
  <c r="Z2" i="96"/>
  <c r="Y2" i="96"/>
  <c r="X2" i="96"/>
  <c r="W2" i="96"/>
  <c r="V2" i="96"/>
  <c r="U2" i="96"/>
  <c r="T2" i="96"/>
  <c r="S2" i="96"/>
  <c r="R2" i="96"/>
  <c r="Q2" i="96"/>
  <c r="P2" i="96"/>
  <c r="O2" i="96"/>
  <c r="N2" i="96"/>
  <c r="M2" i="96"/>
  <c r="L2" i="96"/>
  <c r="K2" i="96"/>
  <c r="J2" i="96"/>
  <c r="I2" i="96"/>
  <c r="H2" i="96"/>
  <c r="G2" i="96"/>
  <c r="F2" i="96"/>
  <c r="E2" i="96"/>
  <c r="D2" i="96"/>
  <c r="C2" i="96"/>
  <c r="B2" i="96"/>
  <c r="S46" i="95"/>
  <c r="R46" i="95"/>
  <c r="Q46" i="95"/>
  <c r="N46" i="95"/>
  <c r="M46" i="95"/>
  <c r="L46" i="95"/>
  <c r="AT9" i="95"/>
  <c r="AR9" i="95"/>
  <c r="AQ9" i="95"/>
  <c r="AP9" i="95"/>
  <c r="AO9" i="95"/>
  <c r="X9" i="96" s="1"/>
  <c r="AM9" i="95"/>
  <c r="AL9" i="95"/>
  <c r="AL13" i="95" s="1"/>
  <c r="AK9" i="95"/>
  <c r="AK7" i="13" s="1"/>
  <c r="AJ9" i="95"/>
  <c r="W9" i="96" s="1"/>
  <c r="AH9" i="95"/>
  <c r="AG9" i="95"/>
  <c r="AG13" i="95" s="1"/>
  <c r="AF9" i="95"/>
  <c r="AF13" i="95" s="1"/>
  <c r="AE9" i="95"/>
  <c r="V9" i="96" s="1"/>
  <c r="AC9" i="95"/>
  <c r="AC16" i="95" s="1"/>
  <c r="AB9" i="95"/>
  <c r="AB21" i="95" s="1"/>
  <c r="Z9" i="95"/>
  <c r="U9" i="96" s="1"/>
  <c r="X9" i="95"/>
  <c r="W9" i="95"/>
  <c r="V9" i="95"/>
  <c r="Y3" i="95"/>
  <c r="T9" i="95"/>
  <c r="T46" i="95" s="1"/>
  <c r="O9" i="95"/>
  <c r="AT38" i="95"/>
  <c r="AR38" i="95"/>
  <c r="AW39" i="95" s="1"/>
  <c r="AQ38" i="95"/>
  <c r="AV39" i="95" s="1"/>
  <c r="AP38" i="95"/>
  <c r="AU39" i="95" s="1"/>
  <c r="AO38" i="95"/>
  <c r="X49" i="96" s="1"/>
  <c r="AM38" i="95"/>
  <c r="AL38" i="95"/>
  <c r="AK38" i="95"/>
  <c r="AJ38" i="95"/>
  <c r="W49" i="96" s="1"/>
  <c r="AH38" i="95"/>
  <c r="AG38" i="95"/>
  <c r="AF38" i="95"/>
  <c r="AE38" i="95"/>
  <c r="V49" i="96" s="1"/>
  <c r="AC38" i="95"/>
  <c r="AB38" i="95"/>
  <c r="X38" i="95"/>
  <c r="X39" i="95" s="1"/>
  <c r="W38" i="95"/>
  <c r="W39" i="95" s="1"/>
  <c r="V38" i="95"/>
  <c r="V39" i="95" s="1"/>
  <c r="AT35" i="95"/>
  <c r="AR35" i="95"/>
  <c r="AW36" i="95" s="1"/>
  <c r="AQ35" i="95"/>
  <c r="AV36" i="95" s="1"/>
  <c r="AP35" i="95"/>
  <c r="AO35" i="95"/>
  <c r="X46" i="96" s="1"/>
  <c r="AM35" i="95"/>
  <c r="AL35" i="95"/>
  <c r="AK35" i="95"/>
  <c r="AJ35" i="95"/>
  <c r="AH35" i="95"/>
  <c r="AG35" i="95"/>
  <c r="AF35" i="95"/>
  <c r="AE35" i="95"/>
  <c r="V46" i="96" s="1"/>
  <c r="AC35" i="95"/>
  <c r="AB35" i="95"/>
  <c r="AA35" i="95"/>
  <c r="T47" i="95"/>
  <c r="AT63" i="95"/>
  <c r="Y63" i="96" s="1"/>
  <c r="AR63" i="95"/>
  <c r="AQ63" i="95"/>
  <c r="AP63" i="95"/>
  <c r="AO63" i="95"/>
  <c r="X63" i="96" s="1"/>
  <c r="AM63" i="95"/>
  <c r="AL63" i="95"/>
  <c r="AK63" i="95"/>
  <c r="AJ63" i="95"/>
  <c r="AH63" i="95"/>
  <c r="AG63" i="95"/>
  <c r="AF63" i="95"/>
  <c r="AC63" i="95"/>
  <c r="AB63" i="95"/>
  <c r="AA63" i="95"/>
  <c r="Y63" i="95"/>
  <c r="X63" i="95"/>
  <c r="W63" i="95"/>
  <c r="V63" i="95"/>
  <c r="T63" i="95"/>
  <c r="S63" i="95"/>
  <c r="R63" i="95"/>
  <c r="Q63" i="95"/>
  <c r="AS62" i="95"/>
  <c r="AX63" i="95" s="1"/>
  <c r="AN62" i="95"/>
  <c r="AI62" i="95"/>
  <c r="AD62" i="95"/>
  <c r="AD63" i="95" s="1"/>
  <c r="Z62" i="95"/>
  <c r="U62" i="95"/>
  <c r="P62" i="95"/>
  <c r="AS55" i="95"/>
  <c r="AN55" i="95"/>
  <c r="AI55" i="95"/>
  <c r="AD55" i="95"/>
  <c r="Z55" i="95"/>
  <c r="U59" i="96" s="1"/>
  <c r="U55" i="95"/>
  <c r="T59" i="96" s="1"/>
  <c r="P55" i="95"/>
  <c r="S59" i="96" s="1"/>
  <c r="J55" i="95"/>
  <c r="K55" i="95" s="1"/>
  <c r="R59" i="96" s="1"/>
  <c r="AS54" i="95"/>
  <c r="AN54" i="95"/>
  <c r="AI54" i="95"/>
  <c r="AD54" i="95"/>
  <c r="Z54" i="95"/>
  <c r="U58" i="96" s="1"/>
  <c r="U54" i="95"/>
  <c r="T58" i="96" s="1"/>
  <c r="P54" i="95"/>
  <c r="S58" i="96" s="1"/>
  <c r="J54" i="95"/>
  <c r="K54" i="95" s="1"/>
  <c r="R58" i="96" s="1"/>
  <c r="E54" i="95"/>
  <c r="F54" i="95" s="1"/>
  <c r="AS53" i="95"/>
  <c r="AN53" i="95"/>
  <c r="AI53" i="95"/>
  <c r="AD53" i="95"/>
  <c r="Z53" i="95"/>
  <c r="U57" i="96" s="1"/>
  <c r="U53" i="95"/>
  <c r="T57" i="96" s="1"/>
  <c r="P53" i="95"/>
  <c r="S57" i="96" s="1"/>
  <c r="J53" i="95"/>
  <c r="K53" i="95" s="1"/>
  <c r="R57" i="96" s="1"/>
  <c r="E53" i="95"/>
  <c r="F53" i="95" s="1"/>
  <c r="S48" i="95"/>
  <c r="R48" i="95"/>
  <c r="Q48" i="95"/>
  <c r="N48" i="95"/>
  <c r="M48" i="95"/>
  <c r="L48" i="95"/>
  <c r="S47" i="95"/>
  <c r="R47" i="95"/>
  <c r="Q47" i="95"/>
  <c r="N47" i="95"/>
  <c r="M47" i="95"/>
  <c r="L47" i="95"/>
  <c r="G48" i="95"/>
  <c r="H47" i="95"/>
  <c r="AR27" i="95"/>
  <c r="AR18" i="13" s="1"/>
  <c r="AQ27" i="95"/>
  <c r="AQ18" i="13" s="1"/>
  <c r="AP27" i="95"/>
  <c r="AP18" i="13" s="1"/>
  <c r="AM27" i="95"/>
  <c r="AM18" i="13" s="1"/>
  <c r="AL27" i="95"/>
  <c r="AL18" i="13" s="1"/>
  <c r="AK27" i="95"/>
  <c r="AK18" i="13" s="1"/>
  <c r="AH27" i="95"/>
  <c r="AG27" i="95"/>
  <c r="AF27" i="95"/>
  <c r="AC27" i="95"/>
  <c r="AB27" i="95"/>
  <c r="AA27" i="95"/>
  <c r="Y27" i="95"/>
  <c r="X27" i="95"/>
  <c r="W27" i="95"/>
  <c r="V27" i="95"/>
  <c r="T27" i="95"/>
  <c r="S27" i="95"/>
  <c r="R27" i="95"/>
  <c r="Q27" i="95"/>
  <c r="O27" i="95"/>
  <c r="N27" i="95"/>
  <c r="M27" i="95"/>
  <c r="L27" i="95"/>
  <c r="AX25" i="95"/>
  <c r="AS25" i="95"/>
  <c r="AN25" i="95"/>
  <c r="AI25" i="95"/>
  <c r="AD25" i="95"/>
  <c r="Z25" i="95"/>
  <c r="U36" i="96" s="1"/>
  <c r="U25" i="95"/>
  <c r="T36" i="96" s="1"/>
  <c r="P25" i="95"/>
  <c r="S36" i="96" s="1"/>
  <c r="AX24" i="95"/>
  <c r="AS24" i="95"/>
  <c r="AN24" i="95"/>
  <c r="AI24" i="95"/>
  <c r="AD24" i="95"/>
  <c r="Z24" i="95"/>
  <c r="U35" i="96" s="1"/>
  <c r="U24" i="95"/>
  <c r="T35" i="96" s="1"/>
  <c r="P24" i="95"/>
  <c r="S35" i="96" s="1"/>
  <c r="S22" i="95"/>
  <c r="R22" i="95"/>
  <c r="Q22" i="95"/>
  <c r="N22" i="95"/>
  <c r="M22" i="95"/>
  <c r="L22" i="95"/>
  <c r="S21" i="95"/>
  <c r="R21" i="95"/>
  <c r="Q21" i="95"/>
  <c r="N21" i="95"/>
  <c r="M21" i="95"/>
  <c r="L21" i="95"/>
  <c r="AT20" i="95"/>
  <c r="Y31" i="96" s="1"/>
  <c r="AR20" i="95"/>
  <c r="AQ20" i="95"/>
  <c r="AO20" i="95"/>
  <c r="X31" i="96" s="1"/>
  <c r="AM20" i="95"/>
  <c r="AL20" i="95"/>
  <c r="AK20" i="95"/>
  <c r="AJ20" i="95"/>
  <c r="W31" i="96" s="1"/>
  <c r="AH20" i="95"/>
  <c r="AG20" i="95"/>
  <c r="AF20" i="95"/>
  <c r="AC20" i="95"/>
  <c r="AB20" i="95"/>
  <c r="AA20" i="95"/>
  <c r="Y20" i="95"/>
  <c r="X20" i="95"/>
  <c r="W20" i="95"/>
  <c r="V20" i="95"/>
  <c r="T20" i="95"/>
  <c r="S20" i="95"/>
  <c r="R20" i="95"/>
  <c r="Q20" i="95"/>
  <c r="O20" i="95"/>
  <c r="N20" i="95"/>
  <c r="M20" i="95"/>
  <c r="L20" i="95"/>
  <c r="AE20" i="95"/>
  <c r="V31" i="96" s="1"/>
  <c r="S16" i="95"/>
  <c r="R16" i="95"/>
  <c r="Q16" i="95"/>
  <c r="N16" i="95"/>
  <c r="M16" i="95"/>
  <c r="L16" i="95"/>
  <c r="L17" i="95" s="1"/>
  <c r="S13" i="95"/>
  <c r="R13" i="95"/>
  <c r="Q13" i="95"/>
  <c r="N13" i="95"/>
  <c r="M13" i="95"/>
  <c r="M14" i="95" s="1"/>
  <c r="L13" i="95"/>
  <c r="AX12" i="95"/>
  <c r="AS12" i="95"/>
  <c r="AN12" i="95"/>
  <c r="AI12" i="95"/>
  <c r="AD12" i="95"/>
  <c r="Z12" i="95"/>
  <c r="U12" i="96" s="1"/>
  <c r="U12" i="95"/>
  <c r="T12" i="96" s="1"/>
  <c r="P12" i="95"/>
  <c r="S12" i="96" s="1"/>
  <c r="S10" i="95"/>
  <c r="R10" i="95"/>
  <c r="Q10" i="95"/>
  <c r="N10" i="95"/>
  <c r="M10" i="95"/>
  <c r="L10" i="95"/>
  <c r="AT7" i="95"/>
  <c r="Y7" i="96" s="1"/>
  <c r="AR7" i="95"/>
  <c r="AQ7" i="95"/>
  <c r="AP7" i="95"/>
  <c r="AO7" i="95"/>
  <c r="X7" i="96" s="1"/>
  <c r="AM7" i="95"/>
  <c r="AL7" i="95"/>
  <c r="AK7" i="95"/>
  <c r="AJ7" i="95"/>
  <c r="W7" i="96" s="1"/>
  <c r="AH7" i="95"/>
  <c r="AG7" i="95"/>
  <c r="AC7" i="95"/>
  <c r="AB7" i="95"/>
  <c r="AS6" i="95"/>
  <c r="AS38" i="95" s="1"/>
  <c r="AN6" i="95"/>
  <c r="AN38" i="95" s="1"/>
  <c r="AI6" i="95"/>
  <c r="AI38" i="95" s="1"/>
  <c r="AA6" i="95"/>
  <c r="AA7" i="95" s="1"/>
  <c r="AT4" i="95"/>
  <c r="Y4" i="96" s="1"/>
  <c r="AR4" i="95"/>
  <c r="AQ4" i="95"/>
  <c r="AP4" i="95"/>
  <c r="AO4" i="95"/>
  <c r="X4" i="96" s="1"/>
  <c r="AM4" i="95"/>
  <c r="AL4" i="95"/>
  <c r="AK4" i="95"/>
  <c r="AJ4" i="95"/>
  <c r="W4" i="96" s="1"/>
  <c r="AH4" i="95"/>
  <c r="AG4" i="95"/>
  <c r="AF4" i="95"/>
  <c r="AS3" i="95"/>
  <c r="AS35" i="95" s="1"/>
  <c r="AN3" i="95"/>
  <c r="AN35" i="95" s="1"/>
  <c r="AI3" i="95"/>
  <c r="AI35" i="95" s="1"/>
  <c r="AD3" i="95"/>
  <c r="AD35" i="95" s="1"/>
  <c r="AC4" i="95"/>
  <c r="AB4" i="95"/>
  <c r="AY2" i="95"/>
  <c r="AX2" i="95"/>
  <c r="AW2" i="95"/>
  <c r="AV2" i="95"/>
  <c r="AU2" i="95"/>
  <c r="AT2" i="95"/>
  <c r="AS2" i="95"/>
  <c r="AR2" i="95"/>
  <c r="AQ2" i="95"/>
  <c r="AP2" i="95"/>
  <c r="AO2" i="95"/>
  <c r="AN2" i="95"/>
  <c r="AM2" i="95"/>
  <c r="AL2" i="95"/>
  <c r="AK2" i="95"/>
  <c r="AJ2" i="95"/>
  <c r="AI2" i="95"/>
  <c r="AH2" i="95"/>
  <c r="AG2" i="95"/>
  <c r="AF2" i="95"/>
  <c r="AE2" i="95"/>
  <c r="AD2" i="95"/>
  <c r="AC2" i="95"/>
  <c r="AB2" i="95"/>
  <c r="AA2" i="95"/>
  <c r="Z2" i="95"/>
  <c r="Y2" i="95"/>
  <c r="X2" i="95"/>
  <c r="W2" i="95"/>
  <c r="V2" i="95"/>
  <c r="U2" i="95"/>
  <c r="T2" i="95"/>
  <c r="S2" i="95"/>
  <c r="R2" i="95"/>
  <c r="Q2" i="95"/>
  <c r="P2" i="95"/>
  <c r="O2" i="95"/>
  <c r="N2" i="95"/>
  <c r="M2" i="95"/>
  <c r="L2" i="95"/>
  <c r="K2" i="95"/>
  <c r="J2" i="95"/>
  <c r="I2" i="95"/>
  <c r="H2" i="95"/>
  <c r="G2" i="95"/>
  <c r="F2" i="95"/>
  <c r="E2" i="95"/>
  <c r="D2" i="95"/>
  <c r="C2" i="95"/>
  <c r="B2" i="95"/>
  <c r="Z45" i="93"/>
  <c r="Y45" i="93"/>
  <c r="X45" i="93"/>
  <c r="W45" i="93"/>
  <c r="V45" i="93"/>
  <c r="X41" i="93"/>
  <c r="W41" i="93"/>
  <c r="V41" i="93"/>
  <c r="U41" i="93"/>
  <c r="T41" i="93"/>
  <c r="S41" i="93"/>
  <c r="X38" i="93"/>
  <c r="W38" i="93"/>
  <c r="V38" i="93"/>
  <c r="U38" i="93"/>
  <c r="T38" i="93"/>
  <c r="S38" i="93"/>
  <c r="X37" i="93"/>
  <c r="W37" i="93"/>
  <c r="V37" i="93"/>
  <c r="U37" i="93"/>
  <c r="T37" i="93"/>
  <c r="S37" i="93"/>
  <c r="X35" i="93"/>
  <c r="W35" i="93"/>
  <c r="V35" i="93"/>
  <c r="U35" i="93"/>
  <c r="T35" i="93"/>
  <c r="S35" i="93"/>
  <c r="X34" i="93"/>
  <c r="W34" i="93"/>
  <c r="V34" i="93"/>
  <c r="U34" i="93"/>
  <c r="T34" i="93"/>
  <c r="S34" i="93"/>
  <c r="Z24" i="93"/>
  <c r="Y24" i="93"/>
  <c r="X24" i="93"/>
  <c r="W24" i="93"/>
  <c r="V24" i="93"/>
  <c r="Z23" i="93"/>
  <c r="Y23" i="93"/>
  <c r="X23" i="93"/>
  <c r="W23" i="93"/>
  <c r="V23" i="93"/>
  <c r="U23" i="93"/>
  <c r="T23" i="93"/>
  <c r="S23" i="93"/>
  <c r="Z21" i="93"/>
  <c r="Z12" i="93"/>
  <c r="Y12" i="93"/>
  <c r="X12" i="93"/>
  <c r="W12" i="93"/>
  <c r="V12" i="93"/>
  <c r="R12" i="93"/>
  <c r="K9" i="94"/>
  <c r="R9" i="93" s="1"/>
  <c r="R10" i="93"/>
  <c r="Z7" i="93"/>
  <c r="U7" i="93"/>
  <c r="T7" i="93"/>
  <c r="S7" i="93"/>
  <c r="R7" i="93"/>
  <c r="Y6" i="93"/>
  <c r="X6" i="93"/>
  <c r="W6" i="93"/>
  <c r="V6" i="93"/>
  <c r="U6" i="93"/>
  <c r="T6" i="93"/>
  <c r="S6" i="93"/>
  <c r="R6" i="93"/>
  <c r="Z4" i="93"/>
  <c r="U4" i="93"/>
  <c r="T4" i="93"/>
  <c r="S4" i="93"/>
  <c r="R4" i="93"/>
  <c r="Y3" i="93"/>
  <c r="X3" i="93"/>
  <c r="W3" i="93"/>
  <c r="V3" i="93"/>
  <c r="U3" i="93"/>
  <c r="T3" i="93"/>
  <c r="R3" i="93"/>
  <c r="S3" i="93"/>
  <c r="AE2" i="93"/>
  <c r="AD2" i="93"/>
  <c r="AC2" i="93"/>
  <c r="AA2" i="93"/>
  <c r="Z2" i="93"/>
  <c r="Y2" i="93"/>
  <c r="X2" i="93"/>
  <c r="W2" i="93"/>
  <c r="V2" i="93"/>
  <c r="U2" i="93"/>
  <c r="T2" i="93"/>
  <c r="S2" i="93"/>
  <c r="R2" i="93"/>
  <c r="Q2" i="93"/>
  <c r="P2" i="93"/>
  <c r="O2" i="93"/>
  <c r="N2" i="93"/>
  <c r="M2" i="93"/>
  <c r="L2" i="93"/>
  <c r="K2" i="93"/>
  <c r="J2" i="93"/>
  <c r="I2" i="93"/>
  <c r="H2" i="93"/>
  <c r="G2" i="93"/>
  <c r="F2" i="93"/>
  <c r="E2" i="93"/>
  <c r="D2" i="93"/>
  <c r="C2" i="93"/>
  <c r="B2" i="93"/>
  <c r="AS6" i="94"/>
  <c r="AT9" i="94"/>
  <c r="AR9" i="94"/>
  <c r="AQ9" i="94"/>
  <c r="AQ43" i="94" s="1"/>
  <c r="AP9" i="94"/>
  <c r="AO9" i="94"/>
  <c r="AO8" i="13" s="1"/>
  <c r="X8" i="15" s="1"/>
  <c r="AM9" i="94"/>
  <c r="AM42" i="94" s="1"/>
  <c r="AL9" i="94"/>
  <c r="AK9" i="94"/>
  <c r="AK8" i="13" s="1"/>
  <c r="AJ9" i="94"/>
  <c r="AH9" i="94"/>
  <c r="AG9" i="94"/>
  <c r="AG43" i="94" s="1"/>
  <c r="AF9" i="94"/>
  <c r="AF21" i="94" s="1"/>
  <c r="AE9" i="94"/>
  <c r="AE42" i="94" s="1"/>
  <c r="V42" i="93" s="1"/>
  <c r="AC9" i="94"/>
  <c r="AC43" i="94" s="1"/>
  <c r="AB9" i="94"/>
  <c r="AB43" i="94" s="1"/>
  <c r="AA9" i="94"/>
  <c r="AA21" i="94" s="1"/>
  <c r="Z9" i="94"/>
  <c r="U9" i="93" s="1"/>
  <c r="X9" i="94"/>
  <c r="X16" i="94" s="1"/>
  <c r="W9" i="94"/>
  <c r="W42" i="94" s="1"/>
  <c r="V9" i="94"/>
  <c r="V43" i="94" s="1"/>
  <c r="U9" i="94"/>
  <c r="T9" i="93" s="1"/>
  <c r="S9" i="94"/>
  <c r="S43" i="94" s="1"/>
  <c r="R9" i="94"/>
  <c r="R43" i="94" s="1"/>
  <c r="Q9" i="94"/>
  <c r="Q43" i="94" s="1"/>
  <c r="P9" i="94"/>
  <c r="S9" i="93" s="1"/>
  <c r="N9" i="94"/>
  <c r="N21" i="94" s="1"/>
  <c r="M9" i="94"/>
  <c r="M21" i="94" s="1"/>
  <c r="L9" i="94"/>
  <c r="L42" i="94" s="1"/>
  <c r="AS54" i="94"/>
  <c r="AN54" i="94"/>
  <c r="AI54" i="94"/>
  <c r="AD54" i="94"/>
  <c r="Z54" i="94"/>
  <c r="U45" i="93" s="1"/>
  <c r="U54" i="94"/>
  <c r="T45" i="93" s="1"/>
  <c r="P54" i="94"/>
  <c r="S45" i="93" s="1"/>
  <c r="J54" i="94"/>
  <c r="K54" i="94" s="1"/>
  <c r="R45" i="93" s="1"/>
  <c r="E54" i="94"/>
  <c r="F54" i="94" s="1"/>
  <c r="Q45" i="93" s="1"/>
  <c r="AR49" i="94"/>
  <c r="AQ49" i="94"/>
  <c r="AP49" i="94"/>
  <c r="AM49" i="94"/>
  <c r="AL49" i="94"/>
  <c r="AK49" i="94"/>
  <c r="AH49" i="94"/>
  <c r="AG49" i="94"/>
  <c r="AF49" i="94"/>
  <c r="AC49" i="94"/>
  <c r="AB49" i="94"/>
  <c r="AA49" i="94"/>
  <c r="X49" i="94"/>
  <c r="W49" i="94"/>
  <c r="V49" i="94"/>
  <c r="S49" i="94"/>
  <c r="R49" i="94"/>
  <c r="Q49" i="94"/>
  <c r="N49" i="94"/>
  <c r="M49" i="94"/>
  <c r="L49" i="94"/>
  <c r="AR48" i="94"/>
  <c r="AQ48" i="94"/>
  <c r="AP48" i="94"/>
  <c r="AM48" i="94"/>
  <c r="AL48" i="94"/>
  <c r="AK48" i="94"/>
  <c r="AH48" i="94"/>
  <c r="AG48" i="94"/>
  <c r="AF48" i="94"/>
  <c r="AC48" i="94"/>
  <c r="AB48" i="94"/>
  <c r="AA48" i="94"/>
  <c r="X48" i="94"/>
  <c r="W48" i="94"/>
  <c r="V48" i="94"/>
  <c r="S48" i="94"/>
  <c r="R48" i="94"/>
  <c r="Q48" i="94"/>
  <c r="N48" i="94"/>
  <c r="M48" i="94"/>
  <c r="L48" i="94"/>
  <c r="AM47" i="94"/>
  <c r="AL47" i="94"/>
  <c r="AK47" i="94"/>
  <c r="AH47" i="94"/>
  <c r="AG47" i="94"/>
  <c r="AF47" i="94"/>
  <c r="AC47" i="94"/>
  <c r="AB47" i="94"/>
  <c r="AA47" i="94"/>
  <c r="X47" i="94"/>
  <c r="W47" i="94"/>
  <c r="V47" i="94"/>
  <c r="S47" i="94"/>
  <c r="R47" i="94"/>
  <c r="Q47" i="94"/>
  <c r="N47" i="94"/>
  <c r="M47" i="94"/>
  <c r="L47" i="94"/>
  <c r="AR46" i="94"/>
  <c r="AQ46" i="94"/>
  <c r="AP46" i="94"/>
  <c r="AM46" i="94"/>
  <c r="AL46" i="94"/>
  <c r="AK46" i="94"/>
  <c r="AH46" i="94"/>
  <c r="AG46" i="94"/>
  <c r="AF46" i="94"/>
  <c r="AC46" i="94"/>
  <c r="AB46" i="94"/>
  <c r="AA46" i="94"/>
  <c r="X46" i="94"/>
  <c r="W46" i="94"/>
  <c r="V46" i="94"/>
  <c r="S46" i="94"/>
  <c r="R46" i="94"/>
  <c r="Q46" i="94"/>
  <c r="N46" i="94"/>
  <c r="M46" i="94"/>
  <c r="L46" i="94"/>
  <c r="AT39" i="94"/>
  <c r="AR39" i="94"/>
  <c r="AQ39" i="94"/>
  <c r="AP39" i="94"/>
  <c r="AO39" i="94"/>
  <c r="AM39" i="94"/>
  <c r="AL39" i="94"/>
  <c r="AK39" i="94"/>
  <c r="AJ39" i="94"/>
  <c r="AH39" i="94"/>
  <c r="AG39" i="94"/>
  <c r="AF39" i="94"/>
  <c r="AE39" i="94"/>
  <c r="AC39" i="94"/>
  <c r="AB39" i="94"/>
  <c r="AA39" i="94"/>
  <c r="Z39" i="94"/>
  <c r="X39" i="94"/>
  <c r="W39" i="94"/>
  <c r="V39" i="94"/>
  <c r="U39" i="94"/>
  <c r="S39" i="94"/>
  <c r="R39" i="94"/>
  <c r="Q39" i="94"/>
  <c r="P39" i="94"/>
  <c r="N39" i="94"/>
  <c r="AS38" i="94"/>
  <c r="AN38" i="94"/>
  <c r="AI38" i="94"/>
  <c r="AD38" i="94"/>
  <c r="Y38" i="94"/>
  <c r="Y49" i="94" s="1"/>
  <c r="T38" i="94"/>
  <c r="O38" i="94"/>
  <c r="O49" i="94" s="1"/>
  <c r="AT36" i="94"/>
  <c r="AR36" i="94"/>
  <c r="AQ36" i="94"/>
  <c r="AP36" i="94"/>
  <c r="AO36" i="94"/>
  <c r="AM36" i="94"/>
  <c r="AL36" i="94"/>
  <c r="AK36" i="94"/>
  <c r="AJ36" i="94"/>
  <c r="AH36" i="94"/>
  <c r="AG36" i="94"/>
  <c r="AF36" i="94"/>
  <c r="AE36" i="94"/>
  <c r="AC36" i="94"/>
  <c r="AB36" i="94"/>
  <c r="AA36" i="94"/>
  <c r="Z36" i="94"/>
  <c r="X36" i="94"/>
  <c r="W36" i="94"/>
  <c r="V36" i="94"/>
  <c r="U36" i="94"/>
  <c r="S36" i="94"/>
  <c r="R36" i="94"/>
  <c r="Q36" i="94"/>
  <c r="P36" i="94"/>
  <c r="L36" i="94"/>
  <c r="AS35" i="94"/>
  <c r="AX36" i="94" s="1"/>
  <c r="AN35" i="94"/>
  <c r="AI35" i="94"/>
  <c r="AD35" i="94"/>
  <c r="AD48" i="94" s="1"/>
  <c r="Y35" i="94"/>
  <c r="T35" i="94"/>
  <c r="T48" i="94" s="1"/>
  <c r="O35" i="94"/>
  <c r="AR27" i="94"/>
  <c r="AR19" i="13" s="1"/>
  <c r="AQ27" i="94"/>
  <c r="AQ19" i="13" s="1"/>
  <c r="AP27" i="94"/>
  <c r="AP19" i="13" s="1"/>
  <c r="AM27" i="94"/>
  <c r="AM19" i="13" s="1"/>
  <c r="AL27" i="94"/>
  <c r="AL19" i="13" s="1"/>
  <c r="AK27" i="94"/>
  <c r="AK19" i="13" s="1"/>
  <c r="AH27" i="94"/>
  <c r="AG27" i="94"/>
  <c r="AF27" i="94"/>
  <c r="AC27" i="94"/>
  <c r="AB27" i="94"/>
  <c r="AA27" i="94"/>
  <c r="Y27" i="94"/>
  <c r="X27" i="94"/>
  <c r="W27" i="94"/>
  <c r="V27" i="94"/>
  <c r="T27" i="94"/>
  <c r="S27" i="94"/>
  <c r="R27" i="94"/>
  <c r="Q27" i="94"/>
  <c r="O27" i="94"/>
  <c r="N27" i="94"/>
  <c r="M27" i="94"/>
  <c r="L27" i="94"/>
  <c r="AX25" i="94"/>
  <c r="AS25" i="94"/>
  <c r="AN25" i="94"/>
  <c r="AI25" i="94"/>
  <c r="AD25" i="94"/>
  <c r="Z25" i="94"/>
  <c r="U25" i="94"/>
  <c r="P25" i="94"/>
  <c r="AX24" i="94"/>
  <c r="AS24" i="94"/>
  <c r="AN24" i="94"/>
  <c r="AI24" i="94"/>
  <c r="AD24" i="94"/>
  <c r="Z24" i="94"/>
  <c r="U24" i="93" s="1"/>
  <c r="U24" i="94"/>
  <c r="P24" i="94"/>
  <c r="AT20" i="94"/>
  <c r="Y20" i="93" s="1"/>
  <c r="AR20" i="94"/>
  <c r="AQ20" i="94"/>
  <c r="AO20" i="94"/>
  <c r="X20" i="93" s="1"/>
  <c r="AM20" i="94"/>
  <c r="AL20" i="94"/>
  <c r="AK20" i="94"/>
  <c r="AJ20" i="94"/>
  <c r="W20" i="93" s="1"/>
  <c r="AH20" i="94"/>
  <c r="AG20" i="94"/>
  <c r="AF20" i="94"/>
  <c r="AC20" i="94"/>
  <c r="AB20" i="94"/>
  <c r="AA20" i="94"/>
  <c r="Y20" i="94"/>
  <c r="X20" i="94"/>
  <c r="W20" i="94"/>
  <c r="V20" i="94"/>
  <c r="U20" i="94"/>
  <c r="T20" i="93" s="1"/>
  <c r="T20" i="94"/>
  <c r="S20" i="94"/>
  <c r="R20" i="94"/>
  <c r="Q20" i="94"/>
  <c r="O20" i="94"/>
  <c r="N20" i="94"/>
  <c r="M20" i="94"/>
  <c r="L20" i="94"/>
  <c r="AS20" i="94"/>
  <c r="Z20" i="94"/>
  <c r="U20" i="93" s="1"/>
  <c r="AX12" i="94"/>
  <c r="AS12" i="94"/>
  <c r="AN12" i="94"/>
  <c r="AI12" i="94"/>
  <c r="AD12" i="94"/>
  <c r="Z12" i="94"/>
  <c r="U12" i="93" s="1"/>
  <c r="U12" i="94"/>
  <c r="T12" i="93" s="1"/>
  <c r="P12" i="94"/>
  <c r="S12" i="93" s="1"/>
  <c r="AO7" i="94"/>
  <c r="X7" i="93" s="1"/>
  <c r="AM7" i="94"/>
  <c r="AL7" i="94"/>
  <c r="AK7" i="94"/>
  <c r="AJ7" i="94"/>
  <c r="W7" i="93" s="1"/>
  <c r="AH7" i="94"/>
  <c r="AG7" i="94"/>
  <c r="AF7" i="94"/>
  <c r="AE7" i="94"/>
  <c r="V7" i="93" s="1"/>
  <c r="AC7" i="94"/>
  <c r="AB7" i="94"/>
  <c r="AA7" i="94"/>
  <c r="AN6" i="94"/>
  <c r="AN47" i="94" s="1"/>
  <c r="AI6" i="94"/>
  <c r="AI47" i="94" s="1"/>
  <c r="AD6" i="94"/>
  <c r="AD47" i="94" s="1"/>
  <c r="Y6" i="94"/>
  <c r="Y47" i="94" s="1"/>
  <c r="T6" i="94"/>
  <c r="T47" i="94" s="1"/>
  <c r="O6" i="94"/>
  <c r="O47" i="94" s="1"/>
  <c r="AT4" i="94"/>
  <c r="Y4" i="93" s="1"/>
  <c r="AR4" i="94"/>
  <c r="AQ4" i="94"/>
  <c r="AP4" i="94"/>
  <c r="AO4" i="94"/>
  <c r="X4" i="93" s="1"/>
  <c r="AM4" i="94"/>
  <c r="AL4" i="94"/>
  <c r="AK4" i="94"/>
  <c r="AJ4" i="94"/>
  <c r="W4" i="93" s="1"/>
  <c r="AH4" i="94"/>
  <c r="AG4" i="94"/>
  <c r="AF4" i="94"/>
  <c r="AE4" i="94"/>
  <c r="V4" i="93" s="1"/>
  <c r="AC4" i="94"/>
  <c r="AB4" i="94"/>
  <c r="AA4" i="94"/>
  <c r="AS3" i="94"/>
  <c r="AS46" i="94" s="1"/>
  <c r="AN3" i="94"/>
  <c r="AN46" i="94" s="1"/>
  <c r="AI3" i="94"/>
  <c r="AI46" i="94" s="1"/>
  <c r="AD3" i="94"/>
  <c r="AD46" i="94" s="1"/>
  <c r="Y3" i="94"/>
  <c r="Y46" i="94" s="1"/>
  <c r="T3" i="94"/>
  <c r="T46" i="94" s="1"/>
  <c r="O3" i="94"/>
  <c r="O46" i="94" s="1"/>
  <c r="AY2" i="94"/>
  <c r="AX2" i="94"/>
  <c r="AW2" i="94"/>
  <c r="AV2" i="94"/>
  <c r="AT2" i="94"/>
  <c r="AS2" i="94"/>
  <c r="AR2" i="94"/>
  <c r="AQ2" i="94"/>
  <c r="AP2" i="94"/>
  <c r="AO2" i="94"/>
  <c r="AN2" i="94"/>
  <c r="AM2" i="94"/>
  <c r="AL2" i="94"/>
  <c r="AK2" i="94"/>
  <c r="AJ2" i="94"/>
  <c r="AI2" i="94"/>
  <c r="AH2" i="94"/>
  <c r="AG2" i="94"/>
  <c r="AF2" i="94"/>
  <c r="AE2" i="94"/>
  <c r="AD2" i="94"/>
  <c r="AC2" i="94"/>
  <c r="AB2" i="94"/>
  <c r="AA2" i="94"/>
  <c r="Z2" i="94"/>
  <c r="Y2" i="94"/>
  <c r="X2" i="94"/>
  <c r="W2" i="94"/>
  <c r="V2" i="94"/>
  <c r="U2" i="94"/>
  <c r="T2" i="94"/>
  <c r="S2" i="94"/>
  <c r="R2" i="94"/>
  <c r="Q2" i="94"/>
  <c r="P2" i="94"/>
  <c r="O2" i="94"/>
  <c r="N2" i="94"/>
  <c r="M2" i="94"/>
  <c r="L2" i="94"/>
  <c r="K2" i="94"/>
  <c r="J2" i="94"/>
  <c r="I2" i="94"/>
  <c r="H2" i="94"/>
  <c r="G2" i="94"/>
  <c r="F2" i="94"/>
  <c r="E2" i="94"/>
  <c r="D2" i="94"/>
  <c r="C2" i="94"/>
  <c r="B2" i="94"/>
  <c r="AE233" i="87"/>
  <c r="AD233" i="87"/>
  <c r="AC233" i="87"/>
  <c r="AB233" i="87"/>
  <c r="AA233" i="87"/>
  <c r="Z233" i="87"/>
  <c r="Y233" i="87"/>
  <c r="B233" i="87"/>
  <c r="AE197" i="87"/>
  <c r="AD197" i="87"/>
  <c r="AC197" i="87"/>
  <c r="AB197" i="87"/>
  <c r="AA197" i="87"/>
  <c r="Z197" i="87"/>
  <c r="Y197" i="87"/>
  <c r="B197" i="87"/>
  <c r="AE46" i="15" l="1"/>
  <c r="AB42" i="95"/>
  <c r="AC42" i="95"/>
  <c r="U147" i="87"/>
  <c r="AH36" i="95"/>
  <c r="V147" i="87"/>
  <c r="W147" i="87"/>
  <c r="X147" i="87"/>
  <c r="AY63" i="17"/>
  <c r="U27" i="94"/>
  <c r="T27" i="93" s="1"/>
  <c r="AO36" i="95"/>
  <c r="BA32" i="94"/>
  <c r="Y121" i="87"/>
  <c r="Y170" i="87"/>
  <c r="Y334" i="87"/>
  <c r="Y147" i="87"/>
  <c r="BA47" i="94"/>
  <c r="BB47" i="94"/>
  <c r="L16" i="94"/>
  <c r="L17" i="94" s="1"/>
  <c r="AF16" i="94"/>
  <c r="AO21" i="95"/>
  <c r="X32" i="96" s="1"/>
  <c r="AC48" i="45"/>
  <c r="AP22" i="13"/>
  <c r="AP24" i="13" s="1"/>
  <c r="AP26" i="13" s="1"/>
  <c r="AP102" i="13" s="1"/>
  <c r="V16" i="95"/>
  <c r="V17" i="95" s="1"/>
  <c r="AC39" i="45"/>
  <c r="AD49" i="45"/>
  <c r="AC73" i="45"/>
  <c r="AP21" i="94"/>
  <c r="AP22" i="94"/>
  <c r="AU22" i="94"/>
  <c r="AQ22" i="13"/>
  <c r="AW78" i="13"/>
  <c r="AW79" i="17" s="1"/>
  <c r="AW31" i="13"/>
  <c r="AU78" i="13"/>
  <c r="AU31" i="13"/>
  <c r="AV31" i="13"/>
  <c r="AV78" i="13"/>
  <c r="AV79" i="17" s="1"/>
  <c r="AR22" i="13"/>
  <c r="AP22" i="95"/>
  <c r="AU22" i="95"/>
  <c r="AP21" i="95"/>
  <c r="AE10" i="45"/>
  <c r="AF10" i="45" s="1"/>
  <c r="AE11" i="45"/>
  <c r="AD64" i="45"/>
  <c r="AK16" i="95"/>
  <c r="L43" i="94"/>
  <c r="P27" i="94"/>
  <c r="S27" i="93" s="1"/>
  <c r="Q10" i="94"/>
  <c r="AS49" i="94"/>
  <c r="AX39" i="94"/>
  <c r="AZ64" i="17"/>
  <c r="AA6" i="93"/>
  <c r="AZ47" i="94"/>
  <c r="AX63" i="17"/>
  <c r="AX64" i="17"/>
  <c r="AU28" i="95"/>
  <c r="AP42" i="95"/>
  <c r="AU36" i="95"/>
  <c r="AP7" i="13"/>
  <c r="AU10" i="95"/>
  <c r="AU28" i="94"/>
  <c r="AP16" i="94"/>
  <c r="AU17" i="94" s="1"/>
  <c r="AU10" i="94"/>
  <c r="AZ31" i="95"/>
  <c r="AZ31" i="94"/>
  <c r="AY39" i="95"/>
  <c r="Y46" i="96"/>
  <c r="Y47" i="96" s="1"/>
  <c r="AY36" i="95"/>
  <c r="AT7" i="13"/>
  <c r="AY22" i="95"/>
  <c r="AY10" i="95"/>
  <c r="AY22" i="94"/>
  <c r="AY10" i="94"/>
  <c r="AW28" i="95"/>
  <c r="AW10" i="95"/>
  <c r="AW22" i="95"/>
  <c r="AW28" i="94"/>
  <c r="AW22" i="94"/>
  <c r="AW10" i="94"/>
  <c r="AV28" i="95"/>
  <c r="AV22" i="95"/>
  <c r="AV10" i="95"/>
  <c r="AV28" i="94"/>
  <c r="AV10" i="94"/>
  <c r="AV22" i="94"/>
  <c r="AV30" i="94"/>
  <c r="BA31" i="94" s="1"/>
  <c r="AA8" i="16"/>
  <c r="AL22" i="95"/>
  <c r="AO21" i="94"/>
  <c r="X21" i="93" s="1"/>
  <c r="L13" i="94"/>
  <c r="L14" i="94" s="1"/>
  <c r="L22" i="94"/>
  <c r="AO43" i="94"/>
  <c r="AF13" i="94"/>
  <c r="AF30" i="94" s="1"/>
  <c r="AX9" i="13"/>
  <c r="BB14" i="13"/>
  <c r="BC14" i="13" s="1"/>
  <c r="AN47" i="95"/>
  <c r="AF21" i="95"/>
  <c r="T21" i="95"/>
  <c r="AR49" i="95"/>
  <c r="AR16" i="95"/>
  <c r="AW17" i="95" s="1"/>
  <c r="AC21" i="95"/>
  <c r="Z58" i="96"/>
  <c r="AT13" i="95"/>
  <c r="AR13" i="95"/>
  <c r="AW32" i="95" s="1"/>
  <c r="W13" i="95"/>
  <c r="W32" i="95" s="1"/>
  <c r="AJ16" i="95"/>
  <c r="W27" i="96" s="1"/>
  <c r="W30" i="96" s="1"/>
  <c r="W38" i="96" s="1"/>
  <c r="AH21" i="95"/>
  <c r="Z57" i="96"/>
  <c r="Z112" i="87" s="1"/>
  <c r="AG22" i="95"/>
  <c r="AM43" i="94"/>
  <c r="M10" i="94"/>
  <c r="AG13" i="94"/>
  <c r="AG30" i="94" s="1"/>
  <c r="AQ16" i="94"/>
  <c r="AV17" i="94" s="1"/>
  <c r="M43" i="94"/>
  <c r="Z3" i="93"/>
  <c r="Z6" i="93"/>
  <c r="AL22" i="94"/>
  <c r="AO13" i="94"/>
  <c r="X13" i="93" s="1"/>
  <c r="W21" i="94"/>
  <c r="AE43" i="94"/>
  <c r="AG42" i="94"/>
  <c r="AL43" i="94"/>
  <c r="W16" i="94"/>
  <c r="M13" i="94"/>
  <c r="M30" i="94" s="1"/>
  <c r="AB21" i="94"/>
  <c r="M22" i="94"/>
  <c r="AL42" i="94"/>
  <c r="W43" i="94"/>
  <c r="AQ50" i="94"/>
  <c r="W10" i="94"/>
  <c r="W13" i="94"/>
  <c r="W30" i="94" s="1"/>
  <c r="AG16" i="94"/>
  <c r="AG21" i="94"/>
  <c r="W22" i="94"/>
  <c r="M42" i="94"/>
  <c r="AQ42" i="94"/>
  <c r="AG50" i="94"/>
  <c r="AL10" i="94"/>
  <c r="M16" i="94"/>
  <c r="R42" i="94"/>
  <c r="Q13" i="94"/>
  <c r="Q21" i="94"/>
  <c r="Q42" i="94"/>
  <c r="AK42" i="94"/>
  <c r="AA50" i="94"/>
  <c r="X9" i="93"/>
  <c r="L10" i="94"/>
  <c r="V13" i="94"/>
  <c r="AK13" i="94"/>
  <c r="AK30" i="94" s="1"/>
  <c r="Q16" i="94"/>
  <c r="AK16" i="94"/>
  <c r="V21" i="94"/>
  <c r="AK21" i="94"/>
  <c r="Q22" i="94"/>
  <c r="AH50" i="94"/>
  <c r="K13" i="94"/>
  <c r="R13" i="93" s="1"/>
  <c r="L21" i="94"/>
  <c r="AA42" i="94"/>
  <c r="AK43" i="94"/>
  <c r="AU8" i="13"/>
  <c r="AC16" i="94"/>
  <c r="AC17" i="94" s="1"/>
  <c r="AC21" i="94"/>
  <c r="N13" i="94"/>
  <c r="N14" i="94" s="1"/>
  <c r="AC13" i="94"/>
  <c r="AC30" i="94" s="1"/>
  <c r="AH13" i="94"/>
  <c r="AH30" i="94" s="1"/>
  <c r="AE16" i="94"/>
  <c r="V16" i="93" s="1"/>
  <c r="AO16" i="94"/>
  <c r="X16" i="93" s="1"/>
  <c r="S42" i="94"/>
  <c r="AB50" i="94"/>
  <c r="V22" i="94"/>
  <c r="AP50" i="94"/>
  <c r="AP8" i="13"/>
  <c r="V9" i="93"/>
  <c r="S24" i="93"/>
  <c r="AM21" i="94"/>
  <c r="AM8" i="13"/>
  <c r="AR42" i="94"/>
  <c r="AR8" i="13"/>
  <c r="AC42" i="94"/>
  <c r="AT21" i="94"/>
  <c r="Y21" i="93" s="1"/>
  <c r="AT8" i="13"/>
  <c r="Y8" i="15" s="1"/>
  <c r="Y9" i="93"/>
  <c r="AR10" i="94"/>
  <c r="AE13" i="94"/>
  <c r="V13" i="93" s="1"/>
  <c r="AH21" i="94"/>
  <c r="AR22" i="94"/>
  <c r="X42" i="94"/>
  <c r="AJ42" i="94"/>
  <c r="W42" i="93" s="1"/>
  <c r="AO42" i="94"/>
  <c r="X42" i="93" s="1"/>
  <c r="N43" i="94"/>
  <c r="AR43" i="94"/>
  <c r="AK50" i="94"/>
  <c r="AL21" i="94"/>
  <c r="AL8" i="13"/>
  <c r="AQ22" i="94"/>
  <c r="AQ8" i="13"/>
  <c r="W9" i="93"/>
  <c r="T24" i="93"/>
  <c r="AK10" i="95"/>
  <c r="AL10" i="95"/>
  <c r="AF16" i="95"/>
  <c r="AK21" i="95"/>
  <c r="AK13" i="95"/>
  <c r="AK32" i="95" s="1"/>
  <c r="AP16" i="95"/>
  <c r="AP10" i="95"/>
  <c r="AP13" i="95"/>
  <c r="AU14" i="95" s="1"/>
  <c r="AK22" i="95"/>
  <c r="AQ39" i="95"/>
  <c r="X10" i="95"/>
  <c r="AO10" i="95"/>
  <c r="X10" i="96" s="1"/>
  <c r="AO13" i="95"/>
  <c r="X13" i="96" s="1"/>
  <c r="X16" i="95"/>
  <c r="AC17" i="95" s="1"/>
  <c r="AT16" i="95"/>
  <c r="X21" i="95"/>
  <c r="X22" i="95"/>
  <c r="AF46" i="95"/>
  <c r="AR46" i="95"/>
  <c r="AC10" i="95"/>
  <c r="AJ13" i="95"/>
  <c r="W13" i="96" s="1"/>
  <c r="AO16" i="95"/>
  <c r="X27" i="96" s="1"/>
  <c r="X30" i="96" s="1"/>
  <c r="X38" i="96" s="1"/>
  <c r="AJ21" i="95"/>
  <c r="W32" i="96" s="1"/>
  <c r="AT21" i="95"/>
  <c r="Y32" i="96" s="1"/>
  <c r="AC22" i="95"/>
  <c r="AO22" i="95"/>
  <c r="AH49" i="95"/>
  <c r="AL46" i="95"/>
  <c r="AT10" i="95"/>
  <c r="Y10" i="96" s="1"/>
  <c r="X13" i="95"/>
  <c r="X30" i="95" s="1"/>
  <c r="T16" i="95"/>
  <c r="AT22" i="95"/>
  <c r="AK49" i="95"/>
  <c r="AH46" i="95"/>
  <c r="AG46" i="95"/>
  <c r="Y9" i="96"/>
  <c r="Y350" i="87" s="1"/>
  <c r="AF49" i="95"/>
  <c r="AR47" i="95"/>
  <c r="AK43" i="95"/>
  <c r="AP43" i="95"/>
  <c r="AC46" i="95"/>
  <c r="AM46" i="95"/>
  <c r="X46" i="95"/>
  <c r="AB46" i="95"/>
  <c r="AQ46" i="95"/>
  <c r="AP49" i="95"/>
  <c r="AL47" i="95"/>
  <c r="T47" i="96"/>
  <c r="W54" i="96"/>
  <c r="W50" i="96"/>
  <c r="AE63" i="95"/>
  <c r="V54" i="96"/>
  <c r="X54" i="96"/>
  <c r="X50" i="96"/>
  <c r="AT43" i="95"/>
  <c r="Y49" i="96"/>
  <c r="V46" i="95"/>
  <c r="V13" i="95"/>
  <c r="V30" i="95" s="1"/>
  <c r="V10" i="95"/>
  <c r="V22" i="95"/>
  <c r="V21" i="95"/>
  <c r="AB16" i="95"/>
  <c r="AB13" i="95"/>
  <c r="AB30" i="95" s="1"/>
  <c r="AG49" i="95"/>
  <c r="AG21" i="95"/>
  <c r="AG16" i="95"/>
  <c r="AG10" i="95"/>
  <c r="AL7" i="13"/>
  <c r="AL21" i="95"/>
  <c r="AL49" i="95"/>
  <c r="AL16" i="95"/>
  <c r="AQ7" i="13"/>
  <c r="X53" i="96"/>
  <c r="T50" i="96"/>
  <c r="O16" i="95"/>
  <c r="O17" i="95" s="1"/>
  <c r="O46" i="95"/>
  <c r="T10" i="95"/>
  <c r="O10" i="95"/>
  <c r="AC13" i="95"/>
  <c r="AH16" i="95"/>
  <c r="AH17" i="95" s="1"/>
  <c r="AH10" i="95"/>
  <c r="AH22" i="95"/>
  <c r="AH13" i="95"/>
  <c r="AR22" i="95"/>
  <c r="AM7" i="13"/>
  <c r="AM49" i="95"/>
  <c r="AR7" i="13"/>
  <c r="AR21" i="95"/>
  <c r="W46" i="95"/>
  <c r="V53" i="96"/>
  <c r="AB43" i="95"/>
  <c r="AL43" i="95"/>
  <c r="AO7" i="13"/>
  <c r="X7" i="15" s="1"/>
  <c r="W46" i="96"/>
  <c r="AK36" i="95"/>
  <c r="AR43" i="95"/>
  <c r="AK46" i="95"/>
  <c r="AP46" i="95"/>
  <c r="AA9" i="95"/>
  <c r="AF10" i="95" s="1"/>
  <c r="AI9" i="95"/>
  <c r="AI49" i="95" s="1"/>
  <c r="AQ13" i="95"/>
  <c r="AJ22" i="95"/>
  <c r="V43" i="95"/>
  <c r="AN9" i="95"/>
  <c r="AN16" i="95" s="1"/>
  <c r="O21" i="95"/>
  <c r="AM21" i="95"/>
  <c r="O22" i="95"/>
  <c r="T22" i="95"/>
  <c r="AS9" i="95"/>
  <c r="AS16" i="95" s="1"/>
  <c r="AM16" i="95"/>
  <c r="AJ10" i="95"/>
  <c r="W10" i="96" s="1"/>
  <c r="AB48" i="95"/>
  <c r="AM13" i="95"/>
  <c r="AE16" i="95"/>
  <c r="V27" i="96" s="1"/>
  <c r="V30" i="96" s="1"/>
  <c r="V38" i="96" s="1"/>
  <c r="AE21" i="95"/>
  <c r="V32" i="96" s="1"/>
  <c r="AQ43" i="95"/>
  <c r="AB49" i="95"/>
  <c r="AE42" i="95"/>
  <c r="AE10" i="95"/>
  <c r="V10" i="96" s="1"/>
  <c r="AQ10" i="95"/>
  <c r="AE13" i="95"/>
  <c r="V13" i="96" s="1"/>
  <c r="AQ22" i="95"/>
  <c r="AC49" i="95"/>
  <c r="AQ49" i="95"/>
  <c r="AM43" i="95"/>
  <c r="W10" i="95"/>
  <c r="AB10" i="95"/>
  <c r="AM10" i="95"/>
  <c r="AR10" i="95"/>
  <c r="W16" i="95"/>
  <c r="W17" i="95" s="1"/>
  <c r="AQ16" i="95"/>
  <c r="AV17" i="95" s="1"/>
  <c r="W21" i="95"/>
  <c r="AQ21" i="95"/>
  <c r="W22" i="95"/>
  <c r="AB22" i="95"/>
  <c r="AM22" i="95"/>
  <c r="AE43" i="95"/>
  <c r="AC39" i="95"/>
  <c r="AH48" i="95"/>
  <c r="AL42" i="95"/>
  <c r="AH43" i="95"/>
  <c r="AP48" i="95"/>
  <c r="AF48" i="95"/>
  <c r="AN39" i="95"/>
  <c r="W43" i="95"/>
  <c r="AQ48" i="95"/>
  <c r="AF47" i="95"/>
  <c r="AK47" i="95"/>
  <c r="W35" i="95"/>
  <c r="W36" i="95" s="1"/>
  <c r="AG39" i="95"/>
  <c r="AB39" i="95"/>
  <c r="X35" i="95"/>
  <c r="X36" i="95" s="1"/>
  <c r="AM36" i="95"/>
  <c r="AQ36" i="95"/>
  <c r="AI36" i="95"/>
  <c r="AS36" i="95"/>
  <c r="AQ47" i="95"/>
  <c r="AM48" i="95"/>
  <c r="AM42" i="95"/>
  <c r="AA47" i="95"/>
  <c r="AP39" i="95"/>
  <c r="AQ28" i="95"/>
  <c r="AQ42" i="95"/>
  <c r="AG47" i="95"/>
  <c r="AC48" i="95"/>
  <c r="AM39" i="95"/>
  <c r="AL36" i="95"/>
  <c r="AM47" i="95"/>
  <c r="AA38" i="95"/>
  <c r="AJ42" i="95"/>
  <c r="AR42" i="95"/>
  <c r="AC43" i="95"/>
  <c r="AK39" i="95"/>
  <c r="AJ36" i="95"/>
  <c r="AI48" i="95"/>
  <c r="AR39" i="95"/>
  <c r="X43" i="95"/>
  <c r="AJ43" i="95"/>
  <c r="AO43" i="95"/>
  <c r="AK48" i="95"/>
  <c r="AT39" i="95"/>
  <c r="AO39" i="95"/>
  <c r="AJ39" i="95"/>
  <c r="AF43" i="95"/>
  <c r="AL48" i="95"/>
  <c r="AR48" i="95"/>
  <c r="AH39" i="95"/>
  <c r="AG43" i="95"/>
  <c r="AG48" i="95"/>
  <c r="AL39" i="95"/>
  <c r="AR36" i="95"/>
  <c r="AF42" i="95"/>
  <c r="AB47" i="95"/>
  <c r="AG36" i="95"/>
  <c r="AC47" i="95"/>
  <c r="AG42" i="95"/>
  <c r="AH42" i="95"/>
  <c r="AP36" i="95"/>
  <c r="AO42" i="95"/>
  <c r="AT42" i="95"/>
  <c r="AH47" i="95"/>
  <c r="AP47" i="95"/>
  <c r="AT36" i="95"/>
  <c r="AF36" i="95"/>
  <c r="AK42" i="95"/>
  <c r="AN27" i="95"/>
  <c r="AN18" i="13" s="1"/>
  <c r="AG28" i="95"/>
  <c r="AS39" i="95"/>
  <c r="O48" i="95"/>
  <c r="AN36" i="95"/>
  <c r="U10" i="95"/>
  <c r="T10" i="96" s="1"/>
  <c r="M17" i="95"/>
  <c r="AM28" i="95"/>
  <c r="AS4" i="95"/>
  <c r="AS7" i="95"/>
  <c r="Q17" i="95"/>
  <c r="AF30" i="95"/>
  <c r="AL28" i="95"/>
  <c r="Q28" i="95"/>
  <c r="V28" i="95"/>
  <c r="L14" i="95"/>
  <c r="P20" i="95"/>
  <c r="S31" i="96" s="1"/>
  <c r="AI20" i="95"/>
  <c r="AI63" i="95"/>
  <c r="AI4" i="95"/>
  <c r="S14" i="95"/>
  <c r="U13" i="95"/>
  <c r="Z10" i="95"/>
  <c r="U10" i="96" s="1"/>
  <c r="U21" i="95"/>
  <c r="T32" i="96" s="1"/>
  <c r="AN4" i="95"/>
  <c r="AN7" i="95"/>
  <c r="AF7" i="95"/>
  <c r="Q14" i="95"/>
  <c r="Z13" i="95"/>
  <c r="N17" i="95"/>
  <c r="R28" i="95"/>
  <c r="W28" i="95"/>
  <c r="AH28" i="95"/>
  <c r="E47" i="95"/>
  <c r="C48" i="95"/>
  <c r="P27" i="95"/>
  <c r="L50" i="95" s="1"/>
  <c r="AA28" i="95"/>
  <c r="M49" i="95"/>
  <c r="L49" i="95"/>
  <c r="O49" i="95"/>
  <c r="N49" i="95"/>
  <c r="P16" i="95"/>
  <c r="S27" i="96" s="1"/>
  <c r="S30" i="96" s="1"/>
  <c r="S38" i="96" s="1"/>
  <c r="R14" i="95"/>
  <c r="AL14" i="95"/>
  <c r="C50" i="95"/>
  <c r="Z27" i="95"/>
  <c r="Y50" i="95" s="1"/>
  <c r="AE22" i="95"/>
  <c r="Z20" i="95"/>
  <c r="U31" i="96" s="1"/>
  <c r="AS27" i="95"/>
  <c r="AS18" i="13" s="1"/>
  <c r="AN20" i="95"/>
  <c r="Z22" i="95"/>
  <c r="D50" i="95"/>
  <c r="AB28" i="95"/>
  <c r="AR28" i="95"/>
  <c r="AD6" i="95"/>
  <c r="AD9" i="95" s="1"/>
  <c r="AD46" i="95" s="1"/>
  <c r="Q49" i="95"/>
  <c r="T49" i="95"/>
  <c r="S49" i="95"/>
  <c r="R49" i="95"/>
  <c r="U16" i="95"/>
  <c r="AD27" i="95"/>
  <c r="AE27" i="95" s="1"/>
  <c r="AD20" i="95"/>
  <c r="AS20" i="95"/>
  <c r="S30" i="95"/>
  <c r="X28" i="95"/>
  <c r="AS48" i="95"/>
  <c r="I49" i="95"/>
  <c r="H49" i="95"/>
  <c r="J49" i="95"/>
  <c r="G49" i="95"/>
  <c r="S17" i="95"/>
  <c r="U22" i="95"/>
  <c r="U27" i="95"/>
  <c r="Q50" i="95" s="1"/>
  <c r="U20" i="95"/>
  <c r="T31" i="96" s="1"/>
  <c r="P22" i="95"/>
  <c r="E49" i="95"/>
  <c r="D49" i="95"/>
  <c r="C49" i="95"/>
  <c r="B49" i="95"/>
  <c r="X49" i="95"/>
  <c r="W49" i="95"/>
  <c r="V49" i="95"/>
  <c r="P10" i="95"/>
  <c r="S10" i="96" s="1"/>
  <c r="P13" i="95"/>
  <c r="S13" i="96" s="1"/>
  <c r="N14" i="95"/>
  <c r="R17" i="95"/>
  <c r="Z16" i="95"/>
  <c r="P21" i="95"/>
  <c r="S32" i="96" s="1"/>
  <c r="AI27" i="95"/>
  <c r="Z21" i="95"/>
  <c r="U32" i="96" s="1"/>
  <c r="L28" i="95"/>
  <c r="L32" i="95"/>
  <c r="L30" i="95"/>
  <c r="T28" i="95"/>
  <c r="Y28" i="95"/>
  <c r="AF28" i="95"/>
  <c r="AK28" i="95"/>
  <c r="M32" i="95"/>
  <c r="M30" i="95"/>
  <c r="Q32" i="95"/>
  <c r="Q30" i="95"/>
  <c r="AG30" i="95"/>
  <c r="M28" i="95"/>
  <c r="AC28" i="95"/>
  <c r="I47" i="95"/>
  <c r="AS47" i="95"/>
  <c r="E48" i="95"/>
  <c r="I48" i="95"/>
  <c r="U63" i="95"/>
  <c r="Z63" i="95"/>
  <c r="AN63" i="95"/>
  <c r="N30" i="95"/>
  <c r="R32" i="95"/>
  <c r="R30" i="95"/>
  <c r="AL30" i="95"/>
  <c r="AL32" i="95"/>
  <c r="N28" i="95"/>
  <c r="S28" i="95"/>
  <c r="C47" i="95"/>
  <c r="D47" i="95"/>
  <c r="B47" i="95"/>
  <c r="J47" i="95"/>
  <c r="AD47" i="95"/>
  <c r="S32" i="95"/>
  <c r="O28" i="95"/>
  <c r="AP28" i="95"/>
  <c r="N32" i="95"/>
  <c r="AI47" i="95"/>
  <c r="B48" i="95"/>
  <c r="G47" i="95"/>
  <c r="D48" i="95"/>
  <c r="AS63" i="95"/>
  <c r="H48" i="95"/>
  <c r="AN48" i="95"/>
  <c r="T48" i="95"/>
  <c r="O47" i="95"/>
  <c r="AD9" i="94"/>
  <c r="AD50" i="94" s="1"/>
  <c r="R10" i="94"/>
  <c r="AA10" i="94"/>
  <c r="AM10" i="94"/>
  <c r="AT10" i="94"/>
  <c r="Y10" i="93" s="1"/>
  <c r="AP13" i="94"/>
  <c r="AU14" i="94" s="1"/>
  <c r="R16" i="94"/>
  <c r="AL16" i="94"/>
  <c r="R22" i="94"/>
  <c r="AA22" i="94"/>
  <c r="AM22" i="94"/>
  <c r="AT22" i="94"/>
  <c r="AH42" i="94"/>
  <c r="AT42" i="94"/>
  <c r="AL50" i="94"/>
  <c r="O9" i="94"/>
  <c r="O43" i="94" s="1"/>
  <c r="AI9" i="94"/>
  <c r="AI16" i="94" s="1"/>
  <c r="AV8" i="13"/>
  <c r="R50" i="94"/>
  <c r="N10" i="94"/>
  <c r="S10" i="94"/>
  <c r="AB10" i="94"/>
  <c r="AP10" i="94"/>
  <c r="R13" i="94"/>
  <c r="R30" i="94" s="1"/>
  <c r="AL13" i="94"/>
  <c r="AL30" i="94" s="1"/>
  <c r="AQ13" i="94"/>
  <c r="AV14" i="94" s="1"/>
  <c r="N16" i="94"/>
  <c r="N17" i="94" s="1"/>
  <c r="S16" i="94"/>
  <c r="AA16" i="94"/>
  <c r="AM16" i="94"/>
  <c r="AT16" i="94"/>
  <c r="AY17" i="94" s="1"/>
  <c r="R21" i="94"/>
  <c r="AE21" i="94"/>
  <c r="V21" i="93" s="1"/>
  <c r="AQ21" i="94"/>
  <c r="N22" i="94"/>
  <c r="S22" i="94"/>
  <c r="AB22" i="94"/>
  <c r="AF28" i="94"/>
  <c r="N42" i="94"/>
  <c r="V42" i="94"/>
  <c r="AA43" i="94"/>
  <c r="AH43" i="94"/>
  <c r="AT43" i="94"/>
  <c r="AO46" i="94"/>
  <c r="AC50" i="94"/>
  <c r="AM50" i="94"/>
  <c r="L50" i="94"/>
  <c r="T9" i="94"/>
  <c r="T16" i="94" s="1"/>
  <c r="AN9" i="94"/>
  <c r="AW8" i="13"/>
  <c r="V10" i="94"/>
  <c r="AH10" i="94"/>
  <c r="AQ10" i="94"/>
  <c r="S13" i="94"/>
  <c r="S30" i="94" s="1"/>
  <c r="AA13" i="94"/>
  <c r="AA30" i="94" s="1"/>
  <c r="AM13" i="94"/>
  <c r="AT13" i="94"/>
  <c r="V16" i="94"/>
  <c r="AH16" i="94"/>
  <c r="S21" i="94"/>
  <c r="AH22" i="94"/>
  <c r="AP28" i="94"/>
  <c r="AP42" i="94"/>
  <c r="AP43" i="94"/>
  <c r="Y9" i="94"/>
  <c r="Y43" i="94" s="1"/>
  <c r="AS9" i="94"/>
  <c r="AS16" i="94" s="1"/>
  <c r="AX6" i="94"/>
  <c r="AX47" i="94" s="1"/>
  <c r="X10" i="94"/>
  <c r="AC10" i="94"/>
  <c r="AJ10" i="94"/>
  <c r="W10" i="93" s="1"/>
  <c r="AO10" i="94"/>
  <c r="X10" i="93" s="1"/>
  <c r="AB13" i="94"/>
  <c r="AB16" i="94"/>
  <c r="X21" i="94"/>
  <c r="AR21" i="94"/>
  <c r="X22" i="94"/>
  <c r="AC22" i="94"/>
  <c r="AJ22" i="94"/>
  <c r="AO22" i="94"/>
  <c r="AF42" i="94"/>
  <c r="X43" i="94"/>
  <c r="AJ43" i="94"/>
  <c r="AF10" i="94"/>
  <c r="AK10" i="94"/>
  <c r="X13" i="94"/>
  <c r="AR13" i="94"/>
  <c r="AR16" i="94"/>
  <c r="AW17" i="94" s="1"/>
  <c r="AJ21" i="94"/>
  <c r="W21" i="93" s="1"/>
  <c r="AF22" i="94"/>
  <c r="AK22" i="94"/>
  <c r="AB42" i="94"/>
  <c r="AF43" i="94"/>
  <c r="AF50" i="94"/>
  <c r="AR50" i="94"/>
  <c r="AG10" i="94"/>
  <c r="AJ13" i="94"/>
  <c r="W13" i="93" s="1"/>
  <c r="AJ16" i="94"/>
  <c r="AG22" i="94"/>
  <c r="AI39" i="94"/>
  <c r="AP47" i="94"/>
  <c r="AN27" i="94"/>
  <c r="P13" i="94"/>
  <c r="P43" i="94"/>
  <c r="AP7" i="94"/>
  <c r="AL28" i="94"/>
  <c r="AR28" i="94"/>
  <c r="AN36" i="94"/>
  <c r="AS39" i="94"/>
  <c r="AI49" i="94"/>
  <c r="T36" i="94"/>
  <c r="AO47" i="94"/>
  <c r="AN48" i="94"/>
  <c r="AX3" i="94"/>
  <c r="AX46" i="94" s="1"/>
  <c r="AD4" i="94"/>
  <c r="P10" i="94"/>
  <c r="S10" i="93" s="1"/>
  <c r="AI27" i="94"/>
  <c r="AJ27" i="94" s="1"/>
  <c r="AK28" i="94"/>
  <c r="Z47" i="94"/>
  <c r="O48" i="94"/>
  <c r="AT7" i="94"/>
  <c r="Y7" i="93" s="1"/>
  <c r="AQ47" i="94"/>
  <c r="P16" i="94"/>
  <c r="AT46" i="94"/>
  <c r="P20" i="94"/>
  <c r="S20" i="93" s="1"/>
  <c r="Z22" i="94"/>
  <c r="AI4" i="94"/>
  <c r="AR47" i="94"/>
  <c r="AR7" i="94"/>
  <c r="AD7" i="94"/>
  <c r="Z43" i="94"/>
  <c r="X50" i="94"/>
  <c r="Z16" i="94"/>
  <c r="Z13" i="94"/>
  <c r="U13" i="93" s="1"/>
  <c r="Z10" i="94"/>
  <c r="U10" i="93" s="1"/>
  <c r="AE22" i="94"/>
  <c r="W50" i="94"/>
  <c r="V50" i="94"/>
  <c r="Z42" i="94"/>
  <c r="U42" i="93" s="1"/>
  <c r="U22" i="94"/>
  <c r="AC28" i="94"/>
  <c r="X28" i="94"/>
  <c r="N36" i="94"/>
  <c r="AI7" i="94"/>
  <c r="Z21" i="94"/>
  <c r="U21" i="93" s="1"/>
  <c r="L28" i="94"/>
  <c r="T28" i="94"/>
  <c r="Q50" i="94"/>
  <c r="U42" i="94"/>
  <c r="T42" i="93" s="1"/>
  <c r="S50" i="94"/>
  <c r="U43" i="94"/>
  <c r="U16" i="94"/>
  <c r="T16" i="93" s="1"/>
  <c r="T19" i="93" s="1"/>
  <c r="U13" i="94"/>
  <c r="U10" i="94"/>
  <c r="T10" i="93" s="1"/>
  <c r="AG28" i="94"/>
  <c r="AB28" i="94"/>
  <c r="AQ7" i="94"/>
  <c r="AE10" i="94"/>
  <c r="V10" i="93" s="1"/>
  <c r="AD20" i="94"/>
  <c r="AD27" i="94"/>
  <c r="M28" i="94"/>
  <c r="M39" i="94"/>
  <c r="P21" i="94"/>
  <c r="S21" i="93" s="1"/>
  <c r="Q28" i="94"/>
  <c r="AN4" i="94"/>
  <c r="AN7" i="94"/>
  <c r="AE20" i="94"/>
  <c r="V20" i="93" s="1"/>
  <c r="AI20" i="94"/>
  <c r="U21" i="94"/>
  <c r="T21" i="93" s="1"/>
  <c r="P22" i="94"/>
  <c r="Z27" i="94"/>
  <c r="AQ28" i="94"/>
  <c r="R28" i="94"/>
  <c r="AH28" i="94"/>
  <c r="Z46" i="94"/>
  <c r="AJ46" i="94"/>
  <c r="AE47" i="94"/>
  <c r="AJ47" i="94"/>
  <c r="AO48" i="94"/>
  <c r="AJ49" i="94"/>
  <c r="AT49" i="94"/>
  <c r="V28" i="94"/>
  <c r="AS4" i="94"/>
  <c r="M50" i="94"/>
  <c r="N50" i="94"/>
  <c r="P42" i="94"/>
  <c r="S42" i="93" s="1"/>
  <c r="AS27" i="94"/>
  <c r="AS19" i="13" s="1"/>
  <c r="AN20" i="94"/>
  <c r="O28" i="94"/>
  <c r="S51" i="94"/>
  <c r="S28" i="94"/>
  <c r="W28" i="94"/>
  <c r="AA28" i="94"/>
  <c r="AM28" i="94"/>
  <c r="N28" i="94"/>
  <c r="Y28" i="94"/>
  <c r="Y36" i="94"/>
  <c r="AS36" i="94"/>
  <c r="AS48" i="94"/>
  <c r="AT48" i="94" s="1"/>
  <c r="T39" i="94"/>
  <c r="T49" i="94"/>
  <c r="AN39" i="94"/>
  <c r="AN49" i="94"/>
  <c r="AO49" i="94" s="1"/>
  <c r="Y48" i="94"/>
  <c r="Z48" i="94" s="1"/>
  <c r="Q51" i="94"/>
  <c r="AD36" i="94"/>
  <c r="Y39" i="94"/>
  <c r="AI48" i="94"/>
  <c r="AJ48" i="94" s="1"/>
  <c r="AI36" i="94"/>
  <c r="AD49" i="94"/>
  <c r="AE49" i="94" s="1"/>
  <c r="AD39" i="94"/>
  <c r="AE46" i="94"/>
  <c r="AE48" i="94"/>
  <c r="Z49" i="94"/>
  <c r="M36" i="94"/>
  <c r="L39" i="94"/>
  <c r="AF46" i="15" l="1"/>
  <c r="AK17" i="94"/>
  <c r="Q17" i="94"/>
  <c r="T51" i="94"/>
  <c r="AK32" i="94"/>
  <c r="AF17" i="94"/>
  <c r="R51" i="94"/>
  <c r="AE64" i="45"/>
  <c r="AF11" i="45"/>
  <c r="AF64" i="45" s="1"/>
  <c r="Z121" i="87"/>
  <c r="Z170" i="87"/>
  <c r="AZ46" i="94"/>
  <c r="BA46" i="94"/>
  <c r="BB46" i="94"/>
  <c r="N51" i="94"/>
  <c r="Q32" i="94"/>
  <c r="AK14" i="95"/>
  <c r="X32" i="95"/>
  <c r="O51" i="94"/>
  <c r="U28" i="94"/>
  <c r="M32" i="94"/>
  <c r="L51" i="94"/>
  <c r="P51" i="94" s="1"/>
  <c r="M14" i="94"/>
  <c r="AG14" i="94"/>
  <c r="M51" i="94"/>
  <c r="AK30" i="95"/>
  <c r="AK31" i="95" s="1"/>
  <c r="Q14" i="94"/>
  <c r="AC72" i="45"/>
  <c r="AD48" i="45"/>
  <c r="AK17" i="95"/>
  <c r="X14" i="95"/>
  <c r="AR10" i="13"/>
  <c r="AR11" i="13" s="1"/>
  <c r="AC14" i="95"/>
  <c r="AM32" i="94"/>
  <c r="O42" i="94"/>
  <c r="AF14" i="94"/>
  <c r="AI50" i="94"/>
  <c r="AJ50" i="94" s="1"/>
  <c r="AW37" i="13"/>
  <c r="AW35" i="13"/>
  <c r="AS22" i="13"/>
  <c r="AR24" i="13"/>
  <c r="AR26" i="13" s="1"/>
  <c r="AR102" i="13" s="1"/>
  <c r="AV35" i="13"/>
  <c r="AV37" i="13"/>
  <c r="AP31" i="13"/>
  <c r="AU32" i="13" s="1"/>
  <c r="AP78" i="13"/>
  <c r="AU37" i="13"/>
  <c r="AU35" i="13"/>
  <c r="AQ24" i="13"/>
  <c r="AQ26" i="13" s="1"/>
  <c r="AQ102" i="13" s="1"/>
  <c r="AE49" i="45"/>
  <c r="AD73" i="45"/>
  <c r="AD39" i="45"/>
  <c r="AC63" i="45"/>
  <c r="AC6" i="93"/>
  <c r="AD6" i="93" s="1"/>
  <c r="AE6" i="93" s="1"/>
  <c r="AF6" i="93" s="1"/>
  <c r="Y7" i="15"/>
  <c r="AT10" i="13"/>
  <c r="AP10" i="13"/>
  <c r="AP11" i="13" s="1"/>
  <c r="AQ10" i="13"/>
  <c r="AQ11" i="13" s="1"/>
  <c r="AK14" i="94"/>
  <c r="V19" i="93"/>
  <c r="V26" i="93" s="1"/>
  <c r="V29" i="93" s="1"/>
  <c r="AP17" i="95"/>
  <c r="AU17" i="95"/>
  <c r="AY46" i="94"/>
  <c r="Y53" i="96"/>
  <c r="Y27" i="96"/>
  <c r="Y30" i="96" s="1"/>
  <c r="Y38" i="96" s="1"/>
  <c r="Y87" i="96" s="1"/>
  <c r="AY17" i="95"/>
  <c r="Y13" i="96"/>
  <c r="AY14" i="95"/>
  <c r="Y13" i="93"/>
  <c r="AY14" i="94"/>
  <c r="AA3" i="93"/>
  <c r="AR17" i="95"/>
  <c r="AR30" i="95"/>
  <c r="AW31" i="95" s="1"/>
  <c r="AW14" i="95"/>
  <c r="AR30" i="94"/>
  <c r="AW31" i="94" s="1"/>
  <c r="AW14" i="94"/>
  <c r="AW32" i="94"/>
  <c r="AQ14" i="95"/>
  <c r="AV14" i="95"/>
  <c r="AV32" i="95"/>
  <c r="AV32" i="94"/>
  <c r="AH17" i="94"/>
  <c r="AP14" i="94"/>
  <c r="L30" i="94"/>
  <c r="Q30" i="94"/>
  <c r="L32" i="94"/>
  <c r="AJ14" i="94"/>
  <c r="W14" i="93" s="1"/>
  <c r="AQ17" i="95"/>
  <c r="AN21" i="95"/>
  <c r="AN43" i="95"/>
  <c r="AI21" i="94"/>
  <c r="AF32" i="94"/>
  <c r="AI43" i="94"/>
  <c r="AL32" i="94"/>
  <c r="AL14" i="94"/>
  <c r="AI13" i="94"/>
  <c r="AI30" i="94" s="1"/>
  <c r="W17" i="94"/>
  <c r="AA17" i="94"/>
  <c r="AI42" i="94"/>
  <c r="AA14" i="15"/>
  <c r="V32" i="95"/>
  <c r="V14" i="95"/>
  <c r="AQ32" i="95"/>
  <c r="AS21" i="95"/>
  <c r="AQ30" i="95"/>
  <c r="AV31" i="95" s="1"/>
  <c r="AN42" i="95"/>
  <c r="AN13" i="95"/>
  <c r="AN30" i="95" s="1"/>
  <c r="AF22" i="95"/>
  <c r="AN49" i="95"/>
  <c r="AO49" i="95" s="1"/>
  <c r="AN10" i="95"/>
  <c r="W14" i="95"/>
  <c r="W30" i="95"/>
  <c r="W31" i="95" s="1"/>
  <c r="AJ49" i="95"/>
  <c r="AP14" i="95"/>
  <c r="X17" i="95"/>
  <c r="AT14" i="95"/>
  <c r="Y14" i="96" s="1"/>
  <c r="AR14" i="95"/>
  <c r="AQ32" i="94"/>
  <c r="AM30" i="94"/>
  <c r="AQ30" i="94"/>
  <c r="AQ31" i="94" s="1"/>
  <c r="AH32" i="94"/>
  <c r="AA32" i="94"/>
  <c r="AR14" i="94"/>
  <c r="AG17" i="94"/>
  <c r="AL17" i="94"/>
  <c r="R17" i="94"/>
  <c r="V30" i="94"/>
  <c r="AA31" i="94" s="1"/>
  <c r="AO14" i="94"/>
  <c r="X14" i="93" s="1"/>
  <c r="AQ14" i="94"/>
  <c r="M17" i="94"/>
  <c r="AQ17" i="94"/>
  <c r="AP17" i="94"/>
  <c r="AD10" i="94"/>
  <c r="Y50" i="94"/>
  <c r="Z50" i="94" s="1"/>
  <c r="V32" i="94"/>
  <c r="R32" i="94"/>
  <c r="S32" i="94"/>
  <c r="AS22" i="94"/>
  <c r="AH14" i="94"/>
  <c r="Y10" i="94"/>
  <c r="AE50" i="94"/>
  <c r="AC32" i="94"/>
  <c r="AA14" i="94"/>
  <c r="V14" i="94"/>
  <c r="AC14" i="94"/>
  <c r="AM17" i="94"/>
  <c r="AN28" i="94"/>
  <c r="O50" i="94"/>
  <c r="P50" i="94" s="1"/>
  <c r="T22" i="94"/>
  <c r="AI51" i="94"/>
  <c r="R14" i="94"/>
  <c r="X19" i="93"/>
  <c r="X26" i="93" s="1"/>
  <c r="X29" i="93" s="1"/>
  <c r="T43" i="94"/>
  <c r="AH51" i="94"/>
  <c r="O13" i="94"/>
  <c r="O30" i="94" s="1"/>
  <c r="S13" i="93"/>
  <c r="AN16" i="94"/>
  <c r="AS17" i="94" s="1"/>
  <c r="AN8" i="13"/>
  <c r="AR32" i="94"/>
  <c r="Y51" i="94"/>
  <c r="U27" i="93"/>
  <c r="AE17" i="94"/>
  <c r="V17" i="93" s="1"/>
  <c r="U16" i="93"/>
  <c r="U19" i="93" s="1"/>
  <c r="U26" i="93" s="1"/>
  <c r="U29" i="93" s="1"/>
  <c r="P17" i="94"/>
  <c r="S17" i="93" s="1"/>
  <c r="S16" i="93"/>
  <c r="S19" i="93" s="1"/>
  <c r="S26" i="93" s="1"/>
  <c r="AO27" i="94"/>
  <c r="AK51" i="94" s="1"/>
  <c r="AN19" i="13"/>
  <c r="T26" i="93"/>
  <c r="U30" i="94"/>
  <c r="T30" i="93" s="1"/>
  <c r="T13" i="93"/>
  <c r="AN42" i="94"/>
  <c r="N30" i="94"/>
  <c r="N31" i="94" s="1"/>
  <c r="AM14" i="94"/>
  <c r="AJ17" i="94"/>
  <c r="W17" i="93" s="1"/>
  <c r="W16" i="93"/>
  <c r="W19" i="93" s="1"/>
  <c r="W26" i="93" s="1"/>
  <c r="W29" i="93" s="1"/>
  <c r="T21" i="94"/>
  <c r="AY8" i="13"/>
  <c r="Z9" i="93"/>
  <c r="AT17" i="94"/>
  <c r="Y17" i="93" s="1"/>
  <c r="Y16" i="93"/>
  <c r="Y19" i="93" s="1"/>
  <c r="Y26" i="93" s="1"/>
  <c r="AD13" i="94"/>
  <c r="N32" i="94"/>
  <c r="X32" i="94"/>
  <c r="AN21" i="94"/>
  <c r="AT14" i="94"/>
  <c r="Y14" i="93" s="1"/>
  <c r="AS21" i="94"/>
  <c r="AS8" i="13"/>
  <c r="S14" i="94"/>
  <c r="S17" i="94"/>
  <c r="W31" i="94"/>
  <c r="Y54" i="96"/>
  <c r="AP30" i="95"/>
  <c r="AO17" i="95"/>
  <c r="X28" i="96" s="1"/>
  <c r="AB17" i="95"/>
  <c r="AM30" i="95"/>
  <c r="AM32" i="95"/>
  <c r="AS43" i="95"/>
  <c r="AT17" i="95"/>
  <c r="Y28" i="96" s="1"/>
  <c r="AR32" i="95"/>
  <c r="AO14" i="95"/>
  <c r="X14" i="96" s="1"/>
  <c r="W41" i="96"/>
  <c r="AM14" i="95"/>
  <c r="AL17" i="95"/>
  <c r="V41" i="96"/>
  <c r="AH30" i="95"/>
  <c r="AC30" i="95"/>
  <c r="AC31" i="95" s="1"/>
  <c r="AH14" i="95"/>
  <c r="AH32" i="95"/>
  <c r="AC32" i="95"/>
  <c r="AB32" i="95"/>
  <c r="T17" i="95"/>
  <c r="AJ17" i="95"/>
  <c r="W28" i="96" s="1"/>
  <c r="Y50" i="96"/>
  <c r="AS49" i="95"/>
  <c r="AT49" i="95" s="1"/>
  <c r="AS7" i="13"/>
  <c r="AS46" i="95"/>
  <c r="AA22" i="95"/>
  <c r="AA46" i="95"/>
  <c r="AS10" i="95"/>
  <c r="AB14" i="95"/>
  <c r="W47" i="96"/>
  <c r="W53" i="96"/>
  <c r="AS42" i="95"/>
  <c r="AE17" i="95"/>
  <c r="V28" i="96" s="1"/>
  <c r="U27" i="96"/>
  <c r="U30" i="96" s="1"/>
  <c r="U38" i="96" s="1"/>
  <c r="U17" i="95"/>
  <c r="T28" i="96" s="1"/>
  <c r="T27" i="96"/>
  <c r="T30" i="96" s="1"/>
  <c r="T38" i="96" s="1"/>
  <c r="AT27" i="95"/>
  <c r="AT18" i="13" s="1"/>
  <c r="AS13" i="95"/>
  <c r="AS30" i="95" s="1"/>
  <c r="AG14" i="95"/>
  <c r="AJ14" i="95"/>
  <c r="W14" i="96" s="1"/>
  <c r="AG17" i="95"/>
  <c r="AA10" i="95"/>
  <c r="AN7" i="13"/>
  <c r="AN46" i="95"/>
  <c r="AO46" i="95" s="1"/>
  <c r="AG32" i="95"/>
  <c r="AS22" i="95"/>
  <c r="AE14" i="95"/>
  <c r="V14" i="96" s="1"/>
  <c r="U13" i="96"/>
  <c r="T13" i="95"/>
  <c r="T30" i="95" s="1"/>
  <c r="T13" i="96"/>
  <c r="AA21" i="95"/>
  <c r="AI16" i="95"/>
  <c r="AN17" i="95" s="1"/>
  <c r="AI46" i="95"/>
  <c r="AJ46" i="95" s="1"/>
  <c r="X47" i="96"/>
  <c r="S43" i="96"/>
  <c r="S41" i="96"/>
  <c r="W43" i="96"/>
  <c r="X41" i="96"/>
  <c r="X43" i="96"/>
  <c r="AD21" i="95"/>
  <c r="AD13" i="95"/>
  <c r="AD30" i="95" s="1"/>
  <c r="AD16" i="95"/>
  <c r="AI22" i="95"/>
  <c r="AD42" i="95"/>
  <c r="AD49" i="95"/>
  <c r="AN22" i="95"/>
  <c r="X42" i="95"/>
  <c r="AA42" i="95"/>
  <c r="AA49" i="95"/>
  <c r="AM17" i="95"/>
  <c r="AI13" i="95"/>
  <c r="AI42" i="95"/>
  <c r="AI10" i="95"/>
  <c r="AI43" i="95"/>
  <c r="AI21" i="95"/>
  <c r="AA13" i="95"/>
  <c r="AA16" i="95"/>
  <c r="AC36" i="95"/>
  <c r="R50" i="95"/>
  <c r="AB36" i="95"/>
  <c r="AT47" i="95"/>
  <c r="AJ47" i="95"/>
  <c r="T50" i="95"/>
  <c r="AO47" i="95"/>
  <c r="S50" i="95"/>
  <c r="W42" i="95"/>
  <c r="Z14" i="95"/>
  <c r="U14" i="96" s="1"/>
  <c r="AJ48" i="95"/>
  <c r="AD38" i="95"/>
  <c r="AE4" i="95"/>
  <c r="V4" i="96" s="1"/>
  <c r="Z35" i="95"/>
  <c r="U46" i="96" s="1"/>
  <c r="AA4" i="95"/>
  <c r="V35" i="95"/>
  <c r="AT48" i="95"/>
  <c r="AA39" i="95"/>
  <c r="AF39" i="95"/>
  <c r="AA48" i="95"/>
  <c r="AA43" i="95"/>
  <c r="AO48" i="95"/>
  <c r="AE47" i="95"/>
  <c r="AO27" i="95"/>
  <c r="M50" i="95"/>
  <c r="U14" i="95"/>
  <c r="T14" i="96" s="1"/>
  <c r="AG31" i="95"/>
  <c r="R31" i="95"/>
  <c r="N31" i="95"/>
  <c r="L31" i="95"/>
  <c r="V50" i="95"/>
  <c r="X31" i="95"/>
  <c r="W50" i="95"/>
  <c r="P49" i="95"/>
  <c r="O50" i="95"/>
  <c r="N50" i="95"/>
  <c r="P50" i="95" s="1"/>
  <c r="Q31" i="95"/>
  <c r="P17" i="95"/>
  <c r="S28" i="96" s="1"/>
  <c r="AI28" i="95"/>
  <c r="AE32" i="95"/>
  <c r="AE30" i="95"/>
  <c r="AE28" i="95"/>
  <c r="V39" i="96" s="1"/>
  <c r="AL31" i="95"/>
  <c r="B50" i="95"/>
  <c r="AC50" i="95"/>
  <c r="AS17" i="95"/>
  <c r="P32" i="95"/>
  <c r="U50" i="95"/>
  <c r="Z17" i="95"/>
  <c r="U28" i="96" s="1"/>
  <c r="O13" i="95"/>
  <c r="P14" i="95"/>
  <c r="S14" i="96" s="1"/>
  <c r="S31" i="95"/>
  <c r="AD50" i="95"/>
  <c r="AD28" i="95"/>
  <c r="U49" i="95"/>
  <c r="AB50" i="95"/>
  <c r="AS28" i="95"/>
  <c r="Z30" i="95"/>
  <c r="Z28" i="95"/>
  <c r="U39" i="96" s="1"/>
  <c r="Z32" i="95"/>
  <c r="P30" i="95"/>
  <c r="P31" i="95" s="1"/>
  <c r="S42" i="96" s="1"/>
  <c r="AI7" i="95"/>
  <c r="AN28" i="95"/>
  <c r="I50" i="95"/>
  <c r="J48" i="95"/>
  <c r="AA50" i="95"/>
  <c r="G50" i="95"/>
  <c r="V31" i="95"/>
  <c r="J50" i="95"/>
  <c r="M31" i="95"/>
  <c r="E50" i="95"/>
  <c r="F49" i="95"/>
  <c r="U30" i="95"/>
  <c r="U28" i="95"/>
  <c r="T39" i="96" s="1"/>
  <c r="U32" i="95"/>
  <c r="K49" i="95"/>
  <c r="X50" i="95"/>
  <c r="P28" i="95"/>
  <c r="S39" i="96" s="1"/>
  <c r="H50" i="95"/>
  <c r="AJ27" i="95"/>
  <c r="AI50" i="95" s="1"/>
  <c r="O22" i="94"/>
  <c r="O16" i="94"/>
  <c r="O10" i="94"/>
  <c r="O21" i="94"/>
  <c r="AS50" i="94"/>
  <c r="AT50" i="94" s="1"/>
  <c r="X17" i="94"/>
  <c r="AB17" i="94"/>
  <c r="V17" i="94"/>
  <c r="T10" i="94"/>
  <c r="Y21" i="94"/>
  <c r="Y13" i="94"/>
  <c r="Y30" i="94" s="1"/>
  <c r="Y16" i="94"/>
  <c r="Y17" i="94" s="1"/>
  <c r="AN43" i="94"/>
  <c r="Y42" i="94"/>
  <c r="W32" i="94"/>
  <c r="AS43" i="94"/>
  <c r="X14" i="94"/>
  <c r="AS10" i="94"/>
  <c r="AB30" i="94"/>
  <c r="AB31" i="94" s="1"/>
  <c r="AB14" i="94"/>
  <c r="X30" i="94"/>
  <c r="X31" i="94" s="1"/>
  <c r="AN13" i="94"/>
  <c r="AN50" i="94"/>
  <c r="AO50" i="94" s="1"/>
  <c r="AH31" i="94"/>
  <c r="W14" i="94"/>
  <c r="AD43" i="94"/>
  <c r="AS42" i="94"/>
  <c r="AD16" i="94"/>
  <c r="AG32" i="94"/>
  <c r="AI22" i="94"/>
  <c r="AD21" i="94"/>
  <c r="AS13" i="94"/>
  <c r="AB32" i="94"/>
  <c r="T50" i="94"/>
  <c r="U50" i="94" s="1"/>
  <c r="AN10" i="94"/>
  <c r="AN22" i="94"/>
  <c r="P30" i="94"/>
  <c r="S30" i="93" s="1"/>
  <c r="AD42" i="94"/>
  <c r="AP30" i="94"/>
  <c r="T42" i="94"/>
  <c r="AO17" i="94"/>
  <c r="X17" i="93" s="1"/>
  <c r="AI10" i="94"/>
  <c r="AD22" i="94"/>
  <c r="Y22" i="94"/>
  <c r="AR17" i="94"/>
  <c r="AX9" i="94"/>
  <c r="AX50" i="94" s="1"/>
  <c r="U17" i="94"/>
  <c r="T17" i="93" s="1"/>
  <c r="P14" i="94"/>
  <c r="S14" i="93" s="1"/>
  <c r="AF51" i="94"/>
  <c r="AJ51" i="94" s="1"/>
  <c r="AG51" i="94"/>
  <c r="X51" i="94"/>
  <c r="AJ30" i="94"/>
  <c r="W30" i="93" s="1"/>
  <c r="AX4" i="94"/>
  <c r="U51" i="94"/>
  <c r="Z14" i="94"/>
  <c r="U14" i="93" s="1"/>
  <c r="P32" i="94"/>
  <c r="P28" i="94"/>
  <c r="AD28" i="94"/>
  <c r="AI28" i="94"/>
  <c r="O36" i="94"/>
  <c r="AS28" i="94"/>
  <c r="AT27" i="94"/>
  <c r="AT19" i="13" s="1"/>
  <c r="AF31" i="94"/>
  <c r="AK31" i="94"/>
  <c r="AY47" i="94"/>
  <c r="AX7" i="94"/>
  <c r="AE27" i="94"/>
  <c r="V27" i="93" s="1"/>
  <c r="U14" i="94"/>
  <c r="T14" i="93" s="1"/>
  <c r="T13" i="94"/>
  <c r="Z32" i="94"/>
  <c r="Z30" i="94"/>
  <c r="V51" i="94"/>
  <c r="Z28" i="94"/>
  <c r="AS47" i="94"/>
  <c r="AT47" i="94" s="1"/>
  <c r="AS7" i="94"/>
  <c r="W51" i="94"/>
  <c r="M31" i="94"/>
  <c r="AL31" i="94"/>
  <c r="O39" i="94"/>
  <c r="AE14" i="94"/>
  <c r="V14" i="93" s="1"/>
  <c r="R31" i="94"/>
  <c r="U32" i="94"/>
  <c r="Z17" i="94"/>
  <c r="U17" i="93" s="1"/>
  <c r="AK24" i="14"/>
  <c r="AK7" i="14"/>
  <c r="AK77" i="13" s="1"/>
  <c r="X60" i="16"/>
  <c r="X59" i="16"/>
  <c r="X30" i="16"/>
  <c r="X8" i="16"/>
  <c r="X5" i="16"/>
  <c r="AD71" i="15"/>
  <c r="AE71" i="15"/>
  <c r="AN84" i="14"/>
  <c r="AN89" i="14"/>
  <c r="AN88" i="14"/>
  <c r="AN87" i="14"/>
  <c r="AS84" i="14"/>
  <c r="Y86" i="96" l="1"/>
  <c r="Y90" i="96"/>
  <c r="Y91" i="96" s="1"/>
  <c r="AQ70" i="17"/>
  <c r="AQ66" i="17"/>
  <c r="AQ69" i="17"/>
  <c r="AP70" i="17"/>
  <c r="AP69" i="17"/>
  <c r="AP66" i="17"/>
  <c r="AR70" i="17"/>
  <c r="AR66" i="17"/>
  <c r="AR69" i="17"/>
  <c r="AD17" i="94"/>
  <c r="AR12" i="13"/>
  <c r="AE73" i="45"/>
  <c r="AF49" i="45"/>
  <c r="AF73" i="45" s="1"/>
  <c r="AZ50" i="94"/>
  <c r="BA50" i="94"/>
  <c r="BB50" i="94"/>
  <c r="AB31" i="95"/>
  <c r="AE48" i="45"/>
  <c r="AD72" i="45"/>
  <c r="AR15" i="13"/>
  <c r="AR101" i="13" s="1"/>
  <c r="AO28" i="94"/>
  <c r="X27" i="93" s="1"/>
  <c r="AN14" i="95"/>
  <c r="AR31" i="13"/>
  <c r="AP37" i="13"/>
  <c r="AP43" i="13" s="1"/>
  <c r="AP35" i="13"/>
  <c r="AT22" i="13"/>
  <c r="AT24" i="13" s="1"/>
  <c r="AS24" i="13" s="1"/>
  <c r="AS26" i="13" s="1"/>
  <c r="AS102" i="13" s="1"/>
  <c r="AQ31" i="13"/>
  <c r="AU43" i="13"/>
  <c r="AV43" i="13"/>
  <c r="AE39" i="45"/>
  <c r="AD63" i="45"/>
  <c r="AW43" i="13"/>
  <c r="AP15" i="13"/>
  <c r="AP101" i="13" s="1"/>
  <c r="AP12" i="13"/>
  <c r="AQ12" i="13"/>
  <c r="AQ15" i="13"/>
  <c r="AQ101" i="13" s="1"/>
  <c r="AT11" i="13"/>
  <c r="AS10" i="13"/>
  <c r="AS11" i="13" s="1"/>
  <c r="AS69" i="17" s="1"/>
  <c r="Z8" i="15"/>
  <c r="AR31" i="94"/>
  <c r="AP31" i="95"/>
  <c r="AU31" i="95"/>
  <c r="AP31" i="94"/>
  <c r="AU31" i="94"/>
  <c r="AX8" i="13"/>
  <c r="AX43" i="94"/>
  <c r="AX42" i="94"/>
  <c r="Y41" i="96"/>
  <c r="Y43" i="96"/>
  <c r="AC3" i="93"/>
  <c r="AA9" i="93"/>
  <c r="AR31" i="95"/>
  <c r="AP32" i="95"/>
  <c r="AQ31" i="95"/>
  <c r="AV31" i="94"/>
  <c r="Q31" i="94"/>
  <c r="AI32" i="94"/>
  <c r="AN14" i="94"/>
  <c r="L31" i="94"/>
  <c r="AI14" i="94"/>
  <c r="AN30" i="94"/>
  <c r="AN31" i="94" s="1"/>
  <c r="AS32" i="95"/>
  <c r="AM31" i="94"/>
  <c r="S31" i="94"/>
  <c r="V31" i="94"/>
  <c r="AN32" i="94"/>
  <c r="AS14" i="95"/>
  <c r="AH31" i="95"/>
  <c r="AP50" i="95"/>
  <c r="T29" i="93"/>
  <c r="S31" i="93"/>
  <c r="BD8" i="13"/>
  <c r="AA13" i="93"/>
  <c r="AA10" i="93"/>
  <c r="O32" i="94"/>
  <c r="AN51" i="94"/>
  <c r="AO30" i="94"/>
  <c r="X30" i="93" s="1"/>
  <c r="T31" i="93"/>
  <c r="AO32" i="94"/>
  <c r="AL51" i="94"/>
  <c r="AC31" i="94"/>
  <c r="AD30" i="94"/>
  <c r="AI31" i="94" s="1"/>
  <c r="AN17" i="94"/>
  <c r="X31" i="93"/>
  <c r="U31" i="94"/>
  <c r="AD32" i="94"/>
  <c r="AS14" i="94"/>
  <c r="Y29" i="93"/>
  <c r="Y31" i="93"/>
  <c r="Z31" i="94"/>
  <c r="U30" i="93"/>
  <c r="O14" i="94"/>
  <c r="AS51" i="94"/>
  <c r="Y19" i="15"/>
  <c r="W31" i="93"/>
  <c r="AM51" i="94"/>
  <c r="AO19" i="13"/>
  <c r="X19" i="15" s="1"/>
  <c r="V31" i="93"/>
  <c r="S29" i="93"/>
  <c r="AG31" i="94"/>
  <c r="U31" i="93"/>
  <c r="AM31" i="95"/>
  <c r="T41" i="96"/>
  <c r="V43" i="96"/>
  <c r="AS50" i="95"/>
  <c r="AT30" i="95"/>
  <c r="AS31" i="95"/>
  <c r="T43" i="96"/>
  <c r="AI32" i="95"/>
  <c r="AI14" i="95"/>
  <c r="U47" i="96"/>
  <c r="U53" i="96"/>
  <c r="V47" i="96"/>
  <c r="AN32" i="95"/>
  <c r="AR50" i="95"/>
  <c r="AM50" i="95"/>
  <c r="AO18" i="13"/>
  <c r="X18" i="15" s="1"/>
  <c r="AE49" i="95"/>
  <c r="AI30" i="95"/>
  <c r="AN31" i="95" s="1"/>
  <c r="U43" i="96"/>
  <c r="AQ50" i="95"/>
  <c r="U41" i="96"/>
  <c r="AA30" i="95"/>
  <c r="AF32" i="95"/>
  <c r="AF14" i="95"/>
  <c r="AA14" i="95"/>
  <c r="AA32" i="95"/>
  <c r="AI17" i="95"/>
  <c r="AF17" i="95"/>
  <c r="AA17" i="95"/>
  <c r="AT46" i="95"/>
  <c r="V36" i="95"/>
  <c r="V42" i="95"/>
  <c r="AA36" i="95"/>
  <c r="V47" i="95"/>
  <c r="AD4" i="95"/>
  <c r="Y35" i="95"/>
  <c r="AO30" i="95"/>
  <c r="Z36" i="95"/>
  <c r="X47" i="95"/>
  <c r="Z42" i="95"/>
  <c r="W47" i="95"/>
  <c r="AE36" i="95"/>
  <c r="AD48" i="95"/>
  <c r="AE48" i="95" s="1"/>
  <c r="AD43" i="95"/>
  <c r="AI39" i="95"/>
  <c r="AK50" i="95"/>
  <c r="AO50" i="95" s="1"/>
  <c r="AT28" i="95"/>
  <c r="Y39" i="96" s="1"/>
  <c r="AL50" i="95"/>
  <c r="AN50" i="95"/>
  <c r="AT32" i="95"/>
  <c r="Z50" i="95"/>
  <c r="Z31" i="95"/>
  <c r="U42" i="96" s="1"/>
  <c r="AE31" i="95"/>
  <c r="V42" i="96" s="1"/>
  <c r="K50" i="95"/>
  <c r="O14" i="95"/>
  <c r="T32" i="95"/>
  <c r="O32" i="95"/>
  <c r="O30" i="95"/>
  <c r="T14" i="95"/>
  <c r="F50" i="95"/>
  <c r="AJ28" i="95"/>
  <c r="W39" i="96" s="1"/>
  <c r="AJ32" i="95"/>
  <c r="AJ30" i="95"/>
  <c r="AJ31" i="95" s="1"/>
  <c r="W42" i="96" s="1"/>
  <c r="AG50" i="95"/>
  <c r="AF50" i="95"/>
  <c r="AH50" i="95"/>
  <c r="U31" i="95"/>
  <c r="T42" i="96" s="1"/>
  <c r="AE50" i="95"/>
  <c r="AO32" i="95"/>
  <c r="AO28" i="95"/>
  <c r="X39" i="96" s="1"/>
  <c r="AI17" i="94"/>
  <c r="AS32" i="94"/>
  <c r="AS30" i="94"/>
  <c r="O17" i="94"/>
  <c r="T17" i="94"/>
  <c r="AD14" i="94"/>
  <c r="T14" i="94"/>
  <c r="Y14" i="94"/>
  <c r="T32" i="94"/>
  <c r="T30" i="94"/>
  <c r="Y32" i="94"/>
  <c r="AP32" i="94"/>
  <c r="AT28" i="94"/>
  <c r="Y27" i="93" s="1"/>
  <c r="AR51" i="94"/>
  <c r="AT30" i="94"/>
  <c r="AT32" i="94"/>
  <c r="AP51" i="94"/>
  <c r="AQ51" i="94"/>
  <c r="O31" i="94"/>
  <c r="Z51" i="94"/>
  <c r="AE32" i="94"/>
  <c r="AE28" i="94"/>
  <c r="AE30" i="94"/>
  <c r="V30" i="93" s="1"/>
  <c r="AB51" i="94"/>
  <c r="AC51" i="94"/>
  <c r="AJ28" i="94"/>
  <c r="W27" i="93" s="1"/>
  <c r="AA51" i="94"/>
  <c r="AJ32" i="94"/>
  <c r="AO51" i="94"/>
  <c r="P31" i="94"/>
  <c r="AD51" i="94"/>
  <c r="AN57" i="14"/>
  <c r="AN44" i="14"/>
  <c r="AN43" i="14"/>
  <c r="AO43" i="14" s="1"/>
  <c r="X43" i="16" s="1"/>
  <c r="AN42" i="14"/>
  <c r="AN35" i="14"/>
  <c r="AT77" i="14"/>
  <c r="AO4" i="14"/>
  <c r="X4" i="16" s="1"/>
  <c r="AT68" i="17"/>
  <c r="AT67" i="17"/>
  <c r="AS55" i="17"/>
  <c r="AS44" i="17"/>
  <c r="AS22" i="17"/>
  <c r="AS58" i="17"/>
  <c r="AS54" i="17"/>
  <c r="AS53" i="17"/>
  <c r="AS52" i="17"/>
  <c r="AS51" i="17"/>
  <c r="AS50" i="17"/>
  <c r="AS43" i="17"/>
  <c r="AS42" i="17"/>
  <c r="AS41" i="17"/>
  <c r="AS40" i="17"/>
  <c r="AS39" i="17"/>
  <c r="AS35" i="17"/>
  <c r="AS34" i="17"/>
  <c r="AS31" i="17"/>
  <c r="AS30" i="17"/>
  <c r="AS67" i="17" s="1"/>
  <c r="AS29" i="17"/>
  <c r="AS21" i="17"/>
  <c r="AS20" i="17"/>
  <c r="AS19" i="17"/>
  <c r="AS18" i="17"/>
  <c r="AS17" i="17"/>
  <c r="AS16" i="17"/>
  <c r="AS15" i="17"/>
  <c r="AS11" i="17"/>
  <c r="AS10" i="17"/>
  <c r="AS9" i="17"/>
  <c r="AS8" i="17"/>
  <c r="AS7" i="17"/>
  <c r="AS6" i="17"/>
  <c r="AS5" i="17"/>
  <c r="AS70" i="17" l="1"/>
  <c r="AT66" i="17"/>
  <c r="AT69" i="17"/>
  <c r="AS68" i="17"/>
  <c r="AQ74" i="17"/>
  <c r="AQ73" i="17"/>
  <c r="AQ88" i="13"/>
  <c r="AQ89" i="13" s="1"/>
  <c r="AP74" i="17"/>
  <c r="AP88" i="13"/>
  <c r="AR27" i="13"/>
  <c r="AR73" i="17"/>
  <c r="AR74" i="17"/>
  <c r="AR88" i="13"/>
  <c r="AR89" i="13" s="1"/>
  <c r="AS66" i="17"/>
  <c r="AT26" i="13"/>
  <c r="AS31" i="94"/>
  <c r="AE72" i="45"/>
  <c r="AF48" i="45"/>
  <c r="AF72" i="45" s="1"/>
  <c r="AA8" i="15"/>
  <c r="AT12" i="13"/>
  <c r="AT70" i="17"/>
  <c r="Y70" i="18" s="1"/>
  <c r="AT76" i="14"/>
  <c r="AE63" i="45"/>
  <c r="AF39" i="45"/>
  <c r="AF63" i="45" s="1"/>
  <c r="AR93" i="13"/>
  <c r="AR92" i="13"/>
  <c r="AR85" i="13"/>
  <c r="AR84" i="13" s="1"/>
  <c r="AO31" i="94"/>
  <c r="AU38" i="13"/>
  <c r="AW51" i="13"/>
  <c r="AW103" i="13" s="1"/>
  <c r="AW48" i="13"/>
  <c r="AW97" i="13" s="1"/>
  <c r="AW54" i="13"/>
  <c r="AV48" i="13"/>
  <c r="AV97" i="13" s="1"/>
  <c r="AV51" i="13"/>
  <c r="AV103" i="13" s="1"/>
  <c r="AV54" i="13"/>
  <c r="AQ35" i="13"/>
  <c r="AQ37" i="13"/>
  <c r="AV32" i="13"/>
  <c r="AP44" i="13"/>
  <c r="AP51" i="13"/>
  <c r="AP103" i="13" s="1"/>
  <c r="AP48" i="13"/>
  <c r="AP97" i="13" s="1"/>
  <c r="AP54" i="13"/>
  <c r="AR35" i="13"/>
  <c r="AR37" i="13"/>
  <c r="AW32" i="13"/>
  <c r="AU51" i="13"/>
  <c r="AU103" i="13" s="1"/>
  <c r="AU54" i="13"/>
  <c r="AU44" i="13"/>
  <c r="AU48" i="13"/>
  <c r="AU97" i="13" s="1"/>
  <c r="AS31" i="13"/>
  <c r="AQ92" i="13"/>
  <c r="AQ27" i="13"/>
  <c r="AQ85" i="13"/>
  <c r="AQ93" i="13"/>
  <c r="AP93" i="13"/>
  <c r="AP27" i="13"/>
  <c r="AP92" i="13"/>
  <c r="AP85" i="13"/>
  <c r="AP79" i="13"/>
  <c r="Y18" i="15"/>
  <c r="AD3" i="93"/>
  <c r="AC9" i="93"/>
  <c r="AC8" i="15" s="1"/>
  <c r="AT50" i="95"/>
  <c r="AT31" i="95"/>
  <c r="Y42" i="96" s="1"/>
  <c r="AA16" i="93"/>
  <c r="AA19" i="93" s="1"/>
  <c r="AA26" i="93" s="1"/>
  <c r="AB31" i="93" s="1"/>
  <c r="AD31" i="94"/>
  <c r="AT31" i="94"/>
  <c r="Y30" i="93"/>
  <c r="AI31" i="95"/>
  <c r="AA31" i="95"/>
  <c r="AF31" i="95"/>
  <c r="AE46" i="95"/>
  <c r="Y36" i="95"/>
  <c r="AD36" i="95"/>
  <c r="Y47" i="95"/>
  <c r="Z47" i="95" s="1"/>
  <c r="AJ50" i="95"/>
  <c r="AO31" i="95"/>
  <c r="X42" i="96" s="1"/>
  <c r="O31" i="95"/>
  <c r="T31" i="95"/>
  <c r="AE51" i="94"/>
  <c r="AE31" i="94"/>
  <c r="AJ31" i="94"/>
  <c r="AT51" i="94"/>
  <c r="T31" i="94"/>
  <c r="Y31" i="94"/>
  <c r="AT23" i="17"/>
  <c r="AT25" i="17" s="1"/>
  <c r="AT60" i="17"/>
  <c r="AN83" i="13"/>
  <c r="AN82" i="13"/>
  <c r="AO84" i="13"/>
  <c r="AO30" i="13"/>
  <c r="AN34" i="13"/>
  <c r="AO21" i="13"/>
  <c r="AO6" i="13"/>
  <c r="AO10" i="13" s="1"/>
  <c r="AT78" i="13" l="1"/>
  <c r="AT102" i="13"/>
  <c r="AT31" i="13"/>
  <c r="AS37" i="13"/>
  <c r="AS43" i="13" s="1"/>
  <c r="AS48" i="13" s="1"/>
  <c r="AS97" i="13" s="1"/>
  <c r="AS35" i="13"/>
  <c r="AR86" i="13"/>
  <c r="AU52" i="13"/>
  <c r="AU55" i="13"/>
  <c r="AP55" i="13"/>
  <c r="AP52" i="13"/>
  <c r="AQ43" i="13"/>
  <c r="AV38" i="13"/>
  <c r="AR43" i="13"/>
  <c r="AW38" i="13"/>
  <c r="AV52" i="13"/>
  <c r="AV55" i="13"/>
  <c r="AW55" i="13"/>
  <c r="AW52" i="13"/>
  <c r="AT37" i="13"/>
  <c r="AT43" i="13" s="1"/>
  <c r="AT35" i="13"/>
  <c r="AP86" i="13"/>
  <c r="AP84" i="13"/>
  <c r="AP89" i="13"/>
  <c r="AQ84" i="13"/>
  <c r="AQ86" i="13"/>
  <c r="AA29" i="93"/>
  <c r="AE3" i="93"/>
  <c r="AD9" i="93"/>
  <c r="AD8" i="15" s="1"/>
  <c r="AT62" i="17"/>
  <c r="AT63" i="17" s="1"/>
  <c r="AE9" i="93" l="1"/>
  <c r="AE8" i="15" s="1"/>
  <c r="AF3" i="93"/>
  <c r="AF9" i="93" s="1"/>
  <c r="AR51" i="13"/>
  <c r="AR103" i="13" s="1"/>
  <c r="AR54" i="13"/>
  <c r="AR48" i="13"/>
  <c r="AR97" i="13" s="1"/>
  <c r="AR44" i="13"/>
  <c r="AW44" i="13"/>
  <c r="AT54" i="13"/>
  <c r="AT51" i="13"/>
  <c r="AT103" i="13" s="1"/>
  <c r="AT48" i="13"/>
  <c r="AT97" i="13" s="1"/>
  <c r="AT44" i="13"/>
  <c r="AQ51" i="13"/>
  <c r="AQ103" i="13" s="1"/>
  <c r="AQ48" i="13"/>
  <c r="AQ97" i="13" s="1"/>
  <c r="AQ54" i="13"/>
  <c r="AQ44" i="13"/>
  <c r="AV44" i="13"/>
  <c r="AT64" i="17"/>
  <c r="AA30" i="15"/>
  <c r="AF8" i="15" l="1"/>
  <c r="AF10" i="93"/>
  <c r="AF13" i="93"/>
  <c r="AF19" i="93" s="1"/>
  <c r="AF26" i="93" s="1"/>
  <c r="AT55" i="13"/>
  <c r="AT52" i="13"/>
  <c r="AQ52" i="13"/>
  <c r="AQ55" i="13"/>
  <c r="AR55" i="13"/>
  <c r="AR52" i="13"/>
  <c r="AR22" i="46"/>
  <c r="AQ22" i="46"/>
  <c r="AP22" i="46"/>
  <c r="AO22" i="46"/>
  <c r="AR13" i="46"/>
  <c r="AQ13" i="46"/>
  <c r="AP13" i="46"/>
  <c r="AO13" i="46"/>
  <c r="AP26" i="46" l="1"/>
  <c r="U270" i="87" l="1"/>
  <c r="W259" i="87"/>
  <c r="V259" i="87"/>
  <c r="V270" i="87" l="1"/>
  <c r="V271" i="87" s="1"/>
  <c r="U271" i="87"/>
  <c r="W270" i="87" l="1"/>
  <c r="X270" i="87" s="1"/>
  <c r="V272" i="87"/>
  <c r="Y270" i="87" l="1"/>
  <c r="Z270" i="87" s="1"/>
  <c r="AA270" i="87" s="1"/>
  <c r="AB270" i="87" s="1"/>
  <c r="AC270" i="87" s="1"/>
  <c r="AD270" i="87" s="1"/>
  <c r="AE270" i="87" s="1"/>
  <c r="AF270" i="87" s="1"/>
  <c r="W271" i="87"/>
  <c r="W272" i="87" s="1"/>
  <c r="B249" i="87"/>
  <c r="B239" i="87"/>
  <c r="B223" i="87"/>
  <c r="B183" i="87"/>
  <c r="B213" i="87"/>
  <c r="B203" i="87"/>
  <c r="B169" i="87"/>
  <c r="B155" i="87"/>
  <c r="Z226" i="87" l="1"/>
  <c r="AA226" i="87" s="1"/>
  <c r="AB226" i="87" s="1"/>
  <c r="AC226" i="87" s="1"/>
  <c r="AD226" i="87" s="1"/>
  <c r="AE226" i="87" s="1"/>
  <c r="AF226" i="87" s="1"/>
  <c r="Z158" i="87"/>
  <c r="AA158" i="87" s="1"/>
  <c r="AB158" i="87" s="1"/>
  <c r="AC158" i="87" s="1"/>
  <c r="AD158" i="87" s="1"/>
  <c r="AE158" i="87" s="1"/>
  <c r="AF158" i="87" s="1"/>
  <c r="C1" i="87"/>
  <c r="AP4" i="46"/>
  <c r="AU4" i="46"/>
  <c r="AU2" i="14"/>
  <c r="AP2" i="14"/>
  <c r="C197" i="87" l="1"/>
  <c r="C233" i="87"/>
  <c r="C249" i="87"/>
  <c r="C223" i="87"/>
  <c r="C213" i="87"/>
  <c r="C169" i="87"/>
  <c r="C239" i="87"/>
  <c r="C183" i="87"/>
  <c r="C203" i="87"/>
  <c r="D1" i="87"/>
  <c r="C155" i="87"/>
  <c r="AC88" i="18"/>
  <c r="Z106" i="18"/>
  <c r="Z97" i="18"/>
  <c r="AC97" i="18" s="1"/>
  <c r="AD97" i="18" s="1"/>
  <c r="AE97" i="18" s="1"/>
  <c r="AF97" i="18" s="1"/>
  <c r="Z90" i="18"/>
  <c r="AC90" i="18" s="1"/>
  <c r="AD90" i="18" s="1"/>
  <c r="AE90" i="18" s="1"/>
  <c r="AF90" i="18" s="1"/>
  <c r="Z88" i="18"/>
  <c r="Z85" i="18"/>
  <c r="Z110" i="18"/>
  <c r="AC110" i="18" s="1"/>
  <c r="AD110" i="18" s="1"/>
  <c r="AE110" i="18" s="1"/>
  <c r="AF110" i="18" s="1"/>
  <c r="AP98" i="14"/>
  <c r="AP95" i="14"/>
  <c r="AD88" i="18" l="1"/>
  <c r="D197" i="87"/>
  <c r="D233" i="87"/>
  <c r="D239" i="87"/>
  <c r="D183" i="87"/>
  <c r="D203" i="87"/>
  <c r="D249" i="87"/>
  <c r="D223" i="87"/>
  <c r="D213" i="87"/>
  <c r="D169" i="87"/>
  <c r="E1" i="87"/>
  <c r="D155" i="87"/>
  <c r="AE88" i="18" l="1"/>
  <c r="E197" i="87"/>
  <c r="E233" i="87"/>
  <c r="E239" i="87"/>
  <c r="E183" i="87"/>
  <c r="E203" i="87"/>
  <c r="E249" i="87"/>
  <c r="E223" i="87"/>
  <c r="E213" i="87"/>
  <c r="E169" i="87"/>
  <c r="F1" i="87"/>
  <c r="E155" i="87"/>
  <c r="AF88" i="18" l="1"/>
  <c r="F197" i="87"/>
  <c r="F233" i="87"/>
  <c r="F249" i="87"/>
  <c r="F223" i="87"/>
  <c r="F213" i="87"/>
  <c r="F169" i="87"/>
  <c r="F239" i="87"/>
  <c r="F183" i="87"/>
  <c r="F203" i="87"/>
  <c r="G1" i="87"/>
  <c r="F155" i="87"/>
  <c r="G197" i="87" l="1"/>
  <c r="G233" i="87"/>
  <c r="G249" i="87"/>
  <c r="G223" i="87"/>
  <c r="G213" i="87"/>
  <c r="G169" i="87"/>
  <c r="G239" i="87"/>
  <c r="G183" i="87"/>
  <c r="G203" i="87"/>
  <c r="H1" i="87"/>
  <c r="G155" i="87"/>
  <c r="AD57" i="16"/>
  <c r="AE57" i="16"/>
  <c r="AP2" i="17"/>
  <c r="AU2" i="17"/>
  <c r="Z46" i="15"/>
  <c r="Z42" i="15"/>
  <c r="Z40" i="15"/>
  <c r="Z21" i="15"/>
  <c r="AS80" i="46"/>
  <c r="AO57" i="13"/>
  <c r="AT58" i="13" s="1"/>
  <c r="AN48" i="13"/>
  <c r="AN47" i="13"/>
  <c r="AN41" i="13"/>
  <c r="AN40" i="13"/>
  <c r="AN29" i="13"/>
  <c r="AN80" i="46" s="1"/>
  <c r="AN26" i="13"/>
  <c r="AN102" i="13" s="1"/>
  <c r="AN11" i="13"/>
  <c r="AS12" i="13" s="1"/>
  <c r="AN9" i="13"/>
  <c r="Z84" i="16"/>
  <c r="Z87" i="16"/>
  <c r="Z88" i="16"/>
  <c r="Z89" i="16"/>
  <c r="AP73" i="14"/>
  <c r="AP71" i="14"/>
  <c r="AP57" i="14"/>
  <c r="AP49" i="14"/>
  <c r="AP51" i="14" s="1"/>
  <c r="AR80" i="46"/>
  <c r="AQ80" i="46"/>
  <c r="AP80" i="46"/>
  <c r="AO80" i="46"/>
  <c r="AP55" i="46" a="1"/>
  <c r="AN97" i="13" l="1"/>
  <c r="Z67" i="15"/>
  <c r="H197" i="87"/>
  <c r="H233" i="87"/>
  <c r="H239" i="87"/>
  <c r="H183" i="87"/>
  <c r="H203" i="87"/>
  <c r="H249" i="87"/>
  <c r="H223" i="87"/>
  <c r="H213" i="87"/>
  <c r="H169" i="87"/>
  <c r="I1" i="87"/>
  <c r="H155" i="87"/>
  <c r="AP32" i="46"/>
  <c r="AQ32" i="46"/>
  <c r="AP55" i="46"/>
  <c r="AN56" i="46" a="1"/>
  <c r="AA116" i="18" l="1"/>
  <c r="AA67" i="15"/>
  <c r="I197" i="87"/>
  <c r="I233" i="87"/>
  <c r="I239" i="87"/>
  <c r="I183" i="87"/>
  <c r="I203" i="87"/>
  <c r="I249" i="87"/>
  <c r="I223" i="87"/>
  <c r="I213" i="87"/>
  <c r="I169" i="87"/>
  <c r="J1" i="87"/>
  <c r="I155" i="87"/>
  <c r="AN56" i="46"/>
  <c r="AN55" i="46" a="1"/>
  <c r="AA68" i="15" l="1"/>
  <c r="AB68" i="15"/>
  <c r="J197" i="87"/>
  <c r="J233" i="87"/>
  <c r="J249" i="87"/>
  <c r="J223" i="87"/>
  <c r="J213" i="87"/>
  <c r="J169" i="87"/>
  <c r="J239" i="87"/>
  <c r="J183" i="87"/>
  <c r="J203" i="87"/>
  <c r="K1" i="87"/>
  <c r="J155" i="87"/>
  <c r="AN55" i="46"/>
  <c r="K197" i="87" l="1"/>
  <c r="K233" i="87"/>
  <c r="K249" i="87"/>
  <c r="K223" i="87"/>
  <c r="K213" i="87"/>
  <c r="K169" i="87"/>
  <c r="K239" i="87"/>
  <c r="K183" i="87"/>
  <c r="K203" i="87"/>
  <c r="L1" i="87"/>
  <c r="K155" i="87"/>
  <c r="AY4" i="46"/>
  <c r="AX4" i="46"/>
  <c r="AW4" i="46"/>
  <c r="AV4" i="46"/>
  <c r="Z116" i="18"/>
  <c r="AY2" i="17"/>
  <c r="AX2" i="17"/>
  <c r="AW2" i="17"/>
  <c r="AV2" i="17"/>
  <c r="Z90" i="16"/>
  <c r="Z60" i="16"/>
  <c r="Z54" i="16"/>
  <c r="Z46" i="16"/>
  <c r="Z36" i="16"/>
  <c r="Z32" i="16"/>
  <c r="Z13" i="16"/>
  <c r="Z5" i="16"/>
  <c r="AY2" i="14"/>
  <c r="AX2" i="14"/>
  <c r="AW2" i="14"/>
  <c r="AV2" i="14"/>
  <c r="Y84" i="16"/>
  <c r="AX46" i="13" l="1"/>
  <c r="AX8" i="14"/>
  <c r="L197" i="87"/>
  <c r="L233" i="87"/>
  <c r="L239" i="87"/>
  <c r="L183" i="87"/>
  <c r="L203" i="87"/>
  <c r="L249" i="87"/>
  <c r="L223" i="87"/>
  <c r="L213" i="87"/>
  <c r="L169" i="87"/>
  <c r="M1" i="87"/>
  <c r="L155" i="87"/>
  <c r="Z23" i="16"/>
  <c r="Z59" i="16"/>
  <c r="Z56" i="16"/>
  <c r="Z48" i="16"/>
  <c r="Z34" i="16"/>
  <c r="Z33" i="16"/>
  <c r="Z12" i="16"/>
  <c r="Z31" i="16"/>
  <c r="Z8" i="16"/>
  <c r="M197" i="87" l="1"/>
  <c r="M233" i="87"/>
  <c r="M239" i="87"/>
  <c r="M183" i="87"/>
  <c r="M203" i="87"/>
  <c r="M249" i="87"/>
  <c r="M223" i="87"/>
  <c r="M213" i="87"/>
  <c r="M169" i="87"/>
  <c r="N1" i="87"/>
  <c r="M155" i="87"/>
  <c r="N197" i="87" l="1"/>
  <c r="N233" i="87"/>
  <c r="N249" i="87"/>
  <c r="N223" i="87"/>
  <c r="N213" i="87"/>
  <c r="N169" i="87"/>
  <c r="N239" i="87"/>
  <c r="N183" i="87"/>
  <c r="N203" i="87"/>
  <c r="O1" i="87"/>
  <c r="N155" i="87"/>
  <c r="Z57" i="16"/>
  <c r="Z55" i="16"/>
  <c r="O197" i="87" l="1"/>
  <c r="O233" i="87"/>
  <c r="O249" i="87"/>
  <c r="O223" i="87"/>
  <c r="O213" i="87"/>
  <c r="O169" i="87"/>
  <c r="O239" i="87"/>
  <c r="O183" i="87"/>
  <c r="O203" i="87"/>
  <c r="P1" i="87"/>
  <c r="O155" i="87"/>
  <c r="AP22" i="14"/>
  <c r="AQ59" i="14"/>
  <c r="AQ56" i="14"/>
  <c r="AQ55" i="14"/>
  <c r="AQ54" i="14"/>
  <c r="AQ48" i="14"/>
  <c r="AQ47" i="14"/>
  <c r="AQ46" i="14"/>
  <c r="AQ45" i="14"/>
  <c r="AQ44" i="14"/>
  <c r="AQ43" i="14"/>
  <c r="AQ42" i="14"/>
  <c r="AQ36" i="14"/>
  <c r="AQ35" i="14"/>
  <c r="AQ34" i="14"/>
  <c r="AQ33" i="14"/>
  <c r="AQ31" i="14"/>
  <c r="AQ24" i="14"/>
  <c r="AR24" i="14" s="1"/>
  <c r="AQ23" i="14"/>
  <c r="AQ20" i="14"/>
  <c r="AQ18" i="14"/>
  <c r="AQ17" i="14"/>
  <c r="AQ16" i="14"/>
  <c r="AQ15" i="14"/>
  <c r="AQ13" i="14"/>
  <c r="AQ12" i="14"/>
  <c r="AQ11" i="14"/>
  <c r="AQ10" i="14"/>
  <c r="AQ9" i="14"/>
  <c r="AQ7" i="14"/>
  <c r="AQ6" i="14"/>
  <c r="AQ5" i="14"/>
  <c r="AQ4" i="14"/>
  <c r="Z41" i="15"/>
  <c r="H117" i="87"/>
  <c r="H156" i="87" s="1"/>
  <c r="X116" i="87"/>
  <c r="X204" i="87" s="1"/>
  <c r="S110" i="87"/>
  <c r="T110" i="87" s="1"/>
  <c r="U110" i="87" s="1"/>
  <c r="V110" i="87" s="1"/>
  <c r="W110" i="87" s="1"/>
  <c r="X110" i="87" s="1"/>
  <c r="P122" i="87"/>
  <c r="P250" i="87" s="1"/>
  <c r="O122" i="87"/>
  <c r="O250" i="87" s="1"/>
  <c r="N122" i="87"/>
  <c r="N250" i="87" s="1"/>
  <c r="M122" i="87"/>
  <c r="M250" i="87" s="1"/>
  <c r="L122" i="87"/>
  <c r="L250" i="87" s="1"/>
  <c r="K122" i="87"/>
  <c r="K250" i="87" s="1"/>
  <c r="J122" i="87"/>
  <c r="J250" i="87" s="1"/>
  <c r="I122" i="87"/>
  <c r="I250" i="87" s="1"/>
  <c r="H122" i="87"/>
  <c r="H250" i="87" s="1"/>
  <c r="G122" i="87"/>
  <c r="G250" i="87" s="1"/>
  <c r="F122" i="87"/>
  <c r="F250" i="87" s="1"/>
  <c r="E122" i="87"/>
  <c r="E250" i="87" s="1"/>
  <c r="D122" i="87"/>
  <c r="D250" i="87" s="1"/>
  <c r="C122" i="87"/>
  <c r="C250" i="87" s="1"/>
  <c r="B122" i="87"/>
  <c r="B250" i="87" s="1"/>
  <c r="Q121" i="87"/>
  <c r="P121" i="87"/>
  <c r="O121" i="87"/>
  <c r="N121" i="87"/>
  <c r="M121" i="87"/>
  <c r="L121" i="87"/>
  <c r="K121" i="87"/>
  <c r="J121" i="87"/>
  <c r="I121" i="87"/>
  <c r="H121" i="87"/>
  <c r="G121" i="87"/>
  <c r="F121" i="87"/>
  <c r="E121" i="87"/>
  <c r="D121" i="87"/>
  <c r="C121" i="87"/>
  <c r="B121" i="87"/>
  <c r="AE120" i="87"/>
  <c r="AD120" i="87"/>
  <c r="AC120" i="87"/>
  <c r="AB120" i="87"/>
  <c r="AA120" i="87"/>
  <c r="Z120" i="87"/>
  <c r="Y120" i="87"/>
  <c r="X120" i="87"/>
  <c r="W120" i="87"/>
  <c r="V120" i="87"/>
  <c r="U120" i="87"/>
  <c r="T120" i="87"/>
  <c r="T141" i="87" s="1"/>
  <c r="S120" i="87"/>
  <c r="S141" i="87" s="1"/>
  <c r="R120" i="87"/>
  <c r="R141" i="87" s="1"/>
  <c r="Q120" i="87"/>
  <c r="Q141" i="87" s="1"/>
  <c r="P120" i="87"/>
  <c r="P141" i="87" s="1"/>
  <c r="O120" i="87"/>
  <c r="O141" i="87" s="1"/>
  <c r="N120" i="87"/>
  <c r="N141" i="87" s="1"/>
  <c r="M120" i="87"/>
  <c r="M141" i="87" s="1"/>
  <c r="L120" i="87"/>
  <c r="L141" i="87" s="1"/>
  <c r="K120" i="87"/>
  <c r="K141" i="87" s="1"/>
  <c r="J120" i="87"/>
  <c r="J141" i="87" s="1"/>
  <c r="I120" i="87"/>
  <c r="I141" i="87" s="1"/>
  <c r="H120" i="87"/>
  <c r="H141" i="87" s="1"/>
  <c r="G120" i="87"/>
  <c r="G141" i="87" s="1"/>
  <c r="F120" i="87"/>
  <c r="F141" i="87" s="1"/>
  <c r="E120" i="87"/>
  <c r="E141" i="87" s="1"/>
  <c r="D120" i="87"/>
  <c r="C120" i="87"/>
  <c r="B120" i="87"/>
  <c r="X119" i="87"/>
  <c r="X184" i="87" s="1"/>
  <c r="W119" i="87"/>
  <c r="W184" i="87" s="1"/>
  <c r="V119" i="87"/>
  <c r="V184" i="87" s="1"/>
  <c r="U119" i="87"/>
  <c r="U140" i="87" s="1"/>
  <c r="T119" i="87"/>
  <c r="T140" i="87" s="1"/>
  <c r="S119" i="87"/>
  <c r="S140" i="87" s="1"/>
  <c r="R119" i="87"/>
  <c r="R140" i="87" s="1"/>
  <c r="Q119" i="87"/>
  <c r="Q140" i="87" s="1"/>
  <c r="P119" i="87"/>
  <c r="P140" i="87" s="1"/>
  <c r="O119" i="87"/>
  <c r="O140" i="87" s="1"/>
  <c r="N119" i="87"/>
  <c r="N140" i="87" s="1"/>
  <c r="M119" i="87"/>
  <c r="M140" i="87" s="1"/>
  <c r="L119" i="87"/>
  <c r="L140" i="87" s="1"/>
  <c r="K119" i="87"/>
  <c r="K140" i="87" s="1"/>
  <c r="J119" i="87"/>
  <c r="J140" i="87" s="1"/>
  <c r="I119" i="87"/>
  <c r="I140" i="87" s="1"/>
  <c r="H119" i="87"/>
  <c r="H140" i="87" s="1"/>
  <c r="G119" i="87"/>
  <c r="G140" i="87" s="1"/>
  <c r="F119" i="87"/>
  <c r="F140" i="87" s="1"/>
  <c r="E119" i="87"/>
  <c r="E140" i="87" s="1"/>
  <c r="D119" i="87"/>
  <c r="C119" i="87"/>
  <c r="B119" i="87"/>
  <c r="X118" i="87"/>
  <c r="X214" i="87" s="1"/>
  <c r="W118" i="87"/>
  <c r="W214" i="87" s="1"/>
  <c r="V118" i="87"/>
  <c r="V214" i="87" s="1"/>
  <c r="U118" i="87"/>
  <c r="U139" i="87" s="1"/>
  <c r="T118" i="87"/>
  <c r="T139" i="87" s="1"/>
  <c r="S118" i="87"/>
  <c r="S139" i="87" s="1"/>
  <c r="R118" i="87"/>
  <c r="R139" i="87" s="1"/>
  <c r="Q118" i="87"/>
  <c r="Q139" i="87" s="1"/>
  <c r="P118" i="87"/>
  <c r="P139" i="87" s="1"/>
  <c r="O118" i="87"/>
  <c r="O139" i="87" s="1"/>
  <c r="N118" i="87"/>
  <c r="N139" i="87" s="1"/>
  <c r="M118" i="87"/>
  <c r="M139" i="87" s="1"/>
  <c r="L118" i="87"/>
  <c r="L139" i="87" s="1"/>
  <c r="K118" i="87"/>
  <c r="K139" i="87" s="1"/>
  <c r="J118" i="87"/>
  <c r="J139" i="87" s="1"/>
  <c r="I118" i="87"/>
  <c r="I139" i="87" s="1"/>
  <c r="H118" i="87"/>
  <c r="H139" i="87" s="1"/>
  <c r="G118" i="87"/>
  <c r="G139" i="87" s="1"/>
  <c r="F118" i="87"/>
  <c r="F139" i="87" s="1"/>
  <c r="E118" i="87"/>
  <c r="E139" i="87" s="1"/>
  <c r="D118" i="87"/>
  <c r="C118" i="87"/>
  <c r="B118" i="87"/>
  <c r="AE117" i="87"/>
  <c r="AD117" i="87"/>
  <c r="AC117" i="87"/>
  <c r="AB117" i="87"/>
  <c r="AA117" i="87"/>
  <c r="Z117" i="87"/>
  <c r="Y117" i="87"/>
  <c r="X117" i="87"/>
  <c r="W117" i="87"/>
  <c r="W156" i="87" s="1"/>
  <c r="V117" i="87"/>
  <c r="V156" i="87" s="1"/>
  <c r="U117" i="87"/>
  <c r="U138" i="87" s="1"/>
  <c r="T117" i="87"/>
  <c r="T138" i="87" s="1"/>
  <c r="S117" i="87"/>
  <c r="S138" i="87" s="1"/>
  <c r="R117" i="87"/>
  <c r="R138" i="87" s="1"/>
  <c r="Q117" i="87"/>
  <c r="Q138" i="87" s="1"/>
  <c r="P117" i="87"/>
  <c r="P138" i="87" s="1"/>
  <c r="O117" i="87"/>
  <c r="O138" i="87" s="1"/>
  <c r="N117" i="87"/>
  <c r="N138" i="87" s="1"/>
  <c r="M117" i="87"/>
  <c r="M138" i="87" s="1"/>
  <c r="L117" i="87"/>
  <c r="L138" i="87" s="1"/>
  <c r="K117" i="87"/>
  <c r="K138" i="87" s="1"/>
  <c r="J117" i="87"/>
  <c r="J138" i="87" s="1"/>
  <c r="I117" i="87"/>
  <c r="I138" i="87" s="1"/>
  <c r="G117" i="87"/>
  <c r="G138" i="87" s="1"/>
  <c r="F117" i="87"/>
  <c r="F138" i="87" s="1"/>
  <c r="E117" i="87"/>
  <c r="E138" i="87" s="1"/>
  <c r="D117" i="87"/>
  <c r="C117" i="87"/>
  <c r="B117" i="87"/>
  <c r="W116" i="87"/>
  <c r="W204" i="87" s="1"/>
  <c r="V116" i="87"/>
  <c r="V204" i="87" s="1"/>
  <c r="U116" i="87"/>
  <c r="U137" i="87" s="1"/>
  <c r="T116" i="87"/>
  <c r="T137" i="87" s="1"/>
  <c r="S116" i="87"/>
  <c r="S137" i="87" s="1"/>
  <c r="R116" i="87"/>
  <c r="R137" i="87" s="1"/>
  <c r="Q116" i="87"/>
  <c r="Q137" i="87" s="1"/>
  <c r="P116" i="87"/>
  <c r="P137" i="87" s="1"/>
  <c r="O116" i="87"/>
  <c r="O137" i="87" s="1"/>
  <c r="N116" i="87"/>
  <c r="N137" i="87" s="1"/>
  <c r="M116" i="87"/>
  <c r="M137" i="87" s="1"/>
  <c r="L116" i="87"/>
  <c r="L137" i="87" s="1"/>
  <c r="K116" i="87"/>
  <c r="K137" i="87" s="1"/>
  <c r="J116" i="87"/>
  <c r="J137" i="87" s="1"/>
  <c r="I116" i="87"/>
  <c r="I137" i="87" s="1"/>
  <c r="H116" i="87"/>
  <c r="H137" i="87" s="1"/>
  <c r="G116" i="87"/>
  <c r="G137" i="87" s="1"/>
  <c r="F116" i="87"/>
  <c r="F137" i="87" s="1"/>
  <c r="E116" i="87"/>
  <c r="E137" i="87" s="1"/>
  <c r="D116" i="87"/>
  <c r="C116" i="87"/>
  <c r="B116" i="87"/>
  <c r="W115" i="87"/>
  <c r="W240" i="87" s="1"/>
  <c r="V115" i="87"/>
  <c r="U115" i="87"/>
  <c r="U136" i="87" s="1"/>
  <c r="T115" i="87"/>
  <c r="T136" i="87" s="1"/>
  <c r="S115" i="87"/>
  <c r="S136" i="87" s="1"/>
  <c r="R115" i="87"/>
  <c r="Q115" i="87"/>
  <c r="Q136" i="87" s="1"/>
  <c r="P115" i="87"/>
  <c r="P136" i="87" s="1"/>
  <c r="O115" i="87"/>
  <c r="O136" i="87" s="1"/>
  <c r="N115" i="87"/>
  <c r="N136" i="87" s="1"/>
  <c r="M115" i="87"/>
  <c r="M136" i="87" s="1"/>
  <c r="L115" i="87"/>
  <c r="L136" i="87" s="1"/>
  <c r="K115" i="87"/>
  <c r="K136" i="87" s="1"/>
  <c r="J115" i="87"/>
  <c r="J136" i="87" s="1"/>
  <c r="I115" i="87"/>
  <c r="I136" i="87" s="1"/>
  <c r="H115" i="87"/>
  <c r="H136" i="87" s="1"/>
  <c r="G115" i="87"/>
  <c r="G136" i="87" s="1"/>
  <c r="F115" i="87"/>
  <c r="F136" i="87" s="1"/>
  <c r="E115" i="87"/>
  <c r="E136" i="87" s="1"/>
  <c r="D115" i="87"/>
  <c r="C115" i="87"/>
  <c r="B115" i="87"/>
  <c r="X115" i="87"/>
  <c r="X240" i="87" s="1"/>
  <c r="C114" i="87"/>
  <c r="D114" i="87" s="1"/>
  <c r="E114" i="87" s="1"/>
  <c r="F114" i="87" s="1"/>
  <c r="G114" i="87" s="1"/>
  <c r="H114" i="87" s="1"/>
  <c r="I114" i="87" s="1"/>
  <c r="J114" i="87" s="1"/>
  <c r="K114" i="87" s="1"/>
  <c r="L114" i="87" s="1"/>
  <c r="M114" i="87" s="1"/>
  <c r="N114" i="87" s="1"/>
  <c r="O114" i="87" s="1"/>
  <c r="P114" i="87" s="1"/>
  <c r="Q114" i="87" s="1"/>
  <c r="R114" i="87" s="1"/>
  <c r="S114" i="87" s="1"/>
  <c r="T114" i="87" s="1"/>
  <c r="U114" i="87" s="1"/>
  <c r="V114" i="87" s="1"/>
  <c r="W114" i="87" s="1"/>
  <c r="X114" i="87" s="1"/>
  <c r="Y114" i="87" s="1"/>
  <c r="Z114" i="87" s="1"/>
  <c r="AA114" i="87" s="1"/>
  <c r="AB114" i="87" s="1"/>
  <c r="AC114" i="87" s="1"/>
  <c r="AD114" i="87" s="1"/>
  <c r="AE114" i="87" s="1"/>
  <c r="AF114" i="87" s="1"/>
  <c r="Y93" i="87"/>
  <c r="Y92" i="87"/>
  <c r="Y91" i="87"/>
  <c r="AE90" i="87"/>
  <c r="AD90" i="87"/>
  <c r="AC90" i="87"/>
  <c r="AB90" i="87"/>
  <c r="AA90" i="87"/>
  <c r="AE88" i="87"/>
  <c r="AD88" i="87"/>
  <c r="AC88" i="87"/>
  <c r="AB88" i="87"/>
  <c r="AA88" i="87"/>
  <c r="AE87" i="87"/>
  <c r="AD87" i="87"/>
  <c r="AC87" i="87"/>
  <c r="AB87" i="87"/>
  <c r="AA87" i="87"/>
  <c r="AE86" i="87"/>
  <c r="AD86" i="87"/>
  <c r="AC86" i="87"/>
  <c r="AB86" i="87"/>
  <c r="AA86" i="87"/>
  <c r="Z86" i="87"/>
  <c r="Y86" i="87"/>
  <c r="Z83" i="87"/>
  <c r="Y83" i="87"/>
  <c r="AE77" i="87"/>
  <c r="AD77" i="87"/>
  <c r="AC77" i="87"/>
  <c r="AB77" i="87"/>
  <c r="AA77" i="87"/>
  <c r="AQ77" i="13" l="1"/>
  <c r="AQ78" i="13" s="1"/>
  <c r="AQ79" i="13" s="1"/>
  <c r="AR36" i="14"/>
  <c r="AS36" i="14" s="1"/>
  <c r="AR45" i="14"/>
  <c r="AS45" i="14" s="1"/>
  <c r="AR54" i="14"/>
  <c r="AR33" i="14"/>
  <c r="AS33" i="14" s="1"/>
  <c r="AR42" i="14"/>
  <c r="AS42" i="14" s="1"/>
  <c r="AR46" i="14"/>
  <c r="AS46" i="14" s="1"/>
  <c r="AR55" i="14"/>
  <c r="P197" i="87"/>
  <c r="P233" i="87"/>
  <c r="AR7" i="14"/>
  <c r="AS7" i="14" s="1"/>
  <c r="AR4" i="14"/>
  <c r="AS4" i="14" s="1"/>
  <c r="AR18" i="14"/>
  <c r="AS18" i="14" s="1"/>
  <c r="AR10" i="14"/>
  <c r="AS10" i="14" s="1"/>
  <c r="AR15" i="14"/>
  <c r="AS15" i="14" s="1"/>
  <c r="AR20" i="14"/>
  <c r="AS20" i="14" s="1"/>
  <c r="AR11" i="14"/>
  <c r="AS11" i="14" s="1"/>
  <c r="AR16" i="14"/>
  <c r="AS16" i="14" s="1"/>
  <c r="AR23" i="14"/>
  <c r="AS23" i="14" s="1"/>
  <c r="P239" i="87"/>
  <c r="P183" i="87"/>
  <c r="P203" i="87"/>
  <c r="P249" i="87"/>
  <c r="P223" i="87"/>
  <c r="P213" i="87"/>
  <c r="P169" i="87"/>
  <c r="Q1" i="87"/>
  <c r="P155" i="87"/>
  <c r="C139" i="87"/>
  <c r="C214" i="87"/>
  <c r="D140" i="87"/>
  <c r="D184" i="87"/>
  <c r="AC224" i="87"/>
  <c r="K142" i="87"/>
  <c r="K170" i="87"/>
  <c r="AD156" i="87"/>
  <c r="C136" i="87"/>
  <c r="C240" i="87"/>
  <c r="C138" i="87"/>
  <c r="C156" i="87"/>
  <c r="X156" i="87"/>
  <c r="AB156" i="87"/>
  <c r="B139" i="87"/>
  <c r="B214" i="87"/>
  <c r="C140" i="87"/>
  <c r="C184" i="87"/>
  <c r="D141" i="87"/>
  <c r="D224" i="87"/>
  <c r="X224" i="87"/>
  <c r="AB224" i="87"/>
  <c r="B142" i="87"/>
  <c r="B170" i="87"/>
  <c r="F142" i="87"/>
  <c r="F170" i="87"/>
  <c r="J142" i="87"/>
  <c r="J170" i="87"/>
  <c r="N142" i="87"/>
  <c r="N170" i="87"/>
  <c r="B137" i="87"/>
  <c r="B204" i="87"/>
  <c r="D138" i="87"/>
  <c r="D156" i="87"/>
  <c r="AC156" i="87"/>
  <c r="U224" i="87"/>
  <c r="U141" i="87"/>
  <c r="Y224" i="87"/>
  <c r="G142" i="87"/>
  <c r="G170" i="87"/>
  <c r="O142" i="87"/>
  <c r="O170" i="87"/>
  <c r="Z156" i="87"/>
  <c r="B141" i="87"/>
  <c r="B224" i="87"/>
  <c r="V224" i="87"/>
  <c r="Z224" i="87"/>
  <c r="AD224" i="87"/>
  <c r="D142" i="87"/>
  <c r="D170" i="87"/>
  <c r="H142" i="87"/>
  <c r="H170" i="87"/>
  <c r="L142" i="87"/>
  <c r="L170" i="87"/>
  <c r="P142" i="87"/>
  <c r="P170" i="87"/>
  <c r="D136" i="87"/>
  <c r="D240" i="87"/>
  <c r="Y156" i="87"/>
  <c r="C142" i="87"/>
  <c r="C170" i="87"/>
  <c r="C137" i="87"/>
  <c r="C204" i="87"/>
  <c r="D139" i="87"/>
  <c r="D214" i="87"/>
  <c r="B136" i="87"/>
  <c r="B240" i="87"/>
  <c r="D137" i="87"/>
  <c r="D204" i="87"/>
  <c r="B138" i="87"/>
  <c r="B156" i="87"/>
  <c r="AA156" i="87"/>
  <c r="AE156" i="87"/>
  <c r="B140" i="87"/>
  <c r="B184" i="87"/>
  <c r="C141" i="87"/>
  <c r="C224" i="87"/>
  <c r="W224" i="87"/>
  <c r="AA224" i="87"/>
  <c r="AE224" i="87"/>
  <c r="E142" i="87"/>
  <c r="E170" i="87"/>
  <c r="I142" i="87"/>
  <c r="I170" i="87"/>
  <c r="M142" i="87"/>
  <c r="M170" i="87"/>
  <c r="Q142" i="87"/>
  <c r="Q170" i="87"/>
  <c r="AR6" i="14"/>
  <c r="AP73" i="17"/>
  <c r="AT80" i="46"/>
  <c r="AW80" i="46"/>
  <c r="AR12" i="14"/>
  <c r="AS12" i="14" s="1"/>
  <c r="AR17" i="14"/>
  <c r="AS17" i="14" s="1"/>
  <c r="AR34" i="14"/>
  <c r="AS34" i="14" s="1"/>
  <c r="AR43" i="14"/>
  <c r="AS43" i="14" s="1"/>
  <c r="AR47" i="14"/>
  <c r="AS47" i="14" s="1"/>
  <c r="AR56" i="14"/>
  <c r="AR5" i="14"/>
  <c r="AS5" i="14" s="1"/>
  <c r="AR9" i="14"/>
  <c r="AS9" i="14" s="1"/>
  <c r="AR13" i="14"/>
  <c r="AS13" i="14" s="1"/>
  <c r="AR35" i="14"/>
  <c r="AS35" i="14" s="1"/>
  <c r="AR44" i="14"/>
  <c r="AS44" i="14" s="1"/>
  <c r="AR48" i="14"/>
  <c r="AS48" i="14" s="1"/>
  <c r="AR59" i="14"/>
  <c r="AS59" i="14" s="1"/>
  <c r="AR31" i="14"/>
  <c r="AS31" i="14" s="1"/>
  <c r="R136" i="87"/>
  <c r="V240" i="87"/>
  <c r="T224" i="87"/>
  <c r="F204" i="87"/>
  <c r="R214" i="87"/>
  <c r="H138" i="87"/>
  <c r="G184" i="87"/>
  <c r="E133" i="87"/>
  <c r="E143" i="87" s="1"/>
  <c r="Q240" i="87"/>
  <c r="R204" i="87"/>
  <c r="M156" i="87"/>
  <c r="N214" i="87"/>
  <c r="S184" i="87"/>
  <c r="E224" i="87"/>
  <c r="P224" i="87"/>
  <c r="B133" i="87"/>
  <c r="B143" i="87" s="1"/>
  <c r="F133" i="87"/>
  <c r="F143" i="87" s="1"/>
  <c r="J133" i="87"/>
  <c r="J143" i="87" s="1"/>
  <c r="N133" i="87"/>
  <c r="N143" i="87" s="1"/>
  <c r="U240" i="87"/>
  <c r="Q156" i="87"/>
  <c r="Q133" i="87"/>
  <c r="M240" i="87"/>
  <c r="N204" i="87"/>
  <c r="I156" i="87"/>
  <c r="J214" i="87"/>
  <c r="O184" i="87"/>
  <c r="L224" i="87"/>
  <c r="C133" i="87"/>
  <c r="C143" i="87" s="1"/>
  <c r="G133" i="87"/>
  <c r="G143" i="87" s="1"/>
  <c r="K133" i="87"/>
  <c r="K143" i="87" s="1"/>
  <c r="O133" i="87"/>
  <c r="O143" i="87" s="1"/>
  <c r="I133" i="87"/>
  <c r="I143" i="87" s="1"/>
  <c r="M133" i="87"/>
  <c r="M143" i="87" s="1"/>
  <c r="I240" i="87"/>
  <c r="J204" i="87"/>
  <c r="U156" i="87"/>
  <c r="F214" i="87"/>
  <c r="K184" i="87"/>
  <c r="H224" i="87"/>
  <c r="D133" i="87"/>
  <c r="D143" i="87" s="1"/>
  <c r="H133" i="87"/>
  <c r="H143" i="87" s="1"/>
  <c r="L133" i="87"/>
  <c r="L143" i="87" s="1"/>
  <c r="P133" i="87"/>
  <c r="P143" i="87" s="1"/>
  <c r="E240" i="87"/>
  <c r="T240" i="87"/>
  <c r="P240" i="87"/>
  <c r="L240" i="87"/>
  <c r="H240" i="87"/>
  <c r="U204" i="87"/>
  <c r="Q204" i="87"/>
  <c r="M204" i="87"/>
  <c r="I204" i="87"/>
  <c r="E156" i="87"/>
  <c r="T156" i="87"/>
  <c r="P156" i="87"/>
  <c r="L156" i="87"/>
  <c r="U214" i="87"/>
  <c r="Q214" i="87"/>
  <c r="M214" i="87"/>
  <c r="I214" i="87"/>
  <c r="R184" i="87"/>
  <c r="N184" i="87"/>
  <c r="J184" i="87"/>
  <c r="F184" i="87"/>
  <c r="S224" i="87"/>
  <c r="O224" i="87"/>
  <c r="K224" i="87"/>
  <c r="G224" i="87"/>
  <c r="S240" i="87"/>
  <c r="O240" i="87"/>
  <c r="K240" i="87"/>
  <c r="G240" i="87"/>
  <c r="E204" i="87"/>
  <c r="T204" i="87"/>
  <c r="P204" i="87"/>
  <c r="L204" i="87"/>
  <c r="H204" i="87"/>
  <c r="S156" i="87"/>
  <c r="O156" i="87"/>
  <c r="K156" i="87"/>
  <c r="G156" i="87"/>
  <c r="E214" i="87"/>
  <c r="T214" i="87"/>
  <c r="P214" i="87"/>
  <c r="L214" i="87"/>
  <c r="H214" i="87"/>
  <c r="U184" i="87"/>
  <c r="Q184" i="87"/>
  <c r="M184" i="87"/>
  <c r="I184" i="87"/>
  <c r="R224" i="87"/>
  <c r="N224" i="87"/>
  <c r="J224" i="87"/>
  <c r="F224" i="87"/>
  <c r="R240" i="87"/>
  <c r="N240" i="87"/>
  <c r="J240" i="87"/>
  <c r="F240" i="87"/>
  <c r="S204" i="87"/>
  <c r="O204" i="87"/>
  <c r="K204" i="87"/>
  <c r="G204" i="87"/>
  <c r="R156" i="87"/>
  <c r="N156" i="87"/>
  <c r="J156" i="87"/>
  <c r="F156" i="87"/>
  <c r="S214" i="87"/>
  <c r="O214" i="87"/>
  <c r="K214" i="87"/>
  <c r="G214" i="87"/>
  <c r="E184" i="87"/>
  <c r="T184" i="87"/>
  <c r="P184" i="87"/>
  <c r="L184" i="87"/>
  <c r="H184" i="87"/>
  <c r="Q224" i="87"/>
  <c r="M224" i="87"/>
  <c r="I224" i="87"/>
  <c r="AF165" i="87" l="1"/>
  <c r="AA193" i="87"/>
  <c r="Y165" i="87"/>
  <c r="Y167" i="87" s="1"/>
  <c r="AA165" i="87"/>
  <c r="AA167" i="87" s="1"/>
  <c r="X165" i="87"/>
  <c r="AD165" i="87"/>
  <c r="AS6" i="14"/>
  <c r="AS77" i="13" s="1"/>
  <c r="AS78" i="13" s="1"/>
  <c r="AR77" i="13"/>
  <c r="AR78" i="13" s="1"/>
  <c r="AR79" i="13" s="1"/>
  <c r="AV80" i="46"/>
  <c r="AX29" i="13"/>
  <c r="AX80" i="46" s="1"/>
  <c r="AS49" i="14"/>
  <c r="Q197" i="87"/>
  <c r="Q233" i="87"/>
  <c r="Q239" i="87"/>
  <c r="Q183" i="87"/>
  <c r="Q203" i="87"/>
  <c r="Q249" i="87"/>
  <c r="Q223" i="87"/>
  <c r="Q213" i="87"/>
  <c r="Q169" i="87"/>
  <c r="AC165" i="87"/>
  <c r="AE165" i="87"/>
  <c r="AB165" i="87"/>
  <c r="Z165" i="87"/>
  <c r="R1" i="87"/>
  <c r="Q155" i="87"/>
  <c r="Z9" i="15"/>
  <c r="AU80" i="46"/>
  <c r="Z167" i="87" l="1"/>
  <c r="AF261" i="87"/>
  <c r="AF167" i="87"/>
  <c r="R197" i="87"/>
  <c r="R233" i="87"/>
  <c r="AS24" i="14"/>
  <c r="R249" i="87"/>
  <c r="R223" i="87"/>
  <c r="R213" i="87"/>
  <c r="R169" i="87"/>
  <c r="R239" i="87"/>
  <c r="R183" i="87"/>
  <c r="R203" i="87"/>
  <c r="S1" i="87"/>
  <c r="R155" i="87"/>
  <c r="Y261" i="87"/>
  <c r="X261" i="87"/>
  <c r="AY80" i="46"/>
  <c r="Z80" i="45" s="1"/>
  <c r="Z29" i="15"/>
  <c r="AB167" i="87"/>
  <c r="AB168" i="87" s="1"/>
  <c r="Z261" i="87"/>
  <c r="AD261" i="87"/>
  <c r="AC261" i="87"/>
  <c r="AB261" i="87"/>
  <c r="AE261" i="87"/>
  <c r="AA261" i="87"/>
  <c r="AC168" i="87" l="1"/>
  <c r="AF262" i="87"/>
  <c r="S197" i="87"/>
  <c r="S233" i="87"/>
  <c r="AT25" i="14"/>
  <c r="S249" i="87"/>
  <c r="S223" i="87"/>
  <c r="S213" i="87"/>
  <c r="S169" i="87"/>
  <c r="S239" i="87"/>
  <c r="S183" i="87"/>
  <c r="S203" i="87"/>
  <c r="T1" i="87"/>
  <c r="S155" i="87"/>
  <c r="AE167" i="87"/>
  <c r="AD167" i="87"/>
  <c r="AD168" i="87" s="1"/>
  <c r="Y262" i="87"/>
  <c r="Z262" i="87"/>
  <c r="AA262" i="87"/>
  <c r="AU71" i="14"/>
  <c r="AD262" i="87"/>
  <c r="AB262" i="87"/>
  <c r="AC262" i="87"/>
  <c r="AE262" i="87"/>
  <c r="AE168" i="87" l="1"/>
  <c r="AF168" i="87"/>
  <c r="AT27" i="14"/>
  <c r="Y27" i="16" s="1"/>
  <c r="Y25" i="16"/>
  <c r="T197" i="87"/>
  <c r="T233" i="87"/>
  <c r="T239" i="87"/>
  <c r="T183" i="87"/>
  <c r="T203" i="87"/>
  <c r="T249" i="87"/>
  <c r="T223" i="87"/>
  <c r="T213" i="87"/>
  <c r="T169" i="87"/>
  <c r="U1" i="87"/>
  <c r="T155" i="87"/>
  <c r="AX6" i="14"/>
  <c r="AV71" i="14"/>
  <c r="AX71" i="14" l="1"/>
  <c r="AX72" i="14" s="1"/>
  <c r="U197" i="87"/>
  <c r="U233" i="87"/>
  <c r="U239" i="87"/>
  <c r="U183" i="87"/>
  <c r="U203" i="87"/>
  <c r="U249" i="87"/>
  <c r="U223" i="87"/>
  <c r="U213" i="87"/>
  <c r="U169" i="87"/>
  <c r="V1" i="87"/>
  <c r="U155" i="87"/>
  <c r="AW71" i="14"/>
  <c r="AY71" i="14" l="1"/>
  <c r="AY72" i="14" s="1"/>
  <c r="V197" i="87"/>
  <c r="V233" i="87"/>
  <c r="V249" i="87"/>
  <c r="V223" i="87"/>
  <c r="V213" i="87"/>
  <c r="V169" i="87"/>
  <c r="V239" i="87"/>
  <c r="V183" i="87"/>
  <c r="V203" i="87"/>
  <c r="W1" i="87"/>
  <c r="V155" i="87"/>
  <c r="AE2" i="16"/>
  <c r="AD2" i="16"/>
  <c r="AE2" i="18"/>
  <c r="AL65" i="18" s="1"/>
  <c r="AD2" i="18"/>
  <c r="AK65" i="18" s="1"/>
  <c r="Z80" i="87"/>
  <c r="Z71" i="16" l="1"/>
  <c r="W197" i="87"/>
  <c r="W233" i="87"/>
  <c r="W249" i="87"/>
  <c r="W223" i="87"/>
  <c r="W213" i="87"/>
  <c r="W169" i="87"/>
  <c r="W239" i="87"/>
  <c r="W183" i="87"/>
  <c r="W203" i="87"/>
  <c r="X1" i="87"/>
  <c r="W155" i="87"/>
  <c r="Z6" i="16"/>
  <c r="X197" i="87" l="1"/>
  <c r="X233" i="87"/>
  <c r="X239" i="87"/>
  <c r="X183" i="87"/>
  <c r="X203" i="87"/>
  <c r="X249" i="87"/>
  <c r="X223" i="87"/>
  <c r="X213" i="87"/>
  <c r="X169" i="87"/>
  <c r="X155" i="87"/>
  <c r="Z81" i="87"/>
  <c r="Z76" i="87"/>
  <c r="Y239" i="87" l="1"/>
  <c r="Y183" i="87"/>
  <c r="Y203" i="87"/>
  <c r="Y249" i="87"/>
  <c r="Y223" i="87"/>
  <c r="Y213" i="87"/>
  <c r="Y169" i="87"/>
  <c r="Y155" i="87"/>
  <c r="Z249" i="87" l="1"/>
  <c r="Z223" i="87"/>
  <c r="Z213" i="87"/>
  <c r="Z169" i="87"/>
  <c r="Z239" i="87"/>
  <c r="Z183" i="87"/>
  <c r="Z203" i="87"/>
  <c r="Z155" i="87"/>
  <c r="AA249" i="87" l="1"/>
  <c r="AA223" i="87"/>
  <c r="AA213" i="87"/>
  <c r="AA169" i="87"/>
  <c r="AA239" i="87"/>
  <c r="AA183" i="87"/>
  <c r="AA203" i="87"/>
  <c r="AA155" i="87"/>
  <c r="Y79" i="87"/>
  <c r="Y80" i="87"/>
  <c r="Y81" i="87"/>
  <c r="AB239" i="87" l="1"/>
  <c r="AB183" i="87"/>
  <c r="AB203" i="87"/>
  <c r="AB249" i="87"/>
  <c r="AB223" i="87"/>
  <c r="AB213" i="87"/>
  <c r="AB169" i="87"/>
  <c r="AB155" i="87"/>
  <c r="AC239" i="87" l="1"/>
  <c r="AC183" i="87"/>
  <c r="AC203" i="87"/>
  <c r="AC249" i="87"/>
  <c r="AC223" i="87"/>
  <c r="AC213" i="87"/>
  <c r="AC169" i="87"/>
  <c r="AC155" i="87"/>
  <c r="Y76" i="87"/>
  <c r="AD249" i="87" l="1"/>
  <c r="AD223" i="87"/>
  <c r="AD213" i="87"/>
  <c r="AD169" i="87"/>
  <c r="AD239" i="87"/>
  <c r="AD183" i="87"/>
  <c r="AD203" i="87"/>
  <c r="AD155" i="87"/>
  <c r="AE155" i="87" l="1"/>
  <c r="AE249" i="87"/>
  <c r="AE223" i="87"/>
  <c r="AE213" i="87"/>
  <c r="AE169" i="87"/>
  <c r="AE239" i="87"/>
  <c r="AE183" i="87"/>
  <c r="AE203" i="87"/>
  <c r="Y78" i="87" l="1"/>
  <c r="Z79" i="87" l="1"/>
  <c r="O108" i="87" l="1"/>
  <c r="N108" i="87"/>
  <c r="M108" i="87"/>
  <c r="L108" i="87"/>
  <c r="K108" i="87"/>
  <c r="J108" i="87"/>
  <c r="I108" i="87"/>
  <c r="H108" i="87"/>
  <c r="G108" i="87"/>
  <c r="F108" i="87"/>
  <c r="E108" i="87"/>
  <c r="D108" i="87"/>
  <c r="C108" i="87"/>
  <c r="B108" i="87"/>
  <c r="P108" i="87"/>
  <c r="B144" i="87" l="1"/>
  <c r="F144" i="87"/>
  <c r="J144" i="87"/>
  <c r="N144" i="87"/>
  <c r="E144" i="87"/>
  <c r="I144" i="87"/>
  <c r="M144" i="87"/>
  <c r="C144" i="87"/>
  <c r="G144" i="87"/>
  <c r="K144" i="87"/>
  <c r="O144" i="87"/>
  <c r="D144" i="87"/>
  <c r="H144" i="87"/>
  <c r="L144" i="87"/>
  <c r="P144" i="87"/>
  <c r="H145" i="87" l="1"/>
  <c r="L145" i="87"/>
  <c r="D145" i="87"/>
  <c r="C145" i="87"/>
  <c r="N145" i="87"/>
  <c r="O145" i="87"/>
  <c r="M145" i="87"/>
  <c r="J145" i="87"/>
  <c r="I145" i="87"/>
  <c r="F145" i="87"/>
  <c r="P145" i="87"/>
  <c r="K145" i="87"/>
  <c r="G145" i="87"/>
  <c r="E145" i="87"/>
  <c r="Q108" i="87"/>
  <c r="AK66" i="13"/>
  <c r="W5" i="15"/>
  <c r="W4" i="15"/>
  <c r="W3" i="15"/>
  <c r="AJ2" i="17"/>
  <c r="AK63" i="14"/>
  <c r="AJ2" i="14"/>
  <c r="AJ4" i="46"/>
  <c r="V131" i="87"/>
  <c r="V141" i="87" s="1"/>
  <c r="V129" i="87"/>
  <c r="V139" i="87" s="1"/>
  <c r="V127" i="87"/>
  <c r="V137" i="87" s="1"/>
  <c r="C135" i="87"/>
  <c r="D135" i="87" s="1"/>
  <c r="E135" i="87" s="1"/>
  <c r="F135" i="87" s="1"/>
  <c r="G135" i="87" s="1"/>
  <c r="H135" i="87" s="1"/>
  <c r="I135" i="87" s="1"/>
  <c r="J135" i="87" s="1"/>
  <c r="K135" i="87" s="1"/>
  <c r="L135" i="87" s="1"/>
  <c r="M135" i="87" s="1"/>
  <c r="N135" i="87" s="1"/>
  <c r="O135" i="87" s="1"/>
  <c r="P135" i="87" s="1"/>
  <c r="Q135" i="87" s="1"/>
  <c r="R135" i="87" s="1"/>
  <c r="S135" i="87" s="1"/>
  <c r="C125" i="87"/>
  <c r="AA51" i="87"/>
  <c r="G51" i="87"/>
  <c r="H51" i="87"/>
  <c r="I51" i="87"/>
  <c r="J51" i="87"/>
  <c r="K51" i="87"/>
  <c r="L51" i="87"/>
  <c r="M51" i="87"/>
  <c r="N51" i="87"/>
  <c r="O51" i="87"/>
  <c r="P51" i="87"/>
  <c r="Q51" i="87"/>
  <c r="R51" i="87"/>
  <c r="S51" i="87"/>
  <c r="T51" i="87"/>
  <c r="U51" i="87"/>
  <c r="V51" i="87"/>
  <c r="W51" i="87"/>
  <c r="X51" i="87"/>
  <c r="G52" i="87"/>
  <c r="H52" i="87"/>
  <c r="I52" i="87"/>
  <c r="J52" i="87"/>
  <c r="K52" i="87"/>
  <c r="L52" i="87"/>
  <c r="M52" i="87"/>
  <c r="N52" i="87"/>
  <c r="O52" i="87"/>
  <c r="P52" i="87"/>
  <c r="Q52" i="87"/>
  <c r="R52" i="87"/>
  <c r="S52" i="87"/>
  <c r="T52" i="87"/>
  <c r="U52" i="87"/>
  <c r="V52" i="87"/>
  <c r="W52" i="87"/>
  <c r="X52" i="87"/>
  <c r="G53" i="87"/>
  <c r="H53" i="87"/>
  <c r="I53" i="87"/>
  <c r="J53" i="87"/>
  <c r="K53" i="87"/>
  <c r="L53" i="87"/>
  <c r="M53" i="87"/>
  <c r="N53" i="87"/>
  <c r="O53" i="87"/>
  <c r="P53" i="87"/>
  <c r="Q53" i="87"/>
  <c r="R53" i="87"/>
  <c r="S53" i="87"/>
  <c r="T53" i="87"/>
  <c r="U53" i="87"/>
  <c r="V53" i="87"/>
  <c r="W53" i="87"/>
  <c r="X53" i="87"/>
  <c r="G54" i="87"/>
  <c r="H54" i="87"/>
  <c r="I54" i="87"/>
  <c r="J54" i="87"/>
  <c r="K54" i="87"/>
  <c r="L54" i="87"/>
  <c r="M54" i="87"/>
  <c r="N54" i="87"/>
  <c r="O54" i="87"/>
  <c r="P54" i="87"/>
  <c r="Q54" i="87"/>
  <c r="R54" i="87"/>
  <c r="S54" i="87"/>
  <c r="T54" i="87"/>
  <c r="U54" i="87"/>
  <c r="V54" i="87"/>
  <c r="W54" i="87"/>
  <c r="X54" i="87"/>
  <c r="G55" i="87"/>
  <c r="H55" i="87"/>
  <c r="I55" i="87"/>
  <c r="J55" i="87"/>
  <c r="K55" i="87"/>
  <c r="L55" i="87"/>
  <c r="M55" i="87"/>
  <c r="N55" i="87"/>
  <c r="O55" i="87"/>
  <c r="P55" i="87"/>
  <c r="Q55" i="87"/>
  <c r="R55" i="87"/>
  <c r="S55" i="87"/>
  <c r="T55" i="87"/>
  <c r="U55" i="87"/>
  <c r="V55" i="87"/>
  <c r="W55" i="87"/>
  <c r="X55" i="87"/>
  <c r="G56" i="87"/>
  <c r="H56" i="87"/>
  <c r="I56" i="87"/>
  <c r="J56" i="87"/>
  <c r="K56" i="87"/>
  <c r="L56" i="87"/>
  <c r="M56" i="87"/>
  <c r="N56" i="87"/>
  <c r="O56" i="87"/>
  <c r="P56" i="87"/>
  <c r="Q56" i="87"/>
  <c r="R56" i="87"/>
  <c r="S56" i="87"/>
  <c r="T56" i="87"/>
  <c r="U56" i="87"/>
  <c r="V56" i="87"/>
  <c r="W56" i="87"/>
  <c r="X56" i="87"/>
  <c r="G58" i="87"/>
  <c r="H58" i="87"/>
  <c r="I58" i="87"/>
  <c r="J58" i="87"/>
  <c r="K58" i="87"/>
  <c r="L58" i="87"/>
  <c r="M58" i="87"/>
  <c r="N58" i="87"/>
  <c r="O58" i="87"/>
  <c r="P58" i="87"/>
  <c r="Q58" i="87"/>
  <c r="R58" i="87"/>
  <c r="S58" i="87"/>
  <c r="T58" i="87"/>
  <c r="U58" i="87"/>
  <c r="V58" i="87"/>
  <c r="W58" i="87"/>
  <c r="X58" i="87"/>
  <c r="G59" i="87"/>
  <c r="H59" i="87"/>
  <c r="I59" i="87"/>
  <c r="J59" i="87"/>
  <c r="K59" i="87"/>
  <c r="L59" i="87"/>
  <c r="M59" i="87"/>
  <c r="N59" i="87"/>
  <c r="O59" i="87"/>
  <c r="P59" i="87"/>
  <c r="Q59" i="87"/>
  <c r="R59" i="87"/>
  <c r="S59" i="87"/>
  <c r="T59" i="87"/>
  <c r="U59" i="87"/>
  <c r="V59" i="87"/>
  <c r="W59" i="87"/>
  <c r="X59" i="87"/>
  <c r="G60" i="87"/>
  <c r="H60" i="87"/>
  <c r="I60" i="87"/>
  <c r="J60" i="87"/>
  <c r="K60" i="87"/>
  <c r="L60" i="87"/>
  <c r="M60" i="87"/>
  <c r="N60" i="87"/>
  <c r="O60" i="87"/>
  <c r="P60" i="87"/>
  <c r="Q60" i="87"/>
  <c r="R60" i="87"/>
  <c r="S60" i="87"/>
  <c r="T60" i="87"/>
  <c r="U60" i="87"/>
  <c r="V60" i="87"/>
  <c r="W60" i="87"/>
  <c r="X60" i="87"/>
  <c r="G61" i="87"/>
  <c r="H61" i="87"/>
  <c r="I61" i="87"/>
  <c r="J61" i="87"/>
  <c r="K61" i="87"/>
  <c r="L61" i="87"/>
  <c r="M61" i="87"/>
  <c r="N61" i="87"/>
  <c r="O61" i="87"/>
  <c r="P61" i="87"/>
  <c r="Q61" i="87"/>
  <c r="R61" i="87"/>
  <c r="S61" i="87"/>
  <c r="T61" i="87"/>
  <c r="U61" i="87"/>
  <c r="V61" i="87"/>
  <c r="W61" i="87"/>
  <c r="X61" i="87"/>
  <c r="G62" i="87"/>
  <c r="H62" i="87"/>
  <c r="I62" i="87"/>
  <c r="J62" i="87"/>
  <c r="K62" i="87"/>
  <c r="L62" i="87"/>
  <c r="M62" i="87"/>
  <c r="N62" i="87"/>
  <c r="O62" i="87"/>
  <c r="P62" i="87"/>
  <c r="Q62" i="87"/>
  <c r="R62" i="87"/>
  <c r="S62" i="87"/>
  <c r="T62" i="87"/>
  <c r="U62" i="87"/>
  <c r="V62" i="87"/>
  <c r="W62" i="87"/>
  <c r="X62" i="87"/>
  <c r="G63" i="87"/>
  <c r="H63" i="87"/>
  <c r="I63" i="87"/>
  <c r="J63" i="87"/>
  <c r="K63" i="87"/>
  <c r="L63" i="87"/>
  <c r="M63" i="87"/>
  <c r="N63" i="87"/>
  <c r="O63" i="87"/>
  <c r="P63" i="87"/>
  <c r="Q63" i="87"/>
  <c r="R63" i="87"/>
  <c r="S63" i="87"/>
  <c r="T63" i="87"/>
  <c r="U63" i="87"/>
  <c r="V63" i="87"/>
  <c r="W63" i="87"/>
  <c r="X63" i="87"/>
  <c r="G65" i="87"/>
  <c r="H65" i="87"/>
  <c r="I65" i="87"/>
  <c r="J65" i="87"/>
  <c r="K65" i="87"/>
  <c r="L65" i="87"/>
  <c r="M65" i="87"/>
  <c r="N65" i="87"/>
  <c r="O65" i="87"/>
  <c r="P65" i="87"/>
  <c r="Q65" i="87"/>
  <c r="R65" i="87"/>
  <c r="S65" i="87"/>
  <c r="T65" i="87"/>
  <c r="U65" i="87"/>
  <c r="V65" i="87"/>
  <c r="W65" i="87"/>
  <c r="X65" i="87"/>
  <c r="G66" i="87"/>
  <c r="H66" i="87"/>
  <c r="I66" i="87"/>
  <c r="J66" i="87"/>
  <c r="K66" i="87"/>
  <c r="L66" i="87"/>
  <c r="M66" i="87"/>
  <c r="N66" i="87"/>
  <c r="O66" i="87"/>
  <c r="P66" i="87"/>
  <c r="Q66" i="87"/>
  <c r="R66" i="87"/>
  <c r="S66" i="87"/>
  <c r="T66" i="87"/>
  <c r="U66" i="87"/>
  <c r="V66" i="87"/>
  <c r="W66" i="87"/>
  <c r="X66" i="87"/>
  <c r="G67" i="87"/>
  <c r="H67" i="87"/>
  <c r="I67" i="87"/>
  <c r="J67" i="87"/>
  <c r="K67" i="87"/>
  <c r="L67" i="87"/>
  <c r="M67" i="87"/>
  <c r="N67" i="87"/>
  <c r="O67" i="87"/>
  <c r="P67" i="87"/>
  <c r="Q67" i="87"/>
  <c r="R67" i="87"/>
  <c r="S67" i="87"/>
  <c r="T67" i="87"/>
  <c r="U67" i="87"/>
  <c r="V67" i="87"/>
  <c r="W67" i="87"/>
  <c r="X67" i="87"/>
  <c r="G68" i="87"/>
  <c r="H68" i="87"/>
  <c r="I68" i="87"/>
  <c r="J68" i="87"/>
  <c r="K68" i="87"/>
  <c r="L68" i="87"/>
  <c r="M68" i="87"/>
  <c r="N68" i="87"/>
  <c r="O68" i="87"/>
  <c r="P68" i="87"/>
  <c r="Q68" i="87"/>
  <c r="R68" i="87"/>
  <c r="S68" i="87"/>
  <c r="T68" i="87"/>
  <c r="U68" i="87"/>
  <c r="V68" i="87"/>
  <c r="W68" i="87"/>
  <c r="X68" i="87"/>
  <c r="G69" i="87"/>
  <c r="H69" i="87"/>
  <c r="I69" i="87"/>
  <c r="J69" i="87"/>
  <c r="K69" i="87"/>
  <c r="L69" i="87"/>
  <c r="M69" i="87"/>
  <c r="N69" i="87"/>
  <c r="O69" i="87"/>
  <c r="P69" i="87"/>
  <c r="Q69" i="87"/>
  <c r="R69" i="87"/>
  <c r="S69" i="87"/>
  <c r="T69" i="87"/>
  <c r="U69" i="87"/>
  <c r="V69" i="87"/>
  <c r="W69" i="87"/>
  <c r="X69" i="87"/>
  <c r="C27" i="87"/>
  <c r="D27" i="87" s="1"/>
  <c r="E27" i="87" s="1"/>
  <c r="F27" i="87" s="1"/>
  <c r="G27" i="87" s="1"/>
  <c r="H27" i="87" s="1"/>
  <c r="I27" i="87" s="1"/>
  <c r="J27" i="87" s="1"/>
  <c r="K27" i="87" s="1"/>
  <c r="L27" i="87" s="1"/>
  <c r="M27" i="87" s="1"/>
  <c r="N27" i="87" s="1"/>
  <c r="O27" i="87" s="1"/>
  <c r="P27" i="87" s="1"/>
  <c r="Q27" i="87" s="1"/>
  <c r="R27" i="87" s="1"/>
  <c r="S27" i="87" s="1"/>
  <c r="T27" i="87" s="1"/>
  <c r="U27" i="87" s="1"/>
  <c r="V27" i="87" s="1"/>
  <c r="W27" i="87" s="1"/>
  <c r="X27" i="87" s="1"/>
  <c r="Y27" i="87" s="1"/>
  <c r="Z27" i="87" s="1"/>
  <c r="AA27" i="87" s="1"/>
  <c r="AB27" i="87" s="1"/>
  <c r="AC27" i="87" s="1"/>
  <c r="AD27" i="87" s="1"/>
  <c r="AE27" i="87" s="1"/>
  <c r="AF27" i="87" s="1"/>
  <c r="AA29" i="87"/>
  <c r="AB29" i="87"/>
  <c r="AC29" i="87"/>
  <c r="AD29" i="87"/>
  <c r="AE29" i="87"/>
  <c r="AA38" i="87"/>
  <c r="AB38" i="87"/>
  <c r="AC38" i="87"/>
  <c r="AD38" i="87"/>
  <c r="AE38" i="87"/>
  <c r="AA39" i="87"/>
  <c r="AB39" i="87"/>
  <c r="AC39" i="87"/>
  <c r="AD39" i="87"/>
  <c r="AE39" i="87"/>
  <c r="AA40" i="87"/>
  <c r="AB40" i="87"/>
  <c r="AC40" i="87"/>
  <c r="AD40" i="87"/>
  <c r="AE40" i="87"/>
  <c r="B47" i="87"/>
  <c r="C47" i="87"/>
  <c r="D47" i="87"/>
  <c r="E47" i="87"/>
  <c r="F47" i="87"/>
  <c r="G47" i="87"/>
  <c r="H47" i="87"/>
  <c r="I47" i="87"/>
  <c r="J47" i="87"/>
  <c r="K47" i="87"/>
  <c r="L47" i="87"/>
  <c r="M47" i="87"/>
  <c r="N47" i="87"/>
  <c r="O47" i="87"/>
  <c r="P47" i="87"/>
  <c r="Q47" i="87"/>
  <c r="R47" i="87"/>
  <c r="S47" i="87"/>
  <c r="T47" i="87"/>
  <c r="U47" i="87"/>
  <c r="V47" i="87"/>
  <c r="W47" i="87"/>
  <c r="X47" i="87"/>
  <c r="B95" i="87"/>
  <c r="C95" i="87"/>
  <c r="D95" i="87"/>
  <c r="E95" i="87"/>
  <c r="F95" i="87"/>
  <c r="G95" i="87"/>
  <c r="H95" i="87"/>
  <c r="I95" i="87"/>
  <c r="J95" i="87"/>
  <c r="K95" i="87"/>
  <c r="L95" i="87"/>
  <c r="M95" i="87"/>
  <c r="N95" i="87"/>
  <c r="O95" i="87"/>
  <c r="P95" i="87"/>
  <c r="Q95" i="87"/>
  <c r="R95" i="87"/>
  <c r="S95" i="87"/>
  <c r="T95" i="87"/>
  <c r="U95" i="87"/>
  <c r="V95" i="87"/>
  <c r="W95" i="87"/>
  <c r="X95" i="87"/>
  <c r="AB51" i="87" l="1"/>
  <c r="AA76" i="87"/>
  <c r="W129" i="87"/>
  <c r="W127" i="87"/>
  <c r="W131" i="87"/>
  <c r="W141" i="87" s="1"/>
  <c r="D125" i="87"/>
  <c r="T135" i="87"/>
  <c r="U135" i="87" s="1"/>
  <c r="V135" i="87" s="1"/>
  <c r="W135" i="87" s="1"/>
  <c r="X135" i="87" s="1"/>
  <c r="Y135" i="87" s="1"/>
  <c r="Z135" i="87" s="1"/>
  <c r="AA135" i="87" s="1"/>
  <c r="AB135" i="87" s="1"/>
  <c r="AC135" i="87" s="1"/>
  <c r="AD135" i="87" s="1"/>
  <c r="AE135" i="87" s="1"/>
  <c r="AF135" i="87" s="1"/>
  <c r="V126" i="87"/>
  <c r="V136" i="87" s="1"/>
  <c r="V130" i="87"/>
  <c r="V140" i="87" s="1"/>
  <c r="V132" i="87"/>
  <c r="V128" i="87"/>
  <c r="V138" i="87" s="1"/>
  <c r="W137" i="87" l="1"/>
  <c r="W139" i="87"/>
  <c r="Z84" i="87"/>
  <c r="Y85" i="87"/>
  <c r="Y84" i="87"/>
  <c r="AC51" i="87"/>
  <c r="AB76" i="87"/>
  <c r="E125" i="87"/>
  <c r="X127" i="87"/>
  <c r="X207" i="87" s="1"/>
  <c r="W126" i="87"/>
  <c r="X131" i="87"/>
  <c r="X129" i="87"/>
  <c r="X217" i="87" s="1"/>
  <c r="W130" i="87"/>
  <c r="W140" i="87" s="1"/>
  <c r="W128" i="87"/>
  <c r="W138" i="87" s="1"/>
  <c r="W132" i="87"/>
  <c r="X139" i="87" l="1"/>
  <c r="X219" i="87"/>
  <c r="X230" i="87"/>
  <c r="X229" i="87" s="1"/>
  <c r="X141" i="87"/>
  <c r="X137" i="87"/>
  <c r="X209" i="87"/>
  <c r="W136" i="87"/>
  <c r="Z85" i="87"/>
  <c r="AD51" i="87"/>
  <c r="AE51" i="87" s="1"/>
  <c r="AF51" i="87" s="1"/>
  <c r="AC76" i="87"/>
  <c r="Y131" i="87"/>
  <c r="Y127" i="87"/>
  <c r="Y207" i="87" s="1"/>
  <c r="Y129" i="87"/>
  <c r="X126" i="87"/>
  <c r="F125" i="87"/>
  <c r="X130" i="87"/>
  <c r="X187" i="87" s="1"/>
  <c r="X128" i="87"/>
  <c r="X132" i="87"/>
  <c r="AF76" i="87" l="1"/>
  <c r="AF28" i="87"/>
  <c r="X267" i="87"/>
  <c r="Y141" i="87"/>
  <c r="X245" i="87"/>
  <c r="X243" i="87"/>
  <c r="X138" i="87"/>
  <c r="X159" i="87"/>
  <c r="Y219" i="87"/>
  <c r="Y217" i="87"/>
  <c r="Y209" i="87"/>
  <c r="X140" i="87"/>
  <c r="X193" i="87"/>
  <c r="X265" i="87" s="1"/>
  <c r="Y230" i="87"/>
  <c r="Y229" i="87" s="1"/>
  <c r="X136" i="87"/>
  <c r="G125" i="87"/>
  <c r="Z129" i="87"/>
  <c r="Y126" i="87"/>
  <c r="Z131" i="87"/>
  <c r="Z127" i="87"/>
  <c r="Z207" i="87" s="1"/>
  <c r="Y130" i="87"/>
  <c r="Y187" i="87" s="1"/>
  <c r="Y132" i="87"/>
  <c r="Y128" i="87"/>
  <c r="Y267" i="87" l="1"/>
  <c r="Y211" i="87"/>
  <c r="Z219" i="87"/>
  <c r="Z217" i="87"/>
  <c r="Z209" i="87"/>
  <c r="Y138" i="87"/>
  <c r="Y159" i="87"/>
  <c r="Y245" i="87"/>
  <c r="Y243" i="87"/>
  <c r="Y221" i="87"/>
  <c r="Z230" i="87"/>
  <c r="Z229" i="87" s="1"/>
  <c r="Z141" i="87"/>
  <c r="Y231" i="87"/>
  <c r="Y193" i="87"/>
  <c r="AA127" i="87"/>
  <c r="AA207" i="87" s="1"/>
  <c r="Z126" i="87"/>
  <c r="H125" i="87"/>
  <c r="AA131" i="87"/>
  <c r="AA129" i="87"/>
  <c r="Z130" i="87"/>
  <c r="Z128" i="87"/>
  <c r="Z132" i="87"/>
  <c r="Y265" i="87" l="1"/>
  <c r="Y195" i="87"/>
  <c r="Y288" i="87" s="1"/>
  <c r="Z267" i="87"/>
  <c r="Y247" i="87"/>
  <c r="Z211" i="87"/>
  <c r="Z193" i="87"/>
  <c r="Z265" i="87" s="1"/>
  <c r="Z187" i="87"/>
  <c r="Z245" i="87"/>
  <c r="Z243" i="87"/>
  <c r="AA219" i="87"/>
  <c r="AA217" i="87"/>
  <c r="AA209" i="87"/>
  <c r="Z138" i="87"/>
  <c r="Z159" i="87"/>
  <c r="Z221" i="87"/>
  <c r="AA230" i="87"/>
  <c r="AA229" i="87" s="1"/>
  <c r="AA141" i="87"/>
  <c r="Y268" i="87"/>
  <c r="Z231" i="87"/>
  <c r="AA132" i="87"/>
  <c r="AA130" i="87"/>
  <c r="AA126" i="87"/>
  <c r="AB129" i="87"/>
  <c r="AB131" i="87"/>
  <c r="I125" i="87"/>
  <c r="AB127" i="87"/>
  <c r="AB207" i="87" s="1"/>
  <c r="AA128" i="87"/>
  <c r="AA267" i="87" l="1"/>
  <c r="AA221" i="87"/>
  <c r="AA211" i="87"/>
  <c r="Z247" i="87"/>
  <c r="AB209" i="87"/>
  <c r="AA245" i="87"/>
  <c r="AA243" i="87"/>
  <c r="AA265" i="87"/>
  <c r="AA187" i="87"/>
  <c r="AA138" i="87"/>
  <c r="AA159" i="87"/>
  <c r="AB219" i="87"/>
  <c r="AB230" i="87"/>
  <c r="AB229" i="87" s="1"/>
  <c r="AB141" i="87"/>
  <c r="AB132" i="87"/>
  <c r="AC127" i="87"/>
  <c r="AC207" i="87" s="1"/>
  <c r="AB126" i="87"/>
  <c r="AC131" i="87"/>
  <c r="AC129" i="87"/>
  <c r="J125" i="87"/>
  <c r="AB130" i="87"/>
  <c r="AB128" i="87"/>
  <c r="AB267" i="87" l="1"/>
  <c r="Z195" i="87"/>
  <c r="Z288" i="87" s="1"/>
  <c r="Z268" i="87"/>
  <c r="AA195" i="87"/>
  <c r="AB211" i="87"/>
  <c r="AC219" i="87"/>
  <c r="AB138" i="87"/>
  <c r="AB159" i="87"/>
  <c r="AB193" i="87"/>
  <c r="AB265" i="87" s="1"/>
  <c r="AB245" i="87"/>
  <c r="AB243" i="87"/>
  <c r="AC209" i="87"/>
  <c r="AB221" i="87"/>
  <c r="AC230" i="87"/>
  <c r="AC229" i="87" s="1"/>
  <c r="AC141" i="87"/>
  <c r="AA231" i="87"/>
  <c r="AA288" i="87" s="1"/>
  <c r="AA247" i="87"/>
  <c r="AB231" i="87"/>
  <c r="AC132" i="87"/>
  <c r="AC130" i="87"/>
  <c r="AD131" i="87"/>
  <c r="AD127" i="87"/>
  <c r="AD207" i="87" s="1"/>
  <c r="AD129" i="87"/>
  <c r="AC126" i="87"/>
  <c r="K125" i="87"/>
  <c r="AC128" i="87"/>
  <c r="Z289" i="87" l="1"/>
  <c r="Z290" i="87"/>
  <c r="AA290" i="87" s="1"/>
  <c r="AA295" i="87" s="1"/>
  <c r="AA323" i="87" s="1"/>
  <c r="AA324" i="87" s="1"/>
  <c r="AA289" i="87"/>
  <c r="AC267" i="87"/>
  <c r="AA268" i="87"/>
  <c r="AC211" i="87"/>
  <c r="AB247" i="87"/>
  <c r="AC138" i="87"/>
  <c r="AC159" i="87"/>
  <c r="AC245" i="87"/>
  <c r="AC243" i="87"/>
  <c r="AC193" i="87"/>
  <c r="AC265" i="87" s="1"/>
  <c r="AC221" i="87"/>
  <c r="AD230" i="87"/>
  <c r="AD229" i="87" s="1"/>
  <c r="AD141" i="87"/>
  <c r="AC231" i="87"/>
  <c r="AD132" i="87"/>
  <c r="AE129" i="87"/>
  <c r="AF129" i="87" s="1"/>
  <c r="AD126" i="87"/>
  <c r="AE131" i="87"/>
  <c r="AF131" i="87" s="1"/>
  <c r="AE127" i="87"/>
  <c r="L125" i="87"/>
  <c r="AD130" i="87"/>
  <c r="AD128" i="87"/>
  <c r="AB290" i="87" l="1"/>
  <c r="AE207" i="87"/>
  <c r="AF127" i="87"/>
  <c r="AF207" i="87" s="1"/>
  <c r="AF230" i="87"/>
  <c r="AF229" i="87" s="1"/>
  <c r="AF141" i="87"/>
  <c r="AB268" i="87"/>
  <c r="AB195" i="87"/>
  <c r="AB288" i="87" s="1"/>
  <c r="AC247" i="87"/>
  <c r="AC195" i="87"/>
  <c r="AC288" i="87" s="1"/>
  <c r="AD138" i="87"/>
  <c r="AD159" i="87"/>
  <c r="AE141" i="87"/>
  <c r="AD243" i="87"/>
  <c r="AE230" i="87"/>
  <c r="AE229" i="87" s="1"/>
  <c r="AD231" i="87"/>
  <c r="AC268" i="87"/>
  <c r="AE132" i="87"/>
  <c r="AF132" i="87" s="1"/>
  <c r="AE126" i="87"/>
  <c r="AF126" i="87" s="1"/>
  <c r="M125" i="87"/>
  <c r="AE130" i="87"/>
  <c r="AF130" i="87" s="1"/>
  <c r="AE128" i="87"/>
  <c r="AF128" i="87" s="1"/>
  <c r="AC290" i="87" l="1"/>
  <c r="AD290" i="87" s="1"/>
  <c r="AE290" i="87" s="1"/>
  <c r="AF290" i="87" s="1"/>
  <c r="AF159" i="87"/>
  <c r="AF138" i="87"/>
  <c r="AF231" i="87"/>
  <c r="AF243" i="87"/>
  <c r="AC289" i="87"/>
  <c r="AC295" i="87"/>
  <c r="AC323" i="87" s="1"/>
  <c r="AC324" i="87" s="1"/>
  <c r="AB289" i="87"/>
  <c r="AB295" i="87"/>
  <c r="AB296" i="87" s="1"/>
  <c r="AE243" i="87"/>
  <c r="AE138" i="87"/>
  <c r="AE159" i="87"/>
  <c r="AE231" i="87"/>
  <c r="N125" i="87"/>
  <c r="AB323" i="87" l="1"/>
  <c r="AB324" i="87" s="1"/>
  <c r="AC296" i="87"/>
  <c r="O125" i="87"/>
  <c r="AA45" i="87" l="1"/>
  <c r="AA93" i="87"/>
  <c r="Z93" i="87"/>
  <c r="AB45" i="87"/>
  <c r="AB93" i="87"/>
  <c r="Z91" i="87"/>
  <c r="Z92" i="87"/>
  <c r="P125" i="87"/>
  <c r="AC45" i="87" l="1"/>
  <c r="AC93" i="87"/>
  <c r="AA44" i="87"/>
  <c r="AA92" i="87"/>
  <c r="AB44" i="87"/>
  <c r="AB92" i="87"/>
  <c r="Q125" i="87"/>
  <c r="AD45" i="87" l="1"/>
  <c r="AD93" i="87"/>
  <c r="AC44" i="87"/>
  <c r="AC92" i="87"/>
  <c r="R125" i="87"/>
  <c r="AE45" i="87" l="1"/>
  <c r="AE93" i="87"/>
  <c r="AD44" i="87"/>
  <c r="AD92" i="87"/>
  <c r="AE44" i="87"/>
  <c r="AE92" i="87"/>
  <c r="S125" i="87"/>
  <c r="T125" i="87" l="1"/>
  <c r="U125" i="87" l="1"/>
  <c r="AD76" i="87"/>
  <c r="AA66" i="87"/>
  <c r="AA91" i="87" s="1"/>
  <c r="AA60" i="87"/>
  <c r="AA85" i="87" s="1"/>
  <c r="AA59" i="87"/>
  <c r="AA84" i="87" s="1"/>
  <c r="AA58" i="87"/>
  <c r="AA83" i="87" s="1"/>
  <c r="AA56" i="87"/>
  <c r="AA81" i="87" s="1"/>
  <c r="AA55" i="87"/>
  <c r="AA54" i="87"/>
  <c r="AA53" i="87"/>
  <c r="C75" i="87"/>
  <c r="D75" i="87" s="1"/>
  <c r="E75" i="87" s="1"/>
  <c r="F75" i="87" s="1"/>
  <c r="G75" i="87" s="1"/>
  <c r="H75" i="87" s="1"/>
  <c r="I75" i="87" s="1"/>
  <c r="J75" i="87" s="1"/>
  <c r="K75" i="87" s="1"/>
  <c r="L75" i="87" s="1"/>
  <c r="M75" i="87" s="1"/>
  <c r="N75" i="87" s="1"/>
  <c r="O75" i="87" s="1"/>
  <c r="P75" i="87" s="1"/>
  <c r="Q75" i="87" s="1"/>
  <c r="R75" i="87" s="1"/>
  <c r="S75" i="87" s="1"/>
  <c r="T75" i="87" s="1"/>
  <c r="U75" i="87" s="1"/>
  <c r="V75" i="87" s="1"/>
  <c r="W75" i="87" s="1"/>
  <c r="X75" i="87" s="1"/>
  <c r="Y75" i="87" s="1"/>
  <c r="Z75" i="87" s="1"/>
  <c r="AA75" i="87" s="1"/>
  <c r="AB75" i="87" s="1"/>
  <c r="AC75" i="87" s="1"/>
  <c r="AD75" i="87" s="1"/>
  <c r="AE75" i="87" s="1"/>
  <c r="AF75" i="87" s="1"/>
  <c r="AA30" i="87" l="1"/>
  <c r="AA78" i="87"/>
  <c r="AA103" i="87" s="1"/>
  <c r="AB55" i="87"/>
  <c r="AB32" i="87" s="1"/>
  <c r="AA80" i="87"/>
  <c r="AB53" i="87"/>
  <c r="AB54" i="87"/>
  <c r="AB79" i="87" s="1"/>
  <c r="AA79" i="87"/>
  <c r="V125" i="87"/>
  <c r="AB56" i="87"/>
  <c r="AA33" i="87"/>
  <c r="AB66" i="87"/>
  <c r="AB91" i="87" s="1"/>
  <c r="AA43" i="87"/>
  <c r="AA32" i="87"/>
  <c r="AA31" i="87"/>
  <c r="AB28" i="87"/>
  <c r="AB58" i="87"/>
  <c r="AB83" i="87" s="1"/>
  <c r="AA35" i="87"/>
  <c r="AB59" i="87"/>
  <c r="AB84" i="87" s="1"/>
  <c r="AA36" i="87"/>
  <c r="AD28" i="87"/>
  <c r="AA28" i="87"/>
  <c r="AB60" i="87"/>
  <c r="AA37" i="87"/>
  <c r="AC28" i="87"/>
  <c r="AB78" i="87" l="1"/>
  <c r="AB30" i="87"/>
  <c r="AC54" i="87"/>
  <c r="AC79" i="87" s="1"/>
  <c r="AC56" i="87"/>
  <c r="AC33" i="87" s="1"/>
  <c r="AB81" i="87"/>
  <c r="AB37" i="87"/>
  <c r="AB85" i="87"/>
  <c r="AE28" i="87"/>
  <c r="AE76" i="87"/>
  <c r="AB31" i="87"/>
  <c r="AC53" i="87"/>
  <c r="AC55" i="87"/>
  <c r="AB80" i="87"/>
  <c r="AB33" i="87"/>
  <c r="W125" i="87"/>
  <c r="AC60" i="87"/>
  <c r="AC59" i="87"/>
  <c r="AC84" i="87" s="1"/>
  <c r="AB36" i="87"/>
  <c r="AC66" i="87"/>
  <c r="AC91" i="87" s="1"/>
  <c r="AB43" i="87"/>
  <c r="AC58" i="87"/>
  <c r="AC83" i="87" s="1"/>
  <c r="AB35" i="87"/>
  <c r="AC30" i="87" l="1"/>
  <c r="AC78" i="87"/>
  <c r="AD54" i="87"/>
  <c r="AD79" i="87" s="1"/>
  <c r="AC31" i="87"/>
  <c r="AC37" i="87"/>
  <c r="AC85" i="87"/>
  <c r="AD53" i="87"/>
  <c r="AD55" i="87"/>
  <c r="AC80" i="87"/>
  <c r="AC32" i="87"/>
  <c r="AD56" i="87"/>
  <c r="AC81" i="87"/>
  <c r="X125" i="87"/>
  <c r="AD60" i="87"/>
  <c r="AD66" i="87"/>
  <c r="AD91" i="87" s="1"/>
  <c r="AC43" i="87"/>
  <c r="AD58" i="87"/>
  <c r="AD83" i="87" s="1"/>
  <c r="AC35" i="87"/>
  <c r="AD59" i="87"/>
  <c r="AD84" i="87" s="1"/>
  <c r="AC36" i="87"/>
  <c r="AD78" i="87" l="1"/>
  <c r="AD30" i="87"/>
  <c r="AD31" i="87"/>
  <c r="AE54" i="87"/>
  <c r="AD37" i="87"/>
  <c r="AD85" i="87"/>
  <c r="AE53" i="87"/>
  <c r="AF53" i="87" s="1"/>
  <c r="AE55" i="87"/>
  <c r="AF55" i="87" s="1"/>
  <c r="AD32" i="87"/>
  <c r="AD80" i="87"/>
  <c r="AE56" i="87"/>
  <c r="AF56" i="87" s="1"/>
  <c r="AD81" i="87"/>
  <c r="AD33" i="87"/>
  <c r="Y125" i="87"/>
  <c r="AE60" i="87"/>
  <c r="AF60" i="87" s="1"/>
  <c r="AE58" i="87"/>
  <c r="AD35" i="87"/>
  <c r="AE59" i="87"/>
  <c r="AD36" i="87"/>
  <c r="AE66" i="87"/>
  <c r="AD43" i="87"/>
  <c r="AF85" i="87" l="1"/>
  <c r="AF37" i="87"/>
  <c r="AF80" i="87"/>
  <c r="AF102" i="87" s="1"/>
  <c r="AF118" i="87" s="1"/>
  <c r="AF32" i="87"/>
  <c r="AF78" i="87"/>
  <c r="AF30" i="87"/>
  <c r="AE83" i="87"/>
  <c r="AF58" i="87"/>
  <c r="AE91" i="87"/>
  <c r="AF66" i="87"/>
  <c r="AE79" i="87"/>
  <c r="AF54" i="87"/>
  <c r="AF81" i="87"/>
  <c r="AF33" i="87"/>
  <c r="AE84" i="87"/>
  <c r="AF59" i="87"/>
  <c r="AE31" i="87"/>
  <c r="AE78" i="87"/>
  <c r="AE30" i="87"/>
  <c r="AE32" i="87"/>
  <c r="AE80" i="87"/>
  <c r="AE37" i="87"/>
  <c r="AE85" i="87"/>
  <c r="AE33" i="87"/>
  <c r="AE81" i="87"/>
  <c r="Z125" i="87"/>
  <c r="AE43" i="87"/>
  <c r="AE35" i="87"/>
  <c r="AE36" i="87"/>
  <c r="AF103" i="87" l="1"/>
  <c r="AF119" i="87" s="1"/>
  <c r="AF184" i="87" s="1"/>
  <c r="AF84" i="87"/>
  <c r="AF36" i="87"/>
  <c r="AF35" i="87"/>
  <c r="AF83" i="87"/>
  <c r="AF31" i="87"/>
  <c r="AF79" i="87"/>
  <c r="AF100" i="87" s="1"/>
  <c r="AF116" i="87" s="1"/>
  <c r="AF214" i="87"/>
  <c r="AF139" i="87"/>
  <c r="AF91" i="87"/>
  <c r="AF43" i="87"/>
  <c r="AA125" i="87"/>
  <c r="C106" i="87"/>
  <c r="D106" i="87"/>
  <c r="E106" i="87"/>
  <c r="F106" i="87"/>
  <c r="G106" i="87"/>
  <c r="H106" i="87"/>
  <c r="I106" i="87"/>
  <c r="J106" i="87"/>
  <c r="K106" i="87"/>
  <c r="L106" i="87"/>
  <c r="M106" i="87"/>
  <c r="N106" i="87"/>
  <c r="O106" i="87"/>
  <c r="P106" i="87"/>
  <c r="Q106" i="87"/>
  <c r="B106" i="87"/>
  <c r="C98" i="87"/>
  <c r="D98" i="87" s="1"/>
  <c r="E98" i="87" s="1"/>
  <c r="F98" i="87" s="1"/>
  <c r="G98" i="87" s="1"/>
  <c r="H98" i="87" s="1"/>
  <c r="I98" i="87" s="1"/>
  <c r="J98" i="87" s="1"/>
  <c r="K98" i="87" s="1"/>
  <c r="L98" i="87" s="1"/>
  <c r="M98" i="87" s="1"/>
  <c r="N98" i="87" s="1"/>
  <c r="O98" i="87" s="1"/>
  <c r="P98" i="87" s="1"/>
  <c r="Q98" i="87" s="1"/>
  <c r="R98" i="87" s="1"/>
  <c r="S98" i="87" s="1"/>
  <c r="T98" i="87" s="1"/>
  <c r="U98" i="87" s="1"/>
  <c r="V98" i="87" s="1"/>
  <c r="W98" i="87" s="1"/>
  <c r="X98" i="87" s="1"/>
  <c r="Y98" i="87" s="1"/>
  <c r="Z98" i="87" s="1"/>
  <c r="X71" i="87"/>
  <c r="W71" i="87"/>
  <c r="V71" i="87"/>
  <c r="U71" i="87"/>
  <c r="T71" i="87"/>
  <c r="S71" i="87"/>
  <c r="R71" i="87"/>
  <c r="Q71" i="87"/>
  <c r="P71" i="87"/>
  <c r="O71" i="87"/>
  <c r="N71" i="87"/>
  <c r="M71" i="87"/>
  <c r="L71" i="87"/>
  <c r="K71" i="87"/>
  <c r="J71" i="87"/>
  <c r="I71" i="87"/>
  <c r="H71" i="87"/>
  <c r="G71" i="87"/>
  <c r="F71" i="87"/>
  <c r="E71" i="87"/>
  <c r="D71" i="87"/>
  <c r="C71" i="87"/>
  <c r="B71" i="87"/>
  <c r="F69" i="87"/>
  <c r="E69" i="87"/>
  <c r="D69" i="87"/>
  <c r="C69" i="87"/>
  <c r="B69" i="87"/>
  <c r="F68" i="87"/>
  <c r="E68" i="87"/>
  <c r="D68" i="87"/>
  <c r="C68" i="87"/>
  <c r="B68" i="87"/>
  <c r="F67" i="87"/>
  <c r="E67" i="87"/>
  <c r="D67" i="87"/>
  <c r="C67" i="87"/>
  <c r="B67" i="87"/>
  <c r="F66" i="87"/>
  <c r="E66" i="87"/>
  <c r="D66" i="87"/>
  <c r="C66" i="87"/>
  <c r="B66" i="87"/>
  <c r="F65" i="87"/>
  <c r="E65" i="87"/>
  <c r="D65" i="87"/>
  <c r="C65" i="87"/>
  <c r="B65" i="87"/>
  <c r="F63" i="87"/>
  <c r="E63" i="87"/>
  <c r="D63" i="87"/>
  <c r="C63" i="87"/>
  <c r="B63" i="87"/>
  <c r="F62" i="87"/>
  <c r="E62" i="87"/>
  <c r="D62" i="87"/>
  <c r="C62" i="87"/>
  <c r="B62" i="87"/>
  <c r="F61" i="87"/>
  <c r="E61" i="87"/>
  <c r="D61" i="87"/>
  <c r="C61" i="87"/>
  <c r="B61" i="87"/>
  <c r="F60" i="87"/>
  <c r="E60" i="87"/>
  <c r="D60" i="87"/>
  <c r="C60" i="87"/>
  <c r="B60" i="87"/>
  <c r="F59" i="87"/>
  <c r="E59" i="87"/>
  <c r="D59" i="87"/>
  <c r="C59" i="87"/>
  <c r="B59" i="87"/>
  <c r="F58" i="87"/>
  <c r="E58" i="87"/>
  <c r="D58" i="87"/>
  <c r="C58" i="87"/>
  <c r="B58" i="87"/>
  <c r="F56" i="87"/>
  <c r="E56" i="87"/>
  <c r="D56" i="87"/>
  <c r="C56" i="87"/>
  <c r="B56" i="87"/>
  <c r="F55" i="87"/>
  <c r="E55" i="87"/>
  <c r="D55" i="87"/>
  <c r="C55" i="87"/>
  <c r="B55" i="87"/>
  <c r="F54" i="87"/>
  <c r="E54" i="87"/>
  <c r="D54" i="87"/>
  <c r="C54" i="87"/>
  <c r="B54" i="87"/>
  <c r="F53" i="87"/>
  <c r="E53" i="87"/>
  <c r="D53" i="87"/>
  <c r="C53" i="87"/>
  <c r="B53" i="87"/>
  <c r="F52" i="87"/>
  <c r="E52" i="87"/>
  <c r="D52" i="87"/>
  <c r="C52" i="87"/>
  <c r="B52" i="87"/>
  <c r="F51" i="87"/>
  <c r="E51" i="87"/>
  <c r="D51" i="87"/>
  <c r="C51" i="87"/>
  <c r="B51" i="87"/>
  <c r="C50" i="87"/>
  <c r="D50" i="87" s="1"/>
  <c r="E50" i="87" s="1"/>
  <c r="F50" i="87" s="1"/>
  <c r="G50" i="87" s="1"/>
  <c r="H50" i="87" s="1"/>
  <c r="I50" i="87" s="1"/>
  <c r="J50" i="87" s="1"/>
  <c r="K50" i="87" s="1"/>
  <c r="L50" i="87" s="1"/>
  <c r="M50" i="87" s="1"/>
  <c r="N50" i="87" s="1"/>
  <c r="O50" i="87" s="1"/>
  <c r="P50" i="87" s="1"/>
  <c r="Q50" i="87" s="1"/>
  <c r="R50" i="87" s="1"/>
  <c r="S50" i="87" s="1"/>
  <c r="T50" i="87" s="1"/>
  <c r="U50" i="87" s="1"/>
  <c r="V50" i="87" s="1"/>
  <c r="W50" i="87" s="1"/>
  <c r="X50" i="87" s="1"/>
  <c r="Y50" i="87" s="1"/>
  <c r="Z50" i="87" s="1"/>
  <c r="AA50" i="87" s="1"/>
  <c r="AB50" i="87" s="1"/>
  <c r="AC50" i="87" s="1"/>
  <c r="AD50" i="87" s="1"/>
  <c r="AE50" i="87" s="1"/>
  <c r="AF50" i="87" s="1"/>
  <c r="C24" i="87"/>
  <c r="C70" i="87" s="1"/>
  <c r="D24" i="87"/>
  <c r="D70" i="87" s="1"/>
  <c r="E24" i="87"/>
  <c r="E70" i="87" s="1"/>
  <c r="F24" i="87"/>
  <c r="F70" i="87" s="1"/>
  <c r="G24" i="87"/>
  <c r="G70" i="87" s="1"/>
  <c r="H24" i="87"/>
  <c r="H70" i="87" s="1"/>
  <c r="I24" i="87"/>
  <c r="I70" i="87" s="1"/>
  <c r="J24" i="87"/>
  <c r="J70" i="87" s="1"/>
  <c r="K24" i="87"/>
  <c r="K70" i="87" s="1"/>
  <c r="L24" i="87"/>
  <c r="L70" i="87" s="1"/>
  <c r="M24" i="87"/>
  <c r="M70" i="87" s="1"/>
  <c r="N24" i="87"/>
  <c r="N70" i="87" s="1"/>
  <c r="O24" i="87"/>
  <c r="O70" i="87" s="1"/>
  <c r="P24" i="87"/>
  <c r="P70" i="87" s="1"/>
  <c r="Q24" i="87"/>
  <c r="Q70" i="87" s="1"/>
  <c r="R24" i="87"/>
  <c r="R70" i="87" s="1"/>
  <c r="S24" i="87"/>
  <c r="S70" i="87" s="1"/>
  <c r="T24" i="87"/>
  <c r="T70" i="87" s="1"/>
  <c r="U24" i="87"/>
  <c r="U70" i="87" s="1"/>
  <c r="V24" i="87"/>
  <c r="V70" i="87" s="1"/>
  <c r="W24" i="87"/>
  <c r="W70" i="87" s="1"/>
  <c r="X24" i="87"/>
  <c r="X70" i="87" s="1"/>
  <c r="Y24" i="87"/>
  <c r="Y70" i="87" s="1"/>
  <c r="B24" i="87"/>
  <c r="C4" i="87"/>
  <c r="D4" i="87" s="1"/>
  <c r="E4" i="87" s="1"/>
  <c r="F4" i="87" s="1"/>
  <c r="G4" i="87" s="1"/>
  <c r="H4" i="87" s="1"/>
  <c r="I4" i="87" s="1"/>
  <c r="J4" i="87" s="1"/>
  <c r="K4" i="87" s="1"/>
  <c r="L4" i="87" s="1"/>
  <c r="M4" i="87" s="1"/>
  <c r="N4" i="87" s="1"/>
  <c r="O4" i="87" s="1"/>
  <c r="P4" i="87" s="1"/>
  <c r="Q4" i="87" s="1"/>
  <c r="R4" i="87" s="1"/>
  <c r="S4" i="87" s="1"/>
  <c r="T4" i="87" s="1"/>
  <c r="U4" i="87" s="1"/>
  <c r="V4" i="87" s="1"/>
  <c r="W4" i="87" s="1"/>
  <c r="X4" i="87" s="1"/>
  <c r="Y4" i="87" s="1"/>
  <c r="Z4" i="87" s="1"/>
  <c r="AA4" i="87" s="1"/>
  <c r="AB4" i="87" s="1"/>
  <c r="AC4" i="87" s="1"/>
  <c r="AD4" i="87" s="1"/>
  <c r="AE4" i="87" s="1"/>
  <c r="AF4" i="87" s="1"/>
  <c r="AF140" i="87" l="1"/>
  <c r="AF204" i="87"/>
  <c r="AF137" i="87"/>
  <c r="O112" i="87"/>
  <c r="K112" i="87"/>
  <c r="K123" i="87"/>
  <c r="G112" i="87"/>
  <c r="C112" i="87"/>
  <c r="C123" i="87"/>
  <c r="N112" i="87"/>
  <c r="N123" i="87"/>
  <c r="J112" i="87"/>
  <c r="F112" i="87"/>
  <c r="F123" i="87"/>
  <c r="B112" i="87"/>
  <c r="M112" i="87"/>
  <c r="M123" i="87"/>
  <c r="I112" i="87"/>
  <c r="I123" i="87"/>
  <c r="E112" i="87"/>
  <c r="P112" i="87"/>
  <c r="P123" i="87"/>
  <c r="L112" i="87"/>
  <c r="L123" i="87"/>
  <c r="H112" i="87"/>
  <c r="H123" i="87"/>
  <c r="D112" i="87"/>
  <c r="D123" i="87"/>
  <c r="AB125" i="87"/>
  <c r="Z24" i="87"/>
  <c r="AA98" i="87"/>
  <c r="B70" i="87"/>
  <c r="E123" i="87" l="1"/>
  <c r="B123" i="87"/>
  <c r="J123" i="87"/>
  <c r="G123" i="87"/>
  <c r="O123" i="87"/>
  <c r="AA24" i="87"/>
  <c r="Y95" i="87"/>
  <c r="AC125" i="87"/>
  <c r="AB98" i="87"/>
  <c r="Z26" i="87"/>
  <c r="AA25" i="87" l="1"/>
  <c r="AA26" i="87" s="1"/>
  <c r="AB24" i="87"/>
  <c r="AD125" i="87"/>
  <c r="AC98" i="87"/>
  <c r="AC24" i="87" l="1"/>
  <c r="AB25" i="87"/>
  <c r="AE125" i="87"/>
  <c r="AF125" i="87" s="1"/>
  <c r="AD98" i="87"/>
  <c r="AD24" i="87" l="1"/>
  <c r="AC25" i="87"/>
  <c r="AB26" i="87"/>
  <c r="AE98" i="87"/>
  <c r="AF98" i="87" s="1"/>
  <c r="AD25" i="87" l="1"/>
  <c r="AE24" i="87"/>
  <c r="AF24" i="87" s="1"/>
  <c r="AC26" i="87"/>
  <c r="AF25" i="87" l="1"/>
  <c r="AE25" i="87"/>
  <c r="AE26" i="87" s="1"/>
  <c r="AD26" i="87"/>
  <c r="AF26" i="87" l="1"/>
  <c r="AN66" i="13"/>
  <c r="AM66" i="13"/>
  <c r="AL66" i="13"/>
  <c r="AO63" i="13"/>
  <c r="A84" i="15"/>
  <c r="A83" i="15"/>
  <c r="AK78" i="13" l="1"/>
  <c r="A48" i="16"/>
  <c r="A47" i="16"/>
  <c r="A46" i="16"/>
  <c r="A45" i="16"/>
  <c r="A44" i="16"/>
  <c r="A43" i="16"/>
  <c r="A36" i="16"/>
  <c r="A35" i="16"/>
  <c r="A34" i="16"/>
  <c r="A33" i="16"/>
  <c r="A32" i="16"/>
  <c r="A31" i="16"/>
  <c r="AM46" i="13"/>
  <c r="AL46" i="13"/>
  <c r="AK46" i="13"/>
  <c r="AK14" i="13"/>
  <c r="AM81" i="13"/>
  <c r="AL81" i="13"/>
  <c r="AL84" i="13" s="1"/>
  <c r="AK81" i="13"/>
  <c r="AK60" i="13"/>
  <c r="AP61" i="13" s="1"/>
  <c r="AM51" i="13"/>
  <c r="AM103" i="13" s="1"/>
  <c r="AL51" i="13"/>
  <c r="AL103" i="13" s="1"/>
  <c r="AM54" i="13"/>
  <c r="AL54" i="13"/>
  <c r="AK54" i="13"/>
  <c r="AN55" i="13"/>
  <c r="AM55" i="13"/>
  <c r="AL55" i="13"/>
  <c r="AK55" i="13"/>
  <c r="AN52" i="13"/>
  <c r="AM52" i="13"/>
  <c r="AL52" i="13"/>
  <c r="X47" i="15"/>
  <c r="AM30" i="13"/>
  <c r="AM31" i="13" s="1"/>
  <c r="AR32" i="13" s="1"/>
  <c r="AL30" i="13"/>
  <c r="AL31" i="13" s="1"/>
  <c r="AK30" i="13"/>
  <c r="AM21" i="13"/>
  <c r="AL21" i="13"/>
  <c r="AK21" i="13"/>
  <c r="AM6" i="13"/>
  <c r="AM10" i="13" s="1"/>
  <c r="AL6" i="13"/>
  <c r="AL10" i="13" s="1"/>
  <c r="AK6" i="13"/>
  <c r="AK10" i="13" s="1"/>
  <c r="A24" i="16"/>
  <c r="A23" i="16"/>
  <c r="A22" i="16"/>
  <c r="AH73" i="18" s="1"/>
  <c r="A18" i="16"/>
  <c r="AH69" i="18" s="1"/>
  <c r="A17" i="16"/>
  <c r="AH68" i="18" s="1"/>
  <c r="A16" i="16"/>
  <c r="AH67" i="18" s="1"/>
  <c r="A15" i="16"/>
  <c r="AH66" i="18" s="1"/>
  <c r="A14" i="16"/>
  <c r="A13" i="16"/>
  <c r="A12" i="16"/>
  <c r="A11" i="16"/>
  <c r="A10" i="16"/>
  <c r="A9" i="16"/>
  <c r="A8" i="16"/>
  <c r="A7" i="16"/>
  <c r="A6" i="16"/>
  <c r="A5" i="16"/>
  <c r="T23" i="16"/>
  <c r="S23" i="16"/>
  <c r="R23" i="16"/>
  <c r="Q23" i="16"/>
  <c r="T22" i="16"/>
  <c r="S22" i="16"/>
  <c r="R22" i="16"/>
  <c r="Q22" i="16"/>
  <c r="X55" i="18"/>
  <c r="X54" i="18"/>
  <c r="X53" i="18"/>
  <c r="X52" i="18"/>
  <c r="X51" i="18"/>
  <c r="X43" i="18"/>
  <c r="X42" i="18"/>
  <c r="X41" i="18"/>
  <c r="X40" i="18"/>
  <c r="X22" i="18"/>
  <c r="X21" i="18"/>
  <c r="X20" i="18"/>
  <c r="X19" i="18"/>
  <c r="X18" i="18"/>
  <c r="X17" i="18"/>
  <c r="X16" i="18"/>
  <c r="X10" i="18"/>
  <c r="X9" i="18"/>
  <c r="X8" i="18"/>
  <c r="X7" i="18"/>
  <c r="X6" i="18"/>
  <c r="AR98" i="14"/>
  <c r="AQ98" i="14"/>
  <c r="AN98" i="14"/>
  <c r="AM98" i="14"/>
  <c r="AL98" i="14"/>
  <c r="AK98" i="14"/>
  <c r="AP99" i="14" s="1"/>
  <c r="AU98" i="14"/>
  <c r="AU99" i="14" s="1"/>
  <c r="AO70" i="13"/>
  <c r="AO98" i="14" l="1"/>
  <c r="AT71" i="13"/>
  <c r="AL37" i="13"/>
  <c r="AQ32" i="13"/>
  <c r="AN81" i="13"/>
  <c r="AN6" i="13"/>
  <c r="AN10" i="13" s="1"/>
  <c r="AN21" i="13"/>
  <c r="AN22" i="13" s="1"/>
  <c r="AK51" i="13"/>
  <c r="AK103" i="13" s="1"/>
  <c r="AO60" i="13"/>
  <c r="AT61" i="13" s="1"/>
  <c r="AK31" i="13"/>
  <c r="AN30" i="13"/>
  <c r="AN31" i="13" s="1"/>
  <c r="AN35" i="13" s="1"/>
  <c r="AL22" i="13"/>
  <c r="X21" i="15"/>
  <c r="AM22" i="13"/>
  <c r="AK22" i="13"/>
  <c r="X6" i="15"/>
  <c r="AK52" i="13"/>
  <c r="AM84" i="13"/>
  <c r="AK84" i="13"/>
  <c r="AM37" i="13"/>
  <c r="AM35" i="13"/>
  <c r="AL35" i="13"/>
  <c r="AS98" i="14"/>
  <c r="X84" i="16"/>
  <c r="AK30" i="14"/>
  <c r="AL24" i="14"/>
  <c r="AK22" i="14"/>
  <c r="AK8" i="14"/>
  <c r="AP30" i="14"/>
  <c r="AP76" i="14" s="1"/>
  <c r="AP8" i="14"/>
  <c r="AP55" i="17"/>
  <c r="AP44" i="17"/>
  <c r="AP22" i="17"/>
  <c r="AL31" i="14"/>
  <c r="AL59" i="14"/>
  <c r="AM59" i="14" s="1"/>
  <c r="AL56" i="14"/>
  <c r="AL55" i="14"/>
  <c r="AL54" i="14"/>
  <c r="AL48" i="14"/>
  <c r="AL47" i="14"/>
  <c r="AL45" i="14"/>
  <c r="AM45" i="14" s="1"/>
  <c r="AN45" i="14" s="1"/>
  <c r="AL44" i="14"/>
  <c r="AL42" i="14"/>
  <c r="AL36" i="14"/>
  <c r="AM36" i="14" s="1"/>
  <c r="AL35" i="14"/>
  <c r="AM35" i="14" s="1"/>
  <c r="AL34" i="14"/>
  <c r="AM34" i="14" s="1"/>
  <c r="AL23" i="14"/>
  <c r="AL20" i="14"/>
  <c r="AL18" i="14"/>
  <c r="AL17" i="14"/>
  <c r="AL16" i="14"/>
  <c r="AL15" i="14"/>
  <c r="AL13" i="14"/>
  <c r="AL12" i="14"/>
  <c r="AL11" i="14"/>
  <c r="AL10" i="14"/>
  <c r="AL9" i="14"/>
  <c r="AL7" i="14"/>
  <c r="AL6" i="14"/>
  <c r="AL5" i="14"/>
  <c r="AL4" i="14"/>
  <c r="AM4" i="14" s="1"/>
  <c r="AQ23" i="17"/>
  <c r="AQ55" i="17"/>
  <c r="AO65" i="14"/>
  <c r="AM46" i="14"/>
  <c r="AO46" i="14" s="1"/>
  <c r="X46" i="16" s="1"/>
  <c r="AM33" i="14"/>
  <c r="AM32" i="14"/>
  <c r="AR55" i="17"/>
  <c r="AR44" i="17"/>
  <c r="AR35" i="17"/>
  <c r="AR22" i="17"/>
  <c r="AR23" i="17" s="1"/>
  <c r="AR11" i="17"/>
  <c r="AR77" i="17"/>
  <c r="AR78" i="17" s="1"/>
  <c r="AQ77" i="17"/>
  <c r="AQ78" i="17" s="1"/>
  <c r="AO77" i="17"/>
  <c r="AO58" i="17"/>
  <c r="U51" i="17"/>
  <c r="AO44" i="17"/>
  <c r="X44" i="18" s="1"/>
  <c r="AO11" i="17"/>
  <c r="X11" i="18" s="1"/>
  <c r="AO23" i="17"/>
  <c r="AO67" i="14" l="1"/>
  <c r="AN37" i="13"/>
  <c r="AS38" i="13" s="1"/>
  <c r="AS32" i="13"/>
  <c r="AL42" i="13"/>
  <c r="AQ38" i="13"/>
  <c r="AM42" i="13"/>
  <c r="AR38" i="13"/>
  <c r="AK37" i="13"/>
  <c r="AP32" i="13"/>
  <c r="Z47" i="15"/>
  <c r="AL30" i="14"/>
  <c r="AK86" i="14"/>
  <c r="AN84" i="13"/>
  <c r="AN85" i="13" s="1"/>
  <c r="AL77" i="13"/>
  <c r="AL78" i="13" s="1"/>
  <c r="AM5" i="14"/>
  <c r="AN5" i="14" s="1"/>
  <c r="AM56" i="14"/>
  <c r="AO56" i="14" s="1"/>
  <c r="X56" i="16" s="1"/>
  <c r="AL8" i="14"/>
  <c r="AM8" i="14" s="1"/>
  <c r="AM11" i="14"/>
  <c r="AO11" i="14" s="1"/>
  <c r="AM16" i="14"/>
  <c r="AO16" i="14" s="1"/>
  <c r="AM23" i="14"/>
  <c r="AO23" i="14" s="1"/>
  <c r="AM42" i="14"/>
  <c r="AO42" i="14" s="1"/>
  <c r="X42" i="16" s="1"/>
  <c r="AM48" i="14"/>
  <c r="AO48" i="14" s="1"/>
  <c r="X48" i="16" s="1"/>
  <c r="AM20" i="14"/>
  <c r="AO20" i="14" s="1"/>
  <c r="AM12" i="14"/>
  <c r="AO12" i="14" s="1"/>
  <c r="AM44" i="14"/>
  <c r="AO44" i="14" s="1"/>
  <c r="X44" i="16" s="1"/>
  <c r="AM54" i="14"/>
  <c r="AO54" i="14" s="1"/>
  <c r="X54" i="16" s="1"/>
  <c r="AP25" i="14"/>
  <c r="AM10" i="14"/>
  <c r="AO10" i="14" s="1"/>
  <c r="AM15" i="14"/>
  <c r="AO15" i="14" s="1"/>
  <c r="AM47" i="14"/>
  <c r="AN47" i="14" s="1"/>
  <c r="AN49" i="14" s="1"/>
  <c r="AN51" i="14" s="1"/>
  <c r="AM7" i="14"/>
  <c r="AM17" i="14"/>
  <c r="AO17" i="14" s="1"/>
  <c r="AM9" i="14"/>
  <c r="AO9" i="14" s="1"/>
  <c r="AM13" i="14"/>
  <c r="AO13" i="14" s="1"/>
  <c r="AM18" i="14"/>
  <c r="AO18" i="14" s="1"/>
  <c r="AO45" i="14"/>
  <c r="X45" i="16" s="1"/>
  <c r="AM55" i="14"/>
  <c r="AO55" i="14" s="1"/>
  <c r="X55" i="16" s="1"/>
  <c r="AO31" i="13"/>
  <c r="AO37" i="13" s="1"/>
  <c r="AT38" i="13" s="1"/>
  <c r="AP37" i="14"/>
  <c r="AP39" i="14" s="1"/>
  <c r="AP86" i="14"/>
  <c r="Y51" i="18"/>
  <c r="Y21" i="18"/>
  <c r="AK35" i="13"/>
  <c r="Y19" i="18"/>
  <c r="Y6" i="18"/>
  <c r="AQ30" i="14"/>
  <c r="AQ8" i="14"/>
  <c r="AR8" i="14" s="1"/>
  <c r="AM6" i="14"/>
  <c r="AM31" i="14"/>
  <c r="AL22" i="14"/>
  <c r="AM24" i="14"/>
  <c r="AA47" i="15" l="1"/>
  <c r="BI47" i="13"/>
  <c r="AB47" i="15" s="1"/>
  <c r="BH47" i="13"/>
  <c r="AR30" i="14"/>
  <c r="AR76" i="14" s="1"/>
  <c r="AQ76" i="14"/>
  <c r="AK42" i="13"/>
  <c r="AP38" i="13"/>
  <c r="AX47" i="13"/>
  <c r="AP85" i="14"/>
  <c r="AP91" i="14" s="1"/>
  <c r="AP104" i="13" s="1"/>
  <c r="AP27" i="14"/>
  <c r="AS8" i="14"/>
  <c r="Z66" i="16"/>
  <c r="AA66" i="16"/>
  <c r="AC66" i="16" s="1"/>
  <c r="AD66" i="16" s="1"/>
  <c r="AE66" i="16" s="1"/>
  <c r="AF66" i="16" s="1"/>
  <c r="Z34" i="18"/>
  <c r="AA34" i="18"/>
  <c r="Z51" i="18"/>
  <c r="AA51" i="18"/>
  <c r="AC51" i="18" s="1"/>
  <c r="AD51" i="18" s="1"/>
  <c r="AE51" i="18" s="1"/>
  <c r="AF51" i="18" s="1"/>
  <c r="Z19" i="18"/>
  <c r="AA19" i="18"/>
  <c r="AC19" i="18" s="1"/>
  <c r="AD19" i="18" s="1"/>
  <c r="AE19" i="18" s="1"/>
  <c r="AF19" i="18" s="1"/>
  <c r="Z21" i="18"/>
  <c r="BG21" i="17"/>
  <c r="BH21" i="17" s="1"/>
  <c r="AS32" i="46"/>
  <c r="AN20" i="14"/>
  <c r="X20" i="16"/>
  <c r="AN13" i="14"/>
  <c r="X13" i="16"/>
  <c r="AN15" i="14"/>
  <c r="X15" i="16"/>
  <c r="AN23" i="14"/>
  <c r="X23" i="16"/>
  <c r="AN18" i="14"/>
  <c r="X18" i="16"/>
  <c r="AN11" i="14"/>
  <c r="X11" i="16"/>
  <c r="AN9" i="14"/>
  <c r="X9" i="16"/>
  <c r="AN17" i="14"/>
  <c r="X17" i="16"/>
  <c r="AN10" i="14"/>
  <c r="X10" i="16"/>
  <c r="AN12" i="14"/>
  <c r="X12" i="16"/>
  <c r="AN16" i="14"/>
  <c r="X16" i="16"/>
  <c r="AM30" i="14"/>
  <c r="AM86" i="14" s="1"/>
  <c r="AL86" i="14"/>
  <c r="AM77" i="13"/>
  <c r="AM78" i="13" s="1"/>
  <c r="AO7" i="14"/>
  <c r="AP79" i="14"/>
  <c r="AP80" i="14" s="1"/>
  <c r="AM22" i="14"/>
  <c r="AS13" i="46"/>
  <c r="AN8" i="14"/>
  <c r="AO57" i="14"/>
  <c r="X57" i="16" s="1"/>
  <c r="AO47" i="14"/>
  <c r="X47" i="16" s="1"/>
  <c r="AO6" i="14"/>
  <c r="X6" i="16" s="1"/>
  <c r="AS22" i="46"/>
  <c r="AO35" i="13"/>
  <c r="Y9" i="18"/>
  <c r="AS30" i="14" l="1"/>
  <c r="AS76" i="14" s="1"/>
  <c r="AA21" i="18"/>
  <c r="BI21" i="17"/>
  <c r="AB21" i="18" s="1"/>
  <c r="AS26" i="46"/>
  <c r="AS27" i="46"/>
  <c r="AX30" i="13"/>
  <c r="AS37" i="14"/>
  <c r="AS39" i="14" s="1"/>
  <c r="AP96" i="14"/>
  <c r="AO77" i="13"/>
  <c r="AO78" i="13" s="1"/>
  <c r="X7" i="16"/>
  <c r="X77" i="15" s="1"/>
  <c r="AN7" i="14"/>
  <c r="AS24" i="46"/>
  <c r="AN6" i="14"/>
  <c r="AP92" i="14"/>
  <c r="Y22" i="18"/>
  <c r="Z30" i="15"/>
  <c r="AO52" i="13"/>
  <c r="AO55" i="13"/>
  <c r="AS77" i="17"/>
  <c r="AC21" i="18" l="1"/>
  <c r="AD21" i="18" s="1"/>
  <c r="AE21" i="18" s="1"/>
  <c r="AF21" i="18" s="1"/>
  <c r="AS28" i="46"/>
  <c r="Z22" i="18"/>
  <c r="AA22" i="18"/>
  <c r="AC22" i="18" s="1"/>
  <c r="AD22" i="18" s="1"/>
  <c r="AE22" i="18" s="1"/>
  <c r="AF22" i="18" s="1"/>
  <c r="AN77" i="13"/>
  <c r="AX17" i="14"/>
  <c r="Y40" i="18"/>
  <c r="Z6" i="18" l="1"/>
  <c r="Z9" i="18" l="1"/>
  <c r="Z17" i="16"/>
  <c r="AN14" i="13"/>
  <c r="AM14" i="13"/>
  <c r="AL14" i="13"/>
  <c r="X9" i="15"/>
  <c r="X41" i="15" l="1"/>
  <c r="X30" i="15"/>
  <c r="X57" i="15"/>
  <c r="AO22" i="13"/>
  <c r="X29" i="15"/>
  <c r="AO14" i="13"/>
  <c r="X14" i="15" s="1"/>
  <c r="AA6" i="18" l="1"/>
  <c r="AC6" i="18" s="1"/>
  <c r="AD6" i="18" s="1"/>
  <c r="AE6" i="18" s="1"/>
  <c r="AF6" i="18" s="1"/>
  <c r="A53" i="45"/>
  <c r="A51" i="45"/>
  <c r="A50" i="45"/>
  <c r="A74" i="45" s="1"/>
  <c r="A47" i="45"/>
  <c r="A71" i="45" s="1"/>
  <c r="A46" i="45"/>
  <c r="A70" i="45" s="1"/>
  <c r="A45" i="45"/>
  <c r="A69" i="45" s="1"/>
  <c r="A44" i="45"/>
  <c r="A68" i="45" s="1"/>
  <c r="A42" i="45"/>
  <c r="A41" i="45"/>
  <c r="A65" i="45" s="1"/>
  <c r="A38" i="45"/>
  <c r="A62" i="45" s="1"/>
  <c r="A37" i="45"/>
  <c r="A61" i="45" s="1"/>
  <c r="A36" i="45"/>
  <c r="A60" i="45" s="1"/>
  <c r="A35" i="45"/>
  <c r="A59" i="45" s="1"/>
  <c r="AO56" i="46" l="1"/>
  <c r="X56" i="45" s="1"/>
  <c r="AN74" i="46" l="1"/>
  <c r="AN71" i="46"/>
  <c r="AN70" i="46"/>
  <c r="AN69" i="46"/>
  <c r="AN65" i="46"/>
  <c r="AN62" i="46"/>
  <c r="AN61" i="46"/>
  <c r="AN60" i="46"/>
  <c r="AN76" i="46" l="1"/>
  <c r="AN66" i="46"/>
  <c r="AM1" i="46"/>
  <c r="AP1" i="46"/>
  <c r="AP56" i="46" a="1"/>
  <c r="AN78" i="46" l="1"/>
  <c r="AN81" i="46" s="1"/>
  <c r="AP56" i="46"/>
  <c r="AQ1" i="46"/>
  <c r="AQ55" i="46" a="1"/>
  <c r="AQ55" i="46" l="1"/>
  <c r="AR1" i="46"/>
  <c r="AQ56" i="46" a="1"/>
  <c r="AR55" i="46" a="1"/>
  <c r="AQ56" i="46" l="1"/>
  <c r="AR55" i="46"/>
  <c r="AS55" i="46" s="1"/>
  <c r="AU55" i="46" s="1"/>
  <c r="AS1" i="46"/>
  <c r="AU1" i="46" s="1"/>
  <c r="AV1" i="46" s="1"/>
  <c r="AW1" i="46" s="1"/>
  <c r="AX1" i="46" s="1"/>
  <c r="AZ1" i="46" s="1"/>
  <c r="BA1" i="46" s="1"/>
  <c r="BB1" i="46" s="1"/>
  <c r="BC1" i="46" s="1"/>
  <c r="BE1" i="46" s="1"/>
  <c r="BF1" i="46" s="1"/>
  <c r="BG1" i="46" s="1"/>
  <c r="BH1" i="46" s="1"/>
  <c r="AR56" i="46" a="1"/>
  <c r="AT55" i="46" l="1"/>
  <c r="AR56" i="46"/>
  <c r="AV55" i="46"/>
  <c r="AW55" i="46" s="1"/>
  <c r="AX55" i="46" s="1"/>
  <c r="AO74" i="46"/>
  <c r="AO71" i="46"/>
  <c r="AO70" i="46"/>
  <c r="AO65" i="46"/>
  <c r="AO62" i="46"/>
  <c r="AO61" i="46"/>
  <c r="AP50" i="46"/>
  <c r="AP74" i="46" s="1"/>
  <c r="AP47" i="46"/>
  <c r="AP71" i="46" s="1"/>
  <c r="AP46" i="46"/>
  <c r="AP70" i="46" s="1"/>
  <c r="AP45" i="46"/>
  <c r="AP69" i="46" s="1"/>
  <c r="AP41" i="46"/>
  <c r="AP38" i="46"/>
  <c r="AP37" i="46"/>
  <c r="AP36" i="46"/>
  <c r="A53" i="46"/>
  <c r="A51" i="46"/>
  <c r="A50" i="46"/>
  <c r="A74" i="46" s="1"/>
  <c r="A47" i="46"/>
  <c r="A71" i="46" s="1"/>
  <c r="A46" i="46"/>
  <c r="A70" i="46" s="1"/>
  <c r="A45" i="46"/>
  <c r="A69" i="46" s="1"/>
  <c r="A44" i="46"/>
  <c r="A68" i="46" s="1"/>
  <c r="A42" i="46"/>
  <c r="A41" i="46"/>
  <c r="A65" i="46" s="1"/>
  <c r="A38" i="46"/>
  <c r="A62" i="46" s="1"/>
  <c r="A37" i="46"/>
  <c r="A61" i="46" s="1"/>
  <c r="A36" i="46"/>
  <c r="A60" i="46" s="1"/>
  <c r="A35" i="46"/>
  <c r="A59" i="46" s="1"/>
  <c r="AQ37" i="46" l="1"/>
  <c r="AQ61" i="46" s="1"/>
  <c r="AP61" i="46"/>
  <c r="AQ38" i="46"/>
  <c r="AQ62" i="46" s="1"/>
  <c r="AP62" i="46"/>
  <c r="AQ41" i="46"/>
  <c r="AQ65" i="46" s="1"/>
  <c r="AP65" i="46"/>
  <c r="AQ36" i="46"/>
  <c r="AQ60" i="46" s="1"/>
  <c r="AP60" i="46"/>
  <c r="BA55" i="46"/>
  <c r="AY55" i="46"/>
  <c r="AS56" i="46"/>
  <c r="AU56" i="46" s="1"/>
  <c r="AQ47" i="46"/>
  <c r="AQ71" i="46" s="1"/>
  <c r="AQ50" i="46"/>
  <c r="AQ74" i="46" s="1"/>
  <c r="AQ45" i="46"/>
  <c r="AQ69" i="46" s="1"/>
  <c r="AQ46" i="46"/>
  <c r="AQ70" i="46" s="1"/>
  <c r="AO60" i="46"/>
  <c r="AO66" i="46" s="1"/>
  <c r="AO69" i="46"/>
  <c r="AO76" i="46" s="1"/>
  <c r="AO24" i="46"/>
  <c r="X24" i="45" s="1"/>
  <c r="BB55" i="46" l="1"/>
  <c r="AQ66" i="46"/>
  <c r="AQ75" i="46" s="1"/>
  <c r="AQ76" i="46" s="1"/>
  <c r="AP66" i="46"/>
  <c r="AP75" i="46" s="1"/>
  <c r="AP76" i="46" s="1"/>
  <c r="AT56" i="46"/>
  <c r="Z55" i="45"/>
  <c r="AV56" i="46"/>
  <c r="AW56" i="46" s="1"/>
  <c r="AX56" i="46" s="1"/>
  <c r="AZ56" i="46" s="1"/>
  <c r="AO78" i="46"/>
  <c r="AO81" i="46" s="1"/>
  <c r="BC55" i="46" l="1"/>
  <c r="BD55" i="46" s="1"/>
  <c r="BA56" i="46"/>
  <c r="AY56" i="46"/>
  <c r="Z56" i="45" s="1"/>
  <c r="Z108" i="18"/>
  <c r="Z93" i="18"/>
  <c r="X60" i="15"/>
  <c r="AA108" i="18" l="1"/>
  <c r="AA93" i="18"/>
  <c r="AA55" i="45"/>
  <c r="BB56" i="46"/>
  <c r="BC56" i="46" l="1"/>
  <c r="BE56" i="46" s="1"/>
  <c r="BD56" i="46"/>
  <c r="AA56" i="45" s="1"/>
  <c r="BF56" i="46" l="1"/>
  <c r="BG56" i="46" s="1"/>
  <c r="BH56" i="46" s="1"/>
  <c r="X5" i="18"/>
  <c r="BI56" i="46" l="1"/>
  <c r="AB56" i="45" s="1"/>
  <c r="R5" i="15" l="1"/>
  <c r="X5" i="15"/>
  <c r="V5" i="15"/>
  <c r="U5" i="15"/>
  <c r="T5" i="15"/>
  <c r="S5" i="15"/>
  <c r="X4" i="15"/>
  <c r="V4" i="15"/>
  <c r="U4" i="15"/>
  <c r="T4" i="15"/>
  <c r="S4" i="15"/>
  <c r="R4" i="15"/>
  <c r="R142" i="87" l="1"/>
  <c r="R105" i="87"/>
  <c r="R133" i="87"/>
  <c r="R170" i="87"/>
  <c r="S142" i="87"/>
  <c r="S170" i="87"/>
  <c r="S133" i="87"/>
  <c r="S105" i="87"/>
  <c r="T142" i="87"/>
  <c r="T170" i="87"/>
  <c r="T133" i="87"/>
  <c r="T105" i="87"/>
  <c r="U142" i="87"/>
  <c r="U133" i="87"/>
  <c r="U170" i="87"/>
  <c r="U105" i="87"/>
  <c r="V142" i="87"/>
  <c r="V133" i="87"/>
  <c r="V105" i="87"/>
  <c r="W142" i="87"/>
  <c r="W133" i="87"/>
  <c r="W105" i="87"/>
  <c r="Q111" i="87"/>
  <c r="Y4" i="15"/>
  <c r="Y5" i="15"/>
  <c r="Z5" i="15" l="1"/>
  <c r="Z4" i="15"/>
  <c r="AB179" i="87"/>
  <c r="Y179" i="87"/>
  <c r="X179" i="87"/>
  <c r="X263" i="87" s="1"/>
  <c r="AA179" i="87"/>
  <c r="Z179" i="87"/>
  <c r="X142" i="87"/>
  <c r="X133" i="87"/>
  <c r="X105" i="87"/>
  <c r="V108" i="87"/>
  <c r="V106" i="87"/>
  <c r="W108" i="87"/>
  <c r="W106" i="87"/>
  <c r="S108" i="87"/>
  <c r="S106" i="87"/>
  <c r="U108" i="87"/>
  <c r="U106" i="87"/>
  <c r="R108" i="87"/>
  <c r="R106" i="87"/>
  <c r="T108" i="87"/>
  <c r="T106" i="87"/>
  <c r="Q122" i="87"/>
  <c r="Q250" i="87" s="1"/>
  <c r="U111" i="87" l="1"/>
  <c r="U122" i="87" s="1"/>
  <c r="U123" i="87" s="1"/>
  <c r="AA182" i="87"/>
  <c r="AB182" i="87"/>
  <c r="AA263" i="87"/>
  <c r="Y263" i="87"/>
  <c r="Y264" i="87" s="1"/>
  <c r="AA4" i="15"/>
  <c r="AA5" i="15"/>
  <c r="AC179" i="87"/>
  <c r="Y181" i="87"/>
  <c r="T111" i="87"/>
  <c r="T122" i="87" s="1"/>
  <c r="S111" i="87"/>
  <c r="S122" i="87" s="1"/>
  <c r="V111" i="87"/>
  <c r="V122" i="87" s="1"/>
  <c r="V250" i="87" s="1"/>
  <c r="R111" i="87"/>
  <c r="R122" i="87" s="1"/>
  <c r="R250" i="87" s="1"/>
  <c r="U250" i="87"/>
  <c r="AA181" i="87"/>
  <c r="AB181" i="87"/>
  <c r="AB277" i="87" s="1"/>
  <c r="AB263" i="87"/>
  <c r="X108" i="87"/>
  <c r="X106" i="87"/>
  <c r="Z181" i="87"/>
  <c r="Z263" i="87"/>
  <c r="W111" i="87"/>
  <c r="W122" i="87" s="1"/>
  <c r="W250" i="87" s="1"/>
  <c r="Q143" i="87"/>
  <c r="Q144" i="87" s="1"/>
  <c r="Q145" i="87" s="1"/>
  <c r="Q123" i="87"/>
  <c r="Z277" i="87" l="1"/>
  <c r="Y277" i="87"/>
  <c r="AA266" i="87"/>
  <c r="AA277" i="87"/>
  <c r="AC263" i="87"/>
  <c r="AC264" i="87" s="1"/>
  <c r="AC182" i="87"/>
  <c r="Z266" i="87"/>
  <c r="Y266" i="87"/>
  <c r="AB266" i="87"/>
  <c r="S143" i="87"/>
  <c r="S144" i="87" s="1"/>
  <c r="S250" i="87"/>
  <c r="X255" i="87" s="1"/>
  <c r="X259" i="87" s="1"/>
  <c r="X271" i="87" s="1"/>
  <c r="T143" i="87"/>
  <c r="T144" i="87" s="1"/>
  <c r="T250" i="87"/>
  <c r="AC181" i="87"/>
  <c r="Z264" i="87"/>
  <c r="T123" i="87"/>
  <c r="AB264" i="87"/>
  <c r="V123" i="87"/>
  <c r="V143" i="87"/>
  <c r="R143" i="87"/>
  <c r="R144" i="87" s="1"/>
  <c r="R145" i="87" s="1"/>
  <c r="S123" i="87"/>
  <c r="R123" i="87"/>
  <c r="U143" i="87"/>
  <c r="U144" i="87" s="1"/>
  <c r="AA264" i="87"/>
  <c r="W123" i="87"/>
  <c r="W143" i="87"/>
  <c r="W144" i="87" s="1"/>
  <c r="X111" i="87"/>
  <c r="X122" i="87" s="1"/>
  <c r="X250" i="87" s="1"/>
  <c r="X20" i="15"/>
  <c r="X22" i="15" l="1"/>
  <c r="Z279" i="87"/>
  <c r="AA279" i="87" s="1"/>
  <c r="AA284" i="87" s="1"/>
  <c r="AA320" i="87" s="1"/>
  <c r="AA321" i="87" s="1"/>
  <c r="Z278" i="87"/>
  <c r="AA278" i="87"/>
  <c r="AB278" i="87"/>
  <c r="AC266" i="87"/>
  <c r="AC277" i="87"/>
  <c r="U145" i="87"/>
  <c r="S145" i="87"/>
  <c r="T145" i="87"/>
  <c r="X272" i="87"/>
  <c r="X123" i="87"/>
  <c r="X143" i="87"/>
  <c r="X144" i="87" s="1"/>
  <c r="X10" i="15"/>
  <c r="X11" i="15" l="1"/>
  <c r="AB279" i="87"/>
  <c r="AC279" i="87" s="1"/>
  <c r="AC278" i="87"/>
  <c r="X145" i="87"/>
  <c r="AO15" i="13"/>
  <c r="AO101" i="13" s="1"/>
  <c r="AB284" i="87" l="1"/>
  <c r="AB285" i="87" s="1"/>
  <c r="AD279" i="87"/>
  <c r="AC284" i="87"/>
  <c r="AO79" i="13"/>
  <c r="AO88" i="13"/>
  <c r="AO89" i="13" s="1"/>
  <c r="AO74" i="17"/>
  <c r="AO73" i="17"/>
  <c r="AB320" i="87" l="1"/>
  <c r="AB321" i="87" s="1"/>
  <c r="AC285" i="87"/>
  <c r="AC320" i="87"/>
  <c r="AC321" i="87" s="1"/>
  <c r="AE279" i="87"/>
  <c r="AF279" i="87" s="1"/>
  <c r="AR56" i="17" l="1"/>
  <c r="AR60" i="17" s="1"/>
  <c r="AR45" i="17"/>
  <c r="AR99" i="14"/>
  <c r="AR36" i="17" l="1"/>
  <c r="AR47" i="17" s="1"/>
  <c r="AR62" i="17" s="1"/>
  <c r="AR12" i="17"/>
  <c r="AR25" i="17" s="1"/>
  <c r="AR63" i="17" l="1"/>
  <c r="AQ12" i="17" l="1"/>
  <c r="AQ56" i="17"/>
  <c r="AQ60" i="17" s="1"/>
  <c r="AQ45" i="17"/>
  <c r="AQ99" i="14"/>
  <c r="AQ36" i="17" l="1"/>
  <c r="AQ47" i="17" s="1"/>
  <c r="AQ62" i="17" s="1"/>
  <c r="AQ57" i="14"/>
  <c r="AQ25" i="17"/>
  <c r="AQ63" i="17" l="1"/>
  <c r="X50" i="45" l="1"/>
  <c r="X21" i="45"/>
  <c r="Y21" i="45" l="1"/>
  <c r="X74" i="45"/>
  <c r="AO36" i="17" l="1"/>
  <c r="AO78" i="17"/>
  <c r="AO79" i="17" s="1"/>
  <c r="AO56" i="17"/>
  <c r="AO60" i="17" s="1"/>
  <c r="AO45" i="17"/>
  <c r="AO95" i="14"/>
  <c r="AN60" i="14"/>
  <c r="AO22" i="14"/>
  <c r="AO24" i="14" s="1"/>
  <c r="Z21" i="45" l="1"/>
  <c r="AN24" i="14"/>
  <c r="X24" i="16"/>
  <c r="AO47" i="17"/>
  <c r="AO62" i="17" s="1"/>
  <c r="AO12" i="17"/>
  <c r="AO25" i="14"/>
  <c r="AO27" i="14" s="1"/>
  <c r="AO79" i="14" l="1"/>
  <c r="AO80" i="14" s="1"/>
  <c r="X27" i="16"/>
  <c r="AO25" i="17"/>
  <c r="AO81" i="14" l="1"/>
  <c r="AO96" i="14"/>
  <c r="AO63" i="17"/>
  <c r="AC71" i="15"/>
  <c r="AC2" i="18"/>
  <c r="AJ65" i="18" s="1"/>
  <c r="AC57" i="16"/>
  <c r="AC2" i="16"/>
  <c r="AC108" i="18"/>
  <c r="AD108" i="18" s="1"/>
  <c r="AE108" i="18" s="1"/>
  <c r="AF108" i="18" s="1"/>
  <c r="Y69" i="18"/>
  <c r="Y68" i="18"/>
  <c r="Y67" i="18"/>
  <c r="Y66" i="18"/>
  <c r="Y56" i="16"/>
  <c r="Y55" i="16"/>
  <c r="Y54" i="16"/>
  <c r="AT4" i="46"/>
  <c r="AS4" i="46"/>
  <c r="AR4" i="46"/>
  <c r="AQ4" i="46"/>
  <c r="AR2" i="17"/>
  <c r="AQ2" i="17"/>
  <c r="AT2" i="17"/>
  <c r="AS2" i="17"/>
  <c r="AR2" i="14"/>
  <c r="AQ2" i="14"/>
  <c r="Y66" i="16"/>
  <c r="Y57" i="16"/>
  <c r="AT2" i="14"/>
  <c r="AS2" i="14"/>
  <c r="AA21" i="45" l="1"/>
  <c r="AC21" i="45" s="1"/>
  <c r="AD21" i="45" s="1"/>
  <c r="AE21" i="45" s="1"/>
  <c r="AF21" i="45" s="1"/>
  <c r="Y41" i="18" l="1"/>
  <c r="Y35" i="18"/>
  <c r="Y43" i="18"/>
  <c r="Y11" i="18"/>
  <c r="Z11" i="18" l="1"/>
  <c r="AA11" i="18"/>
  <c r="Z35" i="18"/>
  <c r="AA35" i="18"/>
  <c r="Z43" i="18"/>
  <c r="AA43" i="18"/>
  <c r="AC43" i="18" s="1"/>
  <c r="AD43" i="18" s="1"/>
  <c r="AE43" i="18" s="1"/>
  <c r="AF43" i="18" s="1"/>
  <c r="Z41" i="18"/>
  <c r="AA41" i="18"/>
  <c r="AC41" i="18" s="1"/>
  <c r="AD41" i="18" s="1"/>
  <c r="AE41" i="18" s="1"/>
  <c r="AF41" i="18" s="1"/>
  <c r="AP77" i="17"/>
  <c r="Y50" i="18" l="1"/>
  <c r="Y29" i="18"/>
  <c r="AT77" i="17"/>
  <c r="Y67" i="15"/>
  <c r="Z68" i="15" l="1"/>
  <c r="Y15" i="18"/>
  <c r="Z50" i="18" l="1"/>
  <c r="AA50" i="18"/>
  <c r="AC50" i="18" l="1"/>
  <c r="AD50" i="18" s="1"/>
  <c r="AE50" i="18" s="1"/>
  <c r="AF50" i="18" s="1"/>
  <c r="AX35" i="14"/>
  <c r="AN59" i="14" l="1"/>
  <c r="AN4" i="14"/>
  <c r="AL95" i="14"/>
  <c r="AL57" i="14"/>
  <c r="AL49" i="14"/>
  <c r="AL51" i="14" s="1"/>
  <c r="AL25" i="14"/>
  <c r="AL27" i="14" s="1"/>
  <c r="AL37" i="14"/>
  <c r="AL39" i="14" s="1"/>
  <c r="Z15" i="18" l="1"/>
  <c r="AL85" i="14"/>
  <c r="AL91" i="14" s="1"/>
  <c r="Z35" i="16"/>
  <c r="AM49" i="14"/>
  <c r="AM51" i="14" s="1"/>
  <c r="AM37" i="14"/>
  <c r="AM39" i="14" s="1"/>
  <c r="AN30" i="14"/>
  <c r="AN95" i="14"/>
  <c r="AM95" i="14"/>
  <c r="AM57" i="14"/>
  <c r="AN78" i="13"/>
  <c r="AL79" i="14"/>
  <c r="AL61" i="14"/>
  <c r="AL93" i="14" l="1"/>
  <c r="AL104" i="13"/>
  <c r="AN86" i="14"/>
  <c r="AO86" i="14" s="1"/>
  <c r="X86" i="16" s="1"/>
  <c r="AL80" i="14"/>
  <c r="AL81" i="14"/>
  <c r="AL96" i="14"/>
  <c r="AA15" i="18" l="1"/>
  <c r="AK95" i="14"/>
  <c r="AK57" i="14"/>
  <c r="AK49" i="14"/>
  <c r="AK37" i="14"/>
  <c r="AK39" i="14" s="1"/>
  <c r="AO49" i="14" l="1"/>
  <c r="AK51" i="14"/>
  <c r="AA35" i="16"/>
  <c r="AK25" i="14"/>
  <c r="AK85" i="14" l="1"/>
  <c r="AK91" i="14" s="1"/>
  <c r="AK104" i="13" s="1"/>
  <c r="AK27" i="14"/>
  <c r="X51" i="16"/>
  <c r="AO51" i="14"/>
  <c r="AK79" i="14"/>
  <c r="AK81" i="14" s="1"/>
  <c r="AK61" i="14"/>
  <c r="AK93" i="14" l="1"/>
  <c r="AK92" i="14"/>
  <c r="AK80" i="14"/>
  <c r="AK96" i="14"/>
  <c r="AS99" i="14"/>
  <c r="AB2" i="16" l="1"/>
  <c r="X71" i="15"/>
  <c r="X66" i="16"/>
  <c r="AO2" i="14"/>
  <c r="AN2" i="14"/>
  <c r="AM2" i="14"/>
  <c r="AL2" i="14"/>
  <c r="AK2" i="14"/>
  <c r="X35" i="18"/>
  <c r="AO2" i="17"/>
  <c r="AN2" i="17"/>
  <c r="AM2" i="17"/>
  <c r="AL2" i="17"/>
  <c r="AK2" i="17"/>
  <c r="X40" i="15"/>
  <c r="AO4" i="46"/>
  <c r="AN4" i="46"/>
  <c r="AM4" i="46"/>
  <c r="AL4" i="46"/>
  <c r="AK4" i="46"/>
  <c r="X70" i="15" l="1"/>
  <c r="X67" i="15" l="1"/>
  <c r="Y68" i="15" s="1"/>
  <c r="X15" i="18"/>
  <c r="X50" i="18" l="1"/>
  <c r="X65" i="16" l="1"/>
  <c r="X61" i="15" l="1"/>
  <c r="X58" i="15"/>
  <c r="AM15" i="13" l="1"/>
  <c r="AM101" i="13" s="1"/>
  <c r="AM79" i="13" l="1"/>
  <c r="AR16" i="13"/>
  <c r="AM92" i="13"/>
  <c r="AM88" i="13"/>
  <c r="AM89" i="13" s="1"/>
  <c r="AM93" i="13"/>
  <c r="U54" i="17" l="1"/>
  <c r="U50" i="17"/>
  <c r="A71" i="15" l="1"/>
  <c r="A70" i="15"/>
  <c r="T66" i="16" l="1"/>
  <c r="S66" i="16"/>
  <c r="R66" i="16"/>
  <c r="Q66" i="16"/>
  <c r="A66" i="16"/>
  <c r="U5" i="17" l="1"/>
  <c r="A98" i="16" l="1"/>
  <c r="T56" i="16"/>
  <c r="S56" i="16"/>
  <c r="R56" i="16"/>
  <c r="Q56" i="16"/>
  <c r="T55" i="16"/>
  <c r="S55" i="16"/>
  <c r="R55" i="16"/>
  <c r="Q55" i="16"/>
  <c r="T54" i="16"/>
  <c r="S54" i="16"/>
  <c r="R54" i="16"/>
  <c r="Q54" i="16"/>
  <c r="T48" i="16"/>
  <c r="S48" i="16"/>
  <c r="R48" i="16"/>
  <c r="Q48" i="16"/>
  <c r="T47" i="16"/>
  <c r="S47" i="16"/>
  <c r="R47" i="16"/>
  <c r="Q47" i="16"/>
  <c r="T36" i="16"/>
  <c r="S36" i="16"/>
  <c r="R36" i="16"/>
  <c r="Q36" i="16"/>
  <c r="T35" i="16"/>
  <c r="S35" i="16"/>
  <c r="R35" i="16"/>
  <c r="Q35" i="16"/>
  <c r="T8" i="16"/>
  <c r="S8" i="16"/>
  <c r="R8" i="16"/>
  <c r="Q8" i="16"/>
  <c r="T14" i="16"/>
  <c r="S14" i="16"/>
  <c r="R14" i="16"/>
  <c r="Q14" i="16"/>
  <c r="T24" i="16"/>
  <c r="S24" i="16"/>
  <c r="R24" i="16"/>
  <c r="Q24" i="16"/>
  <c r="T20" i="16"/>
  <c r="S20" i="16"/>
  <c r="R20" i="16"/>
  <c r="Q20" i="16"/>
  <c r="T18" i="16"/>
  <c r="S18" i="16"/>
  <c r="R18" i="16"/>
  <c r="Q18" i="16"/>
  <c r="T34" i="16"/>
  <c r="S34" i="16"/>
  <c r="R34" i="16"/>
  <c r="Q34" i="16"/>
  <c r="T33" i="16"/>
  <c r="S33" i="16"/>
  <c r="R33" i="16"/>
  <c r="Q33" i="16"/>
  <c r="T32" i="16"/>
  <c r="S32" i="16"/>
  <c r="R32" i="16"/>
  <c r="Q32" i="16"/>
  <c r="T31" i="16"/>
  <c r="S31" i="16"/>
  <c r="R31" i="16"/>
  <c r="Q31" i="16"/>
  <c r="A93" i="15" l="1"/>
  <c r="A92" i="15"/>
  <c r="AI4" i="46" l="1"/>
  <c r="AH4" i="46"/>
  <c r="AG4" i="46"/>
  <c r="AF4" i="46"/>
  <c r="AE4" i="46"/>
  <c r="AD4" i="46"/>
  <c r="AC4" i="46"/>
  <c r="AB4" i="46"/>
  <c r="AA4" i="46"/>
  <c r="Z4" i="46"/>
  <c r="Y4" i="46"/>
  <c r="X4" i="46"/>
  <c r="W4" i="46"/>
  <c r="V4" i="46"/>
  <c r="U4" i="46"/>
  <c r="T4" i="46"/>
  <c r="S4" i="46"/>
  <c r="R4" i="46"/>
  <c r="Q4" i="46"/>
  <c r="P4" i="46"/>
  <c r="O4" i="46"/>
  <c r="N4" i="46"/>
  <c r="M4" i="46"/>
  <c r="L4" i="46"/>
  <c r="K4" i="46"/>
  <c r="J4" i="46"/>
  <c r="I4" i="46"/>
  <c r="H4" i="46"/>
  <c r="G4" i="46"/>
  <c r="F4" i="46"/>
  <c r="E4" i="46"/>
  <c r="D4" i="46"/>
  <c r="C4" i="46"/>
  <c r="B4" i="46"/>
  <c r="AU12" i="46" l="1"/>
  <c r="X13" i="45"/>
  <c r="X8" i="45"/>
  <c r="X22" i="45"/>
  <c r="X9" i="45"/>
  <c r="X17" i="45"/>
  <c r="X12" i="45"/>
  <c r="X18" i="45"/>
  <c r="X16" i="45"/>
  <c r="AU31" i="46" l="1"/>
  <c r="AU30" i="46"/>
  <c r="Y9" i="45"/>
  <c r="Y17" i="45"/>
  <c r="Y18" i="45"/>
  <c r="Y8" i="45"/>
  <c r="Y12" i="45"/>
  <c r="AO55" i="46"/>
  <c r="X55" i="45" s="1"/>
  <c r="Z12" i="45" l="1"/>
  <c r="AY17" i="46"/>
  <c r="AZ17" i="46" s="1"/>
  <c r="BA17" i="46" s="1"/>
  <c r="AX8" i="46"/>
  <c r="AY8" i="46" s="1"/>
  <c r="AY18" i="46"/>
  <c r="AZ18" i="46" s="1"/>
  <c r="BA18" i="46" s="1"/>
  <c r="AX9" i="46"/>
  <c r="AY9" i="46" s="1"/>
  <c r="AQ24" i="46"/>
  <c r="BB18" i="46" l="1"/>
  <c r="BB17" i="46"/>
  <c r="Z8" i="45"/>
  <c r="AZ8" i="46"/>
  <c r="BA8" i="46" s="1"/>
  <c r="BB8" i="46" s="1"/>
  <c r="BC8" i="46" s="1"/>
  <c r="Z17" i="45"/>
  <c r="Z9" i="45"/>
  <c r="AZ9" i="46"/>
  <c r="BA9" i="46" s="1"/>
  <c r="BB9" i="46" s="1"/>
  <c r="BC9" i="46" s="1"/>
  <c r="Z18" i="45"/>
  <c r="AR24" i="46"/>
  <c r="AR27" i="46"/>
  <c r="AR26" i="46"/>
  <c r="AR32" i="46"/>
  <c r="X45" i="45"/>
  <c r="X69" i="45"/>
  <c r="X76" i="45"/>
  <c r="X7" i="45"/>
  <c r="BD9" i="46" l="1"/>
  <c r="BD8" i="46"/>
  <c r="BE8" i="46" s="1"/>
  <c r="BF8" i="46" s="1"/>
  <c r="BG8" i="46" s="1"/>
  <c r="BH8" i="46" s="1"/>
  <c r="BI8" i="46" s="1"/>
  <c r="AB8" i="45" s="1"/>
  <c r="AU22" i="46"/>
  <c r="AT22" i="46"/>
  <c r="Y16" i="45"/>
  <c r="Y7" i="45"/>
  <c r="AR28" i="46"/>
  <c r="BE9" i="46" l="1"/>
  <c r="BF9" i="46" s="1"/>
  <c r="BG9" i="46" s="1"/>
  <c r="BH9" i="46" s="1"/>
  <c r="BI9" i="46" s="1"/>
  <c r="AB9" i="45" s="1"/>
  <c r="Y31" i="45"/>
  <c r="Y30" i="45"/>
  <c r="AT27" i="46"/>
  <c r="AT26" i="46"/>
  <c r="AU27" i="46"/>
  <c r="AU26" i="46"/>
  <c r="AU13" i="46"/>
  <c r="AU24" i="46" s="1"/>
  <c r="AV7" i="46"/>
  <c r="AV22" i="46"/>
  <c r="AV27" i="46" s="1"/>
  <c r="AP24" i="46"/>
  <c r="AP27" i="46"/>
  <c r="AQ26" i="46"/>
  <c r="AQ27" i="46"/>
  <c r="Y22" i="45"/>
  <c r="Y13" i="45"/>
  <c r="AT24" i="46"/>
  <c r="X37" i="45"/>
  <c r="X70" i="45"/>
  <c r="X46" i="45"/>
  <c r="X61" i="45"/>
  <c r="Y27" i="45" l="1"/>
  <c r="Y26" i="45"/>
  <c r="AV30" i="46"/>
  <c r="AV31" i="46"/>
  <c r="Y24" i="45"/>
  <c r="Y32" i="45" s="1"/>
  <c r="AT32" i="46"/>
  <c r="AU28" i="46"/>
  <c r="AV26" i="46"/>
  <c r="AV28" i="46" s="1"/>
  <c r="AW7" i="46"/>
  <c r="AU32" i="46"/>
  <c r="AT28" i="46"/>
  <c r="AA12" i="45"/>
  <c r="AC12" i="45" s="1"/>
  <c r="AD12" i="45" s="1"/>
  <c r="AE12" i="45" s="1"/>
  <c r="AF12" i="45" s="1"/>
  <c r="AV13" i="46"/>
  <c r="AQ28" i="46"/>
  <c r="AP28" i="46"/>
  <c r="X47" i="45"/>
  <c r="X36" i="45"/>
  <c r="X62" i="45"/>
  <c r="X65" i="45"/>
  <c r="X71" i="45"/>
  <c r="X78" i="45"/>
  <c r="X66" i="45"/>
  <c r="X60" i="45"/>
  <c r="X38" i="45"/>
  <c r="X41" i="45"/>
  <c r="AW31" i="46" l="1"/>
  <c r="AW30" i="46"/>
  <c r="Y28" i="45"/>
  <c r="AX7" i="46"/>
  <c r="AW13" i="46"/>
  <c r="AV32" i="46"/>
  <c r="AV24" i="46"/>
  <c r="AW22" i="46"/>
  <c r="AA8" i="45"/>
  <c r="AC8" i="45" s="1"/>
  <c r="AD8" i="45" s="1"/>
  <c r="AE8" i="45" s="1"/>
  <c r="AF8" i="45" s="1"/>
  <c r="AA17" i="45"/>
  <c r="AC17" i="45" s="1"/>
  <c r="AD17" i="45" s="1"/>
  <c r="AE17" i="45" s="1"/>
  <c r="AF17" i="45" s="1"/>
  <c r="AA18" i="45"/>
  <c r="AC18" i="45" s="1"/>
  <c r="AD18" i="45" s="1"/>
  <c r="AE18" i="45" s="1"/>
  <c r="AF18" i="45" s="1"/>
  <c r="AA9" i="45"/>
  <c r="AC9" i="45" s="1"/>
  <c r="AD9" i="45" s="1"/>
  <c r="AE9" i="45" s="1"/>
  <c r="AF9" i="45" s="1"/>
  <c r="AX22" i="46"/>
  <c r="X29" i="18"/>
  <c r="AW24" i="46" l="1"/>
  <c r="AX13" i="46"/>
  <c r="AX24" i="46" s="1"/>
  <c r="AX31" i="46"/>
  <c r="AX30" i="46"/>
  <c r="AY7" i="46"/>
  <c r="Z7" i="45" s="1"/>
  <c r="AX27" i="46"/>
  <c r="AX26" i="46"/>
  <c r="AW32" i="46"/>
  <c r="AW27" i="46"/>
  <c r="AW26" i="46"/>
  <c r="AY16" i="46"/>
  <c r="Z29" i="18"/>
  <c r="AY13" i="46" l="1"/>
  <c r="Z13" i="45" s="1"/>
  <c r="AY30" i="46"/>
  <c r="AY31" i="46"/>
  <c r="AY22" i="46"/>
  <c r="AZ16" i="46"/>
  <c r="BA16" i="46" s="1"/>
  <c r="AZ7" i="46"/>
  <c r="BA7" i="46" s="1"/>
  <c r="BB7" i="46" s="1"/>
  <c r="BC7" i="46" s="1"/>
  <c r="AX28" i="46"/>
  <c r="AX32" i="46"/>
  <c r="AW28" i="46"/>
  <c r="Z16" i="45"/>
  <c r="Z31" i="45" s="1"/>
  <c r="Z40" i="18"/>
  <c r="BD26" i="46" l="1"/>
  <c r="BD27" i="46"/>
  <c r="BD7" i="46"/>
  <c r="BC13" i="46"/>
  <c r="BC24" i="46" s="1"/>
  <c r="BB13" i="46"/>
  <c r="BB16" i="46"/>
  <c r="BB22" i="46" s="1"/>
  <c r="AY24" i="46"/>
  <c r="Z24" i="45" s="1"/>
  <c r="AZ13" i="46"/>
  <c r="AY27" i="46"/>
  <c r="Z22" i="45"/>
  <c r="Z26" i="45" s="1"/>
  <c r="AY26" i="46"/>
  <c r="Z30" i="45"/>
  <c r="BA31" i="46"/>
  <c r="BA30" i="46"/>
  <c r="AZ31" i="46"/>
  <c r="AZ30" i="46"/>
  <c r="BA13" i="46"/>
  <c r="AX43" i="14"/>
  <c r="AX42" i="14"/>
  <c r="AY32" i="46"/>
  <c r="AZ22" i="46"/>
  <c r="Z42" i="16"/>
  <c r="Z43" i="16"/>
  <c r="BD28" i="46" l="1"/>
  <c r="BC26" i="46"/>
  <c r="BC27" i="46"/>
  <c r="BC30" i="46"/>
  <c r="BC31" i="46"/>
  <c r="BD31" i="46"/>
  <c r="BD30" i="46"/>
  <c r="BD32" i="46" s="1"/>
  <c r="BE7" i="46"/>
  <c r="BD13" i="46"/>
  <c r="BD24" i="46" s="1"/>
  <c r="BB30" i="46"/>
  <c r="BB24" i="46"/>
  <c r="BB31" i="46"/>
  <c r="AY28" i="46"/>
  <c r="Z27" i="45"/>
  <c r="Z28" i="45" s="1"/>
  <c r="AZ32" i="46"/>
  <c r="AX44" i="14"/>
  <c r="AZ26" i="46"/>
  <c r="AZ27" i="46"/>
  <c r="AZ24" i="46"/>
  <c r="BA22" i="46"/>
  <c r="BB26" i="46" s="1"/>
  <c r="Z32" i="45"/>
  <c r="Z44" i="16"/>
  <c r="BE31" i="46" l="1"/>
  <c r="BE30" i="46"/>
  <c r="BC32" i="46"/>
  <c r="BC28" i="46"/>
  <c r="BE13" i="46"/>
  <c r="BE24" i="46" s="1"/>
  <c r="BF7" i="46"/>
  <c r="BB32" i="46"/>
  <c r="BB27" i="46"/>
  <c r="BB28" i="46" s="1"/>
  <c r="AA7" i="45"/>
  <c r="AZ28" i="46"/>
  <c r="BA26" i="46"/>
  <c r="BA27" i="46"/>
  <c r="BA24" i="46"/>
  <c r="BA32" i="46"/>
  <c r="AA13" i="45"/>
  <c r="AA29" i="18"/>
  <c r="A82" i="15"/>
  <c r="A38" i="15"/>
  <c r="A37" i="15"/>
  <c r="BE32" i="46" l="1"/>
  <c r="BG7" i="46"/>
  <c r="BF30" i="46"/>
  <c r="BF13" i="46"/>
  <c r="BF31" i="46"/>
  <c r="BA28" i="46"/>
  <c r="BF32" i="46" l="1"/>
  <c r="BF77" i="17"/>
  <c r="BF24" i="46"/>
  <c r="BH7" i="46"/>
  <c r="BG30" i="46"/>
  <c r="BG13" i="46"/>
  <c r="BG31" i="46"/>
  <c r="AA42" i="16"/>
  <c r="AA16" i="45"/>
  <c r="AA22" i="45"/>
  <c r="BG32" i="46" l="1"/>
  <c r="BG24" i="46"/>
  <c r="BG29" i="17"/>
  <c r="BG77" i="17" s="1"/>
  <c r="BG42" i="14"/>
  <c r="BH31" i="46"/>
  <c r="BH30" i="46"/>
  <c r="BI7" i="46"/>
  <c r="BH13" i="46"/>
  <c r="AB26" i="45"/>
  <c r="AB27" i="45"/>
  <c r="AA31" i="45"/>
  <c r="AA30" i="45"/>
  <c r="AA27" i="45"/>
  <c r="AA26" i="45"/>
  <c r="AA40" i="18"/>
  <c r="T51" i="16"/>
  <c r="S51" i="16"/>
  <c r="R51" i="16"/>
  <c r="Q51" i="16"/>
  <c r="T57" i="16"/>
  <c r="S57" i="16"/>
  <c r="R57" i="16"/>
  <c r="Q57" i="16"/>
  <c r="AC15" i="18"/>
  <c r="AD15" i="18" s="1"/>
  <c r="AE15" i="18" s="1"/>
  <c r="AF15" i="18" s="1"/>
  <c r="AB7" i="45" l="1"/>
  <c r="BI30" i="46"/>
  <c r="BI13" i="46"/>
  <c r="BI31" i="46"/>
  <c r="BH24" i="46"/>
  <c r="BH42" i="14"/>
  <c r="BI42" i="14" s="1"/>
  <c r="AB42" i="16" s="1"/>
  <c r="BH29" i="17"/>
  <c r="BH32" i="46"/>
  <c r="AB28" i="45"/>
  <c r="AA28" i="45"/>
  <c r="AA43" i="16"/>
  <c r="AA24" i="45"/>
  <c r="AA32" i="45" s="1"/>
  <c r="AC16" i="45"/>
  <c r="AA44" i="16"/>
  <c r="BI29" i="17" l="1"/>
  <c r="BH77" i="17"/>
  <c r="BI24" i="46"/>
  <c r="AB24" i="45" s="1"/>
  <c r="AB13" i="45"/>
  <c r="BI32" i="46"/>
  <c r="AC7" i="45"/>
  <c r="AB31" i="45"/>
  <c r="AB30" i="45"/>
  <c r="AC22" i="45"/>
  <c r="AD16" i="45"/>
  <c r="AB32" i="45" l="1"/>
  <c r="AD7" i="45"/>
  <c r="AD31" i="45" s="1"/>
  <c r="AC13" i="45"/>
  <c r="AC24" i="45" s="1"/>
  <c r="AC30" i="45"/>
  <c r="AC31" i="45"/>
  <c r="AB29" i="18"/>
  <c r="BI77" i="17"/>
  <c r="AB77" i="18" s="1"/>
  <c r="AE16" i="45"/>
  <c r="AF16" i="45" s="1"/>
  <c r="AF22" i="45" s="1"/>
  <c r="AF40" i="18" s="1"/>
  <c r="AD22" i="45"/>
  <c r="AC26" i="45"/>
  <c r="AC43" i="16" s="1"/>
  <c r="AC40" i="18"/>
  <c r="AC27" i="45"/>
  <c r="AD30" i="45" l="1"/>
  <c r="AC32" i="45"/>
  <c r="AC42" i="16"/>
  <c r="AC29" i="18"/>
  <c r="AC77" i="18" s="1"/>
  <c r="AD13" i="45"/>
  <c r="AD24" i="45" s="1"/>
  <c r="AE7" i="45"/>
  <c r="AE30" i="45" s="1"/>
  <c r="AC44" i="16"/>
  <c r="AC28" i="45"/>
  <c r="AD26" i="45"/>
  <c r="AD43" i="16" s="1"/>
  <c r="AD27" i="45"/>
  <c r="AD40" i="18"/>
  <c r="AE22" i="45"/>
  <c r="AD32" i="45" l="1"/>
  <c r="AF27" i="45"/>
  <c r="AF44" i="16" s="1"/>
  <c r="AE40" i="18"/>
  <c r="AD42" i="16"/>
  <c r="AD29" i="18"/>
  <c r="AD77" i="18" s="1"/>
  <c r="AE13" i="45"/>
  <c r="AF7" i="45"/>
  <c r="AE31" i="45"/>
  <c r="AF26" i="45"/>
  <c r="AF43" i="16" s="1"/>
  <c r="AE26" i="45"/>
  <c r="AE43" i="16" s="1"/>
  <c r="AE27" i="45"/>
  <c r="AD44" i="16"/>
  <c r="AD28" i="45"/>
  <c r="AE24" i="45" l="1"/>
  <c r="AE29" i="18"/>
  <c r="AE77" i="18" s="1"/>
  <c r="AE32" i="45"/>
  <c r="AF13" i="45"/>
  <c r="AF29" i="18" s="1"/>
  <c r="AF30" i="45"/>
  <c r="AF31" i="45"/>
  <c r="AE42" i="16"/>
  <c r="AF28" i="45"/>
  <c r="AE28" i="45"/>
  <c r="AE44" i="16"/>
  <c r="A65" i="16"/>
  <c r="AF32" i="45" l="1"/>
  <c r="AF42" i="16"/>
  <c r="AF77" i="18"/>
  <c r="AF24" i="45"/>
  <c r="AA2" i="16"/>
  <c r="Z2" i="16"/>
  <c r="Y2" i="16"/>
  <c r="X2" i="16"/>
  <c r="W2" i="16"/>
  <c r="V2" i="16"/>
  <c r="U2" i="16"/>
  <c r="T2" i="16"/>
  <c r="S2" i="16"/>
  <c r="R2" i="16"/>
  <c r="Q2" i="16"/>
  <c r="A21" i="15"/>
  <c r="A19" i="15"/>
  <c r="A18" i="15"/>
  <c r="T65" i="16" l="1"/>
  <c r="S65" i="16"/>
  <c r="R65" i="16"/>
  <c r="Q65" i="16"/>
  <c r="T60" i="16" l="1"/>
  <c r="S60" i="16"/>
  <c r="R60" i="16"/>
  <c r="Q60" i="16"/>
  <c r="A60" i="16"/>
  <c r="T77" i="16" l="1"/>
  <c r="S77" i="16"/>
  <c r="R77" i="16"/>
  <c r="Q77" i="16"/>
  <c r="A3" i="16" l="1"/>
  <c r="A81" i="16" l="1"/>
  <c r="A82" i="18" l="1"/>
  <c r="A83" i="18"/>
  <c r="A84" i="18"/>
  <c r="A85" i="18"/>
  <c r="A86" i="18"/>
  <c r="A87" i="18"/>
  <c r="A88" i="18"/>
  <c r="A90" i="18"/>
  <c r="A91" i="18"/>
  <c r="A92" i="18"/>
  <c r="A93" i="18"/>
  <c r="A94" i="18"/>
  <c r="A95" i="18"/>
  <c r="A96" i="18"/>
  <c r="A97" i="18"/>
  <c r="A98" i="18"/>
  <c r="A99" i="18"/>
  <c r="A100" i="18"/>
  <c r="A102" i="18"/>
  <c r="A103" i="18"/>
  <c r="A104" i="18"/>
  <c r="A105" i="18"/>
  <c r="A106" i="18"/>
  <c r="A107" i="18"/>
  <c r="A108" i="18"/>
  <c r="A109" i="18"/>
  <c r="A110" i="18"/>
  <c r="A111" i="18"/>
  <c r="A112" i="18"/>
  <c r="A113" i="18"/>
  <c r="A114" i="18"/>
  <c r="A115" i="18"/>
  <c r="A116" i="18"/>
  <c r="A117" i="18"/>
  <c r="Q72" i="16" l="1"/>
  <c r="R72" i="16"/>
  <c r="S72" i="16"/>
  <c r="T72" i="16"/>
  <c r="Q98" i="16" l="1"/>
  <c r="Q99" i="16" s="1"/>
  <c r="T98" i="16"/>
  <c r="T99" i="16"/>
  <c r="R98" i="16"/>
  <c r="R99" i="16"/>
  <c r="S98" i="16"/>
  <c r="S99" i="16"/>
  <c r="Q71" i="16" l="1"/>
  <c r="R71" i="16"/>
  <c r="S71" i="16"/>
  <c r="T71" i="16"/>
  <c r="T73" i="16"/>
  <c r="AI2" i="17"/>
  <c r="AH2" i="17"/>
  <c r="AG2" i="17"/>
  <c r="AF2" i="17"/>
  <c r="AI2" i="14"/>
  <c r="AH2" i="14"/>
  <c r="AG2" i="14"/>
  <c r="AF2" i="14"/>
  <c r="B2" i="14"/>
  <c r="C2" i="14"/>
  <c r="D2" i="14"/>
  <c r="E2" i="14"/>
  <c r="F2" i="14"/>
  <c r="G2" i="14"/>
  <c r="H2" i="14"/>
  <c r="I2" i="14"/>
  <c r="J2" i="14"/>
  <c r="K2" i="14"/>
  <c r="L2" i="14"/>
  <c r="M2" i="14"/>
  <c r="N2" i="14"/>
  <c r="O2" i="14"/>
  <c r="P2" i="14"/>
  <c r="Q2" i="14"/>
  <c r="R2" i="14"/>
  <c r="S2" i="14"/>
  <c r="T2" i="14"/>
  <c r="U2" i="14"/>
  <c r="V2" i="14"/>
  <c r="W2" i="14"/>
  <c r="X2" i="14"/>
  <c r="Y2" i="14"/>
  <c r="Z2" i="14"/>
  <c r="AA2" i="14"/>
  <c r="AB2" i="14"/>
  <c r="AC2" i="14"/>
  <c r="AD2" i="14"/>
  <c r="AE2" i="14"/>
  <c r="B2" i="17"/>
  <c r="C2" i="17"/>
  <c r="D2" i="17"/>
  <c r="E2" i="17"/>
  <c r="F2" i="17"/>
  <c r="G2" i="17"/>
  <c r="H2" i="17"/>
  <c r="I2" i="17"/>
  <c r="J2" i="17"/>
  <c r="K2" i="17"/>
  <c r="L2" i="17"/>
  <c r="M2" i="17"/>
  <c r="N2" i="17"/>
  <c r="O2" i="17"/>
  <c r="P2" i="17"/>
  <c r="Q2" i="17"/>
  <c r="R2" i="17"/>
  <c r="S2" i="17"/>
  <c r="T2" i="17"/>
  <c r="U2" i="17"/>
  <c r="V2" i="17"/>
  <c r="W2" i="17"/>
  <c r="X2" i="17"/>
  <c r="Y2" i="17"/>
  <c r="Z2" i="17"/>
  <c r="AA2" i="17"/>
  <c r="AB2" i="17"/>
  <c r="AC2" i="17"/>
  <c r="AD2" i="17"/>
  <c r="AE2" i="17"/>
  <c r="I2" i="18" l="1"/>
  <c r="M2" i="18"/>
  <c r="J2" i="18"/>
  <c r="B2" i="18"/>
  <c r="N2" i="18"/>
  <c r="C2" i="16"/>
  <c r="G2" i="16"/>
  <c r="K2" i="16"/>
  <c r="O2" i="16"/>
  <c r="W2" i="18"/>
  <c r="E2" i="18"/>
  <c r="F2" i="18"/>
  <c r="D2" i="16"/>
  <c r="H2" i="16"/>
  <c r="L2" i="16"/>
  <c r="P2" i="16"/>
  <c r="T2" i="18"/>
  <c r="X2" i="18"/>
  <c r="N2" i="16"/>
  <c r="J2" i="16"/>
  <c r="F2" i="16"/>
  <c r="B2" i="16"/>
  <c r="C2" i="18"/>
  <c r="G2" i="18"/>
  <c r="K2" i="18"/>
  <c r="O2" i="18"/>
  <c r="S2" i="18"/>
  <c r="M2" i="16"/>
  <c r="I2" i="16"/>
  <c r="E2" i="16"/>
  <c r="D2" i="18"/>
  <c r="H2" i="18"/>
  <c r="L2" i="18"/>
  <c r="P2" i="18"/>
  <c r="Q2" i="18"/>
  <c r="U2" i="18"/>
  <c r="Y2" i="18"/>
  <c r="R2" i="18"/>
  <c r="V2" i="18"/>
  <c r="Z2" i="18"/>
  <c r="AA2" i="18" l="1"/>
  <c r="A61" i="16" l="1"/>
  <c r="A59" i="16"/>
  <c r="A51" i="16"/>
  <c r="A42" i="16"/>
  <c r="A41" i="16"/>
  <c r="A39" i="16"/>
  <c r="A30" i="16"/>
  <c r="A29" i="16"/>
  <c r="A27" i="16"/>
  <c r="A4" i="16"/>
  <c r="X58" i="18" l="1"/>
  <c r="Y58" i="18" l="1"/>
  <c r="A67" i="18"/>
  <c r="A62" i="18"/>
  <c r="A60" i="18"/>
  <c r="A58" i="18"/>
  <c r="A56" i="18"/>
  <c r="A49" i="18"/>
  <c r="A47" i="18"/>
  <c r="A45" i="18"/>
  <c r="A38" i="18"/>
  <c r="A36" i="18"/>
  <c r="A27" i="18"/>
  <c r="A25" i="18"/>
  <c r="A23" i="18"/>
  <c r="A14" i="18"/>
  <c r="A12" i="18"/>
  <c r="AC35" i="18" l="1"/>
  <c r="AD35" i="18" s="1"/>
  <c r="AE35" i="18" s="1"/>
  <c r="AF35" i="18" s="1"/>
  <c r="T43" i="16" l="1"/>
  <c r="S43" i="16"/>
  <c r="R43" i="16"/>
  <c r="Q43" i="16"/>
  <c r="T42" i="16"/>
  <c r="S42" i="16"/>
  <c r="R42" i="16"/>
  <c r="Q42" i="16"/>
  <c r="T44" i="16"/>
  <c r="S44" i="16"/>
  <c r="R44" i="16"/>
  <c r="Q44" i="16"/>
  <c r="T46" i="16"/>
  <c r="S46" i="16"/>
  <c r="R46" i="16"/>
  <c r="Q46" i="16"/>
  <c r="Z58" i="18" l="1"/>
  <c r="AA58" i="18" l="1"/>
  <c r="BG58" i="17"/>
  <c r="BH58" i="17" s="1"/>
  <c r="BI58" i="17" s="1"/>
  <c r="AB58" i="18" s="1"/>
  <c r="AC58" i="18" s="1"/>
  <c r="AD58" i="18" s="1"/>
  <c r="AE58" i="18" s="1"/>
  <c r="AF58" i="18" s="1"/>
  <c r="S96" i="16" l="1"/>
  <c r="S81" i="16"/>
  <c r="T96" i="16"/>
  <c r="T80" i="16"/>
  <c r="R81" i="16"/>
  <c r="R80" i="16"/>
  <c r="R96" i="16"/>
  <c r="Q95" i="16"/>
  <c r="Q76" i="16"/>
  <c r="Q73" i="16"/>
  <c r="Q59" i="16"/>
  <c r="Q45" i="16"/>
  <c r="Q39" i="16"/>
  <c r="Q30" i="16"/>
  <c r="Q17" i="16"/>
  <c r="Q16" i="16"/>
  <c r="Q15" i="16"/>
  <c r="Q13" i="16"/>
  <c r="Q12" i="16"/>
  <c r="Q11" i="16"/>
  <c r="Q9" i="16"/>
  <c r="Q6" i="16"/>
  <c r="Q7" i="16"/>
  <c r="Q5" i="16"/>
  <c r="R95" i="16"/>
  <c r="R79" i="16"/>
  <c r="R76" i="16"/>
  <c r="R73" i="16"/>
  <c r="R61" i="16"/>
  <c r="R59" i="16"/>
  <c r="R45" i="16"/>
  <c r="R39" i="16"/>
  <c r="R30" i="16"/>
  <c r="R27" i="16"/>
  <c r="R17" i="16"/>
  <c r="R16" i="16"/>
  <c r="R15" i="16"/>
  <c r="R13" i="16"/>
  <c r="R12" i="16"/>
  <c r="R11" i="16"/>
  <c r="R9" i="16"/>
  <c r="R6" i="16"/>
  <c r="R7" i="16"/>
  <c r="R5" i="16"/>
  <c r="R4" i="16"/>
  <c r="S95" i="16"/>
  <c r="S80" i="16"/>
  <c r="S79" i="16"/>
  <c r="S76" i="16"/>
  <c r="S73" i="16"/>
  <c r="S61" i="16"/>
  <c r="S59" i="16"/>
  <c r="S45" i="16"/>
  <c r="S39" i="16"/>
  <c r="S30" i="16"/>
  <c r="S27" i="16"/>
  <c r="S17" i="16"/>
  <c r="S16" i="16"/>
  <c r="S15" i="16"/>
  <c r="S13" i="16"/>
  <c r="S12" i="16"/>
  <c r="S11" i="16"/>
  <c r="S9" i="16"/>
  <c r="S6" i="16"/>
  <c r="S7" i="16"/>
  <c r="S5" i="16"/>
  <c r="S4" i="16"/>
  <c r="T95" i="16"/>
  <c r="T81" i="16"/>
  <c r="T79" i="16"/>
  <c r="T76" i="16"/>
  <c r="T61" i="16"/>
  <c r="T59" i="16"/>
  <c r="T45" i="16"/>
  <c r="T39" i="16"/>
  <c r="T30" i="16"/>
  <c r="T27" i="16"/>
  <c r="T17" i="16"/>
  <c r="T16" i="16"/>
  <c r="T15" i="16"/>
  <c r="T13" i="16"/>
  <c r="T12" i="16"/>
  <c r="T11" i="16"/>
  <c r="T9" i="16"/>
  <c r="T6" i="16"/>
  <c r="T7" i="16"/>
  <c r="T5" i="16"/>
  <c r="T4" i="16"/>
  <c r="R3" i="15"/>
  <c r="S3" i="15"/>
  <c r="T3" i="15"/>
  <c r="A73" i="16" l="1"/>
  <c r="A76" i="18"/>
  <c r="A77" i="18"/>
  <c r="A78" i="18"/>
  <c r="A79" i="18"/>
  <c r="A81" i="18"/>
  <c r="A68" i="18" l="1"/>
  <c r="A3" i="18"/>
  <c r="A4" i="18"/>
  <c r="A63" i="18"/>
  <c r="A65" i="18"/>
  <c r="A66" i="18"/>
  <c r="A69" i="18"/>
  <c r="A72" i="18"/>
  <c r="A73" i="18"/>
  <c r="A74" i="18"/>
  <c r="A95" i="16"/>
  <c r="A96" i="16"/>
  <c r="A75" i="16"/>
  <c r="A76" i="16"/>
  <c r="A77" i="16"/>
  <c r="A79" i="16"/>
  <c r="A80" i="16"/>
  <c r="A63" i="16"/>
  <c r="A64" i="16"/>
  <c r="A70" i="16"/>
  <c r="A11" i="15" l="1"/>
  <c r="A12" i="15"/>
  <c r="A22" i="15"/>
  <c r="A26" i="15"/>
  <c r="A103" i="15" s="1"/>
  <c r="A27" i="15"/>
  <c r="A29" i="15"/>
  <c r="A30" i="15"/>
  <c r="A31" i="15"/>
  <c r="A32" i="15"/>
  <c r="A34" i="15"/>
  <c r="A35" i="15"/>
  <c r="A43" i="15"/>
  <c r="A44" i="15"/>
  <c r="A46" i="15"/>
  <c r="A47" i="15"/>
  <c r="A48" i="15"/>
  <c r="A49" i="15"/>
  <c r="A51" i="15"/>
  <c r="A104" i="15" s="1"/>
  <c r="A52" i="15"/>
  <c r="A54" i="15"/>
  <c r="A55" i="15"/>
  <c r="A66" i="15"/>
  <c r="A67" i="15"/>
  <c r="A76" i="15"/>
  <c r="A77" i="15"/>
  <c r="A78" i="15"/>
  <c r="A79" i="15"/>
  <c r="A81" i="15"/>
  <c r="A85" i="15"/>
  <c r="A86" i="15"/>
  <c r="A88" i="15"/>
  <c r="A89" i="15"/>
  <c r="Q63" i="16" l="1"/>
  <c r="U3" i="15" l="1"/>
  <c r="Q4" i="16" l="1"/>
  <c r="Q27" i="16" l="1"/>
  <c r="Q61" i="16" l="1"/>
  <c r="Q81" i="16"/>
  <c r="Q79" i="16"/>
  <c r="Q80" i="16"/>
  <c r="Q96" i="16"/>
  <c r="Q64" i="16" l="1"/>
  <c r="Q67" i="16" l="1"/>
  <c r="R63" i="16" l="1"/>
  <c r="R64" i="16" l="1"/>
  <c r="Q68" i="16"/>
  <c r="R67" i="16" l="1"/>
  <c r="S63" i="16" l="1"/>
  <c r="S64" i="16" l="1"/>
  <c r="R68" i="16"/>
  <c r="S67" i="16" l="1"/>
  <c r="T63" i="16" l="1"/>
  <c r="S68" i="16" l="1"/>
  <c r="T64" i="16"/>
  <c r="T67" i="16" l="1"/>
  <c r="T68" i="16" l="1"/>
  <c r="AP63" i="14" l="1"/>
  <c r="AT63" i="14" s="1"/>
  <c r="Y52" i="18" l="1"/>
  <c r="Z52" i="18" l="1"/>
  <c r="AA52" i="18"/>
  <c r="AC52" i="18" l="1"/>
  <c r="AD52" i="18" s="1"/>
  <c r="AE52" i="18" s="1"/>
  <c r="AF52" i="18" s="1"/>
  <c r="Y42" i="18" l="1"/>
  <c r="X39" i="18"/>
  <c r="Z42" i="18" l="1"/>
  <c r="AA42" i="18"/>
  <c r="X77" i="18"/>
  <c r="X45" i="18"/>
  <c r="AC42" i="18" l="1"/>
  <c r="AD42" i="18" s="1"/>
  <c r="AE42" i="18" s="1"/>
  <c r="AF42" i="18" s="1"/>
  <c r="Z55" i="18" l="1"/>
  <c r="AA55" i="18"/>
  <c r="Y55" i="18"/>
  <c r="AS45" i="17"/>
  <c r="AC55" i="18" l="1"/>
  <c r="AD55" i="18" s="1"/>
  <c r="AE55" i="18" s="1"/>
  <c r="AF55" i="18" s="1"/>
  <c r="Y77" i="18" l="1"/>
  <c r="Y39" i="18"/>
  <c r="AK15" i="13" l="1"/>
  <c r="AP16" i="13" l="1"/>
  <c r="AK101" i="13"/>
  <c r="Z39" i="18"/>
  <c r="AK79" i="13"/>
  <c r="AK93" i="13"/>
  <c r="AK92" i="13"/>
  <c r="AK88" i="13"/>
  <c r="AK89" i="13" s="1"/>
  <c r="AL15" i="13" l="1"/>
  <c r="AL101" i="13" s="1"/>
  <c r="AL79" i="13" l="1"/>
  <c r="AQ16" i="13"/>
  <c r="AL88" i="13"/>
  <c r="AL89" i="13" s="1"/>
  <c r="AL92" i="13"/>
  <c r="AL93" i="13"/>
  <c r="X34" i="18"/>
  <c r="X38" i="15" l="1"/>
  <c r="AA39" i="18" l="1"/>
  <c r="AC39" i="18" s="1"/>
  <c r="AD39" i="18" s="1"/>
  <c r="AE39" i="18" s="1"/>
  <c r="X44" i="15"/>
  <c r="X30" i="18"/>
  <c r="X31" i="18"/>
  <c r="AF39" i="18" l="1"/>
  <c r="X23" i="18"/>
  <c r="X47" i="18"/>
  <c r="X36" i="18"/>
  <c r="X56" i="18" l="1"/>
  <c r="X60" i="18" l="1"/>
  <c r="X62" i="18" l="1"/>
  <c r="AO68" i="14" l="1"/>
  <c r="X64" i="16"/>
  <c r="X67" i="16"/>
  <c r="X78" i="18" l="1"/>
  <c r="X79" i="18"/>
  <c r="X68" i="16"/>
  <c r="X12" i="18" l="1"/>
  <c r="X25" i="18"/>
  <c r="X63" i="18" s="1"/>
  <c r="V3" i="15" l="1"/>
  <c r="X3" i="15" l="1"/>
  <c r="X15" i="15" l="1"/>
  <c r="X74" i="18"/>
  <c r="X102" i="15" l="1"/>
  <c r="X73" i="18"/>
  <c r="AO66" i="17"/>
  <c r="X66" i="18" s="1"/>
  <c r="X69" i="18"/>
  <c r="AN22" i="14" l="1"/>
  <c r="AN25" i="14" s="1"/>
  <c r="AM25" i="14"/>
  <c r="AN85" i="14" l="1"/>
  <c r="AN27" i="14"/>
  <c r="AM85" i="14"/>
  <c r="AM27" i="14"/>
  <c r="AN79" i="14"/>
  <c r="AN96" i="14" s="1"/>
  <c r="AM79" i="14"/>
  <c r="AM80" i="14" s="1"/>
  <c r="AM61" i="14"/>
  <c r="AO85" i="14" l="1"/>
  <c r="X85" i="16" s="1"/>
  <c r="AN81" i="14"/>
  <c r="AN80" i="14"/>
  <c r="AM96" i="14"/>
  <c r="AM91" i="14"/>
  <c r="AM104" i="13" s="1"/>
  <c r="AM81" i="14"/>
  <c r="AM93" i="14" l="1"/>
  <c r="Y44" i="18" l="1"/>
  <c r="AP45" i="17"/>
  <c r="Y45" i="18" l="1"/>
  <c r="Z20" i="18" l="1"/>
  <c r="AA20" i="18"/>
  <c r="Y17" i="18"/>
  <c r="Y20" i="18"/>
  <c r="AC20" i="18" l="1"/>
  <c r="AD20" i="18" s="1"/>
  <c r="AE20" i="18" s="1"/>
  <c r="AF20" i="18" s="1"/>
  <c r="Z17" i="18"/>
  <c r="Z45" i="18"/>
  <c r="Z44" i="18"/>
  <c r="Y34" i="18"/>
  <c r="AC34" i="18" s="1"/>
  <c r="AD34" i="18" s="1"/>
  <c r="AE34" i="18" s="1"/>
  <c r="AF34" i="18" s="1"/>
  <c r="AA17" i="18" l="1"/>
  <c r="BG17" i="17"/>
  <c r="BH17" i="17" s="1"/>
  <c r="BI17" i="17" s="1"/>
  <c r="AB17" i="18" s="1"/>
  <c r="AC17" i="18" s="1"/>
  <c r="AD17" i="18" s="1"/>
  <c r="AE17" i="18" s="1"/>
  <c r="AF17" i="18" s="1"/>
  <c r="AA45" i="18" l="1"/>
  <c r="AA44" i="18"/>
  <c r="AC44" i="18" l="1"/>
  <c r="AN15" i="13"/>
  <c r="AN101" i="13" s="1"/>
  <c r="AD44" i="18" l="1"/>
  <c r="AE44" i="18" s="1"/>
  <c r="AC45" i="18"/>
  <c r="AN79" i="13"/>
  <c r="AN92" i="13"/>
  <c r="AN93" i="13"/>
  <c r="AN88" i="13"/>
  <c r="X82" i="15"/>
  <c r="X92" i="15" s="1"/>
  <c r="X83" i="15"/>
  <c r="X93" i="15" s="1"/>
  <c r="AF44" i="18" l="1"/>
  <c r="AF45" i="18" s="1"/>
  <c r="AE45" i="18"/>
  <c r="AD45" i="18"/>
  <c r="AN89" i="13"/>
  <c r="X84" i="15"/>
  <c r="AO93" i="13"/>
  <c r="AO92" i="13"/>
  <c r="AL24" i="13"/>
  <c r="AM24" i="13"/>
  <c r="AN24" i="13"/>
  <c r="AK24" i="13"/>
  <c r="X81" i="15" l="1"/>
  <c r="AO24" i="13"/>
  <c r="X24" i="15" s="1"/>
  <c r="AL92" i="14"/>
  <c r="AM92" i="14"/>
  <c r="X26" i="15" l="1"/>
  <c r="X27" i="15" s="1"/>
  <c r="X85" i="15"/>
  <c r="X88" i="15"/>
  <c r="X89" i="15" s="1"/>
  <c r="AO67" i="17"/>
  <c r="X67" i="18" s="1"/>
  <c r="AO68" i="17"/>
  <c r="X68" i="18" s="1"/>
  <c r="X31" i="15" l="1"/>
  <c r="X78" i="15"/>
  <c r="X103" i="15"/>
  <c r="X35" i="15"/>
  <c r="X34" i="15"/>
  <c r="X37" i="15" l="1"/>
  <c r="X98" i="15"/>
  <c r="X79" i="15"/>
  <c r="AC30" i="15" l="1"/>
  <c r="Y105" i="87"/>
  <c r="AK64" i="14"/>
  <c r="AL63" i="14" s="1"/>
  <c r="AL64" i="14" s="1"/>
  <c r="AM63" i="14" s="1"/>
  <c r="AM64" i="14" s="1"/>
  <c r="AN63" i="14" s="1"/>
  <c r="AO66" i="13"/>
  <c r="X66" i="15" s="1"/>
  <c r="AO63" i="14"/>
  <c r="X63" i="16" s="1"/>
  <c r="AD30" i="15" l="1"/>
  <c r="AE30" i="15" l="1"/>
  <c r="AC102" i="87"/>
  <c r="AE100" i="87"/>
  <c r="AD100" i="87"/>
  <c r="AC100" i="87"/>
  <c r="AB100" i="87"/>
  <c r="AA100" i="87"/>
  <c r="AD102" i="87"/>
  <c r="AA102" i="87"/>
  <c r="AE102" i="87"/>
  <c r="AB102" i="87"/>
  <c r="AF30" i="15" l="1"/>
  <c r="AC116" i="87"/>
  <c r="AB118" i="87"/>
  <c r="AD118" i="87"/>
  <c r="AA119" i="87"/>
  <c r="Y118" i="87"/>
  <c r="AA116" i="87"/>
  <c r="AD116" i="87"/>
  <c r="AC118" i="87"/>
  <c r="AE118" i="87"/>
  <c r="Y116" i="87"/>
  <c r="AE116" i="87"/>
  <c r="Z116" i="87"/>
  <c r="AA118" i="87"/>
  <c r="AB116" i="87"/>
  <c r="Z119" i="87"/>
  <c r="Z184" i="87" s="1"/>
  <c r="Z118" i="87"/>
  <c r="Z115" i="87"/>
  <c r="Y96" i="87"/>
  <c r="AB103" i="87"/>
  <c r="AC103" i="87"/>
  <c r="Y115" i="87"/>
  <c r="AD103" i="87"/>
  <c r="AE103" i="87"/>
  <c r="Z139" i="87" l="1"/>
  <c r="Z214" i="87"/>
  <c r="Z137" i="87"/>
  <c r="Z204" i="87"/>
  <c r="AC139" i="87"/>
  <c r="AC214" i="87"/>
  <c r="AA140" i="87"/>
  <c r="AA184" i="87"/>
  <c r="Z140" i="87"/>
  <c r="AE137" i="87"/>
  <c r="AE204" i="87"/>
  <c r="AD137" i="87"/>
  <c r="AD204" i="87"/>
  <c r="AD139" i="87"/>
  <c r="AD214" i="87"/>
  <c r="AB137" i="87"/>
  <c r="AB204" i="87"/>
  <c r="Y137" i="87"/>
  <c r="Y204" i="87"/>
  <c r="AA137" i="87"/>
  <c r="AA204" i="87"/>
  <c r="AB139" i="87"/>
  <c r="AB214" i="87"/>
  <c r="Z136" i="87"/>
  <c r="Z240" i="87"/>
  <c r="AA139" i="87"/>
  <c r="AA214" i="87"/>
  <c r="AE139" i="87"/>
  <c r="AE214" i="87"/>
  <c r="Y139" i="87"/>
  <c r="Y214" i="87"/>
  <c r="AC137" i="87"/>
  <c r="AC204" i="87"/>
  <c r="AC119" i="87"/>
  <c r="AB119" i="87"/>
  <c r="AD119" i="87"/>
  <c r="AE119" i="87"/>
  <c r="Y119" i="87"/>
  <c r="AF219" i="87" l="1"/>
  <c r="AF221" i="87"/>
  <c r="AF209" i="87"/>
  <c r="AF211" i="87" s="1"/>
  <c r="AD219" i="87"/>
  <c r="AE219" i="87"/>
  <c r="AE209" i="87"/>
  <c r="AD209" i="87"/>
  <c r="AD140" i="87"/>
  <c r="AD184" i="87"/>
  <c r="AB140" i="87"/>
  <c r="AB184" i="87"/>
  <c r="Y140" i="87"/>
  <c r="Y184" i="87"/>
  <c r="AF193" i="87" s="1"/>
  <c r="AC140" i="87"/>
  <c r="AC184" i="87"/>
  <c r="AE140" i="87"/>
  <c r="AE184" i="87"/>
  <c r="Y136" i="87"/>
  <c r="Y240" i="87"/>
  <c r="AF195" i="87" l="1"/>
  <c r="AF288" i="87" s="1"/>
  <c r="AF265" i="87"/>
  <c r="AF267" i="87"/>
  <c r="AE193" i="87"/>
  <c r="AE265" i="87" s="1"/>
  <c r="AD193" i="87"/>
  <c r="AD265" i="87" s="1"/>
  <c r="AE267" i="87"/>
  <c r="AD267" i="87"/>
  <c r="AD245" i="87"/>
  <c r="AD247" i="87" s="1"/>
  <c r="AE245" i="87"/>
  <c r="AE247" i="87" s="1"/>
  <c r="AE211" i="87"/>
  <c r="AD211" i="87"/>
  <c r="AE221" i="87"/>
  <c r="AD221" i="87"/>
  <c r="AF268" i="87" l="1"/>
  <c r="AF266" i="87"/>
  <c r="AF295" i="87"/>
  <c r="AF323" i="87" s="1"/>
  <c r="AF324" i="87" s="1"/>
  <c r="AD195" i="87"/>
  <c r="AD288" i="87" s="1"/>
  <c r="AE195" i="87"/>
  <c r="AE288" i="87" s="1"/>
  <c r="AF289" i="87" s="1"/>
  <c r="AD268" i="87"/>
  <c r="AE289" i="87" l="1"/>
  <c r="AE295" i="87"/>
  <c r="AE323" i="87" s="1"/>
  <c r="AE324" i="87" s="1"/>
  <c r="AD289" i="87"/>
  <c r="AD295" i="87"/>
  <c r="AD296" i="87" s="1"/>
  <c r="AE268" i="87"/>
  <c r="AF296" i="87" l="1"/>
  <c r="AD323" i="87"/>
  <c r="AD324" i="87" s="1"/>
  <c r="AE296" i="87"/>
  <c r="Y20" i="15" l="1"/>
  <c r="V144" i="87" l="1"/>
  <c r="V145" i="87" l="1"/>
  <c r="W145" i="87"/>
  <c r="X174" i="87" l="1"/>
  <c r="X244" i="87"/>
  <c r="X208" i="87"/>
  <c r="Y215" i="87"/>
  <c r="X218" i="87"/>
  <c r="X188" i="87" l="1"/>
  <c r="Y225" i="87"/>
  <c r="Y171" i="87"/>
  <c r="Y205" i="87"/>
  <c r="Y208" i="87" s="1"/>
  <c r="Y241" i="87"/>
  <c r="Y244" i="87" s="1"/>
  <c r="Y157" i="87"/>
  <c r="Z157" i="87" s="1"/>
  <c r="X160" i="87"/>
  <c r="Z215" i="87"/>
  <c r="Y218" i="87"/>
  <c r="Z171" i="87" l="1"/>
  <c r="AA171" i="87" s="1"/>
  <c r="AB171" i="87" s="1"/>
  <c r="AC171" i="87" s="1"/>
  <c r="AD171" i="87" s="1"/>
  <c r="AE171" i="87" s="1"/>
  <c r="AF171" i="87" s="1"/>
  <c r="Y174" i="87"/>
  <c r="Y185" i="87"/>
  <c r="Y188" i="87" s="1"/>
  <c r="X228" i="87"/>
  <c r="Z225" i="87"/>
  <c r="AA225" i="87" s="1"/>
  <c r="Y228" i="87"/>
  <c r="Z241" i="87"/>
  <c r="Z244" i="87" s="1"/>
  <c r="Z205" i="87"/>
  <c r="Z208" i="87" s="1"/>
  <c r="AA215" i="87"/>
  <c r="Z218" i="87"/>
  <c r="Y160" i="87"/>
  <c r="Y106" i="87"/>
  <c r="Y108" i="87"/>
  <c r="Y133" i="87"/>
  <c r="Y142" i="87"/>
  <c r="Z174" i="87" l="1"/>
  <c r="Z185" i="87"/>
  <c r="Z188" i="87" s="1"/>
  <c r="Z228" i="87"/>
  <c r="AA185" i="87"/>
  <c r="AA188" i="87" s="1"/>
  <c r="AA241" i="87"/>
  <c r="AB241" i="87" s="1"/>
  <c r="AA205" i="87"/>
  <c r="AB205" i="87" s="1"/>
  <c r="AB225" i="87"/>
  <c r="AA228" i="87"/>
  <c r="AA157" i="87"/>
  <c r="Z160" i="87"/>
  <c r="Y111" i="87"/>
  <c r="Y122" i="87" s="1"/>
  <c r="Y250" i="87" s="1"/>
  <c r="AB215" i="87"/>
  <c r="AA218" i="87"/>
  <c r="AD179" i="87"/>
  <c r="AD263" i="87" l="1"/>
  <c r="AD264" i="87" s="1"/>
  <c r="AD182" i="87"/>
  <c r="AB185" i="87"/>
  <c r="AC185" i="87" s="1"/>
  <c r="AA208" i="87"/>
  <c r="AC215" i="87"/>
  <c r="AB218" i="87"/>
  <c r="AB157" i="87"/>
  <c r="AA160" i="87"/>
  <c r="AC241" i="87"/>
  <c r="AC205" i="87"/>
  <c r="AB208" i="87"/>
  <c r="AC225" i="87"/>
  <c r="AB228" i="87"/>
  <c r="Y255" i="87"/>
  <c r="AD181" i="87"/>
  <c r="Y123" i="87"/>
  <c r="Y143" i="87"/>
  <c r="Y144" i="87" s="1"/>
  <c r="AB188" i="87" l="1"/>
  <c r="AD266" i="87"/>
  <c r="AD277" i="87"/>
  <c r="Y257" i="87"/>
  <c r="Y259" i="87"/>
  <c r="Y271" i="87" s="1"/>
  <c r="Y145" i="87"/>
  <c r="AD225" i="87"/>
  <c r="AC228" i="87"/>
  <c r="AD185" i="87"/>
  <c r="AC188" i="87"/>
  <c r="AC157" i="87"/>
  <c r="AB160" i="87"/>
  <c r="AD205" i="87"/>
  <c r="AC208" i="87"/>
  <c r="AD241" i="87"/>
  <c r="AD215" i="87"/>
  <c r="AC218" i="87"/>
  <c r="AE266" i="87"/>
  <c r="AD278" i="87" l="1"/>
  <c r="AD284" i="87"/>
  <c r="AD285" i="87" s="1"/>
  <c r="Y299" i="87"/>
  <c r="Y338" i="87"/>
  <c r="Y341" i="87" s="1"/>
  <c r="AE215" i="87"/>
  <c r="AD218" i="87"/>
  <c r="AE205" i="87"/>
  <c r="AD208" i="87"/>
  <c r="AE185" i="87"/>
  <c r="AD188" i="87"/>
  <c r="AE241" i="87"/>
  <c r="AF241" i="87" s="1"/>
  <c r="AD157" i="87"/>
  <c r="AC160" i="87"/>
  <c r="AE225" i="87"/>
  <c r="AD228" i="87"/>
  <c r="Y260" i="87"/>
  <c r="AE208" i="87" l="1"/>
  <c r="AF205" i="87"/>
  <c r="AF208" i="87" s="1"/>
  <c r="AE218" i="87"/>
  <c r="AF215" i="87"/>
  <c r="AF218" i="87" s="1"/>
  <c r="AE228" i="87"/>
  <c r="AF225" i="87"/>
  <c r="AF228" i="87" s="1"/>
  <c r="AE188" i="87"/>
  <c r="AF185" i="87"/>
  <c r="AF188" i="87" s="1"/>
  <c r="AD320" i="87"/>
  <c r="AD321" i="87" s="1"/>
  <c r="AE157" i="87"/>
  <c r="AD160" i="87"/>
  <c r="Y272" i="87"/>
  <c r="AE160" i="87" l="1"/>
  <c r="AF157" i="87"/>
  <c r="AF160" i="87" s="1"/>
  <c r="Y9" i="15"/>
  <c r="AC9" i="15" l="1"/>
  <c r="AD9" i="15" l="1"/>
  <c r="AC14" i="15"/>
  <c r="AE9" i="15" l="1"/>
  <c r="AF9" i="15" s="1"/>
  <c r="AD14" i="15"/>
  <c r="AE14" i="15" l="1"/>
  <c r="AF14" i="15"/>
  <c r="Y6" i="15"/>
  <c r="Y10" i="18" l="1"/>
  <c r="Y7" i="18"/>
  <c r="AQ86" i="14" l="1"/>
  <c r="Y21" i="15" l="1"/>
  <c r="Y30" i="15"/>
  <c r="Y29" i="15"/>
  <c r="Y22" i="15" l="1"/>
  <c r="Y35" i="15"/>
  <c r="Y41" i="15"/>
  <c r="Y40" i="15"/>
  <c r="Y38" i="15"/>
  <c r="AX42" i="13"/>
  <c r="Y34" i="15"/>
  <c r="Y47" i="15"/>
  <c r="AC47" i="15" s="1"/>
  <c r="AD47" i="15" s="1"/>
  <c r="AE47" i="15" s="1"/>
  <c r="AF47" i="15" s="1"/>
  <c r="Y98" i="15" l="1"/>
  <c r="Y42" i="15"/>
  <c r="AQ95" i="14"/>
  <c r="AQ79" i="17"/>
  <c r="AQ71" i="14"/>
  <c r="AQ37" i="14"/>
  <c r="AQ73" i="14"/>
  <c r="AQ49" i="14"/>
  <c r="AQ22" i="14"/>
  <c r="AQ51" i="14" l="1"/>
  <c r="AQ39" i="14"/>
  <c r="AQ25" i="14"/>
  <c r="AQ85" i="14" l="1"/>
  <c r="AQ91" i="14" s="1"/>
  <c r="AQ27" i="14"/>
  <c r="AQ79" i="14"/>
  <c r="AQ80" i="14" s="1"/>
  <c r="AQ61" i="14"/>
  <c r="AR22" i="14"/>
  <c r="AS22" i="14" s="1"/>
  <c r="AR73" i="14"/>
  <c r="AR57" i="14"/>
  <c r="AR86" i="14"/>
  <c r="AR37" i="14"/>
  <c r="AR77" i="14"/>
  <c r="AR95" i="14"/>
  <c r="AR71" i="14"/>
  <c r="AR49" i="14"/>
  <c r="AQ92" i="14" l="1"/>
  <c r="AQ104" i="13"/>
  <c r="AQ93" i="14"/>
  <c r="AQ81" i="14"/>
  <c r="AR39" i="14"/>
  <c r="AR51" i="14"/>
  <c r="AQ96" i="14"/>
  <c r="AR25" i="14"/>
  <c r="AS25" i="14"/>
  <c r="AR72" i="14"/>
  <c r="AR79" i="17"/>
  <c r="AS71" i="14"/>
  <c r="AT71" i="14" s="1"/>
  <c r="AS73" i="14"/>
  <c r="AS95" i="14"/>
  <c r="AS51" i="14"/>
  <c r="Y4" i="16"/>
  <c r="AR79" i="14" l="1"/>
  <c r="AR80" i="14" s="1"/>
  <c r="AR27" i="14"/>
  <c r="AS85" i="14"/>
  <c r="AS27" i="14"/>
  <c r="AS61" i="14" s="1"/>
  <c r="AR85" i="14"/>
  <c r="AR91" i="14" s="1"/>
  <c r="AR61" i="14"/>
  <c r="AU95" i="14"/>
  <c r="AT95" i="14"/>
  <c r="Z10" i="16"/>
  <c r="AU73" i="14"/>
  <c r="Y18" i="18"/>
  <c r="Y31" i="18"/>
  <c r="Y54" i="18"/>
  <c r="AP56" i="17"/>
  <c r="Y53" i="18"/>
  <c r="AS56" i="17"/>
  <c r="AS60" i="17" s="1"/>
  <c r="AR92" i="14" l="1"/>
  <c r="AR104" i="13"/>
  <c r="AR81" i="14"/>
  <c r="AR96" i="14"/>
  <c r="AX10" i="14"/>
  <c r="AX11" i="14"/>
  <c r="AX9" i="14"/>
  <c r="AR93" i="14"/>
  <c r="AX20" i="14"/>
  <c r="Z11" i="16"/>
  <c r="AX45" i="14"/>
  <c r="AV95" i="14"/>
  <c r="Z9" i="16"/>
  <c r="AV73" i="14"/>
  <c r="AP60" i="17"/>
  <c r="Y56" i="18"/>
  <c r="AX47" i="14" l="1"/>
  <c r="AX49" i="14" s="1"/>
  <c r="AX51" i="14" s="1"/>
  <c r="AW51" i="14"/>
  <c r="AV51" i="14"/>
  <c r="AA10" i="16"/>
  <c r="AX7" i="14"/>
  <c r="AX73" i="14" s="1"/>
  <c r="AA9" i="16"/>
  <c r="AA11" i="16"/>
  <c r="Z53" i="18"/>
  <c r="BG53" i="17"/>
  <c r="AW73" i="14"/>
  <c r="AW95" i="14"/>
  <c r="Y63" i="15"/>
  <c r="Y60" i="18"/>
  <c r="AA53" i="18" l="1"/>
  <c r="AX95" i="14"/>
  <c r="Z20" i="16"/>
  <c r="AZ73" i="14"/>
  <c r="Z47" i="16"/>
  <c r="Z73" i="16"/>
  <c r="AX77" i="13"/>
  <c r="Y58" i="15"/>
  <c r="Y57" i="15"/>
  <c r="AU61" i="13"/>
  <c r="AZ71" i="14" l="1"/>
  <c r="BD71" i="14" s="1"/>
  <c r="AZ95" i="14"/>
  <c r="BA95" i="14"/>
  <c r="Z31" i="18"/>
  <c r="Z18" i="18"/>
  <c r="Z7" i="16"/>
  <c r="AY77" i="13"/>
  <c r="AP81" i="14"/>
  <c r="AP93" i="14"/>
  <c r="Z95" i="16"/>
  <c r="Z45" i="16"/>
  <c r="Z77" i="15" l="1"/>
  <c r="BG31" i="17"/>
  <c r="BH31" i="17" s="1"/>
  <c r="Y60" i="15"/>
  <c r="Y61" i="15"/>
  <c r="AA31" i="18" l="1"/>
  <c r="BI31" i="17"/>
  <c r="AB31" i="18" s="1"/>
  <c r="AA49" i="16"/>
  <c r="AA7" i="16"/>
  <c r="BG18" i="17"/>
  <c r="BH18" i="17" s="1"/>
  <c r="AA73" i="16"/>
  <c r="AA18" i="18" l="1"/>
  <c r="BI18" i="17"/>
  <c r="AB18" i="18" s="1"/>
  <c r="AA45" i="16"/>
  <c r="AA95" i="16"/>
  <c r="AA71" i="16"/>
  <c r="Y8" i="16"/>
  <c r="Y5" i="16"/>
  <c r="Y13" i="16"/>
  <c r="Y7" i="16"/>
  <c r="Y10" i="16"/>
  <c r="AD10" i="16" s="1"/>
  <c r="AE10" i="16" s="1"/>
  <c r="AF10" i="16" s="1"/>
  <c r="Y12" i="16"/>
  <c r="Y6" i="16"/>
  <c r="Y11" i="16"/>
  <c r="AC11" i="16" s="1"/>
  <c r="AD11" i="16" s="1"/>
  <c r="AE11" i="16" s="1"/>
  <c r="AF11" i="16" s="1"/>
  <c r="Y9" i="16"/>
  <c r="AA6" i="16" l="1"/>
  <c r="Y77" i="15"/>
  <c r="AC9" i="16"/>
  <c r="AD9" i="16" s="1"/>
  <c r="AE9" i="16" s="1"/>
  <c r="AF9" i="16" s="1"/>
  <c r="Y17" i="16" l="1"/>
  <c r="Y20" i="16"/>
  <c r="Y15" i="16"/>
  <c r="AC20" i="16" l="1"/>
  <c r="Y23" i="16"/>
  <c r="Y24" i="16"/>
  <c r="AD20" i="16" l="1"/>
  <c r="AJ71" i="18"/>
  <c r="AC31" i="18"/>
  <c r="AD31" i="18" s="1"/>
  <c r="AE20" i="16" l="1"/>
  <c r="AE31" i="18" s="1"/>
  <c r="AK71" i="18"/>
  <c r="AS72" i="14"/>
  <c r="AF20" i="16" l="1"/>
  <c r="AM71" i="18" s="1"/>
  <c r="AL71" i="18"/>
  <c r="AP23" i="17"/>
  <c r="AS23" i="17"/>
  <c r="AP72" i="14"/>
  <c r="AP77" i="14"/>
  <c r="AQ77" i="14"/>
  <c r="AF31" i="18" l="1"/>
  <c r="Y23" i="18"/>
  <c r="AQ72" i="14"/>
  <c r="Y16" i="18"/>
  <c r="Y33" i="16" l="1"/>
  <c r="Y36" i="16"/>
  <c r="Y32" i="16"/>
  <c r="Y35" i="16"/>
  <c r="Y31" i="16"/>
  <c r="Y34" i="16"/>
  <c r="Y47" i="16"/>
  <c r="Y43" i="16"/>
  <c r="Y48" i="16"/>
  <c r="Y42" i="16"/>
  <c r="Y46" i="16"/>
  <c r="Y44" i="16"/>
  <c r="Y45" i="16"/>
  <c r="Y95" i="16"/>
  <c r="AT51" i="14" l="1"/>
  <c r="Y51" i="16" s="1"/>
  <c r="Y59" i="16"/>
  <c r="Y60" i="16"/>
  <c r="Y24" i="15"/>
  <c r="Y26" i="15" l="1"/>
  <c r="Y78" i="15" s="1"/>
  <c r="AU51" i="14"/>
  <c r="Y31" i="15" l="1"/>
  <c r="Y103" i="15"/>
  <c r="AY51" i="14"/>
  <c r="Z51" i="16" s="1"/>
  <c r="Y32" i="15" l="1"/>
  <c r="Y37" i="15"/>
  <c r="Y43" i="15" s="1"/>
  <c r="AZ51" i="14"/>
  <c r="Y46" i="15"/>
  <c r="Y48" i="15" l="1"/>
  <c r="Y97" i="15" s="1"/>
  <c r="Y51" i="15"/>
  <c r="Y54" i="15"/>
  <c r="AA51" i="16"/>
  <c r="Y55" i="15" l="1"/>
  <c r="Y52" i="15"/>
  <c r="Y104" i="15"/>
  <c r="Y71" i="15"/>
  <c r="Y70" i="15"/>
  <c r="AT98" i="14"/>
  <c r="AV98" i="14"/>
  <c r="AV99" i="14" s="1"/>
  <c r="AW98" i="14" l="1"/>
  <c r="Y98" i="16"/>
  <c r="AT99" i="14"/>
  <c r="AW99" i="14" l="1"/>
  <c r="BB99" i="14"/>
  <c r="Y99" i="16"/>
  <c r="AX98" i="14" l="1"/>
  <c r="AX71" i="13"/>
  <c r="AX99" i="14" l="1"/>
  <c r="BC99" i="14"/>
  <c r="AY98" i="14"/>
  <c r="Z70" i="15"/>
  <c r="AY99" i="14" l="1"/>
  <c r="Z99" i="16" s="1"/>
  <c r="BD99" i="14"/>
  <c r="Z98" i="16"/>
  <c r="AY71" i="13" l="1"/>
  <c r="Z71" i="15" s="1"/>
  <c r="AP61" i="14" l="1"/>
  <c r="AP64" i="14" s="1"/>
  <c r="AP65" i="14" l="1"/>
  <c r="AQ63" i="14"/>
  <c r="AP67" i="14" l="1"/>
  <c r="AP68" i="14" s="1"/>
  <c r="AP69" i="14"/>
  <c r="AQ64" i="14"/>
  <c r="AR63" i="14" s="1"/>
  <c r="AR64" i="14" s="1"/>
  <c r="AS63" i="14" s="1"/>
  <c r="AS64" i="14" s="1"/>
  <c r="AS65" i="14" s="1"/>
  <c r="AS67" i="14" s="1"/>
  <c r="AR65" i="14" l="1"/>
  <c r="AS69" i="14" s="1"/>
  <c r="AQ65" i="14"/>
  <c r="AQ67" i="14" l="1"/>
  <c r="AQ68" i="14" s="1"/>
  <c r="AR69" i="14"/>
  <c r="AQ69" i="14"/>
  <c r="AR67" i="14"/>
  <c r="AR68" i="14" s="1"/>
  <c r="Y63" i="16" l="1"/>
  <c r="AR50" i="46" l="1"/>
  <c r="AR74" i="46" s="1"/>
  <c r="AT74" i="46" s="1"/>
  <c r="Y50" i="45" l="1"/>
  <c r="AU50" i="46"/>
  <c r="AU74" i="46" s="1"/>
  <c r="AV50" i="46" l="1"/>
  <c r="AW50" i="46" l="1"/>
  <c r="AW74" i="46" s="1"/>
  <c r="AV74" i="46"/>
  <c r="AX50" i="46" l="1"/>
  <c r="AX74" i="46" s="1"/>
  <c r="AY74" i="46" s="1"/>
  <c r="Z74" i="45" s="1"/>
  <c r="AR45" i="46"/>
  <c r="AR69" i="46" s="1"/>
  <c r="AY50" i="46" l="1"/>
  <c r="Z50" i="45" s="1"/>
  <c r="AZ50" i="46" l="1"/>
  <c r="AZ74" i="46" s="1"/>
  <c r="BA50" i="46" l="1"/>
  <c r="BA74" i="46" s="1"/>
  <c r="BB50" i="46" l="1"/>
  <c r="BB74" i="46" s="1"/>
  <c r="BC50" i="46" l="1"/>
  <c r="BC74" i="46" s="1"/>
  <c r="BD74" i="46" s="1"/>
  <c r="AA74" i="45" s="1"/>
  <c r="AR46" i="46"/>
  <c r="AR70" i="46" s="1"/>
  <c r="BD50" i="46" l="1"/>
  <c r="BE50" i="46" s="1"/>
  <c r="BF50" i="46" s="1"/>
  <c r="BE74" i="46" l="1"/>
  <c r="AA50" i="45"/>
  <c r="BG50" i="46"/>
  <c r="BF74" i="46"/>
  <c r="BH50" i="46" l="1"/>
  <c r="BG74" i="46"/>
  <c r="AR47" i="46"/>
  <c r="AR71" i="46" s="1"/>
  <c r="BI50" i="46" l="1"/>
  <c r="AB50" i="45" s="1"/>
  <c r="AC50" i="45" s="1"/>
  <c r="BH74" i="46"/>
  <c r="BI74" i="46" s="1"/>
  <c r="AB74" i="45" s="1"/>
  <c r="AR37" i="46"/>
  <c r="AR61" i="46" s="1"/>
  <c r="AR38" i="46"/>
  <c r="AR62" i="46" s="1"/>
  <c r="AR36" i="46"/>
  <c r="AR60" i="46" s="1"/>
  <c r="AR41" i="46"/>
  <c r="AR65" i="46" s="1"/>
  <c r="AD50" i="45" l="1"/>
  <c r="AC74" i="45"/>
  <c r="AR66" i="46"/>
  <c r="AT60" i="46"/>
  <c r="AQ78" i="46"/>
  <c r="AQ81" i="46" s="1"/>
  <c r="AU36" i="46"/>
  <c r="AU60" i="46" s="1"/>
  <c r="AE50" i="45" l="1"/>
  <c r="AD74" i="45"/>
  <c r="AR75" i="46"/>
  <c r="AR76" i="46" s="1"/>
  <c r="AR78" i="46" s="1"/>
  <c r="AR81" i="46" s="1"/>
  <c r="AU38" i="46"/>
  <c r="AU62" i="46" s="1"/>
  <c r="AT65" i="46"/>
  <c r="Y36" i="45"/>
  <c r="Y37" i="45"/>
  <c r="AV36" i="46"/>
  <c r="AE74" i="45" l="1"/>
  <c r="AF50" i="45"/>
  <c r="AF74" i="45" s="1"/>
  <c r="AW36" i="46"/>
  <c r="AW60" i="46" s="1"/>
  <c r="AV60" i="46"/>
  <c r="Y38" i="45"/>
  <c r="AT62" i="46"/>
  <c r="AU41" i="46"/>
  <c r="Y41" i="45"/>
  <c r="AT61" i="46"/>
  <c r="AU37" i="46"/>
  <c r="AU61" i="46" s="1"/>
  <c r="AV38" i="46"/>
  <c r="AX36" i="46" l="1"/>
  <c r="AX60" i="46" s="1"/>
  <c r="AY60" i="46" s="1"/>
  <c r="AT66" i="46"/>
  <c r="AV41" i="46"/>
  <c r="AU65" i="46"/>
  <c r="AW38" i="46"/>
  <c r="AW62" i="46" s="1"/>
  <c r="AV62" i="46"/>
  <c r="AP78" i="46"/>
  <c r="AP81" i="46" s="1"/>
  <c r="AV37" i="46"/>
  <c r="AV61" i="46" s="1"/>
  <c r="AY36" i="46" l="1"/>
  <c r="AZ36" i="46" s="1"/>
  <c r="AZ60" i="46" s="1"/>
  <c r="AX38" i="46"/>
  <c r="AX62" i="46" s="1"/>
  <c r="AY62" i="46" s="1"/>
  <c r="Z62" i="45" s="1"/>
  <c r="AU66" i="46"/>
  <c r="AW41" i="46"/>
  <c r="AV65" i="46"/>
  <c r="AV66" i="46" s="1"/>
  <c r="AW37" i="46"/>
  <c r="AW61" i="46" s="1"/>
  <c r="Z36" i="45" l="1"/>
  <c r="AY38" i="46"/>
  <c r="Z38" i="45" s="1"/>
  <c r="AW65" i="46"/>
  <c r="AX41" i="46"/>
  <c r="BA36" i="46"/>
  <c r="Z60" i="45"/>
  <c r="AX37" i="46"/>
  <c r="AX61" i="46" s="1"/>
  <c r="AY61" i="46" s="1"/>
  <c r="BA60" i="46" l="1"/>
  <c r="BB36" i="46"/>
  <c r="AZ38" i="46"/>
  <c r="AZ62" i="46" s="1"/>
  <c r="AX65" i="46"/>
  <c r="AX66" i="46" s="1"/>
  <c r="AY41" i="46"/>
  <c r="AW66" i="46"/>
  <c r="AY37" i="46"/>
  <c r="BB60" i="46" l="1"/>
  <c r="BC36" i="46"/>
  <c r="BA38" i="46"/>
  <c r="AY65" i="46"/>
  <c r="Z41" i="45"/>
  <c r="AZ41" i="46"/>
  <c r="Z37" i="45"/>
  <c r="AZ37" i="46"/>
  <c r="AZ61" i="46" s="1"/>
  <c r="Y56" i="45"/>
  <c r="AC56" i="45" s="1"/>
  <c r="AD56" i="45" s="1"/>
  <c r="AE56" i="45" s="1"/>
  <c r="AF56" i="45" s="1"/>
  <c r="Y55" i="45"/>
  <c r="BC60" i="46" l="1"/>
  <c r="BD36" i="46"/>
  <c r="BE36" i="46" s="1"/>
  <c r="BA62" i="46"/>
  <c r="BB38" i="46"/>
  <c r="AY66" i="46"/>
  <c r="Z66" i="45" s="1"/>
  <c r="Z65" i="45"/>
  <c r="AZ65" i="46"/>
  <c r="AZ66" i="46" s="1"/>
  <c r="BA41" i="46"/>
  <c r="BB41" i="46" s="1"/>
  <c r="BA37" i="46"/>
  <c r="AA36" i="45"/>
  <c r="Z61" i="45"/>
  <c r="BB65" i="46" l="1"/>
  <c r="BC41" i="46"/>
  <c r="BB62" i="46"/>
  <c r="BC38" i="46"/>
  <c r="BE60" i="46"/>
  <c r="BF36" i="46"/>
  <c r="BD60" i="46"/>
  <c r="BA61" i="46"/>
  <c r="BB37" i="46"/>
  <c r="BA65" i="46"/>
  <c r="BA66" i="46" l="1"/>
  <c r="BG36" i="46"/>
  <c r="BF60" i="46"/>
  <c r="AA60" i="45"/>
  <c r="BC62" i="46"/>
  <c r="BD62" i="46" s="1"/>
  <c r="AA62" i="45" s="1"/>
  <c r="BD38" i="46"/>
  <c r="BB61" i="46"/>
  <c r="BB66" i="46" s="1"/>
  <c r="BC37" i="46"/>
  <c r="BD41" i="46"/>
  <c r="BE41" i="46" s="1"/>
  <c r="BC65" i="46"/>
  <c r="BD65" i="46" s="1"/>
  <c r="AC55" i="45"/>
  <c r="Y80" i="45"/>
  <c r="Y74" i="45"/>
  <c r="Y65" i="45"/>
  <c r="Y62" i="45"/>
  <c r="Y61" i="45"/>
  <c r="Y60" i="45"/>
  <c r="Y66" i="45"/>
  <c r="BE38" i="46" l="1"/>
  <c r="AA38" i="45"/>
  <c r="BE65" i="46"/>
  <c r="BF41" i="46"/>
  <c r="BC61" i="46"/>
  <c r="BD37" i="46"/>
  <c r="BE37" i="46" s="1"/>
  <c r="BG60" i="46"/>
  <c r="BH36" i="46"/>
  <c r="AA65" i="45"/>
  <c r="AA41" i="45"/>
  <c r="AD55" i="45"/>
  <c r="AT72" i="14"/>
  <c r="Y72" i="16" s="1"/>
  <c r="Y71" i="16"/>
  <c r="Y73" i="16"/>
  <c r="AA37" i="45" l="1"/>
  <c r="BF65" i="46"/>
  <c r="BG41" i="46"/>
  <c r="BF37" i="46"/>
  <c r="BE61" i="46"/>
  <c r="BD61" i="46"/>
  <c r="BD66" i="46" s="1"/>
  <c r="BC66" i="46"/>
  <c r="BH60" i="46"/>
  <c r="BI60" i="46" s="1"/>
  <c r="BI36" i="46"/>
  <c r="AB36" i="45" s="1"/>
  <c r="AC36" i="45" s="1"/>
  <c r="BE62" i="46"/>
  <c r="BF38" i="46"/>
  <c r="AE55" i="45"/>
  <c r="BE66" i="46" l="1"/>
  <c r="BG37" i="46"/>
  <c r="BF61" i="46"/>
  <c r="BF62" i="46"/>
  <c r="BG38" i="46"/>
  <c r="AB60" i="45"/>
  <c r="AC60" i="45"/>
  <c r="AD36" i="45"/>
  <c r="BH41" i="46"/>
  <c r="BG65" i="46"/>
  <c r="AF55" i="45"/>
  <c r="AA61" i="45"/>
  <c r="AC73" i="16"/>
  <c r="BG62" i="46" l="1"/>
  <c r="BH38" i="46"/>
  <c r="BF66" i="46"/>
  <c r="BI41" i="46"/>
  <c r="AB41" i="45" s="1"/>
  <c r="AC41" i="45" s="1"/>
  <c r="BH65" i="46"/>
  <c r="BI65" i="46" s="1"/>
  <c r="AB65" i="45" s="1"/>
  <c r="BH37" i="46"/>
  <c r="BG61" i="46"/>
  <c r="AE36" i="45"/>
  <c r="AD60" i="45"/>
  <c r="AA66" i="45"/>
  <c r="AC7" i="16"/>
  <c r="AD73" i="16"/>
  <c r="AD7" i="16" s="1"/>
  <c r="BG66" i="46" l="1"/>
  <c r="AE60" i="45"/>
  <c r="AF36" i="45"/>
  <c r="AF60" i="45" s="1"/>
  <c r="BI37" i="46"/>
  <c r="AB37" i="45" s="1"/>
  <c r="AC37" i="45" s="1"/>
  <c r="BH61" i="46"/>
  <c r="AD41" i="45"/>
  <c r="AC65" i="45"/>
  <c r="BI61" i="46"/>
  <c r="BH62" i="46"/>
  <c r="BI62" i="46" s="1"/>
  <c r="AB62" i="45" s="1"/>
  <c r="BI38" i="46"/>
  <c r="AB38" i="45" s="1"/>
  <c r="AC38" i="45" s="1"/>
  <c r="AC18" i="18"/>
  <c r="AD18" i="18" s="1"/>
  <c r="AE73" i="16"/>
  <c r="AB61" i="45" l="1"/>
  <c r="BI66" i="46"/>
  <c r="AB66" i="45" s="1"/>
  <c r="AE41" i="45"/>
  <c r="AD65" i="45"/>
  <c r="BH66" i="46"/>
  <c r="AC61" i="45"/>
  <c r="AD37" i="45"/>
  <c r="AD38" i="45"/>
  <c r="AC62" i="45"/>
  <c r="AE7" i="16"/>
  <c r="AE18" i="18" s="1"/>
  <c r="AF73" i="16"/>
  <c r="AF7" i="16" s="1"/>
  <c r="AF18" i="18" l="1"/>
  <c r="AC66" i="45"/>
  <c r="AE38" i="45"/>
  <c r="AD62" i="45"/>
  <c r="AE37" i="45"/>
  <c r="AD61" i="45"/>
  <c r="AE65" i="45"/>
  <c r="AF41" i="45"/>
  <c r="AF65" i="45" s="1"/>
  <c r="Z63" i="15"/>
  <c r="AD66" i="45" l="1"/>
  <c r="AE61" i="45"/>
  <c r="AF37" i="45"/>
  <c r="AF61" i="45" s="1"/>
  <c r="AF38" i="45"/>
  <c r="AF62" i="45" s="1"/>
  <c r="AE62" i="45"/>
  <c r="AA66" i="15"/>
  <c r="AF66" i="45" l="1"/>
  <c r="AE66" i="45"/>
  <c r="AA63" i="15"/>
  <c r="AZ58" i="13"/>
  <c r="AY81" i="14"/>
  <c r="Z57" i="15"/>
  <c r="AY58" i="13"/>
  <c r="Z58" i="15" s="1"/>
  <c r="BI66" i="13" l="1"/>
  <c r="AB66" i="15" s="1"/>
  <c r="BI63" i="13"/>
  <c r="AB63" i="15" s="1"/>
  <c r="Z60" i="15"/>
  <c r="AY61" i="13"/>
  <c r="Z61" i="15" s="1"/>
  <c r="AZ61" i="13" l="1"/>
  <c r="BE58" i="13" l="1"/>
  <c r="AA58" i="15"/>
  <c r="AA57" i="15"/>
  <c r="BG57" i="13" l="1"/>
  <c r="BF58" i="13"/>
  <c r="BE61" i="13" l="1"/>
  <c r="BH57" i="13"/>
  <c r="BH58" i="13" s="1"/>
  <c r="BG58" i="13"/>
  <c r="AA61" i="15"/>
  <c r="AA60" i="15"/>
  <c r="BE49" i="14" l="1"/>
  <c r="BE51" i="14" s="1"/>
  <c r="BE95" i="14"/>
  <c r="BG60" i="13"/>
  <c r="BG45" i="14" s="1"/>
  <c r="BF61" i="13"/>
  <c r="BG95" i="14" l="1"/>
  <c r="BG49" i="14"/>
  <c r="BG51" i="14" s="1"/>
  <c r="BI58" i="13"/>
  <c r="AB58" i="15" s="1"/>
  <c r="AB57" i="15"/>
  <c r="BG61" i="13"/>
  <c r="BH60" i="13"/>
  <c r="BH61" i="13" s="1"/>
  <c r="BI61" i="13" l="1"/>
  <c r="AB61" i="15" s="1"/>
  <c r="AB60" i="15"/>
  <c r="Y251" i="87" l="1"/>
  <c r="X254" i="87"/>
  <c r="X331" i="87" s="1"/>
  <c r="Y254" i="87" l="1"/>
  <c r="Y331" i="87" s="1"/>
  <c r="Z251" i="87"/>
  <c r="Y336" i="87" l="1"/>
  <c r="Y354" i="87"/>
  <c r="Y332" i="87"/>
  <c r="AA251" i="87"/>
  <c r="AB251" i="87" l="1"/>
  <c r="AC251" i="87" l="1"/>
  <c r="AD251" i="87" l="1"/>
  <c r="AE251" i="87" l="1"/>
  <c r="AF251" i="87" s="1"/>
  <c r="Y3" i="15" l="1"/>
  <c r="Y10" i="15" l="1"/>
  <c r="Y11" i="15" l="1"/>
  <c r="Y79" i="15" s="1"/>
  <c r="Y12" i="15" l="1"/>
  <c r="Y81" i="15" l="1"/>
  <c r="Y83" i="15"/>
  <c r="Y8" i="18"/>
  <c r="Y30" i="18"/>
  <c r="AP36" i="17"/>
  <c r="Y82" i="15" l="1"/>
  <c r="Y36" i="18"/>
  <c r="AP47" i="17"/>
  <c r="AS36" i="17"/>
  <c r="AS47" i="17" s="1"/>
  <c r="AS62" i="17" s="1"/>
  <c r="Y47" i="18" l="1"/>
  <c r="AP62" i="17"/>
  <c r="Y18" i="16"/>
  <c r="Y16" i="16"/>
  <c r="Y22" i="16" l="1"/>
  <c r="X22" i="16"/>
  <c r="Y62" i="18"/>
  <c r="AT85" i="14" l="1"/>
  <c r="Y85" i="16" l="1"/>
  <c r="AS12" i="17" l="1"/>
  <c r="AS25" i="17" s="1"/>
  <c r="AS78" i="17"/>
  <c r="AS79" i="17" s="1"/>
  <c r="Y5" i="18" l="1"/>
  <c r="AP78" i="17"/>
  <c r="AT78" i="17"/>
  <c r="AP12" i="17"/>
  <c r="AS63" i="17"/>
  <c r="Y12" i="18" l="1"/>
  <c r="AP25" i="17"/>
  <c r="AP63" i="17" s="1"/>
  <c r="Y78" i="18"/>
  <c r="AP79" i="17"/>
  <c r="AT79" i="17"/>
  <c r="Y79" i="18" s="1"/>
  <c r="Y25" i="18" l="1"/>
  <c r="Y63" i="18" s="1"/>
  <c r="Z105" i="87"/>
  <c r="AA105" i="87" s="1"/>
  <c r="Z133" i="87"/>
  <c r="Z255" i="87" s="1"/>
  <c r="Z259" i="87" s="1"/>
  <c r="Z142" i="87"/>
  <c r="AE179" i="87" l="1"/>
  <c r="Z108" i="87"/>
  <c r="Z106" i="87"/>
  <c r="Z257" i="87"/>
  <c r="Z338" i="87" s="1"/>
  <c r="AA121" i="87"/>
  <c r="AB105" i="87"/>
  <c r="Z299" i="87" l="1"/>
  <c r="Z339" i="87"/>
  <c r="AE181" i="87"/>
  <c r="AE277" i="87" s="1"/>
  <c r="AE182" i="87"/>
  <c r="AE263" i="87"/>
  <c r="AE264" i="87" s="1"/>
  <c r="Z111" i="87"/>
  <c r="Z122" i="87" s="1"/>
  <c r="AB121" i="87"/>
  <c r="AC105" i="87"/>
  <c r="AA142" i="87"/>
  <c r="Z260" i="87"/>
  <c r="Z271" i="87"/>
  <c r="Z300" i="87" l="1"/>
  <c r="Z301" i="87"/>
  <c r="AA301" i="87" s="1"/>
  <c r="AF179" i="87"/>
  <c r="AF182" i="87" s="1"/>
  <c r="AE278" i="87"/>
  <c r="AE284" i="87"/>
  <c r="AA111" i="87"/>
  <c r="Z250" i="87"/>
  <c r="Z123" i="87"/>
  <c r="Z143" i="87"/>
  <c r="Z144" i="87" s="1"/>
  <c r="Z272" i="87"/>
  <c r="AA174" i="87"/>
  <c r="AD105" i="87"/>
  <c r="AC121" i="87"/>
  <c r="AB142" i="87"/>
  <c r="AB170" i="87"/>
  <c r="AB174" i="87" s="1"/>
  <c r="AF263" i="87" l="1"/>
  <c r="AF264" i="87" s="1"/>
  <c r="AF181" i="87"/>
  <c r="AF277" i="87" s="1"/>
  <c r="AF284" i="87" s="1"/>
  <c r="AE285" i="87"/>
  <c r="AE320" i="87"/>
  <c r="AE321" i="87" s="1"/>
  <c r="Z145" i="87"/>
  <c r="AB111" i="87"/>
  <c r="AA122" i="87"/>
  <c r="Z254" i="87"/>
  <c r="AC142" i="87"/>
  <c r="AC170" i="87"/>
  <c r="AC174" i="87" s="1"/>
  <c r="AD121" i="87"/>
  <c r="AE105" i="87"/>
  <c r="AF105" i="87" s="1"/>
  <c r="AF121" i="87" s="1"/>
  <c r="AF278" i="87" l="1"/>
  <c r="AF285" i="87"/>
  <c r="AF320" i="87"/>
  <c r="AF321" i="87" s="1"/>
  <c r="Z331" i="87"/>
  <c r="AF142" i="87"/>
  <c r="AF170" i="87"/>
  <c r="AF174" i="87" s="1"/>
  <c r="AA250" i="87"/>
  <c r="AF255" i="87" s="1"/>
  <c r="AB122" i="87"/>
  <c r="AC111" i="87"/>
  <c r="AC122" i="87" s="1"/>
  <c r="AE121" i="87"/>
  <c r="AD170" i="87"/>
  <c r="AD174" i="87" s="1"/>
  <c r="AD142" i="87"/>
  <c r="Z332" i="87" l="1"/>
  <c r="Z3" i="96"/>
  <c r="AD111" i="87"/>
  <c r="AE111" i="87" s="1"/>
  <c r="AB250" i="87"/>
  <c r="AC250" i="87"/>
  <c r="AE170" i="87"/>
  <c r="AE174" i="87" s="1"/>
  <c r="AE142" i="87"/>
  <c r="Z147" i="87" l="1"/>
  <c r="Z83" i="96"/>
  <c r="Z84" i="96" s="1"/>
  <c r="AE122" i="87"/>
  <c r="AE250" i="87" s="1"/>
  <c r="AF111" i="87"/>
  <c r="AF122" i="87" s="1"/>
  <c r="Z334" i="87"/>
  <c r="Z4" i="96"/>
  <c r="Z46" i="96"/>
  <c r="AD122" i="87"/>
  <c r="Z336" i="87" l="1"/>
  <c r="AF250" i="87"/>
  <c r="AF254" i="87" s="1"/>
  <c r="Z47" i="96"/>
  <c r="AX3" i="95"/>
  <c r="AD250" i="87"/>
  <c r="AX4" i="95" l="1"/>
  <c r="AX35" i="95"/>
  <c r="AX47" i="95" l="1"/>
  <c r="AY47" i="95" s="1"/>
  <c r="AX36" i="95"/>
  <c r="AN43" i="13"/>
  <c r="AS44" i="13" s="1"/>
  <c r="Y44" i="15"/>
  <c r="AO51" i="13"/>
  <c r="AO103" i="13" s="1"/>
  <c r="AO54" i="13"/>
  <c r="AN42" i="13" l="1"/>
  <c r="AO42" i="13" s="1"/>
  <c r="X42" i="15" s="1"/>
  <c r="AN51" i="13"/>
  <c r="AN103" i="13" s="1"/>
  <c r="AN46" i="13"/>
  <c r="AO46" i="13" s="1"/>
  <c r="X46" i="15" s="1"/>
  <c r="AN54" i="13"/>
  <c r="X43" i="15" l="1"/>
  <c r="X54" i="15" l="1"/>
  <c r="X48" i="15"/>
  <c r="X51" i="15"/>
  <c r="X52" i="15" l="1"/>
  <c r="X97" i="15"/>
  <c r="X104" i="15"/>
  <c r="X55" i="15"/>
  <c r="Y30" i="16"/>
  <c r="AS79" i="14"/>
  <c r="AS80" i="14" s="1"/>
  <c r="Y76" i="16"/>
  <c r="Y77" i="16"/>
  <c r="AT79" i="14"/>
  <c r="Y79" i="16" s="1"/>
  <c r="AT96" i="14" l="1"/>
  <c r="Y96" i="16" s="1"/>
  <c r="AT81" i="14"/>
  <c r="Y81" i="16" s="1"/>
  <c r="AT80" i="14"/>
  <c r="Y80" i="16" s="1"/>
  <c r="AS96" i="14"/>
  <c r="AS77" i="14"/>
  <c r="AS86" i="14"/>
  <c r="AT86" i="14" l="1"/>
  <c r="Y86" i="16" l="1"/>
  <c r="AT91" i="14"/>
  <c r="AT104" i="13" s="1"/>
  <c r="AT39" i="14"/>
  <c r="AU39" i="14"/>
  <c r="AT61" i="14" l="1"/>
  <c r="AT64" i="14" s="1"/>
  <c r="AT65" i="14" s="1"/>
  <c r="Y39" i="16"/>
  <c r="AT67" i="14" l="1"/>
  <c r="AT69" i="14"/>
  <c r="Y69" i="16" s="1"/>
  <c r="Y61" i="16"/>
  <c r="Y65" i="16"/>
  <c r="AS68" i="14"/>
  <c r="Y64" i="16"/>
  <c r="AU63" i="14"/>
  <c r="AY63" i="14" s="1"/>
  <c r="Z63" i="16" l="1"/>
  <c r="Y67" i="16"/>
  <c r="Y68" i="16" s="1"/>
  <c r="AT68" i="14"/>
  <c r="AO31" i="14"/>
  <c r="X31" i="16" s="1"/>
  <c r="AO32" i="14"/>
  <c r="X32" i="16" s="1"/>
  <c r="AO33" i="14"/>
  <c r="X33" i="16" s="1"/>
  <c r="AO34" i="14"/>
  <c r="X34" i="16" s="1"/>
  <c r="AO35" i="14"/>
  <c r="X35" i="16" s="1"/>
  <c r="AO36" i="14"/>
  <c r="X36" i="16" s="1"/>
  <c r="Y87" i="16"/>
  <c r="AS87" i="14"/>
  <c r="Y88" i="16"/>
  <c r="AS88" i="14"/>
  <c r="Y89" i="16"/>
  <c r="AS89" i="14"/>
  <c r="Y90" i="16"/>
  <c r="AS91" i="14" l="1"/>
  <c r="AS104" i="13" s="1"/>
  <c r="AS92" i="14" l="1"/>
  <c r="AT93" i="14"/>
  <c r="Y93" i="16" s="1"/>
  <c r="AT92" i="14"/>
  <c r="Y92" i="16" s="1"/>
  <c r="Y91" i="16"/>
  <c r="X87" i="16"/>
  <c r="X88" i="16"/>
  <c r="X89" i="16"/>
  <c r="X90" i="16"/>
  <c r="AN91" i="14"/>
  <c r="AN104" i="13" s="1"/>
  <c r="Y105" i="15" l="1"/>
  <c r="AO91" i="14"/>
  <c r="AO104" i="13" s="1"/>
  <c r="AN93" i="14"/>
  <c r="AN92" i="14"/>
  <c r="AO93" i="14" l="1"/>
  <c r="X93" i="16" s="1"/>
  <c r="X91" i="16"/>
  <c r="AO92" i="14"/>
  <c r="X92" i="16" s="1"/>
  <c r="X105" i="15" l="1"/>
  <c r="Z10" i="93"/>
  <c r="AX10" i="94"/>
  <c r="AX13" i="94"/>
  <c r="AA14" i="93"/>
  <c r="AY50" i="94"/>
  <c r="AX14" i="94" l="1"/>
  <c r="Z14" i="93"/>
  <c r="Z13" i="93"/>
  <c r="AA17" i="93" l="1"/>
  <c r="AA20" i="93"/>
  <c r="Z20" i="93"/>
  <c r="AX19" i="94"/>
  <c r="Z16" i="93" l="1"/>
  <c r="Z17" i="93"/>
  <c r="AX27" i="94"/>
  <c r="AX22" i="94"/>
  <c r="AX20" i="94"/>
  <c r="AX16" i="94"/>
  <c r="AX21" i="94"/>
  <c r="AY27" i="94" l="1"/>
  <c r="AX17" i="94"/>
  <c r="AX19" i="13"/>
  <c r="AX32" i="94"/>
  <c r="AX28" i="94"/>
  <c r="AX30" i="94"/>
  <c r="AU32" i="94" l="1"/>
  <c r="AW51" i="94"/>
  <c r="AU51" i="94"/>
  <c r="AV51" i="94"/>
  <c r="AX51" i="94"/>
  <c r="AY28" i="94"/>
  <c r="Z27" i="93" s="1"/>
  <c r="AY32" i="94"/>
  <c r="AY30" i="94"/>
  <c r="AY31" i="94" s="1"/>
  <c r="AX31" i="94"/>
  <c r="AY19" i="13"/>
  <c r="Z19" i="15" s="1"/>
  <c r="AC10" i="93"/>
  <c r="AD10" i="93"/>
  <c r="AE10" i="93"/>
  <c r="AC13" i="93"/>
  <c r="AC19" i="93" s="1"/>
  <c r="AC26" i="93" s="1"/>
  <c r="AD13" i="93"/>
  <c r="AE13" i="93"/>
  <c r="AF14" i="93" l="1"/>
  <c r="AE19" i="93"/>
  <c r="AE26" i="93" s="1"/>
  <c r="AI13" i="93"/>
  <c r="AD19" i="93"/>
  <c r="AD26" i="93" s="1"/>
  <c r="AY51" i="94"/>
  <c r="Z30" i="93"/>
  <c r="AE14" i="93"/>
  <c r="AC14" i="93"/>
  <c r="AD14" i="93"/>
  <c r="Z19" i="93"/>
  <c r="Z26" i="93" s="1"/>
  <c r="AA31" i="93" s="1"/>
  <c r="Z29" i="93" l="1"/>
  <c r="Z31" i="93"/>
  <c r="AC16" i="93" l="1"/>
  <c r="AC17" i="93" l="1"/>
  <c r="AC20" i="93"/>
  <c r="AD20" i="93"/>
  <c r="AD16" i="93" l="1"/>
  <c r="AD17" i="93" s="1"/>
  <c r="AE20" i="93" l="1"/>
  <c r="AE16" i="93"/>
  <c r="AE17" i="93" s="1"/>
  <c r="Y6" i="95"/>
  <c r="Y38" i="95" s="1"/>
  <c r="AE7" i="95"/>
  <c r="V7" i="96" s="1"/>
  <c r="Z38" i="95"/>
  <c r="AF20" i="93" l="1"/>
  <c r="AF16" i="93"/>
  <c r="AF17" i="93" s="1"/>
  <c r="AE39" i="95"/>
  <c r="U49" i="96"/>
  <c r="W48" i="95"/>
  <c r="V48" i="95"/>
  <c r="Z43" i="95"/>
  <c r="Z39" i="95"/>
  <c r="AD7" i="95"/>
  <c r="Y9" i="95"/>
  <c r="Y46" i="95" s="1"/>
  <c r="Z46" i="95" s="1"/>
  <c r="AD39" i="95"/>
  <c r="Y39" i="95"/>
  <c r="Y48" i="95"/>
  <c r="X48" i="95"/>
  <c r="Y43" i="95" l="1"/>
  <c r="U50" i="96"/>
  <c r="U54" i="96"/>
  <c r="V50" i="96"/>
  <c r="Y10" i="95"/>
  <c r="Y13" i="95"/>
  <c r="Y22" i="95"/>
  <c r="Y21" i="95"/>
  <c r="Y16" i="95"/>
  <c r="Y49" i="95"/>
  <c r="Z49" i="95" s="1"/>
  <c r="AD22" i="95"/>
  <c r="AD10" i="95"/>
  <c r="Y42" i="95"/>
  <c r="Z48" i="95"/>
  <c r="Y30" i="95" l="1"/>
  <c r="Y14" i="95"/>
  <c r="AD32" i="95"/>
  <c r="Y32" i="95"/>
  <c r="AD14" i="95"/>
  <c r="Y17" i="95"/>
  <c r="AD17" i="95"/>
  <c r="Y31" i="95" l="1"/>
  <c r="AD31" i="95"/>
  <c r="Z20" i="15" l="1"/>
  <c r="AZ98" i="14" l="1"/>
  <c r="BA98" i="14"/>
  <c r="AZ71" i="13"/>
  <c r="BA99" i="14" l="1"/>
  <c r="AZ99" i="14"/>
  <c r="BE99" i="14"/>
  <c r="AA70" i="15" l="1"/>
  <c r="AA71" i="15"/>
  <c r="AA98" i="16" l="1"/>
  <c r="AA99" i="16"/>
  <c r="AA77" i="15" l="1"/>
  <c r="AV7" i="13" l="1"/>
  <c r="AV10" i="13" l="1"/>
  <c r="AV11" i="13" s="1"/>
  <c r="AV70" i="17" l="1"/>
  <c r="AV69" i="17"/>
  <c r="AV66" i="17"/>
  <c r="AV12" i="13"/>
  <c r="AV15" i="13"/>
  <c r="AV101" i="13" s="1"/>
  <c r="AV76" i="14"/>
  <c r="AV92" i="13"/>
  <c r="AV79" i="13" l="1"/>
  <c r="AV74" i="17"/>
  <c r="AV73" i="17"/>
  <c r="AV88" i="13"/>
  <c r="AV89" i="13" s="1"/>
  <c r="AV85" i="13"/>
  <c r="AV86" i="13" s="1"/>
  <c r="AV93" i="13"/>
  <c r="AV27" i="13"/>
  <c r="AV16" i="13"/>
  <c r="AW7" i="13"/>
  <c r="AV84" i="13" l="1"/>
  <c r="AW10" i="13"/>
  <c r="AW11" i="13" s="1"/>
  <c r="AW69" i="17" l="1"/>
  <c r="AW66" i="17"/>
  <c r="AW70" i="17"/>
  <c r="AW76" i="14"/>
  <c r="AW15" i="13"/>
  <c r="AW101" i="13" s="1"/>
  <c r="AW12" i="13"/>
  <c r="AW73" i="17" l="1"/>
  <c r="AW88" i="13"/>
  <c r="AW74" i="17"/>
  <c r="AW89" i="13"/>
  <c r="AW85" i="13"/>
  <c r="AW16" i="13"/>
  <c r="AW27" i="13"/>
  <c r="AW93" i="13"/>
  <c r="AW92" i="13"/>
  <c r="AW79" i="13"/>
  <c r="AW86" i="13" l="1"/>
  <c r="AW84" i="13"/>
  <c r="Z6" i="96"/>
  <c r="Z347" i="87" s="1"/>
  <c r="Z7" i="96"/>
  <c r="Z9" i="96"/>
  <c r="Z10" i="96"/>
  <c r="Z13" i="96"/>
  <c r="Z14" i="96"/>
  <c r="Z27" i="96"/>
  <c r="Z28" i="96"/>
  <c r="Z31" i="96"/>
  <c r="Z49" i="96"/>
  <c r="AX6" i="95"/>
  <c r="AY7" i="13"/>
  <c r="Z53" i="96" l="1"/>
  <c r="Z350" i="87"/>
  <c r="Z341" i="87"/>
  <c r="Z342" i="87" s="1"/>
  <c r="AI278" i="87"/>
  <c r="Z7" i="15"/>
  <c r="AY10" i="13"/>
  <c r="AY11" i="13" s="1"/>
  <c r="Z30" i="96"/>
  <c r="Z38" i="96" s="1"/>
  <c r="AX9" i="95"/>
  <c r="AX7" i="95"/>
  <c r="AX38" i="95"/>
  <c r="Z50" i="96"/>
  <c r="Z54" i="96"/>
  <c r="Z43" i="96" l="1"/>
  <c r="Z87" i="96"/>
  <c r="Z88" i="96" s="1"/>
  <c r="AY69" i="17"/>
  <c r="Z69" i="18" s="1"/>
  <c r="AY66" i="17"/>
  <c r="Z66" i="18" s="1"/>
  <c r="AY70" i="17"/>
  <c r="Z70" i="18" s="1"/>
  <c r="AY76" i="14"/>
  <c r="Z76" i="16" s="1"/>
  <c r="Z351" i="87"/>
  <c r="Z354" i="87"/>
  <c r="AJ278" i="87"/>
  <c r="AJ279" i="87" s="1"/>
  <c r="AI279" i="87"/>
  <c r="Z10" i="15"/>
  <c r="AD76" i="16"/>
  <c r="AE76" i="16" s="1"/>
  <c r="AF76" i="16" s="1"/>
  <c r="Z41" i="96"/>
  <c r="AY12" i="13"/>
  <c r="AU7" i="13"/>
  <c r="AX10" i="95"/>
  <c r="AX13" i="95"/>
  <c r="AX14" i="95" s="1"/>
  <c r="AX42" i="95"/>
  <c r="AX49" i="95"/>
  <c r="AY49" i="95" s="1"/>
  <c r="AX46" i="95"/>
  <c r="AY46" i="95" s="1"/>
  <c r="AX7" i="13"/>
  <c r="Z77" i="16"/>
  <c r="Z30" i="16"/>
  <c r="AX43" i="95"/>
  <c r="AX39" i="95"/>
  <c r="AX48" i="95"/>
  <c r="Z10" i="18"/>
  <c r="Z86" i="96" l="1"/>
  <c r="Z90" i="96"/>
  <c r="Z11" i="15"/>
  <c r="Z12" i="15" s="1"/>
  <c r="AU10" i="13"/>
  <c r="AX10" i="13" s="1"/>
  <c r="AX11" i="13" s="1"/>
  <c r="AX30" i="14"/>
  <c r="AX37" i="14" s="1"/>
  <c r="Z7" i="18"/>
  <c r="AY48" i="95"/>
  <c r="AV86" i="14"/>
  <c r="AX19" i="95"/>
  <c r="AW39" i="14"/>
  <c r="AW86" i="14"/>
  <c r="AU61" i="14"/>
  <c r="AU86" i="14"/>
  <c r="AZ86" i="14"/>
  <c r="BD86" i="14" s="1"/>
  <c r="Z91" i="96" l="1"/>
  <c r="Z92" i="96"/>
  <c r="AX66" i="17"/>
  <c r="AX69" i="17"/>
  <c r="AX70" i="17"/>
  <c r="AX12" i="13"/>
  <c r="AU11" i="13"/>
  <c r="AV39" i="14"/>
  <c r="AX77" i="14"/>
  <c r="AX86" i="14"/>
  <c r="AX76" i="14"/>
  <c r="AX39" i="14"/>
  <c r="Z68" i="18"/>
  <c r="Z67" i="18"/>
  <c r="Z81" i="15"/>
  <c r="Z83" i="15"/>
  <c r="Z82" i="15"/>
  <c r="AX21" i="95"/>
  <c r="AX27" i="95"/>
  <c r="AX22" i="95"/>
  <c r="AX20" i="95"/>
  <c r="AX16" i="95"/>
  <c r="AX17" i="95" s="1"/>
  <c r="AU70" i="17" l="1"/>
  <c r="AU69" i="17"/>
  <c r="AU66" i="17"/>
  <c r="AU76" i="14"/>
  <c r="AU15" i="13"/>
  <c r="AU101" i="13" s="1"/>
  <c r="AU12" i="13"/>
  <c r="AZ39" i="14"/>
  <c r="AY86" i="14"/>
  <c r="Z86" i="16" s="1"/>
  <c r="AX82" i="13"/>
  <c r="Z8" i="18"/>
  <c r="Z30" i="18"/>
  <c r="AX83" i="13"/>
  <c r="AW72" i="14"/>
  <c r="AW77" i="14"/>
  <c r="AX32" i="95"/>
  <c r="AX30" i="95"/>
  <c r="AX31" i="95" s="1"/>
  <c r="AX28" i="95"/>
  <c r="AX18" i="13"/>
  <c r="AY27" i="95"/>
  <c r="AU74" i="17" l="1"/>
  <c r="AU73" i="17"/>
  <c r="AU88" i="13"/>
  <c r="AU89" i="13" s="1"/>
  <c r="AU27" i="13"/>
  <c r="AU79" i="13"/>
  <c r="AU85" i="13"/>
  <c r="AU93" i="13"/>
  <c r="AU16" i="13"/>
  <c r="AU92" i="13"/>
  <c r="AY39" i="14"/>
  <c r="AU50" i="95"/>
  <c r="AW50" i="95"/>
  <c r="AV50" i="95"/>
  <c r="AX22" i="13"/>
  <c r="AX50" i="95"/>
  <c r="AU32" i="95"/>
  <c r="Z47" i="18"/>
  <c r="Z36" i="18"/>
  <c r="AY28" i="95"/>
  <c r="Z39" i="96" s="1"/>
  <c r="AY32" i="95"/>
  <c r="AY30" i="95"/>
  <c r="AY31" i="95" s="1"/>
  <c r="Z42" i="96" s="1"/>
  <c r="AY18" i="13"/>
  <c r="AY61" i="14" l="1"/>
  <c r="AY64" i="14" s="1"/>
  <c r="AY65" i="14" s="1"/>
  <c r="Z39" i="16"/>
  <c r="AU86" i="13"/>
  <c r="AU84" i="13"/>
  <c r="Z18" i="15"/>
  <c r="AY22" i="13"/>
  <c r="AY24" i="13" s="1"/>
  <c r="AY50" i="95"/>
  <c r="AU72" i="14"/>
  <c r="AU77" i="14"/>
  <c r="AY67" i="14" l="1"/>
  <c r="Z22" i="15"/>
  <c r="AX24" i="13"/>
  <c r="AX26" i="13" s="1"/>
  <c r="AX102" i="13" s="1"/>
  <c r="Z24" i="15"/>
  <c r="Z16" i="18"/>
  <c r="Z72" i="16"/>
  <c r="AV72" i="14"/>
  <c r="AV77" i="14"/>
  <c r="Z26" i="15" l="1"/>
  <c r="Z31" i="15" s="1"/>
  <c r="Z78" i="15"/>
  <c r="AX78" i="13"/>
  <c r="AX79" i="17" s="1"/>
  <c r="AY26" i="13"/>
  <c r="AY102" i="13" s="1"/>
  <c r="AX31" i="13"/>
  <c r="AX32" i="13" s="1"/>
  <c r="Z34" i="15"/>
  <c r="Z23" i="18"/>
  <c r="Z79" i="15" l="1"/>
  <c r="Z103" i="15"/>
  <c r="Z32" i="15"/>
  <c r="Z37" i="15"/>
  <c r="Z43" i="15" s="1"/>
  <c r="AY31" i="13"/>
  <c r="AY35" i="13" s="1"/>
  <c r="AY78" i="13"/>
  <c r="AX34" i="13"/>
  <c r="AX4" i="14"/>
  <c r="Z51" i="15" l="1"/>
  <c r="AX37" i="13"/>
  <c r="AX43" i="13" s="1"/>
  <c r="AX35" i="13"/>
  <c r="Z48" i="15"/>
  <c r="AY79" i="17"/>
  <c r="Z79" i="18" s="1"/>
  <c r="AU79" i="17"/>
  <c r="Z54" i="15"/>
  <c r="AY37" i="13"/>
  <c r="AY38" i="13" s="1"/>
  <c r="Z38" i="15" s="1"/>
  <c r="Z35" i="15"/>
  <c r="Z98" i="15" l="1"/>
  <c r="Z52" i="15"/>
  <c r="Z97" i="15"/>
  <c r="Z104" i="15"/>
  <c r="AX38" i="13"/>
  <c r="Z55" i="15"/>
  <c r="AY43" i="13"/>
  <c r="AY44" i="13" s="1"/>
  <c r="Z44" i="15" s="1"/>
  <c r="AX48" i="13"/>
  <c r="AX97" i="13" s="1"/>
  <c r="AX54" i="13"/>
  <c r="AX51" i="13"/>
  <c r="AX103" i="13" s="1"/>
  <c r="AX44" i="13"/>
  <c r="Z4" i="16"/>
  <c r="AU85" i="14"/>
  <c r="AU79" i="14"/>
  <c r="AU64" i="14"/>
  <c r="AV63" i="14" s="1"/>
  <c r="AY51" i="13" l="1"/>
  <c r="AY54" i="13"/>
  <c r="AY48" i="13"/>
  <c r="AX52" i="13"/>
  <c r="AX55" i="13"/>
  <c r="AU65" i="14"/>
  <c r="AU80" i="14"/>
  <c r="AU96" i="14"/>
  <c r="AU81" i="14"/>
  <c r="AU91" i="14"/>
  <c r="AU104" i="13" s="1"/>
  <c r="AU67" i="14" l="1"/>
  <c r="AU68" i="14" s="1"/>
  <c r="AU69" i="14"/>
  <c r="AY52" i="13"/>
  <c r="AY97" i="13"/>
  <c r="AY103" i="13"/>
  <c r="AY55" i="13"/>
  <c r="AU92" i="14"/>
  <c r="AU93" i="14"/>
  <c r="Z54" i="18" l="1"/>
  <c r="Z56" i="18" l="1"/>
  <c r="Z60" i="18" l="1"/>
  <c r="Z62" i="18" l="1"/>
  <c r="AZ22" i="13" l="1"/>
  <c r="AZ10" i="13"/>
  <c r="AZ24" i="13" l="1"/>
  <c r="AZ11" i="13"/>
  <c r="AZ15" i="13" l="1"/>
  <c r="AZ73" i="17" s="1"/>
  <c r="AZ76" i="14"/>
  <c r="AZ12" i="13"/>
  <c r="AZ101" i="13"/>
  <c r="AZ26" i="13"/>
  <c r="AZ27" i="13" s="1"/>
  <c r="AZ74" i="17"/>
  <c r="AZ88" i="13"/>
  <c r="AZ70" i="17"/>
  <c r="AZ66" i="17"/>
  <c r="AZ69" i="17"/>
  <c r="BE16" i="13"/>
  <c r="BE12" i="13"/>
  <c r="AZ16" i="13"/>
  <c r="AZ102" i="13" l="1"/>
  <c r="AZ78" i="13"/>
  <c r="AZ85" i="13"/>
  <c r="BE86" i="13" s="1"/>
  <c r="AZ89" i="13"/>
  <c r="AZ61" i="14"/>
  <c r="AZ85" i="14"/>
  <c r="AZ79" i="14"/>
  <c r="AZ81" i="14" s="1"/>
  <c r="AZ84" i="13" l="1"/>
  <c r="AZ79" i="13"/>
  <c r="AZ91" i="14"/>
  <c r="AZ93" i="14" s="1"/>
  <c r="BD85" i="14"/>
  <c r="BD91" i="14" s="1"/>
  <c r="AZ80" i="14"/>
  <c r="AZ96" i="14"/>
  <c r="BD93" i="14" l="1"/>
  <c r="BD104" i="13"/>
  <c r="AX81" i="13"/>
  <c r="AX68" i="17" l="1"/>
  <c r="AX67" i="17"/>
  <c r="AX24" i="14"/>
  <c r="AX15" i="14"/>
  <c r="Z15" i="16"/>
  <c r="Z24" i="16"/>
  <c r="AX16" i="14" l="1"/>
  <c r="AX18" i="14"/>
  <c r="Z16" i="16"/>
  <c r="Z18" i="16"/>
  <c r="Z22" i="16" l="1"/>
  <c r="AW85" i="14"/>
  <c r="AW91" i="14" s="1"/>
  <c r="AW27" i="14"/>
  <c r="AW61" i="14" s="1"/>
  <c r="AX22" i="14"/>
  <c r="AW79" i="14"/>
  <c r="AW80" i="14" s="1"/>
  <c r="AV27" i="14"/>
  <c r="AV61" i="14" s="1"/>
  <c r="AV64" i="14" s="1"/>
  <c r="AW92" i="14" l="1"/>
  <c r="AW104" i="13"/>
  <c r="AV65" i="14"/>
  <c r="AW93" i="14"/>
  <c r="AX25" i="14"/>
  <c r="AX85" i="14" s="1"/>
  <c r="AX91" i="14" s="1"/>
  <c r="AX104" i="13" s="1"/>
  <c r="AW81" i="14"/>
  <c r="AW96" i="14"/>
  <c r="AV79" i="14"/>
  <c r="AV85" i="14"/>
  <c r="AV67" i="14" l="1"/>
  <c r="AV69" i="14"/>
  <c r="AX92" i="14"/>
  <c r="AX93" i="14"/>
  <c r="AY85" i="14"/>
  <c r="AX27" i="14"/>
  <c r="AX61" i="14" s="1"/>
  <c r="AX79" i="14"/>
  <c r="AV91" i="14"/>
  <c r="AV104" i="13" s="1"/>
  <c r="Z79" i="16"/>
  <c r="Z81" i="16"/>
  <c r="Z80" i="16"/>
  <c r="Z96" i="16"/>
  <c r="AV81" i="14"/>
  <c r="AV96" i="14"/>
  <c r="AV80" i="14"/>
  <c r="AW63" i="14"/>
  <c r="AW64" i="14" s="1"/>
  <c r="Z61" i="16"/>
  <c r="Z85" i="16" l="1"/>
  <c r="AY91" i="14"/>
  <c r="AX63" i="14"/>
  <c r="AX64" i="14" s="1"/>
  <c r="AW65" i="14"/>
  <c r="AX81" i="14"/>
  <c r="AX96" i="14"/>
  <c r="AX80" i="14"/>
  <c r="Z64" i="16"/>
  <c r="AZ63" i="14"/>
  <c r="AV68" i="14"/>
  <c r="AV93" i="14"/>
  <c r="AV92" i="14"/>
  <c r="BD63" i="14" l="1"/>
  <c r="BD64" i="14" s="1"/>
  <c r="BE63" i="14" s="1"/>
  <c r="AZ64" i="14"/>
  <c r="AZ65" i="14" s="1"/>
  <c r="AW67" i="14"/>
  <c r="AW68" i="14" s="1"/>
  <c r="AW69" i="14"/>
  <c r="AY93" i="14"/>
  <c r="Z93" i="16" s="1"/>
  <c r="AY104" i="13"/>
  <c r="AY92" i="14"/>
  <c r="Z92" i="16" s="1"/>
  <c r="AX65" i="14"/>
  <c r="Z65" i="16"/>
  <c r="AY68" i="14"/>
  <c r="AA63" i="16"/>
  <c r="Z91" i="16"/>
  <c r="AX67" i="14" l="1"/>
  <c r="AX68" i="14" s="1"/>
  <c r="AX69" i="14"/>
  <c r="AY69" i="14" s="1"/>
  <c r="Z69" i="16" s="1"/>
  <c r="Z105" i="15"/>
  <c r="Z94" i="16"/>
  <c r="AZ69" i="14"/>
  <c r="AZ67" i="14"/>
  <c r="BA63" i="14"/>
  <c r="BA64" i="14" s="1"/>
  <c r="BB63" i="14" s="1"/>
  <c r="BB64" i="14" s="1"/>
  <c r="Z67" i="16"/>
  <c r="Z82" i="18"/>
  <c r="Z5" i="18"/>
  <c r="BB65" i="14" l="1"/>
  <c r="BC63" i="14"/>
  <c r="BC64" i="14" s="1"/>
  <c r="Z12" i="18"/>
  <c r="AZ68" i="14"/>
  <c r="Z68" i="16"/>
  <c r="Z103" i="18"/>
  <c r="BB67" i="14" l="1"/>
  <c r="BB68" i="14" s="1"/>
  <c r="Z25" i="18"/>
  <c r="Z63" i="18" s="1"/>
  <c r="Z104" i="18"/>
  <c r="Z107" i="18"/>
  <c r="Z105" i="18" l="1"/>
  <c r="Z117" i="18"/>
  <c r="Z109" i="18"/>
  <c r="Z111" i="18" l="1"/>
  <c r="Z112" i="18" l="1"/>
  <c r="Z113" i="18" l="1"/>
  <c r="Z115" i="18"/>
  <c r="Z114" i="18"/>
  <c r="Z83" i="18" l="1"/>
  <c r="Z84" i="18"/>
  <c r="Z86" i="18"/>
  <c r="Z87" i="18"/>
  <c r="Z91" i="18"/>
  <c r="Z92" i="18"/>
  <c r="Z94" i="18"/>
  <c r="Z95" i="18"/>
  <c r="Z96" i="18"/>
  <c r="Z98" i="18"/>
  <c r="Z99" i="18"/>
  <c r="Z100" i="18"/>
  <c r="AZ80" i="46" l="1"/>
  <c r="AZ31" i="13"/>
  <c r="AZ37" i="13" l="1"/>
  <c r="AZ32" i="13"/>
  <c r="AZ35" i="13"/>
  <c r="AZ43" i="13" l="1"/>
  <c r="AZ38" i="13"/>
  <c r="AZ92" i="14" l="1"/>
  <c r="AZ48" i="13"/>
  <c r="AZ54" i="13"/>
  <c r="AZ51" i="13"/>
  <c r="AZ44" i="13"/>
  <c r="AZ103" i="13" l="1"/>
  <c r="AZ97" i="13"/>
  <c r="AZ52" i="13"/>
  <c r="AZ55" i="13"/>
  <c r="AZ92" i="13"/>
  <c r="AZ93" i="13"/>
  <c r="AZ86" i="13"/>
  <c r="Z14" i="15"/>
  <c r="Z15" i="15" s="1"/>
  <c r="AX14" i="13"/>
  <c r="AX15" i="13" s="1"/>
  <c r="AX101" i="13" s="1"/>
  <c r="AY15" i="13"/>
  <c r="AY101" i="13" s="1"/>
  <c r="Z102" i="15" l="1"/>
  <c r="AX27" i="13"/>
  <c r="AX88" i="13"/>
  <c r="AX89" i="13" s="1"/>
  <c r="AX73" i="17"/>
  <c r="AX74" i="17"/>
  <c r="AY73" i="17"/>
  <c r="Z73" i="18" s="1"/>
  <c r="AY74" i="17"/>
  <c r="Z74" i="18" s="1"/>
  <c r="AY88" i="13"/>
  <c r="AY89" i="13" s="1"/>
  <c r="AY79" i="13"/>
  <c r="AY27" i="13"/>
  <c r="AY92" i="13"/>
  <c r="AX93" i="13"/>
  <c r="AX79" i="13"/>
  <c r="AX92" i="13"/>
  <c r="Z88" i="15"/>
  <c r="Z89" i="15" s="1"/>
  <c r="Z27" i="15"/>
  <c r="Z93" i="15"/>
  <c r="Z92" i="15"/>
  <c r="AY85" i="13"/>
  <c r="AY93" i="13"/>
  <c r="AY84" i="13" l="1"/>
  <c r="Z84" i="15" l="1"/>
  <c r="Z85" i="15" s="1"/>
  <c r="Y14" i="15"/>
  <c r="Y15" i="15" s="1"/>
  <c r="AS14" i="13"/>
  <c r="AS15" i="13" s="1"/>
  <c r="AS101" i="13" s="1"/>
  <c r="AT15" i="13"/>
  <c r="AT88" i="13" l="1"/>
  <c r="AT89" i="13" s="1"/>
  <c r="AT101" i="13"/>
  <c r="Y102" i="15"/>
  <c r="AS88" i="13"/>
  <c r="AS89" i="13" s="1"/>
  <c r="AS73" i="17"/>
  <c r="AS74" i="17"/>
  <c r="AT16" i="13"/>
  <c r="AT27" i="13"/>
  <c r="AS93" i="13"/>
  <c r="AS27" i="13"/>
  <c r="AX84" i="13"/>
  <c r="AX85" i="13" s="1"/>
  <c r="AT92" i="13"/>
  <c r="AT85" i="13"/>
  <c r="AT86" i="13" s="1"/>
  <c r="AT79" i="13"/>
  <c r="AT93" i="13"/>
  <c r="AY16" i="13"/>
  <c r="Y16" i="15"/>
  <c r="Y88" i="15"/>
  <c r="Y89" i="15" s="1"/>
  <c r="Y92" i="15"/>
  <c r="Y93" i="15"/>
  <c r="Y27" i="15"/>
  <c r="AX16" i="13"/>
  <c r="AS92" i="13"/>
  <c r="AS16" i="13"/>
  <c r="AS79" i="13"/>
  <c r="AT73" i="17"/>
  <c r="Y73" i="18" s="1"/>
  <c r="AT74" i="17"/>
  <c r="Y74" i="18" s="1"/>
  <c r="Z16" i="15"/>
  <c r="AT84" i="13" l="1"/>
  <c r="AY86" i="13"/>
  <c r="AS84" i="13" l="1"/>
  <c r="AS85" i="13" s="1"/>
  <c r="Y84" i="15"/>
  <c r="Y85" i="15" s="1"/>
  <c r="AS86" i="13" l="1"/>
  <c r="AX86" i="13"/>
  <c r="AS57" i="13" l="1"/>
  <c r="AS54" i="13" s="1"/>
  <c r="Y66" i="15"/>
  <c r="AS58" i="13" l="1"/>
  <c r="AY66" i="13"/>
  <c r="Z66" i="15" s="1"/>
  <c r="AS60" i="13"/>
  <c r="AS55" i="13"/>
  <c r="AX58" i="13"/>
  <c r="AS93" i="14" l="1"/>
  <c r="AS81" i="14"/>
  <c r="AS52" i="13"/>
  <c r="AS51" i="13"/>
  <c r="AS103" i="13" s="1"/>
  <c r="AS61" i="13"/>
  <c r="AX61" i="13"/>
  <c r="AA3" i="15" l="1"/>
  <c r="Z3" i="15"/>
  <c r="Z47" i="87" l="1"/>
  <c r="Z70" i="87" s="1"/>
  <c r="AA70" i="87" l="1"/>
  <c r="Z95" i="87"/>
  <c r="Z96" i="87" s="1"/>
  <c r="AB70" i="87" l="1"/>
  <c r="AA95" i="87"/>
  <c r="AA47" i="87"/>
  <c r="AA48" i="87" s="1"/>
  <c r="AA71" i="87" s="1"/>
  <c r="AC70" i="87" l="1"/>
  <c r="AB95" i="87"/>
  <c r="AB47" i="87"/>
  <c r="AB48" i="87" s="1"/>
  <c r="AB71" i="87" s="1"/>
  <c r="AA96" i="87"/>
  <c r="AA99" i="87"/>
  <c r="AB99" i="87" l="1"/>
  <c r="AB96" i="87"/>
  <c r="AA115" i="87"/>
  <c r="AA136" i="87" s="1"/>
  <c r="AA108" i="87"/>
  <c r="AA106" i="87"/>
  <c r="AD70" i="87"/>
  <c r="AC95" i="87"/>
  <c r="AC47" i="87"/>
  <c r="AC48" i="87" s="1"/>
  <c r="AC71" i="87" s="1"/>
  <c r="AA240" i="87" l="1"/>
  <c r="AF245" i="87" s="1"/>
  <c r="AA133" i="87"/>
  <c r="AA123" i="87"/>
  <c r="AB115" i="87"/>
  <c r="AB108" i="87"/>
  <c r="AB106" i="87"/>
  <c r="AC96" i="87"/>
  <c r="AC99" i="87"/>
  <c r="AE70" i="87"/>
  <c r="AF70" i="87" s="1"/>
  <c r="AD47" i="87"/>
  <c r="AD48" i="87" s="1"/>
  <c r="AD71" i="87" s="1"/>
  <c r="AD95" i="87"/>
  <c r="AF47" i="87" l="1"/>
  <c r="AF48" i="87" s="1"/>
  <c r="AF71" i="87" s="1"/>
  <c r="AF95" i="87"/>
  <c r="AF247" i="87"/>
  <c r="AF259" i="87"/>
  <c r="AB112" i="87"/>
  <c r="AD96" i="87"/>
  <c r="AD99" i="87"/>
  <c r="AA255" i="87"/>
  <c r="AA254" i="87"/>
  <c r="AA143" i="87"/>
  <c r="AE95" i="87"/>
  <c r="AE47" i="87"/>
  <c r="AE48" i="87" s="1"/>
  <c r="AE71" i="87" s="1"/>
  <c r="AA244" i="87"/>
  <c r="AC115" i="87"/>
  <c r="AC108" i="87"/>
  <c r="AC106" i="87"/>
  <c r="AB136" i="87"/>
  <c r="AB240" i="87"/>
  <c r="AB244" i="87" s="1"/>
  <c r="AB331" i="87" s="1"/>
  <c r="AB133" i="87"/>
  <c r="AB123" i="87"/>
  <c r="AA331" i="87" l="1"/>
  <c r="AF271" i="87"/>
  <c r="AF96" i="87"/>
  <c r="AF99" i="87"/>
  <c r="AA144" i="87"/>
  <c r="AC112" i="87"/>
  <c r="AB255" i="87"/>
  <c r="AB254" i="87"/>
  <c r="AB143" i="87"/>
  <c r="AB144" i="87" s="1"/>
  <c r="AA257" i="87"/>
  <c r="AA259" i="87"/>
  <c r="AC136" i="87"/>
  <c r="AC240" i="87"/>
  <c r="AC244" i="87" s="1"/>
  <c r="AC133" i="87"/>
  <c r="AC123" i="87"/>
  <c r="AE96" i="87"/>
  <c r="AE99" i="87"/>
  <c r="AD115" i="87"/>
  <c r="AD106" i="87"/>
  <c r="AD108" i="87"/>
  <c r="BI3" i="95" l="1"/>
  <c r="AA145" i="87"/>
  <c r="AA147" i="87"/>
  <c r="AF115" i="87"/>
  <c r="AF106" i="87"/>
  <c r="AF108" i="87"/>
  <c r="AB145" i="87"/>
  <c r="AA338" i="87"/>
  <c r="AA339" i="87" s="1"/>
  <c r="AA299" i="87"/>
  <c r="AD112" i="87"/>
  <c r="AA260" i="87"/>
  <c r="AA271" i="87"/>
  <c r="AC254" i="87"/>
  <c r="AC331" i="87" s="1"/>
  <c r="AC255" i="87"/>
  <c r="AC143" i="87"/>
  <c r="AC144" i="87" s="1"/>
  <c r="AC145" i="87" s="1"/>
  <c r="AE115" i="87"/>
  <c r="AE106" i="87"/>
  <c r="AE108" i="87"/>
  <c r="AB259" i="87"/>
  <c r="AB257" i="87"/>
  <c r="AB338" i="87" s="1"/>
  <c r="AD240" i="87"/>
  <c r="AD244" i="87" s="1"/>
  <c r="AD136" i="87"/>
  <c r="AD133" i="87"/>
  <c r="AD123" i="87"/>
  <c r="AA332" i="87"/>
  <c r="AB332" i="87" l="1"/>
  <c r="BH3" i="95"/>
  <c r="BI4" i="95"/>
  <c r="AB4" i="96" s="1"/>
  <c r="BL4" i="95"/>
  <c r="AB3" i="96"/>
  <c r="AB83" i="96" s="1"/>
  <c r="BI5" i="95"/>
  <c r="AB5" i="96" s="1"/>
  <c r="BI35" i="95"/>
  <c r="BG47" i="95" s="1"/>
  <c r="AF112" i="87"/>
  <c r="AF123" i="87"/>
  <c r="AF136" i="87"/>
  <c r="AF240" i="87"/>
  <c r="AF244" i="87" s="1"/>
  <c r="AF331" i="87" s="1"/>
  <c r="AF133" i="87"/>
  <c r="AA313" i="87"/>
  <c r="AA312" i="87"/>
  <c r="AB301" i="87"/>
  <c r="AB313" i="87" s="1"/>
  <c r="AA300" i="87"/>
  <c r="AB339" i="87"/>
  <c r="AB299" i="87"/>
  <c r="AE112" i="87"/>
  <c r="AC3" i="96"/>
  <c r="AC332" i="87"/>
  <c r="AE136" i="87"/>
  <c r="AE240" i="87"/>
  <c r="AE244" i="87" s="1"/>
  <c r="AE133" i="87"/>
  <c r="AE123" i="87"/>
  <c r="AA272" i="87"/>
  <c r="AA3" i="96"/>
  <c r="BD35" i="95"/>
  <c r="BA47" i="95" s="1"/>
  <c r="AD254" i="87"/>
  <c r="AD255" i="87"/>
  <c r="AD143" i="87"/>
  <c r="AD144" i="87" s="1"/>
  <c r="AD145" i="87" s="1"/>
  <c r="AB271" i="87"/>
  <c r="AB260" i="87"/>
  <c r="AC259" i="87"/>
  <c r="AC257" i="87"/>
  <c r="BH35" i="95" l="1"/>
  <c r="AB46" i="96"/>
  <c r="BF47" i="95"/>
  <c r="BE47" i="95"/>
  <c r="AB147" i="87"/>
  <c r="BI36" i="95"/>
  <c r="AA334" i="87"/>
  <c r="AA336" i="87" s="1"/>
  <c r="AA83" i="96"/>
  <c r="AA84" i="96" s="1"/>
  <c r="AC147" i="87"/>
  <c r="AC83" i="96"/>
  <c r="AC84" i="96" s="1"/>
  <c r="BH47" i="95"/>
  <c r="AD331" i="87"/>
  <c r="AF257" i="87"/>
  <c r="AF143" i="87"/>
  <c r="AF144" i="87" s="1"/>
  <c r="AB272" i="87"/>
  <c r="AF3" i="96"/>
  <c r="AF83" i="96" s="1"/>
  <c r="AB312" i="87"/>
  <c r="AC301" i="87"/>
  <c r="AB341" i="87"/>
  <c r="AA311" i="87"/>
  <c r="AA314" i="87"/>
  <c r="AA317" i="87" s="1"/>
  <c r="AA318" i="87" s="1"/>
  <c r="AB300" i="87"/>
  <c r="AB306" i="87"/>
  <c r="AB326" i="87" s="1"/>
  <c r="AB327" i="87" s="1"/>
  <c r="AA306" i="87"/>
  <c r="AA326" i="87" s="1"/>
  <c r="AA327" i="87" s="1"/>
  <c r="AC338" i="87"/>
  <c r="AC339" i="87" s="1"/>
  <c r="AC299" i="87"/>
  <c r="BD36" i="95"/>
  <c r="AZ47" i="95"/>
  <c r="AA46" i="96"/>
  <c r="AC4" i="96"/>
  <c r="AD257" i="87"/>
  <c r="AD338" i="87" s="1"/>
  <c r="AD259" i="87"/>
  <c r="AE255" i="87"/>
  <c r="AE143" i="87"/>
  <c r="AE144" i="87" s="1"/>
  <c r="AE145" i="87" s="1"/>
  <c r="AE254" i="87"/>
  <c r="AC260" i="87"/>
  <c r="AC271" i="87"/>
  <c r="AC272" i="87" s="1"/>
  <c r="AA4" i="96"/>
  <c r="AB47" i="96" l="1"/>
  <c r="BI47" i="95"/>
  <c r="AB84" i="96"/>
  <c r="AD3" i="96"/>
  <c r="AD332" i="87"/>
  <c r="AI331" i="87"/>
  <c r="AE331" i="87"/>
  <c r="AF145" i="87"/>
  <c r="AF147" i="87"/>
  <c r="AF338" i="87"/>
  <c r="AF299" i="87"/>
  <c r="AB314" i="87"/>
  <c r="AB317" i="87" s="1"/>
  <c r="AB318" i="87" s="1"/>
  <c r="AB311" i="87"/>
  <c r="AD301" i="87"/>
  <c r="AC313" i="87"/>
  <c r="AC341" i="87" s="1"/>
  <c r="AC342" i="87" s="1"/>
  <c r="AC312" i="87"/>
  <c r="AC300" i="87"/>
  <c r="AC306" i="87"/>
  <c r="AC307" i="87" s="1"/>
  <c r="AB307" i="87"/>
  <c r="AD299" i="87"/>
  <c r="AD312" i="87" s="1"/>
  <c r="AD260" i="87"/>
  <c r="AD271" i="87"/>
  <c r="BC3" i="95"/>
  <c r="BH4" i="95" s="1"/>
  <c r="AE257" i="87"/>
  <c r="AE259" i="87"/>
  <c r="AF260" i="87" s="1"/>
  <c r="BB35" i="95"/>
  <c r="BG36" i="95" s="1"/>
  <c r="AA47" i="96"/>
  <c r="AD147" i="87" l="1"/>
  <c r="AD83" i="96"/>
  <c r="AD84" i="96" s="1"/>
  <c r="AD4" i="96"/>
  <c r="AI3" i="96"/>
  <c r="AF332" i="87"/>
  <c r="AE332" i="87"/>
  <c r="AE3" i="96"/>
  <c r="AD339" i="87"/>
  <c r="AF312" i="87"/>
  <c r="AD272" i="87"/>
  <c r="AC311" i="87"/>
  <c r="AC314" i="87"/>
  <c r="AC317" i="87" s="1"/>
  <c r="AC318" i="87" s="1"/>
  <c r="AC326" i="87"/>
  <c r="AC327" i="87" s="1"/>
  <c r="AE301" i="87"/>
  <c r="AD313" i="87"/>
  <c r="AD341" i="87" s="1"/>
  <c r="AD300" i="87"/>
  <c r="AD306" i="87"/>
  <c r="AD307" i="87" s="1"/>
  <c r="AE338" i="87"/>
  <c r="AE299" i="87"/>
  <c r="AF300" i="87" s="1"/>
  <c r="BB47" i="95"/>
  <c r="BB36" i="95"/>
  <c r="AE271" i="87"/>
  <c r="AE272" i="87" s="1"/>
  <c r="AE260" i="87"/>
  <c r="BC4" i="95"/>
  <c r="BC35" i="95"/>
  <c r="BH36" i="95" s="1"/>
  <c r="AE147" i="87" l="1"/>
  <c r="AE83" i="96"/>
  <c r="AE4" i="96"/>
  <c r="AF4" i="96"/>
  <c r="AF272" i="87"/>
  <c r="AE313" i="87"/>
  <c r="AE341" i="87" s="1"/>
  <c r="AE342" i="87" s="1"/>
  <c r="AF301" i="87"/>
  <c r="AF311" i="87"/>
  <c r="AE339" i="87"/>
  <c r="AF339" i="87"/>
  <c r="AD342" i="87"/>
  <c r="AD311" i="87"/>
  <c r="AD314" i="87"/>
  <c r="AD317" i="87" s="1"/>
  <c r="AD318" i="87" s="1"/>
  <c r="AD326" i="87"/>
  <c r="AD327" i="87" s="1"/>
  <c r="AE312" i="87"/>
  <c r="AE300" i="87"/>
  <c r="AE306" i="87"/>
  <c r="AE326" i="87" s="1"/>
  <c r="AE327" i="87" s="1"/>
  <c r="BC47" i="95"/>
  <c r="BD47" i="95" s="1"/>
  <c r="BC36" i="95"/>
  <c r="AF84" i="96" l="1"/>
  <c r="AE84" i="96"/>
  <c r="AF313" i="87"/>
  <c r="AF306" i="87"/>
  <c r="AE311" i="87"/>
  <c r="AE314" i="87"/>
  <c r="AE317" i="87" s="1"/>
  <c r="AE318" i="87" s="1"/>
  <c r="AE307" i="87"/>
  <c r="BA7" i="13"/>
  <c r="AF307" i="87" l="1"/>
  <c r="AF326" i="87"/>
  <c r="AF327" i="87" s="1"/>
  <c r="AF341" i="87"/>
  <c r="AF314" i="87"/>
  <c r="AF317" i="87" s="1"/>
  <c r="AF318" i="87" s="1"/>
  <c r="BB10" i="95"/>
  <c r="BB38" i="95"/>
  <c r="BB39" i="95" l="1"/>
  <c r="BG39" i="95"/>
  <c r="AF342" i="87"/>
  <c r="AF344" i="87"/>
  <c r="BB13" i="95"/>
  <c r="BB7" i="13"/>
  <c r="BB42" i="95"/>
  <c r="BB27" i="95"/>
  <c r="BB43" i="95"/>
  <c r="BG32" i="95" l="1"/>
  <c r="BG28" i="95"/>
  <c r="BB14" i="95"/>
  <c r="BG14" i="95"/>
  <c r="AF350" i="87"/>
  <c r="AF355" i="87" s="1"/>
  <c r="AF6" i="96"/>
  <c r="AF87" i="96" s="1"/>
  <c r="AF357" i="87"/>
  <c r="AF358" i="87"/>
  <c r="BB32" i="95"/>
  <c r="BB16" i="95"/>
  <c r="BB28" i="95"/>
  <c r="BB30" i="95"/>
  <c r="BB18" i="13"/>
  <c r="AF90" i="96" l="1"/>
  <c r="BB31" i="95"/>
  <c r="BG31" i="95"/>
  <c r="BB17" i="95"/>
  <c r="BG17" i="95"/>
  <c r="AF354" i="87"/>
  <c r="AF9" i="96"/>
  <c r="BA80" i="46"/>
  <c r="BA8" i="13"/>
  <c r="BA19" i="13"/>
  <c r="BA22" i="13" s="1"/>
  <c r="AF30" i="96" l="1"/>
  <c r="AF38" i="96" s="1"/>
  <c r="BA24" i="13"/>
  <c r="BC24" i="13" s="1"/>
  <c r="BA10" i="13"/>
  <c r="BC10" i="13" s="1"/>
  <c r="AF7" i="15"/>
  <c r="AF13" i="96"/>
  <c r="AF91" i="96" s="1"/>
  <c r="AF32" i="96" s="1"/>
  <c r="BA11" i="13" l="1"/>
  <c r="BA69" i="17" s="1"/>
  <c r="BF12" i="13"/>
  <c r="BA70" i="17"/>
  <c r="BA66" i="17"/>
  <c r="BA26" i="13"/>
  <c r="BA102" i="13" s="1"/>
  <c r="AF11" i="15"/>
  <c r="AF15" i="15" l="1"/>
  <c r="AF102" i="15" s="1"/>
  <c r="AF7" i="18"/>
  <c r="BA15" i="13"/>
  <c r="BA85" i="13" s="1"/>
  <c r="BA12" i="13"/>
  <c r="AF83" i="15"/>
  <c r="AF30" i="16"/>
  <c r="BA31" i="13"/>
  <c r="BA78" i="13"/>
  <c r="AF82" i="15"/>
  <c r="BA27" i="13" l="1"/>
  <c r="AF9" i="18"/>
  <c r="AF32" i="18"/>
  <c r="BA101" i="13"/>
  <c r="BA92" i="13"/>
  <c r="BA93" i="13"/>
  <c r="BA73" i="17"/>
  <c r="BF16" i="13"/>
  <c r="BA16" i="13"/>
  <c r="BA88" i="13"/>
  <c r="BA89" i="13" s="1"/>
  <c r="BA74" i="17"/>
  <c r="AF37" i="16"/>
  <c r="AF39" i="16" s="1"/>
  <c r="AF77" i="16"/>
  <c r="AF86" i="16"/>
  <c r="BA79" i="17"/>
  <c r="BA79" i="13"/>
  <c r="BA35" i="13"/>
  <c r="BA37" i="13"/>
  <c r="BA32" i="13"/>
  <c r="BA38" i="13" l="1"/>
  <c r="BA43" i="13"/>
  <c r="BA91" i="14"/>
  <c r="AZ104" i="13" s="1"/>
  <c r="BA96" i="14"/>
  <c r="BA92" i="14" l="1"/>
  <c r="BA104" i="13"/>
  <c r="BA44" i="13"/>
  <c r="BA51" i="13"/>
  <c r="BA103" i="13" s="1"/>
  <c r="BA48" i="13"/>
  <c r="BA97" i="13" s="1"/>
  <c r="BA54" i="13"/>
  <c r="BA93" i="14"/>
  <c r="BA65" i="14"/>
  <c r="BB69" i="14" l="1"/>
  <c r="BA69" i="14"/>
  <c r="BA55" i="13"/>
  <c r="BA52" i="13"/>
  <c r="BA67" i="14"/>
  <c r="BA68" i="14" s="1"/>
  <c r="BJ18" i="13"/>
  <c r="BC3" i="94"/>
  <c r="BC6" i="94"/>
  <c r="BC19" i="94"/>
  <c r="BB8" i="13"/>
  <c r="BB11" i="13" s="1"/>
  <c r="BB19" i="13"/>
  <c r="BB22" i="13" s="1"/>
  <c r="BB26" i="13" s="1"/>
  <c r="BB102" i="13" s="1"/>
  <c r="BG12" i="13" l="1"/>
  <c r="BB69" i="17"/>
  <c r="BB66" i="17"/>
  <c r="BB70" i="17"/>
  <c r="BH20" i="94"/>
  <c r="BC7" i="94"/>
  <c r="BC46" i="94"/>
  <c r="BD46" i="94" s="1"/>
  <c r="BC47" i="94"/>
  <c r="BD47" i="94" s="1"/>
  <c r="BB78" i="13"/>
  <c r="BB12" i="13"/>
  <c r="BC4" i="94"/>
  <c r="BC27" i="94"/>
  <c r="BC19" i="13" s="1"/>
  <c r="BC20" i="94"/>
  <c r="BB15" i="13"/>
  <c r="BB101" i="13" s="1"/>
  <c r="BC9" i="94"/>
  <c r="BC43" i="94" l="1"/>
  <c r="BC42" i="94"/>
  <c r="BG16" i="13"/>
  <c r="BB74" i="17"/>
  <c r="BB73" i="17"/>
  <c r="BB88" i="13"/>
  <c r="BD27" i="94"/>
  <c r="BD19" i="13" s="1"/>
  <c r="BH28" i="94"/>
  <c r="BB27" i="13"/>
  <c r="BB92" i="13"/>
  <c r="BB93" i="13"/>
  <c r="BB79" i="13"/>
  <c r="BB79" i="17"/>
  <c r="BB85" i="13"/>
  <c r="BG86" i="13" s="1"/>
  <c r="BC10" i="94"/>
  <c r="BC13" i="94"/>
  <c r="BC16" i="94"/>
  <c r="BC22" i="94"/>
  <c r="BC8" i="13"/>
  <c r="BC50" i="94"/>
  <c r="BD50" i="94" s="1"/>
  <c r="BB16" i="13"/>
  <c r="BC28" i="94"/>
  <c r="BC21" i="94"/>
  <c r="BC51" i="94" l="1"/>
  <c r="BB89" i="13"/>
  <c r="BC14" i="94"/>
  <c r="BC17" i="94"/>
  <c r="BD32" i="94"/>
  <c r="BD30" i="94"/>
  <c r="BD28" i="94"/>
  <c r="AA27" i="93" s="1"/>
  <c r="BI51" i="94"/>
  <c r="BI28" i="94"/>
  <c r="AB27" i="93" s="1"/>
  <c r="BI32" i="94"/>
  <c r="BC30" i="94"/>
  <c r="BC32" i="94"/>
  <c r="BB51" i="94"/>
  <c r="BA51" i="94"/>
  <c r="AZ51" i="94"/>
  <c r="AA19" i="15"/>
  <c r="AZ32" i="94"/>
  <c r="BD31" i="94" l="1"/>
  <c r="BI31" i="94"/>
  <c r="BC31" i="94"/>
  <c r="AA30" i="93"/>
  <c r="BD51" i="94"/>
  <c r="BJ19" i="13"/>
  <c r="BB31" i="13"/>
  <c r="BB35" i="13" s="1"/>
  <c r="BB32" i="13" l="1"/>
  <c r="BB37" i="13"/>
  <c r="BB38" i="13" l="1"/>
  <c r="BB43" i="13"/>
  <c r="BB92" i="14" s="1"/>
  <c r="BB51" i="13" l="1"/>
  <c r="BB103" i="13" s="1"/>
  <c r="BB44" i="13"/>
  <c r="BB48" i="13"/>
  <c r="BB97" i="13" s="1"/>
  <c r="BB54" i="13"/>
  <c r="BB55" i="13" l="1"/>
  <c r="BB52" i="13"/>
  <c r="BA84" i="13" l="1"/>
  <c r="BA86" i="13"/>
  <c r="BB84" i="13"/>
  <c r="BB86" i="13"/>
  <c r="Y344" i="87" l="1"/>
  <c r="Y355" i="87" s="1"/>
  <c r="Y348" i="87" l="1"/>
  <c r="Y357" i="87"/>
  <c r="Y358" i="87"/>
  <c r="Z344" i="87"/>
  <c r="Z355" i="87" s="1"/>
  <c r="Z357" i="87" l="1"/>
  <c r="Z358" i="87"/>
  <c r="Z345" i="87"/>
  <c r="Z348" i="87"/>
  <c r="AB344" i="87" l="1"/>
  <c r="BI6" i="95" s="1"/>
  <c r="BL7" i="95" l="1"/>
  <c r="BI8" i="95"/>
  <c r="AB8" i="96" s="1"/>
  <c r="BI38" i="95"/>
  <c r="BI7" i="95"/>
  <c r="AB7" i="96" s="1"/>
  <c r="AB6" i="96"/>
  <c r="BH6" i="95"/>
  <c r="BI9" i="95"/>
  <c r="AB350" i="87"/>
  <c r="AB357" i="87"/>
  <c r="AB358" i="87"/>
  <c r="AC344" i="87"/>
  <c r="BC6" i="95"/>
  <c r="AA6" i="96"/>
  <c r="AA347" i="87" s="1"/>
  <c r="AA341" i="87" s="1"/>
  <c r="AA7" i="96"/>
  <c r="BD38" i="95"/>
  <c r="BL10" i="95" l="1"/>
  <c r="BI11" i="95"/>
  <c r="AB11" i="96" s="1"/>
  <c r="AA342" i="87"/>
  <c r="AB342" i="87"/>
  <c r="AA344" i="87"/>
  <c r="AA358" i="87" s="1"/>
  <c r="BI42" i="95"/>
  <c r="BG49" i="95"/>
  <c r="BE49" i="95"/>
  <c r="AB9" i="96"/>
  <c r="AB53" i="96" s="1"/>
  <c r="BF49" i="95"/>
  <c r="BG46" i="95"/>
  <c r="BE46" i="95"/>
  <c r="BF46" i="95"/>
  <c r="BI7" i="13"/>
  <c r="BK7" i="13" s="1"/>
  <c r="BI10" i="95"/>
  <c r="AB10" i="96" s="1"/>
  <c r="BI19" i="95"/>
  <c r="BI13" i="95"/>
  <c r="BH7" i="95"/>
  <c r="BH38" i="95"/>
  <c r="BH9" i="95"/>
  <c r="BI39" i="95"/>
  <c r="AB49" i="96"/>
  <c r="BF48" i="95"/>
  <c r="BE48" i="95"/>
  <c r="BG48" i="95"/>
  <c r="BI43" i="95"/>
  <c r="AC350" i="87"/>
  <c r="AB354" i="87"/>
  <c r="AB355" i="87"/>
  <c r="AC357" i="87"/>
  <c r="AC358" i="87"/>
  <c r="BD39" i="95"/>
  <c r="BA48" i="95"/>
  <c r="BD43" i="95"/>
  <c r="AZ48" i="95"/>
  <c r="BB48" i="95"/>
  <c r="AA49" i="96"/>
  <c r="AC345" i="87"/>
  <c r="AC6" i="96"/>
  <c r="AC87" i="96" s="1"/>
  <c r="AE344" i="87"/>
  <c r="AD344" i="87"/>
  <c r="BC7" i="95"/>
  <c r="BC38" i="95"/>
  <c r="BC9" i="95"/>
  <c r="BA49" i="95"/>
  <c r="BB49" i="95"/>
  <c r="AZ46" i="95"/>
  <c r="AZ49" i="95"/>
  <c r="BA46" i="95"/>
  <c r="BB46" i="95"/>
  <c r="AA9" i="96"/>
  <c r="AA350" i="87" s="1"/>
  <c r="AA10" i="96"/>
  <c r="BD42" i="95"/>
  <c r="BD7" i="13"/>
  <c r="BD11" i="13" s="1"/>
  <c r="AB15" i="96" l="1"/>
  <c r="BD69" i="17"/>
  <c r="AA69" i="18" s="1"/>
  <c r="BD66" i="17"/>
  <c r="AA66" i="18" s="1"/>
  <c r="BD70" i="17"/>
  <c r="AA70" i="18"/>
  <c r="BD15" i="13"/>
  <c r="BD101" i="13" s="1"/>
  <c r="BD76" i="14"/>
  <c r="AA76" i="16" s="1"/>
  <c r="BD12" i="13"/>
  <c r="AA351" i="87"/>
  <c r="AA354" i="87"/>
  <c r="AB351" i="87"/>
  <c r="AA357" i="87"/>
  <c r="AA345" i="87"/>
  <c r="AA355" i="87"/>
  <c r="AB345" i="87"/>
  <c r="BH48" i="95"/>
  <c r="BI48" i="95" s="1"/>
  <c r="BH39" i="95"/>
  <c r="BH43" i="95"/>
  <c r="BI14" i="95"/>
  <c r="AB14" i="96" s="1"/>
  <c r="AB13" i="96"/>
  <c r="BH46" i="95"/>
  <c r="BI46" i="95" s="1"/>
  <c r="BH49" i="95"/>
  <c r="BI49" i="95" s="1"/>
  <c r="BH7" i="13"/>
  <c r="BH13" i="95"/>
  <c r="BH10" i="95"/>
  <c r="BH42" i="95"/>
  <c r="BI16" i="95"/>
  <c r="BI22" i="95"/>
  <c r="BI20" i="95"/>
  <c r="AB31" i="96" s="1"/>
  <c r="BH19" i="95"/>
  <c r="BH16" i="95" s="1"/>
  <c r="AB50" i="96"/>
  <c r="AB54" i="96"/>
  <c r="AB7" i="15"/>
  <c r="BI11" i="13"/>
  <c r="AD350" i="87"/>
  <c r="AE350" i="87"/>
  <c r="AC351" i="87"/>
  <c r="AC354" i="87"/>
  <c r="AC355" i="87"/>
  <c r="AD357" i="87"/>
  <c r="AD358" i="87"/>
  <c r="AE357" i="87"/>
  <c r="AE358" i="87"/>
  <c r="AF345" i="87"/>
  <c r="AA53" i="96"/>
  <c r="BC19" i="95"/>
  <c r="BC16" i="95" s="1"/>
  <c r="BC17" i="95" s="1"/>
  <c r="AA31" i="96"/>
  <c r="AC7" i="96"/>
  <c r="AC9" i="96"/>
  <c r="AA14" i="96"/>
  <c r="AA13" i="96"/>
  <c r="BC46" i="95"/>
  <c r="BD46" i="95" s="1"/>
  <c r="BC10" i="95"/>
  <c r="BC42" i="95"/>
  <c r="BC49" i="95"/>
  <c r="BD49" i="95" s="1"/>
  <c r="BC13" i="95"/>
  <c r="BC14" i="95" s="1"/>
  <c r="BC7" i="13"/>
  <c r="BC39" i="95"/>
  <c r="BC48" i="95"/>
  <c r="BD48" i="95" s="1"/>
  <c r="BC43" i="95"/>
  <c r="AA7" i="15"/>
  <c r="AD345" i="87"/>
  <c r="AI344" i="87"/>
  <c r="AD6" i="96"/>
  <c r="AD87" i="96" s="1"/>
  <c r="AE345" i="87"/>
  <c r="AE6" i="96"/>
  <c r="AA50" i="96"/>
  <c r="AA54" i="96"/>
  <c r="BC11" i="13" l="1"/>
  <c r="AB11" i="15"/>
  <c r="AB15" i="15" s="1"/>
  <c r="AF7" i="96"/>
  <c r="AE87" i="96"/>
  <c r="BD73" i="17"/>
  <c r="AA73" i="18" s="1"/>
  <c r="BD74" i="17"/>
  <c r="AA74" i="18" s="1"/>
  <c r="BD88" i="13"/>
  <c r="BD89" i="13" s="1"/>
  <c r="BD93" i="13"/>
  <c r="BD92" i="13"/>
  <c r="BD16" i="13"/>
  <c r="BH17" i="95"/>
  <c r="BH14" i="95"/>
  <c r="BH22" i="95"/>
  <c r="BH27" i="95"/>
  <c r="BH20" i="95"/>
  <c r="BH21" i="95"/>
  <c r="BI30" i="14"/>
  <c r="AB30" i="16" s="1"/>
  <c r="BI7" i="17"/>
  <c r="BI12" i="13"/>
  <c r="BI15" i="13"/>
  <c r="BI101" i="13" s="1"/>
  <c r="BI17" i="95"/>
  <c r="AB28" i="96" s="1"/>
  <c r="AB27" i="96"/>
  <c r="AB30" i="96" s="1"/>
  <c r="AB38" i="96" s="1"/>
  <c r="AE354" i="87"/>
  <c r="AE351" i="87"/>
  <c r="AF351" i="87"/>
  <c r="AE355" i="87"/>
  <c r="AD351" i="87"/>
  <c r="AD354" i="87"/>
  <c r="AD355" i="87"/>
  <c r="AA11" i="15"/>
  <c r="AE9" i="96"/>
  <c r="AF10" i="96" s="1"/>
  <c r="AE7" i="96"/>
  <c r="AA27" i="96"/>
  <c r="AA30" i="96" s="1"/>
  <c r="AA38" i="96" s="1"/>
  <c r="AA87" i="96" s="1"/>
  <c r="AA88" i="96" s="1"/>
  <c r="AA28" i="96"/>
  <c r="BL65" i="17"/>
  <c r="AD9" i="96"/>
  <c r="AI6" i="96"/>
  <c r="AD7" i="96"/>
  <c r="AC13" i="96"/>
  <c r="AC7" i="15"/>
  <c r="AC10" i="96"/>
  <c r="BC22" i="95"/>
  <c r="BC21" i="95"/>
  <c r="BC27" i="95"/>
  <c r="BC20" i="95"/>
  <c r="BC69" i="17" l="1"/>
  <c r="BC76" i="14"/>
  <c r="BC15" i="13"/>
  <c r="BC73" i="17" s="1"/>
  <c r="BC12" i="13"/>
  <c r="BC66" i="17"/>
  <c r="BC70" i="17"/>
  <c r="AB87" i="96"/>
  <c r="AB90" i="96" s="1"/>
  <c r="AB12" i="15"/>
  <c r="AA15" i="15"/>
  <c r="AB102" i="15"/>
  <c r="AE90" i="96"/>
  <c r="AA86" i="96"/>
  <c r="AA90" i="96"/>
  <c r="BD27" i="95"/>
  <c r="BD18" i="13" s="1"/>
  <c r="BD22" i="13" s="1"/>
  <c r="BC18" i="13"/>
  <c r="BC88" i="13"/>
  <c r="BC74" i="17"/>
  <c r="AC14" i="96"/>
  <c r="BI37" i="14"/>
  <c r="AB43" i="96"/>
  <c r="AB41" i="96"/>
  <c r="BI9" i="17"/>
  <c r="BI32" i="17"/>
  <c r="BI82" i="13"/>
  <c r="BI88" i="13"/>
  <c r="BI81" i="13" s="1"/>
  <c r="BI16" i="13"/>
  <c r="BI83" i="13"/>
  <c r="BH18" i="13"/>
  <c r="BH22" i="13" s="1"/>
  <c r="BI22" i="13" s="1"/>
  <c r="BH28" i="95"/>
  <c r="BH32" i="95"/>
  <c r="BI27" i="95"/>
  <c r="BH30" i="95"/>
  <c r="AB7" i="18"/>
  <c r="BH7" i="17"/>
  <c r="AA12" i="15"/>
  <c r="AC11" i="15"/>
  <c r="AA7" i="18"/>
  <c r="BC32" i="95"/>
  <c r="BC28" i="95"/>
  <c r="BC30" i="95"/>
  <c r="BC31" i="95" s="1"/>
  <c r="AA41" i="96"/>
  <c r="AA43" i="96"/>
  <c r="AD10" i="96"/>
  <c r="AD7" i="15"/>
  <c r="AD13" i="96"/>
  <c r="AD88" i="96" s="1"/>
  <c r="AA30" i="16"/>
  <c r="AA77" i="16"/>
  <c r="AE10" i="96"/>
  <c r="AE13" i="96"/>
  <c r="AE7" i="15"/>
  <c r="BL69" i="17"/>
  <c r="BL67" i="17"/>
  <c r="AA10" i="18"/>
  <c r="BC92" i="13" l="1"/>
  <c r="BC93" i="13"/>
  <c r="BC16" i="13"/>
  <c r="BD30" i="95"/>
  <c r="BD31" i="95" s="1"/>
  <c r="BD32" i="95"/>
  <c r="BC101" i="13"/>
  <c r="BD28" i="95"/>
  <c r="AA39" i="96" s="1"/>
  <c r="AC88" i="96"/>
  <c r="AB86" i="96"/>
  <c r="AB88" i="96"/>
  <c r="AA102" i="15"/>
  <c r="BC22" i="13"/>
  <c r="AA91" i="96"/>
  <c r="AA92" i="96"/>
  <c r="BC89" i="13"/>
  <c r="AE88" i="96"/>
  <c r="AB91" i="96"/>
  <c r="AB92" i="96"/>
  <c r="AE30" i="96"/>
  <c r="AE38" i="96" s="1"/>
  <c r="AE91" i="96"/>
  <c r="AE32" i="96" s="1"/>
  <c r="AF92" i="96"/>
  <c r="AF33" i="96" s="1"/>
  <c r="AF88" i="96"/>
  <c r="AC90" i="96"/>
  <c r="AC30" i="96" s="1"/>
  <c r="AC38" i="96" s="1"/>
  <c r="AD90" i="96"/>
  <c r="AD30" i="96" s="1"/>
  <c r="AD38" i="96" s="1"/>
  <c r="BI39" i="14"/>
  <c r="AB39" i="16" s="1"/>
  <c r="AB37" i="16"/>
  <c r="BI26" i="13"/>
  <c r="BI85" i="13" s="1"/>
  <c r="AB16" i="15"/>
  <c r="BE50" i="95"/>
  <c r="BG50" i="95"/>
  <c r="BF50" i="95"/>
  <c r="BI18" i="13"/>
  <c r="AB18" i="15" s="1"/>
  <c r="BI28" i="95"/>
  <c r="AB39" i="96" s="1"/>
  <c r="BI32" i="95"/>
  <c r="BE32" i="95"/>
  <c r="BI30" i="95"/>
  <c r="BH82" i="13"/>
  <c r="AB82" i="15"/>
  <c r="AB9" i="18"/>
  <c r="BH9" i="17"/>
  <c r="BH50" i="95"/>
  <c r="BH15" i="14"/>
  <c r="BO65" i="17" s="1"/>
  <c r="BH83" i="13"/>
  <c r="AB83" i="15"/>
  <c r="AB24" i="15"/>
  <c r="BH24" i="13"/>
  <c r="BH26" i="13" s="1"/>
  <c r="BH102" i="13" s="1"/>
  <c r="AB32" i="18"/>
  <c r="BH32" i="17"/>
  <c r="AF14" i="96"/>
  <c r="BH31" i="95"/>
  <c r="BI8" i="17"/>
  <c r="BI73" i="17" s="1"/>
  <c r="AB73" i="18" s="1"/>
  <c r="BI30" i="17"/>
  <c r="AB81" i="15"/>
  <c r="AC15" i="15"/>
  <c r="AA16" i="15"/>
  <c r="AC7" i="18"/>
  <c r="AC15" i="16" s="1"/>
  <c r="AJ66" i="18" s="1"/>
  <c r="AD11" i="15"/>
  <c r="AE11" i="15"/>
  <c r="AC12" i="15"/>
  <c r="AC82" i="15"/>
  <c r="AC83" i="15"/>
  <c r="AC30" i="16"/>
  <c r="AE14" i="96"/>
  <c r="AA37" i="16"/>
  <c r="AA86" i="16"/>
  <c r="AD14" i="96"/>
  <c r="AI13" i="96"/>
  <c r="AA9" i="18"/>
  <c r="AA32" i="18"/>
  <c r="AA19" i="16"/>
  <c r="BA50" i="95"/>
  <c r="AA18" i="15"/>
  <c r="AA42" i="96"/>
  <c r="AZ32" i="95"/>
  <c r="AZ50" i="95"/>
  <c r="BB50" i="95"/>
  <c r="AA82" i="15"/>
  <c r="AA92" i="15" s="1"/>
  <c r="AA83" i="15"/>
  <c r="AA93" i="15" s="1"/>
  <c r="BC50" i="95"/>
  <c r="AA24" i="16"/>
  <c r="AE15" i="15" l="1"/>
  <c r="AE7" i="18"/>
  <c r="AF15" i="16" s="1"/>
  <c r="AM66" i="18" s="1"/>
  <c r="AB93" i="15"/>
  <c r="AB92" i="15"/>
  <c r="AC102" i="15"/>
  <c r="AB22" i="15"/>
  <c r="BC26" i="13"/>
  <c r="AC77" i="16"/>
  <c r="BI27" i="13"/>
  <c r="BI102" i="13"/>
  <c r="AD91" i="96"/>
  <c r="AD32" i="96" s="1"/>
  <c r="AE92" i="96"/>
  <c r="AE33" i="96" s="1"/>
  <c r="AC91" i="96"/>
  <c r="AC32" i="96" s="1"/>
  <c r="AC39" i="96"/>
  <c r="AC92" i="96"/>
  <c r="AC33" i="96" s="1"/>
  <c r="AD92" i="96"/>
  <c r="AD33" i="96" s="1"/>
  <c r="BH19" i="14"/>
  <c r="BO69" i="17" s="1"/>
  <c r="BC77" i="14"/>
  <c r="BC72" i="14"/>
  <c r="BI31" i="95"/>
  <c r="AB42" i="96" s="1"/>
  <c r="BH17" i="14"/>
  <c r="AB88" i="15"/>
  <c r="AB89" i="15" s="1"/>
  <c r="AB30" i="18"/>
  <c r="BH30" i="17"/>
  <c r="BI15" i="14"/>
  <c r="AB8" i="18"/>
  <c r="BH8" i="17"/>
  <c r="BI50" i="95"/>
  <c r="AC16" i="15"/>
  <c r="AD15" i="15"/>
  <c r="AC9" i="18"/>
  <c r="AC17" i="16" s="1"/>
  <c r="AJ68" i="18" s="1"/>
  <c r="AC32" i="18"/>
  <c r="AC19" i="16" s="1"/>
  <c r="AJ70" i="18" s="1"/>
  <c r="AF12" i="15"/>
  <c r="AD30" i="16"/>
  <c r="AD7" i="18"/>
  <c r="AD15" i="16" s="1"/>
  <c r="AK66" i="18" s="1"/>
  <c r="AC86" i="16"/>
  <c r="AE12" i="15"/>
  <c r="AC37" i="16"/>
  <c r="AC39" i="16" s="1"/>
  <c r="AA22" i="15"/>
  <c r="AA26" i="15" s="1"/>
  <c r="AE83" i="15"/>
  <c r="AD83" i="15"/>
  <c r="AE30" i="16"/>
  <c r="AD12" i="15"/>
  <c r="AE82" i="15"/>
  <c r="AD82" i="15"/>
  <c r="AA39" i="16"/>
  <c r="BD72" i="14"/>
  <c r="AZ77" i="14"/>
  <c r="AZ72" i="14"/>
  <c r="BD50" i="95"/>
  <c r="AA81" i="15"/>
  <c r="AA17" i="16"/>
  <c r="AE102" i="15" l="1"/>
  <c r="AE32" i="18"/>
  <c r="AE9" i="18"/>
  <c r="AB26" i="15"/>
  <c r="AD86" i="16"/>
  <c r="AD102" i="15"/>
  <c r="AE77" i="16"/>
  <c r="BI19" i="14"/>
  <c r="BP69" i="17" s="1"/>
  <c r="BC102" i="13"/>
  <c r="BC27" i="13"/>
  <c r="BD26" i="13"/>
  <c r="BC78" i="13"/>
  <c r="BC31" i="13"/>
  <c r="AA103" i="15"/>
  <c r="BI17" i="14"/>
  <c r="BO67" i="17"/>
  <c r="AB15" i="16"/>
  <c r="AI66" i="18" s="1"/>
  <c r="BP65" i="17"/>
  <c r="BI71" i="14"/>
  <c r="BI77" i="14"/>
  <c r="AB77" i="16" s="1"/>
  <c r="AC24" i="15"/>
  <c r="AD77" i="16"/>
  <c r="AD37" i="16"/>
  <c r="AD39" i="16" s="1"/>
  <c r="AA78" i="15"/>
  <c r="AF16" i="15"/>
  <c r="AE15" i="16"/>
  <c r="AL66" i="18" s="1"/>
  <c r="AE37" i="16"/>
  <c r="AE39" i="16" s="1"/>
  <c r="AE16" i="15"/>
  <c r="AE86" i="16"/>
  <c r="AH16" i="15"/>
  <c r="AD16" i="15"/>
  <c r="AD9" i="18"/>
  <c r="AD17" i="16" s="1"/>
  <c r="AK68" i="18" s="1"/>
  <c r="AD32" i="18"/>
  <c r="AD19" i="16" s="1"/>
  <c r="AK70" i="18" s="1"/>
  <c r="AA27" i="15"/>
  <c r="AA72" i="16"/>
  <c r="BA72" i="14"/>
  <c r="BA77" i="14"/>
  <c r="AA16" i="18"/>
  <c r="AA88" i="15"/>
  <c r="AA30" i="18"/>
  <c r="AA15" i="16"/>
  <c r="AC31" i="96"/>
  <c r="AC27" i="96"/>
  <c r="AC28" i="96" s="1"/>
  <c r="AA8" i="18"/>
  <c r="AB19" i="16" l="1"/>
  <c r="AI70" i="18" s="1"/>
  <c r="AB103" i="15"/>
  <c r="AB27" i="15"/>
  <c r="BE77" i="13"/>
  <c r="BE78" i="13" s="1"/>
  <c r="BC37" i="13"/>
  <c r="BC35" i="13"/>
  <c r="BC32" i="13"/>
  <c r="BD102" i="13"/>
  <c r="BD31" i="13"/>
  <c r="BD78" i="13"/>
  <c r="BD85" i="13"/>
  <c r="BD27" i="13"/>
  <c r="BC79" i="17"/>
  <c r="BC79" i="13"/>
  <c r="AB17" i="16"/>
  <c r="AI68" i="18" s="1"/>
  <c r="BP67" i="17"/>
  <c r="BI6" i="14"/>
  <c r="AB71" i="16"/>
  <c r="BB77" i="14"/>
  <c r="AA79" i="15"/>
  <c r="AF19" i="16"/>
  <c r="AM70" i="18" s="1"/>
  <c r="AF17" i="16"/>
  <c r="AM68" i="18" s="1"/>
  <c r="AE19" i="16"/>
  <c r="AL70" i="18" s="1"/>
  <c r="AE17" i="16"/>
  <c r="AL68" i="18" s="1"/>
  <c r="AD24" i="15"/>
  <c r="AA89" i="15"/>
  <c r="AA23" i="18"/>
  <c r="AD31" i="96"/>
  <c r="AD27" i="96"/>
  <c r="AD28" i="96" s="1"/>
  <c r="AA18" i="16"/>
  <c r="BD84" i="13" l="1"/>
  <c r="BD86" i="13"/>
  <c r="BD37" i="13"/>
  <c r="BD35" i="13"/>
  <c r="AA35" i="15" s="1"/>
  <c r="BD79" i="17"/>
  <c r="BD79" i="13"/>
  <c r="BC38" i="13"/>
  <c r="BC43" i="13"/>
  <c r="BE79" i="13"/>
  <c r="BI77" i="13"/>
  <c r="BI78" i="13" s="1"/>
  <c r="BI79" i="13" s="1"/>
  <c r="AB6" i="16"/>
  <c r="BE23" i="17"/>
  <c r="BB72" i="14"/>
  <c r="AF31" i="96"/>
  <c r="AF27" i="96"/>
  <c r="AE24" i="15"/>
  <c r="AE31" i="96"/>
  <c r="AE27" i="96"/>
  <c r="AE28" i="96" s="1"/>
  <c r="AA98" i="15" l="1"/>
  <c r="BC51" i="13"/>
  <c r="BC92" i="14"/>
  <c r="BC48" i="13"/>
  <c r="BC44" i="13"/>
  <c r="BC54" i="13"/>
  <c r="BD38" i="13"/>
  <c r="BD43" i="13"/>
  <c r="AB77" i="15"/>
  <c r="BC84" i="13"/>
  <c r="BC85" i="13" s="1"/>
  <c r="BC86" i="13" s="1"/>
  <c r="AA84" i="15"/>
  <c r="AA85" i="15" s="1"/>
  <c r="AF28" i="96"/>
  <c r="AF24" i="15"/>
  <c r="AC89" i="15"/>
  <c r="AA16" i="16"/>
  <c r="AB78" i="15" l="1"/>
  <c r="BD92" i="14"/>
  <c r="BD44" i="13"/>
  <c r="BD48" i="13"/>
  <c r="BD51" i="13"/>
  <c r="BD103" i="13" s="1"/>
  <c r="BD54" i="13"/>
  <c r="BC97" i="13"/>
  <c r="BC52" i="13"/>
  <c r="BC55" i="13"/>
  <c r="BC103" i="13"/>
  <c r="BF77" i="13"/>
  <c r="BF78" i="13" s="1"/>
  <c r="AD89" i="15"/>
  <c r="AC88" i="15"/>
  <c r="BF79" i="13" l="1"/>
  <c r="BD97" i="13"/>
  <c r="BD55" i="13"/>
  <c r="BD52" i="13"/>
  <c r="AB79" i="15"/>
  <c r="BF23" i="17"/>
  <c r="AE89" i="15"/>
  <c r="AF89" i="15" s="1"/>
  <c r="AD88" i="15"/>
  <c r="AC81" i="15"/>
  <c r="AF88" i="15" l="1"/>
  <c r="AC30" i="18"/>
  <c r="AC18" i="16" s="1"/>
  <c r="AJ69" i="18" s="1"/>
  <c r="AC8" i="18"/>
  <c r="AD81" i="15"/>
  <c r="AE88" i="15"/>
  <c r="AF81" i="15" l="1"/>
  <c r="AC16" i="16"/>
  <c r="AJ67" i="18" s="1"/>
  <c r="AC73" i="18"/>
  <c r="AE81" i="15"/>
  <c r="AD30" i="18"/>
  <c r="AD18" i="16" s="1"/>
  <c r="AK69" i="18" s="1"/>
  <c r="AD8" i="18"/>
  <c r="AE8" i="18" l="1"/>
  <c r="AE30" i="18"/>
  <c r="AF30" i="18"/>
  <c r="AF8" i="18"/>
  <c r="AF73" i="18" s="1"/>
  <c r="AD16" i="16"/>
  <c r="AK67" i="18" s="1"/>
  <c r="AD73" i="18"/>
  <c r="AF18" i="16" l="1"/>
  <c r="AM69" i="18" s="1"/>
  <c r="AF16" i="16"/>
  <c r="AM67" i="18" s="1"/>
  <c r="AE18" i="16"/>
  <c r="AL69" i="18" s="1"/>
  <c r="AE73" i="18"/>
  <c r="AE16" i="16"/>
  <c r="AL67" i="18" s="1"/>
  <c r="AC67" i="15"/>
  <c r="AD67" i="15" s="1"/>
  <c r="AE67" i="15" s="1"/>
  <c r="AF67" i="15" s="1"/>
  <c r="AC66" i="15" l="1"/>
  <c r="AC116" i="18"/>
  <c r="AC63" i="15" l="1"/>
  <c r="AD116" i="18"/>
  <c r="AD66" i="15"/>
  <c r="AE116" i="18" l="1"/>
  <c r="AE66" i="15"/>
  <c r="AD63" i="15"/>
  <c r="AC57" i="15"/>
  <c r="AC58" i="15" s="1"/>
  <c r="AC60" i="15" l="1"/>
  <c r="AE63" i="15"/>
  <c r="AD57" i="15"/>
  <c r="AD58" i="15" s="1"/>
  <c r="AF116" i="18"/>
  <c r="AF66" i="15"/>
  <c r="AF63" i="15" l="1"/>
  <c r="AF57" i="15" s="1"/>
  <c r="AE57" i="15"/>
  <c r="AE58" i="15" s="1"/>
  <c r="AC61" i="15"/>
  <c r="AD60" i="15"/>
  <c r="AF58" i="15" l="1"/>
  <c r="AE60" i="15"/>
  <c r="AD61" i="15"/>
  <c r="AF60" i="15" l="1"/>
  <c r="AE61" i="15"/>
  <c r="AF61" i="15" l="1"/>
  <c r="AC41" i="96" l="1"/>
  <c r="AC42" i="96" s="1"/>
  <c r="AC43" i="96"/>
  <c r="AC18" i="15"/>
  <c r="AD39" i="96" l="1"/>
  <c r="AE39" i="96"/>
  <c r="AF39" i="96"/>
  <c r="AD41" i="96"/>
  <c r="AE41" i="96"/>
  <c r="AF41" i="96"/>
  <c r="AD43" i="96"/>
  <c r="AE43" i="96"/>
  <c r="AF43" i="96"/>
  <c r="AD18" i="15"/>
  <c r="AE18" i="15"/>
  <c r="AF18" i="15"/>
  <c r="AF42" i="96" l="1"/>
  <c r="AD42" i="96"/>
  <c r="AE42" i="96"/>
  <c r="AC27" i="93"/>
  <c r="AC29" i="93"/>
  <c r="AC30" i="93" s="1"/>
  <c r="AC31" i="93"/>
  <c r="AC19" i="15"/>
  <c r="AC22" i="15" s="1"/>
  <c r="AC26" i="15" l="1"/>
  <c r="AC103" i="15" l="1"/>
  <c r="AC27" i="15"/>
  <c r="AC84" i="15"/>
  <c r="AC85" i="15" s="1"/>
  <c r="AD27" i="93" l="1"/>
  <c r="AE27" i="93"/>
  <c r="AF27" i="93"/>
  <c r="AD29" i="93"/>
  <c r="AD30" i="93" s="1"/>
  <c r="AE29" i="93"/>
  <c r="AF29" i="93"/>
  <c r="AD31" i="93"/>
  <c r="AE31" i="93"/>
  <c r="AF31" i="93"/>
  <c r="AD19" i="15"/>
  <c r="AE19" i="15"/>
  <c r="AF19" i="15"/>
  <c r="AF30" i="93" l="1"/>
  <c r="AF22" i="15"/>
  <c r="AE30" i="93"/>
  <c r="AE22" i="15"/>
  <c r="AD22" i="15"/>
  <c r="AF26" i="15" l="1"/>
  <c r="AD26" i="15"/>
  <c r="AE26" i="15"/>
  <c r="AF84" i="15" l="1"/>
  <c r="AF103" i="15"/>
  <c r="AD84" i="15"/>
  <c r="AD85" i="15" s="1"/>
  <c r="AD27" i="15"/>
  <c r="AF27" i="15"/>
  <c r="AE84" i="15"/>
  <c r="AE85" i="15" s="1"/>
  <c r="AE27" i="15"/>
  <c r="AD103" i="15"/>
  <c r="AE103" i="15"/>
  <c r="BG81" i="13"/>
  <c r="BG84" i="13" s="1"/>
  <c r="AF85" i="15" l="1"/>
  <c r="AE86" i="15"/>
  <c r="AD86" i="15"/>
  <c r="BF73" i="17"/>
  <c r="BG30" i="17"/>
  <c r="BG8" i="17"/>
  <c r="BL68" i="17"/>
  <c r="AF86" i="15" l="1"/>
  <c r="BH16" i="14"/>
  <c r="BO66" i="17" s="1"/>
  <c r="BG73" i="17"/>
  <c r="BM66" i="17"/>
  <c r="BL66" i="17"/>
  <c r="BG18" i="14"/>
  <c r="BN68" i="17" s="1"/>
  <c r="BH18" i="14"/>
  <c r="BO68" i="17" s="1"/>
  <c r="BG16" i="14"/>
  <c r="BN66" i="17" s="1"/>
  <c r="BM68" i="17"/>
  <c r="BH9" i="14"/>
  <c r="BH53" i="17" s="1"/>
  <c r="BI53" i="17" s="1"/>
  <c r="AB53" i="18" s="1"/>
  <c r="AC53" i="18" s="1"/>
  <c r="AD53" i="18" s="1"/>
  <c r="AE53" i="18" s="1"/>
  <c r="AF53" i="18" s="1"/>
  <c r="BI18" i="14" l="1"/>
  <c r="BI16" i="14"/>
  <c r="AB71" i="15"/>
  <c r="BI70" i="13"/>
  <c r="AB70" i="15" s="1"/>
  <c r="AB16" i="16" l="1"/>
  <c r="AI67" i="18" s="1"/>
  <c r="BP66" i="17"/>
  <c r="AB18" i="16"/>
  <c r="AI69" i="18" s="1"/>
  <c r="BP68" i="17"/>
  <c r="BI98" i="14"/>
  <c r="BI99" i="14" s="1"/>
  <c r="AB99" i="16" s="1"/>
  <c r="AB98" i="16" l="1"/>
  <c r="BI45" i="14"/>
  <c r="AB45" i="16" s="1"/>
  <c r="AC98" i="16"/>
  <c r="BI49" i="14" l="1"/>
  <c r="BI51" i="14" s="1"/>
  <c r="AB51" i="16" s="1"/>
  <c r="BI95" i="14"/>
  <c r="AB95" i="16" s="1"/>
  <c r="AD98" i="16"/>
  <c r="AC70" i="15"/>
  <c r="AC45" i="16"/>
  <c r="AA54" i="18"/>
  <c r="AA80" i="45"/>
  <c r="AA29" i="15"/>
  <c r="AA31" i="15" s="1"/>
  <c r="AA34" i="15"/>
  <c r="AA38" i="15"/>
  <c r="AA44" i="15"/>
  <c r="AC95" i="16" l="1"/>
  <c r="AB49" i="16"/>
  <c r="AA60" i="18"/>
  <c r="AA4" i="16"/>
  <c r="AA37" i="15"/>
  <c r="AA43" i="15" s="1"/>
  <c r="AA32" i="15"/>
  <c r="AC49" i="16"/>
  <c r="AC51" i="16" s="1"/>
  <c r="AA56" i="18"/>
  <c r="AD70" i="15"/>
  <c r="AE98" i="16"/>
  <c r="AD45" i="16"/>
  <c r="AD95" i="16" l="1"/>
  <c r="AA51" i="15"/>
  <c r="AD49" i="16"/>
  <c r="AD51" i="16" s="1"/>
  <c r="AF98" i="16"/>
  <c r="AE70" i="15"/>
  <c r="AE45" i="16"/>
  <c r="AA85" i="16"/>
  <c r="AA48" i="15"/>
  <c r="AA97" i="15" s="1"/>
  <c r="AA54" i="15"/>
  <c r="AE95" i="16" l="1"/>
  <c r="AA104" i="15"/>
  <c r="AF45" i="16"/>
  <c r="AA55" i="15"/>
  <c r="AA52" i="15"/>
  <c r="AE49" i="16"/>
  <c r="AE51" i="16" s="1"/>
  <c r="AF95" i="16" l="1"/>
  <c r="AF49" i="16"/>
  <c r="AF51" i="16" s="1"/>
  <c r="AA93" i="16"/>
  <c r="AA92" i="16"/>
  <c r="AA91" i="16"/>
  <c r="AA105" i="15" l="1"/>
  <c r="AA94" i="16"/>
  <c r="AA21" i="16" l="1"/>
  <c r="AA22" i="16" s="1"/>
  <c r="AA25" i="16"/>
  <c r="AA27" i="16"/>
  <c r="AA61" i="16"/>
  <c r="AA64" i="16"/>
  <c r="AA79" i="16"/>
  <c r="AA80" i="16"/>
  <c r="AA81" i="16"/>
  <c r="AA96" i="16"/>
  <c r="BI63" i="14"/>
  <c r="AB63" i="16" s="1"/>
  <c r="AA33" i="18" l="1"/>
  <c r="AA36" i="18" l="1"/>
  <c r="AA47" i="18" l="1"/>
  <c r="AA62" i="18" l="1"/>
  <c r="AA5" i="18"/>
  <c r="AA12" i="18"/>
  <c r="AA25" i="18"/>
  <c r="AA78" i="18"/>
  <c r="AA79" i="18"/>
  <c r="AZ79" i="17"/>
  <c r="AA82" i="18"/>
  <c r="AA103" i="18"/>
  <c r="AA107" i="18"/>
  <c r="AA109" i="18"/>
  <c r="BC65" i="14"/>
  <c r="BD65" i="14"/>
  <c r="AA65" i="16" l="1"/>
  <c r="BD67" i="14"/>
  <c r="AA67" i="16" s="1"/>
  <c r="AA68" i="16" s="1"/>
  <c r="BC67" i="14"/>
  <c r="BC68" i="14" s="1"/>
  <c r="BC69" i="14"/>
  <c r="BD69" i="14" s="1"/>
  <c r="AA69" i="16" s="1"/>
  <c r="AA63" i="18"/>
  <c r="AA104" i="18"/>
  <c r="BD68" i="14" l="1"/>
  <c r="AA111" i="18"/>
  <c r="AA117" i="18"/>
  <c r="AA105" i="18"/>
  <c r="AA112" i="18" l="1"/>
  <c r="AA113" i="18" l="1"/>
  <c r="AA114" i="18"/>
  <c r="AA115" i="18"/>
  <c r="AB74" i="18" l="1"/>
  <c r="AC74" i="18" s="1"/>
  <c r="BG10" i="17"/>
  <c r="BI10" i="17"/>
  <c r="AB10" i="18" l="1"/>
  <c r="BH10" i="17"/>
  <c r="BG24" i="14"/>
  <c r="AC10" i="18"/>
  <c r="AD74" i="18"/>
  <c r="BH24" i="14" l="1"/>
  <c r="BI24" i="14" s="1"/>
  <c r="AB24" i="16" s="1"/>
  <c r="AD10" i="18"/>
  <c r="AD24" i="16" s="1"/>
  <c r="AE74" i="18"/>
  <c r="AE10" i="18" s="1"/>
  <c r="AC24" i="16"/>
  <c r="AF74" i="18" l="1"/>
  <c r="AF10" i="18" s="1"/>
  <c r="AF24" i="16" l="1"/>
  <c r="AE24" i="16"/>
  <c r="AA83" i="18"/>
  <c r="AA84" i="18"/>
  <c r="AA86" i="18"/>
  <c r="AA87" i="18"/>
  <c r="AA91" i="18"/>
  <c r="AA92" i="18"/>
  <c r="AA94" i="18"/>
  <c r="AA95" i="18"/>
  <c r="AA96" i="18"/>
  <c r="AA98" i="18"/>
  <c r="AA99" i="18"/>
  <c r="AA100" i="18"/>
  <c r="BI84" i="13" l="1"/>
  <c r="AB84" i="15" s="1"/>
  <c r="BI86" i="13"/>
  <c r="AB85" i="15" l="1"/>
  <c r="AC86" i="15" l="1"/>
  <c r="BH4" i="94" l="1"/>
  <c r="BH6" i="94"/>
  <c r="BE46" i="94"/>
  <c r="BH46" i="94" l="1"/>
  <c r="BI46" i="94" s="1"/>
  <c r="BH9" i="94"/>
  <c r="BH8" i="13" s="1"/>
  <c r="BH11" i="13" s="1"/>
  <c r="BH12" i="13" s="1"/>
  <c r="BH47" i="94"/>
  <c r="BE47" i="94"/>
  <c r="BH7" i="94"/>
  <c r="BH22" i="94" l="1"/>
  <c r="BH13" i="94"/>
  <c r="BH30" i="94" s="1"/>
  <c r="BH31" i="94" s="1"/>
  <c r="BH50" i="94"/>
  <c r="BI50" i="94" s="1"/>
  <c r="BH10" i="94"/>
  <c r="BH21" i="94"/>
  <c r="BH16" i="94"/>
  <c r="BH17" i="94" s="1"/>
  <c r="BH66" i="17"/>
  <c r="BH70" i="17"/>
  <c r="BH15" i="13"/>
  <c r="BH16" i="13" s="1"/>
  <c r="BH69" i="17"/>
  <c r="BI47" i="94"/>
  <c r="BE80" i="46"/>
  <c r="BE31" i="13"/>
  <c r="BE32" i="13"/>
  <c r="BE35" i="13" l="1"/>
  <c r="BH93" i="13"/>
  <c r="BE37" i="13"/>
  <c r="BE43" i="13" s="1"/>
  <c r="BH27" i="13"/>
  <c r="BH14" i="94"/>
  <c r="BH32" i="94"/>
  <c r="BH74" i="17"/>
  <c r="BH92" i="13"/>
  <c r="BH73" i="17"/>
  <c r="BH101" i="13"/>
  <c r="BE48" i="13" l="1"/>
  <c r="BE38" i="13"/>
  <c r="BE51" i="13"/>
  <c r="BE54" i="13"/>
  <c r="BE44" i="13"/>
  <c r="BE103" i="13" l="1"/>
  <c r="BE97" i="13"/>
  <c r="BE55" i="13"/>
  <c r="BE52" i="13"/>
  <c r="BE56" i="17"/>
  <c r="BE60" i="17" s="1"/>
  <c r="BE36" i="17" l="1"/>
  <c r="BE47" i="17" s="1"/>
  <c r="BE62" i="17" s="1"/>
  <c r="BL71" i="17"/>
  <c r="BE22" i="14"/>
  <c r="BL72" i="17" s="1"/>
  <c r="BE25" i="14" l="1"/>
  <c r="BE85" i="14" s="1"/>
  <c r="BE91" i="14" s="1"/>
  <c r="BL75" i="17" l="1"/>
  <c r="BE27" i="14"/>
  <c r="BE79" i="14"/>
  <c r="BE96" i="14" s="1"/>
  <c r="BE92" i="14"/>
  <c r="BE93" i="14"/>
  <c r="BE104" i="13"/>
  <c r="BE81" i="14" l="1"/>
  <c r="BE80" i="14"/>
  <c r="BL74" i="17"/>
  <c r="BE61" i="14"/>
  <c r="BE64" i="14" s="1"/>
  <c r="BE12" i="17"/>
  <c r="BE25" i="17" s="1"/>
  <c r="BF63" i="14" l="1"/>
  <c r="BE65" i="14"/>
  <c r="BE63" i="17"/>
  <c r="BE64" i="17"/>
  <c r="BG65" i="14" l="1"/>
  <c r="BH65" i="14" s="1"/>
  <c r="BI65" i="14" s="1"/>
  <c r="AB65" i="16" s="1"/>
  <c r="AC65" i="16" s="1"/>
  <c r="AD65" i="16" s="1"/>
  <c r="AE65" i="16" s="1"/>
  <c r="AF65" i="16" s="1"/>
  <c r="BE69" i="14"/>
  <c r="BE67" i="14"/>
  <c r="BE68" i="14" s="1"/>
  <c r="BF47" i="17"/>
  <c r="BI69" i="14" l="1"/>
  <c r="BM72" i="17"/>
  <c r="BM71" i="17"/>
  <c r="BI33" i="17"/>
  <c r="AB33" i="18" s="1"/>
  <c r="BG36" i="17"/>
  <c r="BG47" i="17" s="1"/>
  <c r="BH36" i="17"/>
  <c r="BH47" i="17" s="1"/>
  <c r="BG21" i="14"/>
  <c r="BN71" i="17" s="1"/>
  <c r="BH21" i="14"/>
  <c r="BO71" i="17" s="1"/>
  <c r="BH22" i="14" l="1"/>
  <c r="BO72" i="17" s="1"/>
  <c r="BI36" i="17"/>
  <c r="BG22" i="14"/>
  <c r="BN72" i="17" s="1"/>
  <c r="BI21" i="14"/>
  <c r="AB36" i="18" l="1"/>
  <c r="BI47" i="17"/>
  <c r="AB47" i="18" s="1"/>
  <c r="BP71" i="17"/>
  <c r="BI22" i="14"/>
  <c r="BP72" i="17" s="1"/>
  <c r="AB21" i="16"/>
  <c r="AI72" i="18" l="1"/>
  <c r="AB22" i="16"/>
  <c r="AI73" i="18" l="1"/>
  <c r="BF80" i="46" l="1"/>
  <c r="BF31" i="13"/>
  <c r="BF35" i="13" l="1"/>
  <c r="BF37" i="13"/>
  <c r="BF32" i="13"/>
  <c r="BF43" i="13" l="1"/>
  <c r="BF38" i="13"/>
  <c r="BF48" i="13" l="1"/>
  <c r="BF54" i="13"/>
  <c r="BF44" i="13"/>
  <c r="BF51" i="13"/>
  <c r="BF103" i="13" l="1"/>
  <c r="BF97" i="13"/>
  <c r="BF52" i="13"/>
  <c r="BF55" i="13"/>
  <c r="BF27" i="14" l="1"/>
  <c r="BF85" i="14"/>
  <c r="BF79" i="14"/>
  <c r="BF80" i="14" l="1"/>
  <c r="BF81" i="14"/>
  <c r="BM74" i="17"/>
  <c r="BM75" i="17" l="1"/>
  <c r="BF92" i="14"/>
  <c r="BF93" i="14"/>
  <c r="BF104" i="13"/>
  <c r="BF12" i="17"/>
  <c r="BF25" i="17" s="1"/>
  <c r="BF78" i="17"/>
  <c r="BF79" i="17" s="1"/>
  <c r="BF62" i="17"/>
  <c r="BF63" i="17" l="1"/>
  <c r="BF64" i="17"/>
  <c r="BF98" i="14"/>
  <c r="BF99" i="14" s="1"/>
  <c r="BH70" i="13"/>
  <c r="BH98" i="14" s="1"/>
  <c r="BH99" i="14" s="1"/>
  <c r="BF71" i="13"/>
  <c r="BH71" i="13" l="1"/>
  <c r="BF49" i="14" l="1"/>
  <c r="BF51" i="14" s="1"/>
  <c r="BF61" i="14" s="1"/>
  <c r="BF64" i="14" s="1"/>
  <c r="BF95" i="14"/>
  <c r="BF96" i="14" s="1"/>
  <c r="BH45" i="14"/>
  <c r="BH95" i="14" l="1"/>
  <c r="BH49" i="14"/>
  <c r="BH51" i="14" s="1"/>
  <c r="BG63" i="14"/>
  <c r="BF67" i="14"/>
  <c r="BF68" i="14" s="1"/>
  <c r="BF67" i="17"/>
  <c r="BF68" i="17"/>
  <c r="BH81" i="13"/>
  <c r="BF84" i="13"/>
  <c r="BH84" i="13"/>
  <c r="BF88" i="13"/>
  <c r="BH88" i="13"/>
  <c r="BH89" i="13" s="1"/>
  <c r="BF89" i="13"/>
  <c r="BH67" i="17" l="1"/>
  <c r="BH68" i="17"/>
  <c r="BH85" i="13"/>
  <c r="BH86" i="13" s="1"/>
  <c r="BG30" i="14"/>
  <c r="BG77" i="14" s="1"/>
  <c r="BG37" i="14" l="1"/>
  <c r="BG39" i="14" s="1"/>
  <c r="BH30" i="14"/>
  <c r="BG86" i="14"/>
  <c r="BH76" i="14" l="1"/>
  <c r="BH86" i="14"/>
  <c r="BI86" i="14" s="1"/>
  <c r="AB86" i="16" s="1"/>
  <c r="BH37" i="14"/>
  <c r="BH39" i="14" s="1"/>
  <c r="AC11" i="18" l="1"/>
  <c r="AD11" i="18" s="1"/>
  <c r="AE11" i="18" s="1"/>
  <c r="AF11" i="18" s="1"/>
  <c r="BI11" i="17"/>
  <c r="AB11" i="18" s="1"/>
  <c r="AB5" i="18" l="1"/>
  <c r="AC5" i="18"/>
  <c r="AD5" i="18"/>
  <c r="AE5" i="18"/>
  <c r="AF5" i="18"/>
  <c r="AB12" i="18"/>
  <c r="AC12" i="18"/>
  <c r="AD12" i="18"/>
  <c r="AE12" i="18"/>
  <c r="AF12" i="18"/>
  <c r="AB16" i="18"/>
  <c r="AC16" i="18"/>
  <c r="AD16" i="18"/>
  <c r="AE16" i="18"/>
  <c r="AF16" i="18"/>
  <c r="AB23" i="18"/>
  <c r="AC23" i="18"/>
  <c r="AD23" i="18"/>
  <c r="AE23" i="18"/>
  <c r="AF23" i="18"/>
  <c r="AB25" i="18"/>
  <c r="AC25" i="18"/>
  <c r="AD25" i="18"/>
  <c r="AE25" i="18"/>
  <c r="AF25" i="18"/>
  <c r="AC33" i="18"/>
  <c r="AD33" i="18"/>
  <c r="AE33" i="18"/>
  <c r="AF33" i="18"/>
  <c r="AC36" i="18"/>
  <c r="AD36" i="18"/>
  <c r="AE36" i="18"/>
  <c r="AF36" i="18"/>
  <c r="AC47" i="18"/>
  <c r="AD47" i="18"/>
  <c r="AE47" i="18"/>
  <c r="AF47" i="18"/>
  <c r="AB54" i="18"/>
  <c r="AC54" i="18"/>
  <c r="AD54" i="18"/>
  <c r="AE54" i="18"/>
  <c r="AF54" i="18"/>
  <c r="AB56" i="18"/>
  <c r="AC56" i="18"/>
  <c r="AD56" i="18"/>
  <c r="AE56" i="18"/>
  <c r="AF56" i="18"/>
  <c r="AB60" i="18"/>
  <c r="AC60" i="18"/>
  <c r="AD60" i="18"/>
  <c r="AE60" i="18"/>
  <c r="AF60" i="18"/>
  <c r="AB62" i="18"/>
  <c r="AC62" i="18"/>
  <c r="AD62" i="18"/>
  <c r="AE62" i="18"/>
  <c r="AF62" i="18"/>
  <c r="AB63" i="18"/>
  <c r="AC63" i="18"/>
  <c r="AD63" i="18"/>
  <c r="AE63" i="18"/>
  <c r="AF63" i="18"/>
  <c r="AC64" i="18"/>
  <c r="AD64" i="18"/>
  <c r="AE64" i="18"/>
  <c r="AF64" i="18"/>
  <c r="AJ72" i="18"/>
  <c r="AK72" i="18"/>
  <c r="AL72" i="18"/>
  <c r="AM72" i="18"/>
  <c r="AJ73" i="18"/>
  <c r="AK73" i="18"/>
  <c r="AL73" i="18"/>
  <c r="AM73" i="18"/>
  <c r="AI75" i="18"/>
  <c r="AJ75" i="18"/>
  <c r="AK75" i="18"/>
  <c r="AL75" i="18"/>
  <c r="AM75" i="18"/>
  <c r="AI76" i="18"/>
  <c r="AJ76" i="18"/>
  <c r="AK76" i="18"/>
  <c r="AL76" i="18"/>
  <c r="AM76" i="18"/>
  <c r="AB78" i="18"/>
  <c r="AC78" i="18"/>
  <c r="AD78" i="18"/>
  <c r="AE78" i="18"/>
  <c r="AF78" i="18"/>
  <c r="AI78" i="18"/>
  <c r="AJ78" i="18"/>
  <c r="AK78" i="18"/>
  <c r="AL78" i="18"/>
  <c r="AM78" i="18"/>
  <c r="AB79" i="18"/>
  <c r="AC79" i="18"/>
  <c r="AD79" i="18"/>
  <c r="AE79" i="18"/>
  <c r="AF79" i="18"/>
  <c r="AB82" i="18"/>
  <c r="AC82" i="18"/>
  <c r="AD82" i="18"/>
  <c r="AE82" i="18"/>
  <c r="AF82" i="18"/>
  <c r="AB83" i="18"/>
  <c r="AC83" i="18"/>
  <c r="AD83" i="18"/>
  <c r="AE83" i="18"/>
  <c r="AF83" i="18"/>
  <c r="AB84" i="18"/>
  <c r="AC84" i="18"/>
  <c r="AD84" i="18"/>
  <c r="AE84" i="18"/>
  <c r="AF84" i="18"/>
  <c r="AB86" i="18"/>
  <c r="AC86" i="18"/>
  <c r="AD86" i="18"/>
  <c r="AE86" i="18"/>
  <c r="AF86" i="18"/>
  <c r="AB87" i="18"/>
  <c r="AC87" i="18"/>
  <c r="AD87" i="18"/>
  <c r="AE87" i="18"/>
  <c r="AF87" i="18"/>
  <c r="AB91" i="18"/>
  <c r="AC91" i="18"/>
  <c r="AD91" i="18"/>
  <c r="AE91" i="18"/>
  <c r="AF91" i="18"/>
  <c r="AB92" i="18"/>
  <c r="AC92" i="18"/>
  <c r="AD92" i="18"/>
  <c r="AE92" i="18"/>
  <c r="AF92" i="18"/>
  <c r="AB94" i="18"/>
  <c r="AC94" i="18"/>
  <c r="AD94" i="18"/>
  <c r="AE94" i="18"/>
  <c r="AF94" i="18"/>
  <c r="AB95" i="18"/>
  <c r="AC95" i="18"/>
  <c r="AD95" i="18"/>
  <c r="AE95" i="18"/>
  <c r="AF95" i="18"/>
  <c r="AB96" i="18"/>
  <c r="AC96" i="18"/>
  <c r="AD96" i="18"/>
  <c r="AE96" i="18"/>
  <c r="AF96" i="18"/>
  <c r="AB98" i="18"/>
  <c r="AC98" i="18"/>
  <c r="AD98" i="18"/>
  <c r="AE98" i="18"/>
  <c r="AF98" i="18"/>
  <c r="AB99" i="18"/>
  <c r="AC99" i="18"/>
  <c r="AD99" i="18"/>
  <c r="AE99" i="18"/>
  <c r="AF99" i="18"/>
  <c r="AB100" i="18"/>
  <c r="AC100" i="18"/>
  <c r="AD100" i="18"/>
  <c r="AE100" i="18"/>
  <c r="AF100" i="18"/>
  <c r="AB103" i="18"/>
  <c r="AC103" i="18"/>
  <c r="AD103" i="18"/>
  <c r="AE103" i="18"/>
  <c r="AF103" i="18"/>
  <c r="AB104" i="18"/>
  <c r="AC104" i="18"/>
  <c r="AD104" i="18"/>
  <c r="AE104" i="18"/>
  <c r="AF104" i="18"/>
  <c r="AB105" i="18"/>
  <c r="AC105" i="18"/>
  <c r="AD105" i="18"/>
  <c r="AE105" i="18"/>
  <c r="AF105" i="18"/>
  <c r="AB107" i="18"/>
  <c r="AC107" i="18"/>
  <c r="AD107" i="18"/>
  <c r="AE107" i="18"/>
  <c r="AF107" i="18"/>
  <c r="AB109" i="18"/>
  <c r="AC109" i="18"/>
  <c r="AD109" i="18"/>
  <c r="AE109" i="18"/>
  <c r="AF109" i="18"/>
  <c r="AB111" i="18"/>
  <c r="AC111" i="18"/>
  <c r="AD111" i="18"/>
  <c r="AE111" i="18"/>
  <c r="AF111" i="18"/>
  <c r="AB112" i="18"/>
  <c r="AC112" i="18"/>
  <c r="AD112" i="18"/>
  <c r="AE112" i="18"/>
  <c r="AF112" i="18"/>
  <c r="AB113" i="18"/>
  <c r="AC113" i="18"/>
  <c r="AD113" i="18"/>
  <c r="AE113" i="18"/>
  <c r="AF113" i="18"/>
  <c r="AB114" i="18"/>
  <c r="AC114" i="18"/>
  <c r="AD114" i="18"/>
  <c r="AE114" i="18"/>
  <c r="AF114" i="18"/>
  <c r="AB115" i="18"/>
  <c r="AC115" i="18"/>
  <c r="AD115" i="18"/>
  <c r="AE115" i="18"/>
  <c r="AF115" i="18"/>
  <c r="AB117" i="18"/>
  <c r="AC117" i="18"/>
  <c r="AD117" i="18"/>
  <c r="AE117" i="18"/>
  <c r="AF117" i="18"/>
  <c r="BG5" i="17"/>
  <c r="BH5" i="17"/>
  <c r="BI5" i="17"/>
  <c r="BG12" i="17"/>
  <c r="BH12" i="17"/>
  <c r="BI12" i="17"/>
  <c r="BG16" i="17"/>
  <c r="BH16" i="17"/>
  <c r="BI16" i="17"/>
  <c r="BG23" i="17"/>
  <c r="BH23" i="17"/>
  <c r="BI23" i="17"/>
  <c r="BG25" i="17"/>
  <c r="BH25" i="17"/>
  <c r="BI25" i="17"/>
  <c r="BG54" i="17"/>
  <c r="BH54" i="17"/>
  <c r="BI54" i="17"/>
  <c r="BG56" i="17"/>
  <c r="BH56" i="17"/>
  <c r="BI56" i="17"/>
  <c r="BG60" i="17"/>
  <c r="BH60" i="17"/>
  <c r="BI60" i="17"/>
  <c r="BG62" i="17"/>
  <c r="BH62" i="17"/>
  <c r="BI62" i="17"/>
  <c r="BG63" i="17"/>
  <c r="BH63" i="17"/>
  <c r="BI63" i="17"/>
  <c r="BG64" i="17"/>
  <c r="BH64" i="17"/>
  <c r="BI64" i="17"/>
  <c r="BN74" i="17"/>
  <c r="BO74" i="17"/>
  <c r="BP74" i="17"/>
  <c r="BN75" i="17"/>
  <c r="BO75" i="17"/>
  <c r="BP75" i="17"/>
  <c r="BG78" i="17"/>
  <c r="BH78" i="17"/>
  <c r="BI78" i="17"/>
  <c r="BE79" i="17"/>
  <c r="BG79" i="17"/>
  <c r="BH79" i="17"/>
  <c r="BI79" i="17"/>
  <c r="BI82" i="17"/>
  <c r="BI83" i="17"/>
  <c r="BI84" i="17"/>
  <c r="BI86" i="17"/>
  <c r="BI87" i="17"/>
  <c r="BI91" i="17"/>
  <c r="BI92" i="17"/>
  <c r="BI94" i="17"/>
  <c r="BI95" i="17"/>
  <c r="BI96" i="17"/>
  <c r="BI98" i="17"/>
  <c r="BI99" i="17"/>
  <c r="BI100" i="17"/>
  <c r="BI103" i="17"/>
  <c r="BI104" i="17"/>
  <c r="BI105" i="17"/>
  <c r="BI107" i="17"/>
  <c r="BI109" i="17"/>
  <c r="BI111" i="17"/>
  <c r="BI112" i="17"/>
  <c r="BI113" i="17"/>
  <c r="BI114" i="17"/>
  <c r="BI115" i="17"/>
  <c r="BI117" i="17"/>
  <c r="AB4" i="16"/>
  <c r="AC4" i="16"/>
  <c r="AD4" i="16"/>
  <c r="AE4" i="16"/>
  <c r="AF4" i="16"/>
  <c r="AC6" i="16"/>
  <c r="AD6" i="16"/>
  <c r="AE6" i="16"/>
  <c r="AF6" i="16"/>
  <c r="AC21" i="16"/>
  <c r="AD21" i="16"/>
  <c r="AE21" i="16"/>
  <c r="AF21" i="16"/>
  <c r="AC22" i="16"/>
  <c r="AD22" i="16"/>
  <c r="AE22" i="16"/>
  <c r="AF22" i="16"/>
  <c r="AB25" i="16"/>
  <c r="AC25" i="16"/>
  <c r="AD25" i="16"/>
  <c r="AE25" i="16"/>
  <c r="AF25" i="16"/>
  <c r="AB27" i="16"/>
  <c r="AC27" i="16"/>
  <c r="AD27" i="16"/>
  <c r="AE27" i="16"/>
  <c r="AF27" i="16"/>
  <c r="X39" i="16"/>
  <c r="X61" i="16"/>
  <c r="AB61" i="16"/>
  <c r="AC61" i="16"/>
  <c r="AD61" i="16"/>
  <c r="AE61" i="16"/>
  <c r="AF61" i="16"/>
  <c r="AC63" i="16"/>
  <c r="AD63" i="16"/>
  <c r="AE63" i="16"/>
  <c r="AF63" i="16"/>
  <c r="AB64" i="16"/>
  <c r="AC64" i="16"/>
  <c r="AD64" i="16"/>
  <c r="AE64" i="16"/>
  <c r="AF64" i="16"/>
  <c r="AB67" i="16"/>
  <c r="AC67" i="16"/>
  <c r="AD67" i="16"/>
  <c r="AE67" i="16"/>
  <c r="AF67" i="16"/>
  <c r="AH67" i="16"/>
  <c r="AB68" i="16"/>
  <c r="AC68" i="16"/>
  <c r="AD68" i="16"/>
  <c r="AE68" i="16"/>
  <c r="AF68" i="16"/>
  <c r="AC71" i="16"/>
  <c r="AD71" i="16"/>
  <c r="AE71" i="16"/>
  <c r="AF71" i="16"/>
  <c r="AB79" i="16"/>
  <c r="AC79" i="16"/>
  <c r="AD79" i="16"/>
  <c r="AE79" i="16"/>
  <c r="AF79" i="16"/>
  <c r="AB80" i="16"/>
  <c r="AC80" i="16"/>
  <c r="AD80" i="16"/>
  <c r="AE80" i="16"/>
  <c r="AF80" i="16"/>
  <c r="AB81" i="16"/>
  <c r="AC81" i="16"/>
  <c r="AD81" i="16"/>
  <c r="AE81" i="16"/>
  <c r="AF81" i="16"/>
  <c r="AB85" i="16"/>
  <c r="AC85" i="16"/>
  <c r="AD85" i="16"/>
  <c r="AE85" i="16"/>
  <c r="AF85" i="16"/>
  <c r="AB91" i="16"/>
  <c r="AC91" i="16"/>
  <c r="AD91" i="16"/>
  <c r="AE91" i="16"/>
  <c r="AF91" i="16"/>
  <c r="AH91" i="16"/>
  <c r="AB92" i="16"/>
  <c r="AC92" i="16"/>
  <c r="AD92" i="16"/>
  <c r="AE92" i="16"/>
  <c r="AF92" i="16"/>
  <c r="AB93" i="16"/>
  <c r="AC93" i="16"/>
  <c r="AD93" i="16"/>
  <c r="AE93" i="16"/>
  <c r="AF93" i="16"/>
  <c r="AB94" i="16"/>
  <c r="AC94" i="16"/>
  <c r="AD94" i="16"/>
  <c r="AE94" i="16"/>
  <c r="AF94" i="16"/>
  <c r="AB96" i="16"/>
  <c r="AC96" i="16"/>
  <c r="AD96" i="16"/>
  <c r="AE96" i="16"/>
  <c r="AF96" i="16"/>
  <c r="BG4" i="14"/>
  <c r="BH4" i="14"/>
  <c r="BI4" i="14"/>
  <c r="BG6" i="14"/>
  <c r="BH6" i="14"/>
  <c r="BG25" i="14"/>
  <c r="BH25" i="14"/>
  <c r="BI25" i="14"/>
  <c r="BG27" i="14"/>
  <c r="BH27" i="14"/>
  <c r="BI27" i="14"/>
  <c r="AN37" i="14"/>
  <c r="AO37" i="14"/>
  <c r="AN39" i="14"/>
  <c r="AO39" i="14"/>
  <c r="AN61" i="14"/>
  <c r="AO61" i="14"/>
  <c r="BG61" i="14"/>
  <c r="BH61" i="14"/>
  <c r="BI61" i="14"/>
  <c r="BH63" i="14"/>
  <c r="AN64" i="14"/>
  <c r="BG64" i="14"/>
  <c r="BH64" i="14"/>
  <c r="BI64" i="14"/>
  <c r="BG67" i="14"/>
  <c r="BH67" i="14"/>
  <c r="BI67" i="14"/>
  <c r="BG68" i="14"/>
  <c r="BH68" i="14"/>
  <c r="BI68" i="14"/>
  <c r="BG71" i="14"/>
  <c r="BH71" i="14"/>
  <c r="BG72" i="14"/>
  <c r="BH72" i="14"/>
  <c r="BH77" i="14"/>
  <c r="BG79" i="14"/>
  <c r="BH79" i="14"/>
  <c r="BI79" i="14"/>
  <c r="BG80" i="14"/>
  <c r="BH80" i="14"/>
  <c r="BI80" i="14"/>
  <c r="BG81" i="14"/>
  <c r="BH81" i="14"/>
  <c r="BI81" i="14"/>
  <c r="BG85" i="14"/>
  <c r="BH85" i="14"/>
  <c r="BI85" i="14"/>
  <c r="BG91" i="14"/>
  <c r="BH91" i="14"/>
  <c r="BI91" i="14"/>
  <c r="BG92" i="14"/>
  <c r="BH92" i="14"/>
  <c r="BI92" i="14"/>
  <c r="BG93" i="14"/>
  <c r="BH93" i="14"/>
  <c r="BI93" i="14"/>
  <c r="BG96" i="14"/>
  <c r="BH96" i="14"/>
  <c r="BI96" i="14"/>
  <c r="Y45" i="45"/>
  <c r="Z45" i="45"/>
  <c r="AA45" i="45"/>
  <c r="AB45" i="45"/>
  <c r="AC45" i="45"/>
  <c r="AD45" i="45"/>
  <c r="AE45" i="45"/>
  <c r="AF45" i="45"/>
  <c r="Y46" i="45"/>
  <c r="Z46" i="45"/>
  <c r="AA46" i="45"/>
  <c r="AB46" i="45"/>
  <c r="AC46" i="45"/>
  <c r="AD46" i="45"/>
  <c r="AE46" i="45"/>
  <c r="AF46" i="45"/>
  <c r="Y47" i="45"/>
  <c r="Z47" i="45"/>
  <c r="AA47" i="45"/>
  <c r="AB47" i="45"/>
  <c r="AC47" i="45"/>
  <c r="AD47" i="45"/>
  <c r="AE47" i="45"/>
  <c r="AF47" i="45"/>
  <c r="Y69" i="45"/>
  <c r="Z69" i="45"/>
  <c r="AA69" i="45"/>
  <c r="AB69" i="45"/>
  <c r="AC69" i="45"/>
  <c r="AD69" i="45"/>
  <c r="AE69" i="45"/>
  <c r="AF69" i="45"/>
  <c r="Y70" i="45"/>
  <c r="Z70" i="45"/>
  <c r="AA70" i="45"/>
  <c r="AB70" i="45"/>
  <c r="AC70" i="45"/>
  <c r="AD70" i="45"/>
  <c r="AE70" i="45"/>
  <c r="AF70" i="45"/>
  <c r="Y71" i="45"/>
  <c r="Z71" i="45"/>
  <c r="AA71" i="45"/>
  <c r="AB71" i="45"/>
  <c r="AC71" i="45"/>
  <c r="AD71" i="45"/>
  <c r="AE71" i="45"/>
  <c r="AF71" i="45"/>
  <c r="Y75" i="45"/>
  <c r="Z75" i="45"/>
  <c r="AA75" i="45"/>
  <c r="AB75" i="45"/>
  <c r="Y76" i="45"/>
  <c r="Z76" i="45"/>
  <c r="AA76" i="45"/>
  <c r="AB76" i="45"/>
  <c r="AC76" i="45"/>
  <c r="AD76" i="45"/>
  <c r="AE76" i="45"/>
  <c r="AF76" i="45"/>
  <c r="Y78" i="45"/>
  <c r="Z78" i="45"/>
  <c r="AA78" i="45"/>
  <c r="AB78" i="45"/>
  <c r="AC78" i="45"/>
  <c r="AD78" i="45"/>
  <c r="AE78" i="45"/>
  <c r="AF78" i="45"/>
  <c r="AB80" i="45"/>
  <c r="Y81" i="45"/>
  <c r="Z81" i="45"/>
  <c r="AA81" i="45"/>
  <c r="AB81" i="45"/>
  <c r="AS45" i="46"/>
  <c r="AT45" i="46"/>
  <c r="AU45" i="46"/>
  <c r="AV45" i="46"/>
  <c r="AW45" i="46"/>
  <c r="AX45" i="46"/>
  <c r="AY45" i="46"/>
  <c r="AZ45" i="46"/>
  <c r="BA45" i="46"/>
  <c r="BB45" i="46"/>
  <c r="BC45" i="46"/>
  <c r="BD45" i="46"/>
  <c r="BE45" i="46"/>
  <c r="BF45" i="46"/>
  <c r="BG45" i="46"/>
  <c r="BH45" i="46"/>
  <c r="BI45" i="46"/>
  <c r="AS46" i="46"/>
  <c r="AT46" i="46"/>
  <c r="AU46" i="46"/>
  <c r="AV46" i="46"/>
  <c r="AW46" i="46"/>
  <c r="AX46" i="46"/>
  <c r="AY46" i="46"/>
  <c r="AZ46" i="46"/>
  <c r="BA46" i="46"/>
  <c r="BB46" i="46"/>
  <c r="BC46" i="46"/>
  <c r="BD46" i="46"/>
  <c r="BE46" i="46"/>
  <c r="BF46" i="46"/>
  <c r="BG46" i="46"/>
  <c r="BH46" i="46"/>
  <c r="BI46" i="46"/>
  <c r="AS47" i="46"/>
  <c r="AT47" i="46"/>
  <c r="AU47" i="46"/>
  <c r="AV47" i="46"/>
  <c r="AW47" i="46"/>
  <c r="AX47" i="46"/>
  <c r="AY47" i="46"/>
  <c r="AZ47" i="46"/>
  <c r="BA47" i="46"/>
  <c r="BB47" i="46"/>
  <c r="BC47" i="46"/>
  <c r="BD47" i="46"/>
  <c r="BE47" i="46"/>
  <c r="BF47" i="46"/>
  <c r="BG47" i="46"/>
  <c r="BH47" i="46"/>
  <c r="BI47" i="46"/>
  <c r="AS69" i="46"/>
  <c r="AT69" i="46"/>
  <c r="AU69" i="46"/>
  <c r="AV69" i="46"/>
  <c r="AW69" i="46"/>
  <c r="AX69" i="46"/>
  <c r="AY69" i="46"/>
  <c r="AZ69" i="46"/>
  <c r="BA69" i="46"/>
  <c r="BB69" i="46"/>
  <c r="BC69" i="46"/>
  <c r="BD69" i="46"/>
  <c r="BE69" i="46"/>
  <c r="BF69" i="46"/>
  <c r="BG69" i="46"/>
  <c r="BH69" i="46"/>
  <c r="BI69" i="46"/>
  <c r="AS70" i="46"/>
  <c r="AT70" i="46"/>
  <c r="AU70" i="46"/>
  <c r="AV70" i="46"/>
  <c r="AW70" i="46"/>
  <c r="AX70" i="46"/>
  <c r="AY70" i="46"/>
  <c r="AZ70" i="46"/>
  <c r="BA70" i="46"/>
  <c r="BB70" i="46"/>
  <c r="BC70" i="46"/>
  <c r="BD70" i="46"/>
  <c r="BE70" i="46"/>
  <c r="BF70" i="46"/>
  <c r="BG70" i="46"/>
  <c r="BH70" i="46"/>
  <c r="BI70" i="46"/>
  <c r="AS71" i="46"/>
  <c r="AT71" i="46"/>
  <c r="AU71" i="46"/>
  <c r="AV71" i="46"/>
  <c r="AW71" i="46"/>
  <c r="AX71" i="46"/>
  <c r="AY71" i="46"/>
  <c r="AZ71" i="46"/>
  <c r="BA71" i="46"/>
  <c r="BB71" i="46"/>
  <c r="BC71" i="46"/>
  <c r="BD71" i="46"/>
  <c r="BE71" i="46"/>
  <c r="BF71" i="46"/>
  <c r="BG71" i="46"/>
  <c r="BH71" i="46"/>
  <c r="BI71" i="46"/>
  <c r="AS75" i="46"/>
  <c r="AT75" i="46"/>
  <c r="AU75" i="46"/>
  <c r="AV75" i="46"/>
  <c r="AW75" i="46"/>
  <c r="AX75" i="46"/>
  <c r="AY75" i="46"/>
  <c r="AZ75" i="46"/>
  <c r="BA75" i="46"/>
  <c r="BB75" i="46"/>
  <c r="BC75" i="46"/>
  <c r="BD75" i="46"/>
  <c r="BE75" i="46"/>
  <c r="BF75" i="46"/>
  <c r="BI75" i="46"/>
  <c r="AS76" i="46"/>
  <c r="AT76" i="46"/>
  <c r="AU76" i="46"/>
  <c r="AV76" i="46"/>
  <c r="AW76" i="46"/>
  <c r="AX76" i="46"/>
  <c r="AY76" i="46"/>
  <c r="AZ76" i="46"/>
  <c r="BA76" i="46"/>
  <c r="BB76" i="46"/>
  <c r="BC76" i="46"/>
  <c r="BD76" i="46"/>
  <c r="BE76" i="46"/>
  <c r="BF76" i="46"/>
  <c r="BG76" i="46"/>
  <c r="BH76" i="46"/>
  <c r="BI76" i="46"/>
  <c r="AS78" i="46"/>
  <c r="AT78" i="46"/>
  <c r="AU78" i="46"/>
  <c r="AV78" i="46"/>
  <c r="AW78" i="46"/>
  <c r="AX78" i="46"/>
  <c r="AY78" i="46"/>
  <c r="AZ78" i="46"/>
  <c r="BA78" i="46"/>
  <c r="BB78" i="46"/>
  <c r="BC78" i="46"/>
  <c r="BD78" i="46"/>
  <c r="BE78" i="46"/>
  <c r="BF78" i="46"/>
  <c r="BG78" i="46"/>
  <c r="BH78" i="46"/>
  <c r="BI78" i="46"/>
  <c r="BG80" i="46"/>
  <c r="BH80" i="46"/>
  <c r="BI80" i="46"/>
  <c r="AS81" i="46"/>
  <c r="AT81" i="46"/>
  <c r="AU81" i="46"/>
  <c r="AV81" i="46"/>
  <c r="AW81" i="46"/>
  <c r="AX81" i="46"/>
  <c r="AY81" i="46"/>
  <c r="AZ81" i="46"/>
  <c r="BA81" i="46"/>
  <c r="BB81" i="46"/>
  <c r="BC81" i="46"/>
  <c r="BD81" i="46"/>
  <c r="BE81" i="46"/>
  <c r="BF81" i="46"/>
  <c r="BG81" i="46"/>
  <c r="BH81" i="46"/>
  <c r="BI81" i="46"/>
  <c r="AB29" i="15"/>
  <c r="AC29" i="15"/>
  <c r="AD29" i="15"/>
  <c r="AE29" i="15"/>
  <c r="AF29" i="15"/>
  <c r="AB31" i="15"/>
  <c r="AC31" i="15"/>
  <c r="AD31" i="15"/>
  <c r="AE31" i="15"/>
  <c r="AF31" i="15"/>
  <c r="AB32" i="15"/>
  <c r="AC32" i="15"/>
  <c r="AD32" i="15"/>
  <c r="AE32" i="15"/>
  <c r="AF32" i="15"/>
  <c r="AB34" i="15"/>
  <c r="AC34" i="15"/>
  <c r="AD34" i="15"/>
  <c r="AE34" i="15"/>
  <c r="AF34" i="15"/>
  <c r="AB37" i="15"/>
  <c r="AC37" i="15"/>
  <c r="AD37" i="15"/>
  <c r="AE37" i="15"/>
  <c r="AF37" i="15"/>
  <c r="AB38" i="15"/>
  <c r="AC38" i="15"/>
  <c r="AD38" i="15"/>
  <c r="AE38" i="15"/>
  <c r="AF38" i="15"/>
  <c r="AB43" i="15"/>
  <c r="AC43" i="15"/>
  <c r="AD43" i="15"/>
  <c r="AE43" i="15"/>
  <c r="AF43" i="15"/>
  <c r="AB44" i="15"/>
  <c r="AC44" i="15"/>
  <c r="AD44" i="15"/>
  <c r="AE44" i="15"/>
  <c r="AF44" i="15"/>
  <c r="AB48" i="15"/>
  <c r="AC48" i="15"/>
  <c r="AD48" i="15"/>
  <c r="AE48" i="15"/>
  <c r="AF48" i="15"/>
  <c r="AB51" i="15"/>
  <c r="AC51" i="15"/>
  <c r="AD51" i="15"/>
  <c r="AE51" i="15"/>
  <c r="AF51" i="15"/>
  <c r="AB52" i="15"/>
  <c r="AC52" i="15"/>
  <c r="AD52" i="15"/>
  <c r="AE52" i="15"/>
  <c r="AF52" i="15"/>
  <c r="AB54" i="15"/>
  <c r="AC54" i="15"/>
  <c r="AD54" i="15"/>
  <c r="AE54" i="15"/>
  <c r="AF54" i="15"/>
  <c r="AB55" i="15"/>
  <c r="AC55" i="15"/>
  <c r="AD55" i="15"/>
  <c r="AE55" i="15"/>
  <c r="AF55" i="15"/>
  <c r="AC77" i="15"/>
  <c r="AD77" i="15"/>
  <c r="AE77" i="15"/>
  <c r="AF77" i="15"/>
  <c r="AC78" i="15"/>
  <c r="AD78" i="15"/>
  <c r="AE78" i="15"/>
  <c r="AF78" i="15"/>
  <c r="AC79" i="15"/>
  <c r="AD79" i="15"/>
  <c r="AE79" i="15"/>
  <c r="AF79" i="15"/>
  <c r="AB97" i="15"/>
  <c r="AC97" i="15"/>
  <c r="AD97" i="15"/>
  <c r="AE97" i="15"/>
  <c r="AF97" i="15"/>
  <c r="AB104" i="15"/>
  <c r="AC104" i="15"/>
  <c r="AD104" i="15"/>
  <c r="AE104" i="15"/>
  <c r="AF104" i="15"/>
  <c r="AB105" i="15"/>
  <c r="AC105" i="15"/>
  <c r="AD105" i="15"/>
  <c r="AE105" i="15"/>
  <c r="AF105" i="15"/>
  <c r="BG29" i="13"/>
  <c r="BH29" i="13"/>
  <c r="BI29" i="13"/>
  <c r="BG31" i="13"/>
  <c r="BH31" i="13"/>
  <c r="BI31" i="13"/>
  <c r="BG32" i="13"/>
  <c r="BH32" i="13"/>
  <c r="BI32" i="13"/>
  <c r="BG34" i="13"/>
  <c r="BH34" i="13"/>
  <c r="BI34" i="13"/>
  <c r="BH35" i="13"/>
  <c r="BG37" i="13"/>
  <c r="BH37" i="13"/>
  <c r="BI37" i="13"/>
  <c r="BG38" i="13"/>
  <c r="BH38" i="13"/>
  <c r="BI38" i="13"/>
  <c r="BG43" i="13"/>
  <c r="BH43" i="13"/>
  <c r="BI43" i="13"/>
  <c r="BG44" i="13"/>
  <c r="BH44" i="13"/>
  <c r="BI44" i="13"/>
  <c r="BG48" i="13"/>
  <c r="BH48" i="13"/>
  <c r="BI48" i="13"/>
  <c r="BG51" i="13"/>
  <c r="BH51" i="13"/>
  <c r="BI51" i="13"/>
  <c r="BG52" i="13"/>
  <c r="BH52" i="13"/>
  <c r="BI52" i="13"/>
  <c r="BG54" i="13"/>
  <c r="BH54" i="13"/>
  <c r="BI54" i="13"/>
  <c r="BG55" i="13"/>
  <c r="BH55" i="13"/>
  <c r="BI55" i="13"/>
  <c r="BG77" i="13"/>
  <c r="BH77" i="13"/>
  <c r="BG78" i="13"/>
  <c r="BH78" i="13"/>
  <c r="BG79" i="13"/>
  <c r="BH79" i="13"/>
  <c r="BG97" i="13"/>
  <c r="BH97" i="13"/>
  <c r="BI97" i="13"/>
  <c r="BG103" i="13"/>
  <c r="BH103" i="13"/>
  <c r="BI103" i="13"/>
  <c r="BG104" i="13"/>
  <c r="BH104" i="13"/>
  <c r="BI10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Holcomb, Jason T (Research)</author>
    <author>Zuber, Shaina C (Research)</author>
    <author>Brenes, Miguel (Research)</author>
    <author>Benvenuto, Kyle (Research)</author>
  </authors>
  <commentList>
    <comment ref="AO2" authorId="0" shapeId="0" xr:uid="{0CF4366A-CA85-4E87-BDE5-1BBA11FAFE83}">
      <text>
        <r>
          <rPr>
            <b/>
            <sz val="9"/>
            <color indexed="81"/>
            <rFont val="Tahoma"/>
            <family val="2"/>
          </rPr>
          <t>Data from 2016-2022 is from the prior GE Aerospace structure (pre-standalone business)</t>
        </r>
        <r>
          <rPr>
            <sz val="9"/>
            <color indexed="81"/>
            <rFont val="Tahoma"/>
            <family val="2"/>
          </rPr>
          <t xml:space="preserve">
</t>
        </r>
      </text>
    </comment>
    <comment ref="AP2" authorId="0" shapeId="0" xr:uid="{55429122-721E-4294-ADE7-6EAC9A0330EA}">
      <text>
        <r>
          <rPr>
            <b/>
            <sz val="9"/>
            <color indexed="81"/>
            <rFont val="Tahoma"/>
            <family val="2"/>
          </rPr>
          <t>Holcomb, Jason T (Research):</t>
        </r>
        <r>
          <rPr>
            <sz val="9"/>
            <color indexed="81"/>
            <rFont val="Tahoma"/>
            <family val="2"/>
          </rPr>
          <t xml:space="preserve">
Recast numbers begin here</t>
        </r>
      </text>
    </comment>
    <comment ref="BE11" authorId="1" shapeId="0" xr:uid="{8E0B7628-AB62-41BC-8CB4-2ADF27E75D35}">
      <text>
        <r>
          <rPr>
            <b/>
            <sz val="9"/>
            <color indexed="81"/>
            <rFont val="Tahoma"/>
            <family val="2"/>
          </rPr>
          <t>Hardcoded to match rounding</t>
        </r>
      </text>
    </comment>
    <comment ref="AP22" authorId="2" shapeId="0" xr:uid="{68998D23-4B23-44ED-B836-E95841C2F31A}">
      <text>
        <r>
          <rPr>
            <sz val="9"/>
            <color indexed="81"/>
            <rFont val="Tahoma"/>
            <family val="2"/>
          </rPr>
          <t>Hardcoded (rounded to match reported figure)</t>
        </r>
      </text>
    </comment>
    <comment ref="BE26" authorId="1" shapeId="0" xr:uid="{EDFCA069-A248-405C-AAC4-FCED2D3D5A6B}">
      <text>
        <r>
          <rPr>
            <b/>
            <sz val="9"/>
            <color indexed="81"/>
            <rFont val="Tahoma"/>
            <family val="2"/>
          </rPr>
          <t>Hardcoded to match rounding</t>
        </r>
      </text>
    </comment>
    <comment ref="BF30" authorId="3" shapeId="0" xr:uid="{DE4DCE9C-A8F6-4A75-9D43-788B13C5F5DB}">
      <text>
        <r>
          <rPr>
            <b/>
            <sz val="9"/>
            <color indexed="81"/>
            <rFont val="Tahoma"/>
            <family val="2"/>
          </rPr>
          <t>Benvenuto, Kyle (Research):</t>
        </r>
        <r>
          <rPr>
            <sz val="9"/>
            <color indexed="81"/>
            <rFont val="Tahoma"/>
            <family val="2"/>
          </rPr>
          <t xml:space="preserve">
Dilution</t>
        </r>
      </text>
    </comment>
    <comment ref="BE48" authorId="1" shapeId="0" xr:uid="{E12D9974-987B-4CC0-ABF1-0F10B0A71712}">
      <text>
        <r>
          <rPr>
            <b/>
            <sz val="9"/>
            <color indexed="81"/>
            <rFont val="Tahoma"/>
            <family val="2"/>
          </rPr>
          <t>Hardcoded to adjust for rounding</t>
        </r>
      </text>
    </comment>
    <comment ref="BI57" authorId="1" shapeId="0" xr:uid="{78398916-76C6-40CC-A87F-8E1BF130AE11}">
      <text>
        <r>
          <rPr>
            <b/>
            <sz val="9"/>
            <color indexed="81"/>
            <rFont val="Tahoma"/>
            <family val="2"/>
          </rPr>
          <t>5 quarter rolling average per GE reporting practices</t>
        </r>
      </text>
    </comment>
    <comment ref="BI60" authorId="1" shapeId="0" xr:uid="{0D48AF95-578F-4F88-96A2-05EB821A67DE}">
      <text>
        <r>
          <rPr>
            <b/>
            <sz val="9"/>
            <color indexed="81"/>
            <rFont val="Tahoma"/>
            <family val="2"/>
          </rPr>
          <t>5 quarter rolling average per GE reporting practices</t>
        </r>
      </text>
    </comment>
    <comment ref="AP67" authorId="2" shapeId="0" xr:uid="{79250C38-EC7C-44C6-8CBD-80A9C9F98A1A}">
      <text>
        <r>
          <rPr>
            <sz val="9"/>
            <color indexed="81"/>
            <rFont val="Tahoma"/>
            <family val="2"/>
          </rPr>
          <t>=FDS("GE-US","AVG(P_PRICE(01/01/2023,03/31/2023))")</t>
        </r>
      </text>
    </comment>
    <comment ref="AQ67" authorId="2" shapeId="0" xr:uid="{395E3C5E-0D67-47EC-9A3F-49BAD6E440D2}">
      <text>
        <r>
          <rPr>
            <sz val="9"/>
            <color indexed="81"/>
            <rFont val="Tahoma"/>
            <family val="2"/>
          </rPr>
          <t>=FDS("GE-US","AVG(P_PRICE(04/01/2023,06/30/2023))")</t>
        </r>
      </text>
    </comment>
    <comment ref="AR67" authorId="2" shapeId="0" xr:uid="{263DD8E5-1017-49BE-9836-CC1FD3A5B061}">
      <text>
        <r>
          <rPr>
            <sz val="9"/>
            <color indexed="81"/>
            <rFont val="Tahoma"/>
            <family val="2"/>
          </rPr>
          <t>=FDS("GE-US","AVG(P_PRICE(07/01/2023,09/30/2023))")</t>
        </r>
      </text>
    </comment>
    <comment ref="AS67" authorId="2" shapeId="0" xr:uid="{64E52E3D-AE4D-4A98-8A58-58B888774FBC}">
      <text>
        <r>
          <rPr>
            <sz val="9"/>
            <color indexed="81"/>
            <rFont val="Tahoma"/>
            <family val="2"/>
          </rPr>
          <t>=FDS("GE-US","AVG(P_PRICE(10/01/2023,12/31/2023))")</t>
        </r>
      </text>
    </comment>
    <comment ref="AU67" authorId="2" shapeId="0" xr:uid="{DF337BE2-7825-4DDD-AEEC-2E4C7C816D3F}">
      <text>
        <r>
          <rPr>
            <sz val="9"/>
            <color indexed="81"/>
            <rFont val="Tahoma"/>
            <family val="2"/>
          </rPr>
          <t>=FDS("GE-US","AVG(P_PRICE(01/01/2024,03/31/2024))")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Sandeep, Anchoori (Research)</author>
    <author>Brenes, Miguel (Research)</author>
  </authors>
  <commentList>
    <comment ref="U2" authorId="0" shapeId="0" xr:uid="{00000000-0006-0000-0D00-000001000000}">
      <text>
        <r>
          <rPr>
            <sz val="9"/>
            <color indexed="81"/>
            <rFont val="Tahoma"/>
            <family val="2"/>
          </rPr>
          <t>Linked few numbers, which are required for MW Validation</t>
        </r>
        <r>
          <rPr>
            <sz val="9"/>
            <color indexed="81"/>
            <rFont val="Tahoma"/>
            <family val="2"/>
          </rPr>
          <t xml:space="preserve">
</t>
        </r>
      </text>
    </comment>
    <comment ref="AR2" authorId="1" shapeId="0" xr:uid="{7700C748-909A-42D7-AE0A-EE8E861228DE}">
      <text>
        <r>
          <rPr>
            <b/>
            <sz val="9"/>
            <color indexed="81"/>
            <rFont val="Tahoma"/>
            <family val="2"/>
          </rPr>
          <t>Data for 3Q23 and previous periods is prior to the GE Aerospace split (pre-standalone business)</t>
        </r>
      </text>
    </comment>
    <comment ref="AU2" authorId="1" shapeId="0" xr:uid="{43F55794-6053-4C71-9D7F-765E19843F7B}">
      <text>
        <r>
          <rPr>
            <b/>
            <sz val="9"/>
            <color indexed="81"/>
            <rFont val="Tahoma"/>
            <family val="2"/>
          </rPr>
          <t>Data for 1Q24 is prior to the GE Aerospace split (pre-standalone business)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tc={61F900AC-2B9B-4400-8A97-8C3DB22E452A}</author>
  </authors>
  <commentList>
    <comment ref="Z45" authorId="0" shapeId="0" xr:uid="{61F900AC-2B9B-4400-8A97-8C3DB22E452A}">
      <text>
        <t>[Threaded comment]
Your version of Excel allows you to read this threaded comment; however, any edits to it will get removed if the file is opened in a newer version of Excel. Learn more: https://go.microsoft.com/fwlink/?linkid=870924
Comment:
    Only common dividend - preferred redeemed in Sep 2023</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Brenes, Miguel (Research)</author>
  </authors>
  <commentList>
    <comment ref="AR2" authorId="0" shapeId="0" xr:uid="{677F7C4A-A33E-45F2-BE28-9E872949A2AD}">
      <text>
        <r>
          <rPr>
            <b/>
            <sz val="9"/>
            <color indexed="81"/>
            <rFont val="Tahoma"/>
            <family val="2"/>
          </rPr>
          <t>Data for 3Q23 and previous periods is prior to the GE Aerospace split (pre-standalone business)</t>
        </r>
      </text>
    </comment>
    <comment ref="AW24" authorId="0" shapeId="0" xr:uid="{660E0082-29B7-4435-A3D6-5AE1C7C26A9B}">
      <text>
        <r>
          <rPr>
            <sz val="9"/>
            <color indexed="81"/>
            <rFont val="Tahoma"/>
            <family val="2"/>
          </rPr>
          <t>Includes</t>
        </r>
        <r>
          <rPr>
            <b/>
            <sz val="9"/>
            <color indexed="81"/>
            <rFont val="Tahoma"/>
            <family val="2"/>
          </rPr>
          <t xml:space="preserve"> Goodwill impairments</t>
        </r>
      </text>
    </comment>
    <comment ref="AY24" authorId="0" shapeId="0" xr:uid="{D8FBE730-7FA9-4C4F-BECC-C150CA340B9F}">
      <text>
        <r>
          <rPr>
            <sz val="9"/>
            <color indexed="81"/>
            <rFont val="Tahoma"/>
            <family val="2"/>
          </rPr>
          <t>Includes</t>
        </r>
        <r>
          <rPr>
            <b/>
            <sz val="9"/>
            <color indexed="81"/>
            <rFont val="Tahoma"/>
            <family val="2"/>
          </rPr>
          <t xml:space="preserve"> Goodwill impairments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 Hemalatha (Research)</author>
  </authors>
  <commentList>
    <comment ref="M2" authorId="0" shapeId="0" xr:uid="{2D26596D-9ACF-4A5C-A8C8-7B48E76988E8}">
      <text>
        <r>
          <rPr>
            <sz val="9"/>
            <color indexed="81"/>
            <rFont val="Tahoma"/>
            <family val="2"/>
          </rPr>
          <t>The acquired Goodrich business and the legacy Hamilton Sundstrand business have been combined to form a new segment named UTC Aerospace Systems.</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 Hemalatha (Research)</author>
    <author>Holcomb, Jason T (Research)</author>
    <author>Brenes, Miguel (Research)</author>
    <author>Zuber, Shaina C (Research)</author>
  </authors>
  <commentList>
    <comment ref="U2" authorId="0" shapeId="0" xr:uid="{9440F2AC-0012-4B26-B4B8-ED01FDD02B79}">
      <text>
        <r>
          <rPr>
            <b/>
            <sz val="9"/>
            <color indexed="81"/>
            <rFont val="Tahoma"/>
            <family val="2"/>
          </rPr>
          <t>F</t>
        </r>
        <r>
          <rPr>
            <sz val="9"/>
            <color indexed="81"/>
            <rFont val="Tahoma"/>
            <family val="2"/>
          </rPr>
          <t>rom FY2018 to going back, data is taken from UTC model. 
Please note the product and services sales breakup is given for 2018 in UTC but, that is inclusive of intersegment sales. In the new RTX reporting intersegment sales is reported separately. Hence taken sales data from net sales level.</t>
        </r>
      </text>
    </comment>
    <comment ref="AO2" authorId="1" shapeId="0" xr:uid="{56C288F2-289D-4207-9DA1-30E08107C388}">
      <text>
        <r>
          <rPr>
            <b/>
            <sz val="9"/>
            <color indexed="81"/>
            <rFont val="Tahoma"/>
            <family val="2"/>
          </rPr>
          <t>Data from 2019-2022 is from the prior GE Aerospace structure (pre-standalone business)</t>
        </r>
        <r>
          <rPr>
            <sz val="9"/>
            <color indexed="81"/>
            <rFont val="Tahoma"/>
            <family val="2"/>
          </rPr>
          <t xml:space="preserve">
</t>
        </r>
      </text>
    </comment>
    <comment ref="AU9" authorId="2" shapeId="0" xr:uid="{42ED6875-4CAF-46AD-A7BD-ED648037E3A5}">
      <text>
        <r>
          <rPr>
            <sz val="9"/>
            <color indexed="81"/>
            <rFont val="Tahoma"/>
            <family val="2"/>
          </rPr>
          <t>Hardcoded (rounded to match reported figure)</t>
        </r>
      </text>
    </comment>
    <comment ref="AZ9" authorId="2" shapeId="0" xr:uid="{D85120B3-42BD-417F-9DF1-22420603238E}">
      <text>
        <r>
          <rPr>
            <sz val="9"/>
            <color indexed="81"/>
            <rFont val="Tahoma"/>
            <family val="2"/>
          </rPr>
          <t>added 0.5 to sub-segments to match totdal for segment</t>
        </r>
      </text>
    </comment>
    <comment ref="BB9" authorId="1" shapeId="0" xr:uid="{3BA50E28-0EBC-433D-AF67-C69EE6ED46EA}">
      <text>
        <r>
          <rPr>
            <b/>
            <sz val="9"/>
            <color indexed="81"/>
            <rFont val="Tahoma"/>
            <family val="2"/>
          </rPr>
          <t>Added 1mn to match total segment revenue in 10q</t>
        </r>
        <r>
          <rPr>
            <sz val="9"/>
            <color indexed="81"/>
            <rFont val="Tahoma"/>
            <family val="2"/>
          </rPr>
          <t xml:space="preserve">
</t>
        </r>
      </text>
    </comment>
    <comment ref="BE9" authorId="3" shapeId="0" xr:uid="{D0D83D51-A4AB-4E56-9C82-A904646100BC}">
      <text>
        <r>
          <rPr>
            <b/>
            <sz val="9"/>
            <color indexed="81"/>
            <rFont val="Tahoma"/>
            <family val="2"/>
          </rPr>
          <t>Hardcoded - rounded to match figure</t>
        </r>
      </text>
    </comment>
    <comment ref="AZ58" authorId="1" shapeId="0" xr:uid="{9889C634-D04A-49FA-A94D-8230661A00F3}">
      <text>
        <r>
          <rPr>
            <b/>
            <sz val="9"/>
            <color indexed="81"/>
            <rFont val="Tahoma"/>
            <family val="2"/>
          </rPr>
          <t>Grew 11% from higher shop visits, increased work scopes, and widebody mix</t>
        </r>
        <r>
          <rPr>
            <sz val="9"/>
            <color indexed="81"/>
            <rFont val="Tahoma"/>
            <family val="2"/>
          </rPr>
          <t xml:space="preserve">
</t>
        </r>
      </text>
    </comment>
    <comment ref="AZ59" authorId="1" shapeId="0" xr:uid="{86E9872D-83BA-497A-941C-A1BDFE7588D9}">
      <text>
        <r>
          <rPr>
            <sz val="9"/>
            <color indexed="81"/>
            <rFont val="Tahoma"/>
            <family val="2"/>
          </rPr>
          <t xml:space="preserve">Up more than 20% from higher volume and price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Liwag, Kristine T (Research)</author>
    <author>Zuber, Shaina C (Research)</author>
    <author>McCann, Brandon M (Research)</author>
    <author>Holcomb, Jason T (Research)</author>
  </authors>
  <commentList>
    <comment ref="Z121" authorId="0" shapeId="0" xr:uid="{94EBBBE2-3649-425F-A77E-F8B8D59D566D}">
      <text>
        <r>
          <rPr>
            <b/>
            <sz val="9"/>
            <color indexed="81"/>
            <rFont val="Tahoma"/>
            <family val="2"/>
          </rPr>
          <t>Liwag, Kristine T (Research):</t>
        </r>
        <r>
          <rPr>
            <sz val="9"/>
            <color indexed="81"/>
            <rFont val="Tahoma"/>
            <family val="2"/>
          </rPr>
          <t xml:space="preserve">
GE commentary as of Paris 2023: 2000+ engine deliveries</t>
        </r>
      </text>
    </comment>
    <comment ref="AB151" authorId="1" shapeId="0" xr:uid="{FD17783F-66B6-4E6B-A8E2-A4209929F9BD}">
      <text>
        <r>
          <rPr>
            <sz val="9"/>
            <color indexed="81"/>
            <rFont val="Tahoma"/>
            <family val="2"/>
          </rPr>
          <t>Previously 5%; Assumed positive given guidance strength at end of 2Q26</t>
        </r>
      </text>
    </comment>
    <comment ref="AC151" authorId="1" shapeId="0" xr:uid="{3720338E-4CFC-488D-B442-11D41E60D318}">
      <text>
        <r>
          <rPr>
            <b/>
            <sz val="9"/>
            <color indexed="81"/>
            <rFont val="Tahoma"/>
            <family val="2"/>
          </rPr>
          <t>Previously 5%</t>
        </r>
      </text>
    </comment>
    <comment ref="AB153" authorId="1" shapeId="0" xr:uid="{B7CB70D5-88EE-467F-B639-D114046410CD}">
      <text>
        <r>
          <rPr>
            <sz val="9"/>
            <color indexed="81"/>
            <rFont val="Tahoma"/>
            <family val="2"/>
          </rPr>
          <t>Previously 12%; Assumed positive given guidance strength at end of 2Q26</t>
        </r>
      </text>
    </comment>
    <comment ref="AC153" authorId="1" shapeId="0" xr:uid="{F61AB1A3-6687-401C-B071-0C963E4A9D24}">
      <text>
        <r>
          <rPr>
            <b/>
            <sz val="9"/>
            <color indexed="81"/>
            <rFont val="Tahoma"/>
            <family val="2"/>
          </rPr>
          <t>Previously 5%</t>
        </r>
      </text>
    </comment>
    <comment ref="X165" authorId="2" shapeId="0" xr:uid="{7A1373FA-EFA9-4D57-8656-92FBA030541A}">
      <text>
        <r>
          <rPr>
            <b/>
            <sz val="9"/>
            <color indexed="81"/>
            <rFont val="Tahoma"/>
            <family val="2"/>
          </rPr>
          <t>McCann, Brandon M (Research):</t>
        </r>
        <r>
          <rPr>
            <sz val="9"/>
            <color indexed="81"/>
            <rFont val="Tahoma"/>
            <family val="2"/>
          </rPr>
          <t xml:space="preserve">
~500+ internal SVs
Chart from June 2023 Paris Airshow - slide 21</t>
        </r>
      </text>
    </comment>
    <comment ref="X166" authorId="2" shapeId="0" xr:uid="{0EB522FE-B438-4768-B6FB-8D67D6FC5BAF}">
      <text>
        <r>
          <rPr>
            <b/>
            <sz val="9"/>
            <color indexed="81"/>
            <rFont val="Tahoma"/>
            <family val="2"/>
          </rPr>
          <t>McCann, Brandon M (Research):</t>
        </r>
        <r>
          <rPr>
            <sz val="9"/>
            <color indexed="81"/>
            <rFont val="Tahoma"/>
            <family val="2"/>
          </rPr>
          <t xml:space="preserve">
Rough split from the chart in June 2023 Paris Airshow slide 21</t>
        </r>
      </text>
    </comment>
    <comment ref="AK168" authorId="1" shapeId="0" xr:uid="{FA270374-0B93-4D3C-B099-E7B20C73B52D}">
      <text>
        <r>
          <rPr>
            <b/>
            <sz val="9"/>
            <color indexed="81"/>
            <rFont val="Tahoma"/>
            <family val="2"/>
          </rPr>
          <t>"We have 40% oversubscribed on shop visits. And our CFM56 shop visits also as we think about the number of shop visits we're expecting, we are at the higher end of the 2,300 to 2,400 shop visits." 2Q26 earnings</t>
        </r>
      </text>
    </comment>
    <comment ref="AB172" authorId="1" shapeId="0" xr:uid="{84FC5C8F-869C-4329-A4FC-3EFBBD16C3F6}">
      <text>
        <r>
          <rPr>
            <b/>
            <sz val="9"/>
            <color indexed="81"/>
            <rFont val="Tahoma"/>
            <family val="2"/>
          </rPr>
          <t>Previously -1%; Assumed positive given guidance strength at end of 2Q26</t>
        </r>
      </text>
    </comment>
    <comment ref="AC172" authorId="1" shapeId="0" xr:uid="{35EFC664-6838-4055-8BE2-B2C85E396FF6}">
      <text>
        <r>
          <rPr>
            <b/>
            <sz val="9"/>
            <color indexed="81"/>
            <rFont val="Tahoma"/>
            <family val="2"/>
          </rPr>
          <t>Previously 12%</t>
        </r>
      </text>
    </comment>
    <comment ref="AB176" authorId="0" shapeId="0" xr:uid="{F58F3D02-3689-4173-B58C-ABAE12F512D5}">
      <text>
        <r>
          <rPr>
            <sz val="9"/>
            <color indexed="81"/>
            <rFont val="Tahoma"/>
            <family val="2"/>
          </rPr>
          <t>Over 100% to account for pent-up undercapacity</t>
        </r>
      </text>
    </comment>
    <comment ref="Z179" authorId="2" shapeId="0" xr:uid="{D6853D15-B81E-4F30-B136-5551017554EF}">
      <text>
        <r>
          <rPr>
            <b/>
            <sz val="9"/>
            <color indexed="81"/>
            <rFont val="Tahoma"/>
            <family val="2"/>
          </rPr>
          <t>McCann, Brandon M (Research):</t>
        </r>
        <r>
          <rPr>
            <sz val="9"/>
            <color indexed="81"/>
            <rFont val="Tahoma"/>
            <family val="2"/>
          </rPr>
          <t xml:space="preserve">
~200+ internal SVs
Chart from Jun 2023 Paris Airshow slide 21</t>
        </r>
      </text>
    </comment>
    <comment ref="AA179" authorId="2" shapeId="0" xr:uid="{F8861820-3012-4919-8C7C-740FCC9EE4CD}">
      <text>
        <r>
          <rPr>
            <b/>
            <sz val="9"/>
            <color indexed="81"/>
            <rFont val="Tahoma"/>
            <family val="2"/>
          </rPr>
          <t>McCann, Brandon M (Research):</t>
        </r>
        <r>
          <rPr>
            <sz val="9"/>
            <color indexed="81"/>
            <rFont val="Tahoma"/>
            <family val="2"/>
          </rPr>
          <t xml:space="preserve">
Approaching 400 internal SVs
Chart from Jun 2023 Paris Airshow slide 21</t>
        </r>
      </text>
    </comment>
    <comment ref="AA180" authorId="0" shapeId="0" xr:uid="{CB940FDD-B449-4096-886D-B3D0EAB2A84D}">
      <text>
        <r>
          <rPr>
            <sz val="9"/>
            <color indexed="81"/>
            <rFont val="Tahoma"/>
            <family val="2"/>
          </rPr>
          <t>2025: Around 85% is internal (50/50 split between GE and Safran) and 15% external
2030: shifting towards 70% internal</t>
        </r>
      </text>
    </comment>
    <comment ref="Z187" authorId="0" shapeId="0" xr:uid="{142C5FE4-4B61-4539-AD3A-EF8DBB742E8E}">
      <text>
        <r>
          <rPr>
            <sz val="9"/>
            <color indexed="81"/>
            <rFont val="Tahoma"/>
            <family val="2"/>
          </rPr>
          <t>Actuals are 100% b/c Deliveries are based on GE reported engine deliveries</t>
        </r>
      </text>
    </comment>
    <comment ref="AA187" authorId="0" shapeId="0" xr:uid="{3F03ED7D-2F65-47FB-B553-6E1034F23BE5}">
      <text>
        <r>
          <rPr>
            <sz val="9"/>
            <color indexed="81"/>
            <rFont val="Tahoma"/>
            <family val="2"/>
          </rPr>
          <t>Forecasts are based on Boeing 787 deliveries and therefore market share is lower due to Rolls-Royce Trent option</t>
        </r>
      </text>
    </comment>
    <comment ref="U259" authorId="2" shapeId="0" xr:uid="{2CEB0AF0-AD3B-436B-A397-E6F694E5EB9E}">
      <text>
        <r>
          <rPr>
            <b/>
            <sz val="9"/>
            <color indexed="81"/>
            <rFont val="Tahoma"/>
            <family val="2"/>
          </rPr>
          <t>McCann, Brandon M (Research):</t>
        </r>
        <r>
          <rPr>
            <sz val="9"/>
            <color indexed="81"/>
            <rFont val="Tahoma"/>
            <family val="2"/>
          </rPr>
          <t xml:space="preserve">
2023 shop visits are still trailing where they were in 2019
2023 Laguna Conf</t>
        </r>
      </text>
    </comment>
    <comment ref="V259" authorId="2" shapeId="0" xr:uid="{827B9537-8831-476F-B686-F204CB993039}">
      <text>
        <r>
          <rPr>
            <b/>
            <sz val="9"/>
            <color indexed="81"/>
            <rFont val="Tahoma"/>
            <family val="2"/>
          </rPr>
          <t>McCann, Brandon M (Research):</t>
        </r>
        <r>
          <rPr>
            <sz val="9"/>
            <color indexed="81"/>
            <rFont val="Tahoma"/>
            <family val="2"/>
          </rPr>
          <t xml:space="preserve">
Est. down ~40-50% 
Grapchic from 2021 Investor Day slide 41</t>
        </r>
      </text>
    </comment>
    <comment ref="W259" authorId="2" shapeId="0" xr:uid="{45B6D23D-3D49-4F9A-8381-0ED3367D14B4}">
      <text>
        <r>
          <rPr>
            <b/>
            <sz val="9"/>
            <color indexed="81"/>
            <rFont val="Tahoma"/>
            <family val="2"/>
          </rPr>
          <t>McCann, Brandon M (Research):</t>
        </r>
        <r>
          <rPr>
            <sz val="9"/>
            <color indexed="81"/>
            <rFont val="Tahoma"/>
            <family val="2"/>
          </rPr>
          <t xml:space="preserve">
Est. down ~40% 
Grapchic from 2019 Investor Day slide 99</t>
        </r>
      </text>
    </comment>
    <comment ref="X259" authorId="2" shapeId="0" xr:uid="{63620C09-564E-49A4-885A-29C4F2CCDF55}">
      <text>
        <r>
          <rPr>
            <b/>
            <sz val="9"/>
            <color indexed="81"/>
            <rFont val="Tahoma"/>
            <family val="2"/>
          </rPr>
          <t>McCann, Brandon M (Research):</t>
        </r>
        <r>
          <rPr>
            <sz val="9"/>
            <color indexed="81"/>
            <rFont val="Tahoma"/>
            <family val="2"/>
          </rPr>
          <t xml:space="preserve">
&lt;2,000 internal SVs
Chart from June 2023 Paris Airshow - slide 19</t>
        </r>
      </text>
    </comment>
    <comment ref="Y259" authorId="2" shapeId="0" xr:uid="{AFEE55B2-94A3-499A-9A92-A464ABFED49C}">
      <text>
        <r>
          <rPr>
            <b/>
            <sz val="9"/>
            <color indexed="81"/>
            <rFont val="Tahoma"/>
            <family val="2"/>
          </rPr>
          <t>McCann, Brandon M (Research):</t>
        </r>
        <r>
          <rPr>
            <sz val="9"/>
            <color indexed="81"/>
            <rFont val="Tahoma"/>
            <family val="2"/>
          </rPr>
          <t xml:space="preserve">
~2,000+ internal SVs
Chart from June 2023 Paris Airshow - slide 19</t>
        </r>
      </text>
    </comment>
    <comment ref="Z259" authorId="2" shapeId="0" xr:uid="{EF5C3E47-5CB5-44DA-A1A5-8390DB7E2FAF}">
      <text>
        <r>
          <rPr>
            <b/>
            <sz val="9"/>
            <color indexed="81"/>
            <rFont val="Tahoma"/>
            <family val="2"/>
          </rPr>
          <t>McCann, Brandon M (Research):</t>
        </r>
        <r>
          <rPr>
            <sz val="9"/>
            <color indexed="81"/>
            <rFont val="Tahoma"/>
            <family val="2"/>
          </rPr>
          <t xml:space="preserve">
low-mid 2,000s internal SVs
Chart from June 2023 Paris Airshow - slide 19</t>
        </r>
      </text>
    </comment>
    <comment ref="AA259" authorId="2" shapeId="0" xr:uid="{730EF112-426E-4CFB-A2DF-3F926862A76B}">
      <text>
        <r>
          <rPr>
            <b/>
            <sz val="9"/>
            <color indexed="81"/>
            <rFont val="Tahoma"/>
            <family val="2"/>
          </rPr>
          <t>McCann, Brandon M (Research):</t>
        </r>
        <r>
          <rPr>
            <sz val="9"/>
            <color indexed="81"/>
            <rFont val="Tahoma"/>
            <family val="2"/>
          </rPr>
          <t xml:space="preserve">
mid-high 2,000s internal SVs
Chart from June 2023 Paris Airshow - slide 19</t>
        </r>
      </text>
    </comment>
    <comment ref="AA260" authorId="2" shapeId="0" xr:uid="{B7294DF2-988E-4F24-B148-B7F2F8C69AE5}">
      <text>
        <r>
          <rPr>
            <b/>
            <sz val="9"/>
            <color indexed="81"/>
            <rFont val="Tahoma"/>
            <family val="2"/>
          </rPr>
          <t>McCann, Brandon M (Research):</t>
        </r>
        <r>
          <rPr>
            <sz val="9"/>
            <color indexed="81"/>
            <rFont val="Tahoma"/>
            <family val="2"/>
          </rPr>
          <t xml:space="preserve">
2023 Investor Day  HSD growth in SVs from 2023-2025</t>
        </r>
      </text>
    </comment>
    <comment ref="X261" authorId="2" shapeId="0" xr:uid="{3534BB2A-EEF0-4F46-BF41-496DD039CA8C}">
      <text>
        <r>
          <rPr>
            <b/>
            <sz val="9"/>
            <color indexed="81"/>
            <rFont val="Tahoma"/>
            <family val="2"/>
          </rPr>
          <t>McCann, Brandon M (Research):</t>
        </r>
        <r>
          <rPr>
            <sz val="9"/>
            <color indexed="81"/>
            <rFont val="Tahoma"/>
            <family val="2"/>
          </rPr>
          <t xml:space="preserve">
~500+ internal SVs
Chart from June 2023 Paris Airshow - slide 21</t>
        </r>
      </text>
    </comment>
    <comment ref="AA261" authorId="2" shapeId="0" xr:uid="{B6DC84F2-2129-4C2F-8F8B-A8B8C3A71814}">
      <text>
        <r>
          <rPr>
            <b/>
            <sz val="9"/>
            <color indexed="81"/>
            <rFont val="Tahoma"/>
            <family val="2"/>
          </rPr>
          <t>McCann, Brandon M (Research):</t>
        </r>
        <r>
          <rPr>
            <sz val="9"/>
            <color indexed="81"/>
            <rFont val="Tahoma"/>
            <family val="2"/>
          </rPr>
          <t xml:space="preserve">
~750 internal SVs
Chart from June 2023 Paris Airshow - slide 21</t>
        </r>
      </text>
    </comment>
    <comment ref="AD261" authorId="2" shapeId="0" xr:uid="{CBF2EC68-40AB-49D7-A34C-C883BE4AE474}">
      <text>
        <r>
          <rPr>
            <b/>
            <sz val="9"/>
            <color indexed="81"/>
            <rFont val="Tahoma"/>
            <family val="2"/>
          </rPr>
          <t>McCann, Brandon M (Research):</t>
        </r>
        <r>
          <rPr>
            <sz val="9"/>
            <color indexed="81"/>
            <rFont val="Tahoma"/>
            <family val="2"/>
          </rPr>
          <t xml:space="preserve">
flattish from 2025 internal SVs: ~750 
Chart from June 2023 Paris Airshow - slide 21</t>
        </r>
      </text>
    </comment>
    <comment ref="Z263" authorId="2" shapeId="0" xr:uid="{D4580535-D646-4862-BD6F-3F626129A424}">
      <text>
        <r>
          <rPr>
            <b/>
            <sz val="9"/>
            <color indexed="81"/>
            <rFont val="Tahoma"/>
            <family val="2"/>
          </rPr>
          <t>McCann, Brandon M (Research):</t>
        </r>
        <r>
          <rPr>
            <sz val="9"/>
            <color indexed="81"/>
            <rFont val="Tahoma"/>
            <family val="2"/>
          </rPr>
          <t xml:space="preserve">
~200+ internal SVs
Chart from Jun 2023 Paris Airshow slide 21</t>
        </r>
      </text>
    </comment>
    <comment ref="AA263" authorId="2" shapeId="0" xr:uid="{530028E9-8433-445D-8621-EEC1E707C095}">
      <text>
        <r>
          <rPr>
            <b/>
            <sz val="9"/>
            <color indexed="81"/>
            <rFont val="Tahoma"/>
            <family val="2"/>
          </rPr>
          <t>McCann, Brandon M (Research):</t>
        </r>
        <r>
          <rPr>
            <sz val="9"/>
            <color indexed="81"/>
            <rFont val="Tahoma"/>
            <family val="2"/>
          </rPr>
          <t xml:space="preserve">
Approaching 400 internal SVs
Chart from Jun 2023 Paris Airshow slide 21</t>
        </r>
      </text>
    </comment>
    <comment ref="X267" authorId="2" shapeId="0" xr:uid="{3C4BA74A-0552-4F52-ACA7-7221F4E9800F}">
      <text>
        <r>
          <rPr>
            <b/>
            <sz val="9"/>
            <color indexed="81"/>
            <rFont val="Tahoma"/>
            <family val="2"/>
          </rPr>
          <t>McCann, Brandon M (Research):</t>
        </r>
        <r>
          <rPr>
            <sz val="9"/>
            <color indexed="81"/>
            <rFont val="Tahoma"/>
            <family val="2"/>
          </rPr>
          <t xml:space="preserve">
&lt;500
June 2023 Paris Airshow slide 27</t>
        </r>
      </text>
    </comment>
    <comment ref="AA267" authorId="2" shapeId="0" xr:uid="{356FF833-077A-49B1-AD14-FD21201A70DB}">
      <text>
        <r>
          <rPr>
            <b/>
            <sz val="9"/>
            <color indexed="81"/>
            <rFont val="Tahoma"/>
            <family val="2"/>
          </rPr>
          <t>McCann, Brandon M (Research):</t>
        </r>
        <r>
          <rPr>
            <sz val="9"/>
            <color indexed="81"/>
            <rFont val="Tahoma"/>
            <family val="2"/>
          </rPr>
          <t xml:space="preserve">
~600
June 2023 Paris Airshow slide 27</t>
        </r>
      </text>
    </comment>
    <comment ref="AA268" authorId="2" shapeId="0" xr:uid="{9A639C36-BF0C-4DA5-9F62-3AAF8F70A56D}">
      <text>
        <r>
          <rPr>
            <b/>
            <sz val="9"/>
            <color indexed="81"/>
            <rFont val="Tahoma"/>
            <family val="2"/>
          </rPr>
          <t>McCann, Brandon M (Research):</t>
        </r>
        <r>
          <rPr>
            <sz val="9"/>
            <color indexed="81"/>
            <rFont val="Tahoma"/>
            <family val="2"/>
          </rPr>
          <t xml:space="preserve">
HSD-LDD CAGR from 2022</t>
        </r>
      </text>
    </comment>
    <comment ref="AA269" authorId="2" shapeId="0" xr:uid="{98A10743-E292-4710-9C6F-29FDB3101882}">
      <text>
        <r>
          <rPr>
            <b/>
            <sz val="9"/>
            <color indexed="81"/>
            <rFont val="Tahoma"/>
            <family val="2"/>
          </rPr>
          <t>McCann, Brandon M (Research):</t>
        </r>
        <r>
          <rPr>
            <sz val="9"/>
            <color indexed="81"/>
            <rFont val="Tahoma"/>
            <family val="2"/>
          </rPr>
          <t xml:space="preserve">
HSD-LDD CAGR from 2022</t>
        </r>
      </text>
    </comment>
    <comment ref="V270" authorId="2" shapeId="0" xr:uid="{EF45DAF4-FDD0-41B3-9DD5-51CD0C6439EC}">
      <text>
        <r>
          <rPr>
            <b/>
            <sz val="9"/>
            <color indexed="81"/>
            <rFont val="Tahoma"/>
            <family val="2"/>
          </rPr>
          <t>McCann, Brandon M (Research):</t>
        </r>
        <r>
          <rPr>
            <sz val="9"/>
            <color indexed="81"/>
            <rFont val="Tahoma"/>
            <family val="2"/>
          </rPr>
          <t xml:space="preserve">
2020 forecasted growth rate from 2019 investor day slide 25</t>
        </r>
      </text>
    </comment>
    <comment ref="W270" authorId="2" shapeId="0" xr:uid="{6AFEDD8B-F32A-41A0-96DB-95FA180B362E}">
      <text>
        <r>
          <rPr>
            <b/>
            <sz val="9"/>
            <color indexed="81"/>
            <rFont val="Tahoma"/>
            <family val="2"/>
          </rPr>
          <t>McCann, Brandon M (Research):</t>
        </r>
        <r>
          <rPr>
            <sz val="9"/>
            <color indexed="81"/>
            <rFont val="Tahoma"/>
            <family val="2"/>
          </rPr>
          <t xml:space="preserve">
Assume LSD CAGR</t>
        </r>
      </text>
    </comment>
    <comment ref="AB281" authorId="1" shapeId="0" xr:uid="{2B3BA100-74B5-4FBB-96A6-914269806669}">
      <text>
        <r>
          <rPr>
            <b/>
            <sz val="9"/>
            <color indexed="81"/>
            <rFont val="Tahoma"/>
            <family val="2"/>
          </rPr>
          <t>Previously 5%; Assumed increase given guidance strength at end of 2Q26</t>
        </r>
      </text>
    </comment>
    <comment ref="AC281" authorId="1" shapeId="0" xr:uid="{004F943F-FE8B-4F41-A2AF-A3F650CE3A01}">
      <text>
        <r>
          <rPr>
            <b/>
            <sz val="9"/>
            <color indexed="81"/>
            <rFont val="Tahoma"/>
            <family val="2"/>
          </rPr>
          <t>Previously 3%</t>
        </r>
      </text>
    </comment>
    <comment ref="AB282" authorId="1" shapeId="0" xr:uid="{66E5305D-51D9-4286-ADD5-B9922786E8AE}">
      <text>
        <r>
          <rPr>
            <b/>
            <sz val="9"/>
            <color indexed="81"/>
            <rFont val="Tahoma"/>
            <family val="2"/>
          </rPr>
          <t>Previously 4%; Assumed increase given guidance strength at end of 2Q26</t>
        </r>
      </text>
    </comment>
    <comment ref="AC282" authorId="1" shapeId="0" xr:uid="{BCF5CE24-1949-4E3C-B336-70A595F29E4C}">
      <text>
        <r>
          <rPr>
            <b/>
            <sz val="9"/>
            <color indexed="81"/>
            <rFont val="Tahoma"/>
            <family val="2"/>
          </rPr>
          <t>Previously 4%</t>
        </r>
      </text>
    </comment>
    <comment ref="AC283" authorId="1" shapeId="0" xr:uid="{3084F6AD-E44F-41D5-BA8D-1799F011514B}">
      <text>
        <r>
          <rPr>
            <b/>
            <sz val="9"/>
            <color indexed="81"/>
            <rFont val="Tahoma"/>
            <family val="2"/>
          </rPr>
          <t>Previously 6%</t>
        </r>
      </text>
    </comment>
    <comment ref="AB292" authorId="1" shapeId="0" xr:uid="{66D8149E-56CA-4357-9AA6-FDACB3A12BF7}">
      <text>
        <r>
          <rPr>
            <b/>
            <sz val="9"/>
            <color indexed="81"/>
            <rFont val="Tahoma"/>
            <family val="2"/>
          </rPr>
          <t>Previously 3%; Assumed increase given guidance strength at end of 2Q26</t>
        </r>
      </text>
    </comment>
    <comment ref="AB293" authorId="1" shapeId="0" xr:uid="{0319F7B4-4231-482F-887A-BBBB0A6588A0}">
      <text>
        <r>
          <rPr>
            <b/>
            <sz val="9"/>
            <color indexed="81"/>
            <rFont val="Tahoma"/>
            <family val="2"/>
          </rPr>
          <t>Previously 4%; Assumed increase given guidance strength at end of 2Q26</t>
        </r>
      </text>
    </comment>
    <comment ref="AC294" authorId="1" shapeId="0" xr:uid="{B68544E8-11CA-4C38-8EF3-066839529498}">
      <text>
        <r>
          <rPr>
            <b/>
            <sz val="9"/>
            <color indexed="81"/>
            <rFont val="Tahoma"/>
            <family val="2"/>
          </rPr>
          <t>Previously 5%</t>
        </r>
      </text>
    </comment>
    <comment ref="AB303" authorId="1" shapeId="0" xr:uid="{92553F0E-E4D1-43AD-8DCF-31CE43F5B790}">
      <text>
        <r>
          <rPr>
            <b/>
            <sz val="9"/>
            <color indexed="81"/>
            <rFont val="Tahoma"/>
            <family val="2"/>
          </rPr>
          <t>Previously 0%; Assumed increase given guidance strength at end of 2Q26</t>
        </r>
      </text>
    </comment>
    <comment ref="AB304" authorId="1" shapeId="0" xr:uid="{94133CBC-9C1D-46D5-BE40-A92EBF2ACB8C}">
      <text>
        <r>
          <rPr>
            <b/>
            <sz val="9"/>
            <color indexed="81"/>
            <rFont val="Tahoma"/>
            <family val="2"/>
          </rPr>
          <t>Previously 3%; Assumed increase given guidance strength at end of 2Q26</t>
        </r>
      </text>
    </comment>
    <comment ref="AB305" authorId="1" shapeId="0" xr:uid="{E40FDB29-D52F-4E55-90CD-C3A7D6FD172A}">
      <text>
        <r>
          <rPr>
            <b/>
            <sz val="9"/>
            <color indexed="81"/>
            <rFont val="Tahoma"/>
            <family val="2"/>
          </rPr>
          <t>Previously 5%; Assumed increase given guidance strength at end of 2Q26</t>
        </r>
      </text>
    </comment>
    <comment ref="AC305" authorId="1" shapeId="0" xr:uid="{B9A27009-35F5-4649-B591-4AAF721CA90D}">
      <text>
        <r>
          <rPr>
            <b/>
            <sz val="9"/>
            <color indexed="81"/>
            <rFont val="Tahoma"/>
            <family val="2"/>
          </rPr>
          <t>Previously 4%</t>
        </r>
      </text>
    </comment>
    <comment ref="AB339" authorId="3" shapeId="0" xr:uid="{48933AC8-BAD3-461A-B6AD-C889F1C1E0D0}">
      <text>
        <r>
          <rPr>
            <b/>
            <sz val="9"/>
            <color indexed="81"/>
            <rFont val="Tahoma"/>
            <family val="2"/>
          </rPr>
          <t>The number of engines requiring shop visits is projected to be up double-digits in 2026</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K, Hemalatha (Research)</author>
  </authors>
  <commentList>
    <comment ref="M2" authorId="0" shapeId="0" xr:uid="{191B0647-F1F7-48D6-AA59-69AF6587CD0F}">
      <text>
        <r>
          <rPr>
            <sz val="9"/>
            <color indexed="81"/>
            <rFont val="Tahoma"/>
            <family val="2"/>
          </rPr>
          <t>The acquired Goodrich business and the legacy Hamilton Sundstrand business have been combined to form a new segment named UTC Aerospace Systems.</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K, Hemalatha (Research)</author>
    <author>Sanchez, Alvaro (Research)</author>
    <author>Brenes, Miguel (Research)</author>
  </authors>
  <commentList>
    <comment ref="U2" authorId="0" shapeId="0" xr:uid="{9CD1BA27-2613-450B-8227-A20341387D18}">
      <text>
        <r>
          <rPr>
            <b/>
            <sz val="9"/>
            <color indexed="81"/>
            <rFont val="Tahoma"/>
            <family val="2"/>
          </rPr>
          <t>F</t>
        </r>
        <r>
          <rPr>
            <sz val="9"/>
            <color indexed="81"/>
            <rFont val="Tahoma"/>
            <family val="2"/>
          </rPr>
          <t>rom FY2018 to going back, data is taken from UTC model. 
Please note the product and services sales breakup is given for 2018 in UTC but, that is inclusive of intersegment sales. In the new RTX reporting intersegment sales is reported separately. Hence taken sales data from net sales level.</t>
        </r>
      </text>
    </comment>
    <comment ref="AA2" authorId="1" shapeId="0" xr:uid="{76BCE8EC-06BD-42A8-A49A-C12C47BF2743}">
      <text>
        <r>
          <rPr>
            <b/>
            <sz val="9"/>
            <color indexed="81"/>
            <rFont val="Tahoma"/>
            <family val="2"/>
          </rPr>
          <t>Sanchez, Alvaro (Research):</t>
        </r>
        <r>
          <rPr>
            <sz val="9"/>
            <color indexed="81"/>
            <rFont val="Tahoma"/>
            <family val="2"/>
          </rPr>
          <t xml:space="preserve">
Segment sales disaggregated by sales type for the quarters ended March 31, 2020 and 2019 are as follows</t>
        </r>
      </text>
    </comment>
    <comment ref="AV9" authorId="2" shapeId="0" xr:uid="{9A225392-5570-481E-B290-F63C1645AA50}">
      <text>
        <r>
          <rPr>
            <sz val="9"/>
            <color indexed="81"/>
            <rFont val="Tahoma"/>
            <family val="2"/>
          </rPr>
          <t>Hardcoded (rounded to match reported figure)</t>
        </r>
      </text>
    </comment>
    <comment ref="AY9" authorId="2" shapeId="0" xr:uid="{2EE3AB44-7CBB-4A46-94A2-9B2FEBB74C8B}">
      <text>
        <r>
          <rPr>
            <sz val="9"/>
            <color indexed="81"/>
            <rFont val="Tahoma"/>
            <family val="2"/>
          </rPr>
          <t>Hardcoded (rounded to match reported figure)</t>
        </r>
      </text>
    </comment>
    <comment ref="AZ9" authorId="2" shapeId="0" xr:uid="{B9595A60-65F9-4D51-A401-813F58635CC2}">
      <text>
        <r>
          <rPr>
            <sz val="9"/>
            <color indexed="81"/>
            <rFont val="Tahoma"/>
            <family val="2"/>
          </rPr>
          <t>Hardcoded (rounded to match reported figure)</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<sst xmlns="http://schemas.openxmlformats.org/spreadsheetml/2006/main" count="1645" uniqueCount="1010">
  <si>
    <t>Net Sales</t>
  </si>
  <si>
    <t>Products</t>
  </si>
  <si>
    <t>Services</t>
  </si>
  <si>
    <t>Operating Margin</t>
  </si>
  <si>
    <t>YoY</t>
  </si>
  <si>
    <t>1Q19A</t>
  </si>
  <si>
    <t>2Q19A</t>
  </si>
  <si>
    <t>3Q19A</t>
  </si>
  <si>
    <t>4Q19A</t>
  </si>
  <si>
    <t>Operating Profit</t>
  </si>
  <si>
    <t>Operating Expenses</t>
  </si>
  <si>
    <t>Total</t>
  </si>
  <si>
    <t>Gross Margin</t>
  </si>
  <si>
    <t>Gross Profit</t>
  </si>
  <si>
    <t>Total Net Sales</t>
  </si>
  <si>
    <t>Total Cost of Sales</t>
  </si>
  <si>
    <t>Business Segment Operating Profit</t>
  </si>
  <si>
    <t>Financial Metrics</t>
  </si>
  <si>
    <t>Income Statement Quarter</t>
  </si>
  <si>
    <t>Cash Flow Quarter</t>
  </si>
  <si>
    <t>Income Statement Annual</t>
  </si>
  <si>
    <t>Inventories</t>
  </si>
  <si>
    <t>As a % of Net Revenue</t>
  </si>
  <si>
    <t>As a % of Beginning Net PP&amp;E</t>
  </si>
  <si>
    <t>FCF Conversion %</t>
  </si>
  <si>
    <t>Per Share</t>
  </si>
  <si>
    <t>Operating activities</t>
  </si>
  <si>
    <t>Cash Flow Annual</t>
  </si>
  <si>
    <t>Balance Sheet Quarter</t>
  </si>
  <si>
    <t>Assets</t>
  </si>
  <si>
    <t>Goodwill</t>
  </si>
  <si>
    <t>Liabilities</t>
  </si>
  <si>
    <t>Noncurrent Assets</t>
  </si>
  <si>
    <t>Equity</t>
  </si>
  <si>
    <t>Check</t>
  </si>
  <si>
    <t>Balance Sheet Annual</t>
  </si>
  <si>
    <t>EBITDA</t>
  </si>
  <si>
    <t>EBITDA Margin</t>
  </si>
  <si>
    <t>Average Stock Price</t>
  </si>
  <si>
    <t>Other, Net</t>
  </si>
  <si>
    <t>Interest Expense</t>
  </si>
  <si>
    <t>Pre-Tax Income</t>
  </si>
  <si>
    <t>Tax Rate</t>
  </si>
  <si>
    <t>EPS from Continuing Operations - Diluted</t>
  </si>
  <si>
    <t>EPS from Continuing Operations - Basic</t>
  </si>
  <si>
    <t>Depreciation &amp; Amortization</t>
  </si>
  <si>
    <t>As a % of Total Revenue</t>
  </si>
  <si>
    <t>Seasonality: Q as a % of Year</t>
  </si>
  <si>
    <t>Net Earnings</t>
  </si>
  <si>
    <t>Depreciation and Amortization</t>
  </si>
  <si>
    <t>Deferred Income Taxes</t>
  </si>
  <si>
    <t>Changes in Assets and Liabilities</t>
  </si>
  <si>
    <t>Receivables, Net</t>
  </si>
  <si>
    <t>Contract Assets</t>
  </si>
  <si>
    <t>Accounts Payable</t>
  </si>
  <si>
    <t>Net Cash from Operating Activities</t>
  </si>
  <si>
    <t>Investing Activities</t>
  </si>
  <si>
    <t>Financing Activities</t>
  </si>
  <si>
    <t>Repurchases of Common Stock</t>
  </si>
  <si>
    <t>Net Cash from Financing</t>
  </si>
  <si>
    <t>Effect of Exchange Rates on Cash &amp; Cash Equivalents</t>
  </si>
  <si>
    <t>Amortization of Acquired Intangibles</t>
  </si>
  <si>
    <t>Free Cash Flow Returned to Shareholders</t>
  </si>
  <si>
    <t>FCF Returned to Shareholders %</t>
  </si>
  <si>
    <t>Current Assets</t>
  </si>
  <si>
    <t>Cash and Cash Equivalents</t>
  </si>
  <si>
    <t>Other Current Assets</t>
  </si>
  <si>
    <t>Property, Plant and Equipment, Net</t>
  </si>
  <si>
    <t>Other Noncurrent Assets</t>
  </si>
  <si>
    <t>Total Noncurrent Assets</t>
  </si>
  <si>
    <t>Total Assets</t>
  </si>
  <si>
    <t>Current Liabilities</t>
  </si>
  <si>
    <t>Total Current Liabilities</t>
  </si>
  <si>
    <t>Noncurrent Liabilities</t>
  </si>
  <si>
    <t>Long-Term Debt, Net</t>
  </si>
  <si>
    <t>Other Noncurrent Liabilities</t>
  </si>
  <si>
    <t>Total Noncurrent Liabilities</t>
  </si>
  <si>
    <t>Total Liabilities</t>
  </si>
  <si>
    <t>Retained Earnings</t>
  </si>
  <si>
    <t>Total Stockholder's Equity</t>
  </si>
  <si>
    <t>Noncontrolling Interests in Subsidiary</t>
  </si>
  <si>
    <t>Total Equity</t>
  </si>
  <si>
    <t>Total Liabilities and Equity</t>
  </si>
  <si>
    <t>Days Sales Outstanding (Receivables)</t>
  </si>
  <si>
    <t>Days Payable Outstanding (Accounts Payable)</t>
  </si>
  <si>
    <t>Days COGS Inventory</t>
  </si>
  <si>
    <t>Days Sales in Contract Liabilities</t>
  </si>
  <si>
    <t>Total Debt</t>
  </si>
  <si>
    <t>Net Debt</t>
  </si>
  <si>
    <t>Net Debt to EBITDA</t>
  </si>
  <si>
    <t>Leverage Metrics</t>
  </si>
  <si>
    <t>Cash</t>
  </si>
  <si>
    <t>Incremental Debt</t>
  </si>
  <si>
    <t>Acquired EBITDA</t>
  </si>
  <si>
    <t>Implied Deal Valuation (EV/EBITDA)</t>
  </si>
  <si>
    <t>Incremental Cost of Debt</t>
  </si>
  <si>
    <t>Incremental Interest Expense</t>
  </si>
  <si>
    <t>Incremental Net Income</t>
  </si>
  <si>
    <t>Incremental EPS</t>
  </si>
  <si>
    <t>Incremental Tax Rate</t>
  </si>
  <si>
    <t>Incremental Tax Expense</t>
  </si>
  <si>
    <t>D&amp;A as a % of EBITDA</t>
  </si>
  <si>
    <t>D&amp;A Expense</t>
  </si>
  <si>
    <t>Incremental EBIT</t>
  </si>
  <si>
    <t>EPS Accretion</t>
  </si>
  <si>
    <t>Dry Powder Calculation for M&amp;A</t>
  </si>
  <si>
    <t>Annualized EPS Accretion</t>
  </si>
  <si>
    <t>Dry Powder Calculation for Share Buybacks</t>
  </si>
  <si>
    <t>Assumed Share Price</t>
  </si>
  <si>
    <t>Post-Buyback EPS</t>
  </si>
  <si>
    <t>Marginal Tax Rate</t>
  </si>
  <si>
    <t>Post-Buyback Net Income</t>
  </si>
  <si>
    <t>Tax Effected Cost of Incremental Interest</t>
  </si>
  <si>
    <t>FCF Conversion</t>
  </si>
  <si>
    <t>Dry Powder for M&amp;A</t>
  </si>
  <si>
    <t>Incremental Shares Repurchased (mn)</t>
  </si>
  <si>
    <t>Post-Deal Net Debt to EBITDA</t>
  </si>
  <si>
    <t>Post-Buyback Net Debt to EBITDA</t>
  </si>
  <si>
    <t>Dry Powder for Buybacks</t>
  </si>
  <si>
    <t>Target Post-Deal Net Debt to EBITDA</t>
  </si>
  <si>
    <t>Target Post-Buyback Net Debt to EBITDA</t>
  </si>
  <si>
    <t>CY2019A</t>
  </si>
  <si>
    <t>1Q18A</t>
  </si>
  <si>
    <t>2Q18A</t>
  </si>
  <si>
    <t>3Q18A</t>
  </si>
  <si>
    <t>4Q18A</t>
  </si>
  <si>
    <t>CY2018A</t>
  </si>
  <si>
    <t>1Q17A</t>
  </si>
  <si>
    <t>2Q17A</t>
  </si>
  <si>
    <t>3Q17A</t>
  </si>
  <si>
    <t>4Q17A</t>
  </si>
  <si>
    <t>CY2017A</t>
  </si>
  <si>
    <t>1Q16A</t>
  </si>
  <si>
    <t>2Q16A</t>
  </si>
  <si>
    <t>3Q16A</t>
  </si>
  <si>
    <t>4Q16A</t>
  </si>
  <si>
    <t>CY2016A</t>
  </si>
  <si>
    <t>1Q15A</t>
  </si>
  <si>
    <t>2Q15A</t>
  </si>
  <si>
    <t>3Q15A</t>
  </si>
  <si>
    <t>4Q15A</t>
  </si>
  <si>
    <t>CY2015A</t>
  </si>
  <si>
    <t>CY2014A</t>
  </si>
  <si>
    <t>CY2013A</t>
  </si>
  <si>
    <t>CY2012A</t>
  </si>
  <si>
    <t>CY2011A</t>
  </si>
  <si>
    <t>CY2010A</t>
  </si>
  <si>
    <t>CY2009A</t>
  </si>
  <si>
    <t>CY2008A</t>
  </si>
  <si>
    <t>CY2007A</t>
  </si>
  <si>
    <t>CY2006A</t>
  </si>
  <si>
    <t>CY2005A</t>
  </si>
  <si>
    <t>CY2004A</t>
  </si>
  <si>
    <t>CY2003A</t>
  </si>
  <si>
    <t>CY2002A</t>
  </si>
  <si>
    <t>CY2001A</t>
  </si>
  <si>
    <t>CY2000A</t>
  </si>
  <si>
    <t>1Q20A</t>
  </si>
  <si>
    <t>Issuance of Long-Term Debt</t>
  </si>
  <si>
    <t>Debt Quarter</t>
  </si>
  <si>
    <t>Debt Details</t>
  </si>
  <si>
    <t>Issuance of New Debt</t>
  </si>
  <si>
    <t>Repayment of Debt</t>
  </si>
  <si>
    <t>Net New Debt/ (Repayment)</t>
  </si>
  <si>
    <t>Interest Rate</t>
  </si>
  <si>
    <t>Total Interest</t>
  </si>
  <si>
    <t>CY2020E</t>
  </si>
  <si>
    <t>Dividend Per Share</t>
  </si>
  <si>
    <t>CY2021E</t>
  </si>
  <si>
    <t>CY2022E</t>
  </si>
  <si>
    <t>CY2023E</t>
  </si>
  <si>
    <t>CY2024E</t>
  </si>
  <si>
    <t>CY2025E</t>
  </si>
  <si>
    <t>Adjusted Operating Profit</t>
  </si>
  <si>
    <t>Adjusted Operating Margin</t>
  </si>
  <si>
    <t>% Margin</t>
  </si>
  <si>
    <t>USD</t>
  </si>
  <si>
    <t>Repayments of Long-Term Debt</t>
  </si>
  <si>
    <t>Non-Recurring and Unusual Charges</t>
  </si>
  <si>
    <t xml:space="preserve">Other Adjustments </t>
  </si>
  <si>
    <t>Cash, Cash Equivalents and Restricted Cash at End of Period</t>
  </si>
  <si>
    <t>Cash, Cash Equivalents and Restricted Cash at Beginning of Period</t>
  </si>
  <si>
    <t xml:space="preserve">Cash and Cash Equivalents at the End of Period </t>
  </si>
  <si>
    <t>Total Current Assets</t>
  </si>
  <si>
    <t>Less: Restricted Cash Balance</t>
  </si>
  <si>
    <t xml:space="preserve"> Income Tax (Expense) Benefit</t>
  </si>
  <si>
    <t>Accounts Receivables, Net</t>
  </si>
  <si>
    <t>Common Stock</t>
  </si>
  <si>
    <t>Treasury Stock</t>
  </si>
  <si>
    <t>Short-Term Borrowings</t>
  </si>
  <si>
    <t>Accounts Payable and Accrued Liabilities</t>
  </si>
  <si>
    <t>Dispositions of Businesses</t>
  </si>
  <si>
    <t>Discontinued Operations:</t>
  </si>
  <si>
    <t>Net Cash (used in) Provided by Operating Activities</t>
  </si>
  <si>
    <t>Net Cash Used in Investing Activities</t>
  </si>
  <si>
    <t>Net Cash Used in Financing Activities</t>
  </si>
  <si>
    <t>Net Cash Flows (used in) Provided by Discontinued Operations</t>
  </si>
  <si>
    <t>R&amp;D</t>
  </si>
  <si>
    <t>SG&amp;A</t>
  </si>
  <si>
    <t>Net Earnings from Continuing Operations Attributable to Common Shareowners</t>
  </si>
  <si>
    <t>Restructuring</t>
  </si>
  <si>
    <t>Adjusted Sales</t>
  </si>
  <si>
    <t>Corporate, Eliminations, and Other</t>
  </si>
  <si>
    <t>Other Non-Recurring and Unusual Charges</t>
  </si>
  <si>
    <t>3-Months LIBOR rate</t>
  </si>
  <si>
    <t>3-Months EURIBOR rate</t>
  </si>
  <si>
    <t>2Q20A</t>
  </si>
  <si>
    <t>Interest Expense, Net</t>
  </si>
  <si>
    <t>Operating Expenses as % of Sales</t>
  </si>
  <si>
    <t>Acquisitions of Businesses</t>
  </si>
  <si>
    <t>Less: Cash, Cash Equivalents and Restricted Cash for Discontinued Operations</t>
  </si>
  <si>
    <t>Net Income (loss) from Continuing Operations</t>
  </si>
  <si>
    <t>2020 Outlook</t>
  </si>
  <si>
    <t>Commercial Engines</t>
  </si>
  <si>
    <t>3Q20A</t>
  </si>
  <si>
    <t>4Q20A</t>
  </si>
  <si>
    <t>CY2020A</t>
  </si>
  <si>
    <t>Net Change in Cash and Cash Equivalents</t>
  </si>
  <si>
    <t>1Q21A</t>
  </si>
  <si>
    <t>Incremental Margins</t>
  </si>
  <si>
    <t>Company</t>
  </si>
  <si>
    <t>2Q21A</t>
  </si>
  <si>
    <t>3Q21A</t>
  </si>
  <si>
    <t>CY2026E</t>
  </si>
  <si>
    <t>Outlook</t>
  </si>
  <si>
    <t>4Q21A</t>
  </si>
  <si>
    <t>CY2021A</t>
  </si>
  <si>
    <t>1Q22A</t>
  </si>
  <si>
    <t>Current Stock Price</t>
  </si>
  <si>
    <t>2Q22A</t>
  </si>
  <si>
    <t>3Q22A</t>
  </si>
  <si>
    <t>CY2027E</t>
  </si>
  <si>
    <t>4Q22A</t>
  </si>
  <si>
    <t>CY2022A</t>
  </si>
  <si>
    <t>1Q23A</t>
  </si>
  <si>
    <t>2Q23A</t>
  </si>
  <si>
    <t>3Q23A</t>
  </si>
  <si>
    <t>Incremental Margin</t>
  </si>
  <si>
    <t>Research</t>
  </si>
  <si>
    <t>MacroVersion</t>
  </si>
  <si>
    <t>PublishDate</t>
  </si>
  <si>
    <t>Discipline</t>
  </si>
  <si>
    <t>ResearchTopic</t>
  </si>
  <si>
    <t>DocType</t>
  </si>
  <si>
    <t>Model</t>
  </si>
  <si>
    <t>SubjectCode</t>
  </si>
  <si>
    <t>Description</t>
  </si>
  <si>
    <t>KeepVersions</t>
  </si>
  <si>
    <t>All</t>
  </si>
  <si>
    <t>Rating</t>
  </si>
  <si>
    <t>CurrYearTotalRevenue*</t>
  </si>
  <si>
    <t>CurrYearEPS*</t>
  </si>
  <si>
    <t>NextYearTotalRevenue*</t>
  </si>
  <si>
    <t>NextYearEPS*</t>
  </si>
  <si>
    <t>FollowingYearTotalRevenue*</t>
  </si>
  <si>
    <t>FollowingYearEPS*</t>
  </si>
  <si>
    <t>5YearGrowthRate</t>
  </si>
  <si>
    <t>UpdateReason</t>
  </si>
  <si>
    <t>Authors</t>
  </si>
  <si>
    <t>Tickers</t>
  </si>
  <si>
    <t>CUSIP</t>
  </si>
  <si>
    <t>RIC</t>
  </si>
  <si>
    <t>SEDOL</t>
  </si>
  <si>
    <t>Currency</t>
  </si>
  <si>
    <t>PathName</t>
  </si>
  <si>
    <t>Distribution</t>
  </si>
  <si>
    <t>Deleted</t>
  </si>
  <si>
    <t>NO</t>
  </si>
  <si>
    <t>EmailAlert</t>
  </si>
  <si>
    <t>YES</t>
  </si>
  <si>
    <t>CurrQtrEPS</t>
  </si>
  <si>
    <t>CYEnd</t>
  </si>
  <si>
    <t>CQEnd</t>
  </si>
  <si>
    <t>CurrYearTotalRevenueActual*</t>
  </si>
  <si>
    <t>NextYearTotalRevenueActual*</t>
  </si>
  <si>
    <t>FollowingYearTotalRevenueActual*</t>
  </si>
  <si>
    <t>Multiplier</t>
  </si>
  <si>
    <t>TemplateRegion</t>
  </si>
  <si>
    <t>ObjectType</t>
  </si>
  <si>
    <t>excel</t>
  </si>
  <si>
    <t>LanguageCode</t>
  </si>
  <si>
    <t>en-US</t>
  </si>
  <si>
    <t>SubmitterUserId</t>
  </si>
  <si>
    <t>IndustryId</t>
  </si>
  <si>
    <t>TickerRegion</t>
  </si>
  <si>
    <t>AdditionalInstructions</t>
  </si>
  <si>
    <t>*Estimated</t>
  </si>
  <si>
    <t>Regular Update</t>
  </si>
  <si>
    <t>NorthAmerica</t>
  </si>
  <si>
    <t>[BRO MSA]</t>
  </si>
  <si>
    <t>[PRODUCT MODEL]</t>
  </si>
  <si>
    <t>[EMAIL_ALERT YES]</t>
  </si>
  <si>
    <t>[DISCIPLINE Company]</t>
  </si>
  <si>
    <t>[SUPPRESSED NO]</t>
  </si>
  <si>
    <t>Commercial</t>
  </si>
  <si>
    <t>Commercial Services</t>
  </si>
  <si>
    <t>Equipment</t>
  </si>
  <si>
    <t>Sales in units</t>
  </si>
  <si>
    <t>LEAP</t>
  </si>
  <si>
    <t>Military / Defense Engine Shipments</t>
  </si>
  <si>
    <t>Spares rate</t>
  </si>
  <si>
    <t>Equipment vs. Services</t>
  </si>
  <si>
    <t>Shop Visits</t>
  </si>
  <si>
    <t>Internal Shop Visits</t>
  </si>
  <si>
    <t>External Spare Parts</t>
  </si>
  <si>
    <t>higher</t>
  </si>
  <si>
    <t>lower</t>
  </si>
  <si>
    <t>with strength</t>
  </si>
  <si>
    <t>Investment Securities</t>
  </si>
  <si>
    <t>Insurance</t>
  </si>
  <si>
    <t>Less: Insurance Revenues</t>
  </si>
  <si>
    <t>Adjusted Net Sales</t>
  </si>
  <si>
    <t>Adj. Operating Profit</t>
  </si>
  <si>
    <t>Preferred Dividends</t>
  </si>
  <si>
    <t>Other</t>
  </si>
  <si>
    <t>Adjustments</t>
  </si>
  <si>
    <t>Common Shares - Basic</t>
  </si>
  <si>
    <t>Common Shares - Diluted</t>
  </si>
  <si>
    <t>Other (Expense) / Income</t>
  </si>
  <si>
    <t>Senior notes issued by GE</t>
  </si>
  <si>
    <t>Senior and subordinated notes assumed by GE</t>
  </si>
  <si>
    <t>Long-Term</t>
  </si>
  <si>
    <t>Short-Term</t>
  </si>
  <si>
    <t>Total Short-Term Borrowings</t>
  </si>
  <si>
    <t>Total Long-Term Borrowings</t>
  </si>
  <si>
    <t>Total Borrowings</t>
  </si>
  <si>
    <t>Total Long-Term Interest</t>
  </si>
  <si>
    <t>Total Short-Term Interest</t>
  </si>
  <si>
    <t>Interest Expense, Actual</t>
  </si>
  <si>
    <t>Delta</t>
  </si>
  <si>
    <t>Non-Controlling Interests</t>
  </si>
  <si>
    <t>Shares Outstanding at the End of the Period - Diluted</t>
  </si>
  <si>
    <t>Weighted Avg. Common Shares - Basic</t>
  </si>
  <si>
    <t>Weighted Avg. Common Shares - Diluted</t>
  </si>
  <si>
    <t>Current Contract Assets</t>
  </si>
  <si>
    <t>Assets of Disc. Ops / Held For Sale</t>
  </si>
  <si>
    <t>Other Intangible Assets, Net</t>
  </si>
  <si>
    <t>Contract And Other Deferred Assets</t>
  </si>
  <si>
    <t>Progress Collections and Deferred Income</t>
  </si>
  <si>
    <t>Other Current Liabilities</t>
  </si>
  <si>
    <t>Liabilities of Disc. Ops / Held For Sale</t>
  </si>
  <si>
    <t>Deferred Income</t>
  </si>
  <si>
    <t>Insurance Liabilities and Annuity Benefits</t>
  </si>
  <si>
    <t>Non-Current Compensation and Benefits</t>
  </si>
  <si>
    <t>Preferred Stock</t>
  </si>
  <si>
    <t>Accumulated Other Comprehensive Income (Loss)</t>
  </si>
  <si>
    <t>Earnings From Disc. Ops</t>
  </si>
  <si>
    <t>Amortization of Intangibles</t>
  </si>
  <si>
    <t>(Gains) losses on investments</t>
  </si>
  <si>
    <t>Pension Cost</t>
  </si>
  <si>
    <t>Pension Contributions</t>
  </si>
  <si>
    <t>Other Post-retirement Benefits</t>
  </si>
  <si>
    <t>Provision for Income Taxes</t>
  </si>
  <si>
    <t>Financial Services Derivatives, Net</t>
  </si>
  <si>
    <t>Progress Collections</t>
  </si>
  <si>
    <t>Dispositions of PP&amp;E</t>
  </si>
  <si>
    <t>Dispositions of Retained Ownership Interests</t>
  </si>
  <si>
    <t>Net (Purchases) / Dispositions of Investments</t>
  </si>
  <si>
    <t>Redemption of GE Preferred Stock</t>
  </si>
  <si>
    <t>Net Increase / Decrease in Short-Term Debt</t>
  </si>
  <si>
    <t>Cash Recovered (Paid) for Income Taxes</t>
  </si>
  <si>
    <t>Depreciation &amp; Amortization of PP&amp;E</t>
  </si>
  <si>
    <t>Insurance CFOA</t>
  </si>
  <si>
    <t>Separation Cash Expenditures</t>
  </si>
  <si>
    <t>Taxes Related to Business Sales</t>
  </si>
  <si>
    <t>Vernova</t>
  </si>
  <si>
    <t>Orders</t>
  </si>
  <si>
    <t>Repayment of Long-Term Debt</t>
  </si>
  <si>
    <t>Net Long-Term Debt Issuance / (Repayment)</t>
  </si>
  <si>
    <t>Dividends Paid to Shareholders</t>
  </si>
  <si>
    <t>B737NG</t>
  </si>
  <si>
    <t>B747</t>
  </si>
  <si>
    <t>B767</t>
  </si>
  <si>
    <t>B777</t>
  </si>
  <si>
    <t>B787</t>
  </si>
  <si>
    <t>A330</t>
  </si>
  <si>
    <t>A340</t>
  </si>
  <si>
    <t>A380</t>
  </si>
  <si>
    <t>B737MAX</t>
  </si>
  <si>
    <t>E170</t>
  </si>
  <si>
    <t>E190</t>
  </si>
  <si>
    <t>A319</t>
  </si>
  <si>
    <t>A320</t>
  </si>
  <si>
    <t>A321</t>
  </si>
  <si>
    <t>E175</t>
  </si>
  <si>
    <t>E195</t>
  </si>
  <si>
    <t>CF34</t>
  </si>
  <si>
    <t>CF6</t>
  </si>
  <si>
    <t>CFM56</t>
  </si>
  <si>
    <t>GE90</t>
  </si>
  <si>
    <t>GEnx</t>
  </si>
  <si>
    <t>GP7200</t>
  </si>
  <si>
    <t>Engine Deliveries</t>
  </si>
  <si>
    <t>Aircraft Deliveries</t>
  </si>
  <si>
    <t>Spares</t>
  </si>
  <si>
    <t>Spares as % of New Engines</t>
  </si>
  <si>
    <t>LEAP Spares as % of New Engines</t>
  </si>
  <si>
    <t>Engines Sold As Inventory / Other</t>
  </si>
  <si>
    <t>CY2028E</t>
  </si>
  <si>
    <t>CY2029E</t>
  </si>
  <si>
    <t>GE Market Share by Engine</t>
  </si>
  <si>
    <t>LEAP (From GE)</t>
  </si>
  <si>
    <t>Deliveries</t>
  </si>
  <si>
    <t>Price Increases</t>
  </si>
  <si>
    <t>Capital Expenditures</t>
  </si>
  <si>
    <t>GAAP Free Cash Flow</t>
  </si>
  <si>
    <t>GAAP Net Earnings</t>
  </si>
  <si>
    <t>GAAP EPS - Diluted</t>
  </si>
  <si>
    <t>GAAP EPS - Basic</t>
  </si>
  <si>
    <t>Non-GAAP Free Cash Flow</t>
  </si>
  <si>
    <t>Insurance / GE Capital</t>
  </si>
  <si>
    <t>Other Capital</t>
  </si>
  <si>
    <t>Working Capital</t>
  </si>
  <si>
    <t>Senior notes issued by GE Capital</t>
  </si>
  <si>
    <t>Non-GAAP CFOA</t>
  </si>
  <si>
    <t>Capex</t>
  </si>
  <si>
    <t>Internal Shop Visit Revenue</t>
  </si>
  <si>
    <t>External Spare Parts Revenue</t>
  </si>
  <si>
    <t>Total Commercial Services Revenue</t>
  </si>
  <si>
    <t>Total Aircraft Deliveries / Production Forecast</t>
  </si>
  <si>
    <t>GE &amp; JV Aircraft Deliveries / Production Forecast</t>
  </si>
  <si>
    <t>GE &amp; JV Market Share by Aircraft</t>
  </si>
  <si>
    <t>Eng/Air</t>
  </si>
  <si>
    <t>GE &amp; JV Engine Deliveries (Incl. Spares)</t>
  </si>
  <si>
    <t>Effective GE Engine Deliveries</t>
  </si>
  <si>
    <t>CFM56 (50% JV)</t>
  </si>
  <si>
    <t>GP7200 (50% JV)</t>
  </si>
  <si>
    <t>LEAP (50% JV)</t>
  </si>
  <si>
    <t>New Equipment Revenue</t>
  </si>
  <si>
    <t>Services Revenue</t>
  </si>
  <si>
    <t>1st Shop Visit (5-10 Years)</t>
  </si>
  <si>
    <t>3rd Shop Visit (15-20 Years)</t>
  </si>
  <si>
    <t>2nd Shop Visit (10-15 Years)</t>
  </si>
  <si>
    <t>Total Forecasted Shop Visits (MSe)</t>
  </si>
  <si>
    <t>Assumed Cost Per Engine</t>
  </si>
  <si>
    <t>Assumed Engine Price Inflation</t>
  </si>
  <si>
    <t>Assumed Market Share</t>
  </si>
  <si>
    <t>Shop Visits (MSe - Waterfall Based on Deliveries)</t>
  </si>
  <si>
    <t>Assumed Internal SV Market Share</t>
  </si>
  <si>
    <t>Legacy Widebody (GE90, CF6, GP7200)</t>
  </si>
  <si>
    <t>Shop Visit Trendline (Pre-COVID)</t>
  </si>
  <si>
    <t>2026E</t>
  </si>
  <si>
    <t>2027E</t>
  </si>
  <si>
    <t>2028E</t>
  </si>
  <si>
    <t>2029E</t>
  </si>
  <si>
    <t>SV Forecast vs. Trendline</t>
  </si>
  <si>
    <t>Cumulative SV Forecast vs. Trendline</t>
  </si>
  <si>
    <t>4Q23</t>
  </si>
  <si>
    <t>CY2023</t>
  </si>
  <si>
    <t>GE &amp; JV New Engine Deliveries by Engine Type</t>
  </si>
  <si>
    <t>Total GE Engine Deliveries</t>
  </si>
  <si>
    <t>Total GE &amp; JV Engine Deliveries</t>
  </si>
  <si>
    <t>Reference for Consensus</t>
  </si>
  <si>
    <t>GE &amp; JV Engine Deliveries by Aircraft Type</t>
  </si>
  <si>
    <t>Revenue per Shop Visit</t>
  </si>
  <si>
    <t>Narrowbody</t>
  </si>
  <si>
    <t>Widebody</t>
  </si>
  <si>
    <t>Internal Shop Visit Capture</t>
  </si>
  <si>
    <t>CF34 &amp; Other Assumptions - Through Row 263</t>
  </si>
  <si>
    <t>Legacy Widebody Assumptions (CF6, GE90, GP7200) - Through Row 237</t>
  </si>
  <si>
    <t>LEAP (Given by GE)</t>
  </si>
  <si>
    <t>Defense &amp; Systems (D&amp;S)</t>
  </si>
  <si>
    <t xml:space="preserve">Propulsion &amp; Additive Technologies (P&amp;AT) </t>
  </si>
  <si>
    <t>Commercial Engines &amp; Services (Old)</t>
  </si>
  <si>
    <t>Military / Defense (Old)</t>
  </si>
  <si>
    <t>Systems &amp; Other (Old)</t>
  </si>
  <si>
    <t>Commercial Engines &amp; Services Quarter</t>
  </si>
  <si>
    <t>Commercial Engines &amp; Services Annual</t>
  </si>
  <si>
    <t>Commercial Engines &amp; Services (New)</t>
  </si>
  <si>
    <t>Defense &amp; Propulstion Technologies (New)</t>
  </si>
  <si>
    <t>Vernova (Old)</t>
  </si>
  <si>
    <t>Aviation(Old)</t>
  </si>
  <si>
    <t>Aviation (Old)</t>
  </si>
  <si>
    <t>CY2023A</t>
  </si>
  <si>
    <t>1Q24A</t>
  </si>
  <si>
    <t>2Q24A</t>
  </si>
  <si>
    <t>Contract liabilities and deferred income</t>
  </si>
  <si>
    <t>Sales discounts and allowances</t>
  </si>
  <si>
    <t>3Q24A</t>
  </si>
  <si>
    <t>4Q24A</t>
  </si>
  <si>
    <t>CY2024A</t>
  </si>
  <si>
    <t>1Q25A</t>
  </si>
  <si>
    <t>Net Cash from Operating Activities of Continuing Operations</t>
  </si>
  <si>
    <t>Net Cash Used in Operating Activities of Discontinued Operations</t>
  </si>
  <si>
    <t>Net Cash from Investing Activities of Continuing Operations</t>
  </si>
  <si>
    <t>Net Cash from Investing Activities</t>
  </si>
  <si>
    <t>Net Cash Used in Investing Activities of Discontinued Operations</t>
  </si>
  <si>
    <t>Net Cash from Financing Activities of Continuing Operations</t>
  </si>
  <si>
    <t>Net Cash Used in Financing Activities of Discontinued Operations</t>
  </si>
  <si>
    <t>Sales Discounts and Allowances</t>
  </si>
  <si>
    <t>Senior unsecured (2025)</t>
  </si>
  <si>
    <t>Subordinated notes and other (2025)</t>
  </si>
  <si>
    <t>Senior unsecured (2026 - 2055)</t>
  </si>
  <si>
    <t>Subordinated notes and other (2035 - 2037)</t>
  </si>
  <si>
    <t>Found this on slide 16 of presentation; page 26 of 10Q</t>
  </si>
  <si>
    <t>Page 26 of 10Q</t>
  </si>
  <si>
    <t>Front page of 10Q</t>
  </si>
  <si>
    <t>Share Repurchase</t>
  </si>
  <si>
    <t>10Q</t>
  </si>
  <si>
    <t>page 13 of 10Q</t>
  </si>
  <si>
    <t>3-Months SOFR rate</t>
  </si>
  <si>
    <t>This number is given by GE</t>
  </si>
  <si>
    <t>20+%</t>
  </si>
  <si>
    <t>BA Model</t>
  </si>
  <si>
    <t>Airbus Model</t>
  </si>
  <si>
    <t>ERJ Model</t>
  </si>
  <si>
    <t>Cirium</t>
  </si>
  <si>
    <t>2Q25A</t>
  </si>
  <si>
    <t>Commercial Equipment</t>
  </si>
  <si>
    <t>&gt;25%</t>
  </si>
  <si>
    <t>Services Orders</t>
  </si>
  <si>
    <t>Equipment Orders</t>
  </si>
  <si>
    <t>Total Orders</t>
  </si>
  <si>
    <t>presentation</t>
  </si>
  <si>
    <t>10-Q or presentation</t>
  </si>
  <si>
    <t>2028 Outlook</t>
  </si>
  <si>
    <t>DD CAGR '24-'28</t>
  </si>
  <si>
    <t>11.5bn</t>
  </si>
  <si>
    <t>~8.40</t>
  </si>
  <si>
    <t>8.5bn</t>
  </si>
  <si>
    <t>~100%</t>
  </si>
  <si>
    <t>&gt;21%</t>
  </si>
  <si>
    <t>DD% CAGR '24-'28</t>
  </si>
  <si>
    <t>Mid-Teens CAGR '24-'28</t>
  </si>
  <si>
    <t>MSD% CAGR '24-'28</t>
  </si>
  <si>
    <t>GE Commercial Services Revenue (Reported)</t>
  </si>
  <si>
    <t>GE Commercial Equipment Revenue (Calc'd)</t>
  </si>
  <si>
    <t>GE Commercial Equipment Revenue (Reported)</t>
  </si>
  <si>
    <t>3Q25A</t>
  </si>
  <si>
    <t>~3%</t>
  </si>
  <si>
    <t>LDD% CAGR</t>
  </si>
  <si>
    <t>nearly $8bn revenue growth, margin ~flat</t>
  </si>
  <si>
    <t>mix pressure from GE9X, lower spare engine ratio</t>
  </si>
  <si>
    <t>2024-2026: ~$24bn</t>
  </si>
  <si>
    <t>~70% go fwd</t>
  </si>
  <si>
    <t>Remaining Performnace Obligations (RPO)</t>
  </si>
  <si>
    <t>Contract Liabilities and Current Deferred Income</t>
  </si>
  <si>
    <t>Days Sales in Contract Assets</t>
  </si>
  <si>
    <t>2026 Outlook</t>
  </si>
  <si>
    <t>The number of engines requiring shop visits is projected to be up double-digits in 2026</t>
  </si>
  <si>
    <t>Departure growth of 3-4% in 2026</t>
  </si>
  <si>
    <t>2028 Outlook: Mid-Teens CAGR '24-'28</t>
  </si>
  <si>
    <t>2028 Outlook: DD% CAGR '24-'28</t>
  </si>
  <si>
    <t xml:space="preserve">Equipment as a % of CES Revenue </t>
  </si>
  <si>
    <t>Regional &amp; Other</t>
  </si>
  <si>
    <t>Total CES Service</t>
  </si>
  <si>
    <t>60% Internal Shop Visit</t>
  </si>
  <si>
    <t>40% Spares</t>
  </si>
  <si>
    <t>Leap</t>
  </si>
  <si>
    <t>GEnX</t>
  </si>
  <si>
    <t>Others</t>
  </si>
  <si>
    <t>Widebody (80% of revenues from services)</t>
  </si>
  <si>
    <t>2024 Presentation for CFM56 Shop Visits</t>
  </si>
  <si>
    <t>2025 Presentation for CFM56 Shop Visits</t>
  </si>
  <si>
    <t>600 More in 2025-2028 than Previous Guidance</t>
  </si>
  <si>
    <t>MSe Internal Shop Visits (30% Share)</t>
  </si>
  <si>
    <t>Regional and Other</t>
  </si>
  <si>
    <t>Shop Visit Services Revenue</t>
  </si>
  <si>
    <t>Spares Revenue</t>
  </si>
  <si>
    <t>Take-offs and Landings Growth</t>
  </si>
  <si>
    <t>Spares Pricing Growth</t>
  </si>
  <si>
    <t>Volume Growth</t>
  </si>
  <si>
    <t>Total Narrowbody Services</t>
  </si>
  <si>
    <t>Internal Shop Visits vs. Spares Revenue Split</t>
  </si>
  <si>
    <t>Total Widebody Services</t>
  </si>
  <si>
    <t>Total Regional and Other Services</t>
  </si>
  <si>
    <t>Total Shop Visit Revenue</t>
  </si>
  <si>
    <t>Total Spares Revenue</t>
  </si>
  <si>
    <t>Total Services Revenue</t>
  </si>
  <si>
    <t>% Narrowbody SV</t>
  </si>
  <si>
    <t>% Narrowbody Spares</t>
  </si>
  <si>
    <t>% Widebody SV</t>
  </si>
  <si>
    <t>% Widebody Spares</t>
  </si>
  <si>
    <t>% Regional and Other SV</t>
  </si>
  <si>
    <t>% Regional and Other Spares</t>
  </si>
  <si>
    <t>% Total Shop Visit</t>
  </si>
  <si>
    <t>% Total Spares Revenue</t>
  </si>
  <si>
    <t>Price Increases / Changes in Work Scope</t>
  </si>
  <si>
    <t>Average Revenue Per New Engine Delivery</t>
  </si>
  <si>
    <t>CY2030E</t>
  </si>
  <si>
    <t>CES EBIT Margin</t>
  </si>
  <si>
    <t>CES EBIT</t>
  </si>
  <si>
    <t>2030E</t>
  </si>
  <si>
    <t>Commercial Services Build</t>
  </si>
  <si>
    <t>CES Summary</t>
  </si>
  <si>
    <t>Services Revenue Summary</t>
  </si>
  <si>
    <t>Delta (need to be zero)</t>
  </si>
  <si>
    <t>Operating Profit Drivers</t>
  </si>
  <si>
    <t>Commercial Equipment Profit</t>
  </si>
  <si>
    <t>Margin</t>
  </si>
  <si>
    <t>Incremental Operating Margin</t>
  </si>
  <si>
    <t xml:space="preserve">Total CES Revneue </t>
  </si>
  <si>
    <t xml:space="preserve">Services as a % of CES Revenue </t>
  </si>
  <si>
    <t xml:space="preserve">Internal Shop Visit Revenue as a % of Services Revenue </t>
  </si>
  <si>
    <t xml:space="preserve">Spares Revenue as a % of Services Revenue </t>
  </si>
  <si>
    <t>2025 Investor Day: Workscopes increasing …widebody revenue/shop visit +25%</t>
  </si>
  <si>
    <t>2025 Investor Day: LEAP Shop visit growth ~25%</t>
  </si>
  <si>
    <t>% Growth</t>
  </si>
  <si>
    <t>4Q26E</t>
  </si>
  <si>
    <t>3Q26E</t>
  </si>
  <si>
    <t>1.2-1.3bn</t>
  </si>
  <si>
    <t>~900mn</t>
  </si>
  <si>
    <t>~1,050</t>
  </si>
  <si>
    <t>Senior unsecured (2026)</t>
  </si>
  <si>
    <t>Subordinated notes and other (2026)</t>
  </si>
  <si>
    <t>No repayment; re-fi '26+ maturities</t>
  </si>
  <si>
    <t>slightly incrementally positive compared to 2025</t>
  </si>
  <si>
    <t>3% of revenue</t>
  </si>
  <si>
    <t>2025 Re-Stated Metrics</t>
  </si>
  <si>
    <t>Aeroderivative business moved from CES to DPT and Technology and Ops moved to CES</t>
  </si>
  <si>
    <t>2025A</t>
  </si>
  <si>
    <t>YoY (using re-stated)</t>
  </si>
  <si>
    <t>Dilutive Shares</t>
  </si>
  <si>
    <t>CY2025A</t>
  </si>
  <si>
    <t>OCF</t>
  </si>
  <si>
    <t>FCF</t>
  </si>
  <si>
    <t>4Q25A</t>
  </si>
  <si>
    <t>Other (true-up)</t>
  </si>
  <si>
    <t>Adj. Op. Margin</t>
  </si>
  <si>
    <t>Assumed Margin of Equipment</t>
  </si>
  <si>
    <t>Equipment EBIT</t>
  </si>
  <si>
    <t>Services EBIT</t>
  </si>
  <si>
    <t>Assumed Margin of Services</t>
  </si>
  <si>
    <t>CES EBIT Incremental Margin</t>
  </si>
  <si>
    <t>knafegab</t>
  </si>
  <si>
    <t>GE.N</t>
  </si>
  <si>
    <t>GE Aerospace</t>
  </si>
  <si>
    <t>ISO4217:USD</t>
  </si>
  <si>
    <t>Modelware required tags</t>
  </si>
  <si>
    <t>Reported Net Income</t>
  </si>
  <si>
    <t>Modelware KEI</t>
  </si>
  <si>
    <t>mstag:otherOperatingExpense</t>
  </si>
  <si>
    <t>Defense &amp; Propulsion Technologies Quarter</t>
  </si>
  <si>
    <t>Defense &amp; Propulsion Technologies Annual</t>
  </si>
  <si>
    <t>Statutory tax rate</t>
  </si>
  <si>
    <t xml:space="preserve">Changes in restricted cash </t>
  </si>
  <si>
    <t>1Q26A</t>
  </si>
  <si>
    <t>Aeroderivative moved here</t>
  </si>
  <si>
    <t>2Q26A</t>
  </si>
  <si>
    <t>~20%</t>
  </si>
  <si>
    <t>Low 20s</t>
  </si>
  <si>
    <t>10.25-10.35bn</t>
  </si>
  <si>
    <t>+LDD</t>
  </si>
  <si>
    <t>1.6-1.7bn</t>
  </si>
  <si>
    <t>High-teens</t>
  </si>
  <si>
    <t>10.55-10.75</t>
  </si>
  <si>
    <t>7.65-7.85</t>
  </si>
  <si>
    <t>8.9-9.2bn</t>
  </si>
  <si>
    <t>&lt;16.5%</t>
  </si>
  <si>
    <t>2Q26 Guidance</t>
  </si>
  <si>
    <t>f</t>
  </si>
  <si>
    <t xml:space="preserve">1585 Broadway </t>
  </si>
  <si>
    <t xml:space="preserve">New York, NY  10036-8293 </t>
  </si>
  <si>
    <t xml:space="preserve">United States </t>
  </si>
  <si>
    <t>Tel: +1 (1)212 761 4000</t>
  </si>
  <si>
    <t>Authors: Kristine Liwag</t>
  </si>
  <si>
    <t>Date: 17 Jul 2026</t>
  </si>
  <si>
    <t>Ticker: GE.N</t>
  </si>
  <si>
    <t>Stock Rating: Overweight</t>
  </si>
  <si>
    <t>Industry: Aerospace</t>
  </si>
  <si>
    <t>Industry View: Attractive</t>
  </si>
  <si>
    <t>Price as of 17 Jul 2026: 353.85</t>
  </si>
  <si>
    <t>Target Price: 400.00</t>
  </si>
  <si>
    <t>e = Morgan Stanley Research estimates unless otherwise noted</t>
  </si>
  <si>
    <t>Source: Morgan Stanley Research unless otherwise noted</t>
  </si>
  <si>
    <t>Stocks ratings are relative to the analyst's industry coverage universe.</t>
  </si>
  <si>
    <t>Morgan Stanley does and seeks to do business with companies covered in Morgan Stanley Research. As a</t>
  </si>
  <si>
    <t>result, investors should be aware that the firm may have a conflict of interest that could affect the</t>
  </si>
  <si>
    <t>objectivity of Morgan Stanley Research. Investors should consider Morgan Stanley Research as only a</t>
  </si>
  <si>
    <t>single factor in making their investment decision.</t>
  </si>
  <si>
    <t>The information and opinions in Morgan Stanley Research were prepared by Morgan Stanley &amp; Co. LLC,</t>
  </si>
  <si>
    <t>and/or Morgan Stanley C.T.V.M. S.A., and/or Morgan Stanley Mexico, Casa de Bolsa, S.A. de C.V., and/or</t>
  </si>
  <si>
    <t>Morgan Stanley Canada Limited. As used in this disclosure section, "Morgan Stanley" includes Morgan</t>
  </si>
  <si>
    <t>Stanley &amp; Co. LLC, Morgan Stanley C.T.V.M. S.A., Morgan Stanley Mexico, Casa de Bolsa, S.A. de C.V.,</t>
  </si>
  <si>
    <t>Morgan Stanley Canada Limited and their affiliates as necessary.</t>
  </si>
  <si>
    <t>For important disclosures, stock price charts and equity rating histories regarding companies that are</t>
  </si>
  <si>
    <t>the subject of this report, please see the Morgan Stanley Research Disclosure Website at</t>
  </si>
  <si>
    <t>www.morganstanley.com/eqr/disclosures/webapp/generalresearch, or contact your investment representative</t>
  </si>
  <si>
    <t>or Morgan Stanley Research at 1585 Broadway, (Attention: Research Management), New York, NY, 10036 USA.</t>
  </si>
  <si>
    <t>For valuation methodology and risks associated with any recommendation, rating or price target</t>
  </si>
  <si>
    <t>referenced in this research report, please contact the Client Support Team as follows: US/Canada +1 800</t>
  </si>
  <si>
    <t>303-2495; Hong Kong +852 2848-5999; Latin America +1 718 754-5444 (U.S.); London +44 (0)20-7425-8169;</t>
  </si>
  <si>
    <t>Singapore +65 6834-6860; Sydney +61 (0)2-9770-1505; Tokyo +81 (0)3-6836-9000. Alternatively you may</t>
  </si>
  <si>
    <t>contact your investment representative or Morgan Stanley Research at 1585 Broadway, (Attention: Research</t>
  </si>
  <si>
    <t>Management), New York, NY 10036 USA.</t>
  </si>
  <si>
    <t>Analyst Certification</t>
  </si>
  <si>
    <t>The following analysts hereby certify that their views about the companies and their securities</t>
  </si>
  <si>
    <t>discussed in this report are accurately expressed and that they have not received and will not receive</t>
  </si>
  <si>
    <t>direct or indirect compensation in exchange for expressing specific recommendations or views in this</t>
  </si>
  <si>
    <t>report: Kristine T Liwag.</t>
  </si>
  <si>
    <t>.</t>
  </si>
  <si>
    <t>Global Research Conflict Management Policy</t>
  </si>
  <si>
    <t>Morgan Stanley Research has been published in accordance with our conflict management policy, which is</t>
  </si>
  <si>
    <t>available at www.morganstanley.com/institutional/research/conflictpolicies. A Portuguese version of the</t>
  </si>
  <si>
    <t>policy can be found at www.morganstanley.com.br</t>
  </si>
  <si>
    <t>Important Regulatory Disclosures on Subject Companies</t>
  </si>
  <si>
    <t>As of June 30, 2026, Morgan Stanley beneficially owned 1% or more of a class of common equity securities</t>
  </si>
  <si>
    <t>of the following companies covered in Morgan Stanley Research: GE Aerospace.</t>
  </si>
  <si>
    <t>Within the last 12 months, Morgan Stanley managed or co-managed a public offering (or 144A offering) of</t>
  </si>
  <si>
    <t>securities of GE Aerospace.</t>
  </si>
  <si>
    <t>Within the last 12 months, Morgan Stanley has received compensation for investment banking services from</t>
  </si>
  <si>
    <t>GE Aerospace.</t>
  </si>
  <si>
    <t>In the next 3 months, Morgan Stanley expects to receive or intends to seek compensation for investment</t>
  </si>
  <si>
    <t>banking services from GE Aerospace.</t>
  </si>
  <si>
    <t>Within the last 12 months, Morgan Stanley has received compensation for products and services other than</t>
  </si>
  <si>
    <t>investment banking services from GE Aerospace.</t>
  </si>
  <si>
    <t>Within the last 12 months, Morgan Stanley has provided or is providing investment banking services to,</t>
  </si>
  <si>
    <t>or has an investment banking client relationship with, the following company: GE Aerospace.</t>
  </si>
  <si>
    <t>Within the last 12 months, Morgan Stanley has either provided or is providing non-investment banking,</t>
  </si>
  <si>
    <t>securities-related services to and/or in the past has entered into an agreement to provide services or</t>
  </si>
  <si>
    <t>has a client relationship with the following company: GE Aerospace.</t>
  </si>
  <si>
    <t>The equity research analysts or strategists principally responsible for the preparation of Morgan</t>
  </si>
  <si>
    <t>Stanley Research have received compensation based upon various factors, including quality of research,</t>
  </si>
  <si>
    <t>investor client feedback, stock picking, competitive factors, firm revenues and overall investment</t>
  </si>
  <si>
    <t>banking revenues. Equity Research analysts' or strategists' compensation is not linked to investment</t>
  </si>
  <si>
    <t>banking or capital markets transactions performed by Morgan Stanley or the profitability or revenues of</t>
  </si>
  <si>
    <t>particular trading desks.</t>
  </si>
  <si>
    <t>Morgan Stanley and its affiliates do business that relates to companies/instruments covered in Morgan</t>
  </si>
  <si>
    <t>Stanley Research, including market making, providing liquidity, fund management, commercial banking,</t>
  </si>
  <si>
    <t>extension of credit, investment services and investment banking. Morgan Stanley sells to and buys from</t>
  </si>
  <si>
    <t>customers the securities/instruments of companies covered in Morgan Stanley Research on a principal</t>
  </si>
  <si>
    <t>basis. Morgan Stanley may have a position in the debt of the Company or instruments discussed in this</t>
  </si>
  <si>
    <t>report. Morgan Stanley trades or may trade as principal in the debt securities (or in related</t>
  </si>
  <si>
    <t>derivatives) that are the subject of the debt research report.</t>
  </si>
  <si>
    <t>Certain disclosures listed above are also for compliance with applicable regulations in non-US</t>
  </si>
  <si>
    <t>jurisdictions.</t>
  </si>
  <si>
    <t>STOCK RATINGS</t>
  </si>
  <si>
    <t>Morgan Stanley uses a relative rating system using terms such as Overweight, Equal-weight, Not-Rated or</t>
  </si>
  <si>
    <t>Underweight (see definitions below). Morgan Stanley does not assign ratings of Buy, Hold or Sell to the</t>
  </si>
  <si>
    <t>stocks we cover. Overweight, Equal-weight, Not-Rated and Underweight are not the equivalent of buy, hold</t>
  </si>
  <si>
    <t>and sell. Investors should carefully read the definitions of all ratings used in Morgan Stanley</t>
  </si>
  <si>
    <t>Research. In addition, since Morgan Stanley Research contains more complete information concerning the</t>
  </si>
  <si>
    <t>analyst's views, investors should carefully read Morgan Stanley Research, in its entirety, and not infer</t>
  </si>
  <si>
    <t>the contents from the rating alone. In any case, ratings (or research) should not be used or relied</t>
  </si>
  <si>
    <t>upon as investment advice. An investor's decision to buy or sell a stock should depend on individual</t>
  </si>
  <si>
    <t>circumstances (such as the investor's existing holdings) and other considerations.</t>
  </si>
  <si>
    <t>Global Stock Ratings Distribution</t>
  </si>
  <si>
    <t>(as of June 30, 2026)</t>
  </si>
  <si>
    <t>The Stock Ratings described below apply to Morgan Stanley's Fundamental Equity Research and do not apply</t>
  </si>
  <si>
    <t>to Debt Research produced by the Firm.</t>
  </si>
  <si>
    <t>For disclosure purposes only (in accordance with FINRA requirements), we include the category headings</t>
  </si>
  <si>
    <t>of Buy, Hold, and Sell alongside our ratings of Overweight, Equal-weight, Not-Rated and Underweight.</t>
  </si>
  <si>
    <t>Morgan Stanley does not assign ratings of Buy, Hold or Sell to the stocks we cover. Overweight,</t>
  </si>
  <si>
    <t>Equal-weight, Not-Rated and Underweight are not the equivalent of buy, hold, and sell but represent</t>
  </si>
  <si>
    <t>recommended relative weightings (see definitions below). To satisfy regulatory requirements, we</t>
  </si>
  <si>
    <t>correspond Overweight, our most positive stock rating, with a buy recommendation; we correspond</t>
  </si>
  <si>
    <t>Equal-weight and Not-Rated to hold and Underweight to sell recommendations, respectively.</t>
  </si>
  <si>
    <t>Coverage Universe</t>
  </si>
  <si>
    <t>Investment Banking Clients (IBC)</t>
  </si>
  <si>
    <t>Other Material Investment Services Clients (MISC)</t>
  </si>
  <si>
    <t>Stock Rating Category</t>
  </si>
  <si>
    <t>Count</t>
  </si>
  <si>
    <t>% of Total</t>
  </si>
  <si>
    <t>% of Total IBC</t>
  </si>
  <si>
    <t>% of Rating Category</t>
  </si>
  <si>
    <t>% of Total Other MISC</t>
  </si>
  <si>
    <t>Overweight/Buy</t>
  </si>
  <si>
    <t>Equal-weight/Hold</t>
  </si>
  <si>
    <t>Not-Rated/Hold</t>
  </si>
  <si>
    <t>Underweight/Sell</t>
  </si>
  <si>
    <t>Data include common stock and ADRs currently assigned ratings. Investment Banking Clients are companies</t>
  </si>
  <si>
    <t>from whom Morgan Stanley received investment banking compensation in the last 12 months. Due to rounding</t>
  </si>
  <si>
    <t>off of decimals, the percentages provided in the "% of total" column may not add up to exactly 100</t>
  </si>
  <si>
    <t>percent.</t>
  </si>
  <si>
    <t>Analyst Stock Ratings</t>
  </si>
  <si>
    <t>Overweight (O). The stock's total return is expected to exceed the average total return of the analyst's</t>
  </si>
  <si>
    <t>industry (or industry team's) coverage universe, on a risk-adjusted basis, over the next 12-18 months.</t>
  </si>
  <si>
    <t>Equal-weight (E). The stock's total return is expected to be in line with the average total return of</t>
  </si>
  <si>
    <t>the analyst's industry (or industry team's) coverage universe, on a risk-adjusted basis, over the next</t>
  </si>
  <si>
    <t>12-18 months.</t>
  </si>
  <si>
    <t>Not-Rated (NR). Currently the analyst does not have adequate conviction about the stock's total return</t>
  </si>
  <si>
    <t>relative to the average total return of the analyst's industry (or industry team's) coverage universe,</t>
  </si>
  <si>
    <t>on a risk-adjusted basis, over the next 12-18 months.</t>
  </si>
  <si>
    <t>Underweight (U). The stock's total return is expected to be below the average total return of the</t>
  </si>
  <si>
    <t>analyst's industry (or industry team's) coverage universe, on a risk-adjusted basis, over the next 12-18</t>
  </si>
  <si>
    <t>months.</t>
  </si>
  <si>
    <t>Unless otherwise specified, the time frame for price targets included in Morgan Stanley Research is 12</t>
  </si>
  <si>
    <t>to 18 months.</t>
  </si>
  <si>
    <t>Analyst Industry Views</t>
  </si>
  <si>
    <t>Attractive (A): The analyst expects the performance of his or her industry coverage universe over the</t>
  </si>
  <si>
    <t>next 12-18 months to be attractive vs. the relevant broad market benchmark, as indicated below.</t>
  </si>
  <si>
    <t>In-Line (I): The analyst expects the performance of his or her industry coverage universe over the next</t>
  </si>
  <si>
    <t>12-18 months to be in line with the relevant broad market benchmark, as indicated below.</t>
  </si>
  <si>
    <t>Cautious (C): The analyst views the performance of his or her industry coverage universe over the next</t>
  </si>
  <si>
    <t>12-18 months with caution vs. the relevant broad market benchmark, as indicated below.</t>
  </si>
  <si>
    <t>Benchmarks for each region are as follows: North America - S&amp;P 500; Latin America - relevant MSCI</t>
  </si>
  <si>
    <t>country index or MSCI Latin America Index; Europe - MSCI Europe; Japan - TOPIX; Asia - relevant MSCI</t>
  </si>
  <si>
    <t>country index or MSCI sub-regional index or MSCI AC Asia Pacific ex Japan Index.</t>
  </si>
  <si>
    <t>Stock Price, Price Target and Rating History (See Rating Definitions)</t>
  </si>
  <si>
    <t>Important Disclosures for Morgan Stanley Smith Barney LLC Customers</t>
  </si>
  <si>
    <t>Important disclosures regarding any material conflict of interest that can reasonably be expected to</t>
  </si>
  <si>
    <t>have influenced Morgan Stanley Smith Barney LLC's choice of a third-party research provider or the</t>
  </si>
  <si>
    <t>subject company of a third-party research report, are available on the Morgan Stanley Wealth Management</t>
  </si>
  <si>
    <t>disclosure website at www.morganstanley.com/online/researchdisclosures. For Morgan Stanley specific</t>
  </si>
  <si>
    <t>disclosures, you may refer to https://www.morganstanley.com/eqr/disclosures/webapp/generalresearch.</t>
  </si>
  <si>
    <t>Each Morgan Stanley research report is reviewed and approved on behalf of Morgan Stanley Smith Barney</t>
  </si>
  <si>
    <t>LLC. This review and approval is conducted by the same person who reviews the research report on behalf</t>
  </si>
  <si>
    <t>of Morgan Stanley. This could create a conflict of interest.</t>
  </si>
  <si>
    <t>Other Important Disclosures</t>
  </si>
  <si>
    <t>Morgan Stanley Research policy is to update research reports as and when the Research Analyst and</t>
  </si>
  <si>
    <t>Research Management deem appropriate, based on developments with the issuer, the sector, or the market</t>
  </si>
  <si>
    <t>that may have a material impact on the research views or opinions stated therein. In addition, certain</t>
  </si>
  <si>
    <t>Research publications are intended to be updated on a regular periodic basis</t>
  </si>
  <si>
    <t>(weekly/monthly/quarterly/annual) and will ordinarily be updated with that frequency, unless the</t>
  </si>
  <si>
    <t>Research Analyst and Research Management determine that a different publication schedule is appropriate</t>
  </si>
  <si>
    <t>based on current conditions.</t>
  </si>
  <si>
    <t>Morgan Stanley is not acting as a municipal advisor and the opinions or views contained herein are not</t>
  </si>
  <si>
    <t>intended to be, and do not constitute, advice within the meaning of Section 975 of the Dodd-Frank Wall</t>
  </si>
  <si>
    <t>Street Reform and Consumer Protection Act.</t>
  </si>
  <si>
    <t>Morgan Stanley produces an equity research product called a "Tactical Idea." Views contained in a</t>
  </si>
  <si>
    <t>"Tactical Idea" on a particular stock may be contrary to the recommendations or views expressed in</t>
  </si>
  <si>
    <t>research on the same stock. This may be the result of differing time horizons, methodologies, market</t>
  </si>
  <si>
    <t>events, or other factors. For all research available on a particular stock, please contact your sales</t>
  </si>
  <si>
    <t>representative or go to Matrix at http://www.morganstanley.com/matrix.</t>
  </si>
  <si>
    <t>Morgan Stanley Research is provided to our clients through our proprietary research portal on Matrix and</t>
  </si>
  <si>
    <t>also distributed electronically by Morgan Stanley to clients. Certain, but not all, Morgan Stanley</t>
  </si>
  <si>
    <t>Research products are also made available to clients through third-party vendors or redistributed to</t>
  </si>
  <si>
    <t>clients through alternate electronic means as a convenience. For access to all available Morgan Stanley</t>
  </si>
  <si>
    <t>Research, please contact your sales representative or go to Matrix at</t>
  </si>
  <si>
    <t>http://www.morganstanley.com/matrix.</t>
  </si>
  <si>
    <t>Any access and/or use of Morgan Stanley Research is subject to Morgan Stanley's Terms of Use</t>
  </si>
  <si>
    <t>(http://www.morganstanley.com/terms.html). By accessing and/or using Morgan Stanley Research, you are</t>
  </si>
  <si>
    <t>indicating that you have read and agree to be bound by our Terms of Use</t>
  </si>
  <si>
    <t>(http://www.morganstanley.com/terms.html). In addition you consent to Morgan Stanley processing your</t>
  </si>
  <si>
    <t>personal data and using cookies in accordance with our Privacy Policy and our Global Cookies Policy</t>
  </si>
  <si>
    <t>(http://www.morganstanley.com/privacy_pledge.html), including for the purposes of setting your</t>
  </si>
  <si>
    <t>preferences and to collect readership data so that we can deliver better and more personalized service</t>
  </si>
  <si>
    <t>and products to you. To find out more information about how Morgan Stanley processes personal data, how</t>
  </si>
  <si>
    <t>we use cookies and how to reject cookies see our Privacy Policy and our Global Cookies Policy</t>
  </si>
  <si>
    <t>(http://www.morganstanley.com/privacy_pledge.html). Please use the provided link to review the Terms and</t>
  </si>
  <si>
    <t>Conditions and Most Important Terms and Conditions for Morgan Stanley India Company Private Limited</t>
  </si>
  <si>
    <t>(https://www.morganstanley.com/assets/pdfs/about-us-global-offices/india/Terms_and_conditions.pdf) and</t>
  </si>
  <si>
    <t>the following link to review the audit report</t>
  </si>
  <si>
    <t>(https://ny.matrix.ms.com/eqr/research/webapp/researchdocs/MSICPL_Morgan_Stanley_Research_Audit_Report.pdf).</t>
  </si>
  <si>
    <t>If you do not agree to our Terms of Use and/or if you do not wish to provide your consent to Morgan</t>
  </si>
  <si>
    <t>Stanley processing your personal data or using cookies please do not access our research.</t>
  </si>
  <si>
    <t>Morgan Stanley Research does not provide individually tailored investment advice. Morgan Stanley</t>
  </si>
  <si>
    <t>Research has been prepared without regard to the circumstances and objectives of those who receive it.</t>
  </si>
  <si>
    <t>Morgan Stanley recommends that investors independently evaluate particular investments and strategies,</t>
  </si>
  <si>
    <t>and encourages investors to seek the advice of a financial adviser. The appropriateness of an investment</t>
  </si>
  <si>
    <t>or strategy will depend on an investor's circumstances and objectives. The securities, instruments, or</t>
  </si>
  <si>
    <t>strategies discussed in Morgan Stanley Research may not be suitable for all investors, and certain</t>
  </si>
  <si>
    <t>investors may not be eligible to purchase or participate in some or all of them. Morgan Stanley Research</t>
  </si>
  <si>
    <t>is not an offer to buy or sell or the solicitation of an offer to buy or sell any security/instrument or</t>
  </si>
  <si>
    <t>to participate in any particular trading strategy. The value of and income from your investments may</t>
  </si>
  <si>
    <t>vary because of changes in interest rates, foreign exchange rates, default rates, prepayment rates,</t>
  </si>
  <si>
    <t>securities/instruments prices, market indexes, operational or financial conditions of companies or other</t>
  </si>
  <si>
    <t>factors. There may be time limitations on the exercise of options or other rights in</t>
  </si>
  <si>
    <t>securities/instruments transactions. Past performance is not necessarily a guide to future performance.</t>
  </si>
  <si>
    <t>Estimates of future performance are based on assumptions that may not be realized. If provided, and</t>
  </si>
  <si>
    <t>unless otherwise stated, the closing price on the cover page is that of the primary exchange for the</t>
  </si>
  <si>
    <t>subject company's securities/instruments.</t>
  </si>
  <si>
    <t>The fixed income research analysts, strategists or economists principally responsible for the</t>
  </si>
  <si>
    <t>preparation of Morgan Stanley Research have received compensation based upon various factors, including</t>
  </si>
  <si>
    <t>quality, accuracy and value of research, firm profitability or revenues (which include fixed income</t>
  </si>
  <si>
    <t>trading and capital markets profitability or revenues), client feedback and competitive factors. Fixed</t>
  </si>
  <si>
    <t>Income Research analysts', strategists' or economists' compensation is not linked to investment banking</t>
  </si>
  <si>
    <t>or capital markets transactions performed by Morgan Stanley or the profitability or revenues of</t>
  </si>
  <si>
    <t>The "Important Regulatory Disclosures on Subject Companies" section in Morgan Stanley Research lists all</t>
  </si>
  <si>
    <t>companies mentioned where Morgan Stanley owns 1% or more of a class of common equity securities of the</t>
  </si>
  <si>
    <t>companies. For all other companies mentioned in Morgan Stanley Research, Morgan Stanley may have an</t>
  </si>
  <si>
    <t>investment of less than 1% in securities/instruments or derivatives of securities/instruments of</t>
  </si>
  <si>
    <t>companies and may trade them in ways different from those discussed in Morgan Stanley Research.</t>
  </si>
  <si>
    <t>Employees of Morgan Stanley not involved in the preparation of Morgan Stanley Research may have</t>
  </si>
  <si>
    <t>investments in securities/instruments or derivatives of securities/instruments of companies mentioned</t>
  </si>
  <si>
    <t>and may trade them in ways different from those discussed in Morgan Stanley Research. Derivatives may be</t>
  </si>
  <si>
    <t>issued by Morgan Stanley or associated persons.</t>
  </si>
  <si>
    <t>With the exception of information regarding Morgan Stanley, Morgan Stanley Research is based on public</t>
  </si>
  <si>
    <t>information. Morgan Stanley makes every effort to use reliable, comprehensive information, but we make</t>
  </si>
  <si>
    <t>no representation that it is accurate or complete. We have no obligation to tell you when opinions or</t>
  </si>
  <si>
    <t>information in Morgan Stanley Research change apart from when we intend to discontinue equity research</t>
  </si>
  <si>
    <t>coverage of a subject company. Facts and views presented in Morgan Stanley Research have not been</t>
  </si>
  <si>
    <t>reviewed by, and may not reflect information known to, professionals in other Morgan Stanley business</t>
  </si>
  <si>
    <t>areas, including investment banking personnel.</t>
  </si>
  <si>
    <t>Morgan Stanley Research personnel may participate in company events such as site visits and are</t>
  </si>
  <si>
    <t>generally prohibited from accepting payment by the company of associated expenses unless pre-approved by</t>
  </si>
  <si>
    <t>authorized members of Research management.</t>
  </si>
  <si>
    <t>Morgan Stanley may make investment decisions that are inconsistent with the recommendations or views in</t>
  </si>
  <si>
    <t>this report.</t>
  </si>
  <si>
    <t>To our readers based in Taiwan or trading in Taiwan securities/instruments: Information on</t>
  </si>
  <si>
    <t>securities/instruments that trade in Taiwan is distributed by Morgan Stanley Taiwan Limited ("MSTL").</t>
  </si>
  <si>
    <t>Such information is for your reference only. The reader should independently evaluate the investment</t>
  </si>
  <si>
    <t>risks and is solely responsible for their investment decisions. Morgan Stanley Research may not be</t>
  </si>
  <si>
    <t>distributed to the public media or quoted or used by the public media without the express written</t>
  </si>
  <si>
    <t>consent of Morgan Stanley. Any non-customer reader within the scope of Article 7-1 of the Taiwan Stock</t>
  </si>
  <si>
    <t>Exchange Recommendation Regulations accessing and/or receiving Morgan Stanley Research is not permitted</t>
  </si>
  <si>
    <t>to provide Morgan Stanley Research to any third party (including but not limited to related parties,</t>
  </si>
  <si>
    <t>affiliated companies and any other third parties) or engage in any activities regarding Morgan Stanley</t>
  </si>
  <si>
    <t>Research which may create or give the appearance of creating a conflict of interest. Information on</t>
  </si>
  <si>
    <t>securities/instruments that do not trade in Taiwan is for informational purposes only and is not to be</t>
  </si>
  <si>
    <t>construed as a recommendation or a solicitation to trade in such securities/instruments. MSTL may not</t>
  </si>
  <si>
    <t>execute transactions for clients in these securities/instruments.</t>
  </si>
  <si>
    <t>Morgan Stanley is not incorporated under PRC law and the research in relation to this report is</t>
  </si>
  <si>
    <t>conducted outside the PRC. Morgan Stanley Research does not constitute an offer to sell or the</t>
  </si>
  <si>
    <t>solicitation of an offer to buy any securities in the PRC. PRC investors shall have the relevant</t>
  </si>
  <si>
    <t>qualifications to invest in such securities and shall be responsible for obtaining all relevant</t>
  </si>
  <si>
    <t>approvals, licenses, verifications and/or registrations from the relevant governmental authorities</t>
  </si>
  <si>
    <t>themselves. Neither this report nor any part of it is intended as, or shall constitute, provision of any</t>
  </si>
  <si>
    <t>consultancy or advisory service of securities investment as defined under PRC law. Such information is</t>
  </si>
  <si>
    <t>provided for your reference only.</t>
  </si>
  <si>
    <t>Morgan Stanley Research is disseminated in Brazil by Morgan Stanley C.T.V.M. S.A. located at Av.</t>
  </si>
  <si>
    <t>Brigadeiro Faria Lima, 3600, 6th floor, São Paulo - SP, Brazil; and is regulated by the Comissão de</t>
  </si>
  <si>
    <t>Valores Mobiliários; in Mexico by Morgan Stanley México, Casa de Bolsa, S.A. de C.V which is regulated</t>
  </si>
  <si>
    <t>by Comision Nacional Bancaria y de Valores. Paseo de los Tamarindos 90, Torre 1, Col. Bosques de las</t>
  </si>
  <si>
    <t>Lomas Floor 29, 05120 Mexico City; in Japan by Morgan Stanley MUFG Securities Co., Ltd. and, for</t>
  </si>
  <si>
    <t>Commodities related research reports only, Morgan Stanley Capital Group Japan Co., Ltd; in Hong Kong by</t>
  </si>
  <si>
    <t>Morgan Stanley Asia Limited (which accepts responsibility for its contents) and by Morgan Stanley Bank</t>
  </si>
  <si>
    <t>Asia Limited; in Singapore by Morgan Stanley Asia (Singapore) Pte. (Registration number 199206298Z)</t>
  </si>
  <si>
    <t>and/or Morgan Stanley Asia (Singapore) Securities Pte Ltd (Registration number 200008434H), regulated by</t>
  </si>
  <si>
    <t>the Monetary Authority of Singapore (which accepts legal responsibility for its contents and should be</t>
  </si>
  <si>
    <t>contacted with respect to any matters arising from, or in connection with, Morgan Stanley Research) and</t>
  </si>
  <si>
    <t>by Morgan Stanley Bank Asia Limited, Singapore Branch (Registration number T14FC0118J); in Australia to</t>
  </si>
  <si>
    <t>"wholesale clients" within the meaning of the Australian Corporations Act by Morgan Stanley Australia</t>
  </si>
  <si>
    <t>Limited A.B.N. 67 003 734 576, holder of Australian financial services license No. 233742, which accepts</t>
  </si>
  <si>
    <t>responsibility for its contents; in Australia to "wholesale clients" and "retail clients" within the</t>
  </si>
  <si>
    <t>meaning of the Australian Corporations Act by Morgan Stanley Wealth Management Australia Pty Ltd (A.B.N.</t>
  </si>
  <si>
    <t>19 009 145 555, holder of Australian financial services license No. 240813, which accepts responsibility</t>
  </si>
  <si>
    <t>for its contents; in Korea by Morgan Stanley &amp; Co International plc, Seoul Branch; in India by Morgan</t>
  </si>
  <si>
    <t>Stanley India Company Private Limited having Corporate Identification No (CIN) U22990MH1998PTC115305,</t>
  </si>
  <si>
    <t>regulated by the Securities and Exchange Board of India (“SEBI”) and holder of licenses as a Research</t>
  </si>
  <si>
    <t>Analyst (SEBI Registration No. INH000001105); Stock Broker (SEBI Stock Broker Registration No.</t>
  </si>
  <si>
    <t>INZ000244438), Merchant Banker (SEBI Registration No. INM000011203), and depository participant with</t>
  </si>
  <si>
    <t>National Securities Depository Limited (SEBI Registration No. IN-DP-NSDL-567-2021) having registered</t>
  </si>
  <si>
    <t>office at Altimus, Level 39 &amp; 40, Pandurang Budhkar Marg, Worli, Mumbai 400018, India; Telephone no.</t>
  </si>
  <si>
    <t>+91-22-61181000; Compliance Officer Details: Mr. Tejarshi Hardas, Tel. No.: +91-22-61181000 or Email:</t>
  </si>
  <si>
    <t>tejarshi.hardas@morganstanley.com; Grievance officer details: Mr. Tejarshi Hardas, Tel. No.:</t>
  </si>
  <si>
    <t>+91-22-61181000 or Email: msic-compliance@morganstanley.com. Morgan Stanley India Company Private</t>
  </si>
  <si>
    <t>Limited (MSICPL) may use AI tools in providing research services. All recommendations contained herein</t>
  </si>
  <si>
    <t>are made by the duly qualified research analysts; in Canada by Morgan Stanley Canada Limited; in Germany</t>
  </si>
  <si>
    <t>and the European Economic Area where required by Morgan Stanley Europe S.E., authorised and regulated by</t>
  </si>
  <si>
    <t>Bundesanstalt fuer Finanzdienstleistungsaufsicht (BaFin) under the reference number 149169; in the US by</t>
  </si>
  <si>
    <t>Morgan Stanley &amp; Co. LLC, which accepts responsibility for its contents. Morgan Stanley &amp; Co.</t>
  </si>
  <si>
    <t>International plc, authorized by the Prudential Regulation Authority and regulated by the Financial</t>
  </si>
  <si>
    <t>Conduct Authority and the Prudential Regulation Authority, disseminates in the UK research that it has</t>
  </si>
  <si>
    <t>prepared, and research which has been prepared by any of its affiliates, only to persons who (i) are</t>
  </si>
  <si>
    <t>investment professionals falling within Article 19(5) of the Financial Services and Markets Act 2000</t>
  </si>
  <si>
    <t>(Financial Promotion) Order 2005 (as amended, the “Order”); (ii) are persons who are high net worth</t>
  </si>
  <si>
    <t>entities falling within Article 49(2)(a) to (d) of the Order; or (iii) are persons to whom an invitation</t>
  </si>
  <si>
    <t>or inducement to engage in investment activity (within the meaning of section 21 of the Financial</t>
  </si>
  <si>
    <t>Services and Markets Act 2000, as amended) may otherwise lawfully be communicated or caused to be</t>
  </si>
  <si>
    <t>communicated. RMB Morgan Stanley Proprietary Limited is a member of the JSE Limited and A2X (Pty) Ltd.</t>
  </si>
  <si>
    <t>RMB Morgan Stanley Proprietary Limited is a joint venture owned equally by Morgan Stanley International</t>
  </si>
  <si>
    <t>Holdings Inc. and RMB Investment Advisory (Proprietary) Limited, which is wholly owned by FirstRand</t>
  </si>
  <si>
    <t>Limited. The information in Morgan Stanley Research is being disseminated by Morgan Stanley Saudi</t>
  </si>
  <si>
    <t>Arabia, regulated by the Capital Market Authority in the Kingdom of Saudi Arabia, and is directed at</t>
  </si>
  <si>
    <t>Sophisticated investors only.</t>
  </si>
  <si>
    <t>The information in Morgan Stanley Research is being communicated by Morgan Stanley &amp; Co. International</t>
  </si>
  <si>
    <t>plc (DIFC Branch), regulated by the Dubai Financial Services Authority (the DFSA) or by Morgan Stanley &amp;</t>
  </si>
  <si>
    <t>Co. International plc (ADGM Branch), regulated by the Financial Services Regulatory Authority Abu Dhabi</t>
  </si>
  <si>
    <t>(the FSRA), and is directed at Professional Clients only, as defined by the DFSA or the FSRA,</t>
  </si>
  <si>
    <t>respectively. The financial products or financial services to which this research relates will only be</t>
  </si>
  <si>
    <t>made available to a customer who we are satisfied meets the regulatory criteria of a Professional</t>
  </si>
  <si>
    <t>Client. A distribution of the different MS Research ratings or recommendations, in percentage terms for</t>
  </si>
  <si>
    <t>Investments in each sector covered, is available upon request from your sales representative.</t>
  </si>
  <si>
    <t>plc (QFC Branch), regulated by the Qatar Financial Centre Regulatory Authority (the QFCRA), and is</t>
  </si>
  <si>
    <t>directed at business customers and market counterparties only and is not intended for Retail Customers</t>
  </si>
  <si>
    <t>as defined by the QFCRA.</t>
  </si>
  <si>
    <t>As required by the Capital Markets Board of Turkey, investment information, comments and recommendations</t>
  </si>
  <si>
    <t>stated here, are not within the scope of investment advisory activity. Investment advisory service is</t>
  </si>
  <si>
    <t>provided exclusively to persons based on their risk and income preferences by the authorized firms.</t>
  </si>
  <si>
    <t>Comments and recommendations stated here are general in nature. These opinions may not fit to your</t>
  </si>
  <si>
    <t>financial status, risk and return preferences. For this reason, to make an investment decision by</t>
  </si>
  <si>
    <t>relying solely to this information stated here may not bring about outcomes that fit your expectations.</t>
  </si>
  <si>
    <t>The trademarks and service marks contained in Morgan Stanley Research are the property of their</t>
  </si>
  <si>
    <t>respective owners. Third-party data providers make no warranties or representations relating to the</t>
  </si>
  <si>
    <t>accuracy, completeness, or timeliness of the data they provide and shall not have liability for any</t>
  </si>
  <si>
    <t>damages relating to such data. The Global Industry Classification Standard (GICS) was developed by and</t>
  </si>
  <si>
    <t>is the exclusive property of MSCI and S&amp;P.</t>
  </si>
  <si>
    <t>Morgan Stanley Research, or any portion thereof may not be reprinted, sold or redistributed without the</t>
  </si>
  <si>
    <t>written consent of Morgan Stanley.</t>
  </si>
  <si>
    <t>Indicators and trackers referenced in Morgan Stanley Research may not be used as, or treated as, a</t>
  </si>
  <si>
    <t>benchmark under Regulation EU 2016/1011, or any other similar framework.</t>
  </si>
  <si>
    <t>The issuers and/or fixed income products recommended or discussed in certain fixed income research</t>
  </si>
  <si>
    <t>reports may not be continuously followed. Accordingly, investors should regard those fixed income</t>
  </si>
  <si>
    <t>research reports as providing stand-alone analysis and should not expect continuing analysis or</t>
  </si>
  <si>
    <t>additional reports relating to such issuers and/or individual fixed income products.</t>
  </si>
  <si>
    <t>Morgan Stanley may hold, from time to time, material financial and commercial interests regarding the</t>
  </si>
  <si>
    <t>company subject to the Research report.</t>
  </si>
  <si>
    <t>Registration granted by SEBI and certification from the National Institute of Securities Markets (NISM)</t>
  </si>
  <si>
    <t>in no way guarantee performance of the intermediary or provide any assurance of returns to investors.</t>
  </si>
  <si>
    <t>Investment in securities market are subject to market risks. Read all the related documents carefully</t>
  </si>
  <si>
    <t>before investing.</t>
  </si>
  <si>
    <t>© Copyright 2026 Morgan Stanley</t>
  </si>
  <si>
    <t>6.10</t>
  </si>
  <si>
    <t>07/17/26 01:06</t>
  </si>
  <si>
    <t>Overweight / Attractive</t>
  </si>
  <si>
    <t>MSA67VJY</t>
  </si>
  <si>
    <t>369604301</t>
  </si>
  <si>
    <t>BL59CR9</t>
  </si>
  <si>
    <t>353.85</t>
  </si>
  <si>
    <t>L:\AERO\A&amp;D MODELS\GEAerospace.Model.2026_Current_Pre2Q26_SZ_Actuals_SZ_Clean.xlsm</t>
  </si>
  <si>
    <t>0</t>
  </si>
  <si>
    <t>1000000</t>
  </si>
  <si>
    <t>1500000156</t>
  </si>
  <si>
    <t>1</t>
  </si>
  <si>
    <t>OwnerTeam</t>
  </si>
  <si>
    <t>I1500005409</t>
  </si>
  <si>
    <t>[DOCDAT 2026-07-17]</t>
  </si>
  <si>
    <t>[DOCTIME 13:06]</t>
  </si>
  <si>
    <t>[PSYM GE.N(S&amp;P) (None)]</t>
  </si>
  <si>
    <t>[COU United States of America]</t>
  </si>
  <si>
    <t>[ANA ]</t>
  </si>
  <si>
    <t>[HL GE.N Model]</t>
  </si>
  <si>
    <t>[IND Aerospace &amp; Defense]</t>
  </si>
  <si>
    <t>[PANA  MSA67VJY]</t>
  </si>
  <si>
    <t>This workbook contains formulas which intentionally use circular reference calculation. These calculations can be resolved as intended by the originating analyst by applying the following settings in the File &gt;&gt; Options &gt;&gt; Formulas:</t>
  </si>
  <si>
    <t>1) Select the Enable iterative calculation check box</t>
  </si>
  <si>
    <t>2) Set Maximum Iterations = 100</t>
  </si>
  <si>
    <t>3) Set Maximum Change = 0.001</t>
  </si>
  <si>
    <t>Failure to apply these settings can result in incorrect calculation or unexpected termination of your Microsoft Excel session.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</si>
</sst>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3">
    <numFmt numFmtId="5" formatCode="&quot;$&quot;#,##0_);\(&quot;$&quot;#,##0\)"/>
    <numFmt numFmtId="6" formatCode="&quot;$&quot;#,##0_);[Red]\(&quot;$&quot;#,##0\)"/>
    <numFmt numFmtId="7" formatCode="&quot;$&quot;#,##0.00_);\(&quot;$&quot;#,##0.00\)"/>
    <numFmt numFmtId="8" formatCode="&quot;$&quot;#,##0.00_);[Red]\(&quot;$&quot;#,##0.00\)"/>
    <numFmt numFmtId="41" formatCode="_(* #,##0_);_(* \(#,##0\);_(* &quot;-&quot;_);_(@_)"/>
    <numFmt numFmtId="44" formatCode="_(&quot;$&quot;* #,##0.00_);_(&quot;$&quot;* \(#,##0.00\);_(&quot;$&quot;* &quot;-&quot;??_);_(@_)"/>
    <numFmt numFmtId="43" formatCode="_(* #,##0.00_);_(* \(#,##0.00\);_(* &quot;-&quot;??_);_(@_)"/>
    <numFmt numFmtId="164" formatCode="0.0%"/>
    <numFmt numFmtId="166" formatCode="#,##0.0"/>
    <numFmt numFmtId="167" formatCode="#,##0.0_);\(#,##0.0\)"/>
    <numFmt numFmtId="168" formatCode="#,##0.0\x_);\(#,##0.0\)\x"/>
    <numFmt numFmtId="169" formatCode="_ * #,##0.00_ ;_ * \-#,##0.00_ ;_ * &quot;-&quot;??_ ;_ @_ "/>
    <numFmt numFmtId="170" formatCode="&quot;$&quot;#,##0.000_);\(&quot;$&quot;#,##0.000\)"/>
    <numFmt numFmtId="171" formatCode="_(* #,##0_);_(* \(#,##0\);_(* &quot;-&quot;??_);_(@_)"/>
    <numFmt numFmtId="172" formatCode="0.0"/>
    <numFmt numFmtId="173" formatCode="_(&quot;$&quot;* #,##0_);_(&quot;$&quot;* \(#,##0\);_(&quot;$&quot;* &quot;-&quot;??_);_(@_)"/>
    <numFmt numFmtId="174" formatCode="0.000%"/>
    <numFmt numFmtId="175" formatCode="&quot;$&quot;#,##0.00"/>
    <numFmt numFmtId="176" formatCode="&quot;$&quot;#,##0"/>
    <numFmt numFmtId="177" formatCode="&quot;$&quot;#,##0.0_);\(&quot;$&quot;#,##0.0\)"/>
    <numFmt numFmtId="179" formatCode="_(* #,##0.0_);_(* \(#,##0.0\);_(* &quot;-&quot;??_);_(@_)"/>
    <numFmt numFmtId="180" formatCode="_(* #,##0.000000_);_(* \(#,##0.000000\);_(* &quot;-&quot;??_);_(@_)"/>
    <numFmt numFmtId="181" formatCode="0.0\x"/>
  </numFmts>
  <fonts count="53">
    <font>
      <sz val="11"/>
      <color rgb="FF000000"/>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sz val="11"/>
      <color rgb="FF0000FF"/>
      <name val="Calibri"/>
      <family val="2"/>
      <scheme val="minor"/>
    </font>
    <font>
      <sz val="11"/>
      <color rgb="FF006600"/>
      <name val="Calibri"/>
      <family val="2"/>
      <scheme val="minor"/>
    </font>
    <font>
      <b/>
      <i/>
      <sz val="11"/>
      <color theme="1"/>
      <name val="Calibri"/>
      <family val="2"/>
      <scheme val="minor"/>
    </font>
    <font>
      <b/>
      <sz val="11"/>
      <name val="Calibri"/>
      <family val="2"/>
      <scheme val="minor"/>
    </font>
    <font>
      <b/>
      <sz val="11"/>
      <color rgb="FF0000FF"/>
      <name val="Calibri"/>
      <family val="2"/>
      <scheme val="minor"/>
    </font>
    <font>
      <sz val="11"/>
      <name val="Calibri"/>
      <family val="2"/>
      <scheme val="minor"/>
    </font>
    <font>
      <b/>
      <sz val="11"/>
      <color rgb="FF006600"/>
      <name val="Calibri"/>
      <family val="2"/>
      <scheme val="minor"/>
    </font>
    <font>
      <sz val="11"/>
      <color rgb="FFFF0000"/>
      <name val="Calibri"/>
      <family val="2"/>
      <scheme val="minor"/>
    </font>
    <font>
      <sz val="10"/>
      <name val="Arial"/>
      <family val="2"/>
    </font>
    <font>
      <sz val="10"/>
      <name val="Helv"/>
      <charset val="204"/>
    </font>
    <font>
      <sz val="10"/>
      <name val="MS Sans Serif"/>
      <family val="2"/>
    </font>
    <font>
      <b/>
      <sz val="10"/>
      <color indexed="8"/>
      <name val="Times New Roman"/>
      <family val="1"/>
    </font>
    <font>
      <sz val="9"/>
      <name val="Times New Roman"/>
      <family val="1"/>
    </font>
    <font>
      <sz val="10"/>
      <color indexed="8"/>
      <name val="Times New Roman"/>
      <family val="1"/>
    </font>
    <font>
      <i/>
      <sz val="8"/>
      <name val="Times New Roman"/>
      <family val="1"/>
    </font>
    <font>
      <sz val="12"/>
      <name val="바탕체"/>
      <family val="3"/>
    </font>
    <font>
      <sz val="9"/>
      <color indexed="81"/>
      <name val="Tahoma"/>
      <family val="2"/>
    </font>
    <font>
      <b/>
      <sz val="9"/>
      <color indexed="81"/>
      <name val="Tahoma"/>
      <family val="2"/>
    </font>
    <font>
      <b/>
      <sz val="11"/>
      <color rgb="FF7030A0"/>
      <name val="Calibri"/>
      <family val="2"/>
      <scheme val="minor"/>
    </font>
    <font>
      <sz val="11"/>
      <color rgb="FF7030A0"/>
      <name val="Calibri"/>
      <family val="2"/>
      <scheme val="minor"/>
    </font>
    <font>
      <b/>
      <sz val="11"/>
      <color rgb="FFC00000"/>
      <name val="Calibri"/>
      <family val="2"/>
      <scheme val="minor"/>
    </font>
    <font>
      <sz val="11"/>
      <color rgb="FFC00000"/>
      <name val="Calibri"/>
      <family val="2"/>
      <scheme val="minor"/>
    </font>
    <font>
      <sz val="11"/>
      <color rgb="FFFF00FF"/>
      <name val="Calibri"/>
      <family val="2"/>
      <scheme val="minor"/>
    </font>
    <font>
      <b/>
      <u/>
      <sz val="11"/>
      <color theme="1"/>
      <name val="Calibri"/>
      <family val="2"/>
      <scheme val="minor"/>
    </font>
    <font>
      <b/>
      <sz val="11"/>
      <color theme="4" tint="0.79998168889431442"/>
      <name val="Calibri"/>
      <family val="2"/>
      <scheme val="minor"/>
    </font>
    <font>
      <sz val="8"/>
      <name val="Calibri"/>
      <family val="2"/>
      <scheme val="minor"/>
    </font>
    <font>
      <u/>
      <sz val="11"/>
      <name val="Calibri"/>
      <family val="2"/>
      <scheme val="minor"/>
    </font>
    <font>
      <u/>
      <sz val="11"/>
      <color rgb="FF0000FF"/>
      <name val="Calibri"/>
      <family val="2"/>
      <scheme val="minor"/>
    </font>
    <font>
      <u/>
      <sz val="11"/>
      <color theme="1"/>
      <name val="Calibri"/>
      <family val="2"/>
      <scheme val="minor"/>
    </font>
    <font>
      <sz val="11"/>
      <color theme="1"/>
      <name val="Times New Roman"/>
      <family val="1"/>
    </font>
    <font>
      <sz val="9"/>
      <color rgb="FF000000"/>
      <name val="Arial"/>
      <family val="2"/>
    </font>
    <font>
      <i/>
      <sz val="11"/>
      <color rgb="FF0000FF"/>
      <name val="Calibri"/>
      <family val="2"/>
      <scheme val="minor"/>
    </font>
    <font>
      <i/>
      <sz val="11"/>
      <name val="Calibri"/>
      <family val="2"/>
      <scheme val="minor"/>
    </font>
    <font>
      <b/>
      <sz val="11"/>
      <color rgb="FFFF00FF"/>
      <name val="Calibri"/>
      <family val="2"/>
      <scheme val="minor"/>
    </font>
    <font>
      <b/>
      <sz val="11"/>
      <color theme="0"/>
      <name val="Calibri"/>
      <family val="2"/>
      <scheme val="minor"/>
    </font>
    <font>
      <b/>
      <u/>
      <sz val="11"/>
      <color theme="0"/>
      <name val="Calibri"/>
      <family val="2"/>
      <scheme val="minor"/>
    </font>
    <font>
      <sz val="9"/>
      <name val="Arial"/>
      <family val="2"/>
    </font>
    <font>
      <sz val="11"/>
      <color theme="0" tint="-0.14999847407452621"/>
      <name val="Calibri"/>
      <family val="2"/>
      <scheme val="minor"/>
    </font>
    <font>
      <sz val="11"/>
      <color theme="0"/>
      <name val="Calibri"/>
      <family val="2"/>
      <scheme val="minor"/>
    </font>
    <font>
      <b/>
      <sz val="8.5"/>
      <color theme="0" tint="-4.9989318521683403E-2"/>
      <name val="Roboto"/>
    </font>
    <font>
      <sz val="10"/>
      <color theme="1"/>
      <name val="Arial"/>
      <family val="2"/>
    </font>
    <font>
      <sz val="10"/>
      <name val="Times New Roman"/>
      <family val="1"/>
    </font>
    <font>
      <sz val="11"/>
      <color rgb="FF000000"/>
      <name val="Calibri"/>
      <family val="2"/>
      <scheme val="minor"/>
    </font>
    <font>
      <sz val="10"/>
      <color rgb="FF000000"/>
      <name val="Arial"/>
      <family val="2"/>
    </font>
    <font>
      <i/>
      <sz val="10"/>
      <color rgb="FF000000"/>
      <name val="Arial"/>
      <family val="2"/>
    </font>
    <font>
      <sz val="11"/>
      <color theme="1"/>
      <name val="Arial"/>
      <family val="2"/>
    </font>
    <font>
      <b/>
      <sz val="12"/>
      <color rgb="FF000080"/>
      <name val="Arial"/>
      <family val="2"/>
    </font>
    <font>
      <sz val="14"/>
      <color rgb="FF000000"/>
      <name val="Arial"/>
      <family val="2"/>
    </font>
    <font>
      <b/>
      <u/>
      <sz val="14"/>
      <color rgb="FFFF0000"/>
      <name val="Arial"/>
      <family val="2"/>
    </font>
  </fonts>
  <fills count="20">
    <fill>
      <patternFill patternType="none"/>
    </fill>
    <fill>
      <patternFill patternType="gray125"/>
    </fill>
    <fill>
      <patternFill patternType="solid">
        <fgColor theme="4" tint="0.79998168889431442"/>
        <bgColor indexed="64"/>
      </patternFill>
    </fill>
    <fill>
      <patternFill patternType="solid">
        <fgColor theme="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rgb="FFFFFF00"/>
        <bgColor indexed="64"/>
      </patternFill>
    </fill>
    <fill>
      <patternFill patternType="solid">
        <fgColor rgb="FFFFFF99"/>
        <bgColor indexed="64"/>
      </patternFill>
    </fill>
    <fill>
      <patternFill patternType="solid">
        <fgColor theme="3" tint="0.79998168889431442"/>
        <bgColor indexed="64"/>
      </patternFill>
    </fill>
    <fill>
      <patternFill patternType="solid">
        <fgColor rgb="FFDCE6F1"/>
        <bgColor indexed="64"/>
      </patternFill>
    </fill>
    <fill>
      <patternFill patternType="solid">
        <fgColor rgb="FFFFFFFF"/>
        <bgColor indexed="64"/>
      </patternFill>
    </fill>
    <fill>
      <patternFill patternType="solid">
        <fgColor theme="0" tint="-0.14999847407452621"/>
        <bgColor indexed="64"/>
      </patternFill>
    </fill>
    <fill>
      <patternFill patternType="solid">
        <fgColor rgb="FF95B3D7"/>
        <bgColor indexed="64"/>
      </patternFill>
    </fill>
    <fill>
      <patternFill patternType="solid">
        <fgColor rgb="FFFFFFCC"/>
        <bgColor indexed="64"/>
      </patternFill>
    </fill>
    <fill>
      <patternFill patternType="solid">
        <fgColor theme="3"/>
        <bgColor indexed="64"/>
      </patternFill>
    </fill>
    <fill>
      <patternFill patternType="solid">
        <fgColor theme="9" tint="0.59999389629810485"/>
        <bgColor indexed="64"/>
      </patternFill>
    </fill>
    <fill>
      <patternFill patternType="solid">
        <fgColor rgb="FF005AA4"/>
        <bgColor indexed="64"/>
      </patternFill>
    </fill>
    <fill>
      <patternFill patternType="solid">
        <fgColor theme="9" tint="0.79998168889431442"/>
        <bgColor indexed="64"/>
      </patternFill>
    </fill>
    <fill>
      <patternFill patternType="solid">
        <fgColor rgb="FFFCD5B4"/>
        <bgColor indexed="64"/>
      </patternFill>
    </fill>
    <fill>
      <patternFill patternType="solid">
        <fgColor indexed="65"/>
        <bgColor indexed="64"/>
      </patternFill>
    </fill>
  </fills>
  <borders count="13">
    <border>
      <left/>
      <right/>
      <top/>
      <bottom/>
      <diagonal/>
    </border>
    <border>
      <left style="hair">
        <color auto="1"/>
      </left>
      <right style="hair">
        <color auto="1"/>
      </right>
      <top/>
      <bottom/>
      <diagonal/>
    </border>
    <border>
      <left style="hair">
        <color auto="1"/>
      </left>
      <right/>
      <top/>
      <bottom/>
      <diagonal/>
    </border>
    <border>
      <left/>
      <right style="hair">
        <color auto="1"/>
      </right>
      <top/>
      <bottom/>
      <diagonal/>
    </border>
    <border>
      <left/>
      <right/>
      <top/>
      <bottom style="thin">
        <color indexed="8"/>
      </bottom>
      <diagonal/>
    </border>
    <border>
      <left/>
      <right/>
      <top style="hair">
        <color auto="1"/>
      </top>
      <bottom/>
      <diagonal/>
    </border>
    <border>
      <left/>
      <right/>
      <top style="thin">
        <color indexed="64"/>
      </top>
      <bottom/>
      <diagonal/>
    </border>
    <border>
      <left style="hair">
        <color auto="1"/>
      </left>
      <right style="hair">
        <color auto="1"/>
      </right>
      <top style="thin">
        <color indexed="64"/>
      </top>
      <bottom/>
      <diagonal/>
    </border>
    <border>
      <left/>
      <right/>
      <top/>
      <bottom style="thin">
        <color indexed="64"/>
      </bottom>
      <diagonal/>
    </border>
    <border>
      <left style="hair">
        <color auto="1"/>
      </left>
      <right style="hair">
        <color auto="1"/>
      </right>
      <top/>
      <bottom style="thin">
        <color indexed="64"/>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28">
    <xf numFmtId="0" fontId="0" fillId="0" borderId="0"/>
    <xf numFmtId="9" fontId="1" fillId="0" borderId="0" applyFont="0" applyFill="0" applyBorder="0" applyAlignment="0" applyProtection="0"/>
    <xf numFmtId="43" fontId="1" fillId="0" borderId="0" applyFont="0" applyFill="0" applyBorder="0" applyAlignment="0" applyProtection="0"/>
    <xf numFmtId="0" fontId="13" fillId="0" borderId="0"/>
    <xf numFmtId="0" fontId="12" fillId="0" borderId="0"/>
    <xf numFmtId="0" fontId="12" fillId="0" borderId="0"/>
    <xf numFmtId="0" fontId="12" fillId="0" borderId="0"/>
    <xf numFmtId="0" fontId="12" fillId="0" borderId="0"/>
    <xf numFmtId="0" fontId="14" fillId="0" borderId="0"/>
    <xf numFmtId="0" fontId="14" fillId="0" borderId="0"/>
    <xf numFmtId="0" fontId="15" fillId="0" borderId="0"/>
    <xf numFmtId="169" fontId="12" fillId="0" borderId="0" applyFont="0" applyFill="0" applyBorder="0" applyAlignment="0" applyProtection="0"/>
    <xf numFmtId="0" fontId="12" fillId="0" borderId="0" applyFont="0" applyFill="0" applyBorder="0" applyAlignment="0" applyProtection="0"/>
    <xf numFmtId="0" fontId="16" fillId="0" borderId="0">
      <alignment vertical="center"/>
    </xf>
    <xf numFmtId="0" fontId="17" fillId="0" borderId="0"/>
    <xf numFmtId="0" fontId="17" fillId="0" borderId="4">
      <alignment horizontal="centerContinuous"/>
    </xf>
    <xf numFmtId="0" fontId="18" fillId="0" borderId="4"/>
    <xf numFmtId="0" fontId="19" fillId="0" borderId="0"/>
    <xf numFmtId="44" fontId="1"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43" fillId="16" borderId="0" applyNumberFormat="0" applyAlignment="0">
      <alignment horizontal="center" vertical="center"/>
    </xf>
    <xf numFmtId="0" fontId="12" fillId="0" borderId="0"/>
    <xf numFmtId="0" fontId="45" fillId="0" borderId="0"/>
    <xf numFmtId="44" fontId="45" fillId="0" borderId="0" applyFont="0" applyFill="0" applyBorder="0" applyAlignment="0" applyProtection="0"/>
    <xf numFmtId="0" fontId="12" fillId="0" borderId="12">
      <alignment horizontal="left" vertical="center"/>
    </xf>
    <xf numFmtId="9" fontId="45" fillId="0" borderId="0" applyFont="0" applyFill="0" applyBorder="0" applyAlignment="0" applyProtection="0"/>
  </cellStyleXfs>
  <cellXfs count="670">
    <xf numFmtId="0" fontId="0" fillId="0" borderId="0" xfId="0"/>
    <xf numFmtId="0" fontId="0" fillId="0" borderId="0" xfId="0" applyAlignment="1">
      <alignment horizontal="left" indent="1"/>
    </xf>
    <xf numFmtId="0" fontId="3" fillId="0" borderId="0" xfId="0" applyFont="1" applyAlignment="1">
      <alignment horizontal="left" indent="1"/>
    </xf>
    <xf numFmtId="0" fontId="0" fillId="0" borderId="0" xfId="0" applyAlignment="1">
      <alignment horizontal="left" indent="2"/>
    </xf>
    <xf numFmtId="0" fontId="2" fillId="0" borderId="0" xfId="0" applyFont="1"/>
    <xf numFmtId="0" fontId="2" fillId="3" borderId="0" xfId="0" applyFont="1" applyFill="1" applyAlignment="1">
      <alignment horizontal="right"/>
    </xf>
    <xf numFmtId="0" fontId="2" fillId="2" borderId="0" xfId="0" applyFont="1" applyFill="1"/>
    <xf numFmtId="0" fontId="0" fillId="3" borderId="0" xfId="0" applyFill="1"/>
    <xf numFmtId="37" fontId="2" fillId="3" borderId="0" xfId="0" applyNumberFormat="1" applyFont="1" applyFill="1"/>
    <xf numFmtId="0" fontId="2" fillId="3" borderId="1" xfId="0" applyFont="1" applyFill="1" applyBorder="1" applyAlignment="1">
      <alignment horizontal="right"/>
    </xf>
    <xf numFmtId="0" fontId="2" fillId="0" borderId="0" xfId="0" applyFont="1" applyAlignment="1">
      <alignment horizontal="left" indent="1"/>
    </xf>
    <xf numFmtId="0" fontId="0" fillId="0" borderId="0" xfId="0" applyAlignment="1">
      <alignment horizontal="left"/>
    </xf>
    <xf numFmtId="0" fontId="2" fillId="0" borderId="0" xfId="0" applyFont="1" applyAlignment="1">
      <alignment horizontal="left"/>
    </xf>
    <xf numFmtId="0" fontId="2" fillId="4" borderId="0" xfId="0" applyFont="1" applyFill="1"/>
    <xf numFmtId="0" fontId="2" fillId="2" borderId="0" xfId="0" applyFont="1" applyFill="1" applyAlignment="1">
      <alignment horizontal="left"/>
    </xf>
    <xf numFmtId="5" fontId="0" fillId="0" borderId="0" xfId="0" applyNumberFormat="1" applyAlignment="1">
      <alignment horizontal="left" indent="1"/>
    </xf>
    <xf numFmtId="0" fontId="6" fillId="0" borderId="0" xfId="0" applyFont="1"/>
    <xf numFmtId="37" fontId="4" fillId="3" borderId="0" xfId="0" applyNumberFormat="1" applyFont="1" applyFill="1" applyAlignment="1">
      <alignment horizontal="right"/>
    </xf>
    <xf numFmtId="37" fontId="0" fillId="3" borderId="0" xfId="0" applyNumberFormat="1" applyFill="1" applyAlignment="1">
      <alignment horizontal="right"/>
    </xf>
    <xf numFmtId="37" fontId="4" fillId="3" borderId="1" xfId="0" applyNumberFormat="1" applyFont="1" applyFill="1" applyBorder="1" applyAlignment="1">
      <alignment horizontal="right"/>
    </xf>
    <xf numFmtId="37" fontId="0" fillId="0" borderId="0" xfId="0" applyNumberFormat="1" applyAlignment="1">
      <alignment horizontal="right"/>
    </xf>
    <xf numFmtId="37" fontId="0" fillId="0" borderId="1" xfId="0" applyNumberFormat="1" applyBorder="1" applyAlignment="1">
      <alignment horizontal="right"/>
    </xf>
    <xf numFmtId="5" fontId="2" fillId="2" borderId="0" xfId="0" applyNumberFormat="1" applyFont="1" applyFill="1" applyAlignment="1">
      <alignment horizontal="right"/>
    </xf>
    <xf numFmtId="5" fontId="2" fillId="2" borderId="1" xfId="0" applyNumberFormat="1" applyFont="1" applyFill="1" applyBorder="1" applyAlignment="1">
      <alignment horizontal="right"/>
    </xf>
    <xf numFmtId="0" fontId="0" fillId="0" borderId="0" xfId="0" applyAlignment="1">
      <alignment horizontal="right"/>
    </xf>
    <xf numFmtId="0" fontId="0" fillId="0" borderId="1" xfId="0" applyBorder="1" applyAlignment="1">
      <alignment horizontal="right"/>
    </xf>
    <xf numFmtId="37" fontId="2" fillId="3" borderId="0" xfId="0" applyNumberFormat="1" applyFont="1" applyFill="1" applyAlignment="1">
      <alignment horizontal="right"/>
    </xf>
    <xf numFmtId="37" fontId="2" fillId="3" borderId="1" xfId="0" applyNumberFormat="1" applyFont="1" applyFill="1" applyBorder="1" applyAlignment="1">
      <alignment horizontal="right"/>
    </xf>
    <xf numFmtId="5" fontId="8" fillId="2" borderId="0" xfId="0" applyNumberFormat="1" applyFont="1" applyFill="1" applyAlignment="1">
      <alignment horizontal="right"/>
    </xf>
    <xf numFmtId="5" fontId="8" fillId="2" borderId="1" xfId="0" applyNumberFormat="1" applyFont="1" applyFill="1" applyBorder="1" applyAlignment="1">
      <alignment horizontal="right"/>
    </xf>
    <xf numFmtId="164" fontId="9" fillId="0" borderId="0" xfId="1" applyNumberFormat="1" applyFont="1" applyFill="1" applyBorder="1" applyAlignment="1">
      <alignment horizontal="right"/>
    </xf>
    <xf numFmtId="164" fontId="9" fillId="0" borderId="0" xfId="1" applyNumberFormat="1" applyFont="1" applyFill="1" applyAlignment="1">
      <alignment horizontal="right"/>
    </xf>
    <xf numFmtId="164" fontId="0" fillId="0" borderId="0" xfId="1" applyNumberFormat="1" applyFont="1" applyFill="1" applyAlignment="1">
      <alignment horizontal="right"/>
    </xf>
    <xf numFmtId="164" fontId="0" fillId="0" borderId="0" xfId="1" applyNumberFormat="1" applyFont="1" applyBorder="1" applyAlignment="1">
      <alignment horizontal="right"/>
    </xf>
    <xf numFmtId="164" fontId="0" fillId="0" borderId="0" xfId="1" applyNumberFormat="1" applyFont="1" applyAlignment="1">
      <alignment horizontal="right"/>
    </xf>
    <xf numFmtId="164" fontId="0" fillId="0" borderId="1" xfId="1" applyNumberFormat="1" applyFont="1" applyBorder="1" applyAlignment="1">
      <alignment horizontal="right"/>
    </xf>
    <xf numFmtId="37" fontId="5" fillId="0" borderId="0" xfId="0" applyNumberFormat="1" applyFont="1" applyAlignment="1">
      <alignment horizontal="right"/>
    </xf>
    <xf numFmtId="37" fontId="5" fillId="0" borderId="1" xfId="0" applyNumberFormat="1" applyFont="1" applyBorder="1" applyAlignment="1">
      <alignment horizontal="right"/>
    </xf>
    <xf numFmtId="37" fontId="2" fillId="0" borderId="0" xfId="0" applyNumberFormat="1" applyFont="1" applyAlignment="1">
      <alignment horizontal="right"/>
    </xf>
    <xf numFmtId="37" fontId="2" fillId="0" borderId="1" xfId="0" applyNumberFormat="1" applyFont="1" applyBorder="1" applyAlignment="1">
      <alignment horizontal="right"/>
    </xf>
    <xf numFmtId="37" fontId="4" fillId="0" borderId="0" xfId="0" applyNumberFormat="1" applyFont="1" applyAlignment="1">
      <alignment horizontal="right"/>
    </xf>
    <xf numFmtId="37" fontId="9" fillId="0" borderId="0" xfId="0" applyNumberFormat="1" applyFont="1" applyAlignment="1">
      <alignment horizontal="right"/>
    </xf>
    <xf numFmtId="37" fontId="4" fillId="0" borderId="1" xfId="0" applyNumberFormat="1" applyFont="1" applyBorder="1" applyAlignment="1">
      <alignment horizontal="right"/>
    </xf>
    <xf numFmtId="164" fontId="3" fillId="0" borderId="0" xfId="1" applyNumberFormat="1" applyFont="1" applyBorder="1" applyAlignment="1">
      <alignment horizontal="right"/>
    </xf>
    <xf numFmtId="3" fontId="2" fillId="0" borderId="0" xfId="0" applyNumberFormat="1" applyFont="1" applyAlignment="1">
      <alignment horizontal="right"/>
    </xf>
    <xf numFmtId="3" fontId="2" fillId="0" borderId="1" xfId="0" applyNumberFormat="1" applyFont="1" applyBorder="1" applyAlignment="1">
      <alignment horizontal="right"/>
    </xf>
    <xf numFmtId="37" fontId="2" fillId="0" borderId="0" xfId="1" applyNumberFormat="1" applyFont="1" applyBorder="1" applyAlignment="1">
      <alignment horizontal="right"/>
    </xf>
    <xf numFmtId="37" fontId="2" fillId="0" borderId="0" xfId="1" applyNumberFormat="1" applyFont="1" applyAlignment="1">
      <alignment horizontal="right"/>
    </xf>
    <xf numFmtId="7" fontId="2" fillId="2" borderId="0" xfId="0" applyNumberFormat="1" applyFont="1" applyFill="1" applyAlignment="1">
      <alignment horizontal="right"/>
    </xf>
    <xf numFmtId="7" fontId="2" fillId="2" borderId="1" xfId="0" applyNumberFormat="1" applyFont="1" applyFill="1" applyBorder="1" applyAlignment="1">
      <alignment horizontal="right"/>
    </xf>
    <xf numFmtId="7" fontId="0" fillId="0" borderId="0" xfId="0" applyNumberFormat="1" applyAlignment="1">
      <alignment horizontal="right"/>
    </xf>
    <xf numFmtId="7" fontId="0" fillId="0" borderId="1" xfId="0" applyNumberFormat="1" applyBorder="1" applyAlignment="1">
      <alignment horizontal="right"/>
    </xf>
    <xf numFmtId="7" fontId="2" fillId="0" borderId="0" xfId="0" applyNumberFormat="1" applyFont="1" applyAlignment="1">
      <alignment horizontal="right"/>
    </xf>
    <xf numFmtId="7" fontId="2" fillId="0" borderId="1" xfId="0" applyNumberFormat="1" applyFont="1" applyBorder="1" applyAlignment="1">
      <alignment horizontal="right"/>
    </xf>
    <xf numFmtId="167" fontId="8" fillId="0" borderId="0" xfId="0" applyNumberFormat="1" applyFont="1" applyAlignment="1">
      <alignment horizontal="right"/>
    </xf>
    <xf numFmtId="167" fontId="7" fillId="0" borderId="1" xfId="0" applyNumberFormat="1" applyFont="1" applyBorder="1" applyAlignment="1">
      <alignment horizontal="right"/>
    </xf>
    <xf numFmtId="166" fontId="4" fillId="0" borderId="0" xfId="0" applyNumberFormat="1" applyFont="1" applyAlignment="1">
      <alignment horizontal="right"/>
    </xf>
    <xf numFmtId="166" fontId="0" fillId="0" borderId="0" xfId="0" applyNumberFormat="1" applyAlignment="1">
      <alignment horizontal="right"/>
    </xf>
    <xf numFmtId="166" fontId="4" fillId="0" borderId="1" xfId="0" applyNumberFormat="1" applyFont="1" applyBorder="1" applyAlignment="1">
      <alignment horizontal="right"/>
    </xf>
    <xf numFmtId="167" fontId="2" fillId="0" borderId="1" xfId="0" applyNumberFormat="1" applyFont="1" applyBorder="1" applyAlignment="1">
      <alignment horizontal="right"/>
    </xf>
    <xf numFmtId="37" fontId="0" fillId="0" borderId="0" xfId="1" applyNumberFormat="1" applyFont="1" applyAlignment="1">
      <alignment horizontal="right"/>
    </xf>
    <xf numFmtId="37" fontId="4" fillId="0" borderId="0" xfId="1" applyNumberFormat="1" applyFont="1" applyBorder="1" applyAlignment="1">
      <alignment horizontal="right"/>
    </xf>
    <xf numFmtId="37" fontId="4" fillId="0" borderId="0" xfId="1" applyNumberFormat="1" applyFont="1" applyAlignment="1">
      <alignment horizontal="right"/>
    </xf>
    <xf numFmtId="37" fontId="4" fillId="0" borderId="1" xfId="1" applyNumberFormat="1" applyFont="1" applyBorder="1" applyAlignment="1">
      <alignment horizontal="right"/>
    </xf>
    <xf numFmtId="3" fontId="2" fillId="0" borderId="0" xfId="1" applyNumberFormat="1" applyFont="1" applyBorder="1" applyAlignment="1">
      <alignment horizontal="right"/>
    </xf>
    <xf numFmtId="3" fontId="2" fillId="0" borderId="0" xfId="1" applyNumberFormat="1" applyFont="1" applyAlignment="1">
      <alignment horizontal="right"/>
    </xf>
    <xf numFmtId="37" fontId="9" fillId="0" borderId="0" xfId="1" applyNumberFormat="1" applyFont="1" applyAlignment="1">
      <alignment horizontal="right"/>
    </xf>
    <xf numFmtId="0" fontId="0" fillId="4" borderId="0" xfId="0" applyFill="1" applyAlignment="1">
      <alignment horizontal="right"/>
    </xf>
    <xf numFmtId="37" fontId="10" fillId="0" borderId="0" xfId="0" applyNumberFormat="1" applyFont="1" applyAlignment="1">
      <alignment horizontal="right"/>
    </xf>
    <xf numFmtId="164" fontId="5" fillId="0" borderId="0" xfId="1" applyNumberFormat="1" applyFont="1" applyBorder="1" applyAlignment="1">
      <alignment horizontal="right"/>
    </xf>
    <xf numFmtId="5" fontId="10" fillId="2" borderId="0" xfId="0" applyNumberFormat="1" applyFont="1" applyFill="1" applyAlignment="1">
      <alignment horizontal="right"/>
    </xf>
    <xf numFmtId="37" fontId="9" fillId="0" borderId="1" xfId="0" applyNumberFormat="1" applyFont="1" applyBorder="1" applyAlignment="1">
      <alignment horizontal="right"/>
    </xf>
    <xf numFmtId="5" fontId="4" fillId="0" borderId="0" xfId="0" applyNumberFormat="1" applyFont="1" applyAlignment="1">
      <alignment horizontal="right"/>
    </xf>
    <xf numFmtId="5" fontId="0" fillId="0" borderId="0" xfId="0" applyNumberFormat="1" applyAlignment="1">
      <alignment horizontal="right"/>
    </xf>
    <xf numFmtId="5" fontId="4" fillId="0" borderId="1" xfId="0" applyNumberFormat="1" applyFont="1" applyBorder="1" applyAlignment="1">
      <alignment horizontal="right"/>
    </xf>
    <xf numFmtId="5" fontId="0" fillId="0" borderId="1" xfId="0" applyNumberFormat="1" applyBorder="1" applyAlignment="1">
      <alignment horizontal="right"/>
    </xf>
    <xf numFmtId="5" fontId="2" fillId="0" borderId="0" xfId="0" applyNumberFormat="1" applyFont="1" applyAlignment="1">
      <alignment horizontal="right"/>
    </xf>
    <xf numFmtId="5" fontId="2" fillId="0" borderId="1" xfId="0" applyNumberFormat="1" applyFont="1" applyBorder="1" applyAlignment="1">
      <alignment horizontal="right"/>
    </xf>
    <xf numFmtId="7" fontId="2" fillId="0" borderId="0" xfId="1" applyNumberFormat="1" applyFont="1" applyAlignment="1">
      <alignment horizontal="right"/>
    </xf>
    <xf numFmtId="7" fontId="2" fillId="0" borderId="1" xfId="1" applyNumberFormat="1" applyFont="1" applyBorder="1" applyAlignment="1">
      <alignment horizontal="right"/>
    </xf>
    <xf numFmtId="37" fontId="8" fillId="0" borderId="0" xfId="0" applyNumberFormat="1" applyFont="1" applyAlignment="1">
      <alignment horizontal="right"/>
    </xf>
    <xf numFmtId="37" fontId="8" fillId="0" borderId="1" xfId="0" applyNumberFormat="1" applyFont="1" applyBorder="1" applyAlignment="1">
      <alignment horizontal="right"/>
    </xf>
    <xf numFmtId="0" fontId="6" fillId="0" borderId="0" xfId="0" applyFont="1" applyAlignment="1">
      <alignment horizontal="right"/>
    </xf>
    <xf numFmtId="0" fontId="6" fillId="0" borderId="1" xfId="0" applyFont="1" applyBorder="1" applyAlignment="1">
      <alignment horizontal="right"/>
    </xf>
    <xf numFmtId="164" fontId="0" fillId="0" borderId="2" xfId="1" applyNumberFormat="1" applyFont="1" applyBorder="1" applyAlignment="1">
      <alignment horizontal="right"/>
    </xf>
    <xf numFmtId="37" fontId="0" fillId="4" borderId="0" xfId="0" applyNumberFormat="1" applyFill="1" applyAlignment="1">
      <alignment horizontal="right"/>
    </xf>
    <xf numFmtId="37" fontId="10" fillId="2" borderId="0" xfId="0" applyNumberFormat="1" applyFont="1" applyFill="1" applyAlignment="1">
      <alignment horizontal="right"/>
    </xf>
    <xf numFmtId="0" fontId="9" fillId="0" borderId="0" xfId="0" applyFont="1" applyAlignment="1">
      <alignment horizontal="right"/>
    </xf>
    <xf numFmtId="164" fontId="9" fillId="0" borderId="1" xfId="1" applyNumberFormat="1" applyFont="1" applyBorder="1" applyAlignment="1">
      <alignment horizontal="right"/>
    </xf>
    <xf numFmtId="5" fontId="7" fillId="0" borderId="0" xfId="0" applyNumberFormat="1" applyFont="1" applyAlignment="1">
      <alignment horizontal="right"/>
    </xf>
    <xf numFmtId="0" fontId="9" fillId="0" borderId="1" xfId="0" applyFont="1" applyBorder="1" applyAlignment="1">
      <alignment horizontal="right"/>
    </xf>
    <xf numFmtId="37" fontId="7" fillId="0" borderId="0" xfId="0" applyNumberFormat="1" applyFont="1" applyAlignment="1">
      <alignment horizontal="right"/>
    </xf>
    <xf numFmtId="164" fontId="9" fillId="0" borderId="0" xfId="1" applyNumberFormat="1" applyFont="1" applyAlignment="1">
      <alignment horizontal="right"/>
    </xf>
    <xf numFmtId="0" fontId="10" fillId="0" borderId="0" xfId="0" applyFont="1" applyAlignment="1">
      <alignment horizontal="right"/>
    </xf>
    <xf numFmtId="0" fontId="10" fillId="0" borderId="1" xfId="0" applyFont="1" applyBorder="1" applyAlignment="1">
      <alignment horizontal="right"/>
    </xf>
    <xf numFmtId="0" fontId="10" fillId="3" borderId="0" xfId="0" applyFont="1" applyFill="1" applyAlignment="1">
      <alignment horizontal="right"/>
    </xf>
    <xf numFmtId="0" fontId="10" fillId="3" borderId="1" xfId="0" applyFont="1" applyFill="1" applyBorder="1" applyAlignment="1">
      <alignment horizontal="right"/>
    </xf>
    <xf numFmtId="37" fontId="7" fillId="0" borderId="1" xfId="0" applyNumberFormat="1" applyFont="1" applyBorder="1" applyAlignment="1">
      <alignment horizontal="right"/>
    </xf>
    <xf numFmtId="37" fontId="0" fillId="0" borderId="0" xfId="0" applyNumberFormat="1"/>
    <xf numFmtId="164" fontId="1" fillId="0" borderId="0" xfId="1" applyNumberFormat="1" applyFont="1" applyBorder="1" applyAlignment="1">
      <alignment horizontal="right"/>
    </xf>
    <xf numFmtId="164" fontId="1" fillId="0" borderId="0" xfId="1" applyNumberFormat="1" applyFont="1" applyAlignment="1">
      <alignment horizontal="right"/>
    </xf>
    <xf numFmtId="164" fontId="1" fillId="0" borderId="1" xfId="1" applyNumberFormat="1" applyFont="1" applyBorder="1" applyAlignment="1">
      <alignment horizontal="right"/>
    </xf>
    <xf numFmtId="0" fontId="2" fillId="4" borderId="0" xfId="0" applyFont="1" applyFill="1" applyAlignment="1">
      <alignment horizontal="left"/>
    </xf>
    <xf numFmtId="0" fontId="0" fillId="4" borderId="1" xfId="0" applyFill="1" applyBorder="1" applyAlignment="1">
      <alignment horizontal="right"/>
    </xf>
    <xf numFmtId="41" fontId="1" fillId="0" borderId="1" xfId="1" applyNumberFormat="1" applyFont="1" applyBorder="1" applyAlignment="1">
      <alignment horizontal="right"/>
    </xf>
    <xf numFmtId="164" fontId="1" fillId="0" borderId="0" xfId="1" applyNumberFormat="1" applyFont="1" applyFill="1" applyBorder="1" applyAlignment="1">
      <alignment horizontal="right"/>
    </xf>
    <xf numFmtId="164" fontId="1" fillId="0" borderId="0" xfId="1" applyNumberFormat="1" applyFont="1" applyFill="1" applyAlignment="1">
      <alignment horizontal="right"/>
    </xf>
    <xf numFmtId="0" fontId="0" fillId="3" borderId="0" xfId="0" applyFill="1" applyAlignment="1">
      <alignment horizontal="left"/>
    </xf>
    <xf numFmtId="164" fontId="2" fillId="2" borderId="0" xfId="1" applyNumberFormat="1" applyFont="1" applyFill="1" applyBorder="1" applyAlignment="1">
      <alignment horizontal="right"/>
    </xf>
    <xf numFmtId="164" fontId="2" fillId="2" borderId="1" xfId="1" applyNumberFormat="1" applyFont="1" applyFill="1" applyBorder="1" applyAlignment="1">
      <alignment horizontal="right"/>
    </xf>
    <xf numFmtId="5" fontId="7" fillId="0" borderId="1" xfId="0" applyNumberFormat="1" applyFont="1" applyBorder="1" applyAlignment="1">
      <alignment horizontal="right"/>
    </xf>
    <xf numFmtId="3" fontId="7" fillId="2" borderId="0" xfId="0" applyNumberFormat="1" applyFont="1" applyFill="1" applyAlignment="1">
      <alignment horizontal="right"/>
    </xf>
    <xf numFmtId="3" fontId="7" fillId="2" borderId="1" xfId="0" applyNumberFormat="1" applyFont="1" applyFill="1" applyBorder="1" applyAlignment="1">
      <alignment horizontal="right"/>
    </xf>
    <xf numFmtId="5" fontId="2" fillId="0" borderId="2" xfId="0" applyNumberFormat="1" applyFont="1" applyBorder="1" applyAlignment="1">
      <alignment horizontal="right"/>
    </xf>
    <xf numFmtId="37" fontId="5" fillId="0" borderId="2" xfId="0" applyNumberFormat="1" applyFont="1" applyBorder="1" applyAlignment="1">
      <alignment horizontal="right"/>
    </xf>
    <xf numFmtId="37" fontId="10" fillId="0" borderId="2" xfId="0" applyNumberFormat="1" applyFont="1" applyBorder="1" applyAlignment="1">
      <alignment horizontal="right"/>
    </xf>
    <xf numFmtId="5" fontId="10" fillId="0" borderId="2" xfId="0" applyNumberFormat="1" applyFont="1" applyBorder="1" applyAlignment="1">
      <alignment horizontal="right"/>
    </xf>
    <xf numFmtId="164" fontId="5" fillId="0" borderId="2" xfId="1" applyNumberFormat="1" applyFont="1" applyBorder="1" applyAlignment="1">
      <alignment horizontal="right"/>
    </xf>
    <xf numFmtId="5" fontId="5" fillId="0" borderId="2" xfId="0" applyNumberFormat="1" applyFont="1" applyBorder="1" applyAlignment="1">
      <alignment horizontal="right"/>
    </xf>
    <xf numFmtId="5" fontId="10" fillId="2" borderId="2" xfId="0" applyNumberFormat="1" applyFont="1" applyFill="1" applyBorder="1" applyAlignment="1">
      <alignment horizontal="right"/>
    </xf>
    <xf numFmtId="0" fontId="2" fillId="5" borderId="0" xfId="0" applyFont="1" applyFill="1" applyAlignment="1">
      <alignment horizontal="left"/>
    </xf>
    <xf numFmtId="0" fontId="0" fillId="5" borderId="0" xfId="0" applyFill="1" applyAlignment="1">
      <alignment horizontal="right"/>
    </xf>
    <xf numFmtId="0" fontId="0" fillId="5" borderId="1" xfId="0" applyFill="1" applyBorder="1" applyAlignment="1">
      <alignment horizontal="right"/>
    </xf>
    <xf numFmtId="164" fontId="0" fillId="0" borderId="1" xfId="1" applyNumberFormat="1" applyFont="1" applyFill="1" applyBorder="1" applyAlignment="1">
      <alignment horizontal="right"/>
    </xf>
    <xf numFmtId="168" fontId="0" fillId="0" borderId="0" xfId="0" applyNumberFormat="1" applyAlignment="1">
      <alignment horizontal="right"/>
    </xf>
    <xf numFmtId="168" fontId="0" fillId="0" borderId="1" xfId="0" applyNumberFormat="1" applyBorder="1" applyAlignment="1">
      <alignment horizontal="right"/>
    </xf>
    <xf numFmtId="168" fontId="4" fillId="0" borderId="0" xfId="0" applyNumberFormat="1" applyFont="1" applyAlignment="1">
      <alignment horizontal="right"/>
    </xf>
    <xf numFmtId="168" fontId="4" fillId="0" borderId="1" xfId="0" applyNumberFormat="1" applyFont="1" applyBorder="1" applyAlignment="1">
      <alignment horizontal="right"/>
    </xf>
    <xf numFmtId="164" fontId="4" fillId="0" borderId="0" xfId="0" applyNumberFormat="1" applyFont="1" applyAlignment="1">
      <alignment horizontal="right"/>
    </xf>
    <xf numFmtId="168" fontId="0" fillId="4" borderId="0" xfId="0" applyNumberFormat="1" applyFill="1" applyAlignment="1">
      <alignment horizontal="right"/>
    </xf>
    <xf numFmtId="168" fontId="0" fillId="4" borderId="1" xfId="0" applyNumberFormat="1" applyFill="1" applyBorder="1" applyAlignment="1">
      <alignment horizontal="right"/>
    </xf>
    <xf numFmtId="0" fontId="2" fillId="2" borderId="0" xfId="0" applyFont="1" applyFill="1" applyAlignment="1">
      <alignment horizontal="left" indent="1"/>
    </xf>
    <xf numFmtId="164" fontId="4" fillId="0" borderId="1" xfId="0" applyNumberFormat="1" applyFont="1" applyBorder="1" applyAlignment="1">
      <alignment horizontal="right"/>
    </xf>
    <xf numFmtId="168" fontId="5" fillId="0" borderId="2" xfId="0" applyNumberFormat="1" applyFont="1" applyBorder="1" applyAlignment="1">
      <alignment horizontal="right"/>
    </xf>
    <xf numFmtId="168" fontId="5" fillId="4" borderId="2" xfId="0" applyNumberFormat="1" applyFont="1" applyFill="1" applyBorder="1" applyAlignment="1">
      <alignment horizontal="right"/>
    </xf>
    <xf numFmtId="164" fontId="5" fillId="0" borderId="2" xfId="0" applyNumberFormat="1" applyFont="1" applyBorder="1" applyAlignment="1">
      <alignment horizontal="right"/>
    </xf>
    <xf numFmtId="7" fontId="10" fillId="2" borderId="2" xfId="0" applyNumberFormat="1" applyFont="1" applyFill="1" applyBorder="1" applyAlignment="1">
      <alignment horizontal="right"/>
    </xf>
    <xf numFmtId="7" fontId="5" fillId="0" borderId="2" xfId="0" applyNumberFormat="1" applyFont="1" applyBorder="1" applyAlignment="1">
      <alignment horizontal="right"/>
    </xf>
    <xf numFmtId="164" fontId="5" fillId="0" borderId="2" xfId="1" applyNumberFormat="1" applyFont="1" applyFill="1" applyBorder="1" applyAlignment="1">
      <alignment horizontal="right"/>
    </xf>
    <xf numFmtId="0" fontId="2" fillId="3" borderId="2" xfId="0" applyFont="1" applyFill="1" applyBorder="1" applyAlignment="1">
      <alignment horizontal="right"/>
    </xf>
    <xf numFmtId="5" fontId="2" fillId="2" borderId="2" xfId="0" applyNumberFormat="1" applyFont="1" applyFill="1" applyBorder="1" applyAlignment="1">
      <alignment horizontal="right"/>
    </xf>
    <xf numFmtId="0" fontId="0" fillId="0" borderId="2" xfId="0" applyBorder="1" applyAlignment="1">
      <alignment horizontal="right"/>
    </xf>
    <xf numFmtId="37" fontId="2" fillId="0" borderId="2" xfId="0" applyNumberFormat="1" applyFont="1" applyBorder="1" applyAlignment="1">
      <alignment horizontal="right"/>
    </xf>
    <xf numFmtId="37" fontId="4" fillId="0" borderId="2" xfId="0" applyNumberFormat="1" applyFont="1" applyBorder="1" applyAlignment="1">
      <alignment horizontal="right"/>
    </xf>
    <xf numFmtId="3" fontId="2" fillId="0" borderId="2" xfId="0" applyNumberFormat="1" applyFont="1" applyBorder="1" applyAlignment="1">
      <alignment horizontal="right"/>
    </xf>
    <xf numFmtId="7" fontId="2" fillId="2" borderId="2" xfId="0" applyNumberFormat="1" applyFont="1" applyFill="1" applyBorder="1" applyAlignment="1">
      <alignment horizontal="right"/>
    </xf>
    <xf numFmtId="7" fontId="0" fillId="0" borderId="2" xfId="0" applyNumberFormat="1" applyBorder="1" applyAlignment="1">
      <alignment horizontal="right"/>
    </xf>
    <xf numFmtId="7" fontId="2" fillId="0" borderId="2" xfId="0" applyNumberFormat="1" applyFont="1" applyBorder="1" applyAlignment="1">
      <alignment horizontal="right"/>
    </xf>
    <xf numFmtId="167" fontId="7" fillId="0" borderId="2" xfId="0" applyNumberFormat="1" applyFont="1" applyBorder="1" applyAlignment="1">
      <alignment horizontal="right"/>
    </xf>
    <xf numFmtId="166" fontId="4" fillId="0" borderId="2" xfId="0" applyNumberFormat="1" applyFont="1" applyBorder="1" applyAlignment="1">
      <alignment horizontal="right"/>
    </xf>
    <xf numFmtId="167" fontId="2" fillId="0" borderId="2" xfId="0" applyNumberFormat="1" applyFont="1" applyBorder="1" applyAlignment="1">
      <alignment horizontal="right"/>
    </xf>
    <xf numFmtId="0" fontId="0" fillId="4" borderId="2" xfId="0" applyFill="1" applyBorder="1" applyAlignment="1">
      <alignment horizontal="right"/>
    </xf>
    <xf numFmtId="164" fontId="1" fillId="0" borderId="2" xfId="1" applyNumberFormat="1" applyFont="1" applyBorder="1" applyAlignment="1">
      <alignment horizontal="right"/>
    </xf>
    <xf numFmtId="5" fontId="7" fillId="0" borderId="2" xfId="0" applyNumberFormat="1" applyFont="1" applyBorder="1" applyAlignment="1">
      <alignment horizontal="right"/>
    </xf>
    <xf numFmtId="5" fontId="5" fillId="0" borderId="1" xfId="0" applyNumberFormat="1" applyFont="1" applyBorder="1" applyAlignment="1">
      <alignment horizontal="right"/>
    </xf>
    <xf numFmtId="5" fontId="2" fillId="0" borderId="0" xfId="1" applyNumberFormat="1" applyFont="1" applyBorder="1" applyAlignment="1">
      <alignment horizontal="right"/>
    </xf>
    <xf numFmtId="5" fontId="2" fillId="0" borderId="0" xfId="1" applyNumberFormat="1" applyFont="1" applyAlignment="1">
      <alignment horizontal="right"/>
    </xf>
    <xf numFmtId="164" fontId="4" fillId="0" borderId="2" xfId="1" applyNumberFormat="1" applyFont="1" applyBorder="1" applyAlignment="1">
      <alignment horizontal="right"/>
    </xf>
    <xf numFmtId="37" fontId="8" fillId="0" borderId="2" xfId="0" applyNumberFormat="1" applyFont="1" applyBorder="1" applyAlignment="1">
      <alignment horizontal="right"/>
    </xf>
    <xf numFmtId="5" fontId="0" fillId="0" borderId="2" xfId="0" applyNumberFormat="1" applyBorder="1" applyAlignment="1">
      <alignment horizontal="right"/>
    </xf>
    <xf numFmtId="5" fontId="10" fillId="2" borderId="1" xfId="0" applyNumberFormat="1" applyFont="1" applyFill="1" applyBorder="1" applyAlignment="1">
      <alignment horizontal="right"/>
    </xf>
    <xf numFmtId="37" fontId="10" fillId="0" borderId="1" xfId="0" applyNumberFormat="1" applyFont="1" applyBorder="1" applyAlignment="1">
      <alignment horizontal="right"/>
    </xf>
    <xf numFmtId="37" fontId="6" fillId="0" borderId="1" xfId="0" applyNumberFormat="1" applyFont="1" applyBorder="1" applyAlignment="1">
      <alignment horizontal="right"/>
    </xf>
    <xf numFmtId="37" fontId="0" fillId="4" borderId="1" xfId="0" applyNumberFormat="1" applyFill="1" applyBorder="1" applyAlignment="1">
      <alignment horizontal="right"/>
    </xf>
    <xf numFmtId="164" fontId="5" fillId="0" borderId="1" xfId="1" applyNumberFormat="1" applyFont="1" applyBorder="1" applyAlignment="1">
      <alignment horizontal="right"/>
    </xf>
    <xf numFmtId="0" fontId="0" fillId="3" borderId="0" xfId="0" applyFill="1" applyAlignment="1">
      <alignment horizontal="left" indent="1"/>
    </xf>
    <xf numFmtId="5" fontId="10" fillId="0" borderId="1" xfId="0" applyNumberFormat="1" applyFont="1" applyBorder="1" applyAlignment="1">
      <alignment horizontal="right"/>
    </xf>
    <xf numFmtId="7" fontId="10" fillId="0" borderId="1" xfId="1" applyNumberFormat="1" applyFont="1" applyBorder="1" applyAlignment="1">
      <alignment horizontal="right"/>
    </xf>
    <xf numFmtId="167" fontId="8" fillId="0" borderId="2" xfId="0" applyNumberFormat="1" applyFont="1" applyBorder="1" applyAlignment="1">
      <alignment horizontal="right"/>
    </xf>
    <xf numFmtId="167" fontId="8" fillId="0" borderId="1" xfId="0" applyNumberFormat="1" applyFont="1" applyBorder="1" applyAlignment="1">
      <alignment horizontal="right"/>
    </xf>
    <xf numFmtId="164" fontId="4" fillId="0" borderId="0" xfId="1" applyNumberFormat="1" applyFont="1" applyAlignment="1">
      <alignment horizontal="right"/>
    </xf>
    <xf numFmtId="37" fontId="0" fillId="3" borderId="1" xfId="0" applyNumberFormat="1" applyFill="1" applyBorder="1" applyAlignment="1">
      <alignment horizontal="right"/>
    </xf>
    <xf numFmtId="164" fontId="4" fillId="0" borderId="0" xfId="1" applyNumberFormat="1" applyFont="1" applyBorder="1" applyAlignment="1">
      <alignment horizontal="right"/>
    </xf>
    <xf numFmtId="43" fontId="0" fillId="0" borderId="0" xfId="2" applyFont="1" applyAlignment="1">
      <alignment horizontal="right"/>
    </xf>
    <xf numFmtId="37" fontId="5" fillId="3" borderId="1" xfId="0" applyNumberFormat="1" applyFont="1" applyFill="1" applyBorder="1" applyAlignment="1">
      <alignment horizontal="right"/>
    </xf>
    <xf numFmtId="164" fontId="5" fillId="3" borderId="1" xfId="1" applyNumberFormat="1" applyFont="1" applyFill="1" applyBorder="1" applyAlignment="1">
      <alignment horizontal="right"/>
    </xf>
    <xf numFmtId="37" fontId="10" fillId="3" borderId="1" xfId="0" applyNumberFormat="1" applyFont="1" applyFill="1" applyBorder="1" applyAlignment="1">
      <alignment horizontal="right"/>
    </xf>
    <xf numFmtId="5" fontId="7" fillId="2" borderId="1" xfId="0" applyNumberFormat="1" applyFont="1" applyFill="1" applyBorder="1" applyAlignment="1">
      <alignment horizontal="right"/>
    </xf>
    <xf numFmtId="37" fontId="5" fillId="3" borderId="1" xfId="0" applyNumberFormat="1" applyFont="1" applyFill="1" applyBorder="1"/>
    <xf numFmtId="0" fontId="0" fillId="0" borderId="1" xfId="0" applyBorder="1"/>
    <xf numFmtId="164" fontId="0" fillId="0" borderId="1" xfId="1" applyNumberFormat="1" applyFont="1" applyBorder="1"/>
    <xf numFmtId="164" fontId="1" fillId="3" borderId="1" xfId="1" applyNumberFormat="1" applyFont="1" applyFill="1" applyBorder="1" applyAlignment="1">
      <alignment horizontal="right"/>
    </xf>
    <xf numFmtId="164" fontId="4" fillId="0" borderId="0" xfId="1" applyNumberFormat="1" applyFont="1" applyFill="1" applyBorder="1" applyAlignment="1">
      <alignment horizontal="right"/>
    </xf>
    <xf numFmtId="164" fontId="4" fillId="0" borderId="1" xfId="1" applyNumberFormat="1" applyFont="1" applyFill="1" applyBorder="1" applyAlignment="1">
      <alignment horizontal="right"/>
    </xf>
    <xf numFmtId="5" fontId="10" fillId="0" borderId="0" xfId="0" applyNumberFormat="1" applyFont="1" applyAlignment="1">
      <alignment horizontal="right"/>
    </xf>
    <xf numFmtId="164" fontId="9" fillId="0" borderId="1" xfId="1" applyNumberFormat="1" applyFont="1" applyFill="1" applyBorder="1" applyAlignment="1">
      <alignment horizontal="right"/>
    </xf>
    <xf numFmtId="37" fontId="5" fillId="0" borderId="3" xfId="0" applyNumberFormat="1" applyFont="1" applyBorder="1" applyAlignment="1">
      <alignment horizontal="right"/>
    </xf>
    <xf numFmtId="168" fontId="5" fillId="0" borderId="1" xfId="0" applyNumberFormat="1" applyFont="1" applyBorder="1" applyAlignment="1">
      <alignment horizontal="right"/>
    </xf>
    <xf numFmtId="168" fontId="5" fillId="4" borderId="1" xfId="0" applyNumberFormat="1" applyFont="1" applyFill="1" applyBorder="1" applyAlignment="1">
      <alignment horizontal="right"/>
    </xf>
    <xf numFmtId="164" fontId="5" fillId="0" borderId="1" xfId="0" applyNumberFormat="1" applyFont="1" applyBorder="1" applyAlignment="1">
      <alignment horizontal="right"/>
    </xf>
    <xf numFmtId="7" fontId="10" fillId="2" borderId="1" xfId="0" applyNumberFormat="1" applyFont="1" applyFill="1" applyBorder="1" applyAlignment="1">
      <alignment horizontal="right"/>
    </xf>
    <xf numFmtId="7" fontId="5" fillId="0" borderId="1" xfId="0" applyNumberFormat="1" applyFont="1" applyBorder="1" applyAlignment="1">
      <alignment horizontal="right"/>
    </xf>
    <xf numFmtId="164" fontId="5" fillId="0" borderId="1" xfId="1" applyNumberFormat="1" applyFont="1" applyFill="1" applyBorder="1" applyAlignment="1">
      <alignment horizontal="right"/>
    </xf>
    <xf numFmtId="164" fontId="1" fillId="0" borderId="1" xfId="1" applyNumberFormat="1" applyFont="1" applyFill="1" applyBorder="1" applyAlignment="1">
      <alignment horizontal="right"/>
    </xf>
    <xf numFmtId="167" fontId="2" fillId="0" borderId="0" xfId="0" applyNumberFormat="1" applyFont="1" applyAlignment="1">
      <alignment horizontal="right"/>
    </xf>
    <xf numFmtId="7" fontId="8" fillId="0" borderId="0" xfId="1" applyNumberFormat="1" applyFont="1" applyAlignment="1">
      <alignment horizontal="right"/>
    </xf>
    <xf numFmtId="164" fontId="4" fillId="0" borderId="1" xfId="1" applyNumberFormat="1" applyFont="1" applyBorder="1" applyAlignment="1">
      <alignment horizontal="right"/>
    </xf>
    <xf numFmtId="164" fontId="5" fillId="0" borderId="0" xfId="1" applyNumberFormat="1" applyFont="1" applyAlignment="1">
      <alignment horizontal="right"/>
    </xf>
    <xf numFmtId="164" fontId="0" fillId="0" borderId="0" xfId="1" applyNumberFormat="1" applyFont="1" applyFill="1" applyBorder="1" applyAlignment="1">
      <alignment horizontal="right"/>
    </xf>
    <xf numFmtId="5" fontId="5" fillId="0" borderId="0" xfId="0" applyNumberFormat="1" applyFont="1" applyAlignment="1">
      <alignment horizontal="right"/>
    </xf>
    <xf numFmtId="37" fontId="0" fillId="0" borderId="1" xfId="0" applyNumberFormat="1" applyBorder="1"/>
    <xf numFmtId="0" fontId="0" fillId="4" borderId="1" xfId="0" applyFill="1" applyBorder="1"/>
    <xf numFmtId="164" fontId="4" fillId="0" borderId="1" xfId="1" applyNumberFormat="1" applyFont="1" applyBorder="1"/>
    <xf numFmtId="166" fontId="5" fillId="0" borderId="0" xfId="0" applyNumberFormat="1" applyFont="1" applyAlignment="1">
      <alignment horizontal="right"/>
    </xf>
    <xf numFmtId="37" fontId="11" fillId="0" borderId="1" xfId="0" applyNumberFormat="1" applyFont="1" applyBorder="1" applyAlignment="1">
      <alignment horizontal="right"/>
    </xf>
    <xf numFmtId="37" fontId="11" fillId="0" borderId="0" xfId="0" applyNumberFormat="1" applyFont="1" applyAlignment="1">
      <alignment horizontal="right"/>
    </xf>
    <xf numFmtId="5" fontId="11" fillId="0" borderId="1" xfId="0" applyNumberFormat="1" applyFont="1" applyBorder="1" applyAlignment="1">
      <alignment horizontal="right"/>
    </xf>
    <xf numFmtId="7" fontId="8" fillId="0" borderId="1" xfId="1" applyNumberFormat="1" applyFont="1" applyBorder="1" applyAlignment="1">
      <alignment horizontal="right"/>
    </xf>
    <xf numFmtId="43" fontId="0" fillId="0" borderId="2" xfId="2" applyFont="1" applyBorder="1" applyAlignment="1">
      <alignment horizontal="right"/>
    </xf>
    <xf numFmtId="37" fontId="4" fillId="0" borderId="0" xfId="1" applyNumberFormat="1" applyFont="1" applyFill="1" applyBorder="1" applyAlignment="1">
      <alignment horizontal="right"/>
    </xf>
    <xf numFmtId="164" fontId="4" fillId="0" borderId="0" xfId="1" applyNumberFormat="1" applyFont="1" applyFill="1" applyAlignment="1">
      <alignment horizontal="right"/>
    </xf>
    <xf numFmtId="0" fontId="9" fillId="0" borderId="0" xfId="0" applyFont="1"/>
    <xf numFmtId="37" fontId="4" fillId="0" borderId="1" xfId="1" applyNumberFormat="1" applyFont="1" applyFill="1" applyBorder="1" applyAlignment="1">
      <alignment horizontal="right"/>
    </xf>
    <xf numFmtId="37" fontId="4" fillId="0" borderId="0" xfId="1" applyNumberFormat="1" applyFont="1" applyFill="1" applyAlignment="1">
      <alignment horizontal="right"/>
    </xf>
    <xf numFmtId="167" fontId="10" fillId="0" borderId="2" xfId="0" applyNumberFormat="1" applyFont="1" applyBorder="1" applyAlignment="1">
      <alignment horizontal="right"/>
    </xf>
    <xf numFmtId="167" fontId="10" fillId="0" borderId="0" xfId="0" applyNumberFormat="1" applyFont="1" applyAlignment="1">
      <alignment horizontal="right"/>
    </xf>
    <xf numFmtId="7" fontId="10" fillId="0" borderId="2" xfId="0" applyNumberFormat="1" applyFont="1" applyBorder="1" applyAlignment="1">
      <alignment horizontal="right"/>
    </xf>
    <xf numFmtId="7" fontId="10" fillId="0" borderId="0" xfId="0" applyNumberFormat="1" applyFont="1" applyAlignment="1">
      <alignment horizontal="right"/>
    </xf>
    <xf numFmtId="37" fontId="0" fillId="0" borderId="0" xfId="0" applyNumberFormat="1" applyAlignment="1">
      <alignment horizontal="left" indent="1"/>
    </xf>
    <xf numFmtId="170" fontId="0" fillId="0" borderId="1" xfId="0" applyNumberFormat="1" applyBorder="1"/>
    <xf numFmtId="9" fontId="5" fillId="0" borderId="1" xfId="1" applyFont="1" applyBorder="1" applyAlignment="1">
      <alignment horizontal="right"/>
    </xf>
    <xf numFmtId="10" fontId="0" fillId="0" borderId="1" xfId="1" applyNumberFormat="1" applyFont="1" applyFill="1" applyBorder="1" applyAlignment="1">
      <alignment horizontal="right"/>
    </xf>
    <xf numFmtId="9" fontId="0" fillId="0" borderId="0" xfId="1" applyFont="1" applyAlignment="1">
      <alignment horizontal="right"/>
    </xf>
    <xf numFmtId="164" fontId="9" fillId="3" borderId="1" xfId="1" applyNumberFormat="1" applyFont="1" applyFill="1" applyBorder="1" applyAlignment="1">
      <alignment horizontal="right"/>
    </xf>
    <xf numFmtId="7" fontId="10" fillId="0" borderId="1" xfId="0" applyNumberFormat="1" applyFont="1" applyBorder="1" applyAlignment="1">
      <alignment horizontal="right"/>
    </xf>
    <xf numFmtId="10" fontId="10" fillId="0" borderId="1" xfId="1" applyNumberFormat="1" applyFont="1" applyFill="1" applyBorder="1" applyAlignment="1">
      <alignment horizontal="right"/>
    </xf>
    <xf numFmtId="0" fontId="2" fillId="0" borderId="0" xfId="0" applyFont="1" applyAlignment="1">
      <alignment horizontal="right"/>
    </xf>
    <xf numFmtId="0" fontId="9" fillId="0" borderId="0" xfId="0" applyFont="1" applyAlignment="1">
      <alignment horizontal="left" indent="2"/>
    </xf>
    <xf numFmtId="0" fontId="0" fillId="0" borderId="5" xfId="0" applyBorder="1" applyAlignment="1">
      <alignment horizontal="left" indent="2"/>
    </xf>
    <xf numFmtId="37" fontId="4" fillId="0" borderId="5" xfId="0" applyNumberFormat="1" applyFont="1" applyBorder="1" applyAlignment="1">
      <alignment horizontal="right"/>
    </xf>
    <xf numFmtId="37" fontId="9" fillId="0" borderId="5" xfId="0" applyNumberFormat="1" applyFont="1" applyBorder="1" applyAlignment="1">
      <alignment horizontal="right"/>
    </xf>
    <xf numFmtId="0" fontId="5" fillId="0" borderId="1" xfId="0" applyFont="1" applyBorder="1"/>
    <xf numFmtId="37" fontId="1" fillId="0" borderId="0" xfId="1" applyNumberFormat="1" applyFont="1" applyBorder="1" applyAlignment="1">
      <alignment horizontal="right"/>
    </xf>
    <xf numFmtId="37" fontId="1" fillId="0" borderId="0" xfId="1" applyNumberFormat="1" applyFont="1" applyAlignment="1">
      <alignment horizontal="right"/>
    </xf>
    <xf numFmtId="37" fontId="1" fillId="0" borderId="1" xfId="1" applyNumberFormat="1" applyFont="1" applyBorder="1" applyAlignment="1">
      <alignment horizontal="right"/>
    </xf>
    <xf numFmtId="37" fontId="8" fillId="0" borderId="0" xfId="1" applyNumberFormat="1" applyFont="1" applyBorder="1" applyAlignment="1">
      <alignment horizontal="right"/>
    </xf>
    <xf numFmtId="37" fontId="8" fillId="0" borderId="0" xfId="1" applyNumberFormat="1" applyFont="1" applyAlignment="1">
      <alignment horizontal="right"/>
    </xf>
    <xf numFmtId="37" fontId="8" fillId="0" borderId="1" xfId="1" applyNumberFormat="1" applyFont="1" applyBorder="1" applyAlignment="1">
      <alignment horizontal="right"/>
    </xf>
    <xf numFmtId="37" fontId="2" fillId="0" borderId="1" xfId="1" applyNumberFormat="1" applyFont="1" applyBorder="1" applyAlignment="1">
      <alignment horizontal="right"/>
    </xf>
    <xf numFmtId="37" fontId="0" fillId="0" borderId="0" xfId="1" applyNumberFormat="1" applyFont="1" applyFill="1" applyAlignment="1">
      <alignment horizontal="right"/>
    </xf>
    <xf numFmtId="7" fontId="7" fillId="0" borderId="1" xfId="0" applyNumberFormat="1" applyFont="1" applyBorder="1" applyAlignment="1">
      <alignment horizontal="right"/>
    </xf>
    <xf numFmtId="166" fontId="9" fillId="0" borderId="1" xfId="0" applyNumberFormat="1" applyFont="1" applyBorder="1" applyAlignment="1">
      <alignment horizontal="right"/>
    </xf>
    <xf numFmtId="3" fontId="7" fillId="0" borderId="1" xfId="0" applyNumberFormat="1" applyFont="1" applyBorder="1" applyAlignment="1">
      <alignment horizontal="right"/>
    </xf>
    <xf numFmtId="0" fontId="22" fillId="0" borderId="0" xfId="0" applyFont="1" applyAlignment="1">
      <alignment horizontal="left"/>
    </xf>
    <xf numFmtId="0" fontId="23" fillId="0" borderId="0" xfId="0" applyFont="1"/>
    <xf numFmtId="5" fontId="23" fillId="0" borderId="0" xfId="0" applyNumberFormat="1" applyFont="1"/>
    <xf numFmtId="0" fontId="23" fillId="0" borderId="0" xfId="0" applyFont="1" applyAlignment="1">
      <alignment horizontal="right"/>
    </xf>
    <xf numFmtId="37" fontId="23" fillId="0" borderId="0" xfId="0" applyNumberFormat="1" applyFont="1"/>
    <xf numFmtId="0" fontId="23" fillId="0" borderId="0" xfId="0" applyFont="1" applyAlignment="1">
      <alignment horizontal="left"/>
    </xf>
    <xf numFmtId="37" fontId="9" fillId="3" borderId="0" xfId="0" applyNumberFormat="1" applyFont="1" applyFill="1" applyAlignment="1">
      <alignment horizontal="right"/>
    </xf>
    <xf numFmtId="37" fontId="9" fillId="3" borderId="1" xfId="0" applyNumberFormat="1" applyFont="1" applyFill="1" applyBorder="1" applyAlignment="1">
      <alignment horizontal="right"/>
    </xf>
    <xf numFmtId="164" fontId="0" fillId="0" borderId="0" xfId="1" applyNumberFormat="1" applyFont="1"/>
    <xf numFmtId="5" fontId="0" fillId="0" borderId="0" xfId="0" applyNumberFormat="1" applyAlignment="1">
      <alignment horizontal="center"/>
    </xf>
    <xf numFmtId="0" fontId="0" fillId="0" borderId="0" xfId="0" applyAlignment="1">
      <alignment horizontal="center"/>
    </xf>
    <xf numFmtId="5" fontId="0" fillId="0" borderId="0" xfId="0" applyNumberFormat="1"/>
    <xf numFmtId="164" fontId="9" fillId="0" borderId="0" xfId="0" applyNumberFormat="1" applyFont="1" applyAlignment="1">
      <alignment horizontal="right"/>
    </xf>
    <xf numFmtId="37" fontId="4" fillId="0" borderId="1" xfId="0" applyNumberFormat="1" applyFont="1" applyBorder="1"/>
    <xf numFmtId="0" fontId="27" fillId="0" borderId="0" xfId="0" applyFont="1"/>
    <xf numFmtId="164" fontId="5" fillId="0" borderId="0" xfId="1" applyNumberFormat="1" applyFont="1" applyFill="1" applyBorder="1" applyAlignment="1">
      <alignment horizontal="right"/>
    </xf>
    <xf numFmtId="9" fontId="0" fillId="0" borderId="0" xfId="1" applyFont="1"/>
    <xf numFmtId="9" fontId="23" fillId="0" borderId="1" xfId="1" applyFont="1" applyBorder="1"/>
    <xf numFmtId="5" fontId="23" fillId="0" borderId="0" xfId="0" applyNumberFormat="1" applyFont="1" applyAlignment="1">
      <alignment horizontal="left"/>
    </xf>
    <xf numFmtId="173" fontId="0" fillId="0" borderId="0" xfId="18" applyNumberFormat="1" applyFont="1"/>
    <xf numFmtId="173" fontId="2" fillId="0" borderId="0" xfId="18" applyNumberFormat="1" applyFont="1"/>
    <xf numFmtId="0" fontId="27" fillId="0" borderId="0" xfId="0" applyFont="1" applyAlignment="1">
      <alignment horizontal="right"/>
    </xf>
    <xf numFmtId="9" fontId="0" fillId="0" borderId="1" xfId="1" applyFont="1" applyBorder="1" applyAlignment="1">
      <alignment horizontal="right"/>
    </xf>
    <xf numFmtId="5" fontId="9" fillId="0" borderId="0" xfId="0" applyNumberFormat="1" applyFont="1" applyAlignment="1">
      <alignment horizontal="right"/>
    </xf>
    <xf numFmtId="9" fontId="2" fillId="0" borderId="1" xfId="1" applyFont="1" applyBorder="1" applyAlignment="1">
      <alignment horizontal="right"/>
    </xf>
    <xf numFmtId="1" fontId="4" fillId="0" borderId="1" xfId="0" applyNumberFormat="1" applyFont="1" applyBorder="1"/>
    <xf numFmtId="37" fontId="4" fillId="0" borderId="3" xfId="0" applyNumberFormat="1" applyFont="1" applyBorder="1" applyAlignment="1">
      <alignment horizontal="right"/>
    </xf>
    <xf numFmtId="5" fontId="7" fillId="2" borderId="0" xfId="0" applyNumberFormat="1" applyFont="1" applyFill="1" applyAlignment="1">
      <alignment horizontal="right"/>
    </xf>
    <xf numFmtId="7" fontId="2" fillId="0" borderId="0" xfId="1" applyNumberFormat="1" applyFont="1" applyFill="1" applyAlignment="1">
      <alignment horizontal="right"/>
    </xf>
    <xf numFmtId="7" fontId="2" fillId="0" borderId="1" xfId="1" applyNumberFormat="1" applyFont="1" applyFill="1" applyBorder="1" applyAlignment="1">
      <alignment horizontal="right"/>
    </xf>
    <xf numFmtId="7" fontId="8" fillId="0" borderId="0" xfId="1" applyNumberFormat="1" applyFont="1" applyFill="1" applyAlignment="1">
      <alignment horizontal="right"/>
    </xf>
    <xf numFmtId="41" fontId="1" fillId="0" borderId="1" xfId="1" applyNumberFormat="1" applyFont="1" applyFill="1" applyBorder="1" applyAlignment="1">
      <alignment horizontal="right"/>
    </xf>
    <xf numFmtId="5" fontId="28" fillId="2" borderId="1" xfId="0" applyNumberFormat="1" applyFont="1" applyFill="1" applyBorder="1" applyAlignment="1">
      <alignment horizontal="right"/>
    </xf>
    <xf numFmtId="37" fontId="2" fillId="0" borderId="0" xfId="1" applyNumberFormat="1" applyFont="1" applyFill="1" applyBorder="1" applyAlignment="1">
      <alignment horizontal="right"/>
    </xf>
    <xf numFmtId="37" fontId="2" fillId="0" borderId="0" xfId="1" applyNumberFormat="1" applyFont="1" applyFill="1" applyAlignment="1">
      <alignment horizontal="right"/>
    </xf>
    <xf numFmtId="164" fontId="5" fillId="0" borderId="0" xfId="1" applyNumberFormat="1" applyFont="1" applyFill="1" applyAlignment="1">
      <alignment horizontal="right"/>
    </xf>
    <xf numFmtId="0" fontId="2" fillId="8" borderId="0" xfId="0" applyFont="1" applyFill="1" applyAlignment="1">
      <alignment horizontal="left"/>
    </xf>
    <xf numFmtId="0" fontId="0" fillId="8" borderId="0" xfId="0" applyFill="1" applyAlignment="1">
      <alignment horizontal="right"/>
    </xf>
    <xf numFmtId="0" fontId="0" fillId="8" borderId="1" xfId="0" applyFill="1" applyBorder="1" applyAlignment="1">
      <alignment horizontal="right"/>
    </xf>
    <xf numFmtId="43" fontId="0" fillId="0" borderId="0" xfId="2" applyFont="1" applyFill="1" applyBorder="1" applyAlignment="1">
      <alignment horizontal="right"/>
    </xf>
    <xf numFmtId="43" fontId="0" fillId="0" borderId="0" xfId="2" applyFont="1" applyFill="1" applyAlignment="1">
      <alignment horizontal="right"/>
    </xf>
    <xf numFmtId="5" fontId="2" fillId="0" borderId="0" xfId="1" applyNumberFormat="1" applyFont="1" applyFill="1" applyBorder="1" applyAlignment="1">
      <alignment horizontal="right"/>
    </xf>
    <xf numFmtId="5" fontId="2" fillId="0" borderId="0" xfId="1" applyNumberFormat="1" applyFont="1" applyFill="1" applyAlignment="1">
      <alignment horizontal="right"/>
    </xf>
    <xf numFmtId="5" fontId="0" fillId="0" borderId="0" xfId="2" applyNumberFormat="1" applyFont="1" applyFill="1" applyAlignment="1">
      <alignment horizontal="right"/>
    </xf>
    <xf numFmtId="172" fontId="8" fillId="0" borderId="0" xfId="0" applyNumberFormat="1" applyFont="1" applyAlignment="1">
      <alignment horizontal="right"/>
    </xf>
    <xf numFmtId="7" fontId="8" fillId="0" borderId="0" xfId="0" applyNumberFormat="1" applyFont="1" applyAlignment="1">
      <alignment horizontal="right"/>
    </xf>
    <xf numFmtId="7" fontId="23" fillId="0" borderId="0" xfId="0" applyNumberFormat="1" applyFont="1" applyAlignment="1">
      <alignment horizontal="left"/>
    </xf>
    <xf numFmtId="164" fontId="0" fillId="0" borderId="0" xfId="1" applyNumberFormat="1" applyFont="1" applyFill="1" applyAlignment="1">
      <alignment horizontal="center"/>
    </xf>
    <xf numFmtId="7" fontId="26" fillId="0" borderId="2" xfId="0" applyNumberFormat="1" applyFont="1" applyBorder="1" applyAlignment="1">
      <alignment horizontal="right"/>
    </xf>
    <xf numFmtId="9" fontId="0" fillId="0" borderId="1" xfId="1" applyFont="1" applyBorder="1"/>
    <xf numFmtId="9" fontId="5" fillId="0" borderId="2" xfId="1" applyFont="1" applyBorder="1" applyAlignment="1">
      <alignment horizontal="right"/>
    </xf>
    <xf numFmtId="167" fontId="7" fillId="0" borderId="0" xfId="0" applyNumberFormat="1" applyFont="1" applyAlignment="1">
      <alignment horizontal="right"/>
    </xf>
    <xf numFmtId="5" fontId="0" fillId="0" borderId="1" xfId="0" applyNumberFormat="1" applyBorder="1"/>
    <xf numFmtId="0" fontId="0" fillId="0" borderId="0" xfId="0" quotePrefix="1"/>
    <xf numFmtId="37" fontId="0" fillId="0" borderId="0" xfId="0" quotePrefix="1" applyNumberFormat="1" applyAlignment="1">
      <alignment horizontal="right"/>
    </xf>
    <xf numFmtId="164" fontId="1" fillId="0" borderId="0" xfId="1" quotePrefix="1" applyNumberFormat="1" applyFont="1" applyAlignment="1">
      <alignment horizontal="right"/>
    </xf>
    <xf numFmtId="164" fontId="1" fillId="0" borderId="0" xfId="1" quotePrefix="1" applyNumberFormat="1" applyFont="1" applyFill="1" applyAlignment="1">
      <alignment horizontal="right"/>
    </xf>
    <xf numFmtId="176" fontId="0" fillId="0" borderId="0" xfId="1" applyNumberFormat="1" applyFont="1" applyFill="1" applyAlignment="1">
      <alignment horizontal="center"/>
    </xf>
    <xf numFmtId="175" fontId="0" fillId="0" borderId="0" xfId="0" applyNumberFormat="1"/>
    <xf numFmtId="5" fontId="8" fillId="3" borderId="0" xfId="0" applyNumberFormat="1" applyFont="1" applyFill="1" applyAlignment="1">
      <alignment horizontal="right"/>
    </xf>
    <xf numFmtId="37" fontId="5" fillId="0" borderId="1" xfId="0" applyNumberFormat="1" applyFont="1" applyBorder="1"/>
    <xf numFmtId="164" fontId="5" fillId="0" borderId="1" xfId="1" applyNumberFormat="1" applyFont="1" applyBorder="1"/>
    <xf numFmtId="9" fontId="5" fillId="0" borderId="1" xfId="1" applyFont="1" applyBorder="1"/>
    <xf numFmtId="164" fontId="0" fillId="0" borderId="0" xfId="0" applyNumberFormat="1"/>
    <xf numFmtId="164" fontId="2" fillId="0" borderId="2" xfId="1" applyNumberFormat="1" applyFont="1" applyBorder="1" applyAlignment="1">
      <alignment horizontal="right"/>
    </xf>
    <xf numFmtId="164" fontId="23" fillId="0" borderId="0" xfId="0" applyNumberFormat="1" applyFont="1" applyAlignment="1">
      <alignment horizontal="left"/>
    </xf>
    <xf numFmtId="177" fontId="0" fillId="0" borderId="0" xfId="0" applyNumberFormat="1" applyAlignment="1">
      <alignment horizontal="right"/>
    </xf>
    <xf numFmtId="37" fontId="31" fillId="3" borderId="0" xfId="0" applyNumberFormat="1" applyFont="1" applyFill="1" applyAlignment="1">
      <alignment horizontal="right"/>
    </xf>
    <xf numFmtId="37" fontId="31" fillId="3" borderId="1" xfId="0" applyNumberFormat="1" applyFont="1" applyFill="1" applyBorder="1" applyAlignment="1">
      <alignment horizontal="right"/>
    </xf>
    <xf numFmtId="37" fontId="32" fillId="3" borderId="0" xfId="0" applyNumberFormat="1" applyFont="1" applyFill="1" applyAlignment="1">
      <alignment horizontal="right"/>
    </xf>
    <xf numFmtId="37" fontId="30" fillId="3" borderId="1" xfId="0" applyNumberFormat="1" applyFont="1" applyFill="1" applyBorder="1" applyAlignment="1">
      <alignment horizontal="right"/>
    </xf>
    <xf numFmtId="171" fontId="4" fillId="0" borderId="0" xfId="2" applyNumberFormat="1" applyFont="1" applyAlignment="1"/>
    <xf numFmtId="171" fontId="4" fillId="0" borderId="0" xfId="2" applyNumberFormat="1" applyFont="1" applyFill="1" applyAlignment="1"/>
    <xf numFmtId="179" fontId="4" fillId="0" borderId="0" xfId="2" applyNumberFormat="1" applyFont="1" applyAlignment="1"/>
    <xf numFmtId="171" fontId="9" fillId="0" borderId="1" xfId="2" applyNumberFormat="1" applyFont="1" applyBorder="1" applyAlignment="1"/>
    <xf numFmtId="179" fontId="9" fillId="0" borderId="1" xfId="2" applyNumberFormat="1" applyFont="1" applyBorder="1" applyAlignment="1"/>
    <xf numFmtId="9" fontId="9" fillId="0" borderId="1" xfId="1" applyFont="1" applyBorder="1" applyAlignment="1">
      <alignment horizontal="right"/>
    </xf>
    <xf numFmtId="9" fontId="9" fillId="0" borderId="1" xfId="1" applyFont="1" applyBorder="1"/>
    <xf numFmtId="0" fontId="22" fillId="0" borderId="0" xfId="0" applyFont="1" applyAlignment="1">
      <alignment horizontal="right"/>
    </xf>
    <xf numFmtId="5" fontId="0" fillId="0" borderId="0" xfId="0" quotePrefix="1" applyNumberFormat="1" applyAlignment="1">
      <alignment horizontal="right"/>
    </xf>
    <xf numFmtId="1" fontId="0" fillId="0" borderId="0" xfId="0" applyNumberFormat="1" applyAlignment="1">
      <alignment horizontal="right"/>
    </xf>
    <xf numFmtId="0" fontId="9" fillId="0" borderId="0" xfId="0" applyFont="1" applyAlignment="1">
      <alignment horizontal="right" indent="1"/>
    </xf>
    <xf numFmtId="0" fontId="24" fillId="0" borderId="0" xfId="0" applyFont="1" applyAlignment="1">
      <alignment horizontal="right" indent="1"/>
    </xf>
    <xf numFmtId="171" fontId="0" fillId="0" borderId="0" xfId="0" applyNumberFormat="1" applyAlignment="1">
      <alignment horizontal="right"/>
    </xf>
    <xf numFmtId="0" fontId="0" fillId="0" borderId="0" xfId="0" quotePrefix="1" applyAlignment="1">
      <alignment horizontal="right"/>
    </xf>
    <xf numFmtId="9" fontId="4" fillId="0" borderId="1" xfId="1" applyFont="1" applyBorder="1"/>
    <xf numFmtId="5" fontId="8" fillId="0" borderId="0" xfId="1" applyNumberFormat="1" applyFont="1" applyFill="1" applyAlignment="1">
      <alignment horizontal="right"/>
    </xf>
    <xf numFmtId="37" fontId="4" fillId="0" borderId="6" xfId="0" applyNumberFormat="1" applyFont="1" applyBorder="1" applyAlignment="1">
      <alignment horizontal="right"/>
    </xf>
    <xf numFmtId="37" fontId="9" fillId="0" borderId="6" xfId="0" applyNumberFormat="1" applyFont="1" applyBorder="1" applyAlignment="1">
      <alignment horizontal="right"/>
    </xf>
    <xf numFmtId="37" fontId="4" fillId="0" borderId="7" xfId="0" applyNumberFormat="1" applyFont="1" applyBorder="1" applyAlignment="1">
      <alignment horizontal="right"/>
    </xf>
    <xf numFmtId="37" fontId="9" fillId="0" borderId="7" xfId="0" applyNumberFormat="1" applyFont="1" applyBorder="1" applyAlignment="1">
      <alignment horizontal="right"/>
    </xf>
    <xf numFmtId="167" fontId="9" fillId="0" borderId="1" xfId="0" applyNumberFormat="1" applyFont="1" applyBorder="1" applyAlignment="1">
      <alignment horizontal="right"/>
    </xf>
    <xf numFmtId="0" fontId="27" fillId="0" borderId="0" xfId="0" applyFont="1" applyAlignment="1">
      <alignment horizontal="left" indent="1"/>
    </xf>
    <xf numFmtId="0" fontId="2" fillId="0" borderId="6" xfId="0" applyFont="1" applyBorder="1" applyAlignment="1">
      <alignment horizontal="left" indent="1"/>
    </xf>
    <xf numFmtId="14" fontId="0" fillId="0" borderId="0" xfId="0" applyNumberFormat="1" applyAlignment="1">
      <alignment horizontal="right"/>
    </xf>
    <xf numFmtId="3" fontId="7" fillId="9" borderId="0" xfId="0" applyNumberFormat="1" applyFont="1" applyFill="1" applyAlignment="1">
      <alignment horizontal="right"/>
    </xf>
    <xf numFmtId="164" fontId="9" fillId="0" borderId="2" xfId="1" applyNumberFormat="1" applyFont="1" applyBorder="1" applyAlignment="1">
      <alignment horizontal="right"/>
    </xf>
    <xf numFmtId="9" fontId="4" fillId="0" borderId="1" xfId="1" applyFont="1" applyBorder="1" applyAlignment="1">
      <alignment horizontal="right"/>
    </xf>
    <xf numFmtId="180" fontId="5" fillId="0" borderId="2" xfId="2" applyNumberFormat="1" applyFont="1" applyBorder="1" applyAlignment="1">
      <alignment horizontal="right"/>
    </xf>
    <xf numFmtId="180" fontId="0" fillId="0" borderId="2" xfId="2" applyNumberFormat="1" applyFont="1" applyBorder="1" applyAlignment="1">
      <alignment horizontal="right"/>
    </xf>
    <xf numFmtId="37" fontId="2" fillId="2" borderId="2" xfId="0" applyNumberFormat="1" applyFont="1" applyFill="1" applyBorder="1" applyAlignment="1">
      <alignment horizontal="right"/>
    </xf>
    <xf numFmtId="171" fontId="23" fillId="0" borderId="0" xfId="2" applyNumberFormat="1" applyFont="1" applyAlignment="1">
      <alignment horizontal="center"/>
    </xf>
    <xf numFmtId="43" fontId="8" fillId="10" borderId="0" xfId="2" applyFont="1" applyFill="1" applyAlignment="1">
      <alignment horizontal="right"/>
    </xf>
    <xf numFmtId="164" fontId="4" fillId="0" borderId="2" xfId="1" applyNumberFormat="1" applyFont="1" applyFill="1" applyBorder="1" applyAlignment="1">
      <alignment horizontal="right"/>
    </xf>
    <xf numFmtId="43" fontId="10" fillId="10" borderId="0" xfId="2" applyFont="1" applyFill="1" applyAlignment="1">
      <alignment horizontal="right"/>
    </xf>
    <xf numFmtId="7" fontId="10" fillId="0" borderId="1" xfId="1" applyNumberFormat="1" applyFont="1" applyFill="1" applyBorder="1" applyAlignment="1">
      <alignment horizontal="right"/>
    </xf>
    <xf numFmtId="171" fontId="0" fillId="0" borderId="0" xfId="2" applyNumberFormat="1" applyFont="1"/>
    <xf numFmtId="171" fontId="9" fillId="0" borderId="0" xfId="2" applyNumberFormat="1" applyFont="1" applyAlignment="1"/>
    <xf numFmtId="164" fontId="9" fillId="0" borderId="0" xfId="1" applyNumberFormat="1" applyFont="1" applyAlignment="1"/>
    <xf numFmtId="164" fontId="9" fillId="0" borderId="1" xfId="1" applyNumberFormat="1" applyFont="1" applyBorder="1" applyAlignment="1"/>
    <xf numFmtId="181" fontId="9" fillId="0" borderId="0" xfId="2" applyNumberFormat="1" applyFont="1" applyAlignment="1"/>
    <xf numFmtId="181" fontId="9" fillId="0" borderId="1" xfId="2" applyNumberFormat="1" applyFont="1" applyBorder="1" applyAlignment="1"/>
    <xf numFmtId="43" fontId="0" fillId="0" borderId="1" xfId="2" applyFont="1" applyBorder="1" applyAlignment="1">
      <alignment horizontal="right"/>
    </xf>
    <xf numFmtId="179" fontId="0" fillId="0" borderId="1" xfId="2" applyNumberFormat="1" applyFont="1" applyBorder="1" applyAlignment="1">
      <alignment horizontal="right"/>
    </xf>
    <xf numFmtId="179" fontId="0" fillId="0" borderId="1" xfId="2" applyNumberFormat="1" applyFont="1" applyBorder="1"/>
    <xf numFmtId="181" fontId="0" fillId="0" borderId="1" xfId="0" applyNumberFormat="1" applyBorder="1" applyAlignment="1">
      <alignment horizontal="right"/>
    </xf>
    <xf numFmtId="181" fontId="0" fillId="0" borderId="1" xfId="0" applyNumberFormat="1" applyBorder="1"/>
    <xf numFmtId="171" fontId="0" fillId="0" borderId="0" xfId="2" applyNumberFormat="1" applyFont="1" applyAlignment="1">
      <alignment horizontal="right"/>
    </xf>
    <xf numFmtId="171" fontId="0" fillId="0" borderId="0" xfId="2" applyNumberFormat="1" applyFont="1" applyFill="1"/>
    <xf numFmtId="167" fontId="9" fillId="0" borderId="0" xfId="0" applyNumberFormat="1" applyFont="1" applyAlignment="1">
      <alignment horizontal="right"/>
    </xf>
    <xf numFmtId="167" fontId="0" fillId="0" borderId="1" xfId="0" applyNumberFormat="1" applyBorder="1" applyAlignment="1">
      <alignment horizontal="right"/>
    </xf>
    <xf numFmtId="7" fontId="9" fillId="0" borderId="0" xfId="0" applyNumberFormat="1" applyFont="1" applyAlignment="1">
      <alignment horizontal="right"/>
    </xf>
    <xf numFmtId="0" fontId="2" fillId="0" borderId="6" xfId="0" applyFont="1" applyBorder="1"/>
    <xf numFmtId="0" fontId="2" fillId="11" borderId="0" xfId="0" applyFont="1" applyFill="1"/>
    <xf numFmtId="5" fontId="7" fillId="3" borderId="0" xfId="0" applyNumberFormat="1" applyFont="1" applyFill="1" applyAlignment="1">
      <alignment horizontal="right"/>
    </xf>
    <xf numFmtId="37" fontId="9" fillId="0" borderId="0" xfId="1" applyNumberFormat="1" applyFont="1" applyFill="1" applyAlignment="1">
      <alignment horizontal="right"/>
    </xf>
    <xf numFmtId="5" fontId="8" fillId="9" borderId="0" xfId="0" applyNumberFormat="1" applyFont="1" applyFill="1" applyAlignment="1">
      <alignment horizontal="right"/>
    </xf>
    <xf numFmtId="5" fontId="7" fillId="9" borderId="0" xfId="0" applyNumberFormat="1" applyFont="1" applyFill="1" applyAlignment="1">
      <alignment horizontal="right"/>
    </xf>
    <xf numFmtId="179" fontId="9" fillId="0" borderId="0" xfId="2" applyNumberFormat="1" applyFont="1" applyAlignment="1"/>
    <xf numFmtId="0" fontId="2" fillId="0" borderId="1" xfId="0" applyFont="1" applyBorder="1" applyAlignment="1">
      <alignment horizontal="right"/>
    </xf>
    <xf numFmtId="164" fontId="0" fillId="0" borderId="1" xfId="0" applyNumberFormat="1" applyBorder="1" applyAlignment="1">
      <alignment horizontal="right"/>
    </xf>
    <xf numFmtId="7" fontId="0" fillId="0" borderId="0" xfId="0" applyNumberFormat="1"/>
    <xf numFmtId="0" fontId="4" fillId="0" borderId="1" xfId="0" applyFont="1" applyBorder="1" applyAlignment="1">
      <alignment horizontal="right"/>
    </xf>
    <xf numFmtId="1" fontId="0" fillId="0" borderId="0" xfId="2" applyNumberFormat="1" applyFont="1" applyAlignment="1">
      <alignment horizontal="center"/>
    </xf>
    <xf numFmtId="0" fontId="2" fillId="0" borderId="0" xfId="0" applyFont="1" applyAlignment="1">
      <alignment horizontal="center"/>
    </xf>
    <xf numFmtId="171" fontId="0" fillId="0" borderId="0" xfId="2" applyNumberFormat="1" applyFont="1" applyBorder="1"/>
    <xf numFmtId="171" fontId="0" fillId="0" borderId="1" xfId="2" applyNumberFormat="1" applyFont="1" applyBorder="1"/>
    <xf numFmtId="0" fontId="2" fillId="0" borderId="1" xfId="0" applyFont="1" applyBorder="1"/>
    <xf numFmtId="171" fontId="4" fillId="0" borderId="1" xfId="2" applyNumberFormat="1" applyFont="1" applyBorder="1"/>
    <xf numFmtId="171" fontId="8" fillId="0" borderId="7" xfId="2" applyNumberFormat="1" applyFont="1" applyBorder="1"/>
    <xf numFmtId="9" fontId="2" fillId="0" borderId="7" xfId="1" applyFont="1" applyBorder="1"/>
    <xf numFmtId="171" fontId="7" fillId="0" borderId="7" xfId="2" applyNumberFormat="1" applyFont="1" applyBorder="1"/>
    <xf numFmtId="171" fontId="7" fillId="0" borderId="1" xfId="2" applyNumberFormat="1" applyFont="1" applyBorder="1"/>
    <xf numFmtId="9" fontId="35" fillId="0" borderId="1" xfId="1" applyFont="1" applyBorder="1"/>
    <xf numFmtId="171" fontId="36" fillId="0" borderId="1" xfId="1" applyNumberFormat="1" applyFont="1" applyBorder="1"/>
    <xf numFmtId="171" fontId="0" fillId="0" borderId="1" xfId="2" applyNumberFormat="1" applyFont="1" applyFill="1" applyBorder="1"/>
    <xf numFmtId="171" fontId="0" fillId="0" borderId="1" xfId="0" applyNumberFormat="1" applyBorder="1"/>
    <xf numFmtId="0" fontId="2" fillId="11" borderId="1" xfId="0" applyFont="1" applyFill="1" applyBorder="1"/>
    <xf numFmtId="0" fontId="0" fillId="11" borderId="1" xfId="0" applyFill="1" applyBorder="1"/>
    <xf numFmtId="171" fontId="0" fillId="11" borderId="1" xfId="2" applyNumberFormat="1" applyFont="1" applyFill="1" applyBorder="1"/>
    <xf numFmtId="171" fontId="2" fillId="11" borderId="7" xfId="2" applyNumberFormat="1" applyFont="1" applyFill="1" applyBorder="1"/>
    <xf numFmtId="171" fontId="4" fillId="11" borderId="1" xfId="2" applyNumberFormat="1" applyFont="1" applyFill="1" applyBorder="1"/>
    <xf numFmtId="9" fontId="9" fillId="11" borderId="1" xfId="1" applyFont="1" applyFill="1" applyBorder="1"/>
    <xf numFmtId="9" fontId="4" fillId="11" borderId="1" xfId="1" applyFont="1" applyFill="1" applyBorder="1"/>
    <xf numFmtId="9" fontId="2" fillId="11" borderId="7" xfId="1" applyFont="1" applyFill="1" applyBorder="1"/>
    <xf numFmtId="171" fontId="9" fillId="0" borderId="1" xfId="2" applyNumberFormat="1" applyFont="1" applyBorder="1"/>
    <xf numFmtId="171" fontId="2" fillId="11" borderId="1" xfId="2" applyNumberFormat="1" applyFont="1" applyFill="1" applyBorder="1"/>
    <xf numFmtId="171" fontId="1" fillId="11" borderId="1" xfId="2" applyNumberFormat="1" applyFont="1" applyFill="1" applyBorder="1"/>
    <xf numFmtId="171" fontId="5" fillId="0" borderId="1" xfId="2" applyNumberFormat="1" applyFont="1" applyFill="1" applyBorder="1"/>
    <xf numFmtId="171" fontId="5" fillId="11" borderId="1" xfId="2" applyNumberFormat="1" applyFont="1" applyFill="1" applyBorder="1"/>
    <xf numFmtId="171" fontId="2" fillId="0" borderId="1" xfId="0" applyNumberFormat="1" applyFont="1" applyBorder="1"/>
    <xf numFmtId="0" fontId="32" fillId="0" borderId="0" xfId="0" applyFont="1" applyAlignment="1">
      <alignment horizontal="left" indent="1"/>
    </xf>
    <xf numFmtId="0" fontId="2" fillId="9" borderId="0" xfId="0" applyFont="1" applyFill="1"/>
    <xf numFmtId="171" fontId="2" fillId="11" borderId="1" xfId="0" applyNumberFormat="1" applyFont="1" applyFill="1" applyBorder="1"/>
    <xf numFmtId="9" fontId="1" fillId="0" borderId="1" xfId="1" applyFont="1" applyFill="1" applyBorder="1"/>
    <xf numFmtId="0" fontId="2" fillId="0" borderId="8" xfId="0" applyFont="1" applyBorder="1"/>
    <xf numFmtId="0" fontId="2" fillId="0" borderId="9" xfId="0" applyFont="1" applyBorder="1"/>
    <xf numFmtId="0" fontId="2" fillId="11" borderId="9" xfId="0" applyFont="1" applyFill="1" applyBorder="1"/>
    <xf numFmtId="171" fontId="26" fillId="0" borderId="1" xfId="2" applyNumberFormat="1" applyFont="1" applyBorder="1"/>
    <xf numFmtId="171" fontId="4" fillId="0" borderId="1" xfId="2" applyNumberFormat="1" applyFont="1" applyBorder="1" applyAlignment="1"/>
    <xf numFmtId="179" fontId="4" fillId="0" borderId="1" xfId="2" applyNumberFormat="1" applyFont="1" applyBorder="1" applyAlignment="1"/>
    <xf numFmtId="5" fontId="8" fillId="9" borderId="1" xfId="0" applyNumberFormat="1" applyFont="1" applyFill="1" applyBorder="1" applyAlignment="1">
      <alignment horizontal="right"/>
    </xf>
    <xf numFmtId="171" fontId="4" fillId="0" borderId="1" xfId="2" applyNumberFormat="1" applyFont="1" applyFill="1" applyBorder="1" applyAlignment="1"/>
    <xf numFmtId="179" fontId="9" fillId="0" borderId="1" xfId="2" applyNumberFormat="1" applyFont="1" applyFill="1" applyBorder="1"/>
    <xf numFmtId="43" fontId="0" fillId="0" borderId="1" xfId="0" applyNumberFormat="1" applyBorder="1"/>
    <xf numFmtId="0" fontId="2" fillId="11" borderId="9" xfId="0" applyFont="1" applyFill="1" applyBorder="1" applyAlignment="1">
      <alignment horizontal="right"/>
    </xf>
    <xf numFmtId="5" fontId="8" fillId="0" borderId="1" xfId="0" applyNumberFormat="1" applyFont="1" applyBorder="1" applyAlignment="1">
      <alignment horizontal="right"/>
    </xf>
    <xf numFmtId="0" fontId="0" fillId="7" borderId="0" xfId="0" applyFill="1" applyAlignment="1">
      <alignment horizontal="right"/>
    </xf>
    <xf numFmtId="37" fontId="9" fillId="7" borderId="0" xfId="0" applyNumberFormat="1" applyFont="1" applyFill="1" applyAlignment="1">
      <alignment horizontal="right"/>
    </xf>
    <xf numFmtId="37" fontId="0" fillId="7" borderId="0" xfId="0" applyNumberFormat="1" applyFill="1" applyAlignment="1">
      <alignment horizontal="right"/>
    </xf>
    <xf numFmtId="0" fontId="0" fillId="12" borderId="0" xfId="0" applyFill="1" applyAlignment="1">
      <alignment horizontal="right"/>
    </xf>
    <xf numFmtId="5" fontId="2" fillId="9" borderId="0" xfId="0" applyNumberFormat="1" applyFont="1" applyFill="1" applyAlignment="1">
      <alignment horizontal="right"/>
    </xf>
    <xf numFmtId="5" fontId="2" fillId="9" borderId="1" xfId="0" applyNumberFormat="1" applyFont="1" applyFill="1" applyBorder="1" applyAlignment="1">
      <alignment horizontal="right"/>
    </xf>
    <xf numFmtId="167" fontId="0" fillId="0" borderId="0" xfId="0" applyNumberFormat="1"/>
    <xf numFmtId="0" fontId="2" fillId="9" borderId="1" xfId="0" applyFont="1" applyFill="1" applyBorder="1"/>
    <xf numFmtId="171" fontId="2" fillId="9" borderId="1" xfId="0" applyNumberFormat="1" applyFont="1" applyFill="1" applyBorder="1"/>
    <xf numFmtId="0" fontId="2" fillId="9" borderId="0" xfId="0" applyFont="1" applyFill="1" applyAlignment="1">
      <alignment horizontal="left"/>
    </xf>
    <xf numFmtId="0" fontId="0" fillId="9" borderId="1" xfId="0" applyFill="1" applyBorder="1"/>
    <xf numFmtId="171" fontId="37" fillId="9" borderId="1" xfId="2" applyNumberFormat="1" applyFont="1" applyFill="1" applyBorder="1"/>
    <xf numFmtId="0" fontId="2" fillId="12" borderId="9" xfId="0" applyFont="1" applyFill="1" applyBorder="1" applyAlignment="1">
      <alignment horizontal="right"/>
    </xf>
    <xf numFmtId="0" fontId="27" fillId="12" borderId="8" xfId="0" applyFont="1" applyFill="1" applyBorder="1" applyAlignment="1">
      <alignment horizontal="left"/>
    </xf>
    <xf numFmtId="0" fontId="2" fillId="12" borderId="8" xfId="0" applyFont="1" applyFill="1" applyBorder="1"/>
    <xf numFmtId="0" fontId="2" fillId="12" borderId="9" xfId="0" applyFont="1" applyFill="1" applyBorder="1"/>
    <xf numFmtId="0" fontId="2" fillId="9" borderId="6" xfId="0" applyFont="1" applyFill="1" applyBorder="1"/>
    <xf numFmtId="171" fontId="2" fillId="9" borderId="7" xfId="2" applyNumberFormat="1" applyFont="1" applyFill="1" applyBorder="1"/>
    <xf numFmtId="171" fontId="7" fillId="0" borderId="7" xfId="2" applyNumberFormat="1" applyFont="1" applyFill="1" applyBorder="1"/>
    <xf numFmtId="171" fontId="10" fillId="0" borderId="7" xfId="2" applyNumberFormat="1" applyFont="1" applyFill="1" applyBorder="1"/>
    <xf numFmtId="0" fontId="3" fillId="0" borderId="0" xfId="0" applyFont="1"/>
    <xf numFmtId="0" fontId="3" fillId="9" borderId="0" xfId="0" applyFont="1" applyFill="1" applyAlignment="1">
      <alignment horizontal="left" indent="1"/>
    </xf>
    <xf numFmtId="171" fontId="3" fillId="9" borderId="1" xfId="2" applyNumberFormat="1" applyFont="1" applyFill="1" applyBorder="1"/>
    <xf numFmtId="9" fontId="3" fillId="9" borderId="1" xfId="1" applyFont="1" applyFill="1" applyBorder="1"/>
    <xf numFmtId="43" fontId="0" fillId="0" borderId="0" xfId="0" applyNumberFormat="1"/>
    <xf numFmtId="37" fontId="8" fillId="3" borderId="1" xfId="0" applyNumberFormat="1" applyFont="1" applyFill="1" applyBorder="1" applyAlignment="1">
      <alignment horizontal="right"/>
    </xf>
    <xf numFmtId="37" fontId="8" fillId="3" borderId="0" xfId="0" applyNumberFormat="1" applyFont="1" applyFill="1" applyAlignment="1">
      <alignment horizontal="right"/>
    </xf>
    <xf numFmtId="37" fontId="7" fillId="3" borderId="0" xfId="0" applyNumberFormat="1" applyFont="1" applyFill="1" applyAlignment="1">
      <alignment horizontal="right"/>
    </xf>
    <xf numFmtId="37" fontId="7" fillId="3" borderId="1" xfId="0" applyNumberFormat="1" applyFont="1" applyFill="1" applyBorder="1" applyAlignment="1">
      <alignment horizontal="right"/>
    </xf>
    <xf numFmtId="37" fontId="10" fillId="0" borderId="1" xfId="0" applyNumberFormat="1" applyFont="1" applyBorder="1"/>
    <xf numFmtId="37" fontId="2" fillId="0" borderId="1" xfId="0" applyNumberFormat="1" applyFont="1" applyBorder="1"/>
    <xf numFmtId="164" fontId="10" fillId="3" borderId="1" xfId="1" applyNumberFormat="1" applyFont="1" applyFill="1" applyBorder="1" applyAlignment="1">
      <alignment horizontal="right"/>
    </xf>
    <xf numFmtId="9" fontId="4" fillId="13" borderId="1" xfId="0" applyNumberFormat="1" applyFont="1" applyFill="1" applyBorder="1"/>
    <xf numFmtId="0" fontId="39" fillId="14" borderId="8" xfId="0" applyFont="1" applyFill="1" applyBorder="1" applyAlignment="1">
      <alignment horizontal="left"/>
    </xf>
    <xf numFmtId="0" fontId="38" fillId="14" borderId="9" xfId="0" applyFont="1" applyFill="1" applyBorder="1" applyAlignment="1">
      <alignment horizontal="right"/>
    </xf>
    <xf numFmtId="171" fontId="26" fillId="13" borderId="1" xfId="2" applyNumberFormat="1" applyFont="1" applyFill="1" applyBorder="1"/>
    <xf numFmtId="0" fontId="0" fillId="3" borderId="10" xfId="0" applyFill="1" applyBorder="1"/>
    <xf numFmtId="0" fontId="7" fillId="3" borderId="10" xfId="0" applyFont="1" applyFill="1" applyBorder="1" applyAlignment="1">
      <alignment horizontal="left"/>
    </xf>
    <xf numFmtId="0" fontId="0" fillId="0" borderId="10" xfId="0" applyBorder="1" applyAlignment="1">
      <alignment horizontal="left" indent="1"/>
    </xf>
    <xf numFmtId="0" fontId="2" fillId="9" borderId="10" xfId="0" applyFont="1" applyFill="1" applyBorder="1"/>
    <xf numFmtId="0" fontId="0" fillId="0" borderId="10" xfId="0" applyBorder="1"/>
    <xf numFmtId="0" fontId="2" fillId="2" borderId="10" xfId="0" applyFont="1" applyFill="1" applyBorder="1"/>
    <xf numFmtId="37" fontId="2" fillId="3" borderId="10" xfId="0" applyNumberFormat="1" applyFont="1" applyFill="1" applyBorder="1"/>
    <xf numFmtId="0" fontId="0" fillId="0" borderId="10" xfId="0" applyBorder="1" applyAlignment="1">
      <alignment horizontal="left"/>
    </xf>
    <xf numFmtId="0" fontId="2" fillId="0" borderId="10" xfId="0" applyFont="1" applyBorder="1" applyAlignment="1">
      <alignment horizontal="left"/>
    </xf>
    <xf numFmtId="0" fontId="9" fillId="0" borderId="10" xfId="0" applyFont="1" applyBorder="1" applyAlignment="1">
      <alignment horizontal="left" indent="2"/>
    </xf>
    <xf numFmtId="41" fontId="0" fillId="0" borderId="1" xfId="1" applyNumberFormat="1" applyFont="1" applyBorder="1" applyAlignment="1">
      <alignment horizontal="right"/>
    </xf>
    <xf numFmtId="0" fontId="2" fillId="4" borderId="10" xfId="0" applyFont="1" applyFill="1" applyBorder="1"/>
    <xf numFmtId="0" fontId="9" fillId="3" borderId="10" xfId="0" applyFont="1" applyFill="1" applyBorder="1" applyAlignment="1">
      <alignment horizontal="left" indent="1"/>
    </xf>
    <xf numFmtId="0" fontId="2" fillId="0" borderId="10" xfId="0" applyFont="1" applyBorder="1"/>
    <xf numFmtId="43" fontId="0" fillId="0" borderId="0" xfId="2" applyFont="1" applyBorder="1" applyAlignment="1">
      <alignment horizontal="right"/>
    </xf>
    <xf numFmtId="37" fontId="5" fillId="0" borderId="0" xfId="1" applyNumberFormat="1" applyFont="1" applyAlignment="1">
      <alignment horizontal="right"/>
    </xf>
    <xf numFmtId="170" fontId="0" fillId="0" borderId="1" xfId="0" applyNumberFormat="1" applyBorder="1" applyAlignment="1">
      <alignment horizontal="right"/>
    </xf>
    <xf numFmtId="170" fontId="0" fillId="0" borderId="0" xfId="0" applyNumberFormat="1" applyAlignment="1">
      <alignment horizontal="right"/>
    </xf>
    <xf numFmtId="0" fontId="0" fillId="15" borderId="0" xfId="0" applyFill="1" applyAlignment="1">
      <alignment horizontal="left" indent="1"/>
    </xf>
    <xf numFmtId="0" fontId="34" fillId="0" borderId="0" xfId="0" applyFont="1" applyAlignment="1">
      <alignment horizontal="left" wrapText="1" indent="1"/>
    </xf>
    <xf numFmtId="0" fontId="34" fillId="0" borderId="0" xfId="0" applyFont="1" applyAlignment="1">
      <alignment horizontal="right" wrapText="1"/>
    </xf>
    <xf numFmtId="0" fontId="2" fillId="15" borderId="0" xfId="0" applyFont="1" applyFill="1"/>
    <xf numFmtId="37" fontId="4" fillId="15" borderId="1" xfId="0" applyNumberFormat="1" applyFont="1" applyFill="1" applyBorder="1" applyAlignment="1">
      <alignment horizontal="right"/>
    </xf>
    <xf numFmtId="37" fontId="4" fillId="15" borderId="0" xfId="0" applyNumberFormat="1" applyFont="1" applyFill="1" applyAlignment="1">
      <alignment horizontal="right"/>
    </xf>
    <xf numFmtId="37" fontId="8" fillId="15" borderId="1" xfId="0" applyNumberFormat="1" applyFont="1" applyFill="1" applyBorder="1" applyAlignment="1">
      <alignment horizontal="right"/>
    </xf>
    <xf numFmtId="37" fontId="8" fillId="15" borderId="0" xfId="0" applyNumberFormat="1" applyFont="1" applyFill="1" applyAlignment="1">
      <alignment horizontal="right"/>
    </xf>
    <xf numFmtId="0" fontId="10" fillId="7" borderId="0" xfId="0" applyFont="1" applyFill="1" applyAlignment="1">
      <alignment horizontal="right"/>
    </xf>
    <xf numFmtId="37" fontId="4" fillId="7" borderId="0" xfId="0" applyNumberFormat="1" applyFont="1" applyFill="1" applyAlignment="1">
      <alignment horizontal="right"/>
    </xf>
    <xf numFmtId="5" fontId="2" fillId="7" borderId="0" xfId="0" applyNumberFormat="1" applyFont="1" applyFill="1" applyAlignment="1">
      <alignment horizontal="right"/>
    </xf>
    <xf numFmtId="5" fontId="0" fillId="7" borderId="0" xfId="0" applyNumberFormat="1" applyFill="1" applyAlignment="1">
      <alignment horizontal="right"/>
    </xf>
    <xf numFmtId="5" fontId="7" fillId="7" borderId="0" xfId="0" applyNumberFormat="1" applyFont="1" applyFill="1" applyAlignment="1">
      <alignment horizontal="right"/>
    </xf>
    <xf numFmtId="5" fontId="8" fillId="7" borderId="0" xfId="0" applyNumberFormat="1" applyFont="1" applyFill="1" applyAlignment="1">
      <alignment horizontal="right"/>
    </xf>
    <xf numFmtId="164" fontId="0" fillId="7" borderId="0" xfId="1" applyNumberFormat="1" applyFont="1" applyFill="1" applyAlignment="1">
      <alignment horizontal="right"/>
    </xf>
    <xf numFmtId="7" fontId="2" fillId="7" borderId="0" xfId="1" applyNumberFormat="1" applyFont="1" applyFill="1" applyAlignment="1">
      <alignment horizontal="right"/>
    </xf>
    <xf numFmtId="37" fontId="2" fillId="7" borderId="0" xfId="0" applyNumberFormat="1" applyFont="1" applyFill="1" applyAlignment="1">
      <alignment horizontal="right"/>
    </xf>
    <xf numFmtId="43" fontId="10" fillId="7" borderId="0" xfId="2" applyFont="1" applyFill="1" applyAlignment="1">
      <alignment horizontal="right"/>
    </xf>
    <xf numFmtId="0" fontId="0" fillId="7" borderId="0" xfId="0" applyFill="1"/>
    <xf numFmtId="0" fontId="9" fillId="0" borderId="0" xfId="0" applyFont="1" applyAlignment="1">
      <alignment horizontal="left" indent="1"/>
    </xf>
    <xf numFmtId="171" fontId="9" fillId="0" borderId="0" xfId="2" applyNumberFormat="1" applyFont="1" applyAlignment="1">
      <alignment horizontal="center"/>
    </xf>
    <xf numFmtId="171" fontId="9" fillId="0" borderId="0" xfId="2" applyNumberFormat="1" applyFont="1"/>
    <xf numFmtId="37" fontId="26" fillId="7" borderId="0" xfId="0" applyNumberFormat="1" applyFont="1" applyFill="1" applyAlignment="1">
      <alignment horizontal="right"/>
    </xf>
    <xf numFmtId="164" fontId="1" fillId="7" borderId="0" xfId="1" quotePrefix="1" applyNumberFormat="1" applyFont="1" applyFill="1" applyAlignment="1">
      <alignment horizontal="right"/>
    </xf>
    <xf numFmtId="164" fontId="9" fillId="7" borderId="0" xfId="1" applyNumberFormat="1" applyFont="1" applyFill="1" applyAlignment="1">
      <alignment horizontal="right"/>
    </xf>
    <xf numFmtId="164" fontId="9" fillId="7" borderId="0" xfId="1" applyNumberFormat="1" applyFont="1" applyFill="1" applyBorder="1" applyAlignment="1">
      <alignment horizontal="right"/>
    </xf>
    <xf numFmtId="164" fontId="9" fillId="7" borderId="1" xfId="1" applyNumberFormat="1" applyFont="1" applyFill="1" applyBorder="1" applyAlignment="1">
      <alignment horizontal="right"/>
    </xf>
    <xf numFmtId="164" fontId="4" fillId="7" borderId="1" xfId="1" applyNumberFormat="1" applyFont="1" applyFill="1" applyBorder="1" applyAlignment="1">
      <alignment horizontal="right"/>
    </xf>
    <xf numFmtId="37" fontId="9" fillId="7" borderId="6" xfId="0" applyNumberFormat="1" applyFont="1" applyFill="1" applyBorder="1" applyAlignment="1">
      <alignment horizontal="right"/>
    </xf>
    <xf numFmtId="37" fontId="7" fillId="7" borderId="0" xfId="0" applyNumberFormat="1" applyFont="1" applyFill="1" applyAlignment="1">
      <alignment horizontal="right"/>
    </xf>
    <xf numFmtId="164" fontId="4" fillId="7" borderId="0" xfId="1" applyNumberFormat="1" applyFont="1" applyFill="1" applyBorder="1" applyAlignment="1">
      <alignment horizontal="right"/>
    </xf>
    <xf numFmtId="5" fontId="10" fillId="7" borderId="0" xfId="0" applyNumberFormat="1" applyFont="1" applyFill="1" applyAlignment="1">
      <alignment horizontal="right"/>
    </xf>
    <xf numFmtId="179" fontId="8" fillId="0" borderId="0" xfId="2" applyNumberFormat="1" applyFont="1" applyAlignment="1">
      <alignment horizontal="right"/>
    </xf>
    <xf numFmtId="179" fontId="4" fillId="0" borderId="0" xfId="2" applyNumberFormat="1" applyFont="1" applyFill="1" applyAlignment="1">
      <alignment horizontal="right"/>
    </xf>
    <xf numFmtId="7" fontId="4" fillId="0" borderId="0" xfId="0" applyNumberFormat="1" applyFont="1" applyAlignment="1">
      <alignment horizontal="right"/>
    </xf>
    <xf numFmtId="7" fontId="9" fillId="0" borderId="1" xfId="0" applyNumberFormat="1" applyFont="1" applyBorder="1" applyAlignment="1">
      <alignment horizontal="right"/>
    </xf>
    <xf numFmtId="43" fontId="8" fillId="0" borderId="0" xfId="2" applyFont="1" applyFill="1" applyAlignment="1">
      <alignment horizontal="right"/>
    </xf>
    <xf numFmtId="179" fontId="8" fillId="0" borderId="0" xfId="2" applyNumberFormat="1" applyFont="1" applyFill="1" applyAlignment="1">
      <alignment horizontal="right"/>
    </xf>
    <xf numFmtId="5" fontId="7" fillId="0" borderId="0" xfId="0" applyNumberFormat="1" applyFont="1" applyAlignment="1">
      <alignment horizontal="right" vertical="top"/>
    </xf>
    <xf numFmtId="179" fontId="2" fillId="0" borderId="0" xfId="2" applyNumberFormat="1" applyFont="1" applyFill="1" applyAlignment="1">
      <alignment horizontal="right"/>
    </xf>
    <xf numFmtId="179" fontId="37" fillId="6" borderId="0" xfId="2" applyNumberFormat="1" applyFont="1" applyFill="1" applyAlignment="1">
      <alignment horizontal="right"/>
    </xf>
    <xf numFmtId="179" fontId="37" fillId="6" borderId="1" xfId="2" applyNumberFormat="1" applyFont="1" applyFill="1" applyBorder="1" applyAlignment="1">
      <alignment horizontal="right"/>
    </xf>
    <xf numFmtId="167" fontId="37" fillId="6" borderId="0" xfId="0" applyNumberFormat="1" applyFont="1" applyFill="1" applyAlignment="1">
      <alignment horizontal="right"/>
    </xf>
    <xf numFmtId="167" fontId="26" fillId="6" borderId="0" xfId="0" applyNumberFormat="1" applyFont="1" applyFill="1" applyAlignment="1">
      <alignment horizontal="right"/>
    </xf>
    <xf numFmtId="167" fontId="26" fillId="6" borderId="1" xfId="0" applyNumberFormat="1" applyFont="1" applyFill="1" applyBorder="1" applyAlignment="1">
      <alignment horizontal="right"/>
    </xf>
    <xf numFmtId="179" fontId="26" fillId="6" borderId="0" xfId="2" applyNumberFormat="1" applyFont="1" applyFill="1" applyAlignment="1">
      <alignment horizontal="right"/>
    </xf>
    <xf numFmtId="5" fontId="23" fillId="0" borderId="0" xfId="0" quotePrefix="1" applyNumberFormat="1" applyFont="1" applyAlignment="1">
      <alignment horizontal="left"/>
    </xf>
    <xf numFmtId="37" fontId="25" fillId="0" borderId="0" xfId="0" applyNumberFormat="1" applyFont="1" applyAlignment="1">
      <alignment horizontal="left"/>
    </xf>
    <xf numFmtId="9" fontId="23" fillId="0" borderId="0" xfId="1" applyFont="1" applyAlignment="1">
      <alignment horizontal="left"/>
    </xf>
    <xf numFmtId="167" fontId="23" fillId="0" borderId="0" xfId="0" applyNumberFormat="1" applyFont="1" applyAlignment="1">
      <alignment horizontal="left"/>
    </xf>
    <xf numFmtId="171" fontId="9" fillId="0" borderId="0" xfId="2" quotePrefix="1" applyNumberFormat="1" applyFont="1" applyAlignment="1">
      <alignment horizontal="center"/>
    </xf>
    <xf numFmtId="9" fontId="4" fillId="0" borderId="0" xfId="1" applyFont="1" applyAlignment="1">
      <alignment horizontal="right"/>
    </xf>
    <xf numFmtId="171" fontId="4" fillId="0" borderId="1" xfId="2" applyNumberFormat="1" applyFont="1" applyFill="1" applyBorder="1"/>
    <xf numFmtId="171" fontId="2" fillId="0" borderId="7" xfId="2" applyNumberFormat="1" applyFont="1" applyFill="1" applyBorder="1"/>
    <xf numFmtId="9" fontId="9" fillId="0" borderId="1" xfId="1" applyFont="1" applyFill="1" applyBorder="1"/>
    <xf numFmtId="171" fontId="8" fillId="0" borderId="7" xfId="2" applyNumberFormat="1" applyFont="1" applyFill="1" applyBorder="1"/>
    <xf numFmtId="171" fontId="9" fillId="0" borderId="1" xfId="2" applyNumberFormat="1" applyFont="1" applyFill="1" applyBorder="1"/>
    <xf numFmtId="171" fontId="2" fillId="0" borderId="1" xfId="2" applyNumberFormat="1" applyFont="1" applyFill="1" applyBorder="1"/>
    <xf numFmtId="9" fontId="4" fillId="0" borderId="1" xfId="1" applyFont="1" applyFill="1" applyBorder="1"/>
    <xf numFmtId="171" fontId="1" fillId="0" borderId="1" xfId="2" applyNumberFormat="1" applyFont="1" applyFill="1" applyBorder="1"/>
    <xf numFmtId="0" fontId="0" fillId="2" borderId="1" xfId="0" applyFill="1" applyBorder="1"/>
    <xf numFmtId="37" fontId="0" fillId="2" borderId="1" xfId="0" applyNumberFormat="1" applyFill="1" applyBorder="1"/>
    <xf numFmtId="9" fontId="0" fillId="2" borderId="1" xfId="1" applyFont="1" applyFill="1" applyBorder="1"/>
    <xf numFmtId="37" fontId="10" fillId="2" borderId="1" xfId="0" applyNumberFormat="1" applyFont="1" applyFill="1" applyBorder="1"/>
    <xf numFmtId="164" fontId="26" fillId="13" borderId="1" xfId="1" applyNumberFormat="1" applyFont="1" applyFill="1" applyBorder="1"/>
    <xf numFmtId="176" fontId="4" fillId="0" borderId="0" xfId="2" applyNumberFormat="1" applyFont="1" applyAlignment="1"/>
    <xf numFmtId="176" fontId="9" fillId="0" borderId="0" xfId="2" applyNumberFormat="1" applyFont="1" applyAlignment="1"/>
    <xf numFmtId="5" fontId="23" fillId="0" borderId="0" xfId="0" quotePrefix="1" applyNumberFormat="1" applyFont="1" applyAlignment="1">
      <alignment horizontal="center"/>
    </xf>
    <xf numFmtId="5" fontId="23" fillId="0" borderId="0" xfId="0" applyNumberFormat="1" applyFont="1" applyAlignment="1">
      <alignment horizontal="center"/>
    </xf>
    <xf numFmtId="37" fontId="26" fillId="0" borderId="0" xfId="0" applyNumberFormat="1" applyFont="1" applyAlignment="1">
      <alignment horizontal="right"/>
    </xf>
    <xf numFmtId="174" fontId="0" fillId="0" borderId="0" xfId="1" quotePrefix="1" applyNumberFormat="1" applyFont="1" applyFill="1"/>
    <xf numFmtId="9" fontId="23" fillId="0" borderId="0" xfId="1" quotePrefix="1" applyFont="1" applyAlignment="1">
      <alignment horizontal="left"/>
    </xf>
    <xf numFmtId="164" fontId="1" fillId="0" borderId="2" xfId="1" applyNumberFormat="1" applyFont="1" applyFill="1" applyBorder="1" applyAlignment="1">
      <alignment horizontal="right"/>
    </xf>
    <xf numFmtId="171" fontId="9" fillId="0" borderId="0" xfId="2" applyNumberFormat="1" applyFont="1" applyFill="1" applyAlignment="1">
      <alignment horizontal="center"/>
    </xf>
    <xf numFmtId="8" fontId="0" fillId="0" borderId="0" xfId="0" applyNumberFormat="1"/>
    <xf numFmtId="6" fontId="0" fillId="0" borderId="0" xfId="0" applyNumberFormat="1"/>
    <xf numFmtId="6" fontId="2" fillId="0" borderId="0" xfId="0" applyNumberFormat="1" applyFont="1"/>
    <xf numFmtId="9" fontId="0" fillId="0" borderId="0" xfId="0" applyNumberFormat="1"/>
    <xf numFmtId="0" fontId="4" fillId="0" borderId="0" xfId="0" applyFont="1"/>
    <xf numFmtId="171" fontId="2" fillId="0" borderId="2" xfId="0" applyNumberFormat="1" applyFont="1" applyBorder="1"/>
    <xf numFmtId="9" fontId="4" fillId="13" borderId="0" xfId="0" applyNumberFormat="1" applyFont="1" applyFill="1"/>
    <xf numFmtId="9" fontId="1" fillId="0" borderId="1" xfId="1" applyFont="1" applyBorder="1"/>
    <xf numFmtId="9" fontId="4" fillId="0" borderId="1" xfId="0" applyNumberFormat="1" applyFont="1" applyBorder="1"/>
    <xf numFmtId="0" fontId="0" fillId="2" borderId="0" xfId="0" applyFill="1"/>
    <xf numFmtId="9" fontId="4" fillId="6" borderId="1" xfId="1" applyFont="1" applyFill="1" applyBorder="1"/>
    <xf numFmtId="0" fontId="26" fillId="0" borderId="1" xfId="0" applyFont="1" applyBorder="1"/>
    <xf numFmtId="171" fontId="26" fillId="0" borderId="1" xfId="0" applyNumberFormat="1" applyFont="1" applyBorder="1"/>
    <xf numFmtId="179" fontId="9" fillId="6" borderId="1" xfId="2" applyNumberFormat="1" applyFont="1" applyFill="1" applyBorder="1"/>
    <xf numFmtId="179" fontId="9" fillId="7" borderId="1" xfId="2" applyNumberFormat="1" applyFont="1" applyFill="1" applyBorder="1"/>
    <xf numFmtId="9" fontId="2" fillId="0" borderId="2" xfId="1" applyFont="1" applyBorder="1" applyAlignment="1">
      <alignment horizontal="right"/>
    </xf>
    <xf numFmtId="9" fontId="0" fillId="0" borderId="0" xfId="1" applyFont="1" applyAlignment="1">
      <alignment horizontal="center"/>
    </xf>
    <xf numFmtId="171" fontId="10" fillId="0" borderId="1" xfId="0" applyNumberFormat="1" applyFont="1" applyBorder="1"/>
    <xf numFmtId="0" fontId="42" fillId="16" borderId="0" xfId="0" applyFont="1" applyFill="1"/>
    <xf numFmtId="0" fontId="38" fillId="16" borderId="0" xfId="0" applyFont="1" applyFill="1"/>
    <xf numFmtId="171" fontId="9" fillId="0" borderId="2" xfId="2" applyNumberFormat="1" applyFont="1" applyFill="1" applyBorder="1"/>
    <xf numFmtId="43" fontId="4" fillId="0" borderId="2" xfId="2" applyFont="1" applyFill="1" applyBorder="1"/>
    <xf numFmtId="171" fontId="4" fillId="6" borderId="1" xfId="2" applyNumberFormat="1" applyFont="1" applyFill="1" applyBorder="1"/>
    <xf numFmtId="0" fontId="0" fillId="6" borderId="1" xfId="0" applyFill="1" applyBorder="1"/>
    <xf numFmtId="171" fontId="5" fillId="0" borderId="1" xfId="0" applyNumberFormat="1" applyFont="1" applyBorder="1"/>
    <xf numFmtId="9" fontId="0" fillId="0" borderId="2" xfId="1" applyFont="1" applyFill="1" applyBorder="1"/>
    <xf numFmtId="164" fontId="11" fillId="6" borderId="1" xfId="1" applyNumberFormat="1" applyFont="1" applyFill="1" applyBorder="1"/>
    <xf numFmtId="164" fontId="26" fillId="0" borderId="1" xfId="1" applyNumberFormat="1" applyFont="1" applyFill="1" applyBorder="1"/>
    <xf numFmtId="37" fontId="5" fillId="13" borderId="1" xfId="0" applyNumberFormat="1" applyFont="1" applyFill="1" applyBorder="1" applyAlignment="1">
      <alignment horizontal="right"/>
    </xf>
    <xf numFmtId="0" fontId="5" fillId="13" borderId="1" xfId="0" applyFont="1" applyFill="1" applyBorder="1"/>
    <xf numFmtId="37" fontId="5" fillId="13" borderId="1" xfId="0" applyNumberFormat="1" applyFont="1" applyFill="1" applyBorder="1"/>
    <xf numFmtId="0" fontId="0" fillId="13" borderId="1" xfId="0" applyFill="1" applyBorder="1"/>
    <xf numFmtId="0" fontId="2" fillId="2" borderId="1" xfId="0" applyFont="1" applyFill="1" applyBorder="1"/>
    <xf numFmtId="171" fontId="2" fillId="2" borderId="1" xfId="0" applyNumberFormat="1" applyFont="1" applyFill="1" applyBorder="1"/>
    <xf numFmtId="171" fontId="10" fillId="2" borderId="1" xfId="0" applyNumberFormat="1" applyFont="1" applyFill="1" applyBorder="1"/>
    <xf numFmtId="9" fontId="0" fillId="0" borderId="1" xfId="0" applyNumberFormat="1" applyBorder="1"/>
    <xf numFmtId="0" fontId="41" fillId="2" borderId="1" xfId="0" applyFont="1" applyFill="1" applyBorder="1"/>
    <xf numFmtId="0" fontId="2" fillId="9" borderId="2" xfId="0" applyFont="1" applyFill="1" applyBorder="1"/>
    <xf numFmtId="0" fontId="0" fillId="0" borderId="2" xfId="0" applyBorder="1"/>
    <xf numFmtId="0" fontId="0" fillId="2" borderId="2" xfId="0" applyFill="1" applyBorder="1"/>
    <xf numFmtId="0" fontId="2" fillId="0" borderId="2" xfId="0" applyFont="1" applyBorder="1"/>
    <xf numFmtId="0" fontId="2" fillId="2" borderId="2" xfId="0" applyFont="1" applyFill="1" applyBorder="1"/>
    <xf numFmtId="9" fontId="0" fillId="0" borderId="1" xfId="1" applyFont="1" applyBorder="1" applyAlignment="1">
      <alignment horizontal="center"/>
    </xf>
    <xf numFmtId="44" fontId="26" fillId="7" borderId="1" xfId="18" applyFont="1" applyFill="1" applyBorder="1"/>
    <xf numFmtId="44" fontId="1" fillId="7" borderId="1" xfId="18" applyFont="1" applyFill="1" applyBorder="1"/>
    <xf numFmtId="164" fontId="26" fillId="7" borderId="1" xfId="1" applyNumberFormat="1" applyFont="1" applyFill="1" applyBorder="1"/>
    <xf numFmtId="164" fontId="4" fillId="7" borderId="1" xfId="1" applyNumberFormat="1" applyFont="1" applyFill="1" applyBorder="1"/>
    <xf numFmtId="167" fontId="7" fillId="17" borderId="1" xfId="0" applyNumberFormat="1" applyFont="1" applyFill="1" applyBorder="1" applyAlignment="1">
      <alignment horizontal="right"/>
    </xf>
    <xf numFmtId="164" fontId="36" fillId="0" borderId="2" xfId="1" applyNumberFormat="1" applyFont="1" applyBorder="1" applyAlignment="1">
      <alignment horizontal="right"/>
    </xf>
    <xf numFmtId="164" fontId="35" fillId="17" borderId="2" xfId="1" applyNumberFormat="1" applyFont="1" applyFill="1" applyBorder="1" applyAlignment="1">
      <alignment horizontal="right"/>
    </xf>
    <xf numFmtId="0" fontId="22" fillId="0" borderId="0" xfId="0" applyFont="1" applyAlignment="1">
      <alignment horizontal="center"/>
    </xf>
    <xf numFmtId="0" fontId="0" fillId="0" borderId="0" xfId="0" quotePrefix="1" applyAlignment="1">
      <alignment horizontal="center"/>
    </xf>
    <xf numFmtId="5" fontId="0" fillId="0" borderId="0" xfId="0" quotePrefix="1" applyNumberFormat="1" applyAlignment="1">
      <alignment horizontal="center"/>
    </xf>
    <xf numFmtId="179" fontId="9" fillId="0" borderId="0" xfId="2" applyNumberFormat="1" applyFont="1" applyFill="1" applyAlignment="1">
      <alignment horizontal="right"/>
    </xf>
    <xf numFmtId="166" fontId="9" fillId="0" borderId="0" xfId="0" applyNumberFormat="1" applyFont="1" applyAlignment="1">
      <alignment horizontal="right"/>
    </xf>
    <xf numFmtId="7" fontId="7" fillId="10" borderId="0" xfId="2" applyNumberFormat="1" applyFont="1" applyFill="1" applyAlignment="1">
      <alignment horizontal="right"/>
    </xf>
    <xf numFmtId="43" fontId="7" fillId="0" borderId="0" xfId="2" applyFont="1" applyFill="1" applyAlignment="1">
      <alignment horizontal="right"/>
    </xf>
    <xf numFmtId="171" fontId="23" fillId="0" borderId="0" xfId="2" applyNumberFormat="1" applyFont="1" applyFill="1" applyAlignment="1">
      <alignment horizontal="center"/>
    </xf>
    <xf numFmtId="3" fontId="0" fillId="0" borderId="0" xfId="2" applyNumberFormat="1" applyFont="1" applyAlignment="1">
      <alignment horizontal="center"/>
    </xf>
    <xf numFmtId="0" fontId="2" fillId="3" borderId="0" xfId="0" applyFont="1" applyFill="1" applyAlignment="1">
      <alignment horizontal="center"/>
    </xf>
    <xf numFmtId="3" fontId="0" fillId="0" borderId="0" xfId="0" applyNumberFormat="1" applyAlignment="1">
      <alignment horizontal="center"/>
    </xf>
    <xf numFmtId="164" fontId="0" fillId="0" borderId="0" xfId="1" applyNumberFormat="1" applyFont="1" applyAlignment="1">
      <alignment horizontal="center"/>
    </xf>
    <xf numFmtId="9" fontId="2" fillId="0" borderId="7" xfId="1" applyFont="1" applyFill="1" applyBorder="1"/>
    <xf numFmtId="9" fontId="26" fillId="0" borderId="1" xfId="0" applyNumberFormat="1" applyFont="1" applyBorder="1"/>
    <xf numFmtId="2" fontId="4" fillId="0" borderId="1" xfId="1" applyNumberFormat="1" applyFont="1" applyBorder="1" applyAlignment="1">
      <alignment horizontal="right"/>
    </xf>
    <xf numFmtId="2" fontId="4" fillId="0" borderId="0" xfId="1" applyNumberFormat="1" applyFont="1" applyFill="1" applyAlignment="1">
      <alignment horizontal="right"/>
    </xf>
    <xf numFmtId="2" fontId="9" fillId="0" borderId="0" xfId="1" applyNumberFormat="1" applyFont="1" applyFill="1" applyAlignment="1">
      <alignment horizontal="right"/>
    </xf>
    <xf numFmtId="3" fontId="8" fillId="0" borderId="1" xfId="0" applyNumberFormat="1" applyFont="1" applyBorder="1" applyAlignment="1">
      <alignment horizontal="right"/>
    </xf>
    <xf numFmtId="37" fontId="0" fillId="0" borderId="0" xfId="0" applyNumberFormat="1" applyAlignment="1">
      <alignment horizontal="center"/>
    </xf>
    <xf numFmtId="177" fontId="0" fillId="0" borderId="0" xfId="0" applyNumberFormat="1" applyAlignment="1">
      <alignment horizontal="center"/>
    </xf>
    <xf numFmtId="171" fontId="7" fillId="9" borderId="1" xfId="0" applyNumberFormat="1" applyFont="1" applyFill="1" applyBorder="1"/>
    <xf numFmtId="3" fontId="0" fillId="0" borderId="0" xfId="0" applyNumberFormat="1"/>
    <xf numFmtId="37" fontId="26" fillId="0" borderId="1" xfId="0" applyNumberFormat="1" applyFont="1" applyBorder="1" applyAlignment="1">
      <alignment horizontal="right"/>
    </xf>
    <xf numFmtId="7" fontId="0" fillId="0" borderId="0" xfId="0" applyNumberFormat="1" applyAlignment="1">
      <alignment horizontal="center"/>
    </xf>
    <xf numFmtId="9" fontId="2" fillId="0" borderId="2" xfId="1" applyFont="1" applyFill="1" applyBorder="1"/>
    <xf numFmtId="175" fontId="9" fillId="0" borderId="1" xfId="1" applyNumberFormat="1" applyFont="1" applyBorder="1" applyAlignment="1">
      <alignment horizontal="right"/>
    </xf>
    <xf numFmtId="9" fontId="4" fillId="0" borderId="1" xfId="1" applyFont="1" applyBorder="1" applyAlignment="1">
      <alignment horizontal="center"/>
    </xf>
    <xf numFmtId="176" fontId="9" fillId="0" borderId="1" xfId="1" applyNumberFormat="1" applyFont="1" applyBorder="1" applyAlignment="1">
      <alignment horizontal="center"/>
    </xf>
    <xf numFmtId="9" fontId="5" fillId="0" borderId="1" xfId="1" applyFont="1" applyBorder="1" applyAlignment="1">
      <alignment horizontal="center"/>
    </xf>
    <xf numFmtId="9" fontId="9" fillId="0" borderId="1" xfId="1" applyFont="1" applyBorder="1" applyAlignment="1">
      <alignment horizontal="center"/>
    </xf>
    <xf numFmtId="9" fontId="2" fillId="0" borderId="1" xfId="1" applyFont="1" applyBorder="1"/>
    <xf numFmtId="176" fontId="9" fillId="0" borderId="1" xfId="1" applyNumberFormat="1" applyFont="1" applyBorder="1" applyAlignment="1">
      <alignment horizontal="right"/>
    </xf>
    <xf numFmtId="164" fontId="4" fillId="0" borderId="1" xfId="1" applyNumberFormat="1" applyFont="1" applyBorder="1" applyAlignment="1">
      <alignment horizontal="center"/>
    </xf>
    <xf numFmtId="9" fontId="26" fillId="0" borderId="2" xfId="1" applyFont="1" applyBorder="1" applyAlignment="1">
      <alignment horizontal="right"/>
    </xf>
    <xf numFmtId="3" fontId="34" fillId="0" borderId="0" xfId="0" applyNumberFormat="1" applyFont="1" applyAlignment="1">
      <alignment horizontal="right" wrapText="1"/>
    </xf>
    <xf numFmtId="3" fontId="40" fillId="0" borderId="0" xfId="0" applyNumberFormat="1" applyFont="1" applyAlignment="1">
      <alignment horizontal="right" wrapText="1"/>
    </xf>
    <xf numFmtId="0" fontId="33" fillId="0" borderId="0" xfId="0" applyFont="1" applyAlignment="1">
      <alignment vertical="center" wrapText="1"/>
    </xf>
    <xf numFmtId="9" fontId="2" fillId="0" borderId="2" xfId="1" applyFont="1" applyFill="1" applyBorder="1" applyAlignment="1">
      <alignment horizontal="right"/>
    </xf>
    <xf numFmtId="0" fontId="40" fillId="0" borderId="0" xfId="23" applyFont="1" applyAlignment="1">
      <alignment vertical="center"/>
    </xf>
    <xf numFmtId="5" fontId="0" fillId="4" borderId="0" xfId="0" applyNumberFormat="1" applyFill="1" applyAlignment="1">
      <alignment horizontal="right"/>
    </xf>
    <xf numFmtId="7" fontId="0" fillId="4" borderId="0" xfId="0" applyNumberFormat="1" applyFill="1" applyAlignment="1">
      <alignment horizontal="right"/>
    </xf>
    <xf numFmtId="9" fontId="26" fillId="0" borderId="1" xfId="1" applyFont="1" applyBorder="1" applyAlignment="1">
      <alignment horizontal="right"/>
    </xf>
    <xf numFmtId="0" fontId="0" fillId="18" borderId="0" xfId="0" applyFill="1" applyAlignment="1">
      <alignment horizontal="left" indent="1"/>
    </xf>
    <xf numFmtId="37" fontId="4" fillId="18" borderId="0" xfId="0" applyNumberFormat="1" applyFont="1" applyFill="1" applyAlignment="1">
      <alignment horizontal="right"/>
    </xf>
    <xf numFmtId="37" fontId="0" fillId="18" borderId="0" xfId="0" applyNumberFormat="1" applyFill="1"/>
    <xf numFmtId="5" fontId="46" fillId="0" borderId="0" xfId="0" applyNumberFormat="1" applyFont="1" applyAlignment="1">
      <alignment horizontal="right"/>
    </xf>
    <xf numFmtId="37" fontId="5" fillId="10" borderId="1" xfId="0" applyNumberFormat="1" applyFont="1" applyFill="1" applyBorder="1" applyAlignment="1">
      <alignment horizontal="right"/>
    </xf>
    <xf numFmtId="37" fontId="10" fillId="10" borderId="1" xfId="0" applyNumberFormat="1" applyFont="1" applyFill="1" applyBorder="1" applyAlignment="1">
      <alignment horizontal="right"/>
    </xf>
    <xf numFmtId="9" fontId="4" fillId="0" borderId="0" xfId="1" applyFont="1" applyFill="1" applyAlignment="1">
      <alignment horizontal="right"/>
    </xf>
    <xf numFmtId="167" fontId="8" fillId="0" borderId="0" xfId="2" applyNumberFormat="1" applyFont="1" applyFill="1" applyAlignment="1">
      <alignment horizontal="right"/>
    </xf>
    <xf numFmtId="167" fontId="7" fillId="0" borderId="0" xfId="2" applyNumberFormat="1" applyFont="1" applyAlignment="1">
      <alignment horizontal="right"/>
    </xf>
    <xf numFmtId="0" fontId="23" fillId="0" borderId="0" xfId="0" quotePrefix="1" applyFont="1" applyAlignment="1">
      <alignment horizontal="left"/>
    </xf>
    <xf numFmtId="171" fontId="9" fillId="0" borderId="0" xfId="2" applyNumberFormat="1" applyFont="1" applyFill="1" applyAlignment="1">
      <alignment horizontal="left"/>
    </xf>
    <xf numFmtId="164" fontId="23" fillId="0" borderId="0" xfId="1" applyNumberFormat="1" applyFont="1" applyFill="1" applyAlignment="1">
      <alignment horizontal="left"/>
    </xf>
    <xf numFmtId="10" fontId="0" fillId="0" borderId="0" xfId="0" applyNumberFormat="1"/>
    <xf numFmtId="0" fontId="34" fillId="0" borderId="0" xfId="0" applyFont="1" applyAlignment="1">
      <alignment horizontal="left" wrapText="1" indent="1"/>
    </xf>
    <xf numFmtId="0" fontId="34" fillId="0" borderId="0" xfId="0" applyFont="1" applyAlignment="1">
      <alignment horizontal="left" wrapText="1" indent="2"/>
    </xf>
    <xf numFmtId="0" fontId="40" fillId="0" borderId="0" xfId="0" applyFont="1" applyAlignment="1">
      <alignment horizontal="left" wrapText="1" indent="2"/>
    </xf>
    <xf numFmtId="49" fontId="47" fillId="0" borderId="0" xfId="0" applyNumberFormat="1" applyFont="1"/>
    <xf numFmtId="49" fontId="47" fillId="0" borderId="0" xfId="0" applyNumberFormat="1" applyFont="1" applyAlignment="1"/>
    <xf numFmtId="49" fontId="48" fillId="0" borderId="0" xfId="0" applyNumberFormat="1" applyFont="1" applyAlignment="1"/>
    <xf numFmtId="49" fontId="49" fillId="0" borderId="0" xfId="0" applyNumberFormat="1" applyFont="1" applyAlignment="1">
      <alignment horizontal="left" vertical="center"/>
    </xf>
    <xf numFmtId="49" fontId="49" fillId="0" borderId="0" xfId="0" applyNumberFormat="1" applyFont="1" applyAlignment="1"/>
    <xf numFmtId="49" fontId="44" fillId="0" borderId="0" xfId="0" applyNumberFormat="1" applyFont="1" applyAlignment="1"/>
    <xf numFmtId="49" fontId="50" fillId="0" borderId="0" xfId="0" applyNumberFormat="1" applyFont="1" applyAlignment="1"/>
    <xf numFmtId="49" fontId="44" fillId="0" borderId="11" xfId="0" applyNumberFormat="1" applyFont="1" applyBorder="1" applyAlignment="1"/>
    <xf numFmtId="49" fontId="44" fillId="0" borderId="11" xfId="0" applyNumberFormat="1" applyFont="1" applyBorder="1" applyAlignment="1"/>
    <xf numFmtId="0" fontId="44" fillId="0" borderId="0" xfId="0" applyFont="1"/>
    <xf numFmtId="2" fontId="47" fillId="0" borderId="0" xfId="0" applyNumberFormat="1" applyFont="1"/>
    <xf numFmtId="49" fontId="51" fillId="19" borderId="0" xfId="0" applyNumberFormat="1" applyFont="1" applyFill="1" applyAlignment="1">
      <alignment wrapText="1"/>
    </xf>
    <xf numFmtId="0" fontId="0" fillId="19" borderId="0" xfId="0" applyFill="1"/>
    <xf numFmtId="49" fontId="52" fillId="19" borderId="0" xfId="0" applyNumberFormat="1" applyFont="1" applyFill="1" applyAlignment="1">
      <alignment wrapText="1"/>
    </xf>
  </cellXfs>
  <cellStyles count="28">
    <cellStyle name="_MWA RR_1-pager " xfId="3" xr:uid="{00000000-0005-0000-0000-000002000000}"/>
    <cellStyle name="_RRS1_1_1-pager " xfId="4" xr:uid="{00000000-0005-0000-0000-000004000000}"/>
    <cellStyle name="_RRS10_1_1-pager " xfId="5" xr:uid="{00000000-0005-0000-0000-000005000000}"/>
    <cellStyle name="_SUMMARY " xfId="6" xr:uid="{00000000-0005-0000-0000-000006000000}"/>
    <cellStyle name="_SUMMARY _1-pager " xfId="7" xr:uid="{00000000-0005-0000-0000-000008000000}"/>
    <cellStyle name="0_Capex &amp; Depreciation " xfId="8" xr:uid="{00000000-0005-0000-0000-000009000000}"/>
    <cellStyle name="0_Valuing BP " xfId="9" xr:uid="{00000000-0005-0000-0000-00000A000000}"/>
    <cellStyle name="c_HardInc " xfId="10" xr:uid="{00000000-0005-0000-0000-00000B000000}"/>
    <cellStyle name="Comma" xfId="2" builtinId="3"/>
    <cellStyle name="Comma 10 2 2 2" xfId="21" xr:uid="{00000000-0005-0000-0000-00000D000000}"/>
    <cellStyle name="Currency" xfId="18" builtinId="4"/>
    <cellStyle name="Currency 2 3" xfId="25" xr:uid="{C7A5AC2B-B5AB-46CE-B3DC-D147E517D789}"/>
    <cellStyle name="Heading 1 2 2" xfId="26" xr:uid="{FA383B16-1E9F-4823-A391-CED009BA5679}"/>
    <cellStyle name="Millares_2AV_M_M " xfId="11" xr:uid="{00000000-0005-0000-0000-000016000000}"/>
    <cellStyle name="Moneda [0]_2AV_M_M " xfId="12" xr:uid="{00000000-0005-0000-0000-000017000000}"/>
    <cellStyle name="MS Header 2" xfId="22" xr:uid="{1B548B87-3190-46D0-A260-8F3413CE8A6E}"/>
    <cellStyle name="Normal" xfId="0" builtinId="0" customBuiltin="1"/>
    <cellStyle name="Normal - Style1 17 2" xfId="19" xr:uid="{00000000-0005-0000-0000-000019000000}"/>
    <cellStyle name="Normal 2 2 2" xfId="24" xr:uid="{A1C84F1B-B8DD-4448-B507-45E1B154E030}"/>
    <cellStyle name="p " xfId="13" xr:uid="{00000000-0005-0000-0000-00001F000000}"/>
    <cellStyle name="Percent" xfId="1" builtinId="5"/>
    <cellStyle name="Percent 10 2 2" xfId="20" xr:uid="{00000000-0005-0000-0000-000021000000}"/>
    <cellStyle name="Percent 2 2" xfId="27" xr:uid="{E48F3D6B-708E-47F4-89E5-CD1F2D1B404E}"/>
    <cellStyle name="s_HardInc " xfId="14" xr:uid="{00000000-0005-0000-0000-000025000000}"/>
    <cellStyle name="s_Valuation " xfId="15" xr:uid="{00000000-0005-0000-0000-000026000000}"/>
    <cellStyle name="ssp " xfId="16" xr:uid="{00000000-0005-0000-0000-000027000000}"/>
    <cellStyle name="표준_0N-HANDLING " xfId="17" xr:uid="{00000000-0005-0000-0000-000028000000}"/>
    <cellStyle name="標準 2" xfId="23" xr:uid="{812BCE57-F48F-4701-B7E5-5907D0223B9F}"/>
  </cellStyles>
  <dxfs count="0"/>
  <tableStyles count="1" defaultTableStyle="TableStyleMedium2" defaultPivotStyle="PivotStyleLight16">
    <tableStyle name="Invisible" pivot="0" table="0" count="0" xr9:uid="{062BD534-A5AB-4577-9817-65AECFF2F448}"/>
  </tableStyles>
  <colors>
    <mruColors>
      <color rgb="FF006600"/>
      <color rgb="FF0000FF"/>
      <color rgb="FFFCD5B4"/>
      <color rgb="FFFF00FF"/>
      <color rgb="FFDCE6F1"/>
      <color rgb="FFFFFF99"/>
      <color rgb="FFFFFFCC"/>
      <color rgb="FF95B3D7"/>
      <color rgb="FFECF2F8"/>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media/image2.gif"/><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63500</xdr:colOff>
      <xdr:row>0</xdr:row>
      <xdr:rowOff>0</xdr:rowOff>
    </xdr:from>
    <xdr:to>
      <xdr:col>2</xdr:col>
      <xdr:colOff>406618</xdr:colOff>
      <xdr:row>1</xdr:row>
      <xdr:rowOff>41</xdr:rowOff>
    </xdr:to>
    <xdr:pic>
      <xdr:nvPicPr>
        <xdr:cNvPr id="3" name="Picture 2">
          <a:extLst>
            <a:ext uri="{FF2B5EF4-FFF2-40B4-BE49-F238E27FC236}">
              <a16:creationId xmlns:a16="http://schemas.microsoft.com/office/drawing/2014/main" id="{F1243807-05F8-3B36-43FB-96DD64491759}"/>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500" y="0"/>
          <a:ext cx="1562318" cy="295316"/>
        </a:xfrm>
        <a:prstGeom prst="rect">
          <a:avLst/>
        </a:prstGeom>
      </xdr:spPr>
    </xdr:pic>
    <xdr:clientData/>
  </xdr:twoCellAnchor>
  <xdr:twoCellAnchor editAs="oneCell">
    <xdr:from>
      <xdr:col>0</xdr:col>
      <xdr:colOff>127000</xdr:colOff>
      <xdr:row>181</xdr:row>
      <xdr:rowOff>0</xdr:rowOff>
    </xdr:from>
    <xdr:to>
      <xdr:col>10</xdr:col>
      <xdr:colOff>527050</xdr:colOff>
      <xdr:row>201</xdr:row>
      <xdr:rowOff>152400</xdr:rowOff>
    </xdr:to>
    <xdr:pic>
      <xdr:nvPicPr>
        <xdr:cNvPr id="5" name="Picture 4">
          <a:extLst>
            <a:ext uri="{FF2B5EF4-FFF2-40B4-BE49-F238E27FC236}">
              <a16:creationId xmlns:a16="http://schemas.microsoft.com/office/drawing/2014/main" id="{4909A61E-04FA-43E3-0C72-DC5DE4C06DB0}"/>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27000" y="34661475"/>
          <a:ext cx="6496050" cy="39624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Msad.ms.com\root\AERO\A&amp;D%20MODELS\SPCE.Model.2022.10Q.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L:\EQUIP\MULTI\AME\AME%20Variance%20Tabs.xlsx" TargetMode="External"/><Relationship Id="rId1" Type="http://schemas.microsoft.com/office/2006/relationships/xlExternalLinkPath/xlStartup" Target="EQUIP/MULTI/AME/AME%20Variance%20Tab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__FDSCACHE__"/>
      <sheetName val="MW-Cache"/>
      <sheetName val="New DCF"/>
      <sheetName val="Cover"/>
      <sheetName val="Variance"/>
      <sheetName val="Consensus"/>
      <sheetName val="Model Change Summary"/>
      <sheetName val="Valuation"/>
      <sheetName val="Model"/>
      <sheetName val="AJ Notes"/>
      <sheetName val="Charts"/>
      <sheetName val="NOL and D&amp;A"/>
      <sheetName val="DCF (Phase 1 &amp; 2)"/>
      <sheetName val="DCF (Phase 3)"/>
      <sheetName val="Bull &amp; Base"/>
      <sheetName val="VG vs. MSe"/>
      <sheetName val="VG Phase 3 Metrics"/>
      <sheetName val="Old Variance"/>
      <sheetName val="MW GEG"/>
      <sheetName val="mwareDates"/>
      <sheetName val="mwareSettings"/>
      <sheetName val="__APW_ACTIVE_FIELD_RESTORE__"/>
      <sheetName val="SPCE.Model.2022.10Q"/>
    </sheetNames>
    <definedNames>
      <definedName name="_dcf1"/>
      <definedName name="assum1"/>
      <definedName name="assum2"/>
      <definedName name="bal"/>
      <definedName name="Cash" refersTo="#REF!"/>
      <definedName name="dcf"/>
      <definedName name="INC"/>
      <definedName name="int"/>
      <definedName name="val"/>
      <definedName name="XRange"/>
    </definedNames>
    <sheetDataSet>
      <sheetData sheetId="0"/>
      <sheetData sheetId="1"/>
      <sheetData sheetId="2"/>
      <sheetData sheetId="3"/>
      <sheetData sheetId="4"/>
      <sheetData sheetId="5"/>
      <sheetData sheetId="6"/>
      <sheetData sheetId="7"/>
      <sheetData sheetId="8">
        <row r="2">
          <cell r="X2">
            <v>2021</v>
          </cell>
        </row>
      </sheetData>
      <sheetData sheetId="9"/>
      <sheetData sheetId="10"/>
      <sheetData sheetId="11"/>
      <sheetData sheetId="12"/>
      <sheetData sheetId="13"/>
      <sheetData sheetId="14"/>
      <sheetData sheetId="15"/>
      <sheetData sheetId="16"/>
      <sheetData sheetId="17"/>
      <sheetData sheetId="18">
        <row r="14">
          <cell r="J14">
            <v>0</v>
          </cell>
        </row>
      </sheetData>
      <sheetData sheetId="19"/>
      <sheetData sheetId="20"/>
      <sheetData sheetId="21"/>
      <sheetData sheetId="2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3Q23"/>
      <sheetName val="2Q23"/>
      <sheetName val="1Q23"/>
      <sheetName val="4Q22 (VA Formulas)"/>
      <sheetName val="3Q22 (VA Formulas)"/>
      <sheetName val="3Q22"/>
      <sheetName val="2Q22"/>
      <sheetName val="1Q22"/>
      <sheetName val="3Q21"/>
      <sheetName val="4Q21"/>
      <sheetName val="2Q21"/>
      <sheetName val="1Q21"/>
      <sheetName val="4Q20"/>
      <sheetName val="3Q20"/>
      <sheetName val="2Q20"/>
      <sheetName val="1Q20"/>
      <sheetName val="4Q19"/>
      <sheetName val="4Q18"/>
      <sheetName val="3Q19"/>
      <sheetName val="2Q19"/>
    </sheetNames>
    <sheetDataSet>
      <sheetData sheetId="0"/>
      <sheetData sheetId="1"/>
      <sheetData sheetId="2">
        <row r="51">
          <cell r="B51" t="str">
            <v>2023 Guidance</v>
          </cell>
        </row>
      </sheetData>
      <sheetData sheetId="3">
        <row r="51">
          <cell r="B51" t="str">
            <v>2023 Guidance</v>
          </cell>
        </row>
      </sheetData>
      <sheetData sheetId="4"/>
      <sheetData sheetId="5">
        <row r="51">
          <cell r="B51" t="str">
            <v>2022 Guidance</v>
          </cell>
        </row>
      </sheetData>
      <sheetData sheetId="6"/>
      <sheetData sheetId="7">
        <row r="21">
          <cell r="V21" t="str">
            <v>#Calc</v>
          </cell>
        </row>
      </sheetData>
      <sheetData sheetId="8"/>
      <sheetData sheetId="9"/>
      <sheetData sheetId="10"/>
      <sheetData sheetId="11"/>
      <sheetData sheetId="12">
        <row r="2">
          <cell r="B2"/>
        </row>
        <row r="3">
          <cell r="B3" t="str">
            <v>Ametek</v>
          </cell>
          <cell r="C3" t="str">
            <v>4Q20A</v>
          </cell>
          <cell r="D3" t="str">
            <v>4Q20E</v>
          </cell>
          <cell r="E3" t="str">
            <v>VAR</v>
          </cell>
          <cell r="F3" t="str">
            <v>4Q19A</v>
          </cell>
          <cell r="G3" t="str">
            <v>CHG</v>
          </cell>
          <cell r="H3"/>
          <cell r="I3"/>
          <cell r="J3"/>
        </row>
        <row r="4">
          <cell r="B4" t="str">
            <v>Revenue</v>
          </cell>
          <cell r="C4">
            <v>1198.9469999999999</v>
          </cell>
          <cell r="D4">
            <v>1196.0161900000001</v>
          </cell>
          <cell r="E4">
            <v>2.4504768618556216E-3</v>
          </cell>
          <cell r="F4">
            <v>1304.8209999999999</v>
          </cell>
          <cell r="G4">
            <v>-8.1140631550227993E-2</v>
          </cell>
          <cell r="H4"/>
          <cell r="I4"/>
          <cell r="J4"/>
        </row>
        <row r="5">
          <cell r="B5" t="str">
            <v>Gross Profit</v>
          </cell>
          <cell r="C5">
            <v>455.97899999999993</v>
          </cell>
          <cell r="D5">
            <v>440.74653002331718</v>
          </cell>
          <cell r="E5">
            <v>3.4560612368013111E-2</v>
          </cell>
          <cell r="F5">
            <v>473.64599999999996</v>
          </cell>
          <cell r="G5">
            <v>-3.7300008867382051E-2</v>
          </cell>
          <cell r="H5"/>
          <cell r="I5"/>
          <cell r="J5"/>
        </row>
        <row r="6">
          <cell r="B6" t="str">
            <v>SG &amp; A Expense</v>
          </cell>
          <cell r="C6">
            <v>130.86600000000001</v>
          </cell>
          <cell r="D6">
            <v>133.1529435533171</v>
          </cell>
          <cell r="E6">
            <v>-1.7175313532602043E-2</v>
          </cell>
          <cell r="F6">
            <v>148.99100000000001</v>
          </cell>
          <cell r="G6">
            <v>-0.12165164338785561</v>
          </cell>
          <cell r="H6"/>
          <cell r="I6" t="str">
            <v>EPS Walk - MS vs. AME</v>
          </cell>
          <cell r="J6"/>
        </row>
        <row r="7">
          <cell r="B7" t="str">
            <v>Operating Income incl. Amort</v>
          </cell>
          <cell r="C7">
            <v>298.11299999999994</v>
          </cell>
          <cell r="D7">
            <v>280.59358646999999</v>
          </cell>
          <cell r="E7">
            <v>6.2436970674926817E-2</v>
          </cell>
          <cell r="F7">
            <v>297.65499999999997</v>
          </cell>
          <cell r="G7">
            <v>1.5386941257495845E-3</v>
          </cell>
          <cell r="H7"/>
          <cell r="I7" t="str">
            <v>Operating</v>
          </cell>
          <cell r="J7">
            <v>6.2066530262680206E-2</v>
          </cell>
        </row>
        <row r="8">
          <cell r="B8" t="str">
            <v>Pretax Income ex. Amort</v>
          </cell>
          <cell r="C8">
            <v>316.12829999999997</v>
          </cell>
          <cell r="D8">
            <v>294.39293647000011</v>
          </cell>
          <cell r="E8">
            <v>7.3831131244600279E-2</v>
          </cell>
          <cell r="F8">
            <v>304.78095999999994</v>
          </cell>
          <cell r="G8">
            <v>3.7231131498503212E-2</v>
          </cell>
          <cell r="H8"/>
          <cell r="I8" t="str">
            <v>Interest</v>
          </cell>
          <cell r="J8">
            <v>1.631373455456666E-2</v>
          </cell>
        </row>
        <row r="9">
          <cell r="B9" t="str">
            <v>Adj. Net Income</v>
          </cell>
          <cell r="C9">
            <v>250.17069999999995</v>
          </cell>
          <cell r="D9">
            <v>241.40220790539999</v>
          </cell>
          <cell r="E9">
            <v>3.6323164442788158E-2</v>
          </cell>
          <cell r="F9">
            <v>248.37771999999993</v>
          </cell>
          <cell r="G9">
            <v>7.218763422097707E-3</v>
          </cell>
          <cell r="H9"/>
          <cell r="I9" t="str">
            <v>Other/Amort Adjustment</v>
          </cell>
          <cell r="J9">
            <v>-1.3777672167977677E-3</v>
          </cell>
        </row>
        <row r="10">
          <cell r="B10" t="str">
            <v>Adj. EPS</v>
          </cell>
          <cell r="C10">
            <v>1.0788334986415973</v>
          </cell>
          <cell r="D10">
            <v>1.042954324312624</v>
          </cell>
          <cell r="E10">
            <v>3.4401481917839538E-2</v>
          </cell>
          <cell r="F10">
            <v>1.0798749597836574</v>
          </cell>
          <cell r="G10">
            <v>-9.6442753174752482E-4</v>
          </cell>
          <cell r="H10"/>
          <cell r="I10" t="str">
            <v>Tax</v>
          </cell>
          <cell r="J10">
            <v>-3.6429467384489662E-2</v>
          </cell>
        </row>
        <row r="11">
          <cell r="B11" t="str">
            <v>SHO</v>
          </cell>
          <cell r="C11">
            <v>231.89</v>
          </cell>
          <cell r="D11">
            <v>231.46</v>
          </cell>
          <cell r="E11">
            <v>1.8577724012787122E-3</v>
          </cell>
          <cell r="F11">
            <v>230.006</v>
          </cell>
          <cell r="G11">
            <v>8.1910906672000294E-3</v>
          </cell>
          <cell r="H11"/>
          <cell r="I11" t="str">
            <v>Shares</v>
          </cell>
          <cell r="J11">
            <v>-1.9339788669385793E-3</v>
          </cell>
        </row>
        <row r="12">
          <cell r="B12"/>
          <cell r="C12"/>
          <cell r="D12"/>
          <cell r="E12"/>
          <cell r="F12"/>
          <cell r="G12"/>
          <cell r="H12"/>
          <cell r="I12"/>
          <cell r="J12"/>
        </row>
        <row r="13">
          <cell r="B13" t="str">
            <v>Gross Profit Margin</v>
          </cell>
          <cell r="C13">
            <v>0.38031622748962213</v>
          </cell>
          <cell r="D13">
            <v>0.3685121770996404</v>
          </cell>
          <cell r="E13">
            <v>118</v>
          </cell>
          <cell r="F13">
            <v>0.36299691681847546</v>
          </cell>
          <cell r="G13">
            <v>173</v>
          </cell>
          <cell r="H13"/>
          <cell r="I13"/>
          <cell r="J13"/>
        </row>
        <row r="14">
          <cell r="B14" t="str">
            <v>Operating Margin</v>
          </cell>
          <cell r="C14">
            <v>0.24864568658998268</v>
          </cell>
          <cell r="D14">
            <v>0.2346068463086608</v>
          </cell>
          <cell r="E14">
            <v>140</v>
          </cell>
          <cell r="F14">
            <v>0.22811941254777474</v>
          </cell>
          <cell r="G14">
            <v>205</v>
          </cell>
          <cell r="H14"/>
          <cell r="I14"/>
          <cell r="J14"/>
        </row>
        <row r="15">
          <cell r="B15" t="str">
            <v>Tax Rate</v>
          </cell>
          <cell r="C15">
            <v>0.20864187103780335</v>
          </cell>
          <cell r="D15">
            <v>0.18</v>
          </cell>
          <cell r="E15">
            <v>286</v>
          </cell>
          <cell r="F15">
            <v>0.18506156027594381</v>
          </cell>
          <cell r="G15">
            <v>236</v>
          </cell>
          <cell r="H15"/>
          <cell r="I15"/>
          <cell r="J15"/>
        </row>
        <row r="16">
          <cell r="B16" t="str">
            <v>Net Margin</v>
          </cell>
          <cell r="C16">
            <v>0.20865868132619705</v>
          </cell>
          <cell r="D16">
            <v>0.2018385787113802</v>
          </cell>
          <cell r="E16">
            <v>68</v>
          </cell>
          <cell r="F16">
            <v>0.1903538646297078</v>
          </cell>
          <cell r="G16">
            <v>183</v>
          </cell>
          <cell r="H16"/>
          <cell r="I16"/>
          <cell r="J16"/>
        </row>
        <row r="17">
          <cell r="B17"/>
          <cell r="C17"/>
          <cell r="D17"/>
          <cell r="E17"/>
          <cell r="F17"/>
          <cell r="G17"/>
          <cell r="H17"/>
          <cell r="I17"/>
          <cell r="J17"/>
        </row>
        <row r="18">
          <cell r="B18" t="str">
            <v>Sales</v>
          </cell>
          <cell r="C18"/>
          <cell r="D18"/>
          <cell r="E18"/>
          <cell r="F18"/>
          <cell r="G18"/>
          <cell r="H18"/>
          <cell r="I18"/>
          <cell r="J18"/>
        </row>
        <row r="19">
          <cell r="B19" t="str">
            <v>Electronic Instruments</v>
          </cell>
          <cell r="C19">
            <v>819.44899999999996</v>
          </cell>
          <cell r="D19">
            <v>823.35219000000006</v>
          </cell>
          <cell r="E19">
            <v>-4.7406080258316496E-3</v>
          </cell>
          <cell r="F19">
            <v>880.17100000000005</v>
          </cell>
          <cell r="G19">
            <v>-6.8988866936084081E-2</v>
          </cell>
          <cell r="H19"/>
          <cell r="I19"/>
          <cell r="J19"/>
        </row>
        <row r="20">
          <cell r="B20" t="str">
            <v>Electromechanical</v>
          </cell>
          <cell r="C20">
            <v>379.49799999999999</v>
          </cell>
          <cell r="D20">
            <v>372.66399999999999</v>
          </cell>
          <cell r="E20">
            <v>1.8338234978425572E-2</v>
          </cell>
          <cell r="F20">
            <v>424.65</v>
          </cell>
          <cell r="G20">
            <v>-0.10632756387613329</v>
          </cell>
          <cell r="H20"/>
          <cell r="I20"/>
          <cell r="J20"/>
        </row>
        <row r="21">
          <cell r="B21" t="str">
            <v>Total Sales</v>
          </cell>
          <cell r="C21">
            <v>1198.9469999999999</v>
          </cell>
          <cell r="D21">
            <v>1196.0161900000001</v>
          </cell>
          <cell r="E21">
            <v>2.4504768618556216E-3</v>
          </cell>
          <cell r="F21">
            <v>1304.8209999999999</v>
          </cell>
          <cell r="G21">
            <v>-8.1140631550227993E-2</v>
          </cell>
          <cell r="H21"/>
          <cell r="I21"/>
          <cell r="J21"/>
        </row>
        <row r="22">
          <cell r="B22"/>
          <cell r="C22"/>
          <cell r="D22"/>
          <cell r="E22"/>
          <cell r="F22"/>
          <cell r="G22"/>
          <cell r="H22"/>
          <cell r="I22"/>
          <cell r="J22"/>
        </row>
        <row r="23">
          <cell r="B23" t="str">
            <v>Core Sales Growth</v>
          </cell>
          <cell r="C23">
            <v>-6.754998578349064E-2</v>
          </cell>
          <cell r="D23">
            <v>-8.7218714291078886E-2</v>
          </cell>
          <cell r="E23">
            <v>197</v>
          </cell>
          <cell r="F23">
            <v>-1.6538016939767076E-2</v>
          </cell>
          <cell r="G23">
            <v>-510</v>
          </cell>
          <cell r="H23"/>
          <cell r="I23"/>
          <cell r="J23"/>
        </row>
        <row r="24">
          <cell r="B24" t="str">
            <v>Electronic Instruments</v>
          </cell>
          <cell r="C24">
            <v>-7.9439438472751478E-2</v>
          </cell>
          <cell r="D24">
            <v>-0.11</v>
          </cell>
          <cell r="E24">
            <v>306</v>
          </cell>
          <cell r="F24">
            <v>0</v>
          </cell>
          <cell r="G24">
            <v>-794</v>
          </cell>
          <cell r="H24"/>
          <cell r="I24"/>
          <cell r="J24"/>
        </row>
        <row r="25">
          <cell r="B25" t="str">
            <v>Electromechanical</v>
          </cell>
          <cell r="C25">
            <v>-4.2906746732603307E-2</v>
          </cell>
          <cell r="D25">
            <v>-0.04</v>
          </cell>
          <cell r="E25">
            <v>-29</v>
          </cell>
          <cell r="F25">
            <v>-0.04</v>
          </cell>
          <cell r="G25">
            <v>-29</v>
          </cell>
          <cell r="H25"/>
          <cell r="I25"/>
          <cell r="J25"/>
        </row>
        <row r="26">
          <cell r="B26"/>
          <cell r="C26"/>
          <cell r="D26"/>
          <cell r="E26"/>
          <cell r="F26"/>
          <cell r="G26"/>
          <cell r="H26"/>
          <cell r="I26"/>
          <cell r="J26"/>
        </row>
        <row r="27">
          <cell r="B27" t="str">
            <v>Operating Profit</v>
          </cell>
          <cell r="C27"/>
          <cell r="D27"/>
          <cell r="E27"/>
          <cell r="F27"/>
          <cell r="G27"/>
          <cell r="H27"/>
          <cell r="I27" t="str">
            <v>Segment Walk - MS vs. AME</v>
          </cell>
          <cell r="J27"/>
        </row>
        <row r="28">
          <cell r="B28" t="str">
            <v>Electronic Instruments</v>
          </cell>
          <cell r="C28">
            <v>236.00700000000001</v>
          </cell>
          <cell r="D28">
            <v>221.15660647000001</v>
          </cell>
          <cell r="E28">
            <v>6.7148767414345611E-2</v>
          </cell>
          <cell r="F28">
            <v>229.85900000000001</v>
          </cell>
          <cell r="G28">
            <v>2.6746831753379219E-2</v>
          </cell>
          <cell r="H28"/>
          <cell r="I28" t="str">
            <v>EIG</v>
          </cell>
          <cell r="J28">
            <v>5.2610916333707743E-2</v>
          </cell>
        </row>
        <row r="29">
          <cell r="B29" t="str">
            <v>Electromechanical</v>
          </cell>
          <cell r="C29">
            <v>79.808000000000007</v>
          </cell>
          <cell r="D29">
            <v>76.579100000000011</v>
          </cell>
          <cell r="E29">
            <v>4.2164245858204108E-2</v>
          </cell>
          <cell r="F29">
            <v>84.602000000000004</v>
          </cell>
          <cell r="G29">
            <v>-5.6665327060825943E-2</v>
          </cell>
          <cell r="H29"/>
          <cell r="I29" t="str">
            <v>EMG</v>
          </cell>
          <cell r="J29">
            <v>1.143911691004924E-2</v>
          </cell>
        </row>
        <row r="30">
          <cell r="B30" t="str">
            <v>Corporate</v>
          </cell>
          <cell r="C30">
            <v>-17.702000000000002</v>
          </cell>
          <cell r="D30">
            <v>-17.142119999999998</v>
          </cell>
          <cell r="E30">
            <v>3.2661071092723759E-2</v>
          </cell>
          <cell r="F30">
            <v>-16.806000000000001</v>
          </cell>
          <cell r="G30">
            <v>5.3314292514578199E-2</v>
          </cell>
          <cell r="H30"/>
          <cell r="I30" t="str">
            <v>Corporate</v>
          </cell>
          <cell r="J30">
            <v>-1.9835029810766555E-3</v>
          </cell>
        </row>
        <row r="31">
          <cell r="B31" t="str">
            <v>Total Operating Profit</v>
          </cell>
          <cell r="C31">
            <v>298.11299999999994</v>
          </cell>
          <cell r="D31">
            <v>280.59358646999999</v>
          </cell>
          <cell r="E31">
            <v>6.2436970674926817E-2</v>
          </cell>
          <cell r="F31">
            <v>297.65499999999997</v>
          </cell>
          <cell r="G31">
            <v>1.5386941257495845E-3</v>
          </cell>
          <cell r="H31"/>
          <cell r="I31"/>
          <cell r="J31"/>
        </row>
        <row r="32">
          <cell r="B32"/>
          <cell r="C32"/>
          <cell r="D32"/>
          <cell r="E32"/>
          <cell r="F32"/>
          <cell r="G32"/>
          <cell r="H32"/>
          <cell r="I32"/>
          <cell r="J32"/>
        </row>
        <row r="33">
          <cell r="B33" t="str">
            <v>Operating Margins</v>
          </cell>
          <cell r="C33"/>
          <cell r="D33"/>
          <cell r="E33"/>
          <cell r="F33"/>
          <cell r="G33"/>
          <cell r="H33"/>
          <cell r="I33"/>
          <cell r="J33"/>
        </row>
        <row r="34">
          <cell r="B34" t="str">
            <v>Electronic Instruments</v>
          </cell>
          <cell r="C34">
            <v>0.28800694124954695</v>
          </cell>
          <cell r="D34">
            <v>0.26860511110075508</v>
          </cell>
          <cell r="E34">
            <v>194</v>
          </cell>
          <cell r="F34">
            <v>0.26115266238037838</v>
          </cell>
          <cell r="G34">
            <v>269</v>
          </cell>
          <cell r="H34"/>
          <cell r="I34"/>
          <cell r="J34"/>
        </row>
        <row r="35">
          <cell r="B35" t="str">
            <v>Electromechanical</v>
          </cell>
          <cell r="C35">
            <v>0.21029886850523588</v>
          </cell>
          <cell r="D35">
            <v>0.20549100530236361</v>
          </cell>
          <cell r="E35">
            <v>48</v>
          </cell>
          <cell r="F35">
            <v>0.19922759919934066</v>
          </cell>
          <cell r="G35">
            <v>111</v>
          </cell>
          <cell r="H35"/>
          <cell r="I35"/>
          <cell r="J35"/>
        </row>
        <row r="36">
          <cell r="B36" t="str">
            <v>Total Operating Margins</v>
          </cell>
          <cell r="C36">
            <v>0.24864568658998268</v>
          </cell>
          <cell r="D36">
            <v>0.2346068463086608</v>
          </cell>
          <cell r="E36">
            <v>140</v>
          </cell>
          <cell r="F36">
            <v>0.22811941254777474</v>
          </cell>
          <cell r="G36">
            <v>205</v>
          </cell>
          <cell r="H36"/>
          <cell r="I36"/>
          <cell r="J36"/>
        </row>
        <row r="37">
          <cell r="B37"/>
          <cell r="C37"/>
          <cell r="D37"/>
          <cell r="E37"/>
          <cell r="F37"/>
          <cell r="G37"/>
          <cell r="H37"/>
          <cell r="I37"/>
          <cell r="J37"/>
        </row>
        <row r="38">
          <cell r="B38" t="str">
            <v>Interest Expense</v>
          </cell>
          <cell r="C38">
            <v>19.465</v>
          </cell>
          <cell r="D38">
            <v>24.069849999999999</v>
          </cell>
          <cell r="E38">
            <v>-0.19131195250489719</v>
          </cell>
          <cell r="F38">
            <v>23.045000000000002</v>
          </cell>
          <cell r="G38">
            <v>-0.15534823172054679</v>
          </cell>
          <cell r="H38"/>
          <cell r="I38"/>
          <cell r="J38"/>
        </row>
        <row r="39">
          <cell r="B39" t="str">
            <v>Other (Income) Expense</v>
          </cell>
          <cell r="C39">
            <v>-37.4803</v>
          </cell>
          <cell r="D39">
            <v>-37.869200000000014</v>
          </cell>
          <cell r="E39">
            <v>-1.0269559430883479E-2</v>
          </cell>
          <cell r="F39">
            <v>-30.170960000000004</v>
          </cell>
          <cell r="G39">
            <v>0.24226408440434088</v>
          </cell>
          <cell r="H39"/>
        </row>
        <row r="40">
          <cell r="B40"/>
          <cell r="C40"/>
          <cell r="D40"/>
          <cell r="E40"/>
          <cell r="F40"/>
          <cell r="G40"/>
          <cell r="H40"/>
        </row>
        <row r="41">
          <cell r="B41" t="str">
            <v>Cash</v>
          </cell>
          <cell r="C41">
            <v>1212.8219999999999</v>
          </cell>
          <cell r="D41">
            <v>1378.267807005398</v>
          </cell>
          <cell r="E41">
            <v>-0.12003894030207884</v>
          </cell>
          <cell r="F41">
            <v>393.03</v>
          </cell>
          <cell r="G41">
            <v>2.0858255095030911</v>
          </cell>
          <cell r="H41"/>
        </row>
        <row r="42">
          <cell r="B42" t="str">
            <v>Current Assets</v>
          </cell>
          <cell r="C42">
            <v>2522.4699999999998</v>
          </cell>
          <cell r="D42">
            <v>2775.8126079053968</v>
          </cell>
          <cell r="E42">
            <v>-9.1267907345001564E-2</v>
          </cell>
          <cell r="F42">
            <v>2025.771</v>
          </cell>
          <cell r="G42">
            <v>0.24519010292871202</v>
          </cell>
          <cell r="H42"/>
        </row>
        <row r="43">
          <cell r="B43" t="str">
            <v>Total Assets</v>
          </cell>
          <cell r="C43">
            <v>10357.483</v>
          </cell>
          <cell r="D43">
            <v>10509.979407905401</v>
          </cell>
          <cell r="E43">
            <v>-1.4509677135113641E-2</v>
          </cell>
          <cell r="F43">
            <v>9844.5590000000011</v>
          </cell>
          <cell r="G43">
            <v>5.2102283098714564E-2</v>
          </cell>
          <cell r="H43"/>
        </row>
        <row r="44">
          <cell r="B44" t="str">
            <v>Short-Term Debt</v>
          </cell>
          <cell r="C44">
            <v>132.28399999999999</v>
          </cell>
          <cell r="D44">
            <v>505.03</v>
          </cell>
          <cell r="E44">
            <v>-0.73806704552204816</v>
          </cell>
          <cell r="F44">
            <v>497.44900000000001</v>
          </cell>
          <cell r="G44">
            <v>-0.73407525193537437</v>
          </cell>
          <cell r="H44"/>
        </row>
        <row r="45">
          <cell r="B45" t="str">
            <v>Current Liabilities</v>
          </cell>
          <cell r="C45">
            <v>1075.915</v>
          </cell>
          <cell r="D45">
            <v>1403.4939999999999</v>
          </cell>
          <cell r="E45">
            <v>-0.23340249406125002</v>
          </cell>
          <cell r="F45">
            <v>1425.8579999999999</v>
          </cell>
          <cell r="G45">
            <v>-0.24542626264326461</v>
          </cell>
          <cell r="H45"/>
        </row>
        <row r="46">
          <cell r="B46" t="str">
            <v>Long-Term Debt</v>
          </cell>
          <cell r="C46">
            <v>2281.4409999999998</v>
          </cell>
          <cell r="D46">
            <v>2195.81</v>
          </cell>
          <cell r="E46">
            <v>3.8997454242397867E-2</v>
          </cell>
          <cell r="F46">
            <v>2271.2919999999999</v>
          </cell>
          <cell r="G46">
            <v>4.4683818725201885E-3</v>
          </cell>
          <cell r="H46"/>
        </row>
        <row r="47">
          <cell r="B47" t="str">
            <v>Equity</v>
          </cell>
          <cell r="C47">
            <v>5949.3459999999995</v>
          </cell>
          <cell r="D47">
            <v>5880.7854079053996</v>
          </cell>
          <cell r="E47">
            <v>1.1658407396133885E-2</v>
          </cell>
          <cell r="F47">
            <v>5115.4920000000002</v>
          </cell>
          <cell r="G47">
            <v>0.16300563073893959</v>
          </cell>
          <cell r="H47"/>
          <cell r="I47"/>
          <cell r="J47"/>
        </row>
        <row r="48">
          <cell r="B48" t="str">
            <v>Per Share</v>
          </cell>
          <cell r="C48">
            <v>25.655897192634438</v>
          </cell>
          <cell r="D48">
            <v>25.407350764302251</v>
          </cell>
          <cell r="E48">
            <v>9.7824614080346262E-3</v>
          </cell>
          <cell r="F48">
            <v>22.240689373320699</v>
          </cell>
          <cell r="G48">
            <v>0.15355674286834509</v>
          </cell>
          <cell r="H48"/>
          <cell r="I48"/>
          <cell r="J48"/>
        </row>
        <row r="49">
          <cell r="B49"/>
          <cell r="C49"/>
          <cell r="D49"/>
          <cell r="E49"/>
          <cell r="F49"/>
          <cell r="G49"/>
          <cell r="H49"/>
          <cell r="I49"/>
          <cell r="J49"/>
        </row>
        <row r="50">
          <cell r="B50" t="str">
            <v>Free Cash Flow</v>
          </cell>
          <cell r="C50">
            <v>348.9</v>
          </cell>
          <cell r="D50">
            <v>299.553</v>
          </cell>
          <cell r="E50">
            <v>0.16473545582918536</v>
          </cell>
          <cell r="F50">
            <v>301.38699999999983</v>
          </cell>
          <cell r="G50">
            <v>0.15764780829962866</v>
          </cell>
          <cell r="H50"/>
          <cell r="I50"/>
          <cell r="J50"/>
        </row>
        <row r="51">
          <cell r="B51"/>
          <cell r="H51"/>
          <cell r="I51"/>
          <cell r="J51"/>
        </row>
      </sheetData>
      <sheetData sheetId="13"/>
      <sheetData sheetId="14"/>
      <sheetData sheetId="15"/>
      <sheetData sheetId="16"/>
      <sheetData sheetId="17">
        <row r="3">
          <cell r="A3" t="str">
            <v>Ametek</v>
          </cell>
          <cell r="B3" t="str">
            <v>4q18A</v>
          </cell>
          <cell r="C3" t="str">
            <v>4q18</v>
          </cell>
          <cell r="D3" t="str">
            <v>VAR</v>
          </cell>
          <cell r="E3" t="str">
            <v>4q17A</v>
          </cell>
          <cell r="F3" t="str">
            <v>CHG</v>
          </cell>
          <cell r="G3"/>
          <cell r="H3"/>
          <cell r="I3"/>
        </row>
        <row r="4">
          <cell r="A4" t="str">
            <v>Revenue</v>
          </cell>
          <cell r="B4">
            <v>1271.328</v>
          </cell>
          <cell r="C4">
            <v>1266.6248970966019</v>
          </cell>
          <cell r="D4">
            <v>3.713098419412697E-3</v>
          </cell>
          <cell r="E4">
            <v>1143.085</v>
          </cell>
          <cell r="F4">
            <v>0.11219025706749708</v>
          </cell>
          <cell r="G4"/>
          <cell r="H4"/>
          <cell r="I4"/>
        </row>
        <row r="5">
          <cell r="A5" t="str">
            <v>Gross Profit</v>
          </cell>
          <cell r="B5">
            <v>436.05999999999995</v>
          </cell>
          <cell r="C5">
            <v>445.72164512248429</v>
          </cell>
          <cell r="D5">
            <v>-2.1676409993123258E-2</v>
          </cell>
          <cell r="E5">
            <v>411.53200000000015</v>
          </cell>
          <cell r="F5">
            <v>5.9601683465683841E-2</v>
          </cell>
          <cell r="G5"/>
          <cell r="H5"/>
          <cell r="I5"/>
        </row>
        <row r="6">
          <cell r="A6" t="str">
            <v>SG &amp; A Expense</v>
          </cell>
          <cell r="B6">
            <v>154.04</v>
          </cell>
          <cell r="C6">
            <v>156.75505994100871</v>
          </cell>
          <cell r="D6">
            <v>-1.7320397453392977E-2</v>
          </cell>
          <cell r="E6">
            <v>141.46600000000001</v>
          </cell>
          <cell r="F6">
            <v>8.8883547990329603E-2</v>
          </cell>
          <cell r="G6"/>
          <cell r="H6" t="str">
            <v>EPS Walk - MS vs. AME</v>
          </cell>
          <cell r="I6"/>
        </row>
        <row r="7">
          <cell r="A7" t="str">
            <v>Operating Income</v>
          </cell>
          <cell r="B7">
            <v>282.02</v>
          </cell>
          <cell r="C7">
            <v>269.26658518147559</v>
          </cell>
          <cell r="D7">
            <v>4.7363525667059925E-2</v>
          </cell>
          <cell r="E7">
            <v>251.36600000000016</v>
          </cell>
          <cell r="F7">
            <v>0.12194966701940513</v>
          </cell>
          <cell r="G7"/>
          <cell r="H7" t="str">
            <v>Operating</v>
          </cell>
          <cell r="I7">
            <v>4.210130508151675E-2</v>
          </cell>
        </row>
        <row r="8">
          <cell r="A8" t="str">
            <v>Pretax Income</v>
          </cell>
          <cell r="B8">
            <v>258.77</v>
          </cell>
          <cell r="C8">
            <v>251.44218830647571</v>
          </cell>
          <cell r="D8">
            <v>2.914312726467605E-2</v>
          </cell>
          <cell r="E8">
            <v>219.31100000000015</v>
          </cell>
          <cell r="F8">
            <v>0.1799225757029963</v>
          </cell>
          <cell r="G8"/>
          <cell r="H8" t="str">
            <v>Interest</v>
          </cell>
          <cell r="I8">
            <v>-8.2351314308681586E-3</v>
          </cell>
        </row>
        <row r="9">
          <cell r="A9" t="str">
            <v>Net Income</v>
          </cell>
          <cell r="B9">
            <v>211.52</v>
          </cell>
          <cell r="C9">
            <v>193.6104849959863</v>
          </cell>
          <cell r="D9">
            <v>9.2502815663030757E-2</v>
          </cell>
          <cell r="E9">
            <v>163.02200000000013</v>
          </cell>
          <cell r="F9">
            <v>0.29749358982223151</v>
          </cell>
          <cell r="G9"/>
          <cell r="H9" t="str">
            <v>Other</v>
          </cell>
          <cell r="I9">
            <v>-9.6757556270096468E-3</v>
          </cell>
        </row>
        <row r="10">
          <cell r="A10" t="str">
            <v>EPS</v>
          </cell>
          <cell r="B10">
            <v>0.91435290252579615</v>
          </cell>
          <cell r="C10">
            <v>0.83005566986489288</v>
          </cell>
          <cell r="D10">
            <v>0.1015561193318808</v>
          </cell>
          <cell r="E10">
            <v>0.7010673707930889</v>
          </cell>
          <cell r="F10">
            <v>0.30422972258918013</v>
          </cell>
          <cell r="G10"/>
          <cell r="H10" t="str">
            <v>Tax</v>
          </cell>
          <cell r="I10">
            <v>5.1102773951092487E-2</v>
          </cell>
        </row>
        <row r="11">
          <cell r="A11" t="str">
            <v>SHO</v>
          </cell>
          <cell r="B11">
            <v>231.333</v>
          </cell>
          <cell r="C11">
            <v>233.25</v>
          </cell>
          <cell r="D11">
            <v>-8.2186495176849172E-3</v>
          </cell>
          <cell r="E11">
            <v>232.53399999999999</v>
          </cell>
          <cell r="F11">
            <v>-5.1648361099881912E-3</v>
          </cell>
          <cell r="G11"/>
          <cell r="H11" t="str">
            <v>Shares</v>
          </cell>
          <cell r="I11">
            <v>6.8784683513852807E-3</v>
          </cell>
        </row>
        <row r="12">
          <cell r="A12"/>
          <cell r="B12"/>
          <cell r="C12"/>
          <cell r="D12"/>
          <cell r="E12"/>
          <cell r="F12"/>
          <cell r="G12"/>
          <cell r="H12"/>
          <cell r="I12"/>
        </row>
        <row r="13">
          <cell r="A13" t="str">
            <v>Gross Profit Margin</v>
          </cell>
          <cell r="B13">
            <v>0.34299567066878095</v>
          </cell>
          <cell r="C13">
            <v>0.35189711345812141</v>
          </cell>
          <cell r="D13">
            <v>-89</v>
          </cell>
          <cell r="E13">
            <v>0.36001872126744744</v>
          </cell>
          <cell r="F13">
            <v>-170</v>
          </cell>
          <cell r="G13"/>
          <cell r="H13"/>
          <cell r="I13"/>
        </row>
        <row r="14">
          <cell r="A14" t="str">
            <v>Operating Margin</v>
          </cell>
          <cell r="B14">
            <v>0.22183103022980694</v>
          </cell>
          <cell r="C14">
            <v>0.21258589326539931</v>
          </cell>
          <cell r="D14">
            <v>92</v>
          </cell>
          <cell r="E14">
            <v>0.21990140715694823</v>
          </cell>
          <cell r="F14">
            <v>19</v>
          </cell>
          <cell r="G14"/>
          <cell r="H14"/>
          <cell r="I14"/>
        </row>
        <row r="15">
          <cell r="A15" t="str">
            <v>Tax Rate</v>
          </cell>
          <cell r="B15">
            <v>0.18259458206128995</v>
          </cell>
          <cell r="C15">
            <v>0.23</v>
          </cell>
          <cell r="D15">
            <v>-474</v>
          </cell>
          <cell r="E15">
            <v>0.25666291248500978</v>
          </cell>
          <cell r="F15">
            <v>-741</v>
          </cell>
          <cell r="G15"/>
          <cell r="H15"/>
          <cell r="I15"/>
        </row>
        <row r="16">
          <cell r="A16" t="str">
            <v>Net Margin</v>
          </cell>
          <cell r="B16">
            <v>0.16637720556772131</v>
          </cell>
          <cell r="C16">
            <v>0.15285542344839931</v>
          </cell>
          <cell r="D16">
            <v>135</v>
          </cell>
          <cell r="E16">
            <v>0.14261581597169076</v>
          </cell>
          <cell r="F16">
            <v>238</v>
          </cell>
          <cell r="G16"/>
          <cell r="H16"/>
          <cell r="I16"/>
        </row>
        <row r="17">
          <cell r="A17"/>
          <cell r="B17"/>
          <cell r="C17"/>
          <cell r="D17"/>
          <cell r="E17"/>
          <cell r="F17"/>
          <cell r="G17"/>
          <cell r="H17"/>
          <cell r="I17"/>
        </row>
        <row r="18">
          <cell r="A18" t="str">
            <v>Sales</v>
          </cell>
          <cell r="B18"/>
          <cell r="C18"/>
          <cell r="D18"/>
          <cell r="E18"/>
          <cell r="F18"/>
          <cell r="G18"/>
          <cell r="H18"/>
          <cell r="I18"/>
        </row>
        <row r="19">
          <cell r="A19" t="str">
            <v>Electronic Instruments</v>
          </cell>
          <cell r="B19">
            <v>826.03399999999999</v>
          </cell>
          <cell r="C19">
            <v>837.54873962951285</v>
          </cell>
          <cell r="D19">
            <v>-1.3748142746422554E-2</v>
          </cell>
          <cell r="E19">
            <v>741.51599999999996</v>
          </cell>
          <cell r="F19">
            <v>0.11398000852307977</v>
          </cell>
          <cell r="G19"/>
          <cell r="H19"/>
          <cell r="I19"/>
        </row>
        <row r="20">
          <cell r="A20" t="str">
            <v>Electromechanical</v>
          </cell>
          <cell r="B20">
            <v>445.29399999999998</v>
          </cell>
          <cell r="C20">
            <v>429.07615746708882</v>
          </cell>
          <cell r="D20">
            <v>3.7797118881291114E-2</v>
          </cell>
          <cell r="E20">
            <v>401.56900000000002</v>
          </cell>
          <cell r="F20">
            <v>0.1088853970301491</v>
          </cell>
          <cell r="G20"/>
          <cell r="H20"/>
          <cell r="I20"/>
        </row>
        <row r="21">
          <cell r="A21" t="str">
            <v>Total Sales</v>
          </cell>
          <cell r="B21">
            <v>1271.328</v>
          </cell>
          <cell r="C21">
            <v>1266.6248970966019</v>
          </cell>
          <cell r="D21">
            <v>3.713098419412697E-3</v>
          </cell>
          <cell r="E21">
            <v>1143.085</v>
          </cell>
          <cell r="F21">
            <v>0.11219025706749708</v>
          </cell>
          <cell r="G21"/>
          <cell r="H21"/>
          <cell r="I21"/>
        </row>
        <row r="22">
          <cell r="A22"/>
          <cell r="B22"/>
          <cell r="C22"/>
          <cell r="D22"/>
          <cell r="E22"/>
          <cell r="F22"/>
          <cell r="G22"/>
          <cell r="H22"/>
          <cell r="I22"/>
        </row>
        <row r="23">
          <cell r="A23" t="str">
            <v>Core Sales Growth</v>
          </cell>
          <cell r="B23">
            <v>5.8000000000000003E-2</v>
          </cell>
          <cell r="C23">
            <v>4.6756514169987287E-2</v>
          </cell>
          <cell r="D23">
            <v>112</v>
          </cell>
          <cell r="E23">
            <v>9.3668358081017311E-2</v>
          </cell>
          <cell r="F23">
            <v>-357</v>
          </cell>
          <cell r="G23"/>
          <cell r="H23"/>
          <cell r="I23"/>
        </row>
        <row r="24">
          <cell r="A24" t="str">
            <v>Electronic Instruments</v>
          </cell>
          <cell r="B24">
            <v>0.04</v>
          </cell>
          <cell r="C24">
            <v>4.4999999999999998E-2</v>
          </cell>
          <cell r="D24">
            <v>-50</v>
          </cell>
          <cell r="E24">
            <v>0.09</v>
          </cell>
          <cell r="F24">
            <v>-500</v>
          </cell>
          <cell r="G24"/>
          <cell r="H24"/>
          <cell r="I24"/>
        </row>
        <row r="25">
          <cell r="A25" t="str">
            <v>Electromechanical</v>
          </cell>
          <cell r="B25">
            <v>0.09</v>
          </cell>
          <cell r="C25">
            <v>0.05</v>
          </cell>
          <cell r="D25">
            <v>400</v>
          </cell>
          <cell r="E25">
            <v>0.1</v>
          </cell>
          <cell r="F25">
            <v>-100</v>
          </cell>
          <cell r="G25"/>
          <cell r="H25"/>
          <cell r="I25"/>
        </row>
        <row r="26">
          <cell r="A26"/>
          <cell r="B26"/>
          <cell r="C26"/>
          <cell r="D26"/>
          <cell r="E26"/>
          <cell r="F26"/>
          <cell r="G26"/>
          <cell r="H26"/>
          <cell r="I26"/>
        </row>
        <row r="27">
          <cell r="A27" t="str">
            <v>Operating Profit</v>
          </cell>
          <cell r="B27"/>
          <cell r="C27"/>
          <cell r="D27"/>
          <cell r="E27"/>
          <cell r="F27"/>
          <cell r="G27"/>
          <cell r="H27" t="str">
            <v>Segment Walk - MS vs. AME</v>
          </cell>
          <cell r="I27"/>
        </row>
        <row r="28">
          <cell r="A28" t="str">
            <v>Electronic Instruments</v>
          </cell>
          <cell r="B28">
            <v>214.64099999999999</v>
          </cell>
          <cell r="C28">
            <v>207.07620518147559</v>
          </cell>
          <cell r="D28">
            <v>3.6531453779997669E-2</v>
          </cell>
          <cell r="E28">
            <v>195.63800000000001</v>
          </cell>
          <cell r="F28">
            <v>9.7133481225528673E-2</v>
          </cell>
          <cell r="G28"/>
          <cell r="H28" t="str">
            <v>EIG</v>
          </cell>
          <cell r="I28">
            <v>2.4972741737465345E-2</v>
          </cell>
        </row>
        <row r="29">
          <cell r="A29" t="str">
            <v>Electromechanical</v>
          </cell>
          <cell r="B29">
            <v>85.846000000000004</v>
          </cell>
          <cell r="C29">
            <v>82.190380000000005</v>
          </cell>
          <cell r="D29">
            <v>4.4477468044313628E-2</v>
          </cell>
          <cell r="E29">
            <v>74.158999999999992</v>
          </cell>
          <cell r="F29">
            <v>0.15759381868687572</v>
          </cell>
          <cell r="G29"/>
          <cell r="H29" t="str">
            <v>EMG</v>
          </cell>
          <cell r="I29">
            <v>1.2067855948553051E-2</v>
          </cell>
        </row>
        <row r="30">
          <cell r="A30" t="str">
            <v>Corporate</v>
          </cell>
          <cell r="B30">
            <v>-18.466999999999999</v>
          </cell>
          <cell r="C30">
            <v>-20</v>
          </cell>
          <cell r="D30">
            <v>-7.6650000000000107E-2</v>
          </cell>
          <cell r="E30">
            <v>-23.431000000000001</v>
          </cell>
          <cell r="F30">
            <v>-0.21185608808842993</v>
          </cell>
          <cell r="G30"/>
          <cell r="H30" t="str">
            <v>Corporate</v>
          </cell>
          <cell r="I30">
            <v>5.0607073954983973E-3</v>
          </cell>
        </row>
        <row r="31">
          <cell r="A31" t="str">
            <v>Total Operating Profit</v>
          </cell>
          <cell r="B31">
            <v>282.02</v>
          </cell>
          <cell r="C31">
            <v>269.26658518147559</v>
          </cell>
          <cell r="D31">
            <v>4.7363525667059925E-2</v>
          </cell>
          <cell r="E31">
            <v>251.36600000000016</v>
          </cell>
          <cell r="F31">
            <v>0.12194966701940513</v>
          </cell>
          <cell r="G31"/>
          <cell r="H31"/>
          <cell r="I31"/>
        </row>
        <row r="32">
          <cell r="A32"/>
          <cell r="B32"/>
          <cell r="C32"/>
          <cell r="D32"/>
          <cell r="E32"/>
          <cell r="F32"/>
          <cell r="G32"/>
          <cell r="H32"/>
          <cell r="I32"/>
        </row>
        <row r="33">
          <cell r="A33" t="str">
            <v>Operating Margins</v>
          </cell>
          <cell r="B33"/>
          <cell r="C33"/>
          <cell r="D33"/>
          <cell r="E33"/>
          <cell r="F33"/>
          <cell r="G33"/>
          <cell r="H33"/>
          <cell r="I33"/>
        </row>
        <row r="34">
          <cell r="A34" t="str">
            <v>Electronic Instruments</v>
          </cell>
          <cell r="B34">
            <v>0.25984523639462781</v>
          </cell>
          <cell r="C34">
            <v>0.24724078179984502</v>
          </cell>
          <cell r="D34">
            <v>126</v>
          </cell>
          <cell r="E34">
            <v>0.26383517011096191</v>
          </cell>
          <cell r="F34">
            <v>-40</v>
          </cell>
          <cell r="G34"/>
          <cell r="H34"/>
          <cell r="I34"/>
        </row>
        <row r="35">
          <cell r="A35" t="str">
            <v>Electromechanical</v>
          </cell>
          <cell r="B35">
            <v>0.19278499148876924</v>
          </cell>
          <cell r="C35">
            <v>0.19155196244224829</v>
          </cell>
          <cell r="D35">
            <v>12</v>
          </cell>
          <cell r="E35">
            <v>0.18467311968802369</v>
          </cell>
          <cell r="F35">
            <v>81</v>
          </cell>
          <cell r="G35"/>
          <cell r="H35"/>
          <cell r="I35"/>
        </row>
        <row r="36">
          <cell r="A36" t="str">
            <v>Total Operating Margins</v>
          </cell>
          <cell r="B36">
            <v>0.22183103022980694</v>
          </cell>
          <cell r="C36">
            <v>0.21258589326539931</v>
          </cell>
          <cell r="D36">
            <v>92</v>
          </cell>
          <cell r="E36">
            <v>0.21990140715694823</v>
          </cell>
          <cell r="F36">
            <v>19</v>
          </cell>
          <cell r="G36"/>
          <cell r="H36"/>
          <cell r="I36"/>
        </row>
        <row r="37">
          <cell r="A37"/>
          <cell r="B37"/>
          <cell r="C37"/>
          <cell r="D37"/>
          <cell r="E37"/>
          <cell r="F37"/>
          <cell r="G37"/>
          <cell r="H37"/>
          <cell r="I37"/>
        </row>
        <row r="38">
          <cell r="A38" t="str">
            <v>Incrementals</v>
          </cell>
          <cell r="B38"/>
          <cell r="C38"/>
          <cell r="D38"/>
          <cell r="E38"/>
          <cell r="F38"/>
          <cell r="G38"/>
          <cell r="H38"/>
          <cell r="I38"/>
        </row>
        <row r="39">
          <cell r="A39" t="str">
            <v>Electronic Instruments</v>
          </cell>
          <cell r="B39">
            <v>0.22483967912160699</v>
          </cell>
          <cell r="C39">
            <v>0.1191073505306979</v>
          </cell>
          <cell r="D39">
            <v>1057</v>
          </cell>
          <cell r="E39">
            <v>0.26208121117125671</v>
          </cell>
          <cell r="F39">
            <v>-372</v>
          </cell>
          <cell r="G39"/>
        </row>
        <row r="40">
          <cell r="A40" t="str">
            <v>Electromechanical</v>
          </cell>
          <cell r="B40">
            <v>0.2672841623785025</v>
          </cell>
          <cell r="C40">
            <v>0.29197418924907942</v>
          </cell>
          <cell r="D40">
            <v>-247</v>
          </cell>
          <cell r="E40">
            <v>0.26526457422136451</v>
          </cell>
          <cell r="F40">
            <v>20</v>
          </cell>
          <cell r="G40"/>
        </row>
        <row r="41">
          <cell r="A41"/>
          <cell r="B41"/>
          <cell r="C41"/>
          <cell r="D41"/>
          <cell r="E41"/>
          <cell r="F41"/>
          <cell r="G41"/>
        </row>
        <row r="42">
          <cell r="A42" t="str">
            <v>Interest Expense</v>
          </cell>
          <cell r="B42">
            <v>20.318999999999999</v>
          </cell>
          <cell r="C42">
            <v>17.824396875000001</v>
          </cell>
          <cell r="D42">
            <v>0.13995441991638202</v>
          </cell>
          <cell r="E42">
            <v>24.251999999999999</v>
          </cell>
          <cell r="F42">
            <v>-0.16217219198416621</v>
          </cell>
          <cell r="G42"/>
        </row>
        <row r="43">
          <cell r="A43" t="str">
            <v>Other (Income) Expense</v>
          </cell>
          <cell r="B43">
            <v>2.931</v>
          </cell>
          <cell r="C43">
            <v>0</v>
          </cell>
          <cell r="D43" t="e">
            <v>#DIV/0!</v>
          </cell>
          <cell r="E43">
            <v>-7.8029999999999999</v>
          </cell>
          <cell r="F43">
            <v>-1.3756247597078046</v>
          </cell>
          <cell r="G43"/>
        </row>
        <row r="44">
          <cell r="A44"/>
          <cell r="B44"/>
          <cell r="C44"/>
          <cell r="D44"/>
          <cell r="E44"/>
          <cell r="F44"/>
          <cell r="G44"/>
        </row>
        <row r="45">
          <cell r="A45" t="str">
            <v>Cash</v>
          </cell>
          <cell r="B45">
            <v>353.97500000000002</v>
          </cell>
          <cell r="C45">
            <v>702.75702091582275</v>
          </cell>
          <cell r="D45">
            <v>-0.49630528124969153</v>
          </cell>
          <cell r="E45">
            <v>646.29999999999995</v>
          </cell>
          <cell r="F45">
            <v>-0.45230543091443598</v>
          </cell>
          <cell r="G45"/>
        </row>
        <row r="46">
          <cell r="A46" t="str">
            <v>Current Assets</v>
          </cell>
          <cell r="B46">
            <v>1836.144</v>
          </cell>
          <cell r="C46">
            <v>2184.876288567415</v>
          </cell>
          <cell r="D46">
            <v>-0.15961191505083916</v>
          </cell>
          <cell r="E46">
            <v>1934.655</v>
          </cell>
          <cell r="F46">
            <v>-5.0919156128612086E-2</v>
          </cell>
          <cell r="G46"/>
        </row>
        <row r="47">
          <cell r="A47" t="str">
            <v>Total Assets</v>
          </cell>
          <cell r="B47">
            <v>8662.2880000000005</v>
          </cell>
          <cell r="C47">
            <v>8268.9984849959856</v>
          </cell>
          <cell r="D47">
            <v>4.756192853555774E-2</v>
          </cell>
          <cell r="E47">
            <v>7796.0640000000003</v>
          </cell>
          <cell r="F47">
            <v>0.11111042700521701</v>
          </cell>
          <cell r="G47"/>
          <cell r="H47"/>
          <cell r="I47"/>
        </row>
        <row r="48">
          <cell r="A48" t="str">
            <v>Short-Term Debt</v>
          </cell>
          <cell r="B48">
            <v>358.87599999999998</v>
          </cell>
          <cell r="C48">
            <v>68.721999999999994</v>
          </cell>
          <cell r="D48">
            <v>4.2221413812170772</v>
          </cell>
          <cell r="E48">
            <v>308.12299999999999</v>
          </cell>
          <cell r="F48">
            <v>0.16471668781622917</v>
          </cell>
          <cell r="G48"/>
          <cell r="H48"/>
          <cell r="I48"/>
        </row>
        <row r="49">
          <cell r="A49" t="str">
            <v>Current Liabilities</v>
          </cell>
          <cell r="B49">
            <v>1258.704</v>
          </cell>
          <cell r="C49">
            <v>969.90099999999995</v>
          </cell>
          <cell r="D49">
            <v>0.29776544203996069</v>
          </cell>
          <cell r="E49">
            <v>1138.663</v>
          </cell>
          <cell r="F49">
            <v>0.10542276336369927</v>
          </cell>
          <cell r="G49"/>
          <cell r="H49"/>
          <cell r="I49"/>
        </row>
        <row r="50">
          <cell r="A50" t="str">
            <v>Long-Term Debt</v>
          </cell>
          <cell r="B50">
            <v>2273.837</v>
          </cell>
          <cell r="C50">
            <v>1832.547</v>
          </cell>
          <cell r="D50">
            <v>0.24080692064105302</v>
          </cell>
          <cell r="E50">
            <v>1866.1659999999999</v>
          </cell>
          <cell r="F50">
            <v>0.21845377099357721</v>
          </cell>
          <cell r="G50"/>
          <cell r="H50"/>
          <cell r="I50"/>
        </row>
        <row r="51">
          <cell r="A51" t="str">
            <v>Equity</v>
          </cell>
          <cell r="B51">
            <v>4241.9219999999996</v>
          </cell>
          <cell r="C51">
            <v>4672.8644849959855</v>
          </cell>
          <cell r="D51">
            <v>-9.2222337364948448E-2</v>
          </cell>
          <cell r="E51">
            <v>4027.6329999999998</v>
          </cell>
          <cell r="F51">
            <v>5.3204698640615833E-2</v>
          </cell>
          <cell r="G51"/>
          <cell r="H51"/>
          <cell r="I51"/>
        </row>
        <row r="52">
          <cell r="A52" t="str">
            <v>Per Share</v>
          </cell>
          <cell r="B52">
            <v>18.336865038710428</v>
          </cell>
          <cell r="C52">
            <v>20.03371697747475</v>
          </cell>
          <cell r="D52">
            <v>-8.469980586589132E-2</v>
          </cell>
          <cell r="E52">
            <v>17.3206197803332</v>
          </cell>
          <cell r="F52">
            <v>5.8672568953400228E-2</v>
          </cell>
          <cell r="G52"/>
          <cell r="H52"/>
          <cell r="I52"/>
        </row>
        <row r="53">
          <cell r="A53"/>
          <cell r="B53"/>
          <cell r="C53"/>
          <cell r="D53"/>
          <cell r="E53"/>
          <cell r="F53"/>
          <cell r="G53"/>
          <cell r="H53"/>
          <cell r="I53"/>
        </row>
        <row r="54">
          <cell r="A54" t="str">
            <v>Free Cash Flow</v>
          </cell>
          <cell r="B54">
            <v>261.57500000000005</v>
          </cell>
          <cell r="C54">
            <v>216.69102091582261</v>
          </cell>
          <cell r="D54">
            <v>0.20713354385650073</v>
          </cell>
          <cell r="E54">
            <v>223.42100000000008</v>
          </cell>
          <cell r="F54">
            <v>0.17077177167768443</v>
          </cell>
          <cell r="G54"/>
          <cell r="H54"/>
          <cell r="I54"/>
        </row>
      </sheetData>
      <sheetData sheetId="18"/>
      <sheetData sheetId="19"/>
    </sheetDataSet>
  </externalBook>
</externalLink>
</file>

<file path=xl/persons/person.xml><?xml version="1.0" encoding="utf-8"?>
<personList xmlns="http://schemas.microsoft.com/office/spreadsheetml/2018/threadedcomments" xmlns:x="http://schemas.openxmlformats.org/spreadsheetml/2006/main">
  <person displayName="McCann, Brandon M (Research)" id="{0778239C-2955-4D67-9FDF-08083F41C6BC}" userId="S::Brandon.McCann@morganstanley.com::1db56253-a8e7-46c9-ac79-73df5361bce8" providerId="AD"/>
</personList>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Z45" dT="2023-11-29T14:41:32.36" personId="{0778239C-2955-4D67-9FDF-08083F41C6BC}" id="{61F900AC-2B9B-4400-8A97-8C3DB22E452A}">
    <text>Only common dividend - preferred redeemed in Sep 2023</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D3413E36-C125-40D3-923C-A5D422DCAECA}">
  <we:reference id="cba9fc06-6fc9-492e-9525-923870a3b909" version="1.0.0.0" store="EXCatalog" storeType="EXCatalog"/>
  <we:alternateReferences/>
  <we:properties>
    <we:property name="bps.codex_control.document_id" value="&quot;7d4a30e0-e901-4f43-b9f7-b7e7ad5c2810&quot;"/>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microsoft.com/office/2017/10/relationships/threadedComment" Target="../threadedComments/threadedComment1.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38782-6923-4F8F-A9CB-B1648431337D}">
  <dimension ref="B2:B9"/>
  <sheetViews>
    <sheetView showGridLines="0" showRowColHeaders="0" tabSelected="1" workbookViewId="0">
      <selection activeCell="Z1" sqref="Z1"/>
    </sheetView>
  </sheetViews>
  <sheetFormatPr defaultRowHeight="15"/>
  <cols>
    <col min="1" max="1" width="9.140625" style="668"/>
    <col min="2" max="2" width="101" style="668" customWidth="1"/>
    <col min="3" max="16384" width="9.140625" style="668"/>
  </cols>
  <sheetData>
    <row r="2" spans="2:2" ht="54">
      <c r="B2" s="667" t="s">
        <v>1005</v>
      </c>
    </row>
    <row r="3" spans="2:2" ht="18">
      <c r="B3" s="667"/>
    </row>
    <row r="4" spans="2:2" ht="18">
      <c r="B4" s="667"/>
    </row>
    <row r="5" spans="2:2" ht="18">
      <c r="B5" s="667" t="s">
        <v>1006</v>
      </c>
    </row>
    <row r="6" spans="2:2" ht="18">
      <c r="B6" s="667" t="s">
        <v>1007</v>
      </c>
    </row>
    <row r="7" spans="2:2" ht="18">
      <c r="B7" s="667" t="s">
        <v>1008</v>
      </c>
    </row>
    <row r="8" spans="2:2" ht="18">
      <c r="B8" s="667"/>
    </row>
    <row r="9" spans="2:2" ht="36">
      <c r="B9" s="669" t="s">
        <v>1009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392969-F3A9-452D-BA65-5EBE297FE659}">
  <sheetPr codeName="Sheet1"/>
  <dimension ref="A1:H427"/>
  <sheetViews>
    <sheetView showGridLines="0" workbookViewId="0">
      <selection activeCell="Z1" sqref="Z1"/>
    </sheetView>
  </sheetViews>
  <sheetFormatPr defaultRowHeight="15"/>
  <sheetData>
    <row r="1" spans="1:8" ht="23.25" customHeight="1">
      <c r="A1" s="659"/>
      <c r="B1" s="660"/>
      <c r="C1" s="660"/>
      <c r="D1" s="660"/>
      <c r="E1" s="660"/>
      <c r="F1" s="660"/>
      <c r="G1" s="660"/>
      <c r="H1" s="660"/>
    </row>
    <row r="2" spans="1:8">
      <c r="A2" s="657" t="s">
        <v>651</v>
      </c>
      <c r="B2" s="660"/>
      <c r="C2" s="660"/>
      <c r="D2" s="660"/>
      <c r="E2" s="660"/>
      <c r="F2" s="660"/>
      <c r="G2" s="660"/>
      <c r="H2" s="660"/>
    </row>
    <row r="3" spans="1:8">
      <c r="A3" s="657" t="s">
        <v>652</v>
      </c>
      <c r="B3" s="660"/>
      <c r="C3" s="660"/>
      <c r="D3" s="660"/>
      <c r="E3" s="660"/>
      <c r="F3" s="660"/>
      <c r="G3" s="660"/>
      <c r="H3" s="660"/>
    </row>
    <row r="4" spans="1:8">
      <c r="A4" s="657" t="s">
        <v>653</v>
      </c>
      <c r="B4" s="660"/>
      <c r="C4" s="660"/>
      <c r="D4" s="660"/>
      <c r="E4" s="660"/>
      <c r="F4" s="660"/>
      <c r="G4" s="660"/>
      <c r="H4" s="660"/>
    </row>
    <row r="5" spans="1:8">
      <c r="A5" s="657" t="s">
        <v>654</v>
      </c>
      <c r="B5" s="660"/>
      <c r="C5" s="660"/>
      <c r="D5" s="660"/>
      <c r="E5" s="660"/>
      <c r="F5" s="660"/>
      <c r="G5" s="660"/>
      <c r="H5" s="660"/>
    </row>
    <row r="6" spans="1:8">
      <c r="A6" s="657"/>
      <c r="B6" s="660"/>
      <c r="C6" s="660"/>
      <c r="D6" s="660"/>
      <c r="E6" s="660"/>
      <c r="F6" s="660"/>
      <c r="G6" s="660"/>
      <c r="H6" s="660"/>
    </row>
    <row r="7" spans="1:8">
      <c r="A7" s="657" t="s">
        <v>655</v>
      </c>
      <c r="B7" s="660"/>
      <c r="C7" s="660"/>
      <c r="D7" s="660"/>
      <c r="E7" s="660"/>
      <c r="F7" s="660"/>
      <c r="G7" s="660"/>
      <c r="H7" s="660"/>
    </row>
    <row r="8" spans="1:8">
      <c r="A8" s="657" t="s">
        <v>656</v>
      </c>
      <c r="B8" s="660"/>
      <c r="C8" s="660"/>
      <c r="D8" s="660"/>
      <c r="E8" s="660"/>
      <c r="F8" s="660"/>
      <c r="G8" s="660"/>
      <c r="H8" s="660"/>
    </row>
    <row r="9" spans="1:8">
      <c r="A9" s="657"/>
      <c r="B9" s="660"/>
      <c r="C9" s="660"/>
      <c r="D9" s="660"/>
      <c r="E9" s="660"/>
      <c r="F9" s="660"/>
      <c r="G9" s="660"/>
      <c r="H9" s="660"/>
    </row>
    <row r="10" spans="1:8">
      <c r="A10" s="657" t="s">
        <v>657</v>
      </c>
      <c r="B10" s="660"/>
      <c r="C10" s="660"/>
      <c r="D10" s="660"/>
      <c r="E10" s="660"/>
      <c r="F10" s="660"/>
      <c r="G10" s="660"/>
      <c r="H10" s="660"/>
    </row>
    <row r="11" spans="1:8">
      <c r="A11" s="657" t="s">
        <v>658</v>
      </c>
      <c r="B11" s="660"/>
      <c r="C11" s="660"/>
      <c r="D11" s="660"/>
      <c r="E11" s="660"/>
      <c r="F11" s="660"/>
      <c r="G11" s="660"/>
      <c r="H11" s="660"/>
    </row>
    <row r="12" spans="1:8">
      <c r="A12" s="657" t="s">
        <v>659</v>
      </c>
      <c r="B12" s="660"/>
      <c r="C12" s="660"/>
      <c r="D12" s="660"/>
      <c r="E12" s="660"/>
      <c r="F12" s="660"/>
      <c r="G12" s="660"/>
      <c r="H12" s="660"/>
    </row>
    <row r="13" spans="1:8">
      <c r="A13" s="657" t="s">
        <v>660</v>
      </c>
      <c r="B13" s="660"/>
      <c r="C13" s="660"/>
      <c r="D13" s="660"/>
      <c r="E13" s="660"/>
      <c r="F13" s="660"/>
      <c r="G13" s="660"/>
      <c r="H13" s="660"/>
    </row>
    <row r="14" spans="1:8">
      <c r="A14" s="657" t="s">
        <v>661</v>
      </c>
      <c r="B14" s="660"/>
      <c r="C14" s="660"/>
      <c r="D14" s="660"/>
      <c r="E14" s="660"/>
      <c r="F14" s="660"/>
      <c r="G14" s="660"/>
      <c r="H14" s="660"/>
    </row>
    <row r="15" spans="1:8">
      <c r="A15" s="657" t="s">
        <v>662</v>
      </c>
      <c r="B15" s="660"/>
      <c r="C15" s="660"/>
      <c r="D15" s="660"/>
      <c r="E15" s="660"/>
      <c r="F15" s="660"/>
      <c r="G15" s="660"/>
      <c r="H15" s="660"/>
    </row>
    <row r="16" spans="1:8">
      <c r="A16" s="657"/>
      <c r="B16" s="660"/>
      <c r="C16" s="660"/>
      <c r="D16" s="660"/>
      <c r="E16" s="660"/>
      <c r="F16" s="660"/>
      <c r="G16" s="660"/>
      <c r="H16" s="660"/>
    </row>
    <row r="17" spans="1:8">
      <c r="A17" s="657" t="s">
        <v>663</v>
      </c>
      <c r="B17" s="660"/>
      <c r="C17" s="660"/>
      <c r="D17" s="660"/>
      <c r="E17" s="660"/>
      <c r="F17" s="660"/>
      <c r="G17" s="660"/>
      <c r="H17" s="660"/>
    </row>
    <row r="18" spans="1:8">
      <c r="A18" s="657"/>
      <c r="B18" s="660"/>
      <c r="C18" s="660"/>
      <c r="D18" s="660"/>
      <c r="E18" s="660"/>
      <c r="F18" s="660"/>
      <c r="G18" s="660"/>
      <c r="H18" s="660"/>
    </row>
    <row r="19" spans="1:8">
      <c r="A19" s="657" t="s">
        <v>664</v>
      </c>
      <c r="B19" s="660"/>
      <c r="C19" s="660"/>
      <c r="D19" s="660"/>
      <c r="E19" s="660"/>
      <c r="F19" s="660"/>
      <c r="G19" s="660"/>
      <c r="H19" s="660"/>
    </row>
    <row r="20" spans="1:8">
      <c r="A20" s="657"/>
      <c r="B20" s="660"/>
      <c r="C20" s="660"/>
      <c r="D20" s="660"/>
      <c r="E20" s="660"/>
      <c r="F20" s="660"/>
      <c r="G20" s="660"/>
      <c r="H20" s="660"/>
    </row>
    <row r="21" spans="1:8">
      <c r="A21" s="658" t="s">
        <v>665</v>
      </c>
      <c r="B21" s="660"/>
      <c r="C21" s="660"/>
      <c r="D21" s="660"/>
      <c r="E21" s="660"/>
      <c r="F21" s="660"/>
      <c r="G21" s="660"/>
      <c r="H21" s="660"/>
    </row>
    <row r="22" spans="1:8">
      <c r="A22" s="660"/>
      <c r="B22" s="660"/>
      <c r="C22" s="660"/>
      <c r="D22" s="660"/>
      <c r="E22" s="660"/>
      <c r="F22" s="660"/>
      <c r="G22" s="660"/>
      <c r="H22" s="660"/>
    </row>
    <row r="23" spans="1:8">
      <c r="A23" s="661" t="s">
        <v>666</v>
      </c>
      <c r="B23" s="660"/>
      <c r="C23" s="660"/>
      <c r="D23" s="660"/>
      <c r="E23" s="660"/>
      <c r="F23" s="660"/>
      <c r="G23" s="660"/>
      <c r="H23" s="660"/>
    </row>
    <row r="24" spans="1:8">
      <c r="A24" s="661" t="s">
        <v>667</v>
      </c>
      <c r="B24" s="660"/>
      <c r="C24" s="660"/>
      <c r="D24" s="660"/>
      <c r="E24" s="660"/>
      <c r="F24" s="660"/>
      <c r="G24" s="660"/>
      <c r="H24" s="660"/>
    </row>
    <row r="25" spans="1:8">
      <c r="A25" s="661" t="s">
        <v>668</v>
      </c>
      <c r="B25" s="660"/>
      <c r="C25" s="660"/>
      <c r="D25" s="660"/>
      <c r="E25" s="660"/>
      <c r="F25" s="660"/>
      <c r="G25" s="660"/>
      <c r="H25" s="660"/>
    </row>
    <row r="26" spans="1:8">
      <c r="A26" s="661" t="s">
        <v>669</v>
      </c>
      <c r="B26" s="660"/>
      <c r="C26" s="660"/>
      <c r="D26" s="660"/>
      <c r="E26" s="660"/>
      <c r="F26" s="660"/>
      <c r="G26" s="660"/>
      <c r="H26" s="660"/>
    </row>
    <row r="27" spans="1:8">
      <c r="A27" s="660"/>
      <c r="B27" s="660"/>
      <c r="C27" s="660"/>
      <c r="D27" s="660"/>
      <c r="E27" s="660"/>
      <c r="F27" s="660"/>
      <c r="G27" s="660"/>
      <c r="H27" s="660"/>
    </row>
    <row r="28" spans="1:8">
      <c r="A28" s="661" t="s">
        <v>670</v>
      </c>
      <c r="B28" s="660"/>
      <c r="C28" s="660"/>
      <c r="D28" s="660"/>
      <c r="E28" s="660"/>
      <c r="F28" s="660"/>
      <c r="G28" s="660"/>
      <c r="H28" s="660"/>
    </row>
    <row r="29" spans="1:8">
      <c r="A29" s="661" t="s">
        <v>671</v>
      </c>
      <c r="B29" s="660"/>
      <c r="C29" s="660"/>
      <c r="D29" s="660"/>
      <c r="E29" s="660"/>
      <c r="F29" s="660"/>
      <c r="G29" s="660"/>
      <c r="H29" s="660"/>
    </row>
    <row r="30" spans="1:8">
      <c r="A30" s="661" t="s">
        <v>672</v>
      </c>
      <c r="B30" s="660"/>
      <c r="C30" s="660"/>
      <c r="D30" s="660"/>
      <c r="E30" s="660"/>
      <c r="F30" s="660"/>
      <c r="G30" s="660"/>
      <c r="H30" s="660"/>
    </row>
    <row r="31" spans="1:8">
      <c r="A31" s="661" t="s">
        <v>673</v>
      </c>
      <c r="B31" s="660"/>
      <c r="C31" s="660"/>
      <c r="D31" s="660"/>
      <c r="E31" s="660"/>
      <c r="F31" s="660"/>
      <c r="G31" s="660"/>
      <c r="H31" s="660"/>
    </row>
    <row r="32" spans="1:8">
      <c r="A32" s="661" t="s">
        <v>674</v>
      </c>
      <c r="B32" s="660"/>
      <c r="C32" s="660"/>
      <c r="D32" s="660"/>
      <c r="E32" s="660"/>
      <c r="F32" s="660"/>
      <c r="G32" s="660"/>
      <c r="H32" s="660"/>
    </row>
    <row r="33" spans="1:8">
      <c r="A33" s="660"/>
      <c r="B33" s="660"/>
      <c r="C33" s="660"/>
      <c r="D33" s="660"/>
      <c r="E33" s="660"/>
      <c r="F33" s="660"/>
      <c r="G33" s="660"/>
      <c r="H33" s="660"/>
    </row>
    <row r="34" spans="1:8">
      <c r="A34" s="661" t="s">
        <v>675</v>
      </c>
      <c r="B34" s="660"/>
      <c r="C34" s="660"/>
      <c r="D34" s="660"/>
      <c r="E34" s="660"/>
      <c r="F34" s="660"/>
      <c r="G34" s="660"/>
      <c r="H34" s="660"/>
    </row>
    <row r="35" spans="1:8">
      <c r="A35" s="661" t="s">
        <v>676</v>
      </c>
      <c r="B35" s="660"/>
      <c r="C35" s="660"/>
      <c r="D35" s="660"/>
      <c r="E35" s="660"/>
      <c r="F35" s="660"/>
      <c r="G35" s="660"/>
      <c r="H35" s="660"/>
    </row>
    <row r="36" spans="1:8">
      <c r="A36" s="661" t="s">
        <v>677</v>
      </c>
      <c r="B36" s="660"/>
      <c r="C36" s="660"/>
      <c r="D36" s="660"/>
      <c r="E36" s="660"/>
      <c r="F36" s="660"/>
      <c r="G36" s="660"/>
      <c r="H36" s="660"/>
    </row>
    <row r="37" spans="1:8">
      <c r="A37" s="661" t="s">
        <v>678</v>
      </c>
      <c r="B37" s="660"/>
      <c r="C37" s="660"/>
      <c r="D37" s="660"/>
      <c r="E37" s="660"/>
      <c r="F37" s="660"/>
      <c r="G37" s="660"/>
      <c r="H37" s="660"/>
    </row>
    <row r="38" spans="1:8">
      <c r="A38" s="660"/>
      <c r="B38" s="660"/>
      <c r="C38" s="660"/>
      <c r="D38" s="660"/>
      <c r="E38" s="660"/>
      <c r="F38" s="660"/>
      <c r="G38" s="660"/>
      <c r="H38" s="660"/>
    </row>
    <row r="39" spans="1:8">
      <c r="A39" s="661" t="s">
        <v>679</v>
      </c>
      <c r="B39" s="660"/>
      <c r="C39" s="660"/>
      <c r="D39" s="660"/>
      <c r="E39" s="660"/>
      <c r="F39" s="660"/>
      <c r="G39" s="660"/>
      <c r="H39" s="660"/>
    </row>
    <row r="40" spans="1:8">
      <c r="A40" s="661" t="s">
        <v>680</v>
      </c>
      <c r="B40" s="660"/>
      <c r="C40" s="660"/>
      <c r="D40" s="660"/>
      <c r="E40" s="660"/>
      <c r="F40" s="660"/>
      <c r="G40" s="660"/>
      <c r="H40" s="660"/>
    </row>
    <row r="41" spans="1:8">
      <c r="A41" s="661" t="s">
        <v>681</v>
      </c>
      <c r="B41" s="660"/>
      <c r="C41" s="660"/>
      <c r="D41" s="660"/>
      <c r="E41" s="660"/>
      <c r="F41" s="660"/>
      <c r="G41" s="660"/>
      <c r="H41" s="660"/>
    </row>
    <row r="42" spans="1:8">
      <c r="A42" s="661" t="s">
        <v>682</v>
      </c>
      <c r="B42" s="660"/>
      <c r="C42" s="660"/>
      <c r="D42" s="660"/>
      <c r="E42" s="660"/>
      <c r="F42" s="660"/>
      <c r="G42" s="660"/>
      <c r="H42" s="660"/>
    </row>
    <row r="43" spans="1:8">
      <c r="A43" s="661" t="s">
        <v>683</v>
      </c>
      <c r="B43" s="660"/>
      <c r="C43" s="660"/>
      <c r="D43" s="660"/>
      <c r="E43" s="660"/>
      <c r="F43" s="660"/>
      <c r="G43" s="660"/>
      <c r="H43" s="660"/>
    </row>
    <row r="44" spans="1:8">
      <c r="A44" s="661" t="s">
        <v>684</v>
      </c>
      <c r="B44" s="660"/>
      <c r="C44" s="660"/>
      <c r="D44" s="660"/>
      <c r="E44" s="660"/>
      <c r="F44" s="660"/>
      <c r="G44" s="660"/>
      <c r="H44" s="660"/>
    </row>
    <row r="45" spans="1:8">
      <c r="A45" s="660"/>
      <c r="B45" s="660"/>
      <c r="C45" s="660"/>
      <c r="D45" s="660"/>
      <c r="E45" s="660"/>
      <c r="F45" s="660"/>
      <c r="G45" s="660"/>
      <c r="H45" s="660"/>
    </row>
    <row r="46" spans="1:8" ht="15.75">
      <c r="A46" s="662" t="s">
        <v>685</v>
      </c>
      <c r="B46" s="660"/>
      <c r="C46" s="660"/>
      <c r="D46" s="660"/>
      <c r="E46" s="660"/>
      <c r="F46" s="660"/>
      <c r="G46" s="660"/>
      <c r="H46" s="660"/>
    </row>
    <row r="47" spans="1:8">
      <c r="A47" s="660"/>
      <c r="B47" s="660"/>
      <c r="C47" s="660"/>
      <c r="D47" s="660"/>
      <c r="E47" s="660"/>
      <c r="F47" s="660"/>
      <c r="G47" s="660"/>
      <c r="H47" s="660"/>
    </row>
    <row r="48" spans="1:8">
      <c r="A48" s="661" t="s">
        <v>686</v>
      </c>
      <c r="B48" s="660"/>
      <c r="C48" s="660"/>
      <c r="D48" s="660"/>
      <c r="E48" s="660"/>
      <c r="F48" s="660"/>
      <c r="G48" s="660"/>
      <c r="H48" s="660"/>
    </row>
    <row r="49" spans="1:8">
      <c r="A49" s="661" t="s">
        <v>687</v>
      </c>
      <c r="B49" s="660"/>
      <c r="C49" s="660"/>
      <c r="D49" s="660"/>
      <c r="E49" s="660"/>
      <c r="F49" s="660"/>
      <c r="G49" s="660"/>
      <c r="H49" s="660"/>
    </row>
    <row r="50" spans="1:8">
      <c r="A50" s="661" t="s">
        <v>688</v>
      </c>
      <c r="B50" s="660"/>
      <c r="C50" s="660"/>
      <c r="D50" s="660"/>
      <c r="E50" s="660"/>
      <c r="F50" s="660"/>
      <c r="G50" s="660"/>
      <c r="H50" s="660"/>
    </row>
    <row r="51" spans="1:8">
      <c r="A51" s="661" t="s">
        <v>689</v>
      </c>
      <c r="B51" s="660"/>
      <c r="C51" s="660"/>
      <c r="D51" s="660"/>
      <c r="E51" s="660"/>
      <c r="F51" s="660"/>
      <c r="G51" s="660"/>
      <c r="H51" s="660"/>
    </row>
    <row r="52" spans="1:8">
      <c r="A52" s="660"/>
      <c r="B52" s="660"/>
      <c r="C52" s="660"/>
      <c r="D52" s="660"/>
      <c r="E52" s="660"/>
      <c r="F52" s="660"/>
      <c r="G52" s="660"/>
      <c r="H52" s="660"/>
    </row>
    <row r="53" spans="1:8">
      <c r="A53" s="661" t="s">
        <v>690</v>
      </c>
      <c r="B53" s="660"/>
      <c r="C53" s="660"/>
      <c r="D53" s="660"/>
      <c r="E53" s="660"/>
      <c r="F53" s="660"/>
      <c r="G53" s="660"/>
      <c r="H53" s="660"/>
    </row>
    <row r="54" spans="1:8">
      <c r="A54" s="660"/>
      <c r="B54" s="660"/>
      <c r="C54" s="660"/>
      <c r="D54" s="660"/>
      <c r="E54" s="660"/>
      <c r="F54" s="660"/>
      <c r="G54" s="660"/>
      <c r="H54" s="660"/>
    </row>
    <row r="55" spans="1:8" ht="15.75">
      <c r="A55" s="662" t="s">
        <v>691</v>
      </c>
      <c r="B55" s="660"/>
      <c r="C55" s="660"/>
      <c r="D55" s="660"/>
      <c r="E55" s="660"/>
      <c r="F55" s="660"/>
      <c r="G55" s="660"/>
      <c r="H55" s="660"/>
    </row>
    <row r="56" spans="1:8">
      <c r="A56" s="660"/>
      <c r="B56" s="660"/>
      <c r="C56" s="660"/>
      <c r="D56" s="660"/>
      <c r="E56" s="660"/>
      <c r="F56" s="660"/>
      <c r="G56" s="660"/>
      <c r="H56" s="660"/>
    </row>
    <row r="57" spans="1:8">
      <c r="A57" s="661" t="s">
        <v>692</v>
      </c>
      <c r="B57" s="660"/>
      <c r="C57" s="660"/>
      <c r="D57" s="660"/>
      <c r="E57" s="660"/>
      <c r="F57" s="660"/>
      <c r="G57" s="660"/>
      <c r="H57" s="660"/>
    </row>
    <row r="58" spans="1:8">
      <c r="A58" s="661" t="s">
        <v>693</v>
      </c>
      <c r="B58" s="660"/>
      <c r="C58" s="660"/>
      <c r="D58" s="660"/>
      <c r="E58" s="660"/>
      <c r="F58" s="660"/>
      <c r="G58" s="660"/>
      <c r="H58" s="660"/>
    </row>
    <row r="59" spans="1:8">
      <c r="A59" s="661" t="s">
        <v>694</v>
      </c>
      <c r="B59" s="660"/>
      <c r="C59" s="660"/>
      <c r="D59" s="660"/>
      <c r="E59" s="660"/>
      <c r="F59" s="660"/>
      <c r="G59" s="660"/>
      <c r="H59" s="660"/>
    </row>
    <row r="60" spans="1:8">
      <c r="A60" s="660"/>
      <c r="B60" s="660"/>
      <c r="C60" s="660"/>
      <c r="D60" s="660"/>
      <c r="E60" s="660"/>
      <c r="F60" s="660"/>
      <c r="G60" s="660"/>
      <c r="H60" s="660"/>
    </row>
    <row r="61" spans="1:8" ht="15.75">
      <c r="A61" s="662" t="s">
        <v>695</v>
      </c>
      <c r="B61" s="660"/>
      <c r="C61" s="660"/>
      <c r="D61" s="660"/>
      <c r="E61" s="660"/>
      <c r="F61" s="660"/>
      <c r="G61" s="660"/>
      <c r="H61" s="660"/>
    </row>
    <row r="62" spans="1:8">
      <c r="A62" s="660"/>
      <c r="B62" s="660"/>
      <c r="C62" s="660"/>
      <c r="D62" s="660"/>
      <c r="E62" s="660"/>
      <c r="F62" s="660"/>
      <c r="G62" s="660"/>
      <c r="H62" s="660"/>
    </row>
    <row r="63" spans="1:8">
      <c r="A63" s="661" t="s">
        <v>696</v>
      </c>
      <c r="B63" s="660"/>
      <c r="C63" s="660"/>
      <c r="D63" s="660"/>
      <c r="E63" s="660"/>
      <c r="F63" s="660"/>
      <c r="G63" s="660"/>
      <c r="H63" s="660"/>
    </row>
    <row r="64" spans="1:8">
      <c r="A64" s="661" t="s">
        <v>697</v>
      </c>
      <c r="B64" s="660"/>
      <c r="C64" s="660"/>
      <c r="D64" s="660"/>
      <c r="E64" s="660"/>
      <c r="F64" s="660"/>
      <c r="G64" s="660"/>
      <c r="H64" s="660"/>
    </row>
    <row r="65" spans="1:8">
      <c r="A65" s="660"/>
      <c r="B65" s="660"/>
      <c r="C65" s="660"/>
      <c r="D65" s="660"/>
      <c r="E65" s="660"/>
      <c r="F65" s="660"/>
      <c r="G65" s="660"/>
      <c r="H65" s="660"/>
    </row>
    <row r="66" spans="1:8">
      <c r="A66" s="661" t="s">
        <v>698</v>
      </c>
      <c r="B66" s="660"/>
      <c r="C66" s="660"/>
      <c r="D66" s="660"/>
      <c r="E66" s="660"/>
      <c r="F66" s="660"/>
      <c r="G66" s="660"/>
      <c r="H66" s="660"/>
    </row>
    <row r="67" spans="1:8">
      <c r="A67" s="661" t="s">
        <v>699</v>
      </c>
      <c r="B67" s="660"/>
      <c r="C67" s="660"/>
      <c r="D67" s="660"/>
      <c r="E67" s="660"/>
      <c r="F67" s="660"/>
      <c r="G67" s="660"/>
      <c r="H67" s="660"/>
    </row>
    <row r="68" spans="1:8">
      <c r="A68" s="660"/>
      <c r="B68" s="660"/>
      <c r="C68" s="660"/>
      <c r="D68" s="660"/>
      <c r="E68" s="660"/>
      <c r="F68" s="660"/>
      <c r="G68" s="660"/>
      <c r="H68" s="660"/>
    </row>
    <row r="69" spans="1:8">
      <c r="A69" s="661" t="s">
        <v>700</v>
      </c>
      <c r="B69" s="660"/>
      <c r="C69" s="660"/>
      <c r="D69" s="660"/>
      <c r="E69" s="660"/>
      <c r="F69" s="660"/>
      <c r="G69" s="660"/>
      <c r="H69" s="660"/>
    </row>
    <row r="70" spans="1:8">
      <c r="A70" s="661" t="s">
        <v>701</v>
      </c>
      <c r="B70" s="660"/>
      <c r="C70" s="660"/>
      <c r="D70" s="660"/>
      <c r="E70" s="660"/>
      <c r="F70" s="660"/>
      <c r="G70" s="660"/>
      <c r="H70" s="660"/>
    </row>
    <row r="71" spans="1:8">
      <c r="A71" s="660"/>
      <c r="B71" s="660"/>
      <c r="C71" s="660"/>
      <c r="D71" s="660"/>
      <c r="E71" s="660"/>
      <c r="F71" s="660"/>
      <c r="G71" s="660"/>
      <c r="H71" s="660"/>
    </row>
    <row r="72" spans="1:8">
      <c r="A72" s="661" t="s">
        <v>702</v>
      </c>
      <c r="B72" s="660"/>
      <c r="C72" s="660"/>
      <c r="D72" s="660"/>
      <c r="E72" s="660"/>
      <c r="F72" s="660"/>
      <c r="G72" s="660"/>
      <c r="H72" s="660"/>
    </row>
    <row r="73" spans="1:8">
      <c r="A73" s="661" t="s">
        <v>703</v>
      </c>
      <c r="B73" s="660"/>
      <c r="C73" s="660"/>
      <c r="D73" s="660"/>
      <c r="E73" s="660"/>
      <c r="F73" s="660"/>
      <c r="G73" s="660"/>
      <c r="H73" s="660"/>
    </row>
    <row r="74" spans="1:8">
      <c r="A74" s="660"/>
      <c r="B74" s="660"/>
      <c r="C74" s="660"/>
      <c r="D74" s="660"/>
      <c r="E74" s="660"/>
      <c r="F74" s="660"/>
      <c r="G74" s="660"/>
      <c r="H74" s="660"/>
    </row>
    <row r="75" spans="1:8">
      <c r="A75" s="661" t="s">
        <v>704</v>
      </c>
      <c r="B75" s="660"/>
      <c r="C75" s="660"/>
      <c r="D75" s="660"/>
      <c r="E75" s="660"/>
      <c r="F75" s="660"/>
      <c r="G75" s="660"/>
      <c r="H75" s="660"/>
    </row>
    <row r="76" spans="1:8">
      <c r="A76" s="661" t="s">
        <v>705</v>
      </c>
      <c r="B76" s="660"/>
      <c r="C76" s="660"/>
      <c r="D76" s="660"/>
      <c r="E76" s="660"/>
      <c r="F76" s="660"/>
      <c r="G76" s="660"/>
      <c r="H76" s="660"/>
    </row>
    <row r="77" spans="1:8">
      <c r="A77" s="660"/>
      <c r="B77" s="660"/>
      <c r="C77" s="660"/>
      <c r="D77" s="660"/>
      <c r="E77" s="660"/>
      <c r="F77" s="660"/>
      <c r="G77" s="660"/>
      <c r="H77" s="660"/>
    </row>
    <row r="78" spans="1:8">
      <c r="A78" s="661" t="s">
        <v>706</v>
      </c>
      <c r="B78" s="660"/>
      <c r="C78" s="660"/>
      <c r="D78" s="660"/>
      <c r="E78" s="660"/>
      <c r="F78" s="660"/>
      <c r="G78" s="660"/>
      <c r="H78" s="660"/>
    </row>
    <row r="79" spans="1:8">
      <c r="A79" s="661" t="s">
        <v>707</v>
      </c>
      <c r="B79" s="660"/>
      <c r="C79" s="660"/>
      <c r="D79" s="660"/>
      <c r="E79" s="660"/>
      <c r="F79" s="660"/>
      <c r="G79" s="660"/>
      <c r="H79" s="660"/>
    </row>
    <row r="80" spans="1:8">
      <c r="A80" s="660"/>
      <c r="B80" s="660"/>
      <c r="C80" s="660"/>
      <c r="D80" s="660"/>
      <c r="E80" s="660"/>
      <c r="F80" s="660"/>
      <c r="G80" s="660"/>
      <c r="H80" s="660"/>
    </row>
    <row r="81" spans="1:8">
      <c r="A81" s="661" t="s">
        <v>708</v>
      </c>
      <c r="B81" s="660"/>
      <c r="C81" s="660"/>
      <c r="D81" s="660"/>
      <c r="E81" s="660"/>
      <c r="F81" s="660"/>
      <c r="G81" s="660"/>
      <c r="H81" s="660"/>
    </row>
    <row r="82" spans="1:8">
      <c r="A82" s="661" t="s">
        <v>709</v>
      </c>
      <c r="B82" s="660"/>
      <c r="C82" s="660"/>
      <c r="D82" s="660"/>
      <c r="E82" s="660"/>
      <c r="F82" s="660"/>
      <c r="G82" s="660"/>
      <c r="H82" s="660"/>
    </row>
    <row r="83" spans="1:8">
      <c r="A83" s="661" t="s">
        <v>710</v>
      </c>
      <c r="B83" s="660"/>
      <c r="C83" s="660"/>
      <c r="D83" s="660"/>
      <c r="E83" s="660"/>
      <c r="F83" s="660"/>
      <c r="G83" s="660"/>
      <c r="H83" s="660"/>
    </row>
    <row r="84" spans="1:8">
      <c r="A84" s="660"/>
      <c r="B84" s="660"/>
      <c r="C84" s="660"/>
      <c r="D84" s="660"/>
      <c r="E84" s="660"/>
      <c r="F84" s="660"/>
      <c r="G84" s="660"/>
      <c r="H84" s="660"/>
    </row>
    <row r="85" spans="1:8">
      <c r="A85" s="661" t="s">
        <v>711</v>
      </c>
      <c r="B85" s="660"/>
      <c r="C85" s="660"/>
      <c r="D85" s="660"/>
      <c r="E85" s="660"/>
      <c r="F85" s="660"/>
      <c r="G85" s="660"/>
      <c r="H85" s="660"/>
    </row>
    <row r="86" spans="1:8">
      <c r="A86" s="661" t="s">
        <v>712</v>
      </c>
      <c r="B86" s="660"/>
      <c r="C86" s="660"/>
      <c r="D86" s="660"/>
      <c r="E86" s="660"/>
      <c r="F86" s="660"/>
      <c r="G86" s="660"/>
      <c r="H86" s="660"/>
    </row>
    <row r="87" spans="1:8">
      <c r="A87" s="661" t="s">
        <v>713</v>
      </c>
      <c r="B87" s="660"/>
      <c r="C87" s="660"/>
      <c r="D87" s="660"/>
      <c r="E87" s="660"/>
      <c r="F87" s="660"/>
      <c r="G87" s="660"/>
      <c r="H87" s="660"/>
    </row>
    <row r="88" spans="1:8">
      <c r="A88" s="661" t="s">
        <v>714</v>
      </c>
      <c r="B88" s="660"/>
      <c r="C88" s="660"/>
      <c r="D88" s="660"/>
      <c r="E88" s="660"/>
      <c r="F88" s="660"/>
      <c r="G88" s="660"/>
      <c r="H88" s="660"/>
    </row>
    <row r="89" spans="1:8">
      <c r="A89" s="661" t="s">
        <v>715</v>
      </c>
      <c r="B89" s="660"/>
      <c r="C89" s="660"/>
      <c r="D89" s="660"/>
      <c r="E89" s="660"/>
      <c r="F89" s="660"/>
      <c r="G89" s="660"/>
      <c r="H89" s="660"/>
    </row>
    <row r="90" spans="1:8">
      <c r="A90" s="661" t="s">
        <v>716</v>
      </c>
      <c r="B90" s="660"/>
      <c r="C90" s="660"/>
      <c r="D90" s="660"/>
      <c r="E90" s="660"/>
      <c r="F90" s="660"/>
      <c r="G90" s="660"/>
      <c r="H90" s="660"/>
    </row>
    <row r="91" spans="1:8">
      <c r="A91" s="660"/>
      <c r="B91" s="660"/>
      <c r="C91" s="660"/>
      <c r="D91" s="660"/>
      <c r="E91" s="660"/>
      <c r="F91" s="660"/>
      <c r="G91" s="660"/>
      <c r="H91" s="660"/>
    </row>
    <row r="92" spans="1:8">
      <c r="A92" s="661" t="s">
        <v>717</v>
      </c>
      <c r="B92" s="660"/>
      <c r="C92" s="660"/>
      <c r="D92" s="660"/>
      <c r="E92" s="660"/>
      <c r="F92" s="660"/>
      <c r="G92" s="660"/>
      <c r="H92" s="660"/>
    </row>
    <row r="93" spans="1:8">
      <c r="A93" s="661" t="s">
        <v>718</v>
      </c>
      <c r="B93" s="660"/>
      <c r="C93" s="660"/>
      <c r="D93" s="660"/>
      <c r="E93" s="660"/>
      <c r="F93" s="660"/>
      <c r="G93" s="660"/>
      <c r="H93" s="660"/>
    </row>
    <row r="94" spans="1:8">
      <c r="A94" s="661" t="s">
        <v>719</v>
      </c>
      <c r="B94" s="660"/>
      <c r="C94" s="660"/>
      <c r="D94" s="660"/>
      <c r="E94" s="660"/>
      <c r="F94" s="660"/>
      <c r="G94" s="660"/>
      <c r="H94" s="660"/>
    </row>
    <row r="95" spans="1:8">
      <c r="A95" s="661" t="s">
        <v>720</v>
      </c>
      <c r="B95" s="660"/>
      <c r="C95" s="660"/>
      <c r="D95" s="660"/>
      <c r="E95" s="660"/>
      <c r="F95" s="660"/>
      <c r="G95" s="660"/>
      <c r="H95" s="660"/>
    </row>
    <row r="96" spans="1:8">
      <c r="A96" s="661" t="s">
        <v>721</v>
      </c>
      <c r="B96" s="660"/>
      <c r="C96" s="660"/>
      <c r="D96" s="660"/>
      <c r="E96" s="660"/>
      <c r="F96" s="660"/>
      <c r="G96" s="660"/>
      <c r="H96" s="660"/>
    </row>
    <row r="97" spans="1:8">
      <c r="A97" s="661" t="s">
        <v>722</v>
      </c>
      <c r="B97" s="660"/>
      <c r="C97" s="660"/>
      <c r="D97" s="660"/>
      <c r="E97" s="660"/>
      <c r="F97" s="660"/>
      <c r="G97" s="660"/>
      <c r="H97" s="660"/>
    </row>
    <row r="98" spans="1:8">
      <c r="A98" s="661" t="s">
        <v>723</v>
      </c>
      <c r="B98" s="660"/>
      <c r="C98" s="660"/>
      <c r="D98" s="660"/>
      <c r="E98" s="660"/>
      <c r="F98" s="660"/>
      <c r="G98" s="660"/>
      <c r="H98" s="660"/>
    </row>
    <row r="99" spans="1:8">
      <c r="A99" s="660"/>
      <c r="B99" s="660"/>
      <c r="C99" s="660"/>
      <c r="D99" s="660"/>
      <c r="E99" s="660"/>
      <c r="F99" s="660"/>
      <c r="G99" s="660"/>
      <c r="H99" s="660"/>
    </row>
    <row r="100" spans="1:8">
      <c r="A100" s="661" t="s">
        <v>724</v>
      </c>
      <c r="B100" s="660"/>
      <c r="C100" s="660"/>
      <c r="D100" s="660"/>
      <c r="E100" s="660"/>
      <c r="F100" s="660"/>
      <c r="G100" s="660"/>
      <c r="H100" s="660"/>
    </row>
    <row r="101" spans="1:8">
      <c r="A101" s="661" t="s">
        <v>725</v>
      </c>
      <c r="B101" s="660"/>
      <c r="C101" s="660"/>
      <c r="D101" s="660"/>
      <c r="E101" s="660"/>
      <c r="F101" s="660"/>
      <c r="G101" s="660"/>
      <c r="H101" s="660"/>
    </row>
    <row r="102" spans="1:8">
      <c r="A102" s="660"/>
      <c r="B102" s="660"/>
      <c r="C102" s="660"/>
      <c r="D102" s="660"/>
      <c r="E102" s="660"/>
      <c r="F102" s="660"/>
      <c r="G102" s="660"/>
      <c r="H102" s="660"/>
    </row>
    <row r="103" spans="1:8" ht="15.75">
      <c r="A103" s="662" t="s">
        <v>726</v>
      </c>
      <c r="B103" s="660"/>
      <c r="C103" s="660"/>
      <c r="D103" s="660"/>
      <c r="E103" s="660"/>
      <c r="F103" s="660"/>
      <c r="G103" s="660"/>
      <c r="H103" s="660"/>
    </row>
    <row r="104" spans="1:8">
      <c r="A104" s="660"/>
      <c r="B104" s="660"/>
      <c r="C104" s="660"/>
      <c r="D104" s="660"/>
      <c r="E104" s="660"/>
      <c r="F104" s="660"/>
      <c r="G104" s="660"/>
      <c r="H104" s="660"/>
    </row>
    <row r="105" spans="1:8">
      <c r="A105" s="661" t="s">
        <v>727</v>
      </c>
      <c r="B105" s="660"/>
      <c r="C105" s="660"/>
      <c r="D105" s="660"/>
      <c r="E105" s="660"/>
      <c r="F105" s="660"/>
      <c r="G105" s="660"/>
      <c r="H105" s="660"/>
    </row>
    <row r="106" spans="1:8">
      <c r="A106" s="661" t="s">
        <v>728</v>
      </c>
      <c r="B106" s="660"/>
      <c r="C106" s="660"/>
      <c r="D106" s="660"/>
      <c r="E106" s="660"/>
      <c r="F106" s="660"/>
      <c r="G106" s="660"/>
      <c r="H106" s="660"/>
    </row>
    <row r="107" spans="1:8">
      <c r="A107" s="661" t="s">
        <v>729</v>
      </c>
      <c r="B107" s="660"/>
      <c r="C107" s="660"/>
      <c r="D107" s="660"/>
      <c r="E107" s="660"/>
      <c r="F107" s="660"/>
      <c r="G107" s="660"/>
      <c r="H107" s="660"/>
    </row>
    <row r="108" spans="1:8">
      <c r="A108" s="661" t="s">
        <v>730</v>
      </c>
      <c r="B108" s="660"/>
      <c r="C108" s="660"/>
      <c r="D108" s="660"/>
      <c r="E108" s="660"/>
      <c r="F108" s="660"/>
      <c r="G108" s="660"/>
      <c r="H108" s="660"/>
    </row>
    <row r="109" spans="1:8">
      <c r="A109" s="661" t="s">
        <v>731</v>
      </c>
      <c r="B109" s="660"/>
      <c r="C109" s="660"/>
      <c r="D109" s="660"/>
      <c r="E109" s="660"/>
      <c r="F109" s="660"/>
      <c r="G109" s="660"/>
      <c r="H109" s="660"/>
    </row>
    <row r="110" spans="1:8">
      <c r="A110" s="661" t="s">
        <v>732</v>
      </c>
      <c r="B110" s="660"/>
      <c r="C110" s="660"/>
      <c r="D110" s="660"/>
      <c r="E110" s="660"/>
      <c r="F110" s="660"/>
      <c r="G110" s="660"/>
      <c r="H110" s="660"/>
    </row>
    <row r="111" spans="1:8">
      <c r="A111" s="661" t="s">
        <v>733</v>
      </c>
      <c r="B111" s="660"/>
      <c r="C111" s="660"/>
      <c r="D111" s="660"/>
      <c r="E111" s="660"/>
      <c r="F111" s="660"/>
      <c r="G111" s="660"/>
      <c r="H111" s="660"/>
    </row>
    <row r="112" spans="1:8">
      <c r="A112" s="661" t="s">
        <v>734</v>
      </c>
      <c r="B112" s="660"/>
      <c r="C112" s="660"/>
      <c r="D112" s="660"/>
      <c r="E112" s="660"/>
      <c r="F112" s="660"/>
      <c r="G112" s="660"/>
      <c r="H112" s="660"/>
    </row>
    <row r="113" spans="1:8">
      <c r="A113" s="661" t="s">
        <v>735</v>
      </c>
      <c r="B113" s="660"/>
      <c r="C113" s="660"/>
      <c r="D113" s="660"/>
      <c r="E113" s="660"/>
      <c r="F113" s="660"/>
      <c r="G113" s="660"/>
      <c r="H113" s="660"/>
    </row>
    <row r="114" spans="1:8">
      <c r="A114" s="660"/>
      <c r="B114" s="660"/>
      <c r="C114" s="660"/>
      <c r="D114" s="660"/>
      <c r="E114" s="660"/>
      <c r="F114" s="660"/>
      <c r="G114" s="660"/>
      <c r="H114" s="660"/>
    </row>
    <row r="115" spans="1:8" ht="15.75">
      <c r="A115" s="662" t="s">
        <v>736</v>
      </c>
      <c r="B115" s="660"/>
      <c r="C115" s="660"/>
      <c r="D115" s="660"/>
      <c r="E115" s="660"/>
      <c r="F115" s="660"/>
      <c r="G115" s="660"/>
      <c r="H115" s="660"/>
    </row>
    <row r="116" spans="1:8">
      <c r="A116" s="660"/>
      <c r="B116" s="660"/>
      <c r="C116" s="660"/>
      <c r="D116" s="660"/>
      <c r="E116" s="660"/>
      <c r="F116" s="660"/>
      <c r="G116" s="660"/>
      <c r="H116" s="660"/>
    </row>
    <row r="117" spans="1:8">
      <c r="A117" s="661" t="s">
        <v>737</v>
      </c>
      <c r="B117" s="660"/>
      <c r="C117" s="660"/>
      <c r="D117" s="660"/>
      <c r="E117" s="660"/>
      <c r="F117" s="660"/>
      <c r="G117" s="660"/>
      <c r="H117" s="660"/>
    </row>
    <row r="118" spans="1:8">
      <c r="A118" s="660"/>
      <c r="B118" s="660"/>
      <c r="C118" s="660"/>
      <c r="D118" s="660"/>
      <c r="E118" s="660"/>
      <c r="F118" s="660"/>
      <c r="G118" s="660"/>
      <c r="H118" s="660"/>
    </row>
    <row r="119" spans="1:8">
      <c r="A119" s="661" t="s">
        <v>738</v>
      </c>
      <c r="B119" s="660"/>
      <c r="C119" s="660"/>
      <c r="D119" s="660"/>
      <c r="E119" s="660"/>
      <c r="F119" s="660"/>
      <c r="G119" s="660"/>
      <c r="H119" s="660"/>
    </row>
    <row r="120" spans="1:8">
      <c r="A120" s="661" t="s">
        <v>739</v>
      </c>
      <c r="B120" s="660"/>
      <c r="C120" s="660"/>
      <c r="D120" s="660"/>
      <c r="E120" s="660"/>
      <c r="F120" s="660"/>
      <c r="G120" s="660"/>
      <c r="H120" s="660"/>
    </row>
    <row r="121" spans="1:8">
      <c r="A121" s="660"/>
      <c r="B121" s="660"/>
      <c r="C121" s="660"/>
      <c r="D121" s="660"/>
      <c r="E121" s="660"/>
      <c r="F121" s="660"/>
      <c r="G121" s="660"/>
      <c r="H121" s="660"/>
    </row>
    <row r="122" spans="1:8">
      <c r="A122" s="661" t="s">
        <v>740</v>
      </c>
      <c r="B122" s="660"/>
      <c r="C122" s="660"/>
      <c r="D122" s="660"/>
      <c r="E122" s="660"/>
      <c r="F122" s="660"/>
      <c r="G122" s="660"/>
      <c r="H122" s="660"/>
    </row>
    <row r="123" spans="1:8">
      <c r="A123" s="661" t="s">
        <v>741</v>
      </c>
      <c r="B123" s="660"/>
      <c r="C123" s="660"/>
      <c r="D123" s="660"/>
      <c r="E123" s="660"/>
      <c r="F123" s="660"/>
      <c r="G123" s="660"/>
      <c r="H123" s="660"/>
    </row>
    <row r="124" spans="1:8">
      <c r="A124" s="661" t="s">
        <v>742</v>
      </c>
      <c r="B124" s="660"/>
      <c r="C124" s="660"/>
      <c r="D124" s="660"/>
      <c r="E124" s="660"/>
      <c r="F124" s="660"/>
      <c r="G124" s="660"/>
      <c r="H124" s="660"/>
    </row>
    <row r="125" spans="1:8">
      <c r="A125" s="661" t="s">
        <v>743</v>
      </c>
      <c r="B125" s="660"/>
      <c r="C125" s="660"/>
      <c r="D125" s="660"/>
      <c r="E125" s="660"/>
      <c r="F125" s="660"/>
      <c r="G125" s="660"/>
      <c r="H125" s="660"/>
    </row>
    <row r="126" spans="1:8">
      <c r="A126" s="661" t="s">
        <v>744</v>
      </c>
      <c r="B126" s="660"/>
      <c r="C126" s="660"/>
      <c r="D126" s="660"/>
      <c r="E126" s="660"/>
      <c r="F126" s="660"/>
      <c r="G126" s="660"/>
      <c r="H126" s="660"/>
    </row>
    <row r="127" spans="1:8">
      <c r="A127" s="661" t="s">
        <v>745</v>
      </c>
      <c r="B127" s="660"/>
      <c r="C127" s="660"/>
      <c r="D127" s="660"/>
      <c r="E127" s="660"/>
      <c r="F127" s="660"/>
      <c r="G127" s="660"/>
      <c r="H127" s="660"/>
    </row>
    <row r="128" spans="1:8">
      <c r="A128" s="661" t="s">
        <v>746</v>
      </c>
      <c r="B128" s="660"/>
      <c r="C128" s="660"/>
      <c r="D128" s="660"/>
      <c r="E128" s="660"/>
      <c r="F128" s="660"/>
      <c r="G128" s="660"/>
      <c r="H128" s="660"/>
    </row>
    <row r="129" spans="1:8">
      <c r="A129" s="660"/>
      <c r="B129" s="660"/>
      <c r="C129" s="660"/>
      <c r="D129" s="660"/>
      <c r="E129" s="660"/>
      <c r="F129" s="660"/>
      <c r="G129" s="660"/>
      <c r="H129" s="660"/>
    </row>
    <row r="130" spans="1:8">
      <c r="A130" s="663"/>
      <c r="B130" s="664" t="s">
        <v>747</v>
      </c>
      <c r="C130" s="664"/>
      <c r="D130" s="664" t="s">
        <v>748</v>
      </c>
      <c r="E130" s="664"/>
      <c r="F130" s="664"/>
      <c r="G130" s="664" t="s">
        <v>749</v>
      </c>
      <c r="H130" s="664"/>
    </row>
    <row r="131" spans="1:8">
      <c r="A131" s="663" t="s">
        <v>750</v>
      </c>
      <c r="B131" s="663" t="s">
        <v>751</v>
      </c>
      <c r="C131" s="663" t="s">
        <v>752</v>
      </c>
      <c r="D131" s="663" t="s">
        <v>751</v>
      </c>
      <c r="E131" s="663" t="s">
        <v>753</v>
      </c>
      <c r="F131" s="663" t="s">
        <v>754</v>
      </c>
      <c r="G131" s="663" t="s">
        <v>751</v>
      </c>
      <c r="H131" s="663" t="s">
        <v>755</v>
      </c>
    </row>
    <row r="132" spans="1:8">
      <c r="A132" s="663" t="s">
        <v>756</v>
      </c>
      <c r="B132" s="663">
        <v>1544</v>
      </c>
      <c r="C132" s="663">
        <v>0.42</v>
      </c>
      <c r="D132" s="663">
        <v>453</v>
      </c>
      <c r="E132" s="663">
        <v>0.49</v>
      </c>
      <c r="F132" s="663">
        <v>0.28999999999999998</v>
      </c>
      <c r="G132" s="663">
        <v>757</v>
      </c>
      <c r="H132" s="663">
        <v>0.44</v>
      </c>
    </row>
    <row r="133" spans="1:8">
      <c r="A133" s="663" t="s">
        <v>757</v>
      </c>
      <c r="B133" s="663">
        <v>1577</v>
      </c>
      <c r="C133" s="663">
        <v>0.43</v>
      </c>
      <c r="D133" s="663">
        <v>390</v>
      </c>
      <c r="E133" s="663">
        <v>0.42</v>
      </c>
      <c r="F133" s="663">
        <v>0.25</v>
      </c>
      <c r="G133" s="663">
        <v>769</v>
      </c>
      <c r="H133" s="663">
        <v>0.44</v>
      </c>
    </row>
    <row r="134" spans="1:8">
      <c r="A134" s="663" t="s">
        <v>758</v>
      </c>
      <c r="B134" s="663">
        <v>3</v>
      </c>
      <c r="C134" s="663">
        <v>0</v>
      </c>
      <c r="D134" s="663">
        <v>1</v>
      </c>
      <c r="E134" s="663">
        <v>0</v>
      </c>
      <c r="F134" s="663">
        <v>0.33</v>
      </c>
      <c r="G134" s="663">
        <v>1</v>
      </c>
      <c r="H134" s="663">
        <v>0</v>
      </c>
    </row>
    <row r="135" spans="1:8">
      <c r="A135" s="663" t="s">
        <v>759</v>
      </c>
      <c r="B135" s="663">
        <v>544</v>
      </c>
      <c r="C135" s="663">
        <v>0.15</v>
      </c>
      <c r="D135" s="663">
        <v>89</v>
      </c>
      <c r="E135" s="663">
        <v>0.1</v>
      </c>
      <c r="F135" s="663">
        <v>0.16</v>
      </c>
      <c r="G135" s="663">
        <v>204</v>
      </c>
      <c r="H135" s="663">
        <v>0.12</v>
      </c>
    </row>
    <row r="136" spans="1:8">
      <c r="A136" s="663" t="s">
        <v>11</v>
      </c>
      <c r="B136" s="663">
        <v>3668</v>
      </c>
      <c r="C136" s="663"/>
      <c r="D136" s="663">
        <v>933</v>
      </c>
      <c r="E136" s="663"/>
      <c r="F136" s="663"/>
      <c r="G136" s="663">
        <v>1731</v>
      </c>
      <c r="H136" s="663"/>
    </row>
    <row r="137" spans="1:8">
      <c r="A137" s="660"/>
      <c r="B137" s="660"/>
      <c r="C137" s="660"/>
      <c r="D137" s="660"/>
      <c r="E137" s="660"/>
      <c r="F137" s="660"/>
      <c r="G137" s="660"/>
      <c r="H137" s="660"/>
    </row>
    <row r="138" spans="1:8">
      <c r="A138" s="661" t="s">
        <v>760</v>
      </c>
      <c r="B138" s="660"/>
      <c r="C138" s="660"/>
      <c r="D138" s="660"/>
      <c r="E138" s="660"/>
      <c r="F138" s="660"/>
      <c r="G138" s="660"/>
      <c r="H138" s="660"/>
    </row>
    <row r="139" spans="1:8">
      <c r="A139" s="661" t="s">
        <v>761</v>
      </c>
      <c r="B139" s="660"/>
      <c r="C139" s="660"/>
      <c r="D139" s="660"/>
      <c r="E139" s="660"/>
      <c r="F139" s="660"/>
      <c r="G139" s="660"/>
      <c r="H139" s="660"/>
    </row>
    <row r="140" spans="1:8">
      <c r="A140" s="661" t="s">
        <v>762</v>
      </c>
      <c r="B140" s="660"/>
      <c r="C140" s="660"/>
      <c r="D140" s="660"/>
      <c r="E140" s="660"/>
      <c r="F140" s="660"/>
      <c r="G140" s="660"/>
      <c r="H140" s="660"/>
    </row>
    <row r="141" spans="1:8">
      <c r="A141" s="661" t="s">
        <v>763</v>
      </c>
      <c r="B141" s="660"/>
      <c r="C141" s="660"/>
      <c r="D141" s="660"/>
      <c r="E141" s="660"/>
      <c r="F141" s="660"/>
      <c r="G141" s="660"/>
      <c r="H141" s="660"/>
    </row>
    <row r="142" spans="1:8">
      <c r="A142" s="660"/>
      <c r="B142" s="660"/>
      <c r="C142" s="660"/>
      <c r="D142" s="660"/>
      <c r="E142" s="660"/>
      <c r="F142" s="660"/>
      <c r="G142" s="660"/>
      <c r="H142" s="660"/>
    </row>
    <row r="143" spans="1:8" ht="15.75">
      <c r="A143" s="662" t="s">
        <v>764</v>
      </c>
      <c r="B143" s="660"/>
      <c r="C143" s="660"/>
      <c r="D143" s="660"/>
      <c r="E143" s="660"/>
      <c r="F143" s="660"/>
      <c r="G143" s="660"/>
      <c r="H143" s="660"/>
    </row>
    <row r="144" spans="1:8">
      <c r="A144" s="660"/>
      <c r="B144" s="660"/>
      <c r="C144" s="660"/>
      <c r="D144" s="660"/>
      <c r="E144" s="660"/>
      <c r="F144" s="660"/>
      <c r="G144" s="660"/>
      <c r="H144" s="660"/>
    </row>
    <row r="145" spans="1:8">
      <c r="A145" s="661" t="s">
        <v>765</v>
      </c>
      <c r="B145" s="660"/>
      <c r="C145" s="660"/>
      <c r="D145" s="660"/>
      <c r="E145" s="660"/>
      <c r="F145" s="660"/>
      <c r="G145" s="660"/>
      <c r="H145" s="660"/>
    </row>
    <row r="146" spans="1:8">
      <c r="A146" s="661" t="s">
        <v>766</v>
      </c>
      <c r="B146" s="660"/>
      <c r="C146" s="660"/>
      <c r="D146" s="660"/>
      <c r="E146" s="660"/>
      <c r="F146" s="660"/>
      <c r="G146" s="660"/>
      <c r="H146" s="660"/>
    </row>
    <row r="147" spans="1:8">
      <c r="A147" s="660"/>
      <c r="B147" s="660"/>
      <c r="C147" s="660"/>
      <c r="D147" s="660"/>
      <c r="E147" s="660"/>
      <c r="F147" s="660"/>
      <c r="G147" s="660"/>
      <c r="H147" s="660"/>
    </row>
    <row r="148" spans="1:8">
      <c r="A148" s="661" t="s">
        <v>767</v>
      </c>
      <c r="B148" s="660"/>
      <c r="C148" s="660"/>
      <c r="D148" s="660"/>
      <c r="E148" s="660"/>
      <c r="F148" s="660"/>
      <c r="G148" s="660"/>
      <c r="H148" s="660"/>
    </row>
    <row r="149" spans="1:8">
      <c r="A149" s="661" t="s">
        <v>768</v>
      </c>
      <c r="B149" s="660"/>
      <c r="C149" s="660"/>
      <c r="D149" s="660"/>
      <c r="E149" s="660"/>
      <c r="F149" s="660"/>
      <c r="G149" s="660"/>
      <c r="H149" s="660"/>
    </row>
    <row r="150" spans="1:8">
      <c r="A150" s="661" t="s">
        <v>769</v>
      </c>
      <c r="B150" s="660"/>
      <c r="C150" s="660"/>
      <c r="D150" s="660"/>
      <c r="E150" s="660"/>
      <c r="F150" s="660"/>
      <c r="G150" s="660"/>
      <c r="H150" s="660"/>
    </row>
    <row r="151" spans="1:8">
      <c r="A151" s="660"/>
      <c r="B151" s="660"/>
      <c r="C151" s="660"/>
      <c r="D151" s="660"/>
      <c r="E151" s="660"/>
      <c r="F151" s="660"/>
      <c r="G151" s="660"/>
      <c r="H151" s="660"/>
    </row>
    <row r="152" spans="1:8">
      <c r="A152" s="661" t="s">
        <v>770</v>
      </c>
      <c r="B152" s="660"/>
      <c r="C152" s="660"/>
      <c r="D152" s="660"/>
      <c r="E152" s="660"/>
      <c r="F152" s="660"/>
      <c r="G152" s="660"/>
      <c r="H152" s="660"/>
    </row>
    <row r="153" spans="1:8">
      <c r="A153" s="661" t="s">
        <v>771</v>
      </c>
      <c r="B153" s="660"/>
      <c r="C153" s="660"/>
      <c r="D153" s="660"/>
      <c r="E153" s="660"/>
      <c r="F153" s="660"/>
      <c r="G153" s="660"/>
      <c r="H153" s="660"/>
    </row>
    <row r="154" spans="1:8">
      <c r="A154" s="661" t="s">
        <v>772</v>
      </c>
      <c r="B154" s="660"/>
      <c r="C154" s="660"/>
      <c r="D154" s="660"/>
      <c r="E154" s="660"/>
      <c r="F154" s="660"/>
      <c r="G154" s="660"/>
      <c r="H154" s="660"/>
    </row>
    <row r="155" spans="1:8">
      <c r="A155" s="660"/>
      <c r="B155" s="660"/>
      <c r="C155" s="660"/>
      <c r="D155" s="660"/>
      <c r="E155" s="660"/>
      <c r="F155" s="660"/>
      <c r="G155" s="660"/>
      <c r="H155" s="660"/>
    </row>
    <row r="156" spans="1:8">
      <c r="A156" s="661" t="s">
        <v>773</v>
      </c>
      <c r="B156" s="660"/>
      <c r="C156" s="660"/>
      <c r="D156" s="660"/>
      <c r="E156" s="660"/>
      <c r="F156" s="660"/>
      <c r="G156" s="660"/>
      <c r="H156" s="660"/>
    </row>
    <row r="157" spans="1:8">
      <c r="A157" s="661" t="s">
        <v>774</v>
      </c>
      <c r="B157" s="660"/>
      <c r="C157" s="660"/>
      <c r="D157" s="660"/>
      <c r="E157" s="660"/>
      <c r="F157" s="660"/>
      <c r="G157" s="660"/>
      <c r="H157" s="660"/>
    </row>
    <row r="158" spans="1:8">
      <c r="A158" s="661" t="s">
        <v>775</v>
      </c>
      <c r="B158" s="660"/>
      <c r="C158" s="660"/>
      <c r="D158" s="660"/>
      <c r="E158" s="660"/>
      <c r="F158" s="660"/>
      <c r="G158" s="660"/>
      <c r="H158" s="660"/>
    </row>
    <row r="159" spans="1:8">
      <c r="A159" s="660"/>
      <c r="B159" s="660"/>
      <c r="C159" s="660"/>
      <c r="D159" s="660"/>
      <c r="E159" s="660"/>
      <c r="F159" s="660"/>
      <c r="G159" s="660"/>
      <c r="H159" s="660"/>
    </row>
    <row r="160" spans="1:8">
      <c r="A160" s="661" t="s">
        <v>776</v>
      </c>
      <c r="B160" s="660"/>
      <c r="C160" s="660"/>
      <c r="D160" s="660"/>
      <c r="E160" s="660"/>
      <c r="F160" s="660"/>
      <c r="G160" s="660"/>
      <c r="H160" s="660"/>
    </row>
    <row r="161" spans="1:8">
      <c r="A161" s="661" t="s">
        <v>777</v>
      </c>
      <c r="B161" s="660"/>
      <c r="C161" s="660"/>
      <c r="D161" s="660"/>
      <c r="E161" s="660"/>
      <c r="F161" s="660"/>
      <c r="G161" s="660"/>
      <c r="H161" s="660"/>
    </row>
    <row r="162" spans="1:8">
      <c r="A162" s="660"/>
      <c r="B162" s="660"/>
      <c r="C162" s="660"/>
      <c r="D162" s="660"/>
      <c r="E162" s="660"/>
      <c r="F162" s="660"/>
      <c r="G162" s="660"/>
      <c r="H162" s="660"/>
    </row>
    <row r="163" spans="1:8" ht="15.75">
      <c r="A163" s="662" t="s">
        <v>778</v>
      </c>
      <c r="B163" s="660"/>
      <c r="C163" s="660"/>
      <c r="D163" s="660"/>
      <c r="E163" s="660"/>
      <c r="F163" s="660"/>
      <c r="G163" s="660"/>
      <c r="H163" s="660"/>
    </row>
    <row r="164" spans="1:8">
      <c r="A164" s="660"/>
      <c r="B164" s="660"/>
      <c r="C164" s="660"/>
      <c r="D164" s="660"/>
      <c r="E164" s="660"/>
      <c r="F164" s="660"/>
      <c r="G164" s="660"/>
      <c r="H164" s="660"/>
    </row>
    <row r="165" spans="1:8">
      <c r="A165" s="661" t="s">
        <v>779</v>
      </c>
      <c r="B165" s="660"/>
      <c r="C165" s="660"/>
      <c r="D165" s="660"/>
      <c r="E165" s="660"/>
      <c r="F165" s="660"/>
      <c r="G165" s="660"/>
      <c r="H165" s="660"/>
    </row>
    <row r="166" spans="1:8">
      <c r="A166" s="661" t="s">
        <v>780</v>
      </c>
      <c r="B166" s="660"/>
      <c r="C166" s="660"/>
      <c r="D166" s="660"/>
      <c r="E166" s="660"/>
      <c r="F166" s="660"/>
      <c r="G166" s="660"/>
      <c r="H166" s="660"/>
    </row>
    <row r="167" spans="1:8">
      <c r="A167" s="660"/>
      <c r="B167" s="660"/>
      <c r="C167" s="660"/>
      <c r="D167" s="660"/>
      <c r="E167" s="660"/>
      <c r="F167" s="660"/>
      <c r="G167" s="660"/>
      <c r="H167" s="660"/>
    </row>
    <row r="168" spans="1:8">
      <c r="A168" s="661" t="s">
        <v>781</v>
      </c>
      <c r="B168" s="660"/>
      <c r="C168" s="660"/>
      <c r="D168" s="660"/>
      <c r="E168" s="660"/>
      <c r="F168" s="660"/>
      <c r="G168" s="660"/>
      <c r="H168" s="660"/>
    </row>
    <row r="169" spans="1:8">
      <c r="A169" s="661" t="s">
        <v>782</v>
      </c>
      <c r="B169" s="660"/>
      <c r="C169" s="660"/>
      <c r="D169" s="660"/>
      <c r="E169" s="660"/>
      <c r="F169" s="660"/>
      <c r="G169" s="660"/>
      <c r="H169" s="660"/>
    </row>
    <row r="170" spans="1:8">
      <c r="A170" s="660"/>
      <c r="B170" s="660"/>
      <c r="C170" s="660"/>
      <c r="D170" s="660"/>
      <c r="E170" s="660"/>
      <c r="F170" s="660"/>
      <c r="G170" s="660"/>
      <c r="H170" s="660"/>
    </row>
    <row r="171" spans="1:8">
      <c r="A171" s="661" t="s">
        <v>783</v>
      </c>
      <c r="B171" s="660"/>
      <c r="C171" s="660"/>
      <c r="D171" s="660"/>
      <c r="E171" s="660"/>
      <c r="F171" s="660"/>
      <c r="G171" s="660"/>
      <c r="H171" s="660"/>
    </row>
    <row r="172" spans="1:8">
      <c r="A172" s="661" t="s">
        <v>784</v>
      </c>
      <c r="B172" s="660"/>
      <c r="C172" s="660"/>
      <c r="D172" s="660"/>
      <c r="E172" s="660"/>
      <c r="F172" s="660"/>
      <c r="G172" s="660"/>
      <c r="H172" s="660"/>
    </row>
    <row r="173" spans="1:8">
      <c r="A173" s="660"/>
      <c r="B173" s="660"/>
      <c r="C173" s="660"/>
      <c r="D173" s="660"/>
      <c r="E173" s="660"/>
      <c r="F173" s="660"/>
      <c r="G173" s="660"/>
      <c r="H173" s="660"/>
    </row>
    <row r="174" spans="1:8">
      <c r="A174" s="661" t="s">
        <v>785</v>
      </c>
      <c r="B174" s="660"/>
      <c r="C174" s="660"/>
      <c r="D174" s="660"/>
      <c r="E174" s="660"/>
      <c r="F174" s="660"/>
      <c r="G174" s="660"/>
      <c r="H174" s="660"/>
    </row>
    <row r="175" spans="1:8">
      <c r="A175" s="661" t="s">
        <v>786</v>
      </c>
      <c r="B175" s="660"/>
      <c r="C175" s="660"/>
      <c r="D175" s="660"/>
      <c r="E175" s="660"/>
      <c r="F175" s="660"/>
      <c r="G175" s="660"/>
      <c r="H175" s="660"/>
    </row>
    <row r="176" spans="1:8">
      <c r="A176" s="661" t="s">
        <v>787</v>
      </c>
      <c r="B176" s="660"/>
      <c r="C176" s="660"/>
      <c r="D176" s="660"/>
      <c r="E176" s="660"/>
      <c r="F176" s="660"/>
      <c r="G176" s="660"/>
      <c r="H176" s="660"/>
    </row>
    <row r="177" spans="1:8">
      <c r="A177" s="660"/>
      <c r="B177" s="660"/>
      <c r="C177" s="660"/>
      <c r="D177" s="660"/>
      <c r="E177" s="660"/>
      <c r="F177" s="660"/>
      <c r="G177" s="660"/>
      <c r="H177" s="660"/>
    </row>
    <row r="178" spans="1:8">
      <c r="A178" s="661" t="s">
        <v>690</v>
      </c>
      <c r="B178" s="660"/>
      <c r="C178" s="660"/>
      <c r="D178" s="660"/>
      <c r="E178" s="660"/>
      <c r="F178" s="660"/>
      <c r="G178" s="660"/>
      <c r="H178" s="660"/>
    </row>
    <row r="179" spans="1:8">
      <c r="A179" s="660"/>
      <c r="B179" s="660"/>
      <c r="C179" s="660"/>
      <c r="D179" s="660"/>
      <c r="E179" s="660"/>
      <c r="F179" s="660"/>
      <c r="G179" s="660"/>
      <c r="H179" s="660"/>
    </row>
    <row r="180" spans="1:8" ht="15.75">
      <c r="A180" s="662" t="s">
        <v>788</v>
      </c>
      <c r="B180" s="660"/>
      <c r="C180" s="660"/>
      <c r="D180" s="660"/>
      <c r="E180" s="660"/>
      <c r="F180" s="660"/>
      <c r="G180" s="660"/>
      <c r="H180" s="660"/>
    </row>
    <row r="181" spans="1:8">
      <c r="A181" s="660"/>
      <c r="B181" s="660"/>
      <c r="C181" s="660"/>
      <c r="D181" s="660"/>
      <c r="E181" s="660"/>
      <c r="F181" s="660"/>
      <c r="G181" s="660"/>
      <c r="H181" s="660"/>
    </row>
    <row r="182" spans="1:8">
      <c r="A182" s="660"/>
      <c r="B182" s="660"/>
      <c r="C182" s="660"/>
      <c r="D182" s="660"/>
      <c r="E182" s="660"/>
      <c r="F182" s="660"/>
      <c r="G182" s="660"/>
      <c r="H182" s="660"/>
    </row>
    <row r="183" spans="1:8">
      <c r="A183" s="660"/>
      <c r="B183" s="660"/>
      <c r="C183" s="660"/>
      <c r="D183" s="660"/>
      <c r="E183" s="660"/>
      <c r="F183" s="660"/>
      <c r="G183" s="660"/>
      <c r="H183" s="660"/>
    </row>
    <row r="184" spans="1:8">
      <c r="A184" s="660"/>
      <c r="B184" s="660"/>
      <c r="C184" s="660"/>
      <c r="D184" s="660"/>
      <c r="E184" s="660"/>
      <c r="F184" s="660"/>
      <c r="G184" s="660"/>
      <c r="H184" s="660"/>
    </row>
    <row r="185" spans="1:8">
      <c r="A185" s="660"/>
      <c r="B185" s="660"/>
      <c r="C185" s="660"/>
      <c r="D185" s="660"/>
      <c r="E185" s="660"/>
      <c r="F185" s="660"/>
      <c r="G185" s="660"/>
      <c r="H185" s="660"/>
    </row>
    <row r="186" spans="1:8">
      <c r="A186" s="660"/>
      <c r="B186" s="660"/>
      <c r="C186" s="660"/>
      <c r="D186" s="660"/>
      <c r="E186" s="660"/>
      <c r="F186" s="660"/>
      <c r="G186" s="660"/>
      <c r="H186" s="660"/>
    </row>
    <row r="187" spans="1:8">
      <c r="A187" s="660"/>
      <c r="B187" s="660"/>
      <c r="C187" s="660"/>
      <c r="D187" s="660"/>
      <c r="E187" s="660"/>
      <c r="F187" s="660"/>
      <c r="G187" s="660"/>
      <c r="H187" s="660"/>
    </row>
    <row r="188" spans="1:8">
      <c r="A188" s="660"/>
      <c r="B188" s="660"/>
      <c r="C188" s="660"/>
      <c r="D188" s="660"/>
      <c r="E188" s="660"/>
      <c r="F188" s="660"/>
      <c r="G188" s="660"/>
      <c r="H188" s="660"/>
    </row>
    <row r="189" spans="1:8">
      <c r="A189" s="660"/>
      <c r="B189" s="660"/>
      <c r="C189" s="660"/>
      <c r="D189" s="660"/>
      <c r="E189" s="660"/>
      <c r="F189" s="660"/>
      <c r="G189" s="660"/>
      <c r="H189" s="660"/>
    </row>
    <row r="190" spans="1:8">
      <c r="A190" s="660"/>
      <c r="B190" s="660"/>
      <c r="C190" s="660"/>
      <c r="D190" s="660"/>
      <c r="E190" s="660"/>
      <c r="F190" s="660"/>
      <c r="G190" s="660"/>
      <c r="H190" s="660"/>
    </row>
    <row r="191" spans="1:8">
      <c r="A191" s="660"/>
      <c r="B191" s="660"/>
      <c r="C191" s="660"/>
      <c r="D191" s="660"/>
      <c r="E191" s="660"/>
      <c r="F191" s="660"/>
      <c r="G191" s="660"/>
      <c r="H191" s="660"/>
    </row>
    <row r="192" spans="1:8">
      <c r="A192" s="660"/>
      <c r="B192" s="660"/>
      <c r="C192" s="660"/>
      <c r="D192" s="660"/>
      <c r="E192" s="660"/>
      <c r="F192" s="660"/>
      <c r="G192" s="660"/>
      <c r="H192" s="660"/>
    </row>
    <row r="193" spans="1:8">
      <c r="A193" s="660"/>
      <c r="B193" s="660"/>
      <c r="C193" s="660"/>
      <c r="D193" s="660"/>
      <c r="E193" s="660"/>
      <c r="F193" s="660"/>
      <c r="G193" s="660"/>
      <c r="H193" s="660"/>
    </row>
    <row r="194" spans="1:8">
      <c r="A194" s="660"/>
      <c r="B194" s="660"/>
      <c r="C194" s="660"/>
      <c r="D194" s="660"/>
      <c r="E194" s="660"/>
      <c r="F194" s="660"/>
      <c r="G194" s="660"/>
      <c r="H194" s="660"/>
    </row>
    <row r="195" spans="1:8">
      <c r="A195" s="660"/>
      <c r="B195" s="660"/>
      <c r="C195" s="660"/>
      <c r="D195" s="660"/>
      <c r="E195" s="660"/>
      <c r="F195" s="660"/>
      <c r="G195" s="660"/>
      <c r="H195" s="660"/>
    </row>
    <row r="196" spans="1:8">
      <c r="A196" s="660"/>
      <c r="B196" s="660"/>
      <c r="C196" s="660"/>
      <c r="D196" s="660"/>
      <c r="E196" s="660"/>
      <c r="F196" s="660"/>
      <c r="G196" s="660"/>
      <c r="H196" s="660"/>
    </row>
    <row r="197" spans="1:8">
      <c r="A197" s="660"/>
      <c r="B197" s="660"/>
      <c r="C197" s="660"/>
      <c r="D197" s="660"/>
      <c r="E197" s="660"/>
      <c r="F197" s="660"/>
      <c r="G197" s="660"/>
      <c r="H197" s="660"/>
    </row>
    <row r="198" spans="1:8">
      <c r="A198" s="660"/>
      <c r="B198" s="660"/>
      <c r="C198" s="660"/>
      <c r="D198" s="660"/>
      <c r="E198" s="660"/>
      <c r="F198" s="660"/>
      <c r="G198" s="660"/>
      <c r="H198" s="660"/>
    </row>
    <row r="199" spans="1:8">
      <c r="A199" s="660"/>
      <c r="B199" s="660"/>
      <c r="C199" s="660"/>
      <c r="D199" s="660"/>
      <c r="E199" s="660"/>
      <c r="F199" s="660"/>
      <c r="G199" s="660"/>
      <c r="H199" s="660"/>
    </row>
    <row r="200" spans="1:8">
      <c r="A200" s="660"/>
      <c r="B200" s="660"/>
      <c r="C200" s="660"/>
      <c r="D200" s="660"/>
      <c r="E200" s="660"/>
      <c r="F200" s="660"/>
      <c r="G200" s="660"/>
      <c r="H200" s="660"/>
    </row>
    <row r="201" spans="1:8">
      <c r="A201" s="660"/>
      <c r="B201" s="660"/>
      <c r="C201" s="660"/>
      <c r="D201" s="660"/>
      <c r="E201" s="660"/>
      <c r="F201" s="660"/>
      <c r="G201" s="660"/>
      <c r="H201" s="660"/>
    </row>
    <row r="202" spans="1:8">
      <c r="A202" s="660"/>
      <c r="B202" s="660"/>
      <c r="C202" s="660"/>
      <c r="D202" s="660"/>
      <c r="E202" s="660"/>
      <c r="F202" s="660"/>
      <c r="G202" s="660"/>
      <c r="H202" s="660"/>
    </row>
    <row r="203" spans="1:8">
      <c r="A203" s="660"/>
      <c r="B203" s="660"/>
      <c r="C203" s="660"/>
      <c r="D203" s="660"/>
      <c r="E203" s="660"/>
      <c r="F203" s="660"/>
      <c r="G203" s="660"/>
      <c r="H203" s="660"/>
    </row>
    <row r="204" spans="1:8" ht="15.75">
      <c r="A204" s="662" t="s">
        <v>789</v>
      </c>
      <c r="B204" s="660"/>
      <c r="C204" s="660"/>
      <c r="D204" s="660"/>
      <c r="E204" s="660"/>
      <c r="F204" s="660"/>
      <c r="G204" s="660"/>
      <c r="H204" s="660"/>
    </row>
    <row r="205" spans="1:8">
      <c r="A205" s="660"/>
      <c r="B205" s="660"/>
      <c r="C205" s="660"/>
      <c r="D205" s="660"/>
      <c r="E205" s="660"/>
      <c r="F205" s="660"/>
      <c r="G205" s="660"/>
      <c r="H205" s="660"/>
    </row>
    <row r="206" spans="1:8">
      <c r="A206" s="661" t="s">
        <v>790</v>
      </c>
      <c r="B206" s="660"/>
      <c r="C206" s="660"/>
      <c r="D206" s="660"/>
      <c r="E206" s="660"/>
      <c r="F206" s="660"/>
      <c r="G206" s="660"/>
      <c r="H206" s="660"/>
    </row>
    <row r="207" spans="1:8">
      <c r="A207" s="661" t="s">
        <v>791</v>
      </c>
      <c r="B207" s="660"/>
      <c r="C207" s="660"/>
      <c r="D207" s="660"/>
      <c r="E207" s="660"/>
      <c r="F207" s="660"/>
      <c r="G207" s="660"/>
      <c r="H207" s="660"/>
    </row>
    <row r="208" spans="1:8">
      <c r="A208" s="661" t="s">
        <v>792</v>
      </c>
      <c r="B208" s="660"/>
      <c r="C208" s="660"/>
      <c r="D208" s="660"/>
      <c r="E208" s="660"/>
      <c r="F208" s="660"/>
      <c r="G208" s="660"/>
      <c r="H208" s="660"/>
    </row>
    <row r="209" spans="1:8">
      <c r="A209" s="661" t="s">
        <v>793</v>
      </c>
      <c r="B209" s="660"/>
      <c r="C209" s="660"/>
      <c r="D209" s="660"/>
      <c r="E209" s="660"/>
      <c r="F209" s="660"/>
      <c r="G209" s="660"/>
      <c r="H209" s="660"/>
    </row>
    <row r="210" spans="1:8">
      <c r="A210" s="661" t="s">
        <v>794</v>
      </c>
      <c r="B210" s="660"/>
      <c r="C210" s="660"/>
      <c r="D210" s="660"/>
      <c r="E210" s="660"/>
      <c r="F210" s="660"/>
      <c r="G210" s="660"/>
      <c r="H210" s="660"/>
    </row>
    <row r="211" spans="1:8">
      <c r="A211" s="660"/>
      <c r="B211" s="660"/>
      <c r="C211" s="660"/>
      <c r="D211" s="660"/>
      <c r="E211" s="660"/>
      <c r="F211" s="660"/>
      <c r="G211" s="660"/>
      <c r="H211" s="660"/>
    </row>
    <row r="212" spans="1:8">
      <c r="A212" s="661" t="s">
        <v>795</v>
      </c>
      <c r="B212" s="660"/>
      <c r="C212" s="660"/>
      <c r="D212" s="660"/>
      <c r="E212" s="660"/>
      <c r="F212" s="660"/>
      <c r="G212" s="660"/>
      <c r="H212" s="660"/>
    </row>
    <row r="213" spans="1:8">
      <c r="A213" s="661" t="s">
        <v>796</v>
      </c>
      <c r="B213" s="660"/>
      <c r="C213" s="660"/>
      <c r="D213" s="660"/>
      <c r="E213" s="660"/>
      <c r="F213" s="660"/>
      <c r="G213" s="660"/>
      <c r="H213" s="660"/>
    </row>
    <row r="214" spans="1:8">
      <c r="A214" s="661" t="s">
        <v>797</v>
      </c>
      <c r="B214" s="660"/>
      <c r="C214" s="660"/>
      <c r="D214" s="660"/>
      <c r="E214" s="660"/>
      <c r="F214" s="660"/>
      <c r="G214" s="660"/>
      <c r="H214" s="660"/>
    </row>
    <row r="215" spans="1:8">
      <c r="A215" s="660"/>
      <c r="B215" s="660"/>
      <c r="C215" s="660"/>
      <c r="D215" s="660"/>
      <c r="E215" s="660"/>
      <c r="F215" s="660"/>
      <c r="G215" s="660"/>
      <c r="H215" s="660"/>
    </row>
    <row r="216" spans="1:8" ht="15.75">
      <c r="A216" s="662" t="s">
        <v>798</v>
      </c>
      <c r="B216" s="660"/>
      <c r="C216" s="660"/>
      <c r="D216" s="660"/>
      <c r="E216" s="660"/>
      <c r="F216" s="660"/>
      <c r="G216" s="660"/>
      <c r="H216" s="660"/>
    </row>
    <row r="217" spans="1:8">
      <c r="A217" s="660"/>
      <c r="B217" s="660"/>
      <c r="C217" s="660"/>
      <c r="D217" s="660"/>
      <c r="E217" s="660"/>
      <c r="F217" s="660"/>
      <c r="G217" s="660"/>
      <c r="H217" s="660"/>
    </row>
    <row r="218" spans="1:8">
      <c r="A218" s="661" t="s">
        <v>799</v>
      </c>
      <c r="B218" s="660"/>
      <c r="C218" s="660"/>
      <c r="D218" s="660"/>
      <c r="E218" s="660"/>
      <c r="F218" s="660"/>
      <c r="G218" s="660"/>
      <c r="H218" s="660"/>
    </row>
    <row r="219" spans="1:8">
      <c r="A219" s="661" t="s">
        <v>800</v>
      </c>
      <c r="B219" s="660"/>
      <c r="C219" s="660"/>
      <c r="D219" s="660"/>
      <c r="E219" s="660"/>
      <c r="F219" s="660"/>
      <c r="G219" s="660"/>
      <c r="H219" s="660"/>
    </row>
    <row r="220" spans="1:8">
      <c r="A220" s="661" t="s">
        <v>801</v>
      </c>
      <c r="B220" s="660"/>
      <c r="C220" s="660"/>
      <c r="D220" s="660"/>
      <c r="E220" s="660"/>
      <c r="F220" s="660"/>
      <c r="G220" s="660"/>
      <c r="H220" s="660"/>
    </row>
    <row r="221" spans="1:8">
      <c r="A221" s="661" t="s">
        <v>802</v>
      </c>
      <c r="B221" s="660"/>
      <c r="C221" s="660"/>
      <c r="D221" s="660"/>
      <c r="E221" s="660"/>
      <c r="F221" s="660"/>
      <c r="G221" s="660"/>
      <c r="H221" s="660"/>
    </row>
    <row r="222" spans="1:8">
      <c r="A222" s="661" t="s">
        <v>803</v>
      </c>
      <c r="B222" s="660"/>
      <c r="C222" s="660"/>
      <c r="D222" s="660"/>
      <c r="E222" s="660"/>
      <c r="F222" s="660"/>
      <c r="G222" s="660"/>
      <c r="H222" s="660"/>
    </row>
    <row r="223" spans="1:8">
      <c r="A223" s="661" t="s">
        <v>804</v>
      </c>
      <c r="B223" s="660"/>
      <c r="C223" s="660"/>
      <c r="D223" s="660"/>
      <c r="E223" s="660"/>
      <c r="F223" s="660"/>
      <c r="G223" s="660"/>
      <c r="H223" s="660"/>
    </row>
    <row r="224" spans="1:8">
      <c r="A224" s="661" t="s">
        <v>805</v>
      </c>
      <c r="B224" s="660"/>
      <c r="C224" s="660"/>
      <c r="D224" s="660"/>
      <c r="E224" s="660"/>
      <c r="F224" s="660"/>
      <c r="G224" s="660"/>
      <c r="H224" s="660"/>
    </row>
    <row r="225" spans="1:8">
      <c r="A225" s="660"/>
      <c r="B225" s="660"/>
      <c r="C225" s="660"/>
      <c r="D225" s="660"/>
      <c r="E225" s="660"/>
      <c r="F225" s="660"/>
      <c r="G225" s="660"/>
      <c r="H225" s="660"/>
    </row>
    <row r="226" spans="1:8">
      <c r="A226" s="661" t="s">
        <v>806</v>
      </c>
      <c r="B226" s="660"/>
      <c r="C226" s="660"/>
      <c r="D226" s="660"/>
      <c r="E226" s="660"/>
      <c r="F226" s="660"/>
      <c r="G226" s="660"/>
      <c r="H226" s="660"/>
    </row>
    <row r="227" spans="1:8">
      <c r="A227" s="661" t="s">
        <v>807</v>
      </c>
      <c r="B227" s="660"/>
      <c r="C227" s="660"/>
      <c r="D227" s="660"/>
      <c r="E227" s="660"/>
      <c r="F227" s="660"/>
      <c r="G227" s="660"/>
      <c r="H227" s="660"/>
    </row>
    <row r="228" spans="1:8">
      <c r="A228" s="661" t="s">
        <v>808</v>
      </c>
      <c r="B228" s="660"/>
      <c r="C228" s="660"/>
      <c r="D228" s="660"/>
      <c r="E228" s="660"/>
      <c r="F228" s="660"/>
      <c r="G228" s="660"/>
      <c r="H228" s="660"/>
    </row>
    <row r="229" spans="1:8">
      <c r="A229" s="660"/>
      <c r="B229" s="660"/>
      <c r="C229" s="660"/>
      <c r="D229" s="660"/>
      <c r="E229" s="660"/>
      <c r="F229" s="660"/>
      <c r="G229" s="660"/>
      <c r="H229" s="660"/>
    </row>
    <row r="230" spans="1:8">
      <c r="A230" s="661" t="s">
        <v>809</v>
      </c>
      <c r="B230" s="660"/>
      <c r="C230" s="660"/>
      <c r="D230" s="660"/>
      <c r="E230" s="660"/>
      <c r="F230" s="660"/>
      <c r="G230" s="660"/>
      <c r="H230" s="660"/>
    </row>
    <row r="231" spans="1:8">
      <c r="A231" s="661" t="s">
        <v>810</v>
      </c>
      <c r="B231" s="660"/>
      <c r="C231" s="660"/>
      <c r="D231" s="660"/>
      <c r="E231" s="660"/>
      <c r="F231" s="660"/>
      <c r="G231" s="660"/>
      <c r="H231" s="660"/>
    </row>
    <row r="232" spans="1:8">
      <c r="A232" s="661" t="s">
        <v>811</v>
      </c>
      <c r="B232" s="660"/>
      <c r="C232" s="660"/>
      <c r="D232" s="660"/>
      <c r="E232" s="660"/>
      <c r="F232" s="660"/>
      <c r="G232" s="660"/>
      <c r="H232" s="660"/>
    </row>
    <row r="233" spans="1:8">
      <c r="A233" s="661" t="s">
        <v>812</v>
      </c>
      <c r="B233" s="660"/>
      <c r="C233" s="660"/>
      <c r="D233" s="660"/>
      <c r="E233" s="660"/>
      <c r="F233" s="660"/>
      <c r="G233" s="660"/>
      <c r="H233" s="660"/>
    </row>
    <row r="234" spans="1:8">
      <c r="A234" s="661" t="s">
        <v>813</v>
      </c>
      <c r="B234" s="660"/>
      <c r="C234" s="660"/>
      <c r="D234" s="660"/>
      <c r="E234" s="660"/>
      <c r="F234" s="660"/>
      <c r="G234" s="660"/>
      <c r="H234" s="660"/>
    </row>
    <row r="235" spans="1:8">
      <c r="A235" s="660"/>
      <c r="B235" s="660"/>
      <c r="C235" s="660"/>
      <c r="D235" s="660"/>
      <c r="E235" s="660"/>
      <c r="F235" s="660"/>
      <c r="G235" s="660"/>
      <c r="H235" s="660"/>
    </row>
    <row r="236" spans="1:8">
      <c r="A236" s="661" t="s">
        <v>814</v>
      </c>
      <c r="B236" s="660"/>
      <c r="C236" s="660"/>
      <c r="D236" s="660"/>
      <c r="E236" s="660"/>
      <c r="F236" s="660"/>
      <c r="G236" s="660"/>
      <c r="H236" s="660"/>
    </row>
    <row r="237" spans="1:8">
      <c r="A237" s="661" t="s">
        <v>815</v>
      </c>
      <c r="B237" s="660"/>
      <c r="C237" s="660"/>
      <c r="D237" s="660"/>
      <c r="E237" s="660"/>
      <c r="F237" s="660"/>
      <c r="G237" s="660"/>
      <c r="H237" s="660"/>
    </row>
    <row r="238" spans="1:8">
      <c r="A238" s="661" t="s">
        <v>816</v>
      </c>
      <c r="B238" s="660"/>
      <c r="C238" s="660"/>
      <c r="D238" s="660"/>
      <c r="E238" s="660"/>
      <c r="F238" s="660"/>
      <c r="G238" s="660"/>
      <c r="H238" s="660"/>
    </row>
    <row r="239" spans="1:8">
      <c r="A239" s="661" t="s">
        <v>817</v>
      </c>
      <c r="B239" s="660"/>
      <c r="C239" s="660"/>
      <c r="D239" s="660"/>
      <c r="E239" s="660"/>
      <c r="F239" s="660"/>
      <c r="G239" s="660"/>
      <c r="H239" s="660"/>
    </row>
    <row r="240" spans="1:8">
      <c r="A240" s="661" t="s">
        <v>818</v>
      </c>
      <c r="B240" s="660"/>
      <c r="C240" s="660"/>
      <c r="D240" s="660"/>
      <c r="E240" s="660"/>
      <c r="F240" s="660"/>
      <c r="G240" s="660"/>
      <c r="H240" s="660"/>
    </row>
    <row r="241" spans="1:8">
      <c r="A241" s="661" t="s">
        <v>819</v>
      </c>
      <c r="B241" s="660"/>
      <c r="C241" s="660"/>
      <c r="D241" s="660"/>
      <c r="E241" s="660"/>
      <c r="F241" s="660"/>
      <c r="G241" s="660"/>
      <c r="H241" s="660"/>
    </row>
    <row r="242" spans="1:8">
      <c r="A242" s="660"/>
      <c r="B242" s="660"/>
      <c r="C242" s="660"/>
      <c r="D242" s="660"/>
      <c r="E242" s="660"/>
      <c r="F242" s="660"/>
      <c r="G242" s="660"/>
      <c r="H242" s="660"/>
    </row>
    <row r="243" spans="1:8">
      <c r="A243" s="661" t="s">
        <v>820</v>
      </c>
      <c r="B243" s="660"/>
      <c r="C243" s="660"/>
      <c r="D243" s="660"/>
      <c r="E243" s="660"/>
      <c r="F243" s="660"/>
      <c r="G243" s="660"/>
      <c r="H243" s="660"/>
    </row>
    <row r="244" spans="1:8">
      <c r="A244" s="661" t="s">
        <v>821</v>
      </c>
      <c r="B244" s="660"/>
      <c r="C244" s="660"/>
      <c r="D244" s="660"/>
      <c r="E244" s="660"/>
      <c r="F244" s="660"/>
      <c r="G244" s="660"/>
      <c r="H244" s="660"/>
    </row>
    <row r="245" spans="1:8">
      <c r="A245" s="661" t="s">
        <v>822</v>
      </c>
      <c r="B245" s="660"/>
      <c r="C245" s="660"/>
      <c r="D245" s="660"/>
      <c r="E245" s="660"/>
      <c r="F245" s="660"/>
      <c r="G245" s="660"/>
      <c r="H245" s="660"/>
    </row>
    <row r="246" spans="1:8">
      <c r="A246" s="661" t="s">
        <v>823</v>
      </c>
      <c r="B246" s="660"/>
      <c r="C246" s="660"/>
      <c r="D246" s="660"/>
      <c r="E246" s="660"/>
      <c r="F246" s="660"/>
      <c r="G246" s="660"/>
      <c r="H246" s="660"/>
    </row>
    <row r="247" spans="1:8">
      <c r="A247" s="661" t="s">
        <v>824</v>
      </c>
      <c r="B247" s="660"/>
      <c r="C247" s="660"/>
      <c r="D247" s="660"/>
      <c r="E247" s="660"/>
      <c r="F247" s="660"/>
      <c r="G247" s="660"/>
      <c r="H247" s="660"/>
    </row>
    <row r="248" spans="1:8">
      <c r="A248" s="661" t="s">
        <v>825</v>
      </c>
      <c r="B248" s="660"/>
      <c r="C248" s="660"/>
      <c r="D248" s="660"/>
      <c r="E248" s="660"/>
      <c r="F248" s="660"/>
      <c r="G248" s="660"/>
      <c r="H248" s="660"/>
    </row>
    <row r="249" spans="1:8">
      <c r="A249" s="661" t="s">
        <v>826</v>
      </c>
      <c r="B249" s="660"/>
      <c r="C249" s="660"/>
      <c r="D249" s="660"/>
      <c r="E249" s="660"/>
      <c r="F249" s="660"/>
      <c r="G249" s="660"/>
      <c r="H249" s="660"/>
    </row>
    <row r="250" spans="1:8">
      <c r="A250" s="661" t="s">
        <v>827</v>
      </c>
      <c r="B250" s="660"/>
      <c r="C250" s="660"/>
      <c r="D250" s="660"/>
      <c r="E250" s="660"/>
      <c r="F250" s="660"/>
      <c r="G250" s="660"/>
      <c r="H250" s="660"/>
    </row>
    <row r="251" spans="1:8">
      <c r="A251" s="661" t="s">
        <v>828</v>
      </c>
      <c r="B251" s="660"/>
      <c r="C251" s="660"/>
      <c r="D251" s="660"/>
      <c r="E251" s="660"/>
      <c r="F251" s="660"/>
      <c r="G251" s="660"/>
      <c r="H251" s="660"/>
    </row>
    <row r="252" spans="1:8">
      <c r="A252" s="661" t="s">
        <v>829</v>
      </c>
      <c r="B252" s="660"/>
      <c r="C252" s="660"/>
      <c r="D252" s="660"/>
      <c r="E252" s="660"/>
      <c r="F252" s="660"/>
      <c r="G252" s="660"/>
      <c r="H252" s="660"/>
    </row>
    <row r="253" spans="1:8">
      <c r="A253" s="661" t="s">
        <v>830</v>
      </c>
      <c r="B253" s="660"/>
      <c r="C253" s="660"/>
      <c r="D253" s="660"/>
      <c r="E253" s="660"/>
      <c r="F253" s="660"/>
      <c r="G253" s="660"/>
      <c r="H253" s="660"/>
    </row>
    <row r="254" spans="1:8">
      <c r="A254" s="661" t="s">
        <v>831</v>
      </c>
      <c r="B254" s="660"/>
      <c r="C254" s="660"/>
      <c r="D254" s="660"/>
      <c r="E254" s="660"/>
      <c r="F254" s="660"/>
      <c r="G254" s="660"/>
      <c r="H254" s="660"/>
    </row>
    <row r="255" spans="1:8">
      <c r="A255" s="661" t="s">
        <v>832</v>
      </c>
      <c r="B255" s="660"/>
      <c r="C255" s="660"/>
      <c r="D255" s="660"/>
      <c r="E255" s="660"/>
      <c r="F255" s="660"/>
      <c r="G255" s="660"/>
      <c r="H255" s="660"/>
    </row>
    <row r="256" spans="1:8">
      <c r="A256" s="661" t="s">
        <v>833</v>
      </c>
      <c r="B256" s="660"/>
      <c r="C256" s="660"/>
      <c r="D256" s="660"/>
      <c r="E256" s="660"/>
      <c r="F256" s="660"/>
      <c r="G256" s="660"/>
      <c r="H256" s="660"/>
    </row>
    <row r="257" spans="1:8">
      <c r="A257" s="660"/>
      <c r="B257" s="660"/>
      <c r="C257" s="660"/>
      <c r="D257" s="660"/>
      <c r="E257" s="660"/>
      <c r="F257" s="660"/>
      <c r="G257" s="660"/>
      <c r="H257" s="660"/>
    </row>
    <row r="258" spans="1:8">
      <c r="A258" s="661" t="s">
        <v>834</v>
      </c>
      <c r="B258" s="660"/>
      <c r="C258" s="660"/>
      <c r="D258" s="660"/>
      <c r="E258" s="660"/>
      <c r="F258" s="660"/>
      <c r="G258" s="660"/>
      <c r="H258" s="660"/>
    </row>
    <row r="259" spans="1:8">
      <c r="A259" s="661" t="s">
        <v>835</v>
      </c>
      <c r="B259" s="660"/>
      <c r="C259" s="660"/>
      <c r="D259" s="660"/>
      <c r="E259" s="660"/>
      <c r="F259" s="660"/>
      <c r="G259" s="660"/>
      <c r="H259" s="660"/>
    </row>
    <row r="260" spans="1:8">
      <c r="A260" s="660"/>
      <c r="B260" s="660"/>
      <c r="C260" s="660"/>
      <c r="D260" s="660"/>
      <c r="E260" s="660"/>
      <c r="F260" s="660"/>
      <c r="G260" s="660"/>
      <c r="H260" s="660"/>
    </row>
    <row r="261" spans="1:8">
      <c r="A261" s="661" t="s">
        <v>836</v>
      </c>
      <c r="B261" s="660"/>
      <c r="C261" s="660"/>
      <c r="D261" s="660"/>
      <c r="E261" s="660"/>
      <c r="F261" s="660"/>
      <c r="G261" s="660"/>
      <c r="H261" s="660"/>
    </row>
    <row r="262" spans="1:8">
      <c r="A262" s="661" t="s">
        <v>837</v>
      </c>
      <c r="B262" s="660"/>
      <c r="C262" s="660"/>
      <c r="D262" s="660"/>
      <c r="E262" s="660"/>
      <c r="F262" s="660"/>
      <c r="G262" s="660"/>
      <c r="H262" s="660"/>
    </row>
    <row r="263" spans="1:8">
      <c r="A263" s="661" t="s">
        <v>838</v>
      </c>
      <c r="B263" s="660"/>
      <c r="C263" s="660"/>
      <c r="D263" s="660"/>
      <c r="E263" s="660"/>
      <c r="F263" s="660"/>
      <c r="G263" s="660"/>
      <c r="H263" s="660"/>
    </row>
    <row r="264" spans="1:8">
      <c r="A264" s="661" t="s">
        <v>839</v>
      </c>
      <c r="B264" s="660"/>
      <c r="C264" s="660"/>
      <c r="D264" s="660"/>
      <c r="E264" s="660"/>
      <c r="F264" s="660"/>
      <c r="G264" s="660"/>
      <c r="H264" s="660"/>
    </row>
    <row r="265" spans="1:8">
      <c r="A265" s="661" t="s">
        <v>840</v>
      </c>
      <c r="B265" s="660"/>
      <c r="C265" s="660"/>
      <c r="D265" s="660"/>
      <c r="E265" s="660"/>
      <c r="F265" s="660"/>
      <c r="G265" s="660"/>
      <c r="H265" s="660"/>
    </row>
    <row r="266" spans="1:8">
      <c r="A266" s="661" t="s">
        <v>841</v>
      </c>
      <c r="B266" s="660"/>
      <c r="C266" s="660"/>
      <c r="D266" s="660"/>
      <c r="E266" s="660"/>
      <c r="F266" s="660"/>
      <c r="G266" s="660"/>
      <c r="H266" s="660"/>
    </row>
    <row r="267" spans="1:8">
      <c r="A267" s="661" t="s">
        <v>842</v>
      </c>
      <c r="B267" s="660"/>
      <c r="C267" s="660"/>
      <c r="D267" s="660"/>
      <c r="E267" s="660"/>
      <c r="F267" s="660"/>
      <c r="G267" s="660"/>
      <c r="H267" s="660"/>
    </row>
    <row r="268" spans="1:8">
      <c r="A268" s="661" t="s">
        <v>843</v>
      </c>
      <c r="B268" s="660"/>
      <c r="C268" s="660"/>
      <c r="D268" s="660"/>
      <c r="E268" s="660"/>
      <c r="F268" s="660"/>
      <c r="G268" s="660"/>
      <c r="H268" s="660"/>
    </row>
    <row r="269" spans="1:8">
      <c r="A269" s="661" t="s">
        <v>844</v>
      </c>
      <c r="B269" s="660"/>
      <c r="C269" s="660"/>
      <c r="D269" s="660"/>
      <c r="E269" s="660"/>
      <c r="F269" s="660"/>
      <c r="G269" s="660"/>
      <c r="H269" s="660"/>
    </row>
    <row r="270" spans="1:8">
      <c r="A270" s="661" t="s">
        <v>845</v>
      </c>
      <c r="B270" s="660"/>
      <c r="C270" s="660"/>
      <c r="D270" s="660"/>
      <c r="E270" s="660"/>
      <c r="F270" s="660"/>
      <c r="G270" s="660"/>
      <c r="H270" s="660"/>
    </row>
    <row r="271" spans="1:8">
      <c r="A271" s="661" t="s">
        <v>846</v>
      </c>
      <c r="B271" s="660"/>
      <c r="C271" s="660"/>
      <c r="D271" s="660"/>
      <c r="E271" s="660"/>
      <c r="F271" s="660"/>
      <c r="G271" s="660"/>
      <c r="H271" s="660"/>
    </row>
    <row r="272" spans="1:8">
      <c r="A272" s="661" t="s">
        <v>847</v>
      </c>
      <c r="B272" s="660"/>
      <c r="C272" s="660"/>
      <c r="D272" s="660"/>
      <c r="E272" s="660"/>
      <c r="F272" s="660"/>
      <c r="G272" s="660"/>
      <c r="H272" s="660"/>
    </row>
    <row r="273" spans="1:8">
      <c r="A273" s="661" t="s">
        <v>848</v>
      </c>
      <c r="B273" s="660"/>
      <c r="C273" s="660"/>
      <c r="D273" s="660"/>
      <c r="E273" s="660"/>
      <c r="F273" s="660"/>
      <c r="G273" s="660"/>
      <c r="H273" s="660"/>
    </row>
    <row r="274" spans="1:8">
      <c r="A274" s="661" t="s">
        <v>849</v>
      </c>
      <c r="B274" s="660"/>
      <c r="C274" s="660"/>
      <c r="D274" s="660"/>
      <c r="E274" s="660"/>
      <c r="F274" s="660"/>
      <c r="G274" s="660"/>
      <c r="H274" s="660"/>
    </row>
    <row r="275" spans="1:8">
      <c r="A275" s="661" t="s">
        <v>850</v>
      </c>
      <c r="B275" s="660"/>
      <c r="C275" s="660"/>
      <c r="D275" s="660"/>
      <c r="E275" s="660"/>
      <c r="F275" s="660"/>
      <c r="G275" s="660"/>
      <c r="H275" s="660"/>
    </row>
    <row r="276" spans="1:8">
      <c r="A276" s="661" t="s">
        <v>851</v>
      </c>
      <c r="B276" s="660"/>
      <c r="C276" s="660"/>
      <c r="D276" s="660"/>
      <c r="E276" s="660"/>
      <c r="F276" s="660"/>
      <c r="G276" s="660"/>
      <c r="H276" s="660"/>
    </row>
    <row r="277" spans="1:8">
      <c r="A277" s="660"/>
      <c r="B277" s="660"/>
      <c r="C277" s="660"/>
      <c r="D277" s="660"/>
      <c r="E277" s="660"/>
      <c r="F277" s="660"/>
      <c r="G277" s="660"/>
      <c r="H277" s="660"/>
    </row>
    <row r="278" spans="1:8">
      <c r="A278" s="661" t="s">
        <v>852</v>
      </c>
      <c r="B278" s="660"/>
      <c r="C278" s="660"/>
      <c r="D278" s="660"/>
      <c r="E278" s="660"/>
      <c r="F278" s="660"/>
      <c r="G278" s="660"/>
      <c r="H278" s="660"/>
    </row>
    <row r="279" spans="1:8">
      <c r="A279" s="661" t="s">
        <v>853</v>
      </c>
      <c r="B279" s="660"/>
      <c r="C279" s="660"/>
      <c r="D279" s="660"/>
      <c r="E279" s="660"/>
      <c r="F279" s="660"/>
      <c r="G279" s="660"/>
      <c r="H279" s="660"/>
    </row>
    <row r="280" spans="1:8">
      <c r="A280" s="661" t="s">
        <v>854</v>
      </c>
      <c r="B280" s="660"/>
      <c r="C280" s="660"/>
      <c r="D280" s="660"/>
      <c r="E280" s="660"/>
      <c r="F280" s="660"/>
      <c r="G280" s="660"/>
      <c r="H280" s="660"/>
    </row>
    <row r="281" spans="1:8">
      <c r="A281" s="661" t="s">
        <v>855</v>
      </c>
      <c r="B281" s="660"/>
      <c r="C281" s="660"/>
      <c r="D281" s="660"/>
      <c r="E281" s="660"/>
      <c r="F281" s="660"/>
      <c r="G281" s="660"/>
      <c r="H281" s="660"/>
    </row>
    <row r="282" spans="1:8">
      <c r="A282" s="661" t="s">
        <v>856</v>
      </c>
      <c r="B282" s="660"/>
      <c r="C282" s="660"/>
      <c r="D282" s="660"/>
      <c r="E282" s="660"/>
      <c r="F282" s="660"/>
      <c r="G282" s="660"/>
      <c r="H282" s="660"/>
    </row>
    <row r="283" spans="1:8">
      <c r="A283" s="661" t="s">
        <v>857</v>
      </c>
      <c r="B283" s="660"/>
      <c r="C283" s="660"/>
      <c r="D283" s="660"/>
      <c r="E283" s="660"/>
      <c r="F283" s="660"/>
      <c r="G283" s="660"/>
      <c r="H283" s="660"/>
    </row>
    <row r="284" spans="1:8">
      <c r="A284" s="661" t="s">
        <v>716</v>
      </c>
      <c r="B284" s="660"/>
      <c r="C284" s="660"/>
      <c r="D284" s="660"/>
      <c r="E284" s="660"/>
      <c r="F284" s="660"/>
      <c r="G284" s="660"/>
      <c r="H284" s="660"/>
    </row>
    <row r="285" spans="1:8">
      <c r="A285" s="660"/>
      <c r="B285" s="660"/>
      <c r="C285" s="660"/>
      <c r="D285" s="660"/>
      <c r="E285" s="660"/>
      <c r="F285" s="660"/>
      <c r="G285" s="660"/>
      <c r="H285" s="660"/>
    </row>
    <row r="286" spans="1:8">
      <c r="A286" s="661" t="s">
        <v>858</v>
      </c>
      <c r="B286" s="660"/>
      <c r="C286" s="660"/>
      <c r="D286" s="660"/>
      <c r="E286" s="660"/>
      <c r="F286" s="660"/>
      <c r="G286" s="660"/>
      <c r="H286" s="660"/>
    </row>
    <row r="287" spans="1:8">
      <c r="A287" s="661" t="s">
        <v>859</v>
      </c>
      <c r="B287" s="660"/>
      <c r="C287" s="660"/>
      <c r="D287" s="660"/>
      <c r="E287" s="660"/>
      <c r="F287" s="660"/>
      <c r="G287" s="660"/>
      <c r="H287" s="660"/>
    </row>
    <row r="288" spans="1:8">
      <c r="A288" s="661" t="s">
        <v>860</v>
      </c>
      <c r="B288" s="660"/>
      <c r="C288" s="660"/>
      <c r="D288" s="660"/>
      <c r="E288" s="660"/>
      <c r="F288" s="660"/>
      <c r="G288" s="660"/>
      <c r="H288" s="660"/>
    </row>
    <row r="289" spans="1:8">
      <c r="A289" s="661" t="s">
        <v>861</v>
      </c>
      <c r="B289" s="660"/>
      <c r="C289" s="660"/>
      <c r="D289" s="660"/>
      <c r="E289" s="660"/>
      <c r="F289" s="660"/>
      <c r="G289" s="660"/>
      <c r="H289" s="660"/>
    </row>
    <row r="290" spans="1:8">
      <c r="A290" s="661" t="s">
        <v>862</v>
      </c>
      <c r="B290" s="660"/>
      <c r="C290" s="660"/>
      <c r="D290" s="660"/>
      <c r="E290" s="660"/>
      <c r="F290" s="660"/>
      <c r="G290" s="660"/>
      <c r="H290" s="660"/>
    </row>
    <row r="291" spans="1:8">
      <c r="A291" s="661" t="s">
        <v>863</v>
      </c>
      <c r="B291" s="660"/>
      <c r="C291" s="660"/>
      <c r="D291" s="660"/>
      <c r="E291" s="660"/>
      <c r="F291" s="660"/>
      <c r="G291" s="660"/>
      <c r="H291" s="660"/>
    </row>
    <row r="292" spans="1:8">
      <c r="A292" s="661" t="s">
        <v>864</v>
      </c>
      <c r="B292" s="660"/>
      <c r="C292" s="660"/>
      <c r="D292" s="660"/>
      <c r="E292" s="660"/>
      <c r="F292" s="660"/>
      <c r="G292" s="660"/>
      <c r="H292" s="660"/>
    </row>
    <row r="293" spans="1:8">
      <c r="A293" s="661" t="s">
        <v>865</v>
      </c>
      <c r="B293" s="660"/>
      <c r="C293" s="660"/>
      <c r="D293" s="660"/>
      <c r="E293" s="660"/>
      <c r="F293" s="660"/>
      <c r="G293" s="660"/>
      <c r="H293" s="660"/>
    </row>
    <row r="294" spans="1:8">
      <c r="A294" s="661" t="s">
        <v>866</v>
      </c>
      <c r="B294" s="660"/>
      <c r="C294" s="660"/>
      <c r="D294" s="660"/>
      <c r="E294" s="660"/>
      <c r="F294" s="660"/>
      <c r="G294" s="660"/>
      <c r="H294" s="660"/>
    </row>
    <row r="295" spans="1:8">
      <c r="A295" s="660"/>
      <c r="B295" s="660"/>
      <c r="C295" s="660"/>
      <c r="D295" s="660"/>
      <c r="E295" s="660"/>
      <c r="F295" s="660"/>
      <c r="G295" s="660"/>
      <c r="H295" s="660"/>
    </row>
    <row r="296" spans="1:8">
      <c r="A296" s="661" t="s">
        <v>867</v>
      </c>
      <c r="B296" s="660"/>
      <c r="C296" s="660"/>
      <c r="D296" s="660"/>
      <c r="E296" s="660"/>
      <c r="F296" s="660"/>
      <c r="G296" s="660"/>
      <c r="H296" s="660"/>
    </row>
    <row r="297" spans="1:8">
      <c r="A297" s="661" t="s">
        <v>868</v>
      </c>
      <c r="B297" s="660"/>
      <c r="C297" s="660"/>
      <c r="D297" s="660"/>
      <c r="E297" s="660"/>
      <c r="F297" s="660"/>
      <c r="G297" s="660"/>
      <c r="H297" s="660"/>
    </row>
    <row r="298" spans="1:8">
      <c r="A298" s="661" t="s">
        <v>869</v>
      </c>
      <c r="B298" s="660"/>
      <c r="C298" s="660"/>
      <c r="D298" s="660"/>
      <c r="E298" s="660"/>
      <c r="F298" s="660"/>
      <c r="G298" s="660"/>
      <c r="H298" s="660"/>
    </row>
    <row r="299" spans="1:8">
      <c r="A299" s="661" t="s">
        <v>870</v>
      </c>
      <c r="B299" s="660"/>
      <c r="C299" s="660"/>
      <c r="D299" s="660"/>
      <c r="E299" s="660"/>
      <c r="F299" s="660"/>
      <c r="G299" s="660"/>
      <c r="H299" s="660"/>
    </row>
    <row r="300" spans="1:8">
      <c r="A300" s="661" t="s">
        <v>871</v>
      </c>
      <c r="B300" s="660"/>
      <c r="C300" s="660"/>
      <c r="D300" s="660"/>
      <c r="E300" s="660"/>
      <c r="F300" s="660"/>
      <c r="G300" s="660"/>
      <c r="H300" s="660"/>
    </row>
    <row r="301" spans="1:8">
      <c r="A301" s="661" t="s">
        <v>872</v>
      </c>
      <c r="B301" s="660"/>
      <c r="C301" s="660"/>
      <c r="D301" s="660"/>
      <c r="E301" s="660"/>
      <c r="F301" s="660"/>
      <c r="G301" s="660"/>
      <c r="H301" s="660"/>
    </row>
    <row r="302" spans="1:8">
      <c r="A302" s="661" t="s">
        <v>873</v>
      </c>
      <c r="B302" s="660"/>
      <c r="C302" s="660"/>
      <c r="D302" s="660"/>
      <c r="E302" s="660"/>
      <c r="F302" s="660"/>
      <c r="G302" s="660"/>
      <c r="H302" s="660"/>
    </row>
    <row r="303" spans="1:8">
      <c r="A303" s="660"/>
      <c r="B303" s="660"/>
      <c r="C303" s="660"/>
      <c r="D303" s="660"/>
      <c r="E303" s="660"/>
      <c r="F303" s="660"/>
      <c r="G303" s="660"/>
      <c r="H303" s="660"/>
    </row>
    <row r="304" spans="1:8">
      <c r="A304" s="661" t="s">
        <v>874</v>
      </c>
      <c r="B304" s="660"/>
      <c r="C304" s="660"/>
      <c r="D304" s="660"/>
      <c r="E304" s="660"/>
      <c r="F304" s="660"/>
      <c r="G304" s="660"/>
      <c r="H304" s="660"/>
    </row>
    <row r="305" spans="1:8">
      <c r="A305" s="661" t="s">
        <v>875</v>
      </c>
      <c r="B305" s="660"/>
      <c r="C305" s="660"/>
      <c r="D305" s="660"/>
      <c r="E305" s="660"/>
      <c r="F305" s="660"/>
      <c r="G305" s="660"/>
      <c r="H305" s="660"/>
    </row>
    <row r="306" spans="1:8">
      <c r="A306" s="661" t="s">
        <v>876</v>
      </c>
      <c r="B306" s="660"/>
      <c r="C306" s="660"/>
      <c r="D306" s="660"/>
      <c r="E306" s="660"/>
      <c r="F306" s="660"/>
      <c r="G306" s="660"/>
      <c r="H306" s="660"/>
    </row>
    <row r="307" spans="1:8">
      <c r="A307" s="660"/>
      <c r="B307" s="660"/>
      <c r="C307" s="660"/>
      <c r="D307" s="660"/>
      <c r="E307" s="660"/>
      <c r="F307" s="660"/>
      <c r="G307" s="660"/>
      <c r="H307" s="660"/>
    </row>
    <row r="308" spans="1:8">
      <c r="A308" s="661" t="s">
        <v>877</v>
      </c>
      <c r="B308" s="660"/>
      <c r="C308" s="660"/>
      <c r="D308" s="660"/>
      <c r="E308" s="660"/>
      <c r="F308" s="660"/>
      <c r="G308" s="660"/>
      <c r="H308" s="660"/>
    </row>
    <row r="309" spans="1:8">
      <c r="A309" s="661" t="s">
        <v>878</v>
      </c>
      <c r="B309" s="660"/>
      <c r="C309" s="660"/>
      <c r="D309" s="660"/>
      <c r="E309" s="660"/>
      <c r="F309" s="660"/>
      <c r="G309" s="660"/>
      <c r="H309" s="660"/>
    </row>
    <row r="310" spans="1:8">
      <c r="A310" s="660"/>
      <c r="B310" s="660"/>
      <c r="C310" s="660"/>
      <c r="D310" s="660"/>
      <c r="E310" s="660"/>
      <c r="F310" s="660"/>
      <c r="G310" s="660"/>
      <c r="H310" s="660"/>
    </row>
    <row r="311" spans="1:8">
      <c r="A311" s="661" t="s">
        <v>879</v>
      </c>
      <c r="B311" s="660"/>
      <c r="C311" s="660"/>
      <c r="D311" s="660"/>
      <c r="E311" s="660"/>
      <c r="F311" s="660"/>
      <c r="G311" s="660"/>
      <c r="H311" s="660"/>
    </row>
    <row r="312" spans="1:8">
      <c r="A312" s="661" t="s">
        <v>880</v>
      </c>
      <c r="B312" s="660"/>
      <c r="C312" s="660"/>
      <c r="D312" s="660"/>
      <c r="E312" s="660"/>
      <c r="F312" s="660"/>
      <c r="G312" s="660"/>
      <c r="H312" s="660"/>
    </row>
    <row r="313" spans="1:8">
      <c r="A313" s="661" t="s">
        <v>881</v>
      </c>
      <c r="B313" s="660"/>
      <c r="C313" s="660"/>
      <c r="D313" s="660"/>
      <c r="E313" s="660"/>
      <c r="F313" s="660"/>
      <c r="G313" s="660"/>
      <c r="H313" s="660"/>
    </row>
    <row r="314" spans="1:8">
      <c r="A314" s="661" t="s">
        <v>882</v>
      </c>
      <c r="B314" s="660"/>
      <c r="C314" s="660"/>
      <c r="D314" s="660"/>
      <c r="E314" s="660"/>
      <c r="F314" s="660"/>
      <c r="G314" s="660"/>
      <c r="H314" s="660"/>
    </row>
    <row r="315" spans="1:8">
      <c r="A315" s="661" t="s">
        <v>883</v>
      </c>
      <c r="B315" s="660"/>
      <c r="C315" s="660"/>
      <c r="D315" s="660"/>
      <c r="E315" s="660"/>
      <c r="F315" s="660"/>
      <c r="G315" s="660"/>
      <c r="H315" s="660"/>
    </row>
    <row r="316" spans="1:8">
      <c r="A316" s="661" t="s">
        <v>884</v>
      </c>
      <c r="B316" s="660"/>
      <c r="C316" s="660"/>
      <c r="D316" s="660"/>
      <c r="E316" s="660"/>
      <c r="F316" s="660"/>
      <c r="G316" s="660"/>
      <c r="H316" s="660"/>
    </row>
    <row r="317" spans="1:8">
      <c r="A317" s="661" t="s">
        <v>885</v>
      </c>
      <c r="B317" s="660"/>
      <c r="C317" s="660"/>
      <c r="D317" s="660"/>
      <c r="E317" s="660"/>
      <c r="F317" s="660"/>
      <c r="G317" s="660"/>
      <c r="H317" s="660"/>
    </row>
    <row r="318" spans="1:8">
      <c r="A318" s="661" t="s">
        <v>886</v>
      </c>
      <c r="B318" s="660"/>
      <c r="C318" s="660"/>
      <c r="D318" s="660"/>
      <c r="E318" s="660"/>
      <c r="F318" s="660"/>
      <c r="G318" s="660"/>
      <c r="H318" s="660"/>
    </row>
    <row r="319" spans="1:8">
      <c r="A319" s="661" t="s">
        <v>887</v>
      </c>
      <c r="B319" s="660"/>
      <c r="C319" s="660"/>
      <c r="D319" s="660"/>
      <c r="E319" s="660"/>
      <c r="F319" s="660"/>
      <c r="G319" s="660"/>
      <c r="H319" s="660"/>
    </row>
    <row r="320" spans="1:8">
      <c r="A320" s="661" t="s">
        <v>888</v>
      </c>
      <c r="B320" s="660"/>
      <c r="C320" s="660"/>
      <c r="D320" s="660"/>
      <c r="E320" s="660"/>
      <c r="F320" s="660"/>
      <c r="G320" s="660"/>
      <c r="H320" s="660"/>
    </row>
    <row r="321" spans="1:8">
      <c r="A321" s="661" t="s">
        <v>889</v>
      </c>
      <c r="B321" s="660"/>
      <c r="C321" s="660"/>
      <c r="D321" s="660"/>
      <c r="E321" s="660"/>
      <c r="F321" s="660"/>
      <c r="G321" s="660"/>
      <c r="H321" s="660"/>
    </row>
    <row r="322" spans="1:8">
      <c r="A322" s="661" t="s">
        <v>890</v>
      </c>
      <c r="B322" s="660"/>
      <c r="C322" s="660"/>
      <c r="D322" s="660"/>
      <c r="E322" s="660"/>
      <c r="F322" s="660"/>
      <c r="G322" s="660"/>
      <c r="H322" s="660"/>
    </row>
    <row r="323" spans="1:8">
      <c r="A323" s="661" t="s">
        <v>891</v>
      </c>
      <c r="B323" s="660"/>
      <c r="C323" s="660"/>
      <c r="D323" s="660"/>
      <c r="E323" s="660"/>
      <c r="F323" s="660"/>
      <c r="G323" s="660"/>
      <c r="H323" s="660"/>
    </row>
    <row r="324" spans="1:8">
      <c r="A324" s="660"/>
      <c r="B324" s="660"/>
      <c r="C324" s="660"/>
      <c r="D324" s="660"/>
      <c r="E324" s="660"/>
      <c r="F324" s="660"/>
      <c r="G324" s="660"/>
      <c r="H324" s="660"/>
    </row>
    <row r="325" spans="1:8">
      <c r="A325" s="661" t="s">
        <v>892</v>
      </c>
      <c r="B325" s="660"/>
      <c r="C325" s="660"/>
      <c r="D325" s="660"/>
      <c r="E325" s="660"/>
      <c r="F325" s="660"/>
      <c r="G325" s="660"/>
      <c r="H325" s="660"/>
    </row>
    <row r="326" spans="1:8">
      <c r="A326" s="661" t="s">
        <v>893</v>
      </c>
      <c r="B326" s="660"/>
      <c r="C326" s="660"/>
      <c r="D326" s="660"/>
      <c r="E326" s="660"/>
      <c r="F326" s="660"/>
      <c r="G326" s="660"/>
      <c r="H326" s="660"/>
    </row>
    <row r="327" spans="1:8">
      <c r="A327" s="661" t="s">
        <v>894</v>
      </c>
      <c r="B327" s="660"/>
      <c r="C327" s="660"/>
      <c r="D327" s="660"/>
      <c r="E327" s="660"/>
      <c r="F327" s="660"/>
      <c r="G327" s="660"/>
      <c r="H327" s="660"/>
    </row>
    <row r="328" spans="1:8">
      <c r="A328" s="661" t="s">
        <v>895</v>
      </c>
      <c r="B328" s="660"/>
      <c r="C328" s="660"/>
      <c r="D328" s="660"/>
      <c r="E328" s="660"/>
      <c r="F328" s="660"/>
      <c r="G328" s="660"/>
      <c r="H328" s="660"/>
    </row>
    <row r="329" spans="1:8">
      <c r="A329" s="661" t="s">
        <v>896</v>
      </c>
      <c r="B329" s="660"/>
      <c r="C329" s="660"/>
      <c r="D329" s="660"/>
      <c r="E329" s="660"/>
      <c r="F329" s="660"/>
      <c r="G329" s="660"/>
      <c r="H329" s="660"/>
    </row>
    <row r="330" spans="1:8">
      <c r="A330" s="661" t="s">
        <v>897</v>
      </c>
      <c r="B330" s="660"/>
      <c r="C330" s="660"/>
      <c r="D330" s="660"/>
      <c r="E330" s="660"/>
      <c r="F330" s="660"/>
      <c r="G330" s="660"/>
      <c r="H330" s="660"/>
    </row>
    <row r="331" spans="1:8">
      <c r="A331" s="661" t="s">
        <v>898</v>
      </c>
      <c r="B331" s="660"/>
      <c r="C331" s="660"/>
      <c r="D331" s="660"/>
      <c r="E331" s="660"/>
      <c r="F331" s="660"/>
      <c r="G331" s="660"/>
      <c r="H331" s="660"/>
    </row>
    <row r="332" spans="1:8">
      <c r="A332" s="661" t="s">
        <v>899</v>
      </c>
      <c r="B332" s="660"/>
      <c r="C332" s="660"/>
      <c r="D332" s="660"/>
      <c r="E332" s="660"/>
      <c r="F332" s="660"/>
      <c r="G332" s="660"/>
      <c r="H332" s="660"/>
    </row>
    <row r="333" spans="1:8">
      <c r="A333" s="660"/>
      <c r="B333" s="660"/>
      <c r="C333" s="660"/>
      <c r="D333" s="660"/>
      <c r="E333" s="660"/>
      <c r="F333" s="660"/>
      <c r="G333" s="660"/>
      <c r="H333" s="660"/>
    </row>
    <row r="334" spans="1:8">
      <c r="A334" s="661" t="s">
        <v>900</v>
      </c>
      <c r="B334" s="660"/>
      <c r="C334" s="660"/>
      <c r="D334" s="660"/>
      <c r="E334" s="660"/>
      <c r="F334" s="660"/>
      <c r="G334" s="660"/>
      <c r="H334" s="660"/>
    </row>
    <row r="335" spans="1:8">
      <c r="A335" s="661" t="s">
        <v>901</v>
      </c>
      <c r="B335" s="660"/>
      <c r="C335" s="660"/>
      <c r="D335" s="660"/>
      <c r="E335" s="660"/>
      <c r="F335" s="660"/>
      <c r="G335" s="660"/>
      <c r="H335" s="660"/>
    </row>
    <row r="336" spans="1:8">
      <c r="A336" s="661" t="s">
        <v>902</v>
      </c>
      <c r="B336" s="660"/>
      <c r="C336" s="660"/>
      <c r="D336" s="660"/>
      <c r="E336" s="660"/>
      <c r="F336" s="660"/>
      <c r="G336" s="660"/>
      <c r="H336" s="660"/>
    </row>
    <row r="337" spans="1:8">
      <c r="A337" s="661" t="s">
        <v>903</v>
      </c>
      <c r="B337" s="660"/>
      <c r="C337" s="660"/>
      <c r="D337" s="660"/>
      <c r="E337" s="660"/>
      <c r="F337" s="660"/>
      <c r="G337" s="660"/>
      <c r="H337" s="660"/>
    </row>
    <row r="338" spans="1:8">
      <c r="A338" s="661" t="s">
        <v>904</v>
      </c>
      <c r="B338" s="660"/>
      <c r="C338" s="660"/>
      <c r="D338" s="660"/>
      <c r="E338" s="660"/>
      <c r="F338" s="660"/>
      <c r="G338" s="660"/>
      <c r="H338" s="660"/>
    </row>
    <row r="339" spans="1:8">
      <c r="A339" s="661" t="s">
        <v>905</v>
      </c>
      <c r="B339" s="660"/>
      <c r="C339" s="660"/>
      <c r="D339" s="660"/>
      <c r="E339" s="660"/>
      <c r="F339" s="660"/>
      <c r="G339" s="660"/>
      <c r="H339" s="660"/>
    </row>
    <row r="340" spans="1:8">
      <c r="A340" s="661" t="s">
        <v>906</v>
      </c>
      <c r="B340" s="660"/>
      <c r="C340" s="660"/>
      <c r="D340" s="660"/>
      <c r="E340" s="660"/>
      <c r="F340" s="660"/>
      <c r="G340" s="660"/>
      <c r="H340" s="660"/>
    </row>
    <row r="341" spans="1:8">
      <c r="A341" s="661" t="s">
        <v>907</v>
      </c>
      <c r="B341" s="660"/>
      <c r="C341" s="660"/>
      <c r="D341" s="660"/>
      <c r="E341" s="660"/>
      <c r="F341" s="660"/>
      <c r="G341" s="660"/>
      <c r="H341" s="660"/>
    </row>
    <row r="342" spans="1:8">
      <c r="A342" s="661" t="s">
        <v>908</v>
      </c>
      <c r="B342" s="660"/>
      <c r="C342" s="660"/>
      <c r="D342" s="660"/>
      <c r="E342" s="660"/>
      <c r="F342" s="660"/>
      <c r="G342" s="660"/>
      <c r="H342" s="660"/>
    </row>
    <row r="343" spans="1:8">
      <c r="A343" s="661" t="s">
        <v>909</v>
      </c>
      <c r="B343" s="660"/>
      <c r="C343" s="660"/>
      <c r="D343" s="660"/>
      <c r="E343" s="660"/>
      <c r="F343" s="660"/>
      <c r="G343" s="660"/>
      <c r="H343" s="660"/>
    </row>
    <row r="344" spans="1:8">
      <c r="A344" s="661" t="s">
        <v>910</v>
      </c>
      <c r="B344" s="660"/>
      <c r="C344" s="660"/>
      <c r="D344" s="660"/>
      <c r="E344" s="660"/>
      <c r="F344" s="660"/>
      <c r="G344" s="660"/>
      <c r="H344" s="660"/>
    </row>
    <row r="345" spans="1:8">
      <c r="A345" s="661" t="s">
        <v>911</v>
      </c>
      <c r="B345" s="660"/>
      <c r="C345" s="660"/>
      <c r="D345" s="660"/>
      <c r="E345" s="660"/>
      <c r="F345" s="660"/>
      <c r="G345" s="660"/>
      <c r="H345" s="660"/>
    </row>
    <row r="346" spans="1:8">
      <c r="A346" s="661" t="s">
        <v>912</v>
      </c>
      <c r="B346" s="660"/>
      <c r="C346" s="660"/>
      <c r="D346" s="660"/>
      <c r="E346" s="660"/>
      <c r="F346" s="660"/>
      <c r="G346" s="660"/>
      <c r="H346" s="660"/>
    </row>
    <row r="347" spans="1:8">
      <c r="A347" s="661" t="s">
        <v>913</v>
      </c>
      <c r="B347" s="660"/>
      <c r="C347" s="660"/>
      <c r="D347" s="660"/>
      <c r="E347" s="660"/>
      <c r="F347" s="660"/>
      <c r="G347" s="660"/>
      <c r="H347" s="660"/>
    </row>
    <row r="348" spans="1:8">
      <c r="A348" s="661" t="s">
        <v>914</v>
      </c>
      <c r="B348" s="660"/>
      <c r="C348" s="660"/>
      <c r="D348" s="660"/>
      <c r="E348" s="660"/>
      <c r="F348" s="660"/>
      <c r="G348" s="660"/>
      <c r="H348" s="660"/>
    </row>
    <row r="349" spans="1:8">
      <c r="A349" s="661" t="s">
        <v>915</v>
      </c>
      <c r="B349" s="660"/>
      <c r="C349" s="660"/>
      <c r="D349" s="660"/>
      <c r="E349" s="660"/>
      <c r="F349" s="660"/>
      <c r="G349" s="660"/>
      <c r="H349" s="660"/>
    </row>
    <row r="350" spans="1:8">
      <c r="A350" s="661" t="s">
        <v>916</v>
      </c>
      <c r="B350" s="660"/>
      <c r="C350" s="660"/>
      <c r="D350" s="660"/>
      <c r="E350" s="660"/>
      <c r="F350" s="660"/>
      <c r="G350" s="660"/>
      <c r="H350" s="660"/>
    </row>
    <row r="351" spans="1:8">
      <c r="A351" s="661" t="s">
        <v>917</v>
      </c>
      <c r="B351" s="660"/>
      <c r="C351" s="660"/>
      <c r="D351" s="660"/>
      <c r="E351" s="660"/>
      <c r="F351" s="660"/>
      <c r="G351" s="660"/>
      <c r="H351" s="660"/>
    </row>
    <row r="352" spans="1:8">
      <c r="A352" s="661" t="s">
        <v>918</v>
      </c>
      <c r="B352" s="660"/>
      <c r="C352" s="660"/>
      <c r="D352" s="660"/>
      <c r="E352" s="660"/>
      <c r="F352" s="660"/>
      <c r="G352" s="660"/>
      <c r="H352" s="660"/>
    </row>
    <row r="353" spans="1:8">
      <c r="A353" s="661" t="s">
        <v>919</v>
      </c>
      <c r="B353" s="660"/>
      <c r="C353" s="660"/>
      <c r="D353" s="660"/>
      <c r="E353" s="660"/>
      <c r="F353" s="660"/>
      <c r="G353" s="660"/>
      <c r="H353" s="660"/>
    </row>
    <row r="354" spans="1:8">
      <c r="A354" s="661" t="s">
        <v>920</v>
      </c>
      <c r="B354" s="660"/>
      <c r="C354" s="660"/>
      <c r="D354" s="660"/>
      <c r="E354" s="660"/>
      <c r="F354" s="660"/>
      <c r="G354" s="660"/>
      <c r="H354" s="660"/>
    </row>
    <row r="355" spans="1:8">
      <c r="A355" s="661" t="s">
        <v>921</v>
      </c>
      <c r="B355" s="660"/>
      <c r="C355" s="660"/>
      <c r="D355" s="660"/>
      <c r="E355" s="660"/>
      <c r="F355" s="660"/>
      <c r="G355" s="660"/>
      <c r="H355" s="660"/>
    </row>
    <row r="356" spans="1:8">
      <c r="A356" s="661" t="s">
        <v>922</v>
      </c>
      <c r="B356" s="660"/>
      <c r="C356" s="660"/>
      <c r="D356" s="660"/>
      <c r="E356" s="660"/>
      <c r="F356" s="660"/>
      <c r="G356" s="660"/>
      <c r="H356" s="660"/>
    </row>
    <row r="357" spans="1:8">
      <c r="A357" s="661" t="s">
        <v>923</v>
      </c>
      <c r="B357" s="660"/>
      <c r="C357" s="660"/>
      <c r="D357" s="660"/>
      <c r="E357" s="660"/>
      <c r="F357" s="660"/>
      <c r="G357" s="660"/>
      <c r="H357" s="660"/>
    </row>
    <row r="358" spans="1:8">
      <c r="A358" s="661" t="s">
        <v>924</v>
      </c>
      <c r="B358" s="660"/>
      <c r="C358" s="660"/>
      <c r="D358" s="660"/>
      <c r="E358" s="660"/>
      <c r="F358" s="660"/>
      <c r="G358" s="660"/>
      <c r="H358" s="660"/>
    </row>
    <row r="359" spans="1:8">
      <c r="A359" s="661" t="s">
        <v>925</v>
      </c>
      <c r="B359" s="660"/>
      <c r="C359" s="660"/>
      <c r="D359" s="660"/>
      <c r="E359" s="660"/>
      <c r="F359" s="660"/>
      <c r="G359" s="660"/>
      <c r="H359" s="660"/>
    </row>
    <row r="360" spans="1:8">
      <c r="A360" s="661" t="s">
        <v>926</v>
      </c>
      <c r="B360" s="660"/>
      <c r="C360" s="660"/>
      <c r="D360" s="660"/>
      <c r="E360" s="660"/>
      <c r="F360" s="660"/>
      <c r="G360" s="660"/>
      <c r="H360" s="660"/>
    </row>
    <row r="361" spans="1:8">
      <c r="A361" s="661" t="s">
        <v>927</v>
      </c>
      <c r="B361" s="660"/>
      <c r="C361" s="660"/>
      <c r="D361" s="660"/>
      <c r="E361" s="660"/>
      <c r="F361" s="660"/>
      <c r="G361" s="660"/>
      <c r="H361" s="660"/>
    </row>
    <row r="362" spans="1:8">
      <c r="A362" s="661" t="s">
        <v>928</v>
      </c>
      <c r="B362" s="660"/>
      <c r="C362" s="660"/>
      <c r="D362" s="660"/>
      <c r="E362" s="660"/>
      <c r="F362" s="660"/>
      <c r="G362" s="660"/>
      <c r="H362" s="660"/>
    </row>
    <row r="363" spans="1:8">
      <c r="A363" s="661" t="s">
        <v>929</v>
      </c>
      <c r="B363" s="660"/>
      <c r="C363" s="660"/>
      <c r="D363" s="660"/>
      <c r="E363" s="660"/>
      <c r="F363" s="660"/>
      <c r="G363" s="660"/>
      <c r="H363" s="660"/>
    </row>
    <row r="364" spans="1:8">
      <c r="A364" s="661" t="s">
        <v>930</v>
      </c>
      <c r="B364" s="660"/>
      <c r="C364" s="660"/>
      <c r="D364" s="660"/>
      <c r="E364" s="660"/>
      <c r="F364" s="660"/>
      <c r="G364" s="660"/>
      <c r="H364" s="660"/>
    </row>
    <row r="365" spans="1:8">
      <c r="A365" s="661" t="s">
        <v>931</v>
      </c>
      <c r="B365" s="660"/>
      <c r="C365" s="660"/>
      <c r="D365" s="660"/>
      <c r="E365" s="660"/>
      <c r="F365" s="660"/>
      <c r="G365" s="660"/>
      <c r="H365" s="660"/>
    </row>
    <row r="366" spans="1:8">
      <c r="A366" s="661" t="s">
        <v>932</v>
      </c>
      <c r="B366" s="660"/>
      <c r="C366" s="660"/>
      <c r="D366" s="660"/>
      <c r="E366" s="660"/>
      <c r="F366" s="660"/>
      <c r="G366" s="660"/>
      <c r="H366" s="660"/>
    </row>
    <row r="367" spans="1:8">
      <c r="A367" s="661" t="s">
        <v>933</v>
      </c>
      <c r="B367" s="660"/>
      <c r="C367" s="660"/>
      <c r="D367" s="660"/>
      <c r="E367" s="660"/>
      <c r="F367" s="660"/>
      <c r="G367" s="660"/>
      <c r="H367" s="660"/>
    </row>
    <row r="368" spans="1:8">
      <c r="A368" s="661" t="s">
        <v>934</v>
      </c>
      <c r="B368" s="660"/>
      <c r="C368" s="660"/>
      <c r="D368" s="660"/>
      <c r="E368" s="660"/>
      <c r="F368" s="660"/>
      <c r="G368" s="660"/>
      <c r="H368" s="660"/>
    </row>
    <row r="369" spans="1:8">
      <c r="A369" s="661" t="s">
        <v>935</v>
      </c>
      <c r="B369" s="660"/>
      <c r="C369" s="660"/>
      <c r="D369" s="660"/>
      <c r="E369" s="660"/>
      <c r="F369" s="660"/>
      <c r="G369" s="660"/>
      <c r="H369" s="660"/>
    </row>
    <row r="370" spans="1:8">
      <c r="A370" s="661" t="s">
        <v>936</v>
      </c>
      <c r="B370" s="660"/>
      <c r="C370" s="660"/>
      <c r="D370" s="660"/>
      <c r="E370" s="660"/>
      <c r="F370" s="660"/>
      <c r="G370" s="660"/>
      <c r="H370" s="660"/>
    </row>
    <row r="371" spans="1:8">
      <c r="A371" s="661" t="s">
        <v>937</v>
      </c>
      <c r="B371" s="660"/>
      <c r="C371" s="660"/>
      <c r="D371" s="660"/>
      <c r="E371" s="660"/>
      <c r="F371" s="660"/>
      <c r="G371" s="660"/>
      <c r="H371" s="660"/>
    </row>
    <row r="372" spans="1:8">
      <c r="A372" s="661" t="s">
        <v>938</v>
      </c>
      <c r="B372" s="660"/>
      <c r="C372" s="660"/>
      <c r="D372" s="660"/>
      <c r="E372" s="660"/>
      <c r="F372" s="660"/>
      <c r="G372" s="660"/>
      <c r="H372" s="660"/>
    </row>
    <row r="373" spans="1:8">
      <c r="A373" s="661" t="s">
        <v>939</v>
      </c>
      <c r="B373" s="660"/>
      <c r="C373" s="660"/>
      <c r="D373" s="660"/>
      <c r="E373" s="660"/>
      <c r="F373" s="660"/>
      <c r="G373" s="660"/>
      <c r="H373" s="660"/>
    </row>
    <row r="374" spans="1:8">
      <c r="A374" s="661" t="s">
        <v>940</v>
      </c>
      <c r="B374" s="660"/>
      <c r="C374" s="660"/>
      <c r="D374" s="660"/>
      <c r="E374" s="660"/>
      <c r="F374" s="660"/>
      <c r="G374" s="660"/>
      <c r="H374" s="660"/>
    </row>
    <row r="375" spans="1:8">
      <c r="A375" s="661" t="s">
        <v>941</v>
      </c>
      <c r="B375" s="660"/>
      <c r="C375" s="660"/>
      <c r="D375" s="660"/>
      <c r="E375" s="660"/>
      <c r="F375" s="660"/>
      <c r="G375" s="660"/>
      <c r="H375" s="660"/>
    </row>
    <row r="376" spans="1:8">
      <c r="A376" s="661" t="s">
        <v>942</v>
      </c>
      <c r="B376" s="660"/>
      <c r="C376" s="660"/>
      <c r="D376" s="660"/>
      <c r="E376" s="660"/>
      <c r="F376" s="660"/>
      <c r="G376" s="660"/>
      <c r="H376" s="660"/>
    </row>
    <row r="377" spans="1:8">
      <c r="A377" s="661" t="s">
        <v>943</v>
      </c>
      <c r="B377" s="660"/>
      <c r="C377" s="660"/>
      <c r="D377" s="660"/>
      <c r="E377" s="660"/>
      <c r="F377" s="660"/>
      <c r="G377" s="660"/>
      <c r="H377" s="660"/>
    </row>
    <row r="378" spans="1:8">
      <c r="A378" s="661" t="s">
        <v>944</v>
      </c>
      <c r="B378" s="660"/>
      <c r="C378" s="660"/>
      <c r="D378" s="660"/>
      <c r="E378" s="660"/>
      <c r="F378" s="660"/>
      <c r="G378" s="660"/>
      <c r="H378" s="660"/>
    </row>
    <row r="379" spans="1:8">
      <c r="A379" s="661" t="s">
        <v>945</v>
      </c>
      <c r="B379" s="660"/>
      <c r="C379" s="660"/>
      <c r="D379" s="660"/>
      <c r="E379" s="660"/>
      <c r="F379" s="660"/>
      <c r="G379" s="660"/>
      <c r="H379" s="660"/>
    </row>
    <row r="380" spans="1:8">
      <c r="A380" s="660"/>
      <c r="B380" s="660"/>
      <c r="C380" s="660"/>
      <c r="D380" s="660"/>
      <c r="E380" s="660"/>
      <c r="F380" s="660"/>
      <c r="G380" s="660"/>
      <c r="H380" s="660"/>
    </row>
    <row r="381" spans="1:8">
      <c r="A381" s="661" t="s">
        <v>946</v>
      </c>
      <c r="B381" s="660"/>
      <c r="C381" s="660"/>
      <c r="D381" s="660"/>
      <c r="E381" s="660"/>
      <c r="F381" s="660"/>
      <c r="G381" s="660"/>
      <c r="H381" s="660"/>
    </row>
    <row r="382" spans="1:8">
      <c r="A382" s="661" t="s">
        <v>947</v>
      </c>
      <c r="B382" s="660"/>
      <c r="C382" s="660"/>
      <c r="D382" s="660"/>
      <c r="E382" s="660"/>
      <c r="F382" s="660"/>
      <c r="G382" s="660"/>
      <c r="H382" s="660"/>
    </row>
    <row r="383" spans="1:8">
      <c r="A383" s="661" t="s">
        <v>948</v>
      </c>
      <c r="B383" s="660"/>
      <c r="C383" s="660"/>
      <c r="D383" s="660"/>
      <c r="E383" s="660"/>
      <c r="F383" s="660"/>
      <c r="G383" s="660"/>
      <c r="H383" s="660"/>
    </row>
    <row r="384" spans="1:8">
      <c r="A384" s="661" t="s">
        <v>949</v>
      </c>
      <c r="B384" s="660"/>
      <c r="C384" s="660"/>
      <c r="D384" s="660"/>
      <c r="E384" s="660"/>
      <c r="F384" s="660"/>
      <c r="G384" s="660"/>
      <c r="H384" s="660"/>
    </row>
    <row r="385" spans="1:8">
      <c r="A385" s="661" t="s">
        <v>950</v>
      </c>
      <c r="B385" s="660"/>
      <c r="C385" s="660"/>
      <c r="D385" s="660"/>
      <c r="E385" s="660"/>
      <c r="F385" s="660"/>
      <c r="G385" s="660"/>
      <c r="H385" s="660"/>
    </row>
    <row r="386" spans="1:8">
      <c r="A386" s="661" t="s">
        <v>951</v>
      </c>
      <c r="B386" s="660"/>
      <c r="C386" s="660"/>
      <c r="D386" s="660"/>
      <c r="E386" s="660"/>
      <c r="F386" s="660"/>
      <c r="G386" s="660"/>
      <c r="H386" s="660"/>
    </row>
    <row r="387" spans="1:8">
      <c r="A387" s="661" t="s">
        <v>952</v>
      </c>
      <c r="B387" s="660"/>
      <c r="C387" s="660"/>
      <c r="D387" s="660"/>
      <c r="E387" s="660"/>
      <c r="F387" s="660"/>
      <c r="G387" s="660"/>
      <c r="H387" s="660"/>
    </row>
    <row r="388" spans="1:8">
      <c r="A388" s="661" t="s">
        <v>953</v>
      </c>
      <c r="B388" s="660"/>
      <c r="C388" s="660"/>
      <c r="D388" s="660"/>
      <c r="E388" s="660"/>
      <c r="F388" s="660"/>
      <c r="G388" s="660"/>
      <c r="H388" s="660"/>
    </row>
    <row r="389" spans="1:8">
      <c r="A389" s="660"/>
      <c r="B389" s="660"/>
      <c r="C389" s="660"/>
      <c r="D389" s="660"/>
      <c r="E389" s="660"/>
      <c r="F389" s="660"/>
      <c r="G389" s="660"/>
      <c r="H389" s="660"/>
    </row>
    <row r="390" spans="1:8">
      <c r="A390" s="661" t="s">
        <v>946</v>
      </c>
      <c r="B390" s="660"/>
      <c r="C390" s="660"/>
      <c r="D390" s="660"/>
      <c r="E390" s="660"/>
      <c r="F390" s="660"/>
      <c r="G390" s="660"/>
      <c r="H390" s="660"/>
    </row>
    <row r="391" spans="1:8">
      <c r="A391" s="661" t="s">
        <v>954</v>
      </c>
      <c r="B391" s="660"/>
      <c r="C391" s="660"/>
      <c r="D391" s="660"/>
      <c r="E391" s="660"/>
      <c r="F391" s="660"/>
      <c r="G391" s="660"/>
      <c r="H391" s="660"/>
    </row>
    <row r="392" spans="1:8">
      <c r="A392" s="661" t="s">
        <v>955</v>
      </c>
      <c r="B392" s="660"/>
      <c r="C392" s="660"/>
      <c r="D392" s="660"/>
      <c r="E392" s="660"/>
      <c r="F392" s="660"/>
      <c r="G392" s="660"/>
      <c r="H392" s="660"/>
    </row>
    <row r="393" spans="1:8">
      <c r="A393" s="661" t="s">
        <v>956</v>
      </c>
      <c r="B393" s="660"/>
      <c r="C393" s="660"/>
      <c r="D393" s="660"/>
      <c r="E393" s="660"/>
      <c r="F393" s="660"/>
      <c r="G393" s="660"/>
      <c r="H393" s="660"/>
    </row>
    <row r="394" spans="1:8">
      <c r="A394" s="660"/>
      <c r="B394" s="660"/>
      <c r="C394" s="660"/>
      <c r="D394" s="660"/>
      <c r="E394" s="660"/>
      <c r="F394" s="660"/>
      <c r="G394" s="660"/>
      <c r="H394" s="660"/>
    </row>
    <row r="395" spans="1:8">
      <c r="A395" s="661" t="s">
        <v>957</v>
      </c>
      <c r="B395" s="660"/>
      <c r="C395" s="660"/>
      <c r="D395" s="660"/>
      <c r="E395" s="660"/>
      <c r="F395" s="660"/>
      <c r="G395" s="660"/>
      <c r="H395" s="660"/>
    </row>
    <row r="396" spans="1:8">
      <c r="A396" s="661" t="s">
        <v>958</v>
      </c>
      <c r="B396" s="660"/>
      <c r="C396" s="660"/>
      <c r="D396" s="660"/>
      <c r="E396" s="660"/>
      <c r="F396" s="660"/>
      <c r="G396" s="660"/>
      <c r="H396" s="660"/>
    </row>
    <row r="397" spans="1:8">
      <c r="A397" s="661" t="s">
        <v>959</v>
      </c>
      <c r="B397" s="660"/>
      <c r="C397" s="660"/>
      <c r="D397" s="660"/>
      <c r="E397" s="660"/>
      <c r="F397" s="660"/>
      <c r="G397" s="660"/>
      <c r="H397" s="660"/>
    </row>
    <row r="398" spans="1:8">
      <c r="A398" s="661" t="s">
        <v>960</v>
      </c>
      <c r="B398" s="660"/>
      <c r="C398" s="660"/>
      <c r="D398" s="660"/>
      <c r="E398" s="660"/>
      <c r="F398" s="660"/>
      <c r="G398" s="660"/>
      <c r="H398" s="660"/>
    </row>
    <row r="399" spans="1:8">
      <c r="A399" s="661" t="s">
        <v>961</v>
      </c>
      <c r="B399" s="660"/>
      <c r="C399" s="660"/>
      <c r="D399" s="660"/>
      <c r="E399" s="660"/>
      <c r="F399" s="660"/>
      <c r="G399" s="660"/>
      <c r="H399" s="660"/>
    </row>
    <row r="400" spans="1:8">
      <c r="A400" s="661" t="s">
        <v>962</v>
      </c>
      <c r="B400" s="660"/>
      <c r="C400" s="660"/>
      <c r="D400" s="660"/>
      <c r="E400" s="660"/>
      <c r="F400" s="660"/>
      <c r="G400" s="660"/>
      <c r="H400" s="660"/>
    </row>
    <row r="401" spans="1:8">
      <c r="A401" s="660"/>
      <c r="B401" s="660"/>
      <c r="C401" s="660"/>
      <c r="D401" s="660"/>
      <c r="E401" s="660"/>
      <c r="F401" s="660"/>
      <c r="G401" s="660"/>
      <c r="H401" s="660"/>
    </row>
    <row r="402" spans="1:8">
      <c r="A402" s="661" t="s">
        <v>963</v>
      </c>
      <c r="B402" s="660"/>
      <c r="C402" s="660"/>
      <c r="D402" s="660"/>
      <c r="E402" s="660"/>
      <c r="F402" s="660"/>
      <c r="G402" s="660"/>
      <c r="H402" s="660"/>
    </row>
    <row r="403" spans="1:8">
      <c r="A403" s="661" t="s">
        <v>964</v>
      </c>
      <c r="B403" s="660"/>
      <c r="C403" s="660"/>
      <c r="D403" s="660"/>
      <c r="E403" s="660"/>
      <c r="F403" s="660"/>
      <c r="G403" s="660"/>
      <c r="H403" s="660"/>
    </row>
    <row r="404" spans="1:8">
      <c r="A404" s="661" t="s">
        <v>965</v>
      </c>
      <c r="B404" s="660"/>
      <c r="C404" s="660"/>
      <c r="D404" s="660"/>
      <c r="E404" s="660"/>
      <c r="F404" s="660"/>
      <c r="G404" s="660"/>
      <c r="H404" s="660"/>
    </row>
    <row r="405" spans="1:8">
      <c r="A405" s="661" t="s">
        <v>966</v>
      </c>
      <c r="B405" s="660"/>
      <c r="C405" s="660"/>
      <c r="D405" s="660"/>
      <c r="E405" s="660"/>
      <c r="F405" s="660"/>
      <c r="G405" s="660"/>
      <c r="H405" s="660"/>
    </row>
    <row r="406" spans="1:8">
      <c r="A406" s="661" t="s">
        <v>967</v>
      </c>
      <c r="B406" s="660"/>
      <c r="C406" s="660"/>
      <c r="D406" s="660"/>
      <c r="E406" s="660"/>
      <c r="F406" s="660"/>
      <c r="G406" s="660"/>
      <c r="H406" s="660"/>
    </row>
    <row r="407" spans="1:8">
      <c r="A407" s="660"/>
      <c r="B407" s="660"/>
      <c r="C407" s="660"/>
      <c r="D407" s="660"/>
      <c r="E407" s="660"/>
      <c r="F407" s="660"/>
      <c r="G407" s="660"/>
      <c r="H407" s="660"/>
    </row>
    <row r="408" spans="1:8">
      <c r="A408" s="661" t="s">
        <v>968</v>
      </c>
      <c r="B408" s="660"/>
      <c r="C408" s="660"/>
      <c r="D408" s="660"/>
      <c r="E408" s="660"/>
      <c r="F408" s="660"/>
      <c r="G408" s="660"/>
      <c r="H408" s="660"/>
    </row>
    <row r="409" spans="1:8">
      <c r="A409" s="661" t="s">
        <v>969</v>
      </c>
      <c r="B409" s="660"/>
      <c r="C409" s="660"/>
      <c r="D409" s="660"/>
      <c r="E409" s="660"/>
      <c r="F409" s="660"/>
      <c r="G409" s="660"/>
      <c r="H409" s="660"/>
    </row>
    <row r="410" spans="1:8">
      <c r="A410" s="660"/>
      <c r="B410" s="660"/>
      <c r="C410" s="660"/>
      <c r="D410" s="660"/>
      <c r="E410" s="660"/>
      <c r="F410" s="660"/>
      <c r="G410" s="660"/>
      <c r="H410" s="660"/>
    </row>
    <row r="411" spans="1:8">
      <c r="A411" s="661" t="s">
        <v>970</v>
      </c>
      <c r="B411" s="660"/>
      <c r="C411" s="660"/>
      <c r="D411" s="660"/>
      <c r="E411" s="660"/>
      <c r="F411" s="660"/>
      <c r="G411" s="660"/>
      <c r="H411" s="660"/>
    </row>
    <row r="412" spans="1:8">
      <c r="A412" s="661" t="s">
        <v>971</v>
      </c>
      <c r="B412" s="660"/>
      <c r="C412" s="660"/>
      <c r="D412" s="660"/>
      <c r="E412" s="660"/>
      <c r="F412" s="660"/>
      <c r="G412" s="660"/>
      <c r="H412" s="660"/>
    </row>
    <row r="413" spans="1:8">
      <c r="A413" s="660"/>
      <c r="B413" s="660"/>
      <c r="C413" s="660"/>
      <c r="D413" s="660"/>
      <c r="E413" s="660"/>
      <c r="F413" s="660"/>
      <c r="G413" s="660"/>
      <c r="H413" s="660"/>
    </row>
    <row r="414" spans="1:8">
      <c r="A414" s="661" t="s">
        <v>972</v>
      </c>
      <c r="B414" s="660"/>
      <c r="C414" s="660"/>
      <c r="D414" s="660"/>
      <c r="E414" s="660"/>
      <c r="F414" s="660"/>
      <c r="G414" s="660"/>
      <c r="H414" s="660"/>
    </row>
    <row r="415" spans="1:8">
      <c r="A415" s="661" t="s">
        <v>973</v>
      </c>
      <c r="B415" s="660"/>
      <c r="C415" s="660"/>
      <c r="D415" s="660"/>
      <c r="E415" s="660"/>
      <c r="F415" s="660"/>
      <c r="G415" s="660"/>
      <c r="H415" s="660"/>
    </row>
    <row r="416" spans="1:8">
      <c r="A416" s="661" t="s">
        <v>974</v>
      </c>
      <c r="B416" s="660"/>
      <c r="C416" s="660"/>
      <c r="D416" s="660"/>
      <c r="E416" s="660"/>
      <c r="F416" s="660"/>
      <c r="G416" s="660"/>
      <c r="H416" s="660"/>
    </row>
    <row r="417" spans="1:8">
      <c r="A417" s="661" t="s">
        <v>975</v>
      </c>
      <c r="B417" s="660"/>
      <c r="C417" s="660"/>
      <c r="D417" s="660"/>
      <c r="E417" s="660"/>
      <c r="F417" s="660"/>
      <c r="G417" s="660"/>
      <c r="H417" s="660"/>
    </row>
    <row r="418" spans="1:8">
      <c r="A418" s="660"/>
      <c r="B418" s="660"/>
      <c r="C418" s="660"/>
      <c r="D418" s="660"/>
      <c r="E418" s="660"/>
      <c r="F418" s="660"/>
      <c r="G418" s="660"/>
      <c r="H418" s="660"/>
    </row>
    <row r="419" spans="1:8">
      <c r="A419" s="661" t="s">
        <v>976</v>
      </c>
      <c r="B419" s="660"/>
      <c r="C419" s="660"/>
      <c r="D419" s="660"/>
      <c r="E419" s="660"/>
      <c r="F419" s="660"/>
      <c r="G419" s="660"/>
      <c r="H419" s="660"/>
    </row>
    <row r="420" spans="1:8">
      <c r="A420" s="661" t="s">
        <v>977</v>
      </c>
      <c r="B420" s="660"/>
      <c r="C420" s="660"/>
      <c r="D420" s="660"/>
      <c r="E420" s="660"/>
      <c r="F420" s="660"/>
      <c r="G420" s="660"/>
      <c r="H420" s="660"/>
    </row>
    <row r="421" spans="1:8">
      <c r="A421" s="660"/>
      <c r="B421" s="660"/>
      <c r="C421" s="660"/>
      <c r="D421" s="660"/>
      <c r="E421" s="660"/>
      <c r="F421" s="660"/>
      <c r="G421" s="660"/>
      <c r="H421" s="660"/>
    </row>
    <row r="422" spans="1:8">
      <c r="A422" s="661" t="s">
        <v>978</v>
      </c>
      <c r="B422" s="660"/>
      <c r="C422" s="660"/>
      <c r="D422" s="660"/>
      <c r="E422" s="660"/>
      <c r="F422" s="660"/>
      <c r="G422" s="660"/>
      <c r="H422" s="660"/>
    </row>
    <row r="423" spans="1:8">
      <c r="A423" s="661" t="s">
        <v>979</v>
      </c>
      <c r="B423" s="660"/>
      <c r="C423" s="660"/>
      <c r="D423" s="660"/>
      <c r="E423" s="660"/>
      <c r="F423" s="660"/>
      <c r="G423" s="660"/>
      <c r="H423" s="660"/>
    </row>
    <row r="424" spans="1:8">
      <c r="A424" s="661" t="s">
        <v>980</v>
      </c>
      <c r="B424" s="660"/>
      <c r="C424" s="660"/>
      <c r="D424" s="660"/>
      <c r="E424" s="660"/>
      <c r="F424" s="660"/>
      <c r="G424" s="660"/>
      <c r="H424" s="660"/>
    </row>
    <row r="425" spans="1:8">
      <c r="A425" s="661" t="s">
        <v>981</v>
      </c>
      <c r="B425" s="660"/>
      <c r="C425" s="660"/>
      <c r="D425" s="660"/>
      <c r="E425" s="660"/>
      <c r="F425" s="660"/>
      <c r="G425" s="660"/>
      <c r="H425" s="660"/>
    </row>
    <row r="427" spans="1:8">
      <c r="A427" s="665" t="s">
        <v>982</v>
      </c>
    </row>
  </sheetData>
  <mergeCells count="3">
    <mergeCell ref="B130:C130"/>
    <mergeCell ref="D130:F130"/>
    <mergeCell ref="G130:H130"/>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tabColor theme="4" tint="0.39997558519241921"/>
  </sheetPr>
  <dimension ref="A1:AL113"/>
  <sheetViews>
    <sheetView showGridLines="0" zoomScale="115" zoomScaleNormal="115" workbookViewId="0">
      <pane xSplit="23" ySplit="6" topLeftCell="X7" activePane="bottomRight" state="frozen"/>
      <selection pane="topRight" activeCell="X1" sqref="X1"/>
      <selection pane="bottomLeft" activeCell="A7" sqref="A7"/>
      <selection pane="bottomRight" activeCell="AH39" sqref="AH39"/>
    </sheetView>
  </sheetViews>
  <sheetFormatPr defaultRowHeight="15" outlineLevelRow="1" outlineLevelCol="1"/>
  <cols>
    <col min="1" max="1" width="52.140625" customWidth="1"/>
    <col min="2" max="16" width="12.140625" style="24" hidden="1" customWidth="1" outlineLevel="1"/>
    <col min="17" max="17" width="12.140625" style="24" hidden="1" customWidth="1" outlineLevel="1" collapsed="1"/>
    <col min="18" max="23" width="12.140625" style="24" hidden="1" customWidth="1" outlineLevel="1"/>
    <col min="24" max="24" width="12.140625" style="24" customWidth="1" collapsed="1"/>
    <col min="25" max="32" width="12.140625" style="24" customWidth="1"/>
    <col min="33" max="36" width="8.5703125" customWidth="1"/>
    <col min="37" max="37" width="32.5703125" customWidth="1"/>
    <col min="38" max="38" width="8.5703125" customWidth="1"/>
    <col min="40" max="40" width="52.42578125" customWidth="1"/>
  </cols>
  <sheetData>
    <row r="1" spans="1:37">
      <c r="A1" s="13" t="s">
        <v>20</v>
      </c>
      <c r="B1" s="67"/>
      <c r="C1" s="67"/>
      <c r="D1" s="67"/>
      <c r="E1" s="67"/>
      <c r="F1" s="67"/>
      <c r="G1" s="67"/>
      <c r="H1" s="67"/>
      <c r="I1" s="67"/>
      <c r="J1" s="67"/>
      <c r="K1" s="67"/>
      <c r="L1" s="67"/>
      <c r="M1" s="67"/>
      <c r="N1" s="67"/>
      <c r="O1" s="67"/>
      <c r="P1" s="67"/>
      <c r="Q1" s="67"/>
      <c r="R1" s="67"/>
      <c r="S1" s="67"/>
      <c r="T1" s="67"/>
      <c r="U1" s="67"/>
      <c r="V1" s="67"/>
      <c r="W1" s="67"/>
      <c r="X1" s="67"/>
      <c r="Y1" s="67"/>
      <c r="Z1" s="67"/>
      <c r="AA1" s="637"/>
      <c r="AB1" s="637"/>
      <c r="AC1" s="637"/>
      <c r="AD1" s="85"/>
      <c r="AE1" s="638"/>
      <c r="AF1" s="638"/>
    </row>
    <row r="2" spans="1:37">
      <c r="B2" s="139" t="s">
        <v>156</v>
      </c>
      <c r="C2" s="139" t="s">
        <v>155</v>
      </c>
      <c r="D2" s="139" t="s">
        <v>154</v>
      </c>
      <c r="E2" s="139" t="s">
        <v>153</v>
      </c>
      <c r="F2" s="139" t="s">
        <v>152</v>
      </c>
      <c r="G2" s="139" t="s">
        <v>151</v>
      </c>
      <c r="H2" s="139" t="s">
        <v>150</v>
      </c>
      <c r="I2" s="139" t="s">
        <v>149</v>
      </c>
      <c r="J2" s="139" t="s">
        <v>148</v>
      </c>
      <c r="K2" s="139" t="s">
        <v>147</v>
      </c>
      <c r="L2" s="139" t="s">
        <v>146</v>
      </c>
      <c r="M2" s="139" t="s">
        <v>145</v>
      </c>
      <c r="N2" s="139" t="s">
        <v>144</v>
      </c>
      <c r="O2" s="139" t="s">
        <v>143</v>
      </c>
      <c r="P2" s="139" t="s">
        <v>142</v>
      </c>
      <c r="Q2" s="139" t="s">
        <v>141</v>
      </c>
      <c r="R2" s="139" t="s">
        <v>136</v>
      </c>
      <c r="S2" s="139" t="s">
        <v>131</v>
      </c>
      <c r="T2" s="139" t="s">
        <v>126</v>
      </c>
      <c r="U2" s="139" t="s">
        <v>121</v>
      </c>
      <c r="V2" s="139" t="s">
        <v>216</v>
      </c>
      <c r="W2" s="139" t="s">
        <v>226</v>
      </c>
      <c r="X2" s="139" t="s">
        <v>233</v>
      </c>
      <c r="Y2" s="139" t="s">
        <v>473</v>
      </c>
      <c r="Z2" s="139" t="s">
        <v>480</v>
      </c>
      <c r="AA2" s="9" t="s">
        <v>613</v>
      </c>
      <c r="AB2" s="9" t="s">
        <v>223</v>
      </c>
      <c r="AC2" s="9" t="s">
        <v>231</v>
      </c>
      <c r="AD2" s="9" t="s">
        <v>398</v>
      </c>
      <c r="AE2" s="9" t="s">
        <v>399</v>
      </c>
      <c r="AF2" s="9" t="s">
        <v>579</v>
      </c>
      <c r="AI2" s="5" t="s">
        <v>515</v>
      </c>
      <c r="AK2" s="4" t="s">
        <v>538</v>
      </c>
    </row>
    <row r="3" spans="1:37" hidden="1" outlineLevel="1">
      <c r="A3" s="1" t="s">
        <v>463</v>
      </c>
      <c r="B3" s="114"/>
      <c r="C3" s="114"/>
      <c r="D3" s="114"/>
      <c r="E3" s="114"/>
      <c r="F3" s="114"/>
      <c r="G3" s="114"/>
      <c r="H3" s="114"/>
      <c r="I3" s="114"/>
      <c r="J3" s="114"/>
      <c r="K3" s="114"/>
      <c r="L3" s="114"/>
      <c r="M3" s="114"/>
      <c r="N3" s="114"/>
      <c r="O3" s="114"/>
      <c r="P3" s="114"/>
      <c r="Q3" s="114"/>
      <c r="R3" s="114">
        <f>+ProForma_IS_Qtr!K3</f>
        <v>19521</v>
      </c>
      <c r="S3" s="114">
        <f>+ProForma_IS_Qtr!P3</f>
        <v>19709</v>
      </c>
      <c r="T3" s="114">
        <f>+ProForma_IS_Qtr!U3</f>
        <v>22724</v>
      </c>
      <c r="U3" s="114">
        <f>+ProForma_IS_Qtr!Z3</f>
        <v>24217</v>
      </c>
      <c r="V3" s="114">
        <f>+ProForma_IS_Qtr!AE3</f>
        <v>14479</v>
      </c>
      <c r="W3" s="114">
        <f>+ProForma_IS_Qtr!AJ3</f>
        <v>14360</v>
      </c>
      <c r="X3" s="114">
        <f>+ProForma_IS_Qtr!AO3</f>
        <v>18665</v>
      </c>
      <c r="Y3" s="114">
        <f>+ProForma_IS_Qtr!AT3</f>
        <v>23684</v>
      </c>
      <c r="Z3" s="114">
        <f>+ProForma_IS_Qtr!AY3</f>
        <v>0</v>
      </c>
      <c r="AA3" s="114">
        <f>+ProForma_IS_Qtr!BD3</f>
        <v>0</v>
      </c>
      <c r="AB3" s="37">
        <f>+ProForma_IS_Qtr!BI3</f>
        <v>0</v>
      </c>
      <c r="AC3" s="37"/>
      <c r="AD3" s="37"/>
      <c r="AE3" s="37"/>
      <c r="AF3" s="37"/>
    </row>
    <row r="4" spans="1:37" hidden="1" outlineLevel="1">
      <c r="A4" s="1" t="s">
        <v>464</v>
      </c>
      <c r="B4" s="114"/>
      <c r="C4" s="114"/>
      <c r="D4" s="114"/>
      <c r="E4" s="114"/>
      <c r="F4" s="114"/>
      <c r="G4" s="114"/>
      <c r="H4" s="114"/>
      <c r="I4" s="114"/>
      <c r="J4" s="114"/>
      <c r="K4" s="114"/>
      <c r="L4" s="114"/>
      <c r="M4" s="114"/>
      <c r="N4" s="114"/>
      <c r="O4" s="114"/>
      <c r="P4" s="114"/>
      <c r="Q4" s="114"/>
      <c r="R4" s="114">
        <f>+ProForma_IS_Qtr!K4</f>
        <v>3585</v>
      </c>
      <c r="S4" s="114">
        <f>+ProForma_IS_Qtr!P4</f>
        <v>3991</v>
      </c>
      <c r="T4" s="114">
        <f>+ProForma_IS_Qtr!U4</f>
        <v>4103</v>
      </c>
      <c r="U4" s="114">
        <f>+ProForma_IS_Qtr!Z4</f>
        <v>4389</v>
      </c>
      <c r="V4" s="114">
        <f>+ProForma_IS_Qtr!AE4</f>
        <v>4572</v>
      </c>
      <c r="W4" s="114">
        <f>+ProForma_IS_Qtr!AJ4</f>
        <v>4136</v>
      </c>
      <c r="X4" s="114">
        <f>+ProForma_IS_Qtr!AO4</f>
        <v>4410</v>
      </c>
      <c r="Y4" s="114">
        <f>+ProForma_IS_Qtr!AT4</f>
        <v>4714</v>
      </c>
      <c r="Z4" s="114">
        <f>+ProForma_IS_Qtr!AY4</f>
        <v>0</v>
      </c>
      <c r="AA4" s="114">
        <f>+ProForma_IS_Qtr!BD4</f>
        <v>0</v>
      </c>
      <c r="AB4" s="37">
        <f>+ProForma_IS_Qtr!BI4</f>
        <v>0</v>
      </c>
      <c r="AC4" s="37"/>
      <c r="AD4" s="37"/>
      <c r="AE4" s="37"/>
      <c r="AF4" s="37"/>
    </row>
    <row r="5" spans="1:37" hidden="1" outlineLevel="1">
      <c r="A5" s="1" t="s">
        <v>465</v>
      </c>
      <c r="B5" s="114"/>
      <c r="C5" s="114"/>
      <c r="D5" s="114"/>
      <c r="E5" s="114"/>
      <c r="F5" s="114"/>
      <c r="G5" s="114"/>
      <c r="H5" s="114"/>
      <c r="I5" s="114"/>
      <c r="J5" s="114"/>
      <c r="K5" s="114"/>
      <c r="L5" s="114"/>
      <c r="M5" s="114"/>
      <c r="N5" s="114"/>
      <c r="O5" s="114"/>
      <c r="P5" s="114"/>
      <c r="Q5" s="114"/>
      <c r="R5" s="114">
        <f>+ProForma_IS_Qtr!K5</f>
        <v>3135</v>
      </c>
      <c r="S5" s="114">
        <f>+ProForma_IS_Qtr!P5</f>
        <v>3314</v>
      </c>
      <c r="T5" s="114">
        <f>+ProForma_IS_Qtr!U5</f>
        <v>3740</v>
      </c>
      <c r="U5" s="114">
        <f>+ProForma_IS_Qtr!Z5</f>
        <v>4269</v>
      </c>
      <c r="V5" s="114">
        <f>+ProForma_IS_Qtr!AE5</f>
        <v>2991</v>
      </c>
      <c r="W5" s="114">
        <f>+ProForma_IS_Qtr!AJ5</f>
        <v>2814</v>
      </c>
      <c r="X5" s="114">
        <f>+ProForma_IS_Qtr!AO5</f>
        <v>2975</v>
      </c>
      <c r="Y5" s="114">
        <f>+ProForma_IS_Qtr!AT5</f>
        <v>3372</v>
      </c>
      <c r="Z5" s="114">
        <f>+ProForma_IS_Qtr!AY5</f>
        <v>0</v>
      </c>
      <c r="AA5" s="114">
        <f>+ProForma_IS_Qtr!BD5</f>
        <v>0</v>
      </c>
      <c r="AB5" s="37">
        <f>+ProForma_IS_Qtr!BI5</f>
        <v>0</v>
      </c>
      <c r="AC5" s="37"/>
      <c r="AD5" s="37"/>
      <c r="AE5" s="37"/>
      <c r="AF5" s="37"/>
    </row>
    <row r="6" spans="1:37" hidden="1" outlineLevel="1">
      <c r="A6" s="1" t="s">
        <v>470</v>
      </c>
      <c r="B6" s="114"/>
      <c r="C6" s="114"/>
      <c r="D6" s="114"/>
      <c r="E6" s="114"/>
      <c r="F6" s="114"/>
      <c r="G6" s="114"/>
      <c r="H6" s="114"/>
      <c r="I6" s="114"/>
      <c r="J6" s="114"/>
      <c r="K6" s="114"/>
      <c r="L6" s="114"/>
      <c r="M6" s="114"/>
      <c r="N6" s="114"/>
      <c r="O6" s="114"/>
      <c r="P6" s="114"/>
      <c r="Q6" s="114"/>
      <c r="R6" s="114"/>
      <c r="S6" s="114"/>
      <c r="T6" s="114"/>
      <c r="U6" s="114"/>
      <c r="V6" s="114"/>
      <c r="W6" s="114"/>
      <c r="X6" s="114">
        <f>+ProForma_IS_Qtr!AO6</f>
        <v>29603</v>
      </c>
      <c r="Y6" s="114">
        <f>+ProForma_IS_Qtr!AT6</f>
        <v>0</v>
      </c>
      <c r="Z6" s="114"/>
      <c r="AA6" s="114"/>
      <c r="AB6" s="143"/>
      <c r="AC6" s="143"/>
      <c r="AD6" s="143"/>
      <c r="AE6" s="42"/>
      <c r="AF6" s="42"/>
    </row>
    <row r="7" spans="1:37" collapsed="1">
      <c r="A7" s="1" t="s">
        <v>468</v>
      </c>
      <c r="B7" s="114"/>
      <c r="C7" s="114"/>
      <c r="D7" s="114"/>
      <c r="E7" s="114"/>
      <c r="F7" s="114"/>
      <c r="G7" s="114"/>
      <c r="H7" s="114"/>
      <c r="I7" s="114"/>
      <c r="J7" s="114"/>
      <c r="K7" s="114"/>
      <c r="L7" s="114"/>
      <c r="M7" s="114"/>
      <c r="N7" s="114"/>
      <c r="O7" s="114"/>
      <c r="P7" s="114"/>
      <c r="Q7" s="114"/>
      <c r="R7" s="114"/>
      <c r="S7" s="114"/>
      <c r="T7" s="114"/>
      <c r="U7" s="114"/>
      <c r="V7" s="114"/>
      <c r="W7" s="114"/>
      <c r="X7" s="114">
        <f>+ProForma_IS_Qtr!AO7</f>
        <v>18665</v>
      </c>
      <c r="Y7" s="118">
        <f>+ProForma_IS_Qtr!AT7</f>
        <v>23855</v>
      </c>
      <c r="Z7" s="114">
        <f>+ProForma_IS_Qtr!AY7</f>
        <v>26881</v>
      </c>
      <c r="AA7" s="114">
        <f>+ProForma_IS_Qtr!BD7</f>
        <v>33314</v>
      </c>
      <c r="AB7" s="114">
        <f>+ProForma_IS_Qtr!BI7</f>
        <v>38507.093890405085</v>
      </c>
      <c r="AC7" s="114">
        <f>CES_Annual!AC9</f>
        <v>42965.193977439223</v>
      </c>
      <c r="AD7" s="114">
        <f>CES_Annual!AD9</f>
        <v>47898.228579084054</v>
      </c>
      <c r="AE7" s="37">
        <f>CES_Annual!AE9</f>
        <v>52225.813674077333</v>
      </c>
      <c r="AF7" s="37">
        <f>CES_Annual!AF9</f>
        <v>57119.506996828517</v>
      </c>
      <c r="AK7" s="251"/>
    </row>
    <row r="8" spans="1:37">
      <c r="A8" s="1" t="s">
        <v>469</v>
      </c>
      <c r="B8" s="114"/>
      <c r="C8" s="114"/>
      <c r="D8" s="114"/>
      <c r="E8" s="114"/>
      <c r="F8" s="114"/>
      <c r="G8" s="114"/>
      <c r="H8" s="114"/>
      <c r="I8" s="114"/>
      <c r="J8" s="114"/>
      <c r="K8" s="114"/>
      <c r="L8" s="114"/>
      <c r="M8" s="114"/>
      <c r="N8" s="114"/>
      <c r="O8" s="114"/>
      <c r="P8" s="114"/>
      <c r="Q8" s="114"/>
      <c r="R8" s="114"/>
      <c r="S8" s="114"/>
      <c r="T8" s="114"/>
      <c r="U8" s="114"/>
      <c r="V8" s="114"/>
      <c r="W8" s="114"/>
      <c r="X8" s="114">
        <f>+ProForma_IS_Qtr!AO8</f>
        <v>7385</v>
      </c>
      <c r="Y8" s="118">
        <f>+ProForma_IS_Qtr!AT8</f>
        <v>8961</v>
      </c>
      <c r="Z8" s="114">
        <f>+ProForma_IS_Qtr!AY8</f>
        <v>9478</v>
      </c>
      <c r="AA8" s="114">
        <f>+ProForma_IS_Qtr!BD8</f>
        <v>10554</v>
      </c>
      <c r="AB8" s="114">
        <f>+ProForma_IS_Qtr!BI8</f>
        <v>13586.36</v>
      </c>
      <c r="AC8" s="114">
        <f>'Def and Prop Tech_Annual'!AC9</f>
        <v>14217.905999999999</v>
      </c>
      <c r="AD8" s="114">
        <f>'Def and Prop Tech_Annual'!AD9</f>
        <v>14879.118420000001</v>
      </c>
      <c r="AE8" s="37">
        <f>'Def and Prop Tech_Annual'!AE9</f>
        <v>15571.404145800003</v>
      </c>
      <c r="AF8" s="37">
        <f>'Def and Prop Tech_Annual'!AF9</f>
        <v>16296.237350082003</v>
      </c>
      <c r="AK8" s="251"/>
    </row>
    <row r="9" spans="1:37">
      <c r="A9" s="1" t="s">
        <v>309</v>
      </c>
      <c r="B9" s="114"/>
      <c r="C9" s="114"/>
      <c r="D9" s="114"/>
      <c r="E9" s="114"/>
      <c r="F9" s="114"/>
      <c r="G9" s="114"/>
      <c r="H9" s="114"/>
      <c r="I9" s="114"/>
      <c r="J9" s="114"/>
      <c r="K9" s="114"/>
      <c r="L9" s="114"/>
      <c r="M9" s="114"/>
      <c r="N9" s="114"/>
      <c r="O9" s="114"/>
      <c r="P9" s="114"/>
      <c r="Q9" s="114"/>
      <c r="R9" s="114"/>
      <c r="S9" s="114"/>
      <c r="T9" s="114"/>
      <c r="U9" s="114"/>
      <c r="V9" s="114"/>
      <c r="W9" s="114"/>
      <c r="X9" s="114">
        <f>+ProForma_IS_Qtr!AO9</f>
        <v>2957</v>
      </c>
      <c r="Y9" s="118">
        <f>+ProForma_IS_Qtr!AT9</f>
        <v>3389</v>
      </c>
      <c r="Z9" s="114">
        <f>+ProForma_IS_Qtr!AY9</f>
        <v>3581</v>
      </c>
      <c r="AA9" s="114">
        <f>+ProForma_IS_Qtr!BD9</f>
        <v>3533</v>
      </c>
      <c r="AB9" s="42">
        <f>+ProForma_IS_Qtr!BI9</f>
        <v>3550</v>
      </c>
      <c r="AC9" s="42">
        <f>+AB9</f>
        <v>3550</v>
      </c>
      <c r="AD9" s="42">
        <f>+AC9</f>
        <v>3550</v>
      </c>
      <c r="AE9" s="42">
        <f>+AD9</f>
        <v>3550</v>
      </c>
      <c r="AF9" s="42">
        <f>+AE9</f>
        <v>3550</v>
      </c>
      <c r="AI9" s="98"/>
    </row>
    <row r="10" spans="1:37">
      <c r="A10" s="1" t="s">
        <v>202</v>
      </c>
      <c r="B10" s="143"/>
      <c r="C10" s="143"/>
      <c r="D10" s="143"/>
      <c r="E10" s="143"/>
      <c r="F10" s="143"/>
      <c r="G10" s="143"/>
      <c r="H10" s="143"/>
      <c r="I10" s="143"/>
      <c r="J10" s="143"/>
      <c r="K10" s="143"/>
      <c r="L10" s="143"/>
      <c r="M10" s="143"/>
      <c r="N10" s="143"/>
      <c r="O10" s="143"/>
      <c r="P10" s="143"/>
      <c r="Q10" s="114"/>
      <c r="R10" s="114"/>
      <c r="S10" s="114"/>
      <c r="T10" s="114"/>
      <c r="U10" s="114"/>
      <c r="V10" s="114"/>
      <c r="W10" s="114"/>
      <c r="X10" s="114">
        <f>+ProForma_IS_Qtr!AO10</f>
        <v>2447</v>
      </c>
      <c r="Y10" s="118">
        <f>+ProForma_IS_Qtr!AT10</f>
        <v>-857</v>
      </c>
      <c r="Z10" s="114">
        <f>+ProForma_IS_Qtr!AY10</f>
        <v>-1238</v>
      </c>
      <c r="AA10" s="114">
        <f>+ProForma_IS_Qtr!BD10</f>
        <v>-1546</v>
      </c>
      <c r="AB10" s="42">
        <f>+ProForma_IS_Qtr!BI10</f>
        <v>-1800</v>
      </c>
      <c r="AC10" s="42">
        <f>AB10*1.1</f>
        <v>-1980.0000000000002</v>
      </c>
      <c r="AD10" s="42">
        <f t="shared" ref="AD10:AF10" si="0">AC10*1.1</f>
        <v>-2178.0000000000005</v>
      </c>
      <c r="AE10" s="42">
        <f t="shared" si="0"/>
        <v>-2395.8000000000006</v>
      </c>
      <c r="AF10" s="42">
        <f t="shared" si="0"/>
        <v>-2635.380000000001</v>
      </c>
    </row>
    <row r="11" spans="1:37">
      <c r="A11" s="6" t="str">
        <f>ProForma_IS_Qtr!A11</f>
        <v>Total Net Sales</v>
      </c>
      <c r="B11" s="140"/>
      <c r="C11" s="140"/>
      <c r="D11" s="140"/>
      <c r="E11" s="140"/>
      <c r="F11" s="140"/>
      <c r="G11" s="140"/>
      <c r="H11" s="140"/>
      <c r="I11" s="140"/>
      <c r="J11" s="140"/>
      <c r="K11" s="140"/>
      <c r="L11" s="140"/>
      <c r="M11" s="140"/>
      <c r="N11" s="140"/>
      <c r="O11" s="140"/>
      <c r="P11" s="140"/>
      <c r="Q11" s="140"/>
      <c r="R11" s="140"/>
      <c r="S11" s="140"/>
      <c r="T11" s="140"/>
      <c r="U11" s="140"/>
      <c r="V11" s="140"/>
      <c r="W11" s="140"/>
      <c r="X11" s="140">
        <f>SUM(X6:X10)</f>
        <v>61057</v>
      </c>
      <c r="Y11" s="140">
        <f>SUM(Y6:Y10)</f>
        <v>35348</v>
      </c>
      <c r="Z11" s="140">
        <f t="shared" ref="Z11:AE11" si="1">SUM(Z7:Z10)</f>
        <v>38702</v>
      </c>
      <c r="AA11" s="140">
        <f t="shared" si="1"/>
        <v>45855</v>
      </c>
      <c r="AB11" s="140">
        <f t="shared" ref="AB11" si="2">SUM(AB7:AB10)</f>
        <v>53843.453890405086</v>
      </c>
      <c r="AC11" s="140">
        <f t="shared" si="1"/>
        <v>58753.099977439226</v>
      </c>
      <c r="AD11" s="140">
        <f t="shared" si="1"/>
        <v>64149.346999084053</v>
      </c>
      <c r="AE11" s="23">
        <f t="shared" si="1"/>
        <v>68951.41781987733</v>
      </c>
      <c r="AF11" s="23">
        <f t="shared" ref="AF11" si="3">SUM(AF7:AF10)</f>
        <v>74330.364346910515</v>
      </c>
    </row>
    <row r="12" spans="1:37">
      <c r="A12" s="1" t="str">
        <f>ProForma_IS_Qtr!A12</f>
        <v>YoY</v>
      </c>
      <c r="B12" s="84"/>
      <c r="C12" s="84"/>
      <c r="D12" s="84"/>
      <c r="E12" s="84"/>
      <c r="F12" s="84"/>
      <c r="G12" s="84"/>
      <c r="H12" s="84"/>
      <c r="I12" s="84"/>
      <c r="J12" s="84"/>
      <c r="K12" s="84"/>
      <c r="L12" s="84"/>
      <c r="M12" s="84"/>
      <c r="N12" s="84"/>
      <c r="O12" s="84"/>
      <c r="P12" s="84"/>
      <c r="Q12" s="117"/>
      <c r="R12" s="117"/>
      <c r="S12" s="117"/>
      <c r="T12" s="117"/>
      <c r="U12" s="117"/>
      <c r="V12" s="117"/>
      <c r="W12" s="117"/>
      <c r="X12" s="339"/>
      <c r="Y12" s="117">
        <f t="shared" ref="Y12:AF12" si="4">+Y11/X11-1</f>
        <v>-0.42106556168825848</v>
      </c>
      <c r="Z12" s="152">
        <f t="shared" si="4"/>
        <v>9.488514201652154E-2</v>
      </c>
      <c r="AA12" s="152">
        <f t="shared" si="4"/>
        <v>0.18482248979380911</v>
      </c>
      <c r="AB12" s="101">
        <f t="shared" si="4"/>
        <v>0.17421118504863342</v>
      </c>
      <c r="AC12" s="101">
        <f t="shared" si="4"/>
        <v>9.118371375334533E-2</v>
      </c>
      <c r="AD12" s="101">
        <f t="shared" si="4"/>
        <v>9.1846166818720265E-2</v>
      </c>
      <c r="AE12" s="101">
        <f t="shared" si="4"/>
        <v>7.4857672687795862E-2</v>
      </c>
      <c r="AF12" s="101">
        <f t="shared" si="4"/>
        <v>7.80106732697603E-2</v>
      </c>
    </row>
    <row r="13" spans="1:37">
      <c r="A13" s="1"/>
      <c r="B13" s="84"/>
      <c r="C13" s="84"/>
      <c r="D13" s="84"/>
      <c r="E13" s="84"/>
      <c r="F13" s="84"/>
      <c r="G13" s="84"/>
      <c r="H13" s="84"/>
      <c r="I13" s="84"/>
      <c r="J13" s="84"/>
      <c r="K13" s="84"/>
      <c r="L13" s="84"/>
      <c r="M13" s="84"/>
      <c r="N13" s="84"/>
      <c r="O13" s="84"/>
      <c r="P13" s="84"/>
      <c r="Q13" s="117"/>
      <c r="R13" s="117"/>
      <c r="S13" s="117"/>
      <c r="T13" s="117"/>
      <c r="U13" s="117"/>
      <c r="V13" s="117"/>
      <c r="W13" s="117"/>
      <c r="X13" s="117"/>
      <c r="Y13" s="152"/>
      <c r="Z13" s="152"/>
      <c r="AA13" s="152"/>
      <c r="AB13" s="101"/>
      <c r="AC13" s="101"/>
      <c r="AD13" s="101"/>
      <c r="AE13" s="101"/>
      <c r="AF13" s="101"/>
    </row>
    <row r="14" spans="1:37">
      <c r="A14" s="1" t="s">
        <v>310</v>
      </c>
      <c r="B14" s="84"/>
      <c r="C14" s="84"/>
      <c r="D14" s="84"/>
      <c r="E14" s="84"/>
      <c r="F14" s="84"/>
      <c r="G14" s="84"/>
      <c r="H14" s="84"/>
      <c r="I14" s="84"/>
      <c r="J14" s="84"/>
      <c r="K14" s="84"/>
      <c r="L14" s="84"/>
      <c r="M14" s="84"/>
      <c r="N14" s="84"/>
      <c r="O14" s="84"/>
      <c r="P14" s="84"/>
      <c r="Q14" s="117"/>
      <c r="R14" s="117"/>
      <c r="S14" s="117"/>
      <c r="T14" s="117"/>
      <c r="U14" s="117"/>
      <c r="V14" s="117"/>
      <c r="W14" s="117"/>
      <c r="X14" s="114">
        <f>+ProForma_IS_Qtr!AO14</f>
        <v>-2957</v>
      </c>
      <c r="Y14" s="114">
        <f>+ProForma_IS_Qtr!AT14</f>
        <v>-3389</v>
      </c>
      <c r="Z14" s="114">
        <f>+ProForma_IS_Qtr!AY14</f>
        <v>-3581</v>
      </c>
      <c r="AA14" s="114">
        <f>+ProForma_IS_Qtr!BD14</f>
        <v>-3533</v>
      </c>
      <c r="AB14" s="71">
        <f>+ProForma_IS_Qtr!BI14</f>
        <v>-3550</v>
      </c>
      <c r="AC14" s="71">
        <f>-AC9</f>
        <v>-3550</v>
      </c>
      <c r="AD14" s="71">
        <f>-AD9</f>
        <v>-3550</v>
      </c>
      <c r="AE14" s="71">
        <f>-AE9</f>
        <v>-3550</v>
      </c>
      <c r="AF14" s="71">
        <f>-AF9</f>
        <v>-3550</v>
      </c>
    </row>
    <row r="15" spans="1:37">
      <c r="A15" s="6" t="s">
        <v>311</v>
      </c>
      <c r="B15" s="140"/>
      <c r="C15" s="140"/>
      <c r="D15" s="140"/>
      <c r="E15" s="140"/>
      <c r="F15" s="140"/>
      <c r="G15" s="140"/>
      <c r="H15" s="140"/>
      <c r="I15" s="140"/>
      <c r="J15" s="140"/>
      <c r="K15" s="140"/>
      <c r="L15" s="140"/>
      <c r="M15" s="140"/>
      <c r="N15" s="140"/>
      <c r="O15" s="140"/>
      <c r="P15" s="140"/>
      <c r="Q15" s="140"/>
      <c r="R15" s="140"/>
      <c r="S15" s="140"/>
      <c r="T15" s="140"/>
      <c r="U15" s="140"/>
      <c r="V15" s="140"/>
      <c r="W15" s="140"/>
      <c r="X15" s="140">
        <f>+X11+X14</f>
        <v>58100</v>
      </c>
      <c r="Y15" s="140">
        <f>Y11+Y14</f>
        <v>31959</v>
      </c>
      <c r="Z15" s="140">
        <f t="shared" ref="Z15:AF15" si="5">Z11+Z14</f>
        <v>35121</v>
      </c>
      <c r="AA15" s="140">
        <f>AA11+AA14</f>
        <v>42322</v>
      </c>
      <c r="AB15" s="23">
        <f>AB11+AB14</f>
        <v>50293.453890405086</v>
      </c>
      <c r="AC15" s="23">
        <f t="shared" si="5"/>
        <v>55203.099977439226</v>
      </c>
      <c r="AD15" s="23">
        <f t="shared" si="5"/>
        <v>60599.346999084053</v>
      </c>
      <c r="AE15" s="23">
        <f t="shared" si="5"/>
        <v>65401.41781987733</v>
      </c>
      <c r="AF15" s="23">
        <f t="shared" si="5"/>
        <v>70780.364346910515</v>
      </c>
    </row>
    <row r="16" spans="1:37">
      <c r="A16" s="1" t="s">
        <v>4</v>
      </c>
      <c r="B16" s="84"/>
      <c r="C16" s="84"/>
      <c r="D16" s="84"/>
      <c r="E16" s="84"/>
      <c r="F16" s="84"/>
      <c r="G16" s="84"/>
      <c r="H16" s="84"/>
      <c r="I16" s="84"/>
      <c r="J16" s="84"/>
      <c r="K16" s="84"/>
      <c r="L16" s="84"/>
      <c r="M16" s="84"/>
      <c r="N16" s="84"/>
      <c r="O16" s="84"/>
      <c r="P16" s="84"/>
      <c r="Q16" s="117"/>
      <c r="R16" s="117"/>
      <c r="S16" s="117"/>
      <c r="T16" s="117"/>
      <c r="U16" s="117"/>
      <c r="V16" s="117"/>
      <c r="W16" s="117"/>
      <c r="X16" s="117"/>
      <c r="Y16" s="117">
        <f t="shared" ref="Y16:AF16" si="6">+Y15/X15-1</f>
        <v>-0.44993115318416521</v>
      </c>
      <c r="Z16" s="152">
        <f t="shared" si="6"/>
        <v>9.8939265934478549E-2</v>
      </c>
      <c r="AA16" s="152">
        <f t="shared" si="6"/>
        <v>0.20503402522707215</v>
      </c>
      <c r="AB16" s="101">
        <f t="shared" si="6"/>
        <v>0.18835248547812222</v>
      </c>
      <c r="AC16" s="101">
        <f t="shared" si="6"/>
        <v>9.7619982467952893E-2</v>
      </c>
      <c r="AD16" s="101">
        <f t="shared" si="6"/>
        <v>9.7752608528329121E-2</v>
      </c>
      <c r="AE16" s="101">
        <f t="shared" si="6"/>
        <v>7.9242946642079426E-2</v>
      </c>
      <c r="AF16" s="101">
        <f t="shared" si="6"/>
        <v>8.2245105784210848E-2</v>
      </c>
      <c r="AH16" s="546">
        <f>(AD15/Z15)^(1/4)-1</f>
        <v>0.14610727121865619</v>
      </c>
      <c r="AI16" t="s">
        <v>516</v>
      </c>
      <c r="AK16" s="251"/>
    </row>
    <row r="17" spans="1:37">
      <c r="B17" s="141"/>
      <c r="C17" s="141"/>
      <c r="D17" s="141"/>
      <c r="E17" s="141"/>
      <c r="F17" s="141"/>
      <c r="G17" s="141"/>
      <c r="H17" s="141"/>
      <c r="I17" s="141"/>
      <c r="J17" s="141"/>
      <c r="K17" s="141"/>
      <c r="L17" s="141"/>
      <c r="M17" s="141"/>
      <c r="N17" s="141"/>
      <c r="O17" s="141"/>
      <c r="P17" s="141"/>
      <c r="Q17" s="141"/>
      <c r="R17" s="141"/>
      <c r="S17" s="141"/>
      <c r="T17" s="141"/>
      <c r="U17" s="141"/>
      <c r="V17" s="141"/>
      <c r="W17" s="141"/>
      <c r="X17" s="141"/>
      <c r="Y17" s="141"/>
      <c r="Z17" s="141"/>
      <c r="AA17" s="141"/>
      <c r="AB17" s="25"/>
      <c r="AC17" s="25"/>
      <c r="AD17" s="25"/>
      <c r="AE17" s="25"/>
      <c r="AF17" s="25"/>
    </row>
    <row r="18" spans="1:37">
      <c r="A18" s="1" t="str">
        <f>ProForma_IS_Qtr!A18</f>
        <v>Commercial Engines &amp; Services (New)</v>
      </c>
      <c r="B18" s="114"/>
      <c r="C18" s="114"/>
      <c r="D18" s="114"/>
      <c r="E18" s="114"/>
      <c r="F18" s="114"/>
      <c r="G18" s="114"/>
      <c r="H18" s="114"/>
      <c r="I18" s="114"/>
      <c r="J18" s="114"/>
      <c r="K18" s="114"/>
      <c r="L18" s="114"/>
      <c r="M18" s="114"/>
      <c r="N18" s="114"/>
      <c r="O18" s="114"/>
      <c r="P18" s="114"/>
      <c r="Q18" s="114"/>
      <c r="R18" s="114"/>
      <c r="S18" s="114"/>
      <c r="T18" s="114"/>
      <c r="U18" s="114"/>
      <c r="V18" s="114"/>
      <c r="W18" s="114"/>
      <c r="X18" s="114">
        <f>+ProForma_IS_Qtr!AO18</f>
        <v>0</v>
      </c>
      <c r="Y18" s="114">
        <f>+ProForma_IS_Qtr!AT18</f>
        <v>5643</v>
      </c>
      <c r="Z18" s="114">
        <f>+ProForma_IS_Qtr!AY18</f>
        <v>7055</v>
      </c>
      <c r="AA18" s="114">
        <f>+ProForma_IS_Qtr!BD18</f>
        <v>8861</v>
      </c>
      <c r="AB18" s="114">
        <f>+ProForma_IS_Qtr!BI18</f>
        <v>10346.856128351847</v>
      </c>
      <c r="AC18" s="114">
        <f>CES_Annual!AC38</f>
        <v>11832.409335582021</v>
      </c>
      <c r="AD18" s="114">
        <f>CES_Annual!AD38</f>
        <v>13530.140543820358</v>
      </c>
      <c r="AE18" s="37">
        <f>CES_Annual!AE38</f>
        <v>15191.853077862965</v>
      </c>
      <c r="AF18" s="37">
        <f>CES_Annual!AF38</f>
        <v>17140.683207585269</v>
      </c>
      <c r="AK18" s="251"/>
    </row>
    <row r="19" spans="1:37">
      <c r="A19" s="1" t="str">
        <f>ProForma_IS_Qtr!A19</f>
        <v>Defense &amp; Propulstion Technologies (New)</v>
      </c>
      <c r="B19" s="114"/>
      <c r="C19" s="114"/>
      <c r="D19" s="114"/>
      <c r="E19" s="114"/>
      <c r="F19" s="114"/>
      <c r="G19" s="114"/>
      <c r="H19" s="114"/>
      <c r="I19" s="114"/>
      <c r="J19" s="114"/>
      <c r="K19" s="114"/>
      <c r="L19" s="114"/>
      <c r="M19" s="114"/>
      <c r="N19" s="114"/>
      <c r="O19" s="114"/>
      <c r="P19" s="114"/>
      <c r="Q19" s="114"/>
      <c r="R19" s="114"/>
      <c r="S19" s="114"/>
      <c r="T19" s="114"/>
      <c r="U19" s="114"/>
      <c r="V19" s="114"/>
      <c r="W19" s="114"/>
      <c r="X19" s="114">
        <f>+ProForma_IS_Qtr!AO19</f>
        <v>0</v>
      </c>
      <c r="Y19" s="114">
        <f>+ProForma_IS_Qtr!AT19</f>
        <v>908</v>
      </c>
      <c r="Z19" s="114">
        <f>+ProForma_IS_Qtr!AY19</f>
        <v>1061</v>
      </c>
      <c r="AA19" s="114">
        <f>+ProForma_IS_Qtr!BD19</f>
        <v>1296</v>
      </c>
      <c r="AB19" s="37">
        <f>+ProForma_IS_Qtr!BI19</f>
        <v>1691.5018200000002</v>
      </c>
      <c r="AC19" s="37">
        <f>'Def and Prop Tech_Annual'!AC26</f>
        <v>1763.0203439999998</v>
      </c>
      <c r="AD19" s="37">
        <f>'Def and Prop Tech_Annual'!AD26</f>
        <v>1882.20848013</v>
      </c>
      <c r="AE19" s="37">
        <f>'Def and Prop Tech_Annual'!AE26</f>
        <v>2008.7111348082003</v>
      </c>
      <c r="AF19" s="37">
        <f>'Def and Prop Tech_Annual'!AF26</f>
        <v>2102.2146181605785</v>
      </c>
      <c r="AK19" s="251"/>
    </row>
    <row r="20" spans="1:37">
      <c r="A20" s="1" t="s">
        <v>472</v>
      </c>
      <c r="B20" s="114"/>
      <c r="C20" s="114"/>
      <c r="D20" s="114"/>
      <c r="E20" s="114"/>
      <c r="F20" s="114"/>
      <c r="G20" s="114"/>
      <c r="H20" s="114"/>
      <c r="I20" s="114"/>
      <c r="J20" s="114"/>
      <c r="K20" s="114"/>
      <c r="L20" s="114"/>
      <c r="M20" s="114"/>
      <c r="N20" s="114"/>
      <c r="O20" s="114"/>
      <c r="P20" s="114"/>
      <c r="Q20" s="114"/>
      <c r="R20" s="114"/>
      <c r="S20" s="114"/>
      <c r="T20" s="114"/>
      <c r="U20" s="114"/>
      <c r="V20" s="114"/>
      <c r="W20" s="114"/>
      <c r="X20" s="114">
        <f>+ProForma_IS_Qtr!AO20</f>
        <v>4775</v>
      </c>
      <c r="Y20" s="114">
        <f>+ProForma_IS_Qtr!AT20</f>
        <v>0</v>
      </c>
      <c r="Z20" s="114">
        <f>+ProForma_IS_Qtr!AY20</f>
        <v>0</v>
      </c>
      <c r="AA20" s="114">
        <f>+ProForma_IS_Qtr!BD20</f>
        <v>0</v>
      </c>
      <c r="AB20" s="37">
        <f>+ProForma_IS_Qtr!BI20</f>
        <v>0</v>
      </c>
      <c r="AC20" s="37"/>
      <c r="AD20" s="37"/>
      <c r="AE20" s="37"/>
      <c r="AF20" s="37"/>
    </row>
    <row r="21" spans="1:37" hidden="1" outlineLevel="1">
      <c r="A21" s="1" t="str">
        <f>ProForma_IS_Qtr!A21</f>
        <v>Vernova</v>
      </c>
      <c r="B21" s="143"/>
      <c r="C21" s="143"/>
      <c r="D21" s="143"/>
      <c r="E21" s="143"/>
      <c r="F21" s="143"/>
      <c r="G21" s="143"/>
      <c r="H21" s="143"/>
      <c r="I21" s="143"/>
      <c r="J21" s="143"/>
      <c r="K21" s="143"/>
      <c r="L21" s="143"/>
      <c r="M21" s="143"/>
      <c r="N21" s="143"/>
      <c r="O21" s="143"/>
      <c r="P21" s="143"/>
      <c r="Q21" s="114"/>
      <c r="R21" s="114"/>
      <c r="S21" s="114"/>
      <c r="T21" s="114"/>
      <c r="U21" s="114"/>
      <c r="V21" s="114"/>
      <c r="W21" s="114"/>
      <c r="X21" s="114">
        <f>+ProForma_IS_Qtr!AO21</f>
        <v>-1023</v>
      </c>
      <c r="Y21" s="114">
        <f>+ProForma_IS_Qtr!AT21</f>
        <v>0</v>
      </c>
      <c r="Z21" s="114">
        <f>+ProForma_IS_Qtr!AY21</f>
        <v>0</v>
      </c>
      <c r="AA21" s="114">
        <f>+ProForma_IS_Qtr!BD21</f>
        <v>0</v>
      </c>
      <c r="AB21" s="42">
        <f>+ProForma_IS_Qtr!BI21</f>
        <v>0</v>
      </c>
      <c r="AC21" s="42"/>
      <c r="AD21" s="42"/>
      <c r="AE21" s="42"/>
      <c r="AF21" s="42"/>
    </row>
    <row r="22" spans="1:37" collapsed="1">
      <c r="A22" s="4" t="str">
        <f>ProForma_IS_Qtr!A22</f>
        <v>Business Segment Operating Profit</v>
      </c>
      <c r="B22" s="113"/>
      <c r="C22" s="113"/>
      <c r="D22" s="113"/>
      <c r="E22" s="113"/>
      <c r="F22" s="113"/>
      <c r="G22" s="113"/>
      <c r="H22" s="113"/>
      <c r="I22" s="113"/>
      <c r="J22" s="113"/>
      <c r="K22" s="113"/>
      <c r="L22" s="113"/>
      <c r="M22" s="113"/>
      <c r="N22" s="113"/>
      <c r="O22" s="113"/>
      <c r="P22" s="113"/>
      <c r="Q22" s="116"/>
      <c r="R22" s="113"/>
      <c r="S22" s="113"/>
      <c r="T22" s="113"/>
      <c r="U22" s="113"/>
      <c r="V22" s="113"/>
      <c r="W22" s="113"/>
      <c r="X22" s="113">
        <f t="shared" ref="X22:AE22" si="7">SUM(X18:X21)</f>
        <v>3752</v>
      </c>
      <c r="Y22" s="113">
        <f t="shared" si="7"/>
        <v>6551</v>
      </c>
      <c r="Z22" s="113">
        <f t="shared" si="7"/>
        <v>8116</v>
      </c>
      <c r="AA22" s="113">
        <f>SUM(AA18:AA21)</f>
        <v>10157</v>
      </c>
      <c r="AB22" s="77">
        <f>SUM(AB18:AB21)</f>
        <v>12038.357948351846</v>
      </c>
      <c r="AC22" s="77">
        <f t="shared" si="7"/>
        <v>13595.429679582021</v>
      </c>
      <c r="AD22" s="77">
        <f t="shared" si="7"/>
        <v>15412.349023950359</v>
      </c>
      <c r="AE22" s="77">
        <f t="shared" si="7"/>
        <v>17200.564212671165</v>
      </c>
      <c r="AF22" s="77">
        <f t="shared" ref="AF22" si="8">SUM(AF18:AF21)</f>
        <v>19242.897825745848</v>
      </c>
    </row>
    <row r="23" spans="1:37">
      <c r="A23" s="12"/>
      <c r="B23" s="142"/>
      <c r="C23" s="142"/>
      <c r="D23" s="142"/>
      <c r="E23" s="142"/>
      <c r="F23" s="142"/>
      <c r="G23" s="142"/>
      <c r="H23" s="142"/>
      <c r="I23" s="142"/>
      <c r="J23" s="142"/>
      <c r="K23" s="142"/>
      <c r="L23" s="142"/>
      <c r="M23" s="142"/>
      <c r="N23" s="142"/>
      <c r="O23" s="142"/>
      <c r="P23" s="142"/>
      <c r="Q23" s="142"/>
      <c r="R23" s="142"/>
      <c r="S23" s="142"/>
      <c r="T23" s="142"/>
      <c r="U23" s="142"/>
      <c r="V23" s="307"/>
      <c r="W23" s="142"/>
      <c r="X23" s="142"/>
      <c r="Y23" s="142"/>
      <c r="Z23" s="142"/>
      <c r="AA23" s="142"/>
      <c r="AB23" s="39"/>
      <c r="AC23" s="39"/>
      <c r="AD23" s="39"/>
      <c r="AE23" s="39"/>
      <c r="AF23" s="39"/>
    </row>
    <row r="24" spans="1:37">
      <c r="A24" s="1" t="s">
        <v>202</v>
      </c>
      <c r="B24" s="143"/>
      <c r="C24" s="143"/>
      <c r="D24" s="143"/>
      <c r="E24" s="143"/>
      <c r="F24" s="143"/>
      <c r="G24" s="143"/>
      <c r="H24" s="143"/>
      <c r="I24" s="143"/>
      <c r="J24" s="143"/>
      <c r="K24" s="143"/>
      <c r="L24" s="143"/>
      <c r="M24" s="143"/>
      <c r="N24" s="143"/>
      <c r="O24" s="143"/>
      <c r="P24" s="143"/>
      <c r="Q24" s="114"/>
      <c r="R24" s="114"/>
      <c r="S24" s="114"/>
      <c r="T24" s="114"/>
      <c r="U24" s="114"/>
      <c r="V24" s="114"/>
      <c r="W24" s="114"/>
      <c r="X24" s="114">
        <f>+ProForma_IS_Qtr!AO24</f>
        <v>-593</v>
      </c>
      <c r="Y24" s="114">
        <f>+ProForma_IS_Qtr!AT24</f>
        <v>-990</v>
      </c>
      <c r="Z24" s="114">
        <f>+ProForma_IS_Qtr!AY24</f>
        <v>-863</v>
      </c>
      <c r="AA24" s="114">
        <f>+ProForma_IS_Qtr!BD24</f>
        <v>-1102</v>
      </c>
      <c r="AB24" s="42">
        <f>+ProForma_IS_Qtr!BI24</f>
        <v>-1290</v>
      </c>
      <c r="AC24" s="42">
        <f t="shared" ref="AC24:AF24" si="9">AB24*(1+AC16)</f>
        <v>-1415.9297773836593</v>
      </c>
      <c r="AD24" s="42">
        <f t="shared" si="9"/>
        <v>-1554.3406066158484</v>
      </c>
      <c r="AE24" s="42">
        <f t="shared" si="9"/>
        <v>-1677.5111363695255</v>
      </c>
      <c r="AF24" s="42">
        <f t="shared" si="9"/>
        <v>-1815.4782172344289</v>
      </c>
    </row>
    <row r="25" spans="1:37">
      <c r="A25" s="12"/>
      <c r="B25" s="142"/>
      <c r="C25" s="142"/>
      <c r="D25" s="142"/>
      <c r="E25" s="142"/>
      <c r="F25" s="142"/>
      <c r="G25" s="142"/>
      <c r="H25" s="142"/>
      <c r="I25" s="142"/>
      <c r="J25" s="142"/>
      <c r="K25" s="142"/>
      <c r="L25" s="142"/>
      <c r="M25" s="142"/>
      <c r="N25" s="142"/>
      <c r="O25" s="142"/>
      <c r="P25" s="142"/>
      <c r="Q25" s="142"/>
      <c r="R25" s="142"/>
      <c r="S25" s="142"/>
      <c r="T25" s="142"/>
      <c r="U25" s="142"/>
      <c r="V25" s="142"/>
      <c r="W25" s="142"/>
      <c r="X25" s="142"/>
      <c r="Y25" s="563"/>
      <c r="Z25" s="563"/>
      <c r="AA25" s="563"/>
      <c r="AB25" s="39"/>
      <c r="AC25" s="39"/>
      <c r="AD25" s="39"/>
      <c r="AE25" s="39"/>
      <c r="AF25" s="39"/>
    </row>
    <row r="26" spans="1:37">
      <c r="A26" s="6" t="str">
        <f>ProForma_IS_Qtr!A26</f>
        <v>Adj. Operating Profit</v>
      </c>
      <c r="B26" s="140"/>
      <c r="C26" s="140"/>
      <c r="D26" s="140"/>
      <c r="E26" s="140"/>
      <c r="F26" s="140"/>
      <c r="G26" s="140"/>
      <c r="H26" s="140"/>
      <c r="I26" s="140"/>
      <c r="J26" s="140"/>
      <c r="K26" s="140"/>
      <c r="L26" s="140"/>
      <c r="M26" s="140"/>
      <c r="N26" s="140"/>
      <c r="O26" s="140"/>
      <c r="P26" s="140"/>
      <c r="Q26" s="140"/>
      <c r="R26" s="140"/>
      <c r="S26" s="140"/>
      <c r="T26" s="140"/>
      <c r="U26" s="140"/>
      <c r="V26" s="140"/>
      <c r="W26" s="140"/>
      <c r="X26" s="140">
        <f t="shared" ref="X26:AC26" si="10">+X22+X24</f>
        <v>3159</v>
      </c>
      <c r="Y26" s="140">
        <f t="shared" si="10"/>
        <v>5561</v>
      </c>
      <c r="Z26" s="140">
        <f>+Z22+Z24</f>
        <v>7253</v>
      </c>
      <c r="AA26" s="140">
        <f>+AA22+AA24</f>
        <v>9055</v>
      </c>
      <c r="AB26" s="23">
        <f>+AB22+AB24</f>
        <v>10748.357948351846</v>
      </c>
      <c r="AC26" s="23">
        <f t="shared" si="10"/>
        <v>12179.499902198362</v>
      </c>
      <c r="AD26" s="23">
        <f>+AD22+AD24</f>
        <v>13858.008417334511</v>
      </c>
      <c r="AE26" s="23">
        <f>+AE22+AE24</f>
        <v>15523.05307630164</v>
      </c>
      <c r="AF26" s="23">
        <f>+AF22+AF24</f>
        <v>17427.41960851142</v>
      </c>
      <c r="AI26" t="s">
        <v>517</v>
      </c>
      <c r="AK26" s="251"/>
    </row>
    <row r="27" spans="1:37">
      <c r="A27" s="1" t="str">
        <f>ProForma_IS_Qtr!A27</f>
        <v>Operating Margin</v>
      </c>
      <c r="B27" s="84"/>
      <c r="C27" s="84"/>
      <c r="D27" s="84"/>
      <c r="E27" s="84"/>
      <c r="F27" s="84"/>
      <c r="G27" s="84"/>
      <c r="H27" s="84"/>
      <c r="I27" s="84"/>
      <c r="J27" s="84"/>
      <c r="K27" s="84"/>
      <c r="L27" s="84"/>
      <c r="M27" s="84"/>
      <c r="N27" s="84"/>
      <c r="O27" s="84"/>
      <c r="P27" s="84"/>
      <c r="Q27" s="117"/>
      <c r="R27" s="117"/>
      <c r="S27" s="117"/>
      <c r="T27" s="117"/>
      <c r="U27" s="117"/>
      <c r="V27" s="117"/>
      <c r="W27" s="117"/>
      <c r="X27" s="339">
        <f t="shared" ref="X27:AE27" si="11">+X26/X15</f>
        <v>5.4371772805507743E-2</v>
      </c>
      <c r="Y27" s="339">
        <f t="shared" si="11"/>
        <v>0.17400419287211741</v>
      </c>
      <c r="Z27" s="339">
        <f t="shared" si="11"/>
        <v>0.20651462088209332</v>
      </c>
      <c r="AA27" s="339">
        <f>+AA26/AA15</f>
        <v>0.21395491706441094</v>
      </c>
      <c r="AB27" s="88">
        <f>+AB26/AB15</f>
        <v>0.21371286155398453</v>
      </c>
      <c r="AC27" s="88">
        <f t="shared" si="11"/>
        <v>0.22063072376688922</v>
      </c>
      <c r="AD27" s="88">
        <f t="shared" si="11"/>
        <v>0.22868247107586773</v>
      </c>
      <c r="AE27" s="88">
        <f t="shared" si="11"/>
        <v>0.23735040605776817</v>
      </c>
      <c r="AF27" s="88">
        <f t="shared" ref="AF27" si="12">+AF26/AF15</f>
        <v>0.24621828058267275</v>
      </c>
      <c r="AI27" t="s">
        <v>521</v>
      </c>
    </row>
    <row r="28" spans="1:37">
      <c r="B28" s="141"/>
      <c r="C28" s="141"/>
      <c r="D28" s="141"/>
      <c r="E28" s="141"/>
      <c r="F28" s="141"/>
      <c r="G28" s="141"/>
      <c r="H28" s="141"/>
      <c r="I28" s="141"/>
      <c r="J28" s="141"/>
      <c r="K28" s="141"/>
      <c r="L28" s="141"/>
      <c r="M28" s="141"/>
      <c r="N28" s="141"/>
      <c r="O28" s="141"/>
      <c r="P28" s="141"/>
      <c r="Q28" s="141"/>
      <c r="R28" s="141"/>
      <c r="S28" s="141"/>
      <c r="T28" s="141"/>
      <c r="U28" s="141"/>
      <c r="V28" s="141"/>
      <c r="W28" s="141"/>
      <c r="X28" s="141"/>
      <c r="Y28" s="141"/>
      <c r="Z28" s="141"/>
      <c r="AA28" s="141"/>
      <c r="AB28" s="25"/>
      <c r="AC28" s="25"/>
      <c r="AD28" s="25"/>
      <c r="AE28" s="25"/>
      <c r="AF28" s="25"/>
    </row>
    <row r="29" spans="1:37" ht="15.75" customHeight="1">
      <c r="A29" s="1" t="str">
        <f>ProForma_IS_Qtr!A29</f>
        <v>Interest Expense, Net</v>
      </c>
      <c r="B29" s="143"/>
      <c r="C29" s="143"/>
      <c r="D29" s="143"/>
      <c r="E29" s="143"/>
      <c r="F29" s="143"/>
      <c r="G29" s="143"/>
      <c r="H29" s="143"/>
      <c r="I29" s="143"/>
      <c r="J29" s="143"/>
      <c r="K29" s="143"/>
      <c r="L29" s="143"/>
      <c r="M29" s="143"/>
      <c r="N29" s="143"/>
      <c r="O29" s="143"/>
      <c r="P29" s="143"/>
      <c r="Q29" s="114"/>
      <c r="R29" s="114"/>
      <c r="S29" s="114"/>
      <c r="T29" s="114"/>
      <c r="U29" s="114"/>
      <c r="V29" s="114"/>
      <c r="W29" s="114"/>
      <c r="X29" s="114">
        <f>+ProForma_IS_Qtr!AO29</f>
        <v>-1428</v>
      </c>
      <c r="Y29" s="114">
        <f>+ProForma_IS_Qtr!AT29</f>
        <v>-987</v>
      </c>
      <c r="Z29" s="114">
        <f>+ProForma_IS_Qtr!AY29</f>
        <v>-958</v>
      </c>
      <c r="AA29" s="114">
        <f>+ProForma_IS_Qtr!BD29</f>
        <v>-816</v>
      </c>
      <c r="AB29" s="37">
        <f ca="1">+ProForma_IS_Qtr!BI29</f>
        <v>-900.65462500000012</v>
      </c>
      <c r="AC29" s="37">
        <f ca="1">-Debt_Annual!AC78</f>
        <v>-845.30925000000002</v>
      </c>
      <c r="AD29" s="37">
        <f ca="1">-Debt_Annual!AD78</f>
        <v>-845.30925000000002</v>
      </c>
      <c r="AE29" s="37">
        <f ca="1">-Debt_Annual!AE78</f>
        <v>-845.30925000000002</v>
      </c>
      <c r="AF29" s="37">
        <f ca="1">-Debt_Annual!AF78</f>
        <v>-845.30925000000002</v>
      </c>
    </row>
    <row r="30" spans="1:37">
      <c r="A30" s="1" t="str">
        <f>ProForma_IS_Qtr!A30</f>
        <v>Other (Expense) / Income</v>
      </c>
      <c r="B30" s="143"/>
      <c r="C30" s="143"/>
      <c r="D30" s="143"/>
      <c r="E30" s="143"/>
      <c r="F30" s="143"/>
      <c r="G30" s="143"/>
      <c r="H30" s="143"/>
      <c r="I30" s="143"/>
      <c r="J30" s="143"/>
      <c r="K30" s="143"/>
      <c r="L30" s="143"/>
      <c r="M30" s="143"/>
      <c r="N30" s="143"/>
      <c r="O30" s="143"/>
      <c r="P30" s="143"/>
      <c r="Q30" s="114"/>
      <c r="R30" s="114"/>
      <c r="S30" s="114"/>
      <c r="T30" s="114"/>
      <c r="U30" s="114"/>
      <c r="V30" s="114"/>
      <c r="W30" s="114"/>
      <c r="X30" s="114">
        <f>+ProForma_IS_Qtr!AO30</f>
        <v>-197</v>
      </c>
      <c r="Y30" s="114">
        <f>+ProForma_IS_Qtr!AT30</f>
        <v>0</v>
      </c>
      <c r="Z30" s="114">
        <f>+ProForma_IS_Qtr!AY30</f>
        <v>0</v>
      </c>
      <c r="AA30" s="114">
        <f>+ProForma_IS_Qtr!BD30</f>
        <v>0</v>
      </c>
      <c r="AB30" s="42">
        <f>+ProForma_IS_Qtr!BI30</f>
        <v>-2</v>
      </c>
      <c r="AC30" s="42">
        <f>+AB30</f>
        <v>-2</v>
      </c>
      <c r="AD30" s="42">
        <f>+AC30</f>
        <v>-2</v>
      </c>
      <c r="AE30" s="42">
        <f>+AD30</f>
        <v>-2</v>
      </c>
      <c r="AF30" s="42">
        <f>+AE30</f>
        <v>-2</v>
      </c>
    </row>
    <row r="31" spans="1:37">
      <c r="A31" s="6" t="str">
        <f>ProForma_IS_Qtr!A31</f>
        <v>Pre-Tax Income</v>
      </c>
      <c r="B31" s="140"/>
      <c r="C31" s="140"/>
      <c r="D31" s="140"/>
      <c r="E31" s="140"/>
      <c r="F31" s="140"/>
      <c r="G31" s="140"/>
      <c r="H31" s="140"/>
      <c r="I31" s="140"/>
      <c r="J31" s="140"/>
      <c r="K31" s="140"/>
      <c r="L31" s="140"/>
      <c r="M31" s="140"/>
      <c r="N31" s="140"/>
      <c r="O31" s="140"/>
      <c r="P31" s="140"/>
      <c r="Q31" s="140"/>
      <c r="R31" s="140"/>
      <c r="S31" s="140"/>
      <c r="T31" s="140"/>
      <c r="U31" s="140"/>
      <c r="V31" s="140"/>
      <c r="W31" s="140"/>
      <c r="X31" s="140">
        <f t="shared" ref="X31:AC31" si="13">X26+X29+X30</f>
        <v>1534</v>
      </c>
      <c r="Y31" s="140">
        <f t="shared" si="13"/>
        <v>4574</v>
      </c>
      <c r="Z31" s="140">
        <f>Z26+Z29+Z30</f>
        <v>6295</v>
      </c>
      <c r="AA31" s="140">
        <f>AA26+AA29+AA30</f>
        <v>8239</v>
      </c>
      <c r="AB31" s="23">
        <f ca="1">AB26+AB29+AB30</f>
        <v>9845.703323351845</v>
      </c>
      <c r="AC31" s="23">
        <f t="shared" ca="1" si="13"/>
        <v>11332.190652198362</v>
      </c>
      <c r="AD31" s="23">
        <f ca="1">AD26+AD29+AD30</f>
        <v>13010.699167334511</v>
      </c>
      <c r="AE31" s="23">
        <f ca="1">AE26+AE29+AE30</f>
        <v>14675.743826301639</v>
      </c>
      <c r="AF31" s="23">
        <f ca="1">AF26+AF29+AF30</f>
        <v>16580.110358511422</v>
      </c>
    </row>
    <row r="32" spans="1:37">
      <c r="A32" s="1" t="str">
        <f>ProForma_IS_Qtr!A32</f>
        <v>YoY</v>
      </c>
      <c r="B32" s="84"/>
      <c r="C32" s="84"/>
      <c r="D32" s="84"/>
      <c r="E32" s="84"/>
      <c r="F32" s="84"/>
      <c r="G32" s="84"/>
      <c r="H32" s="84"/>
      <c r="I32" s="84"/>
      <c r="J32" s="84"/>
      <c r="K32" s="84"/>
      <c r="L32" s="84"/>
      <c r="M32" s="84"/>
      <c r="N32" s="84"/>
      <c r="O32" s="84"/>
      <c r="P32" s="84"/>
      <c r="Q32" s="117"/>
      <c r="R32" s="117"/>
      <c r="S32" s="117"/>
      <c r="T32" s="117"/>
      <c r="U32" s="117"/>
      <c r="V32" s="117"/>
      <c r="W32" s="117"/>
      <c r="X32" s="117"/>
      <c r="Y32" s="152">
        <f t="shared" ref="Y32:AF32" si="14">Y31/X31-1</f>
        <v>1.9817470664928294</v>
      </c>
      <c r="Z32" s="152">
        <f t="shared" si="14"/>
        <v>0.37625710537822465</v>
      </c>
      <c r="AA32" s="152">
        <f t="shared" si="14"/>
        <v>0.30881652104845125</v>
      </c>
      <c r="AB32" s="101">
        <f t="shared" ca="1" si="14"/>
        <v>0.19501193389390026</v>
      </c>
      <c r="AC32" s="101">
        <f t="shared" ca="1" si="14"/>
        <v>0.15097827753157</v>
      </c>
      <c r="AD32" s="101">
        <f t="shared" ca="1" si="14"/>
        <v>0.14811862654380348</v>
      </c>
      <c r="AE32" s="101">
        <f t="shared" ca="1" si="14"/>
        <v>0.12797503328241544</v>
      </c>
      <c r="AF32" s="101">
        <f t="shared" ca="1" si="14"/>
        <v>0.12976286277202576</v>
      </c>
    </row>
    <row r="33" spans="1:37">
      <c r="A33" s="2"/>
      <c r="B33" s="144"/>
      <c r="C33" s="144"/>
      <c r="D33" s="144"/>
      <c r="E33" s="144"/>
      <c r="F33" s="144"/>
      <c r="G33" s="144"/>
      <c r="H33" s="144"/>
      <c r="I33" s="144"/>
      <c r="J33" s="144"/>
      <c r="K33" s="144"/>
      <c r="L33" s="144"/>
      <c r="M33" s="144"/>
      <c r="N33" s="144"/>
      <c r="O33" s="144"/>
      <c r="P33" s="144"/>
      <c r="Q33" s="144"/>
      <c r="R33" s="144"/>
      <c r="S33" s="144"/>
      <c r="T33" s="144"/>
      <c r="U33" s="144"/>
      <c r="V33" s="144"/>
      <c r="W33" s="144"/>
      <c r="X33" s="144"/>
      <c r="Y33" s="144"/>
      <c r="Z33" s="144"/>
      <c r="AA33" s="144"/>
      <c r="AB33" s="45"/>
      <c r="AC33" s="45"/>
      <c r="AD33" s="45"/>
      <c r="AE33" s="45"/>
      <c r="AF33" s="45"/>
    </row>
    <row r="34" spans="1:37">
      <c r="A34" s="12" t="str">
        <f>ProForma_IS_Qtr!A34</f>
        <v xml:space="preserve"> Income Tax (Expense) Benefit</v>
      </c>
      <c r="B34" s="158"/>
      <c r="C34" s="158"/>
      <c r="D34" s="158"/>
      <c r="E34" s="158"/>
      <c r="F34" s="158"/>
      <c r="G34" s="158"/>
      <c r="H34" s="158"/>
      <c r="I34" s="158"/>
      <c r="J34" s="158"/>
      <c r="K34" s="158"/>
      <c r="L34" s="158"/>
      <c r="M34" s="158"/>
      <c r="N34" s="158"/>
      <c r="O34" s="158"/>
      <c r="P34" s="158"/>
      <c r="Q34" s="115"/>
      <c r="R34" s="115"/>
      <c r="S34" s="115"/>
      <c r="T34" s="115"/>
      <c r="U34" s="115"/>
      <c r="V34" s="115"/>
      <c r="W34" s="115"/>
      <c r="X34" s="115">
        <f>+ProForma_IS_Qtr!AO34</f>
        <v>-389</v>
      </c>
      <c r="Y34" s="115">
        <f>+ProForma_IS_Qtr!AT34</f>
        <v>-1093</v>
      </c>
      <c r="Z34" s="115">
        <f>+ProForma_IS_Qtr!AY34</f>
        <v>-1260</v>
      </c>
      <c r="AA34" s="115">
        <f>+ProForma_IS_Qtr!BD34</f>
        <v>-1425</v>
      </c>
      <c r="AB34" s="39">
        <f ca="1">+ProForma_IS_Qtr!BI34</f>
        <v>-1604.8496417063513</v>
      </c>
      <c r="AC34" s="39">
        <f ca="1">IF(AC31&lt;0,0,-AC31*AC35)</f>
        <v>-1937.8046015259201</v>
      </c>
      <c r="AD34" s="39">
        <f ca="1">IF(AD31&lt;0,0,-AD31*AD35)</f>
        <v>-2211.8188584468671</v>
      </c>
      <c r="AE34" s="39">
        <f ca="1">IF(AE31&lt;0,0,-AE31*AE35)</f>
        <v>-2509.5521942975806</v>
      </c>
      <c r="AF34" s="39">
        <f ca="1">IF(AF31&lt;0,0,-AF31*AF35)</f>
        <v>-2826.9088161261975</v>
      </c>
    </row>
    <row r="35" spans="1:37">
      <c r="A35" s="1" t="str">
        <f>ProForma_IS_Qtr!A35</f>
        <v>Tax Rate</v>
      </c>
      <c r="B35" s="84"/>
      <c r="C35" s="84"/>
      <c r="D35" s="84"/>
      <c r="E35" s="84"/>
      <c r="F35" s="84"/>
      <c r="G35" s="84"/>
      <c r="H35" s="84"/>
      <c r="I35" s="84"/>
      <c r="J35" s="84"/>
      <c r="K35" s="84"/>
      <c r="L35" s="84"/>
      <c r="M35" s="84"/>
      <c r="N35" s="84"/>
      <c r="O35" s="84"/>
      <c r="P35" s="84"/>
      <c r="Q35" s="117"/>
      <c r="R35" s="117"/>
      <c r="S35" s="117"/>
      <c r="T35" s="117"/>
      <c r="U35" s="293"/>
      <c r="V35" s="293"/>
      <c r="W35" s="293"/>
      <c r="X35" s="293">
        <f>+ProForma_IS_Qtr!AO35</f>
        <v>0.25358539765319427</v>
      </c>
      <c r="Y35" s="293">
        <f>+ProForma_IS_Qtr!AT35</f>
        <v>0.23890710382513661</v>
      </c>
      <c r="Z35" s="293">
        <f>+ProForma_IS_Qtr!AY35</f>
        <v>0.20015885623510724</v>
      </c>
      <c r="AA35" s="293">
        <f>+ProForma_IS_Qtr!BD35</f>
        <v>0.17295788323825706</v>
      </c>
      <c r="AB35" s="220">
        <f>+ProForma_IS_Qtr!BI35</f>
        <v>0.16300000000000001</v>
      </c>
      <c r="AC35" s="340">
        <v>0.17100000000000001</v>
      </c>
      <c r="AD35" s="340">
        <v>0.17</v>
      </c>
      <c r="AE35" s="340">
        <v>0.17100000000000001</v>
      </c>
      <c r="AF35" s="340">
        <v>0.17050000000000001</v>
      </c>
    </row>
    <row r="36" spans="1:37">
      <c r="A36" s="1"/>
      <c r="B36" s="84"/>
      <c r="C36" s="84"/>
      <c r="D36" s="84"/>
      <c r="E36" s="84"/>
      <c r="F36" s="84"/>
      <c r="G36" s="84"/>
      <c r="H36" s="84"/>
      <c r="I36" s="84"/>
      <c r="J36" s="84"/>
      <c r="K36" s="84"/>
      <c r="L36" s="84"/>
      <c r="M36" s="84"/>
      <c r="N36" s="84"/>
      <c r="O36" s="84"/>
      <c r="P36" s="84"/>
      <c r="Q36" s="117"/>
      <c r="R36" s="117"/>
      <c r="S36" s="117"/>
      <c r="T36" s="117"/>
      <c r="U36" s="117"/>
      <c r="V36" s="117"/>
      <c r="W36" s="117"/>
      <c r="X36" s="117"/>
      <c r="Y36" s="117"/>
      <c r="Z36" s="117"/>
      <c r="AA36" s="117"/>
      <c r="AB36" s="196"/>
      <c r="AC36" s="196"/>
      <c r="AD36" s="196"/>
      <c r="AE36" s="196"/>
      <c r="AF36" s="196"/>
    </row>
    <row r="37" spans="1:37">
      <c r="A37" s="6" t="str">
        <f>ProForma_IS_Qtr!A37</f>
        <v>Net Income (loss) from Continuing Operations</v>
      </c>
      <c r="B37" s="140"/>
      <c r="C37" s="140"/>
      <c r="D37" s="140"/>
      <c r="E37" s="140"/>
      <c r="F37" s="140"/>
      <c r="G37" s="140"/>
      <c r="H37" s="140"/>
      <c r="I37" s="140"/>
      <c r="J37" s="140"/>
      <c r="K37" s="140"/>
      <c r="L37" s="140"/>
      <c r="M37" s="140"/>
      <c r="N37" s="140"/>
      <c r="O37" s="140"/>
      <c r="P37" s="140"/>
      <c r="Q37" s="140"/>
      <c r="R37" s="140"/>
      <c r="S37" s="140"/>
      <c r="T37" s="140"/>
      <c r="U37" s="140"/>
      <c r="V37" s="140"/>
      <c r="W37" s="140"/>
      <c r="X37" s="343">
        <f t="shared" ref="X37:AC37" si="15">X31+X34</f>
        <v>1145</v>
      </c>
      <c r="Y37" s="140">
        <f t="shared" si="15"/>
        <v>3481</v>
      </c>
      <c r="Z37" s="140">
        <f>Z31+Z34</f>
        <v>5035</v>
      </c>
      <c r="AA37" s="140">
        <f>AA31+AA34</f>
        <v>6814</v>
      </c>
      <c r="AB37" s="23">
        <f ca="1">AB31+AB34</f>
        <v>8240.8536816454944</v>
      </c>
      <c r="AC37" s="23">
        <f t="shared" ca="1" si="15"/>
        <v>9394.3860506724413</v>
      </c>
      <c r="AD37" s="23">
        <f ca="1">AD31+AD34</f>
        <v>10798.880308887645</v>
      </c>
      <c r="AE37" s="23">
        <f ca="1">AE31+AE34</f>
        <v>12166.191632004058</v>
      </c>
      <c r="AF37" s="23">
        <f ca="1">AF31+AF34</f>
        <v>13753.201542385224</v>
      </c>
    </row>
    <row r="38" spans="1:37">
      <c r="A38" s="1" t="str">
        <f>ProForma_IS_Qtr!A38</f>
        <v>YoY</v>
      </c>
      <c r="B38" s="84"/>
      <c r="C38" s="84"/>
      <c r="D38" s="84"/>
      <c r="E38" s="84"/>
      <c r="F38" s="84"/>
      <c r="G38" s="84"/>
      <c r="H38" s="84"/>
      <c r="I38" s="84"/>
      <c r="J38" s="84"/>
      <c r="K38" s="84"/>
      <c r="L38" s="84"/>
      <c r="M38" s="84"/>
      <c r="N38" s="84"/>
      <c r="O38" s="84"/>
      <c r="P38" s="84"/>
      <c r="Q38" s="117"/>
      <c r="R38" s="117"/>
      <c r="S38" s="117"/>
      <c r="T38" s="117"/>
      <c r="U38" s="117"/>
      <c r="V38" s="117"/>
      <c r="W38" s="117"/>
      <c r="X38" s="117">
        <f>+ProForma_IS_Qtr!AO38</f>
        <v>0</v>
      </c>
      <c r="Y38" s="117">
        <f>+ProForma_IS_Qtr!AT38</f>
        <v>2.0410480349344979</v>
      </c>
      <c r="Z38" s="117">
        <f>+ProForma_IS_Qtr!AY38</f>
        <v>0.44600804135554273</v>
      </c>
      <c r="AA38" s="117">
        <f>+ProForma_IS_Qtr!BD38</f>
        <v>0.35332671300893748</v>
      </c>
      <c r="AB38" s="101">
        <f ca="1">+ProForma_IS_Qtr!BI38</f>
        <v>0.2094003054953768</v>
      </c>
      <c r="AC38" s="101">
        <f ca="1">AC37/AB37-1</f>
        <v>0.13997729041059914</v>
      </c>
      <c r="AD38" s="101">
        <f ca="1">AD37/AC37-1</f>
        <v>0.14950357060477315</v>
      </c>
      <c r="AE38" s="101">
        <f ca="1">AE37/AD37-1</f>
        <v>0.12661602721821952</v>
      </c>
      <c r="AF38" s="101">
        <f ca="1">AF37/AE37-1</f>
        <v>0.13044426377490392</v>
      </c>
    </row>
    <row r="39" spans="1:37">
      <c r="A39" s="1"/>
      <c r="B39" s="84"/>
      <c r="C39" s="84"/>
      <c r="D39" s="84"/>
      <c r="E39" s="84"/>
      <c r="F39" s="84"/>
      <c r="G39" s="84"/>
      <c r="H39" s="84"/>
      <c r="I39" s="84"/>
      <c r="J39" s="84"/>
      <c r="K39" s="84"/>
      <c r="L39" s="84"/>
      <c r="M39" s="84"/>
      <c r="N39" s="84"/>
      <c r="O39" s="84"/>
      <c r="P39" s="84"/>
      <c r="Q39" s="117"/>
      <c r="R39" s="117"/>
      <c r="S39" s="117"/>
      <c r="T39" s="117"/>
      <c r="U39" s="117"/>
      <c r="V39" s="117"/>
      <c r="W39" s="117"/>
      <c r="X39" s="117"/>
      <c r="Y39" s="117"/>
      <c r="Z39" s="117"/>
      <c r="AA39" s="117"/>
      <c r="AB39" s="196"/>
      <c r="AC39" s="196"/>
      <c r="AD39" s="196"/>
      <c r="AE39" s="196"/>
      <c r="AF39" s="196"/>
    </row>
    <row r="40" spans="1:37">
      <c r="A40" s="1" t="s">
        <v>313</v>
      </c>
      <c r="B40" s="208"/>
      <c r="C40" s="84"/>
      <c r="D40" s="84"/>
      <c r="E40" s="84"/>
      <c r="F40" s="84"/>
      <c r="G40" s="84"/>
      <c r="H40" s="84"/>
      <c r="I40" s="84"/>
      <c r="J40" s="84"/>
      <c r="K40" s="84"/>
      <c r="L40" s="84"/>
      <c r="M40" s="84"/>
      <c r="N40" s="84"/>
      <c r="O40" s="84"/>
      <c r="P40" s="84"/>
      <c r="Q40" s="115"/>
      <c r="R40" s="115"/>
      <c r="S40" s="115"/>
      <c r="T40" s="115"/>
      <c r="U40" s="115"/>
      <c r="V40" s="115"/>
      <c r="W40" s="115"/>
      <c r="X40" s="115">
        <f>+ProForma_IS_Qtr!AO40</f>
        <v>-289</v>
      </c>
      <c r="Y40" s="115">
        <f>+ProForma_IS_Qtr!AT40</f>
        <v>-237</v>
      </c>
      <c r="Z40" s="115">
        <f>+ProForma_IS_Qtr!AY40</f>
        <v>0</v>
      </c>
      <c r="AA40" s="115">
        <f>+ProForma_IS_Qtr!BD40</f>
        <v>0</v>
      </c>
      <c r="AB40" s="42">
        <f>+ProForma_IS_Qtr!BI40</f>
        <v>0</v>
      </c>
      <c r="AC40" s="42">
        <v>0</v>
      </c>
      <c r="AD40" s="42">
        <v>0</v>
      </c>
      <c r="AE40" s="42">
        <v>0</v>
      </c>
      <c r="AF40" s="42">
        <v>0</v>
      </c>
    </row>
    <row r="41" spans="1:37">
      <c r="A41" s="1" t="s">
        <v>330</v>
      </c>
      <c r="B41" s="208"/>
      <c r="C41" s="84"/>
      <c r="D41" s="84"/>
      <c r="E41" s="84"/>
      <c r="F41" s="84"/>
      <c r="G41" s="84"/>
      <c r="H41" s="84"/>
      <c r="I41" s="84"/>
      <c r="J41" s="84"/>
      <c r="K41" s="84"/>
      <c r="L41" s="84"/>
      <c r="M41" s="84"/>
      <c r="N41" s="84"/>
      <c r="O41" s="84"/>
      <c r="P41" s="84"/>
      <c r="Q41" s="115"/>
      <c r="R41" s="115"/>
      <c r="S41" s="115"/>
      <c r="T41" s="115"/>
      <c r="U41" s="115"/>
      <c r="V41" s="115"/>
      <c r="W41" s="115"/>
      <c r="X41" s="115">
        <f>+ProForma_IS_Qtr!AO41</f>
        <v>-16</v>
      </c>
      <c r="Y41" s="115">
        <f>+ProForma_IS_Qtr!AT41</f>
        <v>0</v>
      </c>
      <c r="Z41" s="115">
        <f>+ProForma_IS_Qtr!AY41</f>
        <v>0</v>
      </c>
      <c r="AA41" s="115">
        <f>+ProForma_IS_Qtr!BD41</f>
        <v>0</v>
      </c>
      <c r="AB41" s="42">
        <f>+ProForma_IS_Qtr!BI41</f>
        <v>0</v>
      </c>
      <c r="AC41" s="42">
        <v>0</v>
      </c>
      <c r="AD41" s="42">
        <v>0</v>
      </c>
      <c r="AE41" s="42">
        <v>0</v>
      </c>
      <c r="AF41" s="42">
        <v>0</v>
      </c>
    </row>
    <row r="42" spans="1:37">
      <c r="A42" s="1" t="s">
        <v>314</v>
      </c>
      <c r="B42" s="208"/>
      <c r="C42" s="84"/>
      <c r="D42" s="84"/>
      <c r="E42" s="84"/>
      <c r="F42" s="84"/>
      <c r="G42" s="84"/>
      <c r="H42" s="84"/>
      <c r="I42" s="84"/>
      <c r="J42" s="84"/>
      <c r="K42" s="84"/>
      <c r="L42" s="84"/>
      <c r="M42" s="84"/>
      <c r="N42" s="84"/>
      <c r="O42" s="84"/>
      <c r="P42" s="84"/>
      <c r="Q42" s="115"/>
      <c r="R42" s="115"/>
      <c r="S42" s="115"/>
      <c r="T42" s="115"/>
      <c r="U42" s="115"/>
      <c r="V42" s="115"/>
      <c r="W42" s="115"/>
      <c r="X42" s="115">
        <f>+ProForma_IS_Qtr!AO42</f>
        <v>-1</v>
      </c>
      <c r="Y42" s="115">
        <f>+ProForma_IS_Qtr!AT42</f>
        <v>-3</v>
      </c>
      <c r="Z42" s="115">
        <f>+ProForma_IS_Qtr!AY42</f>
        <v>0</v>
      </c>
      <c r="AA42" s="115">
        <f>+ProForma_IS_Qtr!BD42</f>
        <v>-2.5</v>
      </c>
      <c r="AB42" s="42">
        <f>+ProForma_IS_Qtr!BI42</f>
        <v>0</v>
      </c>
      <c r="AC42" s="42">
        <v>0</v>
      </c>
      <c r="AD42" s="42">
        <v>0</v>
      </c>
      <c r="AE42" s="42">
        <v>0</v>
      </c>
      <c r="AF42" s="42">
        <v>0</v>
      </c>
    </row>
    <row r="43" spans="1:37">
      <c r="A43" s="6" t="str">
        <f>ProForma_IS_Qtr!A43</f>
        <v>Net Earnings from Continuing Operations Attributable to Common Shareowners</v>
      </c>
      <c r="B43" s="140"/>
      <c r="C43" s="140"/>
      <c r="D43" s="140"/>
      <c r="E43" s="140"/>
      <c r="F43" s="140"/>
      <c r="G43" s="140"/>
      <c r="H43" s="140"/>
      <c r="I43" s="140"/>
      <c r="J43" s="140"/>
      <c r="K43" s="140"/>
      <c r="L43" s="140"/>
      <c r="M43" s="140"/>
      <c r="N43" s="140"/>
      <c r="O43" s="140"/>
      <c r="P43" s="140"/>
      <c r="Q43" s="140"/>
      <c r="R43" s="140"/>
      <c r="S43" s="140"/>
      <c r="T43" s="140"/>
      <c r="U43" s="140"/>
      <c r="V43" s="140"/>
      <c r="W43" s="140"/>
      <c r="X43" s="343">
        <f t="shared" ref="X43:AC43" si="16">X37+X40+X41+X42</f>
        <v>839</v>
      </c>
      <c r="Y43" s="140">
        <f t="shared" si="16"/>
        <v>3241</v>
      </c>
      <c r="Z43" s="140">
        <f>Z37+Z40+Z41+Z42</f>
        <v>5035</v>
      </c>
      <c r="AA43" s="140">
        <f>AA37+AA40+AA41+AA42</f>
        <v>6811.5</v>
      </c>
      <c r="AB43" s="23">
        <f ca="1">AB37+AB40+AB41+AB42</f>
        <v>8240.8536816454944</v>
      </c>
      <c r="AC43" s="23">
        <f t="shared" ca="1" si="16"/>
        <v>9394.3860506724413</v>
      </c>
      <c r="AD43" s="23">
        <f ca="1">AD37+AD40+AD41+AD42</f>
        <v>10798.880308887645</v>
      </c>
      <c r="AE43" s="23">
        <f ca="1">AE37+AE40+AE41+AE42</f>
        <v>12166.191632004058</v>
      </c>
      <c r="AF43" s="23">
        <f ca="1">AF37+AF40+AF41+AF42</f>
        <v>13753.201542385224</v>
      </c>
    </row>
    <row r="44" spans="1:37">
      <c r="A44" s="1" t="str">
        <f>ProForma_IS_Qtr!A44</f>
        <v>YoY</v>
      </c>
      <c r="B44" s="84"/>
      <c r="C44" s="84"/>
      <c r="D44" s="84"/>
      <c r="E44" s="84"/>
      <c r="F44" s="84"/>
      <c r="G44" s="84"/>
      <c r="H44" s="84"/>
      <c r="I44" s="84"/>
      <c r="J44" s="84"/>
      <c r="K44" s="84"/>
      <c r="L44" s="84"/>
      <c r="M44" s="84"/>
      <c r="N44" s="84"/>
      <c r="O44" s="84"/>
      <c r="P44" s="84"/>
      <c r="Q44" s="117"/>
      <c r="R44" s="117"/>
      <c r="S44" s="117"/>
      <c r="T44" s="117"/>
      <c r="U44" s="117"/>
      <c r="V44" s="117"/>
      <c r="W44" s="117"/>
      <c r="X44" s="117">
        <f>+ProForma_IS_Qtr!AO44</f>
        <v>0</v>
      </c>
      <c r="Y44" s="117">
        <f>+ProForma_IS_Qtr!AT44</f>
        <v>2.8641239570917758</v>
      </c>
      <c r="Z44" s="117">
        <f>+ProForma_IS_Qtr!AY44</f>
        <v>0.5530536705737199</v>
      </c>
      <c r="AA44" s="117">
        <f>+ProForma_IS_Qtr!BD44</f>
        <v>0.35283018867924532</v>
      </c>
      <c r="AB44" s="101">
        <f ca="1">+ProForma_IS_Qtr!BI44</f>
        <v>0.20984418727820575</v>
      </c>
      <c r="AC44" s="101">
        <f ca="1">AC43/AB43-1</f>
        <v>0.13997729041059914</v>
      </c>
      <c r="AD44" s="101">
        <f ca="1">AD43/AC43-1</f>
        <v>0.14950357060477315</v>
      </c>
      <c r="AE44" s="101">
        <f ca="1">AE43/AD43-1</f>
        <v>0.12661602721821952</v>
      </c>
      <c r="AF44" s="101">
        <f ca="1">AF43/AE43-1</f>
        <v>0.13044426377490392</v>
      </c>
    </row>
    <row r="45" spans="1:37">
      <c r="A45" s="11"/>
      <c r="B45" s="141"/>
      <c r="C45" s="141"/>
      <c r="D45" s="141"/>
      <c r="E45" s="141"/>
      <c r="F45" s="141"/>
      <c r="G45" s="141"/>
      <c r="H45" s="141"/>
      <c r="I45" s="141"/>
      <c r="J45" s="141"/>
      <c r="K45" s="141"/>
      <c r="L45" s="141"/>
      <c r="M45" s="159"/>
      <c r="N45" s="141"/>
      <c r="O45" s="141"/>
      <c r="P45" s="141"/>
      <c r="Q45" s="141"/>
      <c r="R45" s="141"/>
      <c r="S45" s="141"/>
      <c r="T45" s="141"/>
      <c r="U45" s="141"/>
      <c r="V45" s="141"/>
      <c r="W45" s="141"/>
      <c r="X45" s="141"/>
      <c r="Y45" s="141"/>
      <c r="Z45" s="141"/>
      <c r="AA45" s="141"/>
      <c r="AB45" s="25"/>
      <c r="AC45" s="25"/>
      <c r="AD45" s="25"/>
      <c r="AE45" s="25"/>
      <c r="AF45" s="25"/>
    </row>
    <row r="46" spans="1:37">
      <c r="A46" s="1" t="str">
        <f>ProForma_IS_Qtr!A46</f>
        <v>Adjustments</v>
      </c>
      <c r="B46" s="143"/>
      <c r="C46" s="143"/>
      <c r="D46" s="143"/>
      <c r="E46" s="143"/>
      <c r="F46" s="143"/>
      <c r="G46" s="143"/>
      <c r="H46" s="143"/>
      <c r="I46" s="143"/>
      <c r="J46" s="143"/>
      <c r="K46" s="143"/>
      <c r="L46" s="143"/>
      <c r="M46" s="143"/>
      <c r="N46" s="143"/>
      <c r="O46" s="143"/>
      <c r="P46" s="143"/>
      <c r="Q46" s="114"/>
      <c r="R46" s="114"/>
      <c r="S46" s="114"/>
      <c r="T46" s="114"/>
      <c r="U46" s="114"/>
      <c r="V46" s="114"/>
      <c r="W46" s="114"/>
      <c r="X46" s="114">
        <f>+ProForma_IS_Qtr!AO46</f>
        <v>-2095</v>
      </c>
      <c r="Y46" s="114">
        <f>+ProForma_IS_Qtr!AT46</f>
        <v>5910</v>
      </c>
      <c r="Z46" s="114">
        <f>+ProForma_IS_Qtr!AY46</f>
        <v>1635</v>
      </c>
      <c r="AA46" s="114">
        <f>+ProForma_IS_Qtr!BD46</f>
        <v>1786</v>
      </c>
      <c r="AB46" s="143">
        <f>+ProForma_IS_Qtr!BI46</f>
        <v>800</v>
      </c>
      <c r="AC46" s="143">
        <v>1250</v>
      </c>
      <c r="AD46" s="143">
        <f t="shared" ref="AD46:AF46" si="17">AC46</f>
        <v>1250</v>
      </c>
      <c r="AE46" s="143">
        <f t="shared" si="17"/>
        <v>1250</v>
      </c>
      <c r="AF46" s="42">
        <f t="shared" si="17"/>
        <v>1250</v>
      </c>
    </row>
    <row r="47" spans="1:37">
      <c r="A47" s="1" t="str">
        <f>ProForma_IS_Qtr!A47</f>
        <v>Insurance / GE Capital</v>
      </c>
      <c r="B47" s="143"/>
      <c r="C47" s="143"/>
      <c r="D47" s="143"/>
      <c r="E47" s="143"/>
      <c r="F47" s="143"/>
      <c r="G47" s="143"/>
      <c r="H47" s="143"/>
      <c r="I47" s="143"/>
      <c r="J47" s="143"/>
      <c r="K47" s="143"/>
      <c r="L47" s="143"/>
      <c r="M47" s="143"/>
      <c r="N47" s="143"/>
      <c r="O47" s="143"/>
      <c r="P47" s="143"/>
      <c r="Q47" s="114"/>
      <c r="R47" s="114"/>
      <c r="S47" s="114"/>
      <c r="T47" s="114"/>
      <c r="U47" s="114"/>
      <c r="V47" s="114"/>
      <c r="W47" s="114"/>
      <c r="X47" s="114">
        <f>+ProForma_IS_Qtr!AO47</f>
        <v>159</v>
      </c>
      <c r="Y47" s="114">
        <f>+ProForma_IS_Qtr!AT47</f>
        <v>0</v>
      </c>
      <c r="Z47" s="114">
        <f>+ProForma_IS_Qtr!AY47</f>
        <v>0</v>
      </c>
      <c r="AA47" s="114">
        <f>+ProForma_IS_Qtr!BD47</f>
        <v>0</v>
      </c>
      <c r="AB47" s="42">
        <f>+ProForma_IS_Qtr!BI47</f>
        <v>0</v>
      </c>
      <c r="AC47" s="42">
        <f>+AB47</f>
        <v>0</v>
      </c>
      <c r="AD47" s="42">
        <f>+AC47</f>
        <v>0</v>
      </c>
      <c r="AE47" s="42">
        <f>+AD47</f>
        <v>0</v>
      </c>
      <c r="AF47" s="42">
        <f>+AE47</f>
        <v>0</v>
      </c>
    </row>
    <row r="48" spans="1:37">
      <c r="A48" s="6" t="str">
        <f>ProForma_IS_Qtr!A48</f>
        <v>GAAP Net Earnings</v>
      </c>
      <c r="B48" s="140"/>
      <c r="C48" s="140"/>
      <c r="D48" s="140"/>
      <c r="E48" s="140"/>
      <c r="F48" s="140"/>
      <c r="G48" s="140"/>
      <c r="H48" s="140"/>
      <c r="I48" s="140"/>
      <c r="J48" s="140"/>
      <c r="K48" s="140"/>
      <c r="L48" s="140"/>
      <c r="M48" s="140"/>
      <c r="N48" s="140"/>
      <c r="O48" s="140"/>
      <c r="P48" s="140"/>
      <c r="Q48" s="140"/>
      <c r="R48" s="140"/>
      <c r="S48" s="140"/>
      <c r="T48" s="140"/>
      <c r="U48" s="140"/>
      <c r="V48" s="140"/>
      <c r="W48" s="140"/>
      <c r="X48" s="23">
        <f t="shared" ref="X48:AC48" si="18">X43+X46+X47</f>
        <v>-1097</v>
      </c>
      <c r="Y48" s="23">
        <f t="shared" si="18"/>
        <v>9151</v>
      </c>
      <c r="Z48" s="23">
        <f>Z43+Z46+Z47</f>
        <v>6670</v>
      </c>
      <c r="AA48" s="23">
        <f>AA43+AA46+AA47</f>
        <v>8597.5</v>
      </c>
      <c r="AB48" s="23">
        <f ca="1">AB43+AB46+AB47</f>
        <v>9040.8536816454944</v>
      </c>
      <c r="AC48" s="23">
        <f t="shared" ca="1" si="18"/>
        <v>10644.386050672441</v>
      </c>
      <c r="AD48" s="23">
        <f ca="1">AD43+AD46+AD47</f>
        <v>12048.880308887645</v>
      </c>
      <c r="AE48" s="23">
        <f ca="1">AE43+AE46+AE47</f>
        <v>13416.191632004058</v>
      </c>
      <c r="AF48" s="23">
        <f ca="1">AF43+AF46+AF47</f>
        <v>15003.201542385224</v>
      </c>
      <c r="AI48" s="254"/>
      <c r="AJ48" s="374"/>
      <c r="AK48" s="254"/>
    </row>
    <row r="49" spans="1:35">
      <c r="A49" s="1" t="str">
        <f>ProForma_IS_Qtr!A49</f>
        <v>YoY</v>
      </c>
      <c r="B49" s="84"/>
      <c r="C49" s="84"/>
      <c r="D49" s="84"/>
      <c r="E49" s="84"/>
      <c r="F49" s="84"/>
      <c r="G49" s="84"/>
      <c r="H49" s="84"/>
      <c r="I49" s="84"/>
      <c r="J49" s="84"/>
      <c r="K49" s="84"/>
      <c r="L49" s="84"/>
      <c r="M49" s="84"/>
      <c r="N49" s="84"/>
      <c r="O49" s="84"/>
      <c r="P49" s="84"/>
      <c r="Q49" s="117"/>
      <c r="R49" s="117"/>
      <c r="S49" s="117"/>
      <c r="T49" s="117"/>
      <c r="U49" s="117"/>
      <c r="V49" s="117"/>
      <c r="W49" s="117"/>
      <c r="X49" s="341"/>
      <c r="Y49" s="117"/>
      <c r="Z49" s="141"/>
      <c r="AA49" s="159">
        <f>AA48+378</f>
        <v>8975.5</v>
      </c>
      <c r="AB49" s="101"/>
      <c r="AC49" s="101"/>
      <c r="AD49" s="101"/>
      <c r="AE49" s="101"/>
      <c r="AF49" s="101"/>
    </row>
    <row r="50" spans="1:35">
      <c r="B50" s="159"/>
      <c r="C50" s="141"/>
      <c r="D50" s="141"/>
      <c r="E50" s="141"/>
      <c r="F50" s="141"/>
      <c r="G50" s="141"/>
      <c r="H50" s="141"/>
      <c r="I50" s="141"/>
      <c r="J50" s="141"/>
      <c r="K50" s="141"/>
      <c r="L50" s="141"/>
      <c r="M50" s="141"/>
      <c r="N50" s="141"/>
      <c r="O50" s="141"/>
      <c r="P50" s="141"/>
      <c r="Q50" s="141"/>
      <c r="R50" s="141"/>
      <c r="S50" s="141"/>
      <c r="T50" s="141"/>
      <c r="U50" s="141"/>
      <c r="V50" s="141"/>
      <c r="W50" s="141"/>
      <c r="X50" s="342"/>
      <c r="Y50" s="141"/>
      <c r="Z50" s="141"/>
      <c r="AA50" s="146"/>
      <c r="AB50" s="25"/>
      <c r="AC50" s="25"/>
      <c r="AD50" s="25"/>
      <c r="AE50" s="25"/>
      <c r="AF50" s="25"/>
    </row>
    <row r="51" spans="1:35">
      <c r="A51" s="6" t="str">
        <f>ProForma_IS_Qtr!A51</f>
        <v>EPS from Continuing Operations - Diluted</v>
      </c>
      <c r="B51" s="145"/>
      <c r="C51" s="145"/>
      <c r="D51" s="145"/>
      <c r="E51" s="145"/>
      <c r="F51" s="145"/>
      <c r="G51" s="145"/>
      <c r="H51" s="145"/>
      <c r="I51" s="145"/>
      <c r="J51" s="145"/>
      <c r="K51" s="145"/>
      <c r="L51" s="145"/>
      <c r="M51" s="145"/>
      <c r="N51" s="145"/>
      <c r="O51" s="145"/>
      <c r="P51" s="145"/>
      <c r="Q51" s="145"/>
      <c r="R51" s="145"/>
      <c r="S51" s="145"/>
      <c r="T51" s="145"/>
      <c r="U51" s="145"/>
      <c r="V51" s="145"/>
      <c r="W51" s="145"/>
      <c r="X51" s="145">
        <f>IF(X43/X60=ProForma_IS_Qtr!AO51,X43/X60,"error")</f>
        <v>0.76429059439763147</v>
      </c>
      <c r="Y51" s="145">
        <f>Y43/Y60</f>
        <v>2.9490445859872612</v>
      </c>
      <c r="Z51" s="145">
        <f t="shared" ref="Z51:AA51" si="19">Z43/Z60</f>
        <v>4.6023765996343693</v>
      </c>
      <c r="AA51" s="145">
        <f t="shared" si="19"/>
        <v>6.3778089887640448</v>
      </c>
      <c r="AB51" s="49">
        <f ca="1">AB43/AB60</f>
        <v>7.8478300891738222</v>
      </c>
      <c r="AC51" s="49">
        <f ca="1">AC43/AC60</f>
        <v>9.1196461389591903</v>
      </c>
      <c r="AD51" s="49">
        <f ca="1">AD43/AD60</f>
        <v>10.71899237893288</v>
      </c>
      <c r="AE51" s="49">
        <f ca="1">AE43/AE60</f>
        <v>12.356928774660517</v>
      </c>
      <c r="AF51" s="49">
        <f ca="1">AF43/AF60</f>
        <v>14.296547400788658</v>
      </c>
      <c r="AI51" t="s">
        <v>518</v>
      </c>
    </row>
    <row r="52" spans="1:35">
      <c r="A52" s="6" t="str">
        <f>ProForma_IS_Qtr!A52</f>
        <v>GAAP EPS - Diluted</v>
      </c>
      <c r="B52" s="145"/>
      <c r="C52" s="145"/>
      <c r="D52" s="145"/>
      <c r="E52" s="145"/>
      <c r="F52" s="145"/>
      <c r="G52" s="145"/>
      <c r="H52" s="145"/>
      <c r="I52" s="145"/>
      <c r="J52" s="145"/>
      <c r="K52" s="145"/>
      <c r="L52" s="145"/>
      <c r="M52" s="145"/>
      <c r="N52" s="145"/>
      <c r="O52" s="145"/>
      <c r="P52" s="145"/>
      <c r="Q52" s="145"/>
      <c r="R52" s="145"/>
      <c r="S52" s="145"/>
      <c r="T52" s="145"/>
      <c r="U52" s="145"/>
      <c r="V52" s="145"/>
      <c r="W52" s="145"/>
      <c r="X52" s="145">
        <f t="shared" ref="X52:AE52" si="20">+X48/X60</f>
        <v>-0.99931678433158733</v>
      </c>
      <c r="Y52" s="145">
        <f t="shared" si="20"/>
        <v>8.3266606005459511</v>
      </c>
      <c r="Z52" s="145">
        <f t="shared" si="20"/>
        <v>6.0968921389396709</v>
      </c>
      <c r="AA52" s="145">
        <f>+AA48/AA60</f>
        <v>8.0500936329588022</v>
      </c>
      <c r="AB52" s="145">
        <f ca="1">+AB48/AB60</f>
        <v>8.6096764116394624</v>
      </c>
      <c r="AC52" s="145">
        <f t="shared" ca="1" si="20"/>
        <v>10.333089743704708</v>
      </c>
      <c r="AD52" s="145">
        <f t="shared" ca="1" si="20"/>
        <v>11.959745132034397</v>
      </c>
      <c r="AE52" s="145">
        <f t="shared" ca="1" si="20"/>
        <v>13.626525821586309</v>
      </c>
      <c r="AF52" s="49">
        <f t="shared" ref="AF52" ca="1" si="21">+AF48/AF60</f>
        <v>15.595930980380009</v>
      </c>
    </row>
    <row r="53" spans="1:35">
      <c r="B53" s="141"/>
      <c r="C53" s="141"/>
      <c r="D53" s="141"/>
      <c r="E53" s="141"/>
      <c r="F53" s="141"/>
      <c r="G53" s="141"/>
      <c r="H53" s="141"/>
      <c r="I53" s="141"/>
      <c r="J53" s="141"/>
      <c r="K53" s="141"/>
      <c r="L53" s="141"/>
      <c r="M53" s="141"/>
      <c r="N53" s="141"/>
      <c r="O53" s="141"/>
      <c r="P53" s="141"/>
      <c r="Q53" s="141"/>
      <c r="R53" s="141"/>
      <c r="S53" s="141"/>
      <c r="T53" s="141"/>
      <c r="U53" s="141"/>
      <c r="V53" s="141"/>
      <c r="W53" s="291"/>
      <c r="X53" s="291"/>
      <c r="Y53" s="291"/>
      <c r="Z53" s="291"/>
      <c r="AA53" s="291"/>
      <c r="AB53" s="631"/>
      <c r="AC53" s="631"/>
      <c r="AD53" s="631"/>
      <c r="AE53" s="631"/>
      <c r="AF53" s="639"/>
    </row>
    <row r="54" spans="1:35">
      <c r="A54" s="4" t="str">
        <f>ProForma_IS_Qtr!A54</f>
        <v>EPS from Continuing Operations - Basic</v>
      </c>
      <c r="B54" s="146"/>
      <c r="C54" s="146"/>
      <c r="D54" s="146"/>
      <c r="E54" s="146"/>
      <c r="F54" s="146"/>
      <c r="G54" s="146"/>
      <c r="H54" s="146"/>
      <c r="I54" s="146"/>
      <c r="J54" s="146"/>
      <c r="K54" s="146"/>
      <c r="L54" s="146"/>
      <c r="M54" s="146"/>
      <c r="N54" s="146"/>
      <c r="O54" s="146"/>
      <c r="P54" s="146"/>
      <c r="Q54" s="146"/>
      <c r="R54" s="146"/>
      <c r="S54" s="146"/>
      <c r="T54" s="146"/>
      <c r="U54" s="146"/>
      <c r="V54" s="146"/>
      <c r="W54" s="146"/>
      <c r="X54" s="146">
        <f t="shared" ref="X54:AC54" si="22">X43/X57</f>
        <v>0.7653363740022805</v>
      </c>
      <c r="Y54" s="146">
        <f t="shared" si="22"/>
        <v>2.9761248852157944</v>
      </c>
      <c r="Z54" s="146">
        <f t="shared" si="22"/>
        <v>4.6405529953917046</v>
      </c>
      <c r="AA54" s="146">
        <f>AA43/AA57</f>
        <v>6.4198868991517433</v>
      </c>
      <c r="AB54" s="51">
        <f ca="1">AB43/AB57</f>
        <v>7.9020111524026868</v>
      </c>
      <c r="AC54" s="51">
        <f t="shared" ca="1" si="22"/>
        <v>9.182607762550079</v>
      </c>
      <c r="AD54" s="51">
        <f ca="1">AD43/AD57</f>
        <v>10.792995816473386</v>
      </c>
      <c r="AE54" s="51">
        <f ca="1">AE43/AE57</f>
        <v>12.442240450836847</v>
      </c>
      <c r="AF54" s="51">
        <f ca="1">AF43/AF57</f>
        <v>14.395250116045599</v>
      </c>
    </row>
    <row r="55" spans="1:35">
      <c r="A55" s="4" t="str">
        <f>ProForma_IS_Qtr!A55</f>
        <v>GAAP EPS - Basic</v>
      </c>
      <c r="B55" s="147"/>
      <c r="C55" s="147"/>
      <c r="D55" s="147"/>
      <c r="E55" s="147"/>
      <c r="F55" s="147"/>
      <c r="G55" s="147"/>
      <c r="H55" s="147"/>
      <c r="I55" s="147"/>
      <c r="J55" s="147"/>
      <c r="K55" s="147"/>
      <c r="L55" s="147"/>
      <c r="M55" s="147"/>
      <c r="N55" s="147"/>
      <c r="O55" s="147"/>
      <c r="P55" s="147"/>
      <c r="Q55" s="147"/>
      <c r="R55" s="147"/>
      <c r="S55" s="147"/>
      <c r="T55" s="147"/>
      <c r="U55" s="147"/>
      <c r="V55" s="147"/>
      <c r="W55" s="147"/>
      <c r="X55" s="146">
        <f t="shared" ref="X55:AC55" si="23">X48/X57</f>
        <v>-1.000684150513113</v>
      </c>
      <c r="Y55" s="146">
        <f t="shared" si="23"/>
        <v>8.4031221303948573</v>
      </c>
      <c r="Z55" s="146">
        <f t="shared" si="23"/>
        <v>6.1474654377880187</v>
      </c>
      <c r="AA55" s="146">
        <f>AA48/AA57</f>
        <v>8.1032045240339308</v>
      </c>
      <c r="AB55" s="51">
        <f ca="1">AB48/AB57</f>
        <v>8.6691172273475683</v>
      </c>
      <c r="AC55" s="51">
        <f t="shared" ca="1" si="23"/>
        <v>10.404428926942828</v>
      </c>
      <c r="AD55" s="51">
        <f ca="1">AD48/AD57</f>
        <v>12.042314670344583</v>
      </c>
      <c r="AE55" s="51">
        <f ca="1">AE48/AE57</f>
        <v>13.720602738229498</v>
      </c>
      <c r="AF55" s="51">
        <f ca="1">AF48/AF57</f>
        <v>15.703604580975245</v>
      </c>
    </row>
    <row r="56" spans="1:35">
      <c r="B56" s="141"/>
      <c r="C56" s="141"/>
      <c r="D56" s="141"/>
      <c r="E56" s="141"/>
      <c r="F56" s="141"/>
      <c r="G56" s="141"/>
      <c r="H56" s="141"/>
      <c r="I56" s="141"/>
      <c r="J56" s="141"/>
      <c r="K56" s="141"/>
      <c r="L56" s="141"/>
      <c r="M56" s="141"/>
      <c r="N56" s="141"/>
      <c r="O56" s="141"/>
      <c r="P56" s="141"/>
      <c r="Q56" s="141"/>
      <c r="R56" s="141"/>
      <c r="S56" s="141"/>
      <c r="T56" s="141"/>
      <c r="U56" s="141"/>
      <c r="V56" s="141"/>
      <c r="W56" s="141"/>
      <c r="X56" s="141"/>
      <c r="Y56" s="141"/>
      <c r="Z56" s="141"/>
      <c r="AA56" s="141"/>
      <c r="AB56" s="25"/>
      <c r="AC56" s="25"/>
      <c r="AD56" s="25"/>
      <c r="AE56" s="25"/>
      <c r="AF56" s="25"/>
    </row>
    <row r="57" spans="1:35">
      <c r="A57" s="4" t="s">
        <v>332</v>
      </c>
      <c r="B57" s="168"/>
      <c r="C57" s="168"/>
      <c r="D57" s="168"/>
      <c r="E57" s="168"/>
      <c r="F57" s="168"/>
      <c r="G57" s="168"/>
      <c r="H57" s="168"/>
      <c r="I57" s="168"/>
      <c r="J57" s="168"/>
      <c r="K57" s="168"/>
      <c r="L57" s="168"/>
      <c r="M57" s="168"/>
      <c r="N57" s="168"/>
      <c r="O57" s="168"/>
      <c r="P57" s="168"/>
      <c r="Q57" s="148"/>
      <c r="R57" s="148"/>
      <c r="S57" s="148"/>
      <c r="T57" s="148"/>
      <c r="U57" s="148"/>
      <c r="V57" s="148"/>
      <c r="W57" s="148"/>
      <c r="X57" s="150">
        <f>+ProForma_IS_Qtr!AO57</f>
        <v>1096.25</v>
      </c>
      <c r="Y57" s="148">
        <f>+ProForma_IS_Qtr!AT57</f>
        <v>1089</v>
      </c>
      <c r="Z57" s="148">
        <f>+ProForma_IS_Qtr!AY57</f>
        <v>1085</v>
      </c>
      <c r="AA57" s="148">
        <f>+ProForma_IS_Qtr!BD57</f>
        <v>1061</v>
      </c>
      <c r="AB57" s="55">
        <f>+ProForma_IS_Qtr!BI57</f>
        <v>1042.880543029831</v>
      </c>
      <c r="AC57" s="55">
        <f>AVERAGE(AB63,AC63)</f>
        <v>1023.0629787962923</v>
      </c>
      <c r="AD57" s="55">
        <f>AVERAGE(AC63,AD63)</f>
        <v>1000.5452139993677</v>
      </c>
      <c r="AE57" s="55">
        <f>AVERAGE(AD63,AE63)</f>
        <v>977.81357626678709</v>
      </c>
      <c r="AF57" s="55">
        <f>AVERAGE(AE63,AF63)</f>
        <v>955.39858158180118</v>
      </c>
    </row>
    <row r="58" spans="1:35">
      <c r="A58" s="1" t="s">
        <v>4</v>
      </c>
      <c r="B58" s="84"/>
      <c r="C58" s="84"/>
      <c r="D58" s="84"/>
      <c r="E58" s="84"/>
      <c r="F58" s="84"/>
      <c r="G58" s="84"/>
      <c r="H58" s="84"/>
      <c r="I58" s="84"/>
      <c r="J58" s="84"/>
      <c r="K58" s="84"/>
      <c r="L58" s="84"/>
      <c r="M58" s="84"/>
      <c r="N58" s="84"/>
      <c r="O58" s="84"/>
      <c r="P58" s="84"/>
      <c r="Q58" s="84"/>
      <c r="R58" s="84"/>
      <c r="S58" s="84"/>
      <c r="T58" s="84"/>
      <c r="U58" s="84"/>
      <c r="V58" s="84"/>
      <c r="W58" s="84"/>
      <c r="X58" s="84">
        <f>+ProForma_IS_Qtr!AO58</f>
        <v>0</v>
      </c>
      <c r="Y58" s="84">
        <f>+ProForma_IS_Qtr!AT58</f>
        <v>-6.6134549600912473E-3</v>
      </c>
      <c r="Z58" s="84">
        <f>+ProForma_IS_Qtr!AY58</f>
        <v>-3.6730945821854544E-3</v>
      </c>
      <c r="AA58" s="84">
        <f>+ProForma_IS_Qtr!BD58</f>
        <v>-2.2119815668202758E-2</v>
      </c>
      <c r="AB58" s="35">
        <f>+ProForma_IS_Qtr!BI58</f>
        <v>-1.7077716277256405E-2</v>
      </c>
      <c r="AC58" s="35">
        <f>AC57/AB57-1</f>
        <v>-1.9002717392697321E-2</v>
      </c>
      <c r="AD58" s="35">
        <f>AD57/AC57-1</f>
        <v>-2.2010145282960414E-2</v>
      </c>
      <c r="AE58" s="35">
        <f>AE57/AD57-1</f>
        <v>-2.2719250878946218E-2</v>
      </c>
      <c r="AF58" s="35">
        <f>AF57/AE57-1</f>
        <v>-2.2923587101914222E-2</v>
      </c>
    </row>
    <row r="59" spans="1:35">
      <c r="B59" s="149"/>
      <c r="C59" s="149"/>
      <c r="D59" s="149"/>
      <c r="E59" s="149"/>
      <c r="F59" s="149"/>
      <c r="G59" s="149"/>
      <c r="H59" s="149"/>
      <c r="I59" s="149"/>
      <c r="J59" s="149"/>
      <c r="K59" s="149"/>
      <c r="L59" s="149"/>
      <c r="M59" s="149"/>
      <c r="N59" s="149"/>
      <c r="O59" s="149"/>
      <c r="P59" s="149"/>
      <c r="Q59" s="149"/>
      <c r="R59" s="149"/>
      <c r="S59" s="149"/>
      <c r="T59" s="149"/>
      <c r="U59" s="149"/>
      <c r="V59" s="149"/>
      <c r="W59" s="149"/>
      <c r="X59" s="149"/>
      <c r="Y59" s="149"/>
      <c r="Z59" s="149"/>
      <c r="AA59" s="149"/>
      <c r="AB59" s="58"/>
      <c r="AC59" s="58"/>
      <c r="AD59" s="58"/>
      <c r="AE59" s="58"/>
      <c r="AF59" s="58"/>
    </row>
    <row r="60" spans="1:35">
      <c r="A60" s="4" t="s">
        <v>333</v>
      </c>
      <c r="B60" s="168"/>
      <c r="C60" s="168"/>
      <c r="D60" s="168"/>
      <c r="E60" s="168"/>
      <c r="F60" s="168"/>
      <c r="G60" s="168"/>
      <c r="H60" s="168"/>
      <c r="I60" s="168"/>
      <c r="J60" s="168"/>
      <c r="K60" s="168"/>
      <c r="L60" s="168"/>
      <c r="M60" s="168"/>
      <c r="N60" s="168"/>
      <c r="O60" s="168"/>
      <c r="P60" s="168"/>
      <c r="Q60" s="150"/>
      <c r="R60" s="150"/>
      <c r="S60" s="150"/>
      <c r="T60" s="150"/>
      <c r="U60" s="150"/>
      <c r="V60" s="150"/>
      <c r="W60" s="150"/>
      <c r="X60" s="150">
        <f>+ProForma_IS_Qtr!AO60</f>
        <v>1097.75</v>
      </c>
      <c r="Y60" s="150">
        <f>+ProForma_IS_Qtr!AT60</f>
        <v>1099</v>
      </c>
      <c r="Z60" s="150">
        <f>+ProForma_IS_Qtr!AY60</f>
        <v>1094</v>
      </c>
      <c r="AA60" s="150">
        <f>+ProForma_IS_Qtr!BD60</f>
        <v>1068</v>
      </c>
      <c r="AB60" s="59">
        <f>+ProForma_IS_Qtr!BI60</f>
        <v>1050.080543029831</v>
      </c>
      <c r="AC60" s="59">
        <f>AB60/AB57*AC57</f>
        <v>1030.126159231065</v>
      </c>
      <c r="AD60" s="59">
        <f>AC60/AC57*AD57</f>
        <v>1007.4529328066112</v>
      </c>
      <c r="AE60" s="59">
        <f>AD60/AD57*AE57</f>
        <v>984.56435687744761</v>
      </c>
      <c r="AF60" s="59">
        <f>AE60/AE57*AF57</f>
        <v>961.99461008512731</v>
      </c>
    </row>
    <row r="61" spans="1:35">
      <c r="A61" s="1" t="s">
        <v>4</v>
      </c>
      <c r="B61" s="84"/>
      <c r="C61" s="84"/>
      <c r="D61" s="84"/>
      <c r="E61" s="84"/>
      <c r="F61" s="84"/>
      <c r="G61" s="84"/>
      <c r="H61" s="84"/>
      <c r="I61" s="84"/>
      <c r="J61" s="84"/>
      <c r="K61" s="84"/>
      <c r="L61" s="84"/>
      <c r="M61" s="84"/>
      <c r="N61" s="84"/>
      <c r="O61" s="84"/>
      <c r="P61" s="84"/>
      <c r="Q61" s="84"/>
      <c r="R61" s="84"/>
      <c r="S61" s="84"/>
      <c r="T61" s="84"/>
      <c r="U61" s="84"/>
      <c r="V61" s="84"/>
      <c r="W61" s="84"/>
      <c r="X61" s="84">
        <f>+ProForma_IS_Qtr!AO61</f>
        <v>0</v>
      </c>
      <c r="Y61" s="84">
        <f>+ProForma_IS_Qtr!AT61</f>
        <v>1.1386927806877889E-3</v>
      </c>
      <c r="Z61" s="84">
        <f>+ProForma_IS_Qtr!AY61</f>
        <v>-4.5495905368516665E-3</v>
      </c>
      <c r="AA61" s="84">
        <f>+ProForma_IS_Qtr!BD61</f>
        <v>-2.3765996343692919E-2</v>
      </c>
      <c r="AB61" s="35">
        <f>+ProForma_IS_Qtr!BI61</f>
        <v>-1.6778517762330525E-2</v>
      </c>
      <c r="AC61" s="35">
        <f>AC60/AB60-1</f>
        <v>-1.9002717392697321E-2</v>
      </c>
      <c r="AD61" s="35">
        <f>AD60/AC60-1</f>
        <v>-2.2010145282960414E-2</v>
      </c>
      <c r="AE61" s="35">
        <f>AE60/AD60-1</f>
        <v>-2.2719250878946329E-2</v>
      </c>
      <c r="AF61" s="35">
        <f>AF60/AE60-1</f>
        <v>-2.2923587101914222E-2</v>
      </c>
    </row>
    <row r="62" spans="1:35">
      <c r="A62" s="1"/>
      <c r="B62" s="84"/>
      <c r="C62" s="84"/>
      <c r="D62" s="84"/>
      <c r="E62" s="84"/>
      <c r="F62" s="84"/>
      <c r="G62" s="84"/>
      <c r="H62" s="84"/>
      <c r="I62" s="84"/>
      <c r="J62" s="84"/>
      <c r="K62" s="84"/>
      <c r="L62" s="84"/>
      <c r="M62" s="84"/>
      <c r="N62" s="84"/>
      <c r="O62" s="84"/>
      <c r="P62" s="84"/>
      <c r="Q62" s="84"/>
      <c r="R62" s="84"/>
      <c r="S62" s="84"/>
      <c r="T62" s="84"/>
      <c r="U62" s="84"/>
      <c r="V62" s="84"/>
      <c r="W62" s="84"/>
      <c r="X62" s="84"/>
      <c r="Y62" s="84"/>
      <c r="Z62" s="84"/>
      <c r="AA62" s="84"/>
      <c r="AB62" s="35"/>
      <c r="AC62" s="35"/>
      <c r="AD62" s="35"/>
      <c r="AE62" s="35"/>
      <c r="AF62" s="35"/>
    </row>
    <row r="63" spans="1:35">
      <c r="A63" s="4" t="s">
        <v>331</v>
      </c>
      <c r="B63" s="84"/>
      <c r="C63" s="84"/>
      <c r="D63" s="84"/>
      <c r="E63" s="84"/>
      <c r="F63" s="84"/>
      <c r="G63" s="84"/>
      <c r="H63" s="84"/>
      <c r="I63" s="84"/>
      <c r="J63" s="84"/>
      <c r="K63" s="84"/>
      <c r="L63" s="84"/>
      <c r="M63" s="84"/>
      <c r="N63" s="84"/>
      <c r="O63" s="84"/>
      <c r="P63" s="84"/>
      <c r="Q63" s="84"/>
      <c r="R63" s="84"/>
      <c r="S63" s="84"/>
      <c r="T63" s="84"/>
      <c r="U63" s="84"/>
      <c r="V63" s="84"/>
      <c r="W63" s="84"/>
      <c r="X63" s="84"/>
      <c r="Y63" s="150">
        <f>+ProForma_IS_Qtr!AT63</f>
        <v>0</v>
      </c>
      <c r="Z63" s="150">
        <f>+ProForma_IS_Qtr!AY63</f>
        <v>1073.2905049999999</v>
      </c>
      <c r="AA63" s="150">
        <f>+ProForma_IS_Qtr!BD63</f>
        <v>1048.8136119999999</v>
      </c>
      <c r="AB63" s="59">
        <f>+ProForma_IS_Qtr!BI63</f>
        <v>1034.153818173882</v>
      </c>
      <c r="AC63" s="59">
        <f>+AB63+AC66</f>
        <v>1011.9721394187026</v>
      </c>
      <c r="AD63" s="59">
        <f>+AC63+AD66</f>
        <v>989.11828858003287</v>
      </c>
      <c r="AE63" s="59">
        <f>+AD63+AE66</f>
        <v>966.50886395354144</v>
      </c>
      <c r="AF63" s="59">
        <f>+AE63+AF66</f>
        <v>944.28829921006093</v>
      </c>
    </row>
    <row r="64" spans="1:35">
      <c r="A64" s="1" t="s">
        <v>4</v>
      </c>
      <c r="B64" s="84"/>
      <c r="C64" s="84"/>
      <c r="D64" s="84"/>
      <c r="E64" s="84"/>
      <c r="F64" s="84"/>
      <c r="G64" s="84"/>
      <c r="H64" s="84"/>
      <c r="I64" s="84"/>
      <c r="J64" s="84"/>
      <c r="K64" s="84"/>
      <c r="L64" s="84"/>
      <c r="M64" s="84"/>
      <c r="N64" s="84"/>
      <c r="O64" s="84"/>
      <c r="P64" s="84"/>
      <c r="Q64" s="84"/>
      <c r="R64" s="84"/>
      <c r="S64" s="84"/>
      <c r="T64" s="84"/>
      <c r="U64" s="84"/>
      <c r="V64" s="84"/>
      <c r="W64" s="84"/>
      <c r="X64" s="84"/>
      <c r="Y64" s="84"/>
      <c r="Z64" s="84"/>
      <c r="AA64" s="84"/>
      <c r="AB64" s="35"/>
      <c r="AC64" s="35"/>
      <c r="AD64" s="35"/>
      <c r="AE64" s="35"/>
      <c r="AF64" s="35"/>
    </row>
    <row r="65" spans="1:38">
      <c r="A65" s="2"/>
      <c r="B65" s="144"/>
      <c r="C65" s="144"/>
      <c r="D65" s="144"/>
      <c r="E65" s="144"/>
      <c r="F65" s="144"/>
      <c r="G65" s="144"/>
      <c r="H65" s="144"/>
      <c r="I65" s="144"/>
      <c r="J65" s="144"/>
      <c r="K65" s="144"/>
      <c r="L65" s="144"/>
      <c r="M65" s="144"/>
      <c r="N65" s="144"/>
      <c r="O65" s="144"/>
      <c r="P65" s="144"/>
      <c r="Q65" s="144"/>
      <c r="R65" s="144"/>
      <c r="S65" s="144"/>
      <c r="T65" s="144"/>
      <c r="U65" s="144"/>
      <c r="V65" s="144"/>
      <c r="W65" s="144"/>
      <c r="X65" s="144"/>
      <c r="Y65" s="144"/>
      <c r="Z65" s="144"/>
      <c r="AA65" s="144"/>
      <c r="AB65" s="45"/>
      <c r="AC65" s="45"/>
      <c r="AD65" s="45"/>
      <c r="AE65" s="45"/>
      <c r="AF65" s="45"/>
    </row>
    <row r="66" spans="1:38">
      <c r="A66" s="12" t="str">
        <f>ProForma_IS_Qtr!A66</f>
        <v>Share Repurchase</v>
      </c>
      <c r="B66" s="214"/>
      <c r="C66" s="214"/>
      <c r="D66" s="214"/>
      <c r="E66" s="214"/>
      <c r="F66" s="214"/>
      <c r="G66" s="214"/>
      <c r="H66" s="214"/>
      <c r="I66" s="214"/>
      <c r="J66" s="214"/>
      <c r="K66" s="214"/>
      <c r="L66" s="214"/>
      <c r="M66" s="214"/>
      <c r="N66" s="214"/>
      <c r="O66" s="214"/>
      <c r="P66" s="214"/>
      <c r="Q66" s="214"/>
      <c r="R66" s="214"/>
      <c r="S66" s="214"/>
      <c r="T66" s="214"/>
      <c r="U66" s="214"/>
      <c r="V66" s="214"/>
      <c r="W66" s="214"/>
      <c r="X66" s="214">
        <f>ProForma_IS_Qtr!AO66</f>
        <v>-10.035329000000047</v>
      </c>
      <c r="Y66" s="214">
        <f>ProForma_IS_Qtr!AT66</f>
        <v>0</v>
      </c>
      <c r="Z66" s="214">
        <f>ProForma_IS_Qtr!AY66</f>
        <v>-30.977999999999998</v>
      </c>
      <c r="AA66" s="214">
        <f>ProForma_IS_Qtr!BD66</f>
        <v>-30.007999999999999</v>
      </c>
      <c r="AB66" s="595">
        <f>ProForma_IS_Qtr!BI66</f>
        <v>-23.575596409834084</v>
      </c>
      <c r="AC66" s="595">
        <f>Cash_Flow_Annual!AC47/ProForma_IS_Annual!AC67</f>
        <v>-22.181678755179416</v>
      </c>
      <c r="AD66" s="595">
        <f>Cash_Flow_Annual!AD47/ProForma_IS_Annual!AD67</f>
        <v>-22.8538508386697</v>
      </c>
      <c r="AE66" s="595">
        <f>Cash_Flow_Annual!AE47/ProForma_IS_Annual!AE67</f>
        <v>-22.60942462649141</v>
      </c>
      <c r="AF66" s="595">
        <f>Cash_Flow_Annual!AF47/ProForma_IS_Annual!AF67</f>
        <v>-22.220564743480502</v>
      </c>
      <c r="AJ66" s="426"/>
      <c r="AK66" s="98"/>
      <c r="AL66" s="98"/>
    </row>
    <row r="67" spans="1:38">
      <c r="A67" s="4" t="str">
        <f>ProForma_IS_Qtr!A67</f>
        <v>Average Stock Price</v>
      </c>
      <c r="B67" s="216"/>
      <c r="C67" s="216"/>
      <c r="D67" s="216"/>
      <c r="E67" s="216"/>
      <c r="F67" s="216"/>
      <c r="G67" s="216"/>
      <c r="H67" s="216"/>
      <c r="I67" s="216"/>
      <c r="J67" s="216"/>
      <c r="K67" s="216"/>
      <c r="L67" s="216"/>
      <c r="M67" s="216"/>
      <c r="N67" s="216"/>
      <c r="O67" s="216"/>
      <c r="P67" s="216"/>
      <c r="Q67" s="216"/>
      <c r="R67" s="216"/>
      <c r="S67" s="216"/>
      <c r="T67" s="216"/>
      <c r="U67" s="216"/>
      <c r="V67" s="216"/>
      <c r="W67" s="216"/>
      <c r="X67" s="216">
        <f>ProForma_IS_Qtr!AO67</f>
        <v>62.990400000000001</v>
      </c>
      <c r="Y67" s="216">
        <f>ProForma_IS_Qtr!AT67</f>
        <v>103.51681299603186</v>
      </c>
      <c r="Z67" s="216">
        <f>ProForma_IS_Qtr!AY67</f>
        <v>164.97189516129023</v>
      </c>
      <c r="AA67" s="216">
        <f>ProForma_IS_Qtr!BD67</f>
        <v>253.30250000000001</v>
      </c>
      <c r="AB67" s="53">
        <f>ProForma_IS_Qtr!BI67</f>
        <v>307.37898125000004</v>
      </c>
      <c r="AC67" s="53">
        <f t="shared" ref="AC67:AF67" si="24">AB67*(1+AC68)</f>
        <v>338.11687937500005</v>
      </c>
      <c r="AD67" s="53">
        <f t="shared" si="24"/>
        <v>371.92856731250009</v>
      </c>
      <c r="AE67" s="53">
        <f t="shared" si="24"/>
        <v>409.12142404375015</v>
      </c>
      <c r="AF67" s="53">
        <f t="shared" si="24"/>
        <v>450.03356644812521</v>
      </c>
    </row>
    <row r="68" spans="1:38">
      <c r="A68" s="440" t="s">
        <v>597</v>
      </c>
      <c r="B68" s="216"/>
      <c r="C68" s="216"/>
      <c r="D68" s="216"/>
      <c r="E68" s="216"/>
      <c r="F68" s="216"/>
      <c r="G68" s="216"/>
      <c r="H68" s="216"/>
      <c r="I68" s="216"/>
      <c r="J68" s="216"/>
      <c r="K68" s="216"/>
      <c r="L68" s="216"/>
      <c r="M68" s="216"/>
      <c r="N68" s="216"/>
      <c r="O68" s="216"/>
      <c r="P68" s="216"/>
      <c r="Q68" s="216"/>
      <c r="R68" s="216"/>
      <c r="S68" s="216"/>
      <c r="T68" s="216"/>
      <c r="U68" s="216"/>
      <c r="V68" s="216"/>
      <c r="W68" s="216"/>
      <c r="X68" s="216"/>
      <c r="Y68" s="596">
        <f>Y67/X67-1</f>
        <v>0.64337443477151846</v>
      </c>
      <c r="Z68" s="596">
        <f t="shared" ref="Z68:AB68" si="25">Z67/Y67-1</f>
        <v>0.59367247103728116</v>
      </c>
      <c r="AA68" s="596">
        <f t="shared" si="25"/>
        <v>0.53542819976912082</v>
      </c>
      <c r="AB68" s="597">
        <f t="shared" si="25"/>
        <v>0.21348577787428091</v>
      </c>
      <c r="AC68" s="597">
        <v>0.1</v>
      </c>
      <c r="AD68" s="597">
        <v>0.1</v>
      </c>
      <c r="AE68" s="597">
        <v>0.1</v>
      </c>
      <c r="AF68" s="597">
        <v>0.1</v>
      </c>
    </row>
    <row r="69" spans="1:38">
      <c r="A69" s="4"/>
      <c r="B69" s="216"/>
      <c r="C69" s="216"/>
      <c r="D69" s="216"/>
      <c r="E69" s="216"/>
      <c r="F69" s="216"/>
      <c r="G69" s="216"/>
      <c r="H69" s="216"/>
      <c r="I69" s="216"/>
      <c r="J69" s="216"/>
      <c r="K69" s="216"/>
      <c r="L69" s="216"/>
      <c r="M69" s="216"/>
      <c r="N69" s="216"/>
      <c r="O69" s="216"/>
      <c r="P69" s="216"/>
      <c r="Q69" s="216"/>
      <c r="R69" s="216"/>
      <c r="S69" s="216"/>
      <c r="T69" s="216"/>
      <c r="U69" s="216"/>
      <c r="V69" s="216"/>
      <c r="W69" s="216"/>
      <c r="X69" s="216"/>
      <c r="Y69" s="216"/>
      <c r="Z69" s="216"/>
      <c r="AA69" s="216"/>
      <c r="AB69" s="53"/>
      <c r="AC69" s="53"/>
      <c r="AD69" s="53"/>
      <c r="AE69" s="53"/>
      <c r="AF69" s="53"/>
    </row>
    <row r="70" spans="1:38">
      <c r="A70" s="12" t="str">
        <f>ProForma_IS_Qtr!A70</f>
        <v>Dividend Per Share</v>
      </c>
      <c r="B70" s="216"/>
      <c r="C70" s="216"/>
      <c r="D70" s="216"/>
      <c r="E70" s="216"/>
      <c r="F70" s="216"/>
      <c r="G70" s="216"/>
      <c r="H70" s="216"/>
      <c r="I70" s="216"/>
      <c r="J70" s="216"/>
      <c r="K70" s="216"/>
      <c r="L70" s="216"/>
      <c r="M70" s="216"/>
      <c r="N70" s="216"/>
      <c r="O70" s="216"/>
      <c r="P70" s="216"/>
      <c r="Q70" s="216"/>
      <c r="R70" s="216"/>
      <c r="S70" s="216"/>
      <c r="T70" s="216"/>
      <c r="U70" s="216"/>
      <c r="V70" s="216"/>
      <c r="W70" s="216"/>
      <c r="X70" s="216">
        <f>ProForma_IS_Qtr!AO70</f>
        <v>0.32</v>
      </c>
      <c r="Y70" s="216">
        <f>ProForma_IS_Qtr!AT70</f>
        <v>0.32</v>
      </c>
      <c r="Z70" s="216">
        <f>ProForma_IS_Qtr!AY70</f>
        <v>1.1200000000000001</v>
      </c>
      <c r="AA70" s="216">
        <f>ProForma_IS_Qtr!BD70</f>
        <v>1.44</v>
      </c>
      <c r="AB70" s="224">
        <f>ProForma_IS_Qtr!BI70</f>
        <v>1.8719999999999999</v>
      </c>
      <c r="AC70" s="224">
        <f>Cash_Flow_Annual!AC98</f>
        <v>2.0592000000000001</v>
      </c>
      <c r="AD70" s="224">
        <f>Cash_Flow_Annual!AD98</f>
        <v>2.2651200000000005</v>
      </c>
      <c r="AE70" s="224">
        <f>Cash_Flow_Annual!AE98</f>
        <v>2.4916320000000005</v>
      </c>
      <c r="AF70" s="224">
        <f>Cash_Flow_Annual!AG98</f>
        <v>0</v>
      </c>
    </row>
    <row r="71" spans="1:38">
      <c r="A71" s="12" t="str">
        <f>ProForma_IS_Qtr!A71</f>
        <v>YoY</v>
      </c>
      <c r="B71" s="216"/>
      <c r="C71" s="216"/>
      <c r="D71" s="216"/>
      <c r="E71" s="216"/>
      <c r="F71" s="216"/>
      <c r="G71" s="216"/>
      <c r="H71" s="216"/>
      <c r="I71" s="216"/>
      <c r="J71" s="216"/>
      <c r="K71" s="216"/>
      <c r="L71" s="216"/>
      <c r="M71" s="216"/>
      <c r="N71" s="216"/>
      <c r="O71" s="216"/>
      <c r="P71" s="216"/>
      <c r="Q71" s="216"/>
      <c r="R71" s="216"/>
      <c r="S71" s="216"/>
      <c r="T71" s="216"/>
      <c r="U71" s="117"/>
      <c r="V71" s="117"/>
      <c r="W71" s="117"/>
      <c r="X71" s="117">
        <f>ProForma_IS_Qtr!AO71</f>
        <v>0</v>
      </c>
      <c r="Y71" s="117">
        <f>ProForma_IS_Qtr!AT71</f>
        <v>0</v>
      </c>
      <c r="Z71" s="117">
        <f>ProForma_IS_Qtr!AY71</f>
        <v>2.5000000000000004</v>
      </c>
      <c r="AA71" s="117">
        <f>ProForma_IS_Qtr!BD71</f>
        <v>0.28571428571428559</v>
      </c>
      <c r="AB71" s="164">
        <f>ProForma_IS_Qtr!BI71</f>
        <v>0.3</v>
      </c>
      <c r="AC71" s="164">
        <f>Cash_Flow_Annual!AC99</f>
        <v>0.1</v>
      </c>
      <c r="AD71" s="164">
        <f>Cash_Flow_Annual!AD99</f>
        <v>0.1</v>
      </c>
      <c r="AE71" s="164">
        <f>Cash_Flow_Annual!AE99</f>
        <v>0.1</v>
      </c>
      <c r="AF71" s="164">
        <f>Cash_Flow_Annual!AG99</f>
        <v>0</v>
      </c>
    </row>
    <row r="72" spans="1:38">
      <c r="A72" s="2"/>
      <c r="B72" s="144"/>
      <c r="C72" s="144"/>
      <c r="D72" s="144"/>
      <c r="E72" s="144"/>
      <c r="F72" s="144"/>
      <c r="G72" s="144"/>
      <c r="H72" s="144"/>
      <c r="I72" s="144"/>
      <c r="J72" s="144"/>
      <c r="K72" s="144"/>
      <c r="L72" s="144"/>
      <c r="M72" s="144"/>
      <c r="N72" s="144"/>
      <c r="O72" s="144"/>
      <c r="P72" s="144"/>
      <c r="Q72" s="144"/>
      <c r="R72" s="144"/>
      <c r="S72" s="144"/>
      <c r="T72" s="144"/>
      <c r="U72" s="144"/>
      <c r="V72" s="144"/>
      <c r="W72" s="144"/>
      <c r="X72" s="144"/>
      <c r="Y72" s="144"/>
      <c r="Z72" s="144"/>
      <c r="AA72" s="144"/>
      <c r="AB72" s="45"/>
      <c r="AC72" s="45"/>
      <c r="AD72" s="45"/>
      <c r="AE72" s="45"/>
      <c r="AF72" s="45"/>
    </row>
    <row r="73" spans="1:38">
      <c r="A73" s="1" t="s">
        <v>612</v>
      </c>
      <c r="B73" s="144"/>
      <c r="C73" s="144"/>
      <c r="D73" s="144"/>
      <c r="E73" s="144"/>
      <c r="F73" s="144"/>
      <c r="G73" s="144"/>
      <c r="H73" s="144"/>
      <c r="I73" s="144"/>
      <c r="J73" s="144"/>
      <c r="K73" s="144"/>
      <c r="L73" s="144"/>
      <c r="M73" s="144"/>
      <c r="N73" s="144"/>
      <c r="O73" s="144"/>
      <c r="P73" s="144"/>
      <c r="Q73" s="144"/>
      <c r="R73" s="144"/>
      <c r="S73" s="144"/>
      <c r="T73" s="144"/>
      <c r="U73" s="144"/>
      <c r="V73" s="144"/>
      <c r="W73" s="144"/>
      <c r="X73" s="144"/>
      <c r="Y73" s="144"/>
      <c r="Z73" s="144"/>
      <c r="AA73" s="144"/>
      <c r="AB73" s="615">
        <f>ProForma_IS_Qtr!BI73</f>
        <v>0</v>
      </c>
      <c r="AC73" s="615">
        <v>0</v>
      </c>
      <c r="AD73" s="615">
        <v>0</v>
      </c>
      <c r="AE73" s="615">
        <v>0</v>
      </c>
      <c r="AF73" s="615">
        <v>0</v>
      </c>
    </row>
    <row r="74" spans="1:38">
      <c r="A74" s="2"/>
      <c r="B74" s="144"/>
      <c r="C74" s="144"/>
      <c r="D74" s="144"/>
      <c r="E74" s="144"/>
      <c r="F74" s="144"/>
      <c r="G74" s="144"/>
      <c r="H74" s="144"/>
      <c r="I74" s="144"/>
      <c r="J74" s="144"/>
      <c r="K74" s="144"/>
      <c r="L74" s="144"/>
      <c r="M74" s="144"/>
      <c r="N74" s="144"/>
      <c r="O74" s="144"/>
      <c r="P74" s="144"/>
      <c r="Q74" s="144"/>
      <c r="R74" s="144"/>
      <c r="S74" s="144"/>
      <c r="T74" s="144"/>
      <c r="U74" s="144"/>
      <c r="V74" s="144"/>
      <c r="W74" s="144"/>
      <c r="X74" s="144"/>
      <c r="Y74" s="144"/>
      <c r="Z74" s="144"/>
      <c r="AA74" s="144"/>
      <c r="AB74" s="45"/>
      <c r="AC74" s="45"/>
      <c r="AD74" s="45"/>
      <c r="AE74" s="45"/>
      <c r="AF74" s="45"/>
    </row>
    <row r="75" spans="1:38">
      <c r="A75" s="2"/>
      <c r="B75" s="144"/>
      <c r="C75" s="144"/>
      <c r="D75" s="144"/>
      <c r="E75" s="144"/>
      <c r="F75" s="144"/>
      <c r="G75" s="144"/>
      <c r="H75" s="144"/>
      <c r="I75" s="144"/>
      <c r="J75" s="144"/>
      <c r="K75" s="144"/>
      <c r="L75" s="144"/>
      <c r="M75" s="144"/>
      <c r="N75" s="144"/>
      <c r="O75" s="144"/>
      <c r="P75" s="144"/>
      <c r="Q75" s="144"/>
      <c r="R75" s="144"/>
      <c r="S75" s="144"/>
      <c r="T75" s="144"/>
      <c r="U75" s="144"/>
      <c r="V75" s="144"/>
      <c r="W75" s="144"/>
      <c r="X75" s="144"/>
      <c r="Y75" s="144"/>
      <c r="Z75" s="144"/>
      <c r="AA75" s="144"/>
      <c r="AB75" s="45"/>
      <c r="AC75" s="45"/>
      <c r="AD75" s="45"/>
      <c r="AE75" s="45"/>
      <c r="AF75" s="45"/>
    </row>
    <row r="76" spans="1:38">
      <c r="A76" s="102" t="str">
        <f>ProForma_IS_Qtr!A76</f>
        <v>Financial Metrics</v>
      </c>
      <c r="B76" s="151"/>
      <c r="C76" s="151"/>
      <c r="D76" s="151"/>
      <c r="E76" s="151"/>
      <c r="F76" s="151"/>
      <c r="G76" s="151"/>
      <c r="H76" s="151"/>
      <c r="I76" s="151"/>
      <c r="J76" s="151"/>
      <c r="K76" s="151"/>
      <c r="L76" s="151"/>
      <c r="M76" s="151"/>
      <c r="N76" s="151"/>
      <c r="O76" s="151"/>
      <c r="P76" s="151"/>
      <c r="Q76" s="151"/>
      <c r="R76" s="151"/>
      <c r="S76" s="151"/>
      <c r="T76" s="151"/>
      <c r="U76" s="151"/>
      <c r="V76" s="151"/>
      <c r="W76" s="151"/>
      <c r="X76" s="151"/>
      <c r="Y76" s="151"/>
      <c r="Z76" s="151"/>
      <c r="AA76" s="151"/>
      <c r="AB76" s="103"/>
      <c r="AC76" s="103"/>
      <c r="AD76" s="103"/>
      <c r="AE76" s="103"/>
      <c r="AF76" s="103"/>
    </row>
    <row r="77" spans="1:38">
      <c r="A77" s="1" t="str">
        <f>ProForma_IS_Qtr!A77</f>
        <v>Depreciation &amp; Amortization</v>
      </c>
      <c r="B77" s="114"/>
      <c r="C77" s="114"/>
      <c r="D77" s="114"/>
      <c r="E77" s="114"/>
      <c r="F77" s="114"/>
      <c r="G77" s="114"/>
      <c r="H77" s="114"/>
      <c r="I77" s="114"/>
      <c r="J77" s="114"/>
      <c r="K77" s="114"/>
      <c r="L77" s="114"/>
      <c r="M77" s="114"/>
      <c r="N77" s="114"/>
      <c r="O77" s="114"/>
      <c r="P77" s="114"/>
      <c r="Q77" s="114"/>
      <c r="R77" s="114"/>
      <c r="S77" s="114"/>
      <c r="T77" s="114"/>
      <c r="U77" s="114"/>
      <c r="V77" s="114"/>
      <c r="W77" s="114"/>
      <c r="X77" s="114">
        <f>Cash_Flow_Annual!X6+Cash_Flow_Annual!X7</f>
        <v>2829.666666666667</v>
      </c>
      <c r="Y77" s="114">
        <f>Cash_Flow_Annual!Y6+Cash_Flow_Annual!Y7</f>
        <v>1179</v>
      </c>
      <c r="Z77" s="114">
        <f>Cash_Flow_Annual!Z6+Cash_Flow_Annual!Z7</f>
        <v>1184</v>
      </c>
      <c r="AA77" s="114">
        <f>Cash_Flow_Annual!AA6+Cash_Flow_Annual!AA7</f>
        <v>1220</v>
      </c>
      <c r="AB77" s="37">
        <f>Cash_Flow_Annual!AB6+Cash_Flow_Annual!AB7</f>
        <v>1243.0419138197531</v>
      </c>
      <c r="AC77" s="37">
        <f ca="1">Cash_Flow_Annual!AC6+Cash_Flow_Annual!AC7</f>
        <v>1262.0568479522558</v>
      </c>
      <c r="AD77" s="37">
        <f ca="1">Cash_Flow_Annual!AD6+Cash_Flow_Annual!AD7</f>
        <v>1289.9601897178054</v>
      </c>
      <c r="AE77" s="37">
        <f ca="1">Cash_Flow_Annual!AE6+Cash_Flow_Annual!AE7</f>
        <v>1324.2132628556592</v>
      </c>
      <c r="AF77" s="37">
        <f ca="1">Cash_Flow_Annual!AF6+Cash_Flow_Annual!AF7</f>
        <v>1355.9996717782478</v>
      </c>
      <c r="AH77" s="374"/>
    </row>
    <row r="78" spans="1:38">
      <c r="A78" s="6" t="str">
        <f>ProForma_IS_Qtr!A78</f>
        <v>EBITDA</v>
      </c>
      <c r="B78" s="140"/>
      <c r="C78" s="140"/>
      <c r="D78" s="140"/>
      <c r="E78" s="140"/>
      <c r="F78" s="140"/>
      <c r="G78" s="140"/>
      <c r="H78" s="140"/>
      <c r="I78" s="140"/>
      <c r="J78" s="140"/>
      <c r="K78" s="140"/>
      <c r="L78" s="140"/>
      <c r="M78" s="140"/>
      <c r="N78" s="140"/>
      <c r="O78" s="140"/>
      <c r="P78" s="140"/>
      <c r="Q78" s="140"/>
      <c r="R78" s="140"/>
      <c r="S78" s="140"/>
      <c r="T78" s="140"/>
      <c r="U78" s="140"/>
      <c r="V78" s="140"/>
      <c r="W78" s="140"/>
      <c r="X78" s="140">
        <f t="shared" ref="X78:AE78" si="26">X26+X77</f>
        <v>5988.666666666667</v>
      </c>
      <c r="Y78" s="140">
        <f t="shared" si="26"/>
        <v>6740</v>
      </c>
      <c r="Z78" s="140">
        <f t="shared" si="26"/>
        <v>8437</v>
      </c>
      <c r="AA78" s="140">
        <f>AA26+AA77</f>
        <v>10275</v>
      </c>
      <c r="AB78" s="23">
        <f>AB26+AB77</f>
        <v>11991.399862171598</v>
      </c>
      <c r="AC78" s="23">
        <f t="shared" ca="1" si="26"/>
        <v>13441.556750150618</v>
      </c>
      <c r="AD78" s="23">
        <f t="shared" ca="1" si="26"/>
        <v>15147.968607052317</v>
      </c>
      <c r="AE78" s="23">
        <f t="shared" ca="1" si="26"/>
        <v>16847.266339157301</v>
      </c>
      <c r="AF78" s="23">
        <f t="shared" ref="AF78" ca="1" si="27">AF26+AF77</f>
        <v>18783.419280289669</v>
      </c>
    </row>
    <row r="79" spans="1:38">
      <c r="A79" s="1" t="str">
        <f>ProForma_IS_Qtr!A79</f>
        <v>EBITDA Margin</v>
      </c>
      <c r="B79" s="152"/>
      <c r="C79" s="152"/>
      <c r="D79" s="152"/>
      <c r="E79" s="152"/>
      <c r="F79" s="152"/>
      <c r="G79" s="152"/>
      <c r="H79" s="152"/>
      <c r="I79" s="152"/>
      <c r="J79" s="152"/>
      <c r="K79" s="152"/>
      <c r="L79" s="152"/>
      <c r="M79" s="152"/>
      <c r="N79" s="152"/>
      <c r="O79" s="152"/>
      <c r="P79" s="152"/>
      <c r="Q79" s="152"/>
      <c r="R79" s="152"/>
      <c r="S79" s="152"/>
      <c r="T79" s="152"/>
      <c r="U79" s="152"/>
      <c r="V79" s="152"/>
      <c r="W79" s="152"/>
      <c r="X79" s="152">
        <f t="shared" ref="X79:AE79" si="28">X78/X11</f>
        <v>9.8083211862139752E-2</v>
      </c>
      <c r="Y79" s="152">
        <f t="shared" si="28"/>
        <v>0.19067556863188864</v>
      </c>
      <c r="Z79" s="152">
        <f t="shared" si="28"/>
        <v>0.2179990698155134</v>
      </c>
      <c r="AA79" s="152">
        <f>AA78/AA11</f>
        <v>0.22407589139679424</v>
      </c>
      <c r="AB79" s="101">
        <f>AB78/AB11</f>
        <v>0.22270859307390137</v>
      </c>
      <c r="AC79" s="101">
        <f t="shared" ca="1" si="28"/>
        <v>0.22878038359358197</v>
      </c>
      <c r="AD79" s="101">
        <f t="shared" ca="1" si="28"/>
        <v>0.2361359751217515</v>
      </c>
      <c r="AE79" s="101">
        <f t="shared" ca="1" si="28"/>
        <v>0.24433531422323512</v>
      </c>
      <c r="AF79" s="101">
        <f t="shared" ref="AF79" ca="1" si="29">AF78/AF11</f>
        <v>0.25270183249236805</v>
      </c>
    </row>
    <row r="80" spans="1:38">
      <c r="A80" s="2"/>
      <c r="B80" s="84"/>
      <c r="C80" s="84"/>
      <c r="D80" s="84"/>
      <c r="E80" s="84"/>
      <c r="F80" s="84"/>
      <c r="G80" s="84"/>
      <c r="H80" s="84"/>
      <c r="I80" s="84"/>
      <c r="J80" s="84"/>
      <c r="K80" s="84"/>
      <c r="L80" s="84"/>
      <c r="M80" s="84"/>
      <c r="N80" s="84"/>
      <c r="O80" s="84"/>
      <c r="P80" s="84"/>
      <c r="Q80" s="84"/>
      <c r="R80" s="84"/>
      <c r="S80" s="84"/>
      <c r="T80" s="84"/>
      <c r="U80" s="84"/>
      <c r="V80" s="84"/>
      <c r="W80" s="84"/>
      <c r="X80" s="84"/>
      <c r="Y80" s="84"/>
      <c r="Z80" s="84"/>
      <c r="AA80" s="84"/>
      <c r="AB80" s="35"/>
      <c r="AC80" s="35"/>
      <c r="AD80" s="35"/>
      <c r="AE80" s="35"/>
      <c r="AF80" s="35"/>
    </row>
    <row r="81" spans="1:32">
      <c r="A81" s="1" t="str">
        <f>ProForma_IS_Qtr!A81</f>
        <v>Total Cost of Sales</v>
      </c>
      <c r="B81" s="143"/>
      <c r="C81" s="143"/>
      <c r="D81" s="143"/>
      <c r="E81" s="143"/>
      <c r="F81" s="143"/>
      <c r="G81" s="143"/>
      <c r="H81" s="143"/>
      <c r="I81" s="143"/>
      <c r="J81" s="143"/>
      <c r="K81" s="143"/>
      <c r="L81" s="143"/>
      <c r="M81" s="143"/>
      <c r="N81" s="143"/>
      <c r="O81" s="143"/>
      <c r="P81" s="143"/>
      <c r="Q81" s="114"/>
      <c r="R81" s="114"/>
      <c r="S81" s="114"/>
      <c r="T81" s="114"/>
      <c r="U81" s="114"/>
      <c r="V81" s="114"/>
      <c r="W81" s="114"/>
      <c r="X81" s="114">
        <f>+ProForma_IS_Qtr!AO81</f>
        <v>-44272</v>
      </c>
      <c r="Y81" s="114">
        <f>+ProForma_IS_Qtr!AT81</f>
        <v>-22939</v>
      </c>
      <c r="Z81" s="114">
        <f>+ProForma_IS_Qtr!AY81</f>
        <v>-24308</v>
      </c>
      <c r="AA81" s="114">
        <f>+ProForma_IS_Qtr!BD81</f>
        <v>-28968</v>
      </c>
      <c r="AB81" s="71">
        <f>+ProForma_IS_Qtr!BI81</f>
        <v>-34199.548645475457</v>
      </c>
      <c r="AC81" s="71">
        <f>AC88-AC11</f>
        <v>-39658.342484771478</v>
      </c>
      <c r="AD81" s="71">
        <f>AD88-AD11</f>
        <v>-42980.062489386313</v>
      </c>
      <c r="AE81" s="71">
        <f>AE88-AE11</f>
        <v>-45852.692850218424</v>
      </c>
      <c r="AF81" s="71">
        <f>AF88-AF11</f>
        <v>-49058.040468960942</v>
      </c>
    </row>
    <row r="82" spans="1:32">
      <c r="A82" s="1" t="str">
        <f>ProForma_IS_Qtr!A82</f>
        <v>R&amp;D</v>
      </c>
      <c r="B82" s="143"/>
      <c r="C82" s="143"/>
      <c r="D82" s="143"/>
      <c r="E82" s="143"/>
      <c r="F82" s="143"/>
      <c r="G82" s="143"/>
      <c r="H82" s="143"/>
      <c r="I82" s="143"/>
      <c r="J82" s="143"/>
      <c r="K82" s="143"/>
      <c r="L82" s="143"/>
      <c r="M82" s="143"/>
      <c r="N82" s="143"/>
      <c r="O82" s="143"/>
      <c r="P82" s="143"/>
      <c r="Q82" s="114"/>
      <c r="R82" s="114"/>
      <c r="S82" s="114"/>
      <c r="T82" s="114"/>
      <c r="U82" s="114"/>
      <c r="V82" s="114"/>
      <c r="W82" s="114"/>
      <c r="X82" s="114">
        <f>+ProForma_IS_Qtr!AO82</f>
        <v>-1786</v>
      </c>
      <c r="Y82" s="114">
        <f>+ProForma_IS_Qtr!AT82</f>
        <v>-1011</v>
      </c>
      <c r="Z82" s="114">
        <f>+ProForma_IS_Qtr!AY82</f>
        <v>-1286</v>
      </c>
      <c r="AA82" s="114">
        <f>+ProForma_IS_Qtr!BD82</f>
        <v>-1580</v>
      </c>
      <c r="AB82" s="71">
        <f>+ProForma_IS_Qtr!BI82</f>
        <v>-1860.8577939449881</v>
      </c>
      <c r="AC82" s="71">
        <f>-AC92*AC11</f>
        <v>-1880.0991992780553</v>
      </c>
      <c r="AD82" s="71">
        <f>-AD92*AD11</f>
        <v>-1988.6297569716057</v>
      </c>
      <c r="AE82" s="71">
        <f>-AE92*AE11</f>
        <v>-2068.5425345963199</v>
      </c>
      <c r="AF82" s="71">
        <f>-AF92*AF11</f>
        <v>-2229.9109304073154</v>
      </c>
    </row>
    <row r="83" spans="1:32">
      <c r="A83" s="1" t="str">
        <f>ProForma_IS_Qtr!A83</f>
        <v>SG&amp;A</v>
      </c>
      <c r="B83" s="143"/>
      <c r="C83" s="143"/>
      <c r="D83" s="143"/>
      <c r="E83" s="143"/>
      <c r="F83" s="143"/>
      <c r="G83" s="143"/>
      <c r="H83" s="143"/>
      <c r="I83" s="143"/>
      <c r="J83" s="143"/>
      <c r="K83" s="143"/>
      <c r="L83" s="143"/>
      <c r="M83" s="143"/>
      <c r="N83" s="143"/>
      <c r="O83" s="143"/>
      <c r="P83" s="143"/>
      <c r="Q83" s="114"/>
      <c r="R83" s="114"/>
      <c r="S83" s="114"/>
      <c r="T83" s="114"/>
      <c r="U83" s="114"/>
      <c r="V83" s="114"/>
      <c r="W83" s="114"/>
      <c r="X83" s="114">
        <f>+ProForma_IS_Qtr!AO83</f>
        <v>-9173</v>
      </c>
      <c r="Y83" s="114">
        <f>+ProForma_IS_Qtr!AT83</f>
        <v>-4045</v>
      </c>
      <c r="Z83" s="114">
        <f>+ProForma_IS_Qtr!AY83</f>
        <v>-4437</v>
      </c>
      <c r="AA83" s="114">
        <f>+ProForma_IS_Qtr!BD83</f>
        <v>-4088</v>
      </c>
      <c r="AB83" s="71">
        <f>+ProForma_IS_Qtr!BI83</f>
        <v>-4777.8781195884831</v>
      </c>
      <c r="AC83" s="71">
        <f>-AC93*AC11</f>
        <v>-5287.7789979695299</v>
      </c>
      <c r="AD83" s="71">
        <f>-AD93*AD11</f>
        <v>-5773.4412299175647</v>
      </c>
      <c r="AE83" s="71">
        <f>-AE93*AE11</f>
        <v>-6205.6276037889593</v>
      </c>
      <c r="AF83" s="71">
        <f>-AF93*AF11</f>
        <v>-6689.7327912219462</v>
      </c>
    </row>
    <row r="84" spans="1:32" outlineLevel="1">
      <c r="A84" s="1" t="str">
        <f>ProForma_IS_Qtr!A84</f>
        <v>Other, Net</v>
      </c>
      <c r="B84" s="143"/>
      <c r="C84" s="143"/>
      <c r="D84" s="143"/>
      <c r="E84" s="143"/>
      <c r="F84" s="143"/>
      <c r="G84" s="143"/>
      <c r="H84" s="143"/>
      <c r="I84" s="143"/>
      <c r="J84" s="143"/>
      <c r="K84" s="143"/>
      <c r="L84" s="143"/>
      <c r="M84" s="143"/>
      <c r="N84" s="143"/>
      <c r="O84" s="143"/>
      <c r="P84" s="143"/>
      <c r="Q84" s="114"/>
      <c r="R84" s="114"/>
      <c r="S84" s="114"/>
      <c r="T84" s="114"/>
      <c r="U84" s="114"/>
      <c r="V84" s="114"/>
      <c r="W84" s="114"/>
      <c r="X84" s="114">
        <f>+ProForma_IS_Qtr!AO84</f>
        <v>2227</v>
      </c>
      <c r="Y84" s="114">
        <f>+ProForma_IS_Qtr!AT84</f>
        <v>1598</v>
      </c>
      <c r="Z84" s="114">
        <f>+ProForma_IS_Qtr!AY84</f>
        <v>2163</v>
      </c>
      <c r="AA84" s="114">
        <f>+ProForma_IS_Qtr!BD84</f>
        <v>1369</v>
      </c>
      <c r="AB84" s="71">
        <f>+ProForma_IS_Qtr!BI84</f>
        <v>1293.1886169556892</v>
      </c>
      <c r="AC84" s="71">
        <f>AC26-AC88-AC82-AC83</f>
        <v>252.62060677819954</v>
      </c>
      <c r="AD84" s="71">
        <f>AD26-AD88-AD82-AD83</f>
        <v>450.79489452594225</v>
      </c>
      <c r="AE84" s="71">
        <f>AE26-AE88-AE82-AE83</f>
        <v>698.49824502801221</v>
      </c>
      <c r="AF84" s="71">
        <f>AF26-AF88-AF82-AF83</f>
        <v>1074.7394521911046</v>
      </c>
    </row>
    <row r="85" spans="1:32">
      <c r="A85" s="12" t="str">
        <f>ProForma_IS_Qtr!A85</f>
        <v>Operating Expenses</v>
      </c>
      <c r="B85" s="153"/>
      <c r="C85" s="153"/>
      <c r="D85" s="153"/>
      <c r="E85" s="153"/>
      <c r="F85" s="153"/>
      <c r="G85" s="153"/>
      <c r="H85" s="153"/>
      <c r="I85" s="153"/>
      <c r="J85" s="153"/>
      <c r="K85" s="153"/>
      <c r="L85" s="153"/>
      <c r="M85" s="153"/>
      <c r="N85" s="153"/>
      <c r="O85" s="153"/>
      <c r="P85" s="153"/>
      <c r="Q85" s="153"/>
      <c r="R85" s="153"/>
      <c r="S85" s="153"/>
      <c r="T85" s="153"/>
      <c r="U85" s="153"/>
      <c r="V85" s="153"/>
      <c r="W85" s="153"/>
      <c r="X85" s="153">
        <f t="shared" ref="X85:AC85" si="30">SUM(X81:X84)</f>
        <v>-53004</v>
      </c>
      <c r="Y85" s="153">
        <f t="shared" si="30"/>
        <v>-26397</v>
      </c>
      <c r="Z85" s="153">
        <f>SUM(Z81:Z84)</f>
        <v>-27868</v>
      </c>
      <c r="AA85" s="153">
        <f>SUM(AA81:AA84)</f>
        <v>-33267</v>
      </c>
      <c r="AB85" s="110">
        <f>SUM(AB81:AB84)</f>
        <v>-39545.095942053238</v>
      </c>
      <c r="AC85" s="110">
        <f t="shared" si="30"/>
        <v>-46573.600075240865</v>
      </c>
      <c r="AD85" s="110">
        <f>SUM(AD81:AD84)</f>
        <v>-50291.338581749544</v>
      </c>
      <c r="AE85" s="110">
        <f>SUM(AE81:AE84)</f>
        <v>-53428.364743575694</v>
      </c>
      <c r="AF85" s="110">
        <f>SUM(AF81:AF84)</f>
        <v>-56902.944738399099</v>
      </c>
    </row>
    <row r="86" spans="1:32">
      <c r="A86" s="1" t="str">
        <f>ProForma_IS_Qtr!A86</f>
        <v>YoY</v>
      </c>
      <c r="B86" s="84"/>
      <c r="C86" s="84"/>
      <c r="D86" s="84"/>
      <c r="E86" s="84"/>
      <c r="F86" s="84"/>
      <c r="G86" s="84"/>
      <c r="H86" s="84"/>
      <c r="I86" s="84"/>
      <c r="J86" s="84"/>
      <c r="K86" s="84"/>
      <c r="L86" s="84"/>
      <c r="M86" s="84"/>
      <c r="N86" s="84"/>
      <c r="O86" s="84"/>
      <c r="P86" s="84"/>
      <c r="Q86" s="117"/>
      <c r="R86" s="117"/>
      <c r="S86" s="117"/>
      <c r="T86" s="117"/>
      <c r="U86" s="117"/>
      <c r="V86" s="117"/>
      <c r="W86" s="117"/>
      <c r="X86" s="117"/>
      <c r="Y86" s="117"/>
      <c r="Z86" s="117"/>
      <c r="AA86" s="117"/>
      <c r="AB86" s="35"/>
      <c r="AC86" s="35">
        <f>AC85/AB85-1</f>
        <v>0.1777339001398992</v>
      </c>
      <c r="AD86" s="35">
        <f>AD85/AC85-1</f>
        <v>7.9825018905615552E-2</v>
      </c>
      <c r="AE86" s="35">
        <f>AE85/AD85-1</f>
        <v>6.2377066315839835E-2</v>
      </c>
      <c r="AF86" s="35">
        <f>AF85/AE85-1</f>
        <v>6.5032497466454675E-2</v>
      </c>
    </row>
    <row r="87" spans="1:32">
      <c r="A87" s="2"/>
      <c r="B87" s="84"/>
      <c r="C87" s="84"/>
      <c r="D87" s="84"/>
      <c r="E87" s="84"/>
      <c r="F87" s="84"/>
      <c r="G87" s="84"/>
      <c r="H87" s="84"/>
      <c r="I87" s="84"/>
      <c r="J87" s="84"/>
      <c r="K87" s="84"/>
      <c r="L87" s="84"/>
      <c r="M87" s="84"/>
      <c r="N87" s="84"/>
      <c r="O87" s="84"/>
      <c r="P87" s="84"/>
      <c r="Q87" s="84"/>
      <c r="R87" s="84"/>
      <c r="S87" s="84"/>
      <c r="T87" s="84"/>
      <c r="U87" s="84"/>
      <c r="V87" s="84"/>
      <c r="W87" s="84"/>
      <c r="X87" s="84"/>
      <c r="Y87" s="84"/>
      <c r="Z87" s="84"/>
      <c r="AA87" s="84"/>
      <c r="AB87" s="35"/>
      <c r="AC87" s="35"/>
      <c r="AD87" s="35"/>
      <c r="AE87" s="35"/>
      <c r="AF87" s="35"/>
    </row>
    <row r="88" spans="1:32">
      <c r="A88" s="4" t="str">
        <f>ProForma_IS_Qtr!A88</f>
        <v>Gross Profit</v>
      </c>
      <c r="B88" s="153"/>
      <c r="C88" s="153"/>
      <c r="D88" s="153"/>
      <c r="E88" s="153"/>
      <c r="F88" s="153"/>
      <c r="G88" s="153"/>
      <c r="H88" s="153"/>
      <c r="I88" s="153"/>
      <c r="J88" s="153"/>
      <c r="K88" s="153"/>
      <c r="L88" s="153"/>
      <c r="M88" s="153"/>
      <c r="N88" s="153"/>
      <c r="O88" s="153"/>
      <c r="P88" s="153"/>
      <c r="Q88" s="153"/>
      <c r="R88" s="153"/>
      <c r="S88" s="153"/>
      <c r="T88" s="153"/>
      <c r="U88" s="153"/>
      <c r="V88" s="153"/>
      <c r="W88" s="153"/>
      <c r="X88" s="153">
        <f>X15+X81</f>
        <v>13828</v>
      </c>
      <c r="Y88" s="153">
        <f>Y15+Y81</f>
        <v>9020</v>
      </c>
      <c r="Z88" s="153">
        <f>Z15+Z81</f>
        <v>10813</v>
      </c>
      <c r="AA88" s="153">
        <f>AA15+AA81</f>
        <v>13354</v>
      </c>
      <c r="AB88" s="110">
        <f>AB15+AB81</f>
        <v>16093.905244929629</v>
      </c>
      <c r="AC88" s="110">
        <f>AC11*AC89</f>
        <v>19094.757492667748</v>
      </c>
      <c r="AD88" s="110">
        <f>AD11*AD89</f>
        <v>21169.28450969774</v>
      </c>
      <c r="AE88" s="110">
        <f>AE11*AE89</f>
        <v>23098.724969658906</v>
      </c>
      <c r="AF88" s="110">
        <f>AF11*AF89</f>
        <v>25272.323877949577</v>
      </c>
    </row>
    <row r="89" spans="1:32">
      <c r="A89" s="1" t="str">
        <f>ProForma_IS_Qtr!A89</f>
        <v>Gross Margin</v>
      </c>
      <c r="B89" s="84"/>
      <c r="C89" s="84"/>
      <c r="D89" s="84"/>
      <c r="E89" s="84"/>
      <c r="F89" s="84"/>
      <c r="G89" s="84"/>
      <c r="H89" s="84"/>
      <c r="I89" s="84"/>
      <c r="J89" s="84"/>
      <c r="K89" s="84"/>
      <c r="L89" s="84"/>
      <c r="M89" s="84"/>
      <c r="N89" s="84"/>
      <c r="O89" s="84"/>
      <c r="P89" s="84"/>
      <c r="Q89" s="84"/>
      <c r="R89" s="84"/>
      <c r="S89" s="84"/>
      <c r="T89" s="84"/>
      <c r="U89" s="84"/>
      <c r="V89" s="84"/>
      <c r="W89" s="84"/>
      <c r="X89" s="84">
        <f>X88/X15</f>
        <v>0.23800344234079174</v>
      </c>
      <c r="Y89" s="84">
        <f>Y88/Y15</f>
        <v>0.28223661566381925</v>
      </c>
      <c r="Z89" s="84">
        <f>Z88/Z15</f>
        <v>0.30787847726431478</v>
      </c>
      <c r="AA89" s="84">
        <f>AA88/AA15</f>
        <v>0.3155332923774869</v>
      </c>
      <c r="AB89" s="346">
        <f>AB88/AB15</f>
        <v>0.32</v>
      </c>
      <c r="AC89" s="346">
        <f>+AB89+0.005</f>
        <v>0.32500000000000001</v>
      </c>
      <c r="AD89" s="346">
        <f t="shared" ref="AD89:AF89" si="31">+AC89+0.005</f>
        <v>0.33</v>
      </c>
      <c r="AE89" s="346">
        <f t="shared" si="31"/>
        <v>0.33500000000000002</v>
      </c>
      <c r="AF89" s="346">
        <f t="shared" si="31"/>
        <v>0.34</v>
      </c>
    </row>
    <row r="90" spans="1:32">
      <c r="A90" s="1"/>
      <c r="B90" s="84"/>
      <c r="C90" s="84"/>
      <c r="D90" s="84"/>
      <c r="E90" s="84"/>
      <c r="F90" s="84"/>
      <c r="G90" s="84"/>
      <c r="H90" s="84"/>
      <c r="I90" s="84"/>
      <c r="J90" s="84"/>
      <c r="K90" s="84"/>
      <c r="L90" s="84"/>
      <c r="M90" s="84"/>
      <c r="N90" s="84"/>
      <c r="O90" s="84"/>
      <c r="P90" s="84"/>
      <c r="Q90" s="84"/>
      <c r="R90" s="84"/>
      <c r="S90" s="84"/>
      <c r="T90" s="84"/>
      <c r="U90" s="84"/>
      <c r="V90" s="84"/>
      <c r="W90" s="84"/>
      <c r="X90" s="84"/>
      <c r="Y90" s="84"/>
      <c r="Z90" s="84"/>
      <c r="AA90" s="84"/>
      <c r="AB90" s="196"/>
      <c r="AC90" s="196"/>
      <c r="AD90" s="196"/>
      <c r="AE90" s="196"/>
      <c r="AF90" s="196"/>
    </row>
    <row r="91" spans="1:32">
      <c r="A91" s="4" t="s">
        <v>208</v>
      </c>
      <c r="B91" s="84"/>
      <c r="C91" s="84"/>
      <c r="D91" s="84"/>
      <c r="E91" s="84"/>
      <c r="F91" s="84"/>
      <c r="G91" s="84"/>
      <c r="H91" s="84"/>
      <c r="I91" s="84"/>
      <c r="J91" s="84"/>
      <c r="K91" s="84"/>
      <c r="L91" s="84"/>
      <c r="M91" s="84"/>
      <c r="N91" s="84"/>
      <c r="O91" s="84"/>
      <c r="P91" s="84"/>
      <c r="Q91" s="84"/>
      <c r="R91" s="84"/>
      <c r="S91" s="84"/>
      <c r="T91" s="84"/>
      <c r="U91" s="84"/>
      <c r="V91" s="84"/>
      <c r="W91" s="84"/>
      <c r="X91" s="84"/>
      <c r="Y91" s="84"/>
      <c r="Z91" s="84"/>
      <c r="AA91" s="84"/>
      <c r="AB91" s="196"/>
      <c r="AC91" s="196"/>
      <c r="AD91" s="196"/>
      <c r="AE91" s="196"/>
      <c r="AF91" s="196"/>
    </row>
    <row r="92" spans="1:32">
      <c r="A92" s="1" t="str">
        <f>ProForma_IS_Qtr!A92</f>
        <v>R&amp;D</v>
      </c>
      <c r="B92" s="84"/>
      <c r="C92" s="84"/>
      <c r="D92" s="84"/>
      <c r="E92" s="84"/>
      <c r="F92" s="84"/>
      <c r="G92" s="84"/>
      <c r="H92" s="84"/>
      <c r="I92" s="84"/>
      <c r="J92" s="84"/>
      <c r="K92" s="84"/>
      <c r="L92" s="84"/>
      <c r="M92" s="84"/>
      <c r="N92" s="84"/>
      <c r="O92" s="84"/>
      <c r="P92" s="84"/>
      <c r="Q92" s="117"/>
      <c r="R92" s="117"/>
      <c r="S92" s="117"/>
      <c r="T92" s="117"/>
      <c r="U92" s="117"/>
      <c r="V92" s="117"/>
      <c r="W92" s="117"/>
      <c r="X92" s="117">
        <f>-X82/X15</f>
        <v>3.0740103270223751E-2</v>
      </c>
      <c r="Y92" s="117">
        <f>-Y82/Y15</f>
        <v>3.1634281423073313E-2</v>
      </c>
      <c r="Z92" s="117">
        <f>-Z82/Z15</f>
        <v>3.6616269468409214E-2</v>
      </c>
      <c r="AA92" s="117">
        <f>-AA82/AA15</f>
        <v>3.7332829261377064E-2</v>
      </c>
      <c r="AB92" s="157">
        <f>-AB82/AB15</f>
        <v>3.6999999999999998E-2</v>
      </c>
      <c r="AC92" s="157">
        <v>3.2000000000000001E-2</v>
      </c>
      <c r="AD92" s="157">
        <v>3.1E-2</v>
      </c>
      <c r="AE92" s="157">
        <v>0.03</v>
      </c>
      <c r="AF92" s="157">
        <v>0.03</v>
      </c>
    </row>
    <row r="93" spans="1:32">
      <c r="A93" s="1" t="str">
        <f>ProForma_IS_Qtr!A93</f>
        <v>SG&amp;A</v>
      </c>
      <c r="B93" s="84"/>
      <c r="C93" s="84"/>
      <c r="D93" s="84"/>
      <c r="E93" s="84"/>
      <c r="F93" s="84"/>
      <c r="G93" s="84"/>
      <c r="H93" s="84"/>
      <c r="I93" s="84"/>
      <c r="J93" s="84"/>
      <c r="K93" s="84"/>
      <c r="L93" s="84"/>
      <c r="M93" s="84"/>
      <c r="N93" s="84"/>
      <c r="O93" s="84"/>
      <c r="P93" s="84"/>
      <c r="Q93" s="117"/>
      <c r="R93" s="117"/>
      <c r="S93" s="117"/>
      <c r="T93" s="117"/>
      <c r="U93" s="117"/>
      <c r="V93" s="117"/>
      <c r="W93" s="117"/>
      <c r="X93" s="117">
        <f>-X83/X15</f>
        <v>0.15788296041308089</v>
      </c>
      <c r="Y93" s="117">
        <f>-Y83/Y15</f>
        <v>0.1265684157827216</v>
      </c>
      <c r="Z93" s="117">
        <f>-Z83/Z15</f>
        <v>0.12633467156402153</v>
      </c>
      <c r="AA93" s="117">
        <f>-AA83/AA15</f>
        <v>9.659278862057559E-2</v>
      </c>
      <c r="AB93" s="346">
        <f>-AB83/AB15</f>
        <v>9.5000000000000001E-2</v>
      </c>
      <c r="AC93" s="346">
        <v>0.09</v>
      </c>
      <c r="AD93" s="346">
        <v>0.09</v>
      </c>
      <c r="AE93" s="346">
        <v>0.09</v>
      </c>
      <c r="AF93" s="346">
        <v>0.09</v>
      </c>
    </row>
    <row r="94" spans="1:32">
      <c r="A94" s="2"/>
      <c r="B94" s="84"/>
      <c r="C94" s="84"/>
      <c r="D94" s="84"/>
      <c r="E94" s="84"/>
      <c r="F94" s="84"/>
      <c r="G94" s="84"/>
      <c r="H94" s="84"/>
      <c r="I94" s="84"/>
      <c r="J94" s="84"/>
      <c r="K94" s="84"/>
      <c r="L94" s="84"/>
      <c r="M94" s="84"/>
      <c r="N94" s="84"/>
      <c r="O94" s="84"/>
      <c r="P94" s="84"/>
      <c r="Q94" s="84"/>
      <c r="R94" s="84"/>
      <c r="S94" s="84"/>
      <c r="T94" s="84"/>
      <c r="U94" s="84"/>
      <c r="V94" s="84"/>
      <c r="W94" s="84"/>
      <c r="X94" s="84"/>
      <c r="Y94" s="84"/>
      <c r="Z94" s="84"/>
      <c r="AA94" s="35"/>
      <c r="AB94" s="35"/>
      <c r="AC94" s="35"/>
      <c r="AD94" s="35"/>
      <c r="AE94" s="35"/>
      <c r="AF94" s="35"/>
    </row>
    <row r="95" spans="1:32">
      <c r="B95"/>
      <c r="C95"/>
      <c r="D95"/>
      <c r="E95"/>
      <c r="F95"/>
      <c r="G95"/>
      <c r="H95"/>
      <c r="I95"/>
      <c r="J95"/>
      <c r="K95"/>
      <c r="L95"/>
      <c r="M95"/>
      <c r="N95"/>
      <c r="O95"/>
      <c r="P95"/>
      <c r="Q95"/>
      <c r="R95"/>
      <c r="S95"/>
      <c r="T95"/>
      <c r="U95"/>
      <c r="V95"/>
      <c r="W95"/>
      <c r="X95"/>
      <c r="Y95"/>
      <c r="Z95"/>
      <c r="AA95"/>
      <c r="AB95"/>
      <c r="AC95"/>
      <c r="AD95"/>
      <c r="AE95"/>
      <c r="AF95"/>
    </row>
    <row r="96" spans="1:32">
      <c r="A96" t="s">
        <v>628</v>
      </c>
      <c r="B96" s="143"/>
      <c r="C96" s="143"/>
      <c r="D96" s="143"/>
      <c r="E96" s="143"/>
      <c r="F96" s="143"/>
      <c r="G96" s="143"/>
      <c r="H96" s="143"/>
      <c r="I96" s="143"/>
      <c r="J96" s="143"/>
      <c r="K96" s="143"/>
      <c r="L96" s="143"/>
      <c r="M96" s="143"/>
      <c r="N96" s="143"/>
      <c r="O96" s="143"/>
      <c r="P96" s="143"/>
      <c r="Q96" s="114"/>
      <c r="R96" s="114"/>
      <c r="S96" s="114"/>
      <c r="T96" s="114"/>
      <c r="U96" s="114"/>
      <c r="V96" s="114"/>
      <c r="W96" s="114"/>
      <c r="X96" s="114"/>
      <c r="Y96" s="114"/>
      <c r="Z96" s="114"/>
      <c r="AA96" s="114"/>
      <c r="AB96" s="71"/>
      <c r="AC96" s="71"/>
      <c r="AD96" s="71"/>
      <c r="AE96" s="71"/>
      <c r="AF96" s="71"/>
    </row>
    <row r="97" spans="1:32">
      <c r="A97" s="1" t="s">
        <v>629</v>
      </c>
      <c r="B97" s="143"/>
      <c r="C97" s="143"/>
      <c r="D97" s="143"/>
      <c r="E97" s="143"/>
      <c r="F97" s="143"/>
      <c r="G97" s="143"/>
      <c r="H97" s="143"/>
      <c r="I97" s="143"/>
      <c r="J97" s="143"/>
      <c r="K97" s="143"/>
      <c r="L97" s="143"/>
      <c r="M97" s="143"/>
      <c r="N97" s="143"/>
      <c r="O97" s="143"/>
      <c r="P97" s="143"/>
      <c r="Q97" s="114"/>
      <c r="R97" s="114"/>
      <c r="S97" s="114"/>
      <c r="T97" s="114"/>
      <c r="U97" s="114"/>
      <c r="V97" s="114"/>
      <c r="W97" s="114"/>
      <c r="X97" s="114">
        <f>X48-X40-X41</f>
        <v>-792</v>
      </c>
      <c r="Y97" s="114">
        <f t="shared" ref="Y97:AA97" si="32">Y48-Y40-Y41</f>
        <v>9388</v>
      </c>
      <c r="Z97" s="114">
        <f t="shared" si="32"/>
        <v>6670</v>
      </c>
      <c r="AA97" s="114">
        <f t="shared" si="32"/>
        <v>8597.5</v>
      </c>
      <c r="AB97" s="114">
        <f ca="1">AB48-AB40-AB41</f>
        <v>9040.8536816454944</v>
      </c>
      <c r="AC97" s="114">
        <f ca="1">AC48-AC40-AC41+AC14</f>
        <v>7094.3860506724413</v>
      </c>
      <c r="AD97" s="114">
        <f t="shared" ref="AD97:AF97" ca="1" si="33">AD48-AD40-AD41+AD14</f>
        <v>8498.8803088876448</v>
      </c>
      <c r="AE97" s="114">
        <f t="shared" ca="1" si="33"/>
        <v>9866.1916320040582</v>
      </c>
      <c r="AF97" s="114">
        <f t="shared" ca="1" si="33"/>
        <v>11453.201542385224</v>
      </c>
    </row>
    <row r="98" spans="1:32">
      <c r="A98" s="1" t="s">
        <v>628</v>
      </c>
      <c r="B98" s="84"/>
      <c r="C98" s="84"/>
      <c r="D98" s="84"/>
      <c r="E98" s="84"/>
      <c r="F98" s="84"/>
      <c r="G98" s="84"/>
      <c r="H98" s="84"/>
      <c r="I98" s="84"/>
      <c r="J98" s="84"/>
      <c r="K98" s="84"/>
      <c r="L98" s="84"/>
      <c r="M98" s="84"/>
      <c r="N98" s="84"/>
      <c r="O98" s="84"/>
      <c r="P98" s="84"/>
      <c r="Q98" s="117"/>
      <c r="R98" s="117"/>
      <c r="S98" s="117"/>
      <c r="T98" s="117"/>
      <c r="U98" s="117"/>
      <c r="V98" s="117"/>
      <c r="W98" s="117"/>
      <c r="X98" s="117">
        <f>X35</f>
        <v>0.25358539765319427</v>
      </c>
      <c r="Y98" s="117">
        <f t="shared" ref="Y98:AF98" si="34">Y35</f>
        <v>0.23890710382513661</v>
      </c>
      <c r="Z98" s="117">
        <f t="shared" si="34"/>
        <v>0.20015885623510724</v>
      </c>
      <c r="AA98" s="117">
        <f t="shared" si="34"/>
        <v>0.17295788323825706</v>
      </c>
      <c r="AB98" s="117">
        <f t="shared" si="34"/>
        <v>0.16300000000000001</v>
      </c>
      <c r="AC98" s="117">
        <f t="shared" si="34"/>
        <v>0.17100000000000001</v>
      </c>
      <c r="AD98" s="117">
        <f t="shared" si="34"/>
        <v>0.17</v>
      </c>
      <c r="AE98" s="117">
        <f t="shared" si="34"/>
        <v>0.17100000000000001</v>
      </c>
      <c r="AF98" s="117">
        <f t="shared" si="34"/>
        <v>0.17050000000000001</v>
      </c>
    </row>
    <row r="99" spans="1:32">
      <c r="A99" s="1"/>
      <c r="B99" s="143"/>
      <c r="C99" s="143"/>
      <c r="D99" s="143"/>
      <c r="E99" s="143"/>
      <c r="F99" s="143"/>
      <c r="G99" s="143"/>
      <c r="H99" s="143"/>
      <c r="I99" s="143"/>
      <c r="J99" s="143"/>
      <c r="K99" s="143"/>
      <c r="L99" s="143"/>
      <c r="M99" s="143"/>
      <c r="N99" s="143"/>
      <c r="O99" s="143"/>
      <c r="P99" s="143"/>
      <c r="Q99" s="114"/>
      <c r="R99" s="114"/>
      <c r="S99" s="114"/>
      <c r="T99" s="114"/>
      <c r="U99" s="114"/>
      <c r="V99" s="114"/>
      <c r="W99" s="114"/>
      <c r="X99" s="114"/>
      <c r="Y99" s="114"/>
      <c r="Z99" s="114"/>
      <c r="AA99" s="114"/>
      <c r="AB99" s="71"/>
      <c r="AC99" s="71"/>
      <c r="AD99" s="71"/>
      <c r="AE99" s="71"/>
      <c r="AF99" s="71"/>
    </row>
    <row r="100" spans="1:32">
      <c r="A100" s="1"/>
      <c r="B100" s="143"/>
      <c r="C100" s="143"/>
      <c r="D100" s="143"/>
      <c r="E100" s="143"/>
      <c r="F100" s="143"/>
      <c r="G100" s="143"/>
      <c r="H100" s="143"/>
      <c r="I100" s="143"/>
      <c r="J100" s="143"/>
      <c r="K100" s="143"/>
      <c r="L100" s="143"/>
      <c r="M100" s="143"/>
      <c r="N100" s="143"/>
      <c r="O100" s="143"/>
      <c r="P100" s="143"/>
      <c r="Q100" s="114"/>
      <c r="R100" s="114"/>
      <c r="S100" s="114"/>
      <c r="T100" s="114"/>
      <c r="U100" s="114"/>
      <c r="V100" s="114"/>
      <c r="W100" s="114"/>
      <c r="X100" s="114"/>
      <c r="Y100" s="114"/>
      <c r="Z100" s="114"/>
      <c r="AA100" s="114"/>
      <c r="AB100" s="71"/>
      <c r="AC100" s="71"/>
      <c r="AD100" s="71"/>
      <c r="AE100" s="71"/>
      <c r="AF100" s="71"/>
    </row>
    <row r="101" spans="1:32">
      <c r="A101" s="1" t="s">
        <v>630</v>
      </c>
      <c r="B101" s="143"/>
      <c r="C101" s="143"/>
      <c r="D101" s="143"/>
      <c r="E101" s="143"/>
      <c r="F101" s="143"/>
      <c r="G101" s="143"/>
      <c r="H101" s="143"/>
      <c r="I101" s="143"/>
      <c r="J101" s="143"/>
      <c r="K101" s="143"/>
      <c r="L101" s="143"/>
      <c r="M101" s="143"/>
      <c r="N101" s="143"/>
      <c r="O101" s="143"/>
      <c r="P101" s="143"/>
      <c r="Q101" s="114"/>
      <c r="R101" s="114"/>
      <c r="S101" s="114"/>
      <c r="T101" s="114"/>
      <c r="U101" s="114"/>
      <c r="V101" s="114"/>
      <c r="W101" s="114"/>
      <c r="X101" s="114"/>
      <c r="Y101" s="114"/>
      <c r="Z101" s="114"/>
      <c r="AA101" s="114"/>
      <c r="AB101" s="71"/>
      <c r="AC101" s="71"/>
      <c r="AD101" s="71"/>
      <c r="AE101" s="71"/>
      <c r="AF101" s="71"/>
    </row>
    <row r="102" spans="1:32">
      <c r="A102" t="str">
        <f>A15</f>
        <v>Adjusted Net Sales</v>
      </c>
      <c r="B102"/>
      <c r="C102"/>
      <c r="D102"/>
      <c r="E102"/>
      <c r="F102"/>
      <c r="G102"/>
      <c r="H102"/>
      <c r="I102"/>
      <c r="J102"/>
      <c r="K102"/>
      <c r="L102"/>
      <c r="M102"/>
      <c r="N102"/>
      <c r="O102"/>
      <c r="P102"/>
      <c r="Q102" s="114"/>
      <c r="R102" s="114"/>
      <c r="S102" s="114"/>
      <c r="T102" s="114"/>
      <c r="U102" s="114"/>
      <c r="V102" s="114"/>
      <c r="W102" s="114"/>
      <c r="X102" s="159">
        <f>X15</f>
        <v>58100</v>
      </c>
      <c r="Y102" s="159">
        <f t="shared" ref="Y102:AF102" si="35">Y15</f>
        <v>31959</v>
      </c>
      <c r="Z102" s="159">
        <f t="shared" si="35"/>
        <v>35121</v>
      </c>
      <c r="AA102" s="159">
        <f t="shared" si="35"/>
        <v>42322</v>
      </c>
      <c r="AB102" s="159">
        <f t="shared" si="35"/>
        <v>50293.453890405086</v>
      </c>
      <c r="AC102" s="159">
        <f t="shared" si="35"/>
        <v>55203.099977439226</v>
      </c>
      <c r="AD102" s="159">
        <f t="shared" si="35"/>
        <v>60599.346999084053</v>
      </c>
      <c r="AE102" s="159">
        <f t="shared" si="35"/>
        <v>65401.41781987733</v>
      </c>
      <c r="AF102" s="159">
        <f t="shared" si="35"/>
        <v>70780.364346910515</v>
      </c>
    </row>
    <row r="103" spans="1:32">
      <c r="A103" t="str">
        <f>A26</f>
        <v>Adj. Operating Profit</v>
      </c>
      <c r="B103"/>
      <c r="C103"/>
      <c r="D103"/>
      <c r="E103"/>
      <c r="F103"/>
      <c r="G103"/>
      <c r="H103"/>
      <c r="I103"/>
      <c r="J103"/>
      <c r="K103"/>
      <c r="L103"/>
      <c r="M103"/>
      <c r="N103"/>
      <c r="O103"/>
      <c r="P103"/>
      <c r="Q103" s="114"/>
      <c r="R103" s="114"/>
      <c r="S103" s="114"/>
      <c r="T103" s="114"/>
      <c r="U103" s="114"/>
      <c r="V103" s="114"/>
      <c r="W103" s="114"/>
      <c r="X103" s="159">
        <f>X26</f>
        <v>3159</v>
      </c>
      <c r="Y103" s="159">
        <f t="shared" ref="Y103:AF103" si="36">Y26</f>
        <v>5561</v>
      </c>
      <c r="Z103" s="159">
        <f t="shared" si="36"/>
        <v>7253</v>
      </c>
      <c r="AA103" s="159">
        <f t="shared" si="36"/>
        <v>9055</v>
      </c>
      <c r="AB103" s="159">
        <f t="shared" si="36"/>
        <v>10748.357948351846</v>
      </c>
      <c r="AC103" s="159">
        <f t="shared" si="36"/>
        <v>12179.499902198362</v>
      </c>
      <c r="AD103" s="159">
        <f t="shared" si="36"/>
        <v>13858.008417334511</v>
      </c>
      <c r="AE103" s="159">
        <f t="shared" si="36"/>
        <v>15523.05307630164</v>
      </c>
      <c r="AF103" s="159">
        <f t="shared" si="36"/>
        <v>17427.41960851142</v>
      </c>
    </row>
    <row r="104" spans="1:32">
      <c r="A104" t="str">
        <f>A51</f>
        <v>EPS from Continuing Operations - Diluted</v>
      </c>
      <c r="B104"/>
      <c r="C104"/>
      <c r="D104"/>
      <c r="E104"/>
      <c r="F104"/>
      <c r="G104"/>
      <c r="H104"/>
      <c r="I104"/>
      <c r="J104"/>
      <c r="K104"/>
      <c r="L104"/>
      <c r="M104"/>
      <c r="N104"/>
      <c r="O104"/>
      <c r="P104"/>
      <c r="Q104" s="114"/>
      <c r="R104" s="114"/>
      <c r="S104" s="114"/>
      <c r="T104" s="114"/>
      <c r="U104" s="114"/>
      <c r="V104" s="114"/>
      <c r="W104" s="114"/>
      <c r="X104" s="146">
        <f>X51</f>
        <v>0.76429059439763147</v>
      </c>
      <c r="Y104" s="146">
        <f t="shared" ref="Y104:AF104" si="37">Y51</f>
        <v>2.9490445859872612</v>
      </c>
      <c r="Z104" s="146">
        <f t="shared" si="37"/>
        <v>4.6023765996343693</v>
      </c>
      <c r="AA104" s="146">
        <f t="shared" si="37"/>
        <v>6.3778089887640448</v>
      </c>
      <c r="AB104" s="146">
        <f t="shared" ca="1" si="37"/>
        <v>7.8478300891738222</v>
      </c>
      <c r="AC104" s="146">
        <f t="shared" ca="1" si="37"/>
        <v>9.1196461389591903</v>
      </c>
      <c r="AD104" s="146">
        <f t="shared" ca="1" si="37"/>
        <v>10.71899237893288</v>
      </c>
      <c r="AE104" s="146">
        <f t="shared" ca="1" si="37"/>
        <v>12.356928774660517</v>
      </c>
      <c r="AF104" s="146">
        <f t="shared" ca="1" si="37"/>
        <v>14.296547400788658</v>
      </c>
    </row>
    <row r="105" spans="1:32">
      <c r="A105" t="str">
        <f>Cash_Flow_Annual!A91</f>
        <v>Non-GAAP Free Cash Flow</v>
      </c>
      <c r="B105"/>
      <c r="C105"/>
      <c r="D105"/>
      <c r="E105"/>
      <c r="F105"/>
      <c r="G105"/>
      <c r="H105"/>
      <c r="I105"/>
      <c r="J105"/>
      <c r="K105"/>
      <c r="L105"/>
      <c r="M105"/>
      <c r="N105"/>
      <c r="O105"/>
      <c r="P105"/>
      <c r="Q105" s="114"/>
      <c r="R105" s="114"/>
      <c r="S105" s="114"/>
      <c r="T105" s="114"/>
      <c r="U105" s="114"/>
      <c r="V105" s="114"/>
      <c r="W105" s="114"/>
      <c r="X105" s="159">
        <f>Cash_Flow_Annual!X91</f>
        <v>3058</v>
      </c>
      <c r="Y105" s="159">
        <f>Cash_Flow_Annual!Y91</f>
        <v>4744</v>
      </c>
      <c r="Z105" s="159">
        <f>Cash_Flow_Annual!Z91</f>
        <v>6089</v>
      </c>
      <c r="AA105" s="159">
        <f>Cash_Flow_Annual!AA91</f>
        <v>7694</v>
      </c>
      <c r="AB105" s="159">
        <f ca="1">Cash_Flow_Annual!AB91</f>
        <v>9219.2463127350948</v>
      </c>
      <c r="AC105" s="159">
        <f ca="1">Cash_Flow_Annual!AC91</f>
        <v>9755.5613248039335</v>
      </c>
      <c r="AD105" s="159">
        <f ca="1">Cash_Flow_Annual!AD91</f>
        <v>10968.847952537435</v>
      </c>
      <c r="AE105" s="159">
        <f ca="1">Cash_Flow_Annual!AE91</f>
        <v>12200.219475097612</v>
      </c>
      <c r="AF105" s="159">
        <f ca="1">Cash_Flow_Annual!AF91</f>
        <v>13474.349064835375</v>
      </c>
    </row>
    <row r="113" customFormat="1"/>
  </sheetData>
  <pageMargins left="0.7" right="0.7" top="0.75" bottom="0.75" header="0.3" footer="0.3"/>
  <pageSetup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theme="4" tint="0.39997558519241921"/>
    <pageSetUpPr autoPageBreaks="0"/>
  </sheetPr>
  <dimension ref="A1:CE112"/>
  <sheetViews>
    <sheetView showGridLines="0" workbookViewId="0">
      <pane xSplit="5" ySplit="1" topLeftCell="P2" activePane="bottomRight" state="frozen"/>
      <selection pane="topRight" activeCell="F1" sqref="F1"/>
      <selection pane="bottomLeft" activeCell="A2" sqref="A2"/>
      <selection pane="bottomRight" activeCell="BI22" sqref="BI22"/>
    </sheetView>
  </sheetViews>
  <sheetFormatPr defaultRowHeight="15" outlineLevelRow="1" outlineLevelCol="1"/>
  <cols>
    <col min="1" max="1" width="52" customWidth="1"/>
    <col min="2" max="5" width="12.140625" style="24" hidden="1" customWidth="1" outlineLevel="1"/>
    <col min="6" max="6" width="12.140625" style="24" customWidth="1" collapsed="1"/>
    <col min="7" max="10" width="12.140625" style="24" hidden="1" customWidth="1" outlineLevel="1"/>
    <col min="11" max="11" width="12.140625" style="24" customWidth="1" collapsed="1"/>
    <col min="12" max="15" width="12.140625" style="24" hidden="1" customWidth="1" outlineLevel="1"/>
    <col min="16" max="16" width="12.140625" style="24" customWidth="1" collapsed="1"/>
    <col min="17" max="20" width="12.140625" style="24" hidden="1" customWidth="1" outlineLevel="1"/>
    <col min="21" max="21" width="12.140625" style="24" customWidth="1" collapsed="1"/>
    <col min="22" max="25" width="12.140625" style="24" hidden="1" customWidth="1" outlineLevel="1"/>
    <col min="26" max="26" width="12.140625" style="24" customWidth="1" collapsed="1"/>
    <col min="27" max="30" width="12.140625" style="24" hidden="1" customWidth="1" outlineLevel="1"/>
    <col min="31" max="31" width="12.140625" style="24" customWidth="1" collapsed="1"/>
    <col min="32" max="35" width="12.140625" style="24" hidden="1" customWidth="1" outlineLevel="1"/>
    <col min="36" max="36" width="12.140625" style="24" customWidth="1" collapsed="1"/>
    <col min="37" max="40" width="12.140625" style="24" hidden="1" customWidth="1" outlineLevel="1"/>
    <col min="41" max="41" width="12.140625" style="24" customWidth="1" collapsed="1"/>
    <col min="42" max="45" width="12.140625" style="24" hidden="1" customWidth="1" outlineLevel="1"/>
    <col min="46" max="46" width="12.140625" style="24" customWidth="1" collapsed="1"/>
    <col min="47" max="50" width="12.140625" style="24" hidden="1" customWidth="1" outlineLevel="1"/>
    <col min="51" max="51" width="12.140625" style="24" customWidth="1" collapsed="1"/>
    <col min="52" max="55" width="12.140625" style="24" customWidth="1" outlineLevel="1"/>
    <col min="56" max="56" width="12.140625" style="24" customWidth="1"/>
    <col min="57" max="60" width="12.140625" style="24" customWidth="1" outlineLevel="1"/>
    <col min="61" max="61" width="12.140625" style="24" customWidth="1"/>
    <col min="62" max="62" width="18.5703125" style="248" customWidth="1"/>
    <col min="63" max="63" width="17.42578125" style="248" customWidth="1"/>
    <col min="64" max="64" width="33.42578125" customWidth="1"/>
    <col min="65" max="65" width="13.140625" style="253" customWidth="1"/>
    <col min="66" max="66" width="12.140625" style="24" customWidth="1"/>
    <col min="67" max="69" width="9.140625" customWidth="1"/>
    <col min="70" max="70" width="45.42578125" customWidth="1" outlineLevel="1"/>
    <col min="71" max="75" width="9.140625" customWidth="1" outlineLevel="1"/>
  </cols>
  <sheetData>
    <row r="1" spans="1:83">
      <c r="A1" s="13" t="s">
        <v>18</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N1"/>
    </row>
    <row r="2" spans="1:83">
      <c r="B2" s="5" t="s">
        <v>137</v>
      </c>
      <c r="C2" s="5" t="s">
        <v>138</v>
      </c>
      <c r="D2" s="5" t="s">
        <v>139</v>
      </c>
      <c r="E2" s="5" t="s">
        <v>140</v>
      </c>
      <c r="F2" s="9" t="s">
        <v>141</v>
      </c>
      <c r="G2" s="5" t="s">
        <v>132</v>
      </c>
      <c r="H2" s="5" t="s">
        <v>133</v>
      </c>
      <c r="I2" s="5" t="s">
        <v>134</v>
      </c>
      <c r="J2" s="5" t="s">
        <v>135</v>
      </c>
      <c r="K2" s="9" t="s">
        <v>136</v>
      </c>
      <c r="L2" s="5" t="s">
        <v>127</v>
      </c>
      <c r="M2" s="5" t="s">
        <v>128</v>
      </c>
      <c r="N2" s="5" t="s">
        <v>129</v>
      </c>
      <c r="O2" s="5" t="s">
        <v>130</v>
      </c>
      <c r="P2" s="9" t="s">
        <v>131</v>
      </c>
      <c r="Q2" s="5" t="s">
        <v>122</v>
      </c>
      <c r="R2" s="5" t="s">
        <v>123</v>
      </c>
      <c r="S2" s="5" t="s">
        <v>124</v>
      </c>
      <c r="T2" s="5" t="s">
        <v>125</v>
      </c>
      <c r="U2" s="9" t="s">
        <v>126</v>
      </c>
      <c r="V2" s="5" t="s">
        <v>5</v>
      </c>
      <c r="W2" s="5" t="s">
        <v>6</v>
      </c>
      <c r="X2" s="5" t="s">
        <v>7</v>
      </c>
      <c r="Y2" s="5" t="s">
        <v>8</v>
      </c>
      <c r="Z2" s="9" t="s">
        <v>121</v>
      </c>
      <c r="AA2" s="5" t="s">
        <v>157</v>
      </c>
      <c r="AB2" s="5" t="s">
        <v>206</v>
      </c>
      <c r="AC2" s="5" t="s">
        <v>214</v>
      </c>
      <c r="AD2" s="5" t="s">
        <v>215</v>
      </c>
      <c r="AE2" s="9" t="s">
        <v>216</v>
      </c>
      <c r="AF2" s="5" t="s">
        <v>218</v>
      </c>
      <c r="AG2" s="5" t="s">
        <v>221</v>
      </c>
      <c r="AH2" s="5" t="s">
        <v>222</v>
      </c>
      <c r="AI2" s="5" t="s">
        <v>225</v>
      </c>
      <c r="AJ2" s="9" t="s">
        <v>226</v>
      </c>
      <c r="AK2" s="5" t="s">
        <v>227</v>
      </c>
      <c r="AL2" s="5" t="s">
        <v>229</v>
      </c>
      <c r="AM2" s="5" t="s">
        <v>230</v>
      </c>
      <c r="AN2" s="5" t="s">
        <v>232</v>
      </c>
      <c r="AO2" s="9" t="s">
        <v>233</v>
      </c>
      <c r="AP2" s="226" t="s">
        <v>234</v>
      </c>
      <c r="AQ2" s="226" t="s">
        <v>235</v>
      </c>
      <c r="AR2" s="226" t="s">
        <v>236</v>
      </c>
      <c r="AS2" s="226" t="s">
        <v>447</v>
      </c>
      <c r="AT2" s="372" t="s">
        <v>448</v>
      </c>
      <c r="AU2" s="226" t="s">
        <v>474</v>
      </c>
      <c r="AV2" s="226" t="s">
        <v>475</v>
      </c>
      <c r="AW2" s="226" t="s">
        <v>478</v>
      </c>
      <c r="AX2" s="226" t="s">
        <v>479</v>
      </c>
      <c r="AY2" s="9" t="s">
        <v>480</v>
      </c>
      <c r="AZ2" s="226" t="s">
        <v>481</v>
      </c>
      <c r="BA2" s="5" t="s">
        <v>507</v>
      </c>
      <c r="BB2" s="5" t="s">
        <v>528</v>
      </c>
      <c r="BC2" s="5" t="s">
        <v>616</v>
      </c>
      <c r="BD2" s="9" t="s">
        <v>613</v>
      </c>
      <c r="BE2" s="226" t="s">
        <v>636</v>
      </c>
      <c r="BF2" s="5" t="s">
        <v>638</v>
      </c>
      <c r="BG2" s="5" t="s">
        <v>599</v>
      </c>
      <c r="BH2" s="5" t="s">
        <v>598</v>
      </c>
      <c r="BI2" s="9" t="s">
        <v>223</v>
      </c>
      <c r="BJ2" s="243" t="s">
        <v>538</v>
      </c>
      <c r="BK2" s="243"/>
      <c r="BL2" s="607" t="s">
        <v>608</v>
      </c>
      <c r="BN2"/>
    </row>
    <row r="3" spans="1:83" hidden="1" outlineLevel="1">
      <c r="A3" s="1" t="s">
        <v>463</v>
      </c>
      <c r="B3" s="36"/>
      <c r="C3" s="36"/>
      <c r="D3" s="36"/>
      <c r="E3" s="36"/>
      <c r="F3" s="37"/>
      <c r="G3" s="36"/>
      <c r="H3" s="36"/>
      <c r="I3" s="36"/>
      <c r="J3" s="36"/>
      <c r="K3" s="37">
        <v>19521</v>
      </c>
      <c r="L3" s="36">
        <v>6673</v>
      </c>
      <c r="M3" s="36">
        <v>6634</v>
      </c>
      <c r="N3" s="36">
        <v>6696</v>
      </c>
      <c r="O3" s="36">
        <v>7010</v>
      </c>
      <c r="P3" s="37">
        <v>19709</v>
      </c>
      <c r="Q3" s="36">
        <v>5272</v>
      </c>
      <c r="R3" s="36">
        <v>5534</v>
      </c>
      <c r="S3" s="36">
        <v>5636</v>
      </c>
      <c r="T3" s="36">
        <v>6282</v>
      </c>
      <c r="U3" s="37">
        <v>22724</v>
      </c>
      <c r="V3" s="36">
        <v>5949</v>
      </c>
      <c r="W3" s="36">
        <v>5848</v>
      </c>
      <c r="X3" s="36">
        <v>5997</v>
      </c>
      <c r="Y3" s="36">
        <v>6423</v>
      </c>
      <c r="Z3" s="37">
        <v>24217</v>
      </c>
      <c r="AA3" s="36">
        <v>5112.8088039128506</v>
      </c>
      <c r="AB3" s="36">
        <v>2518.6148587055604</v>
      </c>
      <c r="AC3" s="36">
        <v>3086.6630236794172</v>
      </c>
      <c r="AD3" s="36">
        <v>3760.9133137021709</v>
      </c>
      <c r="AE3" s="37">
        <v>14479</v>
      </c>
      <c r="AF3" s="36">
        <v>3352.7504123144586</v>
      </c>
      <c r="AG3" s="36">
        <v>3115.0059303187545</v>
      </c>
      <c r="AH3" s="36">
        <v>3601.8358516483513</v>
      </c>
      <c r="AI3" s="36">
        <v>4290.4078057184361</v>
      </c>
      <c r="AJ3" s="37">
        <v>14360</v>
      </c>
      <c r="AK3" s="36">
        <v>3853</v>
      </c>
      <c r="AL3" s="36">
        <v>4305</v>
      </c>
      <c r="AM3" s="36">
        <v>4971</v>
      </c>
      <c r="AN3" s="36">
        <v>5536</v>
      </c>
      <c r="AO3" s="37">
        <v>18665</v>
      </c>
      <c r="AP3" s="36">
        <v>5194.344218887908</v>
      </c>
      <c r="AQ3" s="36">
        <v>5701.3476649369904</v>
      </c>
      <c r="AR3" s="36">
        <v>6399.2328114363518</v>
      </c>
      <c r="AS3" s="36">
        <v>6389.0753047387479</v>
      </c>
      <c r="AT3" s="37">
        <v>23684</v>
      </c>
      <c r="AU3" s="36">
        <v>5898.3025809786814</v>
      </c>
      <c r="AV3" s="36"/>
      <c r="AW3" s="36"/>
      <c r="AX3" s="36"/>
      <c r="AY3" s="37"/>
      <c r="AZ3" s="36"/>
      <c r="BA3" s="36"/>
      <c r="BB3" s="36"/>
      <c r="BC3" s="36"/>
      <c r="BD3" s="37"/>
      <c r="BE3" s="36"/>
      <c r="BF3" s="36"/>
      <c r="BG3" s="36"/>
      <c r="BH3" s="36"/>
      <c r="BI3" s="37"/>
      <c r="BJ3" s="520"/>
      <c r="BK3" s="520"/>
      <c r="BL3" s="259"/>
      <c r="BM3" s="300"/>
      <c r="BN3" s="301"/>
      <c r="BY3" s="247"/>
      <c r="BZ3" s="247"/>
      <c r="CA3" s="247"/>
      <c r="CB3" s="247"/>
      <c r="CC3" s="247"/>
      <c r="CD3" s="247"/>
      <c r="CE3" s="247"/>
    </row>
    <row r="4" spans="1:83" hidden="1" outlineLevel="1">
      <c r="A4" s="1" t="s">
        <v>464</v>
      </c>
      <c r="B4" s="36"/>
      <c r="C4" s="36"/>
      <c r="D4" s="36"/>
      <c r="E4" s="36"/>
      <c r="F4" s="37"/>
      <c r="G4" s="36"/>
      <c r="H4" s="36"/>
      <c r="I4" s="36"/>
      <c r="J4" s="36"/>
      <c r="K4" s="37">
        <v>3585</v>
      </c>
      <c r="L4" s="36">
        <v>929</v>
      </c>
      <c r="M4" s="36">
        <v>938</v>
      </c>
      <c r="N4" s="36">
        <v>1023</v>
      </c>
      <c r="O4" s="36">
        <v>1101</v>
      </c>
      <c r="P4" s="37">
        <v>3991</v>
      </c>
      <c r="Q4" s="36">
        <v>971</v>
      </c>
      <c r="R4" s="36">
        <v>1073</v>
      </c>
      <c r="S4" s="36">
        <v>898</v>
      </c>
      <c r="T4" s="36">
        <v>1161</v>
      </c>
      <c r="U4" s="37">
        <v>4103</v>
      </c>
      <c r="V4" s="36">
        <v>1037</v>
      </c>
      <c r="W4" s="36">
        <v>976</v>
      </c>
      <c r="X4" s="36">
        <v>1061</v>
      </c>
      <c r="Y4" s="36">
        <v>1315</v>
      </c>
      <c r="Z4" s="37">
        <v>4389</v>
      </c>
      <c r="AA4" s="36">
        <v>960</v>
      </c>
      <c r="AB4" s="36">
        <v>1161</v>
      </c>
      <c r="AC4" s="36">
        <v>1137</v>
      </c>
      <c r="AD4" s="36">
        <v>1314</v>
      </c>
      <c r="AE4" s="37">
        <v>4572</v>
      </c>
      <c r="AF4" s="36">
        <v>956</v>
      </c>
      <c r="AG4" s="36">
        <v>1041</v>
      </c>
      <c r="AH4" s="36">
        <v>1107</v>
      </c>
      <c r="AI4" s="36">
        <v>1032</v>
      </c>
      <c r="AJ4" s="37">
        <v>4136</v>
      </c>
      <c r="AK4" s="36">
        <v>1036</v>
      </c>
      <c r="AL4" s="36">
        <v>1096</v>
      </c>
      <c r="AM4" s="36">
        <v>1027</v>
      </c>
      <c r="AN4" s="36">
        <v>1251</v>
      </c>
      <c r="AO4" s="37">
        <v>4410</v>
      </c>
      <c r="AP4" s="36">
        <v>1018</v>
      </c>
      <c r="AQ4" s="36">
        <v>1342</v>
      </c>
      <c r="AR4" s="36">
        <v>1111</v>
      </c>
      <c r="AS4" s="36">
        <v>1243</v>
      </c>
      <c r="AT4" s="37">
        <v>4714</v>
      </c>
      <c r="AU4" s="36">
        <v>1089.26</v>
      </c>
      <c r="AV4" s="36"/>
      <c r="AW4" s="36"/>
      <c r="AX4" s="36"/>
      <c r="AY4" s="37"/>
      <c r="AZ4" s="36"/>
      <c r="BA4" s="36"/>
      <c r="BB4" s="36"/>
      <c r="BC4" s="36"/>
      <c r="BD4" s="37"/>
      <c r="BE4" s="36"/>
      <c r="BF4" s="36"/>
      <c r="BG4" s="36"/>
      <c r="BH4" s="36"/>
      <c r="BI4" s="37"/>
      <c r="BJ4" s="520"/>
      <c r="BK4" s="520"/>
      <c r="BL4" s="259"/>
      <c r="BM4" s="300"/>
      <c r="BN4" s="301"/>
      <c r="BY4" s="247"/>
      <c r="BZ4" s="247"/>
      <c r="CA4" s="247"/>
      <c r="CB4" s="247"/>
      <c r="CC4" s="247"/>
      <c r="CD4" s="247"/>
      <c r="CE4" s="247"/>
    </row>
    <row r="5" spans="1:83" hidden="1" outlineLevel="1">
      <c r="A5" s="1" t="s">
        <v>465</v>
      </c>
      <c r="B5" s="36"/>
      <c r="C5" s="36"/>
      <c r="D5" s="36"/>
      <c r="E5" s="36"/>
      <c r="F5" s="37"/>
      <c r="G5" s="36"/>
      <c r="H5" s="36"/>
      <c r="I5" s="36"/>
      <c r="J5" s="36"/>
      <c r="K5" s="37">
        <v>3135</v>
      </c>
      <c r="L5" s="36">
        <v>778</v>
      </c>
      <c r="M5" s="36">
        <v>778</v>
      </c>
      <c r="N5" s="36">
        <v>824</v>
      </c>
      <c r="O5" s="36">
        <v>934</v>
      </c>
      <c r="P5" s="37">
        <v>3314</v>
      </c>
      <c r="Q5" s="36">
        <v>870</v>
      </c>
      <c r="R5" s="36">
        <v>911</v>
      </c>
      <c r="S5" s="36">
        <v>946</v>
      </c>
      <c r="T5" s="36">
        <v>1013</v>
      </c>
      <c r="U5" s="37">
        <v>3740</v>
      </c>
      <c r="V5" s="36">
        <v>969</v>
      </c>
      <c r="W5" s="36">
        <v>1052</v>
      </c>
      <c r="X5" s="36">
        <v>1050</v>
      </c>
      <c r="Y5" s="36">
        <v>1198</v>
      </c>
      <c r="Z5" s="37">
        <v>4269</v>
      </c>
      <c r="AA5" s="36">
        <v>820</v>
      </c>
      <c r="AB5" s="36">
        <v>703</v>
      </c>
      <c r="AC5" s="36">
        <v>696</v>
      </c>
      <c r="AD5" s="36">
        <v>772</v>
      </c>
      <c r="AE5" s="37">
        <v>2991</v>
      </c>
      <c r="AF5" s="36">
        <v>682</v>
      </c>
      <c r="AG5" s="36">
        <v>684</v>
      </c>
      <c r="AH5" s="36">
        <v>689</v>
      </c>
      <c r="AI5" s="36">
        <v>759</v>
      </c>
      <c r="AJ5" s="37">
        <v>2814</v>
      </c>
      <c r="AK5" s="36">
        <v>714</v>
      </c>
      <c r="AL5" s="36">
        <v>725</v>
      </c>
      <c r="AM5" s="36">
        <v>707</v>
      </c>
      <c r="AN5" s="36">
        <v>829</v>
      </c>
      <c r="AO5" s="37">
        <v>2975</v>
      </c>
      <c r="AP5" s="36">
        <v>769</v>
      </c>
      <c r="AQ5" s="36">
        <v>817</v>
      </c>
      <c r="AR5" s="36">
        <v>899</v>
      </c>
      <c r="AS5" s="36">
        <v>887</v>
      </c>
      <c r="AT5" s="37">
        <v>3372</v>
      </c>
      <c r="AU5" s="36">
        <v>822.83</v>
      </c>
      <c r="AV5" s="36"/>
      <c r="AW5" s="36"/>
      <c r="AX5" s="36"/>
      <c r="AY5" s="37"/>
      <c r="AZ5" s="36"/>
      <c r="BA5" s="36"/>
      <c r="BB5" s="36"/>
      <c r="BC5" s="36"/>
      <c r="BD5" s="37"/>
      <c r="BE5" s="36"/>
      <c r="BF5" s="36"/>
      <c r="BG5" s="36"/>
      <c r="BH5" s="36"/>
      <c r="BI5" s="37"/>
      <c r="BJ5" s="520"/>
      <c r="BK5" s="520"/>
      <c r="BL5" s="259"/>
      <c r="BM5" s="290"/>
      <c r="BN5"/>
      <c r="BY5" s="247"/>
      <c r="BZ5" s="247"/>
      <c r="CA5" s="247"/>
      <c r="CB5" s="247"/>
      <c r="CC5" s="247"/>
      <c r="CD5" s="247"/>
      <c r="CE5" s="247"/>
    </row>
    <row r="6" spans="1:83" hidden="1" outlineLevel="1">
      <c r="A6" s="1" t="s">
        <v>470</v>
      </c>
      <c r="B6" s="36"/>
      <c r="C6" s="36"/>
      <c r="D6" s="36"/>
      <c r="E6" s="36"/>
      <c r="F6" s="37"/>
      <c r="G6" s="36"/>
      <c r="H6" s="36"/>
      <c r="I6" s="36"/>
      <c r="J6" s="36"/>
      <c r="K6" s="37"/>
      <c r="L6" s="36"/>
      <c r="M6" s="36"/>
      <c r="N6" s="36"/>
      <c r="O6" s="36"/>
      <c r="P6" s="37"/>
      <c r="Q6" s="36"/>
      <c r="R6" s="36"/>
      <c r="S6" s="36"/>
      <c r="T6" s="36"/>
      <c r="U6" s="37"/>
      <c r="V6" s="36"/>
      <c r="W6" s="36"/>
      <c r="X6" s="36"/>
      <c r="Y6" s="36"/>
      <c r="Z6" s="37"/>
      <c r="AA6" s="36"/>
      <c r="AB6" s="36"/>
      <c r="AC6" s="36"/>
      <c r="AD6" s="36"/>
      <c r="AE6" s="37"/>
      <c r="AF6" s="36"/>
      <c r="AG6" s="36"/>
      <c r="AH6" s="36"/>
      <c r="AI6" s="36"/>
      <c r="AJ6" s="37"/>
      <c r="AK6" s="40">
        <f>3501+2871</f>
        <v>6372</v>
      </c>
      <c r="AL6" s="40">
        <f>4202+3099</f>
        <v>7301</v>
      </c>
      <c r="AM6" s="40">
        <f>3529+3594</f>
        <v>7123</v>
      </c>
      <c r="AN6" s="41">
        <f>+AO6-SUM(AK6:AM6)</f>
        <v>8807</v>
      </c>
      <c r="AO6" s="42">
        <f>12977+16626</f>
        <v>29603</v>
      </c>
      <c r="AP6" s="40"/>
      <c r="AQ6" s="40"/>
      <c r="AR6" s="40"/>
      <c r="AS6" s="41"/>
      <c r="AT6" s="42"/>
      <c r="AU6" s="40"/>
      <c r="AV6" s="36"/>
      <c r="AW6" s="36"/>
      <c r="AX6" s="36"/>
      <c r="AY6" s="71"/>
      <c r="AZ6" s="36"/>
      <c r="BA6" s="36"/>
      <c r="BB6" s="36"/>
      <c r="BC6" s="36"/>
      <c r="BD6" s="71"/>
      <c r="BE6" s="36"/>
      <c r="BF6" s="36"/>
      <c r="BG6" s="36"/>
      <c r="BH6" s="36"/>
      <c r="BI6" s="71"/>
      <c r="BJ6" s="520"/>
      <c r="BK6" s="520"/>
      <c r="BL6" s="259"/>
      <c r="BM6" s="290"/>
      <c r="BN6"/>
      <c r="BY6" s="247"/>
      <c r="BZ6" s="247"/>
      <c r="CA6" s="247"/>
      <c r="CB6" s="247"/>
      <c r="CC6" s="247"/>
      <c r="CD6" s="247"/>
      <c r="CE6" s="247"/>
    </row>
    <row r="7" spans="1:83" collapsed="1">
      <c r="A7" s="1" t="s">
        <v>468</v>
      </c>
      <c r="B7" s="36"/>
      <c r="C7" s="36"/>
      <c r="D7" s="36"/>
      <c r="E7" s="36"/>
      <c r="F7" s="37"/>
      <c r="G7" s="36"/>
      <c r="H7" s="36"/>
      <c r="I7" s="36"/>
      <c r="J7" s="36"/>
      <c r="K7" s="37"/>
      <c r="L7" s="36"/>
      <c r="M7" s="36"/>
      <c r="N7" s="36"/>
      <c r="O7" s="36"/>
      <c r="P7" s="37"/>
      <c r="Q7" s="36"/>
      <c r="R7" s="36"/>
      <c r="S7" s="36"/>
      <c r="T7" s="36"/>
      <c r="U7" s="37"/>
      <c r="V7" s="36"/>
      <c r="W7" s="36"/>
      <c r="X7" s="36"/>
      <c r="Y7" s="36"/>
      <c r="Z7" s="37"/>
      <c r="AA7" s="36"/>
      <c r="AB7" s="36"/>
      <c r="AC7" s="36"/>
      <c r="AD7" s="36"/>
      <c r="AE7" s="37"/>
      <c r="AF7" s="36"/>
      <c r="AG7" s="36"/>
      <c r="AH7" s="36"/>
      <c r="AI7" s="36"/>
      <c r="AJ7" s="37"/>
      <c r="AK7" s="36">
        <f>CES_Qtr!AK9</f>
        <v>3853</v>
      </c>
      <c r="AL7" s="36">
        <f>CES_Qtr!AL9</f>
        <v>4305</v>
      </c>
      <c r="AM7" s="36">
        <f>CES_Qtr!AM9</f>
        <v>4971</v>
      </c>
      <c r="AN7" s="36">
        <f>CES_Qtr!AN9</f>
        <v>5536</v>
      </c>
      <c r="AO7" s="37">
        <f>CES_Qtr!AO9</f>
        <v>18665</v>
      </c>
      <c r="AP7" s="36">
        <f>CES_Qtr!AP9</f>
        <v>5232</v>
      </c>
      <c r="AQ7" s="36">
        <f>CES_Qtr!AQ9</f>
        <v>5737</v>
      </c>
      <c r="AR7" s="36">
        <f>CES_Qtr!AR9</f>
        <v>6457</v>
      </c>
      <c r="AS7" s="36">
        <f>CES_Qtr!AS9</f>
        <v>6429</v>
      </c>
      <c r="AT7" s="37">
        <f>CES_Qtr!AT9</f>
        <v>23855</v>
      </c>
      <c r="AU7" s="36">
        <f>CES_Qtr!AU9</f>
        <v>6095</v>
      </c>
      <c r="AV7" s="36">
        <f>CES_Qtr!AV9</f>
        <v>6132</v>
      </c>
      <c r="AW7" s="36">
        <f>CES_Qtr!AW9</f>
        <v>7003</v>
      </c>
      <c r="AX7" s="36">
        <f>CES_Qtr!AX9</f>
        <v>7650</v>
      </c>
      <c r="AY7" s="37">
        <f>CES_Qtr!AY9</f>
        <v>26881</v>
      </c>
      <c r="AZ7" s="36">
        <f>CES_Qtr!AZ9</f>
        <v>6977</v>
      </c>
      <c r="BA7" s="36">
        <f>CES_Qtr!BA9</f>
        <v>7990</v>
      </c>
      <c r="BB7" s="36">
        <f>CES_Qtr!BB9</f>
        <v>8880</v>
      </c>
      <c r="BC7" s="36">
        <f>CES_Qtr!BC9</f>
        <v>9468</v>
      </c>
      <c r="BD7" s="37">
        <f>CES_Qtr!BD9</f>
        <v>33314</v>
      </c>
      <c r="BE7" s="36">
        <f>CES_Qtr!BE9</f>
        <v>8920</v>
      </c>
      <c r="BF7" s="36">
        <f>CES_Qtr!BF9</f>
        <v>9731</v>
      </c>
      <c r="BG7" s="36">
        <f>CES_Qtr!BG9</f>
        <v>9541.4275000000016</v>
      </c>
      <c r="BH7" s="36">
        <f>CES_Qtr!BH9</f>
        <v>10316.666390405084</v>
      </c>
      <c r="BI7" s="37">
        <f>CES_Qtr!BI9</f>
        <v>38507.093890405085</v>
      </c>
      <c r="BJ7" s="520" t="str">
        <f>CES_Qtr!BJ10</f>
        <v>~20%</v>
      </c>
      <c r="BK7" s="545">
        <f>BI7/BL7-1</f>
        <v>0.2071189307337018</v>
      </c>
      <c r="BL7" s="606">
        <v>31900</v>
      </c>
      <c r="BM7" t="s">
        <v>609</v>
      </c>
      <c r="BN7"/>
      <c r="BY7" s="247"/>
      <c r="BZ7" s="247"/>
      <c r="CA7" s="247"/>
      <c r="CB7" s="247"/>
      <c r="CC7" s="247"/>
      <c r="CD7" s="247"/>
      <c r="CE7" s="247"/>
    </row>
    <row r="8" spans="1:83">
      <c r="A8" s="1" t="s">
        <v>469</v>
      </c>
      <c r="B8" s="36"/>
      <c r="C8" s="36"/>
      <c r="D8" s="36"/>
      <c r="E8" s="36"/>
      <c r="F8" s="37"/>
      <c r="G8" s="36"/>
      <c r="H8" s="36"/>
      <c r="I8" s="36"/>
      <c r="J8" s="36"/>
      <c r="K8" s="37"/>
      <c r="L8" s="36"/>
      <c r="M8" s="36"/>
      <c r="N8" s="36"/>
      <c r="O8" s="36"/>
      <c r="P8" s="37"/>
      <c r="Q8" s="36"/>
      <c r="R8" s="36"/>
      <c r="S8" s="36"/>
      <c r="T8" s="36"/>
      <c r="U8" s="37"/>
      <c r="V8" s="36"/>
      <c r="W8" s="36"/>
      <c r="X8" s="36"/>
      <c r="Y8" s="36"/>
      <c r="Z8" s="37"/>
      <c r="AA8" s="36"/>
      <c r="AB8" s="36"/>
      <c r="AC8" s="36"/>
      <c r="AD8" s="36"/>
      <c r="AE8" s="37"/>
      <c r="AF8" s="36"/>
      <c r="AG8" s="36"/>
      <c r="AH8" s="36"/>
      <c r="AI8" s="36"/>
      <c r="AJ8" s="37"/>
      <c r="AK8" s="36">
        <f>'Def and Prop Tech_Qtr'!AK9</f>
        <v>1750</v>
      </c>
      <c r="AL8" s="36">
        <f>'Def and Prop Tech_Qtr'!AL9</f>
        <v>1821</v>
      </c>
      <c r="AM8" s="36">
        <f>'Def and Prop Tech_Qtr'!AM9</f>
        <v>1734</v>
      </c>
      <c r="AN8" s="36">
        <f>'Def and Prop Tech_Qtr'!AN9</f>
        <v>2080</v>
      </c>
      <c r="AO8" s="37">
        <f>'Def and Prop Tech_Qtr'!AO9</f>
        <v>7385</v>
      </c>
      <c r="AP8" s="36">
        <f>'Def and Prop Tech_Qtr'!AP9</f>
        <v>1966</v>
      </c>
      <c r="AQ8" s="36">
        <f>'Def and Prop Tech_Qtr'!AQ9</f>
        <v>2375</v>
      </c>
      <c r="AR8" s="36">
        <f>'Def and Prop Tech_Qtr'!AR9</f>
        <v>2205</v>
      </c>
      <c r="AS8" s="36">
        <f>'Def and Prop Tech_Qtr'!AS9</f>
        <v>2415</v>
      </c>
      <c r="AT8" s="37">
        <f>'Def and Prop Tech_Qtr'!AT9</f>
        <v>8961</v>
      </c>
      <c r="AU8" s="36">
        <f>'Def and Prop Tech_Qtr'!AU9</f>
        <v>2312</v>
      </c>
      <c r="AV8" s="36">
        <f>'Def and Prop Tech_Qtr'!AV9</f>
        <v>2401</v>
      </c>
      <c r="AW8" s="36">
        <f>'Def and Prop Tech_Qtr'!AW9</f>
        <v>2243</v>
      </c>
      <c r="AX8" s="36">
        <f>'Def and Prop Tech_Qtr'!AX9</f>
        <v>2524</v>
      </c>
      <c r="AY8" s="37">
        <f>'Def and Prop Tech_Qtr'!AY9</f>
        <v>9478</v>
      </c>
      <c r="AZ8" s="36">
        <f>'Def and Prop Tech_Qtr'!AZ9</f>
        <v>2325</v>
      </c>
      <c r="BA8" s="36">
        <f>'Def and Prop Tech_Qtr'!BA9</f>
        <v>2563</v>
      </c>
      <c r="BB8" s="36">
        <f>'Def and Prop Tech_Qtr'!BB9</f>
        <v>2828</v>
      </c>
      <c r="BC8" s="36">
        <f>'Def and Prop Tech_Qtr'!BC9</f>
        <v>2839</v>
      </c>
      <c r="BD8" s="37">
        <f>'Def and Prop Tech_Qtr'!BD9</f>
        <v>10554</v>
      </c>
      <c r="BE8" s="36">
        <f>'Def and Prop Tech_Qtr'!BE9</f>
        <v>3214</v>
      </c>
      <c r="BF8" s="36">
        <f>'Def and Prop Tech_Qtr'!BF9</f>
        <v>3443</v>
      </c>
      <c r="BG8" s="36">
        <f>'Def and Prop Tech_Qtr'!BG9</f>
        <v>3375.1025</v>
      </c>
      <c r="BH8" s="36">
        <f>'Def and Prop Tech_Qtr'!BH9</f>
        <v>3554.2574999999988</v>
      </c>
      <c r="BI8" s="37">
        <f>'Def and Prop Tech_Qtr'!BI9</f>
        <v>13586.36</v>
      </c>
      <c r="BJ8" s="520" t="str">
        <f>'Def and Prop Tech_Qtr'!BJ10</f>
        <v>+LDD</v>
      </c>
      <c r="BK8" s="545">
        <f>BI8/BL8-1</f>
        <v>0.11363606557377048</v>
      </c>
      <c r="BL8" s="606">
        <v>12200</v>
      </c>
      <c r="BM8" s="290"/>
      <c r="BN8"/>
      <c r="BY8" s="247"/>
      <c r="BZ8" s="247"/>
      <c r="CA8" s="247"/>
      <c r="CB8" s="247"/>
      <c r="CC8" s="247"/>
      <c r="CD8" s="247"/>
      <c r="CE8" s="247"/>
    </row>
    <row r="9" spans="1:83">
      <c r="A9" s="1" t="s">
        <v>309</v>
      </c>
      <c r="B9" s="40"/>
      <c r="C9" s="40"/>
      <c r="D9" s="40"/>
      <c r="E9" s="40"/>
      <c r="F9" s="37"/>
      <c r="G9" s="40"/>
      <c r="H9" s="40"/>
      <c r="I9" s="40"/>
      <c r="J9" s="40"/>
      <c r="K9" s="37"/>
      <c r="L9" s="40"/>
      <c r="M9" s="40"/>
      <c r="N9" s="40"/>
      <c r="O9" s="40"/>
      <c r="P9" s="37"/>
      <c r="Q9" s="40"/>
      <c r="R9" s="40"/>
      <c r="S9" s="40"/>
      <c r="T9" s="40"/>
      <c r="U9" s="71"/>
      <c r="V9" s="40"/>
      <c r="W9" s="40"/>
      <c r="X9" s="40"/>
      <c r="Y9" s="40"/>
      <c r="Z9" s="71"/>
      <c r="AA9" s="40"/>
      <c r="AB9" s="40"/>
      <c r="AC9" s="40"/>
      <c r="AD9" s="40"/>
      <c r="AE9" s="71"/>
      <c r="AF9" s="40"/>
      <c r="AG9" s="40"/>
      <c r="AH9" s="40"/>
      <c r="AI9" s="40"/>
      <c r="AJ9" s="71"/>
      <c r="AK9" s="40">
        <v>764</v>
      </c>
      <c r="AL9" s="40">
        <v>766</v>
      </c>
      <c r="AM9" s="40">
        <v>645</v>
      </c>
      <c r="AN9" s="41">
        <f>+AO9-SUM(AK9:AM9)</f>
        <v>782</v>
      </c>
      <c r="AO9" s="42">
        <v>2957</v>
      </c>
      <c r="AP9" s="40">
        <f>1639-AQ9</f>
        <v>792</v>
      </c>
      <c r="AQ9" s="40">
        <v>847</v>
      </c>
      <c r="AR9" s="40">
        <v>842</v>
      </c>
      <c r="AS9" s="41">
        <f>+AT9-SUM(AP9:AR9)</f>
        <v>908</v>
      </c>
      <c r="AT9" s="42">
        <v>3389</v>
      </c>
      <c r="AU9" s="40">
        <v>879</v>
      </c>
      <c r="AV9" s="40">
        <v>871</v>
      </c>
      <c r="AW9" s="40">
        <v>899</v>
      </c>
      <c r="AX9" s="41">
        <f>+AY9-SUM(AU9:AW9)</f>
        <v>932</v>
      </c>
      <c r="AY9" s="42">
        <v>3581</v>
      </c>
      <c r="AZ9" s="40">
        <v>934</v>
      </c>
      <c r="BA9" s="40">
        <v>872</v>
      </c>
      <c r="BB9" s="40">
        <v>875</v>
      </c>
      <c r="BC9" s="41">
        <f>+BD9-SUM(AZ9:BB9)</f>
        <v>852</v>
      </c>
      <c r="BD9" s="42">
        <v>3533</v>
      </c>
      <c r="BE9" s="40">
        <v>778</v>
      </c>
      <c r="BF9" s="40">
        <v>715</v>
      </c>
      <c r="BG9" s="40">
        <v>925</v>
      </c>
      <c r="BH9" s="41">
        <f>+BI9-SUM(BE9:BG9)</f>
        <v>1132</v>
      </c>
      <c r="BI9" s="42">
        <v>3550</v>
      </c>
      <c r="BJ9" s="261"/>
      <c r="BK9" s="261"/>
      <c r="BL9" s="98"/>
      <c r="BN9"/>
      <c r="BY9" s="247"/>
      <c r="BZ9" s="247"/>
      <c r="CA9" s="247"/>
      <c r="CB9" s="247"/>
      <c r="CC9" s="247"/>
      <c r="CD9" s="247"/>
      <c r="CE9" s="247"/>
    </row>
    <row r="10" spans="1:83">
      <c r="A10" s="1" t="s">
        <v>202</v>
      </c>
      <c r="B10" s="20"/>
      <c r="C10" s="20"/>
      <c r="D10" s="20"/>
      <c r="E10" s="20"/>
      <c r="F10" s="21"/>
      <c r="G10" s="20"/>
      <c r="H10" s="20"/>
      <c r="I10" s="20"/>
      <c r="J10" s="20"/>
      <c r="K10" s="21"/>
      <c r="L10" s="20"/>
      <c r="M10" s="20"/>
      <c r="N10" s="20"/>
      <c r="O10" s="20"/>
      <c r="P10" s="21"/>
      <c r="Q10" s="20"/>
      <c r="R10" s="20"/>
      <c r="S10" s="20"/>
      <c r="T10" s="20"/>
      <c r="U10" s="21"/>
      <c r="V10" s="20"/>
      <c r="W10" s="20"/>
      <c r="X10" s="20"/>
      <c r="Y10" s="20"/>
      <c r="Z10" s="21"/>
      <c r="AA10" s="20"/>
      <c r="AB10" s="20"/>
      <c r="AC10" s="20"/>
      <c r="AD10" s="20"/>
      <c r="AE10" s="21"/>
      <c r="AF10" s="20"/>
      <c r="AG10" s="20"/>
      <c r="AH10" s="20"/>
      <c r="AI10" s="20"/>
      <c r="AJ10" s="71"/>
      <c r="AK10" s="20">
        <f>AK11-SUM(AK6:AK8)</f>
        <v>700</v>
      </c>
      <c r="AL10" s="20">
        <f>AL11-SUM(AL6:AL8)</f>
        <v>700</v>
      </c>
      <c r="AM10" s="20">
        <f>AM11-SUM(AM6:AM8)</f>
        <v>642</v>
      </c>
      <c r="AN10" s="20">
        <f>AN11-SUM(AN6:AN8)</f>
        <v>405</v>
      </c>
      <c r="AO10" s="71">
        <f>AO11-SUM(AO6:AO8)</f>
        <v>2447</v>
      </c>
      <c r="AP10" s="40">
        <f>(16591-8755)-SUM(AP7:AP9)</f>
        <v>-154</v>
      </c>
      <c r="AQ10" s="40">
        <f>8755-SUM(AQ7:AQ9)</f>
        <v>-204</v>
      </c>
      <c r="AR10" s="40">
        <f>9302-SUM(AR7:AR9)</f>
        <v>-202</v>
      </c>
      <c r="AS10" s="41">
        <f>+AT10-SUM(AP10:AR10)</f>
        <v>-297</v>
      </c>
      <c r="AT10" s="42">
        <f>35348-SUM(AT7:AT9)</f>
        <v>-857</v>
      </c>
      <c r="AU10" s="40">
        <f>8955-SUM(AU7:AU9)</f>
        <v>-331</v>
      </c>
      <c r="AV10" s="40">
        <f>9094-SUM(AV7:AV9)</f>
        <v>-310</v>
      </c>
      <c r="AW10" s="40">
        <f>9842-SUM(AW7:AW9)</f>
        <v>-303</v>
      </c>
      <c r="AX10" s="41">
        <f>+AY10-SUM(AU10:AW10)</f>
        <v>-294</v>
      </c>
      <c r="AY10" s="42">
        <f>38702-SUM(AY7:AY9)</f>
        <v>-1238</v>
      </c>
      <c r="AZ10" s="40">
        <f>9935-SUM(AZ7:AZ9)</f>
        <v>-301</v>
      </c>
      <c r="BA10" s="40">
        <f>11023-SUM(BA7:BA9)</f>
        <v>-402</v>
      </c>
      <c r="BB10" s="40">
        <v>-403</v>
      </c>
      <c r="BC10" s="41">
        <f>+BD10-SUM(AZ10:BB10)</f>
        <v>-440</v>
      </c>
      <c r="BD10" s="42">
        <v>-1546</v>
      </c>
      <c r="BE10" s="40">
        <v>-519</v>
      </c>
      <c r="BF10" s="40">
        <v>-540</v>
      </c>
      <c r="BG10" s="40">
        <v>-425</v>
      </c>
      <c r="BH10" s="41">
        <f>+BI10-SUM(BE10:BG10)</f>
        <v>-316</v>
      </c>
      <c r="BI10" s="42">
        <v>-1800</v>
      </c>
      <c r="BJ10" s="261"/>
      <c r="BK10" s="261"/>
      <c r="BL10" s="606">
        <v>-1800</v>
      </c>
      <c r="BN10"/>
      <c r="BY10" s="247"/>
      <c r="BZ10" s="247"/>
      <c r="CA10" s="247"/>
      <c r="CB10" s="247"/>
      <c r="CC10" s="247"/>
      <c r="CD10" s="247"/>
      <c r="CE10" s="247"/>
    </row>
    <row r="11" spans="1:83">
      <c r="A11" s="6" t="s">
        <v>14</v>
      </c>
      <c r="B11" s="28"/>
      <c r="C11" s="28"/>
      <c r="D11" s="28"/>
      <c r="E11" s="28"/>
      <c r="F11" s="23"/>
      <c r="G11" s="28"/>
      <c r="H11" s="28"/>
      <c r="I11" s="28"/>
      <c r="J11" s="28"/>
      <c r="K11" s="23"/>
      <c r="L11" s="28"/>
      <c r="M11" s="28"/>
      <c r="N11" s="28"/>
      <c r="O11" s="28"/>
      <c r="P11" s="23"/>
      <c r="Q11" s="28"/>
      <c r="R11" s="28"/>
      <c r="S11" s="28"/>
      <c r="T11" s="28"/>
      <c r="U11" s="23"/>
      <c r="V11" s="28"/>
      <c r="W11" s="28"/>
      <c r="X11" s="28"/>
      <c r="Y11" s="28"/>
      <c r="Z11" s="23"/>
      <c r="AA11" s="28"/>
      <c r="AB11" s="28"/>
      <c r="AC11" s="28"/>
      <c r="AD11" s="28"/>
      <c r="AE11" s="23"/>
      <c r="AF11" s="270"/>
      <c r="AG11" s="270"/>
      <c r="AH11" s="270"/>
      <c r="AI11" s="270"/>
      <c r="AJ11" s="23"/>
      <c r="AK11" s="28">
        <v>12675</v>
      </c>
      <c r="AL11" s="28">
        <v>14127</v>
      </c>
      <c r="AM11" s="28">
        <v>14470</v>
      </c>
      <c r="AN11" s="370">
        <f>+AO11-SUM(AK11:AM11)</f>
        <v>16828</v>
      </c>
      <c r="AO11" s="414">
        <v>58100</v>
      </c>
      <c r="AP11" s="270">
        <f t="shared" ref="AP11:AW11" si="0">SUM(AP7:AP10)</f>
        <v>7836</v>
      </c>
      <c r="AQ11" s="270">
        <f t="shared" si="0"/>
        <v>8755</v>
      </c>
      <c r="AR11" s="270">
        <f t="shared" si="0"/>
        <v>9302</v>
      </c>
      <c r="AS11" s="270">
        <f t="shared" si="0"/>
        <v>9455</v>
      </c>
      <c r="AT11" s="23">
        <f t="shared" si="0"/>
        <v>35348</v>
      </c>
      <c r="AU11" s="270">
        <f t="shared" si="0"/>
        <v>8955</v>
      </c>
      <c r="AV11" s="270">
        <f>SUM(AV7:AV10)</f>
        <v>9094</v>
      </c>
      <c r="AW11" s="270">
        <f t="shared" si="0"/>
        <v>9842</v>
      </c>
      <c r="AX11" s="270">
        <f t="shared" ref="AX11:BB11" si="1">SUM(AX7:AX10)</f>
        <v>10812</v>
      </c>
      <c r="AY11" s="23">
        <f t="shared" si="1"/>
        <v>38702</v>
      </c>
      <c r="AZ11" s="270">
        <f t="shared" si="1"/>
        <v>9935</v>
      </c>
      <c r="BA11" s="270">
        <f>SUM(BA7:BA10)</f>
        <v>11023</v>
      </c>
      <c r="BB11" s="270">
        <f t="shared" si="1"/>
        <v>12180</v>
      </c>
      <c r="BC11" s="270">
        <f t="shared" ref="BC11:BD11" si="2">SUM(BC7:BC10)</f>
        <v>12719</v>
      </c>
      <c r="BD11" s="23">
        <f t="shared" si="2"/>
        <v>45855</v>
      </c>
      <c r="BE11" s="270">
        <f>SUM(BE7:BE10)-1</f>
        <v>12392</v>
      </c>
      <c r="BF11" s="270">
        <f>SUM(BF7:BF10)</f>
        <v>13349</v>
      </c>
      <c r="BG11" s="270">
        <f t="shared" ref="BG11:BI11" si="3">SUM(BG7:BG10)</f>
        <v>13416.530000000002</v>
      </c>
      <c r="BH11" s="270">
        <f t="shared" si="3"/>
        <v>14686.923890405084</v>
      </c>
      <c r="BI11" s="23">
        <f t="shared" si="3"/>
        <v>53843.453890405086</v>
      </c>
      <c r="BJ11" s="521"/>
      <c r="BK11" s="521"/>
      <c r="BL11" s="98"/>
      <c r="BN11"/>
    </row>
    <row r="12" spans="1:83">
      <c r="A12" s="1" t="s">
        <v>4</v>
      </c>
      <c r="B12" s="33"/>
      <c r="C12" s="34"/>
      <c r="D12" s="34"/>
      <c r="E12" s="34"/>
      <c r="F12" s="35"/>
      <c r="G12" s="33"/>
      <c r="H12" s="34"/>
      <c r="I12" s="34"/>
      <c r="J12" s="34"/>
      <c r="K12" s="35"/>
      <c r="L12" s="33"/>
      <c r="M12" s="34"/>
      <c r="N12" s="34"/>
      <c r="O12" s="34"/>
      <c r="P12" s="35"/>
      <c r="Q12" s="33"/>
      <c r="R12" s="34"/>
      <c r="S12" s="34"/>
      <c r="T12" s="34"/>
      <c r="U12" s="35"/>
      <c r="V12" s="33"/>
      <c r="W12" s="34"/>
      <c r="X12" s="34"/>
      <c r="Y12" s="34"/>
      <c r="Z12" s="35"/>
      <c r="AA12" s="33"/>
      <c r="AB12" s="34"/>
      <c r="AC12" s="34"/>
      <c r="AD12" s="34"/>
      <c r="AE12" s="35"/>
      <c r="AF12" s="34"/>
      <c r="AG12" s="34"/>
      <c r="AH12" s="34"/>
      <c r="AI12" s="34"/>
      <c r="AJ12" s="35"/>
      <c r="AK12" s="34"/>
      <c r="AL12" s="34"/>
      <c r="AM12" s="34"/>
      <c r="AN12" s="34"/>
      <c r="AO12" s="35"/>
      <c r="AP12" s="34">
        <f t="shared" ref="AP12:BA12" si="4">AP11/AK11-1</f>
        <v>-0.38177514792899403</v>
      </c>
      <c r="AQ12" s="34">
        <f t="shared" si="4"/>
        <v>-0.38026474127557164</v>
      </c>
      <c r="AR12" s="34">
        <f t="shared" si="4"/>
        <v>-0.35715272978576362</v>
      </c>
      <c r="AS12" s="34">
        <f>AS11/AN11-1</f>
        <v>-0.43813881625861661</v>
      </c>
      <c r="AT12" s="35">
        <f>AT11/AO11-1</f>
        <v>-0.39160068846815832</v>
      </c>
      <c r="AU12" s="34">
        <f t="shared" si="4"/>
        <v>0.14280245022970894</v>
      </c>
      <c r="AV12" s="34">
        <f t="shared" si="4"/>
        <v>3.8720731010851051E-2</v>
      </c>
      <c r="AW12" s="34">
        <f t="shared" si="4"/>
        <v>5.8052031821113736E-2</v>
      </c>
      <c r="AX12" s="34">
        <f t="shared" si="4"/>
        <v>0.14352194606028545</v>
      </c>
      <c r="AY12" s="35">
        <f t="shared" si="4"/>
        <v>9.488514201652154E-2</v>
      </c>
      <c r="AZ12" s="34">
        <f>AZ11/AU11-1</f>
        <v>0.10943606923506422</v>
      </c>
      <c r="BA12" s="34">
        <f t="shared" si="4"/>
        <v>0.21211787992082698</v>
      </c>
      <c r="BB12" s="34">
        <f>BB11/AW11-1</f>
        <v>0.23755334281650065</v>
      </c>
      <c r="BC12" s="34">
        <f t="shared" ref="BC12" si="5">BC11/AX11-1</f>
        <v>0.17637809840917495</v>
      </c>
      <c r="BD12" s="35">
        <f t="shared" ref="BD12" si="6">BD11/AY11-1</f>
        <v>0.18482248979380911</v>
      </c>
      <c r="BE12" s="34">
        <f>BE11/AZ11-1</f>
        <v>0.24730749874182179</v>
      </c>
      <c r="BF12" s="34">
        <f t="shared" ref="BF12" si="7">BF11/BA11-1</f>
        <v>0.21101333575251746</v>
      </c>
      <c r="BG12" s="34">
        <f>BG11/BB11-1</f>
        <v>0.10152134646962252</v>
      </c>
      <c r="BH12" s="34">
        <f>BH11/BC11-1</f>
        <v>0.1547231614439093</v>
      </c>
      <c r="BI12" s="35">
        <f>BI11/BD11-1</f>
        <v>0.17421118504863342</v>
      </c>
      <c r="BL12" s="98"/>
      <c r="BN12"/>
      <c r="BY12" s="244"/>
      <c r="BZ12" s="244"/>
      <c r="CA12" s="244"/>
      <c r="CB12" s="244"/>
    </row>
    <row r="13" spans="1:83">
      <c r="F13" s="25"/>
      <c r="K13" s="25"/>
      <c r="P13" s="25"/>
      <c r="U13" s="25"/>
      <c r="Z13" s="21"/>
      <c r="AB13" s="73"/>
      <c r="AD13" s="222"/>
      <c r="AE13" s="21"/>
      <c r="AI13" s="222"/>
      <c r="AJ13" s="25"/>
      <c r="AN13" s="222"/>
      <c r="AO13" s="25"/>
      <c r="AS13" s="222"/>
      <c r="AT13" s="25"/>
      <c r="AX13" s="222"/>
      <c r="AY13" s="25"/>
      <c r="BC13" s="222"/>
      <c r="BD13" s="25"/>
      <c r="BH13" s="222"/>
      <c r="BI13" s="25"/>
      <c r="BL13" s="98"/>
      <c r="BN13"/>
      <c r="BY13" s="244"/>
      <c r="BZ13" s="244"/>
      <c r="CA13" s="244"/>
      <c r="CB13" s="244"/>
    </row>
    <row r="14" spans="1:83">
      <c r="A14" s="1" t="s">
        <v>310</v>
      </c>
      <c r="B14" s="41"/>
      <c r="C14" s="41"/>
      <c r="D14" s="41"/>
      <c r="E14" s="41"/>
      <c r="F14" s="21"/>
      <c r="G14" s="41"/>
      <c r="H14" s="41"/>
      <c r="I14" s="41"/>
      <c r="J14" s="41"/>
      <c r="K14" s="21"/>
      <c r="L14" s="41"/>
      <c r="M14" s="41"/>
      <c r="N14" s="41"/>
      <c r="O14" s="41"/>
      <c r="P14" s="21"/>
      <c r="Q14" s="41"/>
      <c r="R14" s="41"/>
      <c r="S14" s="41"/>
      <c r="T14" s="41"/>
      <c r="U14" s="21"/>
      <c r="V14" s="41"/>
      <c r="W14" s="41"/>
      <c r="X14" s="41"/>
      <c r="Y14" s="41"/>
      <c r="Z14" s="21"/>
      <c r="AA14" s="41"/>
      <c r="AB14" s="41"/>
      <c r="AC14" s="41"/>
      <c r="AD14" s="41"/>
      <c r="AE14" s="21"/>
      <c r="AF14" s="41"/>
      <c r="AG14" s="41"/>
      <c r="AH14" s="41"/>
      <c r="AI14" s="41"/>
      <c r="AJ14" s="21"/>
      <c r="AK14" s="41">
        <f>-AK9</f>
        <v>-764</v>
      </c>
      <c r="AL14" s="41">
        <f>-AL9</f>
        <v>-766</v>
      </c>
      <c r="AM14" s="41">
        <f>-AM9</f>
        <v>-645</v>
      </c>
      <c r="AN14" s="41">
        <f>-AN9</f>
        <v>-782</v>
      </c>
      <c r="AO14" s="21">
        <f>SUM(AK14:AN14)</f>
        <v>-2957</v>
      </c>
      <c r="AP14" s="41">
        <f>-AP9</f>
        <v>-792</v>
      </c>
      <c r="AQ14" s="41">
        <f>-AQ9-1</f>
        <v>-848</v>
      </c>
      <c r="AR14" s="41">
        <f>-AR9</f>
        <v>-842</v>
      </c>
      <c r="AS14" s="41">
        <f>+AT14-SUM(AP14:AR14)</f>
        <v>-907</v>
      </c>
      <c r="AT14" s="21">
        <f>-AT9</f>
        <v>-3389</v>
      </c>
      <c r="AU14" s="41">
        <f>-AU9</f>
        <v>-879</v>
      </c>
      <c r="AV14" s="41">
        <f>-AV9</f>
        <v>-871</v>
      </c>
      <c r="AW14" s="41">
        <f>-AW9</f>
        <v>-899</v>
      </c>
      <c r="AX14" s="41">
        <f>+AY14-SUM(AU14:AW14)</f>
        <v>-932</v>
      </c>
      <c r="AY14" s="21">
        <f>-AY9</f>
        <v>-3581</v>
      </c>
      <c r="AZ14" s="41">
        <f>-AZ9</f>
        <v>-934</v>
      </c>
      <c r="BA14" s="41">
        <f>-BA9</f>
        <v>-872</v>
      </c>
      <c r="BB14" s="41">
        <f>-BB9</f>
        <v>-875</v>
      </c>
      <c r="BC14" s="41">
        <f>+BD14-SUM(AZ14:BB14)</f>
        <v>-852</v>
      </c>
      <c r="BD14" s="21">
        <f>-BD9</f>
        <v>-3533</v>
      </c>
      <c r="BE14" s="41">
        <f>-BE9</f>
        <v>-778</v>
      </c>
      <c r="BF14" s="41">
        <f>-BF9</f>
        <v>-715</v>
      </c>
      <c r="BG14" s="41">
        <f>-BG9</f>
        <v>-925</v>
      </c>
      <c r="BH14" s="41">
        <f>-BH9</f>
        <v>-1132</v>
      </c>
      <c r="BI14" s="21">
        <f>SUM(BE14:BH14)</f>
        <v>-3550</v>
      </c>
      <c r="BJ14" s="261"/>
      <c r="BK14" s="261"/>
      <c r="BL14" s="98"/>
      <c r="BN14"/>
      <c r="BY14" s="247"/>
      <c r="BZ14" s="247"/>
      <c r="CA14" s="247"/>
      <c r="CB14" s="247"/>
      <c r="CC14" s="247"/>
      <c r="CD14" s="247"/>
      <c r="CE14" s="247"/>
    </row>
    <row r="15" spans="1:83">
      <c r="A15" s="6" t="s">
        <v>311</v>
      </c>
      <c r="B15" s="70"/>
      <c r="C15" s="70"/>
      <c r="D15" s="70"/>
      <c r="E15" s="70"/>
      <c r="F15" s="23"/>
      <c r="G15" s="70"/>
      <c r="H15" s="70"/>
      <c r="I15" s="70"/>
      <c r="J15" s="70"/>
      <c r="K15" s="23"/>
      <c r="L15" s="270"/>
      <c r="M15" s="270"/>
      <c r="N15" s="270"/>
      <c r="O15" s="270"/>
      <c r="P15" s="23"/>
      <c r="Q15" s="270"/>
      <c r="R15" s="270"/>
      <c r="S15" s="270"/>
      <c r="T15" s="270"/>
      <c r="U15" s="23"/>
      <c r="V15" s="270"/>
      <c r="W15" s="270"/>
      <c r="X15" s="270"/>
      <c r="Y15" s="270"/>
      <c r="Z15" s="23"/>
      <c r="AA15" s="270"/>
      <c r="AB15" s="270"/>
      <c r="AC15" s="270"/>
      <c r="AD15" s="270"/>
      <c r="AE15" s="23"/>
      <c r="AF15" s="270"/>
      <c r="AG15" s="270"/>
      <c r="AH15" s="270"/>
      <c r="AI15" s="270"/>
      <c r="AJ15" s="23"/>
      <c r="AK15" s="22">
        <f t="shared" ref="AK15:AU15" si="8">AK11+AK14</f>
        <v>11911</v>
      </c>
      <c r="AL15" s="22">
        <f t="shared" si="8"/>
        <v>13361</v>
      </c>
      <c r="AM15" s="22">
        <f t="shared" si="8"/>
        <v>13825</v>
      </c>
      <c r="AN15" s="22">
        <f t="shared" si="8"/>
        <v>16046</v>
      </c>
      <c r="AO15" s="23">
        <f t="shared" si="8"/>
        <v>55143</v>
      </c>
      <c r="AP15" s="22">
        <f>AP11+AP14</f>
        <v>7044</v>
      </c>
      <c r="AQ15" s="22">
        <f>AQ11+AQ14</f>
        <v>7907</v>
      </c>
      <c r="AR15" s="22">
        <f>AR11+AR14</f>
        <v>8460</v>
      </c>
      <c r="AS15" s="22">
        <f t="shared" si="8"/>
        <v>8548</v>
      </c>
      <c r="AT15" s="23">
        <f t="shared" si="8"/>
        <v>31959</v>
      </c>
      <c r="AU15" s="22">
        <f t="shared" si="8"/>
        <v>8076</v>
      </c>
      <c r="AV15" s="22">
        <f t="shared" ref="AV15:BB15" si="9">AV11+AV14</f>
        <v>8223</v>
      </c>
      <c r="AW15" s="22">
        <f t="shared" si="9"/>
        <v>8943</v>
      </c>
      <c r="AX15" s="22">
        <f t="shared" si="9"/>
        <v>9880</v>
      </c>
      <c r="AY15" s="23">
        <f t="shared" si="9"/>
        <v>35121</v>
      </c>
      <c r="AZ15" s="22">
        <f t="shared" si="9"/>
        <v>9001</v>
      </c>
      <c r="BA15" s="22">
        <f t="shared" ref="BA15" si="10">BA11+BA14</f>
        <v>10151</v>
      </c>
      <c r="BB15" s="22">
        <f t="shared" si="9"/>
        <v>11305</v>
      </c>
      <c r="BC15" s="22">
        <f t="shared" ref="BC15:BD15" si="11">BC11+BC14</f>
        <v>11867</v>
      </c>
      <c r="BD15" s="23">
        <f t="shared" si="11"/>
        <v>42322</v>
      </c>
      <c r="BE15" s="22">
        <f t="shared" ref="BE15:BI15" si="12">BE11+BE14</f>
        <v>11614</v>
      </c>
      <c r="BF15" s="22">
        <f t="shared" si="12"/>
        <v>12634</v>
      </c>
      <c r="BG15" s="22">
        <f t="shared" si="12"/>
        <v>12491.530000000002</v>
      </c>
      <c r="BH15" s="22">
        <f t="shared" si="12"/>
        <v>13554.923890405084</v>
      </c>
      <c r="BI15" s="23">
        <f t="shared" si="12"/>
        <v>50293.453890405086</v>
      </c>
      <c r="BJ15" s="521" t="s">
        <v>452</v>
      </c>
      <c r="BK15" s="521"/>
      <c r="BL15" s="98"/>
      <c r="BN15"/>
    </row>
    <row r="16" spans="1:83">
      <c r="A16" s="1" t="s">
        <v>4</v>
      </c>
      <c r="B16" s="34"/>
      <c r="C16" s="34"/>
      <c r="D16" s="34"/>
      <c r="E16" s="34"/>
      <c r="F16" s="35"/>
      <c r="G16" s="34"/>
      <c r="H16" s="34"/>
      <c r="I16" s="34"/>
      <c r="J16" s="34"/>
      <c r="K16" s="35"/>
      <c r="L16" s="34"/>
      <c r="M16" s="34"/>
      <c r="N16" s="34"/>
      <c r="O16" s="34"/>
      <c r="P16" s="35"/>
      <c r="Q16" s="34"/>
      <c r="R16" s="34"/>
      <c r="S16" s="34"/>
      <c r="T16" s="34"/>
      <c r="U16" s="35"/>
      <c r="V16" s="34"/>
      <c r="W16" s="34"/>
      <c r="X16" s="34"/>
      <c r="Y16" s="34"/>
      <c r="Z16" s="35"/>
      <c r="AA16" s="34"/>
      <c r="AB16" s="34"/>
      <c r="AC16" s="34"/>
      <c r="AD16" s="34"/>
      <c r="AE16" s="35"/>
      <c r="AF16" s="34"/>
      <c r="AG16" s="34"/>
      <c r="AH16" s="34"/>
      <c r="AI16" s="34"/>
      <c r="AJ16" s="35"/>
      <c r="AK16" s="34"/>
      <c r="AL16" s="34"/>
      <c r="AM16" s="34"/>
      <c r="AN16" s="34"/>
      <c r="AO16" s="35"/>
      <c r="AP16" s="34">
        <f t="shared" ref="AP16:BA16" si="13">AP15/AK15-1</f>
        <v>-0.40861388632356643</v>
      </c>
      <c r="AQ16" s="34">
        <f t="shared" si="13"/>
        <v>-0.40820297881895062</v>
      </c>
      <c r="AR16" s="34">
        <f t="shared" si="13"/>
        <v>-0.38806509945750456</v>
      </c>
      <c r="AS16" s="34">
        <f>AS15/AN15-1</f>
        <v>-0.46728156549918987</v>
      </c>
      <c r="AT16" s="35">
        <f>AT15/AO15-1</f>
        <v>-0.42043414395299494</v>
      </c>
      <c r="AU16" s="34">
        <f t="shared" si="13"/>
        <v>0.14650766609880739</v>
      </c>
      <c r="AV16" s="34">
        <f t="shared" si="13"/>
        <v>3.9964588339446161E-2</v>
      </c>
      <c r="AW16" s="34">
        <f t="shared" si="13"/>
        <v>5.7092198581560227E-2</v>
      </c>
      <c r="AX16" s="34">
        <f t="shared" si="13"/>
        <v>0.15582592419279373</v>
      </c>
      <c r="AY16" s="35">
        <f t="shared" si="13"/>
        <v>9.8939265934478549E-2</v>
      </c>
      <c r="AZ16" s="34">
        <f>AZ15/AU15-1</f>
        <v>0.11453689945517587</v>
      </c>
      <c r="BA16" s="34">
        <f t="shared" si="13"/>
        <v>0.23446430743037827</v>
      </c>
      <c r="BB16" s="34">
        <f>BB15/AW15-1</f>
        <v>0.26411718662641182</v>
      </c>
      <c r="BC16" s="34">
        <f t="shared" ref="BC16" si="14">BC15/AX15-1</f>
        <v>0.2011133603238866</v>
      </c>
      <c r="BD16" s="35">
        <f t="shared" ref="BD16" si="15">BD15/AY15-1</f>
        <v>0.20503402522707215</v>
      </c>
      <c r="BE16" s="34">
        <f>BE15/AZ15-1</f>
        <v>0.29030107765803792</v>
      </c>
      <c r="BF16" s="34">
        <f t="shared" ref="BF16" si="16">BF15/BA15-1</f>
        <v>0.24460644271500342</v>
      </c>
      <c r="BG16" s="34">
        <f>BG15/BB15-1</f>
        <v>0.10495621406457345</v>
      </c>
      <c r="BH16" s="34">
        <f>BH15/BC15-1</f>
        <v>0.14223678186610633</v>
      </c>
      <c r="BI16" s="35">
        <f>BI15/BD15-1</f>
        <v>0.18835248547812222</v>
      </c>
      <c r="BJ16" s="649" t="s">
        <v>644</v>
      </c>
      <c r="BL16" s="98"/>
      <c r="BN16"/>
      <c r="BY16" s="244"/>
      <c r="BZ16" s="244"/>
      <c r="CA16" s="244"/>
      <c r="CB16" s="244"/>
    </row>
    <row r="17" spans="1:83">
      <c r="F17" s="21"/>
      <c r="K17" s="21"/>
      <c r="P17" s="21"/>
      <c r="U17" s="21"/>
      <c r="Z17" s="21"/>
      <c r="AE17" s="21"/>
      <c r="AI17" s="222"/>
      <c r="AJ17" s="25"/>
      <c r="AO17" s="25"/>
      <c r="AS17" s="222"/>
      <c r="AT17" s="25"/>
      <c r="AX17" s="222"/>
      <c r="AY17" s="25"/>
      <c r="BC17" s="222"/>
      <c r="BD17" s="25"/>
      <c r="BH17" s="222"/>
      <c r="BI17" s="25"/>
      <c r="BL17" s="98"/>
      <c r="BN17"/>
      <c r="BY17" s="244"/>
      <c r="BZ17" s="244"/>
      <c r="CA17" s="244"/>
      <c r="CB17" s="244"/>
    </row>
    <row r="18" spans="1:83">
      <c r="A18" s="1" t="s">
        <v>468</v>
      </c>
      <c r="B18" s="36"/>
      <c r="C18" s="36"/>
      <c r="D18" s="36"/>
      <c r="E18" s="36"/>
      <c r="F18" s="37"/>
      <c r="G18" s="36"/>
      <c r="H18" s="36"/>
      <c r="I18" s="36"/>
      <c r="J18" s="36"/>
      <c r="K18" s="37"/>
      <c r="L18" s="36"/>
      <c r="M18" s="36"/>
      <c r="N18" s="36"/>
      <c r="O18" s="36"/>
      <c r="P18" s="37"/>
      <c r="Q18" s="36"/>
      <c r="R18" s="36"/>
      <c r="S18" s="36"/>
      <c r="T18" s="36"/>
      <c r="U18" s="37"/>
      <c r="V18" s="36"/>
      <c r="W18" s="36"/>
      <c r="X18" s="36"/>
      <c r="Y18" s="36"/>
      <c r="Z18" s="37"/>
      <c r="AA18" s="36"/>
      <c r="AB18" s="36"/>
      <c r="AC18" s="36"/>
      <c r="AD18" s="36"/>
      <c r="AE18" s="37"/>
      <c r="AF18" s="36"/>
      <c r="AG18" s="36"/>
      <c r="AH18" s="36"/>
      <c r="AI18" s="36"/>
      <c r="AJ18" s="37"/>
      <c r="AK18" s="36">
        <f>CES_Qtr!AK27</f>
        <v>0</v>
      </c>
      <c r="AL18" s="36">
        <f>CES_Qtr!AL27</f>
        <v>0</v>
      </c>
      <c r="AM18" s="36">
        <f>CES_Qtr!AM27</f>
        <v>0</v>
      </c>
      <c r="AN18" s="36">
        <f>CES_Qtr!AN27</f>
        <v>0</v>
      </c>
      <c r="AO18" s="37">
        <f>CES_Qtr!AO27</f>
        <v>0</v>
      </c>
      <c r="AP18" s="36">
        <f>CES_Qtr!AP27</f>
        <v>1214</v>
      </c>
      <c r="AQ18" s="36">
        <f>CES_Qtr!AQ27</f>
        <v>1389</v>
      </c>
      <c r="AR18" s="36">
        <f>CES_Qtr!AR27</f>
        <v>1545</v>
      </c>
      <c r="AS18" s="36">
        <f>CES_Qtr!AS27</f>
        <v>1495</v>
      </c>
      <c r="AT18" s="37">
        <f>CES_Qtr!AT27</f>
        <v>5643</v>
      </c>
      <c r="AU18" s="36">
        <f>CES_Qtr!AU27</f>
        <v>1419</v>
      </c>
      <c r="AV18" s="36">
        <f>CES_Qtr!AV27</f>
        <v>1679</v>
      </c>
      <c r="AW18" s="36">
        <f>CES_Qtr!AW27</f>
        <v>1799</v>
      </c>
      <c r="AX18" s="36">
        <f>CES_Qtr!AX27</f>
        <v>2158</v>
      </c>
      <c r="AY18" s="37">
        <f>CES_Qtr!AY27</f>
        <v>7055</v>
      </c>
      <c r="AZ18" s="36">
        <f>CES_Qtr!AZ27</f>
        <v>1920</v>
      </c>
      <c r="BA18" s="36">
        <f>CES_Qtr!BA27</f>
        <v>2232</v>
      </c>
      <c r="BB18" s="36">
        <f>CES_Qtr!BB27</f>
        <v>2436</v>
      </c>
      <c r="BC18" s="36">
        <f>CES_Qtr!BC27</f>
        <v>2273</v>
      </c>
      <c r="BD18" s="37">
        <f>CES_Qtr!BD27</f>
        <v>8861</v>
      </c>
      <c r="BE18" s="36">
        <f>CES_Qtr!BE27</f>
        <v>2356</v>
      </c>
      <c r="BF18" s="36">
        <f>CES_Qtr!BF27</f>
        <v>2657</v>
      </c>
      <c r="BG18" s="36">
        <f>CES_Qtr!BG27</f>
        <v>2659.1958442500004</v>
      </c>
      <c r="BH18" s="36">
        <f>CES_Qtr!BH27</f>
        <v>2674.6602841018466</v>
      </c>
      <c r="BI18" s="37">
        <f>CES_Qtr!BI27</f>
        <v>10346.856128351847</v>
      </c>
      <c r="BJ18" s="520" t="str">
        <f>CES_Qtr!BJ19</f>
        <v>10.25-10.35bn</v>
      </c>
      <c r="BK18" s="520"/>
      <c r="BL18" s="606">
        <v>8600</v>
      </c>
      <c r="BM18" s="252"/>
      <c r="BN18"/>
      <c r="BY18" s="247"/>
      <c r="BZ18" s="247"/>
      <c r="CA18" s="247"/>
      <c r="CB18" s="247"/>
      <c r="CC18" s="247"/>
      <c r="CD18" s="247"/>
      <c r="CE18" s="247"/>
    </row>
    <row r="19" spans="1:83">
      <c r="A19" s="1" t="s">
        <v>469</v>
      </c>
      <c r="B19" s="36"/>
      <c r="C19" s="36"/>
      <c r="D19" s="36"/>
      <c r="E19" s="36"/>
      <c r="F19" s="37"/>
      <c r="G19" s="36"/>
      <c r="H19" s="36"/>
      <c r="I19" s="36"/>
      <c r="J19" s="36"/>
      <c r="K19" s="37"/>
      <c r="L19" s="36"/>
      <c r="M19" s="36"/>
      <c r="N19" s="36"/>
      <c r="O19" s="36"/>
      <c r="P19" s="37"/>
      <c r="Q19" s="36"/>
      <c r="R19" s="36"/>
      <c r="S19" s="36"/>
      <c r="T19" s="36"/>
      <c r="U19" s="37"/>
      <c r="V19" s="36"/>
      <c r="W19" s="36"/>
      <c r="X19" s="36"/>
      <c r="Y19" s="36"/>
      <c r="Z19" s="37"/>
      <c r="AA19" s="36"/>
      <c r="AB19" s="36"/>
      <c r="AC19" s="36"/>
      <c r="AD19" s="36"/>
      <c r="AE19" s="37"/>
      <c r="AF19" s="36"/>
      <c r="AG19" s="36"/>
      <c r="AH19" s="36"/>
      <c r="AI19" s="36"/>
      <c r="AJ19" s="37"/>
      <c r="AK19" s="36">
        <f>'Def and Prop Tech_Qtr'!AK27</f>
        <v>0</v>
      </c>
      <c r="AL19" s="36">
        <f>'Def and Prop Tech_Qtr'!AL27</f>
        <v>0</v>
      </c>
      <c r="AM19" s="36">
        <f>'Def and Prop Tech_Qtr'!AM27</f>
        <v>0</v>
      </c>
      <c r="AN19" s="36">
        <f>'Def and Prop Tech_Qtr'!AN27</f>
        <v>0</v>
      </c>
      <c r="AO19" s="37">
        <f>'Def and Prop Tech_Qtr'!AO27</f>
        <v>0</v>
      </c>
      <c r="AP19" s="36">
        <f>'Def and Prop Tech_Qtr'!AP27</f>
        <v>201</v>
      </c>
      <c r="AQ19" s="36">
        <f>'Def and Prop Tech_Qtr'!AQ27</f>
        <v>201</v>
      </c>
      <c r="AR19" s="36">
        <f>'Def and Prop Tech_Qtr'!AR27</f>
        <v>269</v>
      </c>
      <c r="AS19" s="36">
        <f>'Def and Prop Tech_Qtr'!AS27</f>
        <v>237</v>
      </c>
      <c r="AT19" s="37">
        <f>'Def and Prop Tech_Qtr'!AT27</f>
        <v>908</v>
      </c>
      <c r="AU19" s="36">
        <f>'Def and Prop Tech_Qtr'!AU27</f>
        <v>256</v>
      </c>
      <c r="AV19" s="36">
        <f>'Def and Prop Tech_Qtr'!AV27</f>
        <v>344</v>
      </c>
      <c r="AW19" s="36">
        <f>'Def and Prop Tech_Qtr'!AW27</f>
        <v>220</v>
      </c>
      <c r="AX19" s="36">
        <f>'Def and Prop Tech_Qtr'!AX27</f>
        <v>241</v>
      </c>
      <c r="AY19" s="37">
        <f>'Def and Prop Tech_Qtr'!AY27</f>
        <v>1061</v>
      </c>
      <c r="AZ19" s="36">
        <f>'Def and Prop Tech_Qtr'!AZ27</f>
        <v>296</v>
      </c>
      <c r="BA19" s="36">
        <f>'Def and Prop Tech_Qtr'!BA27</f>
        <v>362</v>
      </c>
      <c r="BB19" s="36">
        <f>'Def and Prop Tech_Qtr'!BB27</f>
        <v>386</v>
      </c>
      <c r="BC19" s="36">
        <f>'Def and Prop Tech_Qtr'!BC27</f>
        <v>252</v>
      </c>
      <c r="BD19" s="37">
        <f>'Def and Prop Tech_Qtr'!BD27</f>
        <v>1296</v>
      </c>
      <c r="BE19" s="36">
        <f>'Def and Prop Tech_Qtr'!BE27</f>
        <v>379</v>
      </c>
      <c r="BF19" s="36">
        <f>'Def and Prop Tech_Qtr'!BF27</f>
        <v>475</v>
      </c>
      <c r="BG19" s="36">
        <f>'Def and Prop Tech_Qtr'!BG27</f>
        <v>438.76332500000001</v>
      </c>
      <c r="BH19" s="36">
        <f>'Def and Prop Tech_Qtr'!BH27</f>
        <v>398.73849500000028</v>
      </c>
      <c r="BI19" s="37">
        <f>'Def and Prop Tech_Qtr'!BI27</f>
        <v>1691.5018200000002</v>
      </c>
      <c r="BJ19" s="520" t="str">
        <f>'Def and Prop Tech_Qtr'!BJ27</f>
        <v>1.6-1.7bn</v>
      </c>
      <c r="BK19" s="520"/>
      <c r="BL19" s="606">
        <v>1500</v>
      </c>
      <c r="BM19" s="252"/>
      <c r="BN19"/>
      <c r="BY19" s="247"/>
      <c r="BZ19" s="247"/>
      <c r="CA19" s="247"/>
      <c r="CB19" s="247"/>
      <c r="CC19" s="247"/>
      <c r="CD19" s="247"/>
      <c r="CE19" s="247"/>
    </row>
    <row r="20" spans="1:83" hidden="1" outlineLevel="1">
      <c r="A20" s="1" t="s">
        <v>471</v>
      </c>
      <c r="B20" s="36"/>
      <c r="C20" s="36"/>
      <c r="D20" s="36"/>
      <c r="E20" s="36"/>
      <c r="F20" s="37"/>
      <c r="G20" s="36"/>
      <c r="H20" s="36"/>
      <c r="I20" s="36"/>
      <c r="J20" s="36"/>
      <c r="K20" s="37"/>
      <c r="L20" s="36"/>
      <c r="M20" s="36"/>
      <c r="N20" s="36"/>
      <c r="O20" s="36"/>
      <c r="P20" s="37"/>
      <c r="Q20" s="36"/>
      <c r="R20" s="36"/>
      <c r="S20" s="36"/>
      <c r="T20" s="36"/>
      <c r="U20" s="37"/>
      <c r="V20" s="36"/>
      <c r="W20" s="36"/>
      <c r="X20" s="36"/>
      <c r="Y20" s="36"/>
      <c r="Z20" s="37"/>
      <c r="AA20" s="36"/>
      <c r="AB20" s="36"/>
      <c r="AC20" s="36"/>
      <c r="AD20" s="36"/>
      <c r="AE20" s="37"/>
      <c r="AF20" s="36"/>
      <c r="AG20" s="36"/>
      <c r="AH20" s="36"/>
      <c r="AI20" s="36"/>
      <c r="AJ20" s="37"/>
      <c r="AK20" s="36">
        <v>908</v>
      </c>
      <c r="AL20" s="36">
        <v>1148</v>
      </c>
      <c r="AM20" s="36">
        <v>1284</v>
      </c>
      <c r="AN20" s="36">
        <v>1435</v>
      </c>
      <c r="AO20" s="37">
        <v>4775</v>
      </c>
      <c r="AP20" s="36"/>
      <c r="AQ20" s="36"/>
      <c r="AR20" s="36"/>
      <c r="AS20" s="36"/>
      <c r="AT20" s="37"/>
      <c r="AU20" s="36"/>
      <c r="AV20" s="36"/>
      <c r="AW20" s="36"/>
      <c r="AX20" s="36"/>
      <c r="AY20" s="37"/>
      <c r="AZ20" s="36"/>
      <c r="BA20" s="36"/>
      <c r="BB20" s="36"/>
      <c r="BC20" s="36"/>
      <c r="BD20" s="37"/>
      <c r="BE20" s="36"/>
      <c r="BF20" s="36"/>
      <c r="BG20" s="36"/>
      <c r="BH20" s="36"/>
      <c r="BI20" s="37"/>
      <c r="BJ20" s="520"/>
      <c r="BK20" s="520"/>
      <c r="BL20" s="98"/>
      <c r="BM20" s="252"/>
      <c r="BN20"/>
      <c r="BY20" s="247"/>
      <c r="BZ20" s="247"/>
      <c r="CA20" s="247"/>
      <c r="CB20" s="247"/>
      <c r="CC20" s="247"/>
      <c r="CD20" s="247"/>
      <c r="CE20" s="247"/>
    </row>
    <row r="21" spans="1:83" hidden="1" outlineLevel="1">
      <c r="A21" s="1" t="s">
        <v>365</v>
      </c>
      <c r="B21" s="40"/>
      <c r="C21" s="40"/>
      <c r="D21" s="40"/>
      <c r="E21" s="40"/>
      <c r="F21" s="42"/>
      <c r="G21" s="40"/>
      <c r="H21" s="40"/>
      <c r="I21" s="40"/>
      <c r="J21" s="40"/>
      <c r="K21" s="42"/>
      <c r="L21" s="40"/>
      <c r="M21" s="40"/>
      <c r="N21" s="40"/>
      <c r="O21" s="40"/>
      <c r="P21" s="42"/>
      <c r="Q21" s="40"/>
      <c r="R21" s="40"/>
      <c r="S21" s="40"/>
      <c r="T21" s="40"/>
      <c r="U21" s="42"/>
      <c r="V21" s="40"/>
      <c r="W21" s="40"/>
      <c r="X21" s="40"/>
      <c r="Y21" s="20"/>
      <c r="Z21" s="42"/>
      <c r="AA21" s="40"/>
      <c r="AB21" s="40"/>
      <c r="AC21" s="40"/>
      <c r="AD21" s="40"/>
      <c r="AE21" s="21"/>
      <c r="AF21" s="40"/>
      <c r="AG21" s="40"/>
      <c r="AH21" s="40"/>
      <c r="AI21" s="40"/>
      <c r="AJ21" s="21"/>
      <c r="AK21" s="40">
        <f>63-434</f>
        <v>-371</v>
      </c>
      <c r="AL21" s="40">
        <f>320-419</f>
        <v>-99</v>
      </c>
      <c r="AM21" s="40">
        <f>141-934</f>
        <v>-793</v>
      </c>
      <c r="AN21" s="41">
        <f>+AO21-SUM(AK21:AM21)</f>
        <v>240</v>
      </c>
      <c r="AO21" s="42">
        <f>1217-2240</f>
        <v>-1023</v>
      </c>
      <c r="AP21" s="40"/>
      <c r="AQ21" s="40"/>
      <c r="AR21" s="40"/>
      <c r="AS21" s="40"/>
      <c r="AT21" s="21"/>
      <c r="AU21" s="40"/>
      <c r="AV21" s="40"/>
      <c r="AW21" s="40"/>
      <c r="AX21" s="40"/>
      <c r="AY21" s="21"/>
      <c r="AZ21" s="40"/>
      <c r="BA21" s="40"/>
      <c r="BB21" s="40"/>
      <c r="BC21" s="40"/>
      <c r="BD21" s="21"/>
      <c r="BE21" s="40"/>
      <c r="BF21" s="40"/>
      <c r="BG21" s="40"/>
      <c r="BH21" s="40"/>
      <c r="BI21" s="21">
        <f>SUM(BE21:BH21)</f>
        <v>0</v>
      </c>
      <c r="BL21" s="98"/>
      <c r="BN21"/>
      <c r="BY21" s="247"/>
      <c r="BZ21" s="247"/>
      <c r="CA21" s="247"/>
      <c r="CB21" s="247"/>
      <c r="CC21" s="247"/>
      <c r="CD21" s="247"/>
      <c r="CE21" s="247"/>
    </row>
    <row r="22" spans="1:83" collapsed="1">
      <c r="A22" s="4" t="s">
        <v>16</v>
      </c>
      <c r="B22" s="184"/>
      <c r="C22" s="184"/>
      <c r="D22" s="184"/>
      <c r="E22" s="184"/>
      <c r="F22" s="77"/>
      <c r="G22" s="184"/>
      <c r="H22" s="184"/>
      <c r="I22" s="184"/>
      <c r="J22" s="184"/>
      <c r="K22" s="77"/>
      <c r="L22" s="184"/>
      <c r="M22" s="184"/>
      <c r="N22" s="184"/>
      <c r="O22" s="184"/>
      <c r="P22" s="77"/>
      <c r="Q22" s="184"/>
      <c r="R22" s="184"/>
      <c r="S22" s="184"/>
      <c r="T22" s="184"/>
      <c r="U22" s="77"/>
      <c r="V22" s="184"/>
      <c r="W22" s="184"/>
      <c r="X22" s="184"/>
      <c r="Y22" s="184"/>
      <c r="Z22" s="77"/>
      <c r="AA22" s="184"/>
      <c r="AB22" s="184"/>
      <c r="AC22" s="184"/>
      <c r="AD22" s="184"/>
      <c r="AE22" s="77"/>
      <c r="AF22" s="184"/>
      <c r="AG22" s="184"/>
      <c r="AH22" s="184"/>
      <c r="AI22" s="184"/>
      <c r="AJ22" s="77"/>
      <c r="AK22" s="89">
        <f>SUM(AK18:AK21)</f>
        <v>537</v>
      </c>
      <c r="AL22" s="89">
        <f>SUM(AL18:AL21)</f>
        <v>1049</v>
      </c>
      <c r="AM22" s="89">
        <f>SUM(AM18:AM21)</f>
        <v>491</v>
      </c>
      <c r="AN22" s="89">
        <f>SUM(AN18:AN21)</f>
        <v>1675</v>
      </c>
      <c r="AO22" s="110">
        <f>SUM(AK22:AN22)</f>
        <v>3752</v>
      </c>
      <c r="AP22" s="512">
        <f>SUM(AP18:AP19)+1</f>
        <v>1416</v>
      </c>
      <c r="AQ22" s="89">
        <f t="shared" ref="AQ22:AZ22" si="17">SUM(AQ18:AQ19)</f>
        <v>1590</v>
      </c>
      <c r="AR22" s="89">
        <f t="shared" si="17"/>
        <v>1814</v>
      </c>
      <c r="AS22" s="89">
        <f t="shared" si="17"/>
        <v>1732</v>
      </c>
      <c r="AT22" s="110">
        <f t="shared" si="17"/>
        <v>6551</v>
      </c>
      <c r="AU22" s="89">
        <f t="shared" si="17"/>
        <v>1675</v>
      </c>
      <c r="AV22" s="89">
        <f t="shared" si="17"/>
        <v>2023</v>
      </c>
      <c r="AW22" s="89">
        <f t="shared" si="17"/>
        <v>2019</v>
      </c>
      <c r="AX22" s="89">
        <f t="shared" si="17"/>
        <v>2399</v>
      </c>
      <c r="AY22" s="110">
        <f t="shared" si="17"/>
        <v>8116</v>
      </c>
      <c r="AZ22" s="89">
        <f t="shared" si="17"/>
        <v>2216</v>
      </c>
      <c r="BA22" s="89">
        <f t="shared" ref="BA22" si="18">SUM(BA18:BA19)</f>
        <v>2594</v>
      </c>
      <c r="BB22" s="89">
        <f>SUM(BB18:BB21)</f>
        <v>2822</v>
      </c>
      <c r="BC22" s="89">
        <f t="shared" ref="BC22:BD22" si="19">SUM(BC18:BC19)</f>
        <v>2525</v>
      </c>
      <c r="BD22" s="110">
        <f t="shared" si="19"/>
        <v>10157</v>
      </c>
      <c r="BE22" s="89">
        <f t="shared" ref="BE22" si="20">SUM(BE18:BE19)</f>
        <v>2735</v>
      </c>
      <c r="BF22" s="89">
        <f t="shared" ref="BF22" si="21">SUM(BF18:BF19)</f>
        <v>3132</v>
      </c>
      <c r="BG22" s="89">
        <f>SUM(BG18:BG21)</f>
        <v>3097.9591692500003</v>
      </c>
      <c r="BH22" s="89">
        <f>SUM(BH18:BH21)</f>
        <v>3073.3987791018471</v>
      </c>
      <c r="BI22" s="110">
        <f>SUM(BE22:BH22)</f>
        <v>12038.357948351848</v>
      </c>
      <c r="BL22" s="98"/>
      <c r="BN22"/>
    </row>
    <row r="23" spans="1:83">
      <c r="A23" s="12"/>
      <c r="B23" s="64"/>
      <c r="C23" s="65"/>
      <c r="D23" s="65"/>
      <c r="E23" s="47"/>
      <c r="F23" s="39"/>
      <c r="G23" s="64"/>
      <c r="H23" s="65"/>
      <c r="I23" s="65"/>
      <c r="J23" s="47"/>
      <c r="K23" s="39"/>
      <c r="L23" s="64"/>
      <c r="M23" s="65"/>
      <c r="N23" s="65"/>
      <c r="O23" s="47"/>
      <c r="P23" s="39"/>
      <c r="Q23" s="64"/>
      <c r="R23" s="65"/>
      <c r="S23" s="65"/>
      <c r="T23" s="47"/>
      <c r="U23" s="39"/>
      <c r="V23" s="64"/>
      <c r="W23" s="65"/>
      <c r="X23" s="65"/>
      <c r="Y23" s="47"/>
      <c r="Z23" s="39"/>
      <c r="AA23" s="64"/>
      <c r="AB23" s="65"/>
      <c r="AC23" s="65"/>
      <c r="AD23" s="47"/>
      <c r="AE23" s="267"/>
      <c r="AF23" s="65"/>
      <c r="AG23" s="65"/>
      <c r="AH23" s="65"/>
      <c r="AI23" s="47"/>
      <c r="AJ23" s="39"/>
      <c r="AK23" s="65"/>
      <c r="AL23" s="65"/>
      <c r="AM23" s="65"/>
      <c r="AN23" s="47"/>
      <c r="AO23" s="39"/>
      <c r="AP23" s="65"/>
      <c r="AQ23" s="65"/>
      <c r="AR23" s="65"/>
      <c r="AS23" s="47"/>
      <c r="AT23" s="39"/>
      <c r="AU23" s="65"/>
      <c r="AV23" s="65"/>
      <c r="AW23" s="65"/>
      <c r="AX23" s="47"/>
      <c r="AY23" s="39"/>
      <c r="AZ23" s="65"/>
      <c r="BA23" s="65"/>
      <c r="BB23" s="65"/>
      <c r="BC23" s="47"/>
      <c r="BD23" s="39"/>
      <c r="BE23" s="65"/>
      <c r="BF23" s="65"/>
      <c r="BG23" s="65"/>
      <c r="BH23" s="47"/>
      <c r="BI23" s="39"/>
      <c r="BJ23" s="522"/>
      <c r="BK23" s="522"/>
      <c r="BL23" s="98"/>
      <c r="BN23"/>
      <c r="BY23" s="244"/>
      <c r="BZ23" s="244"/>
      <c r="CA23" s="244"/>
      <c r="CB23" s="244"/>
    </row>
    <row r="24" spans="1:83">
      <c r="A24" s="1" t="s">
        <v>202</v>
      </c>
      <c r="B24" s="40"/>
      <c r="C24" s="40"/>
      <c r="D24" s="40"/>
      <c r="E24" s="41"/>
      <c r="F24" s="42"/>
      <c r="G24" s="40"/>
      <c r="H24" s="40"/>
      <c r="I24" s="40"/>
      <c r="J24" s="41"/>
      <c r="K24" s="42"/>
      <c r="L24" s="40"/>
      <c r="M24" s="40"/>
      <c r="N24" s="40"/>
      <c r="O24" s="41"/>
      <c r="P24" s="42"/>
      <c r="Q24" s="40"/>
      <c r="R24" s="40"/>
      <c r="S24" s="40"/>
      <c r="T24" s="41"/>
      <c r="U24" s="42"/>
      <c r="V24" s="40"/>
      <c r="W24" s="40"/>
      <c r="X24" s="40"/>
      <c r="Y24" s="41"/>
      <c r="Z24" s="42"/>
      <c r="AA24" s="40"/>
      <c r="AB24" s="40"/>
      <c r="AC24" s="40"/>
      <c r="AD24" s="41"/>
      <c r="AE24" s="42"/>
      <c r="AF24" s="40"/>
      <c r="AG24" s="40"/>
      <c r="AH24" s="40"/>
      <c r="AI24" s="41"/>
      <c r="AJ24" s="42"/>
      <c r="AK24" s="66">
        <f>AK26-AK22</f>
        <v>-122</v>
      </c>
      <c r="AL24" s="66">
        <f>AL26-AL22</f>
        <v>-31</v>
      </c>
      <c r="AM24" s="66">
        <f>AM26-AM22</f>
        <v>-132</v>
      </c>
      <c r="AN24" s="66">
        <f>AN26-AN22</f>
        <v>-308</v>
      </c>
      <c r="AO24" s="21">
        <f>SUM(AK24:AN24)</f>
        <v>-593</v>
      </c>
      <c r="AP24" s="213">
        <f>(2632-1385)-AP22</f>
        <v>-169</v>
      </c>
      <c r="AQ24" s="213">
        <f>1385-AQ22</f>
        <v>-205</v>
      </c>
      <c r="AR24" s="213">
        <f>1594-AR22</f>
        <v>-220</v>
      </c>
      <c r="AS24" s="41">
        <f>+AT24-SUM(AP24:AR24)</f>
        <v>-396</v>
      </c>
      <c r="AT24" s="212">
        <f>5561-AT22</f>
        <v>-990</v>
      </c>
      <c r="AU24" s="213">
        <f>1550-AU22</f>
        <v>-125</v>
      </c>
      <c r="AV24" s="213">
        <f>1897-AV22</f>
        <v>-126</v>
      </c>
      <c r="AW24" s="213">
        <f>1818-AW22</f>
        <v>-201</v>
      </c>
      <c r="AX24" s="41">
        <f>+AY24-SUM(AU24:AW24)</f>
        <v>-411</v>
      </c>
      <c r="AY24" s="212">
        <f>7253-AY22</f>
        <v>-863</v>
      </c>
      <c r="AZ24" s="213">
        <f>2146-AZ22</f>
        <v>-70</v>
      </c>
      <c r="BA24" s="213">
        <f>2337-BA22</f>
        <v>-257</v>
      </c>
      <c r="BB24" s="62">
        <v>-523</v>
      </c>
      <c r="BC24" s="41">
        <f>+BD24-SUM(AZ24:BB24)</f>
        <v>-252</v>
      </c>
      <c r="BD24" s="212">
        <v>-1102</v>
      </c>
      <c r="BE24" s="213">
        <v>-206</v>
      </c>
      <c r="BF24" s="213">
        <v>-386</v>
      </c>
      <c r="BG24" s="62">
        <v>-340</v>
      </c>
      <c r="BH24" s="66">
        <f>BI24-SUM(BE24:BG24)</f>
        <v>-358</v>
      </c>
      <c r="BI24" s="42">
        <v>-1290</v>
      </c>
      <c r="BJ24" s="248" t="s">
        <v>600</v>
      </c>
      <c r="BL24" s="606">
        <v>-1000</v>
      </c>
      <c r="BN24"/>
    </row>
    <row r="25" spans="1:83">
      <c r="A25" s="1"/>
      <c r="B25" s="40"/>
      <c r="C25" s="40"/>
      <c r="D25" s="40"/>
      <c r="E25" s="41"/>
      <c r="F25" s="42"/>
      <c r="G25" s="40"/>
      <c r="H25" s="40"/>
      <c r="I25" s="40"/>
      <c r="J25" s="41"/>
      <c r="K25" s="42"/>
      <c r="L25" s="40"/>
      <c r="M25" s="40"/>
      <c r="N25" s="40"/>
      <c r="O25" s="41"/>
      <c r="P25" s="42"/>
      <c r="Q25" s="40"/>
      <c r="R25" s="40"/>
      <c r="S25" s="40"/>
      <c r="T25" s="41"/>
      <c r="U25" s="42"/>
      <c r="V25" s="40"/>
      <c r="W25" s="40"/>
      <c r="X25" s="40"/>
      <c r="Y25" s="41"/>
      <c r="Z25" s="42"/>
      <c r="AA25" s="40"/>
      <c r="AB25" s="40"/>
      <c r="AC25" s="40"/>
      <c r="AD25" s="41"/>
      <c r="AE25" s="42"/>
      <c r="AF25" s="40"/>
      <c r="AG25" s="40"/>
      <c r="AH25" s="40"/>
      <c r="AI25" s="41"/>
      <c r="AJ25" s="42"/>
      <c r="AK25" s="40"/>
      <c r="AL25" s="40"/>
      <c r="AM25" s="40"/>
      <c r="AN25" s="40"/>
      <c r="AO25" s="42"/>
      <c r="AP25" s="40"/>
      <c r="AQ25" s="40"/>
      <c r="AR25" s="40"/>
      <c r="AS25" s="41"/>
      <c r="AT25" s="42"/>
      <c r="AU25" s="40"/>
      <c r="AV25" s="40"/>
      <c r="AW25" s="40"/>
      <c r="AX25" s="41"/>
      <c r="AY25" s="42"/>
      <c r="AZ25" s="40"/>
      <c r="BA25" s="40"/>
      <c r="BB25" s="40"/>
      <c r="BC25" s="41"/>
      <c r="BD25" s="42"/>
      <c r="BE25" s="40"/>
      <c r="BF25" s="40"/>
      <c r="BG25" s="40"/>
      <c r="BH25" s="41"/>
      <c r="BI25" s="42"/>
      <c r="BL25" s="98"/>
      <c r="BN25"/>
    </row>
    <row r="26" spans="1:83">
      <c r="A26" s="6" t="s">
        <v>312</v>
      </c>
      <c r="B26" s="22"/>
      <c r="C26" s="22"/>
      <c r="D26" s="22"/>
      <c r="E26" s="22"/>
      <c r="F26" s="23"/>
      <c r="G26" s="22"/>
      <c r="H26" s="22"/>
      <c r="I26" s="22"/>
      <c r="J26" s="22"/>
      <c r="K26" s="23"/>
      <c r="L26" s="22"/>
      <c r="M26" s="22"/>
      <c r="N26" s="22"/>
      <c r="O26" s="22"/>
      <c r="P26" s="23"/>
      <c r="Q26" s="22"/>
      <c r="R26" s="22"/>
      <c r="S26" s="22"/>
      <c r="T26" s="22"/>
      <c r="U26" s="23"/>
      <c r="V26" s="22"/>
      <c r="W26" s="22"/>
      <c r="X26" s="22"/>
      <c r="Y26" s="22"/>
      <c r="Z26" s="23"/>
      <c r="AA26" s="22"/>
      <c r="AB26" s="22"/>
      <c r="AC26" s="22"/>
      <c r="AD26" s="22"/>
      <c r="AE26" s="23"/>
      <c r="AF26" s="22"/>
      <c r="AG26" s="22"/>
      <c r="AH26" s="22"/>
      <c r="AI26" s="22"/>
      <c r="AJ26" s="23"/>
      <c r="AK26" s="28">
        <v>415</v>
      </c>
      <c r="AL26" s="28">
        <v>1018</v>
      </c>
      <c r="AM26" s="28">
        <v>359</v>
      </c>
      <c r="AN26" s="370">
        <f>+AO26-SUM(AK26:AM26)</f>
        <v>1367</v>
      </c>
      <c r="AO26" s="414">
        <v>3159</v>
      </c>
      <c r="AP26" s="270">
        <f>AP22+AP24</f>
        <v>1247</v>
      </c>
      <c r="AQ26" s="270">
        <f>AQ22+AQ24</f>
        <v>1385</v>
      </c>
      <c r="AR26" s="270">
        <f>AR22+AR24</f>
        <v>1594</v>
      </c>
      <c r="AS26" s="270">
        <f>AS22+AS24</f>
        <v>1336</v>
      </c>
      <c r="AT26" s="23">
        <f>SUM(AP26:AS26)</f>
        <v>5562</v>
      </c>
      <c r="AU26" s="270">
        <f>AU22+AU24</f>
        <v>1550</v>
      </c>
      <c r="AV26" s="270">
        <f>AV22+AV24</f>
        <v>1897</v>
      </c>
      <c r="AW26" s="270">
        <f>AW22+AW24</f>
        <v>1818</v>
      </c>
      <c r="AX26" s="270">
        <f>AX22+AX24</f>
        <v>1988</v>
      </c>
      <c r="AY26" s="23">
        <f>SUM(AU26:AX26)</f>
        <v>7253</v>
      </c>
      <c r="AZ26" s="270">
        <f t="shared" ref="AZ26:BI26" si="22">AZ22+AZ24</f>
        <v>2146</v>
      </c>
      <c r="BA26" s="270">
        <f t="shared" si="22"/>
        <v>2337</v>
      </c>
      <c r="BB26" s="270">
        <f t="shared" si="22"/>
        <v>2299</v>
      </c>
      <c r="BC26" s="270">
        <f>BC22+BC24</f>
        <v>2273</v>
      </c>
      <c r="BD26" s="23">
        <f>SUM(AZ26:BC26)</f>
        <v>9055</v>
      </c>
      <c r="BE26" s="270">
        <f>BE22+BE24-1</f>
        <v>2528</v>
      </c>
      <c r="BF26" s="270">
        <f t="shared" si="22"/>
        <v>2746</v>
      </c>
      <c r="BG26" s="270">
        <f t="shared" si="22"/>
        <v>2757.9591692500003</v>
      </c>
      <c r="BH26" s="270">
        <f t="shared" si="22"/>
        <v>2715.3987791018471</v>
      </c>
      <c r="BI26" s="23">
        <f t="shared" si="22"/>
        <v>10748.357948351848</v>
      </c>
      <c r="BJ26" s="11" t="s">
        <v>645</v>
      </c>
      <c r="BK26" s="11"/>
      <c r="BL26" s="98"/>
      <c r="BN26"/>
    </row>
    <row r="27" spans="1:83">
      <c r="A27" s="1" t="s">
        <v>3</v>
      </c>
      <c r="B27" s="43"/>
      <c r="C27" s="34"/>
      <c r="D27" s="34"/>
      <c r="E27" s="34"/>
      <c r="F27" s="35"/>
      <c r="G27" s="43"/>
      <c r="H27" s="34"/>
      <c r="I27" s="34"/>
      <c r="J27" s="34"/>
      <c r="K27" s="35"/>
      <c r="L27" s="43"/>
      <c r="M27" s="34"/>
      <c r="N27" s="34"/>
      <c r="O27" s="34"/>
      <c r="P27" s="35"/>
      <c r="Q27" s="43"/>
      <c r="R27" s="34"/>
      <c r="S27" s="34"/>
      <c r="T27" s="34"/>
      <c r="U27" s="35"/>
      <c r="V27" s="43"/>
      <c r="W27" s="34"/>
      <c r="X27" s="34"/>
      <c r="Y27" s="34"/>
      <c r="Z27" s="35"/>
      <c r="AA27" s="99"/>
      <c r="AB27" s="34"/>
      <c r="AC27" s="34"/>
      <c r="AD27" s="34"/>
      <c r="AE27" s="35"/>
      <c r="AF27" s="34"/>
      <c r="AG27" s="34"/>
      <c r="AH27" s="34"/>
      <c r="AI27" s="34"/>
      <c r="AJ27" s="35"/>
      <c r="AK27" s="34"/>
      <c r="AL27" s="34"/>
      <c r="AM27" s="34"/>
      <c r="AN27" s="34"/>
      <c r="AO27" s="35"/>
      <c r="AP27" s="34">
        <f>AP26/AP15</f>
        <v>0.17703009653605906</v>
      </c>
      <c r="AQ27" s="34">
        <f>AQ26/AQ15</f>
        <v>0.1751612495257367</v>
      </c>
      <c r="AR27" s="34">
        <f>AR26/AR15</f>
        <v>0.1884160756501182</v>
      </c>
      <c r="AS27" s="34">
        <f t="shared" ref="AS27:AT27" si="23">AS26/AS15</f>
        <v>0.15629386991109032</v>
      </c>
      <c r="AT27" s="35">
        <f t="shared" si="23"/>
        <v>0.17403548296254576</v>
      </c>
      <c r="AU27" s="34">
        <f>AU26/AU15</f>
        <v>0.1919266963843487</v>
      </c>
      <c r="AV27" s="34">
        <f>AV26/AV15</f>
        <v>0.23069439377356196</v>
      </c>
      <c r="AW27" s="34">
        <f>AW26/AW15</f>
        <v>0.20328748742032876</v>
      </c>
      <c r="AX27" s="34">
        <f t="shared" ref="AX27:AY27" si="24">AX26/AX15</f>
        <v>0.20121457489878541</v>
      </c>
      <c r="AY27" s="35">
        <f t="shared" si="24"/>
        <v>0.20651462088209332</v>
      </c>
      <c r="AZ27" s="34">
        <f t="shared" ref="AZ27:BI27" si="25">AZ26/AZ15</f>
        <v>0.23841795356071549</v>
      </c>
      <c r="BA27" s="34">
        <f t="shared" si="25"/>
        <v>0.23022362328834597</v>
      </c>
      <c r="BB27" s="34">
        <f t="shared" si="25"/>
        <v>0.20336134453781513</v>
      </c>
      <c r="BC27" s="34">
        <f t="shared" si="25"/>
        <v>0.19153956349540743</v>
      </c>
      <c r="BD27" s="35">
        <f t="shared" si="25"/>
        <v>0.21395491706441094</v>
      </c>
      <c r="BE27" s="34">
        <f t="shared" si="25"/>
        <v>0.21766833132426383</v>
      </c>
      <c r="BF27" s="34">
        <f t="shared" si="25"/>
        <v>0.21735000791514961</v>
      </c>
      <c r="BG27" s="34">
        <f t="shared" si="25"/>
        <v>0.22078633836287467</v>
      </c>
      <c r="BH27" s="34">
        <f t="shared" si="25"/>
        <v>0.20032563820029672</v>
      </c>
      <c r="BI27" s="35">
        <f t="shared" si="25"/>
        <v>0.21371286155398456</v>
      </c>
      <c r="BL27" s="98"/>
      <c r="BN27"/>
    </row>
    <row r="28" spans="1:83">
      <c r="F28" s="25"/>
      <c r="K28" s="25"/>
      <c r="P28" s="25"/>
      <c r="U28" s="25"/>
      <c r="Z28" s="25"/>
      <c r="AB28" s="73"/>
      <c r="AC28" s="73"/>
      <c r="AE28" s="25"/>
      <c r="AH28" s="73"/>
      <c r="AJ28" s="25"/>
      <c r="AM28" s="73"/>
      <c r="AN28" s="73"/>
      <c r="AO28" s="25"/>
      <c r="AT28" s="25"/>
      <c r="AY28" s="25"/>
      <c r="BB28" s="73"/>
      <c r="BD28" s="25"/>
      <c r="BG28" s="73"/>
      <c r="BI28" s="25"/>
      <c r="BL28" s="98"/>
      <c r="BN28"/>
    </row>
    <row r="29" spans="1:83">
      <c r="A29" s="1" t="s">
        <v>207</v>
      </c>
      <c r="B29" s="61"/>
      <c r="C29" s="62"/>
      <c r="D29" s="62"/>
      <c r="E29" s="60"/>
      <c r="F29" s="63"/>
      <c r="G29" s="61"/>
      <c r="H29" s="62"/>
      <c r="I29" s="62"/>
      <c r="J29" s="60"/>
      <c r="K29" s="63"/>
      <c r="L29" s="61"/>
      <c r="M29" s="62"/>
      <c r="N29" s="62"/>
      <c r="O29" s="60"/>
      <c r="P29" s="63"/>
      <c r="Q29" s="209"/>
      <c r="R29" s="213"/>
      <c r="S29" s="213"/>
      <c r="T29" s="239"/>
      <c r="U29" s="212"/>
      <c r="V29" s="232"/>
      <c r="W29" s="232"/>
      <c r="X29" s="232"/>
      <c r="Y29" s="60"/>
      <c r="Z29" s="234"/>
      <c r="AA29" s="61"/>
      <c r="AB29" s="62"/>
      <c r="AC29" s="62"/>
      <c r="AD29" s="269"/>
      <c r="AE29" s="21"/>
      <c r="AF29" s="40"/>
      <c r="AG29" s="40"/>
      <c r="AH29" s="62"/>
      <c r="AI29" s="269"/>
      <c r="AJ29" s="21"/>
      <c r="AK29" s="62">
        <v>-373</v>
      </c>
      <c r="AL29" s="62">
        <v>-356</v>
      </c>
      <c r="AM29" s="62">
        <v>-361</v>
      </c>
      <c r="AN29" s="368">
        <f>+AO29-SUM(AK29:AM29)</f>
        <v>-338</v>
      </c>
      <c r="AO29" s="42">
        <v>-1428</v>
      </c>
      <c r="AP29" s="62">
        <f>-(477-238)</f>
        <v>-239</v>
      </c>
      <c r="AQ29" s="62">
        <v>-238</v>
      </c>
      <c r="AR29" s="62">
        <v>-258</v>
      </c>
      <c r="AS29" s="41">
        <f>+AT29-SUM(AP29:AR29)</f>
        <v>-252</v>
      </c>
      <c r="AT29" s="63">
        <v>-987</v>
      </c>
      <c r="AU29" s="62">
        <v>-256</v>
      </c>
      <c r="AV29" s="62">
        <v>-239</v>
      </c>
      <c r="AW29" s="62">
        <v>-245</v>
      </c>
      <c r="AX29" s="41">
        <f>+AY29-SUM(AU29:AW29)</f>
        <v>-218</v>
      </c>
      <c r="AY29" s="63">
        <v>-958</v>
      </c>
      <c r="AZ29" s="62">
        <v>-204</v>
      </c>
      <c r="BA29" s="62">
        <v>-152</v>
      </c>
      <c r="BB29" s="62">
        <v>-219</v>
      </c>
      <c r="BC29" s="41">
        <f>+BD29-SUM(AZ29:BB29)</f>
        <v>-241</v>
      </c>
      <c r="BD29" s="63">
        <v>-816</v>
      </c>
      <c r="BE29" s="62">
        <v>-225</v>
      </c>
      <c r="BF29" s="62">
        <v>-208</v>
      </c>
      <c r="BG29" s="471">
        <f ca="1">-Debt_Qtr!BG78</f>
        <v>-233.32731250000001</v>
      </c>
      <c r="BH29" s="471">
        <f ca="1">-Debt_Qtr!BH78</f>
        <v>-234.32731250000001</v>
      </c>
      <c r="BI29" s="71">
        <f ca="1">SUM(BE29:BH29)</f>
        <v>-900.65462500000012</v>
      </c>
      <c r="BJ29" s="261" t="s">
        <v>601</v>
      </c>
      <c r="BK29" s="261" t="s">
        <v>513</v>
      </c>
      <c r="BL29" s="98"/>
      <c r="BN29"/>
    </row>
    <row r="30" spans="1:83">
      <c r="A30" s="1" t="s">
        <v>318</v>
      </c>
      <c r="B30" s="61"/>
      <c r="C30" s="62"/>
      <c r="D30" s="62"/>
      <c r="E30" s="60"/>
      <c r="F30" s="63"/>
      <c r="G30" s="61"/>
      <c r="H30" s="62"/>
      <c r="I30" s="62"/>
      <c r="J30" s="60"/>
      <c r="K30" s="63"/>
      <c r="L30" s="61"/>
      <c r="M30" s="62"/>
      <c r="N30" s="62"/>
      <c r="O30" s="60"/>
      <c r="P30" s="63"/>
      <c r="Q30" s="209"/>
      <c r="R30" s="213"/>
      <c r="S30" s="213"/>
      <c r="T30" s="239"/>
      <c r="U30" s="212"/>
      <c r="V30" s="232"/>
      <c r="W30" s="232"/>
      <c r="X30" s="232"/>
      <c r="Y30" s="60"/>
      <c r="Z30" s="234"/>
      <c r="AA30" s="61"/>
      <c r="AB30" s="62"/>
      <c r="AC30" s="62"/>
      <c r="AD30" s="62"/>
      <c r="AE30" s="21"/>
      <c r="AF30" s="213"/>
      <c r="AG30" s="62"/>
      <c r="AH30" s="62"/>
      <c r="AI30" s="62"/>
      <c r="AJ30" s="21"/>
      <c r="AK30" s="62">
        <f>-47+14</f>
        <v>-33</v>
      </c>
      <c r="AL30" s="62">
        <f>-61+7</f>
        <v>-54</v>
      </c>
      <c r="AM30" s="62">
        <f>-52-2</f>
        <v>-54</v>
      </c>
      <c r="AN30" s="368">
        <f>+AO30-SUM(AK30:AM30)</f>
        <v>-56</v>
      </c>
      <c r="AO30" s="42">
        <f>-213+16</f>
        <v>-197</v>
      </c>
      <c r="AP30" s="62">
        <v>0</v>
      </c>
      <c r="AQ30" s="62">
        <v>0</v>
      </c>
      <c r="AR30" s="62">
        <v>0</v>
      </c>
      <c r="AS30" s="41">
        <f>+AT30-SUM(AP30:AR30)</f>
        <v>0</v>
      </c>
      <c r="AT30" s="63">
        <v>0</v>
      </c>
      <c r="AU30" s="62">
        <v>0</v>
      </c>
      <c r="AV30" s="62">
        <v>0</v>
      </c>
      <c r="AW30" s="62">
        <v>0</v>
      </c>
      <c r="AX30" s="41">
        <f>+AY30-SUM(AU30:AW30)</f>
        <v>0</v>
      </c>
      <c r="AY30" s="63">
        <v>0</v>
      </c>
      <c r="AZ30" s="62">
        <v>0</v>
      </c>
      <c r="BA30" s="62">
        <v>0</v>
      </c>
      <c r="BB30" s="62">
        <v>0</v>
      </c>
      <c r="BC30" s="41">
        <f>+BD30-SUM(AZ30:BB30)</f>
        <v>0</v>
      </c>
      <c r="BD30" s="63">
        <v>0</v>
      </c>
      <c r="BE30" s="62">
        <v>0</v>
      </c>
      <c r="BF30" s="62">
        <v>-2</v>
      </c>
      <c r="BG30" s="62">
        <v>0</v>
      </c>
      <c r="BH30" s="62">
        <v>0</v>
      </c>
      <c r="BI30" s="21">
        <f>SUM(BE30:BH30)</f>
        <v>-2</v>
      </c>
      <c r="BJ30" s="261"/>
      <c r="BK30" s="261"/>
      <c r="BL30" s="98"/>
      <c r="BN30"/>
    </row>
    <row r="31" spans="1:83">
      <c r="A31" s="6" t="s">
        <v>41</v>
      </c>
      <c r="B31" s="22"/>
      <c r="C31" s="22"/>
      <c r="D31" s="22"/>
      <c r="E31" s="22"/>
      <c r="F31" s="23"/>
      <c r="G31" s="22"/>
      <c r="H31" s="22"/>
      <c r="I31" s="22"/>
      <c r="J31" s="22"/>
      <c r="K31" s="23"/>
      <c r="L31" s="22"/>
      <c r="M31" s="22"/>
      <c r="N31" s="22"/>
      <c r="O31" s="22"/>
      <c r="P31" s="23"/>
      <c r="Q31" s="22"/>
      <c r="R31" s="22"/>
      <c r="S31" s="22"/>
      <c r="T31" s="22"/>
      <c r="U31" s="23"/>
      <c r="V31" s="22"/>
      <c r="W31" s="22"/>
      <c r="X31" s="22"/>
      <c r="Y31" s="22"/>
      <c r="Z31" s="23"/>
      <c r="AA31" s="22"/>
      <c r="AB31" s="22"/>
      <c r="AC31" s="22"/>
      <c r="AD31" s="22"/>
      <c r="AE31" s="23"/>
      <c r="AF31" s="22"/>
      <c r="AG31" s="22"/>
      <c r="AH31" s="22"/>
      <c r="AI31" s="22"/>
      <c r="AJ31" s="23"/>
      <c r="AK31" s="22">
        <f>AK26+AK29+AK30</f>
        <v>9</v>
      </c>
      <c r="AL31" s="22">
        <f>AL26+AL29+AL30</f>
        <v>608</v>
      </c>
      <c r="AM31" s="22">
        <f>AM26+AM29+AM30</f>
        <v>-56</v>
      </c>
      <c r="AN31" s="22">
        <f>AN26+AN29+AN30</f>
        <v>973</v>
      </c>
      <c r="AO31" s="23">
        <f>SUM(AK31:AN31)</f>
        <v>1534</v>
      </c>
      <c r="AP31" s="22">
        <f t="shared" ref="AP31:BB31" si="26">AP26+AP29+AP30</f>
        <v>1008</v>
      </c>
      <c r="AQ31" s="22">
        <f t="shared" si="26"/>
        <v>1147</v>
      </c>
      <c r="AR31" s="22">
        <f t="shared" si="26"/>
        <v>1336</v>
      </c>
      <c r="AS31" s="22">
        <f t="shared" si="26"/>
        <v>1084</v>
      </c>
      <c r="AT31" s="23">
        <f t="shared" si="26"/>
        <v>4575</v>
      </c>
      <c r="AU31" s="22">
        <f t="shared" si="26"/>
        <v>1294</v>
      </c>
      <c r="AV31" s="22">
        <f t="shared" si="26"/>
        <v>1658</v>
      </c>
      <c r="AW31" s="22">
        <f t="shared" si="26"/>
        <v>1573</v>
      </c>
      <c r="AX31" s="22">
        <f t="shared" si="26"/>
        <v>1770</v>
      </c>
      <c r="AY31" s="23">
        <f t="shared" si="26"/>
        <v>6295</v>
      </c>
      <c r="AZ31" s="22">
        <f t="shared" si="26"/>
        <v>1942</v>
      </c>
      <c r="BA31" s="22">
        <f t="shared" ref="BA31" si="27">BA26+BA29+BA30</f>
        <v>2185</v>
      </c>
      <c r="BB31" s="22">
        <f t="shared" si="26"/>
        <v>2080</v>
      </c>
      <c r="BC31" s="22">
        <f t="shared" ref="BC31:BD31" si="28">BC26+BC29+BC30</f>
        <v>2032</v>
      </c>
      <c r="BD31" s="23">
        <f t="shared" si="28"/>
        <v>8239</v>
      </c>
      <c r="BE31" s="22">
        <f t="shared" ref="BE31:BI31" si="29">BE26+BE29+BE30</f>
        <v>2303</v>
      </c>
      <c r="BF31" s="22">
        <f t="shared" si="29"/>
        <v>2536</v>
      </c>
      <c r="BG31" s="22">
        <f t="shared" ca="1" si="29"/>
        <v>2524.6318567500002</v>
      </c>
      <c r="BH31" s="22">
        <f t="shared" ca="1" si="29"/>
        <v>2481.0714666018471</v>
      </c>
      <c r="BI31" s="23">
        <f t="shared" ca="1" si="29"/>
        <v>9845.7033233518487</v>
      </c>
      <c r="BL31" s="98"/>
      <c r="BN31"/>
    </row>
    <row r="32" spans="1:83">
      <c r="A32" s="1" t="s">
        <v>4</v>
      </c>
      <c r="B32" s="33"/>
      <c r="C32" s="34"/>
      <c r="D32" s="34"/>
      <c r="E32" s="34"/>
      <c r="F32" s="35"/>
      <c r="G32" s="33"/>
      <c r="H32" s="34"/>
      <c r="I32" s="34"/>
      <c r="J32" s="34"/>
      <c r="K32" s="35"/>
      <c r="L32" s="33"/>
      <c r="M32" s="34"/>
      <c r="N32" s="34"/>
      <c r="O32" s="34"/>
      <c r="P32" s="35"/>
      <c r="Q32" s="33"/>
      <c r="R32" s="34"/>
      <c r="S32" s="34"/>
      <c r="T32" s="34"/>
      <c r="U32" s="35"/>
      <c r="V32" s="33"/>
      <c r="W32" s="34"/>
      <c r="X32" s="34"/>
      <c r="Y32" s="34"/>
      <c r="Z32" s="35"/>
      <c r="AA32" s="33"/>
      <c r="AB32" s="34"/>
      <c r="AC32" s="34"/>
      <c r="AD32" s="34"/>
      <c r="AE32" s="35"/>
      <c r="AF32" s="34"/>
      <c r="AG32" s="34"/>
      <c r="AH32" s="34"/>
      <c r="AI32" s="34"/>
      <c r="AJ32" s="35"/>
      <c r="AK32" s="34"/>
      <c r="AL32" s="34"/>
      <c r="AM32" s="34"/>
      <c r="AN32" s="34"/>
      <c r="AO32" s="35"/>
      <c r="AP32" s="34">
        <f>AP31/AK31-1</f>
        <v>111</v>
      </c>
      <c r="AQ32" s="34">
        <f>AQ31/AL31-1</f>
        <v>0.88651315789473695</v>
      </c>
      <c r="AR32" s="34">
        <f>AR31/AM31-1</f>
        <v>-24.857142857142858</v>
      </c>
      <c r="AS32" s="34">
        <f>AS31/AN31-1</f>
        <v>0.11408016443987656</v>
      </c>
      <c r="AT32" s="35"/>
      <c r="AU32" s="34">
        <f>AU31/AP31-1</f>
        <v>0.28373015873015883</v>
      </c>
      <c r="AV32" s="34">
        <f>AV31/AQ31-1</f>
        <v>0.44551002615518742</v>
      </c>
      <c r="AW32" s="34">
        <f>AW31/AR31-1</f>
        <v>0.17739520958083843</v>
      </c>
      <c r="AX32" s="34">
        <f>AX31/AS31-1</f>
        <v>0.63284132841328411</v>
      </c>
      <c r="AY32" s="35"/>
      <c r="AZ32" s="34">
        <f t="shared" ref="AZ32:BI32" si="30">AZ31/AU31-1</f>
        <v>0.50077279752704795</v>
      </c>
      <c r="BA32" s="34">
        <f t="shared" si="30"/>
        <v>0.31785283474065129</v>
      </c>
      <c r="BB32" s="34">
        <f t="shared" si="30"/>
        <v>0.3223140495867769</v>
      </c>
      <c r="BC32" s="34">
        <f>BC31/AX31-1</f>
        <v>0.14802259887005653</v>
      </c>
      <c r="BD32" s="35"/>
      <c r="BE32" s="34">
        <f t="shared" si="30"/>
        <v>0.18589083419155505</v>
      </c>
      <c r="BF32" s="34">
        <f t="shared" si="30"/>
        <v>0.16064073226544617</v>
      </c>
      <c r="BG32" s="34">
        <f t="shared" ca="1" si="30"/>
        <v>0.21376531574519242</v>
      </c>
      <c r="BH32" s="34">
        <f t="shared" ca="1" si="30"/>
        <v>0.22099973750090895</v>
      </c>
      <c r="BI32" s="35">
        <f t="shared" ca="1" si="30"/>
        <v>0.1950119338939007</v>
      </c>
      <c r="BL32" s="98"/>
      <c r="BN32"/>
    </row>
    <row r="33" spans="1:75">
      <c r="A33" s="2"/>
      <c r="B33" s="44"/>
      <c r="C33" s="44"/>
      <c r="D33" s="44"/>
      <c r="E33" s="44"/>
      <c r="F33" s="45"/>
      <c r="G33" s="44"/>
      <c r="H33" s="44"/>
      <c r="I33" s="44"/>
      <c r="J33" s="44"/>
      <c r="K33" s="45"/>
      <c r="L33" s="44"/>
      <c r="M33" s="44"/>
      <c r="N33" s="44"/>
      <c r="O33" s="44"/>
      <c r="P33" s="45"/>
      <c r="Q33" s="44"/>
      <c r="R33" s="44"/>
      <c r="S33" s="44"/>
      <c r="T33" s="44"/>
      <c r="U33" s="45"/>
      <c r="V33" s="44"/>
      <c r="W33" s="44"/>
      <c r="X33" s="44"/>
      <c r="Y33" s="44"/>
      <c r="Z33" s="45"/>
      <c r="AA33" s="44"/>
      <c r="AB33" s="44"/>
      <c r="AC33" s="44"/>
      <c r="AD33" s="44"/>
      <c r="AE33" s="45"/>
      <c r="AF33" s="44"/>
      <c r="AG33" s="44"/>
      <c r="AH33" s="44"/>
      <c r="AI33" s="44"/>
      <c r="AJ33" s="45"/>
      <c r="AK33" s="44"/>
      <c r="AL33" s="44"/>
      <c r="AM33" s="44"/>
      <c r="AN33" s="44"/>
      <c r="AO33" s="45"/>
      <c r="AP33" s="44"/>
      <c r="AQ33" s="44"/>
      <c r="AR33" s="44"/>
      <c r="AS33" s="44"/>
      <c r="AT33" s="45"/>
      <c r="AU33" s="44"/>
      <c r="AV33" s="44"/>
      <c r="AW33" s="44"/>
      <c r="AX33" s="44"/>
      <c r="AY33" s="45"/>
      <c r="AZ33" s="44"/>
      <c r="BA33" s="44"/>
      <c r="BB33" s="44"/>
      <c r="BC33" s="44"/>
      <c r="BD33" s="45"/>
      <c r="BE33" s="44"/>
      <c r="BF33" s="44"/>
      <c r="BG33" s="44"/>
      <c r="BH33" s="44"/>
      <c r="BI33" s="45"/>
      <c r="BL33" s="98"/>
      <c r="BN33"/>
    </row>
    <row r="34" spans="1:75" s="4" customFormat="1">
      <c r="A34" s="12" t="s">
        <v>185</v>
      </c>
      <c r="B34" s="235"/>
      <c r="C34" s="236"/>
      <c r="D34" s="236"/>
      <c r="E34" s="47"/>
      <c r="F34" s="237"/>
      <c r="G34" s="235"/>
      <c r="H34" s="236"/>
      <c r="I34" s="236"/>
      <c r="J34" s="47"/>
      <c r="K34" s="237"/>
      <c r="L34" s="235"/>
      <c r="M34" s="236"/>
      <c r="N34" s="236"/>
      <c r="O34" s="47"/>
      <c r="P34" s="237"/>
      <c r="Q34" s="235"/>
      <c r="R34" s="236"/>
      <c r="S34" s="236"/>
      <c r="T34" s="47"/>
      <c r="U34" s="237"/>
      <c r="V34" s="46"/>
      <c r="W34" s="47"/>
      <c r="X34" s="47"/>
      <c r="Y34" s="47"/>
      <c r="Z34" s="238"/>
      <c r="AA34" s="235"/>
      <c r="AB34" s="80"/>
      <c r="AC34" s="80"/>
      <c r="AD34" s="80"/>
      <c r="AE34" s="39"/>
      <c r="AF34" s="80"/>
      <c r="AG34" s="80"/>
      <c r="AH34" s="80"/>
      <c r="AI34" s="80"/>
      <c r="AJ34" s="39"/>
      <c r="AK34" s="302">
        <v>-45</v>
      </c>
      <c r="AL34" s="302">
        <v>-144</v>
      </c>
      <c r="AM34" s="302">
        <v>-60</v>
      </c>
      <c r="AN34" s="89">
        <f>+AO34-SUM(AK34:AM34)</f>
        <v>-140</v>
      </c>
      <c r="AO34" s="81">
        <v>-389</v>
      </c>
      <c r="AP34" s="302">
        <f>-(471-277)</f>
        <v>-194</v>
      </c>
      <c r="AQ34" s="302">
        <v>-277</v>
      </c>
      <c r="AR34" s="302">
        <v>-257</v>
      </c>
      <c r="AS34" s="367">
        <f>+AT34-SUM(AP34:AR34)</f>
        <v>-365</v>
      </c>
      <c r="AT34" s="81">
        <v>-1093</v>
      </c>
      <c r="AU34" s="302">
        <v>-268</v>
      </c>
      <c r="AV34" s="302">
        <v>-337</v>
      </c>
      <c r="AW34" s="302">
        <v>-318</v>
      </c>
      <c r="AX34" s="367">
        <f>+AY34-SUM(AU34:AW34)</f>
        <v>-337</v>
      </c>
      <c r="AY34" s="81">
        <v>-1260</v>
      </c>
      <c r="AZ34" s="302">
        <v>-341</v>
      </c>
      <c r="BA34" s="302">
        <v>-408</v>
      </c>
      <c r="BB34" s="302">
        <v>-311</v>
      </c>
      <c r="BC34" s="367">
        <f>+BD34-SUM(AZ34:BB34)</f>
        <v>-365</v>
      </c>
      <c r="BD34" s="81">
        <v>-1425</v>
      </c>
      <c r="BE34" s="302">
        <v>-340</v>
      </c>
      <c r="BF34" s="302">
        <v>-422</v>
      </c>
      <c r="BG34" s="367">
        <f t="shared" ref="BG34" ca="1" si="31">-BG35*BG31</f>
        <v>-416.56425636375008</v>
      </c>
      <c r="BH34" s="367">
        <f ca="1">+BI34-SUM(BE34:BG34)</f>
        <v>-426.28538534260133</v>
      </c>
      <c r="BI34" s="39">
        <f ca="1">-BI35*BI31</f>
        <v>-1604.8496417063513</v>
      </c>
      <c r="BJ34" s="243"/>
      <c r="BK34" s="261" t="s">
        <v>513</v>
      </c>
      <c r="BL34" s="98"/>
      <c r="BM34" s="253"/>
      <c r="BN34"/>
      <c r="BO34"/>
      <c r="BP34"/>
      <c r="BR34"/>
      <c r="BS34"/>
      <c r="BT34"/>
      <c r="BU34"/>
      <c r="BV34"/>
      <c r="BW34"/>
    </row>
    <row r="35" spans="1:75">
      <c r="A35" s="1" t="s">
        <v>42</v>
      </c>
      <c r="B35" s="33"/>
      <c r="C35" s="33"/>
      <c r="D35" s="33"/>
      <c r="E35" s="33"/>
      <c r="F35" s="35"/>
      <c r="G35" s="33"/>
      <c r="H35" s="33"/>
      <c r="I35" s="33"/>
      <c r="J35" s="33"/>
      <c r="K35" s="35"/>
      <c r="L35" s="33"/>
      <c r="M35" s="33"/>
      <c r="N35" s="33"/>
      <c r="O35" s="33"/>
      <c r="P35" s="35"/>
      <c r="Q35" s="33"/>
      <c r="R35" s="33"/>
      <c r="S35" s="33"/>
      <c r="T35" s="33"/>
      <c r="U35" s="35"/>
      <c r="V35" s="33"/>
      <c r="W35" s="33"/>
      <c r="X35" s="33"/>
      <c r="Y35" s="33"/>
      <c r="Z35" s="35"/>
      <c r="AA35" s="33"/>
      <c r="AB35" s="33"/>
      <c r="AC35" s="33"/>
      <c r="AD35" s="33"/>
      <c r="AE35" s="35"/>
      <c r="AF35" s="33"/>
      <c r="AG35" s="33"/>
      <c r="AH35" s="33"/>
      <c r="AI35" s="33"/>
      <c r="AJ35" s="35"/>
      <c r="AK35" s="33">
        <f t="shared" ref="AK35:BB35" si="32">-AK34/AK31</f>
        <v>5</v>
      </c>
      <c r="AL35" s="33">
        <f t="shared" si="32"/>
        <v>0.23684210526315788</v>
      </c>
      <c r="AM35" s="33">
        <f t="shared" si="32"/>
        <v>-1.0714285714285714</v>
      </c>
      <c r="AN35" s="33">
        <f t="shared" si="32"/>
        <v>0.14388489208633093</v>
      </c>
      <c r="AO35" s="35">
        <f t="shared" si="32"/>
        <v>0.25358539765319427</v>
      </c>
      <c r="AP35" s="33">
        <f t="shared" si="32"/>
        <v>0.19246031746031747</v>
      </c>
      <c r="AQ35" s="33">
        <f t="shared" si="32"/>
        <v>0.24149956408020923</v>
      </c>
      <c r="AR35" s="33">
        <f t="shared" si="32"/>
        <v>0.19236526946107785</v>
      </c>
      <c r="AS35" s="33">
        <f t="shared" si="32"/>
        <v>0.33671586715867158</v>
      </c>
      <c r="AT35" s="35">
        <f t="shared" si="32"/>
        <v>0.23890710382513661</v>
      </c>
      <c r="AU35" s="33">
        <f t="shared" si="32"/>
        <v>0.2071097372488408</v>
      </c>
      <c r="AV35" s="33">
        <f t="shared" si="32"/>
        <v>0.20325693606755127</v>
      </c>
      <c r="AW35" s="33">
        <f t="shared" si="32"/>
        <v>0.20216147488874761</v>
      </c>
      <c r="AX35" s="33">
        <f t="shared" si="32"/>
        <v>0.19039548022598871</v>
      </c>
      <c r="AY35" s="35">
        <f t="shared" si="32"/>
        <v>0.20015885623510724</v>
      </c>
      <c r="AZ35" s="33">
        <f t="shared" si="32"/>
        <v>0.17559217301750774</v>
      </c>
      <c r="BA35" s="33">
        <f t="shared" si="32"/>
        <v>0.18672768878718535</v>
      </c>
      <c r="BB35" s="33">
        <f t="shared" si="32"/>
        <v>0.14951923076923077</v>
      </c>
      <c r="BC35" s="33">
        <f t="shared" ref="BC35:BF35" si="33">-BC34/BC31</f>
        <v>0.17962598425196849</v>
      </c>
      <c r="BD35" s="35">
        <f t="shared" si="33"/>
        <v>0.17295788323825706</v>
      </c>
      <c r="BE35" s="33">
        <f t="shared" si="33"/>
        <v>0.14763352149370387</v>
      </c>
      <c r="BF35" s="33">
        <f t="shared" si="33"/>
        <v>0.16640378548895898</v>
      </c>
      <c r="BG35" s="172">
        <v>0.16500000000000001</v>
      </c>
      <c r="BH35" s="33">
        <f t="shared" ref="BH35" ca="1" si="34">-BH34/BH31</f>
        <v>0.17181503680200519</v>
      </c>
      <c r="BI35" s="196">
        <v>0.16300000000000001</v>
      </c>
      <c r="BJ35" s="308" t="s">
        <v>648</v>
      </c>
      <c r="BL35" s="544"/>
      <c r="BN35"/>
    </row>
    <row r="36" spans="1:75">
      <c r="A36" s="1"/>
      <c r="B36" s="33"/>
      <c r="C36" s="33"/>
      <c r="D36" s="33"/>
      <c r="E36" s="33"/>
      <c r="F36" s="35"/>
      <c r="G36" s="33"/>
      <c r="H36" s="33"/>
      <c r="I36" s="33"/>
      <c r="J36" s="33"/>
      <c r="K36" s="35"/>
      <c r="L36" s="33"/>
      <c r="M36" s="33"/>
      <c r="N36" s="33"/>
      <c r="O36" s="33"/>
      <c r="P36" s="35"/>
      <c r="Q36" s="33"/>
      <c r="R36" s="33"/>
      <c r="S36" s="33"/>
      <c r="T36" s="33"/>
      <c r="U36" s="35"/>
      <c r="V36" s="33"/>
      <c r="W36" s="33"/>
      <c r="X36" s="33"/>
      <c r="Y36" s="33"/>
      <c r="Z36" s="35"/>
      <c r="AA36" s="33"/>
      <c r="AB36" s="33"/>
      <c r="AC36" s="33"/>
      <c r="AD36" s="172"/>
      <c r="AE36" s="35"/>
      <c r="AF36" s="172"/>
      <c r="AG36" s="172"/>
      <c r="AH36" s="33"/>
      <c r="AI36" s="172"/>
      <c r="AJ36" s="35"/>
      <c r="AK36" s="33"/>
      <c r="AL36" s="33"/>
      <c r="AM36" s="33"/>
      <c r="AN36" s="33"/>
      <c r="AO36" s="35"/>
      <c r="AP36" s="33"/>
      <c r="AQ36" s="33"/>
      <c r="AR36" s="33"/>
      <c r="AS36" s="33"/>
      <c r="AT36" s="35"/>
      <c r="AU36" s="33"/>
      <c r="AV36" s="33"/>
      <c r="AW36" s="33"/>
      <c r="AX36" s="33"/>
      <c r="AY36" s="35"/>
      <c r="AZ36" s="33"/>
      <c r="BA36" s="33"/>
      <c r="BB36" s="33"/>
      <c r="BC36" s="33"/>
      <c r="BD36" s="35"/>
      <c r="BE36" s="33"/>
      <c r="BF36" s="33"/>
      <c r="BG36" s="33"/>
      <c r="BH36" s="33"/>
      <c r="BI36" s="35"/>
      <c r="BJ36" s="308"/>
      <c r="BK36" s="308"/>
      <c r="BL36" s="98"/>
      <c r="BN36"/>
    </row>
    <row r="37" spans="1:75">
      <c r="A37" s="6" t="s">
        <v>211</v>
      </c>
      <c r="B37" s="22"/>
      <c r="C37" s="22"/>
      <c r="D37" s="22"/>
      <c r="E37" s="22"/>
      <c r="F37" s="23"/>
      <c r="G37" s="22"/>
      <c r="H37" s="22"/>
      <c r="I37" s="22"/>
      <c r="J37" s="22"/>
      <c r="K37" s="23"/>
      <c r="L37" s="22"/>
      <c r="M37" s="22"/>
      <c r="N37" s="22"/>
      <c r="O37" s="22"/>
      <c r="P37" s="23"/>
      <c r="Q37" s="22"/>
      <c r="R37" s="22"/>
      <c r="S37" s="22"/>
      <c r="T37" s="22"/>
      <c r="U37" s="23"/>
      <c r="V37" s="22"/>
      <c r="W37" s="22"/>
      <c r="X37" s="22"/>
      <c r="Y37" s="22"/>
      <c r="Z37" s="23"/>
      <c r="AA37" s="22"/>
      <c r="AB37" s="22"/>
      <c r="AC37" s="22"/>
      <c r="AD37" s="22"/>
      <c r="AE37" s="23"/>
      <c r="AF37" s="22"/>
      <c r="AG37" s="22"/>
      <c r="AH37" s="22"/>
      <c r="AI37" s="22"/>
      <c r="AJ37" s="23"/>
      <c r="AK37" s="22">
        <f t="shared" ref="AK37:AS37" si="35">AK31+AK34</f>
        <v>-36</v>
      </c>
      <c r="AL37" s="22">
        <f t="shared" si="35"/>
        <v>464</v>
      </c>
      <c r="AM37" s="22">
        <f t="shared" si="35"/>
        <v>-116</v>
      </c>
      <c r="AN37" s="22">
        <f t="shared" si="35"/>
        <v>833</v>
      </c>
      <c r="AO37" s="23">
        <f t="shared" si="35"/>
        <v>1145</v>
      </c>
      <c r="AP37" s="22">
        <f t="shared" si="35"/>
        <v>814</v>
      </c>
      <c r="AQ37" s="22">
        <f>AQ31+AQ34</f>
        <v>870</v>
      </c>
      <c r="AR37" s="22">
        <f t="shared" si="35"/>
        <v>1079</v>
      </c>
      <c r="AS37" s="22">
        <f t="shared" si="35"/>
        <v>719</v>
      </c>
      <c r="AT37" s="23">
        <f t="shared" ref="AT37:BB37" si="36">AT31+AT34</f>
        <v>3482</v>
      </c>
      <c r="AU37" s="22">
        <f t="shared" si="36"/>
        <v>1026</v>
      </c>
      <c r="AV37" s="22">
        <f t="shared" si="36"/>
        <v>1321</v>
      </c>
      <c r="AW37" s="22">
        <f t="shared" si="36"/>
        <v>1255</v>
      </c>
      <c r="AX37" s="22">
        <f t="shared" si="36"/>
        <v>1433</v>
      </c>
      <c r="AY37" s="23">
        <f t="shared" si="36"/>
        <v>5035</v>
      </c>
      <c r="AZ37" s="22">
        <f t="shared" si="36"/>
        <v>1601</v>
      </c>
      <c r="BA37" s="22">
        <f t="shared" ref="BA37" si="37">BA31+BA34</f>
        <v>1777</v>
      </c>
      <c r="BB37" s="22">
        <f t="shared" si="36"/>
        <v>1769</v>
      </c>
      <c r="BC37" s="22">
        <f t="shared" ref="BC37:BD37" si="38">BC31+BC34</f>
        <v>1667</v>
      </c>
      <c r="BD37" s="23">
        <f t="shared" si="38"/>
        <v>6814</v>
      </c>
      <c r="BE37" s="22">
        <f t="shared" ref="BE37:BI37" si="39">BE31+BE34</f>
        <v>1963</v>
      </c>
      <c r="BF37" s="22">
        <f t="shared" si="39"/>
        <v>2114</v>
      </c>
      <c r="BG37" s="22">
        <f t="shared" ca="1" si="39"/>
        <v>2108.06760038625</v>
      </c>
      <c r="BH37" s="22">
        <f t="shared" ca="1" si="39"/>
        <v>2054.7860812592457</v>
      </c>
      <c r="BI37" s="23">
        <f t="shared" ca="1" si="39"/>
        <v>8240.853681645498</v>
      </c>
      <c r="BJ37" s="308"/>
      <c r="BK37" s="308"/>
      <c r="BL37" s="98"/>
      <c r="BN37"/>
    </row>
    <row r="38" spans="1:75">
      <c r="A38" s="1" t="s">
        <v>4</v>
      </c>
      <c r="B38" s="33"/>
      <c r="C38" s="34"/>
      <c r="D38" s="34"/>
      <c r="E38" s="34"/>
      <c r="F38" s="35"/>
      <c r="G38" s="33"/>
      <c r="H38" s="34"/>
      <c r="I38" s="34"/>
      <c r="J38" s="34"/>
      <c r="K38" s="35"/>
      <c r="L38" s="33"/>
      <c r="M38" s="34"/>
      <c r="N38" s="34"/>
      <c r="O38" s="34"/>
      <c r="P38" s="35"/>
      <c r="Q38" s="33"/>
      <c r="R38" s="34"/>
      <c r="S38" s="34"/>
      <c r="T38" s="34"/>
      <c r="U38" s="35"/>
      <c r="V38" s="33"/>
      <c r="W38" s="34"/>
      <c r="X38" s="34"/>
      <c r="Y38" s="34"/>
      <c r="Z38" s="35"/>
      <c r="AA38" s="33"/>
      <c r="AB38" s="34"/>
      <c r="AC38" s="34"/>
      <c r="AD38" s="34"/>
      <c r="AE38" s="35"/>
      <c r="AF38" s="34"/>
      <c r="AG38" s="34"/>
      <c r="AH38" s="34"/>
      <c r="AI38" s="34"/>
      <c r="AJ38" s="35"/>
      <c r="AK38" s="34"/>
      <c r="AL38" s="34"/>
      <c r="AM38" s="34"/>
      <c r="AN38" s="34"/>
      <c r="AO38" s="35"/>
      <c r="AP38" s="34">
        <f>AP37/AK37-1</f>
        <v>-23.611111111111111</v>
      </c>
      <c r="AQ38" s="34">
        <f>AQ37/AL37-1</f>
        <v>0.875</v>
      </c>
      <c r="AR38" s="34">
        <f>AR37/AM37-1</f>
        <v>-10.301724137931034</v>
      </c>
      <c r="AS38" s="34">
        <f>AS37/AN37-1</f>
        <v>-0.13685474189675872</v>
      </c>
      <c r="AT38" s="35">
        <f>AT37/AO37-1</f>
        <v>2.0410480349344979</v>
      </c>
      <c r="AU38" s="34">
        <f t="shared" ref="AU38:BB38" si="40">AU37/AP37-1</f>
        <v>0.26044226044226049</v>
      </c>
      <c r="AV38" s="34">
        <f t="shared" si="40"/>
        <v>0.51839080459770126</v>
      </c>
      <c r="AW38" s="34">
        <f t="shared" si="40"/>
        <v>0.16311399443929564</v>
      </c>
      <c r="AX38" s="34">
        <f t="shared" si="40"/>
        <v>0.99304589707927682</v>
      </c>
      <c r="AY38" s="35">
        <f t="shared" si="40"/>
        <v>0.44600804135554273</v>
      </c>
      <c r="AZ38" s="34">
        <f t="shared" si="40"/>
        <v>0.56042884990253405</v>
      </c>
      <c r="BA38" s="34">
        <f t="shared" si="40"/>
        <v>0.34519303557910663</v>
      </c>
      <c r="BB38" s="34">
        <f t="shared" si="40"/>
        <v>0.40956175298804776</v>
      </c>
      <c r="BC38" s="34">
        <f t="shared" ref="BC38" si="41">BC37/AX37-1</f>
        <v>0.16329378925331461</v>
      </c>
      <c r="BD38" s="35">
        <f t="shared" ref="BD38" si="42">BD37/AY37-1</f>
        <v>0.35332671300893748</v>
      </c>
      <c r="BE38" s="34">
        <f t="shared" ref="BE38" si="43">BE37/AZ37-1</f>
        <v>0.22610868207370394</v>
      </c>
      <c r="BF38" s="34">
        <f t="shared" ref="BF38" si="44">BF37/BA37-1</f>
        <v>0.18964546989307829</v>
      </c>
      <c r="BG38" s="34">
        <f t="shared" ref="BG38" ca="1" si="45">BG37/BB37-1</f>
        <v>0.19167190524943467</v>
      </c>
      <c r="BH38" s="34">
        <f t="shared" ref="BH38" ca="1" si="46">BH37/BC37-1</f>
        <v>0.23262512373080124</v>
      </c>
      <c r="BI38" s="35">
        <f t="shared" ref="BI38" ca="1" si="47">BI37/BD37-1</f>
        <v>0.2094003054953768</v>
      </c>
      <c r="BJ38" s="308"/>
      <c r="BK38" s="308"/>
      <c r="BL38" s="98"/>
      <c r="BM38" s="252"/>
      <c r="BN38"/>
    </row>
    <row r="39" spans="1:75">
      <c r="A39" s="1"/>
      <c r="B39" s="40"/>
      <c r="C39" s="40"/>
      <c r="D39" s="40"/>
      <c r="E39" s="66"/>
      <c r="F39" s="42"/>
      <c r="G39" s="40"/>
      <c r="H39" s="40"/>
      <c r="I39" s="40"/>
      <c r="J39" s="66"/>
      <c r="K39" s="42"/>
      <c r="L39" s="40"/>
      <c r="M39" s="40"/>
      <c r="N39" s="40"/>
      <c r="O39" s="66"/>
      <c r="P39" s="42"/>
      <c r="Q39" s="40"/>
      <c r="R39" s="40"/>
      <c r="S39" s="40"/>
      <c r="T39" s="66"/>
      <c r="U39" s="42"/>
      <c r="V39" s="40"/>
      <c r="W39" s="40"/>
      <c r="X39" s="40"/>
      <c r="Y39" s="66"/>
      <c r="Z39" s="42"/>
      <c r="AA39" s="40"/>
      <c r="AB39" s="62"/>
      <c r="AC39" s="62"/>
      <c r="AD39" s="62"/>
      <c r="AE39" s="21"/>
      <c r="AF39" s="62"/>
      <c r="AG39" s="62"/>
      <c r="AH39" s="62"/>
      <c r="AI39" s="62"/>
      <c r="AJ39" s="21"/>
      <c r="AK39" s="62"/>
      <c r="AL39" s="62"/>
      <c r="AM39" s="62"/>
      <c r="AN39" s="62"/>
      <c r="AO39" s="21"/>
      <c r="AP39" s="62"/>
      <c r="AQ39" s="62"/>
      <c r="AR39" s="62"/>
      <c r="AS39" s="62"/>
      <c r="AT39" s="21"/>
      <c r="AU39" s="62"/>
      <c r="AV39" s="62"/>
      <c r="AW39" s="62"/>
      <c r="AX39" s="62"/>
      <c r="AY39" s="21"/>
      <c r="AZ39" s="62"/>
      <c r="BA39" s="62"/>
      <c r="BB39" s="62"/>
      <c r="BC39" s="62"/>
      <c r="BD39" s="21"/>
      <c r="BE39" s="62"/>
      <c r="BF39" s="62"/>
      <c r="BG39" s="62"/>
      <c r="BH39" s="62"/>
      <c r="BI39" s="21"/>
      <c r="BJ39" s="308"/>
      <c r="BK39" s="308"/>
      <c r="BL39" s="98"/>
      <c r="BM39" s="252"/>
      <c r="BN39"/>
    </row>
    <row r="40" spans="1:75">
      <c r="A40" s="1" t="s">
        <v>313</v>
      </c>
      <c r="B40" s="61"/>
      <c r="C40" s="62"/>
      <c r="D40" s="62"/>
      <c r="E40" s="60"/>
      <c r="F40" s="63"/>
      <c r="G40" s="61"/>
      <c r="H40" s="62"/>
      <c r="I40" s="62"/>
      <c r="J40" s="60"/>
      <c r="K40" s="63"/>
      <c r="L40" s="61"/>
      <c r="M40" s="62"/>
      <c r="N40" s="62"/>
      <c r="O40" s="60"/>
      <c r="P40" s="63"/>
      <c r="Q40" s="61"/>
      <c r="R40" s="62"/>
      <c r="S40" s="62"/>
      <c r="T40" s="60"/>
      <c r="U40" s="63"/>
      <c r="V40" s="232"/>
      <c r="W40" s="233"/>
      <c r="X40" s="233"/>
      <c r="Y40" s="60"/>
      <c r="Z40" s="234"/>
      <c r="AA40" s="61"/>
      <c r="AB40" s="62"/>
      <c r="AC40" s="62"/>
      <c r="AD40" s="62"/>
      <c r="AE40" s="39"/>
      <c r="AF40" s="62"/>
      <c r="AG40" s="62"/>
      <c r="AH40" s="62"/>
      <c r="AI40" s="62"/>
      <c r="AJ40" s="39"/>
      <c r="AK40" s="62">
        <v>-52</v>
      </c>
      <c r="AL40" s="62">
        <v>-67</v>
      </c>
      <c r="AM40" s="62">
        <v>-73</v>
      </c>
      <c r="AN40" s="368">
        <f>+AO40-SUM(AK40:AM40)</f>
        <v>-97</v>
      </c>
      <c r="AO40" s="42">
        <v>-289</v>
      </c>
      <c r="AP40" s="62">
        <f>-(174-58)</f>
        <v>-116</v>
      </c>
      <c r="AQ40" s="62">
        <v>-58</v>
      </c>
      <c r="AR40" s="62">
        <v>-63</v>
      </c>
      <c r="AS40" s="41">
        <f>+AT40-SUM(AP40:AR40)</f>
        <v>0</v>
      </c>
      <c r="AT40" s="42">
        <v>-237</v>
      </c>
      <c r="AU40" s="62">
        <v>0</v>
      </c>
      <c r="AV40" s="62">
        <v>0</v>
      </c>
      <c r="AW40" s="62">
        <v>0</v>
      </c>
      <c r="AX40" s="41">
        <f>+AY40-SUM(AU40:AW40)</f>
        <v>0</v>
      </c>
      <c r="AY40" s="42">
        <v>0</v>
      </c>
      <c r="AZ40" s="62">
        <v>0</v>
      </c>
      <c r="BA40" s="62">
        <v>0</v>
      </c>
      <c r="BB40" s="62">
        <v>0</v>
      </c>
      <c r="BC40" s="41">
        <f>+BD40-SUM(AZ40:BB40)</f>
        <v>0</v>
      </c>
      <c r="BD40" s="42">
        <v>0</v>
      </c>
      <c r="BE40" s="62">
        <v>0</v>
      </c>
      <c r="BF40" s="62">
        <v>0</v>
      </c>
      <c r="BG40" s="62">
        <v>0</v>
      </c>
      <c r="BH40" s="66">
        <f>+BI40/4</f>
        <v>0</v>
      </c>
      <c r="BI40" s="42">
        <v>0</v>
      </c>
      <c r="BJ40" s="308"/>
      <c r="BK40" s="308"/>
      <c r="BL40" s="98"/>
      <c r="BM40" s="252"/>
      <c r="BN40"/>
    </row>
    <row r="41" spans="1:75">
      <c r="A41" s="1" t="s">
        <v>330</v>
      </c>
      <c r="B41" s="61"/>
      <c r="C41" s="62"/>
      <c r="D41" s="62"/>
      <c r="E41" s="60"/>
      <c r="F41" s="63"/>
      <c r="G41" s="61"/>
      <c r="H41" s="62"/>
      <c r="I41" s="62"/>
      <c r="J41" s="60"/>
      <c r="K41" s="63"/>
      <c r="L41" s="61"/>
      <c r="M41" s="62"/>
      <c r="N41" s="62"/>
      <c r="O41" s="60"/>
      <c r="P41" s="63"/>
      <c r="Q41" s="61"/>
      <c r="R41" s="62"/>
      <c r="S41" s="62"/>
      <c r="T41" s="60"/>
      <c r="U41" s="63"/>
      <c r="V41" s="232"/>
      <c r="W41" s="233"/>
      <c r="X41" s="233"/>
      <c r="Y41" s="60"/>
      <c r="Z41" s="234"/>
      <c r="AA41" s="61"/>
      <c r="AB41" s="62"/>
      <c r="AC41" s="62"/>
      <c r="AD41" s="62"/>
      <c r="AE41" s="39"/>
      <c r="AF41" s="62"/>
      <c r="AG41" s="62"/>
      <c r="AH41" s="62"/>
      <c r="AI41" s="62"/>
      <c r="AJ41" s="39"/>
      <c r="AK41" s="62">
        <v>-14</v>
      </c>
      <c r="AL41" s="62">
        <v>-7</v>
      </c>
      <c r="AM41" s="62">
        <v>2</v>
      </c>
      <c r="AN41" s="368">
        <f>+AO41-SUM(AK41:AM41)</f>
        <v>3</v>
      </c>
      <c r="AO41" s="42">
        <v>-16</v>
      </c>
      <c r="AP41" s="62">
        <v>-7</v>
      </c>
      <c r="AQ41" s="62">
        <v>0</v>
      </c>
      <c r="AR41" s="62">
        <v>0</v>
      </c>
      <c r="AS41" s="41">
        <f>+AT41-SUM(AP41:AR41)</f>
        <v>7</v>
      </c>
      <c r="AT41" s="42">
        <v>0</v>
      </c>
      <c r="AU41" s="62">
        <v>0</v>
      </c>
      <c r="AV41" s="62">
        <v>0</v>
      </c>
      <c r="AW41" s="62">
        <v>0</v>
      </c>
      <c r="AX41" s="41">
        <f>+AY41-SUM(AU41:AW41)</f>
        <v>0</v>
      </c>
      <c r="AY41" s="42">
        <v>0</v>
      </c>
      <c r="AZ41" s="62">
        <v>0</v>
      </c>
      <c r="BA41" s="62">
        <v>0</v>
      </c>
      <c r="BB41" s="62">
        <v>0</v>
      </c>
      <c r="BC41" s="41">
        <f>+BD41-SUM(AZ41:BB41)</f>
        <v>0</v>
      </c>
      <c r="BD41" s="42">
        <v>0</v>
      </c>
      <c r="BE41" s="62">
        <v>0</v>
      </c>
      <c r="BF41" s="62">
        <v>0</v>
      </c>
      <c r="BG41" s="62">
        <v>0</v>
      </c>
      <c r="BH41" s="66">
        <f t="shared" ref="BH41:BH42" si="48">+BI41/4</f>
        <v>0</v>
      </c>
      <c r="BI41" s="42">
        <v>0</v>
      </c>
      <c r="BL41" s="98"/>
      <c r="BM41" s="252"/>
      <c r="BN41"/>
    </row>
    <row r="42" spans="1:75">
      <c r="A42" s="1" t="s">
        <v>314</v>
      </c>
      <c r="B42" s="61"/>
      <c r="C42" s="62"/>
      <c r="D42" s="62"/>
      <c r="E42" s="60"/>
      <c r="F42" s="63"/>
      <c r="G42" s="61"/>
      <c r="H42" s="62"/>
      <c r="I42" s="62"/>
      <c r="J42" s="60"/>
      <c r="K42" s="63"/>
      <c r="L42" s="61"/>
      <c r="M42" s="62"/>
      <c r="N42" s="62"/>
      <c r="O42" s="60"/>
      <c r="P42" s="63"/>
      <c r="Q42" s="61"/>
      <c r="R42" s="62"/>
      <c r="S42" s="62"/>
      <c r="T42" s="60"/>
      <c r="U42" s="63"/>
      <c r="V42" s="232"/>
      <c r="W42" s="233"/>
      <c r="X42" s="233"/>
      <c r="Y42" s="60"/>
      <c r="Z42" s="234"/>
      <c r="AA42" s="61"/>
      <c r="AB42" s="62"/>
      <c r="AC42" s="62"/>
      <c r="AD42" s="62"/>
      <c r="AE42" s="39"/>
      <c r="AF42" s="62"/>
      <c r="AG42" s="62"/>
      <c r="AH42" s="62"/>
      <c r="AI42" s="62"/>
      <c r="AJ42" s="39"/>
      <c r="AK42" s="233">
        <f>+AK43-AK41-AK40-AK37</f>
        <v>0</v>
      </c>
      <c r="AL42" s="233">
        <f>+AL43-AL41-AL40-AL37</f>
        <v>1</v>
      </c>
      <c r="AM42" s="233">
        <f>+AM43-AM41-AM40-AM37</f>
        <v>0</v>
      </c>
      <c r="AN42" s="233">
        <f>+AN43-AN41-AN40-AN37</f>
        <v>-2</v>
      </c>
      <c r="AO42" s="21">
        <f>SUM(AK42:AN42)</f>
        <v>-1</v>
      </c>
      <c r="AP42" s="62">
        <v>0</v>
      </c>
      <c r="AQ42" s="62">
        <v>0</v>
      </c>
      <c r="AR42" s="62">
        <v>0</v>
      </c>
      <c r="AS42" s="41">
        <f>+AT42-SUM(AP42:AR42)</f>
        <v>-3</v>
      </c>
      <c r="AT42" s="42">
        <v>-3</v>
      </c>
      <c r="AU42" s="62">
        <v>0</v>
      </c>
      <c r="AV42" s="62">
        <v>0</v>
      </c>
      <c r="AW42" s="62">
        <v>0</v>
      </c>
      <c r="AX42" s="41">
        <f>+AY42-SUM(AU42:AW42)</f>
        <v>0</v>
      </c>
      <c r="AY42" s="42">
        <v>0</v>
      </c>
      <c r="AZ42" s="62">
        <v>0</v>
      </c>
      <c r="BA42" s="62">
        <v>0</v>
      </c>
      <c r="BB42" s="62">
        <v>-5</v>
      </c>
      <c r="BC42" s="41">
        <f>+BD42-SUM(AZ42:BB42)</f>
        <v>2.5</v>
      </c>
      <c r="BD42" s="42">
        <v>-2.5</v>
      </c>
      <c r="BE42" s="62">
        <v>0</v>
      </c>
      <c r="BF42" s="62">
        <v>0</v>
      </c>
      <c r="BG42" s="62">
        <v>0</v>
      </c>
      <c r="BH42" s="66">
        <f t="shared" si="48"/>
        <v>0</v>
      </c>
      <c r="BI42" s="42">
        <v>0</v>
      </c>
      <c r="BL42" s="98"/>
      <c r="BM42" s="252"/>
      <c r="BN42"/>
    </row>
    <row r="43" spans="1:75">
      <c r="A43" s="6" t="s">
        <v>199</v>
      </c>
      <c r="B43" s="22"/>
      <c r="C43" s="22"/>
      <c r="D43" s="22"/>
      <c r="E43" s="22"/>
      <c r="F43" s="23"/>
      <c r="G43" s="22"/>
      <c r="H43" s="22"/>
      <c r="I43" s="22"/>
      <c r="J43" s="22"/>
      <c r="K43" s="23"/>
      <c r="L43" s="22"/>
      <c r="M43" s="22"/>
      <c r="N43" s="22"/>
      <c r="O43" s="22"/>
      <c r="P43" s="23"/>
      <c r="Q43" s="22"/>
      <c r="R43" s="22"/>
      <c r="S43" s="22"/>
      <c r="T43" s="22"/>
      <c r="U43" s="23"/>
      <c r="V43" s="22"/>
      <c r="W43" s="22"/>
      <c r="X43" s="22"/>
      <c r="Y43" s="22"/>
      <c r="Z43" s="23"/>
      <c r="AA43" s="22"/>
      <c r="AB43" s="22"/>
      <c r="AC43" s="22"/>
      <c r="AD43" s="22"/>
      <c r="AE43" s="23"/>
      <c r="AF43" s="22"/>
      <c r="AG43" s="22"/>
      <c r="AH43" s="22"/>
      <c r="AI43" s="22"/>
      <c r="AJ43" s="23"/>
      <c r="AK43" s="28">
        <v>-102</v>
      </c>
      <c r="AL43" s="28">
        <v>391</v>
      </c>
      <c r="AM43" s="28">
        <v>-187</v>
      </c>
      <c r="AN43" s="270">
        <f>+AO43-SUM(AK43:AM43)</f>
        <v>737</v>
      </c>
      <c r="AO43" s="29">
        <v>839</v>
      </c>
      <c r="AP43" s="270">
        <f t="shared" ref="AP43:BB43" si="49">AP37+AP40+AP41+AP42</f>
        <v>691</v>
      </c>
      <c r="AQ43" s="270">
        <f t="shared" si="49"/>
        <v>812</v>
      </c>
      <c r="AR43" s="270">
        <f t="shared" si="49"/>
        <v>1016</v>
      </c>
      <c r="AS43" s="270">
        <f t="shared" si="49"/>
        <v>723</v>
      </c>
      <c r="AT43" s="23">
        <f t="shared" si="49"/>
        <v>3242</v>
      </c>
      <c r="AU43" s="270">
        <f t="shared" si="49"/>
        <v>1026</v>
      </c>
      <c r="AV43" s="270">
        <f t="shared" si="49"/>
        <v>1321</v>
      </c>
      <c r="AW43" s="270">
        <f t="shared" si="49"/>
        <v>1255</v>
      </c>
      <c r="AX43" s="270">
        <f t="shared" si="49"/>
        <v>1433</v>
      </c>
      <c r="AY43" s="23">
        <f t="shared" si="49"/>
        <v>5035</v>
      </c>
      <c r="AZ43" s="270">
        <f t="shared" si="49"/>
        <v>1601</v>
      </c>
      <c r="BA43" s="270">
        <f t="shared" ref="BA43" si="50">BA37+BA40+BA41+BA42</f>
        <v>1777</v>
      </c>
      <c r="BB43" s="270">
        <f t="shared" si="49"/>
        <v>1764</v>
      </c>
      <c r="BC43" s="270">
        <f t="shared" ref="BC43:BD43" si="51">BC37+BC40+BC41+BC42</f>
        <v>1669.5</v>
      </c>
      <c r="BD43" s="23">
        <f t="shared" si="51"/>
        <v>6811.5</v>
      </c>
      <c r="BE43" s="270">
        <f t="shared" ref="BE43:BI43" si="52">BE37+BE40+BE41+BE42</f>
        <v>1963</v>
      </c>
      <c r="BF43" s="270">
        <f t="shared" si="52"/>
        <v>2114</v>
      </c>
      <c r="BG43" s="270">
        <f t="shared" ca="1" si="52"/>
        <v>2108.06760038625</v>
      </c>
      <c r="BH43" s="270">
        <f t="shared" ca="1" si="52"/>
        <v>2054.7860812592457</v>
      </c>
      <c r="BI43" s="23">
        <f t="shared" ca="1" si="52"/>
        <v>8240.853681645498</v>
      </c>
      <c r="BL43" s="98"/>
      <c r="BM43" s="252"/>
      <c r="BN43"/>
    </row>
    <row r="44" spans="1:75">
      <c r="A44" s="1" t="s">
        <v>4</v>
      </c>
      <c r="B44" s="33"/>
      <c r="C44" s="34"/>
      <c r="D44" s="34"/>
      <c r="E44" s="34"/>
      <c r="F44" s="35"/>
      <c r="G44" s="33"/>
      <c r="H44" s="34"/>
      <c r="I44" s="34"/>
      <c r="J44" s="34"/>
      <c r="K44" s="35"/>
      <c r="L44" s="33"/>
      <c r="M44" s="34"/>
      <c r="N44" s="34"/>
      <c r="O44" s="34"/>
      <c r="P44" s="35"/>
      <c r="Q44" s="33"/>
      <c r="R44" s="34"/>
      <c r="S44" s="34"/>
      <c r="T44" s="34"/>
      <c r="U44" s="35"/>
      <c r="V44" s="33"/>
      <c r="W44" s="34"/>
      <c r="X44" s="34"/>
      <c r="Y44" s="34"/>
      <c r="Z44" s="35"/>
      <c r="AA44" s="33"/>
      <c r="AB44" s="34"/>
      <c r="AC44" s="34"/>
      <c r="AD44" s="34"/>
      <c r="AE44" s="35"/>
      <c r="AF44" s="34"/>
      <c r="AG44" s="34"/>
      <c r="AH44" s="34"/>
      <c r="AI44" s="34"/>
      <c r="AJ44" s="35"/>
      <c r="AK44" s="34"/>
      <c r="AL44" s="34"/>
      <c r="AM44" s="34"/>
      <c r="AN44" s="34"/>
      <c r="AO44" s="35"/>
      <c r="AP44" s="34">
        <f t="shared" ref="AP44:BA44" si="53">AP43/AK43-1</f>
        <v>-7.7745098039215685</v>
      </c>
      <c r="AQ44" s="34">
        <f t="shared" si="53"/>
        <v>1.0767263427109977</v>
      </c>
      <c r="AR44" s="34">
        <f t="shared" si="53"/>
        <v>-6.4331550802139041</v>
      </c>
      <c r="AS44" s="34">
        <f>AS43/AN43-1</f>
        <v>-1.8995929443690662E-2</v>
      </c>
      <c r="AT44" s="35">
        <f>AT43/AO43-1</f>
        <v>2.8641239570917758</v>
      </c>
      <c r="AU44" s="34">
        <f t="shared" si="53"/>
        <v>0.48480463096960924</v>
      </c>
      <c r="AV44" s="34">
        <f t="shared" si="53"/>
        <v>0.62684729064039413</v>
      </c>
      <c r="AW44" s="34">
        <f t="shared" si="53"/>
        <v>0.23523622047244097</v>
      </c>
      <c r="AX44" s="34">
        <f t="shared" si="53"/>
        <v>0.98201936376210242</v>
      </c>
      <c r="AY44" s="35">
        <f t="shared" si="53"/>
        <v>0.5530536705737199</v>
      </c>
      <c r="AZ44" s="34">
        <f>AZ43/AU43-1</f>
        <v>0.56042884990253405</v>
      </c>
      <c r="BA44" s="34">
        <f t="shared" si="53"/>
        <v>0.34519303557910663</v>
      </c>
      <c r="BB44" s="34">
        <f>BB43/AW43-1</f>
        <v>0.40557768924302784</v>
      </c>
      <c r="BC44" s="34">
        <f t="shared" ref="BC44" si="54">BC43/AX43-1</f>
        <v>0.16503838101884161</v>
      </c>
      <c r="BD44" s="35">
        <f t="shared" ref="BD44" si="55">BD43/AY43-1</f>
        <v>0.35283018867924532</v>
      </c>
      <c r="BE44" s="34">
        <f>BE43/AZ43-1</f>
        <v>0.22610868207370394</v>
      </c>
      <c r="BF44" s="34">
        <f t="shared" ref="BF44" si="56">BF43/BA43-1</f>
        <v>0.18964546989307829</v>
      </c>
      <c r="BG44" s="34">
        <f ca="1">BG43/BB43-1</f>
        <v>0.19504966008290814</v>
      </c>
      <c r="BH44" s="34">
        <f ca="1">BH43/BC43-1</f>
        <v>0.23077932390490918</v>
      </c>
      <c r="BI44" s="35">
        <f ca="1">BI43/BD43-1</f>
        <v>0.20984418727820575</v>
      </c>
      <c r="BL44" s="98"/>
      <c r="BN44"/>
    </row>
    <row r="45" spans="1:75">
      <c r="A45" s="11"/>
      <c r="F45" s="25"/>
      <c r="K45" s="25"/>
      <c r="P45" s="25"/>
      <c r="U45" s="25"/>
      <c r="Z45" s="25"/>
      <c r="AE45" s="25"/>
      <c r="AJ45" s="25"/>
      <c r="AO45" s="25"/>
      <c r="AT45" s="25"/>
      <c r="AY45" s="25"/>
      <c r="BD45" s="25"/>
      <c r="BI45" s="25"/>
      <c r="BL45" s="98"/>
      <c r="BN45"/>
    </row>
    <row r="46" spans="1:75">
      <c r="A46" s="1" t="s">
        <v>315</v>
      </c>
      <c r="B46" s="41"/>
      <c r="C46" s="41"/>
      <c r="D46" s="41"/>
      <c r="E46" s="41"/>
      <c r="F46" s="21"/>
      <c r="G46" s="41"/>
      <c r="H46" s="41"/>
      <c r="I46" s="41"/>
      <c r="J46" s="41"/>
      <c r="K46" s="21"/>
      <c r="L46" s="41"/>
      <c r="M46" s="41"/>
      <c r="N46" s="41"/>
      <c r="O46" s="41"/>
      <c r="P46" s="21"/>
      <c r="Q46" s="41"/>
      <c r="R46" s="41"/>
      <c r="S46" s="41"/>
      <c r="T46" s="41"/>
      <c r="U46" s="21"/>
      <c r="V46" s="41"/>
      <c r="W46" s="41"/>
      <c r="X46" s="41"/>
      <c r="Y46" s="41"/>
      <c r="Z46" s="21"/>
      <c r="AA46" s="41"/>
      <c r="AB46" s="41"/>
      <c r="AC46" s="41"/>
      <c r="AD46" s="41"/>
      <c r="AE46" s="21"/>
      <c r="AF46" s="41"/>
      <c r="AG46" s="41"/>
      <c r="AH46" s="41"/>
      <c r="AI46" s="41"/>
      <c r="AJ46" s="21"/>
      <c r="AK46" s="41">
        <f>AK48-AK47-AK43</f>
        <v>-1258</v>
      </c>
      <c r="AL46" s="41">
        <f>AL48-AL47-AL43</f>
        <v>-1644</v>
      </c>
      <c r="AM46" s="41">
        <f>AM48-AM47-AM43</f>
        <v>-204</v>
      </c>
      <c r="AN46" s="41">
        <f>AN48-AN47-AN43</f>
        <v>1011</v>
      </c>
      <c r="AO46" s="21">
        <f>SUM(AK46:AN46)</f>
        <v>-2095</v>
      </c>
      <c r="AP46" s="40">
        <f>(7747-1503)-(1195-812)</f>
        <v>5861</v>
      </c>
      <c r="AQ46" s="40">
        <f>1195-812</f>
        <v>383</v>
      </c>
      <c r="AR46" s="40">
        <f>215-1016</f>
        <v>-801</v>
      </c>
      <c r="AS46" s="41">
        <f>+AT46-SUM(AP46:AR46)</f>
        <v>467</v>
      </c>
      <c r="AT46" s="42">
        <f>9151-3241</f>
        <v>5910</v>
      </c>
      <c r="AU46" s="40">
        <f>1741-1026</f>
        <v>715</v>
      </c>
      <c r="AV46" s="40">
        <f>1320-1321</f>
        <v>-1</v>
      </c>
      <c r="AW46" s="40">
        <f>1705-1255</f>
        <v>450</v>
      </c>
      <c r="AX46" s="41">
        <f>+AY46-SUM(AU46:AW46)</f>
        <v>471</v>
      </c>
      <c r="AY46" s="42">
        <f>6670-5035</f>
        <v>1635</v>
      </c>
      <c r="AZ46" s="40">
        <f>1967-1601</f>
        <v>366</v>
      </c>
      <c r="BA46" s="40">
        <f>2007-1777</f>
        <v>230</v>
      </c>
      <c r="BB46" s="40">
        <f>2170-1764</f>
        <v>406</v>
      </c>
      <c r="BC46" s="41">
        <f>+BD46-SUM(AZ46:BB46)</f>
        <v>784</v>
      </c>
      <c r="BD46" s="42">
        <f>8598-6812</f>
        <v>1786</v>
      </c>
      <c r="BE46" s="40">
        <f>113-63-84</f>
        <v>-34</v>
      </c>
      <c r="BF46" s="40">
        <f>145-49+195</f>
        <v>291</v>
      </c>
      <c r="BG46" s="40">
        <v>250</v>
      </c>
      <c r="BH46" s="41">
        <f>+BI46-SUM(BE46:BG46)</f>
        <v>293</v>
      </c>
      <c r="BI46" s="42">
        <v>800</v>
      </c>
      <c r="BL46" s="98"/>
      <c r="BM46" s="252"/>
      <c r="BN46"/>
    </row>
    <row r="47" spans="1:75">
      <c r="A47" s="1" t="s">
        <v>410</v>
      </c>
      <c r="B47" s="40"/>
      <c r="C47" s="40"/>
      <c r="D47" s="40"/>
      <c r="E47" s="40"/>
      <c r="F47" s="21"/>
      <c r="G47" s="40"/>
      <c r="H47" s="40"/>
      <c r="I47" s="40"/>
      <c r="J47" s="40"/>
      <c r="K47" s="21"/>
      <c r="L47" s="40"/>
      <c r="M47" s="40"/>
      <c r="N47" s="40"/>
      <c r="O47" s="40"/>
      <c r="P47" s="21"/>
      <c r="Q47" s="40"/>
      <c r="R47" s="40"/>
      <c r="S47" s="40"/>
      <c r="T47" s="40"/>
      <c r="U47" s="21"/>
      <c r="V47" s="40"/>
      <c r="W47" s="40"/>
      <c r="X47" s="40"/>
      <c r="Y47" s="40"/>
      <c r="Z47" s="21"/>
      <c r="AA47" s="40"/>
      <c r="AB47" s="40"/>
      <c r="AC47" s="40"/>
      <c r="AD47" s="40"/>
      <c r="AE47" s="21"/>
      <c r="AF47" s="40"/>
      <c r="AG47" s="40"/>
      <c r="AH47" s="40"/>
      <c r="AI47" s="40"/>
      <c r="AJ47" s="21"/>
      <c r="AK47" s="40">
        <v>84</v>
      </c>
      <c r="AL47" s="40">
        <v>46</v>
      </c>
      <c r="AM47" s="40">
        <v>78</v>
      </c>
      <c r="AN47" s="41">
        <f>+AO47-SUM(AK47:AM47)</f>
        <v>-49</v>
      </c>
      <c r="AO47" s="42">
        <v>159</v>
      </c>
      <c r="AP47" s="40">
        <v>0</v>
      </c>
      <c r="AQ47" s="40">
        <v>0</v>
      </c>
      <c r="AR47" s="40">
        <v>0</v>
      </c>
      <c r="AS47" s="41">
        <f>+AT47-SUM(AP47:AR47)</f>
        <v>0</v>
      </c>
      <c r="AT47" s="42">
        <v>0</v>
      </c>
      <c r="AU47" s="40">
        <v>0</v>
      </c>
      <c r="AV47" s="40">
        <v>0</v>
      </c>
      <c r="AW47" s="40">
        <v>0</v>
      </c>
      <c r="AX47" s="41">
        <f>+AY47-SUM(AU47:AW47)</f>
        <v>0</v>
      </c>
      <c r="AY47" s="42">
        <v>0</v>
      </c>
      <c r="AZ47" s="40">
        <v>0</v>
      </c>
      <c r="BA47" s="40">
        <v>0</v>
      </c>
      <c r="BB47" s="40">
        <v>0</v>
      </c>
      <c r="BC47" s="41">
        <f>+BD47-SUM(AZ47:BB47)</f>
        <v>0</v>
      </c>
      <c r="BD47" s="42">
        <v>0</v>
      </c>
      <c r="BE47" s="40">
        <v>0</v>
      </c>
      <c r="BF47" s="40">
        <v>0</v>
      </c>
      <c r="BG47" s="40">
        <v>0</v>
      </c>
      <c r="BH47" s="41">
        <f>+$BD$47/$BD$9*BH9</f>
        <v>0</v>
      </c>
      <c r="BI47" s="21">
        <f>+BD47/BD9*BI9</f>
        <v>0</v>
      </c>
      <c r="BL47" s="98"/>
      <c r="BM47" s="252"/>
      <c r="BN47"/>
    </row>
    <row r="48" spans="1:75">
      <c r="A48" s="6" t="s">
        <v>406</v>
      </c>
      <c r="B48" s="22"/>
      <c r="C48" s="22"/>
      <c r="D48" s="22"/>
      <c r="E48" s="22"/>
      <c r="F48" s="23"/>
      <c r="G48" s="22"/>
      <c r="H48" s="22"/>
      <c r="I48" s="22"/>
      <c r="J48" s="22"/>
      <c r="K48" s="23"/>
      <c r="L48" s="22"/>
      <c r="M48" s="22"/>
      <c r="N48" s="22"/>
      <c r="O48" s="22"/>
      <c r="P48" s="23"/>
      <c r="Q48" s="22"/>
      <c r="R48" s="22"/>
      <c r="S48" s="22"/>
      <c r="T48" s="22"/>
      <c r="U48" s="23"/>
      <c r="V48" s="22"/>
      <c r="W48" s="22"/>
      <c r="X48" s="22"/>
      <c r="Y48" s="22"/>
      <c r="Z48" s="23"/>
      <c r="AA48" s="22"/>
      <c r="AB48" s="22"/>
      <c r="AC48" s="22"/>
      <c r="AD48" s="22"/>
      <c r="AE48" s="23"/>
      <c r="AF48" s="22"/>
      <c r="AG48" s="22"/>
      <c r="AH48" s="22"/>
      <c r="AI48" s="22"/>
      <c r="AJ48" s="23"/>
      <c r="AK48" s="28">
        <v>-1276</v>
      </c>
      <c r="AL48" s="28">
        <v>-1207</v>
      </c>
      <c r="AM48" s="369">
        <v>-313</v>
      </c>
      <c r="AN48" s="370">
        <f>+AO48-SUM(AK48:AM48)</f>
        <v>1699</v>
      </c>
      <c r="AO48" s="414">
        <v>-1097</v>
      </c>
      <c r="AP48" s="270">
        <f t="shared" ref="AP48:BB48" si="57">AP43+AP46+AP47</f>
        <v>6552</v>
      </c>
      <c r="AQ48" s="270">
        <f t="shared" si="57"/>
        <v>1195</v>
      </c>
      <c r="AR48" s="270">
        <f t="shared" si="57"/>
        <v>215</v>
      </c>
      <c r="AS48" s="270">
        <f t="shared" si="57"/>
        <v>1190</v>
      </c>
      <c r="AT48" s="23">
        <f t="shared" si="57"/>
        <v>9152</v>
      </c>
      <c r="AU48" s="270">
        <f t="shared" si="57"/>
        <v>1741</v>
      </c>
      <c r="AV48" s="270">
        <f t="shared" si="57"/>
        <v>1320</v>
      </c>
      <c r="AW48" s="270">
        <f t="shared" si="57"/>
        <v>1705</v>
      </c>
      <c r="AX48" s="270">
        <f t="shared" si="57"/>
        <v>1904</v>
      </c>
      <c r="AY48" s="23">
        <f t="shared" si="57"/>
        <v>6670</v>
      </c>
      <c r="AZ48" s="270">
        <f t="shared" si="57"/>
        <v>1967</v>
      </c>
      <c r="BA48" s="270">
        <f t="shared" ref="BA48" si="58">BA43+BA46+BA47</f>
        <v>2007</v>
      </c>
      <c r="BB48" s="270">
        <f t="shared" si="57"/>
        <v>2170</v>
      </c>
      <c r="BC48" s="270">
        <f t="shared" ref="BC48:BD48" si="59">BC43+BC46+BC47</f>
        <v>2453.5</v>
      </c>
      <c r="BD48" s="23">
        <f t="shared" si="59"/>
        <v>8597.5</v>
      </c>
      <c r="BE48" s="270">
        <f>BE43+BE46+BE47-1</f>
        <v>1928</v>
      </c>
      <c r="BF48" s="270">
        <f t="shared" ref="BF48:BI48" si="60">BF43+BF46+BF47</f>
        <v>2405</v>
      </c>
      <c r="BG48" s="270">
        <f t="shared" ca="1" si="60"/>
        <v>2358.06760038625</v>
      </c>
      <c r="BH48" s="270">
        <f t="shared" ca="1" si="60"/>
        <v>2347.7860812592457</v>
      </c>
      <c r="BI48" s="23">
        <f t="shared" ca="1" si="60"/>
        <v>9040.853681645498</v>
      </c>
      <c r="BJ48" s="521"/>
      <c r="BK48" s="521"/>
      <c r="BL48" s="98"/>
      <c r="BN48"/>
    </row>
    <row r="49" spans="1:66">
      <c r="A49" s="1" t="s">
        <v>4</v>
      </c>
      <c r="B49" s="33"/>
      <c r="C49" s="34"/>
      <c r="D49" s="34"/>
      <c r="E49" s="34"/>
      <c r="F49" s="35"/>
      <c r="G49" s="33"/>
      <c r="H49" s="34"/>
      <c r="I49" s="34"/>
      <c r="J49" s="34"/>
      <c r="K49" s="35"/>
      <c r="L49" s="33"/>
      <c r="M49" s="34"/>
      <c r="N49" s="34"/>
      <c r="O49" s="34"/>
      <c r="P49" s="35"/>
      <c r="Q49" s="33"/>
      <c r="R49" s="34"/>
      <c r="S49" s="34"/>
      <c r="T49" s="34"/>
      <c r="U49" s="35"/>
      <c r="V49" s="33"/>
      <c r="W49" s="34"/>
      <c r="X49" s="34"/>
      <c r="Y49" s="34"/>
      <c r="Z49" s="35"/>
      <c r="AA49" s="198"/>
      <c r="AB49" s="32"/>
      <c r="AC49" s="32"/>
      <c r="AD49" s="32"/>
      <c r="AE49" s="123"/>
      <c r="AF49" s="34"/>
      <c r="AG49" s="34"/>
      <c r="AH49" s="32"/>
      <c r="AI49" s="32"/>
      <c r="AJ49" s="123"/>
      <c r="AK49" s="34"/>
      <c r="AL49" s="34"/>
      <c r="AM49" s="32"/>
      <c r="AN49" s="32"/>
      <c r="AO49" s="35"/>
      <c r="AP49" s="34"/>
      <c r="AQ49" s="34"/>
      <c r="AR49" s="34"/>
      <c r="AS49" s="32"/>
      <c r="AT49" s="35"/>
      <c r="AU49" s="34"/>
      <c r="AV49" s="34"/>
      <c r="AW49" s="34"/>
      <c r="AX49" s="32"/>
      <c r="AY49" s="35"/>
      <c r="AZ49" s="34"/>
      <c r="BA49" s="34"/>
      <c r="BB49" s="32"/>
      <c r="BC49" s="32"/>
      <c r="BD49" s="35"/>
      <c r="BE49" s="34"/>
      <c r="BF49" s="34"/>
      <c r="BG49" s="32"/>
      <c r="BH49" s="32"/>
      <c r="BI49" s="35"/>
      <c r="BL49" s="98"/>
      <c r="BN49"/>
    </row>
    <row r="50" spans="1:66">
      <c r="F50" s="25"/>
      <c r="K50" s="25"/>
      <c r="P50" s="25"/>
      <c r="U50" s="25"/>
      <c r="Y50" s="73"/>
      <c r="Z50" s="25"/>
      <c r="AA50" s="20"/>
      <c r="AB50" s="73"/>
      <c r="AE50" s="25"/>
      <c r="AJ50" s="25"/>
      <c r="AK50" s="73"/>
      <c r="AO50" s="25"/>
      <c r="AT50" s="25"/>
      <c r="AY50" s="25"/>
      <c r="BD50" s="25"/>
      <c r="BI50" s="25"/>
      <c r="BL50" s="98"/>
      <c r="BN50"/>
    </row>
    <row r="51" spans="1:66">
      <c r="A51" s="6" t="s">
        <v>43</v>
      </c>
      <c r="B51" s="48"/>
      <c r="C51" s="48"/>
      <c r="D51" s="48"/>
      <c r="E51" s="48"/>
      <c r="F51" s="49"/>
      <c r="G51" s="48"/>
      <c r="H51" s="48"/>
      <c r="I51" s="48"/>
      <c r="J51" s="48"/>
      <c r="K51" s="49"/>
      <c r="L51" s="48"/>
      <c r="M51" s="48"/>
      <c r="N51" s="48"/>
      <c r="O51" s="48"/>
      <c r="P51" s="49"/>
      <c r="Q51" s="48"/>
      <c r="R51" s="48"/>
      <c r="S51" s="48"/>
      <c r="T51" s="48"/>
      <c r="U51" s="49"/>
      <c r="V51" s="48"/>
      <c r="W51" s="48"/>
      <c r="X51" s="48"/>
      <c r="Y51" s="48"/>
      <c r="Z51" s="49"/>
      <c r="AA51" s="48"/>
      <c r="AB51" s="48"/>
      <c r="AC51" s="48"/>
      <c r="AD51" s="48"/>
      <c r="AE51" s="49"/>
      <c r="AF51" s="48"/>
      <c r="AG51" s="48"/>
      <c r="AH51" s="48"/>
      <c r="AI51" s="48"/>
      <c r="AJ51" s="49"/>
      <c r="AK51" s="48">
        <f>AK43/AK60</f>
        <v>-9.2727272727272728E-2</v>
      </c>
      <c r="AL51" s="48">
        <f>AL43/AL60</f>
        <v>0.35577797998180166</v>
      </c>
      <c r="AM51" s="48">
        <f>AM43/AM60</f>
        <v>-0.17077625570776256</v>
      </c>
      <c r="AN51" s="48">
        <f>AN43/AN60</f>
        <v>0.67183226982680033</v>
      </c>
      <c r="AO51" s="49">
        <f>AO43/AO60</f>
        <v>0.76429059439763147</v>
      </c>
      <c r="AP51" s="48">
        <f t="shared" ref="AP51:AW51" si="61">AP43/AP60</f>
        <v>0.62932604735883424</v>
      </c>
      <c r="AQ51" s="48">
        <f t="shared" si="61"/>
        <v>0.73952641165755917</v>
      </c>
      <c r="AR51" s="48">
        <f t="shared" si="61"/>
        <v>0.92531876138433511</v>
      </c>
      <c r="AS51" s="48">
        <f t="shared" si="61"/>
        <v>0.65846994535519121</v>
      </c>
      <c r="AT51" s="49">
        <f t="shared" si="61"/>
        <v>2.9499545040946313</v>
      </c>
      <c r="AU51" s="48">
        <f t="shared" si="61"/>
        <v>0.93019038984587488</v>
      </c>
      <c r="AV51" s="48">
        <f t="shared" si="61"/>
        <v>1.2009090909090909</v>
      </c>
      <c r="AW51" s="48">
        <f t="shared" si="61"/>
        <v>1.1429872495446265</v>
      </c>
      <c r="AX51" s="48">
        <f t="shared" ref="AX51:BB51" si="62">AX43/AX60</f>
        <v>1.3132990284444279</v>
      </c>
      <c r="AY51" s="49">
        <f t="shared" si="62"/>
        <v>4.6023765996343693</v>
      </c>
      <c r="AZ51" s="48">
        <f t="shared" si="62"/>
        <v>1.4851576994434137</v>
      </c>
      <c r="BA51" s="48">
        <f t="shared" si="62"/>
        <v>1.6591970121381887</v>
      </c>
      <c r="BB51" s="48">
        <f t="shared" si="62"/>
        <v>1.6563380281690141</v>
      </c>
      <c r="BC51" s="48">
        <f t="shared" ref="BC51" si="63">BC43/BC60</f>
        <v>1.5743957795759376</v>
      </c>
      <c r="BD51" s="49">
        <f>BD43/BD60-0.01</f>
        <v>6.367808988764045</v>
      </c>
      <c r="BE51" s="48">
        <f t="shared" ref="BE51:BI51" si="64">BE43/BE60</f>
        <v>1.8624288425047439</v>
      </c>
      <c r="BF51" s="48">
        <f t="shared" si="64"/>
        <v>2.0191021967526264</v>
      </c>
      <c r="BG51" s="48">
        <f t="shared" ca="1" si="64"/>
        <v>2.0161075582825423</v>
      </c>
      <c r="BH51" s="48">
        <f t="shared" ca="1" si="64"/>
        <v>1.9693493221647305</v>
      </c>
      <c r="BI51" s="49">
        <f t="shared" ca="1" si="64"/>
        <v>7.8478300891738257</v>
      </c>
      <c r="BJ51" s="261" t="s">
        <v>646</v>
      </c>
      <c r="BK51" s="261"/>
      <c r="BL51" s="98"/>
      <c r="BN51"/>
    </row>
    <row r="52" spans="1:66">
      <c r="A52" s="6" t="s">
        <v>407</v>
      </c>
      <c r="B52" s="48"/>
      <c r="C52" s="48"/>
      <c r="D52" s="48"/>
      <c r="E52" s="48"/>
      <c r="F52" s="49"/>
      <c r="G52" s="48"/>
      <c r="H52" s="48"/>
      <c r="I52" s="48"/>
      <c r="J52" s="48"/>
      <c r="K52" s="49"/>
      <c r="L52" s="48"/>
      <c r="M52" s="48"/>
      <c r="N52" s="48"/>
      <c r="O52" s="48"/>
      <c r="P52" s="49"/>
      <c r="Q52" s="48"/>
      <c r="R52" s="48"/>
      <c r="S52" s="48"/>
      <c r="T52" s="48"/>
      <c r="U52" s="49"/>
      <c r="V52" s="48"/>
      <c r="W52" s="48"/>
      <c r="X52" s="48"/>
      <c r="Y52" s="48"/>
      <c r="Z52" s="49"/>
      <c r="AA52" s="48"/>
      <c r="AB52" s="48"/>
      <c r="AC52" s="48"/>
      <c r="AD52" s="48"/>
      <c r="AE52" s="49"/>
      <c r="AF52" s="48"/>
      <c r="AG52" s="48"/>
      <c r="AH52" s="48"/>
      <c r="AI52" s="48"/>
      <c r="AJ52" s="49"/>
      <c r="AK52" s="48">
        <f t="shared" ref="AK52:AS52" si="65">+AK48/AK60</f>
        <v>-1.1599999999999999</v>
      </c>
      <c r="AL52" s="48">
        <f t="shared" si="65"/>
        <v>-1.0982711555959963</v>
      </c>
      <c r="AM52" s="48">
        <f t="shared" si="65"/>
        <v>-0.28584474885844746</v>
      </c>
      <c r="AN52" s="48">
        <f t="shared" si="65"/>
        <v>1.5487693710118504</v>
      </c>
      <c r="AO52" s="49">
        <f t="shared" si="65"/>
        <v>-0.99931678433158733</v>
      </c>
      <c r="AP52" s="48">
        <f t="shared" si="65"/>
        <v>5.9672131147540988</v>
      </c>
      <c r="AQ52" s="48">
        <f>+AQ48/AQ60</f>
        <v>1.0883424408014573</v>
      </c>
      <c r="AR52" s="48">
        <f>+AR48/AR60</f>
        <v>0.19581056466302368</v>
      </c>
      <c r="AS52" s="48">
        <f t="shared" si="65"/>
        <v>1.0837887067395264</v>
      </c>
      <c r="AT52" s="49">
        <f t="shared" ref="AT52:BB52" si="66">+AT48/AT60</f>
        <v>8.3275705186533209</v>
      </c>
      <c r="AU52" s="48">
        <f t="shared" si="66"/>
        <v>1.5784224841341794</v>
      </c>
      <c r="AV52" s="48">
        <f t="shared" si="66"/>
        <v>1.2</v>
      </c>
      <c r="AW52" s="48">
        <f t="shared" si="66"/>
        <v>1.552823315118397</v>
      </c>
      <c r="AX52" s="48">
        <f t="shared" si="66"/>
        <v>1.7449555828040411</v>
      </c>
      <c r="AY52" s="49">
        <f t="shared" si="66"/>
        <v>6.0968921389396709</v>
      </c>
      <c r="AZ52" s="48">
        <f t="shared" si="66"/>
        <v>1.8246753246753247</v>
      </c>
      <c r="BA52" s="48">
        <f t="shared" ref="BA52" si="67">+BA48/BA60</f>
        <v>1.8739495798319328</v>
      </c>
      <c r="BB52" s="48">
        <f t="shared" si="66"/>
        <v>2.0375586854460095</v>
      </c>
      <c r="BC52" s="48">
        <f t="shared" ref="BC52:BD52" si="68">+BC48/BC60</f>
        <v>2.3137346781608645</v>
      </c>
      <c r="BD52" s="49">
        <f t="shared" si="68"/>
        <v>8.0500936329588022</v>
      </c>
      <c r="BE52" s="48">
        <f t="shared" ref="BE52:BI52" si="69">+BE48/BE60</f>
        <v>1.8292220113851991</v>
      </c>
      <c r="BF52" s="48">
        <f t="shared" si="69"/>
        <v>2.2970391595033428</v>
      </c>
      <c r="BG52" s="48">
        <f t="shared" ca="1" si="69"/>
        <v>2.2552018309132138</v>
      </c>
      <c r="BH52" s="48">
        <f t="shared" ca="1" si="69"/>
        <v>2.2501665598601739</v>
      </c>
      <c r="BI52" s="49">
        <f t="shared" ca="1" si="69"/>
        <v>8.609676411639466</v>
      </c>
      <c r="BL52" s="98"/>
      <c r="BN52"/>
    </row>
    <row r="53" spans="1:66">
      <c r="F53" s="25"/>
      <c r="K53" s="25"/>
      <c r="P53" s="25"/>
      <c r="U53" s="25"/>
      <c r="Z53" s="25"/>
      <c r="AE53" s="25"/>
      <c r="AJ53" s="25"/>
      <c r="AO53" s="25"/>
      <c r="AR53" s="50"/>
      <c r="AT53" s="25"/>
      <c r="AY53" s="25"/>
      <c r="BD53" s="25"/>
      <c r="BI53" s="25"/>
      <c r="BL53" s="98"/>
      <c r="BN53"/>
    </row>
    <row r="54" spans="1:66">
      <c r="A54" s="4" t="s">
        <v>44</v>
      </c>
      <c r="B54" s="50"/>
      <c r="C54" s="50"/>
      <c r="D54" s="50"/>
      <c r="E54" s="50"/>
      <c r="F54" s="51"/>
      <c r="G54" s="50"/>
      <c r="H54" s="50"/>
      <c r="I54" s="50"/>
      <c r="J54" s="50"/>
      <c r="K54" s="51"/>
      <c r="L54" s="50"/>
      <c r="M54" s="50"/>
      <c r="N54" s="50"/>
      <c r="O54" s="50"/>
      <c r="P54" s="51"/>
      <c r="Q54" s="50"/>
      <c r="R54" s="50"/>
      <c r="S54" s="50"/>
      <c r="T54" s="50"/>
      <c r="U54" s="51"/>
      <c r="V54" s="50"/>
      <c r="W54" s="50"/>
      <c r="X54" s="50"/>
      <c r="Y54" s="50"/>
      <c r="Z54" s="51"/>
      <c r="AA54" s="50"/>
      <c r="AB54" s="50"/>
      <c r="AC54" s="50"/>
      <c r="AD54" s="50"/>
      <c r="AE54" s="51"/>
      <c r="AF54" s="50"/>
      <c r="AG54" s="50"/>
      <c r="AH54" s="50"/>
      <c r="AI54" s="50"/>
      <c r="AJ54" s="51"/>
      <c r="AK54" s="50">
        <f>AK43/AK57</f>
        <v>-9.2727272727272728E-2</v>
      </c>
      <c r="AL54" s="50">
        <f t="shared" ref="AL54:AV54" si="70">AL43/AL57</f>
        <v>0.35577797998180166</v>
      </c>
      <c r="AM54" s="50">
        <f t="shared" si="70"/>
        <v>-0.17077625570776256</v>
      </c>
      <c r="AN54" s="50">
        <f t="shared" si="70"/>
        <v>0.67552703941338221</v>
      </c>
      <c r="AO54" s="51">
        <f t="shared" si="70"/>
        <v>0.7653363740022805</v>
      </c>
      <c r="AP54" s="50">
        <f>AP43/AP57</f>
        <v>0.63452708907254363</v>
      </c>
      <c r="AQ54" s="50">
        <f>AQ43/AQ57</f>
        <v>0.74563820018365468</v>
      </c>
      <c r="AR54" s="50">
        <f>AR43/AR57</f>
        <v>0.93296602387511474</v>
      </c>
      <c r="AS54" s="50">
        <f t="shared" si="70"/>
        <v>0.66391184573002759</v>
      </c>
      <c r="AT54" s="51">
        <f>AT43/AT57</f>
        <v>2.9770431588613406</v>
      </c>
      <c r="AU54" s="50">
        <f t="shared" si="70"/>
        <v>0.94042163153070579</v>
      </c>
      <c r="AV54" s="50">
        <f t="shared" si="70"/>
        <v>1.2130394857667586</v>
      </c>
      <c r="AW54" s="50">
        <f t="shared" ref="AW54:BB54" si="71">AW43/AW57</f>
        <v>1.1545538178472861</v>
      </c>
      <c r="AX54" s="50">
        <f t="shared" si="71"/>
        <v>1.3266734234894024</v>
      </c>
      <c r="AY54" s="51">
        <f t="shared" si="71"/>
        <v>4.6405529953917046</v>
      </c>
      <c r="AZ54" s="50">
        <f t="shared" si="71"/>
        <v>1.4962616822429906</v>
      </c>
      <c r="BA54" s="50">
        <f t="shared" si="71"/>
        <v>1.671683913452493</v>
      </c>
      <c r="BB54" s="50">
        <f t="shared" si="71"/>
        <v>1.6672967863894139</v>
      </c>
      <c r="BC54" s="50">
        <f t="shared" ref="BC54:BD54" si="72">BC43/BC57</f>
        <v>1.5848578065860721</v>
      </c>
      <c r="BD54" s="51">
        <f t="shared" si="72"/>
        <v>6.4198868991517433</v>
      </c>
      <c r="BE54" s="50">
        <f t="shared" ref="BE54:BI54" si="73">BE43/BE57</f>
        <v>1.8766730401529637</v>
      </c>
      <c r="BF54" s="50">
        <f t="shared" si="73"/>
        <v>2.0326923076923076</v>
      </c>
      <c r="BG54" s="50">
        <f t="shared" ca="1" si="73"/>
        <v>2.0296956391526781</v>
      </c>
      <c r="BH54" s="50">
        <f t="shared" ca="1" si="73"/>
        <v>1.9826508159467835</v>
      </c>
      <c r="BI54" s="51">
        <f t="shared" ca="1" si="73"/>
        <v>7.9020111524026904</v>
      </c>
      <c r="BL54" s="98"/>
      <c r="BN54"/>
    </row>
    <row r="55" spans="1:66">
      <c r="A55" s="4" t="s">
        <v>408</v>
      </c>
      <c r="B55" s="52"/>
      <c r="C55" s="52"/>
      <c r="D55" s="52"/>
      <c r="E55" s="52"/>
      <c r="F55" s="53"/>
      <c r="G55" s="52"/>
      <c r="H55" s="52"/>
      <c r="I55" s="52"/>
      <c r="J55" s="52"/>
      <c r="K55" s="53"/>
      <c r="L55" s="52"/>
      <c r="M55" s="52"/>
      <c r="N55" s="52"/>
      <c r="O55" s="52"/>
      <c r="P55" s="53"/>
      <c r="Q55" s="52"/>
      <c r="R55" s="52"/>
      <c r="S55" s="52"/>
      <c r="T55" s="52"/>
      <c r="U55" s="240"/>
      <c r="V55" s="52"/>
      <c r="W55" s="52"/>
      <c r="X55" s="52"/>
      <c r="Y55" s="52"/>
      <c r="Z55" s="53"/>
      <c r="AA55" s="52"/>
      <c r="AB55" s="52"/>
      <c r="AC55" s="52"/>
      <c r="AD55" s="52"/>
      <c r="AE55" s="53"/>
      <c r="AF55" s="52"/>
      <c r="AG55" s="52"/>
      <c r="AH55" s="52"/>
      <c r="AI55" s="52"/>
      <c r="AJ55" s="53"/>
      <c r="AK55" s="50">
        <f t="shared" ref="AK55:AV55" si="74">AK48/AK57</f>
        <v>-1.1599999999999999</v>
      </c>
      <c r="AL55" s="50">
        <f t="shared" si="74"/>
        <v>-1.0982711555959963</v>
      </c>
      <c r="AM55" s="50">
        <f t="shared" si="74"/>
        <v>-0.28584474885844746</v>
      </c>
      <c r="AN55" s="50">
        <f t="shared" si="74"/>
        <v>1.5572868927589367</v>
      </c>
      <c r="AO55" s="51">
        <f t="shared" si="74"/>
        <v>-1.000684150513113</v>
      </c>
      <c r="AP55" s="50">
        <f>AP48/AP57</f>
        <v>6.0165289256198351</v>
      </c>
      <c r="AQ55" s="50">
        <f>AQ48/AQ57</f>
        <v>1.0973370064279155</v>
      </c>
      <c r="AR55" s="50">
        <f>AR48/AR57</f>
        <v>0.19742883379247014</v>
      </c>
      <c r="AS55" s="50">
        <f t="shared" si="74"/>
        <v>1.0927456382001837</v>
      </c>
      <c r="AT55" s="51">
        <f>AT48/AT57</f>
        <v>8.4040404040404049</v>
      </c>
      <c r="AU55" s="50">
        <f t="shared" si="74"/>
        <v>1.5957836846929423</v>
      </c>
      <c r="AV55" s="50">
        <f t="shared" si="74"/>
        <v>1.2121212121212122</v>
      </c>
      <c r="AW55" s="50">
        <f t="shared" ref="AW55:BB55" si="75">AW48/AW57</f>
        <v>1.5685372585096595</v>
      </c>
      <c r="AX55" s="50">
        <f t="shared" si="75"/>
        <v>1.762725888572102</v>
      </c>
      <c r="AY55" s="51">
        <f t="shared" si="75"/>
        <v>6.1474654377880187</v>
      </c>
      <c r="AZ55" s="50">
        <f t="shared" si="75"/>
        <v>1.8383177570093459</v>
      </c>
      <c r="BA55" s="50">
        <f t="shared" si="75"/>
        <v>1.8880526810912512</v>
      </c>
      <c r="BB55" s="50">
        <f t="shared" si="75"/>
        <v>2.0510396975425329</v>
      </c>
      <c r="BC55" s="50">
        <f t="shared" ref="BC55:BD55" si="76">BC48/BC57</f>
        <v>2.3291096906013347</v>
      </c>
      <c r="BD55" s="51">
        <f t="shared" si="76"/>
        <v>8.1032045240339308</v>
      </c>
      <c r="BE55" s="50">
        <f t="shared" ref="BE55:BI55" si="77">BE48/BE57</f>
        <v>1.8432122370936903</v>
      </c>
      <c r="BF55" s="50">
        <f t="shared" si="77"/>
        <v>2.3125</v>
      </c>
      <c r="BG55" s="50">
        <f t="shared" ca="1" si="77"/>
        <v>2.2704013497737212</v>
      </c>
      <c r="BH55" s="50">
        <f t="shared" ca="1" si="77"/>
        <v>2.2653647657689477</v>
      </c>
      <c r="BI55" s="51">
        <f t="shared" ca="1" si="77"/>
        <v>8.6691172273475718</v>
      </c>
      <c r="BL55" s="98"/>
      <c r="BN55"/>
    </row>
    <row r="56" spans="1:66">
      <c r="F56" s="25"/>
      <c r="K56" s="25"/>
      <c r="P56" s="25"/>
      <c r="U56" s="90"/>
      <c r="Z56" s="25"/>
      <c r="AE56" s="25"/>
      <c r="AJ56" s="25"/>
      <c r="AO56" s="25"/>
      <c r="AT56" s="25"/>
      <c r="AY56" s="25"/>
      <c r="BD56" s="25"/>
      <c r="BI56" s="25"/>
      <c r="BL56" s="98"/>
      <c r="BN56"/>
    </row>
    <row r="57" spans="1:66">
      <c r="A57" s="4" t="s">
        <v>316</v>
      </c>
      <c r="B57" s="54"/>
      <c r="C57" s="54"/>
      <c r="D57" s="54"/>
      <c r="E57" s="54"/>
      <c r="F57" s="169"/>
      <c r="G57" s="54"/>
      <c r="H57" s="54"/>
      <c r="I57" s="54"/>
      <c r="J57" s="54"/>
      <c r="K57" s="169"/>
      <c r="L57" s="54"/>
      <c r="M57" s="54"/>
      <c r="N57" s="54"/>
      <c r="O57" s="54"/>
      <c r="P57" s="169"/>
      <c r="Q57" s="54"/>
      <c r="R57" s="54"/>
      <c r="S57" s="54"/>
      <c r="T57" s="54"/>
      <c r="U57" s="55"/>
      <c r="V57" s="194"/>
      <c r="W57" s="194"/>
      <c r="X57" s="194"/>
      <c r="Y57" s="194"/>
      <c r="Z57" s="59"/>
      <c r="AA57" s="54"/>
      <c r="AB57" s="54"/>
      <c r="AC57" s="54"/>
      <c r="AD57" s="54"/>
      <c r="AE57" s="59"/>
      <c r="AF57" s="54"/>
      <c r="AG57" s="54"/>
      <c r="AH57" s="54"/>
      <c r="AI57" s="54"/>
      <c r="AJ57" s="59"/>
      <c r="AK57" s="54">
        <v>1100</v>
      </c>
      <c r="AL57" s="54">
        <v>1099</v>
      </c>
      <c r="AM57" s="54">
        <v>1095</v>
      </c>
      <c r="AN57" s="54">
        <v>1091</v>
      </c>
      <c r="AO57" s="59">
        <f>AVERAGE(AK57:AN57)</f>
        <v>1096.25</v>
      </c>
      <c r="AP57" s="516">
        <f>AQ57</f>
        <v>1089</v>
      </c>
      <c r="AQ57" s="54">
        <v>1089</v>
      </c>
      <c r="AR57" s="54">
        <v>1089</v>
      </c>
      <c r="AS57" s="516">
        <f>+AVERAGE(AR57,AS63)</f>
        <v>1089</v>
      </c>
      <c r="AT57" s="169">
        <v>1089</v>
      </c>
      <c r="AU57" s="54">
        <v>1091</v>
      </c>
      <c r="AV57" s="54">
        <v>1089</v>
      </c>
      <c r="AW57" s="54">
        <v>1087</v>
      </c>
      <c r="AX57" s="294">
        <f>+AVERAGE(AW57,AX63)</f>
        <v>1080.1452525</v>
      </c>
      <c r="AY57" s="169">
        <v>1085</v>
      </c>
      <c r="AZ57" s="54">
        <v>1070</v>
      </c>
      <c r="BA57" s="54">
        <v>1063</v>
      </c>
      <c r="BB57" s="54">
        <v>1058</v>
      </c>
      <c r="BC57" s="294">
        <f>+AVERAGE(BB57,BC63)</f>
        <v>1053.406806</v>
      </c>
      <c r="BD57" s="169">
        <v>1061</v>
      </c>
      <c r="BE57" s="54">
        <v>1046</v>
      </c>
      <c r="BF57" s="54">
        <v>1040</v>
      </c>
      <c r="BG57" s="294">
        <f t="shared" ref="BG57" si="78">+AVERAGE(BF57,BG63)</f>
        <v>1038.6126667081421</v>
      </c>
      <c r="BH57" s="294">
        <f>+AVERAGE(BG57,BH63)</f>
        <v>1036.383242441012</v>
      </c>
      <c r="BI57" s="59">
        <f>AVERAGE(BE57:BH57, BC57)</f>
        <v>1042.880543029831</v>
      </c>
      <c r="BJ57" s="523"/>
      <c r="BK57" s="523"/>
      <c r="BL57" s="98" t="s">
        <v>495</v>
      </c>
      <c r="BN57"/>
    </row>
    <row r="58" spans="1:66">
      <c r="A58" s="1" t="s">
        <v>4</v>
      </c>
      <c r="B58" s="33"/>
      <c r="C58" s="34"/>
      <c r="D58" s="56"/>
      <c r="E58" s="197"/>
      <c r="F58" s="35"/>
      <c r="G58" s="33"/>
      <c r="H58" s="34"/>
      <c r="I58" s="34"/>
      <c r="J58" s="34"/>
      <c r="K58" s="35"/>
      <c r="L58" s="33"/>
      <c r="M58" s="34"/>
      <c r="N58" s="34"/>
      <c r="O58" s="34"/>
      <c r="P58" s="35"/>
      <c r="Q58" s="33"/>
      <c r="R58" s="34"/>
      <c r="S58" s="34"/>
      <c r="T58" s="34"/>
      <c r="U58" s="88"/>
      <c r="V58" s="33"/>
      <c r="W58" s="34"/>
      <c r="X58" s="34"/>
      <c r="Y58" s="34"/>
      <c r="Z58" s="35"/>
      <c r="AA58" s="198"/>
      <c r="AB58" s="32"/>
      <c r="AC58" s="32"/>
      <c r="AD58" s="32"/>
      <c r="AE58" s="123"/>
      <c r="AF58" s="198"/>
      <c r="AG58" s="32"/>
      <c r="AH58" s="32"/>
      <c r="AI58" s="32"/>
      <c r="AJ58" s="123"/>
      <c r="AK58" s="32"/>
      <c r="AL58" s="32"/>
      <c r="AM58" s="32"/>
      <c r="AN58" s="32"/>
      <c r="AO58" s="123"/>
      <c r="AP58" s="32">
        <f>AP57/AK57-1</f>
        <v>-1.0000000000000009E-2</v>
      </c>
      <c r="AQ58" s="32">
        <f>AQ57/AL57-1</f>
        <v>-9.099181073703333E-3</v>
      </c>
      <c r="AR58" s="32">
        <f>AR57/AM57-1</f>
        <v>-5.479452054794498E-3</v>
      </c>
      <c r="AS58" s="32">
        <f>AS57/AN57-1</f>
        <v>-1.8331805682859637E-3</v>
      </c>
      <c r="AT58" s="35">
        <f>AT57/AO57-1</f>
        <v>-6.6134549600912473E-3</v>
      </c>
      <c r="AU58" s="32">
        <f t="shared" ref="AU58:BB58" si="79">AU57/AP57-1</f>
        <v>1.8365472910928382E-3</v>
      </c>
      <c r="AV58" s="32">
        <f t="shared" si="79"/>
        <v>0</v>
      </c>
      <c r="AW58" s="32">
        <f t="shared" si="79"/>
        <v>-1.8365472910927272E-3</v>
      </c>
      <c r="AX58" s="32">
        <f t="shared" si="79"/>
        <v>-8.1310812672176214E-3</v>
      </c>
      <c r="AY58" s="35">
        <f t="shared" si="79"/>
        <v>-3.6730945821854544E-3</v>
      </c>
      <c r="AZ58" s="32">
        <f t="shared" si="79"/>
        <v>-1.9248395967002785E-2</v>
      </c>
      <c r="BA58" s="32">
        <f t="shared" si="79"/>
        <v>-2.3875114784205675E-2</v>
      </c>
      <c r="BB58" s="32">
        <f t="shared" si="79"/>
        <v>-2.6678932842686298E-2</v>
      </c>
      <c r="BC58" s="32">
        <f t="shared" ref="BC58" si="80">BC57/AX57-1</f>
        <v>-2.4754491526129296E-2</v>
      </c>
      <c r="BD58" s="35">
        <f t="shared" ref="BD58" si="81">BD57/AY57-1</f>
        <v>-2.2119815668202758E-2</v>
      </c>
      <c r="BE58" s="31">
        <f t="shared" ref="BE58" si="82">BE57/AZ57-1</f>
        <v>-2.2429906542056122E-2</v>
      </c>
      <c r="BF58" s="31">
        <f t="shared" ref="BF58" si="83">BF57/BA57-1</f>
        <v>-2.1636876763875823E-2</v>
      </c>
      <c r="BG58" s="31">
        <f t="shared" ref="BG58" si="84">BG57/BB57-1</f>
        <v>-1.8324511618013073E-2</v>
      </c>
      <c r="BH58" s="32">
        <f t="shared" ref="BH58" si="85">BH57/BC57-1</f>
        <v>-1.6160483739069309E-2</v>
      </c>
      <c r="BI58" s="35">
        <f t="shared" ref="BI58" si="86">BI57/BD57-1</f>
        <v>-1.7077716277256405E-2</v>
      </c>
      <c r="BL58" s="98"/>
      <c r="BN58"/>
    </row>
    <row r="59" spans="1:66">
      <c r="B59" s="56"/>
      <c r="C59" s="56"/>
      <c r="D59" s="56"/>
      <c r="E59" s="203"/>
      <c r="F59" s="58"/>
      <c r="G59" s="56"/>
      <c r="H59" s="56"/>
      <c r="I59" s="56"/>
      <c r="J59" s="57"/>
      <c r="K59" s="58"/>
      <c r="L59" s="56"/>
      <c r="M59" s="56"/>
      <c r="N59" s="56"/>
      <c r="O59" s="57"/>
      <c r="P59" s="58"/>
      <c r="Q59" s="56"/>
      <c r="R59" s="56"/>
      <c r="S59" s="56"/>
      <c r="T59" s="57"/>
      <c r="U59" s="241"/>
      <c r="V59" s="56"/>
      <c r="W59" s="56"/>
      <c r="X59" s="56"/>
      <c r="Y59" s="57"/>
      <c r="Z59" s="58"/>
      <c r="AA59" s="56"/>
      <c r="AB59" s="56"/>
      <c r="AC59" s="56"/>
      <c r="AD59" s="57"/>
      <c r="AE59" s="58"/>
      <c r="AF59" s="56"/>
      <c r="AG59" s="56"/>
      <c r="AH59" s="56"/>
      <c r="AI59" s="57"/>
      <c r="AJ59" s="58"/>
      <c r="AK59" s="56"/>
      <c r="AL59" s="56"/>
      <c r="AM59" s="56"/>
      <c r="AN59" s="56"/>
      <c r="AO59" s="58"/>
      <c r="AP59" s="56"/>
      <c r="AQ59" s="56"/>
      <c r="AR59" s="56"/>
      <c r="AS59" s="56"/>
      <c r="AT59" s="58"/>
      <c r="AU59" s="56"/>
      <c r="AV59" s="56"/>
      <c r="AW59" s="56"/>
      <c r="AX59" s="56"/>
      <c r="AY59" s="58"/>
      <c r="AZ59" s="56"/>
      <c r="BA59" s="56"/>
      <c r="BB59" s="56"/>
      <c r="BC59" s="56"/>
      <c r="BD59" s="58"/>
      <c r="BE59" s="602"/>
      <c r="BF59" s="602"/>
      <c r="BG59" s="602"/>
      <c r="BH59" s="56"/>
      <c r="BI59" s="58"/>
      <c r="BL59" s="98"/>
      <c r="BN59"/>
    </row>
    <row r="60" spans="1:66">
      <c r="A60" s="4" t="s">
        <v>317</v>
      </c>
      <c r="B60" s="54"/>
      <c r="C60" s="54"/>
      <c r="D60" s="54"/>
      <c r="E60" s="54"/>
      <c r="F60" s="169"/>
      <c r="G60" s="54"/>
      <c r="H60" s="54"/>
      <c r="I60" s="54"/>
      <c r="J60" s="54"/>
      <c r="K60" s="169"/>
      <c r="L60" s="54"/>
      <c r="M60" s="54"/>
      <c r="N60" s="54"/>
      <c r="O60" s="54"/>
      <c r="P60" s="169"/>
      <c r="Q60" s="54"/>
      <c r="R60" s="54"/>
      <c r="S60" s="54"/>
      <c r="T60" s="54"/>
      <c r="U60" s="55"/>
      <c r="V60" s="194"/>
      <c r="W60" s="194"/>
      <c r="X60" s="194"/>
      <c r="Y60" s="194"/>
      <c r="Z60" s="59"/>
      <c r="AA60" s="54"/>
      <c r="AB60" s="54"/>
      <c r="AC60" s="54"/>
      <c r="AD60" s="54"/>
      <c r="AE60" s="59"/>
      <c r="AF60" s="54"/>
      <c r="AG60" s="54"/>
      <c r="AH60" s="54"/>
      <c r="AI60" s="54"/>
      <c r="AJ60" s="59"/>
      <c r="AK60" s="54">
        <f>AK57</f>
        <v>1100</v>
      </c>
      <c r="AL60" s="54">
        <v>1099</v>
      </c>
      <c r="AM60" s="54">
        <v>1095</v>
      </c>
      <c r="AN60" s="54">
        <v>1097</v>
      </c>
      <c r="AO60" s="59">
        <f>AVERAGE(AK60:AN60)</f>
        <v>1097.75</v>
      </c>
      <c r="AP60" s="516">
        <f>AQ60</f>
        <v>1098</v>
      </c>
      <c r="AQ60" s="54">
        <v>1098</v>
      </c>
      <c r="AR60" s="54">
        <v>1098</v>
      </c>
      <c r="AS60" s="516">
        <f>+AR60-AR57+AS57</f>
        <v>1098</v>
      </c>
      <c r="AT60" s="169">
        <v>1099</v>
      </c>
      <c r="AU60" s="54">
        <v>1103</v>
      </c>
      <c r="AV60" s="54">
        <v>1100</v>
      </c>
      <c r="AW60" s="54">
        <v>1098</v>
      </c>
      <c r="AX60" s="294">
        <f>+AW60-AW57+AX57</f>
        <v>1091.1452525</v>
      </c>
      <c r="AY60" s="169">
        <v>1094</v>
      </c>
      <c r="AZ60" s="54">
        <v>1078</v>
      </c>
      <c r="BA60" s="54">
        <v>1071</v>
      </c>
      <c r="BB60" s="54">
        <v>1065</v>
      </c>
      <c r="BC60" s="294">
        <f>+BB60-BB57+BC57</f>
        <v>1060.406806</v>
      </c>
      <c r="BD60" s="169">
        <v>1068</v>
      </c>
      <c r="BE60" s="54">
        <v>1054</v>
      </c>
      <c r="BF60" s="54">
        <v>1047</v>
      </c>
      <c r="BG60" s="294">
        <f t="shared" ref="BG60" si="87">+BF60-BF57+BG57</f>
        <v>1045.6126667081421</v>
      </c>
      <c r="BH60" s="294">
        <f>+BG60-BG57+BH57</f>
        <v>1043.383242441012</v>
      </c>
      <c r="BI60" s="59">
        <f>AVERAGE(BE60:BH60, BC60)</f>
        <v>1050.080543029831</v>
      </c>
      <c r="BJ60" s="523" t="s">
        <v>602</v>
      </c>
      <c r="BK60" s="523"/>
      <c r="BL60" s="98" t="s">
        <v>494</v>
      </c>
      <c r="BN60"/>
    </row>
    <row r="61" spans="1:66">
      <c r="A61" s="1" t="s">
        <v>4</v>
      </c>
      <c r="B61" s="33"/>
      <c r="C61" s="34"/>
      <c r="D61" s="47"/>
      <c r="E61" s="34"/>
      <c r="F61" s="35"/>
      <c r="G61" s="33"/>
      <c r="H61" s="34"/>
      <c r="I61" s="34"/>
      <c r="J61" s="34"/>
      <c r="K61" s="35"/>
      <c r="L61" s="33"/>
      <c r="M61" s="34"/>
      <c r="N61" s="34"/>
      <c r="O61" s="34"/>
      <c r="P61" s="35"/>
      <c r="Q61" s="33"/>
      <c r="R61" s="34"/>
      <c r="S61" s="34"/>
      <c r="T61" s="34"/>
      <c r="U61" s="88"/>
      <c r="V61" s="33"/>
      <c r="W61" s="34"/>
      <c r="X61" s="34"/>
      <c r="Y61" s="34"/>
      <c r="Z61" s="35"/>
      <c r="AA61" s="198"/>
      <c r="AB61" s="32"/>
      <c r="AC61" s="32"/>
      <c r="AD61" s="32"/>
      <c r="AE61" s="123"/>
      <c r="AF61" s="198"/>
      <c r="AG61" s="32"/>
      <c r="AH61" s="32"/>
      <c r="AI61" s="32"/>
      <c r="AJ61" s="123"/>
      <c r="AK61" s="32"/>
      <c r="AL61" s="32"/>
      <c r="AM61" s="32"/>
      <c r="AN61" s="32"/>
      <c r="AO61" s="123"/>
      <c r="AP61" s="32">
        <f>AP60/AK60-1</f>
        <v>-1.8181818181818299E-3</v>
      </c>
      <c r="AQ61" s="32">
        <f>AQ60/AL60-1</f>
        <v>-9.0991810737028889E-4</v>
      </c>
      <c r="AR61" s="32">
        <f>AR60/AM60-1</f>
        <v>2.73972602739736E-3</v>
      </c>
      <c r="AS61" s="32">
        <f>AS60/AN60-1</f>
        <v>9.1157702825883646E-4</v>
      </c>
      <c r="AT61" s="35">
        <f>AT60/AO60-1</f>
        <v>1.1386927806877889E-3</v>
      </c>
      <c r="AU61" s="32">
        <f t="shared" ref="AU61:BB61" si="88">AU60/AP60-1</f>
        <v>4.5537340619308253E-3</v>
      </c>
      <c r="AV61" s="32">
        <f t="shared" si="88"/>
        <v>1.8214936247722413E-3</v>
      </c>
      <c r="AW61" s="32">
        <f t="shared" si="88"/>
        <v>0</v>
      </c>
      <c r="AX61" s="32">
        <f t="shared" si="88"/>
        <v>-6.2429394353370471E-3</v>
      </c>
      <c r="AY61" s="35">
        <f t="shared" si="88"/>
        <v>-4.5495905368516665E-3</v>
      </c>
      <c r="AZ61" s="32">
        <f t="shared" si="88"/>
        <v>-2.2665457842248382E-2</v>
      </c>
      <c r="BA61" s="32">
        <f t="shared" si="88"/>
        <v>-2.6363636363636367E-2</v>
      </c>
      <c r="BB61" s="32">
        <f t="shared" si="88"/>
        <v>-3.0054644808743203E-2</v>
      </c>
      <c r="BC61" s="32">
        <f t="shared" ref="BC61" si="89">BC60/AX60-1</f>
        <v>-2.8170810833454962E-2</v>
      </c>
      <c r="BD61" s="35">
        <f t="shared" ref="BD61" si="90">BD60/AY60-1</f>
        <v>-2.3765996343692919E-2</v>
      </c>
      <c r="BE61" s="31">
        <f t="shared" ref="BE61" si="91">BE60/AZ60-1</f>
        <v>-2.2263450834879461E-2</v>
      </c>
      <c r="BF61" s="31">
        <f t="shared" ref="BF61" si="92">BF60/BA60-1</f>
        <v>-2.2408963585434205E-2</v>
      </c>
      <c r="BG61" s="31">
        <f t="shared" ref="BG61" si="93">BG60/BB60-1</f>
        <v>-1.8204068818645891E-2</v>
      </c>
      <c r="BH61" s="32">
        <f t="shared" ref="BH61" si="94">BH60/BC60-1</f>
        <v>-1.6053804504709945E-2</v>
      </c>
      <c r="BI61" s="35">
        <f t="shared" ref="BI61" si="95">BI60/BD60-1</f>
        <v>-1.6778517762330525E-2</v>
      </c>
      <c r="BL61" s="98"/>
      <c r="BN61"/>
    </row>
    <row r="62" spans="1:66">
      <c r="A62" s="1"/>
      <c r="B62" s="33"/>
      <c r="C62" s="34"/>
      <c r="D62" s="47"/>
      <c r="E62" s="34"/>
      <c r="F62" s="35"/>
      <c r="G62" s="33"/>
      <c r="H62" s="34"/>
      <c r="I62" s="34"/>
      <c r="J62" s="34"/>
      <c r="K62" s="35"/>
      <c r="L62" s="33"/>
      <c r="M62" s="34"/>
      <c r="N62" s="34"/>
      <c r="O62" s="34"/>
      <c r="P62" s="35"/>
      <c r="Q62" s="33"/>
      <c r="R62" s="34"/>
      <c r="S62" s="34"/>
      <c r="T62" s="34"/>
      <c r="U62" s="88"/>
      <c r="V62" s="33"/>
      <c r="W62" s="34"/>
      <c r="X62" s="34"/>
      <c r="Y62" s="34"/>
      <c r="Z62" s="35"/>
      <c r="AA62" s="198"/>
      <c r="AB62" s="32"/>
      <c r="AC62" s="32"/>
      <c r="AD62" s="32"/>
      <c r="AE62" s="123"/>
      <c r="AF62" s="198"/>
      <c r="AG62" s="32"/>
      <c r="AH62" s="32"/>
      <c r="AI62" s="32"/>
      <c r="AJ62" s="123"/>
      <c r="AK62" s="198"/>
      <c r="AL62" s="32"/>
      <c r="AM62" s="32"/>
      <c r="AN62" s="32"/>
      <c r="AO62" s="123"/>
      <c r="AP62" s="198"/>
      <c r="AQ62" s="198"/>
      <c r="AR62" s="198"/>
      <c r="AS62" s="34"/>
      <c r="AT62" s="35"/>
      <c r="AU62" s="198"/>
      <c r="AV62" s="198"/>
      <c r="AW62" s="198"/>
      <c r="AX62" s="34"/>
      <c r="AY62" s="35"/>
      <c r="AZ62" s="198"/>
      <c r="BA62" s="198"/>
      <c r="BB62" s="198"/>
      <c r="BC62" s="34"/>
      <c r="BD62" s="35"/>
      <c r="BE62" s="30"/>
      <c r="BF62" s="30"/>
      <c r="BG62" s="30"/>
      <c r="BH62" s="34"/>
      <c r="BI62" s="35"/>
      <c r="BL62" s="98"/>
      <c r="BN62"/>
    </row>
    <row r="63" spans="1:66">
      <c r="A63" s="4" t="s">
        <v>331</v>
      </c>
      <c r="B63" s="33"/>
      <c r="C63" s="34"/>
      <c r="D63" s="47"/>
      <c r="E63" s="34"/>
      <c r="F63" s="35"/>
      <c r="G63" s="33"/>
      <c r="H63" s="34"/>
      <c r="I63" s="34"/>
      <c r="J63" s="34"/>
      <c r="K63" s="35"/>
      <c r="L63" s="33"/>
      <c r="M63" s="34"/>
      <c r="N63" s="34"/>
      <c r="O63" s="34"/>
      <c r="P63" s="35"/>
      <c r="Q63" s="33"/>
      <c r="R63" s="34"/>
      <c r="S63" s="34"/>
      <c r="T63" s="34"/>
      <c r="U63" s="88"/>
      <c r="V63" s="33"/>
      <c r="W63" s="34"/>
      <c r="X63" s="34"/>
      <c r="Y63" s="34"/>
      <c r="Z63" s="35"/>
      <c r="AA63" s="198"/>
      <c r="AB63" s="32"/>
      <c r="AC63" s="32"/>
      <c r="AD63" s="32"/>
      <c r="AE63" s="123"/>
      <c r="AF63" s="198"/>
      <c r="AG63" s="32"/>
      <c r="AH63" s="32"/>
      <c r="AI63" s="32"/>
      <c r="AJ63" s="59">
        <v>1099.321882</v>
      </c>
      <c r="AK63" s="54">
        <v>1100.664978</v>
      </c>
      <c r="AL63" s="54">
        <v>1096.5531020000001</v>
      </c>
      <c r="AM63" s="54">
        <v>1092.66814</v>
      </c>
      <c r="AN63" s="54">
        <v>1089.2865529999999</v>
      </c>
      <c r="AO63" s="59">
        <f>AN63</f>
        <v>1089.2865529999999</v>
      </c>
      <c r="AP63" s="514"/>
      <c r="AQ63" s="514"/>
      <c r="AR63" s="514"/>
      <c r="AS63" s="514"/>
      <c r="AT63" s="515"/>
      <c r="AU63" s="514"/>
      <c r="AV63" s="511">
        <v>1084.3110160000001</v>
      </c>
      <c r="AW63" s="511">
        <v>1082.2940040000001</v>
      </c>
      <c r="AX63" s="513">
        <f>AY63</f>
        <v>1073.2905049999999</v>
      </c>
      <c r="AY63" s="169">
        <v>1073.2905049999999</v>
      </c>
      <c r="AZ63" s="506">
        <v>1066.386643</v>
      </c>
      <c r="BA63" s="511">
        <v>1060.4393869999999</v>
      </c>
      <c r="BB63" s="511">
        <v>1054.813911</v>
      </c>
      <c r="BC63" s="513">
        <f>BD63</f>
        <v>1048.8136119999999</v>
      </c>
      <c r="BD63" s="169">
        <v>1048.8136119999999</v>
      </c>
      <c r="BE63" s="54">
        <v>1043.337235</v>
      </c>
      <c r="BF63" s="647">
        <v>1037.5625130000001</v>
      </c>
      <c r="BG63" s="648">
        <f t="shared" ref="BG63:BH63" si="96">+BE63+BG66+BG73</f>
        <v>1037.225333416284</v>
      </c>
      <c r="BH63" s="648">
        <f t="shared" si="96"/>
        <v>1034.153818173882</v>
      </c>
      <c r="BI63" s="59">
        <f>+BH63</f>
        <v>1034.153818173882</v>
      </c>
      <c r="BL63" s="98" t="s">
        <v>496</v>
      </c>
      <c r="BN63"/>
    </row>
    <row r="64" spans="1:66">
      <c r="A64" s="1" t="s">
        <v>4</v>
      </c>
      <c r="B64" s="33"/>
      <c r="C64" s="34"/>
      <c r="D64" s="47"/>
      <c r="E64" s="34"/>
      <c r="F64" s="35"/>
      <c r="G64" s="33"/>
      <c r="H64" s="34"/>
      <c r="I64" s="34"/>
      <c r="J64" s="34"/>
      <c r="K64" s="35"/>
      <c r="L64" s="33"/>
      <c r="M64" s="34"/>
      <c r="N64" s="34"/>
      <c r="O64" s="34"/>
      <c r="P64" s="35"/>
      <c r="Q64" s="33"/>
      <c r="R64" s="34"/>
      <c r="S64" s="34"/>
      <c r="T64" s="34"/>
      <c r="U64" s="88"/>
      <c r="V64" s="33"/>
      <c r="W64" s="34"/>
      <c r="X64" s="34"/>
      <c r="Y64" s="34"/>
      <c r="Z64" s="35"/>
      <c r="AA64" s="198"/>
      <c r="AB64" s="32"/>
      <c r="AC64" s="32"/>
      <c r="AD64" s="32"/>
      <c r="AE64" s="123"/>
      <c r="AF64" s="198"/>
      <c r="AG64" s="32"/>
      <c r="AH64" s="32"/>
      <c r="AI64" s="32"/>
      <c r="AJ64" s="123"/>
      <c r="AK64" s="198"/>
      <c r="AL64" s="32"/>
      <c r="AM64" s="32"/>
      <c r="AN64" s="32"/>
      <c r="AO64" s="355"/>
      <c r="AP64" s="198"/>
      <c r="AQ64" s="198"/>
      <c r="AR64" s="198"/>
      <c r="AS64" s="34"/>
      <c r="AT64" s="355"/>
      <c r="AU64" s="198"/>
      <c r="AV64" s="198"/>
      <c r="AW64" s="198"/>
      <c r="AX64" s="34"/>
      <c r="AY64" s="355"/>
      <c r="AZ64" s="198"/>
      <c r="BA64" s="198"/>
      <c r="BB64" s="198"/>
      <c r="BC64" s="34"/>
      <c r="BD64" s="355"/>
      <c r="BE64" s="198"/>
      <c r="BF64" s="198"/>
      <c r="BG64" s="198"/>
      <c r="BH64" s="34"/>
      <c r="BI64" s="355"/>
      <c r="BL64" s="98"/>
      <c r="BN64"/>
    </row>
    <row r="65" spans="1:66">
      <c r="A65" s="2"/>
      <c r="B65" s="46"/>
      <c r="C65" s="47"/>
      <c r="D65" s="47"/>
      <c r="E65" s="47"/>
      <c r="F65" s="45"/>
      <c r="G65" s="46"/>
      <c r="H65" s="47"/>
      <c r="I65" s="47"/>
      <c r="J65" s="47"/>
      <c r="K65" s="45"/>
      <c r="L65" s="46"/>
      <c r="M65" s="47"/>
      <c r="N65" s="47"/>
      <c r="O65" s="47"/>
      <c r="P65" s="45"/>
      <c r="Q65" s="46"/>
      <c r="R65" s="47"/>
      <c r="S65" s="47"/>
      <c r="T65" s="47"/>
      <c r="U65" s="242"/>
      <c r="V65" s="46"/>
      <c r="W65" s="47"/>
      <c r="X65" s="47"/>
      <c r="Y65" s="47"/>
      <c r="Z65" s="45"/>
      <c r="AA65" s="276"/>
      <c r="AB65" s="277"/>
      <c r="AC65" s="277"/>
      <c r="AD65" s="277"/>
      <c r="AE65" s="45"/>
      <c r="AF65" s="276"/>
      <c r="AG65" s="277"/>
      <c r="AH65" s="277"/>
      <c r="AI65" s="277"/>
      <c r="AJ65" s="45"/>
      <c r="AK65" s="276"/>
      <c r="AL65" s="277"/>
      <c r="AM65" s="277"/>
      <c r="AN65" s="277"/>
      <c r="AO65" s="45"/>
      <c r="AP65" s="276"/>
      <c r="AQ65" s="276"/>
      <c r="AR65" s="276"/>
      <c r="AS65" s="47"/>
      <c r="AT65" s="45"/>
      <c r="AU65" s="276"/>
      <c r="AV65" s="276"/>
      <c r="AW65" s="276"/>
      <c r="AX65" s="47"/>
      <c r="AY65" s="45"/>
      <c r="AZ65" s="276"/>
      <c r="BA65" s="276"/>
      <c r="BB65" s="276"/>
      <c r="BC65" s="47"/>
      <c r="BD65" s="45"/>
      <c r="BE65" s="276"/>
      <c r="BF65" s="276"/>
      <c r="BG65" s="276"/>
      <c r="BH65" s="47"/>
      <c r="BI65" s="45"/>
      <c r="BL65" s="98"/>
      <c r="BN65"/>
    </row>
    <row r="66" spans="1:66">
      <c r="A66" s="4" t="s">
        <v>497</v>
      </c>
      <c r="B66" s="215"/>
      <c r="C66" s="215"/>
      <c r="D66" s="215"/>
      <c r="E66" s="215"/>
      <c r="F66" s="59"/>
      <c r="G66" s="215"/>
      <c r="H66" s="215"/>
      <c r="I66" s="215"/>
      <c r="J66" s="215"/>
      <c r="K66" s="59"/>
      <c r="L66" s="215"/>
      <c r="M66" s="215"/>
      <c r="N66" s="215"/>
      <c r="O66" s="215"/>
      <c r="P66" s="59"/>
      <c r="Q66" s="215"/>
      <c r="R66" s="215"/>
      <c r="S66" s="215"/>
      <c r="T66" s="215"/>
      <c r="U66" s="59"/>
      <c r="V66" s="54"/>
      <c r="W66" s="54"/>
      <c r="X66" s="54"/>
      <c r="Y66" s="54"/>
      <c r="Z66" s="169"/>
      <c r="AA66" s="54"/>
      <c r="AB66" s="54"/>
      <c r="AC66" s="54"/>
      <c r="AD66" s="287"/>
      <c r="AE66" s="59"/>
      <c r="AF66" s="54"/>
      <c r="AG66" s="54"/>
      <c r="AH66" s="54"/>
      <c r="AI66" s="287"/>
      <c r="AJ66" s="59"/>
      <c r="AK66" s="362">
        <f>+AK63-AJ63</f>
        <v>1.3430960000000596</v>
      </c>
      <c r="AL66" s="362">
        <f>+AL63-AK63</f>
        <v>-4.1118759999999384</v>
      </c>
      <c r="AM66" s="362">
        <f>+AM63-AL63</f>
        <v>-3.8849620000000868</v>
      </c>
      <c r="AN66" s="362">
        <f>+AN63-AM63</f>
        <v>-3.3815870000000814</v>
      </c>
      <c r="AO66" s="363">
        <f>SUM(AK66:AN66)</f>
        <v>-10.035329000000047</v>
      </c>
      <c r="AP66" s="517"/>
      <c r="AQ66" s="517"/>
      <c r="AR66" s="517"/>
      <c r="AS66" s="517"/>
      <c r="AT66" s="518"/>
      <c r="AU66" s="519"/>
      <c r="AV66" s="507">
        <v>-13.904999999999999</v>
      </c>
      <c r="AW66" s="507">
        <v>-7.9009999999999998</v>
      </c>
      <c r="AX66" s="507">
        <v>-9.1720000000000006</v>
      </c>
      <c r="AY66" s="363">
        <f>SUM(AU66:AX66)</f>
        <v>-30.977999999999998</v>
      </c>
      <c r="AZ66" s="507">
        <v>-9.4700000000000006</v>
      </c>
      <c r="BA66" s="507">
        <v>-7.5179999999999998</v>
      </c>
      <c r="BB66" s="507">
        <v>-6.6159999999999997</v>
      </c>
      <c r="BC66" s="507">
        <v>-6.4039999999999999</v>
      </c>
      <c r="BD66" s="363">
        <f>SUM(AZ66:BC66)</f>
        <v>-30.007999999999999</v>
      </c>
      <c r="BE66" s="507">
        <v>-7.1669999999999998</v>
      </c>
      <c r="BF66" s="507">
        <v>-6.8879999999999999</v>
      </c>
      <c r="BG66" s="601">
        <f>Cash_Flow_Qtr!BG47/ProForma_IS_Qtr!BG67</f>
        <v>-6.1119015837159383</v>
      </c>
      <c r="BH66" s="601">
        <f>Cash_Flow_Qtr!BH47/ProForma_IS_Qtr!BH67</f>
        <v>-3.408694826118146</v>
      </c>
      <c r="BI66" s="363">
        <f>SUM(BE66:BH66)</f>
        <v>-23.575596409834084</v>
      </c>
      <c r="BJ66" s="289"/>
      <c r="BK66" s="289"/>
      <c r="BL66" s="98" t="s">
        <v>498</v>
      </c>
      <c r="BN66"/>
    </row>
    <row r="67" spans="1:66">
      <c r="A67" s="4" t="s">
        <v>38</v>
      </c>
      <c r="B67" s="217"/>
      <c r="C67" s="217"/>
      <c r="D67" s="217"/>
      <c r="E67" s="217"/>
      <c r="F67" s="53"/>
      <c r="G67" s="217"/>
      <c r="H67" s="217"/>
      <c r="I67" s="217"/>
      <c r="J67" s="217"/>
      <c r="K67" s="53"/>
      <c r="L67" s="217"/>
      <c r="M67" s="217"/>
      <c r="N67" s="217"/>
      <c r="O67" s="217"/>
      <c r="P67" s="53"/>
      <c r="Q67" s="217"/>
      <c r="R67" s="217"/>
      <c r="S67" s="217"/>
      <c r="T67" s="217"/>
      <c r="U67" s="53"/>
      <c r="V67" s="54"/>
      <c r="W67" s="54"/>
      <c r="X67" s="54"/>
      <c r="Y67" s="54"/>
      <c r="Z67" s="169"/>
      <c r="AA67" s="288"/>
      <c r="AB67" s="288"/>
      <c r="AC67" s="288"/>
      <c r="AD67" s="288"/>
      <c r="AE67" s="53"/>
      <c r="AF67" s="288"/>
      <c r="AG67" s="288"/>
      <c r="AH67" s="288"/>
      <c r="AI67" s="288"/>
      <c r="AJ67" s="53"/>
      <c r="AK67" s="364">
        <v>74.712419999999995</v>
      </c>
      <c r="AL67" s="364">
        <v>60.689484</v>
      </c>
      <c r="AM67" s="364">
        <v>55.075470000000003</v>
      </c>
      <c r="AN67" s="364">
        <v>61.366109999999999</v>
      </c>
      <c r="AO67" s="51">
        <v>62.990400000000001</v>
      </c>
      <c r="AP67" s="508">
        <v>84.120952380952403</v>
      </c>
      <c r="AQ67" s="508">
        <v>101.373174603175</v>
      </c>
      <c r="AR67" s="507">
        <v>112.57109375</v>
      </c>
      <c r="AS67" s="508">
        <v>116.00203125</v>
      </c>
      <c r="AT67" s="509">
        <f>AVERAGE(AP67:AS67)</f>
        <v>103.51681299603186</v>
      </c>
      <c r="AU67" s="508">
        <v>147.33758064516101</v>
      </c>
      <c r="AV67" s="508">
        <v>164.63</v>
      </c>
      <c r="AW67" s="508">
        <v>165.9</v>
      </c>
      <c r="AX67" s="508">
        <v>182.02</v>
      </c>
      <c r="AY67" s="509">
        <f>AVERAGE(AU67:AX67)</f>
        <v>164.97189516129023</v>
      </c>
      <c r="AZ67" s="508">
        <v>202.05</v>
      </c>
      <c r="BA67" s="508">
        <v>219.81</v>
      </c>
      <c r="BB67" s="508">
        <v>278.06</v>
      </c>
      <c r="BC67" s="508">
        <v>313.29000000000002</v>
      </c>
      <c r="BD67" s="509">
        <f>AVERAGE(AZ67:BC67)</f>
        <v>253.30250000000001</v>
      </c>
      <c r="BE67" s="508">
        <v>308.45</v>
      </c>
      <c r="BF67" s="508">
        <v>292.17</v>
      </c>
      <c r="BG67" s="364">
        <f t="shared" ref="BG67:BH67" si="97">BF67*(1+BG68)</f>
        <v>306.77850000000001</v>
      </c>
      <c r="BH67" s="364">
        <f t="shared" si="97"/>
        <v>322.11742500000003</v>
      </c>
      <c r="BI67" s="509">
        <f>AVERAGE(BE67:BH67)</f>
        <v>307.37898125000004</v>
      </c>
      <c r="BL67" s="98" t="s">
        <v>498</v>
      </c>
      <c r="BN67"/>
    </row>
    <row r="68" spans="1:66">
      <c r="A68" s="4"/>
      <c r="B68" s="217"/>
      <c r="C68" s="217"/>
      <c r="D68" s="217"/>
      <c r="E68" s="217"/>
      <c r="F68" s="53"/>
      <c r="G68" s="217"/>
      <c r="H68" s="217"/>
      <c r="I68" s="217"/>
      <c r="J68" s="217"/>
      <c r="K68" s="53"/>
      <c r="L68" s="217"/>
      <c r="M68" s="217"/>
      <c r="N68" s="217"/>
      <c r="O68" s="217"/>
      <c r="P68" s="53"/>
      <c r="Q68" s="217"/>
      <c r="R68" s="217"/>
      <c r="S68" s="217"/>
      <c r="T68" s="217"/>
      <c r="U68" s="53"/>
      <c r="V68" s="54"/>
      <c r="W68" s="54"/>
      <c r="X68" s="54"/>
      <c r="Y68" s="54"/>
      <c r="Z68" s="169"/>
      <c r="AA68" s="288"/>
      <c r="AB68" s="52"/>
      <c r="AC68" s="52"/>
      <c r="AD68" s="52"/>
      <c r="AE68" s="53"/>
      <c r="AF68" s="288"/>
      <c r="AG68" s="52"/>
      <c r="AH68" s="52"/>
      <c r="AI68" s="52"/>
      <c r="AJ68" s="53"/>
      <c r="AK68" s="288"/>
      <c r="AL68" s="52"/>
      <c r="AM68" s="52"/>
      <c r="AN68" s="52"/>
      <c r="AO68" s="53"/>
      <c r="AP68" s="52"/>
      <c r="AQ68" s="52"/>
      <c r="AR68" s="52"/>
      <c r="AS68" s="52"/>
      <c r="AT68" s="53"/>
      <c r="AU68" s="52"/>
      <c r="AV68" s="52"/>
      <c r="AW68" s="52"/>
      <c r="AX68" s="52"/>
      <c r="AY68" s="53"/>
      <c r="AZ68" s="52"/>
      <c r="BA68" s="52"/>
      <c r="BB68" s="52"/>
      <c r="BC68" s="52"/>
      <c r="BD68" s="53"/>
      <c r="BE68" s="525"/>
      <c r="BF68" s="646"/>
      <c r="BG68" s="525">
        <v>0.05</v>
      </c>
      <c r="BH68" s="525">
        <v>0.05</v>
      </c>
      <c r="BI68" s="53"/>
      <c r="BL68" s="98"/>
      <c r="BN68"/>
    </row>
    <row r="69" spans="1:66">
      <c r="A69" s="4"/>
      <c r="B69" s="217"/>
      <c r="C69" s="217"/>
      <c r="D69" s="217"/>
      <c r="E69" s="217"/>
      <c r="F69" s="53"/>
      <c r="G69" s="217"/>
      <c r="H69" s="217"/>
      <c r="I69" s="217"/>
      <c r="J69" s="217"/>
      <c r="K69" s="53"/>
      <c r="L69" s="217"/>
      <c r="M69" s="217"/>
      <c r="N69" s="217"/>
      <c r="O69" s="217"/>
      <c r="P69" s="53"/>
      <c r="Q69" s="217"/>
      <c r="R69" s="217"/>
      <c r="S69" s="217"/>
      <c r="T69" s="217"/>
      <c r="U69" s="53"/>
      <c r="V69" s="54"/>
      <c r="W69" s="54"/>
      <c r="X69" s="54"/>
      <c r="Y69" s="54"/>
      <c r="Z69" s="169"/>
      <c r="AA69" s="288"/>
      <c r="AB69" s="52"/>
      <c r="AC69" s="52"/>
      <c r="AD69" s="52"/>
      <c r="AE69" s="53"/>
      <c r="AF69" s="288"/>
      <c r="AG69" s="52"/>
      <c r="AH69" s="52"/>
      <c r="AI69" s="52"/>
      <c r="AJ69" s="53"/>
      <c r="AK69" s="288"/>
      <c r="AL69" s="52"/>
      <c r="AM69" s="52"/>
      <c r="AN69" s="52"/>
      <c r="AO69" s="53"/>
      <c r="AP69" s="52"/>
      <c r="AQ69" s="52"/>
      <c r="AR69" s="52"/>
      <c r="AS69" s="52"/>
      <c r="AT69" s="53"/>
      <c r="AU69" s="52"/>
      <c r="AV69" s="52"/>
      <c r="AW69" s="52"/>
      <c r="AX69" s="52"/>
      <c r="AY69" s="53"/>
      <c r="AZ69" s="52"/>
      <c r="BA69" s="52"/>
      <c r="BB69" s="52"/>
      <c r="BC69" s="52"/>
      <c r="BD69" s="53"/>
      <c r="BE69" s="525"/>
      <c r="BF69" s="525"/>
      <c r="BG69" s="525"/>
      <c r="BH69" s="525"/>
      <c r="BI69" s="53"/>
      <c r="BL69" s="98"/>
      <c r="BN69"/>
    </row>
    <row r="70" spans="1:66">
      <c r="A70" s="4" t="s">
        <v>167</v>
      </c>
      <c r="B70" s="217"/>
      <c r="C70" s="217"/>
      <c r="D70" s="217"/>
      <c r="E70" s="217"/>
      <c r="F70" s="53"/>
      <c r="G70" s="217"/>
      <c r="H70" s="217"/>
      <c r="I70" s="217"/>
      <c r="J70" s="217"/>
      <c r="K70" s="53"/>
      <c r="L70" s="217"/>
      <c r="M70" s="217"/>
      <c r="N70" s="217"/>
      <c r="O70" s="217"/>
      <c r="P70" s="53"/>
      <c r="Q70" s="217"/>
      <c r="R70" s="217"/>
      <c r="S70" s="217"/>
      <c r="T70" s="217"/>
      <c r="U70" s="53"/>
      <c r="V70" s="217"/>
      <c r="W70" s="217"/>
      <c r="X70" s="217"/>
      <c r="Y70" s="217"/>
      <c r="Z70" s="224"/>
      <c r="AA70" s="217"/>
      <c r="AB70" s="217"/>
      <c r="AC70" s="217"/>
      <c r="AD70" s="217"/>
      <c r="AE70" s="224"/>
      <c r="AF70" s="217"/>
      <c r="AG70" s="217"/>
      <c r="AH70" s="217"/>
      <c r="AI70" s="217"/>
      <c r="AJ70" s="224"/>
      <c r="AK70" s="345">
        <v>0.08</v>
      </c>
      <c r="AL70" s="345">
        <v>0.08</v>
      </c>
      <c r="AM70" s="345">
        <v>0.08</v>
      </c>
      <c r="AN70" s="345">
        <v>0.08</v>
      </c>
      <c r="AO70" s="272">
        <f>SUM(AK70:AN70)</f>
        <v>0.32</v>
      </c>
      <c r="AP70" s="510">
        <v>0.08</v>
      </c>
      <c r="AQ70" s="510">
        <v>0.08</v>
      </c>
      <c r="AR70" s="510">
        <v>0.08</v>
      </c>
      <c r="AS70" s="510">
        <v>0.08</v>
      </c>
      <c r="AT70" s="272">
        <f>SUM(AP70:AS70)</f>
        <v>0.32</v>
      </c>
      <c r="AU70" s="510">
        <v>0</v>
      </c>
      <c r="AV70" s="510">
        <v>0.56000000000000005</v>
      </c>
      <c r="AW70" s="510">
        <v>0.28000000000000003</v>
      </c>
      <c r="AX70" s="510">
        <v>0.28000000000000003</v>
      </c>
      <c r="AY70" s="272">
        <f>SUM(AU70:AX70)</f>
        <v>1.1200000000000001</v>
      </c>
      <c r="AZ70" s="345">
        <v>0.36</v>
      </c>
      <c r="BA70" s="510">
        <v>0.36</v>
      </c>
      <c r="BB70" s="510">
        <v>0.36</v>
      </c>
      <c r="BC70" s="510">
        <v>0.36</v>
      </c>
      <c r="BD70" s="272">
        <f>SUM(AZ70:BC70)</f>
        <v>1.44</v>
      </c>
      <c r="BE70" s="345">
        <v>0.47</v>
      </c>
      <c r="BF70" s="510">
        <v>0.47</v>
      </c>
      <c r="BG70" s="604">
        <f t="shared" ref="BG70" si="98">BB70*(1+BG71)</f>
        <v>0.46799999999999997</v>
      </c>
      <c r="BH70" s="603">
        <f>BI70-SUM(BE70:BG70)</f>
        <v>0.46399999999999997</v>
      </c>
      <c r="BI70" s="272">
        <f>BD70*(1+BI71)</f>
        <v>1.8719999999999999</v>
      </c>
      <c r="BJ70" s="289"/>
      <c r="BK70" s="289"/>
      <c r="BL70" s="98" t="s">
        <v>498</v>
      </c>
      <c r="BN70"/>
    </row>
    <row r="71" spans="1:66">
      <c r="A71" s="1" t="s">
        <v>4</v>
      </c>
      <c r="B71" s="33"/>
      <c r="C71" s="34"/>
      <c r="D71" s="34"/>
      <c r="E71" s="34"/>
      <c r="F71" s="35"/>
      <c r="G71" s="33"/>
      <c r="H71" s="34"/>
      <c r="I71" s="34"/>
      <c r="J71" s="34"/>
      <c r="K71" s="35"/>
      <c r="L71" s="33"/>
      <c r="M71" s="34"/>
      <c r="N71" s="34"/>
      <c r="O71" s="34"/>
      <c r="P71" s="35"/>
      <c r="Q71" s="33"/>
      <c r="R71" s="34"/>
      <c r="S71" s="34"/>
      <c r="T71" s="34"/>
      <c r="U71" s="35"/>
      <c r="V71" s="69"/>
      <c r="W71" s="197"/>
      <c r="X71" s="197"/>
      <c r="Y71" s="197"/>
      <c r="Z71" s="164"/>
      <c r="AA71" s="258"/>
      <c r="AB71" s="278"/>
      <c r="AC71" s="278"/>
      <c r="AD71" s="278"/>
      <c r="AE71" s="192"/>
      <c r="AF71" s="258"/>
      <c r="AG71" s="197"/>
      <c r="AH71" s="278"/>
      <c r="AI71" s="278"/>
      <c r="AJ71" s="192"/>
      <c r="AK71" s="34"/>
      <c r="AL71" s="32"/>
      <c r="AM71" s="32"/>
      <c r="AN71" s="31"/>
      <c r="AO71" s="123"/>
      <c r="AP71" s="32">
        <f t="shared" ref="AP71:BB71" si="99">AP70/AK70-1</f>
        <v>0</v>
      </c>
      <c r="AQ71" s="32">
        <f t="shared" si="99"/>
        <v>0</v>
      </c>
      <c r="AR71" s="32">
        <f t="shared" si="99"/>
        <v>0</v>
      </c>
      <c r="AS71" s="31">
        <f>AS70/AN70-1</f>
        <v>0</v>
      </c>
      <c r="AT71" s="35">
        <f>AT70/AO70-1</f>
        <v>0</v>
      </c>
      <c r="AU71" s="32">
        <f t="shared" si="99"/>
        <v>-1</v>
      </c>
      <c r="AV71" s="32">
        <f t="shared" si="99"/>
        <v>6.0000000000000009</v>
      </c>
      <c r="AW71" s="32">
        <f t="shared" si="99"/>
        <v>2.5000000000000004</v>
      </c>
      <c r="AX71" s="31">
        <f t="shared" si="99"/>
        <v>2.5000000000000004</v>
      </c>
      <c r="AY71" s="35">
        <f t="shared" si="99"/>
        <v>2.5000000000000004</v>
      </c>
      <c r="AZ71" s="32" t="e">
        <f>AZ70/AU70-1</f>
        <v>#DIV/0!</v>
      </c>
      <c r="BA71" s="32">
        <f t="shared" si="99"/>
        <v>-0.35714285714285721</v>
      </c>
      <c r="BB71" s="32">
        <f t="shared" si="99"/>
        <v>0.28571428571428559</v>
      </c>
      <c r="BC71" s="31">
        <f t="shared" ref="BC71" si="100">BC70/AX70-1</f>
        <v>0.28571428571428559</v>
      </c>
      <c r="BD71" s="35">
        <f t="shared" ref="BD71" si="101">BD70/AY70-1</f>
        <v>0.28571428571428559</v>
      </c>
      <c r="BE71" s="32">
        <f>BE70/AZ70-1</f>
        <v>0.30555555555555558</v>
      </c>
      <c r="BF71" s="32">
        <f t="shared" ref="BF71" si="102">BF70/BA70-1</f>
        <v>0.30555555555555558</v>
      </c>
      <c r="BG71" s="210">
        <v>0.3</v>
      </c>
      <c r="BH71" s="31">
        <f>BH70/BC70-1</f>
        <v>0.28888888888888875</v>
      </c>
      <c r="BI71" s="196">
        <v>0.3</v>
      </c>
      <c r="BL71" s="98"/>
      <c r="BN71"/>
    </row>
    <row r="72" spans="1:66">
      <c r="A72" s="1"/>
      <c r="B72" s="33"/>
      <c r="C72" s="34"/>
      <c r="D72" s="34"/>
      <c r="E72" s="34"/>
      <c r="F72" s="35"/>
      <c r="G72" s="33"/>
      <c r="H72" s="34"/>
      <c r="I72" s="34"/>
      <c r="J72" s="34"/>
      <c r="K72" s="35"/>
      <c r="L72" s="33"/>
      <c r="M72" s="34"/>
      <c r="N72" s="34"/>
      <c r="O72" s="34"/>
      <c r="P72" s="35"/>
      <c r="Q72" s="33"/>
      <c r="R72" s="34"/>
      <c r="S72" s="34"/>
      <c r="T72" s="34"/>
      <c r="U72" s="35"/>
      <c r="V72" s="69"/>
      <c r="W72" s="197"/>
      <c r="X72" s="197"/>
      <c r="Y72" s="197"/>
      <c r="Z72" s="164"/>
      <c r="AA72" s="258"/>
      <c r="AB72" s="278"/>
      <c r="AC72" s="278"/>
      <c r="AD72" s="278"/>
      <c r="AE72" s="192"/>
      <c r="AF72" s="258"/>
      <c r="AG72" s="197"/>
      <c r="AH72" s="278"/>
      <c r="AI72" s="278"/>
      <c r="AJ72" s="192"/>
      <c r="AK72" s="34"/>
      <c r="AL72" s="32"/>
      <c r="AM72" s="32"/>
      <c r="AN72" s="31"/>
      <c r="AO72" s="123"/>
      <c r="AP72" s="32"/>
      <c r="AQ72" s="32"/>
      <c r="AR72" s="32"/>
      <c r="AS72" s="31"/>
      <c r="AT72" s="35"/>
      <c r="AU72" s="32"/>
      <c r="AV72" s="32"/>
      <c r="AW72" s="32"/>
      <c r="AX72" s="31"/>
      <c r="AY72" s="35"/>
      <c r="AZ72" s="32"/>
      <c r="BA72" s="32"/>
      <c r="BB72" s="32"/>
      <c r="BC72" s="31"/>
      <c r="BD72" s="35"/>
      <c r="BE72" s="210"/>
      <c r="BF72" s="210"/>
      <c r="BG72" s="210"/>
      <c r="BH72" s="31"/>
      <c r="BI72" s="196"/>
      <c r="BL72" s="98"/>
      <c r="BN72"/>
    </row>
    <row r="73" spans="1:66">
      <c r="A73" s="1" t="s">
        <v>612</v>
      </c>
      <c r="B73" s="33"/>
      <c r="C73" s="34"/>
      <c r="D73" s="34"/>
      <c r="E73" s="34"/>
      <c r="F73" s="35"/>
      <c r="G73" s="33"/>
      <c r="H73" s="34"/>
      <c r="I73" s="34"/>
      <c r="J73" s="34"/>
      <c r="K73" s="35"/>
      <c r="L73" s="33"/>
      <c r="M73" s="34"/>
      <c r="N73" s="34"/>
      <c r="O73" s="34"/>
      <c r="P73" s="35"/>
      <c r="Q73" s="33"/>
      <c r="R73" s="34"/>
      <c r="S73" s="34"/>
      <c r="T73" s="34"/>
      <c r="U73" s="35"/>
      <c r="V73" s="69"/>
      <c r="W73" s="197"/>
      <c r="X73" s="197"/>
      <c r="Y73" s="197"/>
      <c r="Z73" s="164"/>
      <c r="AA73" s="258"/>
      <c r="AB73" s="278"/>
      <c r="AC73" s="278"/>
      <c r="AD73" s="278"/>
      <c r="AE73" s="192"/>
      <c r="AF73" s="258"/>
      <c r="AG73" s="197"/>
      <c r="AH73" s="278"/>
      <c r="AI73" s="278"/>
      <c r="AJ73" s="192"/>
      <c r="AK73" s="34"/>
      <c r="AL73" s="32"/>
      <c r="AM73" s="32"/>
      <c r="AN73" s="31"/>
      <c r="AO73" s="123"/>
      <c r="AP73" s="32"/>
      <c r="AQ73" s="32"/>
      <c r="AR73" s="32"/>
      <c r="AS73" s="31"/>
      <c r="AT73" s="35"/>
      <c r="AU73" s="32"/>
      <c r="AV73" s="32"/>
      <c r="AW73" s="32"/>
      <c r="AX73" s="31"/>
      <c r="AY73" s="35"/>
      <c r="AZ73" s="32"/>
      <c r="BA73" s="32"/>
      <c r="BB73" s="32"/>
      <c r="BC73" s="31"/>
      <c r="BD73" s="35"/>
      <c r="BE73" s="613">
        <v>0</v>
      </c>
      <c r="BF73" s="613">
        <v>0</v>
      </c>
      <c r="BG73" s="613">
        <v>0</v>
      </c>
      <c r="BH73" s="614">
        <f>BI73-SUM(BE73:BG73)</f>
        <v>0</v>
      </c>
      <c r="BI73" s="612">
        <v>0</v>
      </c>
      <c r="BL73" s="98"/>
      <c r="BN73"/>
    </row>
    <row r="74" spans="1:66">
      <c r="A74" s="1"/>
      <c r="B74" s="33"/>
      <c r="C74" s="34"/>
      <c r="D74" s="34"/>
      <c r="E74" s="34"/>
      <c r="F74" s="35"/>
      <c r="G74" s="33"/>
      <c r="H74" s="34"/>
      <c r="I74" s="34"/>
      <c r="J74" s="34"/>
      <c r="K74" s="35"/>
      <c r="L74" s="33"/>
      <c r="M74" s="34"/>
      <c r="N74" s="34"/>
      <c r="O74" s="34"/>
      <c r="P74" s="35"/>
      <c r="Q74" s="33"/>
      <c r="R74" s="34"/>
      <c r="S74" s="34"/>
      <c r="T74" s="34"/>
      <c r="U74" s="35"/>
      <c r="V74" s="69"/>
      <c r="W74" s="197"/>
      <c r="X74" s="197"/>
      <c r="Y74" s="197"/>
      <c r="Z74" s="164"/>
      <c r="AA74" s="258"/>
      <c r="AB74" s="278"/>
      <c r="AC74" s="278"/>
      <c r="AD74" s="278"/>
      <c r="AE74" s="192"/>
      <c r="AF74" s="258"/>
      <c r="AG74" s="197"/>
      <c r="AH74" s="278"/>
      <c r="AI74" s="278"/>
      <c r="AJ74" s="192"/>
      <c r="AK74" s="34"/>
      <c r="AL74" s="32"/>
      <c r="AM74" s="32"/>
      <c r="AN74" s="31"/>
      <c r="AO74" s="123"/>
      <c r="AP74" s="32"/>
      <c r="AQ74" s="32"/>
      <c r="AR74" s="32"/>
      <c r="AS74" s="31"/>
      <c r="AT74" s="35"/>
      <c r="AU74" s="32"/>
      <c r="AV74" s="32"/>
      <c r="AW74" s="32"/>
      <c r="AX74" s="31"/>
      <c r="AY74" s="35"/>
      <c r="AZ74" s="32"/>
      <c r="BA74" s="32"/>
      <c r="BB74" s="32"/>
      <c r="BC74" s="31"/>
      <c r="BD74" s="35"/>
      <c r="BE74" s="210"/>
      <c r="BF74" s="210"/>
      <c r="BG74" s="210"/>
      <c r="BH74" s="31"/>
      <c r="BI74" s="196"/>
      <c r="BL74" s="98"/>
      <c r="BN74"/>
    </row>
    <row r="75" spans="1:66">
      <c r="A75" s="2"/>
      <c r="B75" s="46"/>
      <c r="C75" s="47"/>
      <c r="E75" s="47"/>
      <c r="F75" s="45"/>
      <c r="G75" s="46"/>
      <c r="H75" s="47"/>
      <c r="J75" s="47"/>
      <c r="K75" s="45"/>
      <c r="L75" s="46"/>
      <c r="M75" s="47"/>
      <c r="O75" s="47"/>
      <c r="P75" s="45"/>
      <c r="Q75" s="46"/>
      <c r="R75" s="47"/>
      <c r="T75" s="47"/>
      <c r="U75" s="45"/>
      <c r="V75" s="46"/>
      <c r="W75" s="47"/>
      <c r="Y75" s="47"/>
      <c r="Z75" s="45"/>
      <c r="AA75" s="276"/>
      <c r="AB75" s="277"/>
      <c r="AD75" s="277"/>
      <c r="AE75" s="45"/>
      <c r="AF75" s="276"/>
      <c r="AG75" s="47"/>
      <c r="AI75" s="277"/>
      <c r="AJ75" s="45"/>
      <c r="AK75" s="276"/>
      <c r="AL75" s="47"/>
      <c r="AN75" s="277"/>
      <c r="AO75" s="45"/>
      <c r="AP75" s="46"/>
      <c r="AQ75" s="46"/>
      <c r="AR75" s="46"/>
      <c r="AS75" s="47"/>
      <c r="AT75" s="45"/>
      <c r="AU75" s="46"/>
      <c r="AV75" s="46"/>
      <c r="AW75" s="46"/>
      <c r="AX75" s="47"/>
      <c r="AY75" s="45"/>
      <c r="AZ75" s="46"/>
      <c r="BA75" s="46"/>
      <c r="BB75" s="46"/>
      <c r="BC75" s="47"/>
      <c r="BD75" s="45"/>
      <c r="BE75" s="46"/>
      <c r="BF75" s="46"/>
      <c r="BG75" s="46"/>
      <c r="BH75" s="47"/>
      <c r="BI75" s="45"/>
      <c r="BL75" s="98"/>
      <c r="BN75"/>
    </row>
    <row r="76" spans="1:66">
      <c r="A76" s="279" t="s">
        <v>17</v>
      </c>
      <c r="B76" s="280"/>
      <c r="C76" s="280"/>
      <c r="D76" s="280"/>
      <c r="E76" s="280"/>
      <c r="F76" s="281"/>
      <c r="G76" s="280"/>
      <c r="H76" s="280"/>
      <c r="I76" s="280"/>
      <c r="J76" s="280"/>
      <c r="K76" s="281"/>
      <c r="L76" s="280"/>
      <c r="M76" s="280"/>
      <c r="N76" s="280"/>
      <c r="O76" s="280"/>
      <c r="P76" s="281"/>
      <c r="Q76" s="280"/>
      <c r="R76" s="280"/>
      <c r="S76" s="280"/>
      <c r="T76" s="280"/>
      <c r="U76" s="281"/>
      <c r="V76" s="280"/>
      <c r="W76" s="280"/>
      <c r="X76" s="280"/>
      <c r="Y76" s="280"/>
      <c r="Z76" s="281"/>
      <c r="AA76" s="67"/>
      <c r="AB76" s="67"/>
      <c r="AC76" s="67"/>
      <c r="AD76" s="67"/>
      <c r="AE76" s="103"/>
      <c r="AF76" s="67"/>
      <c r="AG76" s="67"/>
      <c r="AH76" s="67"/>
      <c r="AI76" s="67"/>
      <c r="AJ76" s="103"/>
      <c r="AK76" s="67"/>
      <c r="AL76" s="67"/>
      <c r="AM76" s="67"/>
      <c r="AN76" s="67"/>
      <c r="AO76" s="103"/>
      <c r="AP76" s="67"/>
      <c r="AQ76" s="67"/>
      <c r="AR76" s="67"/>
      <c r="AS76" s="67"/>
      <c r="AT76" s="103"/>
      <c r="AU76" s="67"/>
      <c r="AV76" s="67"/>
      <c r="AW76" s="67"/>
      <c r="AX76" s="67"/>
      <c r="AY76" s="103"/>
      <c r="AZ76" s="67"/>
      <c r="BA76" s="67"/>
      <c r="BB76" s="67"/>
      <c r="BC76" s="67"/>
      <c r="BD76" s="103"/>
      <c r="BE76" s="67"/>
      <c r="BF76" s="67"/>
      <c r="BG76" s="67"/>
      <c r="BH76" s="67"/>
      <c r="BI76" s="103"/>
      <c r="BL76" s="98"/>
      <c r="BN76"/>
    </row>
    <row r="77" spans="1:66">
      <c r="A77" s="1" t="s">
        <v>45</v>
      </c>
      <c r="B77" s="114"/>
      <c r="C77" s="36"/>
      <c r="D77" s="36"/>
      <c r="E77" s="186"/>
      <c r="F77" s="37"/>
      <c r="G77" s="114"/>
      <c r="H77" s="36"/>
      <c r="I77" s="36"/>
      <c r="J77" s="186"/>
      <c r="K77" s="37"/>
      <c r="L77" s="114"/>
      <c r="M77" s="36"/>
      <c r="N77" s="36"/>
      <c r="O77" s="186"/>
      <c r="P77" s="37"/>
      <c r="Q77" s="114"/>
      <c r="R77" s="36"/>
      <c r="S77" s="36"/>
      <c r="T77" s="186"/>
      <c r="U77" s="37"/>
      <c r="V77" s="114"/>
      <c r="W77" s="36"/>
      <c r="X77" s="36"/>
      <c r="Y77" s="186"/>
      <c r="Z77" s="37"/>
      <c r="AA77" s="114"/>
      <c r="AB77" s="36"/>
      <c r="AC77" s="36"/>
      <c r="AD77" s="186"/>
      <c r="AE77" s="37"/>
      <c r="AF77" s="114"/>
      <c r="AG77" s="36"/>
      <c r="AH77" s="36"/>
      <c r="AI77" s="186"/>
      <c r="AJ77" s="37"/>
      <c r="AK77" s="114">
        <f>+Cash_Flow_Qtr!AK6+Cash_Flow_Qtr!AK7</f>
        <v>560</v>
      </c>
      <c r="AL77" s="36">
        <f>+Cash_Flow_Qtr!AL6+Cash_Flow_Qtr!AL7</f>
        <v>1281</v>
      </c>
      <c r="AM77" s="36">
        <f>+Cash_Flow_Qtr!AM6+Cash_Flow_Qtr!AM7</f>
        <v>482</v>
      </c>
      <c r="AN77" s="36">
        <f>+Cash_Flow_Qtr!AN6+Cash_Flow_Qtr!AN7</f>
        <v>506.66666666666674</v>
      </c>
      <c r="AO77" s="37">
        <f>+Cash_Flow_Qtr!AO6+Cash_Flow_Qtr!AO7</f>
        <v>2829.666666666667</v>
      </c>
      <c r="AP77" s="36">
        <f>+Cash_Flow_Qtr!AP6+Cash_Flow_Qtr!AP7</f>
        <v>507</v>
      </c>
      <c r="AQ77" s="36">
        <f>+Cash_Flow_Qtr!AQ6+Cash_Flow_Qtr!AQ7</f>
        <v>511</v>
      </c>
      <c r="AR77" s="36">
        <f>+Cash_Flow_Qtr!AR6+Cash_Flow_Qtr!AR7</f>
        <v>527</v>
      </c>
      <c r="AS77" s="36">
        <f>+Cash_Flow_Qtr!AS6+Cash_Flow_Qtr!AS7</f>
        <v>-366</v>
      </c>
      <c r="AT77" s="37">
        <f>+Cash_Flow_Qtr!AT6+Cash_Flow_Qtr!AT7</f>
        <v>1179</v>
      </c>
      <c r="AU77" s="36">
        <f>+Cash_Flow_Qtr!AU6+Cash_Flow_Qtr!AU7</f>
        <v>290</v>
      </c>
      <c r="AV77" s="36">
        <f>+Cash_Flow_Qtr!AV6+Cash_Flow_Qtr!AV7</f>
        <v>283</v>
      </c>
      <c r="AW77" s="36">
        <f>+Cash_Flow_Qtr!AW6+Cash_Flow_Qtr!AW7</f>
        <v>313</v>
      </c>
      <c r="AX77" s="36">
        <f>+Cash_Flow_Qtr!AX6+Cash_Flow_Qtr!AX7</f>
        <v>298</v>
      </c>
      <c r="AY77" s="37">
        <f>+Cash_Flow_Qtr!AY6+Cash_Flow_Qtr!AY7</f>
        <v>1184</v>
      </c>
      <c r="AZ77" s="36">
        <f>+Cash_Flow_Qtr!BA6+Cash_Flow_Qtr!BA7</f>
        <v>311</v>
      </c>
      <c r="BA77" s="36">
        <f>+Cash_Flow_Qtr!BA6+Cash_Flow_Qtr!BA7</f>
        <v>311</v>
      </c>
      <c r="BB77" s="36">
        <f>+Cash_Flow_Qtr!BB6+Cash_Flow_Qtr!BB7</f>
        <v>303</v>
      </c>
      <c r="BC77" s="36">
        <f>+Cash_Flow_Qtr!BC6+Cash_Flow_Qtr!BC7</f>
        <v>307</v>
      </c>
      <c r="BD77" s="37">
        <f>+Cash_Flow_Qtr!BD6+Cash_Flow_Qtr!BD7</f>
        <v>1220</v>
      </c>
      <c r="BE77" s="36">
        <f>+Cash_Flow_Qtr!BE6+Cash_Flow_Qtr!BE7</f>
        <v>312</v>
      </c>
      <c r="BF77" s="36">
        <f>+Cash_Flow_Qtr!BF6+Cash_Flow_Qtr!BF7</f>
        <v>313</v>
      </c>
      <c r="BG77" s="36">
        <f ca="1">+Cash_Flow_Qtr!BG6+Cash_Flow_Qtr!BG7</f>
        <v>88</v>
      </c>
      <c r="BH77" s="36">
        <f ca="1">+Cash_Flow_Qtr!BH6+Cash_Flow_Qtr!BH7</f>
        <v>530.04191381975306</v>
      </c>
      <c r="BI77" s="37">
        <f>+Cash_Flow_Qtr!BI6+Cash_Flow_Qtr!BI7</f>
        <v>1243.0419138197531</v>
      </c>
      <c r="BL77" s="98"/>
      <c r="BN77"/>
    </row>
    <row r="78" spans="1:66">
      <c r="A78" s="6" t="s">
        <v>36</v>
      </c>
      <c r="B78" s="22"/>
      <c r="C78" s="22"/>
      <c r="D78" s="22"/>
      <c r="E78" s="22"/>
      <c r="F78" s="23"/>
      <c r="G78" s="22"/>
      <c r="H78" s="22"/>
      <c r="I78" s="22"/>
      <c r="J78" s="22"/>
      <c r="K78" s="23"/>
      <c r="L78" s="22"/>
      <c r="M78" s="22"/>
      <c r="N78" s="22"/>
      <c r="O78" s="22"/>
      <c r="P78" s="23"/>
      <c r="Q78" s="22"/>
      <c r="R78" s="22"/>
      <c r="S78" s="22"/>
      <c r="T78" s="22"/>
      <c r="U78" s="23"/>
      <c r="V78" s="22"/>
      <c r="W78" s="22"/>
      <c r="X78" s="22"/>
      <c r="Y78" s="22"/>
      <c r="Z78" s="23"/>
      <c r="AA78" s="22"/>
      <c r="AB78" s="22"/>
      <c r="AC78" s="22"/>
      <c r="AD78" s="22"/>
      <c r="AE78" s="23"/>
      <c r="AF78" s="22"/>
      <c r="AG78" s="22"/>
      <c r="AH78" s="22"/>
      <c r="AI78" s="22"/>
      <c r="AJ78" s="23"/>
      <c r="AK78" s="140">
        <f t="shared" ref="AK78:AV78" si="103">AK26+AK77</f>
        <v>975</v>
      </c>
      <c r="AL78" s="22">
        <f t="shared" si="103"/>
        <v>2299</v>
      </c>
      <c r="AM78" s="22">
        <f t="shared" si="103"/>
        <v>841</v>
      </c>
      <c r="AN78" s="22">
        <f t="shared" si="103"/>
        <v>1873.6666666666667</v>
      </c>
      <c r="AO78" s="23">
        <f t="shared" si="103"/>
        <v>5988.666666666667</v>
      </c>
      <c r="AP78" s="140">
        <f>AP26+AP77</f>
        <v>1754</v>
      </c>
      <c r="AQ78" s="22">
        <f>AQ26+AQ77</f>
        <v>1896</v>
      </c>
      <c r="AR78" s="22">
        <f t="shared" si="103"/>
        <v>2121</v>
      </c>
      <c r="AS78" s="22">
        <f t="shared" si="103"/>
        <v>970</v>
      </c>
      <c r="AT78" s="23">
        <f t="shared" si="103"/>
        <v>6741</v>
      </c>
      <c r="AU78" s="140">
        <f t="shared" si="103"/>
        <v>1840</v>
      </c>
      <c r="AV78" s="22">
        <f t="shared" si="103"/>
        <v>2180</v>
      </c>
      <c r="AW78" s="22">
        <f t="shared" ref="AW78:BA78" si="104">AW26+AW77</f>
        <v>2131</v>
      </c>
      <c r="AX78" s="22">
        <f t="shared" si="104"/>
        <v>2286</v>
      </c>
      <c r="AY78" s="23">
        <f t="shared" si="104"/>
        <v>8437</v>
      </c>
      <c r="AZ78" s="140">
        <f t="shared" si="104"/>
        <v>2457</v>
      </c>
      <c r="BA78" s="22">
        <f t="shared" si="104"/>
        <v>2648</v>
      </c>
      <c r="BB78" s="22">
        <f t="shared" ref="BB78:BD78" si="105">BB26+BB77</f>
        <v>2602</v>
      </c>
      <c r="BC78" s="22">
        <f t="shared" si="105"/>
        <v>2580</v>
      </c>
      <c r="BD78" s="23">
        <f t="shared" si="105"/>
        <v>10275</v>
      </c>
      <c r="BE78" s="140">
        <f t="shared" ref="BE78:BI78" si="106">BE26+BE77</f>
        <v>2840</v>
      </c>
      <c r="BF78" s="22">
        <f t="shared" si="106"/>
        <v>3059</v>
      </c>
      <c r="BG78" s="22">
        <f t="shared" ca="1" si="106"/>
        <v>2845.9591692500003</v>
      </c>
      <c r="BH78" s="22">
        <f t="shared" ca="1" si="106"/>
        <v>3245.4406929216002</v>
      </c>
      <c r="BI78" s="23">
        <f t="shared" si="106"/>
        <v>11991.399862171602</v>
      </c>
      <c r="BL78" s="98"/>
      <c r="BN78"/>
    </row>
    <row r="79" spans="1:66">
      <c r="A79" s="1" t="s">
        <v>37</v>
      </c>
      <c r="B79" s="99"/>
      <c r="C79" s="100"/>
      <c r="D79" s="100"/>
      <c r="E79" s="100"/>
      <c r="F79" s="101"/>
      <c r="G79" s="99"/>
      <c r="H79" s="100"/>
      <c r="I79" s="100"/>
      <c r="J79" s="100"/>
      <c r="K79" s="101"/>
      <c r="L79" s="99"/>
      <c r="M79" s="100"/>
      <c r="N79" s="100"/>
      <c r="O79" s="100"/>
      <c r="P79" s="101"/>
      <c r="Q79" s="99"/>
      <c r="R79" s="100"/>
      <c r="S79" s="100"/>
      <c r="T79" s="100"/>
      <c r="U79" s="101"/>
      <c r="V79" s="99"/>
      <c r="W79" s="100"/>
      <c r="X79" s="100"/>
      <c r="Y79" s="100"/>
      <c r="Z79" s="101"/>
      <c r="AA79" s="105"/>
      <c r="AB79" s="106"/>
      <c r="AC79" s="106"/>
      <c r="AD79" s="106"/>
      <c r="AE79" s="193"/>
      <c r="AF79" s="105"/>
      <c r="AG79" s="100"/>
      <c r="AH79" s="106"/>
      <c r="AI79" s="106"/>
      <c r="AJ79" s="193"/>
      <c r="AK79" s="105">
        <f t="shared" ref="AK79:AV79" si="107">+AK78/AK15</f>
        <v>8.1857106875996982E-2</v>
      </c>
      <c r="AL79" s="100">
        <f t="shared" si="107"/>
        <v>0.17206795898510591</v>
      </c>
      <c r="AM79" s="106">
        <f t="shared" si="107"/>
        <v>6.0831826401446652E-2</v>
      </c>
      <c r="AN79" s="100">
        <f t="shared" si="107"/>
        <v>0.11676845735178031</v>
      </c>
      <c r="AO79" s="101">
        <f t="shared" si="107"/>
        <v>0.10860248203156642</v>
      </c>
      <c r="AP79" s="99">
        <f>+AP78/AP15</f>
        <v>0.24900624645088018</v>
      </c>
      <c r="AQ79" s="99">
        <f>+AQ78/AQ15</f>
        <v>0.23978753003667636</v>
      </c>
      <c r="AR79" s="99">
        <f t="shared" si="107"/>
        <v>0.25070921985815603</v>
      </c>
      <c r="AS79" s="100">
        <f t="shared" si="107"/>
        <v>0.11347683668694432</v>
      </c>
      <c r="AT79" s="101">
        <f t="shared" si="107"/>
        <v>0.21092649957758378</v>
      </c>
      <c r="AU79" s="99">
        <f t="shared" si="107"/>
        <v>0.22783556215948489</v>
      </c>
      <c r="AV79" s="99">
        <f t="shared" si="107"/>
        <v>0.26511005715675545</v>
      </c>
      <c r="AW79" s="99">
        <f t="shared" ref="AW79:BA79" si="108">+AW78/AW15</f>
        <v>0.2382869283238287</v>
      </c>
      <c r="AX79" s="100">
        <f t="shared" si="108"/>
        <v>0.23137651821862348</v>
      </c>
      <c r="AY79" s="101">
        <f t="shared" si="108"/>
        <v>0.24022664502719171</v>
      </c>
      <c r="AZ79" s="99">
        <f t="shared" si="108"/>
        <v>0.27296967003666261</v>
      </c>
      <c r="BA79" s="99">
        <f t="shared" si="108"/>
        <v>0.26086099891636294</v>
      </c>
      <c r="BB79" s="99">
        <f t="shared" ref="BB79:BD79" si="109">+BB78/BB15</f>
        <v>0.23016364440513049</v>
      </c>
      <c r="BC79" s="100">
        <f t="shared" si="109"/>
        <v>0.21740962332518748</v>
      </c>
      <c r="BD79" s="101">
        <f t="shared" si="109"/>
        <v>0.24278153206370209</v>
      </c>
      <c r="BE79" s="99">
        <f t="shared" ref="BE79:BI79" si="110">+BE78/BE15</f>
        <v>0.24453246082314448</v>
      </c>
      <c r="BF79" s="99">
        <f t="shared" si="110"/>
        <v>0.24212442615165428</v>
      </c>
      <c r="BG79" s="99">
        <f t="shared" ca="1" si="110"/>
        <v>0.22783111190142438</v>
      </c>
      <c r="BH79" s="100">
        <f t="shared" ca="1" si="110"/>
        <v>0.23942891300325933</v>
      </c>
      <c r="BI79" s="101">
        <f t="shared" si="110"/>
        <v>0.23842864099773636</v>
      </c>
      <c r="BL79" s="98"/>
      <c r="BN79"/>
    </row>
    <row r="80" spans="1:66">
      <c r="A80" s="2"/>
      <c r="B80" s="33"/>
      <c r="C80" s="34"/>
      <c r="D80" s="34"/>
      <c r="E80" s="34"/>
      <c r="F80" s="35"/>
      <c r="G80" s="33"/>
      <c r="H80" s="34"/>
      <c r="I80" s="34"/>
      <c r="J80" s="34"/>
      <c r="K80" s="35"/>
      <c r="L80" s="33"/>
      <c r="M80" s="34"/>
      <c r="N80" s="34"/>
      <c r="O80" s="34"/>
      <c r="P80" s="35"/>
      <c r="Q80" s="33"/>
      <c r="R80" s="34"/>
      <c r="S80" s="34"/>
      <c r="T80" s="34"/>
      <c r="U80" s="35"/>
      <c r="V80" s="33"/>
      <c r="W80" s="34"/>
      <c r="X80" s="34"/>
      <c r="Y80" s="34"/>
      <c r="Z80" s="35"/>
      <c r="AA80" s="282"/>
      <c r="AB80" s="283"/>
      <c r="AC80" s="32"/>
      <c r="AD80" s="32"/>
      <c r="AE80" s="123"/>
      <c r="AF80" s="282"/>
      <c r="AG80" s="173"/>
      <c r="AH80" s="32"/>
      <c r="AI80" s="32"/>
      <c r="AJ80" s="123"/>
      <c r="AK80" s="282"/>
      <c r="AL80" s="173"/>
      <c r="AM80" s="32"/>
      <c r="AN80" s="32"/>
      <c r="AO80" s="123"/>
      <c r="AP80" s="470"/>
      <c r="AQ80" s="470"/>
      <c r="AR80" s="470"/>
      <c r="AS80" s="34"/>
      <c r="AT80" s="35"/>
      <c r="AU80" s="470"/>
      <c r="AV80" s="470"/>
      <c r="AW80" s="470"/>
      <c r="AX80" s="34"/>
      <c r="AY80" s="35"/>
      <c r="AZ80" s="470"/>
      <c r="BA80" s="470"/>
      <c r="BB80" s="470"/>
      <c r="BC80" s="34"/>
      <c r="BD80" s="35"/>
      <c r="BE80" s="470"/>
      <c r="BF80" s="470"/>
      <c r="BG80" s="470"/>
      <c r="BH80" s="34"/>
      <c r="BI80" s="35"/>
      <c r="BL80" s="98"/>
      <c r="BN80"/>
    </row>
    <row r="81" spans="1:66">
      <c r="A81" s="1" t="s">
        <v>15</v>
      </c>
      <c r="B81" s="40"/>
      <c r="C81" s="40"/>
      <c r="D81" s="40"/>
      <c r="E81" s="20"/>
      <c r="F81" s="42"/>
      <c r="G81" s="40"/>
      <c r="H81" s="40"/>
      <c r="I81" s="40"/>
      <c r="J81" s="20"/>
      <c r="K81" s="42"/>
      <c r="L81" s="40"/>
      <c r="M81" s="40"/>
      <c r="N81" s="40"/>
      <c r="O81" s="20"/>
      <c r="P81" s="42"/>
      <c r="Q81" s="40"/>
      <c r="R81" s="40"/>
      <c r="S81" s="40"/>
      <c r="T81" s="20"/>
      <c r="U81" s="42"/>
      <c r="V81" s="40"/>
      <c r="W81" s="40"/>
      <c r="X81" s="40"/>
      <c r="Y81" s="20"/>
      <c r="Z81" s="42"/>
      <c r="AA81" s="40"/>
      <c r="AB81" s="40"/>
      <c r="AC81" s="40"/>
      <c r="AD81" s="40"/>
      <c r="AE81" s="21"/>
      <c r="AF81" s="40"/>
      <c r="AG81" s="40"/>
      <c r="AH81" s="40"/>
      <c r="AI81" s="40"/>
      <c r="AJ81" s="21"/>
      <c r="AK81" s="40">
        <f>-5148-4626</f>
        <v>-9774</v>
      </c>
      <c r="AL81" s="40">
        <f>-5529-4996</f>
        <v>-10525</v>
      </c>
      <c r="AM81" s="40">
        <f>-6488-5046</f>
        <v>-11534</v>
      </c>
      <c r="AN81" s="41">
        <f>+AO81-SUM(AK81:AM81)</f>
        <v>-12439</v>
      </c>
      <c r="AO81" s="42">
        <v>-44272</v>
      </c>
      <c r="AP81" s="40">
        <f>-(4744-2626)-(5947-3066)</f>
        <v>-4999</v>
      </c>
      <c r="AQ81" s="40">
        <f>-2626-3066</f>
        <v>-5692</v>
      </c>
      <c r="AR81" s="40">
        <f>-2443-3549</f>
        <v>-5992</v>
      </c>
      <c r="AS81" s="41">
        <f>+AT81-SUM(AP81:AR81)</f>
        <v>-6256</v>
      </c>
      <c r="AT81" s="42">
        <f>-9900-13039</f>
        <v>-22939</v>
      </c>
      <c r="AU81" s="40">
        <f>-2465-3281</f>
        <v>-5746</v>
      </c>
      <c r="AV81" s="40">
        <f>-2302-3273</f>
        <v>-5575</v>
      </c>
      <c r="AW81" s="40">
        <f>-2625-3601</f>
        <v>-6226</v>
      </c>
      <c r="AX81" s="41">
        <f>+AY81-SUM(AU81:AW81)</f>
        <v>-6761</v>
      </c>
      <c r="AY81" s="42">
        <f>-10341-13967</f>
        <v>-24308</v>
      </c>
      <c r="AZ81" s="40">
        <f>-2335-3660</f>
        <v>-5995</v>
      </c>
      <c r="BA81" s="40">
        <f>-2754-4092</f>
        <v>-6846</v>
      </c>
      <c r="BB81" s="40">
        <f>-3361-4401</f>
        <v>-7762</v>
      </c>
      <c r="BC81" s="41">
        <f>+BD81-SUM(AZ81:BB81)</f>
        <v>-8365</v>
      </c>
      <c r="BD81" s="42">
        <f>-12382-16586</f>
        <v>-28968</v>
      </c>
      <c r="BE81" s="40">
        <f>-3281-4641</f>
        <v>-7922</v>
      </c>
      <c r="BF81" s="40">
        <f>-3817-4856</f>
        <v>-8673</v>
      </c>
      <c r="BG81" s="41">
        <f t="shared" ref="BG81" si="111">+BG88-BG15</f>
        <v>-8494.2404000000024</v>
      </c>
      <c r="BH81" s="41">
        <f>+BI81-SUM(BE81:BG81)</f>
        <v>-9110.3082454754549</v>
      </c>
      <c r="BI81" s="21">
        <f>+BI88-BI15</f>
        <v>-34199.548645475457</v>
      </c>
      <c r="BL81" s="98" t="s">
        <v>498</v>
      </c>
      <c r="BN81"/>
    </row>
    <row r="82" spans="1:66">
      <c r="A82" s="1" t="s">
        <v>197</v>
      </c>
      <c r="B82" s="40"/>
      <c r="C82" s="40"/>
      <c r="D82" s="36"/>
      <c r="E82" s="20"/>
      <c r="F82" s="37"/>
      <c r="G82" s="40"/>
      <c r="H82" s="40"/>
      <c r="I82" s="40"/>
      <c r="J82" s="20"/>
      <c r="K82" s="42"/>
      <c r="L82" s="40"/>
      <c r="M82" s="40"/>
      <c r="N82" s="40"/>
      <c r="O82" s="20"/>
      <c r="P82" s="42"/>
      <c r="Q82" s="40"/>
      <c r="R82" s="40"/>
      <c r="S82" s="40"/>
      <c r="T82" s="20"/>
      <c r="U82" s="42"/>
      <c r="V82" s="40"/>
      <c r="W82" s="40"/>
      <c r="X82" s="40"/>
      <c r="Y82" s="20"/>
      <c r="Z82" s="42"/>
      <c r="AA82" s="40"/>
      <c r="AB82" s="40"/>
      <c r="AC82" s="40"/>
      <c r="AD82" s="40"/>
      <c r="AE82" s="21"/>
      <c r="AF82" s="40"/>
      <c r="AG82" s="40"/>
      <c r="AH82" s="40"/>
      <c r="AI82" s="40"/>
      <c r="AJ82" s="21"/>
      <c r="AK82" s="40">
        <v>-403</v>
      </c>
      <c r="AL82" s="40">
        <v>-439</v>
      </c>
      <c r="AM82" s="40">
        <v>-426</v>
      </c>
      <c r="AN82" s="41">
        <f>+AO82-SUM(AK82:AM82)</f>
        <v>-518</v>
      </c>
      <c r="AO82" s="42">
        <v>-1786</v>
      </c>
      <c r="AP82" s="40">
        <f>-(468-239)</f>
        <v>-229</v>
      </c>
      <c r="AQ82" s="40">
        <v>-239</v>
      </c>
      <c r="AR82" s="40">
        <v>-247</v>
      </c>
      <c r="AS82" s="41">
        <f>+AT82-SUM(AP82:AR82)</f>
        <v>-296</v>
      </c>
      <c r="AT82" s="42">
        <v>-1011</v>
      </c>
      <c r="AU82" s="40">
        <v>-270</v>
      </c>
      <c r="AV82" s="40">
        <v>-300</v>
      </c>
      <c r="AW82" s="40">
        <v>-331</v>
      </c>
      <c r="AX82" s="41">
        <f>+AY82-SUM(AU82:AW82)</f>
        <v>-385</v>
      </c>
      <c r="AY82" s="42">
        <v>-1286</v>
      </c>
      <c r="AZ82" s="40">
        <v>-359</v>
      </c>
      <c r="BA82" s="40">
        <v>-359</v>
      </c>
      <c r="BB82" s="40">
        <v>-415</v>
      </c>
      <c r="BC82" s="41">
        <f>+BD82-SUM(AZ82:BB82)</f>
        <v>-447</v>
      </c>
      <c r="BD82" s="42">
        <v>-1580</v>
      </c>
      <c r="BE82" s="40">
        <v>-440</v>
      </c>
      <c r="BF82" s="40">
        <v>-460</v>
      </c>
      <c r="BG82" s="41">
        <f t="shared" ref="BG82" si="112">-BG92*BG15</f>
        <v>-462.18661000000009</v>
      </c>
      <c r="BH82" s="41">
        <f>+BI82-SUM(BE82:BG82)</f>
        <v>-498.67118394498789</v>
      </c>
      <c r="BI82" s="21">
        <f>-BI92*BI15</f>
        <v>-1860.8577939449881</v>
      </c>
      <c r="BL82" s="98"/>
      <c r="BN82"/>
    </row>
    <row r="83" spans="1:66">
      <c r="A83" s="1" t="s">
        <v>198</v>
      </c>
      <c r="B83" s="40"/>
      <c r="C83" s="40"/>
      <c r="D83" s="36"/>
      <c r="E83" s="20"/>
      <c r="F83" s="37"/>
      <c r="G83" s="40"/>
      <c r="H83" s="40"/>
      <c r="I83" s="40"/>
      <c r="J83" s="20"/>
      <c r="K83" s="42"/>
      <c r="L83" s="40"/>
      <c r="M83" s="40"/>
      <c r="N83" s="40"/>
      <c r="O83" s="20"/>
      <c r="P83" s="42"/>
      <c r="Q83" s="40"/>
      <c r="R83" s="40"/>
      <c r="S83" s="40"/>
      <c r="T83" s="20"/>
      <c r="U83" s="42"/>
      <c r="V83" s="40"/>
      <c r="W83" s="40"/>
      <c r="X83" s="40"/>
      <c r="Y83" s="20"/>
      <c r="Z83" s="42"/>
      <c r="AA83" s="40"/>
      <c r="AB83" s="40"/>
      <c r="AC83" s="40"/>
      <c r="AD83" s="40"/>
      <c r="AE83" s="21"/>
      <c r="AF83" s="40"/>
      <c r="AG83" s="40"/>
      <c r="AH83" s="40"/>
      <c r="AI83" s="40"/>
      <c r="AJ83" s="21"/>
      <c r="AK83" s="40">
        <v>-2725</v>
      </c>
      <c r="AL83" s="40">
        <v>-1817</v>
      </c>
      <c r="AM83" s="40">
        <v>-1966</v>
      </c>
      <c r="AN83" s="41">
        <f>+AO83-SUM(AK83:AM83)</f>
        <v>-2665</v>
      </c>
      <c r="AO83" s="42">
        <v>-9173</v>
      </c>
      <c r="AP83" s="40">
        <f>-(1845-913)</f>
        <v>-932</v>
      </c>
      <c r="AQ83" s="40">
        <v>-913</v>
      </c>
      <c r="AR83" s="40">
        <v>-1001</v>
      </c>
      <c r="AS83" s="41">
        <f>+AT83-SUM(AP83:AR83)</f>
        <v>-1199</v>
      </c>
      <c r="AT83" s="42">
        <v>-4045</v>
      </c>
      <c r="AU83" s="40">
        <v>-1026</v>
      </c>
      <c r="AV83" s="40">
        <v>-924</v>
      </c>
      <c r="AW83" s="40">
        <v>-1330</v>
      </c>
      <c r="AX83" s="41">
        <f>+AY83-SUM(AU83:AW83)</f>
        <v>-1157</v>
      </c>
      <c r="AY83" s="42">
        <v>-4437</v>
      </c>
      <c r="AZ83" s="40">
        <v>-876</v>
      </c>
      <c r="BA83" s="40">
        <v>-1020</v>
      </c>
      <c r="BB83" s="40">
        <v>-1195</v>
      </c>
      <c r="BC83" s="41">
        <f>+BD83-SUM(AZ83:BB83)</f>
        <v>-997</v>
      </c>
      <c r="BD83" s="42">
        <v>-4088</v>
      </c>
      <c r="BE83" s="40">
        <v>-1084</v>
      </c>
      <c r="BF83" s="40">
        <f>-1131</f>
        <v>-1131</v>
      </c>
      <c r="BG83" s="41">
        <f t="shared" ref="BG83" si="113">-BG93*BG15</f>
        <v>-1199.1868800000002</v>
      </c>
      <c r="BH83" s="41">
        <f>+BI83-SUM(BE83:BG83)</f>
        <v>-1363.6912395884829</v>
      </c>
      <c r="BI83" s="21">
        <f>-BI93*BI15</f>
        <v>-4777.8781195884831</v>
      </c>
      <c r="BL83" s="98"/>
      <c r="BN83"/>
    </row>
    <row r="84" spans="1:66" outlineLevel="1">
      <c r="A84" s="1" t="s">
        <v>39</v>
      </c>
      <c r="B84" s="40"/>
      <c r="C84" s="40"/>
      <c r="D84" s="36"/>
      <c r="E84" s="20"/>
      <c r="F84" s="37"/>
      <c r="G84" s="40"/>
      <c r="H84" s="40"/>
      <c r="I84" s="40"/>
      <c r="J84" s="20"/>
      <c r="K84" s="42"/>
      <c r="L84" s="40"/>
      <c r="M84" s="40"/>
      <c r="N84" s="40"/>
      <c r="O84" s="20"/>
      <c r="P84" s="42"/>
      <c r="Q84" s="40"/>
      <c r="R84" s="40"/>
      <c r="S84" s="40"/>
      <c r="T84" s="20"/>
      <c r="U84" s="42"/>
      <c r="V84" s="40"/>
      <c r="W84" s="40"/>
      <c r="X84" s="40"/>
      <c r="Y84" s="20"/>
      <c r="Z84" s="42"/>
      <c r="AA84" s="40"/>
      <c r="AB84" s="40"/>
      <c r="AC84" s="40"/>
      <c r="AD84" s="40"/>
      <c r="AE84" s="21"/>
      <c r="AF84" s="40"/>
      <c r="AG84" s="40"/>
      <c r="AH84" s="40"/>
      <c r="AI84" s="40"/>
      <c r="AJ84" s="21"/>
      <c r="AK84" s="41">
        <f>AK85-SUM(AK81:AK83)</f>
        <v>1147</v>
      </c>
      <c r="AL84" s="41">
        <f>AL85-SUM(AL81:AL83)</f>
        <v>115</v>
      </c>
      <c r="AM84" s="41">
        <f>AM85-SUM(AM81:AM83)</f>
        <v>215</v>
      </c>
      <c r="AN84" s="41">
        <f>+AO84-SUM(AK84:AM84)</f>
        <v>750</v>
      </c>
      <c r="AO84" s="21">
        <f>AO85-SUM(AO81:AO83)</f>
        <v>2227</v>
      </c>
      <c r="AP84" s="41">
        <f>AP85-SUM(AP81:AP83)</f>
        <v>363</v>
      </c>
      <c r="AQ84" s="41">
        <f>AQ85-SUM(AQ81:AQ83)</f>
        <v>322</v>
      </c>
      <c r="AR84" s="41">
        <f>AR85-SUM(AR81:AR83)</f>
        <v>374</v>
      </c>
      <c r="AS84" s="41">
        <f>+AT84-SUM(AP84:AR84)</f>
        <v>539</v>
      </c>
      <c r="AT84" s="71">
        <f>AT85-SUM(AT81:AT83)</f>
        <v>1598</v>
      </c>
      <c r="AU84" s="41">
        <f>AU85-SUM(AU81:AU83)</f>
        <v>516</v>
      </c>
      <c r="AV84" s="41">
        <f>AV85-SUM(AV81:AV83)</f>
        <v>473</v>
      </c>
      <c r="AW84" s="41">
        <f>AW85-SUM(AW81:AW83)</f>
        <v>762</v>
      </c>
      <c r="AX84" s="41">
        <f>+AY84-SUM(AU84:AW84)</f>
        <v>412</v>
      </c>
      <c r="AY84" s="71">
        <f>AY85-SUM(AY81:AY83)</f>
        <v>2163</v>
      </c>
      <c r="AZ84" s="41">
        <f>AZ85-SUM(AZ81:AZ83)</f>
        <v>375</v>
      </c>
      <c r="BA84" s="41">
        <f>BA85-SUM(BA81:BA83)</f>
        <v>411</v>
      </c>
      <c r="BB84" s="41">
        <f>BB85-SUM(BB81:BB83)</f>
        <v>366</v>
      </c>
      <c r="BC84" s="41">
        <f>+BD84-SUM(AZ84:BB84)</f>
        <v>217</v>
      </c>
      <c r="BD84" s="71">
        <f>BD85-SUM(BD81:BD83)</f>
        <v>1369</v>
      </c>
      <c r="BE84" s="41">
        <f>BE85-SUM(BE81:BE83)</f>
        <v>360</v>
      </c>
      <c r="BF84" s="41">
        <f t="shared" ref="BF84:BI84" si="114">BF85-SUM(BF81:BF83)</f>
        <v>376</v>
      </c>
      <c r="BG84" s="41">
        <f t="shared" si="114"/>
        <v>422.04305925000153</v>
      </c>
      <c r="BH84" s="41">
        <f>+BI84-SUM(BE84:BG84)</f>
        <v>135.14555770568768</v>
      </c>
      <c r="BI84" s="21">
        <f t="shared" si="114"/>
        <v>1293.1886169556892</v>
      </c>
      <c r="BL84" s="98"/>
      <c r="BN84"/>
    </row>
    <row r="85" spans="1:66">
      <c r="A85" s="12" t="s">
        <v>10</v>
      </c>
      <c r="B85" s="155"/>
      <c r="C85" s="156"/>
      <c r="D85" s="156"/>
      <c r="E85" s="76"/>
      <c r="F85" s="77"/>
      <c r="G85" s="155"/>
      <c r="H85" s="156"/>
      <c r="I85" s="156"/>
      <c r="J85" s="76"/>
      <c r="K85" s="77"/>
      <c r="L85" s="155"/>
      <c r="M85" s="156"/>
      <c r="N85" s="156"/>
      <c r="O85" s="76"/>
      <c r="P85" s="77"/>
      <c r="Q85" s="155"/>
      <c r="R85" s="156"/>
      <c r="S85" s="156"/>
      <c r="T85" s="76"/>
      <c r="U85" s="77"/>
      <c r="V85" s="155"/>
      <c r="W85" s="156"/>
      <c r="X85" s="156"/>
      <c r="Y85" s="76"/>
      <c r="Z85" s="77"/>
      <c r="AA85" s="284"/>
      <c r="AB85" s="285"/>
      <c r="AC85" s="285"/>
      <c r="AD85" s="76"/>
      <c r="AE85" s="77"/>
      <c r="AF85" s="284"/>
      <c r="AG85" s="156"/>
      <c r="AH85" s="285"/>
      <c r="AI85" s="76"/>
      <c r="AJ85" s="77"/>
      <c r="AK85" s="329">
        <v>-11755</v>
      </c>
      <c r="AL85" s="329">
        <v>-12666</v>
      </c>
      <c r="AM85" s="329">
        <v>-13711</v>
      </c>
      <c r="AN85" s="76">
        <f>SUM(AN81:AN84)</f>
        <v>-14872</v>
      </c>
      <c r="AO85" s="419">
        <v>-53004</v>
      </c>
      <c r="AP85" s="89">
        <f>AP26-AP15</f>
        <v>-5797</v>
      </c>
      <c r="AQ85" s="89">
        <f>AQ26-AQ15</f>
        <v>-6522</v>
      </c>
      <c r="AR85" s="89">
        <f>AR26-AR15</f>
        <v>-6866</v>
      </c>
      <c r="AS85" s="76">
        <f>SUM(AS81:AS84)</f>
        <v>-7212</v>
      </c>
      <c r="AT85" s="110">
        <f>AT26-AT15</f>
        <v>-26397</v>
      </c>
      <c r="AU85" s="89">
        <f>AU26-AU15</f>
        <v>-6526</v>
      </c>
      <c r="AV85" s="89">
        <f>AV26-AV15</f>
        <v>-6326</v>
      </c>
      <c r="AW85" s="89">
        <f>AW26-AW15</f>
        <v>-7125</v>
      </c>
      <c r="AX85" s="76">
        <f>SUM(AX81:AX84)</f>
        <v>-7891</v>
      </c>
      <c r="AY85" s="110">
        <f>AY26-AY15</f>
        <v>-27868</v>
      </c>
      <c r="AZ85" s="89">
        <f>AZ26-AZ15</f>
        <v>-6855</v>
      </c>
      <c r="BA85" s="89">
        <f>BA26-BA15</f>
        <v>-7814</v>
      </c>
      <c r="BB85" s="89">
        <f>BB26-BB15</f>
        <v>-9006</v>
      </c>
      <c r="BC85" s="76">
        <f>SUM(BC81:BC84)</f>
        <v>-9592</v>
      </c>
      <c r="BD85" s="110">
        <f>BD26-BD15</f>
        <v>-33267</v>
      </c>
      <c r="BE85" s="89">
        <f>BE26-BE15</f>
        <v>-9086</v>
      </c>
      <c r="BF85" s="89">
        <f>BF26-BF15</f>
        <v>-9888</v>
      </c>
      <c r="BG85" s="89">
        <f>BG26-BG15</f>
        <v>-9733.5708307500026</v>
      </c>
      <c r="BH85" s="76">
        <f>SUM(BH81:BH84)</f>
        <v>-10837.525111303237</v>
      </c>
      <c r="BI85" s="110">
        <f>BI26-BI15</f>
        <v>-39545.095942053238</v>
      </c>
      <c r="BJ85" s="261"/>
      <c r="BK85" s="261"/>
      <c r="BL85" s="98"/>
      <c r="BN85"/>
    </row>
    <row r="86" spans="1:66">
      <c r="A86" s="1" t="s">
        <v>4</v>
      </c>
      <c r="B86" s="33"/>
      <c r="C86" s="34"/>
      <c r="D86" s="34"/>
      <c r="E86" s="34"/>
      <c r="F86" s="35"/>
      <c r="G86" s="33"/>
      <c r="H86" s="34"/>
      <c r="I86" s="34"/>
      <c r="J86" s="34"/>
      <c r="K86" s="35"/>
      <c r="L86" s="33"/>
      <c r="M86" s="34"/>
      <c r="N86" s="34"/>
      <c r="O86" s="34"/>
      <c r="P86" s="35"/>
      <c r="Q86" s="33"/>
      <c r="R86" s="34"/>
      <c r="S86" s="34"/>
      <c r="T86" s="34"/>
      <c r="U86" s="35"/>
      <c r="V86" s="33"/>
      <c r="W86" s="34"/>
      <c r="X86" s="34"/>
      <c r="Y86" s="34"/>
      <c r="Z86" s="35"/>
      <c r="AA86" s="198"/>
      <c r="AB86" s="32"/>
      <c r="AC86" s="32"/>
      <c r="AD86" s="32"/>
      <c r="AE86" s="123"/>
      <c r="AF86" s="198"/>
      <c r="AG86" s="34"/>
      <c r="AH86" s="32"/>
      <c r="AI86" s="32"/>
      <c r="AJ86" s="123"/>
      <c r="AK86" s="32"/>
      <c r="AL86" s="32"/>
      <c r="AM86" s="32"/>
      <c r="AN86" s="34"/>
      <c r="AO86" s="35"/>
      <c r="AP86" s="32">
        <f>IFERROR(AP85/AK85-1,"NM")</f>
        <v>-0.50684814972352188</v>
      </c>
      <c r="AQ86" s="32">
        <f>IFERROR(AQ85/AL85-1,"NM")</f>
        <v>-0.48507816200852671</v>
      </c>
      <c r="AR86" s="32">
        <f>IFERROR(AR85/AM85-1,"NM")</f>
        <v>-0.49923419152505288</v>
      </c>
      <c r="AS86" s="34">
        <f>AS85/AN85-1</f>
        <v>-0.51506186121570741</v>
      </c>
      <c r="AT86" s="88">
        <f>AT85/AO85-1</f>
        <v>-0.50198098256735335</v>
      </c>
      <c r="AU86" s="32">
        <f>IFERROR(AU85/AP85-1,"NM")</f>
        <v>0.12575470070726236</v>
      </c>
      <c r="AV86" s="32">
        <f>IFERROR(AV85/AQ85-1,"NM")</f>
        <v>-3.0052131248083369E-2</v>
      </c>
      <c r="AW86" s="32">
        <f>IFERROR(AW85/AR85-1,"NM")</f>
        <v>3.7722108942615851E-2</v>
      </c>
      <c r="AX86" s="34">
        <f>AX85/AS85-1</f>
        <v>9.4148641153632751E-2</v>
      </c>
      <c r="AY86" s="88">
        <f>AY85/AT85-1</f>
        <v>5.5726029473046168E-2</v>
      </c>
      <c r="AZ86" s="32">
        <f>IFERROR(AZ85/AU85-1,"NM")</f>
        <v>5.0413729696598297E-2</v>
      </c>
      <c r="BA86" s="32">
        <f>IFERROR(BA85/AV85-1,"NM")</f>
        <v>0.23521972810622827</v>
      </c>
      <c r="BB86" s="32">
        <f>IFERROR(BB85/AW85-1,"NM")</f>
        <v>0.26400000000000001</v>
      </c>
      <c r="BC86" s="34">
        <f>BC85/AX85-1</f>
        <v>0.21556203269547591</v>
      </c>
      <c r="BD86" s="88">
        <f>BD85/AY85-1</f>
        <v>0.1937347495335151</v>
      </c>
      <c r="BE86" s="32">
        <f>IFERROR(BE85/AZ85-1,"NM")</f>
        <v>0.32545587162654988</v>
      </c>
      <c r="BF86" s="32">
        <f>IFERROR(BF85/BA85-1,"NM")</f>
        <v>0.26542103916048121</v>
      </c>
      <c r="BG86" s="32">
        <f>IFERROR(BG85/BB85-1,"NM")</f>
        <v>8.0787345186542625E-2</v>
      </c>
      <c r="BH86" s="34">
        <f>BH85/BC85-1</f>
        <v>0.12985040776722667</v>
      </c>
      <c r="BI86" s="88">
        <f>BI85/BD85-1</f>
        <v>0.18871842793318416</v>
      </c>
      <c r="BL86" s="98"/>
      <c r="BN86"/>
    </row>
    <row r="87" spans="1:66">
      <c r="A87" s="2"/>
      <c r="B87" s="33"/>
      <c r="C87" s="34"/>
      <c r="D87" s="34"/>
      <c r="E87" s="34"/>
      <c r="F87" s="35"/>
      <c r="G87" s="33"/>
      <c r="H87" s="34"/>
      <c r="I87" s="34"/>
      <c r="J87" s="34"/>
      <c r="K87" s="35"/>
      <c r="L87" s="33"/>
      <c r="M87" s="34"/>
      <c r="N87" s="34"/>
      <c r="O87" s="34"/>
      <c r="P87" s="35"/>
      <c r="Q87" s="33"/>
      <c r="R87" s="34"/>
      <c r="S87" s="34"/>
      <c r="T87" s="34"/>
      <c r="U87" s="35"/>
      <c r="V87" s="33"/>
      <c r="W87" s="34"/>
      <c r="X87" s="34"/>
      <c r="Y87" s="34"/>
      <c r="Z87" s="35"/>
      <c r="AA87" s="284"/>
      <c r="AB87" s="286"/>
      <c r="AC87" s="286"/>
      <c r="AD87" s="32"/>
      <c r="AE87" s="123"/>
      <c r="AF87" s="284"/>
      <c r="AG87" s="34"/>
      <c r="AH87" s="286"/>
      <c r="AI87" s="32"/>
      <c r="AJ87" s="123"/>
      <c r="AK87" s="286"/>
      <c r="AL87" s="286"/>
      <c r="AM87" s="286"/>
      <c r="AN87" s="34"/>
      <c r="AO87" s="35"/>
      <c r="AP87" s="286"/>
      <c r="AQ87" s="286"/>
      <c r="AR87" s="286"/>
      <c r="AS87" s="34"/>
      <c r="AT87" s="35"/>
      <c r="AU87" s="286"/>
      <c r="AV87" s="286"/>
      <c r="AW87" s="286"/>
      <c r="AX87" s="34"/>
      <c r="AY87" s="35"/>
      <c r="AZ87" s="286"/>
      <c r="BA87" s="286"/>
      <c r="BB87" s="286"/>
      <c r="BC87" s="34"/>
      <c r="BD87" s="35"/>
      <c r="BE87" s="286"/>
      <c r="BF87" s="286"/>
      <c r="BG87" s="286"/>
      <c r="BH87" s="34"/>
      <c r="BI87" s="35"/>
      <c r="BL87" s="98"/>
      <c r="BN87"/>
    </row>
    <row r="88" spans="1:66">
      <c r="A88" s="4" t="s">
        <v>13</v>
      </c>
      <c r="B88" s="76"/>
      <c r="C88" s="76"/>
      <c r="D88" s="76"/>
      <c r="E88" s="76"/>
      <c r="F88" s="77"/>
      <c r="G88" s="76"/>
      <c r="H88" s="76"/>
      <c r="I88" s="76"/>
      <c r="J88" s="76"/>
      <c r="K88" s="77"/>
      <c r="L88" s="76"/>
      <c r="M88" s="76"/>
      <c r="N88" s="76"/>
      <c r="O88" s="76"/>
      <c r="P88" s="77"/>
      <c r="Q88" s="76"/>
      <c r="R88" s="76"/>
      <c r="S88" s="76"/>
      <c r="T88" s="76"/>
      <c r="U88" s="77"/>
      <c r="V88" s="76"/>
      <c r="W88" s="76"/>
      <c r="X88" s="76"/>
      <c r="Y88" s="76"/>
      <c r="Z88" s="77"/>
      <c r="AA88" s="76"/>
      <c r="AB88" s="76"/>
      <c r="AC88" s="76"/>
      <c r="AD88" s="76"/>
      <c r="AE88" s="77"/>
      <c r="AF88" s="76"/>
      <c r="AG88" s="76"/>
      <c r="AH88" s="76"/>
      <c r="AI88" s="76"/>
      <c r="AJ88" s="77"/>
      <c r="AK88" s="76">
        <f t="shared" ref="AK88:BD88" si="115">AK15+AK81</f>
        <v>2137</v>
      </c>
      <c r="AL88" s="76">
        <f t="shared" si="115"/>
        <v>2836</v>
      </c>
      <c r="AM88" s="76">
        <f t="shared" si="115"/>
        <v>2291</v>
      </c>
      <c r="AN88" s="76">
        <f t="shared" si="115"/>
        <v>3607</v>
      </c>
      <c r="AO88" s="110">
        <f t="shared" si="115"/>
        <v>10871</v>
      </c>
      <c r="AP88" s="76">
        <f t="shared" si="115"/>
        <v>2045</v>
      </c>
      <c r="AQ88" s="76">
        <f t="shared" si="115"/>
        <v>2215</v>
      </c>
      <c r="AR88" s="76">
        <f t="shared" si="115"/>
        <v>2468</v>
      </c>
      <c r="AS88" s="76">
        <f t="shared" si="115"/>
        <v>2292</v>
      </c>
      <c r="AT88" s="110">
        <f t="shared" si="115"/>
        <v>9020</v>
      </c>
      <c r="AU88" s="76">
        <f t="shared" si="115"/>
        <v>2330</v>
      </c>
      <c r="AV88" s="76">
        <f t="shared" si="115"/>
        <v>2648</v>
      </c>
      <c r="AW88" s="76">
        <f t="shared" si="115"/>
        <v>2717</v>
      </c>
      <c r="AX88" s="76">
        <f t="shared" si="115"/>
        <v>3119</v>
      </c>
      <c r="AY88" s="110">
        <f t="shared" si="115"/>
        <v>10813</v>
      </c>
      <c r="AZ88" s="76">
        <f t="shared" si="115"/>
        <v>3006</v>
      </c>
      <c r="BA88" s="76">
        <f t="shared" si="115"/>
        <v>3305</v>
      </c>
      <c r="BB88" s="76">
        <f t="shared" si="115"/>
        <v>3543</v>
      </c>
      <c r="BC88" s="76">
        <f t="shared" si="115"/>
        <v>3502</v>
      </c>
      <c r="BD88" s="110">
        <f t="shared" si="115"/>
        <v>13354</v>
      </c>
      <c r="BE88" s="76">
        <f t="shared" ref="BE88:BF88" si="116">BE15+BE81</f>
        <v>3692</v>
      </c>
      <c r="BF88" s="76">
        <f t="shared" si="116"/>
        <v>3961</v>
      </c>
      <c r="BG88" s="76">
        <f t="shared" ref="BG88" si="117">BG89*BG15</f>
        <v>3997.289600000001</v>
      </c>
      <c r="BH88" s="76">
        <f>+BI88-SUM(BE88:BG88)</f>
        <v>4443.6156449296286</v>
      </c>
      <c r="BI88" s="77">
        <f>BI89*BI15</f>
        <v>16093.905244929629</v>
      </c>
      <c r="BL88" s="98"/>
      <c r="BN88"/>
    </row>
    <row r="89" spans="1:66">
      <c r="A89" s="1" t="s">
        <v>12</v>
      </c>
      <c r="B89" s="33"/>
      <c r="C89" s="34"/>
      <c r="D89" s="34"/>
      <c r="E89" s="34"/>
      <c r="F89" s="35"/>
      <c r="G89" s="33"/>
      <c r="H89" s="34"/>
      <c r="I89" s="34"/>
      <c r="J89" s="34"/>
      <c r="K89" s="35"/>
      <c r="L89" s="33"/>
      <c r="M89" s="34"/>
      <c r="N89" s="34"/>
      <c r="O89" s="34"/>
      <c r="P89" s="35"/>
      <c r="Q89" s="33"/>
      <c r="R89" s="34"/>
      <c r="S89" s="34"/>
      <c r="T89" s="34"/>
      <c r="U89" s="35"/>
      <c r="V89" s="33"/>
      <c r="W89" s="34"/>
      <c r="X89" s="34"/>
      <c r="Y89" s="34"/>
      <c r="Z89" s="35"/>
      <c r="AA89" s="198"/>
      <c r="AB89" s="32"/>
      <c r="AC89" s="32"/>
      <c r="AD89" s="31"/>
      <c r="AE89" s="123"/>
      <c r="AF89" s="198"/>
      <c r="AG89" s="32"/>
      <c r="AH89" s="32"/>
      <c r="AI89" s="31"/>
      <c r="AJ89" s="123"/>
      <c r="AK89" s="32">
        <f t="shared" ref="AK89:AX89" si="118">AK88/AK15</f>
        <v>0.17941398707077491</v>
      </c>
      <c r="AL89" s="32">
        <f t="shared" si="118"/>
        <v>0.2122595614100741</v>
      </c>
      <c r="AM89" s="32">
        <f t="shared" si="118"/>
        <v>0.1657142857142857</v>
      </c>
      <c r="AN89" s="106">
        <f t="shared" si="118"/>
        <v>0.22479122522747103</v>
      </c>
      <c r="AO89" s="88">
        <f t="shared" si="118"/>
        <v>0.19714197631612354</v>
      </c>
      <c r="AP89" s="32">
        <f>AP88/AP15</f>
        <v>0.29031800113571832</v>
      </c>
      <c r="AQ89" s="32">
        <f t="shared" si="118"/>
        <v>0.28013152902491462</v>
      </c>
      <c r="AR89" s="32">
        <f t="shared" si="118"/>
        <v>0.29172576832151298</v>
      </c>
      <c r="AS89" s="106">
        <f>AS88/AS15</f>
        <v>0.26813289658399625</v>
      </c>
      <c r="AT89" s="88">
        <f>AT88/AT15</f>
        <v>0.28223661566381925</v>
      </c>
      <c r="AU89" s="32">
        <f t="shared" si="118"/>
        <v>0.28850916295195639</v>
      </c>
      <c r="AV89" s="32">
        <f>AV88/AV15</f>
        <v>0.32202359236288458</v>
      </c>
      <c r="AW89" s="32">
        <f>AW88/AW15</f>
        <v>0.3038130381303813</v>
      </c>
      <c r="AX89" s="106">
        <f t="shared" si="118"/>
        <v>0.31568825910931175</v>
      </c>
      <c r="AY89" s="88">
        <f>AY88/AY15</f>
        <v>0.30787847726431478</v>
      </c>
      <c r="AZ89" s="32">
        <f>AZ88/AZ15</f>
        <v>0.33396289301188758</v>
      </c>
      <c r="BA89" s="32">
        <f>BA88/BA15</f>
        <v>0.32558368633632156</v>
      </c>
      <c r="BB89" s="32">
        <f>BB88/BB15</f>
        <v>0.3134011499336577</v>
      </c>
      <c r="BC89" s="106">
        <f t="shared" ref="BC89" si="119">BC88/BC15</f>
        <v>0.29510407011039014</v>
      </c>
      <c r="BD89" s="88">
        <f>BD88/BD15</f>
        <v>0.3155332923774869</v>
      </c>
      <c r="BE89" s="32">
        <f>BE88/BE15</f>
        <v>0.31789219907008781</v>
      </c>
      <c r="BF89" s="32">
        <f>BF88/BF15</f>
        <v>0.31351907551052716</v>
      </c>
      <c r="BG89" s="210">
        <v>0.32</v>
      </c>
      <c r="BH89" s="106">
        <f>BH88/BH15</f>
        <v>0.32782298748833721</v>
      </c>
      <c r="BI89" s="196">
        <v>0.32</v>
      </c>
      <c r="BL89" s="98"/>
      <c r="BN89"/>
    </row>
    <row r="90" spans="1:66">
      <c r="A90" s="1"/>
      <c r="B90" s="40"/>
      <c r="C90" s="40"/>
      <c r="D90" s="36"/>
      <c r="E90" s="20"/>
      <c r="F90" s="37"/>
      <c r="G90" s="40"/>
      <c r="H90" s="40"/>
      <c r="I90" s="40"/>
      <c r="J90" s="20"/>
      <c r="K90" s="42"/>
      <c r="L90" s="40"/>
      <c r="M90" s="40"/>
      <c r="N90" s="40"/>
      <c r="O90" s="20"/>
      <c r="P90" s="42"/>
      <c r="Q90" s="40"/>
      <c r="R90" s="40"/>
      <c r="S90" s="40"/>
      <c r="T90" s="20"/>
      <c r="U90" s="42"/>
      <c r="V90" s="40"/>
      <c r="W90" s="40"/>
      <c r="X90" s="40"/>
      <c r="Y90" s="20"/>
      <c r="Z90" s="42"/>
      <c r="AA90" s="40"/>
      <c r="AB90" s="41"/>
      <c r="AC90" s="41"/>
      <c r="AD90" s="41"/>
      <c r="AE90" s="21"/>
      <c r="AF90" s="40"/>
      <c r="AG90" s="41"/>
      <c r="AH90" s="41"/>
      <c r="AI90" s="41"/>
      <c r="AJ90" s="21"/>
      <c r="AK90" s="41"/>
      <c r="AL90" s="41"/>
      <c r="AM90" s="41"/>
      <c r="AN90" s="41"/>
      <c r="AO90" s="21"/>
      <c r="AP90" s="41"/>
      <c r="AQ90" s="41"/>
      <c r="AR90" s="41"/>
      <c r="AS90" s="41"/>
      <c r="AT90" s="21"/>
      <c r="AU90" s="41"/>
      <c r="AV90" s="41"/>
      <c r="AW90" s="41"/>
      <c r="AX90" s="41"/>
      <c r="AY90" s="21"/>
      <c r="AZ90" s="41"/>
      <c r="BA90" s="41"/>
      <c r="BB90" s="41"/>
      <c r="BC90" s="41"/>
      <c r="BD90" s="21"/>
      <c r="BE90" s="41"/>
      <c r="BF90" s="41"/>
      <c r="BG90" s="41"/>
      <c r="BH90" s="41"/>
      <c r="BI90" s="21"/>
      <c r="BL90" s="98"/>
      <c r="BN90"/>
    </row>
    <row r="91" spans="1:66">
      <c r="A91" s="4" t="s">
        <v>208</v>
      </c>
      <c r="B91" s="33"/>
      <c r="C91" s="34"/>
      <c r="D91" s="34"/>
      <c r="E91" s="34"/>
      <c r="F91" s="35"/>
      <c r="G91" s="33"/>
      <c r="H91" s="34"/>
      <c r="I91" s="34"/>
      <c r="J91" s="34"/>
      <c r="K91" s="35"/>
      <c r="L91" s="33"/>
      <c r="M91" s="34"/>
      <c r="N91" s="34"/>
      <c r="O91" s="34"/>
      <c r="P91" s="35"/>
      <c r="Q91" s="33"/>
      <c r="R91" s="34"/>
      <c r="S91" s="34"/>
      <c r="T91" s="34"/>
      <c r="U91" s="35"/>
      <c r="V91" s="40"/>
      <c r="W91" s="40"/>
      <c r="X91" s="34"/>
      <c r="Y91" s="34"/>
      <c r="Z91" s="35"/>
      <c r="AA91" s="198"/>
      <c r="AB91" s="32"/>
      <c r="AC91" s="32"/>
      <c r="AD91" s="32"/>
      <c r="AE91" s="123"/>
      <c r="AF91" s="198"/>
      <c r="AG91" s="32"/>
      <c r="AH91" s="32"/>
      <c r="AI91" s="32"/>
      <c r="AJ91" s="123"/>
      <c r="AK91" s="32"/>
      <c r="AL91" s="32"/>
      <c r="AM91" s="32"/>
      <c r="AN91" s="34"/>
      <c r="AO91" s="35"/>
      <c r="AP91" s="32"/>
      <c r="AQ91" s="32"/>
      <c r="AR91" s="32"/>
      <c r="AS91" s="34"/>
      <c r="AT91" s="35"/>
      <c r="AU91" s="32"/>
      <c r="AV91" s="32"/>
      <c r="AW91" s="32"/>
      <c r="AX91" s="34"/>
      <c r="AY91" s="35"/>
      <c r="AZ91" s="32"/>
      <c r="BA91" s="32"/>
      <c r="BB91" s="32"/>
      <c r="BC91" s="34"/>
      <c r="BD91" s="35"/>
      <c r="BE91" s="32"/>
      <c r="BF91" s="32"/>
      <c r="BG91" s="32"/>
      <c r="BH91" s="34"/>
      <c r="BI91" s="35"/>
      <c r="BL91" s="98"/>
      <c r="BN91"/>
    </row>
    <row r="92" spans="1:66">
      <c r="A92" s="1" t="s">
        <v>197</v>
      </c>
      <c r="B92" s="33"/>
      <c r="C92" s="34"/>
      <c r="D92" s="34"/>
      <c r="E92" s="34"/>
      <c r="F92" s="35"/>
      <c r="G92" s="33"/>
      <c r="H92" s="34"/>
      <c r="I92" s="34"/>
      <c r="J92" s="34"/>
      <c r="K92" s="35"/>
      <c r="L92" s="33"/>
      <c r="M92" s="34"/>
      <c r="N92" s="34"/>
      <c r="O92" s="34"/>
      <c r="P92" s="35"/>
      <c r="Q92" s="33"/>
      <c r="R92" s="34"/>
      <c r="S92" s="34"/>
      <c r="T92" s="34"/>
      <c r="U92" s="35"/>
      <c r="V92" s="40"/>
      <c r="W92" s="40"/>
      <c r="X92" s="34"/>
      <c r="Y92" s="34"/>
      <c r="Z92" s="35"/>
      <c r="AA92" s="198"/>
      <c r="AB92" s="32"/>
      <c r="AC92" s="32"/>
      <c r="AD92" s="31"/>
      <c r="AE92" s="123"/>
      <c r="AF92" s="198"/>
      <c r="AG92" s="32"/>
      <c r="AH92" s="32"/>
      <c r="AI92" s="31"/>
      <c r="AJ92" s="123"/>
      <c r="AK92" s="32">
        <f t="shared" ref="AK92:BA92" si="120">-AK82/AK15</f>
        <v>3.3834270842078754E-2</v>
      </c>
      <c r="AL92" s="32">
        <f t="shared" si="120"/>
        <v>3.2856822094154629E-2</v>
      </c>
      <c r="AM92" s="32">
        <f t="shared" si="120"/>
        <v>3.0813743218806509E-2</v>
      </c>
      <c r="AN92" s="32">
        <f t="shared" si="120"/>
        <v>3.2282188707466034E-2</v>
      </c>
      <c r="AO92" s="35">
        <f t="shared" si="120"/>
        <v>3.2388517128193968E-2</v>
      </c>
      <c r="AP92" s="32">
        <f t="shared" si="120"/>
        <v>3.2509937535491196E-2</v>
      </c>
      <c r="AQ92" s="32">
        <f t="shared" si="120"/>
        <v>3.0226381687112686E-2</v>
      </c>
      <c r="AR92" s="32">
        <f t="shared" si="120"/>
        <v>2.9196217494089835E-2</v>
      </c>
      <c r="AS92" s="32">
        <f t="shared" si="120"/>
        <v>3.4627983153954142E-2</v>
      </c>
      <c r="AT92" s="35">
        <f t="shared" si="120"/>
        <v>3.1634281423073313E-2</v>
      </c>
      <c r="AU92" s="32">
        <f t="shared" si="120"/>
        <v>3.3432392273402674E-2</v>
      </c>
      <c r="AV92" s="32">
        <f t="shared" si="120"/>
        <v>3.6483035388544326E-2</v>
      </c>
      <c r="AW92" s="32">
        <f t="shared" si="120"/>
        <v>3.7012188303701218E-2</v>
      </c>
      <c r="AX92" s="32">
        <f t="shared" si="120"/>
        <v>3.8967611336032389E-2</v>
      </c>
      <c r="AY92" s="35">
        <f t="shared" si="120"/>
        <v>3.6616269468409214E-2</v>
      </c>
      <c r="AZ92" s="32">
        <f t="shared" si="120"/>
        <v>3.9884457282524162E-2</v>
      </c>
      <c r="BA92" s="32">
        <f t="shared" si="120"/>
        <v>3.5365973795685152E-2</v>
      </c>
      <c r="BB92" s="32">
        <f t="shared" ref="BB92:BF92" si="121">-BB82/BB15</f>
        <v>3.6709420610349403E-2</v>
      </c>
      <c r="BC92" s="32">
        <f t="shared" si="121"/>
        <v>3.7667481250526672E-2</v>
      </c>
      <c r="BD92" s="35">
        <f t="shared" si="121"/>
        <v>3.7332829261377064E-2</v>
      </c>
      <c r="BE92" s="32">
        <f t="shared" si="121"/>
        <v>3.7885310831754782E-2</v>
      </c>
      <c r="BF92" s="32">
        <f t="shared" si="121"/>
        <v>3.6409688143105905E-2</v>
      </c>
      <c r="BG92" s="210">
        <v>3.6999999999999998E-2</v>
      </c>
      <c r="BH92" s="32">
        <f t="shared" ref="BH92" si="122">-BH82/BH15</f>
        <v>3.6788932787588324E-2</v>
      </c>
      <c r="BI92" s="196">
        <v>3.6999999999999998E-2</v>
      </c>
      <c r="BL92" s="98"/>
      <c r="BN92"/>
    </row>
    <row r="93" spans="1:66">
      <c r="A93" s="1" t="s">
        <v>198</v>
      </c>
      <c r="B93" s="33"/>
      <c r="C93" s="34"/>
      <c r="D93" s="34"/>
      <c r="E93" s="34"/>
      <c r="F93" s="35"/>
      <c r="G93" s="33"/>
      <c r="H93" s="34"/>
      <c r="I93" s="34"/>
      <c r="J93" s="34"/>
      <c r="K93" s="35"/>
      <c r="L93" s="33"/>
      <c r="M93" s="34"/>
      <c r="N93" s="34"/>
      <c r="O93" s="34"/>
      <c r="P93" s="35"/>
      <c r="Q93" s="33"/>
      <c r="R93" s="34"/>
      <c r="S93" s="34"/>
      <c r="T93" s="34"/>
      <c r="U93" s="35"/>
      <c r="V93" s="33"/>
      <c r="W93" s="34"/>
      <c r="X93" s="34"/>
      <c r="Y93" s="34"/>
      <c r="Z93" s="35"/>
      <c r="AA93" s="198"/>
      <c r="AB93" s="32"/>
      <c r="AC93" s="32"/>
      <c r="AD93" s="31"/>
      <c r="AE93" s="123"/>
      <c r="AF93" s="198"/>
      <c r="AG93" s="32"/>
      <c r="AH93" s="32"/>
      <c r="AI93" s="31"/>
      <c r="AJ93" s="123"/>
      <c r="AK93" s="32">
        <f t="shared" ref="AK93:BA93" si="123">-AK83/AK15</f>
        <v>0.22878011921753003</v>
      </c>
      <c r="AL93" s="32">
        <f t="shared" si="123"/>
        <v>0.1359928149090637</v>
      </c>
      <c r="AM93" s="32">
        <f t="shared" si="123"/>
        <v>0.14220614828209766</v>
      </c>
      <c r="AN93" s="32">
        <f t="shared" si="123"/>
        <v>0.16608500560887449</v>
      </c>
      <c r="AO93" s="35">
        <f t="shared" si="123"/>
        <v>0.1663493099758809</v>
      </c>
      <c r="AP93" s="32">
        <f t="shared" si="123"/>
        <v>0.13231118682566723</v>
      </c>
      <c r="AQ93" s="32">
        <f t="shared" si="123"/>
        <v>0.11546730744909574</v>
      </c>
      <c r="AR93" s="32">
        <f t="shared" si="123"/>
        <v>0.11832151300236407</v>
      </c>
      <c r="AS93" s="32">
        <f t="shared" si="123"/>
        <v>0.14026672905942911</v>
      </c>
      <c r="AT93" s="35">
        <f t="shared" si="123"/>
        <v>0.1265684157827216</v>
      </c>
      <c r="AU93" s="32">
        <f t="shared" si="123"/>
        <v>0.12704309063893016</v>
      </c>
      <c r="AV93" s="32">
        <f t="shared" si="123"/>
        <v>0.11236774899671653</v>
      </c>
      <c r="AW93" s="32">
        <f t="shared" si="123"/>
        <v>0.14871966901487196</v>
      </c>
      <c r="AX93" s="32">
        <f t="shared" si="123"/>
        <v>0.11710526315789474</v>
      </c>
      <c r="AY93" s="35">
        <f t="shared" si="123"/>
        <v>0.12633467156402153</v>
      </c>
      <c r="AZ93" s="32">
        <f t="shared" si="123"/>
        <v>9.7322519720031114E-2</v>
      </c>
      <c r="BA93" s="32">
        <f t="shared" si="123"/>
        <v>0.10048271106294947</v>
      </c>
      <c r="BB93" s="32">
        <f t="shared" ref="BB93:BF93" si="124">-BB83/BB15</f>
        <v>0.10570544007076514</v>
      </c>
      <c r="BC93" s="32">
        <f t="shared" si="124"/>
        <v>8.4014493974888346E-2</v>
      </c>
      <c r="BD93" s="35">
        <f t="shared" si="124"/>
        <v>9.659278862057559E-2</v>
      </c>
      <c r="BE93" s="32">
        <f t="shared" si="124"/>
        <v>9.3335629412777676E-2</v>
      </c>
      <c r="BF93" s="32">
        <f t="shared" si="124"/>
        <v>8.9520341934462566E-2</v>
      </c>
      <c r="BG93" s="210">
        <v>9.6000000000000002E-2</v>
      </c>
      <c r="BH93" s="32">
        <f t="shared" ref="BH93" si="125">-BH83/BH15</f>
        <v>0.10060486142262873</v>
      </c>
      <c r="BI93" s="196">
        <v>9.5000000000000001E-2</v>
      </c>
      <c r="BL93" s="98"/>
      <c r="BN93"/>
    </row>
    <row r="94" spans="1:66">
      <c r="A94" s="2"/>
      <c r="B94" s="33"/>
      <c r="C94" s="34"/>
      <c r="D94" s="34"/>
      <c r="E94" s="34"/>
      <c r="F94" s="35"/>
      <c r="G94" s="33"/>
      <c r="H94" s="34"/>
      <c r="I94" s="34"/>
      <c r="J94" s="34"/>
      <c r="K94" s="35"/>
      <c r="L94" s="33"/>
      <c r="M94" s="34"/>
      <c r="N94" s="34"/>
      <c r="O94" s="34"/>
      <c r="P94" s="35"/>
      <c r="Q94" s="33"/>
      <c r="R94" s="34"/>
      <c r="S94" s="34"/>
      <c r="T94" s="34"/>
      <c r="U94" s="35"/>
      <c r="V94" s="33"/>
      <c r="W94" s="34"/>
      <c r="X94" s="34"/>
      <c r="Y94" s="34"/>
      <c r="Z94" s="35"/>
      <c r="AA94" s="198"/>
      <c r="AB94" s="32"/>
      <c r="AC94" s="32"/>
      <c r="AD94" s="32"/>
      <c r="AE94" s="123"/>
      <c r="AF94" s="198"/>
      <c r="AG94" s="34"/>
      <c r="AH94" s="32"/>
      <c r="AI94" s="32"/>
      <c r="AJ94" s="123"/>
      <c r="AK94" s="198"/>
      <c r="AL94" s="34"/>
      <c r="AM94" s="32"/>
      <c r="AN94" s="32"/>
      <c r="AO94" s="123"/>
      <c r="AP94" s="198"/>
      <c r="AQ94" s="34"/>
      <c r="AR94" s="32"/>
      <c r="AS94" s="34"/>
      <c r="AT94" s="35"/>
      <c r="AU94" s="198"/>
      <c r="AV94" s="34"/>
      <c r="AW94" s="32"/>
      <c r="AX94" s="34"/>
      <c r="AY94" s="35"/>
      <c r="AZ94" s="198"/>
      <c r="BA94" s="34"/>
      <c r="BB94" s="32"/>
      <c r="BC94" s="34"/>
      <c r="BD94" s="35"/>
      <c r="BE94" s="33"/>
      <c r="BF94" s="198"/>
      <c r="BG94" s="33"/>
      <c r="BH94" s="33"/>
      <c r="BI94" s="35"/>
      <c r="BL94" s="98"/>
      <c r="BN94"/>
    </row>
    <row r="95" spans="1:66">
      <c r="K95" s="25"/>
      <c r="P95" s="25"/>
      <c r="U95" s="25"/>
      <c r="Z95" s="25"/>
      <c r="AE95" s="25"/>
      <c r="AJ95" s="25"/>
      <c r="AO95" s="25"/>
      <c r="AT95" s="25"/>
      <c r="AY95" s="25"/>
      <c r="BD95" s="25"/>
      <c r="BI95" s="25"/>
      <c r="BL95" s="98"/>
      <c r="BN95"/>
    </row>
    <row r="96" spans="1:66">
      <c r="A96" s="4" t="s">
        <v>628</v>
      </c>
      <c r="B96" s="198"/>
      <c r="C96" s="32"/>
      <c r="D96" s="32"/>
      <c r="E96" s="32"/>
      <c r="F96" s="123"/>
      <c r="G96" s="198"/>
      <c r="H96" s="32"/>
      <c r="I96" s="32"/>
      <c r="J96" s="32"/>
      <c r="K96" s="123"/>
      <c r="L96" s="198"/>
      <c r="M96" s="32"/>
      <c r="N96" s="32"/>
      <c r="O96" s="32"/>
      <c r="P96" s="123"/>
      <c r="Q96" s="198"/>
      <c r="R96" s="32"/>
      <c r="S96" s="32"/>
      <c r="T96" s="32"/>
      <c r="U96" s="123"/>
      <c r="V96" s="40"/>
      <c r="W96" s="40"/>
      <c r="X96" s="32"/>
      <c r="Y96" s="32"/>
      <c r="Z96" s="123"/>
      <c r="AA96" s="198"/>
      <c r="AB96" s="32"/>
      <c r="AC96" s="32"/>
      <c r="AD96" s="32"/>
      <c r="AE96" s="123"/>
      <c r="AF96" s="198"/>
      <c r="AG96" s="32"/>
      <c r="AH96" s="32"/>
      <c r="AI96" s="32"/>
      <c r="AJ96" s="123"/>
      <c r="AK96" s="32"/>
      <c r="AL96" s="32"/>
      <c r="AM96" s="32"/>
      <c r="AN96" s="32"/>
      <c r="AO96" s="123"/>
      <c r="AP96" s="32"/>
      <c r="AQ96" s="32"/>
      <c r="AR96" s="32"/>
      <c r="AS96" s="32"/>
      <c r="AT96" s="123"/>
      <c r="AU96" s="32"/>
      <c r="AV96" s="32"/>
      <c r="AW96" s="32"/>
      <c r="AX96" s="32"/>
      <c r="AY96" s="123"/>
      <c r="AZ96" s="32"/>
      <c r="BA96" s="32"/>
      <c r="BB96" s="32"/>
      <c r="BC96" s="32"/>
      <c r="BD96" s="123"/>
      <c r="BE96" s="32"/>
      <c r="BF96" s="32"/>
      <c r="BG96" s="32"/>
      <c r="BH96" s="32"/>
      <c r="BI96" s="123"/>
      <c r="BL96" s="98"/>
      <c r="BN96"/>
    </row>
    <row r="97" spans="1:80">
      <c r="A97" s="1" t="s">
        <v>629</v>
      </c>
      <c r="B97" s="40"/>
      <c r="C97" s="40"/>
      <c r="D97" s="36"/>
      <c r="E97" s="20"/>
      <c r="F97" s="37"/>
      <c r="G97" s="40"/>
      <c r="H97" s="40"/>
      <c r="I97" s="40"/>
      <c r="J97" s="20"/>
      <c r="K97" s="42"/>
      <c r="L97" s="40"/>
      <c r="M97" s="40"/>
      <c r="N97" s="40"/>
      <c r="O97" s="20"/>
      <c r="P97" s="42"/>
      <c r="Q97" s="40"/>
      <c r="R97" s="40"/>
      <c r="S97" s="40"/>
      <c r="T97" s="20"/>
      <c r="U97" s="42"/>
      <c r="V97" s="40"/>
      <c r="W97" s="40"/>
      <c r="X97" s="40"/>
      <c r="Y97" s="20"/>
      <c r="Z97" s="42"/>
      <c r="AA97" s="40"/>
      <c r="AB97" s="41"/>
      <c r="AC97" s="41"/>
      <c r="AD97" s="41"/>
      <c r="AE97" s="21"/>
      <c r="AF97" s="40"/>
      <c r="AG97" s="41"/>
      <c r="AH97" s="41"/>
      <c r="AI97" s="41"/>
      <c r="AJ97" s="21"/>
      <c r="AK97" s="41">
        <f>AK48-AK40-AK41</f>
        <v>-1210</v>
      </c>
      <c r="AL97" s="41">
        <f t="shared" ref="AL97:BI97" si="126">AL48-AL40-AL41</f>
        <v>-1133</v>
      </c>
      <c r="AM97" s="41">
        <f t="shared" si="126"/>
        <v>-242</v>
      </c>
      <c r="AN97" s="41">
        <f t="shared" si="126"/>
        <v>1793</v>
      </c>
      <c r="AO97" s="21">
        <f t="shared" si="126"/>
        <v>-792</v>
      </c>
      <c r="AP97" s="41">
        <f t="shared" si="126"/>
        <v>6675</v>
      </c>
      <c r="AQ97" s="41">
        <f t="shared" si="126"/>
        <v>1253</v>
      </c>
      <c r="AR97" s="41">
        <f t="shared" si="126"/>
        <v>278</v>
      </c>
      <c r="AS97" s="41">
        <f t="shared" si="126"/>
        <v>1183</v>
      </c>
      <c r="AT97" s="21">
        <f t="shared" si="126"/>
        <v>9389</v>
      </c>
      <c r="AU97" s="41">
        <f t="shared" si="126"/>
        <v>1741</v>
      </c>
      <c r="AV97" s="41">
        <f t="shared" si="126"/>
        <v>1320</v>
      </c>
      <c r="AW97" s="41">
        <f t="shared" si="126"/>
        <v>1705</v>
      </c>
      <c r="AX97" s="41">
        <f t="shared" si="126"/>
        <v>1904</v>
      </c>
      <c r="AY97" s="21">
        <f t="shared" si="126"/>
        <v>6670</v>
      </c>
      <c r="AZ97" s="41">
        <f t="shared" si="126"/>
        <v>1967</v>
      </c>
      <c r="BA97" s="41">
        <f t="shared" si="126"/>
        <v>2007</v>
      </c>
      <c r="BB97" s="41">
        <f t="shared" si="126"/>
        <v>2170</v>
      </c>
      <c r="BC97" s="41">
        <f t="shared" si="126"/>
        <v>2453.5</v>
      </c>
      <c r="BD97" s="21">
        <f t="shared" si="126"/>
        <v>8597.5</v>
      </c>
      <c r="BE97" s="41">
        <f t="shared" si="126"/>
        <v>1928</v>
      </c>
      <c r="BF97" s="41">
        <f t="shared" si="126"/>
        <v>2405</v>
      </c>
      <c r="BG97" s="41">
        <f t="shared" ca="1" si="126"/>
        <v>2358.06760038625</v>
      </c>
      <c r="BH97" s="41">
        <f t="shared" ca="1" si="126"/>
        <v>2347.7860812592457</v>
      </c>
      <c r="BI97" s="21">
        <f t="shared" ca="1" si="126"/>
        <v>9040.853681645498</v>
      </c>
      <c r="BL97" s="98"/>
      <c r="BN97"/>
      <c r="BY97" t="s">
        <v>631</v>
      </c>
      <c r="BZ97">
        <v>6</v>
      </c>
      <c r="CA97" t="s">
        <v>627</v>
      </c>
      <c r="CB97" t="b">
        <v>1</v>
      </c>
    </row>
    <row r="98" spans="1:80">
      <c r="A98" s="1" t="s">
        <v>634</v>
      </c>
      <c r="B98" s="198"/>
      <c r="C98" s="32"/>
      <c r="D98" s="32"/>
      <c r="E98" s="32"/>
      <c r="F98" s="123"/>
      <c r="G98" s="198"/>
      <c r="H98" s="32"/>
      <c r="I98" s="32"/>
      <c r="J98" s="32"/>
      <c r="K98" s="123"/>
      <c r="L98" s="198"/>
      <c r="M98" s="32"/>
      <c r="N98" s="32"/>
      <c r="O98" s="32"/>
      <c r="P98" s="123"/>
      <c r="Q98" s="198"/>
      <c r="R98" s="32"/>
      <c r="S98" s="32"/>
      <c r="T98" s="32"/>
      <c r="U98" s="123"/>
      <c r="V98" s="198"/>
      <c r="W98" s="32"/>
      <c r="X98" s="32"/>
      <c r="Y98" s="32"/>
      <c r="Z98" s="123"/>
      <c r="AA98" s="198"/>
      <c r="AB98" s="32"/>
      <c r="AC98" s="32"/>
      <c r="AD98" s="31"/>
      <c r="AE98" s="123"/>
      <c r="AF98" s="198"/>
      <c r="AG98" s="32"/>
      <c r="AH98" s="32"/>
      <c r="AI98" s="31"/>
      <c r="AJ98" s="123"/>
      <c r="AK98" s="32">
        <v>0.21</v>
      </c>
      <c r="AL98" s="32">
        <v>0.21</v>
      </c>
      <c r="AM98" s="32">
        <v>0.21</v>
      </c>
      <c r="AN98" s="32">
        <v>0.21</v>
      </c>
      <c r="AO98" s="123">
        <v>0.21</v>
      </c>
      <c r="AP98" s="32">
        <v>0.21</v>
      </c>
      <c r="AQ98" s="32">
        <v>0.21</v>
      </c>
      <c r="AR98" s="32">
        <v>0.21</v>
      </c>
      <c r="AS98" s="32">
        <v>0.21</v>
      </c>
      <c r="AT98" s="123">
        <v>0.21</v>
      </c>
      <c r="AU98" s="32">
        <v>0.21</v>
      </c>
      <c r="AV98" s="32">
        <v>0.21</v>
      </c>
      <c r="AW98" s="32">
        <v>0.21</v>
      </c>
      <c r="AX98" s="32">
        <v>0.21</v>
      </c>
      <c r="AY98" s="123">
        <v>0.21</v>
      </c>
      <c r="AZ98" s="32">
        <v>0.21</v>
      </c>
      <c r="BA98" s="32">
        <v>0.21</v>
      </c>
      <c r="BB98" s="32">
        <v>0.21</v>
      </c>
      <c r="BC98" s="32">
        <v>0.21</v>
      </c>
      <c r="BD98" s="123">
        <v>0.21</v>
      </c>
      <c r="BE98" s="31">
        <v>0.21</v>
      </c>
      <c r="BF98" s="31">
        <v>0.21</v>
      </c>
      <c r="BG98" s="210">
        <v>0.21</v>
      </c>
      <c r="BH98" s="32">
        <v>0.21</v>
      </c>
      <c r="BI98" s="183">
        <v>0.21</v>
      </c>
      <c r="BL98" s="98"/>
      <c r="BN98"/>
    </row>
    <row r="99" spans="1:80">
      <c r="BN99"/>
    </row>
    <row r="100" spans="1:80">
      <c r="A100" t="s">
        <v>630</v>
      </c>
      <c r="BN100"/>
    </row>
    <row r="101" spans="1:80">
      <c r="A101" t="str">
        <f>A15</f>
        <v>Adjusted Net Sales</v>
      </c>
      <c r="AK101" s="73">
        <f>AK15</f>
        <v>11911</v>
      </c>
      <c r="AL101" s="73">
        <f t="shared" ref="AL101:BI101" si="127">AL15</f>
        <v>13361</v>
      </c>
      <c r="AM101" s="73">
        <f t="shared" si="127"/>
        <v>13825</v>
      </c>
      <c r="AN101" s="73">
        <f t="shared" si="127"/>
        <v>16046</v>
      </c>
      <c r="AO101" s="73">
        <f t="shared" si="127"/>
        <v>55143</v>
      </c>
      <c r="AP101" s="73">
        <f t="shared" si="127"/>
        <v>7044</v>
      </c>
      <c r="AQ101" s="73">
        <f t="shared" si="127"/>
        <v>7907</v>
      </c>
      <c r="AR101" s="73">
        <f t="shared" si="127"/>
        <v>8460</v>
      </c>
      <c r="AS101" s="73">
        <f t="shared" si="127"/>
        <v>8548</v>
      </c>
      <c r="AT101" s="73">
        <f t="shared" si="127"/>
        <v>31959</v>
      </c>
      <c r="AU101" s="73">
        <f t="shared" si="127"/>
        <v>8076</v>
      </c>
      <c r="AV101" s="73">
        <f t="shared" si="127"/>
        <v>8223</v>
      </c>
      <c r="AW101" s="73">
        <f t="shared" si="127"/>
        <v>8943</v>
      </c>
      <c r="AX101" s="73">
        <f t="shared" si="127"/>
        <v>9880</v>
      </c>
      <c r="AY101" s="73">
        <f t="shared" si="127"/>
        <v>35121</v>
      </c>
      <c r="AZ101" s="73">
        <f t="shared" si="127"/>
        <v>9001</v>
      </c>
      <c r="BA101" s="73">
        <f t="shared" si="127"/>
        <v>10151</v>
      </c>
      <c r="BB101" s="73">
        <f t="shared" si="127"/>
        <v>11305</v>
      </c>
      <c r="BC101" s="73">
        <f t="shared" si="127"/>
        <v>11867</v>
      </c>
      <c r="BD101" s="73">
        <f t="shared" si="127"/>
        <v>42322</v>
      </c>
      <c r="BE101" s="73">
        <f t="shared" si="127"/>
        <v>11614</v>
      </c>
      <c r="BF101" s="73">
        <f t="shared" si="127"/>
        <v>12634</v>
      </c>
      <c r="BG101" s="73">
        <f t="shared" si="127"/>
        <v>12491.530000000002</v>
      </c>
      <c r="BH101" s="73">
        <f t="shared" si="127"/>
        <v>13554.923890405084</v>
      </c>
      <c r="BI101" s="73">
        <f t="shared" si="127"/>
        <v>50293.453890405086</v>
      </c>
    </row>
    <row r="102" spans="1:80">
      <c r="A102" t="str">
        <f>A26</f>
        <v>Adj. Operating Profit</v>
      </c>
      <c r="AK102" s="73">
        <f>AK26</f>
        <v>415</v>
      </c>
      <c r="AL102" s="73">
        <f t="shared" ref="AL102:BI102" si="128">AL26</f>
        <v>1018</v>
      </c>
      <c r="AM102" s="73">
        <f t="shared" si="128"/>
        <v>359</v>
      </c>
      <c r="AN102" s="73">
        <f t="shared" si="128"/>
        <v>1367</v>
      </c>
      <c r="AO102" s="73">
        <f t="shared" si="128"/>
        <v>3159</v>
      </c>
      <c r="AP102" s="73">
        <f t="shared" si="128"/>
        <v>1247</v>
      </c>
      <c r="AQ102" s="73">
        <f t="shared" si="128"/>
        <v>1385</v>
      </c>
      <c r="AR102" s="73">
        <f t="shared" si="128"/>
        <v>1594</v>
      </c>
      <c r="AS102" s="73">
        <f t="shared" si="128"/>
        <v>1336</v>
      </c>
      <c r="AT102" s="73">
        <f t="shared" si="128"/>
        <v>5562</v>
      </c>
      <c r="AU102" s="73">
        <f t="shared" si="128"/>
        <v>1550</v>
      </c>
      <c r="AV102" s="73">
        <f t="shared" si="128"/>
        <v>1897</v>
      </c>
      <c r="AW102" s="73">
        <f t="shared" si="128"/>
        <v>1818</v>
      </c>
      <c r="AX102" s="73">
        <f t="shared" si="128"/>
        <v>1988</v>
      </c>
      <c r="AY102" s="73">
        <f t="shared" si="128"/>
        <v>7253</v>
      </c>
      <c r="AZ102" s="73">
        <f t="shared" si="128"/>
        <v>2146</v>
      </c>
      <c r="BA102" s="73">
        <f t="shared" si="128"/>
        <v>2337</v>
      </c>
      <c r="BB102" s="73">
        <f t="shared" si="128"/>
        <v>2299</v>
      </c>
      <c r="BC102" s="73">
        <f t="shared" si="128"/>
        <v>2273</v>
      </c>
      <c r="BD102" s="73">
        <f t="shared" si="128"/>
        <v>9055</v>
      </c>
      <c r="BE102" s="73">
        <f t="shared" si="128"/>
        <v>2528</v>
      </c>
      <c r="BF102" s="73">
        <f t="shared" si="128"/>
        <v>2746</v>
      </c>
      <c r="BG102" s="73">
        <f t="shared" si="128"/>
        <v>2757.9591692500003</v>
      </c>
      <c r="BH102" s="73">
        <f t="shared" si="128"/>
        <v>2715.3987791018471</v>
      </c>
      <c r="BI102" s="73">
        <f t="shared" si="128"/>
        <v>10748.357948351848</v>
      </c>
    </row>
    <row r="103" spans="1:80">
      <c r="A103" t="str">
        <f>A51</f>
        <v>EPS from Continuing Operations - Diluted</v>
      </c>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s="50">
        <f>AK51</f>
        <v>-9.2727272727272728E-2</v>
      </c>
      <c r="AL103" s="50">
        <f t="shared" ref="AL103:BI103" si="129">AL51</f>
        <v>0.35577797998180166</v>
      </c>
      <c r="AM103" s="50">
        <f t="shared" si="129"/>
        <v>-0.17077625570776256</v>
      </c>
      <c r="AN103" s="50">
        <f t="shared" si="129"/>
        <v>0.67183226982680033</v>
      </c>
      <c r="AO103" s="50">
        <f t="shared" si="129"/>
        <v>0.76429059439763147</v>
      </c>
      <c r="AP103" s="50">
        <f t="shared" si="129"/>
        <v>0.62932604735883424</v>
      </c>
      <c r="AQ103" s="50">
        <f t="shared" si="129"/>
        <v>0.73952641165755917</v>
      </c>
      <c r="AR103" s="50">
        <f t="shared" si="129"/>
        <v>0.92531876138433511</v>
      </c>
      <c r="AS103" s="50">
        <f t="shared" si="129"/>
        <v>0.65846994535519121</v>
      </c>
      <c r="AT103" s="50">
        <f t="shared" si="129"/>
        <v>2.9499545040946313</v>
      </c>
      <c r="AU103" s="50">
        <f t="shared" si="129"/>
        <v>0.93019038984587488</v>
      </c>
      <c r="AV103" s="50">
        <f t="shared" si="129"/>
        <v>1.2009090909090909</v>
      </c>
      <c r="AW103" s="50">
        <f t="shared" si="129"/>
        <v>1.1429872495446265</v>
      </c>
      <c r="AX103" s="50">
        <f t="shared" si="129"/>
        <v>1.3132990284444279</v>
      </c>
      <c r="AY103" s="50">
        <f t="shared" si="129"/>
        <v>4.6023765996343693</v>
      </c>
      <c r="AZ103" s="50">
        <f t="shared" si="129"/>
        <v>1.4851576994434137</v>
      </c>
      <c r="BA103" s="50">
        <f t="shared" si="129"/>
        <v>1.6591970121381887</v>
      </c>
      <c r="BB103" s="50">
        <f t="shared" si="129"/>
        <v>1.6563380281690141</v>
      </c>
      <c r="BC103" s="50">
        <f t="shared" si="129"/>
        <v>1.5743957795759376</v>
      </c>
      <c r="BD103" s="50">
        <f t="shared" si="129"/>
        <v>6.367808988764045</v>
      </c>
      <c r="BE103" s="50">
        <f t="shared" si="129"/>
        <v>1.8624288425047439</v>
      </c>
      <c r="BF103" s="50">
        <f t="shared" si="129"/>
        <v>2.0191021967526264</v>
      </c>
      <c r="BG103" s="50">
        <f t="shared" ca="1" si="129"/>
        <v>2.0161075582825423</v>
      </c>
      <c r="BH103" s="50">
        <f t="shared" ca="1" si="129"/>
        <v>1.9693493221647305</v>
      </c>
      <c r="BI103" s="50">
        <f t="shared" ca="1" si="129"/>
        <v>7.8478300891738257</v>
      </c>
      <c r="BJ103" s="11"/>
      <c r="BK103" s="11"/>
      <c r="BM103"/>
      <c r="BN103"/>
    </row>
    <row r="104" spans="1:80">
      <c r="A104" t="str">
        <f>Cash_Flow_Qtr!A91</f>
        <v>Non-GAAP Free Cash Flow</v>
      </c>
      <c r="AK104" s="73">
        <f>Cash_Flow_Qtr!AK91</f>
        <v>-1167</v>
      </c>
      <c r="AL104" s="73">
        <f>Cash_Flow_Qtr!AL91</f>
        <v>192</v>
      </c>
      <c r="AM104" s="73">
        <f>Cash_Flow_Qtr!AM91</f>
        <v>697</v>
      </c>
      <c r="AN104" s="73">
        <f>Cash_Flow_Qtr!AN91</f>
        <v>3336</v>
      </c>
      <c r="AO104" s="73">
        <f>Cash_Flow_Qtr!AO91</f>
        <v>3058</v>
      </c>
      <c r="AP104" s="73">
        <f>Cash_Flow_Qtr!AP91</f>
        <v>103</v>
      </c>
      <c r="AQ104" s="73">
        <f>Cash_Flow_Qtr!AQ91</f>
        <v>413</v>
      </c>
      <c r="AR104" s="73">
        <f>Cash_Flow_Qtr!AR91</f>
        <v>1672</v>
      </c>
      <c r="AS104" s="73">
        <f>Cash_Flow_Qtr!AS91</f>
        <v>2379</v>
      </c>
      <c r="AT104" s="73">
        <f>Cash_Flow_Qtr!AT91</f>
        <v>4744</v>
      </c>
      <c r="AU104" s="73">
        <f>Cash_Flow_Qtr!AU91</f>
        <v>1669</v>
      </c>
      <c r="AV104" s="73">
        <f>Cash_Flow_Qtr!AV91</f>
        <v>1098</v>
      </c>
      <c r="AW104" s="73">
        <f>Cash_Flow_Qtr!AW91</f>
        <v>1805</v>
      </c>
      <c r="AX104" s="73">
        <f>Cash_Flow_Qtr!AX91</f>
        <v>1517</v>
      </c>
      <c r="AY104" s="73">
        <f>Cash_Flow_Qtr!AY91</f>
        <v>6089</v>
      </c>
      <c r="AZ104" s="73">
        <f>Cash_Flow_Qtr!BA91</f>
        <v>2106</v>
      </c>
      <c r="BA104" s="73">
        <f>Cash_Flow_Qtr!BA91</f>
        <v>2106</v>
      </c>
      <c r="BB104" s="73">
        <f>Cash_Flow_Qtr!BB91</f>
        <v>2362</v>
      </c>
      <c r="BC104" s="73">
        <f>Cash_Flow_Qtr!BC91</f>
        <v>1785</v>
      </c>
      <c r="BD104" s="73">
        <f>Cash_Flow_Qtr!BD91</f>
        <v>7694</v>
      </c>
      <c r="BE104" s="73">
        <f>Cash_Flow_Qtr!BE91</f>
        <v>1658</v>
      </c>
      <c r="BF104" s="73">
        <f>Cash_Flow_Qtr!BF91</f>
        <v>3027</v>
      </c>
      <c r="BG104" s="73">
        <f ca="1">Cash_Flow_Qtr!BG91</f>
        <v>2380.7518295643295</v>
      </c>
      <c r="BH104" s="73">
        <f ca="1">Cash_Flow_Qtr!BH91</f>
        <v>2153.4944831707658</v>
      </c>
      <c r="BI104" s="73">
        <f ca="1">Cash_Flow_Qtr!BI91</f>
        <v>9219.2463127350948</v>
      </c>
    </row>
    <row r="105" spans="1:80">
      <c r="A105" s="12"/>
    </row>
    <row r="112" spans="1:80">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M112"/>
      <c r="BN112"/>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theme="4" tint="0.39997558519241921"/>
  </sheetPr>
  <dimension ref="A1:BE198"/>
  <sheetViews>
    <sheetView showGridLines="0" workbookViewId="0">
      <pane xSplit="21" ySplit="2" topLeftCell="V3" activePane="bottomRight" state="frozen"/>
      <selection pane="topRight" activeCell="V1" sqref="V1"/>
      <selection pane="bottomLeft" activeCell="A3" sqref="A3"/>
      <selection pane="bottomRight" activeCell="V3" sqref="V3"/>
    </sheetView>
  </sheetViews>
  <sheetFormatPr defaultRowHeight="15" outlineLevelCol="2"/>
  <cols>
    <col min="1" max="1" width="48.140625" customWidth="1"/>
    <col min="2" max="11" width="12" style="24" hidden="1" customWidth="1"/>
    <col min="12" max="20" width="12" style="24" hidden="1" customWidth="1" outlineLevel="2"/>
    <col min="21" max="21" width="12" style="24" hidden="1" customWidth="1" outlineLevel="1" collapsed="1"/>
    <col min="22" max="22" width="12" customWidth="1" collapsed="1"/>
    <col min="23" max="23" width="12" customWidth="1"/>
    <col min="24" max="27" width="13" customWidth="1"/>
    <col min="28" max="28" width="13.5703125" customWidth="1"/>
    <col min="29" max="30" width="13" customWidth="1"/>
    <col min="31" max="31" width="17.42578125" customWidth="1"/>
    <col min="32" max="32" width="16.85546875" customWidth="1"/>
    <col min="33" max="33" width="9.140625" customWidth="1"/>
    <col min="34" max="34" width="28.5703125" customWidth="1"/>
    <col min="35" max="39" width="9.140625" customWidth="1"/>
    <col min="40" max="40" width="72.5703125" customWidth="1" outlineLevel="1"/>
    <col min="41" max="45" width="9.140625" customWidth="1" outlineLevel="1"/>
    <col min="49" max="50" width="11.42578125" customWidth="1"/>
    <col min="51" max="51" width="10.5703125" customWidth="1"/>
    <col min="52" max="55" width="11.42578125" customWidth="1"/>
  </cols>
  <sheetData>
    <row r="1" spans="1:35">
      <c r="A1" s="13" t="s">
        <v>35</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row>
    <row r="2" spans="1:35">
      <c r="B2" s="94" t="str">
        <f>ProForma_IS_Annual!B2</f>
        <v>CY2000A</v>
      </c>
      <c r="C2" s="94" t="str">
        <f>ProForma_IS_Annual!C2</f>
        <v>CY2001A</v>
      </c>
      <c r="D2" s="94" t="str">
        <f>ProForma_IS_Annual!D2</f>
        <v>CY2002A</v>
      </c>
      <c r="E2" s="94" t="str">
        <f>ProForma_IS_Annual!E2</f>
        <v>CY2003A</v>
      </c>
      <c r="F2" s="94" t="str">
        <f>ProForma_IS_Annual!F2</f>
        <v>CY2004A</v>
      </c>
      <c r="G2" s="94" t="str">
        <f>ProForma_IS_Annual!G2</f>
        <v>CY2005A</v>
      </c>
      <c r="H2" s="94" t="str">
        <f>ProForma_IS_Annual!H2</f>
        <v>CY2006A</v>
      </c>
      <c r="I2" s="94" t="str">
        <f>ProForma_IS_Annual!I2</f>
        <v>CY2007A</v>
      </c>
      <c r="J2" s="94" t="str">
        <f>ProForma_IS_Annual!J2</f>
        <v>CY2008A</v>
      </c>
      <c r="K2" s="94" t="str">
        <f>ProForma_IS_Annual!K2</f>
        <v>CY2009A</v>
      </c>
      <c r="L2" s="94" t="str">
        <f>ProForma_IS_Annual!L2</f>
        <v>CY2010A</v>
      </c>
      <c r="M2" s="94" t="str">
        <f>ProForma_IS_Annual!M2</f>
        <v>CY2011A</v>
      </c>
      <c r="N2" s="94" t="str">
        <f>ProForma_IS_Annual!N2</f>
        <v>CY2012A</v>
      </c>
      <c r="O2" s="94" t="str">
        <f>ProForma_IS_Annual!O2</f>
        <v>CY2013A</v>
      </c>
      <c r="P2" s="94" t="str">
        <f>ProForma_IS_Annual!P2</f>
        <v>CY2014A</v>
      </c>
      <c r="Q2" s="94" t="str">
        <f>ProForma_IS_Annual!Q2</f>
        <v>CY2015A</v>
      </c>
      <c r="R2" s="94" t="str">
        <f>ProForma_IS_Annual!R2</f>
        <v>CY2016A</v>
      </c>
      <c r="S2" s="94" t="str">
        <f>ProForma_IS_Annual!S2</f>
        <v>CY2017A</v>
      </c>
      <c r="T2" s="94" t="str">
        <f>ProForma_IS_Annual!T2</f>
        <v>CY2018A</v>
      </c>
      <c r="U2" s="93" t="str">
        <f>ProForma_IS_Annual!U2</f>
        <v>CY2019A</v>
      </c>
      <c r="V2" s="94" t="str">
        <f>ProForma_IS_Annual!V2</f>
        <v>CY2020A</v>
      </c>
      <c r="W2" s="94" t="str">
        <f>ProForma_IS_Annual!W2</f>
        <v>CY2021A</v>
      </c>
      <c r="X2" s="94" t="str">
        <f>ProForma_IS_Annual!X2</f>
        <v>CY2022A</v>
      </c>
      <c r="Y2" s="94" t="str">
        <f>ProForma_IS_Annual!Y2</f>
        <v>CY2023A</v>
      </c>
      <c r="Z2" s="94" t="str">
        <f>ProForma_IS_Annual!Z2</f>
        <v>CY2024A</v>
      </c>
      <c r="AA2" s="94" t="str">
        <f>ProForma_IS_Annual!AA2</f>
        <v>CY2025A</v>
      </c>
      <c r="AB2" s="94" t="str">
        <f>ProForma_IS_Annual!AB2</f>
        <v>CY2026E</v>
      </c>
      <c r="AC2" s="94" t="str">
        <f>ProForma_IS_Annual!AC2</f>
        <v>CY2027E</v>
      </c>
      <c r="AD2" s="94" t="str">
        <f>ProForma_IS_Annual!AD2</f>
        <v>CY2028E</v>
      </c>
      <c r="AE2" s="94" t="str">
        <f>ProForma_IS_Annual!AE2</f>
        <v>CY2029E</v>
      </c>
      <c r="AF2" s="94" t="str">
        <f>ProForma_IS_Annual!AF2</f>
        <v>CY2030E</v>
      </c>
      <c r="AG2" s="243" t="s">
        <v>224</v>
      </c>
    </row>
    <row r="3" spans="1:35">
      <c r="A3" s="4" t="str">
        <f>Balance_Sheet_Qtr!A3</f>
        <v>Assets</v>
      </c>
      <c r="B3" s="25"/>
      <c r="C3" s="25"/>
      <c r="D3" s="25"/>
      <c r="E3" s="25"/>
      <c r="F3" s="25"/>
      <c r="G3" s="25"/>
      <c r="H3" s="25"/>
      <c r="I3" s="25"/>
      <c r="J3" s="25"/>
      <c r="K3" s="25"/>
      <c r="L3" s="25"/>
      <c r="M3" s="25"/>
      <c r="N3" s="25"/>
      <c r="O3" s="25"/>
      <c r="P3" s="25"/>
      <c r="Q3" s="25"/>
      <c r="R3" s="25"/>
      <c r="S3" s="25"/>
      <c r="T3" s="25"/>
      <c r="V3" s="179"/>
      <c r="W3" s="179"/>
      <c r="X3" s="179"/>
      <c r="Y3" s="179"/>
      <c r="Z3" s="179"/>
      <c r="AA3" s="179"/>
      <c r="AB3" s="179"/>
      <c r="AC3" s="179"/>
      <c r="AD3" s="179"/>
      <c r="AE3" s="179"/>
      <c r="AF3" s="179"/>
    </row>
    <row r="4" spans="1:35">
      <c r="A4" s="4" t="str">
        <f>Balance_Sheet_Qtr!A4</f>
        <v>Current Assets</v>
      </c>
      <c r="B4" s="25"/>
      <c r="C4" s="25"/>
      <c r="D4" s="25"/>
      <c r="E4" s="25"/>
      <c r="F4" s="25"/>
      <c r="G4" s="25"/>
      <c r="H4" s="25"/>
      <c r="I4" s="25"/>
      <c r="J4" s="25"/>
      <c r="K4" s="25"/>
      <c r="L4" s="25"/>
      <c r="M4" s="25"/>
      <c r="N4" s="25"/>
      <c r="O4" s="75"/>
      <c r="P4" s="75"/>
      <c r="Q4" s="25"/>
      <c r="R4" s="25"/>
      <c r="S4" s="25"/>
      <c r="T4" s="25"/>
      <c r="V4" s="179"/>
      <c r="W4" s="179"/>
      <c r="X4" s="179"/>
      <c r="Y4" s="179"/>
      <c r="Z4" s="179"/>
      <c r="AA4" s="179"/>
      <c r="AB4" s="179"/>
      <c r="AC4" s="179"/>
      <c r="AD4" s="179"/>
      <c r="AE4" s="179"/>
      <c r="AF4" s="179"/>
    </row>
    <row r="5" spans="1:35">
      <c r="A5" s="1" t="s">
        <v>65</v>
      </c>
      <c r="B5" s="37"/>
      <c r="C5" s="37"/>
      <c r="D5" s="37"/>
      <c r="E5" s="37"/>
      <c r="F5" s="37"/>
      <c r="G5" s="37"/>
      <c r="H5" s="37"/>
      <c r="I5" s="37"/>
      <c r="J5" s="37"/>
      <c r="K5" s="37"/>
      <c r="L5" s="37"/>
      <c r="M5" s="37"/>
      <c r="N5" s="37"/>
      <c r="O5" s="37"/>
      <c r="P5" s="37"/>
      <c r="Q5" s="37"/>
      <c r="R5" s="37"/>
      <c r="S5" s="37"/>
      <c r="T5" s="37"/>
      <c r="U5" s="36"/>
      <c r="V5" s="37"/>
      <c r="W5" s="37"/>
      <c r="X5" s="37">
        <f>Balance_Sheet_Qtr!AO5</f>
        <v>15810</v>
      </c>
      <c r="Y5" s="37">
        <f>Balance_Sheet_Qtr!AT5</f>
        <v>15204</v>
      </c>
      <c r="Z5" s="37">
        <f>Balance_Sheet_Qtr!AY5</f>
        <v>13619</v>
      </c>
      <c r="AA5" s="37">
        <f>Balance_Sheet_Qtr!BD5</f>
        <v>12392</v>
      </c>
      <c r="AB5" s="644">
        <f ca="1">Balance_Sheet_Qtr!BI5</f>
        <v>9813.4955361832508</v>
      </c>
      <c r="AC5" s="37">
        <f ca="1">Cash_Flow_Annual!AC67</f>
        <v>9947.8210738985745</v>
      </c>
      <c r="AD5" s="37">
        <f ca="1">Cash_Flow_Annual!AD67</f>
        <v>10134.667239277098</v>
      </c>
      <c r="AE5" s="37">
        <f ca="1">Cash_Flow_Annual!AE67</f>
        <v>10631.714656719441</v>
      </c>
      <c r="AF5" s="37">
        <f ca="1">Cash_Flow_Annual!AF67</f>
        <v>11469.433511807627</v>
      </c>
      <c r="AH5" s="98"/>
      <c r="AI5" s="98"/>
    </row>
    <row r="6" spans="1:35">
      <c r="A6" s="1" t="s">
        <v>308</v>
      </c>
      <c r="B6" s="42"/>
      <c r="C6" s="42"/>
      <c r="D6" s="42"/>
      <c r="E6" s="42"/>
      <c r="F6" s="42"/>
      <c r="G6" s="42"/>
      <c r="H6" s="42"/>
      <c r="I6" s="42"/>
      <c r="J6" s="42"/>
      <c r="K6" s="42"/>
      <c r="L6" s="42"/>
      <c r="M6" s="42"/>
      <c r="N6" s="42"/>
      <c r="O6" s="42"/>
      <c r="P6" s="42"/>
      <c r="Q6" s="37"/>
      <c r="R6" s="37"/>
      <c r="S6" s="37"/>
      <c r="T6" s="37"/>
      <c r="U6" s="36"/>
      <c r="V6" s="37"/>
      <c r="W6" s="37"/>
      <c r="X6" s="37">
        <f>Balance_Sheet_Qtr!AO6</f>
        <v>7609</v>
      </c>
      <c r="Y6" s="37">
        <f>Balance_Sheet_Qtr!AT6</f>
        <v>5706</v>
      </c>
      <c r="Z6" s="37">
        <f>Balance_Sheet_Qtr!AY6</f>
        <v>982</v>
      </c>
      <c r="AA6" s="37">
        <f>Balance_Sheet_Qtr!BD6</f>
        <v>0</v>
      </c>
      <c r="AB6" s="644">
        <f>Balance_Sheet_Qtr!BI6</f>
        <v>0</v>
      </c>
      <c r="AC6" s="21">
        <f>+AB6</f>
        <v>0</v>
      </c>
      <c r="AD6" s="21">
        <f>+AC6</f>
        <v>0</v>
      </c>
      <c r="AE6" s="21">
        <f>+AD6</f>
        <v>0</v>
      </c>
      <c r="AF6" s="21">
        <f>+AE6</f>
        <v>0</v>
      </c>
      <c r="AH6" s="98"/>
      <c r="AI6" s="98"/>
    </row>
    <row r="7" spans="1:35">
      <c r="A7" s="1" t="s">
        <v>186</v>
      </c>
      <c r="B7" s="42"/>
      <c r="C7" s="42"/>
      <c r="D7" s="42"/>
      <c r="E7" s="42"/>
      <c r="F7" s="42"/>
      <c r="G7" s="42"/>
      <c r="H7" s="42"/>
      <c r="I7" s="42"/>
      <c r="J7" s="42"/>
      <c r="K7" s="42"/>
      <c r="L7" s="42"/>
      <c r="M7" s="42"/>
      <c r="N7" s="42"/>
      <c r="O7" s="42"/>
      <c r="P7" s="42"/>
      <c r="Q7" s="37"/>
      <c r="R7" s="37"/>
      <c r="S7" s="37"/>
      <c r="T7" s="37"/>
      <c r="U7" s="36"/>
      <c r="V7" s="37"/>
      <c r="W7" s="37"/>
      <c r="X7" s="37">
        <f>Balance_Sheet_Qtr!AO7</f>
        <v>14831</v>
      </c>
      <c r="Y7" s="37">
        <f>Balance_Sheet_Qtr!AT7</f>
        <v>8703</v>
      </c>
      <c r="Z7" s="37">
        <f>Balance_Sheet_Qtr!AY7</f>
        <v>9327</v>
      </c>
      <c r="AA7" s="37">
        <f>Balance_Sheet_Qtr!BD7</f>
        <v>11773</v>
      </c>
      <c r="AB7" s="644">
        <f>Balance_Sheet_Qtr!BI7</f>
        <v>13276.468082565638</v>
      </c>
      <c r="AC7" s="21">
        <f>AC$66*(ProForma_IS_Annual!AC$11/(365))</f>
        <v>14165.130953464799</v>
      </c>
      <c r="AD7" s="21">
        <f>AD$66*(ProForma_IS_Annual!AD$11/(365))</f>
        <v>15114.640662797887</v>
      </c>
      <c r="AE7" s="21">
        <f>AE$66*(ProForma_IS_Annual!AE$11/(365))</f>
        <v>15868.271498273138</v>
      </c>
      <c r="AF7" s="21">
        <f>AF$66*(ProForma_IS_Annual!AF$11/(365))</f>
        <v>16902.521207653623</v>
      </c>
      <c r="AH7" s="98"/>
      <c r="AI7" s="98"/>
    </row>
    <row r="8" spans="1:35">
      <c r="A8" s="1" t="s">
        <v>21</v>
      </c>
      <c r="B8" s="42"/>
      <c r="C8" s="42"/>
      <c r="D8" s="42"/>
      <c r="E8" s="42"/>
      <c r="F8" s="42"/>
      <c r="G8" s="42"/>
      <c r="H8" s="42"/>
      <c r="I8" s="42"/>
      <c r="J8" s="42"/>
      <c r="K8" s="42"/>
      <c r="L8" s="42"/>
      <c r="M8" s="42"/>
      <c r="N8" s="42"/>
      <c r="O8" s="42"/>
      <c r="P8" s="42"/>
      <c r="Q8" s="37"/>
      <c r="R8" s="37"/>
      <c r="S8" s="37"/>
      <c r="T8" s="37"/>
      <c r="U8" s="36"/>
      <c r="V8" s="37"/>
      <c r="W8" s="37"/>
      <c r="X8" s="37">
        <f>Balance_Sheet_Qtr!AO8</f>
        <v>14891</v>
      </c>
      <c r="Y8" s="37">
        <f>Balance_Sheet_Qtr!AT8</f>
        <v>8284</v>
      </c>
      <c r="Z8" s="37">
        <f>Balance_Sheet_Qtr!AY8</f>
        <v>9763</v>
      </c>
      <c r="AA8" s="37">
        <f>Balance_Sheet_Qtr!BD8</f>
        <v>11868</v>
      </c>
      <c r="AB8" s="644">
        <f>Balance_Sheet_Qtr!BI8</f>
        <v>13117.635096894697</v>
      </c>
      <c r="AC8" s="21">
        <f>AC68*(-ProForma_IS_Annual!AC81/(365))</f>
        <v>14994.113049036887</v>
      </c>
      <c r="AD8" s="21">
        <f>AD68*(-ProForma_IS_Annual!AD81/(365))</f>
        <v>16014.489037141202</v>
      </c>
      <c r="AE8" s="21">
        <f>AE68*(-ProForma_IS_Annual!AE81/(365))</f>
        <v>17084.838979807413</v>
      </c>
      <c r="AF8" s="21">
        <f>AF68*(-ProForma_IS_Annual!AF81/(365))</f>
        <v>18279.160284325175</v>
      </c>
      <c r="AH8" s="98"/>
      <c r="AI8" s="98"/>
    </row>
    <row r="9" spans="1:35">
      <c r="A9" s="1" t="s">
        <v>334</v>
      </c>
      <c r="B9" s="42"/>
      <c r="C9" s="42"/>
      <c r="D9" s="42"/>
      <c r="E9" s="42"/>
      <c r="F9" s="42"/>
      <c r="G9" s="42"/>
      <c r="H9" s="42"/>
      <c r="I9" s="42"/>
      <c r="J9" s="42"/>
      <c r="K9" s="42"/>
      <c r="L9" s="42"/>
      <c r="M9" s="42"/>
      <c r="N9" s="42"/>
      <c r="O9" s="42"/>
      <c r="P9" s="42"/>
      <c r="Q9" s="37"/>
      <c r="R9" s="37"/>
      <c r="S9" s="37"/>
      <c r="T9" s="37"/>
      <c r="U9" s="36"/>
      <c r="V9" s="37"/>
      <c r="W9" s="37"/>
      <c r="X9" s="37">
        <f>Balance_Sheet_Qtr!AO9</f>
        <v>2467</v>
      </c>
      <c r="Y9" s="37">
        <f>Balance_Sheet_Qtr!AT9</f>
        <v>2875</v>
      </c>
      <c r="Z9" s="37">
        <f>Balance_Sheet_Qtr!AY9</f>
        <v>2982</v>
      </c>
      <c r="AA9" s="37">
        <f>Balance_Sheet_Qtr!BD9</f>
        <v>3511</v>
      </c>
      <c r="AB9" s="644">
        <f>Balance_Sheet_Qtr!BI9</f>
        <v>3720.3376850436639</v>
      </c>
      <c r="AC9" s="21">
        <f>AC70*(ProForma_IS_Annual!AC15/(365))</f>
        <v>4007.8962997318886</v>
      </c>
      <c r="AD9" s="21">
        <f>AD70*(ProForma_IS_Annual!AD15/(365))</f>
        <v>4316.6658136333845</v>
      </c>
      <c r="AE9" s="21">
        <f>AE70*(ProForma_IS_Annual!AE15/(365))</f>
        <v>4569.1401490599228</v>
      </c>
      <c r="AF9" s="21">
        <f>AF70*(ProForma_IS_Annual!AF15/(365))</f>
        <v>4847.9701607472953</v>
      </c>
      <c r="AH9" s="98"/>
      <c r="AI9" s="98"/>
    </row>
    <row r="10" spans="1:35">
      <c r="A10" s="1" t="s">
        <v>66</v>
      </c>
      <c r="B10" s="42"/>
      <c r="C10" s="42"/>
      <c r="D10" s="42"/>
      <c r="E10" s="42"/>
      <c r="F10" s="42"/>
      <c r="G10" s="42"/>
      <c r="H10" s="42"/>
      <c r="I10" s="42"/>
      <c r="J10" s="42"/>
      <c r="K10" s="42"/>
      <c r="L10" s="42"/>
      <c r="M10" s="42"/>
      <c r="N10" s="42"/>
      <c r="O10" s="42"/>
      <c r="P10" s="42"/>
      <c r="Q10" s="37"/>
      <c r="R10" s="37"/>
      <c r="S10" s="37"/>
      <c r="T10" s="37"/>
      <c r="U10" s="36"/>
      <c r="V10" s="37"/>
      <c r="W10" s="37"/>
      <c r="X10" s="37">
        <f>Balance_Sheet_Qtr!AO10</f>
        <v>1400</v>
      </c>
      <c r="Y10" s="37">
        <f>Balance_Sheet_Qtr!AT10</f>
        <v>1244</v>
      </c>
      <c r="Z10" s="37">
        <f>Balance_Sheet_Qtr!AY10</f>
        <v>962</v>
      </c>
      <c r="AA10" s="37">
        <f>Balance_Sheet_Qtr!BD10</f>
        <v>1052</v>
      </c>
      <c r="AB10" s="644">
        <f>Balance_Sheet_Qtr!BI10</f>
        <v>1211.4777125341143</v>
      </c>
      <c r="AC10" s="21">
        <f>+AC74*ProForma_IS_Annual!AC15</f>
        <v>1104.0619995487846</v>
      </c>
      <c r="AD10" s="21">
        <f>+AD74*ProForma_IS_Annual!AD15</f>
        <v>1060.488572483971</v>
      </c>
      <c r="AE10" s="21">
        <f>+AE74*ProForma_IS_Annual!AE15</f>
        <v>981.02126729816007</v>
      </c>
      <c r="AF10" s="21">
        <f>+AF74*ProForma_IS_Annual!AF15</f>
        <v>884.75455433638149</v>
      </c>
      <c r="AH10" s="98"/>
      <c r="AI10" s="98"/>
    </row>
    <row r="11" spans="1:35">
      <c r="A11" s="1" t="s">
        <v>335</v>
      </c>
      <c r="B11" s="42"/>
      <c r="C11" s="42"/>
      <c r="D11" s="42"/>
      <c r="E11" s="42"/>
      <c r="F11" s="42"/>
      <c r="G11" s="42"/>
      <c r="H11" s="42"/>
      <c r="I11" s="42"/>
      <c r="J11" s="42"/>
      <c r="K11" s="42"/>
      <c r="L11" s="42"/>
      <c r="M11" s="42"/>
      <c r="N11" s="42"/>
      <c r="O11" s="42"/>
      <c r="P11" s="42"/>
      <c r="Q11" s="37"/>
      <c r="R11" s="37"/>
      <c r="S11" s="37"/>
      <c r="T11" s="37"/>
      <c r="U11" s="36"/>
      <c r="V11" s="37"/>
      <c r="W11" s="37"/>
      <c r="X11" s="37">
        <f>Balance_Sheet_Qtr!AO11</f>
        <v>1376</v>
      </c>
      <c r="Y11" s="37">
        <f>Balance_Sheet_Qtr!AT11</f>
        <v>540</v>
      </c>
      <c r="Z11" s="37">
        <f>Balance_Sheet_Qtr!AY11</f>
        <v>0</v>
      </c>
      <c r="AA11" s="37">
        <f>Balance_Sheet_Qtr!BD11</f>
        <v>0</v>
      </c>
      <c r="AB11" s="644">
        <f>Balance_Sheet_Qtr!BI11</f>
        <v>0</v>
      </c>
      <c r="AC11" s="21">
        <f>+AB11</f>
        <v>0</v>
      </c>
      <c r="AD11" s="21">
        <f>+AC11</f>
        <v>0</v>
      </c>
      <c r="AE11" s="21">
        <f>+AD11</f>
        <v>0</v>
      </c>
      <c r="AF11" s="21">
        <f>+AE11</f>
        <v>0</v>
      </c>
      <c r="AH11" s="98"/>
      <c r="AI11" s="98"/>
    </row>
    <row r="12" spans="1:35">
      <c r="A12" s="6" t="str">
        <f>Balance_Sheet_Qtr!A12</f>
        <v>Total Current Assets</v>
      </c>
      <c r="B12" s="23"/>
      <c r="C12" s="23"/>
      <c r="D12" s="23"/>
      <c r="E12" s="23"/>
      <c r="F12" s="23"/>
      <c r="G12" s="23"/>
      <c r="H12" s="23"/>
      <c r="I12" s="23"/>
      <c r="J12" s="23"/>
      <c r="K12" s="23"/>
      <c r="L12" s="23"/>
      <c r="M12" s="23"/>
      <c r="N12" s="23"/>
      <c r="O12" s="23"/>
      <c r="P12" s="23"/>
      <c r="Q12" s="160"/>
      <c r="R12" s="160"/>
      <c r="S12" s="160"/>
      <c r="T12" s="160"/>
      <c r="U12" s="70"/>
      <c r="V12" s="160"/>
      <c r="W12" s="160"/>
      <c r="X12" s="160">
        <f>Balance_Sheet_Qtr!AO12</f>
        <v>58384</v>
      </c>
      <c r="Y12" s="160">
        <f>Balance_Sheet_Qtr!AT12</f>
        <v>42556</v>
      </c>
      <c r="Z12" s="160">
        <f>Balance_Sheet_Qtr!AY12</f>
        <v>37635</v>
      </c>
      <c r="AA12" s="160">
        <f>Balance_Sheet_Qtr!BD12</f>
        <v>40596</v>
      </c>
      <c r="AB12" s="160">
        <f ca="1">Balance_Sheet_Qtr!BI12</f>
        <v>41139.414113221363</v>
      </c>
      <c r="AC12" s="23">
        <f ca="1">+SUM(AC5:AC11)</f>
        <v>44219.023375680939</v>
      </c>
      <c r="AD12" s="23">
        <f ca="1">+SUM(AD5:AD11)</f>
        <v>46640.951325333546</v>
      </c>
      <c r="AE12" s="23">
        <f ca="1">+SUM(AE5:AE11)</f>
        <v>49134.986551158072</v>
      </c>
      <c r="AF12" s="23">
        <f ca="1">+SUM(AF5:AF11)</f>
        <v>52383.839718870106</v>
      </c>
      <c r="AH12" s="98"/>
      <c r="AI12" s="98"/>
    </row>
    <row r="13" spans="1:35">
      <c r="B13" s="21"/>
      <c r="C13" s="21"/>
      <c r="D13" s="21"/>
      <c r="E13" s="21"/>
      <c r="F13" s="21"/>
      <c r="G13" s="21"/>
      <c r="H13" s="21"/>
      <c r="I13" s="21"/>
      <c r="J13" s="21"/>
      <c r="K13" s="21"/>
      <c r="L13" s="21"/>
      <c r="M13" s="21"/>
      <c r="N13" s="21"/>
      <c r="O13" s="21"/>
      <c r="P13" s="21"/>
      <c r="Q13" s="21"/>
      <c r="R13" s="21"/>
      <c r="S13" s="21"/>
      <c r="T13" s="21"/>
      <c r="U13" s="20"/>
      <c r="V13" s="21"/>
      <c r="W13" s="21"/>
      <c r="X13" s="21"/>
      <c r="Y13" s="21"/>
      <c r="Z13" s="21"/>
      <c r="AA13" s="21"/>
      <c r="AB13" s="21"/>
      <c r="AC13" s="179"/>
      <c r="AD13" s="179"/>
      <c r="AE13" s="179"/>
      <c r="AF13" s="179"/>
      <c r="AH13" s="98"/>
      <c r="AI13" s="98"/>
    </row>
    <row r="14" spans="1:35">
      <c r="A14" s="12" t="str">
        <f>Balance_Sheet_Qtr!A14</f>
        <v>Noncurrent Assets</v>
      </c>
      <c r="B14" s="21"/>
      <c r="C14" s="21"/>
      <c r="D14" s="21"/>
      <c r="E14" s="21"/>
      <c r="F14" s="21"/>
      <c r="G14" s="21"/>
      <c r="H14" s="21"/>
      <c r="I14" s="21"/>
      <c r="J14" s="21"/>
      <c r="K14" s="21"/>
      <c r="L14" s="21"/>
      <c r="M14" s="21"/>
      <c r="N14" s="21"/>
      <c r="O14" s="21"/>
      <c r="P14" s="21"/>
      <c r="Q14" s="21"/>
      <c r="R14" s="21"/>
      <c r="S14" s="21"/>
      <c r="T14" s="21"/>
      <c r="U14" s="20"/>
      <c r="V14" s="21"/>
      <c r="W14" s="21"/>
      <c r="X14" s="21"/>
      <c r="Y14" s="21"/>
      <c r="Z14" s="21"/>
      <c r="AA14" s="21"/>
      <c r="AB14" s="21"/>
      <c r="AC14" s="179"/>
      <c r="AD14" s="179"/>
      <c r="AE14" s="179"/>
      <c r="AF14" s="179"/>
      <c r="AH14" s="98"/>
      <c r="AI14" s="98"/>
    </row>
    <row r="15" spans="1:35">
      <c r="A15" s="1" t="s">
        <v>308</v>
      </c>
      <c r="B15" s="21"/>
      <c r="C15" s="21"/>
      <c r="D15" s="21"/>
      <c r="E15" s="21"/>
      <c r="F15" s="21"/>
      <c r="G15" s="21"/>
      <c r="H15" s="21"/>
      <c r="I15" s="21"/>
      <c r="J15" s="21"/>
      <c r="K15" s="21"/>
      <c r="L15" s="21"/>
      <c r="M15" s="21"/>
      <c r="N15" s="21"/>
      <c r="O15" s="21"/>
      <c r="P15" s="21"/>
      <c r="Q15" s="37"/>
      <c r="R15" s="37"/>
      <c r="S15" s="37"/>
      <c r="T15" s="37"/>
      <c r="U15" s="36"/>
      <c r="V15" s="37"/>
      <c r="W15" s="37"/>
      <c r="X15" s="37">
        <f>Balance_Sheet_Qtr!AO15</f>
        <v>36027</v>
      </c>
      <c r="Y15" s="37">
        <f>Balance_Sheet_Qtr!AT15</f>
        <v>38000</v>
      </c>
      <c r="Z15" s="37">
        <f>Balance_Sheet_Qtr!AY15</f>
        <v>37741</v>
      </c>
      <c r="AA15" s="37">
        <f>Balance_Sheet_Qtr!BD15</f>
        <v>38788</v>
      </c>
      <c r="AB15" s="644">
        <f>Balance_Sheet_Qtr!BI15</f>
        <v>37910</v>
      </c>
      <c r="AC15" s="42">
        <f>AB15</f>
        <v>37910</v>
      </c>
      <c r="AD15" s="42">
        <f>AC15</f>
        <v>37910</v>
      </c>
      <c r="AE15" s="42">
        <f>AD15</f>
        <v>37910</v>
      </c>
      <c r="AF15" s="42">
        <f>AE15</f>
        <v>37910</v>
      </c>
      <c r="AH15" s="98"/>
      <c r="AI15" s="98"/>
    </row>
    <row r="16" spans="1:35">
      <c r="A16" s="1" t="s">
        <v>67</v>
      </c>
      <c r="B16" s="21"/>
      <c r="C16" s="21"/>
      <c r="D16" s="21"/>
      <c r="E16" s="21"/>
      <c r="F16" s="21"/>
      <c r="G16" s="21"/>
      <c r="H16" s="21"/>
      <c r="I16" s="21"/>
      <c r="J16" s="21"/>
      <c r="K16" s="21"/>
      <c r="L16" s="21"/>
      <c r="M16" s="21"/>
      <c r="N16" s="21"/>
      <c r="O16" s="21"/>
      <c r="P16" s="21"/>
      <c r="Q16" s="37"/>
      <c r="R16" s="37"/>
      <c r="S16" s="37"/>
      <c r="T16" s="37"/>
      <c r="U16" s="36"/>
      <c r="V16" s="37"/>
      <c r="W16" s="37"/>
      <c r="X16" s="37">
        <f>Balance_Sheet_Qtr!AO16</f>
        <v>12192</v>
      </c>
      <c r="Y16" s="37">
        <f>Balance_Sheet_Qtr!AT16</f>
        <v>7246</v>
      </c>
      <c r="Z16" s="37">
        <f>Balance_Sheet_Qtr!AY16</f>
        <v>7277</v>
      </c>
      <c r="AA16" s="37">
        <f>Balance_Sheet_Qtr!BD16</f>
        <v>7987</v>
      </c>
      <c r="AB16" s="644">
        <f ca="1">Balance_Sheet_Qtr!BI16</f>
        <v>8651.2617028923996</v>
      </c>
      <c r="AC16" s="200">
        <f ca="1">AB16-Cash_Flow_Annual!AC6-Cash_Flow_Annual!AC30-Cash_Flow_Annual!AC31</f>
        <v>9509.7978542633209</v>
      </c>
      <c r="AD16" s="200">
        <f ca="1">AC16-Cash_Flow_Annual!AD6-Cash_Flow_Annual!AD30-Cash_Flow_Annual!AD31</f>
        <v>10502.318074518036</v>
      </c>
      <c r="AE16" s="200">
        <f ca="1">AD16-Cash_Flow_Annual!AE6-Cash_Flow_Annual!AE30-Cash_Flow_Annual!AE31</f>
        <v>11604.647346258696</v>
      </c>
      <c r="AF16" s="200">
        <f ca="1">AE16-Cash_Flow_Annual!AF6-Cash_Flow_Annual!AF30-Cash_Flow_Annual!AF31</f>
        <v>12836.558604887765</v>
      </c>
      <c r="AH16" s="98"/>
      <c r="AI16" s="98"/>
    </row>
    <row r="17" spans="1:35">
      <c r="A17" s="1" t="s">
        <v>30</v>
      </c>
      <c r="B17" s="42"/>
      <c r="C17" s="42"/>
      <c r="D17" s="42"/>
      <c r="E17" s="42"/>
      <c r="F17" s="42"/>
      <c r="G17" s="42"/>
      <c r="H17" s="42"/>
      <c r="I17" s="42"/>
      <c r="J17" s="42"/>
      <c r="K17" s="42"/>
      <c r="L17" s="42"/>
      <c r="M17" s="42"/>
      <c r="N17" s="42"/>
      <c r="O17" s="42"/>
      <c r="P17" s="42"/>
      <c r="Q17" s="37"/>
      <c r="R17" s="37"/>
      <c r="S17" s="37"/>
      <c r="T17" s="37"/>
      <c r="U17" s="36"/>
      <c r="V17" s="37"/>
      <c r="W17" s="37"/>
      <c r="X17" s="37">
        <f>Balance_Sheet_Qtr!AO17</f>
        <v>12999</v>
      </c>
      <c r="Y17" s="37">
        <f>Balance_Sheet_Qtr!AT17</f>
        <v>8948</v>
      </c>
      <c r="Z17" s="37">
        <f>Balance_Sheet_Qtr!AY17</f>
        <v>8538</v>
      </c>
      <c r="AA17" s="37">
        <f>Balance_Sheet_Qtr!BD17</f>
        <v>9060</v>
      </c>
      <c r="AB17" s="644">
        <f>Balance_Sheet_Qtr!BI17</f>
        <v>8954</v>
      </c>
      <c r="AC17" s="200">
        <f>AB17-SUM(Cash_Flow_Annual!AC32:AC34)</f>
        <v>8954</v>
      </c>
      <c r="AD17" s="200">
        <f>AC17-SUM(Cash_Flow_Annual!AD32:AD34)</f>
        <v>8954</v>
      </c>
      <c r="AE17" s="200">
        <f>AD17-SUM(Cash_Flow_Annual!AE32:AE34)</f>
        <v>8954</v>
      </c>
      <c r="AF17" s="200">
        <f>AE17-SUM(Cash_Flow_Annual!AF32:AF34)</f>
        <v>8954</v>
      </c>
      <c r="AH17" s="98"/>
      <c r="AI17" s="98"/>
    </row>
    <row r="18" spans="1:35">
      <c r="A18" s="1" t="s">
        <v>336</v>
      </c>
      <c r="B18" s="42"/>
      <c r="C18" s="42"/>
      <c r="D18" s="42"/>
      <c r="E18" s="42"/>
      <c r="F18" s="42"/>
      <c r="G18" s="42"/>
      <c r="H18" s="42"/>
      <c r="I18" s="42"/>
      <c r="J18" s="42"/>
      <c r="K18" s="42"/>
      <c r="L18" s="42"/>
      <c r="M18" s="42"/>
      <c r="N18" s="42"/>
      <c r="O18" s="42"/>
      <c r="P18" s="42"/>
      <c r="Q18" s="37"/>
      <c r="R18" s="37"/>
      <c r="S18" s="37"/>
      <c r="T18" s="37"/>
      <c r="U18" s="36"/>
      <c r="V18" s="37"/>
      <c r="W18" s="37"/>
      <c r="X18" s="37">
        <f>Balance_Sheet_Qtr!AO18</f>
        <v>6105</v>
      </c>
      <c r="Y18" s="37">
        <f>Balance_Sheet_Qtr!AT18</f>
        <v>4642</v>
      </c>
      <c r="Z18" s="37">
        <f>Balance_Sheet_Qtr!AY18</f>
        <v>4257</v>
      </c>
      <c r="AA18" s="37">
        <f>Balance_Sheet_Qtr!BD18</f>
        <v>4225</v>
      </c>
      <c r="AB18" s="644">
        <f>Balance_Sheet_Qtr!BI18</f>
        <v>3900</v>
      </c>
      <c r="AC18" s="21">
        <f>AB18-Cash_Flow_Annual!AC7</f>
        <v>3542</v>
      </c>
      <c r="AD18" s="21">
        <f>AC18-Cash_Flow_Annual!AD7</f>
        <v>3184</v>
      </c>
      <c r="AE18" s="21">
        <f>AD18-Cash_Flow_Annual!AE7</f>
        <v>2826</v>
      </c>
      <c r="AF18" s="21">
        <f>AE18-Cash_Flow_Annual!AF7</f>
        <v>2468</v>
      </c>
      <c r="AH18" s="98"/>
      <c r="AI18" s="98"/>
    </row>
    <row r="19" spans="1:35">
      <c r="A19" s="1" t="s">
        <v>337</v>
      </c>
      <c r="B19" s="42"/>
      <c r="C19" s="42"/>
      <c r="D19" s="42"/>
      <c r="E19" s="42"/>
      <c r="F19" s="42"/>
      <c r="G19" s="42"/>
      <c r="H19" s="42"/>
      <c r="I19" s="42"/>
      <c r="J19" s="42"/>
      <c r="K19" s="42"/>
      <c r="L19" s="42"/>
      <c r="M19" s="42"/>
      <c r="N19" s="42"/>
      <c r="O19" s="42"/>
      <c r="P19" s="42"/>
      <c r="Q19" s="37"/>
      <c r="R19" s="37"/>
      <c r="S19" s="37"/>
      <c r="T19" s="37"/>
      <c r="U19" s="36"/>
      <c r="V19" s="37"/>
      <c r="W19" s="37"/>
      <c r="X19" s="37">
        <f>Balance_Sheet_Qtr!AO19</f>
        <v>5776</v>
      </c>
      <c r="Y19" s="37">
        <f>Balance_Sheet_Qtr!AT19</f>
        <v>4785</v>
      </c>
      <c r="Z19" s="37">
        <f>Balance_Sheet_Qtr!AY19</f>
        <v>4831</v>
      </c>
      <c r="AA19" s="37">
        <f>Balance_Sheet_Qtr!BD19</f>
        <v>4920</v>
      </c>
      <c r="AB19" s="644">
        <f>Balance_Sheet_Qtr!BI19</f>
        <v>4976</v>
      </c>
      <c r="AC19" s="42">
        <f>+AB19</f>
        <v>4976</v>
      </c>
      <c r="AD19" s="42">
        <f>+AC19</f>
        <v>4976</v>
      </c>
      <c r="AE19" s="42">
        <f>+AD19</f>
        <v>4976</v>
      </c>
      <c r="AF19" s="42">
        <f>+AE19</f>
        <v>4976</v>
      </c>
      <c r="AH19" s="98"/>
      <c r="AI19" s="98"/>
    </row>
    <row r="20" spans="1:35">
      <c r="A20" s="1" t="s">
        <v>68</v>
      </c>
      <c r="B20" s="42"/>
      <c r="C20" s="42"/>
      <c r="D20" s="42"/>
      <c r="E20" s="42"/>
      <c r="F20" s="42"/>
      <c r="G20" s="42"/>
      <c r="H20" s="42"/>
      <c r="I20" s="42"/>
      <c r="J20" s="42"/>
      <c r="K20" s="42"/>
      <c r="L20" s="42"/>
      <c r="M20" s="42"/>
      <c r="N20" s="42"/>
      <c r="O20" s="42"/>
      <c r="P20" s="42"/>
      <c r="Q20" s="37"/>
      <c r="R20" s="37"/>
      <c r="S20" s="37"/>
      <c r="T20" s="37"/>
      <c r="U20" s="36"/>
      <c r="V20" s="37"/>
      <c r="W20" s="37"/>
      <c r="X20" s="37">
        <f>Balance_Sheet_Qtr!AO20</f>
        <v>15477</v>
      </c>
      <c r="Y20" s="37">
        <f>Balance_Sheet_Qtr!AT20</f>
        <v>11695</v>
      </c>
      <c r="Z20" s="37">
        <f>Balance_Sheet_Qtr!AY20</f>
        <v>13910</v>
      </c>
      <c r="AA20" s="37">
        <f>Balance_Sheet_Qtr!BD20</f>
        <v>15277</v>
      </c>
      <c r="AB20" s="644">
        <f>Balance_Sheet_Qtr!BI20</f>
        <v>15469</v>
      </c>
      <c r="AC20" s="21">
        <f>+AB20-Cash_Flow_Annual!AE36</f>
        <v>15469</v>
      </c>
      <c r="AD20" s="21">
        <f>+AC20-Cash_Flow_Annual!AG36</f>
        <v>15469</v>
      </c>
      <c r="AE20" s="21">
        <f>+AD20-Cash_Flow_Annual!AH36</f>
        <v>15469</v>
      </c>
      <c r="AF20" s="21">
        <f>+AE20-Cash_Flow_Annual!AI36</f>
        <v>15469</v>
      </c>
      <c r="AH20" s="98"/>
      <c r="AI20" s="98"/>
    </row>
    <row r="21" spans="1:35">
      <c r="A21" s="1" t="s">
        <v>50</v>
      </c>
      <c r="B21" s="42"/>
      <c r="C21" s="42"/>
      <c r="D21" s="42"/>
      <c r="E21" s="42"/>
      <c r="F21" s="42"/>
      <c r="G21" s="42"/>
      <c r="H21" s="42"/>
      <c r="I21" s="42"/>
      <c r="J21" s="42"/>
      <c r="K21" s="42"/>
      <c r="L21" s="42"/>
      <c r="M21" s="42"/>
      <c r="N21" s="42"/>
      <c r="O21" s="42"/>
      <c r="P21" s="42"/>
      <c r="Q21" s="37"/>
      <c r="R21" s="37"/>
      <c r="S21" s="37"/>
      <c r="T21" s="37"/>
      <c r="U21" s="36"/>
      <c r="V21" s="37"/>
      <c r="W21" s="37"/>
      <c r="X21" s="37">
        <f>Balance_Sheet_Qtr!AO21</f>
        <v>10001</v>
      </c>
      <c r="Y21" s="37">
        <f>Balance_Sheet_Qtr!AT21</f>
        <v>7502</v>
      </c>
      <c r="Z21" s="37">
        <f>Balance_Sheet_Qtr!AY21</f>
        <v>7111</v>
      </c>
      <c r="AA21" s="37">
        <f>Balance_Sheet_Qtr!BD21</f>
        <v>7459</v>
      </c>
      <c r="AB21" s="644">
        <f>Balance_Sheet_Qtr!BI21</f>
        <v>6946</v>
      </c>
      <c r="AC21" s="71">
        <f>+AB21-Cash_Flow_Annual!AC12-Cash_Flow_Annual!AC13</f>
        <v>6446</v>
      </c>
      <c r="AD21" s="71">
        <f>+AC21-Cash_Flow_Annual!AD12-Cash_Flow_Annual!AD13</f>
        <v>5946</v>
      </c>
      <c r="AE21" s="71">
        <f>+AD21-Cash_Flow_Annual!AE12-Cash_Flow_Annual!AE13</f>
        <v>5446</v>
      </c>
      <c r="AF21" s="71">
        <f>+AE21-Cash_Flow_Annual!AF12-Cash_Flow_Annual!AF13</f>
        <v>4946</v>
      </c>
      <c r="AH21" s="98"/>
      <c r="AI21" s="98"/>
    </row>
    <row r="22" spans="1:35">
      <c r="A22" s="1" t="s">
        <v>335</v>
      </c>
      <c r="B22" s="42"/>
      <c r="C22" s="42"/>
      <c r="D22" s="42"/>
      <c r="E22" s="42"/>
      <c r="F22" s="42"/>
      <c r="G22" s="42"/>
      <c r="H22" s="42"/>
      <c r="I22" s="42"/>
      <c r="J22" s="42"/>
      <c r="K22" s="42"/>
      <c r="L22" s="42"/>
      <c r="M22" s="42"/>
      <c r="N22" s="42"/>
      <c r="O22" s="42"/>
      <c r="P22" s="42"/>
      <c r="Q22" s="37"/>
      <c r="R22" s="37"/>
      <c r="S22" s="37"/>
      <c r="T22" s="37"/>
      <c r="U22" s="36"/>
      <c r="V22" s="37"/>
      <c r="W22" s="37"/>
      <c r="X22" s="37">
        <f>Balance_Sheet_Qtr!AO22</f>
        <v>31890</v>
      </c>
      <c r="Y22" s="37">
        <f>Balance_Sheet_Qtr!AT22</f>
        <v>47926</v>
      </c>
      <c r="Z22" s="37">
        <f>Balance_Sheet_Qtr!AY22</f>
        <v>1840</v>
      </c>
      <c r="AA22" s="37">
        <f>Balance_Sheet_Qtr!BD22</f>
        <v>1857</v>
      </c>
      <c r="AB22" s="644">
        <f>Balance_Sheet_Qtr!BI22</f>
        <v>1517</v>
      </c>
      <c r="AC22" s="42">
        <f t="shared" ref="AC22:AF22" si="0">+AB22</f>
        <v>1517</v>
      </c>
      <c r="AD22" s="42">
        <f t="shared" si="0"/>
        <v>1517</v>
      </c>
      <c r="AE22" s="42">
        <f t="shared" si="0"/>
        <v>1517</v>
      </c>
      <c r="AF22" s="42">
        <f t="shared" si="0"/>
        <v>1517</v>
      </c>
      <c r="AH22" s="98"/>
      <c r="AI22" s="98"/>
    </row>
    <row r="23" spans="1:35">
      <c r="A23" s="6" t="str">
        <f>Balance_Sheet_Qtr!A23</f>
        <v>Total Noncurrent Assets</v>
      </c>
      <c r="B23" s="23"/>
      <c r="C23" s="23"/>
      <c r="D23" s="23"/>
      <c r="E23" s="23"/>
      <c r="F23" s="23"/>
      <c r="G23" s="23"/>
      <c r="H23" s="23"/>
      <c r="I23" s="23"/>
      <c r="J23" s="23"/>
      <c r="K23" s="23"/>
      <c r="L23" s="23"/>
      <c r="M23" s="23"/>
      <c r="N23" s="23"/>
      <c r="O23" s="23"/>
      <c r="P23" s="23"/>
      <c r="Q23" s="160"/>
      <c r="R23" s="160"/>
      <c r="S23" s="160"/>
      <c r="T23" s="160"/>
      <c r="U23" s="70"/>
      <c r="V23" s="160"/>
      <c r="W23" s="160"/>
      <c r="X23" s="160">
        <f>Balance_Sheet_Qtr!AO23</f>
        <v>130467</v>
      </c>
      <c r="Y23" s="160">
        <f>Balance_Sheet_Qtr!AT23</f>
        <v>130744</v>
      </c>
      <c r="Z23" s="160">
        <f>Balance_Sheet_Qtr!AY23</f>
        <v>85505</v>
      </c>
      <c r="AA23" s="160">
        <f>Balance_Sheet_Qtr!BD23</f>
        <v>89573</v>
      </c>
      <c r="AB23" s="160">
        <f ca="1">Balance_Sheet_Qtr!BI23</f>
        <v>88323.2617028924</v>
      </c>
      <c r="AC23" s="23">
        <f ca="1">SUM(AC15:AC22)</f>
        <v>88323.797854263321</v>
      </c>
      <c r="AD23" s="23">
        <f ca="1">SUM(AD15:AD22)</f>
        <v>88458.318074518029</v>
      </c>
      <c r="AE23" s="23">
        <f ca="1">SUM(AE15:AE22)</f>
        <v>88702.647346258687</v>
      </c>
      <c r="AF23" s="23">
        <f ca="1">SUM(AF15:AF22)</f>
        <v>89076.558604887774</v>
      </c>
      <c r="AH23" s="98"/>
      <c r="AI23" s="98"/>
    </row>
    <row r="24" spans="1:35">
      <c r="B24" s="21"/>
      <c r="C24" s="21"/>
      <c r="D24" s="21"/>
      <c r="E24" s="21"/>
      <c r="F24" s="21"/>
      <c r="G24" s="21"/>
      <c r="H24" s="21"/>
      <c r="I24" s="21"/>
      <c r="J24" s="21"/>
      <c r="K24" s="21"/>
      <c r="L24" s="21"/>
      <c r="M24" s="21"/>
      <c r="N24" s="21"/>
      <c r="O24" s="21"/>
      <c r="P24" s="21"/>
      <c r="Q24" s="21"/>
      <c r="R24" s="21"/>
      <c r="S24" s="21"/>
      <c r="T24" s="21"/>
      <c r="U24" s="20"/>
      <c r="V24" s="21"/>
      <c r="W24" s="21"/>
      <c r="X24" s="21"/>
      <c r="Y24" s="21"/>
      <c r="Z24" s="21"/>
      <c r="AA24" s="21"/>
      <c r="AB24" s="21"/>
      <c r="AC24" s="21"/>
      <c r="AD24" s="21"/>
      <c r="AE24" s="21"/>
      <c r="AF24" s="21"/>
      <c r="AH24" s="98"/>
      <c r="AI24" s="98"/>
    </row>
    <row r="25" spans="1:35">
      <c r="A25" s="6" t="str">
        <f>Balance_Sheet_Qtr!A25</f>
        <v>Total Assets</v>
      </c>
      <c r="B25" s="23"/>
      <c r="C25" s="23"/>
      <c r="D25" s="23"/>
      <c r="E25" s="23"/>
      <c r="F25" s="23"/>
      <c r="G25" s="23"/>
      <c r="H25" s="23"/>
      <c r="I25" s="23"/>
      <c r="J25" s="23"/>
      <c r="K25" s="23"/>
      <c r="L25" s="23"/>
      <c r="M25" s="23"/>
      <c r="N25" s="23"/>
      <c r="O25" s="23"/>
      <c r="P25" s="23"/>
      <c r="Q25" s="160"/>
      <c r="R25" s="160"/>
      <c r="S25" s="160"/>
      <c r="T25" s="160"/>
      <c r="U25" s="70"/>
      <c r="V25" s="160"/>
      <c r="W25" s="160"/>
      <c r="X25" s="160">
        <f>Balance_Sheet_Qtr!AO25</f>
        <v>188851</v>
      </c>
      <c r="Y25" s="160">
        <f>Balance_Sheet_Qtr!AT25</f>
        <v>173300</v>
      </c>
      <c r="Z25" s="160">
        <f>Balance_Sheet_Qtr!AY25</f>
        <v>123140</v>
      </c>
      <c r="AA25" s="160">
        <f>Balance_Sheet_Qtr!BD25</f>
        <v>130169</v>
      </c>
      <c r="AB25" s="160">
        <f ca="1">Balance_Sheet_Qtr!BI25</f>
        <v>129462.67581611377</v>
      </c>
      <c r="AC25" s="23">
        <f ca="1">+AC23+AC12</f>
        <v>132542.82122994427</v>
      </c>
      <c r="AD25" s="23">
        <f ca="1">+AD23+AD12</f>
        <v>135099.26939985156</v>
      </c>
      <c r="AE25" s="23">
        <f ca="1">+AE23+AE12</f>
        <v>137837.63389741676</v>
      </c>
      <c r="AF25" s="23">
        <f ca="1">+AF23+AF12</f>
        <v>141460.39832375787</v>
      </c>
      <c r="AH25" s="98"/>
      <c r="AI25" s="98"/>
    </row>
    <row r="26" spans="1:35">
      <c r="B26" s="21"/>
      <c r="C26" s="21"/>
      <c r="D26" s="21"/>
      <c r="E26" s="21"/>
      <c r="F26" s="21"/>
      <c r="G26" s="21"/>
      <c r="H26" s="21"/>
      <c r="I26" s="21"/>
      <c r="J26" s="21"/>
      <c r="K26" s="21"/>
      <c r="L26" s="21"/>
      <c r="M26" s="21"/>
      <c r="N26" s="21"/>
      <c r="O26" s="21"/>
      <c r="P26" s="21"/>
      <c r="Q26" s="21"/>
      <c r="R26" s="21"/>
      <c r="S26" s="21"/>
      <c r="T26" s="21"/>
      <c r="U26" s="20"/>
      <c r="V26" s="21"/>
      <c r="W26" s="21"/>
      <c r="X26" s="21"/>
      <c r="Y26" s="21"/>
      <c r="Z26" s="21"/>
      <c r="AA26" s="21"/>
      <c r="AB26" s="21"/>
      <c r="AC26" s="179"/>
      <c r="AD26" s="179"/>
      <c r="AE26" s="179"/>
      <c r="AF26" s="179"/>
      <c r="AH26" s="98"/>
      <c r="AI26" s="98"/>
    </row>
    <row r="27" spans="1:35">
      <c r="A27" s="4" t="str">
        <f>Balance_Sheet_Qtr!A27</f>
        <v>Liabilities</v>
      </c>
      <c r="B27" s="21"/>
      <c r="C27" s="21"/>
      <c r="D27" s="21"/>
      <c r="E27" s="21"/>
      <c r="F27" s="21"/>
      <c r="G27" s="21"/>
      <c r="H27" s="21"/>
      <c r="I27" s="21"/>
      <c r="J27" s="21"/>
      <c r="K27" s="21"/>
      <c r="L27" s="21"/>
      <c r="M27" s="21"/>
      <c r="N27" s="21"/>
      <c r="O27" s="21"/>
      <c r="P27" s="21"/>
      <c r="Q27" s="21"/>
      <c r="R27" s="21"/>
      <c r="S27" s="21"/>
      <c r="T27" s="21"/>
      <c r="U27" s="20"/>
      <c r="V27" s="21"/>
      <c r="W27" s="21"/>
      <c r="X27" s="21"/>
      <c r="Y27" s="21"/>
      <c r="Z27" s="21"/>
      <c r="AA27" s="21"/>
      <c r="AB27" s="21"/>
      <c r="AC27" s="179"/>
      <c r="AD27" s="179"/>
      <c r="AE27" s="179"/>
      <c r="AF27" s="179"/>
      <c r="AH27" s="98"/>
      <c r="AI27" s="98"/>
    </row>
    <row r="28" spans="1:35">
      <c r="A28" t="s">
        <v>71</v>
      </c>
      <c r="B28" s="21"/>
      <c r="C28" s="21"/>
      <c r="D28" s="21"/>
      <c r="E28" s="21"/>
      <c r="F28" s="21"/>
      <c r="G28" s="21"/>
      <c r="H28" s="21"/>
      <c r="I28" s="21"/>
      <c r="J28" s="21"/>
      <c r="K28" s="21"/>
      <c r="L28" s="21"/>
      <c r="M28" s="21"/>
      <c r="N28" s="21"/>
      <c r="O28" s="21"/>
      <c r="P28" s="21"/>
      <c r="Q28" s="21"/>
      <c r="R28" s="21"/>
      <c r="S28" s="21"/>
      <c r="T28" s="21"/>
      <c r="U28" s="20"/>
      <c r="V28" s="21"/>
      <c r="W28" s="21"/>
      <c r="X28" s="21"/>
      <c r="Y28" s="21"/>
      <c r="Z28" s="21"/>
      <c r="AA28" s="21"/>
      <c r="AB28" s="21"/>
      <c r="AC28" s="179"/>
      <c r="AD28" s="179"/>
      <c r="AE28" s="179"/>
      <c r="AF28" s="179"/>
      <c r="AH28" s="98"/>
      <c r="AI28" s="98"/>
    </row>
    <row r="29" spans="1:35">
      <c r="A29" s="1" t="s">
        <v>189</v>
      </c>
      <c r="B29" s="21"/>
      <c r="C29" s="21"/>
      <c r="D29" s="21"/>
      <c r="E29" s="21"/>
      <c r="F29" s="21"/>
      <c r="G29" s="21"/>
      <c r="H29" s="21"/>
      <c r="I29" s="21"/>
      <c r="J29" s="21"/>
      <c r="K29" s="21"/>
      <c r="L29" s="21"/>
      <c r="M29" s="21"/>
      <c r="N29" s="21"/>
      <c r="O29" s="21"/>
      <c r="P29" s="21"/>
      <c r="Q29" s="37"/>
      <c r="R29" s="37"/>
      <c r="S29" s="37"/>
      <c r="T29" s="37"/>
      <c r="U29" s="36"/>
      <c r="V29" s="37"/>
      <c r="W29" s="37"/>
      <c r="X29" s="37">
        <f>Balance_Sheet_Qtr!AO29</f>
        <v>3739</v>
      </c>
      <c r="Y29" s="37">
        <f>Balance_Sheet_Qtr!AT29</f>
        <v>1108</v>
      </c>
      <c r="Z29" s="37">
        <f>Balance_Sheet_Qtr!AY29</f>
        <v>2039</v>
      </c>
      <c r="AA29" s="37">
        <f>Balance_Sheet_Qtr!BD29</f>
        <v>1686</v>
      </c>
      <c r="AB29" s="644">
        <f>Balance_Sheet_Qtr!BI29</f>
        <v>2000</v>
      </c>
      <c r="AC29" s="37">
        <f>+Debt_Annual!AC13</f>
        <v>2000</v>
      </c>
      <c r="AD29" s="37">
        <f>+Debt_Annual!AD13</f>
        <v>2000</v>
      </c>
      <c r="AE29" s="37">
        <f>+Debt_Annual!AE13</f>
        <v>2000</v>
      </c>
      <c r="AF29" s="37">
        <f>+Debt_Annual!AF13</f>
        <v>2000</v>
      </c>
      <c r="AH29" s="98"/>
      <c r="AI29" s="98"/>
    </row>
    <row r="30" spans="1:35">
      <c r="A30" s="1" t="s">
        <v>54</v>
      </c>
      <c r="B30" s="42"/>
      <c r="C30" s="42"/>
      <c r="D30" s="42"/>
      <c r="E30" s="42"/>
      <c r="F30" s="42"/>
      <c r="G30" s="42"/>
      <c r="H30" s="42"/>
      <c r="I30" s="42"/>
      <c r="J30" s="42"/>
      <c r="K30" s="42"/>
      <c r="L30" s="42"/>
      <c r="M30" s="42"/>
      <c r="N30" s="42"/>
      <c r="O30" s="42"/>
      <c r="P30" s="42"/>
      <c r="Q30" s="37"/>
      <c r="R30" s="37"/>
      <c r="S30" s="37"/>
      <c r="T30" s="37"/>
      <c r="U30" s="36"/>
      <c r="V30" s="37"/>
      <c r="W30" s="37"/>
      <c r="X30" s="37">
        <f>Balance_Sheet_Qtr!AO30</f>
        <v>15399</v>
      </c>
      <c r="Y30" s="37">
        <f>Balance_Sheet_Qtr!AT30</f>
        <v>7516</v>
      </c>
      <c r="Z30" s="37">
        <f>Balance_Sheet_Qtr!AY30</f>
        <v>7909</v>
      </c>
      <c r="AA30" s="37">
        <f>Balance_Sheet_Qtr!BD30</f>
        <v>10078</v>
      </c>
      <c r="AB30" s="644">
        <f>Balance_Sheet_Qtr!BI30</f>
        <v>11477.930709782861</v>
      </c>
      <c r="AC30" s="21">
        <f>AC67*(-ProForma_IS_Annual!AC81/(365))</f>
        <v>12989.46532617652</v>
      </c>
      <c r="AD30" s="21">
        <f>AD67*(-ProForma_IS_Annual!AD81/(365))</f>
        <v>13718.293917845222</v>
      </c>
      <c r="AE30" s="21">
        <f>AE67*(-ProForma_IS_Annual!AE81/(365))</f>
        <v>14383.926935205505</v>
      </c>
      <c r="AF30" s="21">
        <f>AF67*(-ProForma_IS_Annual!AF81/(365))</f>
        <v>15255.034501991966</v>
      </c>
      <c r="AH30" s="98"/>
      <c r="AI30" s="98"/>
    </row>
    <row r="31" spans="1:35">
      <c r="A31" s="1" t="s">
        <v>338</v>
      </c>
      <c r="B31" s="42"/>
      <c r="C31" s="42"/>
      <c r="D31" s="42"/>
      <c r="E31" s="42"/>
      <c r="F31" s="42"/>
      <c r="G31" s="42"/>
      <c r="H31" s="42"/>
      <c r="I31" s="42"/>
      <c r="J31" s="42"/>
      <c r="K31" s="42"/>
      <c r="L31" s="42"/>
      <c r="M31" s="42"/>
      <c r="N31" s="42"/>
      <c r="O31" s="42"/>
      <c r="P31" s="42"/>
      <c r="Q31" s="37"/>
      <c r="R31" s="37"/>
      <c r="S31" s="37"/>
      <c r="T31" s="37"/>
      <c r="U31" s="36"/>
      <c r="V31" s="37"/>
      <c r="W31" s="37"/>
      <c r="X31" s="37">
        <f>Balance_Sheet_Qtr!AO31</f>
        <v>16216</v>
      </c>
      <c r="Y31" s="37">
        <f>Balance_Sheet_Qtr!AT31</f>
        <v>6177</v>
      </c>
      <c r="Z31" s="37">
        <f>Balance_Sheet_Qtr!AY31</f>
        <v>6695</v>
      </c>
      <c r="AA31" s="37">
        <f>Balance_Sheet_Qtr!BD31</f>
        <v>7662</v>
      </c>
      <c r="AB31" s="644">
        <f>Balance_Sheet_Qtr!BI31</f>
        <v>8306</v>
      </c>
      <c r="AC31" s="21">
        <f>+AB31+Cash_Flow_Annual!AC20</f>
        <v>8956</v>
      </c>
      <c r="AD31" s="21">
        <f>+AC31+Cash_Flow_Annual!AD20</f>
        <v>9606</v>
      </c>
      <c r="AE31" s="21">
        <f>+AD31+Cash_Flow_Annual!AE20</f>
        <v>10256</v>
      </c>
      <c r="AF31" s="21">
        <f>+AE31+Cash_Flow_Annual!AF20</f>
        <v>10906</v>
      </c>
      <c r="AH31" s="98"/>
      <c r="AI31" s="98"/>
    </row>
    <row r="32" spans="1:35">
      <c r="A32" s="1" t="s">
        <v>476</v>
      </c>
      <c r="B32" s="42"/>
      <c r="C32" s="42"/>
      <c r="D32" s="42"/>
      <c r="E32" s="42"/>
      <c r="F32" s="42"/>
      <c r="G32" s="42"/>
      <c r="H32" s="42"/>
      <c r="I32" s="42"/>
      <c r="J32" s="42"/>
      <c r="K32" s="42"/>
      <c r="L32" s="42"/>
      <c r="M32" s="42"/>
      <c r="N32" s="42"/>
      <c r="O32" s="42"/>
      <c r="P32" s="42"/>
      <c r="Q32" s="37"/>
      <c r="R32" s="37"/>
      <c r="S32" s="37"/>
      <c r="T32" s="37"/>
      <c r="U32" s="36"/>
      <c r="V32" s="37"/>
      <c r="W32" s="37"/>
      <c r="X32" s="37"/>
      <c r="Y32" s="37">
        <f>Balance_Sheet_Qtr!AS32</f>
        <v>8322</v>
      </c>
      <c r="Z32" s="37">
        <f>Balance_Sheet_Qtr!AY32</f>
        <v>9353</v>
      </c>
      <c r="AA32" s="37">
        <f>Balance_Sheet_Qtr!BD32</f>
        <v>10333</v>
      </c>
      <c r="AB32" s="644">
        <f>Balance_Sheet_Qtr!BI32</f>
        <v>10747.642201237251</v>
      </c>
      <c r="AC32" s="21">
        <f>AC69*(ProForma_IS_Annual!AC15/(365))</f>
        <v>11343.102735090251</v>
      </c>
      <c r="AD32" s="21">
        <f>AD69*(ProForma_IS_Annual!AD15/(365))</f>
        <v>11953.843791600142</v>
      </c>
      <c r="AE32" s="21">
        <f>AE69*(ProForma_IS_Annual!AE15/(365))</f>
        <v>12363.555697456262</v>
      </c>
      <c r="AF32" s="21">
        <f>AF69*(ProForma_IS_Annual!AF15/(365))</f>
        <v>12798.641224372859</v>
      </c>
      <c r="AH32" s="98"/>
      <c r="AI32" s="98"/>
    </row>
    <row r="33" spans="1:35">
      <c r="A33" s="1" t="s">
        <v>477</v>
      </c>
      <c r="B33" s="42"/>
      <c r="C33" s="42"/>
      <c r="D33" s="42"/>
      <c r="E33" s="42"/>
      <c r="F33" s="42"/>
      <c r="G33" s="42"/>
      <c r="H33" s="42"/>
      <c r="I33" s="42"/>
      <c r="J33" s="42"/>
      <c r="K33" s="42"/>
      <c r="L33" s="42"/>
      <c r="M33" s="42"/>
      <c r="N33" s="42"/>
      <c r="O33" s="42"/>
      <c r="P33" s="42"/>
      <c r="Q33" s="37"/>
      <c r="R33" s="37"/>
      <c r="S33" s="37"/>
      <c r="T33" s="37"/>
      <c r="U33" s="36"/>
      <c r="V33" s="37"/>
      <c r="W33" s="37"/>
      <c r="X33" s="37"/>
      <c r="Y33" s="37">
        <f>Balance_Sheet_Qtr!AS33</f>
        <v>3741</v>
      </c>
      <c r="Z33" s="37">
        <f>Balance_Sheet_Qtr!AY33</f>
        <v>3475</v>
      </c>
      <c r="AA33" s="37">
        <f>Balance_Sheet_Qtr!BD33</f>
        <v>4037</v>
      </c>
      <c r="AB33" s="644">
        <f>Balance_Sheet_Qtr!BI33</f>
        <v>4743</v>
      </c>
      <c r="AC33" s="21">
        <f ca="1">+AB33+Cash_Flow_Annual!AC21</f>
        <v>4743</v>
      </c>
      <c r="AD33" s="21">
        <f ca="1">+AC33+Cash_Flow_Annual!AD21</f>
        <v>4743</v>
      </c>
      <c r="AE33" s="21">
        <f ca="1">+AD33+Cash_Flow_Annual!AE21</f>
        <v>4743</v>
      </c>
      <c r="AF33" s="21">
        <f ca="1">+AE33+Cash_Flow_Annual!AF21</f>
        <v>4743</v>
      </c>
      <c r="AH33" s="98"/>
      <c r="AI33" s="98"/>
    </row>
    <row r="34" spans="1:35">
      <c r="A34" s="1" t="s">
        <v>339</v>
      </c>
      <c r="B34" s="42"/>
      <c r="C34" s="42"/>
      <c r="D34" s="42"/>
      <c r="E34" s="42"/>
      <c r="F34" s="42"/>
      <c r="G34" s="42"/>
      <c r="H34" s="42"/>
      <c r="I34" s="42"/>
      <c r="J34" s="42"/>
      <c r="K34" s="42"/>
      <c r="L34" s="42"/>
      <c r="M34" s="42"/>
      <c r="N34" s="42"/>
      <c r="O34" s="42"/>
      <c r="P34" s="42"/>
      <c r="Q34" s="37"/>
      <c r="R34" s="37"/>
      <c r="S34" s="37"/>
      <c r="T34" s="37"/>
      <c r="U34" s="36"/>
      <c r="V34" s="37"/>
      <c r="W34" s="37"/>
      <c r="X34" s="37">
        <f>Balance_Sheet_Qtr!AO34</f>
        <v>12130</v>
      </c>
      <c r="Y34" s="37">
        <f>Balance_Sheet_Qtr!AT34</f>
        <v>4860</v>
      </c>
      <c r="Z34" s="37">
        <f>Balance_Sheet_Qtr!AY34</f>
        <v>4921</v>
      </c>
      <c r="AA34" s="37">
        <f>Balance_Sheet_Qtr!BD34</f>
        <v>5184</v>
      </c>
      <c r="AB34" s="644">
        <f>Balance_Sheet_Qtr!BI34</f>
        <v>4519</v>
      </c>
      <c r="AC34" s="42">
        <f t="shared" ref="AC34:AF35" si="1">AB34</f>
        <v>4519</v>
      </c>
      <c r="AD34" s="42">
        <f t="shared" si="1"/>
        <v>4519</v>
      </c>
      <c r="AE34" s="42">
        <f t="shared" si="1"/>
        <v>4519</v>
      </c>
      <c r="AF34" s="42">
        <f t="shared" si="1"/>
        <v>4519</v>
      </c>
      <c r="AH34" s="98"/>
      <c r="AI34" s="98"/>
    </row>
    <row r="35" spans="1:35">
      <c r="A35" s="1" t="s">
        <v>340</v>
      </c>
      <c r="B35" s="42"/>
      <c r="C35" s="42"/>
      <c r="D35" s="42"/>
      <c r="E35" s="42"/>
      <c r="F35" s="42"/>
      <c r="G35" s="42"/>
      <c r="H35" s="42"/>
      <c r="I35" s="42"/>
      <c r="J35" s="42"/>
      <c r="K35" s="42"/>
      <c r="L35" s="42"/>
      <c r="M35" s="42"/>
      <c r="N35" s="42"/>
      <c r="O35" s="42"/>
      <c r="P35" s="42"/>
      <c r="Q35" s="37"/>
      <c r="R35" s="37"/>
      <c r="S35" s="37"/>
      <c r="T35" s="37"/>
      <c r="U35" s="36"/>
      <c r="V35" s="37"/>
      <c r="W35" s="37"/>
      <c r="X35" s="37">
        <f>Balance_Sheet_Qtr!AO35</f>
        <v>1944</v>
      </c>
      <c r="Y35" s="37">
        <f>Balance_Sheet_Qtr!AT35</f>
        <v>379</v>
      </c>
      <c r="Z35" s="37">
        <f>Balance_Sheet_Qtr!AY35</f>
        <v>0</v>
      </c>
      <c r="AA35" s="37">
        <f>Balance_Sheet_Qtr!BD35</f>
        <v>0</v>
      </c>
      <c r="AB35" s="644">
        <f>Balance_Sheet_Qtr!BI35</f>
        <v>0</v>
      </c>
      <c r="AC35" s="42">
        <f t="shared" si="1"/>
        <v>0</v>
      </c>
      <c r="AD35" s="42">
        <f t="shared" si="1"/>
        <v>0</v>
      </c>
      <c r="AE35" s="42">
        <f t="shared" si="1"/>
        <v>0</v>
      </c>
      <c r="AF35" s="42">
        <f t="shared" si="1"/>
        <v>0</v>
      </c>
      <c r="AH35" s="98"/>
      <c r="AI35" s="98"/>
    </row>
    <row r="36" spans="1:35">
      <c r="A36" s="6" t="str">
        <f>Balance_Sheet_Qtr!A36</f>
        <v>Total Current Liabilities</v>
      </c>
      <c r="B36" s="23"/>
      <c r="C36" s="23"/>
      <c r="D36" s="23"/>
      <c r="E36" s="23"/>
      <c r="F36" s="23"/>
      <c r="G36" s="23"/>
      <c r="H36" s="23"/>
      <c r="I36" s="23"/>
      <c r="J36" s="23"/>
      <c r="K36" s="23"/>
      <c r="L36" s="23"/>
      <c r="M36" s="23"/>
      <c r="N36" s="23"/>
      <c r="O36" s="23"/>
      <c r="P36" s="23"/>
      <c r="Q36" s="160"/>
      <c r="R36" s="160"/>
      <c r="S36" s="160"/>
      <c r="T36" s="160"/>
      <c r="U36" s="70"/>
      <c r="V36" s="160"/>
      <c r="W36" s="160"/>
      <c r="X36" s="160">
        <f>Balance_Sheet_Qtr!AO36</f>
        <v>49428</v>
      </c>
      <c r="Y36" s="160">
        <f>Balance_Sheet_Qtr!AT36</f>
        <v>32103</v>
      </c>
      <c r="Z36" s="160">
        <f>Balance_Sheet_Qtr!AY36</f>
        <v>34392</v>
      </c>
      <c r="AA36" s="160">
        <f>Balance_Sheet_Qtr!BD36</f>
        <v>38980</v>
      </c>
      <c r="AB36" s="160">
        <f>Balance_Sheet_Qtr!BI36</f>
        <v>41793.572911020114</v>
      </c>
      <c r="AC36" s="23">
        <f ca="1">SUM(AC29:AC35)</f>
        <v>44550.568061266771</v>
      </c>
      <c r="AD36" s="23">
        <f ca="1">SUM(AD29:AD35)</f>
        <v>46540.137709445364</v>
      </c>
      <c r="AE36" s="23">
        <f ca="1">SUM(AE29:AE35)</f>
        <v>48265.482632661769</v>
      </c>
      <c r="AF36" s="23">
        <f ca="1">SUM(AF29:AF35)</f>
        <v>50221.675726364825</v>
      </c>
      <c r="AH36" s="98"/>
      <c r="AI36" s="98"/>
    </row>
    <row r="37" spans="1:35">
      <c r="B37" s="21"/>
      <c r="C37" s="21"/>
      <c r="D37" s="21"/>
      <c r="E37" s="21"/>
      <c r="F37" s="21"/>
      <c r="G37" s="21"/>
      <c r="H37" s="21"/>
      <c r="I37" s="21"/>
      <c r="J37" s="21"/>
      <c r="K37" s="21"/>
      <c r="L37" s="21"/>
      <c r="M37" s="21"/>
      <c r="N37" s="21"/>
      <c r="O37" s="21"/>
      <c r="P37" s="21"/>
      <c r="Q37" s="21"/>
      <c r="R37" s="21"/>
      <c r="S37" s="21"/>
      <c r="T37" s="21"/>
      <c r="U37" s="20"/>
      <c r="V37" s="21"/>
      <c r="W37" s="21"/>
      <c r="X37" s="21"/>
      <c r="Y37" s="21"/>
      <c r="Z37" s="21"/>
      <c r="AA37" s="21"/>
      <c r="AB37" s="21"/>
      <c r="AC37" s="179"/>
      <c r="AD37" s="179"/>
      <c r="AE37" s="179"/>
      <c r="AF37" s="179"/>
      <c r="AH37" s="98"/>
      <c r="AI37" s="98"/>
    </row>
    <row r="38" spans="1:35">
      <c r="A38" s="12" t="str">
        <f>Balance_Sheet_Qtr!A38</f>
        <v>Noncurrent Liabilities</v>
      </c>
      <c r="B38" s="21"/>
      <c r="C38" s="21"/>
      <c r="D38" s="21"/>
      <c r="E38" s="21"/>
      <c r="F38" s="21"/>
      <c r="G38" s="21"/>
      <c r="H38" s="21"/>
      <c r="I38" s="21"/>
      <c r="J38" s="21"/>
      <c r="K38" s="21"/>
      <c r="L38" s="21"/>
      <c r="M38" s="21"/>
      <c r="N38" s="21"/>
      <c r="O38" s="21"/>
      <c r="P38" s="21"/>
      <c r="Q38" s="21"/>
      <c r="R38" s="21"/>
      <c r="S38" s="21"/>
      <c r="T38" s="21"/>
      <c r="U38" s="20"/>
      <c r="V38" s="21"/>
      <c r="W38" s="21"/>
      <c r="X38" s="21"/>
      <c r="Y38" s="21"/>
      <c r="Z38" s="21"/>
      <c r="AA38" s="21"/>
      <c r="AB38" s="21"/>
      <c r="AC38" s="179"/>
      <c r="AD38" s="179"/>
      <c r="AE38" s="179"/>
      <c r="AF38" s="179"/>
      <c r="AH38" s="98"/>
      <c r="AI38" s="98"/>
    </row>
    <row r="39" spans="1:35">
      <c r="A39" s="1" t="s">
        <v>341</v>
      </c>
      <c r="B39" s="42"/>
      <c r="C39" s="42"/>
      <c r="D39" s="42"/>
      <c r="E39" s="42"/>
      <c r="F39" s="42"/>
      <c r="G39" s="42"/>
      <c r="H39" s="42"/>
      <c r="I39" s="42"/>
      <c r="J39" s="42"/>
      <c r="K39" s="42"/>
      <c r="L39" s="42"/>
      <c r="M39" s="42"/>
      <c r="N39" s="42"/>
      <c r="O39" s="42"/>
      <c r="P39" s="42"/>
      <c r="Q39" s="37"/>
      <c r="R39" s="37"/>
      <c r="S39" s="37"/>
      <c r="T39" s="37"/>
      <c r="U39" s="36"/>
      <c r="V39" s="37"/>
      <c r="W39" s="37"/>
      <c r="X39" s="37">
        <f>Balance_Sheet_Qtr!AO39</f>
        <v>1409</v>
      </c>
      <c r="Y39" s="37">
        <f>Balance_Sheet_Qtr!AT39</f>
        <v>975</v>
      </c>
      <c r="Z39" s="37">
        <f>Balance_Sheet_Qtr!AY39</f>
        <v>1013</v>
      </c>
      <c r="AA39" s="37">
        <f>Balance_Sheet_Qtr!BD39</f>
        <v>1065</v>
      </c>
      <c r="AB39" s="644">
        <f>Balance_Sheet_Qtr!BI39</f>
        <v>1070</v>
      </c>
      <c r="AC39" s="42">
        <f>AB39</f>
        <v>1070</v>
      </c>
      <c r="AD39" s="42">
        <f>AC39</f>
        <v>1070</v>
      </c>
      <c r="AE39" s="42">
        <f>AD39</f>
        <v>1070</v>
      </c>
      <c r="AF39" s="42">
        <f>AE39</f>
        <v>1070</v>
      </c>
      <c r="AH39" s="98"/>
      <c r="AI39" s="98"/>
    </row>
    <row r="40" spans="1:35">
      <c r="A40" s="1" t="s">
        <v>74</v>
      </c>
      <c r="B40" s="42"/>
      <c r="C40" s="42"/>
      <c r="D40" s="42"/>
      <c r="E40" s="42"/>
      <c r="F40" s="42"/>
      <c r="G40" s="42"/>
      <c r="H40" s="42"/>
      <c r="I40" s="42"/>
      <c r="J40" s="42"/>
      <c r="K40" s="42"/>
      <c r="L40" s="42"/>
      <c r="M40" s="42"/>
      <c r="N40" s="42"/>
      <c r="O40" s="42"/>
      <c r="P40" s="42"/>
      <c r="Q40" s="37"/>
      <c r="R40" s="37"/>
      <c r="S40" s="37"/>
      <c r="T40" s="37"/>
      <c r="U40" s="36"/>
      <c r="V40" s="37"/>
      <c r="W40" s="37"/>
      <c r="X40" s="37">
        <f>Balance_Sheet_Qtr!AO40</f>
        <v>20320</v>
      </c>
      <c r="Y40" s="37">
        <f>Balance_Sheet_Qtr!AT40</f>
        <v>19417</v>
      </c>
      <c r="Z40" s="37">
        <f>Balance_Sheet_Qtr!AY40</f>
        <v>17234</v>
      </c>
      <c r="AA40" s="37">
        <f>Balance_Sheet_Qtr!BD40</f>
        <v>18808</v>
      </c>
      <c r="AB40" s="644">
        <f>Balance_Sheet_Qtr!BI40</f>
        <v>17157</v>
      </c>
      <c r="AC40" s="303">
        <f>+Debt_Annual!AC22</f>
        <v>17157</v>
      </c>
      <c r="AD40" s="303">
        <f>+Debt_Annual!AD22</f>
        <v>17157</v>
      </c>
      <c r="AE40" s="303">
        <f>+Debt_Annual!AE22</f>
        <v>17157</v>
      </c>
      <c r="AF40" s="303">
        <f>+Debt_Annual!AF22</f>
        <v>17157</v>
      </c>
      <c r="AH40" s="98"/>
      <c r="AI40" s="98"/>
    </row>
    <row r="41" spans="1:35">
      <c r="A41" s="1" t="s">
        <v>342</v>
      </c>
      <c r="B41" s="42"/>
      <c r="C41" s="42"/>
      <c r="D41" s="42"/>
      <c r="E41" s="42"/>
      <c r="F41" s="42"/>
      <c r="G41" s="42"/>
      <c r="H41" s="42"/>
      <c r="I41" s="42"/>
      <c r="J41" s="42"/>
      <c r="K41" s="42"/>
      <c r="L41" s="42"/>
      <c r="M41" s="42"/>
      <c r="N41" s="42"/>
      <c r="O41" s="42"/>
      <c r="P41" s="42"/>
      <c r="Q41" s="37"/>
      <c r="R41" s="37"/>
      <c r="S41" s="37"/>
      <c r="T41" s="37"/>
      <c r="U41" s="36"/>
      <c r="V41" s="37"/>
      <c r="W41" s="37"/>
      <c r="X41" s="37">
        <f>Balance_Sheet_Qtr!AO41</f>
        <v>36845</v>
      </c>
      <c r="Y41" s="37">
        <f>Balance_Sheet_Qtr!AT41</f>
        <v>39624</v>
      </c>
      <c r="Z41" s="37">
        <f>Balance_Sheet_Qtr!AY41</f>
        <v>36209</v>
      </c>
      <c r="AA41" s="37">
        <f>Balance_Sheet_Qtr!BD41</f>
        <v>36894</v>
      </c>
      <c r="AB41" s="644">
        <f>Balance_Sheet_Qtr!BI41</f>
        <v>36195</v>
      </c>
      <c r="AC41" s="21">
        <f t="shared" ref="AC41:AF44" si="2">+AB41</f>
        <v>36195</v>
      </c>
      <c r="AD41" s="21">
        <f t="shared" si="2"/>
        <v>36195</v>
      </c>
      <c r="AE41" s="21">
        <f t="shared" si="2"/>
        <v>36195</v>
      </c>
      <c r="AF41" s="21">
        <f t="shared" si="2"/>
        <v>36195</v>
      </c>
      <c r="AH41" s="98"/>
      <c r="AI41" s="98"/>
    </row>
    <row r="42" spans="1:35">
      <c r="A42" s="1" t="s">
        <v>343</v>
      </c>
      <c r="B42" s="42"/>
      <c r="C42" s="42"/>
      <c r="D42" s="42"/>
      <c r="E42" s="42"/>
      <c r="F42" s="42"/>
      <c r="G42" s="42"/>
      <c r="H42" s="42"/>
      <c r="I42" s="42"/>
      <c r="J42" s="42"/>
      <c r="K42" s="42"/>
      <c r="L42" s="42"/>
      <c r="M42" s="42"/>
      <c r="N42" s="42"/>
      <c r="O42" s="42"/>
      <c r="P42" s="42"/>
      <c r="Q42" s="37"/>
      <c r="R42" s="37"/>
      <c r="S42" s="37"/>
      <c r="T42" s="37"/>
      <c r="U42" s="36"/>
      <c r="V42" s="37"/>
      <c r="W42" s="37"/>
      <c r="X42" s="37">
        <f>Balance_Sheet_Qtr!AO42</f>
        <v>10400</v>
      </c>
      <c r="Y42" s="37">
        <f>Balance_Sheet_Qtr!AT42</f>
        <v>7656</v>
      </c>
      <c r="Z42" s="37">
        <f>Balance_Sheet_Qtr!AY42</f>
        <v>7035</v>
      </c>
      <c r="AA42" s="37">
        <f>Balance_Sheet_Qtr!BD42</f>
        <v>6833</v>
      </c>
      <c r="AB42" s="644">
        <f>Balance_Sheet_Qtr!BI42</f>
        <v>6537</v>
      </c>
      <c r="AC42" s="21">
        <f t="shared" si="2"/>
        <v>6537</v>
      </c>
      <c r="AD42" s="21">
        <f t="shared" si="2"/>
        <v>6537</v>
      </c>
      <c r="AE42" s="21">
        <f t="shared" si="2"/>
        <v>6537</v>
      </c>
      <c r="AF42" s="21">
        <f t="shared" si="2"/>
        <v>6537</v>
      </c>
      <c r="AH42" s="98"/>
      <c r="AI42" s="98"/>
    </row>
    <row r="43" spans="1:35">
      <c r="A43" s="1" t="s">
        <v>75</v>
      </c>
      <c r="B43" s="42"/>
      <c r="C43" s="42"/>
      <c r="D43" s="42"/>
      <c r="E43" s="42"/>
      <c r="F43" s="42"/>
      <c r="G43" s="42"/>
      <c r="H43" s="42"/>
      <c r="I43" s="42"/>
      <c r="J43" s="42"/>
      <c r="K43" s="42"/>
      <c r="L43" s="42"/>
      <c r="M43" s="42"/>
      <c r="N43" s="42"/>
      <c r="O43" s="42"/>
      <c r="P43" s="42"/>
      <c r="Q43" s="37"/>
      <c r="R43" s="37"/>
      <c r="S43" s="37"/>
      <c r="T43" s="37"/>
      <c r="U43" s="36"/>
      <c r="V43" s="37"/>
      <c r="W43" s="37"/>
      <c r="X43" s="37">
        <f>Balance_Sheet_Qtr!AO43</f>
        <v>11063</v>
      </c>
      <c r="Y43" s="37">
        <f>Balance_Sheet_Qtr!AT43</f>
        <v>5708</v>
      </c>
      <c r="Z43" s="37">
        <f>Balance_Sheet_Qtr!AY43</f>
        <v>6376</v>
      </c>
      <c r="AA43" s="37">
        <f>Balance_Sheet_Qtr!BD43</f>
        <v>7276</v>
      </c>
      <c r="AB43" s="644">
        <f>Balance_Sheet_Qtr!BI43</f>
        <v>7273</v>
      </c>
      <c r="AC43" s="21">
        <f t="shared" si="2"/>
        <v>7273</v>
      </c>
      <c r="AD43" s="21">
        <f t="shared" si="2"/>
        <v>7273</v>
      </c>
      <c r="AE43" s="21">
        <f t="shared" si="2"/>
        <v>7273</v>
      </c>
      <c r="AF43" s="21">
        <f t="shared" si="2"/>
        <v>7273</v>
      </c>
      <c r="AH43" s="98"/>
      <c r="AI43" s="98"/>
    </row>
    <row r="44" spans="1:35">
      <c r="A44" s="1" t="s">
        <v>340</v>
      </c>
      <c r="B44" s="42"/>
      <c r="C44" s="42"/>
      <c r="D44" s="42"/>
      <c r="E44" s="42"/>
      <c r="F44" s="42"/>
      <c r="G44" s="42"/>
      <c r="H44" s="42"/>
      <c r="I44" s="42"/>
      <c r="J44" s="42"/>
      <c r="K44" s="42"/>
      <c r="L44" s="42"/>
      <c r="M44" s="42"/>
      <c r="N44" s="42"/>
      <c r="O44" s="42"/>
      <c r="P44" s="42"/>
      <c r="Q44" s="37"/>
      <c r="R44" s="37"/>
      <c r="S44" s="37"/>
      <c r="T44" s="37"/>
      <c r="U44" s="36"/>
      <c r="V44" s="37"/>
      <c r="W44" s="37"/>
      <c r="X44" s="37">
        <f>Balance_Sheet_Qtr!AO44</f>
        <v>24473</v>
      </c>
      <c r="Y44" s="37">
        <f>Balance_Sheet_Qtr!AT44</f>
        <v>39212</v>
      </c>
      <c r="Z44" s="37">
        <f>Balance_Sheet_Qtr!AY44</f>
        <v>1317</v>
      </c>
      <c r="AA44" s="37">
        <f>Balance_Sheet_Qtr!BD44</f>
        <v>1415</v>
      </c>
      <c r="AB44" s="644">
        <f>Balance_Sheet_Qtr!BI44</f>
        <v>1143</v>
      </c>
      <c r="AC44" s="21">
        <f t="shared" si="2"/>
        <v>1143</v>
      </c>
      <c r="AD44" s="21">
        <f t="shared" si="2"/>
        <v>1143</v>
      </c>
      <c r="AE44" s="21">
        <f t="shared" si="2"/>
        <v>1143</v>
      </c>
      <c r="AF44" s="21">
        <f t="shared" si="2"/>
        <v>1143</v>
      </c>
      <c r="AH44" s="98"/>
      <c r="AI44" s="98"/>
    </row>
    <row r="45" spans="1:35">
      <c r="A45" s="6" t="str">
        <f>Balance_Sheet_Qtr!A45</f>
        <v>Total Noncurrent Liabilities</v>
      </c>
      <c r="B45" s="23"/>
      <c r="C45" s="23"/>
      <c r="D45" s="23"/>
      <c r="E45" s="23"/>
      <c r="F45" s="23"/>
      <c r="G45" s="23"/>
      <c r="H45" s="23"/>
      <c r="I45" s="23"/>
      <c r="J45" s="23"/>
      <c r="K45" s="23"/>
      <c r="L45" s="23"/>
      <c r="M45" s="23"/>
      <c r="N45" s="23"/>
      <c r="O45" s="23"/>
      <c r="P45" s="23"/>
      <c r="Q45" s="160"/>
      <c r="R45" s="160"/>
      <c r="S45" s="160"/>
      <c r="T45" s="160"/>
      <c r="U45" s="70"/>
      <c r="V45" s="160"/>
      <c r="W45" s="160"/>
      <c r="X45" s="160">
        <f>Balance_Sheet_Qtr!AO45</f>
        <v>104510</v>
      </c>
      <c r="Y45" s="160">
        <f>Balance_Sheet_Qtr!AT45</f>
        <v>112592</v>
      </c>
      <c r="Z45" s="160">
        <f>Balance_Sheet_Qtr!AY45</f>
        <v>69184</v>
      </c>
      <c r="AA45" s="160">
        <f>Balance_Sheet_Qtr!BD45</f>
        <v>72291</v>
      </c>
      <c r="AB45" s="160">
        <f>Balance_Sheet_Qtr!BI45</f>
        <v>69375</v>
      </c>
      <c r="AC45" s="23">
        <f>SUM(AC39:AC44)</f>
        <v>69375</v>
      </c>
      <c r="AD45" s="23">
        <f>SUM(AD39:AD44)</f>
        <v>69375</v>
      </c>
      <c r="AE45" s="23">
        <f>SUM(AE39:AE44)</f>
        <v>69375</v>
      </c>
      <c r="AF45" s="23">
        <f>SUM(AF39:AF44)</f>
        <v>69375</v>
      </c>
      <c r="AH45" s="98"/>
      <c r="AI45" s="98"/>
    </row>
    <row r="46" spans="1:35">
      <c r="B46" s="21"/>
      <c r="C46" s="21"/>
      <c r="D46" s="21"/>
      <c r="E46" s="21"/>
      <c r="F46" s="21"/>
      <c r="G46" s="21"/>
      <c r="H46" s="21"/>
      <c r="I46" s="21"/>
      <c r="J46" s="21"/>
      <c r="K46" s="21"/>
      <c r="L46" s="21"/>
      <c r="M46" s="21"/>
      <c r="N46" s="21"/>
      <c r="O46" s="21"/>
      <c r="P46" s="21"/>
      <c r="Q46" s="21"/>
      <c r="R46" s="21"/>
      <c r="S46" s="21"/>
      <c r="T46" s="21"/>
      <c r="U46" s="20"/>
      <c r="V46" s="21"/>
      <c r="W46" s="21"/>
      <c r="X46" s="21"/>
      <c r="Y46" s="21"/>
      <c r="Z46" s="21"/>
      <c r="AA46" s="21"/>
      <c r="AB46" s="21"/>
      <c r="AC46" s="21"/>
      <c r="AD46" s="21"/>
      <c r="AE46" s="21"/>
      <c r="AF46" s="21"/>
      <c r="AH46" s="98"/>
      <c r="AI46" s="98"/>
    </row>
    <row r="47" spans="1:35">
      <c r="A47" s="6" t="str">
        <f>Balance_Sheet_Qtr!A47</f>
        <v>Total Liabilities</v>
      </c>
      <c r="B47" s="23"/>
      <c r="C47" s="23"/>
      <c r="D47" s="23"/>
      <c r="E47" s="23"/>
      <c r="F47" s="23"/>
      <c r="G47" s="23"/>
      <c r="H47" s="23"/>
      <c r="I47" s="23"/>
      <c r="J47" s="23"/>
      <c r="K47" s="23"/>
      <c r="L47" s="23"/>
      <c r="M47" s="23"/>
      <c r="N47" s="23"/>
      <c r="O47" s="23"/>
      <c r="P47" s="23"/>
      <c r="Q47" s="160"/>
      <c r="R47" s="160"/>
      <c r="S47" s="160"/>
      <c r="T47" s="160"/>
      <c r="U47" s="70"/>
      <c r="V47" s="160"/>
      <c r="W47" s="160"/>
      <c r="X47" s="160">
        <f>Balance_Sheet_Qtr!AO47</f>
        <v>153938</v>
      </c>
      <c r="Y47" s="160">
        <f>Balance_Sheet_Qtr!AT47</f>
        <v>144695</v>
      </c>
      <c r="Z47" s="160">
        <f>Balance_Sheet_Qtr!AY47</f>
        <v>103576</v>
      </c>
      <c r="AA47" s="160">
        <f>Balance_Sheet_Qtr!BD47</f>
        <v>111271</v>
      </c>
      <c r="AB47" s="160">
        <f>Balance_Sheet_Qtr!BI47</f>
        <v>111168.57291102011</v>
      </c>
      <c r="AC47" s="23">
        <f ca="1">+AC45+AC36</f>
        <v>113925.56806126676</v>
      </c>
      <c r="AD47" s="23">
        <f ca="1">+AD45+AD36</f>
        <v>115915.13770944536</v>
      </c>
      <c r="AE47" s="23">
        <f ca="1">+AE45+AE36</f>
        <v>117640.48263266176</v>
      </c>
      <c r="AF47" s="23">
        <f ca="1">+AF45+AF36</f>
        <v>119596.67572636483</v>
      </c>
      <c r="AH47" s="98"/>
      <c r="AI47" s="98"/>
    </row>
    <row r="48" spans="1:35">
      <c r="B48" s="21"/>
      <c r="C48" s="21"/>
      <c r="D48" s="21"/>
      <c r="E48" s="21"/>
      <c r="F48" s="21"/>
      <c r="G48" s="21"/>
      <c r="H48" s="21"/>
      <c r="I48" s="21"/>
      <c r="J48" s="21"/>
      <c r="K48" s="21"/>
      <c r="L48" s="21"/>
      <c r="M48" s="21"/>
      <c r="N48" s="21"/>
      <c r="O48" s="21"/>
      <c r="P48" s="21"/>
      <c r="Q48" s="21"/>
      <c r="R48" s="21"/>
      <c r="S48" s="21"/>
      <c r="T48" s="21"/>
      <c r="U48" s="20"/>
      <c r="V48" s="21"/>
      <c r="W48" s="21"/>
      <c r="X48" s="21"/>
      <c r="Y48" s="21"/>
      <c r="Z48" s="21"/>
      <c r="AA48" s="21"/>
      <c r="AB48" s="21"/>
      <c r="AC48" s="179"/>
      <c r="AD48" s="179"/>
      <c r="AE48" s="179"/>
      <c r="AF48" s="179"/>
      <c r="AH48" s="98"/>
      <c r="AI48" s="98"/>
    </row>
    <row r="49" spans="1:35">
      <c r="A49" s="4" t="str">
        <f>Balance_Sheet_Qtr!A49</f>
        <v>Equity</v>
      </c>
      <c r="B49" s="21"/>
      <c r="C49" s="21"/>
      <c r="D49" s="21"/>
      <c r="E49" s="21"/>
      <c r="F49" s="21"/>
      <c r="G49" s="21"/>
      <c r="H49" s="21"/>
      <c r="I49" s="21"/>
      <c r="J49" s="21"/>
      <c r="K49" s="21"/>
      <c r="L49" s="21"/>
      <c r="M49" s="21"/>
      <c r="N49" s="21"/>
      <c r="O49" s="21"/>
      <c r="P49" s="21"/>
      <c r="Q49" s="21"/>
      <c r="R49" s="21"/>
      <c r="S49" s="21"/>
      <c r="T49" s="21"/>
      <c r="U49" s="20"/>
      <c r="V49" s="21"/>
      <c r="W49" s="21"/>
      <c r="X49" s="21"/>
      <c r="Y49" s="21"/>
      <c r="Z49" s="21"/>
      <c r="AA49" s="21"/>
      <c r="AB49" s="21"/>
      <c r="AC49" s="179"/>
      <c r="AD49" s="179"/>
      <c r="AE49" s="179"/>
      <c r="AF49" s="179"/>
      <c r="AH49" s="98"/>
      <c r="AI49" s="98"/>
    </row>
    <row r="50" spans="1:35">
      <c r="A50" s="1" t="s">
        <v>344</v>
      </c>
      <c r="B50" s="42"/>
      <c r="C50" s="42"/>
      <c r="D50" s="42"/>
      <c r="E50" s="42"/>
      <c r="F50" s="42"/>
      <c r="G50" s="42"/>
      <c r="H50" s="42"/>
      <c r="I50" s="42"/>
      <c r="J50" s="42"/>
      <c r="K50" s="42"/>
      <c r="L50" s="42"/>
      <c r="M50" s="42"/>
      <c r="N50" s="42"/>
      <c r="O50" s="42"/>
      <c r="P50" s="42"/>
      <c r="Q50" s="37"/>
      <c r="R50" s="37"/>
      <c r="S50" s="37"/>
      <c r="T50" s="37"/>
      <c r="U50" s="36"/>
      <c r="V50" s="37"/>
      <c r="W50" s="37"/>
      <c r="X50" s="37">
        <f>Balance_Sheet_Qtr!AO50</f>
        <v>6</v>
      </c>
      <c r="Y50" s="37">
        <f>Balance_Sheet_Qtr!AT50</f>
        <v>0</v>
      </c>
      <c r="Z50" s="37">
        <f>Balance_Sheet_Qtr!AY50</f>
        <v>0</v>
      </c>
      <c r="AA50" s="37">
        <f>Balance_Sheet_Qtr!BD50</f>
        <v>0</v>
      </c>
      <c r="AB50" s="644">
        <f>Balance_Sheet_Qtr!BI50</f>
        <v>0</v>
      </c>
      <c r="AC50" s="21">
        <f t="shared" ref="AC50:AF52" si="3">AB50</f>
        <v>0</v>
      </c>
      <c r="AD50" s="21">
        <f t="shared" si="3"/>
        <v>0</v>
      </c>
      <c r="AE50" s="21">
        <f t="shared" si="3"/>
        <v>0</v>
      </c>
      <c r="AF50" s="21">
        <f t="shared" si="3"/>
        <v>0</v>
      </c>
      <c r="AH50" s="98"/>
      <c r="AI50" s="98"/>
    </row>
    <row r="51" spans="1:35">
      <c r="A51" s="1" t="s">
        <v>187</v>
      </c>
      <c r="B51" s="42"/>
      <c r="C51" s="42"/>
      <c r="D51" s="42"/>
      <c r="E51" s="42"/>
      <c r="F51" s="42"/>
      <c r="G51" s="42"/>
      <c r="H51" s="42"/>
      <c r="I51" s="42"/>
      <c r="J51" s="42"/>
      <c r="K51" s="42"/>
      <c r="L51" s="42"/>
      <c r="M51" s="42"/>
      <c r="N51" s="42"/>
      <c r="O51" s="42"/>
      <c r="P51" s="42"/>
      <c r="Q51" s="37"/>
      <c r="R51" s="37"/>
      <c r="S51" s="37"/>
      <c r="T51" s="37"/>
      <c r="U51" s="36"/>
      <c r="V51" s="37"/>
      <c r="W51" s="37"/>
      <c r="X51" s="37">
        <f>Balance_Sheet_Qtr!AO51</f>
        <v>15</v>
      </c>
      <c r="Y51" s="37">
        <f>Balance_Sheet_Qtr!AT51</f>
        <v>15</v>
      </c>
      <c r="Z51" s="37">
        <f>Balance_Sheet_Qtr!AY51</f>
        <v>15</v>
      </c>
      <c r="AA51" s="37">
        <f>Balance_Sheet_Qtr!BD51</f>
        <v>15</v>
      </c>
      <c r="AB51" s="644">
        <f>Balance_Sheet_Qtr!BI51</f>
        <v>15</v>
      </c>
      <c r="AC51" s="21">
        <f t="shared" si="3"/>
        <v>15</v>
      </c>
      <c r="AD51" s="21">
        <f t="shared" si="3"/>
        <v>15</v>
      </c>
      <c r="AE51" s="21">
        <f t="shared" si="3"/>
        <v>15</v>
      </c>
      <c r="AF51" s="21">
        <f t="shared" si="3"/>
        <v>15</v>
      </c>
      <c r="AH51" s="98"/>
      <c r="AI51" s="98"/>
    </row>
    <row r="52" spans="1:35">
      <c r="A52" s="1" t="s">
        <v>345</v>
      </c>
      <c r="B52" s="42"/>
      <c r="C52" s="42"/>
      <c r="D52" s="42"/>
      <c r="E52" s="42"/>
      <c r="F52" s="42"/>
      <c r="G52" s="42"/>
      <c r="H52" s="42"/>
      <c r="I52" s="42"/>
      <c r="J52" s="42"/>
      <c r="K52" s="42"/>
      <c r="L52" s="42"/>
      <c r="M52" s="42"/>
      <c r="N52" s="42"/>
      <c r="O52" s="42"/>
      <c r="P52" s="42"/>
      <c r="Q52" s="37"/>
      <c r="R52" s="37"/>
      <c r="S52" s="37"/>
      <c r="T52" s="37"/>
      <c r="U52" s="36"/>
      <c r="V52" s="37"/>
      <c r="W52" s="37"/>
      <c r="X52" s="37">
        <f>Balance_Sheet_Qtr!AO52</f>
        <v>-2272</v>
      </c>
      <c r="Y52" s="37">
        <f>Balance_Sheet_Qtr!AT52</f>
        <v>-6150</v>
      </c>
      <c r="Z52" s="37">
        <f>Balance_Sheet_Qtr!AY52</f>
        <v>-3861</v>
      </c>
      <c r="AA52" s="37">
        <f>Balance_Sheet_Qtr!BD52</f>
        <v>-4798</v>
      </c>
      <c r="AB52" s="644">
        <f>Balance_Sheet_Qtr!BI52</f>
        <v>-4948</v>
      </c>
      <c r="AC52" s="21">
        <f t="shared" si="3"/>
        <v>-4948</v>
      </c>
      <c r="AD52" s="21">
        <f t="shared" si="3"/>
        <v>-4948</v>
      </c>
      <c r="AE52" s="21">
        <f t="shared" si="3"/>
        <v>-4948</v>
      </c>
      <c r="AF52" s="21">
        <f t="shared" si="3"/>
        <v>-4948</v>
      </c>
      <c r="AH52" s="98"/>
      <c r="AI52" s="98"/>
    </row>
    <row r="53" spans="1:35">
      <c r="A53" s="1" t="s">
        <v>411</v>
      </c>
      <c r="B53" s="42"/>
      <c r="C53" s="42"/>
      <c r="D53" s="42"/>
      <c r="E53" s="42"/>
      <c r="F53" s="42"/>
      <c r="G53" s="42"/>
      <c r="H53" s="42"/>
      <c r="I53" s="42"/>
      <c r="J53" s="42"/>
      <c r="K53" s="42"/>
      <c r="L53" s="42"/>
      <c r="M53" s="42"/>
      <c r="N53" s="42"/>
      <c r="O53" s="42"/>
      <c r="P53" s="42"/>
      <c r="Q53" s="37"/>
      <c r="R53" s="37"/>
      <c r="S53" s="37"/>
      <c r="T53" s="37"/>
      <c r="U53" s="36"/>
      <c r="V53" s="37"/>
      <c r="W53" s="37"/>
      <c r="X53" s="37">
        <f>Balance_Sheet_Qtr!AO53</f>
        <v>34173</v>
      </c>
      <c r="Y53" s="37">
        <f>Balance_Sheet_Qtr!AT53</f>
        <v>26962</v>
      </c>
      <c r="Z53" s="37">
        <f>Balance_Sheet_Qtr!AY53</f>
        <v>24266</v>
      </c>
      <c r="AA53" s="37">
        <f>Balance_Sheet_Qtr!BD53</f>
        <v>23598</v>
      </c>
      <c r="AB53" s="644">
        <f>Balance_Sheet_Qtr!BI53</f>
        <v>22900</v>
      </c>
      <c r="AC53" s="21">
        <f>+AB53+Cash_Flow_Annual!AC9+Cash_Flow_Annual!AC10+Cash_Flow_Annual!AC11</f>
        <v>22200</v>
      </c>
      <c r="AD53" s="21">
        <f>+AC53+Cash_Flow_Annual!AD9+Cash_Flow_Annual!AD10+Cash_Flow_Annual!AD11</f>
        <v>21500</v>
      </c>
      <c r="AE53" s="21">
        <f>+AD53+Cash_Flow_Annual!AE9+Cash_Flow_Annual!AE10+Cash_Flow_Annual!AE11</f>
        <v>20800</v>
      </c>
      <c r="AF53" s="21">
        <f>+AE53+Cash_Flow_Annual!AF9+Cash_Flow_Annual!AF10+Cash_Flow_Annual!AF11</f>
        <v>20100</v>
      </c>
      <c r="AH53" s="98"/>
      <c r="AI53" s="98"/>
    </row>
    <row r="54" spans="1:35">
      <c r="A54" s="1" t="s">
        <v>78</v>
      </c>
      <c r="B54" s="42"/>
      <c r="C54" s="42"/>
      <c r="D54" s="42"/>
      <c r="E54" s="42"/>
      <c r="F54" s="42"/>
      <c r="G54" s="42"/>
      <c r="H54" s="42"/>
      <c r="I54" s="42"/>
      <c r="J54" s="42"/>
      <c r="K54" s="42"/>
      <c r="L54" s="42"/>
      <c r="M54" s="42"/>
      <c r="N54" s="42"/>
      <c r="O54" s="42"/>
      <c r="P54" s="42"/>
      <c r="Q54" s="37"/>
      <c r="R54" s="37"/>
      <c r="S54" s="37"/>
      <c r="T54" s="37"/>
      <c r="U54" s="36"/>
      <c r="V54" s="37"/>
      <c r="W54" s="37"/>
      <c r="X54" s="37">
        <f>Balance_Sheet_Qtr!AO54</f>
        <v>82983</v>
      </c>
      <c r="Y54" s="37">
        <f>Balance_Sheet_Qtr!AT54</f>
        <v>86553</v>
      </c>
      <c r="Z54" s="37">
        <f>Balance_Sheet_Qtr!AY54</f>
        <v>80488</v>
      </c>
      <c r="AA54" s="37">
        <f>Balance_Sheet_Qtr!BD54</f>
        <v>87663</v>
      </c>
      <c r="AB54" s="644">
        <f ca="1">Balance_Sheet_Qtr!BI54</f>
        <v>91554.102905093634</v>
      </c>
      <c r="AC54" s="21">
        <f ca="1">+AB54+ProForma_IS_Annual!AC48+Cash_Flow_Annual!AC47+Cash_Flow_Annual!AC45</f>
        <v>92577.253168677475</v>
      </c>
      <c r="AD54" s="21">
        <f ca="1">+AC54+ProForma_IS_Annual!AD48+Cash_Flow_Annual!AD47+Cash_Flow_Annual!AD45</f>
        <v>93844.131690406211</v>
      </c>
      <c r="AE54" s="21">
        <f ca="1">+AD54+ProForma_IS_Annual!AE48+Cash_Flow_Annual!AE47+Cash_Flow_Annual!AE45</f>
        <v>95557.151264754997</v>
      </c>
      <c r="AF54" s="21">
        <f ca="1">+AE54+ProForma_IS_Annual!AF48+Cash_Flow_Annual!AF47+Cash_Flow_Annual!AF45</f>
        <v>97923.722597393033</v>
      </c>
      <c r="AG54" s="254"/>
      <c r="AH54" s="98"/>
      <c r="AI54" s="98"/>
    </row>
    <row r="55" spans="1:35">
      <c r="A55" s="1" t="s">
        <v>188</v>
      </c>
      <c r="B55" s="42"/>
      <c r="C55" s="42"/>
      <c r="D55" s="42"/>
      <c r="E55" s="42"/>
      <c r="F55" s="42"/>
      <c r="G55" s="42"/>
      <c r="H55" s="42"/>
      <c r="I55" s="42"/>
      <c r="J55" s="42"/>
      <c r="K55" s="42"/>
      <c r="L55" s="42"/>
      <c r="M55" s="42"/>
      <c r="N55" s="42"/>
      <c r="O55" s="42"/>
      <c r="P55" s="42"/>
      <c r="Q55" s="37"/>
      <c r="R55" s="37"/>
      <c r="S55" s="37"/>
      <c r="T55" s="37"/>
      <c r="U55" s="36"/>
      <c r="V55" s="37"/>
      <c r="W55" s="37"/>
      <c r="X55" s="37">
        <f>Balance_Sheet_Qtr!AO55</f>
        <v>-81209</v>
      </c>
      <c r="Y55" s="37">
        <f>Balance_Sheet_Qtr!AT55</f>
        <v>-79977</v>
      </c>
      <c r="Z55" s="37">
        <f>Balance_Sheet_Qtr!AY55</f>
        <v>-81566</v>
      </c>
      <c r="AA55" s="37">
        <f>Balance_Sheet_Qtr!BD55</f>
        <v>-87801</v>
      </c>
      <c r="AB55" s="644">
        <f>Balance_Sheet_Qtr!BI55</f>
        <v>-91454</v>
      </c>
      <c r="AC55" s="21">
        <f>AB55</f>
        <v>-91454</v>
      </c>
      <c r="AD55" s="21">
        <f>AC55</f>
        <v>-91454</v>
      </c>
      <c r="AE55" s="21">
        <f>AD55</f>
        <v>-91454</v>
      </c>
      <c r="AF55" s="21">
        <f>AE55</f>
        <v>-91454</v>
      </c>
      <c r="AH55" s="98"/>
      <c r="AI55" s="98"/>
    </row>
    <row r="56" spans="1:35">
      <c r="A56" s="6" t="str">
        <f>Balance_Sheet_Qtr!A56</f>
        <v>Total Stockholder's Equity</v>
      </c>
      <c r="B56" s="23"/>
      <c r="C56" s="23"/>
      <c r="D56" s="23"/>
      <c r="E56" s="23"/>
      <c r="F56" s="23"/>
      <c r="G56" s="23"/>
      <c r="H56" s="23"/>
      <c r="I56" s="23"/>
      <c r="J56" s="23"/>
      <c r="K56" s="23"/>
      <c r="L56" s="23"/>
      <c r="M56" s="23"/>
      <c r="N56" s="23"/>
      <c r="O56" s="23"/>
      <c r="P56" s="23"/>
      <c r="Q56" s="160"/>
      <c r="R56" s="160"/>
      <c r="S56" s="160"/>
      <c r="T56" s="160"/>
      <c r="U56" s="70"/>
      <c r="V56" s="160"/>
      <c r="W56" s="160"/>
      <c r="X56" s="160">
        <f>Balance_Sheet_Qtr!AO56</f>
        <v>33696</v>
      </c>
      <c r="Y56" s="160">
        <f>Balance_Sheet_Qtr!AT56</f>
        <v>27403</v>
      </c>
      <c r="Z56" s="160">
        <f>Balance_Sheet_Qtr!AY56</f>
        <v>19342</v>
      </c>
      <c r="AA56" s="160">
        <f>Balance_Sheet_Qtr!BD56</f>
        <v>18677</v>
      </c>
      <c r="AB56" s="160">
        <f ca="1">Balance_Sheet_Qtr!BI56</f>
        <v>18067.102905093634</v>
      </c>
      <c r="AC56" s="23">
        <f ca="1">SUM(AC50:AC55)</f>
        <v>18390.253168677475</v>
      </c>
      <c r="AD56" s="23">
        <f ca="1">SUM(AD50:AD55)</f>
        <v>18957.131690406211</v>
      </c>
      <c r="AE56" s="23">
        <f ca="1">SUM(AE50:AE55)</f>
        <v>19970.151264754997</v>
      </c>
      <c r="AF56" s="23">
        <f ca="1">SUM(AF50:AF55)</f>
        <v>21636.722597393033</v>
      </c>
      <c r="AH56" s="98"/>
      <c r="AI56" s="98"/>
    </row>
    <row r="57" spans="1:35">
      <c r="B57" s="21"/>
      <c r="C57" s="21"/>
      <c r="D57" s="21"/>
      <c r="E57" s="21"/>
      <c r="F57" s="21"/>
      <c r="G57" s="21"/>
      <c r="H57" s="21"/>
      <c r="I57" s="21"/>
      <c r="J57" s="21"/>
      <c r="K57" s="21"/>
      <c r="L57" s="21"/>
      <c r="M57" s="21"/>
      <c r="N57" s="21"/>
      <c r="O57" s="21"/>
      <c r="P57" s="21"/>
      <c r="Q57" s="21"/>
      <c r="R57" s="21"/>
      <c r="S57" s="21"/>
      <c r="T57" s="21"/>
      <c r="U57" s="20"/>
      <c r="V57" s="21"/>
      <c r="W57" s="21"/>
      <c r="X57" s="21"/>
      <c r="Y57" s="21"/>
      <c r="Z57" s="21"/>
      <c r="AA57" s="21"/>
      <c r="AB57" s="21"/>
      <c r="AC57" s="179"/>
      <c r="AD57" s="179"/>
      <c r="AE57" s="179"/>
      <c r="AF57" s="179"/>
      <c r="AH57" s="98"/>
      <c r="AI57" s="98"/>
    </row>
    <row r="58" spans="1:35">
      <c r="A58" s="4" t="str">
        <f>Balance_Sheet_Qtr!A58</f>
        <v>Noncontrolling Interests in Subsidiary</v>
      </c>
      <c r="B58" s="81"/>
      <c r="C58" s="81"/>
      <c r="D58" s="81"/>
      <c r="E58" s="81"/>
      <c r="F58" s="81"/>
      <c r="G58" s="81"/>
      <c r="H58" s="81"/>
      <c r="I58" s="81"/>
      <c r="J58" s="81"/>
      <c r="K58" s="81"/>
      <c r="L58" s="81"/>
      <c r="M58" s="81"/>
      <c r="N58" s="81"/>
      <c r="O58" s="81"/>
      <c r="P58" s="81"/>
      <c r="Q58" s="161"/>
      <c r="R58" s="161"/>
      <c r="S58" s="161"/>
      <c r="T58" s="161"/>
      <c r="U58" s="68"/>
      <c r="V58" s="161"/>
      <c r="W58" s="161"/>
      <c r="X58" s="161">
        <f>Balance_Sheet_Qtr!AO58</f>
        <v>1217</v>
      </c>
      <c r="Y58" s="161">
        <f>Balance_Sheet_Qtr!AT58</f>
        <v>1202</v>
      </c>
      <c r="Z58" s="161">
        <f>Balance_Sheet_Qtr!AY58</f>
        <v>222</v>
      </c>
      <c r="AA58" s="161">
        <f>Balance_Sheet_Qtr!BD58</f>
        <v>221</v>
      </c>
      <c r="AB58" s="645">
        <f>Balance_Sheet_Qtr!BI58</f>
        <v>227</v>
      </c>
      <c r="AC58" s="97">
        <f>AB58-ProForma_IS_Annual!AC40</f>
        <v>227</v>
      </c>
      <c r="AD58" s="97">
        <f>AC58-ProForma_IS_Annual!AD40</f>
        <v>227</v>
      </c>
      <c r="AE58" s="97">
        <f>AD58-ProForma_IS_Annual!AE40</f>
        <v>227</v>
      </c>
      <c r="AF58" s="97">
        <f>AE58-ProForma_IS_Annual!AF40</f>
        <v>227</v>
      </c>
      <c r="AH58" s="98"/>
      <c r="AI58" s="98"/>
    </row>
    <row r="59" spans="1:35">
      <c r="B59" s="21"/>
      <c r="C59" s="21"/>
      <c r="D59" s="21"/>
      <c r="E59" s="21"/>
      <c r="F59" s="21"/>
      <c r="G59" s="21"/>
      <c r="H59" s="21"/>
      <c r="I59" s="21"/>
      <c r="J59" s="21"/>
      <c r="K59" s="21"/>
      <c r="L59" s="21"/>
      <c r="M59" s="21"/>
      <c r="N59" s="21"/>
      <c r="O59" s="21"/>
      <c r="P59" s="21"/>
      <c r="Q59" s="21"/>
      <c r="R59" s="21"/>
      <c r="S59" s="21"/>
      <c r="T59" s="21"/>
      <c r="U59" s="20"/>
      <c r="V59" s="21"/>
      <c r="W59" s="21"/>
      <c r="X59" s="21"/>
      <c r="Y59" s="21"/>
      <c r="Z59" s="21"/>
      <c r="AA59" s="21"/>
      <c r="AB59" s="21"/>
      <c r="AC59" s="179"/>
      <c r="AD59" s="179"/>
      <c r="AE59" s="179"/>
      <c r="AF59" s="179"/>
      <c r="AH59" s="98"/>
    </row>
    <row r="60" spans="1:35">
      <c r="A60" s="6" t="str">
        <f>Balance_Sheet_Qtr!A60</f>
        <v>Total Equity</v>
      </c>
      <c r="B60" s="23"/>
      <c r="C60" s="23"/>
      <c r="D60" s="23"/>
      <c r="E60" s="23"/>
      <c r="F60" s="23"/>
      <c r="G60" s="23"/>
      <c r="H60" s="23"/>
      <c r="I60" s="23"/>
      <c r="J60" s="23"/>
      <c r="K60" s="23"/>
      <c r="L60" s="23"/>
      <c r="M60" s="23"/>
      <c r="N60" s="23"/>
      <c r="O60" s="23"/>
      <c r="P60" s="23"/>
      <c r="Q60" s="160"/>
      <c r="R60" s="160"/>
      <c r="S60" s="160"/>
      <c r="T60" s="160"/>
      <c r="U60" s="70"/>
      <c r="V60" s="160"/>
      <c r="W60" s="160"/>
      <c r="X60" s="160">
        <f>Balance_Sheet_Qtr!AO60</f>
        <v>34913</v>
      </c>
      <c r="Y60" s="160">
        <f>Balance_Sheet_Qtr!AT60</f>
        <v>28605</v>
      </c>
      <c r="Z60" s="160">
        <f>Balance_Sheet_Qtr!AY60</f>
        <v>19564</v>
      </c>
      <c r="AA60" s="160">
        <f>Balance_Sheet_Qtr!BD60</f>
        <v>18898</v>
      </c>
      <c r="AB60" s="160">
        <f ca="1">Balance_Sheet_Qtr!BI60</f>
        <v>18294.102905093634</v>
      </c>
      <c r="AC60" s="23">
        <f ca="1">+AC56+AC58</f>
        <v>18617.253168677475</v>
      </c>
      <c r="AD60" s="23">
        <f ca="1">+AD56+AD58</f>
        <v>19184.131690406211</v>
      </c>
      <c r="AE60" s="23">
        <f ca="1">+AE56+AE58</f>
        <v>20197.151264754997</v>
      </c>
      <c r="AF60" s="23">
        <f ca="1">+AF56+AF58</f>
        <v>21863.722597393033</v>
      </c>
      <c r="AH60" s="98"/>
    </row>
    <row r="61" spans="1:35">
      <c r="B61" s="21"/>
      <c r="C61" s="21"/>
      <c r="D61" s="21"/>
      <c r="E61" s="21"/>
      <c r="F61" s="21"/>
      <c r="G61" s="21"/>
      <c r="H61" s="21"/>
      <c r="I61" s="21"/>
      <c r="J61" s="21"/>
      <c r="K61" s="21"/>
      <c r="L61" s="21"/>
      <c r="M61" s="21"/>
      <c r="N61" s="21"/>
      <c r="O61" s="21"/>
      <c r="P61" s="21"/>
      <c r="Q61" s="21"/>
      <c r="R61" s="21"/>
      <c r="S61" s="21"/>
      <c r="T61" s="21"/>
      <c r="U61" s="20"/>
      <c r="V61" s="21"/>
      <c r="W61" s="21"/>
      <c r="X61" s="21"/>
      <c r="Y61" s="21"/>
      <c r="Z61" s="21"/>
      <c r="AA61" s="21"/>
      <c r="AB61" s="21"/>
      <c r="AC61" s="21"/>
      <c r="AD61" s="21"/>
      <c r="AE61" s="21"/>
      <c r="AF61" s="21"/>
      <c r="AH61" s="98"/>
    </row>
    <row r="62" spans="1:35">
      <c r="A62" s="6" t="str">
        <f>Balance_Sheet_Qtr!A62</f>
        <v>Total Liabilities and Equity</v>
      </c>
      <c r="B62" s="23"/>
      <c r="C62" s="23"/>
      <c r="D62" s="23"/>
      <c r="E62" s="23"/>
      <c r="F62" s="23"/>
      <c r="G62" s="23"/>
      <c r="H62" s="23"/>
      <c r="I62" s="23"/>
      <c r="J62" s="23"/>
      <c r="K62" s="23"/>
      <c r="L62" s="23"/>
      <c r="M62" s="23"/>
      <c r="N62" s="23"/>
      <c r="O62" s="23"/>
      <c r="P62" s="23"/>
      <c r="Q62" s="160"/>
      <c r="R62" s="160"/>
      <c r="S62" s="160"/>
      <c r="T62" s="160"/>
      <c r="U62" s="70"/>
      <c r="V62" s="160"/>
      <c r="W62" s="160"/>
      <c r="X62" s="160">
        <f>Balance_Sheet_Qtr!AO62</f>
        <v>188851</v>
      </c>
      <c r="Y62" s="160">
        <f>Balance_Sheet_Qtr!AT62</f>
        <v>173300</v>
      </c>
      <c r="Z62" s="160">
        <f>Balance_Sheet_Qtr!AY62</f>
        <v>123140</v>
      </c>
      <c r="AA62" s="160">
        <f>Balance_Sheet_Qtr!BD62</f>
        <v>130169</v>
      </c>
      <c r="AB62" s="160">
        <f ca="1">Balance_Sheet_Qtr!BI62</f>
        <v>129462.67581611374</v>
      </c>
      <c r="AC62" s="23">
        <f ca="1">+AC60+AC47</f>
        <v>132542.82122994424</v>
      </c>
      <c r="AD62" s="23">
        <f ca="1">+AD60+AD47</f>
        <v>135099.26939985156</v>
      </c>
      <c r="AE62" s="23">
        <f ca="1">+AE60+AE47</f>
        <v>137837.63389741676</v>
      </c>
      <c r="AF62" s="23">
        <f ca="1">+AF60+AF47</f>
        <v>141460.39832375787</v>
      </c>
      <c r="AH62" s="98"/>
    </row>
    <row r="63" spans="1:35">
      <c r="A63" s="16" t="str">
        <f>Balance_Sheet_Qtr!A63</f>
        <v>Check</v>
      </c>
      <c r="B63" s="83"/>
      <c r="C63" s="83"/>
      <c r="D63" s="83"/>
      <c r="E63" s="83"/>
      <c r="F63" s="83"/>
      <c r="G63" s="83"/>
      <c r="H63" s="83"/>
      <c r="I63" s="83"/>
      <c r="J63" s="83"/>
      <c r="K63" s="83"/>
      <c r="L63" s="83"/>
      <c r="M63" s="83"/>
      <c r="N63" s="83"/>
      <c r="O63" s="83"/>
      <c r="P63" s="83"/>
      <c r="Q63" s="162"/>
      <c r="R63" s="162"/>
      <c r="S63" s="162"/>
      <c r="T63" s="162"/>
      <c r="U63" s="83"/>
      <c r="V63" s="83"/>
      <c r="W63" s="83"/>
      <c r="X63" s="83" t="b">
        <f>+ROUND(X62,8)=ROUND(X25,8)</f>
        <v>1</v>
      </c>
      <c r="Y63" s="83" t="b">
        <f>+ROUND(Y62,8)=ROUND(Y25,8)</f>
        <v>1</v>
      </c>
      <c r="Z63" s="83" t="b">
        <f>+ROUND(Z62,8)=ROUND(Z25,8)</f>
        <v>1</v>
      </c>
      <c r="AA63" s="83" t="b">
        <f>+ROUND(AA62,8)=ROUND(AA25,8)</f>
        <v>1</v>
      </c>
      <c r="AB63" s="83" t="b">
        <f ca="1">+ROUND(AB62,8)=ROUND(AB25,8)</f>
        <v>1</v>
      </c>
      <c r="AC63" s="83" t="b">
        <f t="shared" ref="AC63:AF63" ca="1" si="4">+ROUND(AC62,8)=ROUND(AC25,8)</f>
        <v>1</v>
      </c>
      <c r="AD63" s="83" t="b">
        <f t="shared" ca="1" si="4"/>
        <v>1</v>
      </c>
      <c r="AE63" s="83" t="b">
        <f t="shared" ca="1" si="4"/>
        <v>1</v>
      </c>
      <c r="AF63" s="83" t="b">
        <f t="shared" ca="1" si="4"/>
        <v>1</v>
      </c>
      <c r="AH63" s="98"/>
    </row>
    <row r="64" spans="1:35">
      <c r="B64" s="21"/>
      <c r="C64" s="21"/>
      <c r="D64" s="21"/>
      <c r="E64" s="21"/>
      <c r="F64" s="21"/>
      <c r="G64" s="21"/>
      <c r="H64" s="21"/>
      <c r="I64" s="21"/>
      <c r="J64" s="21"/>
      <c r="K64" s="21"/>
      <c r="L64" s="21"/>
      <c r="M64" s="21"/>
      <c r="N64" s="21"/>
      <c r="O64" s="21"/>
      <c r="P64" s="21"/>
      <c r="Q64" s="21"/>
      <c r="R64" s="21"/>
      <c r="S64" s="21"/>
      <c r="T64" s="21"/>
      <c r="U64" s="20"/>
      <c r="V64" s="21"/>
      <c r="W64" s="21"/>
      <c r="X64" s="219"/>
      <c r="Y64" s="219"/>
      <c r="Z64" s="219"/>
      <c r="AA64" s="219"/>
      <c r="AB64" s="219"/>
      <c r="AC64" s="219">
        <f ca="1">AC62-AC25</f>
        <v>0</v>
      </c>
      <c r="AD64" s="219">
        <f t="shared" ref="AD64:AF64" ca="1" si="5">AD62-AD25</f>
        <v>0</v>
      </c>
      <c r="AE64" s="219">
        <f t="shared" ca="1" si="5"/>
        <v>0</v>
      </c>
      <c r="AF64" s="219">
        <f t="shared" ca="1" si="5"/>
        <v>0</v>
      </c>
    </row>
    <row r="65" spans="1:57">
      <c r="A65" s="102" t="str">
        <f>Balance_Sheet_Qtr!A65</f>
        <v>Financial Metrics</v>
      </c>
      <c r="B65" s="163"/>
      <c r="C65" s="163"/>
      <c r="D65" s="163"/>
      <c r="E65" s="163"/>
      <c r="F65" s="163"/>
      <c r="G65" s="163"/>
      <c r="H65" s="163"/>
      <c r="I65" s="163"/>
      <c r="J65" s="163"/>
      <c r="K65" s="163"/>
      <c r="L65" s="163"/>
      <c r="M65" s="163"/>
      <c r="N65" s="163"/>
      <c r="O65" s="163"/>
      <c r="P65" s="163"/>
      <c r="Q65" s="163"/>
      <c r="R65" s="163"/>
      <c r="S65" s="163"/>
      <c r="T65" s="163"/>
      <c r="U65" s="85"/>
      <c r="V65" s="163"/>
      <c r="W65" s="163"/>
      <c r="X65" s="163"/>
      <c r="Y65" s="163"/>
      <c r="Z65" s="163"/>
      <c r="AA65" s="163"/>
      <c r="AB65" s="163"/>
      <c r="AC65" s="163"/>
      <c r="AD65" s="163"/>
      <c r="AE65" s="163"/>
      <c r="AF65" s="163"/>
      <c r="AH65" s="264"/>
      <c r="AI65" s="264" t="str">
        <f>AB2</f>
        <v>CY2026E</v>
      </c>
      <c r="AJ65" s="264" t="str">
        <f t="shared" ref="AJ65:AM65" si="6">AC2</f>
        <v>CY2027E</v>
      </c>
      <c r="AK65" s="264" t="str">
        <f t="shared" si="6"/>
        <v>CY2028E</v>
      </c>
      <c r="AL65" s="264" t="str">
        <f t="shared" si="6"/>
        <v>CY2029E</v>
      </c>
      <c r="AM65" s="264" t="str">
        <f t="shared" si="6"/>
        <v>CY2030E</v>
      </c>
      <c r="AX65" s="257"/>
    </row>
    <row r="66" spans="1:57">
      <c r="A66" s="1" t="str">
        <f>Balance_Sheet_Qtr!A66</f>
        <v>Days Sales Outstanding (Receivables)</v>
      </c>
      <c r="B66" s="21"/>
      <c r="C66" s="21"/>
      <c r="D66" s="21"/>
      <c r="E66" s="21"/>
      <c r="F66" s="21"/>
      <c r="G66" s="21"/>
      <c r="H66" s="21"/>
      <c r="I66" s="21"/>
      <c r="J66" s="21"/>
      <c r="K66" s="21"/>
      <c r="L66" s="21"/>
      <c r="M66" s="21"/>
      <c r="N66" s="21"/>
      <c r="O66" s="21"/>
      <c r="P66" s="21"/>
      <c r="Q66" s="37"/>
      <c r="R66" s="37"/>
      <c r="S66" s="37"/>
      <c r="T66" s="37"/>
      <c r="U66" s="36"/>
      <c r="V66" s="37"/>
      <c r="W66" s="37"/>
      <c r="X66" s="37">
        <f>Balance_Sheet_Qtr!AO66</f>
        <v>93.172375215146303</v>
      </c>
      <c r="Y66" s="37">
        <f>Balance_Sheet_Qtr!AT66</f>
        <v>89.866329070951679</v>
      </c>
      <c r="Z66" s="37">
        <f>Balance_Sheet_Qtr!AY66</f>
        <v>87.963283551237666</v>
      </c>
      <c r="AA66" s="37">
        <f>Balance_Sheet_Qtr!BD66</f>
        <v>93.711590884309231</v>
      </c>
      <c r="AB66" s="37">
        <f>Balance_Sheet_Qtr!BI66</f>
        <v>90</v>
      </c>
      <c r="AC66" s="268">
        <f>AB66-2</f>
        <v>88</v>
      </c>
      <c r="AD66" s="268">
        <f t="shared" ref="AD66:AE66" si="7">AC66-2</f>
        <v>86</v>
      </c>
      <c r="AE66" s="268">
        <f t="shared" si="7"/>
        <v>84</v>
      </c>
      <c r="AF66" s="268">
        <v>83</v>
      </c>
      <c r="AH66" s="73" t="str">
        <f>Cash_Flow_Annual!A15</f>
        <v>Receivables, Net</v>
      </c>
      <c r="AI66" s="73">
        <f>Cash_Flow_Annual!AB15</f>
        <v>-1610.4680825656378</v>
      </c>
      <c r="AJ66" s="73">
        <f>Cash_Flow_Annual!AC15</f>
        <v>-888.66287089916113</v>
      </c>
      <c r="AK66" s="73">
        <f>Cash_Flow_Annual!AD15</f>
        <v>-949.50970933308781</v>
      </c>
      <c r="AL66" s="73">
        <f>Cash_Flow_Annual!AE15</f>
        <v>-753.63083547525093</v>
      </c>
      <c r="AM66" s="73">
        <f>Cash_Flow_Annual!AF15</f>
        <v>-1034.249709380485</v>
      </c>
      <c r="BD66" s="262"/>
      <c r="BE66" s="262"/>
    </row>
    <row r="67" spans="1:57">
      <c r="A67" s="1" t="str">
        <f>Balance_Sheet_Qtr!A67</f>
        <v>Days Payable Outstanding (Accounts Payable)</v>
      </c>
      <c r="B67" s="21"/>
      <c r="C67" s="21"/>
      <c r="D67" s="21"/>
      <c r="E67" s="21"/>
      <c r="F67" s="21"/>
      <c r="G67" s="21"/>
      <c r="H67" s="21"/>
      <c r="I67" s="21"/>
      <c r="J67" s="21"/>
      <c r="K67" s="21"/>
      <c r="L67" s="21"/>
      <c r="M67" s="21"/>
      <c r="N67" s="21"/>
      <c r="O67" s="21"/>
      <c r="P67" s="21"/>
      <c r="Q67" s="37"/>
      <c r="R67" s="37"/>
      <c r="S67" s="37"/>
      <c r="T67" s="37"/>
      <c r="U67" s="36"/>
      <c r="V67" s="37"/>
      <c r="W67" s="37"/>
      <c r="X67" s="37">
        <f>Balance_Sheet_Qtr!AO67</f>
        <v>126.9568801951572</v>
      </c>
      <c r="Y67" s="37">
        <f>Balance_Sheet_Qtr!AT67</f>
        <v>119.59283316622346</v>
      </c>
      <c r="Z67" s="37">
        <f>Balance_Sheet_Qtr!AY67</f>
        <v>118.75863913115025</v>
      </c>
      <c r="AA67" s="37">
        <f>Balance_Sheet_Qtr!BD67</f>
        <v>126.98391328362331</v>
      </c>
      <c r="AB67" s="37">
        <f>Balance_Sheet_Qtr!BI67</f>
        <v>122.5</v>
      </c>
      <c r="AC67" s="268">
        <v>119.55</v>
      </c>
      <c r="AD67" s="268">
        <v>116.5</v>
      </c>
      <c r="AE67" s="268">
        <v>114.5</v>
      </c>
      <c r="AF67" s="268">
        <v>113.5</v>
      </c>
      <c r="AH67" s="73" t="str">
        <f>Cash_Flow_Annual!A16</f>
        <v>Inventories</v>
      </c>
      <c r="AI67" s="73">
        <f>Cash_Flow_Annual!AB16</f>
        <v>-1320.6350968946972</v>
      </c>
      <c r="AJ67" s="73">
        <f>Cash_Flow_Annual!AC16</f>
        <v>-1876.4779521421897</v>
      </c>
      <c r="AK67" s="73">
        <f>Cash_Flow_Annual!AD16</f>
        <v>-1020.3759881043152</v>
      </c>
      <c r="AL67" s="73">
        <f>Cash_Flow_Annual!AE16</f>
        <v>-1070.3499426662111</v>
      </c>
      <c r="AM67" s="73">
        <f>Cash_Flow_Annual!AF16</f>
        <v>-1194.3213045177617</v>
      </c>
      <c r="BD67" s="262"/>
      <c r="BE67" s="262"/>
    </row>
    <row r="68" spans="1:57">
      <c r="A68" s="1" t="str">
        <f>Balance_Sheet_Qtr!A68</f>
        <v>Days COGS Inventory</v>
      </c>
      <c r="B68" s="21"/>
      <c r="C68" s="21"/>
      <c r="D68" s="21"/>
      <c r="E68" s="21"/>
      <c r="F68" s="21"/>
      <c r="G68" s="21"/>
      <c r="H68" s="21"/>
      <c r="I68" s="21"/>
      <c r="J68" s="21"/>
      <c r="K68" s="21"/>
      <c r="L68" s="21"/>
      <c r="M68" s="21"/>
      <c r="N68" s="21"/>
      <c r="O68" s="21"/>
      <c r="P68" s="21"/>
      <c r="Q68" s="37"/>
      <c r="R68" s="37"/>
      <c r="S68" s="37"/>
      <c r="T68" s="37"/>
      <c r="U68" s="36"/>
      <c r="V68" s="37"/>
      <c r="W68" s="37"/>
      <c r="X68" s="37">
        <f>Balance_Sheet_Qtr!AO68</f>
        <v>122.76867997831586</v>
      </c>
      <c r="Y68" s="37">
        <f>Balance_Sheet_Qtr!AT68</f>
        <v>131.81306944504993</v>
      </c>
      <c r="Z68" s="37">
        <f>Balance_Sheet_Qtr!AY68</f>
        <v>146.59762218199768</v>
      </c>
      <c r="AA68" s="37">
        <f>Balance_Sheet_Qtr!BD68</f>
        <v>149.53811101905552</v>
      </c>
      <c r="AB68" s="37">
        <f>Balance_Sheet_Qtr!BI68</f>
        <v>140</v>
      </c>
      <c r="AC68" s="268">
        <v>138</v>
      </c>
      <c r="AD68" s="268">
        <v>136</v>
      </c>
      <c r="AE68" s="268">
        <v>136</v>
      </c>
      <c r="AF68" s="268">
        <v>136</v>
      </c>
      <c r="AH68" s="73" t="str">
        <f>Cash_Flow_Annual!A17</f>
        <v>Contract Assets</v>
      </c>
      <c r="AI68" s="73">
        <f>Cash_Flow_Annual!AB17</f>
        <v>-215.33768504366344</v>
      </c>
      <c r="AJ68" s="73">
        <f>Cash_Flow_Annual!AC17</f>
        <v>-287.55861468822468</v>
      </c>
      <c r="AK68" s="73">
        <f>Cash_Flow_Annual!AD17</f>
        <v>-308.76951390149588</v>
      </c>
      <c r="AL68" s="73">
        <f>Cash_Flow_Annual!AE17</f>
        <v>-252.47433542653835</v>
      </c>
      <c r="AM68" s="73">
        <f>Cash_Flow_Annual!AF17</f>
        <v>-278.83001168737246</v>
      </c>
      <c r="BD68" s="262"/>
      <c r="BE68" s="262"/>
    </row>
    <row r="69" spans="1:57">
      <c r="A69" s="1" t="str">
        <f>Balance_Sheet_Qtr!A69</f>
        <v>Days Sales in Contract Liabilities</v>
      </c>
      <c r="B69" s="21"/>
      <c r="C69" s="21"/>
      <c r="D69" s="21"/>
      <c r="E69" s="21"/>
      <c r="F69" s="21"/>
      <c r="G69" s="21"/>
      <c r="H69" s="21"/>
      <c r="I69" s="21"/>
      <c r="J69" s="21"/>
      <c r="K69" s="21"/>
      <c r="L69" s="21"/>
      <c r="M69" s="21"/>
      <c r="N69" s="21"/>
      <c r="O69" s="21"/>
      <c r="P69" s="21"/>
      <c r="Q69" s="37"/>
      <c r="R69" s="37"/>
      <c r="S69" s="37"/>
      <c r="T69" s="37"/>
      <c r="U69" s="36"/>
      <c r="V69" s="37"/>
      <c r="W69" s="37"/>
      <c r="X69" s="37">
        <f>Balance_Sheet_Qtr!AO69</f>
        <v>0</v>
      </c>
      <c r="Y69" s="37">
        <f>Balance_Sheet_Qtr!AT69</f>
        <v>85.932160235373985</v>
      </c>
      <c r="Z69" s="37">
        <f>Balance_Sheet_Qtr!AY69</f>
        <v>88.208490517285924</v>
      </c>
      <c r="AA69" s="37">
        <f>Balance_Sheet_Qtr!BD69</f>
        <v>82.249373023661548</v>
      </c>
      <c r="AB69" s="37">
        <f>Balance_Sheet_Qtr!BI69</f>
        <v>78</v>
      </c>
      <c r="AC69" s="268">
        <f>AB69-3</f>
        <v>75</v>
      </c>
      <c r="AD69" s="268">
        <f t="shared" ref="AD69:AF69" si="8">AC69-3</f>
        <v>72</v>
      </c>
      <c r="AE69" s="268">
        <f t="shared" si="8"/>
        <v>69</v>
      </c>
      <c r="AF69" s="268">
        <f t="shared" si="8"/>
        <v>66</v>
      </c>
      <c r="AH69" s="73" t="str">
        <f>Cash_Flow_Annual!A18</f>
        <v>Accounts Payable and Accrued Liabilities</v>
      </c>
      <c r="AI69" s="73">
        <f>Cash_Flow_Annual!AB18</f>
        <v>1511.9307097828605</v>
      </c>
      <c r="AJ69" s="73">
        <f>Cash_Flow_Annual!AC18</f>
        <v>1511.5346163936592</v>
      </c>
      <c r="AK69" s="73">
        <f>Cash_Flow_Annual!AD18</f>
        <v>728.82859166870185</v>
      </c>
      <c r="AL69" s="73">
        <f>Cash_Flow_Annual!AE18</f>
        <v>665.6330173602837</v>
      </c>
      <c r="AM69" s="73">
        <f>Cash_Flow_Annual!AF18</f>
        <v>871.10756678646067</v>
      </c>
      <c r="BD69" s="262"/>
      <c r="BE69" s="262"/>
    </row>
    <row r="70" spans="1:57">
      <c r="A70" s="1" t="str">
        <f>Balance_Sheet_Qtr!A70</f>
        <v>Days Sales in Contract Assets</v>
      </c>
      <c r="B70" s="21"/>
      <c r="C70" s="21"/>
      <c r="D70" s="21"/>
      <c r="E70" s="21"/>
      <c r="F70" s="21"/>
      <c r="G70" s="21"/>
      <c r="H70" s="21"/>
      <c r="I70" s="21"/>
      <c r="J70" s="21"/>
      <c r="K70" s="21"/>
      <c r="L70" s="21"/>
      <c r="M70" s="21"/>
      <c r="N70" s="21"/>
      <c r="O70" s="21"/>
      <c r="P70" s="21"/>
      <c r="Q70" s="37"/>
      <c r="R70" s="37"/>
      <c r="S70" s="37"/>
      <c r="T70" s="37"/>
      <c r="U70" s="36"/>
      <c r="V70" s="37"/>
      <c r="W70" s="37"/>
      <c r="X70" s="37">
        <f>Balance_Sheet_Qtr!AO70</f>
        <v>15.498364888123925</v>
      </c>
      <c r="Y70" s="37">
        <f>Balance_Sheet_Qtr!AT70</f>
        <v>29.686969559805366</v>
      </c>
      <c r="Z70" s="37">
        <f>Balance_Sheet_Qtr!AY70</f>
        <v>28.123352798304996</v>
      </c>
      <c r="AA70" s="37">
        <f>Balance_Sheet_Qtr!BD70</f>
        <v>27.947115908843092</v>
      </c>
      <c r="AB70" s="37">
        <f>Balance_Sheet_Qtr!BI70</f>
        <v>27</v>
      </c>
      <c r="AC70" s="268">
        <f>AB70-0.5</f>
        <v>26.5</v>
      </c>
      <c r="AD70" s="268">
        <f t="shared" ref="AD70:AF70" si="9">AC70-0.5</f>
        <v>26</v>
      </c>
      <c r="AE70" s="268">
        <f t="shared" si="9"/>
        <v>25.5</v>
      </c>
      <c r="AF70" s="268">
        <f t="shared" si="9"/>
        <v>25</v>
      </c>
      <c r="AH70" s="73" t="str">
        <f>Cash_Flow_Annual!A19</f>
        <v>Contract Liabilities and Current Deferred Income</v>
      </c>
      <c r="AI70" s="73">
        <f>Cash_Flow_Annual!AB19</f>
        <v>453.64220123725136</v>
      </c>
      <c r="AJ70" s="73">
        <f>Cash_Flow_Annual!AC19</f>
        <v>595.46053385300002</v>
      </c>
      <c r="AK70" s="73">
        <f>Cash_Flow_Annual!AD19</f>
        <v>610.74105650989077</v>
      </c>
      <c r="AL70" s="73">
        <f>Cash_Flow_Annual!AE19</f>
        <v>409.71190585612021</v>
      </c>
      <c r="AM70" s="73">
        <f>Cash_Flow_Annual!AF19</f>
        <v>435.08552691659679</v>
      </c>
      <c r="BD70" s="262"/>
      <c r="BE70" s="262"/>
    </row>
    <row r="71" spans="1:57">
      <c r="B71" s="21"/>
      <c r="C71" s="21"/>
      <c r="D71" s="21"/>
      <c r="E71" s="21"/>
      <c r="F71" s="21"/>
      <c r="G71" s="21"/>
      <c r="H71" s="21"/>
      <c r="I71" s="21"/>
      <c r="J71" s="21"/>
      <c r="K71" s="21"/>
      <c r="L71" s="21"/>
      <c r="M71" s="21"/>
      <c r="N71" s="21"/>
      <c r="O71" s="21"/>
      <c r="P71" s="21"/>
      <c r="Q71" s="21"/>
      <c r="R71" s="21"/>
      <c r="S71" s="21"/>
      <c r="T71" s="21"/>
      <c r="U71" s="20"/>
      <c r="V71" s="21"/>
      <c r="W71" s="21"/>
      <c r="X71" s="21"/>
      <c r="Y71" s="179"/>
      <c r="Z71" s="179"/>
      <c r="AA71" s="179"/>
      <c r="AB71" s="179"/>
      <c r="AC71" s="179"/>
      <c r="AD71" s="179"/>
      <c r="AE71" s="179"/>
      <c r="AF71" s="179"/>
      <c r="AH71" s="73" t="str">
        <f>Cash_Flow_Annual!A20</f>
        <v>Progress Collections</v>
      </c>
      <c r="AI71" s="73">
        <f>Cash_Flow_Annual!AB20</f>
        <v>650</v>
      </c>
      <c r="AJ71" s="73">
        <f>Cash_Flow_Annual!AC20</f>
        <v>650</v>
      </c>
      <c r="AK71" s="73">
        <f>Cash_Flow_Annual!AD20</f>
        <v>650</v>
      </c>
      <c r="AL71" s="73">
        <f>Cash_Flow_Annual!AE20</f>
        <v>650</v>
      </c>
      <c r="AM71" s="73">
        <f>Cash_Flow_Annual!AF20</f>
        <v>650</v>
      </c>
      <c r="BD71" s="262"/>
      <c r="BE71" s="262"/>
    </row>
    <row r="72" spans="1:57">
      <c r="A72" s="12" t="str">
        <f>Balance_Sheet_Qtr!A72</f>
        <v>As a % of Total Revenue</v>
      </c>
      <c r="B72" s="21"/>
      <c r="C72" s="21"/>
      <c r="D72" s="21"/>
      <c r="E72" s="21"/>
      <c r="F72" s="21"/>
      <c r="G72" s="21"/>
      <c r="H72" s="21"/>
      <c r="I72" s="21"/>
      <c r="J72" s="21"/>
      <c r="K72" s="21"/>
      <c r="L72" s="21"/>
      <c r="M72" s="21"/>
      <c r="N72" s="21"/>
      <c r="O72" s="21"/>
      <c r="P72" s="21"/>
      <c r="Q72" s="21"/>
      <c r="R72" s="21"/>
      <c r="S72" s="21"/>
      <c r="T72" s="21"/>
      <c r="U72" s="20"/>
      <c r="V72" s="21"/>
      <c r="W72" s="21"/>
      <c r="X72" s="21"/>
      <c r="Y72" s="179"/>
      <c r="Z72" s="179"/>
      <c r="AA72" s="179"/>
      <c r="AB72" s="179"/>
      <c r="AC72" s="179"/>
      <c r="AD72" s="179"/>
      <c r="AE72" s="179"/>
      <c r="AF72" s="179"/>
      <c r="AH72" s="73" t="str">
        <f>Cash_Flow_Annual!A21</f>
        <v>Sales Discounts and Allowances</v>
      </c>
      <c r="AI72" s="73">
        <f>Cash_Flow_Annual!AB21</f>
        <v>706</v>
      </c>
      <c r="AJ72" s="73">
        <f ca="1">Cash_Flow_Annual!AC21</f>
        <v>0</v>
      </c>
      <c r="AK72" s="73">
        <f ca="1">Cash_Flow_Annual!AD21</f>
        <v>0</v>
      </c>
      <c r="AL72" s="73">
        <f ca="1">Cash_Flow_Annual!AE21</f>
        <v>0</v>
      </c>
      <c r="AM72" s="73">
        <f ca="1">Cash_Flow_Annual!AF21</f>
        <v>0</v>
      </c>
      <c r="AT72" s="4"/>
      <c r="AU72" s="4"/>
      <c r="AV72" s="4"/>
      <c r="AW72" s="4"/>
      <c r="AX72" s="4"/>
      <c r="AY72" s="4"/>
      <c r="AZ72" s="4"/>
      <c r="BA72" s="4"/>
      <c r="BC72" s="4"/>
      <c r="BD72" s="263"/>
      <c r="BE72" s="263"/>
    </row>
    <row r="73" spans="1:57">
      <c r="A73" s="1" t="str">
        <f>Balance_Sheet_Qtr!A73</f>
        <v>Inventories</v>
      </c>
      <c r="B73" s="35"/>
      <c r="C73" s="35"/>
      <c r="D73" s="35"/>
      <c r="E73" s="35"/>
      <c r="F73" s="35"/>
      <c r="G73" s="35"/>
      <c r="H73" s="35"/>
      <c r="I73" s="35"/>
      <c r="J73" s="35"/>
      <c r="K73" s="35"/>
      <c r="L73" s="35"/>
      <c r="M73" s="35"/>
      <c r="N73" s="35"/>
      <c r="O73" s="35"/>
      <c r="P73" s="35"/>
      <c r="Q73" s="164"/>
      <c r="R73" s="164"/>
      <c r="S73" s="164"/>
      <c r="T73" s="164"/>
      <c r="U73" s="69"/>
      <c r="V73" s="164"/>
      <c r="W73" s="164"/>
      <c r="X73" s="164">
        <f>Balance_Sheet_Qtr!AO73</f>
        <v>0.27004334185662732</v>
      </c>
      <c r="Y73" s="304">
        <f>Balance_Sheet_Qtr!AT73</f>
        <v>0.25920710910854533</v>
      </c>
      <c r="Z73" s="304">
        <f>Balance_Sheet_Qtr!AY73</f>
        <v>0.27798183423023265</v>
      </c>
      <c r="AA73" s="304">
        <f>Balance_Sheet_Qtr!BD73</f>
        <v>0.28042153017343224</v>
      </c>
      <c r="AB73" s="304">
        <f>Balance_Sheet_Qtr!BI73</f>
        <v>0.26082191780821917</v>
      </c>
      <c r="AC73" s="180">
        <f>AC8/ProForma_IS_Annual!AC11</f>
        <v>0.2552054794520548</v>
      </c>
      <c r="AD73" s="180">
        <f>AD8/ProForma_IS_Annual!AD11</f>
        <v>0.24964383561643835</v>
      </c>
      <c r="AE73" s="180">
        <f>AE8/ProForma_IS_Annual!AE11</f>
        <v>0.24778082191780823</v>
      </c>
      <c r="AF73" s="180">
        <f>AF8/ProForma_IS_Annual!AF11</f>
        <v>0.24591780821917811</v>
      </c>
      <c r="AH73" s="73" t="str">
        <f>Cash_Flow_Annual!A22</f>
        <v>Working Capital</v>
      </c>
      <c r="AI73" s="73">
        <f>Cash_Flow_Annual!AB22</f>
        <v>175.13204651611341</v>
      </c>
      <c r="AJ73" s="73">
        <f ca="1">Cash_Flow_Annual!AC22</f>
        <v>-295.70428748291624</v>
      </c>
      <c r="AK73" s="73">
        <f ca="1">Cash_Flow_Annual!AD22</f>
        <v>-289.08556316030626</v>
      </c>
      <c r="AL73" s="73">
        <f ca="1">Cash_Flow_Annual!AE22</f>
        <v>-351.11019035159643</v>
      </c>
      <c r="AM73" s="73">
        <f ca="1">Cash_Flow_Annual!AF22</f>
        <v>-551.20793188256175</v>
      </c>
    </row>
    <row r="74" spans="1:57">
      <c r="A74" s="1" t="str">
        <f>Balance_Sheet_Qtr!A74</f>
        <v>Other Current Assets</v>
      </c>
      <c r="B74" s="35"/>
      <c r="C74" s="35"/>
      <c r="D74" s="35"/>
      <c r="E74" s="35"/>
      <c r="F74" s="35"/>
      <c r="G74" s="35"/>
      <c r="H74" s="35"/>
      <c r="I74" s="35"/>
      <c r="J74" s="35"/>
      <c r="K74" s="35"/>
      <c r="L74" s="35"/>
      <c r="M74" s="35"/>
      <c r="N74" s="35"/>
      <c r="O74" s="35"/>
      <c r="P74" s="35"/>
      <c r="Q74" s="164"/>
      <c r="R74" s="164"/>
      <c r="S74" s="164"/>
      <c r="T74" s="164"/>
      <c r="U74" s="69"/>
      <c r="V74" s="164"/>
      <c r="W74" s="164"/>
      <c r="X74" s="164">
        <f>Balance_Sheet_Qtr!AO74</f>
        <v>2.5388535262862014E-2</v>
      </c>
      <c r="Y74" s="192">
        <f>Balance_Sheet_Qtr!AT74</f>
        <v>3.8924872492881506E-2</v>
      </c>
      <c r="Z74" s="192">
        <f>Balance_Sheet_Qtr!AY74</f>
        <v>2.7391019617892431E-2</v>
      </c>
      <c r="AA74" s="192">
        <f>Balance_Sheet_Qtr!BD74</f>
        <v>2.4857048343651055E-2</v>
      </c>
      <c r="AB74" s="192">
        <f>Balance_Sheet_Qtr!BI74</f>
        <v>2.2499999999999999E-2</v>
      </c>
      <c r="AC74" s="183">
        <f>AB74-0.0025</f>
        <v>0.02</v>
      </c>
      <c r="AD74" s="183">
        <f>AC74-0.0025</f>
        <v>1.7500000000000002E-2</v>
      </c>
      <c r="AE74" s="183">
        <f>AD74-0.0025</f>
        <v>1.5000000000000001E-2</v>
      </c>
      <c r="AF74" s="183">
        <f>AE74-0.0025</f>
        <v>1.2500000000000001E-2</v>
      </c>
      <c r="AH74" s="73"/>
      <c r="AI74" s="73"/>
      <c r="AJ74" s="73"/>
      <c r="AK74" s="73"/>
      <c r="AL74" s="73"/>
      <c r="AM74" s="73"/>
    </row>
    <row r="75" spans="1:57">
      <c r="B75" s="21"/>
      <c r="C75" s="21"/>
      <c r="D75" s="21"/>
      <c r="E75" s="21"/>
      <c r="F75" s="21"/>
      <c r="G75" s="21"/>
      <c r="H75" s="21"/>
      <c r="I75" s="21"/>
      <c r="J75" s="21"/>
      <c r="K75" s="21"/>
      <c r="L75" s="21"/>
      <c r="M75" s="21"/>
      <c r="N75" s="21"/>
      <c r="O75" s="21"/>
      <c r="P75" s="21"/>
      <c r="Q75" s="21"/>
      <c r="R75" s="21"/>
      <c r="S75" s="21"/>
      <c r="T75" s="21"/>
      <c r="U75" s="20"/>
      <c r="V75" s="21"/>
      <c r="W75" s="21"/>
      <c r="X75" s="21"/>
      <c r="Y75" s="231"/>
      <c r="Z75" s="231"/>
      <c r="AA75" s="231"/>
      <c r="AB75" s="231"/>
      <c r="AC75" s="179"/>
      <c r="AD75" s="179"/>
      <c r="AE75" s="179"/>
      <c r="AF75" s="179"/>
      <c r="AH75" s="73" t="s">
        <v>614</v>
      </c>
      <c r="AI75" s="73">
        <f ca="1">Cash_Flow_Annual!AB27</f>
        <v>10609.549929447247</v>
      </c>
      <c r="AJ75" s="73">
        <f ca="1">Cash_Flow_Annual!AC27</f>
        <v>11518.15432412711</v>
      </c>
      <c r="AK75" s="73">
        <f ca="1">Cash_Flow_Annual!AD27</f>
        <v>12893.328362509958</v>
      </c>
      <c r="AL75" s="73">
        <f ca="1">Cash_Flow_Annual!AE27</f>
        <v>14268.762009693932</v>
      </c>
      <c r="AM75" s="73">
        <f ca="1">Cash_Flow_Annual!AF27</f>
        <v>15704.25999524269</v>
      </c>
    </row>
    <row r="76" spans="1:57">
      <c r="A76" s="12" t="str">
        <f>Balance_Sheet_Qtr!A76</f>
        <v>Leverage Metrics</v>
      </c>
      <c r="B76" s="21"/>
      <c r="C76" s="21"/>
      <c r="D76" s="21"/>
      <c r="E76" s="21"/>
      <c r="F76" s="21"/>
      <c r="G76" s="21"/>
      <c r="H76" s="21"/>
      <c r="I76" s="21"/>
      <c r="J76" s="21"/>
      <c r="K76" s="21"/>
      <c r="L76" s="21"/>
      <c r="M76" s="21"/>
      <c r="N76" s="21"/>
      <c r="O76" s="21"/>
      <c r="P76" s="21"/>
      <c r="Q76" s="21"/>
      <c r="R76" s="21"/>
      <c r="S76" s="21"/>
      <c r="T76" s="21"/>
      <c r="U76" s="20"/>
      <c r="V76" s="21"/>
      <c r="W76" s="21"/>
      <c r="X76" s="21"/>
      <c r="Y76" s="231"/>
      <c r="Z76" s="231"/>
      <c r="AA76" s="231"/>
      <c r="AB76" s="231"/>
      <c r="AC76" s="179"/>
      <c r="AD76" s="179"/>
      <c r="AE76" s="179"/>
      <c r="AF76" s="179"/>
      <c r="AH76" s="24" t="s">
        <v>615</v>
      </c>
      <c r="AI76" s="254">
        <f ca="1">Cash_Flow_Annual!AB91</f>
        <v>9219.2463127350948</v>
      </c>
      <c r="AJ76" s="254">
        <f ca="1">Cash_Flow_Annual!AC91</f>
        <v>9755.5613248039335</v>
      </c>
      <c r="AK76" s="254">
        <f ca="1">Cash_Flow_Annual!AD91</f>
        <v>10968.847952537435</v>
      </c>
      <c r="AL76" s="254">
        <f ca="1">Cash_Flow_Annual!AE91</f>
        <v>12200.219475097612</v>
      </c>
      <c r="AM76" s="254">
        <f ca="1">Cash_Flow_Annual!AF91</f>
        <v>13474.349064835375</v>
      </c>
    </row>
    <row r="77" spans="1:57">
      <c r="A77" s="1" t="str">
        <f>Balance_Sheet_Qtr!A77</f>
        <v>Total Debt</v>
      </c>
      <c r="B77" s="75"/>
      <c r="C77" s="75"/>
      <c r="D77" s="75"/>
      <c r="E77" s="75"/>
      <c r="F77" s="75"/>
      <c r="G77" s="75"/>
      <c r="H77" s="75"/>
      <c r="I77" s="75"/>
      <c r="J77" s="75"/>
      <c r="K77" s="75"/>
      <c r="L77" s="75"/>
      <c r="M77" s="75"/>
      <c r="N77" s="75"/>
      <c r="O77" s="75"/>
      <c r="P77" s="75"/>
      <c r="Q77" s="118"/>
      <c r="R77" s="118"/>
      <c r="S77" s="154"/>
      <c r="T77" s="154"/>
      <c r="U77" s="199"/>
      <c r="V77" s="154"/>
      <c r="W77" s="154"/>
      <c r="X77" s="154">
        <f>Balance_Sheet_Qtr!AO77</f>
        <v>24059</v>
      </c>
      <c r="Y77" s="154">
        <f>Balance_Sheet_Qtr!AT77</f>
        <v>20525</v>
      </c>
      <c r="Z77" s="154">
        <f>Balance_Sheet_Qtr!AY77</f>
        <v>19273</v>
      </c>
      <c r="AA77" s="154">
        <f>Balance_Sheet_Qtr!BD77</f>
        <v>20494</v>
      </c>
      <c r="AB77" s="154">
        <f>Balance_Sheet_Qtr!BI77</f>
        <v>19157</v>
      </c>
      <c r="AC77" s="75">
        <f t="shared" ref="AC77:AE77" si="10">AC40+AC29</f>
        <v>19157</v>
      </c>
      <c r="AD77" s="75">
        <f t="shared" si="10"/>
        <v>19157</v>
      </c>
      <c r="AE77" s="75">
        <f t="shared" si="10"/>
        <v>19157</v>
      </c>
      <c r="AF77" s="75">
        <f t="shared" ref="AF77" si="11">AF40+AF29</f>
        <v>19157</v>
      </c>
    </row>
    <row r="78" spans="1:57">
      <c r="A78" s="1" t="str">
        <f>Balance_Sheet_Qtr!A78</f>
        <v>Net Debt</v>
      </c>
      <c r="B78" s="75"/>
      <c r="C78" s="75"/>
      <c r="D78" s="75"/>
      <c r="E78" s="75"/>
      <c r="F78" s="75"/>
      <c r="G78" s="75"/>
      <c r="H78" s="75"/>
      <c r="I78" s="75"/>
      <c r="J78" s="75"/>
      <c r="K78" s="75"/>
      <c r="L78" s="75"/>
      <c r="M78" s="75"/>
      <c r="N78" s="75"/>
      <c r="O78" s="75"/>
      <c r="P78" s="75"/>
      <c r="Q78" s="118"/>
      <c r="R78" s="118"/>
      <c r="S78" s="154"/>
      <c r="T78" s="154"/>
      <c r="U78" s="199"/>
      <c r="V78" s="154"/>
      <c r="W78" s="154"/>
      <c r="X78" s="154">
        <f>Balance_Sheet_Qtr!AO78</f>
        <v>8249</v>
      </c>
      <c r="Y78" s="154">
        <f>Balance_Sheet_Qtr!AT78</f>
        <v>5321</v>
      </c>
      <c r="Z78" s="154">
        <f>Balance_Sheet_Qtr!AY78</f>
        <v>5654</v>
      </c>
      <c r="AA78" s="154">
        <f>Balance_Sheet_Qtr!BD78</f>
        <v>8102</v>
      </c>
      <c r="AB78" s="154">
        <f ca="1">Balance_Sheet_Qtr!BI78</f>
        <v>9343.5044638167492</v>
      </c>
      <c r="AC78" s="75">
        <f t="shared" ref="AC78:AE78" ca="1" si="12">-AC5+AC77</f>
        <v>9209.1789261014255</v>
      </c>
      <c r="AD78" s="75">
        <f t="shared" ca="1" si="12"/>
        <v>9022.3327607229021</v>
      </c>
      <c r="AE78" s="75">
        <f t="shared" ca="1" si="12"/>
        <v>8525.2853432805587</v>
      </c>
      <c r="AF78" s="75">
        <f t="shared" ref="AF78" ca="1" si="13">-AF5+AF77</f>
        <v>7687.5664881923731</v>
      </c>
      <c r="AH78" s="24" t="s">
        <v>113</v>
      </c>
      <c r="AI78" s="259">
        <f ca="1">Cash_Flow_Annual!AB92</f>
        <v>1.1187246696624076</v>
      </c>
      <c r="AJ78" s="259">
        <f ca="1">Cash_Flow_Annual!AC92</f>
        <v>1.0384458624739654</v>
      </c>
      <c r="AK78" s="259">
        <f ca="1">Cash_Flow_Annual!AD92</f>
        <v>1.0157393765638743</v>
      </c>
      <c r="AL78" s="259">
        <f ca="1">Cash_Flow_Annual!AE92</f>
        <v>1.002796918224109</v>
      </c>
      <c r="AM78" s="259">
        <f ca="1">Cash_Flow_Annual!AF92</f>
        <v>0.97972454074126158</v>
      </c>
    </row>
    <row r="79" spans="1:57">
      <c r="A79" s="1" t="str">
        <f>Balance_Sheet_Qtr!A79</f>
        <v>Net Debt to EBITDA</v>
      </c>
      <c r="B79" s="125"/>
      <c r="C79" s="125"/>
      <c r="D79" s="125"/>
      <c r="E79" s="125"/>
      <c r="F79" s="125"/>
      <c r="G79" s="125"/>
      <c r="H79" s="125"/>
      <c r="I79" s="125"/>
      <c r="J79" s="125"/>
      <c r="K79" s="125"/>
      <c r="L79" s="125"/>
      <c r="M79" s="125"/>
      <c r="N79" s="125"/>
      <c r="O79" s="125"/>
      <c r="P79" s="125"/>
      <c r="Q79" s="133"/>
      <c r="R79" s="133"/>
      <c r="S79" s="133"/>
      <c r="T79" s="133"/>
      <c r="U79" s="133"/>
      <c r="V79" s="187"/>
      <c r="W79" s="187"/>
      <c r="X79" s="187">
        <f>Balance_Sheet_Qtr!AO79</f>
        <v>1.3774351552933317</v>
      </c>
      <c r="Y79" s="187">
        <f>Balance_Sheet_Qtr!AT79</f>
        <v>0.7893487613113781</v>
      </c>
      <c r="Z79" s="187">
        <f>Balance_Sheet_Qtr!AY79</f>
        <v>0.6701434159061278</v>
      </c>
      <c r="AA79" s="187">
        <f>Balance_Sheet_Qtr!BD79</f>
        <v>0.78851581508515811</v>
      </c>
      <c r="AB79" s="187">
        <f ca="1">Balance_Sheet_Qtr!BI79</f>
        <v>0.7791837959879917</v>
      </c>
      <c r="AC79" s="125">
        <f ca="1">AC78/(ProForma_IS_Annual!AC78)</f>
        <v>0.68512740728474275</v>
      </c>
      <c r="AD79" s="125">
        <f ca="1">AD78/(ProForma_IS_Annual!AD78)</f>
        <v>0.59561337858347874</v>
      </c>
      <c r="AE79" s="125">
        <f ca="1">AE78/(ProForma_IS_Annual!AE78)</f>
        <v>0.50603374883826957</v>
      </c>
      <c r="AF79" s="125">
        <f ca="1">AF78/(ProForma_IS_Annual!AF78)</f>
        <v>0.40927407164143437</v>
      </c>
    </row>
    <row r="80" spans="1:57">
      <c r="A80" s="1"/>
      <c r="B80" s="133"/>
      <c r="C80" s="133"/>
      <c r="D80" s="133"/>
      <c r="E80" s="133"/>
      <c r="F80" s="133"/>
      <c r="G80" s="133"/>
      <c r="H80" s="133"/>
      <c r="I80" s="133"/>
      <c r="J80" s="133"/>
      <c r="K80" s="133"/>
      <c r="L80" s="133"/>
      <c r="M80" s="133"/>
      <c r="N80" s="133"/>
      <c r="O80" s="133"/>
      <c r="P80" s="133"/>
      <c r="Q80" s="133"/>
      <c r="R80" s="133"/>
      <c r="S80" s="133"/>
      <c r="T80" s="133"/>
      <c r="U80" s="133"/>
      <c r="V80" s="187"/>
      <c r="W80" s="187"/>
      <c r="X80" s="187"/>
      <c r="Y80" s="179"/>
      <c r="Z80" s="179"/>
      <c r="AA80" s="179"/>
      <c r="AB80" s="179"/>
      <c r="AC80" s="179"/>
      <c r="AD80" s="179"/>
      <c r="AE80" s="179"/>
      <c r="AF80" s="179"/>
    </row>
    <row r="81" spans="1:32">
      <c r="A81" s="102" t="str">
        <f>Balance_Sheet_Qtr!A81</f>
        <v>Dry Powder Calculation for M&amp;A</v>
      </c>
      <c r="B81" s="134"/>
      <c r="C81" s="134"/>
      <c r="D81" s="134"/>
      <c r="E81" s="134"/>
      <c r="F81" s="134"/>
      <c r="G81" s="134"/>
      <c r="H81" s="134"/>
      <c r="I81" s="134"/>
      <c r="J81" s="134"/>
      <c r="K81" s="134"/>
      <c r="L81" s="134"/>
      <c r="M81" s="134"/>
      <c r="N81" s="134"/>
      <c r="O81" s="134"/>
      <c r="P81" s="134"/>
      <c r="Q81" s="134"/>
      <c r="R81" s="134"/>
      <c r="S81" s="134"/>
      <c r="T81" s="134"/>
      <c r="U81" s="134"/>
      <c r="V81" s="188"/>
      <c r="W81" s="188"/>
      <c r="X81" s="188"/>
      <c r="Y81" s="201"/>
      <c r="Z81" s="201"/>
      <c r="AA81" s="201"/>
      <c r="AB81" s="201"/>
      <c r="AC81" s="201"/>
      <c r="AD81" s="201"/>
      <c r="AE81" s="201"/>
      <c r="AF81" s="201"/>
    </row>
    <row r="82" spans="1:32">
      <c r="A82" s="1" t="str">
        <f>Balance_Sheet_Qtr!A82</f>
        <v>Cash</v>
      </c>
      <c r="B82" s="75"/>
      <c r="C82" s="75"/>
      <c r="D82" s="75"/>
      <c r="E82" s="75"/>
      <c r="F82" s="75"/>
      <c r="G82" s="75"/>
      <c r="H82" s="75"/>
      <c r="I82" s="75"/>
      <c r="J82" s="75"/>
      <c r="K82" s="75"/>
      <c r="L82" s="75"/>
      <c r="M82" s="75"/>
      <c r="N82" s="75"/>
      <c r="O82" s="75"/>
      <c r="P82" s="75"/>
      <c r="Q82" s="118"/>
      <c r="R82" s="118"/>
      <c r="S82" s="118"/>
      <c r="T82" s="118"/>
      <c r="U82" s="118"/>
      <c r="V82" s="154"/>
      <c r="W82" s="154"/>
      <c r="X82" s="154"/>
      <c r="Y82" s="154"/>
      <c r="Z82" s="154">
        <f>Balance_Sheet_Qtr!AY82</f>
        <v>0</v>
      </c>
      <c r="AA82" s="154">
        <f>Balance_Sheet_Qtr!BD82</f>
        <v>0</v>
      </c>
      <c r="AB82" s="154">
        <f ca="1">Balance_Sheet_Qtr!BI82</f>
        <v>9813.4955361832508</v>
      </c>
      <c r="AC82" s="75">
        <f ca="1">AC5</f>
        <v>9947.8210738985745</v>
      </c>
      <c r="AD82" s="75">
        <f ca="1">AD5</f>
        <v>10134.667239277098</v>
      </c>
      <c r="AE82" s="75">
        <f ca="1">AE5</f>
        <v>10631.714656719441</v>
      </c>
      <c r="AF82" s="75">
        <f ca="1">AF5</f>
        <v>11469.433511807627</v>
      </c>
    </row>
    <row r="83" spans="1:32">
      <c r="A83" s="1" t="str">
        <f>Balance_Sheet_Qtr!A83</f>
        <v>Incremental Debt</v>
      </c>
      <c r="B83" s="75"/>
      <c r="C83" s="75"/>
      <c r="D83" s="75"/>
      <c r="E83" s="75"/>
      <c r="F83" s="75"/>
      <c r="G83" s="75"/>
      <c r="H83" s="75"/>
      <c r="I83" s="75"/>
      <c r="J83" s="75"/>
      <c r="K83" s="75"/>
      <c r="L83" s="75"/>
      <c r="M83" s="75"/>
      <c r="N83" s="75"/>
      <c r="O83" s="75"/>
      <c r="P83" s="75"/>
      <c r="Q83" s="118"/>
      <c r="R83" s="118"/>
      <c r="S83" s="118"/>
      <c r="T83" s="118"/>
      <c r="U83" s="118"/>
      <c r="V83" s="154"/>
      <c r="W83" s="154"/>
      <c r="X83" s="154"/>
      <c r="Y83" s="154"/>
      <c r="Z83" s="154">
        <f>Balance_Sheet_Qtr!AY83</f>
        <v>0</v>
      </c>
      <c r="AA83" s="154">
        <f>Balance_Sheet_Qtr!BD83</f>
        <v>0</v>
      </c>
      <c r="AB83" s="154">
        <f ca="1">Balance_Sheet_Qtr!BI83</f>
        <v>33288.368903372568</v>
      </c>
      <c r="AC83" s="75">
        <f ca="1">(ProForma_IS_Annual!AC78+Balance_Sheet_Annual!AC87)*AC85+(Balance_Sheet_Annual!AC82-AC77)</f>
        <v>38894.36415543803</v>
      </c>
      <c r="AD83" s="75">
        <f ca="1">(ProForma_IS_Annual!AD78+Balance_Sheet_Annual!AD87)*AD85+(Balance_Sheet_Annual!AD82-AD77)</f>
        <v>45526.966325542562</v>
      </c>
      <c r="AE83" s="75">
        <f ca="1">(ProForma_IS_Annual!AE78+Balance_Sheet_Annual!AE87)*AE85+(Balance_Sheet_Annual!AE82-AE77)</f>
        <v>52520.642092739181</v>
      </c>
      <c r="AF83" s="75">
        <f ca="1">(ProForma_IS_Annual!AF78+Balance_Sheet_Annual!AF87)*AF85+(Balance_Sheet_Annual!AF82-AF77)</f>
        <v>60828.364190845794</v>
      </c>
    </row>
    <row r="84" spans="1:32">
      <c r="A84" s="131" t="str">
        <f>Balance_Sheet_Qtr!A84</f>
        <v>Dry Powder for M&amp;A</v>
      </c>
      <c r="B84" s="23"/>
      <c r="C84" s="23"/>
      <c r="D84" s="23"/>
      <c r="E84" s="23"/>
      <c r="F84" s="23"/>
      <c r="G84" s="23"/>
      <c r="H84" s="23"/>
      <c r="I84" s="23"/>
      <c r="J84" s="23"/>
      <c r="K84" s="23"/>
      <c r="L84" s="23"/>
      <c r="M84" s="23"/>
      <c r="N84" s="23"/>
      <c r="O84" s="23"/>
      <c r="P84" s="23"/>
      <c r="Q84" s="119"/>
      <c r="R84" s="119"/>
      <c r="S84" s="119"/>
      <c r="T84" s="119"/>
      <c r="U84" s="119"/>
      <c r="V84" s="160"/>
      <c r="W84" s="160"/>
      <c r="X84" s="160"/>
      <c r="Y84" s="160"/>
      <c r="Z84" s="160">
        <f>Balance_Sheet_Qtr!AY84</f>
        <v>0</v>
      </c>
      <c r="AA84" s="160">
        <f>Balance_Sheet_Qtr!BD84</f>
        <v>0</v>
      </c>
      <c r="AB84" s="160">
        <f ca="1">Balance_Sheet_Qtr!BI84</f>
        <v>33288.368903372568</v>
      </c>
      <c r="AC84" s="23">
        <f ca="1">AC83</f>
        <v>38894.36415543803</v>
      </c>
      <c r="AD84" s="23">
        <f ca="1">AD83</f>
        <v>45526.966325542562</v>
      </c>
      <c r="AE84" s="23">
        <f ca="1">AE83</f>
        <v>52520.642092739181</v>
      </c>
      <c r="AF84" s="23">
        <f ca="1">AF83</f>
        <v>60828.364190845794</v>
      </c>
    </row>
    <row r="85" spans="1:32">
      <c r="A85" s="1" t="str">
        <f>Balance_Sheet_Qtr!A85</f>
        <v>Target Post-Deal Net Debt to EBITDA</v>
      </c>
      <c r="B85" s="127"/>
      <c r="C85" s="127"/>
      <c r="D85" s="127"/>
      <c r="E85" s="127"/>
      <c r="F85" s="127"/>
      <c r="G85" s="127"/>
      <c r="H85" s="127"/>
      <c r="I85" s="127"/>
      <c r="J85" s="127"/>
      <c r="K85" s="127"/>
      <c r="L85" s="127"/>
      <c r="M85" s="127"/>
      <c r="N85" s="127"/>
      <c r="O85" s="127"/>
      <c r="P85" s="127"/>
      <c r="Q85" s="133"/>
      <c r="R85" s="133"/>
      <c r="S85" s="133"/>
      <c r="T85" s="133"/>
      <c r="U85" s="133"/>
      <c r="V85" s="187"/>
      <c r="W85" s="187"/>
      <c r="X85" s="187"/>
      <c r="Y85" s="187"/>
      <c r="Z85" s="187">
        <f>Balance_Sheet_Qtr!AY85</f>
        <v>0</v>
      </c>
      <c r="AA85" s="187">
        <f>Balance_Sheet_Qtr!BD85</f>
        <v>0</v>
      </c>
      <c r="AB85" s="187">
        <f>Balance_Sheet_Qtr!BI85</f>
        <v>3</v>
      </c>
      <c r="AC85" s="127">
        <f>AB85</f>
        <v>3</v>
      </c>
      <c r="AD85" s="127">
        <f t="shared" ref="AD85:AF85" si="14">AC85</f>
        <v>3</v>
      </c>
      <c r="AE85" s="127">
        <f t="shared" si="14"/>
        <v>3</v>
      </c>
      <c r="AF85" s="127">
        <f t="shared" si="14"/>
        <v>3</v>
      </c>
    </row>
    <row r="86" spans="1:32">
      <c r="A86" s="1" t="str">
        <f>Balance_Sheet_Qtr!A86</f>
        <v>Post-Deal Net Debt to EBITDA</v>
      </c>
      <c r="B86" s="125"/>
      <c r="C86" s="125"/>
      <c r="D86" s="125"/>
      <c r="E86" s="125"/>
      <c r="F86" s="125"/>
      <c r="G86" s="125"/>
      <c r="H86" s="125"/>
      <c r="I86" s="125"/>
      <c r="J86" s="125"/>
      <c r="K86" s="125"/>
      <c r="L86" s="125"/>
      <c r="M86" s="125"/>
      <c r="N86" s="125"/>
      <c r="O86" s="125"/>
      <c r="P86" s="125"/>
      <c r="Q86" s="133"/>
      <c r="R86" s="133"/>
      <c r="S86" s="133"/>
      <c r="T86" s="133"/>
      <c r="U86" s="133"/>
      <c r="V86" s="187"/>
      <c r="W86" s="187"/>
      <c r="X86" s="187"/>
      <c r="Y86" s="187"/>
      <c r="Z86" s="187">
        <f>Balance_Sheet_Qtr!AY86</f>
        <v>0</v>
      </c>
      <c r="AA86" s="187">
        <f>Balance_Sheet_Qtr!BD86</f>
        <v>0</v>
      </c>
      <c r="AB86" s="187">
        <f ca="1">Balance_Sheet_Qtr!BI86</f>
        <v>2.9999999999999996</v>
      </c>
      <c r="AC86" s="125">
        <f ca="1">IF((AC77+AC83-AC82)/(ProForma_IS_Annual!AC78+Balance_Sheet_Annual!AC87)=AC85,(AC77+AC83-AC82)/(ProForma_IS_Annual!AC78+Balance_Sheet_Annual!AC87),"Error")</f>
        <v>3</v>
      </c>
      <c r="AD86" s="125">
        <f ca="1">IF((AD77+AD83-AD82)/(ProForma_IS_Annual!AD78+Balance_Sheet_Annual!AD87)=AD85,(AD77+AD83-AD82)/(ProForma_IS_Annual!AD78+Balance_Sheet_Annual!AD87),"Error")</f>
        <v>3</v>
      </c>
      <c r="AE86" s="125">
        <f ca="1">IF((AE77+AE83-AE82)/(ProForma_IS_Annual!AE78+Balance_Sheet_Annual!AE87)=AE85,(AE77+AE83-AE82)/(ProForma_IS_Annual!AE78+Balance_Sheet_Annual!AE87),"Error")</f>
        <v>2.9999999999999996</v>
      </c>
      <c r="AF86" s="125">
        <f ca="1">IF((AF77+AF83-AF82)/(ProForma_IS_Annual!AF78+Balance_Sheet_Annual!AF87)=AF85,(AF77+AF83-AF82)/(ProForma_IS_Annual!AF78+Balance_Sheet_Annual!AF87),"Error")</f>
        <v>3</v>
      </c>
    </row>
    <row r="87" spans="1:32">
      <c r="A87" s="1" t="str">
        <f>Balance_Sheet_Qtr!A87</f>
        <v>Acquired EBITDA</v>
      </c>
      <c r="B87" s="75"/>
      <c r="C87" s="75"/>
      <c r="D87" s="75"/>
      <c r="E87" s="75"/>
      <c r="F87" s="75"/>
      <c r="G87" s="75"/>
      <c r="H87" s="75"/>
      <c r="I87" s="75"/>
      <c r="J87" s="75"/>
      <c r="K87" s="75"/>
      <c r="L87" s="75"/>
      <c r="M87" s="75"/>
      <c r="N87" s="75"/>
      <c r="O87" s="75"/>
      <c r="P87" s="75"/>
      <c r="Q87" s="118"/>
      <c r="R87" s="118"/>
      <c r="S87" s="118"/>
      <c r="T87" s="118"/>
      <c r="U87" s="118"/>
      <c r="V87" s="154"/>
      <c r="W87" s="154"/>
      <c r="X87" s="154"/>
      <c r="Y87" s="154"/>
      <c r="Z87" s="154">
        <f>Balance_Sheet_Qtr!AY87</f>
        <v>0</v>
      </c>
      <c r="AA87" s="154">
        <f>Balance_Sheet_Qtr!BD87</f>
        <v>0</v>
      </c>
      <c r="AB87" s="154">
        <f ca="1">Balance_Sheet_Qtr!BI87</f>
        <v>2219.2245935581714</v>
      </c>
      <c r="AC87" s="75">
        <f ca="1">AC84/AC88</f>
        <v>2592.9576103625354</v>
      </c>
      <c r="AD87" s="75">
        <f ca="1">AD84/AD88</f>
        <v>3035.1310883695041</v>
      </c>
      <c r="AE87" s="75">
        <f ca="1">AE84/AE88</f>
        <v>3501.3761395159454</v>
      </c>
      <c r="AF87" s="75">
        <f ca="1">AF84/AF88</f>
        <v>4055.2242793897194</v>
      </c>
    </row>
    <row r="88" spans="1:32">
      <c r="A88" s="1" t="str">
        <f>Balance_Sheet_Qtr!A88</f>
        <v>Implied Deal Valuation (EV/EBITDA)</v>
      </c>
      <c r="B88" s="127"/>
      <c r="C88" s="127"/>
      <c r="D88" s="127"/>
      <c r="E88" s="127"/>
      <c r="F88" s="127"/>
      <c r="G88" s="127"/>
      <c r="H88" s="127"/>
      <c r="I88" s="127"/>
      <c r="J88" s="127"/>
      <c r="K88" s="127"/>
      <c r="L88" s="127"/>
      <c r="M88" s="127"/>
      <c r="N88" s="127"/>
      <c r="O88" s="127"/>
      <c r="P88" s="127"/>
      <c r="Q88" s="133"/>
      <c r="R88" s="133"/>
      <c r="S88" s="133"/>
      <c r="T88" s="133"/>
      <c r="U88" s="133"/>
      <c r="V88" s="187"/>
      <c r="W88" s="187"/>
      <c r="X88" s="187"/>
      <c r="Y88" s="187"/>
      <c r="Z88" s="187">
        <f>Balance_Sheet_Qtr!AY88</f>
        <v>0</v>
      </c>
      <c r="AA88" s="187">
        <f>Balance_Sheet_Qtr!BD88</f>
        <v>0</v>
      </c>
      <c r="AB88" s="187">
        <f>Balance_Sheet_Qtr!BI88</f>
        <v>15</v>
      </c>
      <c r="AC88" s="127">
        <f>+AB88</f>
        <v>15</v>
      </c>
      <c r="AD88" s="127">
        <f>+AC88</f>
        <v>15</v>
      </c>
      <c r="AE88" s="127">
        <f>+AD88</f>
        <v>15</v>
      </c>
      <c r="AF88" s="127">
        <f>+AE88</f>
        <v>15</v>
      </c>
    </row>
    <row r="89" spans="1:32">
      <c r="A89" s="1"/>
      <c r="B89" s="75"/>
      <c r="C89" s="75"/>
      <c r="D89" s="75"/>
      <c r="E89" s="75"/>
      <c r="F89" s="75"/>
      <c r="G89" s="75"/>
      <c r="H89" s="75"/>
      <c r="I89" s="75"/>
      <c r="J89" s="75"/>
      <c r="K89" s="75"/>
      <c r="L89" s="75"/>
      <c r="M89" s="75"/>
      <c r="N89" s="75"/>
      <c r="O89" s="75"/>
      <c r="P89" s="75"/>
      <c r="Q89" s="118"/>
      <c r="R89" s="118"/>
      <c r="S89" s="118"/>
      <c r="T89" s="118"/>
      <c r="U89" s="118"/>
      <c r="V89" s="154"/>
      <c r="W89" s="154"/>
      <c r="X89" s="154"/>
      <c r="Y89" s="154"/>
      <c r="Z89" s="154"/>
      <c r="AA89" s="154"/>
      <c r="AB89" s="154"/>
      <c r="AC89" s="75"/>
      <c r="AD89" s="75"/>
      <c r="AE89" s="75"/>
      <c r="AF89" s="75"/>
    </row>
    <row r="90" spans="1:32">
      <c r="A90" s="1" t="str">
        <f>Balance_Sheet_Qtr!A90</f>
        <v>D&amp;A as a % of EBITDA</v>
      </c>
      <c r="B90" s="132"/>
      <c r="C90" s="132"/>
      <c r="D90" s="132"/>
      <c r="E90" s="132"/>
      <c r="F90" s="132"/>
      <c r="G90" s="132"/>
      <c r="H90" s="132"/>
      <c r="I90" s="132"/>
      <c r="J90" s="132"/>
      <c r="K90" s="132"/>
      <c r="L90" s="132"/>
      <c r="M90" s="132"/>
      <c r="N90" s="132"/>
      <c r="O90" s="132"/>
      <c r="P90" s="132"/>
      <c r="Q90" s="135"/>
      <c r="R90" s="135"/>
      <c r="S90" s="135"/>
      <c r="T90" s="135"/>
      <c r="U90" s="135"/>
      <c r="V90" s="189"/>
      <c r="W90" s="189"/>
      <c r="X90" s="189"/>
      <c r="Y90" s="189"/>
      <c r="Z90" s="189">
        <f>Balance_Sheet_Qtr!AY90</f>
        <v>0</v>
      </c>
      <c r="AA90" s="189">
        <f>Balance_Sheet_Qtr!BD90</f>
        <v>0</v>
      </c>
      <c r="AB90" s="189">
        <f>Balance_Sheet_Qtr!BI90</f>
        <v>0.2</v>
      </c>
      <c r="AC90" s="132">
        <f>+AB90</f>
        <v>0.2</v>
      </c>
      <c r="AD90" s="132">
        <f>+AC90</f>
        <v>0.2</v>
      </c>
      <c r="AE90" s="132">
        <f>+AD90</f>
        <v>0.2</v>
      </c>
      <c r="AF90" s="132">
        <f>+AE90</f>
        <v>0.2</v>
      </c>
    </row>
    <row r="91" spans="1:32">
      <c r="A91" s="1" t="str">
        <f>Balance_Sheet_Qtr!A91</f>
        <v>D&amp;A Expense</v>
      </c>
      <c r="B91" s="75"/>
      <c r="C91" s="75"/>
      <c r="D91" s="75"/>
      <c r="E91" s="75"/>
      <c r="F91" s="75"/>
      <c r="G91" s="75"/>
      <c r="H91" s="75"/>
      <c r="I91" s="75"/>
      <c r="J91" s="75"/>
      <c r="K91" s="75"/>
      <c r="L91" s="75"/>
      <c r="M91" s="75"/>
      <c r="N91" s="75"/>
      <c r="O91" s="75"/>
      <c r="P91" s="75"/>
      <c r="Q91" s="118"/>
      <c r="R91" s="118"/>
      <c r="S91" s="118"/>
      <c r="T91" s="118"/>
      <c r="U91" s="118"/>
      <c r="V91" s="154"/>
      <c r="W91" s="154"/>
      <c r="X91" s="154"/>
      <c r="Y91" s="154"/>
      <c r="Z91" s="154">
        <f>Balance_Sheet_Qtr!AY91</f>
        <v>0</v>
      </c>
      <c r="AA91" s="154">
        <f>Balance_Sheet_Qtr!BD91</f>
        <v>0</v>
      </c>
      <c r="AB91" s="154">
        <f ca="1">Balance_Sheet_Qtr!BI91</f>
        <v>-443.84491871163431</v>
      </c>
      <c r="AC91" s="75">
        <f ca="1">-AC90*AC87</f>
        <v>-518.59152207250713</v>
      </c>
      <c r="AD91" s="75">
        <f ca="1">-AD90*AD87</f>
        <v>-607.02621767390087</v>
      </c>
      <c r="AE91" s="75">
        <f ca="1">-AE90*AE87</f>
        <v>-700.27522790318915</v>
      </c>
      <c r="AF91" s="75">
        <f ca="1">-AF90*AF87</f>
        <v>-811.04485587794397</v>
      </c>
    </row>
    <row r="92" spans="1:32">
      <c r="A92" s="1" t="str">
        <f>Balance_Sheet_Qtr!A92</f>
        <v>Incremental EBIT</v>
      </c>
      <c r="B92" s="75"/>
      <c r="C92" s="75"/>
      <c r="D92" s="75"/>
      <c r="E92" s="75"/>
      <c r="F92" s="75"/>
      <c r="G92" s="75"/>
      <c r="H92" s="75"/>
      <c r="I92" s="75"/>
      <c r="J92" s="75"/>
      <c r="K92" s="75"/>
      <c r="L92" s="75"/>
      <c r="M92" s="75"/>
      <c r="N92" s="75"/>
      <c r="O92" s="75"/>
      <c r="P92" s="75"/>
      <c r="Q92" s="118"/>
      <c r="R92" s="118"/>
      <c r="S92" s="118"/>
      <c r="T92" s="118"/>
      <c r="U92" s="118"/>
      <c r="V92" s="154"/>
      <c r="W92" s="154"/>
      <c r="X92" s="154"/>
      <c r="Y92" s="154"/>
      <c r="Z92" s="154">
        <f>Balance_Sheet_Qtr!AY92</f>
        <v>0</v>
      </c>
      <c r="AA92" s="154">
        <f>Balance_Sheet_Qtr!BD92</f>
        <v>0</v>
      </c>
      <c r="AB92" s="154">
        <f ca="1">Balance_Sheet_Qtr!BI92</f>
        <v>1775.379674846537</v>
      </c>
      <c r="AC92" s="75">
        <f ca="1">AC87+AC91</f>
        <v>2074.3660882900285</v>
      </c>
      <c r="AD92" s="75">
        <f ca="1">AD87+AD91</f>
        <v>2428.1048706956035</v>
      </c>
      <c r="AE92" s="75">
        <f ca="1">AE87+AE91</f>
        <v>2801.1009116127561</v>
      </c>
      <c r="AF92" s="75">
        <f ca="1">AF87+AF91</f>
        <v>3244.1794235117754</v>
      </c>
    </row>
    <row r="93" spans="1:32">
      <c r="A93" s="1" t="str">
        <f>Balance_Sheet_Qtr!A93</f>
        <v>Incremental Cost of Debt</v>
      </c>
      <c r="B93" s="132"/>
      <c r="C93" s="132"/>
      <c r="D93" s="132"/>
      <c r="E93" s="132"/>
      <c r="F93" s="132"/>
      <c r="G93" s="132"/>
      <c r="H93" s="132"/>
      <c r="I93" s="132"/>
      <c r="J93" s="132"/>
      <c r="K93" s="132"/>
      <c r="L93" s="132"/>
      <c r="M93" s="132"/>
      <c r="N93" s="132"/>
      <c r="O93" s="132"/>
      <c r="P93" s="132"/>
      <c r="Q93" s="135"/>
      <c r="R93" s="135"/>
      <c r="S93" s="135"/>
      <c r="T93" s="135"/>
      <c r="U93" s="135"/>
      <c r="V93" s="189"/>
      <c r="W93" s="189"/>
      <c r="X93" s="189"/>
      <c r="Y93" s="189"/>
      <c r="Z93" s="189">
        <f>Balance_Sheet_Qtr!AY93</f>
        <v>0</v>
      </c>
      <c r="AA93" s="189">
        <f>Balance_Sheet_Qtr!BD93</f>
        <v>0</v>
      </c>
      <c r="AB93" s="189">
        <f>Balance_Sheet_Qtr!BI93</f>
        <v>0.05</v>
      </c>
      <c r="AC93" s="132">
        <f>AB93</f>
        <v>0.05</v>
      </c>
      <c r="AD93" s="132">
        <f t="shared" ref="AD93:AF93" si="15">AC93</f>
        <v>0.05</v>
      </c>
      <c r="AE93" s="132">
        <f t="shared" si="15"/>
        <v>0.05</v>
      </c>
      <c r="AF93" s="132">
        <f t="shared" si="15"/>
        <v>0.05</v>
      </c>
    </row>
    <row r="94" spans="1:32">
      <c r="A94" s="1" t="str">
        <f>Balance_Sheet_Qtr!A94</f>
        <v>Incremental Interest Expense</v>
      </c>
      <c r="B94" s="75"/>
      <c r="C94" s="75"/>
      <c r="D94" s="75"/>
      <c r="E94" s="75"/>
      <c r="F94" s="75"/>
      <c r="G94" s="75"/>
      <c r="H94" s="75"/>
      <c r="I94" s="75"/>
      <c r="J94" s="75"/>
      <c r="K94" s="75"/>
      <c r="L94" s="75"/>
      <c r="M94" s="75"/>
      <c r="N94" s="75"/>
      <c r="O94" s="75"/>
      <c r="P94" s="75"/>
      <c r="Q94" s="118"/>
      <c r="R94" s="118"/>
      <c r="S94" s="118"/>
      <c r="T94" s="118"/>
      <c r="U94" s="118"/>
      <c r="V94" s="154"/>
      <c r="W94" s="154"/>
      <c r="X94" s="154"/>
      <c r="Y94" s="154"/>
      <c r="Z94" s="154">
        <f>Balance_Sheet_Qtr!AY94</f>
        <v>0</v>
      </c>
      <c r="AA94" s="154">
        <f>Balance_Sheet_Qtr!BD94</f>
        <v>0</v>
      </c>
      <c r="AB94" s="154">
        <f ca="1">Balance_Sheet_Qtr!BI94</f>
        <v>-1664.4184451686285</v>
      </c>
      <c r="AC94" s="75">
        <f ca="1">-AC93*AC83</f>
        <v>-1944.7182077719017</v>
      </c>
      <c r="AD94" s="75">
        <f ca="1">-AD93*AD83</f>
        <v>-2276.3483162771281</v>
      </c>
      <c r="AE94" s="75">
        <f ca="1">-AE93*AE83</f>
        <v>-2626.032104636959</v>
      </c>
      <c r="AF94" s="75">
        <f ca="1">-AF93*AF83</f>
        <v>-3041.4182095422898</v>
      </c>
    </row>
    <row r="95" spans="1:32">
      <c r="A95" s="1" t="str">
        <f>Balance_Sheet_Qtr!A95</f>
        <v>Pre-Tax Income</v>
      </c>
      <c r="B95" s="75"/>
      <c r="C95" s="75"/>
      <c r="D95" s="75"/>
      <c r="E95" s="75"/>
      <c r="F95" s="75"/>
      <c r="G95" s="75"/>
      <c r="H95" s="75"/>
      <c r="I95" s="75"/>
      <c r="J95" s="75"/>
      <c r="K95" s="75"/>
      <c r="L95" s="75"/>
      <c r="M95" s="75"/>
      <c r="N95" s="75"/>
      <c r="O95" s="75"/>
      <c r="P95" s="75"/>
      <c r="Q95" s="118"/>
      <c r="R95" s="118"/>
      <c r="S95" s="118"/>
      <c r="T95" s="118"/>
      <c r="U95" s="118"/>
      <c r="V95" s="154"/>
      <c r="W95" s="154"/>
      <c r="X95" s="154"/>
      <c r="Y95" s="154"/>
      <c r="Z95" s="154">
        <f>Balance_Sheet_Qtr!AY95</f>
        <v>0</v>
      </c>
      <c r="AA95" s="154">
        <f>Balance_Sheet_Qtr!BD95</f>
        <v>0</v>
      </c>
      <c r="AB95" s="154">
        <f ca="1">Balance_Sheet_Qtr!BI95</f>
        <v>110.96122967790848</v>
      </c>
      <c r="AC95" s="75">
        <f ca="1">AC92+AC94</f>
        <v>129.64788051812684</v>
      </c>
      <c r="AD95" s="75">
        <f ca="1">AD92+AD94</f>
        <v>151.75655441847539</v>
      </c>
      <c r="AE95" s="75">
        <f ca="1">AE92+AE94</f>
        <v>175.06880697579709</v>
      </c>
      <c r="AF95" s="75">
        <f ca="1">AF92+AF94</f>
        <v>202.76121396948565</v>
      </c>
    </row>
    <row r="96" spans="1:32">
      <c r="A96" s="1" t="str">
        <f>Balance_Sheet_Qtr!A96</f>
        <v>Incremental Tax Expense</v>
      </c>
      <c r="B96" s="75"/>
      <c r="C96" s="75"/>
      <c r="D96" s="75"/>
      <c r="E96" s="75"/>
      <c r="F96" s="75"/>
      <c r="G96" s="75"/>
      <c r="H96" s="75"/>
      <c r="I96" s="75"/>
      <c r="J96" s="75"/>
      <c r="K96" s="75"/>
      <c r="L96" s="75"/>
      <c r="M96" s="75"/>
      <c r="N96" s="75"/>
      <c r="O96" s="75"/>
      <c r="P96" s="75"/>
      <c r="Q96" s="118"/>
      <c r="R96" s="118"/>
      <c r="S96" s="118"/>
      <c r="T96" s="118"/>
      <c r="U96" s="118"/>
      <c r="V96" s="154"/>
      <c r="W96" s="154"/>
      <c r="X96" s="154"/>
      <c r="Y96" s="154"/>
      <c r="Z96" s="154">
        <f>Balance_Sheet_Qtr!AY96</f>
        <v>0</v>
      </c>
      <c r="AA96" s="154">
        <f>Balance_Sheet_Qtr!BD96</f>
        <v>0</v>
      </c>
      <c r="AB96" s="154">
        <f ca="1">Balance_Sheet_Qtr!BI96</f>
        <v>-33.288368903372543</v>
      </c>
      <c r="AC96" s="75">
        <f ca="1">-AC95*AC97</f>
        <v>-38.894364155438048</v>
      </c>
      <c r="AD96" s="75">
        <f ca="1">-AD95*AD97</f>
        <v>-45.526966325542617</v>
      </c>
      <c r="AE96" s="75">
        <f ca="1">-AE95*AE97</f>
        <v>-52.520642092739124</v>
      </c>
      <c r="AF96" s="75">
        <f ca="1">-AF95*AF97</f>
        <v>-60.82836419084569</v>
      </c>
    </row>
    <row r="97" spans="1:32">
      <c r="A97" s="1" t="str">
        <f>Balance_Sheet_Qtr!A97</f>
        <v>Incremental Tax Rate</v>
      </c>
      <c r="B97" s="132"/>
      <c r="C97" s="132"/>
      <c r="D97" s="132"/>
      <c r="E97" s="132"/>
      <c r="F97" s="132"/>
      <c r="G97" s="132"/>
      <c r="H97" s="132"/>
      <c r="I97" s="132"/>
      <c r="J97" s="132"/>
      <c r="K97" s="132"/>
      <c r="L97" s="132"/>
      <c r="M97" s="132"/>
      <c r="N97" s="132"/>
      <c r="O97" s="132"/>
      <c r="P97" s="132"/>
      <c r="Q97" s="135"/>
      <c r="R97" s="135"/>
      <c r="S97" s="135"/>
      <c r="T97" s="135"/>
      <c r="U97" s="135"/>
      <c r="V97" s="189"/>
      <c r="W97" s="189"/>
      <c r="X97" s="189"/>
      <c r="Y97" s="189"/>
      <c r="Z97" s="189">
        <f>Balance_Sheet_Qtr!AY97</f>
        <v>0</v>
      </c>
      <c r="AA97" s="189">
        <f>Balance_Sheet_Qtr!BD97</f>
        <v>0</v>
      </c>
      <c r="AB97" s="189">
        <f>Balance_Sheet_Qtr!BI97</f>
        <v>0.3</v>
      </c>
      <c r="AC97" s="132">
        <f>+AB97</f>
        <v>0.3</v>
      </c>
      <c r="AD97" s="132">
        <f>+AC97</f>
        <v>0.3</v>
      </c>
      <c r="AE97" s="132">
        <f>+AD97</f>
        <v>0.3</v>
      </c>
      <c r="AF97" s="132">
        <f>+AE97</f>
        <v>0.3</v>
      </c>
    </row>
    <row r="98" spans="1:32">
      <c r="A98" s="1" t="str">
        <f>Balance_Sheet_Qtr!A98</f>
        <v>Incremental Net Income</v>
      </c>
      <c r="B98" s="75"/>
      <c r="C98" s="75"/>
      <c r="D98" s="75"/>
      <c r="E98" s="75"/>
      <c r="F98" s="75"/>
      <c r="G98" s="75"/>
      <c r="H98" s="75"/>
      <c r="I98" s="75"/>
      <c r="J98" s="75"/>
      <c r="K98" s="75"/>
      <c r="L98" s="75"/>
      <c r="M98" s="75"/>
      <c r="N98" s="75"/>
      <c r="O98" s="75"/>
      <c r="P98" s="75"/>
      <c r="Q98" s="118"/>
      <c r="R98" s="118"/>
      <c r="S98" s="118"/>
      <c r="T98" s="118"/>
      <c r="U98" s="118"/>
      <c r="V98" s="154"/>
      <c r="W98" s="154"/>
      <c r="X98" s="154"/>
      <c r="Y98" s="154"/>
      <c r="Z98" s="154">
        <f>Balance_Sheet_Qtr!AY98</f>
        <v>0</v>
      </c>
      <c r="AA98" s="154">
        <f>Balance_Sheet_Qtr!BD98</f>
        <v>0</v>
      </c>
      <c r="AB98" s="154">
        <f ca="1">Balance_Sheet_Qtr!BI98</f>
        <v>77.672860774535934</v>
      </c>
      <c r="AC98" s="75">
        <f ca="1">AC95+AC96</f>
        <v>90.753516362688799</v>
      </c>
      <c r="AD98" s="75">
        <f ca="1">AD95+AD96</f>
        <v>106.22958809293277</v>
      </c>
      <c r="AE98" s="75">
        <f ca="1">AE95+AE96</f>
        <v>122.54816488305796</v>
      </c>
      <c r="AF98" s="75">
        <f ca="1">AF95+AF96</f>
        <v>141.93284977863996</v>
      </c>
    </row>
    <row r="99" spans="1:32">
      <c r="A99" s="131" t="str">
        <f>Balance_Sheet_Qtr!A99</f>
        <v>Incremental EPS</v>
      </c>
      <c r="B99" s="49"/>
      <c r="C99" s="49"/>
      <c r="D99" s="49"/>
      <c r="E99" s="49"/>
      <c r="F99" s="49"/>
      <c r="G99" s="49"/>
      <c r="H99" s="49"/>
      <c r="I99" s="49"/>
      <c r="J99" s="49"/>
      <c r="K99" s="49"/>
      <c r="L99" s="49"/>
      <c r="M99" s="49"/>
      <c r="N99" s="49"/>
      <c r="O99" s="49"/>
      <c r="P99" s="49"/>
      <c r="Q99" s="136"/>
      <c r="R99" s="136"/>
      <c r="S99" s="136"/>
      <c r="T99" s="136"/>
      <c r="U99" s="136"/>
      <c r="V99" s="190"/>
      <c r="W99" s="190"/>
      <c r="X99" s="190"/>
      <c r="Y99" s="190"/>
      <c r="Z99" s="190">
        <f>Balance_Sheet_Qtr!AY99</f>
        <v>0</v>
      </c>
      <c r="AA99" s="190">
        <f>Balance_Sheet_Qtr!BD99</f>
        <v>0</v>
      </c>
      <c r="AB99" s="190">
        <f ca="1">Balance_Sheet_Qtr!BI99</f>
        <v>7.3968479170582427E-2</v>
      </c>
      <c r="AC99" s="49">
        <f ca="1">AC98/ProForma_IS_Annual!AC60</f>
        <v>8.8099419230778034E-2</v>
      </c>
      <c r="AD99" s="49">
        <f ca="1">AD98/ProForma_IS_Annual!AD60</f>
        <v>0.10544372310971713</v>
      </c>
      <c r="AE99" s="49">
        <f ca="1">AE98/ProForma_IS_Annual!AE60</f>
        <v>0.12446943059336445</v>
      </c>
      <c r="AF99" s="49">
        <f ca="1">AF98/ProForma_IS_Annual!AF60</f>
        <v>0.14754017152557669</v>
      </c>
    </row>
    <row r="100" spans="1:32">
      <c r="A100" s="1" t="str">
        <f>Balance_Sheet_Qtr!A100</f>
        <v>Annualized EPS Accretion</v>
      </c>
      <c r="B100" s="35"/>
      <c r="C100" s="35"/>
      <c r="D100" s="35"/>
      <c r="E100" s="35"/>
      <c r="F100" s="35"/>
      <c r="G100" s="35"/>
      <c r="H100" s="35"/>
      <c r="I100" s="35"/>
      <c r="J100" s="35"/>
      <c r="K100" s="35"/>
      <c r="L100" s="35"/>
      <c r="M100" s="35"/>
      <c r="N100" s="35"/>
      <c r="O100" s="35"/>
      <c r="P100" s="35"/>
      <c r="Q100" s="117"/>
      <c r="R100" s="117"/>
      <c r="S100" s="117"/>
      <c r="T100" s="117"/>
      <c r="U100" s="117"/>
      <c r="V100" s="164"/>
      <c r="W100" s="164"/>
      <c r="X100" s="164"/>
      <c r="Y100" s="164"/>
      <c r="Z100" s="164">
        <f>Balance_Sheet_Qtr!AY100</f>
        <v>0</v>
      </c>
      <c r="AA100" s="164">
        <f>Balance_Sheet_Qtr!BD100</f>
        <v>0</v>
      </c>
      <c r="AB100" s="164">
        <f ca="1">Balance_Sheet_Qtr!BI100</f>
        <v>9.4253415695916779E-3</v>
      </c>
      <c r="AC100" s="35">
        <f ca="1">AC99/ProForma_IS_Annual!AC51</f>
        <v>9.6603988672780538E-3</v>
      </c>
      <c r="AD100" s="35">
        <f ca="1">AD99/ProForma_IS_Annual!AD51</f>
        <v>9.8370928331805094E-3</v>
      </c>
      <c r="AE100" s="35">
        <f ca="1">AE99/ProForma_IS_Annual!AE51</f>
        <v>1.0072845191808918E-2</v>
      </c>
      <c r="AF100" s="35">
        <f ca="1">AF99/ProForma_IS_Annual!AF51</f>
        <v>1.0319986174944432E-2</v>
      </c>
    </row>
    <row r="101" spans="1:32">
      <c r="A101" s="1"/>
      <c r="B101" s="125"/>
      <c r="C101" s="125"/>
      <c r="D101" s="125"/>
      <c r="E101" s="125"/>
      <c r="F101" s="125"/>
      <c r="G101" s="125"/>
      <c r="H101" s="125"/>
      <c r="I101" s="125"/>
      <c r="J101" s="125"/>
      <c r="K101" s="125"/>
      <c r="L101" s="125"/>
      <c r="M101" s="125"/>
      <c r="N101" s="125"/>
      <c r="O101" s="125"/>
      <c r="P101" s="125"/>
      <c r="Q101" s="133"/>
      <c r="R101" s="133"/>
      <c r="S101" s="133"/>
      <c r="T101" s="133"/>
      <c r="U101" s="133"/>
      <c r="V101" s="187"/>
      <c r="W101" s="187"/>
      <c r="X101" s="187"/>
      <c r="Y101" s="187"/>
      <c r="Z101" s="187"/>
      <c r="AA101" s="187"/>
      <c r="AB101" s="187"/>
      <c r="AC101" s="125"/>
      <c r="AD101" s="125"/>
      <c r="AE101" s="125"/>
      <c r="AF101" s="125"/>
    </row>
    <row r="102" spans="1:32">
      <c r="A102" s="102" t="str">
        <f>Balance_Sheet_Qtr!A102</f>
        <v>Dry Powder Calculation for Share Buybacks</v>
      </c>
      <c r="B102" s="130"/>
      <c r="C102" s="130"/>
      <c r="D102" s="130"/>
      <c r="E102" s="130"/>
      <c r="F102" s="130"/>
      <c r="G102" s="130"/>
      <c r="H102" s="130"/>
      <c r="I102" s="130"/>
      <c r="J102" s="130"/>
      <c r="K102" s="130"/>
      <c r="L102" s="130"/>
      <c r="M102" s="130"/>
      <c r="N102" s="130"/>
      <c r="O102" s="130"/>
      <c r="P102" s="130"/>
      <c r="Q102" s="134"/>
      <c r="R102" s="134"/>
      <c r="S102" s="134"/>
      <c r="T102" s="134"/>
      <c r="U102" s="134"/>
      <c r="V102" s="188"/>
      <c r="W102" s="188"/>
      <c r="X102" s="188"/>
      <c r="Y102" s="188"/>
      <c r="Z102" s="188"/>
      <c r="AA102" s="188"/>
      <c r="AB102" s="188"/>
      <c r="AC102" s="130"/>
      <c r="AD102" s="130"/>
      <c r="AE102" s="130"/>
      <c r="AF102" s="130"/>
    </row>
    <row r="103" spans="1:32">
      <c r="A103" s="1" t="str">
        <f>Balance_Sheet_Qtr!A103</f>
        <v>Cash</v>
      </c>
      <c r="B103" s="75"/>
      <c r="C103" s="75"/>
      <c r="D103" s="75"/>
      <c r="E103" s="75"/>
      <c r="F103" s="75"/>
      <c r="G103" s="75"/>
      <c r="H103" s="75"/>
      <c r="I103" s="75"/>
      <c r="J103" s="75"/>
      <c r="K103" s="75"/>
      <c r="L103" s="75"/>
      <c r="M103" s="75"/>
      <c r="N103" s="75"/>
      <c r="O103" s="75"/>
      <c r="P103" s="75"/>
      <c r="Q103" s="118"/>
      <c r="R103" s="118"/>
      <c r="S103" s="118"/>
      <c r="T103" s="118"/>
      <c r="U103" s="118"/>
      <c r="V103" s="154"/>
      <c r="W103" s="154"/>
      <c r="X103" s="154"/>
      <c r="Y103" s="154"/>
      <c r="Z103" s="154">
        <f>Balance_Sheet_Qtr!AY103</f>
        <v>0</v>
      </c>
      <c r="AA103" s="154">
        <f>Balance_Sheet_Qtr!BD103</f>
        <v>0</v>
      </c>
      <c r="AB103" s="154">
        <f ca="1">Balance_Sheet_Qtr!BI103</f>
        <v>9813.4955361832508</v>
      </c>
      <c r="AC103" s="75">
        <f ca="1">AC5</f>
        <v>9947.8210738985745</v>
      </c>
      <c r="AD103" s="75">
        <f ca="1">AD5</f>
        <v>10134.667239277098</v>
      </c>
      <c r="AE103" s="75">
        <f ca="1">AE5</f>
        <v>10631.714656719441</v>
      </c>
      <c r="AF103" s="75">
        <f ca="1">AF5</f>
        <v>11469.433511807627</v>
      </c>
    </row>
    <row r="104" spans="1:32">
      <c r="A104" s="1" t="str">
        <f>Balance_Sheet_Qtr!A104</f>
        <v>Incremental Debt</v>
      </c>
      <c r="B104" s="75"/>
      <c r="C104" s="75"/>
      <c r="D104" s="75"/>
      <c r="E104" s="75"/>
      <c r="F104" s="75"/>
      <c r="G104" s="75"/>
      <c r="H104" s="75"/>
      <c r="I104" s="75"/>
      <c r="J104" s="75"/>
      <c r="K104" s="75"/>
      <c r="L104" s="75"/>
      <c r="M104" s="75"/>
      <c r="N104" s="75"/>
      <c r="O104" s="75"/>
      <c r="P104" s="75"/>
      <c r="Q104" s="118"/>
      <c r="R104" s="118"/>
      <c r="S104" s="118"/>
      <c r="T104" s="118"/>
      <c r="U104" s="118"/>
      <c r="V104" s="154"/>
      <c r="W104" s="154"/>
      <c r="X104" s="154"/>
      <c r="Y104" s="154"/>
      <c r="Z104" s="154">
        <f>Balance_Sheet_Qtr!AY104</f>
        <v>0</v>
      </c>
      <c r="AA104" s="154">
        <f>Balance_Sheet_Qtr!BD104</f>
        <v>0</v>
      </c>
      <c r="AB104" s="154">
        <f ca="1">Balance_Sheet_Qtr!BI104</f>
        <v>26630.695122698056</v>
      </c>
      <c r="AC104" s="75">
        <f ca="1">(ProForma_IS_Annual!AC78)*AC106+(Balance_Sheet_Annual!AC103-AC77)</f>
        <v>31115.491324350427</v>
      </c>
      <c r="AD104" s="75">
        <f ca="1">(ProForma_IS_Annual!AD78)*AD106+(Balance_Sheet_Annual!AD103-AD77)</f>
        <v>36421.57306043405</v>
      </c>
      <c r="AE104" s="75">
        <f ca="1">(ProForma_IS_Annual!AE78)*AE106+(Balance_Sheet_Annual!AE103-AE77)</f>
        <v>42016.513674191345</v>
      </c>
      <c r="AF104" s="75">
        <f ca="1">(ProForma_IS_Annual!AF78)*AF106+(Balance_Sheet_Annual!AF103-AF77)</f>
        <v>48662.691352676629</v>
      </c>
    </row>
    <row r="105" spans="1:32">
      <c r="A105" s="131" t="str">
        <f>Balance_Sheet_Qtr!A105</f>
        <v>Dry Powder for Buybacks</v>
      </c>
      <c r="B105" s="23"/>
      <c r="C105" s="23"/>
      <c r="D105" s="23"/>
      <c r="E105" s="23"/>
      <c r="F105" s="23"/>
      <c r="G105" s="23"/>
      <c r="H105" s="23"/>
      <c r="I105" s="23"/>
      <c r="J105" s="23"/>
      <c r="K105" s="23"/>
      <c r="L105" s="23"/>
      <c r="M105" s="23"/>
      <c r="N105" s="23"/>
      <c r="O105" s="23"/>
      <c r="P105" s="23"/>
      <c r="Q105" s="119"/>
      <c r="R105" s="119"/>
      <c r="S105" s="119"/>
      <c r="T105" s="119"/>
      <c r="U105" s="119"/>
      <c r="V105" s="160"/>
      <c r="W105" s="160"/>
      <c r="X105" s="160"/>
      <c r="Y105" s="160"/>
      <c r="Z105" s="160">
        <f>Balance_Sheet_Qtr!AY105</f>
        <v>0</v>
      </c>
      <c r="AA105" s="160">
        <f>Balance_Sheet_Qtr!BD105</f>
        <v>0</v>
      </c>
      <c r="AB105" s="160">
        <f ca="1">Balance_Sheet_Qtr!BI105</f>
        <v>26630.695122698056</v>
      </c>
      <c r="AC105" s="23">
        <f ca="1">AC104</f>
        <v>31115.491324350427</v>
      </c>
      <c r="AD105" s="23">
        <f ca="1">AD104</f>
        <v>36421.57306043405</v>
      </c>
      <c r="AE105" s="23">
        <f ca="1">AE104</f>
        <v>42016.513674191345</v>
      </c>
      <c r="AF105" s="23">
        <f ca="1">AF104</f>
        <v>48662.691352676629</v>
      </c>
    </row>
    <row r="106" spans="1:32">
      <c r="A106" s="1" t="str">
        <f>Balance_Sheet_Qtr!A106</f>
        <v>Target Post-Buyback Net Debt to EBITDA</v>
      </c>
      <c r="B106" s="127"/>
      <c r="C106" s="127"/>
      <c r="D106" s="127"/>
      <c r="E106" s="127"/>
      <c r="F106" s="127"/>
      <c r="G106" s="127"/>
      <c r="H106" s="127"/>
      <c r="I106" s="127"/>
      <c r="J106" s="127"/>
      <c r="K106" s="127"/>
      <c r="L106" s="127"/>
      <c r="M106" s="127"/>
      <c r="N106" s="127"/>
      <c r="O106" s="127"/>
      <c r="P106" s="127"/>
      <c r="Q106" s="133"/>
      <c r="R106" s="133"/>
      <c r="S106" s="133"/>
      <c r="T106" s="133"/>
      <c r="U106" s="133"/>
      <c r="V106" s="187"/>
      <c r="W106" s="187"/>
      <c r="X106" s="187"/>
      <c r="Y106" s="187"/>
      <c r="Z106" s="187">
        <f>Balance_Sheet_Qtr!AY106</f>
        <v>0</v>
      </c>
      <c r="AA106" s="187">
        <f>Balance_Sheet_Qtr!BD106</f>
        <v>0</v>
      </c>
      <c r="AB106" s="187">
        <f>Balance_Sheet_Qtr!BI106</f>
        <v>3</v>
      </c>
      <c r="AC106" s="127">
        <f>AB106</f>
        <v>3</v>
      </c>
      <c r="AD106" s="127">
        <f t="shared" ref="AD106:AF106" si="16">AC106</f>
        <v>3</v>
      </c>
      <c r="AE106" s="127">
        <f t="shared" si="16"/>
        <v>3</v>
      </c>
      <c r="AF106" s="127">
        <f t="shared" si="16"/>
        <v>3</v>
      </c>
    </row>
    <row r="107" spans="1:32">
      <c r="A107" s="1" t="str">
        <f>Balance_Sheet_Qtr!A107</f>
        <v>Post-Buyback Net Debt to EBITDA</v>
      </c>
      <c r="B107" s="125"/>
      <c r="C107" s="125"/>
      <c r="D107" s="125"/>
      <c r="E107" s="125"/>
      <c r="F107" s="125"/>
      <c r="G107" s="125"/>
      <c r="H107" s="125"/>
      <c r="I107" s="125"/>
      <c r="J107" s="125"/>
      <c r="K107" s="125"/>
      <c r="L107" s="125"/>
      <c r="M107" s="125"/>
      <c r="N107" s="125"/>
      <c r="O107" s="125"/>
      <c r="P107" s="125"/>
      <c r="Q107" s="133"/>
      <c r="R107" s="133"/>
      <c r="S107" s="133"/>
      <c r="T107" s="133"/>
      <c r="U107" s="133"/>
      <c r="V107" s="187"/>
      <c r="W107" s="187"/>
      <c r="X107" s="187"/>
      <c r="Y107" s="187"/>
      <c r="Z107" s="187">
        <f>Balance_Sheet_Qtr!AY107</f>
        <v>0</v>
      </c>
      <c r="AA107" s="187">
        <f>Balance_Sheet_Qtr!BD107</f>
        <v>0</v>
      </c>
      <c r="AB107" s="187">
        <f ca="1">Balance_Sheet_Qtr!BI107</f>
        <v>3</v>
      </c>
      <c r="AC107" s="125">
        <f ca="1">(AC104+AC77-AC103)/(ProForma_IS_Annual!AC78)</f>
        <v>3</v>
      </c>
      <c r="AD107" s="125">
        <f ca="1">(AD104+AD77-AD103)/(ProForma_IS_Annual!AD78)</f>
        <v>3</v>
      </c>
      <c r="AE107" s="125">
        <f ca="1">(AE104+AE77-AE103)/(ProForma_IS_Annual!AE78)</f>
        <v>3</v>
      </c>
      <c r="AF107" s="125">
        <f ca="1">(AF104+AF77-AF103)/(ProForma_IS_Annual!AF78)</f>
        <v>3</v>
      </c>
    </row>
    <row r="108" spans="1:32">
      <c r="A108" s="1" t="str">
        <f>Balance_Sheet_Qtr!A108</f>
        <v>Incremental Cost of Debt</v>
      </c>
      <c r="B108" s="132"/>
      <c r="C108" s="132"/>
      <c r="D108" s="132"/>
      <c r="E108" s="132"/>
      <c r="F108" s="132"/>
      <c r="G108" s="132"/>
      <c r="H108" s="132"/>
      <c r="I108" s="132"/>
      <c r="J108" s="132"/>
      <c r="K108" s="132"/>
      <c r="L108" s="132"/>
      <c r="M108" s="132"/>
      <c r="N108" s="132"/>
      <c r="O108" s="132"/>
      <c r="P108" s="132"/>
      <c r="Q108" s="135"/>
      <c r="R108" s="135"/>
      <c r="S108" s="135"/>
      <c r="T108" s="135"/>
      <c r="U108" s="135"/>
      <c r="V108" s="189"/>
      <c r="W108" s="189"/>
      <c r="X108" s="189"/>
      <c r="Y108" s="189"/>
      <c r="Z108" s="189">
        <f>Balance_Sheet_Qtr!AY108</f>
        <v>0</v>
      </c>
      <c r="AA108" s="189">
        <f>Balance_Sheet_Qtr!BD108</f>
        <v>0</v>
      </c>
      <c r="AB108" s="189">
        <f>Balance_Sheet_Qtr!BI108</f>
        <v>0.05</v>
      </c>
      <c r="AC108" s="132">
        <f>+AB108</f>
        <v>0.05</v>
      </c>
      <c r="AD108" s="132">
        <f>+AC108</f>
        <v>0.05</v>
      </c>
      <c r="AE108" s="132">
        <f>+AD108</f>
        <v>0.05</v>
      </c>
      <c r="AF108" s="132">
        <f>+AE108</f>
        <v>0.05</v>
      </c>
    </row>
    <row r="109" spans="1:32">
      <c r="A109" s="1" t="str">
        <f>Balance_Sheet_Qtr!A109</f>
        <v>Incremental Interest Expense</v>
      </c>
      <c r="B109" s="75"/>
      <c r="C109" s="75"/>
      <c r="D109" s="75"/>
      <c r="E109" s="75"/>
      <c r="F109" s="75"/>
      <c r="G109" s="75"/>
      <c r="H109" s="75"/>
      <c r="I109" s="75"/>
      <c r="J109" s="75"/>
      <c r="K109" s="75"/>
      <c r="L109" s="75"/>
      <c r="M109" s="75"/>
      <c r="N109" s="75"/>
      <c r="O109" s="75"/>
      <c r="P109" s="75"/>
      <c r="Q109" s="118"/>
      <c r="R109" s="118"/>
      <c r="S109" s="118"/>
      <c r="T109" s="118"/>
      <c r="U109" s="118"/>
      <c r="V109" s="154"/>
      <c r="W109" s="154"/>
      <c r="X109" s="154"/>
      <c r="Y109" s="154"/>
      <c r="Z109" s="154">
        <f>Balance_Sheet_Qtr!AY109</f>
        <v>0</v>
      </c>
      <c r="AA109" s="154">
        <f>Balance_Sheet_Qtr!BD109</f>
        <v>0</v>
      </c>
      <c r="AB109" s="154">
        <f ca="1">Balance_Sheet_Qtr!BI109</f>
        <v>-1331.5347561349029</v>
      </c>
      <c r="AC109" s="75">
        <f ca="1">-AC108*AC104</f>
        <v>-1555.7745662175214</v>
      </c>
      <c r="AD109" s="75">
        <f ca="1">-AD108*AD104</f>
        <v>-1821.0786530217026</v>
      </c>
      <c r="AE109" s="75">
        <f ca="1">-AE108*AE104</f>
        <v>-2100.8256837095673</v>
      </c>
      <c r="AF109" s="75">
        <f ca="1">-AF108*AF104</f>
        <v>-2433.1345676338315</v>
      </c>
    </row>
    <row r="110" spans="1:32">
      <c r="A110" s="1" t="str">
        <f>Balance_Sheet_Qtr!A110</f>
        <v>Marginal Tax Rate</v>
      </c>
      <c r="B110" s="132"/>
      <c r="C110" s="132"/>
      <c r="D110" s="132"/>
      <c r="E110" s="132"/>
      <c r="F110" s="132"/>
      <c r="G110" s="132"/>
      <c r="H110" s="132"/>
      <c r="I110" s="132"/>
      <c r="J110" s="132"/>
      <c r="K110" s="132"/>
      <c r="L110" s="132"/>
      <c r="M110" s="132"/>
      <c r="N110" s="132"/>
      <c r="O110" s="132"/>
      <c r="P110" s="132"/>
      <c r="Q110" s="135"/>
      <c r="R110" s="135"/>
      <c r="S110" s="135"/>
      <c r="T110" s="135"/>
      <c r="U110" s="135"/>
      <c r="V110" s="189"/>
      <c r="W110" s="189"/>
      <c r="X110" s="189"/>
      <c r="Y110" s="189"/>
      <c r="Z110" s="189">
        <f>Balance_Sheet_Qtr!AY110</f>
        <v>0</v>
      </c>
      <c r="AA110" s="189">
        <f>Balance_Sheet_Qtr!BD110</f>
        <v>0</v>
      </c>
      <c r="AB110" s="189">
        <f>Balance_Sheet_Qtr!BI110</f>
        <v>0.3</v>
      </c>
      <c r="AC110" s="132">
        <f>+AB110</f>
        <v>0.3</v>
      </c>
      <c r="AD110" s="132">
        <f>+AC110</f>
        <v>0.3</v>
      </c>
      <c r="AE110" s="132">
        <f>+AD110</f>
        <v>0.3</v>
      </c>
      <c r="AF110" s="132">
        <f>+AE110</f>
        <v>0.3</v>
      </c>
    </row>
    <row r="111" spans="1:32">
      <c r="A111" s="1" t="str">
        <f>Balance_Sheet_Qtr!A111</f>
        <v>Tax Effected Cost of Incremental Interest</v>
      </c>
      <c r="B111" s="75"/>
      <c r="C111" s="75"/>
      <c r="D111" s="75"/>
      <c r="E111" s="75"/>
      <c r="F111" s="75"/>
      <c r="G111" s="75"/>
      <c r="H111" s="75"/>
      <c r="I111" s="75"/>
      <c r="J111" s="75"/>
      <c r="K111" s="75"/>
      <c r="L111" s="75"/>
      <c r="M111" s="75"/>
      <c r="N111" s="75"/>
      <c r="O111" s="75"/>
      <c r="P111" s="75"/>
      <c r="Q111" s="118"/>
      <c r="R111" s="118"/>
      <c r="S111" s="118"/>
      <c r="T111" s="118"/>
      <c r="U111" s="118"/>
      <c r="V111" s="154"/>
      <c r="W111" s="154"/>
      <c r="X111" s="154"/>
      <c r="Y111" s="154"/>
      <c r="Z111" s="154">
        <f>Balance_Sheet_Qtr!AY111</f>
        <v>0</v>
      </c>
      <c r="AA111" s="154">
        <f>Balance_Sheet_Qtr!BD111</f>
        <v>0</v>
      </c>
      <c r="AB111" s="154">
        <f ca="1">Balance_Sheet_Qtr!BI111</f>
        <v>-932.07432929443189</v>
      </c>
      <c r="AC111" s="75">
        <f ca="1">AC109*(1-AC110)</f>
        <v>-1089.0421963522649</v>
      </c>
      <c r="AD111" s="75">
        <f ca="1">AD109*(1-AD110)</f>
        <v>-1274.7550571151917</v>
      </c>
      <c r="AE111" s="75">
        <f ca="1">AE109*(1-AE110)</f>
        <v>-1470.577978596697</v>
      </c>
      <c r="AF111" s="75">
        <f ca="1">AF109*(1-AF110)</f>
        <v>-1703.1941973436819</v>
      </c>
    </row>
    <row r="112" spans="1:32">
      <c r="A112" s="1" t="str">
        <f>Balance_Sheet_Qtr!A112</f>
        <v>Post-Buyback Net Income</v>
      </c>
      <c r="B112" s="75"/>
      <c r="C112" s="75"/>
      <c r="D112" s="75"/>
      <c r="E112" s="75"/>
      <c r="F112" s="75"/>
      <c r="G112" s="75"/>
      <c r="H112" s="75"/>
      <c r="I112" s="75"/>
      <c r="J112" s="75"/>
      <c r="K112" s="75"/>
      <c r="L112" s="75"/>
      <c r="M112" s="75"/>
      <c r="N112" s="75"/>
      <c r="O112" s="75"/>
      <c r="P112" s="75"/>
      <c r="Q112" s="118"/>
      <c r="R112" s="118"/>
      <c r="S112" s="118"/>
      <c r="T112" s="118"/>
      <c r="U112" s="118"/>
      <c r="V112" s="154"/>
      <c r="W112" s="154"/>
      <c r="X112" s="154"/>
      <c r="Y112" s="154"/>
      <c r="Z112" s="154">
        <f>Balance_Sheet_Qtr!AY112</f>
        <v>0</v>
      </c>
      <c r="AA112" s="154">
        <f>Balance_Sheet_Qtr!BD112</f>
        <v>0</v>
      </c>
      <c r="AB112" s="154">
        <f ca="1">Balance_Sheet_Qtr!BI112</f>
        <v>7308.7793523510663</v>
      </c>
      <c r="AC112" s="75">
        <f ca="1">AC111+ProForma_IS_Annual!AC43</f>
        <v>8305.3438543201773</v>
      </c>
      <c r="AD112" s="75">
        <f ca="1">AD111+ProForma_IS_Annual!AD43</f>
        <v>9524.1252517724533</v>
      </c>
      <c r="AE112" s="75">
        <f ca="1">AE111+ProForma_IS_Annual!AE43</f>
        <v>10695.613653407361</v>
      </c>
      <c r="AF112" s="75">
        <f ca="1">AF111+ProForma_IS_Annual!AF43</f>
        <v>12050.007345041542</v>
      </c>
    </row>
    <row r="113" spans="1:32">
      <c r="A113" s="1" t="str">
        <f>Balance_Sheet_Qtr!A113</f>
        <v>Post-Buyback EPS</v>
      </c>
      <c r="B113" s="51"/>
      <c r="C113" s="51"/>
      <c r="D113" s="51"/>
      <c r="E113" s="51"/>
      <c r="F113" s="51"/>
      <c r="G113" s="51"/>
      <c r="H113" s="51"/>
      <c r="I113" s="51"/>
      <c r="J113" s="51"/>
      <c r="K113" s="51"/>
      <c r="L113" s="51"/>
      <c r="M113" s="51"/>
      <c r="N113" s="51"/>
      <c r="O113" s="51"/>
      <c r="P113" s="51"/>
      <c r="Q113" s="137"/>
      <c r="R113" s="137"/>
      <c r="S113" s="137"/>
      <c r="T113" s="137"/>
      <c r="U113" s="137"/>
      <c r="V113" s="191"/>
      <c r="W113" s="191"/>
      <c r="X113" s="191"/>
      <c r="Y113" s="191"/>
      <c r="Z113" s="191">
        <f>Balance_Sheet_Qtr!AY113</f>
        <v>0</v>
      </c>
      <c r="AA113" s="191">
        <f>Balance_Sheet_Qtr!BD113</f>
        <v>0</v>
      </c>
      <c r="AB113" s="191">
        <f ca="1">Balance_Sheet_Qtr!BI113</f>
        <v>7.5861080460627042</v>
      </c>
      <c r="AC113" s="51">
        <f ca="1">AC112/(ProForma_IS_Annual!AC60-AC117)</f>
        <v>8.8533643181411907</v>
      </c>
      <c r="AD113" s="51">
        <f ca="1">AD112/(ProForma_IS_Annual!AD60-AD117)</f>
        <v>10.471518342216559</v>
      </c>
      <c r="AE113" s="51">
        <f ca="1">AE112/(ProForma_IS_Annual!AE60-AE117)</f>
        <v>12.128402700287426</v>
      </c>
      <c r="AF113" s="51">
        <f ca="1">AF112/(ProForma_IS_Annual!AF60-AF117)</f>
        <v>14.112336804064258</v>
      </c>
    </row>
    <row r="114" spans="1:32">
      <c r="A114" s="131" t="str">
        <f>Balance_Sheet_Qtr!A114</f>
        <v>Incremental EPS</v>
      </c>
      <c r="B114" s="49"/>
      <c r="C114" s="49"/>
      <c r="D114" s="49"/>
      <c r="E114" s="49"/>
      <c r="F114" s="49"/>
      <c r="G114" s="49"/>
      <c r="H114" s="49"/>
      <c r="I114" s="49"/>
      <c r="J114" s="49"/>
      <c r="K114" s="49"/>
      <c r="L114" s="49"/>
      <c r="M114" s="49"/>
      <c r="N114" s="49"/>
      <c r="O114" s="49"/>
      <c r="P114" s="49"/>
      <c r="Q114" s="136"/>
      <c r="R114" s="136"/>
      <c r="S114" s="136"/>
      <c r="T114" s="136"/>
      <c r="U114" s="136"/>
      <c r="V114" s="190"/>
      <c r="W114" s="190"/>
      <c r="X114" s="190"/>
      <c r="Y114" s="190"/>
      <c r="Z114" s="190">
        <f>Balance_Sheet_Qtr!AY114</f>
        <v>0</v>
      </c>
      <c r="AA114" s="190">
        <f>Balance_Sheet_Qtr!BD114</f>
        <v>0</v>
      </c>
      <c r="AB114" s="190">
        <f ca="1">Balance_Sheet_Qtr!BI114</f>
        <v>-0.26172204311112157</v>
      </c>
      <c r="AC114" s="49">
        <f ca="1">AC113-ProForma_IS_Annual!AC51</f>
        <v>-0.26628182081799956</v>
      </c>
      <c r="AD114" s="49">
        <f ca="1">AD113-ProForma_IS_Annual!AD51</f>
        <v>-0.24747403671632107</v>
      </c>
      <c r="AE114" s="49">
        <f ca="1">AE113-ProForma_IS_Annual!AE51</f>
        <v>-0.22852607437309125</v>
      </c>
      <c r="AF114" s="49">
        <f ca="1">AF113-ProForma_IS_Annual!AF51</f>
        <v>-0.18421059672439988</v>
      </c>
    </row>
    <row r="115" spans="1:32">
      <c r="A115" s="1" t="str">
        <f>Balance_Sheet_Qtr!A115</f>
        <v>EPS Accretion</v>
      </c>
      <c r="B115" s="123"/>
      <c r="C115" s="123"/>
      <c r="D115" s="123"/>
      <c r="E115" s="123"/>
      <c r="F115" s="123"/>
      <c r="G115" s="123"/>
      <c r="H115" s="123"/>
      <c r="I115" s="123"/>
      <c r="J115" s="123"/>
      <c r="K115" s="123"/>
      <c r="L115" s="123"/>
      <c r="M115" s="123"/>
      <c r="N115" s="123"/>
      <c r="O115" s="123"/>
      <c r="P115" s="123"/>
      <c r="Q115" s="138"/>
      <c r="R115" s="138"/>
      <c r="S115" s="138"/>
      <c r="T115" s="138"/>
      <c r="U115" s="138"/>
      <c r="V115" s="192"/>
      <c r="W115" s="192"/>
      <c r="X115" s="192"/>
      <c r="Y115" s="192"/>
      <c r="Z115" s="192">
        <f>Balance_Sheet_Qtr!AY115</f>
        <v>0</v>
      </c>
      <c r="AA115" s="192">
        <f>Balance_Sheet_Qtr!BD115</f>
        <v>0</v>
      </c>
      <c r="AB115" s="192">
        <f ca="1">Balance_Sheet_Qtr!BI115</f>
        <v>-3.3349606214356009E-2</v>
      </c>
      <c r="AC115" s="123">
        <f ca="1">AC113/(ProForma_IS_Annual!AC51)-1</f>
        <v>-2.9198700997886462E-2</v>
      </c>
      <c r="AD115" s="123">
        <f ca="1">AD113/(ProForma_IS_Annual!AD51)-1</f>
        <v>-2.3087434711000165E-2</v>
      </c>
      <c r="AE115" s="123">
        <f ca="1">AE113/(ProForma_IS_Annual!AE51)-1</f>
        <v>-1.8493759941524801E-2</v>
      </c>
      <c r="AF115" s="123">
        <f ca="1">AF113/(ProForma_IS_Annual!AF51)-1</f>
        <v>-1.2884970864660561E-2</v>
      </c>
    </row>
    <row r="116" spans="1:32">
      <c r="A116" s="1" t="str">
        <f>Balance_Sheet_Qtr!A116</f>
        <v>Assumed Share Price</v>
      </c>
      <c r="B116" s="74"/>
      <c r="C116" s="74"/>
      <c r="D116" s="74"/>
      <c r="E116" s="74"/>
      <c r="F116" s="74"/>
      <c r="G116" s="74"/>
      <c r="H116" s="74"/>
      <c r="I116" s="74"/>
      <c r="J116" s="74"/>
      <c r="K116" s="74"/>
      <c r="L116" s="74"/>
      <c r="M116" s="74"/>
      <c r="N116" s="74"/>
      <c r="O116" s="74"/>
      <c r="P116" s="74"/>
      <c r="Q116" s="118"/>
      <c r="R116" s="118"/>
      <c r="S116" s="118"/>
      <c r="T116" s="118"/>
      <c r="U116" s="118"/>
      <c r="V116" s="154"/>
      <c r="W116" s="154"/>
      <c r="X116" s="154"/>
      <c r="Y116" s="154"/>
      <c r="Z116" s="154">
        <f>Balance_Sheet_Qtr!AY116</f>
        <v>0</v>
      </c>
      <c r="AA116" s="154">
        <f>Balance_Sheet_Qtr!BD116</f>
        <v>0</v>
      </c>
      <c r="AB116" s="154">
        <f>Balance_Sheet_Qtr!BI116</f>
        <v>307.37898125000004</v>
      </c>
      <c r="AC116" s="154">
        <f>ProForma_IS_Annual!AC67</f>
        <v>338.11687937500005</v>
      </c>
      <c r="AD116" s="154">
        <f>ProForma_IS_Annual!AD67</f>
        <v>371.92856731250009</v>
      </c>
      <c r="AE116" s="154">
        <f>ProForma_IS_Annual!AE67</f>
        <v>409.12142404375015</v>
      </c>
      <c r="AF116" s="154">
        <f>ProForma_IS_Annual!AF67</f>
        <v>450.03356644812521</v>
      </c>
    </row>
    <row r="117" spans="1:32">
      <c r="A117" s="1" t="str">
        <f>Balance_Sheet_Qtr!A117</f>
        <v>Incremental Shares Repurchased (mn)</v>
      </c>
      <c r="B117" s="21"/>
      <c r="C117" s="21"/>
      <c r="D117" s="21"/>
      <c r="E117" s="21"/>
      <c r="F117" s="21"/>
      <c r="G117" s="21"/>
      <c r="H117" s="21"/>
      <c r="I117" s="21"/>
      <c r="J117" s="21"/>
      <c r="K117" s="21"/>
      <c r="L117" s="21"/>
      <c r="M117" s="21"/>
      <c r="N117" s="21"/>
      <c r="O117" s="21"/>
      <c r="P117" s="21"/>
      <c r="Q117" s="114"/>
      <c r="R117" s="114"/>
      <c r="S117" s="114"/>
      <c r="T117" s="114"/>
      <c r="U117" s="114"/>
      <c r="V117" s="37"/>
      <c r="W117" s="37"/>
      <c r="X117" s="37"/>
      <c r="Y117" s="37"/>
      <c r="Z117" s="37">
        <f>Balance_Sheet_Qtr!AY117</f>
        <v>0</v>
      </c>
      <c r="AA117" s="37">
        <f>Balance_Sheet_Qtr!BD117</f>
        <v>0</v>
      </c>
      <c r="AB117" s="37">
        <f ca="1">Balance_Sheet_Qtr!BI117</f>
        <v>86.637983555025698</v>
      </c>
      <c r="AC117" s="21">
        <f ca="1">AC105/AC116</f>
        <v>92.025844382175109</v>
      </c>
      <c r="AD117" s="21">
        <f ca="1">AD105/AD116</f>
        <v>97.9262585921024</v>
      </c>
      <c r="AE117" s="21">
        <f ca="1">AE105/AE116</f>
        <v>102.69937286319728</v>
      </c>
      <c r="AF117" s="21">
        <f ca="1">AF105/AF116</f>
        <v>108.13124837941596</v>
      </c>
    </row>
    <row r="118" spans="1:32">
      <c r="B118" s="20"/>
      <c r="C118" s="20"/>
      <c r="D118" s="20"/>
      <c r="E118" s="20"/>
      <c r="F118" s="20"/>
      <c r="G118" s="20"/>
      <c r="H118" s="20"/>
      <c r="I118" s="20"/>
      <c r="J118" s="20"/>
      <c r="K118" s="20"/>
      <c r="L118" s="20"/>
      <c r="M118" s="20"/>
      <c r="N118" s="20"/>
      <c r="O118" s="20"/>
      <c r="P118" s="20"/>
      <c r="Q118" s="20"/>
      <c r="R118" s="20"/>
      <c r="S118" s="20"/>
      <c r="T118" s="20"/>
      <c r="U118" s="20"/>
    </row>
    <row r="119" spans="1:32">
      <c r="B119" s="20"/>
      <c r="C119" s="20"/>
      <c r="D119" s="20"/>
      <c r="E119" s="20"/>
      <c r="F119" s="20"/>
      <c r="G119" s="20"/>
      <c r="H119" s="20"/>
      <c r="I119" s="20"/>
      <c r="J119" s="20"/>
      <c r="K119" s="20"/>
      <c r="L119" s="20"/>
      <c r="M119" s="20"/>
      <c r="N119" s="20"/>
      <c r="O119" s="20"/>
      <c r="P119" s="20"/>
      <c r="Q119" s="20"/>
      <c r="R119" s="20"/>
      <c r="S119" s="20"/>
      <c r="T119" s="20"/>
      <c r="U119" s="20"/>
    </row>
    <row r="120" spans="1:32">
      <c r="V120" s="24"/>
      <c r="W120" s="24"/>
      <c r="X120" s="636"/>
      <c r="Y120" s="636"/>
      <c r="Z120" s="636"/>
      <c r="AA120" s="636"/>
      <c r="AB120" s="636"/>
      <c r="AC120" s="636"/>
      <c r="AD120" s="636"/>
      <c r="AE120" s="636"/>
      <c r="AF120" s="636"/>
    </row>
    <row r="121" spans="1:32">
      <c r="B121" s="20"/>
      <c r="C121" s="20"/>
      <c r="D121" s="20"/>
      <c r="E121" s="20"/>
      <c r="F121" s="20"/>
      <c r="G121" s="20"/>
      <c r="H121" s="20"/>
      <c r="I121" s="20"/>
      <c r="J121" s="20"/>
      <c r="K121" s="20"/>
      <c r="L121" s="20"/>
      <c r="M121" s="20"/>
      <c r="N121" s="20"/>
      <c r="O121" s="20"/>
      <c r="P121" s="20"/>
      <c r="Q121" s="20"/>
      <c r="R121" s="20"/>
      <c r="S121" s="20"/>
      <c r="T121" s="20"/>
      <c r="U121" s="20"/>
    </row>
    <row r="123" spans="1:32">
      <c r="X123" s="636"/>
      <c r="Y123" s="636"/>
      <c r="Z123" s="636"/>
      <c r="AA123" s="636"/>
      <c r="AB123" s="636"/>
      <c r="AC123" s="636"/>
      <c r="AD123" s="636"/>
      <c r="AE123" s="636"/>
      <c r="AF123" s="636"/>
    </row>
    <row r="124" spans="1:32">
      <c r="B124" s="20"/>
      <c r="C124" s="20"/>
      <c r="D124" s="20"/>
      <c r="E124" s="20"/>
      <c r="F124" s="20"/>
      <c r="G124" s="20"/>
      <c r="H124" s="20"/>
      <c r="I124" s="20"/>
      <c r="J124" s="20"/>
      <c r="K124" s="20"/>
      <c r="L124" s="20"/>
      <c r="M124" s="20"/>
      <c r="N124" s="20"/>
      <c r="O124" s="20"/>
      <c r="P124" s="20"/>
      <c r="Q124" s="20"/>
      <c r="R124" s="20"/>
      <c r="S124" s="20"/>
      <c r="T124" s="20"/>
      <c r="U124" s="20"/>
    </row>
    <row r="125" spans="1:32">
      <c r="B125" s="20"/>
      <c r="C125" s="20"/>
      <c r="D125" s="20"/>
      <c r="E125" s="20"/>
      <c r="F125" s="20"/>
      <c r="G125" s="20"/>
      <c r="H125" s="20"/>
      <c r="I125" s="20"/>
      <c r="J125" s="20"/>
      <c r="K125" s="20"/>
      <c r="L125" s="20"/>
      <c r="M125" s="20"/>
      <c r="N125" s="20"/>
      <c r="O125" s="20"/>
      <c r="P125" s="20"/>
      <c r="Q125" s="20"/>
      <c r="R125" s="20"/>
      <c r="S125" s="20"/>
      <c r="T125" s="20"/>
      <c r="U125" s="20"/>
    </row>
    <row r="126" spans="1:32">
      <c r="B126" s="20"/>
      <c r="C126" s="20"/>
      <c r="D126" s="20"/>
      <c r="E126" s="20"/>
      <c r="F126" s="20"/>
      <c r="G126" s="20"/>
      <c r="H126" s="20"/>
      <c r="I126" s="20"/>
      <c r="J126" s="20"/>
      <c r="K126" s="20"/>
      <c r="L126" s="20"/>
      <c r="M126" s="20"/>
      <c r="N126" s="20"/>
      <c r="O126" s="20"/>
      <c r="P126" s="20"/>
      <c r="Q126" s="20"/>
      <c r="R126" s="20"/>
      <c r="S126" s="20"/>
      <c r="T126" s="20"/>
      <c r="U126" s="20"/>
    </row>
    <row r="127" spans="1:32">
      <c r="B127" s="20"/>
      <c r="C127" s="20"/>
      <c r="D127" s="20"/>
      <c r="E127" s="20"/>
      <c r="F127" s="20"/>
      <c r="G127" s="20"/>
      <c r="H127" s="20"/>
      <c r="I127" s="20"/>
      <c r="J127" s="20"/>
      <c r="K127" s="20"/>
      <c r="L127" s="20"/>
      <c r="M127" s="20"/>
      <c r="N127" s="20"/>
      <c r="O127" s="20"/>
      <c r="P127" s="20"/>
      <c r="Q127" s="20"/>
      <c r="R127" s="20"/>
      <c r="S127" s="20"/>
      <c r="T127" s="20"/>
      <c r="U127" s="20"/>
    </row>
    <row r="128" spans="1:32">
      <c r="B128" s="20"/>
      <c r="C128" s="20"/>
      <c r="D128" s="20"/>
      <c r="E128" s="20"/>
      <c r="F128" s="20"/>
      <c r="G128" s="20"/>
      <c r="H128" s="20"/>
      <c r="I128" s="20"/>
      <c r="J128" s="20"/>
      <c r="K128" s="20"/>
      <c r="L128" s="20"/>
      <c r="M128" s="20"/>
      <c r="N128" s="20"/>
      <c r="O128" s="20"/>
      <c r="P128" s="20"/>
      <c r="Q128" s="20"/>
      <c r="R128" s="20"/>
      <c r="S128" s="20"/>
      <c r="T128" s="20"/>
      <c r="U128" s="20"/>
    </row>
    <row r="129" spans="2:21">
      <c r="B129" s="20"/>
      <c r="C129" s="20"/>
      <c r="D129" s="20"/>
      <c r="E129" s="20"/>
      <c r="F129" s="20"/>
      <c r="G129" s="20"/>
      <c r="H129" s="20"/>
      <c r="I129" s="20"/>
      <c r="J129" s="20"/>
      <c r="K129" s="20"/>
      <c r="L129" s="20"/>
      <c r="M129" s="20"/>
      <c r="N129" s="20"/>
      <c r="O129" s="20"/>
      <c r="P129" s="20"/>
      <c r="Q129" s="20"/>
      <c r="R129" s="20"/>
      <c r="S129" s="20"/>
      <c r="T129" s="20"/>
      <c r="U129" s="20"/>
    </row>
    <row r="130" spans="2:21">
      <c r="B130"/>
      <c r="C130"/>
      <c r="D130"/>
      <c r="E130"/>
      <c r="F130"/>
      <c r="G130"/>
      <c r="H130"/>
      <c r="I130"/>
      <c r="J130"/>
      <c r="K130"/>
      <c r="L130"/>
      <c r="M130"/>
      <c r="N130"/>
      <c r="O130"/>
      <c r="P130"/>
      <c r="Q130"/>
      <c r="R130"/>
      <c r="S130"/>
      <c r="T130"/>
      <c r="U130"/>
    </row>
    <row r="131" spans="2:21">
      <c r="B131" s="20"/>
      <c r="C131" s="20"/>
      <c r="D131" s="20"/>
      <c r="E131" s="20"/>
      <c r="F131" s="20"/>
      <c r="G131" s="20"/>
      <c r="H131" s="20"/>
      <c r="I131" s="20"/>
      <c r="J131" s="20"/>
      <c r="K131" s="20"/>
      <c r="L131" s="20"/>
      <c r="M131" s="20"/>
      <c r="N131" s="20"/>
      <c r="O131" s="20"/>
      <c r="P131" s="20"/>
      <c r="Q131" s="20"/>
      <c r="R131" s="20"/>
      <c r="S131" s="20"/>
      <c r="T131" s="20"/>
      <c r="U131" s="20"/>
    </row>
    <row r="132" spans="2:21">
      <c r="B132" s="20"/>
      <c r="C132" s="20"/>
      <c r="D132" s="20"/>
      <c r="E132" s="20"/>
      <c r="F132" s="20"/>
      <c r="G132" s="20"/>
      <c r="H132" s="20"/>
      <c r="I132" s="20"/>
      <c r="J132" s="20"/>
      <c r="K132" s="20"/>
      <c r="L132" s="20"/>
      <c r="M132" s="20"/>
      <c r="N132" s="20"/>
      <c r="O132" s="20"/>
      <c r="P132" s="20"/>
      <c r="Q132" s="20"/>
      <c r="R132" s="20"/>
      <c r="S132" s="20"/>
      <c r="T132" s="20"/>
      <c r="U132" s="20"/>
    </row>
    <row r="133" spans="2:21">
      <c r="B133" s="20"/>
      <c r="C133" s="20"/>
      <c r="D133" s="20"/>
      <c r="E133" s="20"/>
      <c r="F133" s="20"/>
      <c r="G133" s="20"/>
      <c r="H133" s="20"/>
      <c r="I133" s="20"/>
      <c r="J133" s="20"/>
      <c r="K133" s="20"/>
      <c r="L133" s="20"/>
      <c r="M133" s="20"/>
      <c r="N133" s="20"/>
      <c r="O133" s="20"/>
      <c r="P133" s="20"/>
      <c r="Q133" s="20"/>
      <c r="R133" s="20"/>
      <c r="S133" s="20"/>
      <c r="T133" s="20"/>
      <c r="U133" s="20"/>
    </row>
    <row r="134" spans="2:21">
      <c r="B134" s="20"/>
      <c r="C134" s="20"/>
      <c r="D134" s="20"/>
      <c r="E134" s="20"/>
      <c r="F134" s="20"/>
      <c r="G134" s="20"/>
      <c r="H134" s="20"/>
      <c r="I134" s="20"/>
      <c r="J134" s="20"/>
      <c r="K134" s="20"/>
      <c r="L134" s="20"/>
      <c r="M134" s="20"/>
      <c r="N134" s="20"/>
      <c r="O134" s="20"/>
      <c r="P134" s="20"/>
      <c r="Q134" s="20"/>
      <c r="R134" s="20"/>
      <c r="S134" s="20"/>
      <c r="T134" s="20"/>
      <c r="U134" s="20"/>
    </row>
    <row r="135" spans="2:21">
      <c r="B135" s="20"/>
      <c r="C135" s="20"/>
      <c r="D135" s="20"/>
      <c r="E135" s="20"/>
      <c r="F135" s="20"/>
      <c r="G135" s="20"/>
      <c r="H135" s="20"/>
      <c r="I135" s="20"/>
      <c r="J135" s="20"/>
      <c r="K135" s="20"/>
      <c r="L135" s="20"/>
      <c r="M135" s="20"/>
      <c r="N135" s="20"/>
      <c r="O135" s="20"/>
      <c r="P135" s="20"/>
      <c r="Q135" s="20"/>
      <c r="R135" s="20"/>
      <c r="S135" s="20"/>
      <c r="T135" s="20"/>
      <c r="U135" s="20"/>
    </row>
    <row r="136" spans="2:21">
      <c r="B136" s="20"/>
      <c r="C136" s="20"/>
      <c r="D136" s="20"/>
      <c r="E136" s="20"/>
      <c r="F136" s="20"/>
      <c r="G136" s="20"/>
      <c r="H136" s="20"/>
      <c r="I136" s="20"/>
      <c r="J136" s="20"/>
      <c r="K136" s="20"/>
      <c r="L136" s="20"/>
      <c r="M136" s="20"/>
      <c r="N136" s="20"/>
      <c r="O136" s="20"/>
      <c r="P136" s="20"/>
      <c r="Q136" s="20"/>
      <c r="R136" s="20"/>
      <c r="S136" s="20"/>
      <c r="T136" s="20"/>
      <c r="U136" s="20"/>
    </row>
    <row r="137" spans="2:21">
      <c r="B137" s="20"/>
      <c r="C137" s="20"/>
      <c r="D137" s="20"/>
      <c r="E137" s="20"/>
      <c r="F137" s="20"/>
      <c r="G137" s="20"/>
      <c r="H137" s="20"/>
      <c r="I137" s="20"/>
      <c r="J137" s="20"/>
      <c r="K137" s="20"/>
      <c r="L137" s="20"/>
      <c r="M137" s="20"/>
      <c r="N137" s="20"/>
      <c r="O137" s="20"/>
      <c r="P137" s="20"/>
      <c r="Q137" s="20"/>
      <c r="R137" s="20"/>
      <c r="S137" s="20"/>
      <c r="T137" s="20"/>
      <c r="U137" s="20"/>
    </row>
    <row r="138" spans="2:21">
      <c r="B138"/>
      <c r="C138"/>
      <c r="D138"/>
      <c r="E138"/>
      <c r="F138"/>
      <c r="G138"/>
      <c r="H138"/>
      <c r="I138"/>
      <c r="J138"/>
      <c r="K138"/>
      <c r="L138"/>
      <c r="M138"/>
      <c r="N138"/>
      <c r="O138"/>
      <c r="P138"/>
      <c r="Q138"/>
      <c r="R138"/>
      <c r="S138"/>
      <c r="T138"/>
      <c r="U138"/>
    </row>
    <row r="139" spans="2:21">
      <c r="B139" s="20"/>
      <c r="C139" s="20"/>
      <c r="D139" s="20"/>
      <c r="E139" s="20"/>
      <c r="F139" s="20"/>
      <c r="G139" s="20"/>
      <c r="H139" s="20"/>
      <c r="I139" s="20"/>
      <c r="J139" s="20"/>
      <c r="K139" s="20"/>
      <c r="L139" s="20"/>
      <c r="M139" s="20"/>
      <c r="N139" s="20"/>
      <c r="O139" s="20"/>
      <c r="P139" s="20"/>
      <c r="Q139" s="20"/>
      <c r="R139" s="20"/>
      <c r="S139" s="20"/>
      <c r="T139" s="20"/>
      <c r="U139" s="20"/>
    </row>
    <row r="140" spans="2:21">
      <c r="B140" s="20"/>
      <c r="C140" s="20"/>
      <c r="D140" s="20"/>
      <c r="E140" s="20"/>
      <c r="F140" s="20"/>
      <c r="G140" s="20"/>
      <c r="H140" s="20"/>
      <c r="I140" s="20"/>
      <c r="J140" s="20"/>
      <c r="K140" s="20"/>
      <c r="L140" s="20"/>
      <c r="M140" s="20"/>
      <c r="N140" s="20"/>
      <c r="O140" s="20"/>
      <c r="P140" s="20"/>
      <c r="Q140" s="20"/>
      <c r="R140" s="20"/>
      <c r="S140" s="20"/>
      <c r="T140" s="20"/>
      <c r="U140" s="20"/>
    </row>
    <row r="141" spans="2:21">
      <c r="B141" s="20"/>
      <c r="C141" s="20"/>
      <c r="D141" s="20"/>
      <c r="E141" s="20"/>
      <c r="F141" s="20"/>
      <c r="G141" s="20"/>
      <c r="H141" s="20"/>
      <c r="I141" s="20"/>
      <c r="J141" s="20"/>
      <c r="K141" s="20"/>
      <c r="L141" s="20"/>
      <c r="M141" s="20"/>
      <c r="N141" s="20"/>
      <c r="O141" s="20"/>
      <c r="P141" s="20"/>
      <c r="Q141" s="20"/>
      <c r="R141" s="20"/>
      <c r="S141" s="20"/>
      <c r="T141" s="20"/>
      <c r="U141" s="20"/>
    </row>
    <row r="142" spans="2:21">
      <c r="B142" s="20"/>
      <c r="C142" s="20"/>
      <c r="D142" s="20"/>
      <c r="E142" s="20"/>
      <c r="F142" s="20"/>
      <c r="G142" s="20"/>
      <c r="H142" s="20"/>
      <c r="I142" s="20"/>
      <c r="J142" s="20"/>
      <c r="K142" s="20"/>
      <c r="L142" s="20"/>
      <c r="M142" s="20"/>
      <c r="N142" s="20"/>
      <c r="O142" s="20"/>
      <c r="P142" s="20"/>
      <c r="Q142" s="20"/>
      <c r="R142" s="20"/>
      <c r="S142" s="20"/>
      <c r="T142" s="20"/>
      <c r="U142" s="20"/>
    </row>
    <row r="143" spans="2:21">
      <c r="B143" s="20"/>
      <c r="C143" s="20"/>
      <c r="D143" s="20"/>
      <c r="E143" s="20"/>
      <c r="F143" s="20"/>
      <c r="G143" s="20"/>
      <c r="H143" s="20"/>
      <c r="I143" s="20"/>
      <c r="J143" s="20"/>
      <c r="K143" s="20"/>
      <c r="L143" s="20"/>
      <c r="M143" s="20"/>
      <c r="N143" s="20"/>
      <c r="O143" s="20"/>
      <c r="P143" s="20"/>
      <c r="Q143" s="20"/>
      <c r="R143" s="20"/>
      <c r="S143" s="20"/>
      <c r="T143" s="20"/>
      <c r="U143" s="20"/>
    </row>
    <row r="144" spans="2:21">
      <c r="B144" s="20"/>
      <c r="C144" s="20"/>
      <c r="D144" s="20"/>
      <c r="E144" s="20"/>
      <c r="F144" s="20"/>
      <c r="G144" s="20"/>
      <c r="H144" s="20"/>
      <c r="I144" s="20"/>
      <c r="J144" s="20"/>
      <c r="K144" s="20"/>
      <c r="L144" s="20"/>
      <c r="M144" s="20"/>
      <c r="N144" s="20"/>
      <c r="O144" s="20"/>
      <c r="P144" s="20"/>
      <c r="Q144" s="20"/>
      <c r="R144" s="20"/>
      <c r="S144" s="20"/>
      <c r="T144" s="20"/>
      <c r="U144" s="20"/>
    </row>
    <row r="145" spans="2:21">
      <c r="B145" s="20"/>
      <c r="C145" s="20"/>
      <c r="D145" s="20"/>
      <c r="E145" s="20"/>
      <c r="F145" s="20"/>
      <c r="G145" s="20"/>
      <c r="H145" s="20"/>
      <c r="I145" s="20"/>
      <c r="J145" s="20"/>
      <c r="K145" s="20"/>
      <c r="L145" s="20"/>
      <c r="M145" s="20"/>
      <c r="N145" s="20"/>
      <c r="O145" s="20"/>
      <c r="P145" s="20"/>
      <c r="Q145" s="20"/>
      <c r="R145" s="20"/>
      <c r="S145" s="20"/>
      <c r="T145" s="20"/>
      <c r="U145" s="20"/>
    </row>
    <row r="146" spans="2:21">
      <c r="B146" s="20"/>
      <c r="C146" s="20"/>
      <c r="D146" s="20"/>
      <c r="E146" s="20"/>
      <c r="F146" s="20"/>
      <c r="G146" s="20"/>
      <c r="H146" s="20"/>
      <c r="I146" s="20"/>
      <c r="J146" s="20"/>
      <c r="K146" s="20"/>
      <c r="L146" s="20"/>
      <c r="M146" s="20"/>
      <c r="N146" s="20"/>
      <c r="O146" s="20"/>
      <c r="P146" s="20"/>
      <c r="Q146" s="20"/>
      <c r="R146" s="20"/>
      <c r="S146" s="20"/>
      <c r="T146" s="20"/>
      <c r="U146" s="20"/>
    </row>
    <row r="147" spans="2:21">
      <c r="B147" s="20"/>
      <c r="C147" s="20"/>
      <c r="D147" s="20"/>
      <c r="E147" s="20"/>
      <c r="F147" s="20"/>
      <c r="G147" s="20"/>
      <c r="H147" s="20"/>
      <c r="I147" s="20"/>
      <c r="J147" s="20"/>
      <c r="K147" s="20"/>
      <c r="L147" s="20"/>
      <c r="M147" s="20"/>
      <c r="N147" s="20"/>
      <c r="O147" s="20"/>
      <c r="P147" s="20"/>
      <c r="Q147" s="20"/>
      <c r="R147" s="20"/>
      <c r="S147" s="20"/>
      <c r="T147" s="20"/>
      <c r="U147" s="20"/>
    </row>
    <row r="148" spans="2:21">
      <c r="B148" s="20"/>
      <c r="C148" s="20"/>
      <c r="D148" s="20"/>
      <c r="E148" s="20"/>
      <c r="F148" s="20"/>
      <c r="G148" s="20"/>
      <c r="H148" s="20"/>
      <c r="I148" s="20"/>
      <c r="J148" s="20"/>
      <c r="K148" s="20"/>
      <c r="L148" s="20"/>
      <c r="M148" s="20"/>
      <c r="N148" s="20"/>
      <c r="O148" s="20"/>
      <c r="P148" s="20"/>
      <c r="Q148" s="20"/>
      <c r="R148" s="20"/>
      <c r="S148" s="20"/>
      <c r="T148" s="20"/>
      <c r="U148" s="20"/>
    </row>
    <row r="149" spans="2:21">
      <c r="B149" s="20"/>
      <c r="C149" s="20"/>
      <c r="D149" s="20"/>
      <c r="E149" s="20"/>
      <c r="F149" s="20"/>
      <c r="G149" s="20"/>
      <c r="H149" s="20"/>
      <c r="I149" s="20"/>
      <c r="J149" s="20"/>
      <c r="K149" s="20"/>
      <c r="L149" s="20"/>
      <c r="M149" s="20"/>
      <c r="N149" s="20"/>
      <c r="O149" s="20"/>
      <c r="P149" s="20"/>
      <c r="Q149" s="20"/>
      <c r="R149" s="20"/>
      <c r="S149" s="20"/>
      <c r="T149" s="20"/>
      <c r="U149" s="20"/>
    </row>
    <row r="150" spans="2:21">
      <c r="B150" s="20"/>
      <c r="C150" s="20"/>
      <c r="D150" s="20"/>
      <c r="E150" s="20"/>
      <c r="F150" s="20"/>
      <c r="G150" s="20"/>
      <c r="H150" s="20"/>
      <c r="I150" s="20"/>
      <c r="J150" s="20"/>
      <c r="K150" s="20"/>
      <c r="L150" s="20"/>
      <c r="M150" s="20"/>
      <c r="N150" s="20"/>
      <c r="O150" s="20"/>
      <c r="P150" s="20"/>
      <c r="Q150" s="20"/>
      <c r="R150" s="20"/>
      <c r="S150" s="20"/>
      <c r="T150" s="20"/>
      <c r="U150" s="20"/>
    </row>
    <row r="151" spans="2:21">
      <c r="B151" s="20"/>
      <c r="C151" s="20"/>
      <c r="D151" s="20"/>
      <c r="E151" s="20"/>
      <c r="F151" s="20"/>
      <c r="G151" s="20"/>
      <c r="H151" s="20"/>
      <c r="I151" s="20"/>
      <c r="J151" s="20"/>
      <c r="K151" s="20"/>
      <c r="L151" s="20"/>
      <c r="M151" s="20"/>
      <c r="N151" s="20"/>
      <c r="O151" s="20"/>
      <c r="P151" s="20"/>
      <c r="Q151" s="20"/>
      <c r="R151" s="20"/>
      <c r="S151" s="20"/>
      <c r="T151" s="20"/>
      <c r="U151" s="20"/>
    </row>
    <row r="152" spans="2:21">
      <c r="B152" s="20"/>
      <c r="C152" s="20"/>
      <c r="D152" s="20"/>
      <c r="E152" s="20"/>
      <c r="F152" s="20"/>
      <c r="G152" s="20"/>
      <c r="H152" s="20"/>
      <c r="I152" s="20"/>
      <c r="J152" s="20"/>
      <c r="K152" s="20"/>
      <c r="L152" s="20"/>
      <c r="M152" s="20"/>
      <c r="N152" s="20"/>
      <c r="O152" s="20"/>
      <c r="P152" s="20"/>
      <c r="Q152" s="20"/>
      <c r="R152" s="20"/>
      <c r="S152" s="20"/>
      <c r="T152" s="20"/>
      <c r="U152" s="20"/>
    </row>
    <row r="153" spans="2:21">
      <c r="B153" s="20"/>
      <c r="C153" s="20"/>
      <c r="D153" s="20"/>
      <c r="E153" s="20"/>
      <c r="F153" s="20"/>
      <c r="G153" s="20"/>
      <c r="H153" s="20"/>
      <c r="I153" s="20"/>
      <c r="J153" s="20"/>
      <c r="K153" s="20"/>
      <c r="L153" s="20"/>
      <c r="M153" s="20"/>
      <c r="N153" s="20"/>
      <c r="O153" s="20"/>
      <c r="P153" s="20"/>
      <c r="Q153" s="20"/>
      <c r="R153" s="20"/>
      <c r="S153" s="20"/>
      <c r="T153" s="20"/>
      <c r="U153" s="20"/>
    </row>
    <row r="154" spans="2:21">
      <c r="B154" s="20"/>
      <c r="C154" s="20"/>
      <c r="D154" s="20"/>
      <c r="E154" s="20"/>
      <c r="F154" s="20"/>
      <c r="G154" s="20"/>
      <c r="H154" s="20"/>
      <c r="I154" s="20"/>
      <c r="J154" s="20"/>
      <c r="K154" s="20"/>
      <c r="L154" s="20"/>
      <c r="M154" s="20"/>
      <c r="N154" s="20"/>
      <c r="O154" s="20"/>
      <c r="P154" s="20"/>
      <c r="Q154" s="20"/>
      <c r="R154" s="20"/>
      <c r="S154" s="20"/>
      <c r="T154" s="20"/>
      <c r="U154" s="20"/>
    </row>
    <row r="155" spans="2:21">
      <c r="B155" s="20"/>
      <c r="C155" s="20"/>
      <c r="D155" s="20"/>
      <c r="E155" s="20"/>
      <c r="F155" s="20"/>
      <c r="G155" s="20"/>
      <c r="H155" s="20"/>
      <c r="I155" s="20"/>
      <c r="J155" s="20"/>
      <c r="K155" s="20"/>
      <c r="L155" s="20"/>
      <c r="M155" s="20"/>
      <c r="N155" s="20"/>
      <c r="O155" s="20"/>
      <c r="P155" s="20"/>
      <c r="Q155" s="20"/>
      <c r="R155" s="20"/>
      <c r="S155" s="20"/>
      <c r="T155" s="20"/>
      <c r="U155" s="20"/>
    </row>
    <row r="156" spans="2:21">
      <c r="B156" s="20"/>
      <c r="C156" s="20"/>
      <c r="D156" s="20"/>
      <c r="E156" s="20"/>
      <c r="F156" s="20"/>
      <c r="G156" s="20"/>
      <c r="H156" s="20"/>
      <c r="I156" s="20"/>
      <c r="J156" s="20"/>
      <c r="K156" s="20"/>
      <c r="L156" s="20"/>
      <c r="M156" s="20"/>
      <c r="N156" s="20"/>
      <c r="O156" s="20"/>
      <c r="P156" s="20"/>
      <c r="Q156" s="20"/>
      <c r="R156" s="20"/>
      <c r="S156" s="20"/>
      <c r="T156" s="20"/>
      <c r="U156" s="20"/>
    </row>
    <row r="157" spans="2:21">
      <c r="B157" s="20"/>
      <c r="C157" s="20"/>
      <c r="D157" s="20"/>
      <c r="E157" s="20"/>
      <c r="F157" s="20"/>
      <c r="G157" s="20"/>
      <c r="H157" s="20"/>
      <c r="I157" s="20"/>
      <c r="J157" s="20"/>
      <c r="K157" s="20"/>
      <c r="L157" s="20"/>
      <c r="M157" s="20"/>
      <c r="N157" s="20"/>
      <c r="O157" s="20"/>
      <c r="P157" s="20"/>
      <c r="Q157" s="20"/>
      <c r="R157" s="20"/>
      <c r="S157" s="20"/>
      <c r="T157" s="20"/>
      <c r="U157" s="20"/>
    </row>
    <row r="158" spans="2:21">
      <c r="B158" s="20"/>
      <c r="C158" s="20"/>
      <c r="D158" s="20"/>
      <c r="E158" s="20"/>
      <c r="F158" s="20"/>
      <c r="G158" s="20"/>
      <c r="H158" s="20"/>
      <c r="I158" s="20"/>
      <c r="J158" s="20"/>
      <c r="K158" s="20"/>
      <c r="L158" s="20"/>
      <c r="M158" s="20"/>
      <c r="N158" s="20"/>
      <c r="O158" s="20"/>
      <c r="P158" s="20"/>
      <c r="Q158" s="20"/>
      <c r="R158" s="20"/>
      <c r="S158" s="20"/>
      <c r="T158" s="20"/>
      <c r="U158" s="20"/>
    </row>
    <row r="159" spans="2:21">
      <c r="B159" s="20"/>
      <c r="C159" s="20"/>
      <c r="D159" s="20"/>
      <c r="E159" s="20"/>
      <c r="F159" s="20"/>
      <c r="G159" s="20"/>
      <c r="H159" s="20"/>
      <c r="I159" s="20"/>
      <c r="J159" s="20"/>
      <c r="K159" s="20"/>
      <c r="L159" s="20"/>
      <c r="M159" s="20"/>
      <c r="N159" s="20"/>
      <c r="O159" s="20"/>
      <c r="P159" s="20"/>
      <c r="Q159" s="20"/>
      <c r="R159" s="20"/>
      <c r="S159" s="20"/>
      <c r="T159" s="20"/>
      <c r="U159" s="20"/>
    </row>
    <row r="160" spans="2:21">
      <c r="B160" s="20"/>
      <c r="C160" s="20"/>
      <c r="D160" s="20"/>
      <c r="E160" s="20"/>
      <c r="F160" s="20"/>
      <c r="G160" s="20"/>
      <c r="H160" s="20"/>
      <c r="I160" s="20"/>
      <c r="J160" s="20"/>
      <c r="K160" s="20"/>
      <c r="L160" s="20"/>
      <c r="M160" s="20"/>
      <c r="N160" s="20"/>
      <c r="O160" s="20"/>
      <c r="P160" s="20"/>
      <c r="Q160" s="20"/>
      <c r="R160" s="20"/>
      <c r="S160" s="20"/>
      <c r="T160" s="20"/>
      <c r="U160" s="20"/>
    </row>
    <row r="161" spans="2:21">
      <c r="B161" s="20"/>
      <c r="C161" s="20"/>
      <c r="D161" s="20"/>
      <c r="E161" s="20"/>
      <c r="F161" s="20"/>
      <c r="G161" s="20"/>
      <c r="H161" s="20"/>
      <c r="I161" s="20"/>
      <c r="J161" s="20"/>
      <c r="K161" s="20"/>
      <c r="L161" s="20"/>
      <c r="M161" s="20"/>
      <c r="N161" s="20"/>
      <c r="O161" s="20"/>
      <c r="P161" s="20"/>
      <c r="Q161" s="20"/>
      <c r="R161" s="20"/>
      <c r="S161" s="20"/>
      <c r="T161" s="20"/>
      <c r="U161" s="20"/>
    </row>
    <row r="162" spans="2:21">
      <c r="B162" s="20"/>
      <c r="C162" s="20"/>
      <c r="D162" s="20"/>
      <c r="E162" s="20"/>
      <c r="F162" s="20"/>
      <c r="G162" s="20"/>
      <c r="H162" s="20"/>
      <c r="I162" s="20"/>
      <c r="J162" s="20"/>
      <c r="K162" s="20"/>
      <c r="L162" s="20"/>
      <c r="M162" s="20"/>
      <c r="N162" s="20"/>
      <c r="O162" s="20"/>
      <c r="P162" s="20"/>
      <c r="Q162" s="20"/>
      <c r="R162" s="20"/>
      <c r="S162" s="20"/>
      <c r="T162" s="20"/>
      <c r="U162" s="20"/>
    </row>
    <row r="163" spans="2:21">
      <c r="B163" s="20"/>
      <c r="C163" s="20"/>
      <c r="D163" s="20"/>
      <c r="E163" s="20"/>
      <c r="F163" s="20"/>
      <c r="G163" s="20"/>
      <c r="H163" s="20"/>
      <c r="I163" s="20"/>
      <c r="J163" s="20"/>
      <c r="K163" s="20"/>
      <c r="L163" s="20"/>
      <c r="M163" s="20"/>
      <c r="N163" s="20"/>
      <c r="O163" s="20"/>
      <c r="P163" s="20"/>
      <c r="Q163" s="20"/>
      <c r="R163" s="20"/>
      <c r="S163" s="20"/>
      <c r="T163" s="20"/>
      <c r="U163" s="20"/>
    </row>
    <row r="164" spans="2:21">
      <c r="B164" s="20"/>
      <c r="C164" s="20"/>
      <c r="D164" s="20"/>
      <c r="E164" s="20"/>
      <c r="F164" s="20"/>
      <c r="G164" s="20"/>
      <c r="H164" s="20"/>
      <c r="I164" s="20"/>
      <c r="J164" s="20"/>
      <c r="K164" s="20"/>
      <c r="L164" s="20"/>
      <c r="M164" s="20"/>
      <c r="N164" s="20"/>
      <c r="O164" s="20"/>
      <c r="P164" s="20"/>
      <c r="Q164" s="20"/>
      <c r="R164" s="20"/>
      <c r="S164" s="20"/>
      <c r="T164" s="20"/>
      <c r="U164" s="20"/>
    </row>
    <row r="165" spans="2:21">
      <c r="B165" s="20"/>
      <c r="C165" s="20"/>
      <c r="D165" s="20"/>
      <c r="E165" s="20"/>
      <c r="F165" s="20"/>
      <c r="G165" s="20"/>
      <c r="H165" s="20"/>
      <c r="I165" s="20"/>
      <c r="J165" s="20"/>
      <c r="K165" s="20"/>
      <c r="L165" s="20"/>
      <c r="M165" s="20"/>
      <c r="N165" s="20"/>
      <c r="O165" s="20"/>
      <c r="P165" s="20"/>
      <c r="Q165" s="20"/>
      <c r="R165" s="20"/>
      <c r="S165" s="20"/>
      <c r="T165" s="20"/>
      <c r="U165" s="20"/>
    </row>
    <row r="166" spans="2:21">
      <c r="B166" s="20"/>
      <c r="C166" s="20"/>
      <c r="D166" s="20"/>
      <c r="E166" s="20"/>
      <c r="F166" s="20"/>
      <c r="G166" s="20"/>
      <c r="H166" s="20"/>
      <c r="I166" s="20"/>
      <c r="J166" s="20"/>
      <c r="K166" s="20"/>
      <c r="L166" s="20"/>
      <c r="M166" s="20"/>
      <c r="N166" s="20"/>
      <c r="O166" s="20"/>
      <c r="P166" s="20"/>
      <c r="Q166" s="20"/>
      <c r="R166" s="20"/>
      <c r="S166" s="20"/>
      <c r="T166" s="20"/>
      <c r="U166" s="20"/>
    </row>
    <row r="167" spans="2:21">
      <c r="B167" s="20"/>
      <c r="C167" s="20"/>
      <c r="D167" s="20"/>
      <c r="E167" s="20"/>
      <c r="F167" s="20"/>
      <c r="G167" s="20"/>
      <c r="H167" s="20"/>
      <c r="I167" s="20"/>
      <c r="J167" s="20"/>
      <c r="K167" s="20"/>
      <c r="L167" s="20"/>
      <c r="M167" s="20"/>
      <c r="N167" s="20"/>
      <c r="O167" s="20"/>
      <c r="P167" s="20"/>
      <c r="Q167" s="20"/>
      <c r="R167" s="20"/>
      <c r="S167" s="20"/>
      <c r="T167" s="20"/>
      <c r="U167" s="20"/>
    </row>
    <row r="168" spans="2:21">
      <c r="B168" s="20"/>
      <c r="C168" s="20"/>
      <c r="D168" s="20"/>
      <c r="E168" s="20"/>
      <c r="F168" s="20"/>
      <c r="G168" s="20"/>
      <c r="H168" s="20"/>
      <c r="I168" s="20"/>
      <c r="J168" s="20"/>
      <c r="K168" s="20"/>
      <c r="L168" s="20"/>
      <c r="M168" s="20"/>
      <c r="N168" s="20"/>
      <c r="O168" s="20"/>
      <c r="P168" s="20"/>
      <c r="Q168" s="20"/>
      <c r="R168" s="20"/>
      <c r="S168" s="20"/>
      <c r="T168" s="20"/>
      <c r="U168" s="20"/>
    </row>
    <row r="169" spans="2:21">
      <c r="B169" s="20"/>
      <c r="C169" s="20"/>
      <c r="D169" s="20"/>
      <c r="E169" s="20"/>
      <c r="F169" s="20"/>
      <c r="G169" s="20"/>
      <c r="H169" s="20"/>
      <c r="I169" s="20"/>
      <c r="J169" s="20"/>
      <c r="K169" s="20"/>
      <c r="L169" s="20"/>
      <c r="M169" s="20"/>
      <c r="N169" s="20"/>
      <c r="O169" s="20"/>
      <c r="P169" s="20"/>
      <c r="Q169" s="20"/>
      <c r="R169" s="20"/>
      <c r="S169" s="20"/>
      <c r="T169" s="20"/>
      <c r="U169" s="20"/>
    </row>
    <row r="170" spans="2:21">
      <c r="B170" s="20"/>
      <c r="C170" s="20"/>
      <c r="D170" s="20"/>
      <c r="E170" s="20"/>
      <c r="F170" s="20"/>
      <c r="G170" s="20"/>
      <c r="H170" s="20"/>
      <c r="I170" s="20"/>
      <c r="J170" s="20"/>
      <c r="K170" s="20"/>
      <c r="L170" s="20"/>
      <c r="M170" s="20"/>
      <c r="N170" s="20"/>
      <c r="O170" s="20"/>
      <c r="P170" s="20"/>
      <c r="Q170" s="20"/>
      <c r="R170" s="20"/>
      <c r="S170" s="20"/>
      <c r="T170" s="20"/>
      <c r="U170" s="20"/>
    </row>
    <row r="171" spans="2:21">
      <c r="B171" s="20"/>
      <c r="C171" s="20"/>
      <c r="D171" s="20"/>
      <c r="E171" s="20"/>
      <c r="F171" s="20"/>
      <c r="G171" s="20"/>
      <c r="H171" s="20"/>
      <c r="I171" s="20"/>
      <c r="J171" s="20"/>
      <c r="K171" s="20"/>
      <c r="L171" s="20"/>
      <c r="M171" s="20"/>
      <c r="N171" s="20"/>
      <c r="O171" s="20"/>
      <c r="P171" s="20"/>
      <c r="Q171" s="20"/>
      <c r="R171" s="20"/>
      <c r="S171" s="20"/>
      <c r="T171" s="20"/>
      <c r="U171" s="20"/>
    </row>
    <row r="172" spans="2:21">
      <c r="B172" s="20"/>
      <c r="C172" s="20"/>
      <c r="D172" s="20"/>
      <c r="E172" s="20"/>
      <c r="F172" s="20"/>
      <c r="G172" s="20"/>
      <c r="H172" s="20"/>
      <c r="I172" s="20"/>
      <c r="J172" s="20"/>
      <c r="K172" s="20"/>
      <c r="L172" s="20"/>
      <c r="M172" s="20"/>
      <c r="N172" s="20"/>
      <c r="O172" s="20"/>
      <c r="P172" s="20"/>
      <c r="Q172" s="20"/>
      <c r="R172" s="20"/>
      <c r="S172" s="20"/>
      <c r="T172" s="20"/>
      <c r="U172" s="20"/>
    </row>
    <row r="173" spans="2:21">
      <c r="B173" s="20"/>
      <c r="C173" s="20"/>
      <c r="D173" s="20"/>
      <c r="E173" s="20"/>
      <c r="F173" s="20"/>
      <c r="G173" s="20"/>
      <c r="H173" s="20"/>
      <c r="I173" s="20"/>
      <c r="J173" s="20"/>
      <c r="K173" s="20"/>
      <c r="L173" s="20"/>
      <c r="M173" s="20"/>
      <c r="N173" s="20"/>
      <c r="O173" s="20"/>
      <c r="P173" s="20"/>
      <c r="Q173" s="20"/>
      <c r="R173" s="20"/>
      <c r="S173" s="20"/>
      <c r="T173" s="20"/>
      <c r="U173" s="20"/>
    </row>
    <row r="174" spans="2:21">
      <c r="B174" s="20"/>
      <c r="C174" s="20"/>
      <c r="D174" s="20"/>
      <c r="E174" s="20"/>
      <c r="F174" s="20"/>
      <c r="G174" s="20"/>
      <c r="H174" s="20"/>
      <c r="I174" s="20"/>
      <c r="J174" s="20"/>
      <c r="K174" s="20"/>
      <c r="L174" s="20"/>
      <c r="M174" s="20"/>
      <c r="N174" s="20"/>
      <c r="O174" s="20"/>
      <c r="P174" s="20"/>
      <c r="Q174" s="20"/>
      <c r="R174" s="20"/>
      <c r="S174" s="20"/>
      <c r="T174" s="20"/>
      <c r="U174" s="20"/>
    </row>
    <row r="175" spans="2:21">
      <c r="B175" s="20"/>
      <c r="C175" s="20"/>
      <c r="D175" s="20"/>
      <c r="E175" s="20"/>
      <c r="F175" s="20"/>
      <c r="G175" s="20"/>
      <c r="H175" s="20"/>
      <c r="I175" s="20"/>
      <c r="J175" s="20"/>
      <c r="K175" s="20"/>
      <c r="L175" s="20"/>
      <c r="M175" s="20"/>
      <c r="N175" s="20"/>
      <c r="O175" s="20"/>
      <c r="P175" s="20"/>
      <c r="Q175" s="20"/>
      <c r="R175" s="20"/>
      <c r="S175" s="20"/>
      <c r="T175" s="20"/>
      <c r="U175" s="20"/>
    </row>
    <row r="176" spans="2:21">
      <c r="B176" s="20"/>
      <c r="C176" s="20"/>
      <c r="D176" s="20"/>
      <c r="E176" s="20"/>
      <c r="F176" s="20"/>
      <c r="G176" s="20"/>
      <c r="H176" s="20"/>
      <c r="I176" s="20"/>
      <c r="J176" s="20"/>
      <c r="K176" s="20"/>
      <c r="L176" s="20"/>
      <c r="M176" s="20"/>
      <c r="N176" s="20"/>
      <c r="O176" s="20"/>
      <c r="P176" s="20"/>
      <c r="Q176" s="20"/>
      <c r="R176" s="20"/>
      <c r="S176" s="20"/>
      <c r="T176" s="20"/>
      <c r="U176" s="20"/>
    </row>
    <row r="177" spans="2:21">
      <c r="B177" s="20"/>
      <c r="C177" s="20"/>
      <c r="D177" s="20"/>
      <c r="E177" s="20"/>
      <c r="F177" s="20"/>
      <c r="G177" s="20"/>
      <c r="H177" s="20"/>
      <c r="I177" s="20"/>
      <c r="J177" s="20"/>
      <c r="K177" s="20"/>
      <c r="L177" s="20"/>
      <c r="M177" s="20"/>
      <c r="N177" s="20"/>
      <c r="O177" s="20"/>
      <c r="P177" s="20"/>
      <c r="Q177" s="20"/>
      <c r="R177" s="20"/>
      <c r="S177" s="20"/>
      <c r="T177" s="20"/>
      <c r="U177" s="20"/>
    </row>
    <row r="178" spans="2:21">
      <c r="B178" s="20"/>
      <c r="C178" s="20"/>
      <c r="D178" s="20"/>
      <c r="E178" s="20"/>
      <c r="F178" s="20"/>
      <c r="G178" s="20"/>
      <c r="H178" s="20"/>
      <c r="I178" s="20"/>
      <c r="J178" s="20"/>
      <c r="K178" s="20"/>
      <c r="L178" s="20"/>
      <c r="M178" s="20"/>
      <c r="N178" s="20"/>
      <c r="O178" s="20"/>
      <c r="P178" s="20"/>
      <c r="Q178" s="20"/>
      <c r="R178" s="20"/>
      <c r="S178" s="20"/>
      <c r="T178" s="20"/>
      <c r="U178" s="20"/>
    </row>
    <row r="179" spans="2:21">
      <c r="B179" s="20"/>
      <c r="C179" s="20"/>
      <c r="D179" s="20"/>
      <c r="E179" s="20"/>
      <c r="F179" s="20"/>
      <c r="G179" s="20"/>
      <c r="H179" s="20"/>
      <c r="I179" s="20"/>
      <c r="J179" s="20"/>
      <c r="K179" s="20"/>
      <c r="L179" s="20"/>
      <c r="M179" s="20"/>
      <c r="N179" s="20"/>
      <c r="O179" s="20"/>
      <c r="P179" s="20"/>
      <c r="Q179" s="20"/>
      <c r="R179" s="20"/>
      <c r="S179" s="20"/>
      <c r="T179" s="20"/>
      <c r="U179" s="20"/>
    </row>
    <row r="180" spans="2:21">
      <c r="B180" s="20"/>
      <c r="C180" s="20"/>
      <c r="D180" s="20"/>
      <c r="E180" s="20"/>
      <c r="F180" s="20"/>
      <c r="G180" s="20"/>
      <c r="H180" s="20"/>
      <c r="I180" s="20"/>
      <c r="J180" s="20"/>
      <c r="K180" s="20"/>
      <c r="L180" s="20"/>
      <c r="M180" s="20"/>
      <c r="N180" s="20"/>
      <c r="O180" s="20"/>
      <c r="P180" s="20"/>
      <c r="Q180" s="20"/>
      <c r="R180" s="20"/>
      <c r="S180" s="20"/>
      <c r="T180" s="20"/>
      <c r="U180" s="20"/>
    </row>
    <row r="181" spans="2:21">
      <c r="B181" s="20"/>
      <c r="C181" s="20"/>
      <c r="D181" s="20"/>
      <c r="E181" s="20"/>
      <c r="F181" s="20"/>
      <c r="G181" s="20"/>
      <c r="H181" s="20"/>
      <c r="I181" s="20"/>
      <c r="J181" s="20"/>
      <c r="K181" s="20"/>
      <c r="L181" s="20"/>
      <c r="M181" s="20"/>
      <c r="N181" s="20"/>
      <c r="O181" s="20"/>
      <c r="P181" s="20"/>
      <c r="Q181" s="20"/>
      <c r="R181" s="20"/>
      <c r="S181" s="20"/>
      <c r="T181" s="20"/>
      <c r="U181" s="20"/>
    </row>
    <row r="182" spans="2:21">
      <c r="B182" s="20"/>
      <c r="C182" s="20"/>
      <c r="D182" s="20"/>
      <c r="E182" s="20"/>
      <c r="F182" s="20"/>
      <c r="G182" s="20"/>
      <c r="H182" s="20"/>
      <c r="I182" s="20"/>
      <c r="J182" s="20"/>
      <c r="K182" s="20"/>
      <c r="L182" s="20"/>
      <c r="M182" s="20"/>
      <c r="N182" s="20"/>
      <c r="O182" s="20"/>
      <c r="P182" s="20"/>
      <c r="Q182" s="20"/>
      <c r="R182" s="20"/>
      <c r="S182" s="20"/>
      <c r="T182" s="20"/>
      <c r="U182" s="20"/>
    </row>
    <row r="183" spans="2:21">
      <c r="B183" s="20"/>
      <c r="C183" s="20"/>
      <c r="D183" s="20"/>
      <c r="E183" s="20"/>
      <c r="F183" s="20"/>
      <c r="G183" s="20"/>
      <c r="H183" s="20"/>
      <c r="I183" s="20"/>
      <c r="J183" s="20"/>
      <c r="K183" s="20"/>
      <c r="L183" s="20"/>
      <c r="M183" s="20"/>
      <c r="N183" s="20"/>
      <c r="O183" s="20"/>
      <c r="P183" s="20"/>
      <c r="Q183" s="20"/>
      <c r="R183" s="20"/>
      <c r="S183" s="20"/>
      <c r="T183" s="20"/>
      <c r="U183" s="20"/>
    </row>
    <row r="184" spans="2:21">
      <c r="B184" s="20"/>
      <c r="C184" s="20"/>
      <c r="D184" s="20"/>
      <c r="E184" s="20"/>
      <c r="F184" s="20"/>
      <c r="G184" s="20"/>
      <c r="H184" s="20"/>
      <c r="I184" s="20"/>
      <c r="J184" s="20"/>
      <c r="K184" s="20"/>
      <c r="L184" s="20"/>
      <c r="M184" s="20"/>
      <c r="N184" s="20"/>
      <c r="O184" s="20"/>
      <c r="P184" s="20"/>
      <c r="Q184" s="20"/>
      <c r="R184" s="20"/>
      <c r="S184" s="20"/>
      <c r="T184" s="20"/>
      <c r="U184" s="20"/>
    </row>
    <row r="185" spans="2:21">
      <c r="B185" s="20"/>
      <c r="C185" s="20"/>
      <c r="D185" s="20"/>
      <c r="E185" s="20"/>
      <c r="F185" s="20"/>
      <c r="G185" s="20"/>
      <c r="H185" s="20"/>
      <c r="I185" s="20"/>
      <c r="J185" s="20"/>
      <c r="K185" s="20"/>
      <c r="L185" s="20"/>
      <c r="M185" s="20"/>
      <c r="N185" s="20"/>
      <c r="O185" s="20"/>
      <c r="P185" s="20"/>
      <c r="Q185" s="20"/>
      <c r="R185" s="20"/>
      <c r="S185" s="20"/>
      <c r="T185" s="20"/>
      <c r="U185" s="20"/>
    </row>
    <row r="186" spans="2:21">
      <c r="B186" s="20"/>
      <c r="C186" s="20"/>
      <c r="D186" s="20"/>
      <c r="E186" s="20"/>
      <c r="F186" s="20"/>
      <c r="G186" s="20"/>
      <c r="H186" s="20"/>
      <c r="I186" s="20"/>
      <c r="J186" s="20"/>
      <c r="K186" s="20"/>
      <c r="L186" s="20"/>
      <c r="M186" s="20"/>
      <c r="N186" s="20"/>
      <c r="O186" s="20"/>
      <c r="P186" s="20"/>
      <c r="Q186" s="20"/>
      <c r="R186" s="20"/>
      <c r="S186" s="20"/>
      <c r="T186" s="20"/>
      <c r="U186" s="20"/>
    </row>
    <row r="187" spans="2:21">
      <c r="B187" s="20"/>
      <c r="C187" s="20"/>
      <c r="D187" s="20"/>
      <c r="E187" s="20"/>
      <c r="F187" s="20"/>
      <c r="G187" s="20"/>
      <c r="H187" s="20"/>
      <c r="I187" s="20"/>
      <c r="J187" s="20"/>
      <c r="K187" s="20"/>
      <c r="L187" s="20"/>
      <c r="M187" s="20"/>
      <c r="N187" s="20"/>
      <c r="O187" s="20"/>
      <c r="P187" s="20"/>
      <c r="Q187" s="20"/>
      <c r="R187" s="20"/>
      <c r="S187" s="20"/>
      <c r="T187" s="20"/>
      <c r="U187" s="20"/>
    </row>
    <row r="188" spans="2:21">
      <c r="B188" s="20"/>
      <c r="C188" s="20"/>
      <c r="D188" s="20"/>
      <c r="E188" s="20"/>
      <c r="F188" s="20"/>
      <c r="G188" s="20"/>
      <c r="H188" s="20"/>
      <c r="I188" s="20"/>
      <c r="J188" s="20"/>
      <c r="K188" s="20"/>
      <c r="L188" s="20"/>
      <c r="M188" s="20"/>
      <c r="N188" s="20"/>
      <c r="O188" s="20"/>
      <c r="P188" s="20"/>
      <c r="Q188" s="20"/>
      <c r="R188" s="20"/>
      <c r="S188" s="20"/>
      <c r="T188" s="20"/>
      <c r="U188" s="20"/>
    </row>
    <row r="189" spans="2:21">
      <c r="B189" s="20"/>
      <c r="C189" s="20"/>
      <c r="D189" s="20"/>
      <c r="E189" s="20"/>
      <c r="F189" s="20"/>
      <c r="G189" s="20"/>
      <c r="H189" s="20"/>
      <c r="I189" s="20"/>
      <c r="J189" s="20"/>
      <c r="K189" s="20"/>
      <c r="L189" s="20"/>
      <c r="M189" s="20"/>
      <c r="N189" s="20"/>
      <c r="O189" s="20"/>
      <c r="P189" s="20"/>
      <c r="Q189" s="20"/>
      <c r="R189" s="20"/>
      <c r="S189" s="20"/>
      <c r="T189" s="20"/>
      <c r="U189" s="20"/>
    </row>
    <row r="190" spans="2:21">
      <c r="B190" s="20"/>
      <c r="C190" s="20"/>
      <c r="D190" s="20"/>
      <c r="E190" s="20"/>
      <c r="F190" s="20"/>
      <c r="G190" s="20"/>
      <c r="H190" s="20"/>
      <c r="I190" s="20"/>
      <c r="J190" s="20"/>
      <c r="K190" s="20"/>
      <c r="L190" s="20"/>
      <c r="M190" s="20"/>
      <c r="N190" s="20"/>
      <c r="O190" s="20"/>
      <c r="P190" s="20"/>
      <c r="Q190" s="20"/>
      <c r="R190" s="20"/>
      <c r="S190" s="20"/>
      <c r="T190" s="20"/>
      <c r="U190" s="20"/>
    </row>
    <row r="191" spans="2:21">
      <c r="B191" s="20"/>
      <c r="C191" s="20"/>
      <c r="D191" s="20"/>
      <c r="E191" s="20"/>
      <c r="F191" s="20"/>
      <c r="G191" s="20"/>
      <c r="H191" s="20"/>
      <c r="I191" s="20"/>
      <c r="J191" s="20"/>
      <c r="K191" s="20"/>
      <c r="L191" s="20"/>
      <c r="M191" s="20"/>
      <c r="N191" s="20"/>
      <c r="O191" s="20"/>
      <c r="P191" s="20"/>
      <c r="Q191" s="20"/>
      <c r="R191" s="20"/>
      <c r="S191" s="20"/>
      <c r="T191" s="20"/>
      <c r="U191" s="20"/>
    </row>
    <row r="192" spans="2:21">
      <c r="B192" s="20"/>
      <c r="C192" s="20"/>
      <c r="D192" s="20"/>
      <c r="E192" s="20"/>
      <c r="F192" s="20"/>
      <c r="G192" s="20"/>
      <c r="H192" s="20"/>
      <c r="I192" s="20"/>
      <c r="J192" s="20"/>
      <c r="K192" s="20"/>
      <c r="L192" s="20"/>
      <c r="M192" s="20"/>
      <c r="N192" s="20"/>
      <c r="O192" s="20"/>
      <c r="P192" s="20"/>
      <c r="Q192" s="20"/>
      <c r="R192" s="20"/>
      <c r="S192" s="20"/>
      <c r="T192" s="20"/>
      <c r="U192" s="20"/>
    </row>
    <row r="193" spans="2:21">
      <c r="B193" s="20"/>
      <c r="C193" s="20"/>
      <c r="D193" s="20"/>
      <c r="E193" s="20"/>
      <c r="F193" s="20"/>
      <c r="G193" s="20"/>
      <c r="H193" s="20"/>
      <c r="I193" s="20"/>
      <c r="J193" s="20"/>
      <c r="K193" s="20"/>
      <c r="L193" s="20"/>
      <c r="M193" s="20"/>
      <c r="N193" s="20"/>
      <c r="O193" s="20"/>
      <c r="P193" s="20"/>
      <c r="Q193" s="20"/>
      <c r="R193" s="20"/>
      <c r="S193" s="20"/>
      <c r="T193" s="20"/>
      <c r="U193" s="20"/>
    </row>
    <row r="194" spans="2:21">
      <c r="B194" s="20"/>
      <c r="C194" s="20"/>
      <c r="D194" s="20"/>
      <c r="E194" s="20"/>
      <c r="F194" s="20"/>
      <c r="G194" s="20"/>
      <c r="H194" s="20"/>
      <c r="I194" s="20"/>
      <c r="J194" s="20"/>
      <c r="K194" s="20"/>
      <c r="L194" s="20"/>
      <c r="M194" s="20"/>
      <c r="N194" s="20"/>
      <c r="O194" s="20"/>
      <c r="P194" s="20"/>
      <c r="Q194" s="20"/>
      <c r="R194" s="20"/>
      <c r="S194" s="20"/>
      <c r="T194" s="20"/>
      <c r="U194" s="20"/>
    </row>
    <row r="195" spans="2:21">
      <c r="B195" s="20"/>
      <c r="C195" s="20"/>
      <c r="D195" s="20"/>
      <c r="E195" s="20"/>
      <c r="F195" s="20"/>
      <c r="G195" s="20"/>
      <c r="H195" s="20"/>
      <c r="I195" s="20"/>
      <c r="J195" s="20"/>
      <c r="K195" s="20"/>
      <c r="L195" s="20"/>
      <c r="M195" s="20"/>
      <c r="N195" s="20"/>
      <c r="O195" s="20"/>
      <c r="P195" s="20"/>
      <c r="Q195" s="20"/>
      <c r="R195" s="20"/>
      <c r="S195" s="20"/>
      <c r="T195" s="20"/>
      <c r="U195" s="20"/>
    </row>
    <row r="196" spans="2:21">
      <c r="B196" s="20"/>
      <c r="C196" s="20"/>
      <c r="D196" s="20"/>
      <c r="E196" s="20"/>
      <c r="F196" s="20"/>
      <c r="G196" s="20"/>
      <c r="H196" s="20"/>
      <c r="I196" s="20"/>
      <c r="J196" s="20"/>
      <c r="K196" s="20"/>
      <c r="L196" s="20"/>
      <c r="M196" s="20"/>
      <c r="N196" s="20"/>
      <c r="O196" s="20"/>
      <c r="P196" s="20"/>
      <c r="Q196" s="20"/>
      <c r="R196" s="20"/>
      <c r="S196" s="20"/>
      <c r="T196" s="20"/>
      <c r="U196" s="20"/>
    </row>
    <row r="197" spans="2:21">
      <c r="B197" s="20"/>
      <c r="C197" s="20"/>
      <c r="D197" s="20"/>
      <c r="E197" s="20"/>
      <c r="F197" s="20"/>
      <c r="G197" s="20"/>
      <c r="H197" s="20"/>
      <c r="I197" s="20"/>
      <c r="J197" s="20"/>
      <c r="K197" s="20"/>
      <c r="L197" s="20"/>
      <c r="M197" s="20"/>
      <c r="N197" s="20"/>
      <c r="O197" s="20"/>
      <c r="P197" s="20"/>
      <c r="Q197" s="20"/>
      <c r="R197" s="20"/>
      <c r="S197" s="20"/>
      <c r="T197" s="20"/>
      <c r="U197" s="20"/>
    </row>
    <row r="198" spans="2:21">
      <c r="B198" s="20"/>
      <c r="C198" s="20"/>
      <c r="D198" s="20"/>
      <c r="E198" s="20"/>
      <c r="F198" s="20"/>
      <c r="G198" s="20"/>
      <c r="H198" s="20"/>
      <c r="I198" s="20"/>
      <c r="J198" s="20"/>
      <c r="K198" s="20"/>
      <c r="L198" s="20"/>
      <c r="M198" s="20"/>
      <c r="N198" s="20"/>
      <c r="O198" s="20"/>
      <c r="P198" s="20"/>
      <c r="Q198" s="20"/>
      <c r="R198" s="20"/>
      <c r="S198" s="20"/>
      <c r="T198" s="20"/>
      <c r="U198" s="20"/>
    </row>
  </sheetData>
  <pageMargins left="0.7" right="0.7" top="0.75" bottom="0.75" header="0.3" footer="0.3"/>
  <pageSetup orientation="landscape"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tabColor theme="4" tint="0.39997558519241921"/>
  </sheetPr>
  <dimension ref="A1:BX138"/>
  <sheetViews>
    <sheetView showGridLines="0" workbookViewId="0">
      <pane xSplit="25" ySplit="2" topLeftCell="AO3" activePane="bottomRight" state="frozen"/>
      <selection pane="topRight" activeCell="Z1" sqref="Z1"/>
      <selection pane="bottomLeft" activeCell="A3" sqref="A3"/>
      <selection pane="bottomRight" activeCell="AW3" sqref="AW3"/>
    </sheetView>
  </sheetViews>
  <sheetFormatPr defaultRowHeight="15" outlineLevelCol="2"/>
  <cols>
    <col min="1" max="1" width="48.140625" customWidth="1"/>
    <col min="2" max="5" width="12.140625" style="24" hidden="1" customWidth="1" outlineLevel="2"/>
    <col min="6" max="6" width="12.140625" style="24" hidden="1" customWidth="1" outlineLevel="1"/>
    <col min="7" max="10" width="12.140625" style="24" hidden="1" customWidth="1" outlineLevel="2"/>
    <col min="11" max="11" width="12.140625" style="24" hidden="1" customWidth="1" outlineLevel="1" collapsed="1"/>
    <col min="12" max="15" width="12.140625" style="24" hidden="1" customWidth="1" outlineLevel="2"/>
    <col min="16" max="16" width="12.140625" style="24" hidden="1" customWidth="1" outlineLevel="1" collapsed="1"/>
    <col min="17" max="20" width="12.140625" style="24" hidden="1" customWidth="1" outlineLevel="2"/>
    <col min="21" max="21" width="12.140625" style="24" hidden="1" customWidth="1" collapsed="1"/>
    <col min="22" max="25" width="12.140625" style="24" hidden="1" customWidth="1" outlineLevel="1"/>
    <col min="26" max="26" width="12.140625" style="24" hidden="1" customWidth="1" outlineLevel="1" collapsed="1"/>
    <col min="27" max="30" width="12.140625" style="24" hidden="1" customWidth="1" outlineLevel="2"/>
    <col min="31" max="31" width="12.140625" style="24" hidden="1" customWidth="1" outlineLevel="1" collapsed="1"/>
    <col min="32" max="35" width="12.140625" style="24" hidden="1" customWidth="1" outlineLevel="2"/>
    <col min="36" max="36" width="12.140625" style="24" hidden="1" customWidth="1" outlineLevel="1" collapsed="1"/>
    <col min="37" max="40" width="12.140625" style="24" hidden="1" customWidth="1" outlineLevel="1"/>
    <col min="41" max="41" width="12.140625" style="24" customWidth="1" collapsed="1"/>
    <col min="42" max="45" width="12.140625" style="24" hidden="1" customWidth="1" outlineLevel="1"/>
    <col min="46" max="46" width="12.140625" style="24" customWidth="1" collapsed="1"/>
    <col min="47" max="50" width="12.140625" style="24" customWidth="1" outlineLevel="1"/>
    <col min="51" max="51" width="12" style="24" customWidth="1"/>
    <col min="52" max="55" width="12" style="24" customWidth="1" outlineLevel="1"/>
    <col min="56" max="56" width="12" style="24" customWidth="1"/>
    <col min="57" max="60" width="12" style="24" customWidth="1" outlineLevel="1"/>
    <col min="61" max="61" width="12" style="24" customWidth="1"/>
    <col min="62" max="62" width="9.140625" hidden="1" customWidth="1" outlineLevel="1"/>
    <col min="63" max="63" width="44.85546875" hidden="1" customWidth="1" collapsed="1"/>
    <col min="64" max="64" width="10" hidden="1" customWidth="1"/>
    <col min="65" max="65" width="9.140625" hidden="1" customWidth="1"/>
    <col min="66" max="66" width="60.85546875" hidden="1" customWidth="1"/>
    <col min="67" max="67" width="10.42578125" hidden="1" customWidth="1"/>
    <col min="68" max="68" width="19.42578125" hidden="1" customWidth="1"/>
    <col min="69" max="69" width="60.85546875" customWidth="1"/>
  </cols>
  <sheetData>
    <row r="1" spans="1:76">
      <c r="A1" s="13" t="s">
        <v>28</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row>
    <row r="2" spans="1:76">
      <c r="B2" s="93" t="str">
        <f>ProForma_IS_Qtr!B2</f>
        <v>1Q15A</v>
      </c>
      <c r="C2" s="93" t="str">
        <f>ProForma_IS_Qtr!C2</f>
        <v>2Q15A</v>
      </c>
      <c r="D2" s="93" t="str">
        <f>ProForma_IS_Qtr!D2</f>
        <v>3Q15A</v>
      </c>
      <c r="E2" s="93" t="str">
        <f>ProForma_IS_Qtr!E2</f>
        <v>4Q15A</v>
      </c>
      <c r="F2" s="94" t="str">
        <f>ProForma_IS_Qtr!F2</f>
        <v>CY2015A</v>
      </c>
      <c r="G2" s="93" t="str">
        <f>ProForma_IS_Qtr!G2</f>
        <v>1Q16A</v>
      </c>
      <c r="H2" s="93" t="str">
        <f>ProForma_IS_Qtr!H2</f>
        <v>2Q16A</v>
      </c>
      <c r="I2" s="93" t="str">
        <f>ProForma_IS_Qtr!I2</f>
        <v>3Q16A</v>
      </c>
      <c r="J2" s="93" t="str">
        <f>ProForma_IS_Qtr!J2</f>
        <v>4Q16A</v>
      </c>
      <c r="K2" s="94" t="str">
        <f>ProForma_IS_Qtr!K2</f>
        <v>CY2016A</v>
      </c>
      <c r="L2" s="93" t="str">
        <f>ProForma_IS_Qtr!L2</f>
        <v>1Q17A</v>
      </c>
      <c r="M2" s="93" t="str">
        <f>ProForma_IS_Qtr!M2</f>
        <v>2Q17A</v>
      </c>
      <c r="N2" s="93" t="str">
        <f>ProForma_IS_Qtr!N2</f>
        <v>3Q17A</v>
      </c>
      <c r="O2" s="93" t="str">
        <f>ProForma_IS_Qtr!O2</f>
        <v>4Q17A</v>
      </c>
      <c r="P2" s="94" t="str">
        <f>ProForma_IS_Qtr!P2</f>
        <v>CY2017A</v>
      </c>
      <c r="Q2" s="93" t="str">
        <f>ProForma_IS_Qtr!Q2</f>
        <v>1Q18A</v>
      </c>
      <c r="R2" s="93" t="str">
        <f>ProForma_IS_Qtr!R2</f>
        <v>2Q18A</v>
      </c>
      <c r="S2" s="93" t="str">
        <f>ProForma_IS_Qtr!S2</f>
        <v>3Q18A</v>
      </c>
      <c r="T2" s="93" t="str">
        <f>ProForma_IS_Qtr!T2</f>
        <v>4Q18A</v>
      </c>
      <c r="U2" s="94" t="str">
        <f>ProForma_IS_Qtr!U2</f>
        <v>CY2018A</v>
      </c>
      <c r="V2" s="93" t="str">
        <f>ProForma_IS_Qtr!V2</f>
        <v>1Q19A</v>
      </c>
      <c r="W2" s="93" t="str">
        <f>ProForma_IS_Qtr!W2</f>
        <v>2Q19A</v>
      </c>
      <c r="X2" s="93" t="str">
        <f>ProForma_IS_Qtr!X2</f>
        <v>3Q19A</v>
      </c>
      <c r="Y2" s="93" t="str">
        <f>ProForma_IS_Qtr!Y2</f>
        <v>4Q19A</v>
      </c>
      <c r="Z2" s="94" t="str">
        <f>ProForma_IS_Qtr!Z2</f>
        <v>CY2019A</v>
      </c>
      <c r="AA2" s="93" t="str">
        <f>ProForma_IS_Qtr!AA2</f>
        <v>1Q20A</v>
      </c>
      <c r="AB2" s="93" t="str">
        <f>ProForma_IS_Qtr!AB2</f>
        <v>2Q20A</v>
      </c>
      <c r="AC2" s="93" t="str">
        <f>ProForma_IS_Qtr!AC2</f>
        <v>3Q20A</v>
      </c>
      <c r="AD2" s="93" t="str">
        <f>ProForma_IS_Qtr!AD2</f>
        <v>4Q20A</v>
      </c>
      <c r="AE2" s="94" t="str">
        <f>ProForma_IS_Qtr!AE2</f>
        <v>CY2020A</v>
      </c>
      <c r="AF2" s="93" t="str">
        <f>ProForma_IS_Qtr!AF2</f>
        <v>1Q21A</v>
      </c>
      <c r="AG2" s="93" t="str">
        <f>ProForma_IS_Qtr!AG2</f>
        <v>2Q21A</v>
      </c>
      <c r="AH2" s="93" t="str">
        <f>ProForma_IS_Qtr!AH2</f>
        <v>3Q21A</v>
      </c>
      <c r="AI2" s="93" t="str">
        <f>ProForma_IS_Qtr!AI2</f>
        <v>4Q21A</v>
      </c>
      <c r="AJ2" s="94" t="str">
        <f>ProForma_IS_Qtr!AJ2</f>
        <v>CY2021A</v>
      </c>
      <c r="AK2" s="93" t="str">
        <f>ProForma_IS_Qtr!AK2</f>
        <v>1Q22A</v>
      </c>
      <c r="AL2" s="93" t="str">
        <f>ProForma_IS_Qtr!AL2</f>
        <v>2Q22A</v>
      </c>
      <c r="AM2" s="93" t="str">
        <f>ProForma_IS_Qtr!AM2</f>
        <v>3Q22A</v>
      </c>
      <c r="AN2" s="93" t="str">
        <f>ProForma_IS_Qtr!AN2</f>
        <v>4Q22A</v>
      </c>
      <c r="AO2" s="94" t="str">
        <f>ProForma_IS_Qtr!AO2</f>
        <v>CY2022A</v>
      </c>
      <c r="AP2" s="93" t="str">
        <f>ProForma_IS_Qtr!AP2</f>
        <v>1Q23A</v>
      </c>
      <c r="AQ2" s="93" t="str">
        <f>ProForma_IS_Qtr!AQ2</f>
        <v>2Q23A</v>
      </c>
      <c r="AR2" s="93" t="str">
        <f>ProForma_IS_Qtr!AR2</f>
        <v>3Q23A</v>
      </c>
      <c r="AS2" s="93" t="str">
        <f>ProForma_IS_Qtr!AS2</f>
        <v>4Q23</v>
      </c>
      <c r="AT2" s="94" t="str">
        <f>ProForma_IS_Qtr!AT2</f>
        <v>CY2023</v>
      </c>
      <c r="AU2" s="93" t="str">
        <f>ProForma_IS_Qtr!AU2</f>
        <v>1Q24A</v>
      </c>
      <c r="AV2" s="93" t="str">
        <f>ProForma_IS_Qtr!AV2</f>
        <v>2Q24A</v>
      </c>
      <c r="AW2" s="93" t="str">
        <f>ProForma_IS_Qtr!AW2</f>
        <v>3Q24A</v>
      </c>
      <c r="AX2" s="93" t="str">
        <f>ProForma_IS_Qtr!AX2</f>
        <v>4Q24A</v>
      </c>
      <c r="AY2" s="94" t="str">
        <f>ProForma_IS_Qtr!AY2</f>
        <v>CY2024A</v>
      </c>
      <c r="AZ2" s="93" t="str">
        <f>ProForma_IS_Qtr!AZ2</f>
        <v>1Q25A</v>
      </c>
      <c r="BA2" s="93" t="str">
        <f>ProForma_IS_Qtr!BA2</f>
        <v>2Q25A</v>
      </c>
      <c r="BB2" s="93" t="str">
        <f>ProForma_IS_Qtr!BB2</f>
        <v>3Q25A</v>
      </c>
      <c r="BC2" s="93" t="str">
        <f>ProForma_IS_Qtr!BC2</f>
        <v>4Q25A</v>
      </c>
      <c r="BD2" s="94" t="str">
        <f>ProForma_IS_Qtr!BD2</f>
        <v>CY2025A</v>
      </c>
      <c r="BE2" s="93" t="str">
        <f>ProForma_IS_Qtr!BE2</f>
        <v>1Q26A</v>
      </c>
      <c r="BF2" s="93" t="str">
        <f>ProForma_IS_Qtr!BF2</f>
        <v>2Q26A</v>
      </c>
      <c r="BG2" s="93" t="str">
        <f>ProForma_IS_Qtr!BG2</f>
        <v>3Q26E</v>
      </c>
      <c r="BH2" s="93" t="str">
        <f>ProForma_IS_Qtr!BH2</f>
        <v>4Q26E</v>
      </c>
      <c r="BI2" s="94" t="str">
        <f>ProForma_IS_Qtr!BI2</f>
        <v>CY2026E</v>
      </c>
    </row>
    <row r="3" spans="1:76">
      <c r="A3" s="4" t="s">
        <v>29</v>
      </c>
      <c r="F3" s="25"/>
      <c r="K3" s="25"/>
      <c r="P3" s="25"/>
      <c r="U3" s="25"/>
      <c r="Z3" s="25"/>
      <c r="AE3" s="25"/>
      <c r="AJ3" s="25"/>
      <c r="AO3" s="25"/>
      <c r="AT3" s="25"/>
      <c r="AY3" s="25"/>
      <c r="BD3" s="25"/>
      <c r="BI3" s="25"/>
    </row>
    <row r="4" spans="1:76">
      <c r="A4" s="4" t="s">
        <v>64</v>
      </c>
      <c r="F4" s="25"/>
      <c r="K4" s="25"/>
      <c r="P4" s="25"/>
      <c r="U4" s="75"/>
      <c r="Y4" s="73"/>
      <c r="Z4" s="25"/>
      <c r="AE4" s="25"/>
      <c r="AJ4" s="25"/>
      <c r="AO4" s="25"/>
      <c r="AT4" s="25"/>
      <c r="AY4" s="25"/>
      <c r="BD4" s="25"/>
      <c r="BI4" s="25"/>
    </row>
    <row r="5" spans="1:76">
      <c r="A5" s="1" t="s">
        <v>65</v>
      </c>
      <c r="B5" s="36"/>
      <c r="C5" s="36"/>
      <c r="D5" s="36"/>
      <c r="E5" s="36"/>
      <c r="F5" s="37"/>
      <c r="G5" s="36"/>
      <c r="H5" s="36"/>
      <c r="I5" s="36"/>
      <c r="J5" s="36"/>
      <c r="K5" s="37"/>
      <c r="L5" s="36"/>
      <c r="M5" s="36"/>
      <c r="N5" s="36"/>
      <c r="O5" s="36"/>
      <c r="P5" s="37"/>
      <c r="Q5" s="36"/>
      <c r="R5" s="36"/>
      <c r="S5" s="36"/>
      <c r="T5" s="36"/>
      <c r="U5" s="37">
        <f>Cash_Flow_Qtr!V63</f>
        <v>0</v>
      </c>
      <c r="V5" s="36"/>
      <c r="W5" s="36"/>
      <c r="X5" s="36"/>
      <c r="Y5" s="20"/>
      <c r="Z5" s="42"/>
      <c r="AA5" s="40"/>
      <c r="AB5" s="40"/>
      <c r="AC5" s="40"/>
      <c r="AD5" s="20"/>
      <c r="AE5" s="42"/>
      <c r="AF5" s="40"/>
      <c r="AG5" s="40"/>
      <c r="AH5" s="40"/>
      <c r="AI5" s="20"/>
      <c r="AJ5" s="42"/>
      <c r="AK5" s="40"/>
      <c r="AL5" s="40"/>
      <c r="AM5" s="40"/>
      <c r="AN5" s="20"/>
      <c r="AO5" s="42">
        <v>15810</v>
      </c>
      <c r="AP5" s="40">
        <v>12001</v>
      </c>
      <c r="AQ5" s="40">
        <v>12766</v>
      </c>
      <c r="AR5" s="40">
        <v>13127</v>
      </c>
      <c r="AS5" s="41">
        <f>+AT5</f>
        <v>15204</v>
      </c>
      <c r="AT5" s="42">
        <v>15204</v>
      </c>
      <c r="AU5" s="40">
        <v>18447</v>
      </c>
      <c r="AV5" s="40">
        <v>12107</v>
      </c>
      <c r="AW5" s="40">
        <v>13724</v>
      </c>
      <c r="AX5" s="41">
        <f>+AY5</f>
        <v>13619</v>
      </c>
      <c r="AY5" s="42">
        <v>13619</v>
      </c>
      <c r="AZ5" s="40">
        <v>12405</v>
      </c>
      <c r="BA5" s="40">
        <v>10861</v>
      </c>
      <c r="BB5" s="40">
        <v>12501</v>
      </c>
      <c r="BC5" s="41">
        <f>+BD5</f>
        <v>12392</v>
      </c>
      <c r="BD5" s="42">
        <v>12392</v>
      </c>
      <c r="BE5" s="40">
        <v>10981</v>
      </c>
      <c r="BF5" s="40">
        <v>9345</v>
      </c>
      <c r="BG5" s="36">
        <f ca="1">Cash_Flow_Qtr!BG67</f>
        <v>9361.4051015449186</v>
      </c>
      <c r="BH5" s="36">
        <f ca="1">Cash_Flow_Qtr!BH67</f>
        <v>9813.4955361832508</v>
      </c>
      <c r="BI5" s="37">
        <f ca="1">Cash_Flow_Qtr!BI67</f>
        <v>9813.4955361832508</v>
      </c>
      <c r="BW5" s="98"/>
      <c r="BX5" s="98"/>
    </row>
    <row r="6" spans="1:76">
      <c r="A6" s="1" t="s">
        <v>308</v>
      </c>
      <c r="B6" s="40"/>
      <c r="C6" s="40"/>
      <c r="D6" s="40"/>
      <c r="E6" s="20"/>
      <c r="F6" s="42"/>
      <c r="G6" s="40"/>
      <c r="H6" s="40"/>
      <c r="I6" s="40"/>
      <c r="J6" s="20"/>
      <c r="K6" s="42"/>
      <c r="L6" s="40"/>
      <c r="M6" s="40"/>
      <c r="N6" s="40"/>
      <c r="O6" s="20"/>
      <c r="P6" s="42"/>
      <c r="Q6" s="40"/>
      <c r="R6" s="40"/>
      <c r="S6" s="40"/>
      <c r="T6" s="20"/>
      <c r="U6" s="42"/>
      <c r="V6" s="40"/>
      <c r="W6" s="40"/>
      <c r="X6" s="40"/>
      <c r="Y6" s="20"/>
      <c r="Z6" s="42"/>
      <c r="AA6" s="40"/>
      <c r="AB6" s="40"/>
      <c r="AC6" s="40"/>
      <c r="AD6" s="20"/>
      <c r="AE6" s="42"/>
      <c r="AF6" s="40"/>
      <c r="AG6" s="40"/>
      <c r="AH6" s="40"/>
      <c r="AI6" s="20"/>
      <c r="AJ6" s="42"/>
      <c r="AK6" s="40"/>
      <c r="AL6" s="40"/>
      <c r="AM6" s="40"/>
      <c r="AN6" s="20"/>
      <c r="AO6" s="42">
        <v>7609</v>
      </c>
      <c r="AP6" s="40">
        <v>12814</v>
      </c>
      <c r="AQ6" s="40">
        <v>10885</v>
      </c>
      <c r="AR6" s="40">
        <v>7054</v>
      </c>
      <c r="AS6" s="41">
        <f t="shared" ref="AS6:AS11" si="0">+AT6</f>
        <v>5706</v>
      </c>
      <c r="AT6" s="42">
        <v>5706</v>
      </c>
      <c r="AU6" s="40">
        <v>3737</v>
      </c>
      <c r="AV6" s="40">
        <v>3338</v>
      </c>
      <c r="AW6" s="40">
        <v>2232</v>
      </c>
      <c r="AX6" s="41">
        <f t="shared" ref="AX6:AX11" si="1">+AY6</f>
        <v>982</v>
      </c>
      <c r="AY6" s="42">
        <v>982</v>
      </c>
      <c r="AZ6" s="40">
        <v>1000</v>
      </c>
      <c r="BA6" s="40">
        <v>998</v>
      </c>
      <c r="BB6" s="40">
        <v>1008</v>
      </c>
      <c r="BC6" s="41">
        <f t="shared" ref="BC6:BC11" si="2">+BD6</f>
        <v>0</v>
      </c>
      <c r="BD6" s="42">
        <v>0</v>
      </c>
      <c r="BE6" s="40">
        <f t="shared" ref="BE6:BG6" si="3">+BD6</f>
        <v>0</v>
      </c>
      <c r="BF6" s="40">
        <v>0</v>
      </c>
      <c r="BG6" s="41">
        <f t="shared" si="3"/>
        <v>0</v>
      </c>
      <c r="BH6" s="41">
        <f>+BG6</f>
        <v>0</v>
      </c>
      <c r="BI6" s="71">
        <f>+BH6</f>
        <v>0</v>
      </c>
      <c r="BW6" s="98"/>
      <c r="BX6" s="98"/>
    </row>
    <row r="7" spans="1:76">
      <c r="A7" s="1" t="s">
        <v>186</v>
      </c>
      <c r="B7" s="40"/>
      <c r="C7" s="40"/>
      <c r="D7" s="40"/>
      <c r="E7" s="20"/>
      <c r="F7" s="42"/>
      <c r="G7" s="40"/>
      <c r="H7" s="40"/>
      <c r="I7" s="40"/>
      <c r="J7" s="20"/>
      <c r="K7" s="42"/>
      <c r="L7" s="40"/>
      <c r="M7" s="40"/>
      <c r="N7" s="40"/>
      <c r="O7" s="20"/>
      <c r="P7" s="42"/>
      <c r="Q7" s="40"/>
      <c r="R7" s="40"/>
      <c r="S7" s="40"/>
      <c r="T7" s="20"/>
      <c r="U7" s="42">
        <v>0</v>
      </c>
      <c r="V7" s="40"/>
      <c r="W7" s="40"/>
      <c r="X7" s="40"/>
      <c r="Y7" s="20"/>
      <c r="Z7" s="42"/>
      <c r="AA7" s="40"/>
      <c r="AB7" s="40"/>
      <c r="AC7" s="40"/>
      <c r="AD7" s="20"/>
      <c r="AE7" s="42"/>
      <c r="AF7" s="40"/>
      <c r="AG7" s="40"/>
      <c r="AH7" s="40"/>
      <c r="AI7" s="20"/>
      <c r="AJ7" s="42"/>
      <c r="AK7" s="40"/>
      <c r="AL7" s="40"/>
      <c r="AM7" s="40"/>
      <c r="AN7" s="20"/>
      <c r="AO7" s="42">
        <v>14831</v>
      </c>
      <c r="AP7" s="40">
        <v>14212</v>
      </c>
      <c r="AQ7" s="40">
        <v>14767</v>
      </c>
      <c r="AR7" s="40">
        <v>14546</v>
      </c>
      <c r="AS7" s="41">
        <f t="shared" si="0"/>
        <v>8703</v>
      </c>
      <c r="AT7" s="42">
        <v>8703</v>
      </c>
      <c r="AU7" s="40">
        <v>15100</v>
      </c>
      <c r="AV7" s="40">
        <v>8370</v>
      </c>
      <c r="AW7" s="40">
        <v>8936</v>
      </c>
      <c r="AX7" s="41">
        <f t="shared" si="1"/>
        <v>9327</v>
      </c>
      <c r="AY7" s="42">
        <v>9327</v>
      </c>
      <c r="AZ7" s="40">
        <v>9653</v>
      </c>
      <c r="BA7" s="40">
        <v>10512</v>
      </c>
      <c r="BB7" s="40">
        <v>10671</v>
      </c>
      <c r="BC7" s="41">
        <f t="shared" si="2"/>
        <v>11773</v>
      </c>
      <c r="BD7" s="42">
        <v>11773</v>
      </c>
      <c r="BE7" s="40">
        <v>12466</v>
      </c>
      <c r="BF7" s="40">
        <v>12360</v>
      </c>
      <c r="BG7" s="41">
        <f>BG$66*(ProForma_IS_Qtr!BG$11/(365))*4</f>
        <v>11909.4677260274</v>
      </c>
      <c r="BH7" s="41">
        <f>BI7</f>
        <v>13276.468082565638</v>
      </c>
      <c r="BI7" s="21">
        <f>BI$66*(ProForma_IS_Qtr!BI$11/(365))</f>
        <v>13276.468082565638</v>
      </c>
      <c r="BW7" s="98"/>
      <c r="BX7" s="98"/>
    </row>
    <row r="8" spans="1:76">
      <c r="A8" s="1" t="s">
        <v>21</v>
      </c>
      <c r="B8" s="40"/>
      <c r="C8" s="40"/>
      <c r="D8" s="40"/>
      <c r="E8" s="20"/>
      <c r="F8" s="42"/>
      <c r="G8" s="40"/>
      <c r="H8" s="40"/>
      <c r="I8" s="40"/>
      <c r="J8" s="20"/>
      <c r="K8" s="42"/>
      <c r="L8" s="40"/>
      <c r="M8" s="40"/>
      <c r="N8" s="40"/>
      <c r="O8" s="20"/>
      <c r="P8" s="42"/>
      <c r="Q8" s="40"/>
      <c r="R8" s="40"/>
      <c r="S8" s="40"/>
      <c r="T8" s="20"/>
      <c r="U8" s="42">
        <v>0</v>
      </c>
      <c r="V8" s="40"/>
      <c r="W8" s="40"/>
      <c r="X8" s="40"/>
      <c r="Y8" s="20"/>
      <c r="Z8" s="42"/>
      <c r="AA8" s="40"/>
      <c r="AB8" s="40"/>
      <c r="AC8" s="40"/>
      <c r="AD8" s="20"/>
      <c r="AE8" s="42"/>
      <c r="AF8" s="40"/>
      <c r="AG8" s="40"/>
      <c r="AH8" s="40"/>
      <c r="AI8" s="20"/>
      <c r="AJ8" s="42"/>
      <c r="AK8" s="40"/>
      <c r="AL8" s="40"/>
      <c r="AM8" s="40"/>
      <c r="AN8" s="20"/>
      <c r="AO8" s="42">
        <v>14891</v>
      </c>
      <c r="AP8" s="40">
        <v>16198</v>
      </c>
      <c r="AQ8" s="40">
        <v>16789</v>
      </c>
      <c r="AR8" s="40">
        <v>17020</v>
      </c>
      <c r="AS8" s="41">
        <f t="shared" si="0"/>
        <v>8284</v>
      </c>
      <c r="AT8" s="42">
        <v>8284</v>
      </c>
      <c r="AU8" s="40">
        <v>17603</v>
      </c>
      <c r="AV8" s="40">
        <v>9469</v>
      </c>
      <c r="AW8" s="40">
        <v>9718</v>
      </c>
      <c r="AX8" s="41">
        <f t="shared" si="1"/>
        <v>9763</v>
      </c>
      <c r="AY8" s="42">
        <v>9763</v>
      </c>
      <c r="AZ8" s="40">
        <v>10504</v>
      </c>
      <c r="BA8" s="40">
        <v>11297</v>
      </c>
      <c r="BB8" s="40">
        <v>11667</v>
      </c>
      <c r="BC8" s="41">
        <f t="shared" si="2"/>
        <v>11868</v>
      </c>
      <c r="BD8" s="42">
        <v>11868</v>
      </c>
      <c r="BE8" s="40">
        <v>12367</v>
      </c>
      <c r="BF8" s="40">
        <v>12440</v>
      </c>
      <c r="BG8" s="41">
        <f>BG68*(-ProForma_IS_Qtr!BG81/(365))*4</f>
        <v>12566.821413698633</v>
      </c>
      <c r="BH8" s="41">
        <f>BI8</f>
        <v>13117.635096894697</v>
      </c>
      <c r="BI8" s="21">
        <f>BI68*(-ProForma_IS_Qtr!BI81/(365))</f>
        <v>13117.635096894697</v>
      </c>
      <c r="BW8" s="98"/>
      <c r="BX8" s="98"/>
    </row>
    <row r="9" spans="1:76">
      <c r="A9" s="1" t="s">
        <v>334</v>
      </c>
      <c r="B9" s="40"/>
      <c r="C9" s="40"/>
      <c r="D9" s="40"/>
      <c r="E9" s="20"/>
      <c r="F9" s="42"/>
      <c r="G9" s="40"/>
      <c r="H9" s="40"/>
      <c r="I9" s="40"/>
      <c r="J9" s="20"/>
      <c r="K9" s="42"/>
      <c r="L9" s="40"/>
      <c r="M9" s="40"/>
      <c r="N9" s="40"/>
      <c r="O9" s="20"/>
      <c r="P9" s="42"/>
      <c r="Q9" s="40"/>
      <c r="R9" s="40"/>
      <c r="S9" s="40"/>
      <c r="T9" s="20"/>
      <c r="U9" s="42"/>
      <c r="V9" s="40"/>
      <c r="W9" s="40"/>
      <c r="X9" s="40"/>
      <c r="Y9" s="20"/>
      <c r="Z9" s="42"/>
      <c r="AA9" s="40"/>
      <c r="AB9" s="40"/>
      <c r="AC9" s="40"/>
      <c r="AD9" s="20"/>
      <c r="AE9" s="42"/>
      <c r="AF9" s="40"/>
      <c r="AG9" s="40"/>
      <c r="AH9" s="40"/>
      <c r="AI9" s="20"/>
      <c r="AJ9" s="42"/>
      <c r="AK9" s="40"/>
      <c r="AL9" s="40"/>
      <c r="AM9" s="40"/>
      <c r="AN9" s="20"/>
      <c r="AO9" s="42">
        <v>2467</v>
      </c>
      <c r="AP9" s="40">
        <v>2244</v>
      </c>
      <c r="AQ9" s="40">
        <v>2037</v>
      </c>
      <c r="AR9" s="40">
        <v>1875</v>
      </c>
      <c r="AS9" s="41">
        <f t="shared" si="0"/>
        <v>2875</v>
      </c>
      <c r="AT9" s="42">
        <v>2875</v>
      </c>
      <c r="AU9" s="40">
        <v>1547</v>
      </c>
      <c r="AV9" s="40">
        <v>2719</v>
      </c>
      <c r="AW9" s="40">
        <v>2884</v>
      </c>
      <c r="AX9" s="41">
        <f t="shared" si="1"/>
        <v>2982</v>
      </c>
      <c r="AY9" s="42">
        <v>2982</v>
      </c>
      <c r="AZ9" s="40">
        <v>2940</v>
      </c>
      <c r="BA9" s="40">
        <v>3059</v>
      </c>
      <c r="BB9" s="40">
        <v>3111</v>
      </c>
      <c r="BC9" s="41">
        <f t="shared" si="2"/>
        <v>3511</v>
      </c>
      <c r="BD9" s="42">
        <v>3511</v>
      </c>
      <c r="BE9" s="40">
        <v>3439</v>
      </c>
      <c r="BF9" s="40">
        <v>3473</v>
      </c>
      <c r="BG9" s="41">
        <f>BG70*(ProForma_IS_Qtr!BG15/(365))*4</f>
        <v>3559.2304657534255</v>
      </c>
      <c r="BH9" s="41">
        <f>BI9</f>
        <v>3720.3376850436639</v>
      </c>
      <c r="BI9" s="21">
        <f>BI70*(ProForma_IS_Qtr!BI15/(365))</f>
        <v>3720.3376850436639</v>
      </c>
      <c r="BW9" s="98"/>
      <c r="BX9" s="98"/>
    </row>
    <row r="10" spans="1:76">
      <c r="A10" s="640" t="s">
        <v>66</v>
      </c>
      <c r="B10" s="40"/>
      <c r="C10" s="40"/>
      <c r="D10" s="40"/>
      <c r="E10" s="20"/>
      <c r="F10" s="42"/>
      <c r="G10" s="40"/>
      <c r="H10" s="40"/>
      <c r="I10" s="40"/>
      <c r="J10" s="20"/>
      <c r="K10" s="42"/>
      <c r="L10" s="40"/>
      <c r="M10" s="40"/>
      <c r="N10" s="40"/>
      <c r="O10" s="20"/>
      <c r="P10" s="42"/>
      <c r="Q10" s="40"/>
      <c r="R10" s="40"/>
      <c r="S10" s="40"/>
      <c r="T10" s="20"/>
      <c r="U10" s="42"/>
      <c r="V10" s="40"/>
      <c r="W10" s="40"/>
      <c r="X10" s="40"/>
      <c r="Y10" s="20"/>
      <c r="Z10" s="42"/>
      <c r="AA10" s="40"/>
      <c r="AB10" s="40"/>
      <c r="AC10" s="40"/>
      <c r="AD10" s="20"/>
      <c r="AE10" s="42"/>
      <c r="AF10" s="40"/>
      <c r="AG10" s="40"/>
      <c r="AH10" s="40"/>
      <c r="AI10" s="20"/>
      <c r="AJ10" s="42"/>
      <c r="AK10" s="40"/>
      <c r="AL10" s="40"/>
      <c r="AM10" s="40"/>
      <c r="AN10" s="20"/>
      <c r="AO10" s="42">
        <v>1400</v>
      </c>
      <c r="AP10" s="40">
        <v>1464</v>
      </c>
      <c r="AQ10" s="40">
        <v>1638</v>
      </c>
      <c r="AR10" s="40">
        <v>1438</v>
      </c>
      <c r="AS10" s="41">
        <f t="shared" si="0"/>
        <v>1244</v>
      </c>
      <c r="AT10" s="42">
        <v>1244</v>
      </c>
      <c r="AU10" s="40">
        <v>1650</v>
      </c>
      <c r="AV10" s="40">
        <v>1210</v>
      </c>
      <c r="AW10" s="40">
        <f>1156-1</f>
        <v>1155</v>
      </c>
      <c r="AX10" s="41">
        <f t="shared" si="1"/>
        <v>962</v>
      </c>
      <c r="AY10" s="42">
        <v>962</v>
      </c>
      <c r="AZ10" s="40">
        <v>1073</v>
      </c>
      <c r="BA10" s="40">
        <f>1073+1</f>
        <v>1074</v>
      </c>
      <c r="BB10" s="40">
        <v>1116</v>
      </c>
      <c r="BC10" s="41">
        <f t="shared" si="2"/>
        <v>1052</v>
      </c>
      <c r="BD10" s="42">
        <v>1052</v>
      </c>
      <c r="BE10" s="641">
        <f>1107+1</f>
        <v>1108</v>
      </c>
      <c r="BF10" s="641">
        <f>2078+1</f>
        <v>2079</v>
      </c>
      <c r="BG10" s="41">
        <f>(BG74*ProForma_IS_Qtr!BG$11)*4</f>
        <v>1341.6530000000002</v>
      </c>
      <c r="BH10" s="41">
        <f>BI10</f>
        <v>1211.4777125341143</v>
      </c>
      <c r="BI10" s="21">
        <f>(BI74*ProForma_IS_Qtr!BI$11)</f>
        <v>1211.4777125341143</v>
      </c>
      <c r="BW10" s="98"/>
      <c r="BX10" s="98"/>
    </row>
    <row r="11" spans="1:76">
      <c r="A11" s="474" t="s">
        <v>335</v>
      </c>
      <c r="B11" s="40"/>
      <c r="C11" s="40"/>
      <c r="D11" s="40"/>
      <c r="E11" s="20"/>
      <c r="F11" s="42"/>
      <c r="G11" s="40"/>
      <c r="H11" s="40"/>
      <c r="I11" s="40"/>
      <c r="J11" s="20"/>
      <c r="K11" s="42"/>
      <c r="L11" s="40"/>
      <c r="M11" s="40"/>
      <c r="N11" s="40"/>
      <c r="O11" s="20"/>
      <c r="P11" s="42"/>
      <c r="Q11" s="40"/>
      <c r="R11" s="40"/>
      <c r="S11" s="40"/>
      <c r="T11" s="20"/>
      <c r="U11" s="42"/>
      <c r="V11" s="40"/>
      <c r="W11" s="40"/>
      <c r="X11" s="40"/>
      <c r="Y11" s="20"/>
      <c r="Z11" s="42"/>
      <c r="AA11" s="40"/>
      <c r="AB11" s="40"/>
      <c r="AC11" s="40"/>
      <c r="AD11" s="20"/>
      <c r="AE11" s="42"/>
      <c r="AF11" s="40"/>
      <c r="AG11" s="40"/>
      <c r="AH11" s="40"/>
      <c r="AI11" s="20"/>
      <c r="AJ11" s="42"/>
      <c r="AK11" s="40"/>
      <c r="AL11" s="40"/>
      <c r="AM11" s="40"/>
      <c r="AN11" s="20"/>
      <c r="AO11" s="42">
        <f>1374+2</f>
        <v>1376</v>
      </c>
      <c r="AP11" s="40">
        <v>1353</v>
      </c>
      <c r="AQ11" s="40">
        <v>1331</v>
      </c>
      <c r="AR11" s="40">
        <f>1375-1</f>
        <v>1374</v>
      </c>
      <c r="AS11" s="41">
        <f t="shared" si="0"/>
        <v>540</v>
      </c>
      <c r="AT11" s="478">
        <f>541-1</f>
        <v>540</v>
      </c>
      <c r="AU11" s="479">
        <f>1507-2</f>
        <v>1505</v>
      </c>
      <c r="AV11" s="479">
        <f>137+2</f>
        <v>139</v>
      </c>
      <c r="AW11" s="40">
        <v>0</v>
      </c>
      <c r="AX11" s="41">
        <f t="shared" si="1"/>
        <v>0</v>
      </c>
      <c r="AY11" s="42">
        <v>0</v>
      </c>
      <c r="AZ11" s="40">
        <v>0</v>
      </c>
      <c r="BA11" s="40">
        <v>0</v>
      </c>
      <c r="BB11" s="40">
        <v>0</v>
      </c>
      <c r="BC11" s="41">
        <f t="shared" si="2"/>
        <v>0</v>
      </c>
      <c r="BD11" s="42">
        <v>0</v>
      </c>
      <c r="BE11" s="40">
        <f>BD11</f>
        <v>0</v>
      </c>
      <c r="BF11" s="40">
        <f t="shared" ref="BF11:BG11" si="4">BE11</f>
        <v>0</v>
      </c>
      <c r="BG11" s="41">
        <f t="shared" si="4"/>
        <v>0</v>
      </c>
      <c r="BH11" s="41">
        <f>+BG11</f>
        <v>0</v>
      </c>
      <c r="BI11" s="21">
        <f>BH11</f>
        <v>0</v>
      </c>
      <c r="BW11" s="98"/>
      <c r="BX11" s="98"/>
    </row>
    <row r="12" spans="1:76">
      <c r="A12" s="6" t="s">
        <v>183</v>
      </c>
      <c r="B12" s="22"/>
      <c r="C12" s="22"/>
      <c r="D12" s="22"/>
      <c r="E12" s="22"/>
      <c r="F12" s="23"/>
      <c r="G12" s="22"/>
      <c r="H12" s="22"/>
      <c r="I12" s="22"/>
      <c r="J12" s="22"/>
      <c r="K12" s="23"/>
      <c r="L12" s="22"/>
      <c r="M12" s="22"/>
      <c r="N12" s="22"/>
      <c r="O12" s="22"/>
      <c r="P12" s="23"/>
      <c r="Q12" s="22"/>
      <c r="R12" s="22"/>
      <c r="S12" s="22"/>
      <c r="T12" s="22"/>
      <c r="U12" s="23"/>
      <c r="V12" s="22"/>
      <c r="W12" s="22"/>
      <c r="X12" s="22"/>
      <c r="Y12" s="22"/>
      <c r="Z12" s="23"/>
      <c r="AA12" s="22"/>
      <c r="AB12" s="22"/>
      <c r="AC12" s="22"/>
      <c r="AD12" s="22"/>
      <c r="AE12" s="23"/>
      <c r="AF12" s="22"/>
      <c r="AG12" s="22"/>
      <c r="AH12" s="22"/>
      <c r="AI12" s="22"/>
      <c r="AJ12" s="23"/>
      <c r="AK12" s="22"/>
      <c r="AL12" s="22"/>
      <c r="AM12" s="22"/>
      <c r="AN12" s="22"/>
      <c r="AO12" s="23">
        <f>+SUM(AO5:AO11)</f>
        <v>58384</v>
      </c>
      <c r="AP12" s="22">
        <f>+SUM(AT5:AT11)</f>
        <v>42556</v>
      </c>
      <c r="AQ12" s="22">
        <f t="shared" ref="AQ12:AZ12" si="5">+SUM(AQ5:AQ11)</f>
        <v>60213</v>
      </c>
      <c r="AR12" s="22">
        <f t="shared" si="5"/>
        <v>56434</v>
      </c>
      <c r="AS12" s="22">
        <f t="shared" si="5"/>
        <v>42556</v>
      </c>
      <c r="AT12" s="23">
        <f t="shared" si="5"/>
        <v>42556</v>
      </c>
      <c r="AU12" s="22">
        <f t="shared" si="5"/>
        <v>59589</v>
      </c>
      <c r="AV12" s="22">
        <f t="shared" si="5"/>
        <v>37352</v>
      </c>
      <c r="AW12" s="22">
        <f t="shared" si="5"/>
        <v>38649</v>
      </c>
      <c r="AX12" s="22">
        <f t="shared" si="5"/>
        <v>37635</v>
      </c>
      <c r="AY12" s="23">
        <f t="shared" si="5"/>
        <v>37635</v>
      </c>
      <c r="AZ12" s="22">
        <f t="shared" si="5"/>
        <v>37575</v>
      </c>
      <c r="BA12" s="22">
        <f t="shared" ref="BA12:BD12" si="6">+SUM(BA5:BA11)</f>
        <v>37801</v>
      </c>
      <c r="BB12" s="22">
        <f t="shared" si="6"/>
        <v>40074</v>
      </c>
      <c r="BC12" s="22">
        <f t="shared" si="6"/>
        <v>40596</v>
      </c>
      <c r="BD12" s="23">
        <f t="shared" si="6"/>
        <v>40596</v>
      </c>
      <c r="BE12" s="22">
        <f t="shared" ref="BE12:BI12" si="7">+SUM(BE5:BE11)</f>
        <v>40361</v>
      </c>
      <c r="BF12" s="22">
        <f t="shared" si="7"/>
        <v>39697</v>
      </c>
      <c r="BG12" s="22">
        <f t="shared" ca="1" si="7"/>
        <v>38738.577707024378</v>
      </c>
      <c r="BH12" s="22">
        <f t="shared" ca="1" si="7"/>
        <v>41139.414113221363</v>
      </c>
      <c r="BI12" s="23">
        <f t="shared" ca="1" si="7"/>
        <v>41139.414113221363</v>
      </c>
      <c r="BW12" s="98"/>
      <c r="BX12" s="98"/>
    </row>
    <row r="13" spans="1:76">
      <c r="B13" s="20"/>
      <c r="C13" s="20"/>
      <c r="D13" s="20"/>
      <c r="E13" s="20"/>
      <c r="F13" s="21"/>
      <c r="G13" s="20"/>
      <c r="H13" s="20"/>
      <c r="I13" s="20"/>
      <c r="J13" s="20"/>
      <c r="K13" s="21"/>
      <c r="L13" s="20"/>
      <c r="M13" s="20"/>
      <c r="N13" s="20"/>
      <c r="O13" s="20"/>
      <c r="P13" s="21"/>
      <c r="Q13" s="20"/>
      <c r="R13" s="20"/>
      <c r="S13" s="20"/>
      <c r="T13" s="20"/>
      <c r="U13" s="21"/>
      <c r="V13" s="20"/>
      <c r="W13" s="20"/>
      <c r="X13" s="20"/>
      <c r="Y13" s="20"/>
      <c r="Z13" s="21"/>
      <c r="AA13" s="20"/>
      <c r="AB13" s="20"/>
      <c r="AC13" s="20"/>
      <c r="AD13" s="20"/>
      <c r="AE13" s="21"/>
      <c r="AF13" s="20"/>
      <c r="AG13" s="20"/>
      <c r="AH13" s="20"/>
      <c r="AI13" s="20"/>
      <c r="AJ13" s="21"/>
      <c r="AK13" s="20"/>
      <c r="AL13" s="20"/>
      <c r="AM13" s="20"/>
      <c r="AN13" s="20"/>
      <c r="AO13" s="21"/>
      <c r="AP13" s="20"/>
      <c r="AQ13" s="20"/>
      <c r="AR13" s="20"/>
      <c r="AS13" s="20"/>
      <c r="AT13" s="21"/>
      <c r="AU13" s="20"/>
      <c r="AV13" s="20"/>
      <c r="AW13" s="20"/>
      <c r="AX13" s="20"/>
      <c r="AY13" s="21"/>
      <c r="AZ13" s="20"/>
      <c r="BA13" s="20"/>
      <c r="BB13" s="20"/>
      <c r="BC13" s="20"/>
      <c r="BD13" s="21"/>
      <c r="BE13" s="20"/>
      <c r="BF13" s="20"/>
      <c r="BG13" s="20"/>
      <c r="BH13" s="20"/>
      <c r="BI13" s="21"/>
      <c r="BW13" s="98"/>
      <c r="BX13" s="98"/>
    </row>
    <row r="14" spans="1:76">
      <c r="A14" s="12" t="s">
        <v>32</v>
      </c>
      <c r="B14" s="20"/>
      <c r="C14" s="20"/>
      <c r="D14" s="20"/>
      <c r="E14" s="20"/>
      <c r="F14" s="21"/>
      <c r="G14" s="20"/>
      <c r="H14" s="20"/>
      <c r="I14" s="20"/>
      <c r="J14" s="20"/>
      <c r="K14" s="21"/>
      <c r="L14" s="20"/>
      <c r="M14" s="20"/>
      <c r="N14" s="20"/>
      <c r="O14" s="20"/>
      <c r="P14" s="21"/>
      <c r="Q14" s="20"/>
      <c r="R14" s="20"/>
      <c r="S14" s="20"/>
      <c r="T14" s="20"/>
      <c r="U14" s="21"/>
      <c r="V14" s="20"/>
      <c r="W14" s="20"/>
      <c r="X14" s="20"/>
      <c r="Y14" s="20"/>
      <c r="Z14" s="21"/>
      <c r="AA14" s="20"/>
      <c r="AB14" s="20"/>
      <c r="AC14" s="20"/>
      <c r="AD14" s="20"/>
      <c r="AE14" s="21"/>
      <c r="AF14" s="20"/>
      <c r="AG14" s="20"/>
      <c r="AH14" s="20"/>
      <c r="AI14" s="20"/>
      <c r="AJ14" s="21"/>
      <c r="AK14" s="20"/>
      <c r="AL14" s="20"/>
      <c r="AM14" s="20"/>
      <c r="AN14" s="20"/>
      <c r="AO14" s="21"/>
      <c r="AP14" s="20"/>
      <c r="AQ14" s="20"/>
      <c r="AR14" s="20"/>
      <c r="AS14" s="20"/>
      <c r="AT14" s="21"/>
      <c r="AU14" s="20"/>
      <c r="AV14" s="20"/>
      <c r="AW14" s="20"/>
      <c r="AX14" s="20"/>
      <c r="AY14" s="21"/>
      <c r="AZ14" s="20"/>
      <c r="BA14" s="20"/>
      <c r="BB14" s="20"/>
      <c r="BC14" s="20"/>
      <c r="BD14" s="21"/>
      <c r="BE14" s="20"/>
      <c r="BF14" s="20"/>
      <c r="BG14" s="20"/>
      <c r="BH14" s="20"/>
      <c r="BI14" s="21"/>
      <c r="BW14" s="98"/>
      <c r="BX14" s="98"/>
    </row>
    <row r="15" spans="1:76">
      <c r="A15" s="1" t="s">
        <v>308</v>
      </c>
      <c r="B15" s="40"/>
      <c r="C15" s="40"/>
      <c r="D15" s="40"/>
      <c r="E15" s="20"/>
      <c r="F15" s="42"/>
      <c r="G15" s="40"/>
      <c r="H15" s="40"/>
      <c r="I15" s="40"/>
      <c r="J15" s="20"/>
      <c r="K15" s="42"/>
      <c r="L15" s="40"/>
      <c r="M15" s="40"/>
      <c r="N15" s="40"/>
      <c r="O15" s="20"/>
      <c r="P15" s="42"/>
      <c r="Q15" s="40"/>
      <c r="R15" s="40"/>
      <c r="S15" s="40"/>
      <c r="T15" s="20"/>
      <c r="U15" s="42"/>
      <c r="V15" s="40"/>
      <c r="W15" s="40"/>
      <c r="X15" s="40"/>
      <c r="Y15" s="20"/>
      <c r="Z15" s="42"/>
      <c r="AA15" s="40"/>
      <c r="AB15" s="40"/>
      <c r="AC15" s="40"/>
      <c r="AD15" s="20"/>
      <c r="AE15" s="42"/>
      <c r="AF15" s="40"/>
      <c r="AG15" s="40"/>
      <c r="AH15" s="40"/>
      <c r="AI15" s="20"/>
      <c r="AJ15" s="42"/>
      <c r="AK15" s="40"/>
      <c r="AL15" s="40"/>
      <c r="AM15" s="40"/>
      <c r="AN15" s="20"/>
      <c r="AO15" s="42">
        <v>36027</v>
      </c>
      <c r="AP15" s="40">
        <v>38262</v>
      </c>
      <c r="AQ15" s="40">
        <v>37392</v>
      </c>
      <c r="AR15" s="40">
        <v>35528</v>
      </c>
      <c r="AS15" s="41">
        <f t="shared" ref="AS15:AS22" si="8">+AT15</f>
        <v>38000</v>
      </c>
      <c r="AT15" s="42">
        <v>38000</v>
      </c>
      <c r="AU15" s="40">
        <v>38705</v>
      </c>
      <c r="AV15" s="40">
        <v>38129</v>
      </c>
      <c r="AW15" s="40">
        <v>39514</v>
      </c>
      <c r="AX15" s="41">
        <f t="shared" ref="AX15:AX22" si="9">+AY15</f>
        <v>37741</v>
      </c>
      <c r="AY15" s="42">
        <v>37741</v>
      </c>
      <c r="AZ15" s="40">
        <v>38010</v>
      </c>
      <c r="BA15" s="40">
        <v>37887</v>
      </c>
      <c r="BB15" s="40">
        <v>38158</v>
      </c>
      <c r="BC15" s="41">
        <f t="shared" ref="BC15:BC22" si="10">+BD15</f>
        <v>38788</v>
      </c>
      <c r="BD15" s="42">
        <v>38788</v>
      </c>
      <c r="BE15" s="40">
        <v>38193</v>
      </c>
      <c r="BF15" s="40">
        <v>37910</v>
      </c>
      <c r="BG15" s="41">
        <f t="shared" ref="BG15" si="11">+BF15</f>
        <v>37910</v>
      </c>
      <c r="BH15" s="41">
        <f>+BG15</f>
        <v>37910</v>
      </c>
      <c r="BI15" s="71">
        <f>+BH15</f>
        <v>37910</v>
      </c>
      <c r="BW15" s="98"/>
      <c r="BX15" s="98"/>
    </row>
    <row r="16" spans="1:76">
      <c r="A16" s="1" t="s">
        <v>67</v>
      </c>
      <c r="B16" s="40"/>
      <c r="C16" s="40"/>
      <c r="D16" s="40"/>
      <c r="E16" s="20"/>
      <c r="F16" s="42"/>
      <c r="G16" s="40"/>
      <c r="H16" s="40"/>
      <c r="I16" s="40"/>
      <c r="J16" s="20"/>
      <c r="K16" s="42"/>
      <c r="L16" s="40"/>
      <c r="M16" s="40"/>
      <c r="N16" s="40"/>
      <c r="O16" s="20"/>
      <c r="P16" s="42"/>
      <c r="Q16" s="40"/>
      <c r="R16" s="40"/>
      <c r="S16" s="40"/>
      <c r="T16" s="20"/>
      <c r="U16" s="42"/>
      <c r="V16" s="40"/>
      <c r="W16" s="40"/>
      <c r="X16" s="40"/>
      <c r="Y16" s="20"/>
      <c r="Z16" s="42"/>
      <c r="AA16" s="40"/>
      <c r="AB16" s="40"/>
      <c r="AC16" s="40"/>
      <c r="AD16" s="20"/>
      <c r="AE16" s="42"/>
      <c r="AF16" s="40"/>
      <c r="AG16" s="40"/>
      <c r="AH16" s="40"/>
      <c r="AI16" s="20"/>
      <c r="AJ16" s="42"/>
      <c r="AK16" s="40"/>
      <c r="AL16" s="40"/>
      <c r="AM16" s="40"/>
      <c r="AN16" s="20"/>
      <c r="AO16" s="42">
        <v>12192</v>
      </c>
      <c r="AP16" s="40">
        <v>12170</v>
      </c>
      <c r="AQ16" s="40">
        <v>12374</v>
      </c>
      <c r="AR16" s="40">
        <v>12203</v>
      </c>
      <c r="AS16" s="41">
        <f t="shared" si="8"/>
        <v>7246</v>
      </c>
      <c r="AT16" s="42">
        <v>7246</v>
      </c>
      <c r="AU16" s="40">
        <v>12345</v>
      </c>
      <c r="AV16" s="40">
        <v>7095</v>
      </c>
      <c r="AW16" s="40">
        <v>7254</v>
      </c>
      <c r="AX16" s="41">
        <f t="shared" si="9"/>
        <v>7277</v>
      </c>
      <c r="AY16" s="42">
        <v>7277</v>
      </c>
      <c r="AZ16" s="40">
        <v>7426</v>
      </c>
      <c r="BA16" s="40">
        <v>7523</v>
      </c>
      <c r="BB16" s="40">
        <v>7608</v>
      </c>
      <c r="BC16" s="41">
        <f t="shared" si="10"/>
        <v>7987</v>
      </c>
      <c r="BD16" s="42">
        <v>7987</v>
      </c>
      <c r="BE16" s="40">
        <v>7973</v>
      </c>
      <c r="BF16" s="40">
        <v>8135</v>
      </c>
      <c r="BG16" s="41">
        <f ca="1">BF16-Cash_Flow_Qtr!BG6-Cash_Flow_Qtr!BG30-Cash_Flow_Qtr!BG31</f>
        <v>8550.9124300000003</v>
      </c>
      <c r="BH16" s="41">
        <f ca="1">BG16-Cash_Flow_Qtr!BH6-Cash_Flow_Qtr!BH30-Cash_Flow_Qtr!BH31</f>
        <v>8651.2617028923996</v>
      </c>
      <c r="BI16" s="21">
        <f ca="1">BH16</f>
        <v>8651.2617028923996</v>
      </c>
      <c r="BW16" s="98"/>
      <c r="BX16" s="98"/>
    </row>
    <row r="17" spans="1:76">
      <c r="A17" s="1" t="s">
        <v>30</v>
      </c>
      <c r="B17" s="40"/>
      <c r="C17" s="40"/>
      <c r="D17" s="40"/>
      <c r="E17" s="20"/>
      <c r="F17" s="42"/>
      <c r="G17" s="40"/>
      <c r="H17" s="40"/>
      <c r="I17" s="40"/>
      <c r="J17" s="20"/>
      <c r="K17" s="42"/>
      <c r="L17" s="40"/>
      <c r="M17" s="40"/>
      <c r="N17" s="40"/>
      <c r="O17" s="20"/>
      <c r="P17" s="42"/>
      <c r="Q17" s="40"/>
      <c r="R17" s="40"/>
      <c r="S17" s="40"/>
      <c r="T17" s="20"/>
      <c r="U17" s="42"/>
      <c r="V17" s="40"/>
      <c r="W17" s="40"/>
      <c r="X17" s="40"/>
      <c r="Y17" s="20"/>
      <c r="Z17" s="42"/>
      <c r="AA17" s="40"/>
      <c r="AB17" s="40"/>
      <c r="AC17" s="40"/>
      <c r="AD17" s="20"/>
      <c r="AE17" s="42"/>
      <c r="AF17" s="40"/>
      <c r="AG17" s="40"/>
      <c r="AH17" s="40"/>
      <c r="AI17" s="20"/>
      <c r="AJ17" s="42"/>
      <c r="AK17" s="40"/>
      <c r="AL17" s="40"/>
      <c r="AM17" s="40"/>
      <c r="AN17" s="20"/>
      <c r="AO17" s="42">
        <v>12999</v>
      </c>
      <c r="AP17" s="40">
        <v>13107</v>
      </c>
      <c r="AQ17" s="40">
        <v>13345</v>
      </c>
      <c r="AR17" s="40">
        <v>13177</v>
      </c>
      <c r="AS17" s="41">
        <f t="shared" si="8"/>
        <v>8948</v>
      </c>
      <c r="AT17" s="42">
        <v>8948</v>
      </c>
      <c r="AU17" s="40">
        <v>13304</v>
      </c>
      <c r="AV17" s="40">
        <v>8859</v>
      </c>
      <c r="AW17" s="40">
        <v>8754</v>
      </c>
      <c r="AX17" s="41">
        <f t="shared" si="9"/>
        <v>8538</v>
      </c>
      <c r="AY17" s="42">
        <v>8538</v>
      </c>
      <c r="AZ17" s="40">
        <v>8696</v>
      </c>
      <c r="BA17" s="40">
        <v>9006</v>
      </c>
      <c r="BB17" s="40">
        <v>9041</v>
      </c>
      <c r="BC17" s="41">
        <f t="shared" si="10"/>
        <v>9060</v>
      </c>
      <c r="BD17" s="42">
        <v>9060</v>
      </c>
      <c r="BE17" s="40">
        <v>9003</v>
      </c>
      <c r="BF17" s="40">
        <v>8954</v>
      </c>
      <c r="BG17" s="41">
        <f t="shared" ref="BG17" si="12">+BF17</f>
        <v>8954</v>
      </c>
      <c r="BH17" s="41">
        <f>+BG17</f>
        <v>8954</v>
      </c>
      <c r="BI17" s="21">
        <f>+BH17</f>
        <v>8954</v>
      </c>
      <c r="BW17" s="98"/>
      <c r="BX17" s="98"/>
    </row>
    <row r="18" spans="1:76">
      <c r="A18" s="1" t="s">
        <v>336</v>
      </c>
      <c r="B18" s="40"/>
      <c r="C18" s="40"/>
      <c r="D18" s="40"/>
      <c r="E18" s="20"/>
      <c r="F18" s="42"/>
      <c r="G18" s="40"/>
      <c r="H18" s="40"/>
      <c r="I18" s="40"/>
      <c r="J18" s="20"/>
      <c r="K18" s="42"/>
      <c r="L18" s="40"/>
      <c r="M18" s="40"/>
      <c r="N18" s="40"/>
      <c r="O18" s="20"/>
      <c r="P18" s="42"/>
      <c r="Q18" s="40"/>
      <c r="R18" s="40"/>
      <c r="S18" s="40"/>
      <c r="T18" s="20"/>
      <c r="U18" s="42"/>
      <c r="V18" s="40"/>
      <c r="W18" s="40"/>
      <c r="X18" s="40"/>
      <c r="Y18" s="20"/>
      <c r="Z18" s="42"/>
      <c r="AA18" s="40"/>
      <c r="AB18" s="40"/>
      <c r="AC18" s="40"/>
      <c r="AD18" s="20"/>
      <c r="AE18" s="42"/>
      <c r="AF18" s="40"/>
      <c r="AG18" s="40"/>
      <c r="AH18" s="40"/>
      <c r="AI18" s="20"/>
      <c r="AJ18" s="42"/>
      <c r="AK18" s="40"/>
      <c r="AL18" s="40"/>
      <c r="AM18" s="40"/>
      <c r="AN18" s="20"/>
      <c r="AO18" s="42">
        <v>6105</v>
      </c>
      <c r="AP18" s="40">
        <v>5990</v>
      </c>
      <c r="AQ18" s="40">
        <v>5954</v>
      </c>
      <c r="AR18" s="40">
        <v>5790</v>
      </c>
      <c r="AS18" s="41">
        <f t="shared" si="8"/>
        <v>4642</v>
      </c>
      <c r="AT18" s="42">
        <v>4642</v>
      </c>
      <c r="AU18" s="40">
        <v>5547</v>
      </c>
      <c r="AV18" s="40">
        <v>4394</v>
      </c>
      <c r="AW18" s="40">
        <v>4371</v>
      </c>
      <c r="AX18" s="41">
        <f t="shared" si="9"/>
        <v>4257</v>
      </c>
      <c r="AY18" s="42">
        <v>4257</v>
      </c>
      <c r="AZ18" s="40">
        <v>4277</v>
      </c>
      <c r="BA18" s="40">
        <v>4336</v>
      </c>
      <c r="BB18" s="40">
        <v>4283</v>
      </c>
      <c r="BC18" s="41">
        <f t="shared" si="10"/>
        <v>4225</v>
      </c>
      <c r="BD18" s="42">
        <v>4225</v>
      </c>
      <c r="BE18" s="40">
        <v>4151</v>
      </c>
      <c r="BF18" s="40">
        <v>4085</v>
      </c>
      <c r="BG18" s="41">
        <f>BF18-Cash_Flow_Qtr!BG7</f>
        <v>3997</v>
      </c>
      <c r="BH18" s="41">
        <f>BG18-Cash_Flow_Qtr!BH7</f>
        <v>3900</v>
      </c>
      <c r="BI18" s="21">
        <f>BH18</f>
        <v>3900</v>
      </c>
      <c r="BW18" s="98"/>
      <c r="BX18" s="98"/>
    </row>
    <row r="19" spans="1:76">
      <c r="A19" s="1" t="s">
        <v>337</v>
      </c>
      <c r="B19" s="40"/>
      <c r="C19" s="40"/>
      <c r="D19" s="40"/>
      <c r="E19" s="20"/>
      <c r="F19" s="42"/>
      <c r="G19" s="40"/>
      <c r="H19" s="40"/>
      <c r="I19" s="40"/>
      <c r="J19" s="20"/>
      <c r="K19" s="42"/>
      <c r="L19" s="40"/>
      <c r="M19" s="40"/>
      <c r="N19" s="40"/>
      <c r="O19" s="20"/>
      <c r="P19" s="42"/>
      <c r="Q19" s="40"/>
      <c r="R19" s="40"/>
      <c r="S19" s="40"/>
      <c r="T19" s="20"/>
      <c r="U19" s="42"/>
      <c r="V19" s="40"/>
      <c r="W19" s="40"/>
      <c r="X19" s="40"/>
      <c r="Y19" s="20"/>
      <c r="Z19" s="42"/>
      <c r="AA19" s="40"/>
      <c r="AB19" s="40"/>
      <c r="AC19" s="40"/>
      <c r="AD19" s="20"/>
      <c r="AE19" s="42"/>
      <c r="AF19" s="40"/>
      <c r="AG19" s="40"/>
      <c r="AH19" s="40"/>
      <c r="AI19" s="20"/>
      <c r="AJ19" s="42"/>
      <c r="AK19" s="40"/>
      <c r="AL19" s="40"/>
      <c r="AM19" s="40"/>
      <c r="AN19" s="20"/>
      <c r="AO19" s="42">
        <v>5776</v>
      </c>
      <c r="AP19" s="40">
        <v>5631</v>
      </c>
      <c r="AQ19" s="40">
        <v>5440</v>
      </c>
      <c r="AR19" s="40">
        <v>5427</v>
      </c>
      <c r="AS19" s="41">
        <f t="shared" si="8"/>
        <v>4785</v>
      </c>
      <c r="AT19" s="42">
        <v>4785</v>
      </c>
      <c r="AU19" s="40">
        <v>5431</v>
      </c>
      <c r="AV19" s="40">
        <v>4801</v>
      </c>
      <c r="AW19" s="40">
        <v>4823</v>
      </c>
      <c r="AX19" s="41">
        <f t="shared" si="9"/>
        <v>4831</v>
      </c>
      <c r="AY19" s="42">
        <v>4831</v>
      </c>
      <c r="AZ19" s="40">
        <v>4835</v>
      </c>
      <c r="BA19" s="40">
        <v>4803</v>
      </c>
      <c r="BB19" s="40">
        <v>4720</v>
      </c>
      <c r="BC19" s="41">
        <f t="shared" si="10"/>
        <v>4920</v>
      </c>
      <c r="BD19" s="42">
        <v>4920</v>
      </c>
      <c r="BE19" s="40">
        <v>4966</v>
      </c>
      <c r="BF19" s="40">
        <v>4976</v>
      </c>
      <c r="BG19" s="41">
        <f t="shared" ref="BG19:BG20" si="13">+BF19</f>
        <v>4976</v>
      </c>
      <c r="BH19" s="41">
        <f t="shared" ref="BH19:BH20" si="14">+BG19</f>
        <v>4976</v>
      </c>
      <c r="BI19" s="21">
        <f t="shared" ref="BI19:BI22" si="15">+BH19</f>
        <v>4976</v>
      </c>
      <c r="BW19" s="98"/>
      <c r="BX19" s="98"/>
    </row>
    <row r="20" spans="1:76">
      <c r="A20" s="1" t="s">
        <v>68</v>
      </c>
      <c r="B20" s="40"/>
      <c r="C20" s="40"/>
      <c r="D20" s="40"/>
      <c r="E20" s="20"/>
      <c r="F20" s="42"/>
      <c r="G20" s="40"/>
      <c r="H20" s="40"/>
      <c r="I20" s="40"/>
      <c r="J20" s="20"/>
      <c r="K20" s="42"/>
      <c r="L20" s="40"/>
      <c r="M20" s="40"/>
      <c r="N20" s="40"/>
      <c r="O20" s="20"/>
      <c r="P20" s="42"/>
      <c r="Q20" s="40"/>
      <c r="R20" s="40"/>
      <c r="S20" s="40"/>
      <c r="T20" s="20"/>
      <c r="U20" s="42"/>
      <c r="V20" s="40"/>
      <c r="W20" s="40"/>
      <c r="X20" s="40"/>
      <c r="Y20" s="20"/>
      <c r="Z20" s="42"/>
      <c r="AA20" s="40"/>
      <c r="AB20" s="40"/>
      <c r="AC20" s="40"/>
      <c r="AD20" s="20"/>
      <c r="AE20" s="42"/>
      <c r="AF20" s="40"/>
      <c r="AG20" s="40"/>
      <c r="AH20" s="40"/>
      <c r="AI20" s="20"/>
      <c r="AJ20" s="42"/>
      <c r="AK20" s="40"/>
      <c r="AL20" s="40"/>
      <c r="AM20" s="40"/>
      <c r="AN20" s="20"/>
      <c r="AO20" s="42">
        <v>15477</v>
      </c>
      <c r="AP20" s="40">
        <v>15888</v>
      </c>
      <c r="AQ20" s="40">
        <v>16172</v>
      </c>
      <c r="AR20" s="40">
        <v>16307</v>
      </c>
      <c r="AS20" s="41">
        <f t="shared" si="8"/>
        <v>11695</v>
      </c>
      <c r="AT20" s="42">
        <v>11695</v>
      </c>
      <c r="AU20" s="40">
        <v>16995</v>
      </c>
      <c r="AV20" s="40">
        <v>13405</v>
      </c>
      <c r="AW20" s="40">
        <v>13836</v>
      </c>
      <c r="AX20" s="41">
        <f t="shared" si="9"/>
        <v>13910</v>
      </c>
      <c r="AY20" s="42">
        <v>13910</v>
      </c>
      <c r="AZ20" s="40">
        <v>14453</v>
      </c>
      <c r="BA20" s="40">
        <v>15002</v>
      </c>
      <c r="BB20" s="40">
        <v>15558</v>
      </c>
      <c r="BC20" s="41">
        <f t="shared" si="10"/>
        <v>15277</v>
      </c>
      <c r="BD20" s="42">
        <v>15277</v>
      </c>
      <c r="BE20" s="40">
        <v>15159</v>
      </c>
      <c r="BF20" s="40">
        <v>15469</v>
      </c>
      <c r="BG20" s="41">
        <f t="shared" si="13"/>
        <v>15469</v>
      </c>
      <c r="BH20" s="41">
        <f t="shared" si="14"/>
        <v>15469</v>
      </c>
      <c r="BI20" s="71">
        <f t="shared" si="15"/>
        <v>15469</v>
      </c>
      <c r="BW20" s="98"/>
      <c r="BX20" s="98"/>
    </row>
    <row r="21" spans="1:76">
      <c r="A21" s="1" t="s">
        <v>50</v>
      </c>
      <c r="B21" s="40"/>
      <c r="C21" s="40"/>
      <c r="D21" s="40"/>
      <c r="E21" s="20"/>
      <c r="F21" s="42"/>
      <c r="G21" s="40"/>
      <c r="H21" s="40"/>
      <c r="I21" s="40"/>
      <c r="J21" s="20"/>
      <c r="K21" s="42"/>
      <c r="L21" s="40"/>
      <c r="M21" s="40"/>
      <c r="N21" s="40"/>
      <c r="O21" s="20"/>
      <c r="P21" s="42"/>
      <c r="Q21" s="40"/>
      <c r="R21" s="40"/>
      <c r="S21" s="40"/>
      <c r="T21" s="20"/>
      <c r="U21" s="42"/>
      <c r="V21" s="40"/>
      <c r="W21" s="40"/>
      <c r="X21" s="40"/>
      <c r="Y21" s="20"/>
      <c r="Z21" s="42"/>
      <c r="AA21" s="40"/>
      <c r="AB21" s="40"/>
      <c r="AC21" s="40"/>
      <c r="AD21" s="20"/>
      <c r="AE21" s="42"/>
      <c r="AF21" s="40"/>
      <c r="AG21" s="40"/>
      <c r="AH21" s="40"/>
      <c r="AI21" s="20"/>
      <c r="AJ21" s="42"/>
      <c r="AK21" s="40"/>
      <c r="AL21" s="40"/>
      <c r="AM21" s="40"/>
      <c r="AN21" s="20"/>
      <c r="AO21" s="42">
        <v>10001</v>
      </c>
      <c r="AP21" s="40">
        <v>10344</v>
      </c>
      <c r="AQ21" s="40">
        <v>10354</v>
      </c>
      <c r="AR21" s="40">
        <v>10235</v>
      </c>
      <c r="AS21" s="41">
        <f t="shared" si="8"/>
        <v>7502</v>
      </c>
      <c r="AT21" s="42">
        <v>7502</v>
      </c>
      <c r="AU21" s="40">
        <v>10316</v>
      </c>
      <c r="AV21" s="40">
        <v>7338</v>
      </c>
      <c r="AW21" s="40">
        <v>7491</v>
      </c>
      <c r="AX21" s="41">
        <f t="shared" si="9"/>
        <v>7111</v>
      </c>
      <c r="AY21" s="42">
        <v>7111</v>
      </c>
      <c r="AZ21" s="40">
        <v>6956</v>
      </c>
      <c r="BA21" s="40">
        <v>6890</v>
      </c>
      <c r="BB21" s="40">
        <v>6845</v>
      </c>
      <c r="BC21" s="41">
        <f t="shared" si="10"/>
        <v>7459</v>
      </c>
      <c r="BD21" s="42">
        <v>7459</v>
      </c>
      <c r="BE21" s="40">
        <v>6973</v>
      </c>
      <c r="BF21" s="40">
        <v>6929</v>
      </c>
      <c r="BG21" s="41">
        <f>+BF21-Cash_Flow_Qtr!BG12-Cash_Flow_Qtr!BG13</f>
        <v>6804</v>
      </c>
      <c r="BH21" s="41">
        <f>+BG21-Cash_Flow_Qtr!BH12-Cash_Flow_Qtr!BH13</f>
        <v>6946</v>
      </c>
      <c r="BI21" s="21">
        <f t="shared" si="15"/>
        <v>6946</v>
      </c>
      <c r="BW21" s="98"/>
      <c r="BX21" s="98"/>
    </row>
    <row r="22" spans="1:76">
      <c r="A22" s="474" t="s">
        <v>335</v>
      </c>
      <c r="B22" s="40"/>
      <c r="C22" s="40"/>
      <c r="D22" s="40"/>
      <c r="E22" s="20"/>
      <c r="F22" s="42"/>
      <c r="G22" s="40"/>
      <c r="H22" s="40"/>
      <c r="I22" s="40"/>
      <c r="J22" s="20"/>
      <c r="K22" s="42"/>
      <c r="L22" s="40"/>
      <c r="M22" s="40"/>
      <c r="N22" s="40"/>
      <c r="O22" s="20"/>
      <c r="P22" s="42"/>
      <c r="Q22" s="40"/>
      <c r="R22" s="40"/>
      <c r="S22" s="40"/>
      <c r="T22" s="20"/>
      <c r="U22" s="42"/>
      <c r="V22" s="40"/>
      <c r="W22" s="40"/>
      <c r="X22" s="40"/>
      <c r="Y22" s="20"/>
      <c r="Z22" s="42"/>
      <c r="AA22" s="40"/>
      <c r="AB22" s="40"/>
      <c r="AC22" s="40"/>
      <c r="AD22" s="20"/>
      <c r="AE22" s="42"/>
      <c r="AF22" s="40"/>
      <c r="AG22" s="40"/>
      <c r="AH22" s="40"/>
      <c r="AI22" s="20"/>
      <c r="AJ22" s="42"/>
      <c r="AK22" s="40"/>
      <c r="AL22" s="40"/>
      <c r="AM22" s="40"/>
      <c r="AN22" s="20"/>
      <c r="AO22" s="42">
        <v>31890</v>
      </c>
      <c r="AP22" s="40">
        <f>2793+1</f>
        <v>2794</v>
      </c>
      <c r="AQ22" s="40">
        <f>1761+1</f>
        <v>1762</v>
      </c>
      <c r="AR22" s="40">
        <f>1560+1</f>
        <v>1561</v>
      </c>
      <c r="AS22" s="41">
        <f t="shared" si="8"/>
        <v>47926</v>
      </c>
      <c r="AT22" s="478">
        <f>47927-1</f>
        <v>47926</v>
      </c>
      <c r="AU22" s="479">
        <f>1709+1</f>
        <v>1710</v>
      </c>
      <c r="AV22" s="40">
        <v>1817</v>
      </c>
      <c r="AW22" s="40">
        <v>2006</v>
      </c>
      <c r="AX22" s="41">
        <f t="shared" si="9"/>
        <v>1840</v>
      </c>
      <c r="AY22" s="478">
        <f>1841-1</f>
        <v>1840</v>
      </c>
      <c r="AZ22" s="40">
        <v>1895</v>
      </c>
      <c r="BA22" s="479">
        <f>2007+1</f>
        <v>2008</v>
      </c>
      <c r="BB22" s="479">
        <f>1957-1</f>
        <v>1956</v>
      </c>
      <c r="BC22" s="41">
        <f t="shared" si="10"/>
        <v>1857</v>
      </c>
      <c r="BD22" s="478">
        <v>1857</v>
      </c>
      <c r="BE22" s="40">
        <v>1666</v>
      </c>
      <c r="BF22" s="40">
        <f>1517</f>
        <v>1517</v>
      </c>
      <c r="BG22" s="41">
        <f t="shared" ref="BG22" si="16">+BF22</f>
        <v>1517</v>
      </c>
      <c r="BH22" s="41">
        <f t="shared" ref="BH22" si="17">+BG22</f>
        <v>1517</v>
      </c>
      <c r="BI22" s="21">
        <f t="shared" si="15"/>
        <v>1517</v>
      </c>
      <c r="BW22" s="98"/>
      <c r="BX22" s="98"/>
    </row>
    <row r="23" spans="1:76">
      <c r="A23" s="6" t="s">
        <v>69</v>
      </c>
      <c r="B23" s="22"/>
      <c r="C23" s="22"/>
      <c r="D23" s="22"/>
      <c r="E23" s="22"/>
      <c r="F23" s="22"/>
      <c r="G23" s="22"/>
      <c r="H23" s="22"/>
      <c r="I23" s="22"/>
      <c r="J23" s="22"/>
      <c r="K23" s="22"/>
      <c r="L23" s="22"/>
      <c r="M23" s="22"/>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f>SUM(AO15:AO22)</f>
        <v>130467</v>
      </c>
      <c r="AP23" s="22">
        <f>SUM(AT15:AT22)</f>
        <v>130744</v>
      </c>
      <c r="AQ23" s="22">
        <f t="shared" ref="AQ23:AZ23" si="18">SUM(AQ15:AQ22)</f>
        <v>102793</v>
      </c>
      <c r="AR23" s="22">
        <f t="shared" si="18"/>
        <v>100228</v>
      </c>
      <c r="AS23" s="22">
        <f t="shared" si="18"/>
        <v>130744</v>
      </c>
      <c r="AT23" s="22">
        <f t="shared" si="18"/>
        <v>130744</v>
      </c>
      <c r="AU23" s="22">
        <f t="shared" si="18"/>
        <v>104353</v>
      </c>
      <c r="AV23" s="22">
        <f t="shared" si="18"/>
        <v>85838</v>
      </c>
      <c r="AW23" s="22">
        <f t="shared" si="18"/>
        <v>88049</v>
      </c>
      <c r="AX23" s="22">
        <f t="shared" si="18"/>
        <v>85505</v>
      </c>
      <c r="AY23" s="22">
        <f t="shared" si="18"/>
        <v>85505</v>
      </c>
      <c r="AZ23" s="22">
        <f t="shared" si="18"/>
        <v>86548</v>
      </c>
      <c r="BA23" s="22">
        <f t="shared" ref="BA23:BD23" si="19">SUM(BA15:BA22)</f>
        <v>87455</v>
      </c>
      <c r="BB23" s="22">
        <f t="shared" si="19"/>
        <v>88169</v>
      </c>
      <c r="BC23" s="22">
        <f t="shared" si="19"/>
        <v>89573</v>
      </c>
      <c r="BD23" s="22">
        <f t="shared" si="19"/>
        <v>89573</v>
      </c>
      <c r="BE23" s="22">
        <f t="shared" ref="BE23:BI23" si="20">SUM(BE15:BE22)</f>
        <v>88084</v>
      </c>
      <c r="BF23" s="22">
        <f t="shared" si="20"/>
        <v>87975</v>
      </c>
      <c r="BG23" s="22">
        <f t="shared" ca="1" si="20"/>
        <v>88177.912429999997</v>
      </c>
      <c r="BH23" s="22">
        <f t="shared" ca="1" si="20"/>
        <v>88323.2617028924</v>
      </c>
      <c r="BI23" s="22">
        <f t="shared" ca="1" si="20"/>
        <v>88323.2617028924</v>
      </c>
      <c r="BW23" s="98"/>
      <c r="BX23" s="98"/>
    </row>
    <row r="24" spans="1:76">
      <c r="B24" s="20"/>
      <c r="C24" s="20"/>
      <c r="D24" s="20"/>
      <c r="E24" s="20"/>
      <c r="F24" s="21"/>
      <c r="G24" s="20"/>
      <c r="H24" s="20"/>
      <c r="I24" s="20"/>
      <c r="J24" s="20"/>
      <c r="K24" s="21"/>
      <c r="L24" s="20"/>
      <c r="M24" s="20"/>
      <c r="N24" s="20"/>
      <c r="O24" s="20"/>
      <c r="P24" s="21"/>
      <c r="Q24" s="20"/>
      <c r="R24" s="20"/>
      <c r="S24" s="20"/>
      <c r="T24" s="20"/>
      <c r="U24" s="21"/>
      <c r="V24" s="20"/>
      <c r="W24" s="20"/>
      <c r="X24" s="20"/>
      <c r="Y24" s="20"/>
      <c r="Z24" s="21"/>
      <c r="AA24" s="20"/>
      <c r="AB24" s="20"/>
      <c r="AC24" s="20"/>
      <c r="AD24" s="20"/>
      <c r="AE24" s="21"/>
      <c r="AF24" s="20"/>
      <c r="AG24" s="20"/>
      <c r="AH24" s="20"/>
      <c r="AI24" s="20"/>
      <c r="AJ24" s="21"/>
      <c r="AK24" s="20"/>
      <c r="AL24" s="20"/>
      <c r="AM24" s="20"/>
      <c r="AN24" s="20"/>
      <c r="AO24" s="21"/>
      <c r="AP24" s="20"/>
      <c r="AQ24" s="20"/>
      <c r="AR24" s="20"/>
      <c r="AS24" s="20"/>
      <c r="AT24" s="21"/>
      <c r="AU24" s="20"/>
      <c r="AV24" s="20"/>
      <c r="AW24" s="20"/>
      <c r="AX24" s="20"/>
      <c r="AY24" s="21"/>
      <c r="AZ24" s="20"/>
      <c r="BA24" s="20"/>
      <c r="BB24" s="20"/>
      <c r="BC24" s="20"/>
      <c r="BD24" s="21"/>
      <c r="BE24" s="20"/>
      <c r="BF24" s="20"/>
      <c r="BG24" s="20"/>
      <c r="BH24" s="20"/>
      <c r="BI24" s="21"/>
      <c r="BW24" s="98"/>
      <c r="BX24" s="98"/>
    </row>
    <row r="25" spans="1:76">
      <c r="A25" s="6" t="s">
        <v>70</v>
      </c>
      <c r="B25" s="22"/>
      <c r="C25" s="22"/>
      <c r="D25" s="22"/>
      <c r="E25" s="22"/>
      <c r="F25" s="23"/>
      <c r="G25" s="22"/>
      <c r="H25" s="22"/>
      <c r="I25" s="22"/>
      <c r="J25" s="22"/>
      <c r="K25" s="23"/>
      <c r="L25" s="22"/>
      <c r="M25" s="22"/>
      <c r="N25" s="22"/>
      <c r="O25" s="22"/>
      <c r="P25" s="23"/>
      <c r="Q25" s="22"/>
      <c r="R25" s="22"/>
      <c r="S25" s="22"/>
      <c r="T25" s="22"/>
      <c r="U25" s="23"/>
      <c r="V25" s="22"/>
      <c r="W25" s="22"/>
      <c r="X25" s="22"/>
      <c r="Y25" s="22"/>
      <c r="Z25" s="23"/>
      <c r="AA25" s="22"/>
      <c r="AB25" s="22"/>
      <c r="AC25" s="22"/>
      <c r="AD25" s="22"/>
      <c r="AE25" s="23"/>
      <c r="AF25" s="22"/>
      <c r="AG25" s="22"/>
      <c r="AH25" s="22"/>
      <c r="AI25" s="22"/>
      <c r="AJ25" s="23"/>
      <c r="AK25" s="22"/>
      <c r="AL25" s="22"/>
      <c r="AM25" s="22"/>
      <c r="AN25" s="22"/>
      <c r="AO25" s="23">
        <f>+AO23+AO12</f>
        <v>188851</v>
      </c>
      <c r="AP25" s="22">
        <f>+AT23+AT12</f>
        <v>173300</v>
      </c>
      <c r="AQ25" s="22">
        <f t="shared" ref="AQ25:AZ25" si="21">+AQ23+AQ12</f>
        <v>163006</v>
      </c>
      <c r="AR25" s="22">
        <f t="shared" si="21"/>
        <v>156662</v>
      </c>
      <c r="AS25" s="22">
        <f t="shared" si="21"/>
        <v>173300</v>
      </c>
      <c r="AT25" s="23">
        <f t="shared" si="21"/>
        <v>173300</v>
      </c>
      <c r="AU25" s="22">
        <f t="shared" si="21"/>
        <v>163942</v>
      </c>
      <c r="AV25" s="22">
        <f t="shared" si="21"/>
        <v>123190</v>
      </c>
      <c r="AW25" s="22">
        <f t="shared" si="21"/>
        <v>126698</v>
      </c>
      <c r="AX25" s="22">
        <f t="shared" si="21"/>
        <v>123140</v>
      </c>
      <c r="AY25" s="23">
        <f t="shared" si="21"/>
        <v>123140</v>
      </c>
      <c r="AZ25" s="22">
        <f t="shared" si="21"/>
        <v>124123</v>
      </c>
      <c r="BA25" s="22">
        <f t="shared" ref="BA25:BD25" si="22">+BA23+BA12</f>
        <v>125256</v>
      </c>
      <c r="BB25" s="22">
        <f t="shared" si="22"/>
        <v>128243</v>
      </c>
      <c r="BC25" s="22">
        <f t="shared" si="22"/>
        <v>130169</v>
      </c>
      <c r="BD25" s="23">
        <f t="shared" si="22"/>
        <v>130169</v>
      </c>
      <c r="BE25" s="22">
        <f t="shared" ref="BE25:BI25" si="23">+BE23+BE12</f>
        <v>128445</v>
      </c>
      <c r="BF25" s="22">
        <f t="shared" si="23"/>
        <v>127672</v>
      </c>
      <c r="BG25" s="22">
        <f t="shared" ca="1" si="23"/>
        <v>126916.49013702438</v>
      </c>
      <c r="BH25" s="22">
        <f t="shared" ca="1" si="23"/>
        <v>129462.67581611377</v>
      </c>
      <c r="BI25" s="23">
        <f t="shared" ca="1" si="23"/>
        <v>129462.67581611377</v>
      </c>
      <c r="BW25" s="98"/>
      <c r="BX25" s="98"/>
    </row>
    <row r="26" spans="1:76">
      <c r="B26" s="20"/>
      <c r="C26" s="20"/>
      <c r="D26" s="20"/>
      <c r="E26" s="20"/>
      <c r="F26" s="21"/>
      <c r="G26" s="20"/>
      <c r="H26" s="20"/>
      <c r="I26" s="20"/>
      <c r="J26" s="20"/>
      <c r="K26" s="21"/>
      <c r="L26" s="20"/>
      <c r="M26" s="20"/>
      <c r="N26" s="20"/>
      <c r="O26" s="20"/>
      <c r="P26" s="21"/>
      <c r="Q26" s="20"/>
      <c r="R26" s="20"/>
      <c r="S26" s="20"/>
      <c r="T26" s="20"/>
      <c r="U26" s="21"/>
      <c r="V26" s="20"/>
      <c r="W26" s="20"/>
      <c r="X26" s="20"/>
      <c r="Y26" s="20"/>
      <c r="Z26" s="21"/>
      <c r="AA26" s="20"/>
      <c r="AB26" s="20"/>
      <c r="AC26" s="20"/>
      <c r="AD26" s="20"/>
      <c r="AE26" s="21"/>
      <c r="AF26" s="20"/>
      <c r="AG26" s="20"/>
      <c r="AH26" s="20"/>
      <c r="AI26" s="20"/>
      <c r="AJ26" s="21"/>
      <c r="AK26" s="20"/>
      <c r="AL26" s="20"/>
      <c r="AM26" s="20"/>
      <c r="AN26" s="20"/>
      <c r="AO26" s="21"/>
      <c r="AP26" s="20"/>
      <c r="AQ26" s="20"/>
      <c r="AR26" s="20"/>
      <c r="AS26" s="20"/>
      <c r="AT26" s="21"/>
      <c r="AU26" s="20"/>
      <c r="AV26" s="20"/>
      <c r="AW26" s="20"/>
      <c r="AX26" s="20"/>
      <c r="AY26" s="21"/>
      <c r="AZ26" s="20"/>
      <c r="BA26" s="20"/>
      <c r="BB26" s="20"/>
      <c r="BC26" s="20"/>
      <c r="BD26" s="21"/>
      <c r="BE26" s="20"/>
      <c r="BF26" s="20"/>
      <c r="BG26" s="20"/>
      <c r="BH26" s="20"/>
      <c r="BI26" s="21"/>
      <c r="BW26" s="98"/>
      <c r="BX26" s="98"/>
    </row>
    <row r="27" spans="1:76">
      <c r="A27" s="4" t="s">
        <v>31</v>
      </c>
      <c r="B27" s="20"/>
      <c r="C27" s="20"/>
      <c r="D27" s="20"/>
      <c r="E27" s="20"/>
      <c r="F27" s="21"/>
      <c r="G27" s="20"/>
      <c r="H27" s="20"/>
      <c r="I27" s="20"/>
      <c r="J27" s="20"/>
      <c r="K27" s="21"/>
      <c r="L27" s="20"/>
      <c r="M27" s="20"/>
      <c r="N27" s="20"/>
      <c r="O27" s="20"/>
      <c r="P27" s="21"/>
      <c r="Q27" s="20"/>
      <c r="R27" s="20"/>
      <c r="S27" s="20"/>
      <c r="T27" s="20"/>
      <c r="U27" s="21"/>
      <c r="V27" s="20"/>
      <c r="W27" s="20"/>
      <c r="X27" s="20"/>
      <c r="Y27" s="20"/>
      <c r="Z27" s="21"/>
      <c r="AA27" s="20"/>
      <c r="AB27" s="20"/>
      <c r="AC27" s="20"/>
      <c r="AD27" s="20"/>
      <c r="AE27" s="21"/>
      <c r="AF27" s="20"/>
      <c r="AG27" s="20"/>
      <c r="AH27" s="20"/>
      <c r="AI27" s="20"/>
      <c r="AJ27" s="21"/>
      <c r="AK27" s="20"/>
      <c r="AL27" s="20"/>
      <c r="AM27" s="20"/>
      <c r="AN27" s="20"/>
      <c r="AO27" s="21"/>
      <c r="AP27" s="20"/>
      <c r="AQ27" s="20"/>
      <c r="AR27" s="20"/>
      <c r="AS27" s="20"/>
      <c r="AT27" s="21"/>
      <c r="AU27" s="20"/>
      <c r="AV27" s="20"/>
      <c r="AW27" s="20"/>
      <c r="AX27" s="20"/>
      <c r="AY27" s="21"/>
      <c r="AZ27" s="20"/>
      <c r="BA27" s="20"/>
      <c r="BB27" s="20"/>
      <c r="BC27" s="20"/>
      <c r="BD27" s="21"/>
      <c r="BE27" s="20"/>
      <c r="BF27" s="20"/>
      <c r="BG27" s="20"/>
      <c r="BH27" s="20"/>
      <c r="BI27" s="21"/>
      <c r="BW27" s="98"/>
      <c r="BX27" s="98"/>
    </row>
    <row r="28" spans="1:76">
      <c r="A28" t="s">
        <v>71</v>
      </c>
      <c r="B28" s="20"/>
      <c r="C28" s="20"/>
      <c r="D28" s="20"/>
      <c r="E28" s="20"/>
      <c r="F28" s="21"/>
      <c r="G28" s="20"/>
      <c r="H28" s="20"/>
      <c r="I28" s="20"/>
      <c r="J28" s="20"/>
      <c r="K28" s="21"/>
      <c r="L28" s="20"/>
      <c r="M28" s="20"/>
      <c r="N28" s="20"/>
      <c r="O28" s="20"/>
      <c r="P28" s="21"/>
      <c r="Q28" s="20"/>
      <c r="R28" s="20"/>
      <c r="S28" s="20"/>
      <c r="T28" s="20"/>
      <c r="U28" s="21"/>
      <c r="V28" s="20"/>
      <c r="W28" s="20"/>
      <c r="X28" s="20"/>
      <c r="Y28" s="20"/>
      <c r="Z28" s="21"/>
      <c r="AA28" s="20"/>
      <c r="AB28" s="20"/>
      <c r="AC28" s="20"/>
      <c r="AD28" s="20"/>
      <c r="AE28" s="21"/>
      <c r="AF28" s="20"/>
      <c r="AG28" s="20"/>
      <c r="AH28" s="20"/>
      <c r="AI28" s="20"/>
      <c r="AJ28" s="21"/>
      <c r="AK28" s="20"/>
      <c r="AL28" s="20"/>
      <c r="AM28" s="20"/>
      <c r="AN28" s="20"/>
      <c r="AO28" s="21"/>
      <c r="AP28" s="20"/>
      <c r="AQ28" s="20"/>
      <c r="AR28" s="20"/>
      <c r="AS28" s="20"/>
      <c r="AT28" s="21"/>
      <c r="AU28" s="20"/>
      <c r="AV28" s="20"/>
      <c r="AW28" s="20"/>
      <c r="AX28" s="20"/>
      <c r="AY28" s="21"/>
      <c r="AZ28" s="20"/>
      <c r="BA28" s="20"/>
      <c r="BB28" s="20"/>
      <c r="BC28" s="20"/>
      <c r="BD28" s="21"/>
      <c r="BE28" s="20"/>
      <c r="BF28" s="20"/>
      <c r="BG28" s="20"/>
      <c r="BH28" s="20"/>
      <c r="BI28" s="21"/>
      <c r="BW28" s="98"/>
      <c r="BX28" s="98"/>
    </row>
    <row r="29" spans="1:76">
      <c r="A29" s="1" t="s">
        <v>189</v>
      </c>
      <c r="B29" s="40"/>
      <c r="C29" s="40"/>
      <c r="D29" s="40"/>
      <c r="E29" s="20"/>
      <c r="F29" s="42"/>
      <c r="G29" s="40"/>
      <c r="H29" s="40"/>
      <c r="I29" s="40"/>
      <c r="J29" s="20"/>
      <c r="K29" s="42"/>
      <c r="L29" s="40"/>
      <c r="M29" s="40"/>
      <c r="N29" s="40"/>
      <c r="O29" s="20"/>
      <c r="P29" s="42"/>
      <c r="Q29" s="40"/>
      <c r="R29" s="40"/>
      <c r="S29" s="40"/>
      <c r="T29" s="20"/>
      <c r="U29" s="42"/>
      <c r="V29" s="40"/>
      <c r="W29" s="40"/>
      <c r="X29" s="40"/>
      <c r="Y29" s="20"/>
      <c r="Z29" s="42"/>
      <c r="AA29" s="40"/>
      <c r="AB29" s="40"/>
      <c r="AC29" s="40"/>
      <c r="AD29" s="20"/>
      <c r="AE29" s="42"/>
      <c r="AF29" s="40"/>
      <c r="AG29" s="40"/>
      <c r="AH29" s="40"/>
      <c r="AI29" s="20"/>
      <c r="AJ29" s="42"/>
      <c r="AK29" s="40"/>
      <c r="AL29" s="40"/>
      <c r="AM29" s="40"/>
      <c r="AN29" s="20"/>
      <c r="AO29" s="42">
        <v>3739</v>
      </c>
      <c r="AP29" s="40">
        <v>2262</v>
      </c>
      <c r="AQ29" s="40">
        <v>1882</v>
      </c>
      <c r="AR29" s="40">
        <v>1334</v>
      </c>
      <c r="AS29" s="41">
        <f t="shared" ref="AS29:AS35" si="24">+AT29</f>
        <v>1108</v>
      </c>
      <c r="AT29" s="42">
        <v>1108</v>
      </c>
      <c r="AU29" s="40">
        <v>1032</v>
      </c>
      <c r="AV29" s="40">
        <v>1700</v>
      </c>
      <c r="AW29" s="40">
        <v>1681</v>
      </c>
      <c r="AX29" s="41">
        <f t="shared" ref="AX29:AX35" si="25">+AY29</f>
        <v>2039</v>
      </c>
      <c r="AY29" s="42">
        <v>2039</v>
      </c>
      <c r="AZ29" s="40">
        <v>2084</v>
      </c>
      <c r="BA29" s="40">
        <v>1889</v>
      </c>
      <c r="BB29" s="40">
        <v>2067</v>
      </c>
      <c r="BC29" s="41">
        <f t="shared" ref="BC29:BC35" si="26">+BD29</f>
        <v>1686</v>
      </c>
      <c r="BD29" s="42">
        <v>1686</v>
      </c>
      <c r="BE29" s="40">
        <v>2103</v>
      </c>
      <c r="BF29" s="40">
        <v>2000</v>
      </c>
      <c r="BG29" s="36">
        <f>+Debt_Qtr!BG13</f>
        <v>2000</v>
      </c>
      <c r="BH29" s="36">
        <f>+Debt_Qtr!BH13</f>
        <v>2000</v>
      </c>
      <c r="BI29" s="21">
        <f>BH29</f>
        <v>2000</v>
      </c>
      <c r="BW29" s="98"/>
      <c r="BX29" s="98"/>
    </row>
    <row r="30" spans="1:76">
      <c r="A30" s="1" t="s">
        <v>54</v>
      </c>
      <c r="B30" s="40"/>
      <c r="C30" s="40"/>
      <c r="D30" s="40"/>
      <c r="E30" s="20"/>
      <c r="F30" s="42"/>
      <c r="G30" s="40"/>
      <c r="H30" s="40"/>
      <c r="I30" s="40"/>
      <c r="J30" s="20"/>
      <c r="K30" s="42"/>
      <c r="L30" s="40"/>
      <c r="M30" s="40"/>
      <c r="N30" s="40"/>
      <c r="O30" s="20"/>
      <c r="P30" s="42"/>
      <c r="Q30" s="40"/>
      <c r="R30" s="40"/>
      <c r="S30" s="40"/>
      <c r="T30" s="20"/>
      <c r="U30" s="42">
        <v>0</v>
      </c>
      <c r="V30" s="40"/>
      <c r="W30" s="40"/>
      <c r="X30" s="40"/>
      <c r="Y30" s="20"/>
      <c r="Z30" s="42"/>
      <c r="AA30" s="40"/>
      <c r="AB30" s="40"/>
      <c r="AC30" s="40"/>
      <c r="AD30" s="20"/>
      <c r="AE30" s="42"/>
      <c r="AF30" s="40"/>
      <c r="AG30" s="40"/>
      <c r="AH30" s="40"/>
      <c r="AI30" s="20"/>
      <c r="AJ30" s="42"/>
      <c r="AK30" s="40"/>
      <c r="AL30" s="40"/>
      <c r="AM30" s="40"/>
      <c r="AN30" s="20"/>
      <c r="AO30" s="42">
        <v>15399</v>
      </c>
      <c r="AP30" s="40">
        <v>15063</v>
      </c>
      <c r="AQ30" s="40">
        <v>15515</v>
      </c>
      <c r="AR30" s="40">
        <v>15785</v>
      </c>
      <c r="AS30" s="41">
        <f t="shared" si="24"/>
        <v>7516</v>
      </c>
      <c r="AT30" s="42">
        <v>7516</v>
      </c>
      <c r="AU30" s="40">
        <v>15184</v>
      </c>
      <c r="AV30" s="40">
        <v>7707</v>
      </c>
      <c r="AW30" s="40">
        <v>7829</v>
      </c>
      <c r="AX30" s="41">
        <f t="shared" si="25"/>
        <v>7909</v>
      </c>
      <c r="AY30" s="42">
        <v>7909</v>
      </c>
      <c r="AZ30" s="40">
        <v>8625</v>
      </c>
      <c r="BA30" s="40">
        <v>9495</v>
      </c>
      <c r="BB30" s="40">
        <v>9485</v>
      </c>
      <c r="BC30" s="41">
        <f t="shared" si="26"/>
        <v>10078</v>
      </c>
      <c r="BD30" s="42">
        <v>10078</v>
      </c>
      <c r="BE30" s="40">
        <v>10683</v>
      </c>
      <c r="BF30" s="40">
        <v>10822</v>
      </c>
      <c r="BG30" s="41">
        <f>BG67*(-ProForma_IS_Qtr!BG81/(365))*4</f>
        <v>10565.438744109591</v>
      </c>
      <c r="BH30" s="41">
        <f>BI30</f>
        <v>11477.930709782861</v>
      </c>
      <c r="BI30" s="21">
        <f>BI67*(-ProForma_IS_Qtr!BI81/(365))</f>
        <v>11477.930709782861</v>
      </c>
      <c r="BW30" s="98"/>
      <c r="BX30" s="98"/>
    </row>
    <row r="31" spans="1:76">
      <c r="A31" s="1" t="s">
        <v>338</v>
      </c>
      <c r="B31" s="40"/>
      <c r="C31" s="40"/>
      <c r="D31" s="40"/>
      <c r="E31" s="20"/>
      <c r="F31" s="42"/>
      <c r="G31" s="40"/>
      <c r="H31" s="40"/>
      <c r="I31" s="40"/>
      <c r="J31" s="20"/>
      <c r="K31" s="42"/>
      <c r="L31" s="40"/>
      <c r="M31" s="40"/>
      <c r="N31" s="40"/>
      <c r="O31" s="20"/>
      <c r="P31" s="42"/>
      <c r="Q31" s="40"/>
      <c r="R31" s="40"/>
      <c r="S31" s="40"/>
      <c r="T31" s="20"/>
      <c r="U31" s="42"/>
      <c r="V31" s="40"/>
      <c r="W31" s="40"/>
      <c r="X31" s="40"/>
      <c r="Y31" s="20"/>
      <c r="Z31" s="42"/>
      <c r="AA31" s="40"/>
      <c r="AB31" s="40"/>
      <c r="AC31" s="40"/>
      <c r="AD31" s="20"/>
      <c r="AE31" s="42"/>
      <c r="AF31" s="40"/>
      <c r="AG31" s="40"/>
      <c r="AH31" s="40"/>
      <c r="AI31" s="20"/>
      <c r="AJ31" s="42"/>
      <c r="AK31" s="40"/>
      <c r="AL31" s="40"/>
      <c r="AM31" s="40"/>
      <c r="AN31" s="20"/>
      <c r="AO31" s="42">
        <v>16216</v>
      </c>
      <c r="AP31" s="40">
        <v>16586</v>
      </c>
      <c r="AQ31" s="40">
        <v>17142</v>
      </c>
      <c r="AR31" s="40">
        <v>17185</v>
      </c>
      <c r="AS31" s="41">
        <f t="shared" si="24"/>
        <v>6177</v>
      </c>
      <c r="AT31" s="42">
        <v>6177</v>
      </c>
      <c r="AU31" s="40">
        <v>20718</v>
      </c>
      <c r="AV31" s="40">
        <v>6465</v>
      </c>
      <c r="AW31" s="40">
        <v>6477</v>
      </c>
      <c r="AX31" s="41">
        <f t="shared" si="25"/>
        <v>6695</v>
      </c>
      <c r="AY31" s="42">
        <v>6695</v>
      </c>
      <c r="AZ31" s="40">
        <v>6842</v>
      </c>
      <c r="BA31" s="40">
        <v>7026</v>
      </c>
      <c r="BB31" s="40">
        <v>6982</v>
      </c>
      <c r="BC31" s="41">
        <f t="shared" si="26"/>
        <v>7662</v>
      </c>
      <c r="BD31" s="42">
        <v>7662</v>
      </c>
      <c r="BE31" s="40">
        <v>7721</v>
      </c>
      <c r="BF31" s="40">
        <v>7937</v>
      </c>
      <c r="BG31" s="41">
        <f>+BF31+Cash_Flow_Qtr!BG20</f>
        <v>8072</v>
      </c>
      <c r="BH31" s="41">
        <f>+BG31+Cash_Flow_Qtr!BH20</f>
        <v>8306</v>
      </c>
      <c r="BI31" s="21">
        <f>+BH31</f>
        <v>8306</v>
      </c>
      <c r="BW31" s="98"/>
      <c r="BX31" s="98"/>
    </row>
    <row r="32" spans="1:76">
      <c r="A32" s="1" t="s">
        <v>476</v>
      </c>
      <c r="B32" s="40"/>
      <c r="C32" s="40"/>
      <c r="D32" s="40"/>
      <c r="E32" s="20"/>
      <c r="F32" s="42"/>
      <c r="G32" s="40"/>
      <c r="H32" s="40"/>
      <c r="I32" s="40"/>
      <c r="J32" s="20"/>
      <c r="K32" s="42"/>
      <c r="L32" s="40"/>
      <c r="M32" s="40"/>
      <c r="N32" s="40"/>
      <c r="O32" s="20"/>
      <c r="P32" s="42"/>
      <c r="Q32" s="40"/>
      <c r="R32" s="40"/>
      <c r="S32" s="40"/>
      <c r="T32" s="20"/>
      <c r="U32" s="42"/>
      <c r="V32" s="40"/>
      <c r="W32" s="40"/>
      <c r="X32" s="40"/>
      <c r="Y32" s="20"/>
      <c r="Z32" s="42"/>
      <c r="AA32" s="40"/>
      <c r="AB32" s="40"/>
      <c r="AC32" s="40"/>
      <c r="AD32" s="20"/>
      <c r="AE32" s="42"/>
      <c r="AF32" s="40"/>
      <c r="AG32" s="40"/>
      <c r="AH32" s="40"/>
      <c r="AI32" s="20"/>
      <c r="AJ32" s="42"/>
      <c r="AK32" s="40"/>
      <c r="AL32" s="40"/>
      <c r="AM32" s="40"/>
      <c r="AN32" s="20"/>
      <c r="AO32" s="42"/>
      <c r="AP32" s="40"/>
      <c r="AQ32" s="40"/>
      <c r="AR32" s="40"/>
      <c r="AS32" s="41">
        <f t="shared" si="24"/>
        <v>8322</v>
      </c>
      <c r="AT32" s="42">
        <v>8322</v>
      </c>
      <c r="AU32" s="40">
        <v>0</v>
      </c>
      <c r="AV32" s="40">
        <v>8671</v>
      </c>
      <c r="AW32" s="40">
        <v>9047</v>
      </c>
      <c r="AX32" s="41">
        <f t="shared" si="25"/>
        <v>9353</v>
      </c>
      <c r="AY32" s="42">
        <v>9353</v>
      </c>
      <c r="AZ32" s="40">
        <v>9624</v>
      </c>
      <c r="BA32" s="40">
        <v>9738</v>
      </c>
      <c r="BB32" s="40">
        <v>9852</v>
      </c>
      <c r="BC32" s="41">
        <f t="shared" si="26"/>
        <v>10333</v>
      </c>
      <c r="BD32" s="42">
        <v>10333</v>
      </c>
      <c r="BE32" s="40">
        <v>10204</v>
      </c>
      <c r="BF32" s="40">
        <v>10159</v>
      </c>
      <c r="BG32" s="41">
        <f>BG69*(ProForma_IS_Qtr!BG15/(365))*4</f>
        <v>9856.3305205479483</v>
      </c>
      <c r="BH32" s="41">
        <f>BI32</f>
        <v>10747.642201237251</v>
      </c>
      <c r="BI32" s="71">
        <f>BI69*(ProForma_IS_Qtr!BI15/(365))</f>
        <v>10747.642201237251</v>
      </c>
      <c r="BW32" s="98"/>
      <c r="BX32" s="98"/>
    </row>
    <row r="33" spans="1:76">
      <c r="A33" s="1" t="s">
        <v>477</v>
      </c>
      <c r="B33" s="40"/>
      <c r="C33" s="40"/>
      <c r="D33" s="40"/>
      <c r="E33" s="20"/>
      <c r="F33" s="42"/>
      <c r="G33" s="40"/>
      <c r="H33" s="40"/>
      <c r="I33" s="40"/>
      <c r="J33" s="20"/>
      <c r="K33" s="42"/>
      <c r="L33" s="40"/>
      <c r="M33" s="40"/>
      <c r="N33" s="40"/>
      <c r="O33" s="20"/>
      <c r="P33" s="42"/>
      <c r="Q33" s="40"/>
      <c r="R33" s="40"/>
      <c r="S33" s="40"/>
      <c r="T33" s="20"/>
      <c r="U33" s="42"/>
      <c r="V33" s="40"/>
      <c r="W33" s="40"/>
      <c r="X33" s="40"/>
      <c r="Y33" s="20"/>
      <c r="Z33" s="42"/>
      <c r="AA33" s="40"/>
      <c r="AB33" s="40"/>
      <c r="AC33" s="40"/>
      <c r="AD33" s="20"/>
      <c r="AE33" s="42"/>
      <c r="AF33" s="40"/>
      <c r="AG33" s="40"/>
      <c r="AH33" s="40"/>
      <c r="AI33" s="20"/>
      <c r="AJ33" s="42"/>
      <c r="AK33" s="40"/>
      <c r="AL33" s="40"/>
      <c r="AM33" s="40"/>
      <c r="AN33" s="20"/>
      <c r="AO33" s="42"/>
      <c r="AP33" s="40"/>
      <c r="AQ33" s="40"/>
      <c r="AR33" s="40"/>
      <c r="AS33" s="41">
        <f t="shared" si="24"/>
        <v>3741</v>
      </c>
      <c r="AT33" s="42">
        <v>3741</v>
      </c>
      <c r="AU33" s="40">
        <v>0</v>
      </c>
      <c r="AV33" s="40">
        <v>3639</v>
      </c>
      <c r="AW33" s="40">
        <v>4073</v>
      </c>
      <c r="AX33" s="41">
        <f t="shared" si="25"/>
        <v>3475</v>
      </c>
      <c r="AY33" s="42">
        <v>3475</v>
      </c>
      <c r="AZ33" s="40">
        <v>3555</v>
      </c>
      <c r="BA33" s="40">
        <v>3923</v>
      </c>
      <c r="BB33" s="40">
        <v>4029</v>
      </c>
      <c r="BC33" s="41">
        <f t="shared" si="26"/>
        <v>4037</v>
      </c>
      <c r="BD33" s="42">
        <v>4037</v>
      </c>
      <c r="BE33" s="40">
        <v>5037</v>
      </c>
      <c r="BF33" s="40">
        <v>4993</v>
      </c>
      <c r="BG33" s="40">
        <f>BF33-150</f>
        <v>4843</v>
      </c>
      <c r="BH33" s="40">
        <f t="shared" ref="BH33" si="27">BG33-100</f>
        <v>4743</v>
      </c>
      <c r="BI33" s="71">
        <f>BH33</f>
        <v>4743</v>
      </c>
      <c r="BW33" s="98"/>
      <c r="BX33" s="98"/>
    </row>
    <row r="34" spans="1:76">
      <c r="A34" s="474" t="s">
        <v>339</v>
      </c>
      <c r="B34" s="40"/>
      <c r="C34" s="40"/>
      <c r="D34" s="40"/>
      <c r="E34" s="20"/>
      <c r="F34" s="42"/>
      <c r="G34" s="40"/>
      <c r="H34" s="40"/>
      <c r="I34" s="40"/>
      <c r="J34" s="20"/>
      <c r="K34" s="42"/>
      <c r="L34" s="40"/>
      <c r="M34" s="40"/>
      <c r="N34" s="40"/>
      <c r="O34" s="20"/>
      <c r="P34" s="42"/>
      <c r="Q34" s="40"/>
      <c r="R34" s="40"/>
      <c r="S34" s="40"/>
      <c r="T34" s="20"/>
      <c r="U34" s="42"/>
      <c r="V34" s="40"/>
      <c r="W34" s="40"/>
      <c r="X34" s="40"/>
      <c r="Y34" s="20"/>
      <c r="Z34" s="42"/>
      <c r="AA34" s="40"/>
      <c r="AB34" s="40"/>
      <c r="AC34" s="40"/>
      <c r="AD34" s="20"/>
      <c r="AE34" s="42"/>
      <c r="AF34" s="40"/>
      <c r="AG34" s="40"/>
      <c r="AH34" s="40"/>
      <c r="AI34" s="20"/>
      <c r="AJ34" s="42"/>
      <c r="AK34" s="40"/>
      <c r="AL34" s="40"/>
      <c r="AM34" s="40"/>
      <c r="AN34" s="20"/>
      <c r="AO34" s="42">
        <v>12130</v>
      </c>
      <c r="AP34" s="40">
        <v>12313</v>
      </c>
      <c r="AQ34" s="40">
        <v>11620</v>
      </c>
      <c r="AR34" s="40">
        <v>12026</v>
      </c>
      <c r="AS34" s="41">
        <f t="shared" si="24"/>
        <v>4860</v>
      </c>
      <c r="AT34" s="42">
        <v>4860</v>
      </c>
      <c r="AU34" s="40">
        <v>12342</v>
      </c>
      <c r="AV34" s="40">
        <v>4506</v>
      </c>
      <c r="AW34" s="40">
        <v>4986</v>
      </c>
      <c r="AX34" s="41">
        <f t="shared" si="25"/>
        <v>4921</v>
      </c>
      <c r="AY34" s="478">
        <f>4920+1</f>
        <v>4921</v>
      </c>
      <c r="AZ34" s="40">
        <v>4211</v>
      </c>
      <c r="BA34" s="40">
        <v>4395</v>
      </c>
      <c r="BB34" s="40">
        <v>4788</v>
      </c>
      <c r="BC34" s="41">
        <f t="shared" si="26"/>
        <v>5184</v>
      </c>
      <c r="BD34" s="478">
        <v>5184</v>
      </c>
      <c r="BE34" s="641">
        <f>4280-1</f>
        <v>4279</v>
      </c>
      <c r="BF34" s="641">
        <f>4518+1</f>
        <v>4519</v>
      </c>
      <c r="BG34" s="41">
        <f t="shared" ref="BG34:BG35" si="28">+BF34</f>
        <v>4519</v>
      </c>
      <c r="BH34" s="41">
        <f t="shared" ref="BH34:BH35" si="29">+BG34</f>
        <v>4519</v>
      </c>
      <c r="BI34" s="71">
        <f t="shared" ref="BI34:BI35" si="30">+BH34</f>
        <v>4519</v>
      </c>
      <c r="BW34" s="98"/>
      <c r="BX34" s="98"/>
    </row>
    <row r="35" spans="1:76">
      <c r="A35" s="474" t="s">
        <v>340</v>
      </c>
      <c r="B35" s="40"/>
      <c r="C35" s="40"/>
      <c r="D35" s="40"/>
      <c r="E35" s="20"/>
      <c r="F35" s="42"/>
      <c r="G35" s="40"/>
      <c r="H35" s="40"/>
      <c r="I35" s="40"/>
      <c r="J35" s="20"/>
      <c r="K35" s="42"/>
      <c r="L35" s="40"/>
      <c r="M35" s="40"/>
      <c r="N35" s="40"/>
      <c r="O35" s="20"/>
      <c r="P35" s="42"/>
      <c r="Q35" s="40"/>
      <c r="R35" s="40"/>
      <c r="S35" s="40"/>
      <c r="T35" s="20"/>
      <c r="U35" s="42"/>
      <c r="V35" s="40"/>
      <c r="W35" s="40"/>
      <c r="X35" s="40"/>
      <c r="Y35" s="20"/>
      <c r="Z35" s="42"/>
      <c r="AA35" s="40"/>
      <c r="AB35" s="40"/>
      <c r="AC35" s="40"/>
      <c r="AD35" s="20"/>
      <c r="AE35" s="42"/>
      <c r="AF35" s="40"/>
      <c r="AG35" s="40"/>
      <c r="AH35" s="40"/>
      <c r="AI35" s="20"/>
      <c r="AJ35" s="42"/>
      <c r="AK35" s="40"/>
      <c r="AL35" s="40"/>
      <c r="AM35" s="40"/>
      <c r="AN35" s="20"/>
      <c r="AO35" s="42">
        <v>1944</v>
      </c>
      <c r="AP35" s="40">
        <v>1953</v>
      </c>
      <c r="AQ35" s="40">
        <v>1949</v>
      </c>
      <c r="AR35" s="40">
        <f>1835-1</f>
        <v>1834</v>
      </c>
      <c r="AS35" s="41">
        <f t="shared" si="24"/>
        <v>379</v>
      </c>
      <c r="AT35" s="478">
        <f>378+1</f>
        <v>379</v>
      </c>
      <c r="AU35" s="40">
        <v>1811</v>
      </c>
      <c r="AV35" s="40">
        <f>61+1</f>
        <v>62</v>
      </c>
      <c r="AW35" s="40">
        <v>0</v>
      </c>
      <c r="AX35" s="41">
        <f t="shared" si="25"/>
        <v>0</v>
      </c>
      <c r="AY35" s="42">
        <v>0</v>
      </c>
      <c r="AZ35" s="40">
        <v>0</v>
      </c>
      <c r="BA35" s="40">
        <v>0</v>
      </c>
      <c r="BB35" s="40">
        <v>0</v>
      </c>
      <c r="BC35" s="41">
        <f t="shared" si="26"/>
        <v>0</v>
      </c>
      <c r="BD35" s="42">
        <v>0</v>
      </c>
      <c r="BE35" s="40">
        <f t="shared" ref="BE35" si="31">+BD35</f>
        <v>0</v>
      </c>
      <c r="BF35" s="40">
        <f t="shared" ref="BF35" si="32">+BE35</f>
        <v>0</v>
      </c>
      <c r="BG35" s="41">
        <f t="shared" si="28"/>
        <v>0</v>
      </c>
      <c r="BH35" s="41">
        <f t="shared" si="29"/>
        <v>0</v>
      </c>
      <c r="BI35" s="21">
        <f t="shared" si="30"/>
        <v>0</v>
      </c>
      <c r="BW35" s="98"/>
      <c r="BX35" s="98"/>
    </row>
    <row r="36" spans="1:76">
      <c r="A36" s="6" t="s">
        <v>72</v>
      </c>
      <c r="B36" s="22"/>
      <c r="C36" s="22"/>
      <c r="D36" s="22"/>
      <c r="E36" s="22"/>
      <c r="F36" s="23"/>
      <c r="G36" s="22"/>
      <c r="H36" s="22"/>
      <c r="I36" s="22"/>
      <c r="J36" s="22"/>
      <c r="K36" s="23"/>
      <c r="L36" s="22"/>
      <c r="M36" s="22"/>
      <c r="N36" s="22"/>
      <c r="O36" s="22"/>
      <c r="P36" s="23"/>
      <c r="Q36" s="22"/>
      <c r="R36" s="22"/>
      <c r="S36" s="22"/>
      <c r="T36" s="22"/>
      <c r="U36" s="23"/>
      <c r="V36" s="22"/>
      <c r="W36" s="22"/>
      <c r="X36" s="22"/>
      <c r="Y36" s="22"/>
      <c r="Z36" s="23"/>
      <c r="AA36" s="22"/>
      <c r="AB36" s="22"/>
      <c r="AC36" s="22"/>
      <c r="AD36" s="22"/>
      <c r="AE36" s="23"/>
      <c r="AF36" s="22"/>
      <c r="AG36" s="22"/>
      <c r="AH36" s="22"/>
      <c r="AI36" s="22"/>
      <c r="AJ36" s="23"/>
      <c r="AK36" s="22"/>
      <c r="AL36" s="22"/>
      <c r="AM36" s="22"/>
      <c r="AN36" s="22"/>
      <c r="AO36" s="23">
        <f>SUM(AO29:AO35)</f>
        <v>49428</v>
      </c>
      <c r="AP36" s="22">
        <f>SUM(AT29:AT35)</f>
        <v>32103</v>
      </c>
      <c r="AQ36" s="22">
        <f t="shared" ref="AQ36:AZ36" si="33">SUM(AQ29:AQ35)</f>
        <v>48108</v>
      </c>
      <c r="AR36" s="22">
        <f t="shared" si="33"/>
        <v>48164</v>
      </c>
      <c r="AS36" s="22">
        <f t="shared" si="33"/>
        <v>32103</v>
      </c>
      <c r="AT36" s="23">
        <f t="shared" si="33"/>
        <v>32103</v>
      </c>
      <c r="AU36" s="22">
        <f t="shared" si="33"/>
        <v>51087</v>
      </c>
      <c r="AV36" s="22">
        <f t="shared" si="33"/>
        <v>32750</v>
      </c>
      <c r="AW36" s="22">
        <f t="shared" si="33"/>
        <v>34093</v>
      </c>
      <c r="AX36" s="22">
        <f t="shared" si="33"/>
        <v>34392</v>
      </c>
      <c r="AY36" s="23">
        <f t="shared" si="33"/>
        <v>34392</v>
      </c>
      <c r="AZ36" s="22">
        <f t="shared" si="33"/>
        <v>34941</v>
      </c>
      <c r="BA36" s="22">
        <f t="shared" ref="BA36:BD36" si="34">SUM(BA29:BA35)</f>
        <v>36466</v>
      </c>
      <c r="BB36" s="22">
        <f t="shared" si="34"/>
        <v>37203</v>
      </c>
      <c r="BC36" s="22">
        <f t="shared" si="34"/>
        <v>38980</v>
      </c>
      <c r="BD36" s="23">
        <f t="shared" si="34"/>
        <v>38980</v>
      </c>
      <c r="BE36" s="22">
        <f t="shared" ref="BE36:BI36" si="35">SUM(BE29:BE35)</f>
        <v>40027</v>
      </c>
      <c r="BF36" s="22">
        <f>SUM(BF29:BF35)</f>
        <v>40430</v>
      </c>
      <c r="BG36" s="22">
        <f t="shared" si="35"/>
        <v>39855.769264657538</v>
      </c>
      <c r="BH36" s="22">
        <f t="shared" si="35"/>
        <v>41793.572911020114</v>
      </c>
      <c r="BI36" s="23">
        <f t="shared" si="35"/>
        <v>41793.572911020114</v>
      </c>
      <c r="BW36" s="98"/>
      <c r="BX36" s="98"/>
    </row>
    <row r="37" spans="1:76">
      <c r="B37" s="20"/>
      <c r="C37" s="20"/>
      <c r="D37" s="20"/>
      <c r="E37" s="20"/>
      <c r="F37" s="21"/>
      <c r="G37" s="20"/>
      <c r="H37" s="20"/>
      <c r="I37" s="20"/>
      <c r="J37" s="20"/>
      <c r="K37" s="21"/>
      <c r="L37" s="20"/>
      <c r="M37" s="20"/>
      <c r="N37" s="20"/>
      <c r="O37" s="20"/>
      <c r="P37" s="21"/>
      <c r="Q37" s="20"/>
      <c r="R37" s="20"/>
      <c r="S37" s="20"/>
      <c r="T37" s="20"/>
      <c r="U37" s="21"/>
      <c r="V37" s="20"/>
      <c r="W37" s="20"/>
      <c r="X37" s="20"/>
      <c r="Y37" s="20"/>
      <c r="Z37" s="21"/>
      <c r="AA37" s="20"/>
      <c r="AB37" s="20"/>
      <c r="AC37" s="20"/>
      <c r="AD37" s="20"/>
      <c r="AE37" s="21"/>
      <c r="AF37" s="20"/>
      <c r="AG37" s="20"/>
      <c r="AH37" s="20"/>
      <c r="AI37" s="20"/>
      <c r="AJ37" s="21"/>
      <c r="AK37" s="20"/>
      <c r="AL37" s="20"/>
      <c r="AM37" s="20"/>
      <c r="AN37" s="20"/>
      <c r="AO37" s="21"/>
      <c r="AP37" s="20"/>
      <c r="AQ37" s="20"/>
      <c r="AR37" s="20"/>
      <c r="AS37" s="20"/>
      <c r="AT37" s="21"/>
      <c r="AU37" s="20"/>
      <c r="AV37" s="20"/>
      <c r="AW37" s="20"/>
      <c r="AX37" s="20"/>
      <c r="AY37" s="21"/>
      <c r="AZ37" s="20"/>
      <c r="BA37" s="20"/>
      <c r="BB37" s="20"/>
      <c r="BC37" s="20"/>
      <c r="BD37" s="21"/>
      <c r="BE37" s="20"/>
      <c r="BF37" s="20"/>
      <c r="BG37" s="20"/>
      <c r="BH37" s="20"/>
      <c r="BI37" s="21"/>
      <c r="BW37" s="98"/>
      <c r="BX37" s="98"/>
    </row>
    <row r="38" spans="1:76">
      <c r="A38" s="12" t="s">
        <v>73</v>
      </c>
      <c r="B38" s="20"/>
      <c r="C38" s="20"/>
      <c r="D38" s="20"/>
      <c r="E38" s="20"/>
      <c r="F38" s="21"/>
      <c r="G38" s="20"/>
      <c r="H38" s="20"/>
      <c r="I38" s="20"/>
      <c r="J38" s="20"/>
      <c r="K38" s="21"/>
      <c r="L38" s="20"/>
      <c r="M38" s="20"/>
      <c r="N38" s="20"/>
      <c r="O38" s="20"/>
      <c r="P38" s="21"/>
      <c r="Q38" s="20"/>
      <c r="R38" s="20"/>
      <c r="S38" s="20"/>
      <c r="T38" s="20"/>
      <c r="U38" s="21"/>
      <c r="V38" s="20"/>
      <c r="W38" s="20"/>
      <c r="X38" s="20"/>
      <c r="Y38" s="20"/>
      <c r="Z38" s="21"/>
      <c r="AA38" s="20"/>
      <c r="AB38" s="20"/>
      <c r="AC38" s="20"/>
      <c r="AD38" s="20"/>
      <c r="AE38" s="21"/>
      <c r="AF38" s="20"/>
      <c r="AG38" s="20"/>
      <c r="AH38" s="20"/>
      <c r="AI38" s="20"/>
      <c r="AJ38" s="21"/>
      <c r="AK38" s="20"/>
      <c r="AL38" s="20"/>
      <c r="AM38" s="20"/>
      <c r="AN38" s="20"/>
      <c r="AO38" s="21"/>
      <c r="AP38" s="20"/>
      <c r="AQ38" s="20"/>
      <c r="AR38" s="20"/>
      <c r="AS38" s="20"/>
      <c r="AT38" s="21"/>
      <c r="AU38" s="20"/>
      <c r="AV38" s="20"/>
      <c r="AW38" s="20"/>
      <c r="AX38" s="20"/>
      <c r="AY38" s="21"/>
      <c r="AZ38" s="20"/>
      <c r="BA38" s="20"/>
      <c r="BB38" s="20"/>
      <c r="BC38" s="20"/>
      <c r="BD38" s="21"/>
      <c r="BE38" s="20"/>
      <c r="BF38" s="20"/>
      <c r="BG38" s="20"/>
      <c r="BH38" s="20"/>
      <c r="BI38" s="21"/>
      <c r="BW38" s="98"/>
      <c r="BX38" s="98"/>
    </row>
    <row r="39" spans="1:76">
      <c r="A39" s="1" t="s">
        <v>341</v>
      </c>
      <c r="B39" s="40"/>
      <c r="C39" s="40"/>
      <c r="D39" s="40"/>
      <c r="E39" s="20"/>
      <c r="F39" s="42"/>
      <c r="G39" s="40"/>
      <c r="H39" s="40"/>
      <c r="I39" s="40"/>
      <c r="J39" s="20"/>
      <c r="K39" s="42"/>
      <c r="L39" s="40"/>
      <c r="M39" s="40"/>
      <c r="N39" s="40"/>
      <c r="O39" s="20"/>
      <c r="P39" s="42"/>
      <c r="Q39" s="40"/>
      <c r="R39" s="40"/>
      <c r="S39" s="40"/>
      <c r="T39" s="20"/>
      <c r="U39" s="42"/>
      <c r="V39" s="40"/>
      <c r="W39" s="40"/>
      <c r="X39" s="40"/>
      <c r="Y39" s="20"/>
      <c r="Z39" s="42"/>
      <c r="AA39" s="40"/>
      <c r="AB39" s="40"/>
      <c r="AC39" s="40"/>
      <c r="AD39" s="20"/>
      <c r="AE39" s="42"/>
      <c r="AF39" s="40"/>
      <c r="AG39" s="40"/>
      <c r="AH39" s="40"/>
      <c r="AI39" s="20"/>
      <c r="AJ39" s="42"/>
      <c r="AK39" s="40"/>
      <c r="AL39" s="40"/>
      <c r="AM39" s="40"/>
      <c r="AN39" s="20"/>
      <c r="AO39" s="42">
        <v>1409</v>
      </c>
      <c r="AP39" s="40">
        <v>1500</v>
      </c>
      <c r="AQ39" s="40">
        <v>1384</v>
      </c>
      <c r="AR39" s="40">
        <v>1337</v>
      </c>
      <c r="AS39" s="41">
        <f t="shared" ref="AS39:AS44" si="36">+AT39</f>
        <v>975</v>
      </c>
      <c r="AT39" s="42">
        <v>975</v>
      </c>
      <c r="AU39" s="40">
        <v>1297</v>
      </c>
      <c r="AV39" s="40">
        <v>960</v>
      </c>
      <c r="AW39" s="40">
        <v>972</v>
      </c>
      <c r="AX39" s="41">
        <f t="shared" ref="AX39:AX44" si="37">+AY39</f>
        <v>1013</v>
      </c>
      <c r="AY39" s="42">
        <v>1013</v>
      </c>
      <c r="AZ39" s="40">
        <v>1054</v>
      </c>
      <c r="BA39" s="40">
        <v>1040</v>
      </c>
      <c r="BB39" s="40">
        <v>1081</v>
      </c>
      <c r="BC39" s="41">
        <f t="shared" ref="BC39:BC44" si="38">+BD39</f>
        <v>1065</v>
      </c>
      <c r="BD39" s="42">
        <v>1065</v>
      </c>
      <c r="BE39" s="40">
        <v>1084</v>
      </c>
      <c r="BF39" s="40">
        <v>1070</v>
      </c>
      <c r="BG39" s="41">
        <f t="shared" ref="BG39" si="39">+BF39</f>
        <v>1070</v>
      </c>
      <c r="BH39" s="41">
        <f>+BG39</f>
        <v>1070</v>
      </c>
      <c r="BI39" s="21">
        <f>+BH39</f>
        <v>1070</v>
      </c>
      <c r="BW39" s="98"/>
      <c r="BX39" s="98"/>
    </row>
    <row r="40" spans="1:76">
      <c r="A40" s="1" t="s">
        <v>74</v>
      </c>
      <c r="B40" s="40"/>
      <c r="C40" s="40"/>
      <c r="D40" s="40"/>
      <c r="E40" s="20"/>
      <c r="F40" s="42"/>
      <c r="G40" s="40"/>
      <c r="H40" s="40"/>
      <c r="I40" s="40"/>
      <c r="J40" s="20"/>
      <c r="K40" s="42"/>
      <c r="L40" s="40"/>
      <c r="M40" s="40"/>
      <c r="N40" s="40"/>
      <c r="O40" s="20"/>
      <c r="P40" s="42"/>
      <c r="Q40" s="40"/>
      <c r="R40" s="40"/>
      <c r="S40" s="40"/>
      <c r="T40" s="20"/>
      <c r="U40" s="42"/>
      <c r="V40" s="40"/>
      <c r="W40" s="40"/>
      <c r="X40" s="40"/>
      <c r="Y40" s="20"/>
      <c r="Z40" s="42"/>
      <c r="AA40" s="40"/>
      <c r="AB40" s="40"/>
      <c r="AC40" s="40"/>
      <c r="AD40" s="20"/>
      <c r="AE40" s="42"/>
      <c r="AF40" s="40"/>
      <c r="AG40" s="40"/>
      <c r="AH40" s="40"/>
      <c r="AI40" s="20"/>
      <c r="AJ40" s="42"/>
      <c r="AK40" s="40"/>
      <c r="AL40" s="40"/>
      <c r="AM40" s="40"/>
      <c r="AN40" s="20"/>
      <c r="AO40" s="42">
        <v>20320</v>
      </c>
      <c r="AP40" s="40">
        <v>20159</v>
      </c>
      <c r="AQ40" s="40">
        <v>19900</v>
      </c>
      <c r="AR40" s="40">
        <v>19488</v>
      </c>
      <c r="AS40" s="41">
        <f t="shared" si="36"/>
        <v>19417</v>
      </c>
      <c r="AT40" s="42">
        <v>19417</v>
      </c>
      <c r="AU40" s="40">
        <v>19493</v>
      </c>
      <c r="AV40" s="40">
        <v>17973</v>
      </c>
      <c r="AW40" s="40">
        <v>18240</v>
      </c>
      <c r="AX40" s="41">
        <f t="shared" si="37"/>
        <v>17234</v>
      </c>
      <c r="AY40" s="42">
        <v>17234</v>
      </c>
      <c r="AZ40" s="40">
        <v>17487</v>
      </c>
      <c r="BA40" s="40">
        <v>16998</v>
      </c>
      <c r="BB40" s="40">
        <v>18771</v>
      </c>
      <c r="BC40" s="41">
        <f t="shared" si="38"/>
        <v>18808</v>
      </c>
      <c r="BD40" s="42">
        <v>18808</v>
      </c>
      <c r="BE40" s="40">
        <v>18174</v>
      </c>
      <c r="BF40" s="40">
        <v>17157</v>
      </c>
      <c r="BG40" s="36">
        <f>+Debt_Qtr!BG22</f>
        <v>17157</v>
      </c>
      <c r="BH40" s="36">
        <f>+Debt_Qtr!BH22</f>
        <v>17157</v>
      </c>
      <c r="BI40" s="21">
        <f>BH40</f>
        <v>17157</v>
      </c>
      <c r="BW40" s="98"/>
      <c r="BX40" s="98"/>
    </row>
    <row r="41" spans="1:76">
      <c r="A41" s="1" t="s">
        <v>342</v>
      </c>
      <c r="B41" s="40"/>
      <c r="C41" s="40"/>
      <c r="D41" s="40"/>
      <c r="E41" s="20"/>
      <c r="F41" s="42"/>
      <c r="G41" s="40"/>
      <c r="H41" s="40"/>
      <c r="I41" s="40"/>
      <c r="J41" s="20"/>
      <c r="K41" s="42"/>
      <c r="L41" s="40"/>
      <c r="M41" s="40"/>
      <c r="N41" s="40"/>
      <c r="O41" s="20"/>
      <c r="P41" s="42"/>
      <c r="Q41" s="40"/>
      <c r="R41" s="40"/>
      <c r="S41" s="40"/>
      <c r="T41" s="20"/>
      <c r="U41" s="42"/>
      <c r="V41" s="40"/>
      <c r="W41" s="40"/>
      <c r="X41" s="40"/>
      <c r="Y41" s="20"/>
      <c r="Z41" s="42"/>
      <c r="AA41" s="40"/>
      <c r="AB41" s="40"/>
      <c r="AC41" s="40"/>
      <c r="AD41" s="20"/>
      <c r="AE41" s="42"/>
      <c r="AF41" s="40"/>
      <c r="AG41" s="40"/>
      <c r="AH41" s="40"/>
      <c r="AI41" s="20"/>
      <c r="AJ41" s="42"/>
      <c r="AK41" s="40"/>
      <c r="AL41" s="40"/>
      <c r="AM41" s="40"/>
      <c r="AN41" s="20"/>
      <c r="AO41" s="42">
        <v>36845</v>
      </c>
      <c r="AP41" s="40">
        <v>39082</v>
      </c>
      <c r="AQ41" s="40">
        <v>38673</v>
      </c>
      <c r="AR41" s="40">
        <v>35832</v>
      </c>
      <c r="AS41" s="41">
        <f t="shared" si="36"/>
        <v>39624</v>
      </c>
      <c r="AT41" s="42">
        <v>39624</v>
      </c>
      <c r="AU41" s="40">
        <v>37934</v>
      </c>
      <c r="AV41" s="40">
        <v>37215</v>
      </c>
      <c r="AW41" s="40">
        <v>39147</v>
      </c>
      <c r="AX41" s="41">
        <f t="shared" si="37"/>
        <v>36209</v>
      </c>
      <c r="AY41" s="42">
        <v>36209</v>
      </c>
      <c r="AZ41" s="40">
        <v>36424</v>
      </c>
      <c r="BA41" s="40">
        <v>36745</v>
      </c>
      <c r="BB41" s="40">
        <v>37153</v>
      </c>
      <c r="BC41" s="41">
        <f t="shared" si="38"/>
        <v>36894</v>
      </c>
      <c r="BD41" s="42">
        <v>36894</v>
      </c>
      <c r="BE41" s="40">
        <v>35699</v>
      </c>
      <c r="BF41" s="40">
        <v>36195</v>
      </c>
      <c r="BG41" s="41">
        <f t="shared" ref="BG41:BG44" si="40">+BF41</f>
        <v>36195</v>
      </c>
      <c r="BH41" s="41">
        <f t="shared" ref="BH41:BH44" si="41">+BG41</f>
        <v>36195</v>
      </c>
      <c r="BI41" s="71">
        <f t="shared" ref="BI41:BI44" si="42">+BH41</f>
        <v>36195</v>
      </c>
      <c r="BW41" s="98"/>
      <c r="BX41" s="98"/>
    </row>
    <row r="42" spans="1:76">
      <c r="A42" s="1" t="s">
        <v>343</v>
      </c>
      <c r="B42" s="40"/>
      <c r="C42" s="40"/>
      <c r="D42" s="40"/>
      <c r="E42" s="20"/>
      <c r="F42" s="42"/>
      <c r="G42" s="40"/>
      <c r="H42" s="40"/>
      <c r="I42" s="40"/>
      <c r="J42" s="20"/>
      <c r="K42" s="42"/>
      <c r="L42" s="40"/>
      <c r="M42" s="40"/>
      <c r="N42" s="40"/>
      <c r="O42" s="20"/>
      <c r="P42" s="42"/>
      <c r="Q42" s="40"/>
      <c r="R42" s="40"/>
      <c r="S42" s="40"/>
      <c r="T42" s="20"/>
      <c r="U42" s="42"/>
      <c r="V42" s="40"/>
      <c r="W42" s="40"/>
      <c r="X42" s="40"/>
      <c r="Y42" s="20"/>
      <c r="Z42" s="42"/>
      <c r="AA42" s="40"/>
      <c r="AB42" s="40"/>
      <c r="AC42" s="40"/>
      <c r="AD42" s="20"/>
      <c r="AE42" s="42"/>
      <c r="AF42" s="40"/>
      <c r="AG42" s="40"/>
      <c r="AH42" s="40"/>
      <c r="AI42" s="20"/>
      <c r="AJ42" s="42"/>
      <c r="AK42" s="40"/>
      <c r="AL42" s="40"/>
      <c r="AM42" s="40"/>
      <c r="AN42" s="20"/>
      <c r="AO42" s="42">
        <v>10400</v>
      </c>
      <c r="AP42" s="40">
        <v>10244</v>
      </c>
      <c r="AQ42" s="40">
        <v>9941</v>
      </c>
      <c r="AR42" s="40">
        <v>9718</v>
      </c>
      <c r="AS42" s="41">
        <f t="shared" si="36"/>
        <v>7656</v>
      </c>
      <c r="AT42" s="42">
        <v>7656</v>
      </c>
      <c r="AU42" s="40">
        <v>11002</v>
      </c>
      <c r="AV42" s="40">
        <v>7248</v>
      </c>
      <c r="AW42" s="40">
        <v>7169</v>
      </c>
      <c r="AX42" s="41">
        <f t="shared" si="37"/>
        <v>7035</v>
      </c>
      <c r="AY42" s="42">
        <v>7035</v>
      </c>
      <c r="AZ42" s="40">
        <v>6872</v>
      </c>
      <c r="BA42" s="40">
        <v>6796</v>
      </c>
      <c r="BB42" s="40">
        <v>6725</v>
      </c>
      <c r="BC42" s="41">
        <f t="shared" si="38"/>
        <v>6833</v>
      </c>
      <c r="BD42" s="42">
        <v>6833</v>
      </c>
      <c r="BE42" s="40">
        <v>6661</v>
      </c>
      <c r="BF42" s="40">
        <v>6537</v>
      </c>
      <c r="BG42" s="41">
        <f t="shared" si="40"/>
        <v>6537</v>
      </c>
      <c r="BH42" s="41">
        <f t="shared" si="41"/>
        <v>6537</v>
      </c>
      <c r="BI42" s="21">
        <f t="shared" si="42"/>
        <v>6537</v>
      </c>
      <c r="BW42" s="98"/>
      <c r="BX42" s="98"/>
    </row>
    <row r="43" spans="1:76">
      <c r="A43" s="1" t="s">
        <v>75</v>
      </c>
      <c r="B43" s="40"/>
      <c r="C43" s="40"/>
      <c r="D43" s="40"/>
      <c r="E43" s="20"/>
      <c r="F43" s="42"/>
      <c r="G43" s="40"/>
      <c r="H43" s="40"/>
      <c r="I43" s="40"/>
      <c r="J43" s="20"/>
      <c r="K43" s="42"/>
      <c r="L43" s="40"/>
      <c r="M43" s="40"/>
      <c r="N43" s="40"/>
      <c r="O43" s="20"/>
      <c r="P43" s="42"/>
      <c r="Q43" s="40"/>
      <c r="R43" s="40"/>
      <c r="S43" s="40"/>
      <c r="T43" s="20"/>
      <c r="U43" s="42"/>
      <c r="V43" s="40"/>
      <c r="W43" s="40"/>
      <c r="X43" s="40"/>
      <c r="Y43" s="20"/>
      <c r="Z43" s="42"/>
      <c r="AA43" s="40"/>
      <c r="AB43" s="40"/>
      <c r="AC43" s="40"/>
      <c r="AD43" s="20"/>
      <c r="AE43" s="42"/>
      <c r="AF43" s="40"/>
      <c r="AG43" s="40"/>
      <c r="AH43" s="40"/>
      <c r="AI43" s="20"/>
      <c r="AJ43" s="42"/>
      <c r="AK43" s="40"/>
      <c r="AL43" s="40"/>
      <c r="AM43" s="40"/>
      <c r="AN43" s="20"/>
      <c r="AO43" s="42">
        <v>11063</v>
      </c>
      <c r="AP43" s="40">
        <v>10937</v>
      </c>
      <c r="AQ43" s="40">
        <v>11067</v>
      </c>
      <c r="AR43" s="40">
        <v>11177</v>
      </c>
      <c r="AS43" s="41">
        <f t="shared" si="36"/>
        <v>5708</v>
      </c>
      <c r="AT43" s="42">
        <v>5708</v>
      </c>
      <c r="AU43" s="40">
        <v>10855</v>
      </c>
      <c r="AV43" s="40">
        <v>6534</v>
      </c>
      <c r="AW43" s="40">
        <v>6647</v>
      </c>
      <c r="AX43" s="41">
        <f t="shared" si="37"/>
        <v>6376</v>
      </c>
      <c r="AY43" s="42">
        <v>6376</v>
      </c>
      <c r="AZ43" s="40">
        <v>6538</v>
      </c>
      <c r="BA43" s="40">
        <v>6504</v>
      </c>
      <c r="BB43" s="40">
        <v>6999</v>
      </c>
      <c r="BC43" s="41">
        <f t="shared" si="38"/>
        <v>7276</v>
      </c>
      <c r="BD43" s="42">
        <v>7276</v>
      </c>
      <c r="BE43" s="40">
        <v>7226</v>
      </c>
      <c r="BF43" s="40">
        <v>7273</v>
      </c>
      <c r="BG43" s="41">
        <f t="shared" si="40"/>
        <v>7273</v>
      </c>
      <c r="BH43" s="41">
        <f t="shared" si="41"/>
        <v>7273</v>
      </c>
      <c r="BI43" s="21">
        <f t="shared" si="42"/>
        <v>7273</v>
      </c>
      <c r="BW43" s="98"/>
      <c r="BX43" s="98"/>
    </row>
    <row r="44" spans="1:76">
      <c r="A44" s="474" t="s">
        <v>340</v>
      </c>
      <c r="B44" s="40"/>
      <c r="C44" s="40"/>
      <c r="D44" s="40"/>
      <c r="E44" s="20"/>
      <c r="F44" s="42"/>
      <c r="G44" s="40"/>
      <c r="H44" s="40"/>
      <c r="I44" s="40"/>
      <c r="J44" s="20"/>
      <c r="K44" s="42"/>
      <c r="L44" s="40"/>
      <c r="M44" s="40"/>
      <c r="N44" s="40"/>
      <c r="O44" s="20"/>
      <c r="P44" s="42"/>
      <c r="Q44" s="40"/>
      <c r="R44" s="40"/>
      <c r="S44" s="40"/>
      <c r="T44" s="20"/>
      <c r="U44" s="42"/>
      <c r="V44" s="40"/>
      <c r="W44" s="40"/>
      <c r="X44" s="40"/>
      <c r="Y44" s="20"/>
      <c r="Z44" s="42"/>
      <c r="AA44" s="40"/>
      <c r="AB44" s="40"/>
      <c r="AC44" s="40"/>
      <c r="AD44" s="20"/>
      <c r="AE44" s="42"/>
      <c r="AF44" s="40"/>
      <c r="AG44" s="40"/>
      <c r="AH44" s="40"/>
      <c r="AI44" s="20"/>
      <c r="AJ44" s="42"/>
      <c r="AK44" s="40"/>
      <c r="AL44" s="40"/>
      <c r="AM44" s="40"/>
      <c r="AN44" s="20"/>
      <c r="AO44" s="42">
        <f>24474-1</f>
        <v>24473</v>
      </c>
      <c r="AP44" s="40">
        <f>1551-1</f>
        <v>1550</v>
      </c>
      <c r="AQ44" s="40">
        <v>1565</v>
      </c>
      <c r="AR44" s="40">
        <f>1112+2</f>
        <v>1114</v>
      </c>
      <c r="AS44" s="41">
        <f t="shared" si="36"/>
        <v>39212</v>
      </c>
      <c r="AT44" s="478">
        <f>39213-1</f>
        <v>39212</v>
      </c>
      <c r="AU44" s="479">
        <f>1169+1</f>
        <v>1170</v>
      </c>
      <c r="AV44" s="40">
        <v>1667</v>
      </c>
      <c r="AW44" s="479">
        <f>1328-1</f>
        <v>1327</v>
      </c>
      <c r="AX44" s="41">
        <f t="shared" si="37"/>
        <v>1317</v>
      </c>
      <c r="AY44" s="42">
        <v>1317</v>
      </c>
      <c r="AZ44" s="40">
        <f>1339-1</f>
        <v>1338</v>
      </c>
      <c r="BA44" s="40">
        <v>1362</v>
      </c>
      <c r="BB44" s="40">
        <v>1290</v>
      </c>
      <c r="BC44" s="41">
        <f t="shared" si="38"/>
        <v>1415</v>
      </c>
      <c r="BD44" s="42">
        <v>1415</v>
      </c>
      <c r="BE44" s="641">
        <f>1279-2</f>
        <v>1277</v>
      </c>
      <c r="BF44" s="641">
        <f>1144-1</f>
        <v>1143</v>
      </c>
      <c r="BG44" s="41">
        <f t="shared" si="40"/>
        <v>1143</v>
      </c>
      <c r="BH44" s="41">
        <f t="shared" si="41"/>
        <v>1143</v>
      </c>
      <c r="BI44" s="71">
        <f t="shared" si="42"/>
        <v>1143</v>
      </c>
      <c r="BW44" s="98"/>
      <c r="BX44" s="98"/>
    </row>
    <row r="45" spans="1:76">
      <c r="A45" s="6" t="s">
        <v>76</v>
      </c>
      <c r="B45" s="22"/>
      <c r="C45" s="22"/>
      <c r="D45" s="22"/>
      <c r="E45" s="22"/>
      <c r="F45" s="23"/>
      <c r="G45" s="22"/>
      <c r="H45" s="22"/>
      <c r="I45" s="22"/>
      <c r="J45" s="22"/>
      <c r="K45" s="23"/>
      <c r="L45" s="22"/>
      <c r="M45" s="22"/>
      <c r="N45" s="22"/>
      <c r="O45" s="22"/>
      <c r="P45" s="23"/>
      <c r="Q45" s="22"/>
      <c r="R45" s="22"/>
      <c r="S45" s="22"/>
      <c r="T45" s="22"/>
      <c r="U45" s="23"/>
      <c r="V45" s="22"/>
      <c r="W45" s="22"/>
      <c r="X45" s="22"/>
      <c r="Y45" s="22"/>
      <c r="Z45" s="23"/>
      <c r="AA45" s="22"/>
      <c r="AB45" s="22"/>
      <c r="AC45" s="22"/>
      <c r="AD45" s="22"/>
      <c r="AE45" s="23"/>
      <c r="AF45" s="22"/>
      <c r="AG45" s="22"/>
      <c r="AH45" s="22"/>
      <c r="AI45" s="22"/>
      <c r="AJ45" s="23"/>
      <c r="AK45" s="22"/>
      <c r="AL45" s="22"/>
      <c r="AM45" s="22"/>
      <c r="AN45" s="22"/>
      <c r="AO45" s="23">
        <f>SUM(AO39:AO44)</f>
        <v>104510</v>
      </c>
      <c r="AP45" s="22">
        <f>SUM(AT39:AT44)</f>
        <v>112592</v>
      </c>
      <c r="AQ45" s="22">
        <f t="shared" ref="AQ45:AZ45" si="43">SUM(AQ39:AQ44)</f>
        <v>82530</v>
      </c>
      <c r="AR45" s="22">
        <f t="shared" si="43"/>
        <v>78666</v>
      </c>
      <c r="AS45" s="22">
        <f t="shared" si="43"/>
        <v>112592</v>
      </c>
      <c r="AT45" s="23">
        <f t="shared" si="43"/>
        <v>112592</v>
      </c>
      <c r="AU45" s="22">
        <f t="shared" si="43"/>
        <v>81751</v>
      </c>
      <c r="AV45" s="22">
        <f t="shared" si="43"/>
        <v>71597</v>
      </c>
      <c r="AW45" s="22">
        <f t="shared" si="43"/>
        <v>73502</v>
      </c>
      <c r="AX45" s="22">
        <f t="shared" si="43"/>
        <v>69184</v>
      </c>
      <c r="AY45" s="23">
        <f t="shared" si="43"/>
        <v>69184</v>
      </c>
      <c r="AZ45" s="22">
        <f t="shared" si="43"/>
        <v>69713</v>
      </c>
      <c r="BA45" s="22">
        <f t="shared" ref="BA45:BD45" si="44">SUM(BA39:BA44)</f>
        <v>69445</v>
      </c>
      <c r="BB45" s="22">
        <f t="shared" si="44"/>
        <v>72019</v>
      </c>
      <c r="BC45" s="22">
        <f t="shared" si="44"/>
        <v>72291</v>
      </c>
      <c r="BD45" s="23">
        <f t="shared" si="44"/>
        <v>72291</v>
      </c>
      <c r="BE45" s="22">
        <f t="shared" ref="BE45:BI45" si="45">SUM(BE39:BE44)</f>
        <v>70121</v>
      </c>
      <c r="BF45" s="22">
        <f t="shared" si="45"/>
        <v>69375</v>
      </c>
      <c r="BG45" s="22">
        <f t="shared" si="45"/>
        <v>69375</v>
      </c>
      <c r="BH45" s="22">
        <f t="shared" si="45"/>
        <v>69375</v>
      </c>
      <c r="BI45" s="23">
        <f t="shared" si="45"/>
        <v>69375</v>
      </c>
      <c r="BW45" s="98"/>
      <c r="BX45" s="98"/>
    </row>
    <row r="46" spans="1:76">
      <c r="B46" s="20"/>
      <c r="C46" s="20"/>
      <c r="D46" s="20"/>
      <c r="E46" s="20"/>
      <c r="F46" s="21"/>
      <c r="G46" s="20"/>
      <c r="H46" s="20"/>
      <c r="I46" s="20"/>
      <c r="J46" s="20"/>
      <c r="K46" s="21"/>
      <c r="L46" s="20"/>
      <c r="M46" s="20"/>
      <c r="N46" s="20"/>
      <c r="O46" s="20"/>
      <c r="P46" s="21"/>
      <c r="Q46" s="20"/>
      <c r="R46" s="20"/>
      <c r="S46" s="20"/>
      <c r="T46" s="20"/>
      <c r="U46" s="21"/>
      <c r="V46" s="20"/>
      <c r="W46" s="20"/>
      <c r="X46" s="20"/>
      <c r="Y46" s="20"/>
      <c r="Z46" s="21"/>
      <c r="AA46" s="20"/>
      <c r="AB46" s="20"/>
      <c r="AC46" s="20"/>
      <c r="AD46" s="20"/>
      <c r="AE46" s="21"/>
      <c r="AF46" s="20"/>
      <c r="AG46" s="20"/>
      <c r="AH46" s="20"/>
      <c r="AI46" s="20"/>
      <c r="AJ46" s="21"/>
      <c r="AK46" s="20"/>
      <c r="AL46" s="20"/>
      <c r="AM46" s="20"/>
      <c r="AN46" s="20"/>
      <c r="AO46" s="21"/>
      <c r="AP46" s="20"/>
      <c r="AQ46" s="20"/>
      <c r="AR46" s="20"/>
      <c r="AS46" s="20"/>
      <c r="AT46" s="21"/>
      <c r="AU46" s="20"/>
      <c r="AV46" s="20"/>
      <c r="AW46" s="20"/>
      <c r="AX46" s="20"/>
      <c r="AY46" s="21"/>
      <c r="AZ46" s="20"/>
      <c r="BA46" s="20"/>
      <c r="BB46" s="20"/>
      <c r="BC46" s="20"/>
      <c r="BD46" s="21"/>
      <c r="BE46" s="20"/>
      <c r="BF46" s="20"/>
      <c r="BG46" s="20"/>
      <c r="BH46" s="20"/>
      <c r="BI46" s="21"/>
      <c r="BW46" s="98"/>
      <c r="BX46" s="98"/>
    </row>
    <row r="47" spans="1:76">
      <c r="A47" s="6" t="s">
        <v>77</v>
      </c>
      <c r="B47" s="22"/>
      <c r="C47" s="22"/>
      <c r="D47" s="22"/>
      <c r="E47" s="22"/>
      <c r="F47" s="23"/>
      <c r="G47" s="22"/>
      <c r="H47" s="22"/>
      <c r="I47" s="22"/>
      <c r="J47" s="22"/>
      <c r="K47" s="23"/>
      <c r="L47" s="22"/>
      <c r="M47" s="22"/>
      <c r="N47" s="22"/>
      <c r="O47" s="22"/>
      <c r="P47" s="23"/>
      <c r="Q47" s="22"/>
      <c r="R47" s="22"/>
      <c r="S47" s="22"/>
      <c r="T47" s="22"/>
      <c r="U47" s="23"/>
      <c r="V47" s="22"/>
      <c r="W47" s="22"/>
      <c r="X47" s="22"/>
      <c r="Y47" s="22"/>
      <c r="Z47" s="23"/>
      <c r="AA47" s="22"/>
      <c r="AB47" s="22"/>
      <c r="AC47" s="22"/>
      <c r="AD47" s="22"/>
      <c r="AE47" s="23"/>
      <c r="AF47" s="22"/>
      <c r="AG47" s="22"/>
      <c r="AH47" s="22"/>
      <c r="AI47" s="22"/>
      <c r="AJ47" s="23"/>
      <c r="AK47" s="22"/>
      <c r="AL47" s="22"/>
      <c r="AM47" s="22"/>
      <c r="AN47" s="22"/>
      <c r="AO47" s="23">
        <f>+AO45+AO36</f>
        <v>153938</v>
      </c>
      <c r="AP47" s="22">
        <f>+AT45+AT36</f>
        <v>144695</v>
      </c>
      <c r="AQ47" s="22">
        <f t="shared" ref="AQ47:AZ47" si="46">+AQ45+AQ36</f>
        <v>130638</v>
      </c>
      <c r="AR47" s="22">
        <f t="shared" si="46"/>
        <v>126830</v>
      </c>
      <c r="AS47" s="22">
        <f t="shared" si="46"/>
        <v>144695</v>
      </c>
      <c r="AT47" s="23">
        <f t="shared" si="46"/>
        <v>144695</v>
      </c>
      <c r="AU47" s="22">
        <f t="shared" si="46"/>
        <v>132838</v>
      </c>
      <c r="AV47" s="22">
        <f t="shared" si="46"/>
        <v>104347</v>
      </c>
      <c r="AW47" s="22">
        <f t="shared" si="46"/>
        <v>107595</v>
      </c>
      <c r="AX47" s="22">
        <f t="shared" si="46"/>
        <v>103576</v>
      </c>
      <c r="AY47" s="23">
        <f t="shared" si="46"/>
        <v>103576</v>
      </c>
      <c r="AZ47" s="22">
        <f t="shared" si="46"/>
        <v>104654</v>
      </c>
      <c r="BA47" s="22">
        <f t="shared" ref="BA47:BD47" si="47">+BA45+BA36</f>
        <v>105911</v>
      </c>
      <c r="BB47" s="22">
        <f t="shared" si="47"/>
        <v>109222</v>
      </c>
      <c r="BC47" s="22">
        <f t="shared" si="47"/>
        <v>111271</v>
      </c>
      <c r="BD47" s="23">
        <f t="shared" si="47"/>
        <v>111271</v>
      </c>
      <c r="BE47" s="22">
        <f t="shared" ref="BE47:BI47" si="48">+BE45+BE36</f>
        <v>110148</v>
      </c>
      <c r="BF47" s="22">
        <f t="shared" si="48"/>
        <v>109805</v>
      </c>
      <c r="BG47" s="22">
        <f t="shared" si="48"/>
        <v>109230.76926465755</v>
      </c>
      <c r="BH47" s="22">
        <f t="shared" si="48"/>
        <v>111168.57291102011</v>
      </c>
      <c r="BI47" s="23">
        <f t="shared" si="48"/>
        <v>111168.57291102011</v>
      </c>
      <c r="BW47" s="98"/>
      <c r="BX47" s="98"/>
    </row>
    <row r="48" spans="1:76">
      <c r="B48" s="20"/>
      <c r="C48" s="20"/>
      <c r="D48" s="20"/>
      <c r="E48" s="20"/>
      <c r="F48" s="21"/>
      <c r="G48" s="20"/>
      <c r="H48" s="20"/>
      <c r="I48" s="20"/>
      <c r="J48" s="20"/>
      <c r="K48" s="21"/>
      <c r="L48" s="20"/>
      <c r="M48" s="20"/>
      <c r="N48" s="20"/>
      <c r="O48" s="20"/>
      <c r="P48" s="21"/>
      <c r="Q48" s="20"/>
      <c r="R48" s="20"/>
      <c r="S48" s="20"/>
      <c r="T48" s="20"/>
      <c r="U48" s="21"/>
      <c r="V48" s="20"/>
      <c r="W48" s="20"/>
      <c r="X48" s="20"/>
      <c r="Y48" s="20"/>
      <c r="Z48" s="21"/>
      <c r="AA48" s="20"/>
      <c r="AB48" s="20"/>
      <c r="AC48" s="20"/>
      <c r="AD48" s="20"/>
      <c r="AE48" s="21"/>
      <c r="AF48" s="20"/>
      <c r="AG48" s="20"/>
      <c r="AH48" s="20"/>
      <c r="AI48" s="20"/>
      <c r="AJ48" s="21"/>
      <c r="AK48" s="20"/>
      <c r="AL48" s="20"/>
      <c r="AM48" s="20"/>
      <c r="AN48" s="20"/>
      <c r="AO48" s="21"/>
      <c r="AP48" s="20"/>
      <c r="AQ48" s="20"/>
      <c r="AR48" s="20"/>
      <c r="AS48" s="20"/>
      <c r="AT48" s="21"/>
      <c r="AU48" s="20"/>
      <c r="AV48" s="20"/>
      <c r="AW48" s="20"/>
      <c r="AX48" s="20"/>
      <c r="AY48" s="21"/>
      <c r="AZ48" s="20"/>
      <c r="BA48" s="20"/>
      <c r="BB48" s="20"/>
      <c r="BC48" s="20"/>
      <c r="BD48" s="21"/>
      <c r="BE48" s="20"/>
      <c r="BF48" s="20"/>
      <c r="BG48" s="20"/>
      <c r="BH48" s="20"/>
      <c r="BI48" s="21"/>
      <c r="BW48" s="98"/>
      <c r="BX48" s="98"/>
    </row>
    <row r="49" spans="1:76">
      <c r="A49" s="4" t="s">
        <v>33</v>
      </c>
      <c r="B49" s="20"/>
      <c r="C49" s="20"/>
      <c r="D49" s="20"/>
      <c r="E49" s="20"/>
      <c r="F49" s="21"/>
      <c r="G49" s="20"/>
      <c r="H49" s="20"/>
      <c r="I49" s="20"/>
      <c r="J49" s="20"/>
      <c r="K49" s="21"/>
      <c r="L49" s="20"/>
      <c r="M49" s="20"/>
      <c r="N49" s="20"/>
      <c r="O49" s="20"/>
      <c r="P49" s="21"/>
      <c r="Q49" s="20"/>
      <c r="R49" s="20"/>
      <c r="S49" s="20"/>
      <c r="T49" s="20"/>
      <c r="U49" s="21"/>
      <c r="V49" s="20"/>
      <c r="W49" s="20"/>
      <c r="X49" s="20"/>
      <c r="Y49" s="20"/>
      <c r="Z49" s="21"/>
      <c r="AA49" s="20"/>
      <c r="AB49" s="20"/>
      <c r="AC49" s="20"/>
      <c r="AD49" s="20"/>
      <c r="AE49" s="21"/>
      <c r="AF49" s="20"/>
      <c r="AG49" s="20"/>
      <c r="AH49" s="20"/>
      <c r="AI49" s="20"/>
      <c r="AJ49" s="21"/>
      <c r="AK49" s="20"/>
      <c r="AL49" s="20"/>
      <c r="AM49" s="20"/>
      <c r="AN49" s="20"/>
      <c r="AO49" s="21"/>
      <c r="AP49" s="20"/>
      <c r="AQ49" s="20"/>
      <c r="AR49" s="20"/>
      <c r="AS49" s="20"/>
      <c r="AT49" s="21"/>
      <c r="AU49" s="20"/>
      <c r="AV49" s="20"/>
      <c r="AW49" s="20"/>
      <c r="AX49" s="20"/>
      <c r="AY49" s="21"/>
      <c r="AZ49" s="20"/>
      <c r="BA49" s="20"/>
      <c r="BB49" s="20"/>
      <c r="BC49" s="20"/>
      <c r="BD49" s="21"/>
      <c r="BE49" s="20"/>
      <c r="BF49" s="20"/>
      <c r="BG49" s="20"/>
      <c r="BH49" s="20"/>
      <c r="BI49" s="21"/>
      <c r="BW49" s="98"/>
      <c r="BX49" s="98"/>
    </row>
    <row r="50" spans="1:76">
      <c r="A50" s="1" t="s">
        <v>344</v>
      </c>
      <c r="B50" s="40"/>
      <c r="C50" s="40"/>
      <c r="D50" s="40"/>
      <c r="E50" s="20"/>
      <c r="F50" s="42"/>
      <c r="G50" s="40"/>
      <c r="H50" s="40"/>
      <c r="I50" s="40"/>
      <c r="J50" s="20"/>
      <c r="K50" s="42"/>
      <c r="L50" s="40"/>
      <c r="M50" s="40"/>
      <c r="N50" s="40"/>
      <c r="O50" s="20"/>
      <c r="P50" s="42"/>
      <c r="Q50" s="40"/>
      <c r="R50" s="40"/>
      <c r="S50" s="40"/>
      <c r="T50" s="20"/>
      <c r="U50" s="71">
        <f>Z50</f>
        <v>0</v>
      </c>
      <c r="V50" s="40"/>
      <c r="W50" s="40"/>
      <c r="X50" s="40"/>
      <c r="Y50" s="20"/>
      <c r="Z50" s="42"/>
      <c r="AA50" s="40"/>
      <c r="AB50" s="40"/>
      <c r="AC50" s="40"/>
      <c r="AD50" s="20"/>
      <c r="AE50" s="42"/>
      <c r="AF50" s="40"/>
      <c r="AG50" s="40"/>
      <c r="AH50" s="40"/>
      <c r="AI50" s="20"/>
      <c r="AJ50" s="42"/>
      <c r="AK50" s="40"/>
      <c r="AL50" s="40"/>
      <c r="AM50" s="40"/>
      <c r="AN50" s="20"/>
      <c r="AO50" s="42">
        <v>6</v>
      </c>
      <c r="AP50" s="40">
        <v>3</v>
      </c>
      <c r="AQ50" s="40">
        <v>3</v>
      </c>
      <c r="AR50" s="40">
        <v>0</v>
      </c>
      <c r="AS50" s="41">
        <f t="shared" ref="AS50:AS55" si="49">+AT50</f>
        <v>0</v>
      </c>
      <c r="AT50" s="42">
        <v>0</v>
      </c>
      <c r="AU50" s="40">
        <v>0</v>
      </c>
      <c r="AV50" s="40">
        <v>0</v>
      </c>
      <c r="AW50" s="40">
        <v>0</v>
      </c>
      <c r="AX50" s="41">
        <f t="shared" ref="AX50:AX55" si="50">+AY50</f>
        <v>0</v>
      </c>
      <c r="AY50" s="42">
        <v>0</v>
      </c>
      <c r="AZ50" s="40">
        <v>0</v>
      </c>
      <c r="BA50" s="40">
        <v>0</v>
      </c>
      <c r="BB50" s="40">
        <v>0</v>
      </c>
      <c r="BC50" s="41">
        <f t="shared" ref="BC50:BC55" si="51">+BD50</f>
        <v>0</v>
      </c>
      <c r="BD50" s="42">
        <v>0</v>
      </c>
      <c r="BE50" s="40">
        <v>0</v>
      </c>
      <c r="BF50" s="40">
        <f t="shared" ref="BF50" si="52">+BE50</f>
        <v>0</v>
      </c>
      <c r="BG50" s="41">
        <f t="shared" ref="BG50:BG52" si="53">+BF50</f>
        <v>0</v>
      </c>
      <c r="BH50" s="41">
        <f t="shared" ref="BH50:BH52" si="54">+BG50</f>
        <v>0</v>
      </c>
      <c r="BI50" s="71">
        <f t="shared" ref="BI50:BI52" si="55">+BH50</f>
        <v>0</v>
      </c>
      <c r="BW50" s="98"/>
      <c r="BX50" s="98"/>
    </row>
    <row r="51" spans="1:76">
      <c r="A51" s="1" t="s">
        <v>187</v>
      </c>
      <c r="B51" s="40"/>
      <c r="C51" s="40"/>
      <c r="D51" s="40"/>
      <c r="E51" s="20"/>
      <c r="F51" s="42"/>
      <c r="G51" s="40"/>
      <c r="H51" s="40"/>
      <c r="I51" s="40"/>
      <c r="J51" s="20"/>
      <c r="K51" s="42"/>
      <c r="L51" s="40"/>
      <c r="M51" s="40"/>
      <c r="N51" s="40"/>
      <c r="O51" s="20"/>
      <c r="P51" s="42"/>
      <c r="Q51" s="40"/>
      <c r="R51" s="40"/>
      <c r="S51" s="40"/>
      <c r="T51" s="20"/>
      <c r="U51" s="71">
        <f>Z51</f>
        <v>0</v>
      </c>
      <c r="V51" s="40"/>
      <c r="W51" s="40"/>
      <c r="X51" s="40"/>
      <c r="Y51" s="20"/>
      <c r="Z51" s="42"/>
      <c r="AA51" s="40"/>
      <c r="AB51" s="40"/>
      <c r="AC51" s="40"/>
      <c r="AD51" s="20"/>
      <c r="AE51" s="42"/>
      <c r="AF51" s="40"/>
      <c r="AG51" s="40"/>
      <c r="AH51" s="40"/>
      <c r="AI51" s="20"/>
      <c r="AJ51" s="42"/>
      <c r="AK51" s="40"/>
      <c r="AL51" s="40"/>
      <c r="AM51" s="40"/>
      <c r="AN51" s="20"/>
      <c r="AO51" s="42">
        <v>15</v>
      </c>
      <c r="AP51" s="40">
        <v>15</v>
      </c>
      <c r="AQ51" s="40">
        <v>15</v>
      </c>
      <c r="AR51" s="40">
        <v>15</v>
      </c>
      <c r="AS51" s="41">
        <f t="shared" si="49"/>
        <v>15</v>
      </c>
      <c r="AT51" s="42">
        <v>15</v>
      </c>
      <c r="AU51" s="40">
        <v>15</v>
      </c>
      <c r="AV51" s="40">
        <v>15</v>
      </c>
      <c r="AW51" s="40">
        <v>15</v>
      </c>
      <c r="AX51" s="41">
        <f t="shared" si="50"/>
        <v>15</v>
      </c>
      <c r="AY51" s="42">
        <v>15</v>
      </c>
      <c r="AZ51" s="40">
        <v>15</v>
      </c>
      <c r="BA51" s="40">
        <v>15</v>
      </c>
      <c r="BB51" s="40">
        <v>15</v>
      </c>
      <c r="BC51" s="41">
        <f t="shared" si="51"/>
        <v>15</v>
      </c>
      <c r="BD51" s="42">
        <v>15</v>
      </c>
      <c r="BE51" s="40">
        <v>15</v>
      </c>
      <c r="BF51" s="40">
        <v>15</v>
      </c>
      <c r="BG51" s="41">
        <f t="shared" si="53"/>
        <v>15</v>
      </c>
      <c r="BH51" s="41">
        <f t="shared" si="54"/>
        <v>15</v>
      </c>
      <c r="BI51" s="21">
        <f t="shared" si="55"/>
        <v>15</v>
      </c>
      <c r="BW51" s="98"/>
      <c r="BX51" s="98"/>
    </row>
    <row r="52" spans="1:76">
      <c r="A52" s="1" t="s">
        <v>345</v>
      </c>
      <c r="B52" s="40"/>
      <c r="C52" s="40"/>
      <c r="D52" s="40"/>
      <c r="E52" s="20"/>
      <c r="F52" s="42"/>
      <c r="G52" s="40"/>
      <c r="H52" s="40"/>
      <c r="I52" s="40"/>
      <c r="J52" s="20"/>
      <c r="K52" s="42"/>
      <c r="L52" s="40"/>
      <c r="M52" s="40"/>
      <c r="N52" s="40"/>
      <c r="O52" s="20"/>
      <c r="P52" s="42"/>
      <c r="Q52" s="40"/>
      <c r="R52" s="40"/>
      <c r="S52" s="40"/>
      <c r="T52" s="20"/>
      <c r="U52" s="42"/>
      <c r="V52" s="40"/>
      <c r="W52" s="40"/>
      <c r="X52" s="40"/>
      <c r="Y52" s="20"/>
      <c r="Z52" s="42"/>
      <c r="AA52" s="40"/>
      <c r="AB52" s="40"/>
      <c r="AC52" s="40"/>
      <c r="AD52" s="20"/>
      <c r="AE52" s="42"/>
      <c r="AF52" s="40"/>
      <c r="AG52" s="40"/>
      <c r="AH52" s="40"/>
      <c r="AI52" s="20"/>
      <c r="AJ52" s="42"/>
      <c r="AK52" s="40"/>
      <c r="AL52" s="40"/>
      <c r="AM52" s="40"/>
      <c r="AN52" s="20"/>
      <c r="AO52" s="42">
        <v>-2272</v>
      </c>
      <c r="AP52" s="40">
        <v>-3289</v>
      </c>
      <c r="AQ52" s="40">
        <v>-3573</v>
      </c>
      <c r="AR52" s="40">
        <v>-3351</v>
      </c>
      <c r="AS52" s="41">
        <f t="shared" si="49"/>
        <v>-6150</v>
      </c>
      <c r="AT52" s="42">
        <v>-6150</v>
      </c>
      <c r="AU52" s="40">
        <v>-5603</v>
      </c>
      <c r="AV52" s="40">
        <v>-4035</v>
      </c>
      <c r="AW52" s="40">
        <v>-4375</v>
      </c>
      <c r="AX52" s="41">
        <f t="shared" si="50"/>
        <v>-3861</v>
      </c>
      <c r="AY52" s="42">
        <v>-3861</v>
      </c>
      <c r="AZ52" s="40">
        <v>-3733</v>
      </c>
      <c r="BA52" s="40">
        <v>-4024</v>
      </c>
      <c r="BB52" s="40">
        <v>-4347</v>
      </c>
      <c r="BC52" s="41">
        <f t="shared" si="51"/>
        <v>-4798</v>
      </c>
      <c r="BD52" s="42">
        <v>-4798</v>
      </c>
      <c r="BE52" s="40">
        <v>-4486</v>
      </c>
      <c r="BF52" s="40">
        <v>-4948</v>
      </c>
      <c r="BG52" s="41">
        <f t="shared" si="53"/>
        <v>-4948</v>
      </c>
      <c r="BH52" s="41">
        <f t="shared" si="54"/>
        <v>-4948</v>
      </c>
      <c r="BI52" s="21">
        <f t="shared" si="55"/>
        <v>-4948</v>
      </c>
      <c r="BW52" s="98"/>
      <c r="BX52" s="98"/>
    </row>
    <row r="53" spans="1:76">
      <c r="A53" s="1" t="s">
        <v>411</v>
      </c>
      <c r="B53" s="40"/>
      <c r="C53" s="40"/>
      <c r="D53" s="40"/>
      <c r="E53" s="20"/>
      <c r="F53" s="42"/>
      <c r="G53" s="40"/>
      <c r="H53" s="40"/>
      <c r="I53" s="40"/>
      <c r="J53" s="20"/>
      <c r="K53" s="42"/>
      <c r="L53" s="40"/>
      <c r="M53" s="40"/>
      <c r="N53" s="40"/>
      <c r="O53" s="20"/>
      <c r="P53" s="42"/>
      <c r="Q53" s="40"/>
      <c r="R53" s="40"/>
      <c r="S53" s="40"/>
      <c r="T53" s="20"/>
      <c r="U53" s="42"/>
      <c r="V53" s="40"/>
      <c r="W53" s="40"/>
      <c r="X53" s="40"/>
      <c r="Y53" s="20"/>
      <c r="Z53" s="42"/>
      <c r="AA53" s="40"/>
      <c r="AB53" s="40"/>
      <c r="AC53" s="40"/>
      <c r="AD53" s="20"/>
      <c r="AE53" s="42"/>
      <c r="AF53" s="40"/>
      <c r="AG53" s="40"/>
      <c r="AH53" s="40"/>
      <c r="AI53" s="20"/>
      <c r="AJ53" s="42"/>
      <c r="AK53" s="40"/>
      <c r="AL53" s="40"/>
      <c r="AM53" s="40"/>
      <c r="AN53" s="20"/>
      <c r="AO53" s="42">
        <v>34173</v>
      </c>
      <c r="AP53" s="40">
        <v>30729</v>
      </c>
      <c r="AQ53" s="40">
        <v>30426</v>
      </c>
      <c r="AR53" s="40">
        <v>27229</v>
      </c>
      <c r="AS53" s="41">
        <f t="shared" si="49"/>
        <v>26962</v>
      </c>
      <c r="AT53" s="42">
        <v>26962</v>
      </c>
      <c r="AU53" s="40">
        <v>25887</v>
      </c>
      <c r="AV53" s="40">
        <v>25282</v>
      </c>
      <c r="AW53" s="40">
        <v>24406</v>
      </c>
      <c r="AX53" s="41">
        <f t="shared" si="50"/>
        <v>24266</v>
      </c>
      <c r="AY53" s="42">
        <v>24266</v>
      </c>
      <c r="AZ53" s="40">
        <v>23912</v>
      </c>
      <c r="BA53" s="40">
        <v>23839</v>
      </c>
      <c r="BB53" s="479">
        <f>23645-1</f>
        <v>23644</v>
      </c>
      <c r="BC53" s="41">
        <f t="shared" si="51"/>
        <v>23598</v>
      </c>
      <c r="BD53" s="42">
        <v>23598</v>
      </c>
      <c r="BE53" s="641">
        <f>23146-1</f>
        <v>23145</v>
      </c>
      <c r="BF53" s="40">
        <v>23074</v>
      </c>
      <c r="BG53" s="41">
        <f>+BF53+Cash_Flow_Qtr!BG9+Cash_Flow_Qtr!BG10+Cash_Flow_Qtr!BG11</f>
        <v>22899</v>
      </c>
      <c r="BH53" s="41">
        <f>+BG53+Cash_Flow_Qtr!BH9+Cash_Flow_Qtr!BH10+Cash_Flow_Qtr!BH11</f>
        <v>22900</v>
      </c>
      <c r="BI53" s="21">
        <f>BH53</f>
        <v>22900</v>
      </c>
      <c r="BW53" s="98"/>
      <c r="BX53" s="98"/>
    </row>
    <row r="54" spans="1:76">
      <c r="A54" s="1" t="s">
        <v>78</v>
      </c>
      <c r="B54" s="40"/>
      <c r="C54" s="40"/>
      <c r="D54" s="40"/>
      <c r="E54" s="20"/>
      <c r="F54" s="42"/>
      <c r="G54" s="40"/>
      <c r="H54" s="40"/>
      <c r="I54" s="40"/>
      <c r="J54" s="20"/>
      <c r="K54" s="42"/>
      <c r="L54" s="40"/>
      <c r="M54" s="40"/>
      <c r="N54" s="40"/>
      <c r="O54" s="20"/>
      <c r="P54" s="42"/>
      <c r="Q54" s="40"/>
      <c r="R54" s="40"/>
      <c r="S54" s="40"/>
      <c r="T54" s="20"/>
      <c r="U54" s="71">
        <f>Z54</f>
        <v>0</v>
      </c>
      <c r="V54" s="40"/>
      <c r="W54" s="40"/>
      <c r="X54" s="40"/>
      <c r="Y54" s="20"/>
      <c r="Z54" s="42"/>
      <c r="AA54" s="40"/>
      <c r="AB54" s="40"/>
      <c r="AC54" s="40"/>
      <c r="AD54" s="20"/>
      <c r="AE54" s="42"/>
      <c r="AF54" s="40"/>
      <c r="AG54" s="40"/>
      <c r="AH54" s="40"/>
      <c r="AI54" s="20"/>
      <c r="AJ54" s="42"/>
      <c r="AK54" s="40"/>
      <c r="AL54" s="40"/>
      <c r="AM54" s="40"/>
      <c r="AN54" s="20"/>
      <c r="AO54" s="42">
        <v>82983</v>
      </c>
      <c r="AP54" s="40">
        <v>84955</v>
      </c>
      <c r="AQ54" s="40">
        <v>84848</v>
      </c>
      <c r="AR54" s="40">
        <v>85017</v>
      </c>
      <c r="AS54" s="41">
        <f t="shared" si="49"/>
        <v>86553</v>
      </c>
      <c r="AT54" s="42">
        <v>86553</v>
      </c>
      <c r="AU54" s="40">
        <v>88065</v>
      </c>
      <c r="AV54" s="40">
        <v>77349</v>
      </c>
      <c r="AW54" s="40">
        <v>78889</v>
      </c>
      <c r="AX54" s="41">
        <f t="shared" si="50"/>
        <v>80488</v>
      </c>
      <c r="AY54" s="42">
        <v>80488</v>
      </c>
      <c r="AZ54" s="40">
        <v>82081</v>
      </c>
      <c r="BA54" s="40">
        <v>83726</v>
      </c>
      <c r="BB54" s="40">
        <v>85502</v>
      </c>
      <c r="BC54" s="41">
        <f t="shared" si="51"/>
        <v>87663</v>
      </c>
      <c r="BD54" s="42">
        <v>87663</v>
      </c>
      <c r="BE54" s="40">
        <v>89073</v>
      </c>
      <c r="BF54" s="40">
        <v>90953</v>
      </c>
      <c r="BG54" s="41">
        <f ca="1">BF54+ProForma_IS_Qtr!BG48+Cash_Flow_Qtr!BG5+Cash_Flow_Qtr!BG47+Cash_Flow_Qtr!BG45</f>
        <v>90946.72087236683</v>
      </c>
      <c r="BH54" s="41">
        <f ca="1">BG54+ProForma_IS_Qtr!BH48+Cash_Flow_Qtr!BH5+Cash_Flow_Qtr!BH47+Cash_Flow_Qtr!BH45</f>
        <v>91554.102905093634</v>
      </c>
      <c r="BI54" s="21">
        <f ca="1">BH54</f>
        <v>91554.102905093634</v>
      </c>
      <c r="BW54" s="98"/>
      <c r="BX54" s="98"/>
    </row>
    <row r="55" spans="1:76">
      <c r="A55" s="474" t="s">
        <v>188</v>
      </c>
      <c r="B55" s="40"/>
      <c r="C55" s="40"/>
      <c r="D55" s="40"/>
      <c r="E55" s="20"/>
      <c r="F55" s="42"/>
      <c r="G55" s="40"/>
      <c r="H55" s="40"/>
      <c r="I55" s="40"/>
      <c r="J55" s="20"/>
      <c r="K55" s="42"/>
      <c r="L55" s="40"/>
      <c r="M55" s="40"/>
      <c r="N55" s="40"/>
      <c r="O55" s="20"/>
      <c r="P55" s="42"/>
      <c r="Q55" s="40"/>
      <c r="R55" s="40"/>
      <c r="S55" s="40"/>
      <c r="T55" s="20"/>
      <c r="U55" s="42"/>
      <c r="V55" s="40"/>
      <c r="W55" s="40"/>
      <c r="X55" s="40"/>
      <c r="Y55" s="20"/>
      <c r="Z55" s="42"/>
      <c r="AA55" s="40"/>
      <c r="AB55" s="40"/>
      <c r="AC55" s="40"/>
      <c r="AD55" s="20"/>
      <c r="AE55" s="42"/>
      <c r="AF55" s="40"/>
      <c r="AG55" s="40"/>
      <c r="AH55" s="40"/>
      <c r="AI55" s="20"/>
      <c r="AJ55" s="42"/>
      <c r="AK55" s="40"/>
      <c r="AL55" s="40"/>
      <c r="AM55" s="40"/>
      <c r="AN55" s="20"/>
      <c r="AO55" s="42">
        <v>-81209</v>
      </c>
      <c r="AP55" s="40">
        <f>-80762+1</f>
        <v>-80761</v>
      </c>
      <c r="AQ55" s="40">
        <f>-80524-1</f>
        <v>-80525</v>
      </c>
      <c r="AR55" s="40">
        <f>-80244-1</f>
        <v>-80245</v>
      </c>
      <c r="AS55" s="41">
        <f t="shared" si="49"/>
        <v>-79977</v>
      </c>
      <c r="AT55" s="478">
        <f>-79976-1</f>
        <v>-79977</v>
      </c>
      <c r="AU55" s="479">
        <f>-78508-1</f>
        <v>-78509</v>
      </c>
      <c r="AV55" s="40">
        <v>-80013</v>
      </c>
      <c r="AW55" s="40">
        <v>-80061</v>
      </c>
      <c r="AX55" s="41">
        <f t="shared" si="50"/>
        <v>-81566</v>
      </c>
      <c r="AY55" s="42">
        <v>-81566</v>
      </c>
      <c r="AZ55" s="40">
        <v>-83024</v>
      </c>
      <c r="BA55" s="40">
        <v>-84421</v>
      </c>
      <c r="BB55" s="40">
        <v>-86002</v>
      </c>
      <c r="BC55" s="41">
        <f t="shared" si="51"/>
        <v>-87801</v>
      </c>
      <c r="BD55" s="42">
        <v>-87801</v>
      </c>
      <c r="BE55" s="40">
        <v>-89690</v>
      </c>
      <c r="BF55" s="40">
        <v>-91454</v>
      </c>
      <c r="BG55" s="41">
        <f t="shared" ref="BG55" si="56">+BF55</f>
        <v>-91454</v>
      </c>
      <c r="BH55" s="41">
        <f>+BG55</f>
        <v>-91454</v>
      </c>
      <c r="BI55" s="21">
        <f>+BH55</f>
        <v>-91454</v>
      </c>
      <c r="BW55" s="98"/>
      <c r="BX55" s="98"/>
    </row>
    <row r="56" spans="1:76">
      <c r="A56" s="6" t="s">
        <v>79</v>
      </c>
      <c r="B56" s="22"/>
      <c r="C56" s="22"/>
      <c r="D56" s="22"/>
      <c r="E56" s="22"/>
      <c r="F56" s="23"/>
      <c r="G56" s="22"/>
      <c r="H56" s="22"/>
      <c r="I56" s="22"/>
      <c r="J56" s="22"/>
      <c r="K56" s="23"/>
      <c r="L56" s="22"/>
      <c r="M56" s="22"/>
      <c r="N56" s="22"/>
      <c r="O56" s="22"/>
      <c r="P56" s="23"/>
      <c r="Q56" s="22"/>
      <c r="R56" s="22"/>
      <c r="S56" s="22"/>
      <c r="T56" s="22"/>
      <c r="U56" s="23"/>
      <c r="V56" s="22"/>
      <c r="W56" s="22"/>
      <c r="X56" s="22"/>
      <c r="Y56" s="22"/>
      <c r="Z56" s="23"/>
      <c r="AA56" s="22"/>
      <c r="AB56" s="22"/>
      <c r="AC56" s="22"/>
      <c r="AD56" s="22"/>
      <c r="AE56" s="23"/>
      <c r="AF56" s="22"/>
      <c r="AG56" s="22"/>
      <c r="AH56" s="22"/>
      <c r="AI56" s="22"/>
      <c r="AJ56" s="23"/>
      <c r="AK56" s="22"/>
      <c r="AL56" s="22"/>
      <c r="AM56" s="22"/>
      <c r="AN56" s="22"/>
      <c r="AO56" s="23">
        <f>SUM(AO50:AO55)</f>
        <v>33696</v>
      </c>
      <c r="AP56" s="22">
        <f>SUM(AT50:AT55)</f>
        <v>27403</v>
      </c>
      <c r="AQ56" s="22">
        <f t="shared" ref="AQ56:AZ56" si="57">SUM(AQ50:AQ55)</f>
        <v>31194</v>
      </c>
      <c r="AR56" s="22">
        <f t="shared" si="57"/>
        <v>28665</v>
      </c>
      <c r="AS56" s="22">
        <f t="shared" si="57"/>
        <v>27403</v>
      </c>
      <c r="AT56" s="23">
        <f t="shared" si="57"/>
        <v>27403</v>
      </c>
      <c r="AU56" s="22">
        <f t="shared" si="57"/>
        <v>29855</v>
      </c>
      <c r="AV56" s="22">
        <f t="shared" si="57"/>
        <v>18598</v>
      </c>
      <c r="AW56" s="22">
        <f t="shared" si="57"/>
        <v>18874</v>
      </c>
      <c r="AX56" s="22">
        <f t="shared" si="57"/>
        <v>19342</v>
      </c>
      <c r="AY56" s="23">
        <f t="shared" si="57"/>
        <v>19342</v>
      </c>
      <c r="AZ56" s="22">
        <f t="shared" si="57"/>
        <v>19251</v>
      </c>
      <c r="BA56" s="22">
        <f t="shared" ref="BA56:BD56" si="58">SUM(BA50:BA55)</f>
        <v>19135</v>
      </c>
      <c r="BB56" s="22">
        <f t="shared" si="58"/>
        <v>18812</v>
      </c>
      <c r="BC56" s="22">
        <f t="shared" si="58"/>
        <v>18677</v>
      </c>
      <c r="BD56" s="23">
        <f t="shared" si="58"/>
        <v>18677</v>
      </c>
      <c r="BE56" s="22">
        <f t="shared" ref="BE56:BI56" si="59">SUM(BE50:BE55)</f>
        <v>18057</v>
      </c>
      <c r="BF56" s="22">
        <f>SUM(BF50:BF55)</f>
        <v>17640</v>
      </c>
      <c r="BG56" s="22">
        <f t="shared" ca="1" si="59"/>
        <v>17458.72087236683</v>
      </c>
      <c r="BH56" s="22">
        <f t="shared" ca="1" si="59"/>
        <v>18067.102905093634</v>
      </c>
      <c r="BI56" s="23">
        <f t="shared" ca="1" si="59"/>
        <v>18067.102905093634</v>
      </c>
      <c r="BW56" s="98"/>
      <c r="BX56" s="98"/>
    </row>
    <row r="57" spans="1:76">
      <c r="B57" s="20"/>
      <c r="C57" s="20"/>
      <c r="D57" s="20"/>
      <c r="E57" s="20"/>
      <c r="F57" s="21"/>
      <c r="G57" s="20"/>
      <c r="H57" s="20"/>
      <c r="I57" s="20"/>
      <c r="J57" s="20"/>
      <c r="K57" s="21"/>
      <c r="L57" s="20"/>
      <c r="M57" s="20"/>
      <c r="N57" s="20"/>
      <c r="O57" s="20"/>
      <c r="P57" s="21"/>
      <c r="Q57" s="20"/>
      <c r="R57" s="20"/>
      <c r="S57" s="20"/>
      <c r="T57" s="20"/>
      <c r="U57" s="21"/>
      <c r="V57" s="20"/>
      <c r="W57" s="20"/>
      <c r="X57" s="20"/>
      <c r="Y57" s="20"/>
      <c r="Z57" s="21"/>
      <c r="AA57" s="20"/>
      <c r="AB57" s="20"/>
      <c r="AC57" s="20"/>
      <c r="AD57" s="20"/>
      <c r="AE57" s="21"/>
      <c r="AF57" s="20"/>
      <c r="AG57" s="20"/>
      <c r="AH57" s="20"/>
      <c r="AI57" s="20"/>
      <c r="AJ57" s="21"/>
      <c r="AK57" s="20"/>
      <c r="AL57" s="20"/>
      <c r="AM57" s="20"/>
      <c r="AN57" s="20"/>
      <c r="AO57" s="21"/>
      <c r="AP57" s="20"/>
      <c r="AQ57" s="20"/>
      <c r="AR57" s="20"/>
      <c r="AS57" s="20"/>
      <c r="AT57" s="21"/>
      <c r="AU57" s="20"/>
      <c r="AV57" s="20"/>
      <c r="AW57" s="20"/>
      <c r="AX57" s="20"/>
      <c r="AY57" s="21"/>
      <c r="AZ57" s="20"/>
      <c r="BA57" s="20"/>
      <c r="BB57" s="20"/>
      <c r="BC57" s="20"/>
      <c r="BD57" s="21"/>
      <c r="BE57" s="20"/>
      <c r="BF57" s="20"/>
      <c r="BG57" s="20"/>
      <c r="BH57" s="20"/>
      <c r="BI57" s="21"/>
      <c r="BW57" s="98"/>
      <c r="BX57" s="98"/>
    </row>
    <row r="58" spans="1:76" s="4" customFormat="1">
      <c r="A58" s="477" t="s">
        <v>80</v>
      </c>
      <c r="B58" s="80"/>
      <c r="C58" s="80"/>
      <c r="D58" s="80"/>
      <c r="E58" s="38"/>
      <c r="F58" s="81"/>
      <c r="G58" s="80"/>
      <c r="H58" s="80"/>
      <c r="I58" s="80"/>
      <c r="J58" s="38"/>
      <c r="K58" s="81"/>
      <c r="L58" s="80"/>
      <c r="M58" s="80"/>
      <c r="N58" s="80"/>
      <c r="O58" s="38"/>
      <c r="P58" s="81"/>
      <c r="Q58" s="80"/>
      <c r="R58" s="80"/>
      <c r="S58" s="80"/>
      <c r="T58" s="38"/>
      <c r="U58" s="81"/>
      <c r="V58" s="80"/>
      <c r="W58" s="80"/>
      <c r="X58" s="80"/>
      <c r="Y58" s="38"/>
      <c r="Z58" s="81"/>
      <c r="AA58" s="80"/>
      <c r="AB58" s="80"/>
      <c r="AC58" s="80"/>
      <c r="AD58" s="38"/>
      <c r="AE58" s="81"/>
      <c r="AF58" s="80"/>
      <c r="AG58" s="80"/>
      <c r="AH58" s="80"/>
      <c r="AI58" s="38"/>
      <c r="AJ58" s="81"/>
      <c r="AK58" s="80"/>
      <c r="AL58" s="80"/>
      <c r="AM58" s="80"/>
      <c r="AN58" s="38"/>
      <c r="AO58" s="81">
        <f>1216+1</f>
        <v>1217</v>
      </c>
      <c r="AP58" s="80">
        <v>1171</v>
      </c>
      <c r="AQ58" s="80">
        <v>1174</v>
      </c>
      <c r="AR58" s="80">
        <v>1167</v>
      </c>
      <c r="AS58" s="91">
        <f>+AT58</f>
        <v>1202</v>
      </c>
      <c r="AT58" s="81">
        <v>1202</v>
      </c>
      <c r="AU58" s="481">
        <f>1248+1</f>
        <v>1249</v>
      </c>
      <c r="AV58" s="80">
        <v>245</v>
      </c>
      <c r="AW58" s="80">
        <v>229</v>
      </c>
      <c r="AX58" s="91">
        <f>+AY58</f>
        <v>222</v>
      </c>
      <c r="AY58" s="480">
        <f>223-1</f>
        <v>222</v>
      </c>
      <c r="AZ58" s="481">
        <f>217+1</f>
        <v>218</v>
      </c>
      <c r="BA58" s="80">
        <v>210</v>
      </c>
      <c r="BB58" s="80">
        <v>209</v>
      </c>
      <c r="BC58" s="91">
        <f>+BD58</f>
        <v>221</v>
      </c>
      <c r="BD58" s="480">
        <v>221</v>
      </c>
      <c r="BE58" s="80">
        <v>240</v>
      </c>
      <c r="BF58" s="80">
        <v>227</v>
      </c>
      <c r="BG58" s="91">
        <f>BF58-ProForma_IS_Qtr!BG40</f>
        <v>227</v>
      </c>
      <c r="BH58" s="91">
        <f>BG58-ProForma_IS_Qtr!BH40</f>
        <v>227</v>
      </c>
      <c r="BI58" s="39">
        <f>BH58</f>
        <v>227</v>
      </c>
      <c r="BJ58"/>
      <c r="BQ58"/>
      <c r="BR58"/>
      <c r="BS58"/>
      <c r="BT58"/>
      <c r="BU58"/>
      <c r="BV58"/>
      <c r="BW58" s="98"/>
      <c r="BX58" s="98"/>
    </row>
    <row r="59" spans="1:76">
      <c r="B59" s="20"/>
      <c r="C59" s="20"/>
      <c r="D59" s="20"/>
      <c r="E59" s="20"/>
      <c r="F59" s="21"/>
      <c r="G59" s="20"/>
      <c r="H59" s="20"/>
      <c r="I59" s="20"/>
      <c r="J59" s="20"/>
      <c r="K59" s="21"/>
      <c r="L59" s="20"/>
      <c r="M59" s="20"/>
      <c r="N59" s="20"/>
      <c r="O59" s="20"/>
      <c r="P59" s="21"/>
      <c r="Q59" s="20"/>
      <c r="R59" s="20"/>
      <c r="S59" s="20"/>
      <c r="T59" s="20"/>
      <c r="U59" s="21"/>
      <c r="V59" s="20"/>
      <c r="W59" s="20"/>
      <c r="X59" s="20"/>
      <c r="Y59" s="20"/>
      <c r="Z59" s="21"/>
      <c r="AA59" s="20"/>
      <c r="AB59" s="20"/>
      <c r="AC59" s="20"/>
      <c r="AD59" s="20"/>
      <c r="AE59" s="21"/>
      <c r="AF59" s="20"/>
      <c r="AG59" s="20"/>
      <c r="AH59" s="20"/>
      <c r="AI59" s="20"/>
      <c r="AJ59" s="21"/>
      <c r="AK59" s="20"/>
      <c r="AL59" s="20"/>
      <c r="AM59" s="20"/>
      <c r="AN59" s="20"/>
      <c r="AO59" s="21"/>
      <c r="AP59" s="20"/>
      <c r="AQ59" s="20"/>
      <c r="AR59" s="20"/>
      <c r="AS59" s="20"/>
      <c r="AT59" s="21"/>
      <c r="AU59" s="20"/>
      <c r="AV59" s="20"/>
      <c r="AW59" s="20"/>
      <c r="AX59" s="20"/>
      <c r="AY59" s="21"/>
      <c r="AZ59" s="20"/>
      <c r="BA59" s="20"/>
      <c r="BB59" s="20"/>
      <c r="BC59" s="20"/>
      <c r="BD59" s="21"/>
      <c r="BE59" s="20"/>
      <c r="BF59" s="20"/>
      <c r="BG59" s="20"/>
      <c r="BH59" s="20"/>
      <c r="BI59" s="21"/>
      <c r="BW59" s="98"/>
      <c r="BX59" s="98"/>
    </row>
    <row r="60" spans="1:76">
      <c r="A60" s="6" t="s">
        <v>81</v>
      </c>
      <c r="B60" s="22"/>
      <c r="C60" s="22"/>
      <c r="D60" s="22"/>
      <c r="E60" s="22"/>
      <c r="F60" s="23"/>
      <c r="G60" s="22"/>
      <c r="H60" s="22"/>
      <c r="I60" s="22"/>
      <c r="J60" s="22"/>
      <c r="K60" s="23"/>
      <c r="L60" s="22"/>
      <c r="M60" s="22"/>
      <c r="N60" s="22"/>
      <c r="O60" s="22"/>
      <c r="P60" s="23"/>
      <c r="Q60" s="22"/>
      <c r="R60" s="22"/>
      <c r="S60" s="22"/>
      <c r="T60" s="22"/>
      <c r="U60" s="23"/>
      <c r="V60" s="22"/>
      <c r="W60" s="22"/>
      <c r="X60" s="22"/>
      <c r="Y60" s="22"/>
      <c r="Z60" s="23"/>
      <c r="AA60" s="22"/>
      <c r="AB60" s="22"/>
      <c r="AC60" s="22"/>
      <c r="AD60" s="22"/>
      <c r="AE60" s="23"/>
      <c r="AF60" s="22"/>
      <c r="AG60" s="22"/>
      <c r="AH60" s="22"/>
      <c r="AI60" s="22"/>
      <c r="AJ60" s="23"/>
      <c r="AK60" s="22"/>
      <c r="AL60" s="22"/>
      <c r="AM60" s="22"/>
      <c r="AN60" s="22"/>
      <c r="AO60" s="23">
        <f>+AO56+AO58</f>
        <v>34913</v>
      </c>
      <c r="AP60" s="22">
        <f>+AT56+AT58</f>
        <v>28605</v>
      </c>
      <c r="AQ60" s="22">
        <f t="shared" ref="AQ60:AZ60" si="60">+AQ56+AQ58</f>
        <v>32368</v>
      </c>
      <c r="AR60" s="22">
        <f t="shared" si="60"/>
        <v>29832</v>
      </c>
      <c r="AS60" s="22">
        <f t="shared" si="60"/>
        <v>28605</v>
      </c>
      <c r="AT60" s="23">
        <f t="shared" si="60"/>
        <v>28605</v>
      </c>
      <c r="AU60" s="22">
        <f t="shared" si="60"/>
        <v>31104</v>
      </c>
      <c r="AV60" s="22">
        <f t="shared" si="60"/>
        <v>18843</v>
      </c>
      <c r="AW60" s="22">
        <f t="shared" si="60"/>
        <v>19103</v>
      </c>
      <c r="AX60" s="22">
        <f t="shared" si="60"/>
        <v>19564</v>
      </c>
      <c r="AY60" s="23">
        <f t="shared" si="60"/>
        <v>19564</v>
      </c>
      <c r="AZ60" s="22">
        <f t="shared" si="60"/>
        <v>19469</v>
      </c>
      <c r="BA60" s="22">
        <f t="shared" ref="BA60:BD60" si="61">+BA56+BA58</f>
        <v>19345</v>
      </c>
      <c r="BB60" s="22">
        <f t="shared" si="61"/>
        <v>19021</v>
      </c>
      <c r="BC60" s="22">
        <f t="shared" si="61"/>
        <v>18898</v>
      </c>
      <c r="BD60" s="23">
        <f t="shared" si="61"/>
        <v>18898</v>
      </c>
      <c r="BE60" s="22">
        <f t="shared" ref="BE60:BI60" si="62">+BE56+BE58</f>
        <v>18297</v>
      </c>
      <c r="BF60" s="22">
        <f>+BF56+BF58</f>
        <v>17867</v>
      </c>
      <c r="BG60" s="22">
        <f t="shared" ca="1" si="62"/>
        <v>17685.72087236683</v>
      </c>
      <c r="BH60" s="22">
        <f t="shared" ca="1" si="62"/>
        <v>18294.102905093634</v>
      </c>
      <c r="BI60" s="23">
        <f t="shared" ca="1" si="62"/>
        <v>18294.102905093634</v>
      </c>
      <c r="BW60" s="98"/>
      <c r="BX60" s="98"/>
    </row>
    <row r="61" spans="1:76">
      <c r="B61" s="20"/>
      <c r="C61" s="20"/>
      <c r="D61" s="20"/>
      <c r="E61" s="20"/>
      <c r="F61" s="21"/>
      <c r="G61" s="20"/>
      <c r="H61" s="20"/>
      <c r="I61" s="20"/>
      <c r="J61" s="20"/>
      <c r="K61" s="21"/>
      <c r="L61" s="20"/>
      <c r="M61" s="20"/>
      <c r="N61" s="20"/>
      <c r="O61" s="20"/>
      <c r="P61" s="21"/>
      <c r="Q61" s="20"/>
      <c r="R61" s="20"/>
      <c r="S61" s="20"/>
      <c r="T61" s="20"/>
      <c r="U61" s="21"/>
      <c r="V61" s="20"/>
      <c r="W61" s="20"/>
      <c r="X61" s="20"/>
      <c r="Y61" s="20"/>
      <c r="Z61" s="21"/>
      <c r="AA61" s="20"/>
      <c r="AB61" s="20"/>
      <c r="AC61" s="20"/>
      <c r="AD61" s="20"/>
      <c r="AE61" s="21"/>
      <c r="AF61" s="20"/>
      <c r="AG61" s="20"/>
      <c r="AH61" s="20"/>
      <c r="AI61" s="20"/>
      <c r="AJ61" s="21"/>
      <c r="AK61" s="20"/>
      <c r="AL61" s="20"/>
      <c r="AM61" s="20"/>
      <c r="AN61" s="20"/>
      <c r="AO61" s="21"/>
      <c r="AP61" s="20"/>
      <c r="AQ61" s="20"/>
      <c r="AR61" s="20"/>
      <c r="AS61" s="20"/>
      <c r="AT61" s="21"/>
      <c r="AU61" s="20"/>
      <c r="AV61" s="20"/>
      <c r="AW61" s="20"/>
      <c r="AX61" s="20"/>
      <c r="AY61" s="21"/>
      <c r="AZ61" s="20"/>
      <c r="BA61" s="20"/>
      <c r="BB61" s="20"/>
      <c r="BC61" s="20"/>
      <c r="BD61" s="21"/>
      <c r="BE61" s="20"/>
      <c r="BF61" s="20"/>
      <c r="BG61" s="20"/>
      <c r="BH61" s="20"/>
      <c r="BI61" s="21"/>
      <c r="BW61" s="98"/>
      <c r="BX61" s="98"/>
    </row>
    <row r="62" spans="1:76">
      <c r="A62" s="6" t="s">
        <v>82</v>
      </c>
      <c r="B62" s="22"/>
      <c r="C62" s="22"/>
      <c r="D62" s="22"/>
      <c r="E62" s="22"/>
      <c r="F62" s="23"/>
      <c r="G62" s="22"/>
      <c r="H62" s="22"/>
      <c r="I62" s="22"/>
      <c r="J62" s="22"/>
      <c r="K62" s="23"/>
      <c r="L62" s="22"/>
      <c r="M62" s="22"/>
      <c r="N62" s="22"/>
      <c r="O62" s="22"/>
      <c r="P62" s="23"/>
      <c r="Q62" s="22"/>
      <c r="R62" s="22"/>
      <c r="S62" s="22"/>
      <c r="T62" s="22"/>
      <c r="U62" s="23"/>
      <c r="V62" s="22"/>
      <c r="W62" s="22"/>
      <c r="X62" s="22"/>
      <c r="Y62" s="22"/>
      <c r="Z62" s="23"/>
      <c r="AA62" s="22"/>
      <c r="AB62" s="22"/>
      <c r="AC62" s="22"/>
      <c r="AD62" s="22"/>
      <c r="AE62" s="23"/>
      <c r="AF62" s="22"/>
      <c r="AG62" s="22"/>
      <c r="AH62" s="22"/>
      <c r="AI62" s="22"/>
      <c r="AJ62" s="23"/>
      <c r="AK62" s="22"/>
      <c r="AL62" s="22"/>
      <c r="AM62" s="22"/>
      <c r="AN62" s="22"/>
      <c r="AO62" s="23">
        <f>+AO60+AO47</f>
        <v>188851</v>
      </c>
      <c r="AP62" s="22">
        <f>+AT60+AT47</f>
        <v>173300</v>
      </c>
      <c r="AQ62" s="22">
        <f t="shared" ref="AQ62:AZ62" si="63">+AQ60+AQ47</f>
        <v>163006</v>
      </c>
      <c r="AR62" s="22">
        <f t="shared" si="63"/>
        <v>156662</v>
      </c>
      <c r="AS62" s="22">
        <f t="shared" si="63"/>
        <v>173300</v>
      </c>
      <c r="AT62" s="23">
        <f t="shared" si="63"/>
        <v>173300</v>
      </c>
      <c r="AU62" s="22">
        <f t="shared" si="63"/>
        <v>163942</v>
      </c>
      <c r="AV62" s="22">
        <f t="shared" si="63"/>
        <v>123190</v>
      </c>
      <c r="AW62" s="22">
        <f t="shared" si="63"/>
        <v>126698</v>
      </c>
      <c r="AX62" s="22">
        <f t="shared" si="63"/>
        <v>123140</v>
      </c>
      <c r="AY62" s="23">
        <f t="shared" si="63"/>
        <v>123140</v>
      </c>
      <c r="AZ62" s="22">
        <f t="shared" si="63"/>
        <v>124123</v>
      </c>
      <c r="BA62" s="22">
        <f t="shared" ref="BA62:BD62" si="64">+BA60+BA47</f>
        <v>125256</v>
      </c>
      <c r="BB62" s="22">
        <f t="shared" si="64"/>
        <v>128243</v>
      </c>
      <c r="BC62" s="22">
        <f t="shared" si="64"/>
        <v>130169</v>
      </c>
      <c r="BD62" s="23">
        <f t="shared" si="64"/>
        <v>130169</v>
      </c>
      <c r="BE62" s="22">
        <f t="shared" ref="BE62:BI62" si="65">+BE60+BE47</f>
        <v>128445</v>
      </c>
      <c r="BF62" s="22">
        <f t="shared" si="65"/>
        <v>127672</v>
      </c>
      <c r="BG62" s="22">
        <f t="shared" ca="1" si="65"/>
        <v>126916.49013702438</v>
      </c>
      <c r="BH62" s="22">
        <f t="shared" ca="1" si="65"/>
        <v>129462.67581611374</v>
      </c>
      <c r="BI62" s="23">
        <f t="shared" ca="1" si="65"/>
        <v>129462.67581611374</v>
      </c>
    </row>
    <row r="63" spans="1:76">
      <c r="A63" s="16" t="s">
        <v>34</v>
      </c>
      <c r="B63" s="82"/>
      <c r="C63" s="82"/>
      <c r="D63" s="82"/>
      <c r="E63" s="82"/>
      <c r="F63" s="83"/>
      <c r="G63" s="82"/>
      <c r="H63" s="82"/>
      <c r="I63" s="82"/>
      <c r="J63" s="82"/>
      <c r="K63" s="83"/>
      <c r="L63" s="82"/>
      <c r="M63" s="82"/>
      <c r="N63" s="82"/>
      <c r="O63" s="82"/>
      <c r="P63" s="83"/>
      <c r="Q63" s="82"/>
      <c r="R63" s="82"/>
      <c r="S63" s="82"/>
      <c r="T63" s="82"/>
      <c r="U63" s="83"/>
      <c r="V63" s="82"/>
      <c r="W63" s="82"/>
      <c r="X63" s="82"/>
      <c r="Y63" s="82"/>
      <c r="Z63" s="83"/>
      <c r="AA63" s="82"/>
      <c r="AB63" s="82"/>
      <c r="AC63" s="82"/>
      <c r="AD63" s="82"/>
      <c r="AE63" s="83"/>
      <c r="AF63" s="82"/>
      <c r="AG63" s="82"/>
      <c r="AH63" s="82"/>
      <c r="AI63" s="82"/>
      <c r="AJ63" s="83"/>
      <c r="AK63" s="82"/>
      <c r="AL63" s="82"/>
      <c r="AM63" s="82"/>
      <c r="AN63" s="82"/>
      <c r="AO63" s="83" t="b">
        <f>+AO62=AO25</f>
        <v>1</v>
      </c>
      <c r="AP63" s="82" t="b">
        <f>+AP62=AP25</f>
        <v>1</v>
      </c>
      <c r="AQ63" s="82" t="b">
        <f>+AQ62=AQ25</f>
        <v>1</v>
      </c>
      <c r="AR63" s="82" t="b">
        <f>+AR62=AR25</f>
        <v>1</v>
      </c>
      <c r="AS63" s="82" t="b">
        <f>+ROUND(AS62,8)=ROUND(AS25,8)</f>
        <v>1</v>
      </c>
      <c r="AT63" s="83" t="b">
        <f t="shared" ref="AT63:AZ63" si="66">+AT62=AT25</f>
        <v>1</v>
      </c>
      <c r="AU63" s="82" t="b">
        <f t="shared" si="66"/>
        <v>1</v>
      </c>
      <c r="AV63" s="82" t="b">
        <f t="shared" si="66"/>
        <v>1</v>
      </c>
      <c r="AW63" s="82" t="b">
        <f t="shared" si="66"/>
        <v>1</v>
      </c>
      <c r="AX63" s="82" t="b">
        <f t="shared" si="66"/>
        <v>1</v>
      </c>
      <c r="AY63" s="83" t="b">
        <f t="shared" si="66"/>
        <v>1</v>
      </c>
      <c r="AZ63" s="82" t="b">
        <f t="shared" si="66"/>
        <v>1</v>
      </c>
      <c r="BA63" s="82" t="b">
        <f t="shared" ref="BA63:BD63" si="67">+BA62=BA25</f>
        <v>1</v>
      </c>
      <c r="BB63" s="82" t="b">
        <f t="shared" si="67"/>
        <v>1</v>
      </c>
      <c r="BC63" s="82" t="b">
        <f t="shared" si="67"/>
        <v>1</v>
      </c>
      <c r="BD63" s="83" t="b">
        <f t="shared" si="67"/>
        <v>1</v>
      </c>
      <c r="BE63" s="82" t="b">
        <f t="shared" ref="BE63:BG63" si="68">+BE62=BE25</f>
        <v>1</v>
      </c>
      <c r="BF63" s="82" t="b">
        <f t="shared" si="68"/>
        <v>1</v>
      </c>
      <c r="BG63" s="82" t="b">
        <f t="shared" ca="1" si="68"/>
        <v>1</v>
      </c>
      <c r="BH63" s="82" t="b">
        <f ca="1">+ROUND(BH62,8)=ROUND(BH25,8)</f>
        <v>1</v>
      </c>
      <c r="BI63" s="83" t="b">
        <f ca="1">+ROUND(BI62,8)=ROUND(BI25,8)</f>
        <v>1</v>
      </c>
      <c r="BJ63" s="98"/>
    </row>
    <row r="64" spans="1:76">
      <c r="F64" s="25"/>
      <c r="K64" s="25"/>
      <c r="P64" s="25"/>
      <c r="U64" s="25"/>
      <c r="Z64" s="25"/>
      <c r="AB64" s="73"/>
      <c r="AC64" s="73"/>
      <c r="AD64" s="73"/>
      <c r="AE64" s="25"/>
      <c r="AG64" s="73"/>
      <c r="AH64" s="73"/>
      <c r="AI64" s="73"/>
      <c r="AJ64" s="25"/>
      <c r="AL64" s="73"/>
      <c r="AM64" s="73"/>
      <c r="AN64" s="73"/>
      <c r="AO64" s="25"/>
      <c r="AQ64" s="73"/>
      <c r="AR64" s="73"/>
      <c r="AS64" s="309"/>
      <c r="AT64" s="472">
        <f t="shared" ref="AT64:BG64" si="69">+AT62-AT25</f>
        <v>0</v>
      </c>
      <c r="AU64" s="473">
        <f t="shared" si="69"/>
        <v>0</v>
      </c>
      <c r="AV64" s="473">
        <f t="shared" ref="AV64:BA64" si="70">+AV62-AV25</f>
        <v>0</v>
      </c>
      <c r="AW64" s="473">
        <f t="shared" si="70"/>
        <v>0</v>
      </c>
      <c r="AX64" s="473">
        <f t="shared" si="70"/>
        <v>0</v>
      </c>
      <c r="AY64" s="472">
        <f t="shared" si="70"/>
        <v>0</v>
      </c>
      <c r="AZ64" s="473">
        <f t="shared" si="70"/>
        <v>0</v>
      </c>
      <c r="BA64" s="473">
        <f t="shared" si="70"/>
        <v>0</v>
      </c>
      <c r="BB64" s="473">
        <f t="shared" ref="BB64:BD64" si="71">+BB62-BB25</f>
        <v>0</v>
      </c>
      <c r="BC64" s="473">
        <f t="shared" si="71"/>
        <v>0</v>
      </c>
      <c r="BD64" s="472">
        <f t="shared" si="71"/>
        <v>0</v>
      </c>
      <c r="BE64" s="473">
        <f t="shared" si="69"/>
        <v>0</v>
      </c>
      <c r="BF64" s="473">
        <f t="shared" si="69"/>
        <v>0</v>
      </c>
      <c r="BG64" s="473">
        <f t="shared" ca="1" si="69"/>
        <v>0</v>
      </c>
      <c r="BH64" s="473">
        <f t="shared" ref="BH64:BI64" ca="1" si="72">+BH62-BH25</f>
        <v>0</v>
      </c>
      <c r="BI64" s="472">
        <f t="shared" ca="1" si="72"/>
        <v>0</v>
      </c>
      <c r="BJ64" s="98"/>
      <c r="BL64" s="253" t="str">
        <f>Cash_Flow_Qtr!BE2</f>
        <v>1Q26A</v>
      </c>
      <c r="BM64" s="253" t="str">
        <f>Cash_Flow_Qtr!BF2</f>
        <v>2Q26A</v>
      </c>
      <c r="BN64" s="253" t="str">
        <f>Cash_Flow_Qtr!BG2</f>
        <v>3Q26E</v>
      </c>
      <c r="BO64" s="253" t="str">
        <f>Cash_Flow_Qtr!BH2</f>
        <v>4Q26E</v>
      </c>
      <c r="BP64" s="253" t="str">
        <f>Cash_Flow_Qtr!BI2</f>
        <v>CY2026E</v>
      </c>
    </row>
    <row r="65" spans="1:68">
      <c r="A65" s="102" t="s">
        <v>17</v>
      </c>
      <c r="B65" s="67"/>
      <c r="C65" s="67"/>
      <c r="D65" s="67"/>
      <c r="E65" s="67"/>
      <c r="F65" s="103"/>
      <c r="G65" s="67"/>
      <c r="H65" s="67"/>
      <c r="I65" s="67"/>
      <c r="J65" s="67"/>
      <c r="K65" s="103"/>
      <c r="L65" s="67"/>
      <c r="M65" s="67"/>
      <c r="N65" s="67"/>
      <c r="O65" s="67"/>
      <c r="P65" s="103"/>
      <c r="Q65" s="67"/>
      <c r="R65" s="67"/>
      <c r="S65" s="67"/>
      <c r="T65" s="67"/>
      <c r="U65" s="103"/>
      <c r="V65" s="67"/>
      <c r="W65" s="67"/>
      <c r="X65" s="67"/>
      <c r="Y65" s="67"/>
      <c r="Z65" s="103"/>
      <c r="AA65" s="67"/>
      <c r="AB65" s="67"/>
      <c r="AC65" s="67"/>
      <c r="AD65" s="67"/>
      <c r="AE65" s="103"/>
      <c r="AF65" s="67"/>
      <c r="AG65" s="67"/>
      <c r="AH65" s="67"/>
      <c r="AI65" s="67"/>
      <c r="AJ65" s="103"/>
      <c r="AK65" s="67"/>
      <c r="AL65" s="67"/>
      <c r="AM65" s="67"/>
      <c r="AN65" s="67"/>
      <c r="AO65" s="103"/>
      <c r="AP65" s="67"/>
      <c r="AQ65" s="67"/>
      <c r="AR65" s="67"/>
      <c r="AS65" s="67"/>
      <c r="AT65" s="103"/>
      <c r="AU65" s="67"/>
      <c r="AV65" s="67"/>
      <c r="AW65" s="67"/>
      <c r="AX65" s="67"/>
      <c r="AY65" s="103"/>
      <c r="AZ65" s="67"/>
      <c r="BA65" s="67"/>
      <c r="BB65" s="67"/>
      <c r="BC65" s="67"/>
      <c r="BD65" s="103"/>
      <c r="BE65" s="67"/>
      <c r="BF65" s="67"/>
      <c r="BG65" s="67"/>
      <c r="BH65" s="67"/>
      <c r="BI65" s="103"/>
      <c r="BJ65" s="98"/>
      <c r="BK65" s="24" t="str">
        <f>Cash_Flow_Qtr!A15</f>
        <v>Receivables, Net</v>
      </c>
      <c r="BL65" s="616">
        <f>Cash_Flow_Qtr!BE15</f>
        <v>-709</v>
      </c>
      <c r="BM65" s="616">
        <f>Cash_Flow_Qtr!BF15</f>
        <v>15</v>
      </c>
      <c r="BN65" s="616">
        <f>Cash_Flow_Qtr!BG15</f>
        <v>450.5322739725998</v>
      </c>
      <c r="BO65" s="616">
        <f>Cash_Flow_Qtr!BH15</f>
        <v>-1367.0003565382376</v>
      </c>
      <c r="BP65" s="616">
        <f>Cash_Flow_Qtr!BI15</f>
        <v>-1610.4680825656378</v>
      </c>
    </row>
    <row r="66" spans="1:68">
      <c r="A66" s="1" t="s">
        <v>83</v>
      </c>
      <c r="B66" s="20"/>
      <c r="C66" s="20"/>
      <c r="D66" s="20"/>
      <c r="E66" s="20"/>
      <c r="F66" s="21"/>
      <c r="G66" s="20"/>
      <c r="H66" s="20"/>
      <c r="I66" s="20"/>
      <c r="J66" s="20"/>
      <c r="K66" s="21"/>
      <c r="L66" s="20"/>
      <c r="M66" s="20"/>
      <c r="N66" s="20"/>
      <c r="O66" s="20"/>
      <c r="P66" s="21"/>
      <c r="Q66" s="20"/>
      <c r="R66" s="20"/>
      <c r="S66" s="20"/>
      <c r="T66" s="20"/>
      <c r="U66" s="21"/>
      <c r="V66" s="20"/>
      <c r="W66" s="20"/>
      <c r="X66" s="20"/>
      <c r="Y66" s="20"/>
      <c r="Z66" s="21"/>
      <c r="AA66" s="20"/>
      <c r="AB66" s="20"/>
      <c r="AC66" s="20"/>
      <c r="AD66" s="20"/>
      <c r="AE66" s="21"/>
      <c r="AF66" s="20"/>
      <c r="AG66" s="20"/>
      <c r="AH66" s="20"/>
      <c r="AI66" s="20"/>
      <c r="AJ66" s="21"/>
      <c r="AK66" s="20"/>
      <c r="AL66" s="20"/>
      <c r="AM66" s="20"/>
      <c r="AN66" s="20"/>
      <c r="AO66" s="21">
        <f>+(AO7)/ProForma_IS_Qtr!AO11*365</f>
        <v>93.172375215146303</v>
      </c>
      <c r="AP66" s="20">
        <f>+(AP7)/ProForma_IS_Qtr!AP11*365/4</f>
        <v>165.49834099030116</v>
      </c>
      <c r="AQ66" s="20">
        <f>+(AQ7)/ProForma_IS_Qtr!AQ11*365/4</f>
        <v>153.91076527698456</v>
      </c>
      <c r="AR66" s="20">
        <f>+(AR7)/ProForma_IS_Qtr!AR11*365/4</f>
        <v>142.69216297570415</v>
      </c>
      <c r="AS66" s="20">
        <f>+(AS7)/ProForma_IS_Qtr!AS11*365/4</f>
        <v>83.992464304600745</v>
      </c>
      <c r="AT66" s="71">
        <f>+(AT7)/ProForma_IS_Qtr!AT11*365</f>
        <v>89.866329070951679</v>
      </c>
      <c r="AU66" s="20">
        <f>+(AU7)/ProForma_IS_Qtr!AU11*365/4</f>
        <v>153.86655499720825</v>
      </c>
      <c r="AV66" s="20">
        <f>+(AV7)/ProForma_IS_Qtr!AV11*365/4</f>
        <v>83.985319991202985</v>
      </c>
      <c r="AW66" s="20">
        <f>+(AW7)/ProForma_IS_Qtr!AW11*365/4</f>
        <v>82.850030481609423</v>
      </c>
      <c r="AX66" s="20">
        <f>+(AX7)/ProForma_IS_Qtr!AX11*365/4</f>
        <v>78.717050499445065</v>
      </c>
      <c r="AY66" s="71">
        <f>+(AY7)/ProForma_IS_Qtr!AY11*365</f>
        <v>87.963283551237666</v>
      </c>
      <c r="AZ66" s="20">
        <f>+(AZ7)/ProForma_IS_Qtr!AZ11*365/4</f>
        <v>88.659914443885256</v>
      </c>
      <c r="BA66" s="20">
        <f>+(BA7)/ProForma_IS_Qtr!BA11*365/4</f>
        <v>87.019867549668874</v>
      </c>
      <c r="BB66" s="20">
        <f>+(BB7)/ProForma_IS_Qtr!BB11*365/4</f>
        <v>79.94488916256158</v>
      </c>
      <c r="BC66" s="20">
        <f>+(BC7)/ProForma_IS_Qtr!BC11*365/4</f>
        <v>84.463106376287442</v>
      </c>
      <c r="BD66" s="71">
        <f>+(BD7)/ProForma_IS_Qtr!BD11*365</f>
        <v>93.711590884309231</v>
      </c>
      <c r="BE66" s="20">
        <f>+(BE7)/ProForma_IS_Qtr!BE11*365/4</f>
        <v>91.794908005164629</v>
      </c>
      <c r="BF66" s="20">
        <f>+(BF7)/ProForma_IS_Qtr!BF11*365/4</f>
        <v>84.489474867031234</v>
      </c>
      <c r="BG66" s="40">
        <v>81</v>
      </c>
      <c r="BH66" s="20">
        <f>+(BH7)/ProForma_IS_Qtr!BH11*365/4</f>
        <v>82.486824441540719</v>
      </c>
      <c r="BI66" s="42">
        <v>90</v>
      </c>
      <c r="BJ66" s="98"/>
      <c r="BK66" s="24" t="str">
        <f>Cash_Flow_Qtr!A16</f>
        <v>Inventories</v>
      </c>
      <c r="BL66" s="616">
        <f>Cash_Flow_Qtr!BE16</f>
        <v>-534</v>
      </c>
      <c r="BM66" s="616">
        <f>Cash_Flow_Qtr!BF16</f>
        <v>-109</v>
      </c>
      <c r="BN66" s="616">
        <f>Cash_Flow_Qtr!BG16</f>
        <v>-126.82141369863348</v>
      </c>
      <c r="BO66" s="616">
        <f>Cash_Flow_Qtr!BH16</f>
        <v>-550.81368319606372</v>
      </c>
      <c r="BP66" s="616">
        <f>Cash_Flow_Qtr!BI16</f>
        <v>-1320.6350968946972</v>
      </c>
    </row>
    <row r="67" spans="1:68">
      <c r="A67" s="1" t="s">
        <v>84</v>
      </c>
      <c r="B67" s="20"/>
      <c r="C67" s="20"/>
      <c r="D67" s="20"/>
      <c r="E67" s="20"/>
      <c r="F67" s="21"/>
      <c r="G67" s="20"/>
      <c r="H67" s="20"/>
      <c r="I67" s="20"/>
      <c r="J67" s="20"/>
      <c r="K67" s="21"/>
      <c r="L67" s="20"/>
      <c r="M67" s="20"/>
      <c r="N67" s="20"/>
      <c r="O67" s="20"/>
      <c r="P67" s="21"/>
      <c r="Q67" s="20"/>
      <c r="R67" s="20"/>
      <c r="S67" s="20"/>
      <c r="T67" s="20"/>
      <c r="U67" s="21"/>
      <c r="V67" s="20"/>
      <c r="W67" s="20"/>
      <c r="X67" s="20"/>
      <c r="Y67" s="20"/>
      <c r="Z67" s="21"/>
      <c r="AA67" s="20"/>
      <c r="AB67" s="20"/>
      <c r="AC67" s="20"/>
      <c r="AD67" s="20"/>
      <c r="AE67" s="21"/>
      <c r="AF67" s="20"/>
      <c r="AG67" s="20"/>
      <c r="AH67" s="20"/>
      <c r="AI67" s="20"/>
      <c r="AJ67" s="21"/>
      <c r="AK67" s="20"/>
      <c r="AL67" s="20"/>
      <c r="AM67" s="20"/>
      <c r="AN67" s="20"/>
      <c r="AO67" s="21">
        <f>+AO30/-ProForma_IS_Qtr!AO81*365</f>
        <v>126.9568801951572</v>
      </c>
      <c r="AP67" s="20">
        <f>+AP30/-ProForma_IS_Qtr!AP81*365/4</f>
        <v>274.95474094818968</v>
      </c>
      <c r="AQ67" s="20">
        <f>+AQ30/-ProForma_IS_Qtr!AQ81*365/4</f>
        <v>248.72518446943079</v>
      </c>
      <c r="AR67" s="20">
        <f>+AR30/-ProForma_IS_Qtr!AR81*365/4</f>
        <v>240.38405373831776</v>
      </c>
      <c r="AS67" s="20">
        <f>+AS30/-ProForma_IS_Qtr!AS81*365/4</f>
        <v>109.62835677749361</v>
      </c>
      <c r="AT67" s="71">
        <f>+AT30/-ProForma_IS_Qtr!AT81*365</f>
        <v>119.59283316622346</v>
      </c>
      <c r="AU67" s="20">
        <f>+AU30/-ProForma_IS_Qtr!AU81*365/4</f>
        <v>241.13122171945702</v>
      </c>
      <c r="AV67" s="20">
        <f>+AV30/-ProForma_IS_Qtr!AV81*365/4</f>
        <v>126.14596412556054</v>
      </c>
      <c r="AW67" s="20">
        <f>+AW30/-ProForma_IS_Qtr!AW81*365/4</f>
        <v>114.74401702537745</v>
      </c>
      <c r="AX67" s="20">
        <f>+AX30/-ProForma_IS_Qtr!AX81*365/4</f>
        <v>106.74400976186953</v>
      </c>
      <c r="AY67" s="71">
        <f>+AY30/-ProForma_IS_Qtr!AY81*365</f>
        <v>118.75863913115025</v>
      </c>
      <c r="AZ67" s="20">
        <f>+AZ30/-ProForma_IS_Qtr!AZ81*365/4</f>
        <v>131.28127606338617</v>
      </c>
      <c r="BA67" s="20">
        <f>+BA30/-ProForma_IS_Qtr!BA81*365/4</f>
        <v>126.55839176161261</v>
      </c>
      <c r="BB67" s="20">
        <f>+BB30/-ProForma_IS_Qtr!BB81*365/4</f>
        <v>111.50557201752126</v>
      </c>
      <c r="BC67" s="20">
        <f>+BC30/-ProForma_IS_Qtr!BC81*365/4</f>
        <v>109.93634190077705</v>
      </c>
      <c r="BD67" s="71">
        <f>+BD30/-ProForma_IS_Qtr!BD81*365</f>
        <v>126.98391328362331</v>
      </c>
      <c r="BE67" s="20">
        <f>+BE30/-ProForma_IS_Qtr!BE81*365/4</f>
        <v>123.0527328957334</v>
      </c>
      <c r="BF67" s="20">
        <f>+BF30/-ProForma_IS_Qtr!BF81*365/4</f>
        <v>113.85996771589991</v>
      </c>
      <c r="BG67" s="40">
        <v>113.5</v>
      </c>
      <c r="BH67" s="20">
        <f>+BH30/-ProForma_IS_Qtr!BH81*365/4</f>
        <v>114.96440614815066</v>
      </c>
      <c r="BI67" s="42">
        <v>122.5</v>
      </c>
      <c r="BJ67" s="98"/>
      <c r="BK67" s="24" t="str">
        <f>Cash_Flow_Qtr!A17</f>
        <v>Contract Assets</v>
      </c>
      <c r="BL67" s="616">
        <f>Cash_Flow_Qtr!BE17</f>
        <v>68</v>
      </c>
      <c r="BM67" s="616">
        <f>Cash_Flow_Qtr!BF17</f>
        <v>-36</v>
      </c>
      <c r="BN67" s="616">
        <f>Cash_Flow_Qtr!BG17</f>
        <v>-86.23046575342596</v>
      </c>
      <c r="BO67" s="616">
        <f>Cash_Flow_Qtr!BH17</f>
        <v>-161.10721929023748</v>
      </c>
      <c r="BP67" s="616">
        <f>Cash_Flow_Qtr!BI17</f>
        <v>-215.33768504366344</v>
      </c>
    </row>
    <row r="68" spans="1:68">
      <c r="A68" s="1" t="s">
        <v>85</v>
      </c>
      <c r="B68" s="20"/>
      <c r="C68" s="20"/>
      <c r="D68" s="20"/>
      <c r="E68" s="20"/>
      <c r="F68" s="21"/>
      <c r="G68" s="20"/>
      <c r="H68" s="20"/>
      <c r="I68" s="20"/>
      <c r="J68" s="20"/>
      <c r="K68" s="21"/>
      <c r="L68" s="20"/>
      <c r="M68" s="20"/>
      <c r="N68" s="20"/>
      <c r="O68" s="20"/>
      <c r="P68" s="21"/>
      <c r="Q68" s="20"/>
      <c r="R68" s="20"/>
      <c r="S68" s="20"/>
      <c r="T68" s="20"/>
      <c r="U68" s="21"/>
      <c r="V68" s="20"/>
      <c r="W68" s="20"/>
      <c r="X68" s="20"/>
      <c r="Y68" s="20"/>
      <c r="Z68" s="21"/>
      <c r="AA68" s="20"/>
      <c r="AB68" s="20"/>
      <c r="AC68" s="20"/>
      <c r="AD68" s="20"/>
      <c r="AE68" s="21"/>
      <c r="AF68" s="20"/>
      <c r="AG68" s="20"/>
      <c r="AH68" s="20"/>
      <c r="AI68" s="20"/>
      <c r="AJ68" s="21"/>
      <c r="AK68" s="20"/>
      <c r="AL68" s="20"/>
      <c r="AM68" s="20"/>
      <c r="AN68" s="20"/>
      <c r="AO68" s="21">
        <f>+AO8/-ProForma_IS_Qtr!AO81*365</f>
        <v>122.76867997831586</v>
      </c>
      <c r="AP68" s="20">
        <f>+AP8/-ProForma_IS_Qtr!AP81*365/4</f>
        <v>295.67263452690543</v>
      </c>
      <c r="AQ68" s="20">
        <f>+AQ8/-ProForma_IS_Qtr!AQ81*365/4</f>
        <v>269.14902494729444</v>
      </c>
      <c r="AR68" s="20">
        <f>+AR8/-ProForma_IS_Qtr!AR81*365/4</f>
        <v>259.19142189586114</v>
      </c>
      <c r="AS68" s="297">
        <f>+AS8/-ProForma_IS_Qtr!AS81*365/4</f>
        <v>120.83040281329924</v>
      </c>
      <c r="AT68" s="71">
        <f>+AT8/-ProForma_IS_Qtr!AT81*365</f>
        <v>131.81306944504993</v>
      </c>
      <c r="AU68" s="20">
        <f>+AU8/-ProForma_IS_Qtr!AU81*365/4</f>
        <v>279.54642359902539</v>
      </c>
      <c r="AV68" s="20">
        <f>+AV8/-ProForma_IS_Qtr!AV81*365/4</f>
        <v>154.9858744394619</v>
      </c>
      <c r="AW68" s="20">
        <f>+AW8/-ProForma_IS_Qtr!AW81*365/4</f>
        <v>142.42973016382911</v>
      </c>
      <c r="AX68" s="297">
        <f>+AX8/-ProForma_IS_Qtr!AX81*365/4</f>
        <v>131.76656559680521</v>
      </c>
      <c r="AY68" s="71">
        <f>+AY8/-ProForma_IS_Qtr!AY81*365</f>
        <v>146.59762218199768</v>
      </c>
      <c r="AZ68" s="20">
        <f>+AZ8/-ProForma_IS_Qtr!AZ81*365/4</f>
        <v>159.88156797331109</v>
      </c>
      <c r="BA68" s="20">
        <f>+BA8/-ProForma_IS_Qtr!BA81*365/4</f>
        <v>150.57716184633364</v>
      </c>
      <c r="BB68" s="20">
        <f>+BB8/-ProForma_IS_Qtr!BB81*365/4</f>
        <v>137.15714377737697</v>
      </c>
      <c r="BC68" s="297">
        <f>+BC8/-ProForma_IS_Qtr!BC81*365/4</f>
        <v>129.46264196054992</v>
      </c>
      <c r="BD68" s="71">
        <f>+BD8/-ProForma_IS_Qtr!BD81*365</f>
        <v>149.53811101905552</v>
      </c>
      <c r="BE68" s="20">
        <f>+BE8/-ProForma_IS_Qtr!BE81*365/4</f>
        <v>142.44998106538753</v>
      </c>
      <c r="BF68" s="20">
        <f>+BF8/-ProForma_IS_Qtr!BF81*365/4</f>
        <v>130.88320073792229</v>
      </c>
      <c r="BG68" s="40">
        <v>135</v>
      </c>
      <c r="BH68" s="297">
        <f>+BH8/-ProForma_IS_Qtr!BH81*365/4</f>
        <v>131.38789274074358</v>
      </c>
      <c r="BI68" s="42">
        <v>140</v>
      </c>
      <c r="BJ68" s="98"/>
      <c r="BK68" s="24" t="str">
        <f>Cash_Flow_Qtr!A18</f>
        <v>Accounts Payable and Accrued Liabilities</v>
      </c>
      <c r="BL68" s="616">
        <f>Cash_Flow_Qtr!BE18</f>
        <v>668</v>
      </c>
      <c r="BM68" s="616">
        <f>Cash_Flow_Qtr!BF18</f>
        <v>188</v>
      </c>
      <c r="BN68" s="616">
        <f>Cash_Flow_Qtr!BG18</f>
        <v>-256.56125589040857</v>
      </c>
      <c r="BO68" s="616">
        <f>Cash_Flow_Qtr!BH18</f>
        <v>912.49196567326908</v>
      </c>
      <c r="BP68" s="616">
        <f>Cash_Flow_Qtr!BI18</f>
        <v>1511.9307097828605</v>
      </c>
    </row>
    <row r="69" spans="1:68">
      <c r="A69" s="1" t="s">
        <v>86</v>
      </c>
      <c r="B69" s="20"/>
      <c r="C69" s="20"/>
      <c r="D69" s="20"/>
      <c r="E69" s="20"/>
      <c r="F69" s="21"/>
      <c r="G69" s="20"/>
      <c r="H69" s="20"/>
      <c r="I69" s="20"/>
      <c r="J69" s="20"/>
      <c r="K69" s="21"/>
      <c r="L69" s="20"/>
      <c r="M69" s="20"/>
      <c r="N69" s="20"/>
      <c r="O69" s="20"/>
      <c r="P69" s="21"/>
      <c r="Q69" s="20"/>
      <c r="R69" s="20"/>
      <c r="S69" s="20"/>
      <c r="T69" s="20"/>
      <c r="U69" s="21"/>
      <c r="V69" s="20"/>
      <c r="W69" s="20"/>
      <c r="X69" s="20"/>
      <c r="Y69" s="20"/>
      <c r="Z69" s="21"/>
      <c r="AA69" s="20"/>
      <c r="AB69" s="20"/>
      <c r="AC69" s="20"/>
      <c r="AD69" s="20"/>
      <c r="AE69" s="21"/>
      <c r="AF69" s="20"/>
      <c r="AG69" s="20"/>
      <c r="AH69" s="20"/>
      <c r="AI69" s="20"/>
      <c r="AJ69" s="21"/>
      <c r="AK69" s="20"/>
      <c r="AL69" s="20"/>
      <c r="AM69" s="20"/>
      <c r="AN69" s="20"/>
      <c r="AO69" s="21">
        <f>+AO32/ProForma_IS_Qtr!AO11*365</f>
        <v>0</v>
      </c>
      <c r="AP69" s="20">
        <f>+AP32/ProForma_IS_Qtr!AP11*365/4</f>
        <v>0</v>
      </c>
      <c r="AQ69" s="20">
        <f>+AQ32/ProForma_IS_Qtr!AQ11*365/4</f>
        <v>0</v>
      </c>
      <c r="AR69" s="20">
        <f>+AR32/ProForma_IS_Qtr!AR11*365/4</f>
        <v>0</v>
      </c>
      <c r="AS69" s="20">
        <f>+AS32/ProForma_IS_Qtr!AS11*365/4</f>
        <v>80.315441565309357</v>
      </c>
      <c r="AT69" s="21">
        <f>+AT32/ProForma_IS_Qtr!AT11*365</f>
        <v>85.932160235373985</v>
      </c>
      <c r="AU69" s="20">
        <f>+AU32/ProForma_IS_Qtr!AU11*365/4</f>
        <v>0</v>
      </c>
      <c r="AV69" s="20">
        <f>+AV32/ProForma_IS_Qtr!AV11*365/4</f>
        <v>87.005580602595117</v>
      </c>
      <c r="AW69" s="20">
        <f>+AW32/ProForma_IS_Qtr!AW11*365/4</f>
        <v>83.87916581995529</v>
      </c>
      <c r="AX69" s="20">
        <f>+AX32/ProForma_IS_Qtr!AX11*365/4</f>
        <v>78.936482611912695</v>
      </c>
      <c r="AY69" s="21">
        <f>+AY32/ProForma_IS_Qtr!AY11*365</f>
        <v>88.208490517285924</v>
      </c>
      <c r="AZ69" s="20">
        <f>+AZ32/ProForma_IS_Qtr!AZ11*365/4</f>
        <v>88.3935581278309</v>
      </c>
      <c r="BA69" s="20">
        <f>+BA32/ProForma_IS_Qtr!BA11*365/4</f>
        <v>80.61258278145695</v>
      </c>
      <c r="BB69" s="20">
        <f>+BB32/ProForma_IS_Qtr!BB11*365/4</f>
        <v>73.809113300492612</v>
      </c>
      <c r="BC69" s="20">
        <f>+BC32/ProForma_IS_Qtr!BC11*365/4</f>
        <v>74.132105511439576</v>
      </c>
      <c r="BD69" s="21">
        <f>+BD32/ProForma_IS_Qtr!BD11*365</f>
        <v>82.249373023661548</v>
      </c>
      <c r="BE69" s="20">
        <f>+BE32/ProForma_IS_Qtr!BE11*365/4</f>
        <v>75.138395739186564</v>
      </c>
      <c r="BF69" s="20">
        <f>+BF32/ProForma_IS_Qtr!BF11*365/4</f>
        <v>69.444059480110866</v>
      </c>
      <c r="BG69" s="40">
        <v>72</v>
      </c>
      <c r="BH69" s="20">
        <f>+BH32/ProForma_IS_Qtr!BH11*365/4</f>
        <v>66.775204813555391</v>
      </c>
      <c r="BI69" s="42">
        <v>78</v>
      </c>
      <c r="BJ69" s="98"/>
      <c r="BK69" s="24" t="str">
        <f>Cash_Flow_Qtr!A19</f>
        <v>Contract Liabilities and Current Deferred Income</v>
      </c>
      <c r="BL69" s="616">
        <f>Cash_Flow_Qtr!BE19</f>
        <v>-91</v>
      </c>
      <c r="BM69" s="616">
        <f>Cash_Flow_Qtr!BF19</f>
        <v>-44</v>
      </c>
      <c r="BN69" s="616">
        <f>Cash_Flow_Qtr!BG19</f>
        <v>-302.66947945205175</v>
      </c>
      <c r="BO69" s="616">
        <f>Cash_Flow_Qtr!BH19</f>
        <v>891.3116806893031</v>
      </c>
      <c r="BP69" s="616">
        <f>Cash_Flow_Qtr!BI19</f>
        <v>453.64220123725136</v>
      </c>
    </row>
    <row r="70" spans="1:68">
      <c r="A70" s="1" t="s">
        <v>537</v>
      </c>
      <c r="B70" s="20"/>
      <c r="C70" s="20"/>
      <c r="D70" s="20"/>
      <c r="E70" s="20"/>
      <c r="F70" s="21"/>
      <c r="G70" s="20"/>
      <c r="H70" s="20"/>
      <c r="I70" s="20"/>
      <c r="J70" s="20"/>
      <c r="K70" s="21"/>
      <c r="L70" s="20"/>
      <c r="M70" s="20"/>
      <c r="N70" s="20"/>
      <c r="O70" s="20"/>
      <c r="P70" s="21"/>
      <c r="Q70" s="20"/>
      <c r="R70" s="20"/>
      <c r="S70" s="20"/>
      <c r="T70" s="20"/>
      <c r="U70" s="21"/>
      <c r="V70" s="20"/>
      <c r="W70" s="20"/>
      <c r="X70" s="20"/>
      <c r="Y70" s="20"/>
      <c r="Z70" s="21"/>
      <c r="AA70" s="20"/>
      <c r="AB70" s="20"/>
      <c r="AC70" s="20"/>
      <c r="AD70" s="20"/>
      <c r="AE70" s="21"/>
      <c r="AF70" s="20"/>
      <c r="AG70" s="20"/>
      <c r="AH70" s="20"/>
      <c r="AI70" s="20"/>
      <c r="AJ70" s="21"/>
      <c r="AK70" s="20"/>
      <c r="AL70" s="20"/>
      <c r="AM70" s="20"/>
      <c r="AN70" s="20"/>
      <c r="AO70" s="21">
        <f>+AO9/ProForma_IS_Qtr!AO11*365</f>
        <v>15.498364888123925</v>
      </c>
      <c r="AP70" s="20">
        <f>+AP9/ProForma_IS_Qtr!AP11*365/4</f>
        <v>26.131316998468606</v>
      </c>
      <c r="AQ70" s="20">
        <f>+AQ9/ProForma_IS_Qtr!AQ11*365/4</f>
        <v>21.230868075385494</v>
      </c>
      <c r="AR70" s="20">
        <f>+AR9/ProForma_IS_Qtr!AR11*365/4</f>
        <v>18.393221887766074</v>
      </c>
      <c r="AS70" s="20">
        <f>+AS9/ProForma_IS_Qtr!AS11*365/4</f>
        <v>27.746562665256477</v>
      </c>
      <c r="AT70" s="21">
        <f>+AT9/ProForma_IS_Qtr!AT11*365</f>
        <v>29.686969559805366</v>
      </c>
      <c r="AU70" s="20">
        <f>+AU9/ProForma_IS_Qtr!AU11*365/4</f>
        <v>15.763679508654384</v>
      </c>
      <c r="AV70" s="20">
        <f>+AV9/ProForma_IS_Qtr!AV11*365/4</f>
        <v>27.282686386628548</v>
      </c>
      <c r="AW70" s="20">
        <f>+AW9/ProForma_IS_Qtr!AW11*365/4</f>
        <v>26.738975817923187</v>
      </c>
      <c r="AX70" s="20">
        <f>+AX9/ProForma_IS_Qtr!AX11*365/4</f>
        <v>25.167175360710324</v>
      </c>
      <c r="AY70" s="21">
        <f>+AY9/ProForma_IS_Qtr!AY11*365</f>
        <v>28.123352798304996</v>
      </c>
      <c r="AZ70" s="20">
        <f>+AZ9/ProForma_IS_Qtr!AZ11*365/4</f>
        <v>27.003019627579267</v>
      </c>
      <c r="BA70" s="20">
        <f>+BA9/ProForma_IS_Qtr!BA11*365/4</f>
        <v>25.322847682119203</v>
      </c>
      <c r="BB70" s="20">
        <f>+BB9/ProForma_IS_Qtr!BB11*365/4</f>
        <v>23.306958128078819</v>
      </c>
      <c r="BC70" s="20">
        <f>+BC9/ProForma_IS_Qtr!BC11*365/4</f>
        <v>25.188988914222818</v>
      </c>
      <c r="BD70" s="21">
        <f>+BD9/ProForma_IS_Qtr!BD11*365</f>
        <v>27.947115908843092</v>
      </c>
      <c r="BE70" s="20">
        <f>+BE9/ProForma_IS_Qtr!BE11*365/4</f>
        <v>25.323494996772112</v>
      </c>
      <c r="BF70" s="20">
        <f>+BF9/ProForma_IS_Qtr!BF11*365/4</f>
        <v>23.74044872275077</v>
      </c>
      <c r="BG70" s="40">
        <v>26</v>
      </c>
      <c r="BH70" s="20">
        <f>+BH9/ProForma_IS_Qtr!BH11*365/4</f>
        <v>23.114493973923018</v>
      </c>
      <c r="BI70" s="42">
        <v>27</v>
      </c>
      <c r="BJ70" s="98"/>
      <c r="BK70" s="24" t="str">
        <f>Cash_Flow_Qtr!A20</f>
        <v>Progress Collections</v>
      </c>
      <c r="BL70" s="616">
        <f>Cash_Flow_Qtr!BE20</f>
        <v>55</v>
      </c>
      <c r="BM70" s="616">
        <f>Cash_Flow_Qtr!BF20</f>
        <v>226</v>
      </c>
      <c r="BN70" s="616">
        <f>Cash_Flow_Qtr!BG20</f>
        <v>135</v>
      </c>
      <c r="BO70" s="616">
        <f>Cash_Flow_Qtr!BH20</f>
        <v>234</v>
      </c>
      <c r="BP70" s="616">
        <f>Cash_Flow_Qtr!BI20</f>
        <v>650</v>
      </c>
    </row>
    <row r="71" spans="1:68">
      <c r="F71" s="25"/>
      <c r="K71" s="25"/>
      <c r="P71" s="25"/>
      <c r="U71" s="25"/>
      <c r="Z71" s="25"/>
      <c r="AE71" s="25"/>
      <c r="AJ71" s="25"/>
      <c r="AO71" s="25"/>
      <c r="AT71" s="25"/>
      <c r="AY71" s="25"/>
      <c r="BD71" s="25"/>
      <c r="BI71" s="25"/>
      <c r="BJ71" s="98"/>
      <c r="BK71" s="24" t="str">
        <f>Cash_Flow_Qtr!A21</f>
        <v>Sales Discounts and Allowances</v>
      </c>
      <c r="BL71" s="616">
        <f>Cash_Flow_Qtr!BE21</f>
        <v>1000</v>
      </c>
      <c r="BM71" s="616">
        <f>Cash_Flow_Qtr!BF21</f>
        <v>-44</v>
      </c>
      <c r="BN71" s="616">
        <f>Cash_Flow_Qtr!BG21</f>
        <v>-150</v>
      </c>
      <c r="BO71" s="616">
        <f>Cash_Flow_Qtr!BH21</f>
        <v>-100</v>
      </c>
      <c r="BP71" s="616">
        <f>Cash_Flow_Qtr!BI21</f>
        <v>706</v>
      </c>
    </row>
    <row r="72" spans="1:68">
      <c r="A72" s="12" t="s">
        <v>46</v>
      </c>
      <c r="F72" s="25"/>
      <c r="K72" s="25"/>
      <c r="P72" s="25"/>
      <c r="U72" s="25"/>
      <c r="Z72" s="25"/>
      <c r="AE72" s="25"/>
      <c r="AJ72" s="25"/>
      <c r="AO72" s="25"/>
      <c r="AT72" s="25"/>
      <c r="AY72" s="25"/>
      <c r="BD72" s="25"/>
      <c r="BI72" s="25"/>
      <c r="BJ72" s="98"/>
      <c r="BK72" s="24" t="str">
        <f>Cash_Flow_Qtr!A22</f>
        <v>Working Capital</v>
      </c>
      <c r="BL72" s="616">
        <f>Cash_Flow_Qtr!BE22</f>
        <v>457</v>
      </c>
      <c r="BM72" s="616">
        <f>Cash_Flow_Qtr!BF22</f>
        <v>196</v>
      </c>
      <c r="BN72" s="616">
        <f>Cash_Flow_Qtr!BG22</f>
        <v>-336.75034082191996</v>
      </c>
      <c r="BO72" s="616">
        <f>Cash_Flow_Qtr!BH22</f>
        <v>-141.11761266196663</v>
      </c>
      <c r="BP72" s="616">
        <f>Cash_Flow_Qtr!BI22</f>
        <v>175.13204651611341</v>
      </c>
    </row>
    <row r="73" spans="1:68">
      <c r="A73" s="1" t="s">
        <v>21</v>
      </c>
      <c r="B73" s="34"/>
      <c r="C73" s="34"/>
      <c r="D73" s="34"/>
      <c r="E73" s="34"/>
      <c r="F73" s="35"/>
      <c r="G73" s="34"/>
      <c r="H73" s="34"/>
      <c r="I73" s="34"/>
      <c r="J73" s="34"/>
      <c r="K73" s="35"/>
      <c r="L73" s="34"/>
      <c r="M73" s="34"/>
      <c r="N73" s="34"/>
      <c r="O73" s="34"/>
      <c r="P73" s="35"/>
      <c r="Q73" s="34"/>
      <c r="R73" s="34"/>
      <c r="S73" s="34"/>
      <c r="T73" s="34"/>
      <c r="U73" s="35"/>
      <c r="V73" s="34"/>
      <c r="W73" s="34"/>
      <c r="X73" s="34"/>
      <c r="Y73" s="34"/>
      <c r="Z73" s="35"/>
      <c r="AA73" s="34"/>
      <c r="AB73" s="34"/>
      <c r="AC73" s="34"/>
      <c r="AD73" s="34"/>
      <c r="AE73" s="123"/>
      <c r="AF73" s="34"/>
      <c r="AG73" s="34"/>
      <c r="AH73" s="34"/>
      <c r="AI73" s="34"/>
      <c r="AJ73" s="123"/>
      <c r="AK73" s="34"/>
      <c r="AL73" s="34"/>
      <c r="AM73" s="34"/>
      <c r="AN73" s="34"/>
      <c r="AO73" s="123">
        <f>+AO8/ProForma_IS_Qtr!AO15</f>
        <v>0.27004334185662732</v>
      </c>
      <c r="AP73" s="34">
        <f>(+AP8/ProForma_IS_Qtr!AP15)/4</f>
        <v>0.57488642816581492</v>
      </c>
      <c r="AQ73" s="34">
        <f>(+AQ8/ProForma_IS_Qtr!AQ15)/4</f>
        <v>0.53082711521436698</v>
      </c>
      <c r="AR73" s="34">
        <f>(+AR8/ProForma_IS_Qtr!AR15)/4</f>
        <v>0.50295508274231682</v>
      </c>
      <c r="AS73" s="32">
        <f>(+AS8/ProForma_IS_Qtr!AS15)/4</f>
        <v>0.24227889564810481</v>
      </c>
      <c r="AT73" s="123">
        <f>+AT8/ProForma_IS_Qtr!AT15</f>
        <v>0.25920710910854533</v>
      </c>
      <c r="AU73" s="34">
        <f>(+AU8/ProForma_IS_Qtr!AU15)/4</f>
        <v>0.54491703813769188</v>
      </c>
      <c r="AV73" s="34">
        <f>(+AV8/ProForma_IS_Qtr!AV15)/4</f>
        <v>0.28788155174510521</v>
      </c>
      <c r="AW73" s="34">
        <f>(+AW8/ProForma_IS_Qtr!AW15)/4</f>
        <v>0.27166498937716649</v>
      </c>
      <c r="AX73" s="32">
        <f>(+AX8/ProForma_IS_Qtr!AX15)/4</f>
        <v>0.24703947368421053</v>
      </c>
      <c r="AY73" s="123">
        <f>+AY8/ProForma_IS_Qtr!AY15</f>
        <v>0.27798183423023265</v>
      </c>
      <c r="AZ73" s="34">
        <f>(+AZ8/ProForma_IS_Qtr!AZ15)/4</f>
        <v>0.29174536162648596</v>
      </c>
      <c r="BA73" s="34">
        <f>(+BA8/ProForma_IS_Qtr!BA15)/4</f>
        <v>0.27822382031326964</v>
      </c>
      <c r="BB73" s="34">
        <f>(+BB8/ProForma_IS_Qtr!BB15)/4</f>
        <v>0.25800530738611233</v>
      </c>
      <c r="BC73" s="32">
        <f>(+BC8/ProForma_IS_Qtr!BC15)/4</f>
        <v>0.25002106682396563</v>
      </c>
      <c r="BD73" s="123">
        <f>+BD8/ProForma_IS_Qtr!BD15</f>
        <v>0.28042153017343224</v>
      </c>
      <c r="BE73" s="34">
        <f>(+BE8/ProForma_IS_Qtr!BE15)/4</f>
        <v>0.26620888582744962</v>
      </c>
      <c r="BF73" s="34">
        <f>(+BF8/ProForma_IS_Qtr!BF15)/4</f>
        <v>0.24616115244578121</v>
      </c>
      <c r="BG73" s="34">
        <f>(+BG8/ProForma_IS_Qtr!BG15)/4</f>
        <v>0.2515068493150685</v>
      </c>
      <c r="BH73" s="32">
        <f>(+BH8/ProForma_IS_Qtr!BH15)/4</f>
        <v>0.24193487183982046</v>
      </c>
      <c r="BI73" s="123">
        <f>+BI8/ProForma_IS_Qtr!BI15</f>
        <v>0.26082191780821917</v>
      </c>
      <c r="BJ73" s="98"/>
      <c r="BK73" s="73"/>
      <c r="BL73" s="252"/>
      <c r="BM73" s="253"/>
      <c r="BN73" s="253"/>
      <c r="BO73" s="253"/>
      <c r="BP73" s="253"/>
    </row>
    <row r="74" spans="1:68">
      <c r="A74" s="1" t="s">
        <v>66</v>
      </c>
      <c r="B74" s="34"/>
      <c r="C74" s="34"/>
      <c r="D74" s="34"/>
      <c r="E74" s="34"/>
      <c r="F74" s="35"/>
      <c r="G74" s="34"/>
      <c r="H74" s="34"/>
      <c r="I74" s="34"/>
      <c r="J74" s="34"/>
      <c r="K74" s="35"/>
      <c r="L74" s="34"/>
      <c r="M74" s="34"/>
      <c r="N74" s="34"/>
      <c r="O74" s="34"/>
      <c r="P74" s="35"/>
      <c r="Q74" s="34"/>
      <c r="R74" s="34"/>
      <c r="S74" s="34"/>
      <c r="T74" s="34"/>
      <c r="U74" s="35"/>
      <c r="V74" s="34"/>
      <c r="W74" s="34"/>
      <c r="X74" s="34"/>
      <c r="Y74" s="34"/>
      <c r="Z74" s="35"/>
      <c r="AA74" s="34"/>
      <c r="AB74" s="34"/>
      <c r="AC74" s="34"/>
      <c r="AD74" s="34"/>
      <c r="AE74" s="123"/>
      <c r="AF74" s="34"/>
      <c r="AG74" s="34"/>
      <c r="AH74" s="34"/>
      <c r="AI74" s="34"/>
      <c r="AJ74" s="123"/>
      <c r="AK74" s="34"/>
      <c r="AL74" s="34"/>
      <c r="AM74" s="34"/>
      <c r="AN74" s="34"/>
      <c r="AO74" s="123">
        <f>+AO10/ProForma_IS_Qtr!AO15</f>
        <v>2.5388535262862014E-2</v>
      </c>
      <c r="AP74" s="34">
        <f>(+AP10/ProForma_IS_Qtr!AP15)/4</f>
        <v>5.1959114139693355E-2</v>
      </c>
      <c r="AQ74" s="34">
        <f>(+AQ10/ProForma_IS_Qtr!AQ15)/4</f>
        <v>5.1789553560136585E-2</v>
      </c>
      <c r="AR74" s="34">
        <f>(+AR10/ProForma_IS_Qtr!AR15)/4</f>
        <v>4.2494089834515365E-2</v>
      </c>
      <c r="AS74" s="92">
        <f>(+AS10/ProForma_IS_Qtr!AS15)/4</f>
        <v>3.6382779597566681E-2</v>
      </c>
      <c r="AT74" s="123">
        <f>+AT10/ProForma_IS_Qtr!AT15</f>
        <v>3.8924872492881506E-2</v>
      </c>
      <c r="AU74" s="34">
        <f>(+AU10/ProForma_IS_Qtr!AU15)/4</f>
        <v>5.1077265973254085E-2</v>
      </c>
      <c r="AV74" s="34">
        <f>(+AV10/ProForma_IS_Qtr!AV15)/4</f>
        <v>3.6787060683448863E-2</v>
      </c>
      <c r="AW74" s="34">
        <f>(+AW10/ProForma_IS_Qtr!AW15)/4</f>
        <v>3.2287822878228782E-2</v>
      </c>
      <c r="AX74" s="92">
        <f>(+AX10/ProForma_IS_Qtr!AX15)/4</f>
        <v>2.4342105263157894E-2</v>
      </c>
      <c r="AY74" s="123">
        <f>+AY10/ProForma_IS_Qtr!AY15</f>
        <v>2.7391019617892431E-2</v>
      </c>
      <c r="AZ74" s="34">
        <f>(+AZ10/ProForma_IS_Qtr!AZ15)/4</f>
        <v>2.9802244195089436E-2</v>
      </c>
      <c r="BA74" s="34">
        <f>(+BA10/ProForma_IS_Qtr!BA15)/4</f>
        <v>2.6450596000394049E-2</v>
      </c>
      <c r="BB74" s="34">
        <f>(+BB10/ProForma_IS_Qtr!BB15)/4</f>
        <v>2.4679345422379477E-2</v>
      </c>
      <c r="BC74" s="92">
        <f>(+BC10/ProForma_IS_Qtr!BC15)/4</f>
        <v>2.2162298811831127E-2</v>
      </c>
      <c r="BD74" s="123">
        <f>+BD10/ProForma_IS_Qtr!BD15</f>
        <v>2.4857048343651055E-2</v>
      </c>
      <c r="BE74" s="34">
        <f>(+BE10/ProForma_IS_Qtr!BE15)/4</f>
        <v>2.3850525228172895E-2</v>
      </c>
      <c r="BF74" s="34">
        <f>(+BF10/ProForma_IS_Qtr!BF15)/4</f>
        <v>4.1138990026911508E-2</v>
      </c>
      <c r="BG74" s="182">
        <v>2.5000000000000001E-2</v>
      </c>
      <c r="BH74" s="92">
        <f>(+BH10/ProForma_IS_Qtr!BH15)/4</f>
        <v>2.2343867850701554E-2</v>
      </c>
      <c r="BI74" s="183">
        <v>2.2499999999999999E-2</v>
      </c>
      <c r="BJ74" s="98"/>
      <c r="BK74" s="73" t="s">
        <v>614</v>
      </c>
      <c r="BL74" s="617">
        <f>Cash_Flow_Qtr!BE27</f>
        <v>1823</v>
      </c>
      <c r="BM74" s="617">
        <f>Cash_Flow_Qtr!BF27</f>
        <v>3195</v>
      </c>
      <c r="BN74" s="617">
        <f ca="1">Cash_Flow_Qtr!BG27</f>
        <v>2796.6642595643298</v>
      </c>
      <c r="BO74" s="617">
        <f ca="1">Cash_Flow_Qtr!BH27</f>
        <v>2686.8856698829181</v>
      </c>
      <c r="BP74" s="617">
        <f ca="1">Cash_Flow_Qtr!BI27</f>
        <v>10501.549929447247</v>
      </c>
    </row>
    <row r="75" spans="1:68">
      <c r="A75" s="1"/>
      <c r="B75" s="34"/>
      <c r="C75" s="34"/>
      <c r="D75" s="34"/>
      <c r="E75" s="34"/>
      <c r="F75" s="35"/>
      <c r="G75" s="34"/>
      <c r="H75" s="34"/>
      <c r="I75" s="34"/>
      <c r="J75" s="34"/>
      <c r="K75" s="35"/>
      <c r="L75" s="34"/>
      <c r="M75" s="34"/>
      <c r="N75" s="34"/>
      <c r="O75" s="34"/>
      <c r="P75" s="35"/>
      <c r="Q75" s="34"/>
      <c r="R75" s="34"/>
      <c r="S75" s="34"/>
      <c r="T75" s="34"/>
      <c r="U75" s="35"/>
      <c r="V75" s="34"/>
      <c r="W75" s="34"/>
      <c r="X75" s="34"/>
      <c r="Y75" s="34"/>
      <c r="Z75" s="35"/>
      <c r="AA75" s="34"/>
      <c r="AB75" s="34"/>
      <c r="AC75" s="34"/>
      <c r="AD75" s="32"/>
      <c r="AE75" s="123"/>
      <c r="AF75" s="34"/>
      <c r="AG75" s="34"/>
      <c r="AH75" s="34"/>
      <c r="AI75" s="32"/>
      <c r="AJ75" s="123"/>
      <c r="AK75" s="34"/>
      <c r="AL75" s="34"/>
      <c r="AM75" s="34"/>
      <c r="AN75" s="32"/>
      <c r="AO75" s="123"/>
      <c r="AP75" s="34"/>
      <c r="AQ75" s="34"/>
      <c r="AR75" s="34"/>
      <c r="AS75" s="32"/>
      <c r="AT75" s="35"/>
      <c r="AU75" s="33"/>
      <c r="AV75" s="33"/>
      <c r="AW75" s="33"/>
      <c r="AX75" s="32"/>
      <c r="AY75" s="35"/>
      <c r="AZ75" s="33"/>
      <c r="BA75" s="33"/>
      <c r="BB75" s="33"/>
      <c r="BC75" s="32"/>
      <c r="BD75" s="35"/>
      <c r="BE75" s="33"/>
      <c r="BF75" s="33"/>
      <c r="BG75" s="33"/>
      <c r="BH75" s="32"/>
      <c r="BI75" s="35"/>
      <c r="BJ75" s="98"/>
      <c r="BK75" s="73" t="s">
        <v>615</v>
      </c>
      <c r="BL75" s="252">
        <f>Cash_Flow_Qtr!BE91</f>
        <v>1658</v>
      </c>
      <c r="BM75" s="252">
        <f>Cash_Flow_Qtr!BF91</f>
        <v>3027</v>
      </c>
      <c r="BN75" s="252">
        <f ca="1">Cash_Flow_Qtr!BG91</f>
        <v>2380.7518295643295</v>
      </c>
      <c r="BO75" s="252">
        <f ca="1">Cash_Flow_Qtr!BH91</f>
        <v>2153.4944831707658</v>
      </c>
      <c r="BP75" s="252">
        <f ca="1">Cash_Flow_Qtr!BI91</f>
        <v>9219.2463127350948</v>
      </c>
    </row>
    <row r="76" spans="1:68">
      <c r="A76" s="12" t="s">
        <v>90</v>
      </c>
      <c r="F76" s="25"/>
      <c r="K76" s="25"/>
      <c r="P76" s="25"/>
      <c r="U76" s="25"/>
      <c r="Z76" s="25"/>
      <c r="AE76" s="25"/>
      <c r="AJ76" s="25"/>
      <c r="AO76" s="25"/>
      <c r="AT76" s="25"/>
      <c r="AY76" s="25"/>
      <c r="BD76" s="25"/>
      <c r="BI76" s="25"/>
      <c r="BJ76" s="98"/>
      <c r="BK76" t="s">
        <v>113</v>
      </c>
    </row>
    <row r="77" spans="1:68">
      <c r="A77" s="1" t="s">
        <v>87</v>
      </c>
      <c r="B77" s="73"/>
      <c r="C77" s="73"/>
      <c r="D77" s="73"/>
      <c r="E77" s="73"/>
      <c r="F77" s="75"/>
      <c r="G77" s="73"/>
      <c r="H77" s="73"/>
      <c r="I77" s="73"/>
      <c r="J77" s="73"/>
      <c r="K77" s="75"/>
      <c r="L77" s="73"/>
      <c r="M77" s="73"/>
      <c r="N77" s="73"/>
      <c r="O77" s="73"/>
      <c r="P77" s="75"/>
      <c r="Q77" s="73"/>
      <c r="R77" s="73"/>
      <c r="S77" s="73"/>
      <c r="T77" s="73"/>
      <c r="U77" s="75"/>
      <c r="V77" s="73"/>
      <c r="W77" s="73"/>
      <c r="X77" s="73"/>
      <c r="Y77" s="73"/>
      <c r="Z77" s="75"/>
      <c r="AA77" s="73"/>
      <c r="AB77" s="73"/>
      <c r="AC77" s="73"/>
      <c r="AD77" s="73"/>
      <c r="AE77" s="75"/>
      <c r="AF77" s="73"/>
      <c r="AG77" s="73"/>
      <c r="AH77" s="73"/>
      <c r="AI77" s="73"/>
      <c r="AJ77" s="75"/>
      <c r="AK77" s="73"/>
      <c r="AL77" s="73"/>
      <c r="AM77" s="73"/>
      <c r="AN77" s="73"/>
      <c r="AO77" s="75">
        <f t="shared" ref="AO77:AT77" si="73">AO40+AO29</f>
        <v>24059</v>
      </c>
      <c r="AP77" s="73">
        <f>AT40+AT29</f>
        <v>20525</v>
      </c>
      <c r="AQ77" s="73">
        <f t="shared" si="73"/>
        <v>21782</v>
      </c>
      <c r="AR77" s="73">
        <f t="shared" si="73"/>
        <v>20822</v>
      </c>
      <c r="AS77" s="73">
        <f t="shared" si="73"/>
        <v>20525</v>
      </c>
      <c r="AT77" s="75">
        <f t="shared" si="73"/>
        <v>20525</v>
      </c>
      <c r="AU77" s="73">
        <f t="shared" ref="AU77:AZ77" si="74">AU40+AU29</f>
        <v>20525</v>
      </c>
      <c r="AV77" s="73">
        <f t="shared" si="74"/>
        <v>19673</v>
      </c>
      <c r="AW77" s="73">
        <f t="shared" si="74"/>
        <v>19921</v>
      </c>
      <c r="AX77" s="73">
        <f t="shared" si="74"/>
        <v>19273</v>
      </c>
      <c r="AY77" s="75">
        <f t="shared" si="74"/>
        <v>19273</v>
      </c>
      <c r="AZ77" s="73">
        <f t="shared" si="74"/>
        <v>19571</v>
      </c>
      <c r="BA77" s="73">
        <f t="shared" ref="BA77:BE77" si="75">BA40+BA29</f>
        <v>18887</v>
      </c>
      <c r="BB77" s="73">
        <f t="shared" si="75"/>
        <v>20838</v>
      </c>
      <c r="BC77" s="73">
        <f t="shared" si="75"/>
        <v>20494</v>
      </c>
      <c r="BD77" s="75">
        <f t="shared" si="75"/>
        <v>20494</v>
      </c>
      <c r="BE77" s="73">
        <f t="shared" si="75"/>
        <v>20277</v>
      </c>
      <c r="BF77" s="73">
        <f t="shared" ref="BF77:BI77" si="76">BF40+BF29</f>
        <v>19157</v>
      </c>
      <c r="BG77" s="73">
        <f t="shared" si="76"/>
        <v>19157</v>
      </c>
      <c r="BH77" s="73">
        <f t="shared" si="76"/>
        <v>19157</v>
      </c>
      <c r="BI77" s="75">
        <f t="shared" si="76"/>
        <v>19157</v>
      </c>
      <c r="BJ77" s="98"/>
    </row>
    <row r="78" spans="1:68">
      <c r="A78" s="1" t="s">
        <v>88</v>
      </c>
      <c r="B78" s="73"/>
      <c r="C78" s="73"/>
      <c r="D78" s="73"/>
      <c r="E78" s="73"/>
      <c r="F78" s="75"/>
      <c r="G78" s="73"/>
      <c r="H78" s="73"/>
      <c r="I78" s="73"/>
      <c r="J78" s="73"/>
      <c r="K78" s="75"/>
      <c r="L78" s="73"/>
      <c r="M78" s="73"/>
      <c r="N78" s="73"/>
      <c r="O78" s="73"/>
      <c r="P78" s="75"/>
      <c r="Q78" s="73"/>
      <c r="R78" s="73"/>
      <c r="S78" s="73"/>
      <c r="T78" s="73"/>
      <c r="U78" s="75"/>
      <c r="V78" s="73"/>
      <c r="W78" s="73"/>
      <c r="X78" s="73"/>
      <c r="Y78" s="73"/>
      <c r="Z78" s="75"/>
      <c r="AA78" s="73"/>
      <c r="AB78" s="73"/>
      <c r="AC78" s="73"/>
      <c r="AD78" s="73"/>
      <c r="AE78" s="75"/>
      <c r="AF78" s="73"/>
      <c r="AG78" s="73"/>
      <c r="AH78" s="73"/>
      <c r="AI78" s="73"/>
      <c r="AJ78" s="75"/>
      <c r="AK78" s="73"/>
      <c r="AL78" s="73"/>
      <c r="AM78" s="73"/>
      <c r="AN78" s="73"/>
      <c r="AO78" s="75">
        <f t="shared" ref="AO78:AT78" si="77">-AO5+AO77</f>
        <v>8249</v>
      </c>
      <c r="AP78" s="73">
        <f>-AT5+AT77</f>
        <v>5321</v>
      </c>
      <c r="AQ78" s="73">
        <f t="shared" si="77"/>
        <v>9016</v>
      </c>
      <c r="AR78" s="73">
        <f t="shared" si="77"/>
        <v>7695</v>
      </c>
      <c r="AS78" s="73">
        <f t="shared" si="77"/>
        <v>5321</v>
      </c>
      <c r="AT78" s="75">
        <f t="shared" si="77"/>
        <v>5321</v>
      </c>
      <c r="AU78" s="73">
        <f t="shared" ref="AU78:AZ78" si="78">-AU5+AU77</f>
        <v>2078</v>
      </c>
      <c r="AV78" s="73">
        <f t="shared" si="78"/>
        <v>7566</v>
      </c>
      <c r="AW78" s="73">
        <f t="shared" si="78"/>
        <v>6197</v>
      </c>
      <c r="AX78" s="73">
        <f t="shared" si="78"/>
        <v>5654</v>
      </c>
      <c r="AY78" s="75">
        <f t="shared" si="78"/>
        <v>5654</v>
      </c>
      <c r="AZ78" s="73">
        <f t="shared" si="78"/>
        <v>7166</v>
      </c>
      <c r="BA78" s="73">
        <f t="shared" ref="BA78:BE78" si="79">-BA5+BA77</f>
        <v>8026</v>
      </c>
      <c r="BB78" s="73">
        <f t="shared" si="79"/>
        <v>8337</v>
      </c>
      <c r="BC78" s="73">
        <f t="shared" si="79"/>
        <v>8102</v>
      </c>
      <c r="BD78" s="75">
        <f t="shared" si="79"/>
        <v>8102</v>
      </c>
      <c r="BE78" s="73">
        <f t="shared" si="79"/>
        <v>9296</v>
      </c>
      <c r="BF78" s="73">
        <f t="shared" ref="BF78:BI78" si="80">-BF5+BF77</f>
        <v>9812</v>
      </c>
      <c r="BG78" s="73">
        <f t="shared" ca="1" si="80"/>
        <v>9795.5948984550814</v>
      </c>
      <c r="BH78" s="73">
        <f t="shared" ca="1" si="80"/>
        <v>9343.5044638167492</v>
      </c>
      <c r="BI78" s="75">
        <f t="shared" ca="1" si="80"/>
        <v>9343.5044638167492</v>
      </c>
    </row>
    <row r="79" spans="1:68">
      <c r="A79" s="1" t="s">
        <v>89</v>
      </c>
      <c r="B79" s="124"/>
      <c r="C79" s="124"/>
      <c r="D79" s="124"/>
      <c r="E79" s="124"/>
      <c r="F79" s="125"/>
      <c r="G79" s="124"/>
      <c r="H79" s="124"/>
      <c r="I79" s="124"/>
      <c r="J79" s="124"/>
      <c r="K79" s="125"/>
      <c r="L79" s="124"/>
      <c r="M79" s="124"/>
      <c r="N79" s="124"/>
      <c r="O79" s="124"/>
      <c r="P79" s="125"/>
      <c r="Q79" s="124"/>
      <c r="R79" s="124"/>
      <c r="S79" s="124"/>
      <c r="T79" s="124"/>
      <c r="U79" s="125"/>
      <c r="V79" s="124"/>
      <c r="W79" s="124"/>
      <c r="X79" s="124"/>
      <c r="Y79" s="124"/>
      <c r="Z79" s="125"/>
      <c r="AA79" s="124"/>
      <c r="AB79" s="124"/>
      <c r="AC79" s="124"/>
      <c r="AD79" s="124"/>
      <c r="AE79" s="125"/>
      <c r="AF79" s="124"/>
      <c r="AG79" s="124"/>
      <c r="AH79" s="124"/>
      <c r="AI79" s="124"/>
      <c r="AJ79" s="125"/>
      <c r="AK79" s="124"/>
      <c r="AL79" s="124"/>
      <c r="AM79" s="124"/>
      <c r="AN79" s="124"/>
      <c r="AO79" s="125">
        <f>AO78/ProForma_IS_Qtr!AO78</f>
        <v>1.3774351552933317</v>
      </c>
      <c r="AP79" s="124">
        <f>AT78/(ProForma_IS_Qtr!AT78*4)</f>
        <v>0.19733719032784452</v>
      </c>
      <c r="AQ79" s="124">
        <f>AQ78/(ProForma_IS_Qtr!AQ78*4)</f>
        <v>1.1888185654008439</v>
      </c>
      <c r="AR79" s="124">
        <f>AR78/(ProForma_IS_Qtr!AR78*4)</f>
        <v>0.90700141442715698</v>
      </c>
      <c r="AS79" s="124">
        <f>AS78/(ProForma_IS_Qtr!AS78*4)</f>
        <v>1.3713917525773196</v>
      </c>
      <c r="AT79" s="125">
        <f>AT78/ProForma_IS_Qtr!AT78</f>
        <v>0.7893487613113781</v>
      </c>
      <c r="AU79" s="124">
        <f>AY78/(ProForma_IS_Qtr!AY78*4)</f>
        <v>0.16753585397653195</v>
      </c>
      <c r="AV79" s="124">
        <f>AV78/(ProForma_IS_Qtr!AV78*4)</f>
        <v>0.8676605504587156</v>
      </c>
      <c r="AW79" s="124">
        <f>AW78/(ProForma_IS_Qtr!AW78*4)</f>
        <v>0.72700610042233693</v>
      </c>
      <c r="AX79" s="124">
        <f>AX78/(ProForma_IS_Qtr!AX78*4)</f>
        <v>0.61832895888013995</v>
      </c>
      <c r="AY79" s="125">
        <f>AY78/ProForma_IS_Qtr!AY78</f>
        <v>0.6701434159061278</v>
      </c>
      <c r="AZ79" s="124">
        <f>BD78/(ProForma_IS_Qtr!BD78*4)</f>
        <v>0.19712895377128953</v>
      </c>
      <c r="BA79" s="124">
        <f>BA78/(ProForma_IS_Qtr!BA78*4)</f>
        <v>0.7577416918429003</v>
      </c>
      <c r="BB79" s="124">
        <f>BB78/(ProForma_IS_Qtr!BB78*4)</f>
        <v>0.80101844734819372</v>
      </c>
      <c r="BC79" s="124">
        <f>BC78/(ProForma_IS_Qtr!BC78*4)</f>
        <v>0.78507751937984493</v>
      </c>
      <c r="BD79" s="125">
        <f>BD78/ProForma_IS_Qtr!BD78</f>
        <v>0.78851581508515811</v>
      </c>
      <c r="BE79" s="124">
        <f ca="1">BI78/(ProForma_IS_Qtr!BI78*4)</f>
        <v>0.19479594899699793</v>
      </c>
      <c r="BF79" s="124">
        <f>BF78/(ProForma_IS_Qtr!BF78*4)</f>
        <v>0.80189604445897356</v>
      </c>
      <c r="BG79" s="124">
        <f ca="1">BG78/(ProForma_IS_Qtr!BG78*4)</f>
        <v>0.86048273322878777</v>
      </c>
      <c r="BH79" s="124">
        <f ca="1">BH78/(ProForma_IS_Qtr!BH78*4)</f>
        <v>0.71974081087009245</v>
      </c>
      <c r="BI79" s="125">
        <f ca="1">BI78/ProForma_IS_Qtr!BI78</f>
        <v>0.7791837959879917</v>
      </c>
    </row>
    <row r="80" spans="1:68">
      <c r="A80" s="1"/>
      <c r="B80" s="124"/>
      <c r="C80" s="124"/>
      <c r="D80" s="124"/>
      <c r="E80" s="124"/>
      <c r="F80" s="125"/>
      <c r="G80" s="124"/>
      <c r="H80" s="124"/>
      <c r="I80" s="124"/>
      <c r="J80" s="124"/>
      <c r="K80" s="125"/>
      <c r="L80" s="124"/>
      <c r="M80" s="124"/>
      <c r="N80" s="124"/>
      <c r="O80" s="124"/>
      <c r="P80" s="125"/>
      <c r="Q80" s="124"/>
      <c r="R80" s="124"/>
      <c r="S80" s="124"/>
      <c r="T80" s="124"/>
      <c r="U80" s="125"/>
      <c r="V80" s="124"/>
      <c r="W80" s="124"/>
      <c r="X80" s="124"/>
      <c r="Y80" s="124"/>
      <c r="Z80" s="125"/>
      <c r="AA80" s="124"/>
      <c r="AB80" s="124"/>
      <c r="AC80" s="124"/>
      <c r="AD80" s="124"/>
      <c r="AE80" s="125"/>
      <c r="AF80" s="124"/>
      <c r="AG80" s="124"/>
      <c r="AH80" s="124"/>
      <c r="AI80" s="124"/>
      <c r="AJ80" s="125"/>
      <c r="AK80" s="124"/>
      <c r="AL80" s="124"/>
      <c r="AM80" s="124"/>
      <c r="AN80" s="124"/>
      <c r="AO80" s="125"/>
      <c r="AP80" s="124"/>
      <c r="AQ80" s="124"/>
      <c r="AR80" s="124"/>
      <c r="AS80" s="124"/>
      <c r="AT80" s="125"/>
      <c r="AU80" s="124"/>
      <c r="AV80" s="124"/>
      <c r="AW80" s="124"/>
      <c r="AX80" s="124"/>
      <c r="AY80" s="125"/>
      <c r="AZ80" s="124"/>
      <c r="BA80" s="124"/>
      <c r="BB80" s="124"/>
      <c r="BC80" s="124"/>
      <c r="BD80" s="125"/>
      <c r="BE80" s="124"/>
      <c r="BF80" s="124"/>
      <c r="BG80" s="124"/>
      <c r="BH80" s="124"/>
      <c r="BI80" s="125"/>
    </row>
    <row r="81" spans="1:61">
      <c r="A81" s="102" t="s">
        <v>105</v>
      </c>
      <c r="B81" s="129"/>
      <c r="C81" s="129"/>
      <c r="D81" s="129"/>
      <c r="E81" s="129"/>
      <c r="F81" s="130"/>
      <c r="G81" s="129"/>
      <c r="H81" s="129"/>
      <c r="I81" s="129"/>
      <c r="J81" s="129"/>
      <c r="K81" s="130"/>
      <c r="L81" s="129"/>
      <c r="M81" s="129"/>
      <c r="N81" s="129"/>
      <c r="O81" s="129"/>
      <c r="P81" s="130"/>
      <c r="Q81" s="129"/>
      <c r="R81" s="129"/>
      <c r="S81" s="129"/>
      <c r="T81" s="129"/>
      <c r="U81" s="130"/>
      <c r="V81" s="129"/>
      <c r="W81" s="129"/>
      <c r="X81" s="129"/>
      <c r="Y81" s="129"/>
      <c r="Z81" s="130"/>
      <c r="AA81" s="129"/>
      <c r="AB81" s="129"/>
      <c r="AC81" s="129"/>
      <c r="AD81" s="129"/>
      <c r="AE81" s="130"/>
      <c r="AF81" s="129"/>
      <c r="AG81" s="129"/>
      <c r="AH81" s="129"/>
      <c r="AI81" s="129"/>
      <c r="AJ81" s="130"/>
      <c r="AK81" s="129"/>
      <c r="AL81" s="129"/>
      <c r="AM81" s="129"/>
      <c r="AN81" s="129"/>
      <c r="AO81" s="130"/>
      <c r="AP81" s="129"/>
      <c r="AQ81" s="129"/>
      <c r="AR81" s="129"/>
      <c r="AS81" s="129"/>
      <c r="AT81" s="130"/>
      <c r="AU81" s="129"/>
      <c r="AV81" s="129"/>
      <c r="AW81" s="129"/>
      <c r="AX81" s="129"/>
      <c r="AY81" s="130"/>
      <c r="AZ81" s="129"/>
      <c r="BA81" s="129"/>
      <c r="BB81" s="129"/>
      <c r="BC81" s="129"/>
      <c r="BD81" s="130"/>
      <c r="BE81" s="129"/>
      <c r="BF81" s="129"/>
      <c r="BG81" s="129"/>
      <c r="BH81" s="129"/>
      <c r="BI81" s="130"/>
    </row>
    <row r="82" spans="1:61">
      <c r="A82" s="1" t="s">
        <v>91</v>
      </c>
      <c r="B82" s="73"/>
      <c r="C82" s="73"/>
      <c r="D82" s="73"/>
      <c r="E82" s="73"/>
      <c r="F82" s="75"/>
      <c r="G82" s="73"/>
      <c r="H82" s="73"/>
      <c r="I82" s="73"/>
      <c r="J82" s="73"/>
      <c r="K82" s="75"/>
      <c r="L82" s="73"/>
      <c r="M82" s="73"/>
      <c r="N82" s="73"/>
      <c r="O82" s="73"/>
      <c r="P82" s="75"/>
      <c r="Q82" s="73"/>
      <c r="R82" s="73"/>
      <c r="S82" s="73"/>
      <c r="T82" s="73"/>
      <c r="U82" s="75"/>
      <c r="V82" s="73"/>
      <c r="W82" s="73"/>
      <c r="X82" s="73"/>
      <c r="Y82" s="73"/>
      <c r="Z82" s="75"/>
      <c r="AA82" s="73"/>
      <c r="AB82" s="73"/>
      <c r="AC82" s="73"/>
      <c r="AD82" s="73"/>
      <c r="AE82" s="75"/>
      <c r="AF82" s="73"/>
      <c r="AG82" s="73"/>
      <c r="AH82" s="73"/>
      <c r="AI82" s="73"/>
      <c r="AJ82" s="75"/>
      <c r="AK82" s="73"/>
      <c r="AL82" s="73"/>
      <c r="AM82" s="73"/>
      <c r="AN82" s="73"/>
      <c r="AO82" s="75"/>
      <c r="AP82" s="73"/>
      <c r="AQ82" s="73"/>
      <c r="AR82" s="73"/>
      <c r="AS82" s="73"/>
      <c r="AT82" s="75"/>
      <c r="AU82" s="73"/>
      <c r="AV82" s="73"/>
      <c r="AW82" s="73"/>
      <c r="AX82" s="73"/>
      <c r="AY82" s="75"/>
      <c r="AZ82" s="73"/>
      <c r="BA82" s="73"/>
      <c r="BB82" s="73"/>
      <c r="BC82" s="73"/>
      <c r="BD82" s="75"/>
      <c r="BE82" s="73"/>
      <c r="BF82" s="73"/>
      <c r="BG82" s="73"/>
      <c r="BH82" s="73"/>
      <c r="BI82" s="75">
        <f ca="1">BI5</f>
        <v>9813.4955361832508</v>
      </c>
    </row>
    <row r="83" spans="1:61">
      <c r="A83" s="1" t="s">
        <v>92</v>
      </c>
      <c r="B83" s="73"/>
      <c r="C83" s="73"/>
      <c r="D83" s="73"/>
      <c r="E83" s="73"/>
      <c r="F83" s="75"/>
      <c r="G83" s="73"/>
      <c r="H83" s="73"/>
      <c r="I83" s="73"/>
      <c r="J83" s="73"/>
      <c r="K83" s="75"/>
      <c r="L83" s="73"/>
      <c r="M83" s="73"/>
      <c r="N83" s="73"/>
      <c r="O83" s="73"/>
      <c r="P83" s="75"/>
      <c r="Q83" s="73"/>
      <c r="R83" s="73"/>
      <c r="S83" s="73"/>
      <c r="T83" s="73"/>
      <c r="U83" s="75"/>
      <c r="V83" s="73"/>
      <c r="W83" s="73"/>
      <c r="X83" s="73"/>
      <c r="Y83" s="73"/>
      <c r="Z83" s="75"/>
      <c r="AA83" s="73"/>
      <c r="AB83" s="73"/>
      <c r="AC83" s="73"/>
      <c r="AD83" s="73"/>
      <c r="AE83" s="75"/>
      <c r="AF83" s="73"/>
      <c r="AG83" s="73"/>
      <c r="AH83" s="73"/>
      <c r="AI83" s="73"/>
      <c r="AJ83" s="75"/>
      <c r="AK83" s="73"/>
      <c r="AL83" s="73"/>
      <c r="AM83" s="73"/>
      <c r="AN83" s="73"/>
      <c r="AO83" s="75"/>
      <c r="AP83" s="73"/>
      <c r="AQ83" s="73"/>
      <c r="AR83" s="73"/>
      <c r="AS83" s="73"/>
      <c r="AT83" s="75"/>
      <c r="AU83" s="73"/>
      <c r="AV83" s="73"/>
      <c r="AW83" s="73"/>
      <c r="AX83" s="73"/>
      <c r="AY83" s="75"/>
      <c r="AZ83" s="73"/>
      <c r="BA83" s="73"/>
      <c r="BB83" s="73"/>
      <c r="BC83" s="73"/>
      <c r="BD83" s="75"/>
      <c r="BE83" s="73"/>
      <c r="BF83" s="73"/>
      <c r="BG83" s="73"/>
      <c r="BH83" s="73"/>
      <c r="BI83" s="75">
        <f ca="1">(ProForma_IS_Qtr!BI78+Balance_Sheet_Qtr!BI87)*BI85+(Balance_Sheet_Qtr!BI82-BI77)</f>
        <v>33288.368903372568</v>
      </c>
    </row>
    <row r="84" spans="1:61">
      <c r="A84" s="131" t="s">
        <v>114</v>
      </c>
      <c r="B84" s="22"/>
      <c r="C84" s="22"/>
      <c r="D84" s="22"/>
      <c r="E84" s="22"/>
      <c r="F84" s="23"/>
      <c r="G84" s="22"/>
      <c r="H84" s="22"/>
      <c r="I84" s="22"/>
      <c r="J84" s="22"/>
      <c r="K84" s="23"/>
      <c r="L84" s="22"/>
      <c r="M84" s="22"/>
      <c r="N84" s="22"/>
      <c r="O84" s="22"/>
      <c r="P84" s="23"/>
      <c r="Q84" s="22"/>
      <c r="R84" s="22"/>
      <c r="S84" s="22"/>
      <c r="T84" s="22"/>
      <c r="U84" s="23"/>
      <c r="V84" s="22"/>
      <c r="W84" s="22"/>
      <c r="X84" s="22"/>
      <c r="Y84" s="22"/>
      <c r="Z84" s="23"/>
      <c r="AA84" s="22"/>
      <c r="AB84" s="22"/>
      <c r="AC84" s="22"/>
      <c r="AD84" s="22"/>
      <c r="AE84" s="23"/>
      <c r="AF84" s="22"/>
      <c r="AG84" s="22"/>
      <c r="AH84" s="22"/>
      <c r="AI84" s="22"/>
      <c r="AJ84" s="23"/>
      <c r="AK84" s="22"/>
      <c r="AL84" s="22"/>
      <c r="AM84" s="22"/>
      <c r="AN84" s="22"/>
      <c r="AO84" s="23"/>
      <c r="AP84" s="22"/>
      <c r="AQ84" s="22"/>
      <c r="AR84" s="22"/>
      <c r="AS84" s="22"/>
      <c r="AT84" s="23"/>
      <c r="AU84" s="22"/>
      <c r="AV84" s="22"/>
      <c r="AW84" s="22"/>
      <c r="AX84" s="22"/>
      <c r="AY84" s="23"/>
      <c r="AZ84" s="22"/>
      <c r="BA84" s="22"/>
      <c r="BB84" s="22"/>
      <c r="BC84" s="22"/>
      <c r="BD84" s="23"/>
      <c r="BE84" s="22"/>
      <c r="BF84" s="22"/>
      <c r="BG84" s="22"/>
      <c r="BH84" s="22"/>
      <c r="BI84" s="23">
        <f ca="1">BI83</f>
        <v>33288.368903372568</v>
      </c>
    </row>
    <row r="85" spans="1:61">
      <c r="A85" s="1" t="s">
        <v>119</v>
      </c>
      <c r="B85" s="126"/>
      <c r="C85" s="126"/>
      <c r="D85" s="126"/>
      <c r="E85" s="126"/>
      <c r="F85" s="127"/>
      <c r="G85" s="126"/>
      <c r="H85" s="126"/>
      <c r="I85" s="126"/>
      <c r="J85" s="126"/>
      <c r="K85" s="127"/>
      <c r="L85" s="126"/>
      <c r="M85" s="126"/>
      <c r="N85" s="126"/>
      <c r="O85" s="126"/>
      <c r="P85" s="127"/>
      <c r="Q85" s="126"/>
      <c r="R85" s="126"/>
      <c r="S85" s="126"/>
      <c r="T85" s="126"/>
      <c r="U85" s="127"/>
      <c r="V85" s="126"/>
      <c r="W85" s="126"/>
      <c r="X85" s="126"/>
      <c r="Y85" s="126"/>
      <c r="Z85" s="127"/>
      <c r="AA85" s="126"/>
      <c r="AB85" s="126"/>
      <c r="AC85" s="126"/>
      <c r="AD85" s="126"/>
      <c r="AE85" s="127"/>
      <c r="AF85" s="126"/>
      <c r="AG85" s="126"/>
      <c r="AH85" s="126"/>
      <c r="AI85" s="126"/>
      <c r="AJ85" s="127"/>
      <c r="AK85" s="126"/>
      <c r="AL85" s="126"/>
      <c r="AM85" s="126"/>
      <c r="AN85" s="126"/>
      <c r="AO85" s="127"/>
      <c r="AP85" s="126"/>
      <c r="AQ85" s="126"/>
      <c r="AR85" s="126"/>
      <c r="AS85" s="126"/>
      <c r="AT85" s="127"/>
      <c r="AU85" s="126"/>
      <c r="AV85" s="126"/>
      <c r="AW85" s="126"/>
      <c r="AX85" s="126"/>
      <c r="AY85" s="127"/>
      <c r="AZ85" s="126"/>
      <c r="BA85" s="126"/>
      <c r="BB85" s="126"/>
      <c r="BC85" s="126"/>
      <c r="BD85" s="127"/>
      <c r="BE85" s="126"/>
      <c r="BF85" s="126"/>
      <c r="BG85" s="126"/>
      <c r="BH85" s="126"/>
      <c r="BI85" s="127">
        <v>3</v>
      </c>
    </row>
    <row r="86" spans="1:61">
      <c r="A86" s="1" t="s">
        <v>116</v>
      </c>
      <c r="B86" s="124"/>
      <c r="C86" s="124"/>
      <c r="D86" s="124"/>
      <c r="E86" s="124"/>
      <c r="F86" s="125"/>
      <c r="G86" s="124"/>
      <c r="H86" s="124"/>
      <c r="I86" s="124"/>
      <c r="J86" s="124"/>
      <c r="K86" s="125"/>
      <c r="L86" s="124"/>
      <c r="M86" s="124"/>
      <c r="N86" s="124"/>
      <c r="O86" s="124"/>
      <c r="P86" s="125"/>
      <c r="Q86" s="124"/>
      <c r="R86" s="124"/>
      <c r="S86" s="124"/>
      <c r="T86" s="124"/>
      <c r="U86" s="125"/>
      <c r="V86" s="124"/>
      <c r="W86" s="124"/>
      <c r="X86" s="124"/>
      <c r="Y86" s="124"/>
      <c r="Z86" s="125"/>
      <c r="AA86" s="124"/>
      <c r="AB86" s="124"/>
      <c r="AC86" s="124"/>
      <c r="AD86" s="124"/>
      <c r="AE86" s="125"/>
      <c r="AF86" s="124"/>
      <c r="AG86" s="124"/>
      <c r="AH86" s="124"/>
      <c r="AI86" s="124"/>
      <c r="AJ86" s="125"/>
      <c r="AK86" s="124"/>
      <c r="AL86" s="124"/>
      <c r="AM86" s="124"/>
      <c r="AN86" s="124"/>
      <c r="AO86" s="125"/>
      <c r="AP86" s="124"/>
      <c r="AQ86" s="124"/>
      <c r="AR86" s="124"/>
      <c r="AS86" s="124"/>
      <c r="AT86" s="125"/>
      <c r="AU86" s="124"/>
      <c r="AV86" s="124"/>
      <c r="AW86" s="124"/>
      <c r="AX86" s="124"/>
      <c r="AY86" s="125"/>
      <c r="AZ86" s="124"/>
      <c r="BA86" s="124"/>
      <c r="BB86" s="124"/>
      <c r="BC86" s="124"/>
      <c r="BD86" s="125"/>
      <c r="BE86" s="124"/>
      <c r="BF86" s="124"/>
      <c r="BG86" s="124"/>
      <c r="BH86" s="124"/>
      <c r="BI86" s="125">
        <f ca="1">IF((BI77+BI83-BI82)/(ProForma_IS_Qtr!BI78+Balance_Sheet_Qtr!BI87)=BI85,(BI77+BI83-BI82)/(ProForma_IS_Qtr!BI78+Balance_Sheet_Qtr!BI87),"Error")</f>
        <v>2.9999999999999996</v>
      </c>
    </row>
    <row r="87" spans="1:61">
      <c r="A87" s="1" t="s">
        <v>93</v>
      </c>
      <c r="B87" s="73"/>
      <c r="C87" s="73"/>
      <c r="D87" s="73"/>
      <c r="E87" s="73"/>
      <c r="F87" s="75"/>
      <c r="G87" s="73"/>
      <c r="H87" s="73"/>
      <c r="I87" s="73"/>
      <c r="J87" s="73"/>
      <c r="K87" s="75"/>
      <c r="L87" s="73"/>
      <c r="M87" s="73"/>
      <c r="N87" s="73"/>
      <c r="O87" s="73"/>
      <c r="P87" s="75"/>
      <c r="Q87" s="73"/>
      <c r="R87" s="73"/>
      <c r="S87" s="73"/>
      <c r="T87" s="73"/>
      <c r="U87" s="75"/>
      <c r="V87" s="73"/>
      <c r="W87" s="73"/>
      <c r="X87" s="73"/>
      <c r="Y87" s="73"/>
      <c r="Z87" s="75"/>
      <c r="AA87" s="73"/>
      <c r="AB87" s="73"/>
      <c r="AC87" s="73"/>
      <c r="AD87" s="73"/>
      <c r="AE87" s="75"/>
      <c r="AF87" s="73"/>
      <c r="AG87" s="73"/>
      <c r="AH87" s="73"/>
      <c r="AI87" s="73"/>
      <c r="AJ87" s="75"/>
      <c r="AK87" s="73"/>
      <c r="AL87" s="73"/>
      <c r="AM87" s="73"/>
      <c r="AN87" s="73"/>
      <c r="AO87" s="75"/>
      <c r="AP87" s="73"/>
      <c r="AQ87" s="73"/>
      <c r="AR87" s="73"/>
      <c r="AS87" s="73"/>
      <c r="AT87" s="75"/>
      <c r="AU87" s="73"/>
      <c r="AV87" s="73"/>
      <c r="AW87" s="73"/>
      <c r="AX87" s="73"/>
      <c r="AY87" s="75"/>
      <c r="AZ87" s="73"/>
      <c r="BA87" s="73"/>
      <c r="BB87" s="73"/>
      <c r="BC87" s="73"/>
      <c r="BD87" s="75"/>
      <c r="BE87" s="73"/>
      <c r="BF87" s="73"/>
      <c r="BG87" s="73"/>
      <c r="BH87" s="73"/>
      <c r="BI87" s="75">
        <f ca="1">BI84/BI88</f>
        <v>2219.2245935581714</v>
      </c>
    </row>
    <row r="88" spans="1:61">
      <c r="A88" s="1" t="s">
        <v>94</v>
      </c>
      <c r="B88" s="126"/>
      <c r="C88" s="126"/>
      <c r="D88" s="126"/>
      <c r="E88" s="126"/>
      <c r="F88" s="127"/>
      <c r="G88" s="126"/>
      <c r="H88" s="126"/>
      <c r="I88" s="126"/>
      <c r="J88" s="126"/>
      <c r="K88" s="127"/>
      <c r="L88" s="126"/>
      <c r="M88" s="126"/>
      <c r="N88" s="126"/>
      <c r="O88" s="126"/>
      <c r="P88" s="127"/>
      <c r="Q88" s="126"/>
      <c r="R88" s="126"/>
      <c r="S88" s="126"/>
      <c r="T88" s="126"/>
      <c r="U88" s="127"/>
      <c r="V88" s="126"/>
      <c r="W88" s="126"/>
      <c r="X88" s="126"/>
      <c r="Y88" s="126"/>
      <c r="Z88" s="127"/>
      <c r="AA88" s="126"/>
      <c r="AB88" s="126"/>
      <c r="AC88" s="126"/>
      <c r="AD88" s="126"/>
      <c r="AE88" s="127"/>
      <c r="AF88" s="126"/>
      <c r="AG88" s="126"/>
      <c r="AH88" s="126"/>
      <c r="AI88" s="126"/>
      <c r="AJ88" s="127"/>
      <c r="AK88" s="126"/>
      <c r="AL88" s="126"/>
      <c r="AM88" s="126"/>
      <c r="AN88" s="126"/>
      <c r="AO88" s="127"/>
      <c r="AP88" s="126"/>
      <c r="AQ88" s="126"/>
      <c r="AR88" s="126"/>
      <c r="AS88" s="126"/>
      <c r="AT88" s="127"/>
      <c r="AU88" s="126"/>
      <c r="AV88" s="126"/>
      <c r="AW88" s="126"/>
      <c r="AX88" s="126"/>
      <c r="AY88" s="127"/>
      <c r="AZ88" s="126"/>
      <c r="BA88" s="126"/>
      <c r="BB88" s="126"/>
      <c r="BC88" s="126"/>
      <c r="BD88" s="127"/>
      <c r="BE88" s="126"/>
      <c r="BF88" s="126"/>
      <c r="BG88" s="126"/>
      <c r="BH88" s="126"/>
      <c r="BI88" s="127">
        <v>15</v>
      </c>
    </row>
    <row r="89" spans="1:61">
      <c r="A89" s="1"/>
      <c r="B89" s="73"/>
      <c r="C89" s="73"/>
      <c r="D89" s="73"/>
      <c r="E89" s="73"/>
      <c r="F89" s="75"/>
      <c r="G89" s="73"/>
      <c r="H89" s="73"/>
      <c r="I89" s="73"/>
      <c r="J89" s="73"/>
      <c r="K89" s="75"/>
      <c r="L89" s="73"/>
      <c r="M89" s="73"/>
      <c r="N89" s="73"/>
      <c r="O89" s="73"/>
      <c r="P89" s="75"/>
      <c r="Q89" s="73"/>
      <c r="R89" s="73"/>
      <c r="S89" s="73"/>
      <c r="T89" s="73"/>
      <c r="U89" s="75"/>
      <c r="V89" s="73"/>
      <c r="W89" s="73"/>
      <c r="X89" s="73"/>
      <c r="Y89" s="73"/>
      <c r="Z89" s="75"/>
      <c r="AA89" s="73"/>
      <c r="AB89" s="73"/>
      <c r="AC89" s="73"/>
      <c r="AD89" s="73"/>
      <c r="AE89" s="75"/>
      <c r="AF89" s="73"/>
      <c r="AG89" s="73"/>
      <c r="AH89" s="73"/>
      <c r="AI89" s="73"/>
      <c r="AJ89" s="75"/>
      <c r="AK89" s="73"/>
      <c r="AL89" s="73"/>
      <c r="AM89" s="73"/>
      <c r="AN89" s="73"/>
      <c r="AO89" s="75"/>
      <c r="AP89" s="73"/>
      <c r="AQ89" s="73"/>
      <c r="AR89" s="73"/>
      <c r="AS89" s="73"/>
      <c r="AT89" s="75"/>
      <c r="AU89" s="73"/>
      <c r="AV89" s="73"/>
      <c r="AW89" s="73"/>
      <c r="AX89" s="73"/>
      <c r="AY89" s="75"/>
      <c r="AZ89" s="73"/>
      <c r="BA89" s="73"/>
      <c r="BB89" s="73"/>
      <c r="BC89" s="73"/>
      <c r="BD89" s="75"/>
      <c r="BE89" s="73"/>
      <c r="BF89" s="73"/>
      <c r="BG89" s="73"/>
      <c r="BH89" s="73"/>
      <c r="BI89" s="75"/>
    </row>
    <row r="90" spans="1:61">
      <c r="A90" s="1" t="s">
        <v>101</v>
      </c>
      <c r="B90" s="128"/>
      <c r="C90" s="128"/>
      <c r="D90" s="128"/>
      <c r="E90" s="128"/>
      <c r="F90" s="132"/>
      <c r="G90" s="128"/>
      <c r="H90" s="128"/>
      <c r="I90" s="128"/>
      <c r="J90" s="128"/>
      <c r="K90" s="132"/>
      <c r="L90" s="128"/>
      <c r="M90" s="128"/>
      <c r="N90" s="128"/>
      <c r="O90" s="128"/>
      <c r="P90" s="132"/>
      <c r="Q90" s="128"/>
      <c r="R90" s="128"/>
      <c r="S90" s="128"/>
      <c r="T90" s="128"/>
      <c r="U90" s="132"/>
      <c r="V90" s="128"/>
      <c r="W90" s="128"/>
      <c r="X90" s="128"/>
      <c r="Y90" s="128"/>
      <c r="Z90" s="132"/>
      <c r="AA90" s="128"/>
      <c r="AB90" s="128"/>
      <c r="AC90" s="128"/>
      <c r="AD90" s="128"/>
      <c r="AE90" s="132"/>
      <c r="AF90" s="128"/>
      <c r="AG90" s="128"/>
      <c r="AH90" s="128"/>
      <c r="AI90" s="128"/>
      <c r="AJ90" s="132"/>
      <c r="AK90" s="128"/>
      <c r="AL90" s="128"/>
      <c r="AM90" s="128"/>
      <c r="AN90" s="128"/>
      <c r="AO90" s="132"/>
      <c r="AP90" s="128"/>
      <c r="AQ90" s="128"/>
      <c r="AR90" s="128"/>
      <c r="AS90" s="128"/>
      <c r="AT90" s="132"/>
      <c r="AU90" s="128"/>
      <c r="AV90" s="128"/>
      <c r="AW90" s="128"/>
      <c r="AX90" s="128"/>
      <c r="AY90" s="132"/>
      <c r="AZ90" s="128"/>
      <c r="BA90" s="128"/>
      <c r="BB90" s="128"/>
      <c r="BC90" s="128"/>
      <c r="BD90" s="132"/>
      <c r="BE90" s="128"/>
      <c r="BF90" s="128"/>
      <c r="BG90" s="128"/>
      <c r="BH90" s="128"/>
      <c r="BI90" s="132">
        <v>0.2</v>
      </c>
    </row>
    <row r="91" spans="1:61">
      <c r="A91" s="1" t="s">
        <v>102</v>
      </c>
      <c r="B91" s="73"/>
      <c r="C91" s="73"/>
      <c r="D91" s="73"/>
      <c r="E91" s="73"/>
      <c r="F91" s="75"/>
      <c r="G91" s="73"/>
      <c r="H91" s="73"/>
      <c r="I91" s="73"/>
      <c r="J91" s="73"/>
      <c r="K91" s="75"/>
      <c r="L91" s="73"/>
      <c r="M91" s="73"/>
      <c r="N91" s="73"/>
      <c r="O91" s="73"/>
      <c r="P91" s="75"/>
      <c r="Q91" s="73"/>
      <c r="R91" s="73"/>
      <c r="S91" s="73"/>
      <c r="T91" s="73"/>
      <c r="U91" s="75"/>
      <c r="V91" s="73"/>
      <c r="W91" s="73"/>
      <c r="X91" s="73"/>
      <c r="Y91" s="73"/>
      <c r="Z91" s="75"/>
      <c r="AA91" s="73"/>
      <c r="AB91" s="73"/>
      <c r="AC91" s="73"/>
      <c r="AD91" s="73"/>
      <c r="AE91" s="75"/>
      <c r="AF91" s="50"/>
      <c r="AG91" s="73"/>
      <c r="AH91" s="73"/>
      <c r="AI91" s="73"/>
      <c r="AJ91" s="75"/>
      <c r="AK91" s="50"/>
      <c r="AL91" s="73"/>
      <c r="AM91" s="73"/>
      <c r="AN91" s="73"/>
      <c r="AO91" s="75"/>
      <c r="AP91" s="50"/>
      <c r="AQ91" s="73"/>
      <c r="AR91" s="73"/>
      <c r="AS91" s="73"/>
      <c r="AT91" s="75"/>
      <c r="AU91" s="73"/>
      <c r="AV91" s="73"/>
      <c r="AW91" s="73"/>
      <c r="AX91" s="73"/>
      <c r="AY91" s="75"/>
      <c r="AZ91" s="73"/>
      <c r="BA91" s="73"/>
      <c r="BB91" s="73"/>
      <c r="BC91" s="73"/>
      <c r="BD91" s="75"/>
      <c r="BE91" s="73"/>
      <c r="BF91" s="73"/>
      <c r="BG91" s="73"/>
      <c r="BH91" s="73"/>
      <c r="BI91" s="75">
        <f ca="1">-BI90*BI87</f>
        <v>-443.84491871163431</v>
      </c>
    </row>
    <row r="92" spans="1:61">
      <c r="A92" s="1" t="s">
        <v>103</v>
      </c>
      <c r="B92" s="73"/>
      <c r="C92" s="73"/>
      <c r="D92" s="73"/>
      <c r="E92" s="73"/>
      <c r="F92" s="75"/>
      <c r="G92" s="73"/>
      <c r="H92" s="73"/>
      <c r="I92" s="73"/>
      <c r="J92" s="73"/>
      <c r="K92" s="75"/>
      <c r="L92" s="73"/>
      <c r="M92" s="73"/>
      <c r="N92" s="73"/>
      <c r="O92" s="73"/>
      <c r="P92" s="75"/>
      <c r="Q92" s="73"/>
      <c r="R92" s="73"/>
      <c r="S92" s="73"/>
      <c r="T92" s="73"/>
      <c r="U92" s="75"/>
      <c r="V92" s="73"/>
      <c r="W92" s="73"/>
      <c r="X92" s="73"/>
      <c r="Y92" s="73"/>
      <c r="Z92" s="75"/>
      <c r="AA92" s="73"/>
      <c r="AB92" s="73"/>
      <c r="AC92" s="73"/>
      <c r="AD92" s="73"/>
      <c r="AE92" s="75"/>
      <c r="AF92" s="73"/>
      <c r="AG92" s="73"/>
      <c r="AH92" s="73"/>
      <c r="AI92" s="73"/>
      <c r="AJ92" s="75"/>
      <c r="AK92" s="73"/>
      <c r="AL92" s="73"/>
      <c r="AM92" s="73"/>
      <c r="AN92" s="73"/>
      <c r="AO92" s="75"/>
      <c r="AP92" s="73"/>
      <c r="AQ92" s="73"/>
      <c r="AR92" s="73"/>
      <c r="AS92" s="73"/>
      <c r="AT92" s="75"/>
      <c r="AU92" s="73"/>
      <c r="AV92" s="73"/>
      <c r="AW92" s="73"/>
      <c r="AX92" s="73"/>
      <c r="AY92" s="75"/>
      <c r="AZ92" s="73"/>
      <c r="BA92" s="73"/>
      <c r="BB92" s="73"/>
      <c r="BC92" s="73"/>
      <c r="BD92" s="75"/>
      <c r="BE92" s="73"/>
      <c r="BF92" s="73"/>
      <c r="BG92" s="73"/>
      <c r="BH92" s="73"/>
      <c r="BI92" s="75">
        <f ca="1">BI87+BI91</f>
        <v>1775.379674846537</v>
      </c>
    </row>
    <row r="93" spans="1:61">
      <c r="A93" s="1" t="s">
        <v>95</v>
      </c>
      <c r="B93" s="128"/>
      <c r="C93" s="128"/>
      <c r="D93" s="128"/>
      <c r="E93" s="128"/>
      <c r="F93" s="132"/>
      <c r="G93" s="128"/>
      <c r="H93" s="128"/>
      <c r="I93" s="128"/>
      <c r="J93" s="128"/>
      <c r="K93" s="132"/>
      <c r="L93" s="128"/>
      <c r="M93" s="128"/>
      <c r="N93" s="128"/>
      <c r="O93" s="128"/>
      <c r="P93" s="132"/>
      <c r="Q93" s="128"/>
      <c r="R93" s="128"/>
      <c r="S93" s="128"/>
      <c r="T93" s="128"/>
      <c r="U93" s="132"/>
      <c r="V93" s="128"/>
      <c r="W93" s="128"/>
      <c r="X93" s="128"/>
      <c r="Y93" s="128"/>
      <c r="Z93" s="132"/>
      <c r="AA93" s="128"/>
      <c r="AB93" s="128"/>
      <c r="AC93" s="128"/>
      <c r="AD93" s="128"/>
      <c r="AE93" s="132"/>
      <c r="AF93" s="128"/>
      <c r="AG93" s="128"/>
      <c r="AH93" s="128"/>
      <c r="AI93" s="128"/>
      <c r="AJ93" s="132"/>
      <c r="AK93" s="128"/>
      <c r="AL93" s="128"/>
      <c r="AM93" s="128"/>
      <c r="AN93" s="128"/>
      <c r="AO93" s="132"/>
      <c r="AP93" s="128"/>
      <c r="AQ93" s="128"/>
      <c r="AR93" s="128"/>
      <c r="AS93" s="255"/>
      <c r="AT93" s="132"/>
      <c r="AU93" s="128"/>
      <c r="AV93" s="128"/>
      <c r="AW93" s="128"/>
      <c r="AX93" s="255"/>
      <c r="AY93" s="132"/>
      <c r="AZ93" s="128"/>
      <c r="BA93" s="128"/>
      <c r="BB93" s="128"/>
      <c r="BC93" s="255"/>
      <c r="BD93" s="132"/>
      <c r="BE93" s="128"/>
      <c r="BF93" s="128"/>
      <c r="BG93" s="128"/>
      <c r="BH93" s="255"/>
      <c r="BI93" s="132">
        <v>0.05</v>
      </c>
    </row>
    <row r="94" spans="1:61">
      <c r="A94" s="1" t="s">
        <v>96</v>
      </c>
      <c r="B94" s="73"/>
      <c r="C94" s="73"/>
      <c r="D94" s="73"/>
      <c r="E94" s="73"/>
      <c r="F94" s="75"/>
      <c r="G94" s="73"/>
      <c r="H94" s="73"/>
      <c r="I94" s="73"/>
      <c r="J94" s="73"/>
      <c r="K94" s="75"/>
      <c r="L94" s="73"/>
      <c r="M94" s="73"/>
      <c r="N94" s="73"/>
      <c r="O94" s="73"/>
      <c r="P94" s="75"/>
      <c r="Q94" s="73"/>
      <c r="R94" s="73"/>
      <c r="S94" s="73"/>
      <c r="T94" s="73"/>
      <c r="U94" s="75"/>
      <c r="V94" s="73"/>
      <c r="W94" s="73"/>
      <c r="X94" s="73"/>
      <c r="Y94" s="73"/>
      <c r="Z94" s="75"/>
      <c r="AA94" s="73"/>
      <c r="AB94" s="73"/>
      <c r="AC94" s="73"/>
      <c r="AD94" s="73"/>
      <c r="AE94" s="75"/>
      <c r="AF94" s="73"/>
      <c r="AG94" s="73"/>
      <c r="AH94" s="73"/>
      <c r="AI94" s="73"/>
      <c r="AJ94" s="75"/>
      <c r="AK94" s="73"/>
      <c r="AL94" s="73"/>
      <c r="AM94" s="73"/>
      <c r="AN94" s="73"/>
      <c r="AO94" s="75"/>
      <c r="AP94" s="73"/>
      <c r="AQ94" s="73"/>
      <c r="AR94" s="73"/>
      <c r="AS94" s="73"/>
      <c r="AT94" s="75"/>
      <c r="AU94" s="73"/>
      <c r="AV94" s="73"/>
      <c r="AW94" s="73"/>
      <c r="AX94" s="73"/>
      <c r="AY94" s="75"/>
      <c r="AZ94" s="73"/>
      <c r="BA94" s="73"/>
      <c r="BB94" s="73"/>
      <c r="BC94" s="73"/>
      <c r="BD94" s="75"/>
      <c r="BE94" s="73"/>
      <c r="BF94" s="73"/>
      <c r="BG94" s="73"/>
      <c r="BH94" s="73"/>
      <c r="BI94" s="75">
        <f ca="1">-BI93*BI83</f>
        <v>-1664.4184451686285</v>
      </c>
    </row>
    <row r="95" spans="1:61">
      <c r="A95" s="1" t="s">
        <v>41</v>
      </c>
      <c r="B95" s="73"/>
      <c r="C95" s="73"/>
      <c r="D95" s="73"/>
      <c r="E95" s="73"/>
      <c r="F95" s="75"/>
      <c r="G95" s="73"/>
      <c r="H95" s="73"/>
      <c r="I95" s="73"/>
      <c r="J95" s="73"/>
      <c r="K95" s="75"/>
      <c r="L95" s="73"/>
      <c r="M95" s="73"/>
      <c r="N95" s="73"/>
      <c r="O95" s="73"/>
      <c r="P95" s="75"/>
      <c r="Q95" s="73"/>
      <c r="R95" s="73"/>
      <c r="S95" s="73"/>
      <c r="T95" s="73"/>
      <c r="U95" s="75"/>
      <c r="V95" s="73"/>
      <c r="W95" s="73"/>
      <c r="X95" s="73"/>
      <c r="Y95" s="73"/>
      <c r="Z95" s="75"/>
      <c r="AA95" s="73"/>
      <c r="AB95" s="73"/>
      <c r="AC95" s="73"/>
      <c r="AD95" s="73"/>
      <c r="AE95" s="75"/>
      <c r="AF95" s="73"/>
      <c r="AG95" s="73"/>
      <c r="AH95" s="73"/>
      <c r="AI95" s="73"/>
      <c r="AJ95" s="75"/>
      <c r="AK95" s="73"/>
      <c r="AL95" s="73"/>
      <c r="AM95" s="73"/>
      <c r="AN95" s="73"/>
      <c r="AO95" s="75"/>
      <c r="AP95" s="73"/>
      <c r="AQ95" s="73"/>
      <c r="AR95" s="73"/>
      <c r="AS95" s="73"/>
      <c r="AT95" s="75"/>
      <c r="AU95" s="73"/>
      <c r="AV95" s="73"/>
      <c r="AW95" s="73"/>
      <c r="AX95" s="73"/>
      <c r="AY95" s="75"/>
      <c r="AZ95" s="73"/>
      <c r="BA95" s="73"/>
      <c r="BB95" s="73"/>
      <c r="BC95" s="73"/>
      <c r="BD95" s="75"/>
      <c r="BE95" s="73"/>
      <c r="BF95" s="73"/>
      <c r="BG95" s="73"/>
      <c r="BH95" s="73"/>
      <c r="BI95" s="75">
        <f ca="1">BI92+BI94</f>
        <v>110.96122967790848</v>
      </c>
    </row>
    <row r="96" spans="1:61">
      <c r="A96" s="1" t="s">
        <v>100</v>
      </c>
      <c r="B96" s="73"/>
      <c r="C96" s="73"/>
      <c r="D96" s="73"/>
      <c r="E96" s="73"/>
      <c r="F96" s="75"/>
      <c r="G96" s="73"/>
      <c r="H96" s="73"/>
      <c r="I96" s="73"/>
      <c r="J96" s="73"/>
      <c r="K96" s="75"/>
      <c r="L96" s="73"/>
      <c r="M96" s="73"/>
      <c r="N96" s="73"/>
      <c r="O96" s="73"/>
      <c r="P96" s="75"/>
      <c r="Q96" s="73"/>
      <c r="R96" s="73"/>
      <c r="S96" s="73"/>
      <c r="T96" s="73"/>
      <c r="U96" s="75"/>
      <c r="V96" s="73"/>
      <c r="W96" s="73"/>
      <c r="X96" s="73"/>
      <c r="Y96" s="73"/>
      <c r="Z96" s="75"/>
      <c r="AA96" s="73"/>
      <c r="AB96" s="73"/>
      <c r="AC96" s="73"/>
      <c r="AD96" s="73"/>
      <c r="AE96" s="75"/>
      <c r="AF96" s="73"/>
      <c r="AG96" s="73"/>
      <c r="AH96" s="73"/>
      <c r="AI96" s="73"/>
      <c r="AJ96" s="75"/>
      <c r="AK96" s="73"/>
      <c r="AL96" s="73"/>
      <c r="AM96" s="73"/>
      <c r="AN96" s="73"/>
      <c r="AO96" s="75"/>
      <c r="AP96" s="73"/>
      <c r="AQ96" s="73"/>
      <c r="AR96" s="73"/>
      <c r="AS96" s="73"/>
      <c r="AT96" s="75"/>
      <c r="AU96" s="73"/>
      <c r="AV96" s="73"/>
      <c r="AW96" s="73"/>
      <c r="AX96" s="73"/>
      <c r="AY96" s="75"/>
      <c r="AZ96" s="73"/>
      <c r="BA96" s="73"/>
      <c r="BB96" s="73"/>
      <c r="BC96" s="73"/>
      <c r="BD96" s="75"/>
      <c r="BE96" s="73"/>
      <c r="BF96" s="73"/>
      <c r="BG96" s="73"/>
      <c r="BH96" s="73"/>
      <c r="BI96" s="75">
        <f ca="1">-BI95*BI97</f>
        <v>-33.288368903372543</v>
      </c>
    </row>
    <row r="97" spans="1:61">
      <c r="A97" s="1" t="s">
        <v>99</v>
      </c>
      <c r="B97" s="128"/>
      <c r="C97" s="128"/>
      <c r="D97" s="128"/>
      <c r="E97" s="128"/>
      <c r="F97" s="132"/>
      <c r="G97" s="128"/>
      <c r="H97" s="128"/>
      <c r="I97" s="128"/>
      <c r="J97" s="128"/>
      <c r="K97" s="132"/>
      <c r="L97" s="128"/>
      <c r="M97" s="128"/>
      <c r="N97" s="128"/>
      <c r="O97" s="128"/>
      <c r="P97" s="132"/>
      <c r="Q97" s="128"/>
      <c r="R97" s="128"/>
      <c r="S97" s="128"/>
      <c r="T97" s="128"/>
      <c r="U97" s="132"/>
      <c r="V97" s="128"/>
      <c r="W97" s="128"/>
      <c r="X97" s="128"/>
      <c r="Y97" s="128"/>
      <c r="Z97" s="132"/>
      <c r="AA97" s="128"/>
      <c r="AB97" s="128"/>
      <c r="AC97" s="128"/>
      <c r="AD97" s="128"/>
      <c r="AE97" s="132"/>
      <c r="AF97" s="128"/>
      <c r="AG97" s="128"/>
      <c r="AH97" s="128"/>
      <c r="AI97" s="128"/>
      <c r="AJ97" s="132"/>
      <c r="AK97" s="128"/>
      <c r="AL97" s="128"/>
      <c r="AM97" s="128"/>
      <c r="AN97" s="128"/>
      <c r="AO97" s="132"/>
      <c r="AP97" s="128"/>
      <c r="AQ97" s="128"/>
      <c r="AR97" s="128"/>
      <c r="AS97" s="128"/>
      <c r="AT97" s="132"/>
      <c r="AU97" s="128"/>
      <c r="AV97" s="128"/>
      <c r="AW97" s="128"/>
      <c r="AX97" s="128"/>
      <c r="AY97" s="132"/>
      <c r="AZ97" s="128"/>
      <c r="BA97" s="128"/>
      <c r="BB97" s="128"/>
      <c r="BC97" s="128"/>
      <c r="BD97" s="132"/>
      <c r="BE97" s="128"/>
      <c r="BF97" s="128"/>
      <c r="BG97" s="128"/>
      <c r="BH97" s="128"/>
      <c r="BI97" s="132">
        <v>0.3</v>
      </c>
    </row>
    <row r="98" spans="1:61">
      <c r="A98" s="1" t="s">
        <v>97</v>
      </c>
      <c r="B98" s="73"/>
      <c r="C98" s="73"/>
      <c r="D98" s="73"/>
      <c r="E98" s="73"/>
      <c r="F98" s="75"/>
      <c r="G98" s="73"/>
      <c r="H98" s="73"/>
      <c r="I98" s="73"/>
      <c r="J98" s="73"/>
      <c r="K98" s="75"/>
      <c r="L98" s="73"/>
      <c r="M98" s="73"/>
      <c r="N98" s="73"/>
      <c r="O98" s="73"/>
      <c r="P98" s="75"/>
      <c r="Q98" s="73"/>
      <c r="R98" s="73"/>
      <c r="S98" s="73"/>
      <c r="T98" s="73"/>
      <c r="U98" s="75"/>
      <c r="V98" s="73"/>
      <c r="W98" s="73"/>
      <c r="X98" s="73"/>
      <c r="Y98" s="73"/>
      <c r="Z98" s="75"/>
      <c r="AA98" s="73"/>
      <c r="AB98" s="73"/>
      <c r="AC98" s="73"/>
      <c r="AD98" s="73"/>
      <c r="AE98" s="75"/>
      <c r="AF98" s="73"/>
      <c r="AG98" s="73"/>
      <c r="AH98" s="73"/>
      <c r="AI98" s="73"/>
      <c r="AJ98" s="75"/>
      <c r="AK98" s="73"/>
      <c r="AL98" s="73"/>
      <c r="AM98" s="73"/>
      <c r="AN98" s="73"/>
      <c r="AO98" s="75"/>
      <c r="AP98" s="73"/>
      <c r="AQ98" s="73"/>
      <c r="AR98" s="73"/>
      <c r="AS98" s="73"/>
      <c r="AT98" s="75"/>
      <c r="AU98" s="73"/>
      <c r="AV98" s="73"/>
      <c r="AW98" s="73"/>
      <c r="AX98" s="73"/>
      <c r="AY98" s="75"/>
      <c r="AZ98" s="73"/>
      <c r="BA98" s="73"/>
      <c r="BB98" s="73"/>
      <c r="BC98" s="73"/>
      <c r="BD98" s="75"/>
      <c r="BE98" s="73"/>
      <c r="BF98" s="73"/>
      <c r="BG98" s="73"/>
      <c r="BH98" s="73"/>
      <c r="BI98" s="75">
        <f ca="1">BI95+BI96</f>
        <v>77.672860774535934</v>
      </c>
    </row>
    <row r="99" spans="1:61">
      <c r="A99" s="131" t="s">
        <v>98</v>
      </c>
      <c r="B99" s="48"/>
      <c r="C99" s="48"/>
      <c r="D99" s="48"/>
      <c r="E99" s="48"/>
      <c r="F99" s="49"/>
      <c r="G99" s="48"/>
      <c r="H99" s="48"/>
      <c r="I99" s="48"/>
      <c r="J99" s="48"/>
      <c r="K99" s="49"/>
      <c r="L99" s="48"/>
      <c r="M99" s="48"/>
      <c r="N99" s="48"/>
      <c r="O99" s="48"/>
      <c r="P99" s="49"/>
      <c r="Q99" s="48"/>
      <c r="R99" s="48"/>
      <c r="S99" s="48"/>
      <c r="T99" s="48"/>
      <c r="U99" s="49"/>
      <c r="V99" s="48"/>
      <c r="W99" s="48"/>
      <c r="X99" s="48"/>
      <c r="Y99" s="48"/>
      <c r="Z99" s="49"/>
      <c r="AA99" s="48"/>
      <c r="AB99" s="48"/>
      <c r="AC99" s="48"/>
      <c r="AD99" s="48"/>
      <c r="AE99" s="49"/>
      <c r="AF99" s="48"/>
      <c r="AG99" s="48"/>
      <c r="AH99" s="48"/>
      <c r="AI99" s="48"/>
      <c r="AJ99" s="49"/>
      <c r="AK99" s="48"/>
      <c r="AL99" s="48"/>
      <c r="AM99" s="48"/>
      <c r="AN99" s="48"/>
      <c r="AO99" s="49"/>
      <c r="AP99" s="48"/>
      <c r="AQ99" s="48"/>
      <c r="AR99" s="48"/>
      <c r="AS99" s="48"/>
      <c r="AT99" s="49"/>
      <c r="AU99" s="48"/>
      <c r="AV99" s="48"/>
      <c r="AW99" s="48"/>
      <c r="AX99" s="48"/>
      <c r="AY99" s="49"/>
      <c r="AZ99" s="48"/>
      <c r="BA99" s="48"/>
      <c r="BB99" s="48"/>
      <c r="BC99" s="48"/>
      <c r="BD99" s="49"/>
      <c r="BE99" s="48"/>
      <c r="BF99" s="48"/>
      <c r="BG99" s="48"/>
      <c r="BH99" s="48"/>
      <c r="BI99" s="49">
        <f ca="1">BI98/ProForma_IS_Qtr!BI60</f>
        <v>7.3968479170582427E-2</v>
      </c>
    </row>
    <row r="100" spans="1:61">
      <c r="A100" s="1" t="s">
        <v>106</v>
      </c>
      <c r="B100" s="34"/>
      <c r="C100" s="34"/>
      <c r="D100" s="34"/>
      <c r="E100" s="34"/>
      <c r="F100" s="35"/>
      <c r="G100" s="34"/>
      <c r="H100" s="34"/>
      <c r="I100" s="34"/>
      <c r="J100" s="34"/>
      <c r="K100" s="35"/>
      <c r="L100" s="34"/>
      <c r="M100" s="34"/>
      <c r="N100" s="34"/>
      <c r="O100" s="34"/>
      <c r="P100" s="35"/>
      <c r="Q100" s="34"/>
      <c r="R100" s="34"/>
      <c r="S100" s="34"/>
      <c r="T100" s="34"/>
      <c r="U100" s="35"/>
      <c r="V100" s="34"/>
      <c r="W100" s="34"/>
      <c r="X100" s="34"/>
      <c r="Y100" s="34"/>
      <c r="Z100" s="35"/>
      <c r="AA100" s="34"/>
      <c r="AB100" s="34"/>
      <c r="AC100" s="34"/>
      <c r="AD100" s="34"/>
      <c r="AE100" s="35"/>
      <c r="AF100" s="34"/>
      <c r="AG100" s="34"/>
      <c r="AH100" s="34"/>
      <c r="AI100" s="34"/>
      <c r="AJ100" s="35"/>
      <c r="AK100" s="34"/>
      <c r="AL100" s="34"/>
      <c r="AM100" s="34"/>
      <c r="AN100" s="34"/>
      <c r="AO100" s="35"/>
      <c r="AP100" s="34"/>
      <c r="AQ100" s="34"/>
      <c r="AR100" s="34"/>
      <c r="AS100" s="34"/>
      <c r="AT100" s="35"/>
      <c r="AU100" s="33"/>
      <c r="AV100" s="33"/>
      <c r="AW100" s="33"/>
      <c r="AX100" s="34"/>
      <c r="AY100" s="35"/>
      <c r="AZ100" s="33"/>
      <c r="BA100" s="33"/>
      <c r="BB100" s="34"/>
      <c r="BC100" s="34"/>
      <c r="BD100" s="35"/>
      <c r="BE100" s="33"/>
      <c r="BF100" s="33"/>
      <c r="BG100" s="34"/>
      <c r="BH100" s="34"/>
      <c r="BI100" s="35">
        <f ca="1">BI99/ProForma_IS_Qtr!BI51</f>
        <v>9.4253415695916779E-3</v>
      </c>
    </row>
    <row r="101" spans="1:61">
      <c r="A101" s="1"/>
      <c r="B101" s="124"/>
      <c r="C101" s="124"/>
      <c r="D101" s="124"/>
      <c r="E101" s="124"/>
      <c r="F101" s="125"/>
      <c r="G101" s="124"/>
      <c r="H101" s="124"/>
      <c r="I101" s="124"/>
      <c r="J101" s="124"/>
      <c r="K101" s="125"/>
      <c r="L101" s="124"/>
      <c r="M101" s="124"/>
      <c r="N101" s="124"/>
      <c r="O101" s="124"/>
      <c r="P101" s="125"/>
      <c r="Q101" s="124"/>
      <c r="R101" s="124"/>
      <c r="S101" s="124"/>
      <c r="T101" s="124"/>
      <c r="U101" s="125"/>
      <c r="V101" s="124"/>
      <c r="W101" s="124"/>
      <c r="X101" s="124"/>
      <c r="Y101" s="124"/>
      <c r="Z101" s="125"/>
      <c r="AA101" s="124"/>
      <c r="AB101" s="124"/>
      <c r="AC101" s="124"/>
      <c r="AD101" s="124"/>
      <c r="AE101" s="125"/>
      <c r="AF101" s="124"/>
      <c r="AG101" s="124"/>
      <c r="AH101" s="124"/>
      <c r="AI101" s="124"/>
      <c r="AJ101" s="125"/>
      <c r="AK101" s="124"/>
      <c r="AL101" s="124"/>
      <c r="AM101" s="124"/>
      <c r="AN101" s="124"/>
      <c r="AO101" s="125"/>
      <c r="AP101" s="124"/>
      <c r="AQ101" s="124"/>
      <c r="AR101" s="124"/>
      <c r="AS101" s="124"/>
      <c r="AT101" s="125"/>
      <c r="AU101" s="124"/>
      <c r="AV101" s="124"/>
      <c r="AW101" s="124"/>
      <c r="AX101" s="124"/>
      <c r="AY101" s="125"/>
      <c r="AZ101" s="124"/>
      <c r="BA101" s="124"/>
      <c r="BB101" s="124"/>
      <c r="BC101" s="124"/>
      <c r="BD101" s="125"/>
      <c r="BE101" s="124"/>
      <c r="BF101" s="124"/>
      <c r="BG101" s="124"/>
      <c r="BH101" s="124"/>
      <c r="BI101" s="125"/>
    </row>
    <row r="102" spans="1:61">
      <c r="A102" s="102" t="s">
        <v>107</v>
      </c>
      <c r="B102" s="129"/>
      <c r="C102" s="129"/>
      <c r="D102" s="129"/>
      <c r="E102" s="129"/>
      <c r="F102" s="130"/>
      <c r="G102" s="129"/>
      <c r="H102" s="129"/>
      <c r="I102" s="129"/>
      <c r="J102" s="129"/>
      <c r="K102" s="130"/>
      <c r="L102" s="129"/>
      <c r="M102" s="129"/>
      <c r="N102" s="129"/>
      <c r="O102" s="129"/>
      <c r="P102" s="130"/>
      <c r="Q102" s="129"/>
      <c r="R102" s="129"/>
      <c r="S102" s="129"/>
      <c r="T102" s="129"/>
      <c r="U102" s="130"/>
      <c r="V102" s="129"/>
      <c r="W102" s="129"/>
      <c r="X102" s="129"/>
      <c r="Y102" s="129"/>
      <c r="Z102" s="130"/>
      <c r="AA102" s="129"/>
      <c r="AB102" s="129"/>
      <c r="AC102" s="129"/>
      <c r="AD102" s="129"/>
      <c r="AE102" s="130"/>
      <c r="AF102" s="129"/>
      <c r="AG102" s="129"/>
      <c r="AH102" s="129"/>
      <c r="AI102" s="129"/>
      <c r="AJ102" s="130"/>
      <c r="AK102" s="129"/>
      <c r="AL102" s="129"/>
      <c r="AM102" s="129"/>
      <c r="AN102" s="129"/>
      <c r="AO102" s="130"/>
      <c r="AP102" s="129"/>
      <c r="AQ102" s="129"/>
      <c r="AR102" s="129"/>
      <c r="AS102" s="129"/>
      <c r="AT102" s="130"/>
      <c r="AU102" s="129"/>
      <c r="AV102" s="129"/>
      <c r="AW102" s="129"/>
      <c r="AX102" s="129"/>
      <c r="AY102" s="130"/>
      <c r="AZ102" s="129"/>
      <c r="BA102" s="129"/>
      <c r="BB102" s="129"/>
      <c r="BC102" s="129"/>
      <c r="BD102" s="130"/>
      <c r="BE102" s="129"/>
      <c r="BF102" s="129"/>
      <c r="BG102" s="129"/>
      <c r="BH102" s="129"/>
      <c r="BI102" s="130"/>
    </row>
    <row r="103" spans="1:61">
      <c r="A103" s="1" t="s">
        <v>91</v>
      </c>
      <c r="B103" s="73"/>
      <c r="C103" s="73"/>
      <c r="D103" s="73"/>
      <c r="E103" s="73"/>
      <c r="F103" s="75"/>
      <c r="G103" s="73"/>
      <c r="H103" s="73"/>
      <c r="I103" s="73"/>
      <c r="J103" s="73"/>
      <c r="K103" s="75"/>
      <c r="L103" s="73"/>
      <c r="M103" s="73"/>
      <c r="N103" s="73"/>
      <c r="O103" s="73"/>
      <c r="P103" s="75"/>
      <c r="Q103" s="73"/>
      <c r="R103" s="73"/>
      <c r="S103" s="73"/>
      <c r="T103" s="73"/>
      <c r="U103" s="75"/>
      <c r="V103" s="73"/>
      <c r="W103" s="73"/>
      <c r="X103" s="73"/>
      <c r="Y103" s="73"/>
      <c r="Z103" s="75"/>
      <c r="AA103" s="73"/>
      <c r="AB103" s="73"/>
      <c r="AC103" s="73"/>
      <c r="AD103" s="73"/>
      <c r="AE103" s="75"/>
      <c r="AF103" s="73"/>
      <c r="AG103" s="73"/>
      <c r="AH103" s="73"/>
      <c r="AI103" s="73"/>
      <c r="AJ103" s="75"/>
      <c r="AK103" s="73"/>
      <c r="AL103" s="73"/>
      <c r="AM103" s="73"/>
      <c r="AN103" s="73"/>
      <c r="AO103" s="75"/>
      <c r="AP103" s="73"/>
      <c r="AQ103" s="73"/>
      <c r="AR103" s="73"/>
      <c r="AS103" s="73"/>
      <c r="AT103" s="75"/>
      <c r="AU103" s="73"/>
      <c r="AV103" s="73"/>
      <c r="AW103" s="73"/>
      <c r="AX103" s="73"/>
      <c r="AY103" s="75"/>
      <c r="AZ103" s="73"/>
      <c r="BA103" s="73"/>
      <c r="BB103" s="73"/>
      <c r="BC103" s="73"/>
      <c r="BD103" s="75"/>
      <c r="BE103" s="73"/>
      <c r="BF103" s="73"/>
      <c r="BG103" s="73"/>
      <c r="BH103" s="73"/>
      <c r="BI103" s="75">
        <f ca="1">BI5</f>
        <v>9813.4955361832508</v>
      </c>
    </row>
    <row r="104" spans="1:61">
      <c r="A104" s="1" t="s">
        <v>92</v>
      </c>
      <c r="B104" s="73"/>
      <c r="C104" s="73"/>
      <c r="D104" s="73"/>
      <c r="E104" s="73"/>
      <c r="F104" s="75"/>
      <c r="G104" s="73"/>
      <c r="H104" s="73"/>
      <c r="I104" s="73"/>
      <c r="J104" s="73"/>
      <c r="K104" s="75"/>
      <c r="L104" s="73"/>
      <c r="M104" s="73"/>
      <c r="N104" s="73"/>
      <c r="O104" s="73"/>
      <c r="P104" s="75"/>
      <c r="Q104" s="73"/>
      <c r="R104" s="73"/>
      <c r="S104" s="73"/>
      <c r="T104" s="73"/>
      <c r="U104" s="75"/>
      <c r="V104" s="73"/>
      <c r="W104" s="73"/>
      <c r="X104" s="73"/>
      <c r="Y104" s="73"/>
      <c r="Z104" s="75"/>
      <c r="AA104" s="73"/>
      <c r="AB104" s="73"/>
      <c r="AC104" s="73"/>
      <c r="AD104" s="73"/>
      <c r="AE104" s="75"/>
      <c r="AF104" s="73"/>
      <c r="AG104" s="73"/>
      <c r="AH104" s="73"/>
      <c r="AI104" s="73"/>
      <c r="AJ104" s="75"/>
      <c r="AK104" s="73"/>
      <c r="AL104" s="73"/>
      <c r="AM104" s="73"/>
      <c r="AN104" s="73"/>
      <c r="AO104" s="75"/>
      <c r="AP104" s="73"/>
      <c r="AQ104" s="73"/>
      <c r="AR104" s="73"/>
      <c r="AS104" s="73"/>
      <c r="AT104" s="75"/>
      <c r="AU104" s="73"/>
      <c r="AV104" s="73"/>
      <c r="AW104" s="73"/>
      <c r="AX104" s="73"/>
      <c r="AY104" s="75"/>
      <c r="AZ104" s="73"/>
      <c r="BA104" s="73"/>
      <c r="BB104" s="73"/>
      <c r="BC104" s="73"/>
      <c r="BD104" s="75"/>
      <c r="BE104" s="73"/>
      <c r="BF104" s="73"/>
      <c r="BG104" s="73"/>
      <c r="BH104" s="73"/>
      <c r="BI104" s="75">
        <f ca="1">(ProForma_IS_Qtr!BI78)*BI106+(Balance_Sheet_Qtr!BI103-BI77)</f>
        <v>26630.695122698056</v>
      </c>
    </row>
    <row r="105" spans="1:61">
      <c r="A105" s="131" t="s">
        <v>118</v>
      </c>
      <c r="B105" s="22"/>
      <c r="C105" s="22"/>
      <c r="D105" s="22"/>
      <c r="E105" s="22"/>
      <c r="F105" s="23"/>
      <c r="G105" s="22"/>
      <c r="H105" s="22"/>
      <c r="I105" s="22"/>
      <c r="J105" s="22"/>
      <c r="K105" s="23"/>
      <c r="L105" s="22"/>
      <c r="M105" s="22"/>
      <c r="N105" s="22"/>
      <c r="O105" s="22"/>
      <c r="P105" s="23"/>
      <c r="Q105" s="22"/>
      <c r="R105" s="22"/>
      <c r="S105" s="22"/>
      <c r="T105" s="22"/>
      <c r="U105" s="23"/>
      <c r="V105" s="22"/>
      <c r="W105" s="22"/>
      <c r="X105" s="22"/>
      <c r="Y105" s="22"/>
      <c r="Z105" s="23"/>
      <c r="AA105" s="22"/>
      <c r="AB105" s="22"/>
      <c r="AC105" s="22"/>
      <c r="AD105" s="22"/>
      <c r="AE105" s="23"/>
      <c r="AF105" s="22"/>
      <c r="AG105" s="22"/>
      <c r="AH105" s="22"/>
      <c r="AI105" s="22"/>
      <c r="AJ105" s="23"/>
      <c r="AK105" s="22"/>
      <c r="AL105" s="22"/>
      <c r="AM105" s="22"/>
      <c r="AN105" s="22"/>
      <c r="AO105" s="23"/>
      <c r="AP105" s="22"/>
      <c r="AQ105" s="22"/>
      <c r="AR105" s="22"/>
      <c r="AS105" s="22"/>
      <c r="AT105" s="23"/>
      <c r="AU105" s="22"/>
      <c r="AV105" s="22"/>
      <c r="AW105" s="22"/>
      <c r="AX105" s="22"/>
      <c r="AY105" s="23"/>
      <c r="AZ105" s="22"/>
      <c r="BA105" s="22"/>
      <c r="BB105" s="22"/>
      <c r="BC105" s="22"/>
      <c r="BD105" s="23"/>
      <c r="BE105" s="22"/>
      <c r="BF105" s="22"/>
      <c r="BG105" s="22"/>
      <c r="BH105" s="22"/>
      <c r="BI105" s="23">
        <f ca="1">BI104</f>
        <v>26630.695122698056</v>
      </c>
    </row>
    <row r="106" spans="1:61">
      <c r="A106" s="1" t="s">
        <v>120</v>
      </c>
      <c r="B106" s="126"/>
      <c r="C106" s="126"/>
      <c r="D106" s="126"/>
      <c r="E106" s="126"/>
      <c r="F106" s="127"/>
      <c r="G106" s="126"/>
      <c r="H106" s="126"/>
      <c r="I106" s="126"/>
      <c r="J106" s="126"/>
      <c r="K106" s="127"/>
      <c r="L106" s="126"/>
      <c r="M106" s="126"/>
      <c r="N106" s="126"/>
      <c r="O106" s="126"/>
      <c r="P106" s="127"/>
      <c r="Q106" s="126"/>
      <c r="R106" s="126"/>
      <c r="S106" s="126"/>
      <c r="T106" s="126"/>
      <c r="U106" s="127"/>
      <c r="V106" s="126"/>
      <c r="W106" s="126"/>
      <c r="X106" s="126"/>
      <c r="Y106" s="126"/>
      <c r="Z106" s="127"/>
      <c r="AA106" s="126"/>
      <c r="AB106" s="126"/>
      <c r="AC106" s="126"/>
      <c r="AD106" s="126"/>
      <c r="AE106" s="127"/>
      <c r="AF106" s="126"/>
      <c r="AG106" s="126"/>
      <c r="AH106" s="126"/>
      <c r="AI106" s="126"/>
      <c r="AJ106" s="127"/>
      <c r="AK106" s="126"/>
      <c r="AL106" s="126"/>
      <c r="AM106" s="126"/>
      <c r="AN106" s="126"/>
      <c r="AO106" s="127"/>
      <c r="AP106" s="126"/>
      <c r="AQ106" s="126"/>
      <c r="AR106" s="126"/>
      <c r="AS106" s="126"/>
      <c r="AT106" s="127"/>
      <c r="AU106" s="126"/>
      <c r="AV106" s="126"/>
      <c r="AW106" s="126"/>
      <c r="AX106" s="126"/>
      <c r="AY106" s="127"/>
      <c r="AZ106" s="126"/>
      <c r="BA106" s="126"/>
      <c r="BB106" s="126"/>
      <c r="BC106" s="126"/>
      <c r="BD106" s="127"/>
      <c r="BE106" s="126"/>
      <c r="BF106" s="126"/>
      <c r="BG106" s="126"/>
      <c r="BH106" s="126"/>
      <c r="BI106" s="127">
        <v>3</v>
      </c>
    </row>
    <row r="107" spans="1:61">
      <c r="A107" s="1" t="s">
        <v>117</v>
      </c>
      <c r="B107" s="124"/>
      <c r="C107" s="124"/>
      <c r="D107" s="124"/>
      <c r="E107" s="124"/>
      <c r="F107" s="125"/>
      <c r="G107" s="124"/>
      <c r="H107" s="124"/>
      <c r="I107" s="124"/>
      <c r="J107" s="124"/>
      <c r="K107" s="125"/>
      <c r="L107" s="124"/>
      <c r="M107" s="124"/>
      <c r="N107" s="124"/>
      <c r="O107" s="124"/>
      <c r="P107" s="125"/>
      <c r="Q107" s="124"/>
      <c r="R107" s="124"/>
      <c r="S107" s="124"/>
      <c r="T107" s="124"/>
      <c r="U107" s="125"/>
      <c r="V107" s="124"/>
      <c r="W107" s="124"/>
      <c r="X107" s="124"/>
      <c r="Y107" s="124"/>
      <c r="Z107" s="125"/>
      <c r="AA107" s="124"/>
      <c r="AB107" s="124"/>
      <c r="AC107" s="124"/>
      <c r="AD107" s="124"/>
      <c r="AE107" s="125"/>
      <c r="AF107" s="124"/>
      <c r="AG107" s="124"/>
      <c r="AH107" s="124"/>
      <c r="AI107" s="124"/>
      <c r="AJ107" s="125"/>
      <c r="AK107" s="124"/>
      <c r="AL107" s="124"/>
      <c r="AM107" s="124"/>
      <c r="AN107" s="124"/>
      <c r="AO107" s="125"/>
      <c r="AP107" s="124"/>
      <c r="AQ107" s="124"/>
      <c r="AR107" s="124"/>
      <c r="AS107" s="124"/>
      <c r="AT107" s="125"/>
      <c r="AU107" s="124"/>
      <c r="AV107" s="124"/>
      <c r="AW107" s="124"/>
      <c r="AX107" s="124"/>
      <c r="AY107" s="125"/>
      <c r="AZ107" s="124"/>
      <c r="BA107" s="124"/>
      <c r="BB107" s="124"/>
      <c r="BC107" s="124"/>
      <c r="BD107" s="125"/>
      <c r="BE107" s="124"/>
      <c r="BF107" s="124"/>
      <c r="BG107" s="124"/>
      <c r="BH107" s="124"/>
      <c r="BI107" s="125">
        <f ca="1">(BI104+BI77-BI103)/(ProForma_IS_Qtr!BI78)</f>
        <v>3</v>
      </c>
    </row>
    <row r="108" spans="1:61">
      <c r="A108" s="1" t="s">
        <v>95</v>
      </c>
      <c r="B108" s="128"/>
      <c r="C108" s="128"/>
      <c r="D108" s="128"/>
      <c r="E108" s="128"/>
      <c r="F108" s="132"/>
      <c r="G108" s="128"/>
      <c r="H108" s="128"/>
      <c r="I108" s="128"/>
      <c r="J108" s="128"/>
      <c r="K108" s="132"/>
      <c r="L108" s="128"/>
      <c r="M108" s="128"/>
      <c r="N108" s="128"/>
      <c r="O108" s="128"/>
      <c r="P108" s="132"/>
      <c r="Q108" s="128"/>
      <c r="R108" s="128"/>
      <c r="S108" s="128"/>
      <c r="T108" s="128"/>
      <c r="U108" s="132"/>
      <c r="V108" s="128"/>
      <c r="W108" s="128"/>
      <c r="X108" s="128"/>
      <c r="Y108" s="128"/>
      <c r="Z108" s="132"/>
      <c r="AA108" s="128"/>
      <c r="AB108" s="128"/>
      <c r="AC108" s="128"/>
      <c r="AD108" s="128"/>
      <c r="AE108" s="132"/>
      <c r="AF108" s="128"/>
      <c r="AG108" s="128"/>
      <c r="AH108" s="128"/>
      <c r="AI108" s="128"/>
      <c r="AJ108" s="132"/>
      <c r="AK108" s="128"/>
      <c r="AL108" s="128"/>
      <c r="AM108" s="128"/>
      <c r="AN108" s="128"/>
      <c r="AO108" s="132"/>
      <c r="AP108" s="128"/>
      <c r="AQ108" s="128"/>
      <c r="AR108" s="128"/>
      <c r="AS108" s="128"/>
      <c r="AT108" s="132"/>
      <c r="AU108" s="128"/>
      <c r="AV108" s="128"/>
      <c r="AW108" s="128"/>
      <c r="AX108" s="128"/>
      <c r="AY108" s="132"/>
      <c r="AZ108" s="128"/>
      <c r="BA108" s="128"/>
      <c r="BB108" s="128"/>
      <c r="BC108" s="128"/>
      <c r="BD108" s="132"/>
      <c r="BE108" s="128"/>
      <c r="BF108" s="128"/>
      <c r="BG108" s="128"/>
      <c r="BH108" s="128"/>
      <c r="BI108" s="132">
        <f>+BI93</f>
        <v>0.05</v>
      </c>
    </row>
    <row r="109" spans="1:61">
      <c r="A109" s="1" t="s">
        <v>96</v>
      </c>
      <c r="B109" s="73"/>
      <c r="C109" s="73"/>
      <c r="D109" s="73"/>
      <c r="E109" s="73"/>
      <c r="F109" s="75"/>
      <c r="G109" s="73"/>
      <c r="H109" s="73"/>
      <c r="I109" s="73"/>
      <c r="J109" s="73"/>
      <c r="K109" s="75"/>
      <c r="L109" s="73"/>
      <c r="M109" s="73"/>
      <c r="N109" s="73"/>
      <c r="O109" s="73"/>
      <c r="P109" s="75"/>
      <c r="Q109" s="73"/>
      <c r="R109" s="73"/>
      <c r="S109" s="73"/>
      <c r="T109" s="73"/>
      <c r="U109" s="75"/>
      <c r="V109" s="73"/>
      <c r="W109" s="73"/>
      <c r="X109" s="73"/>
      <c r="Y109" s="73"/>
      <c r="Z109" s="75"/>
      <c r="AA109" s="73"/>
      <c r="AB109" s="73"/>
      <c r="AC109" s="73"/>
      <c r="AD109" s="73"/>
      <c r="AE109" s="75"/>
      <c r="AF109" s="73"/>
      <c r="AG109" s="73"/>
      <c r="AH109" s="73"/>
      <c r="AI109" s="73"/>
      <c r="AJ109" s="75"/>
      <c r="AK109" s="73"/>
      <c r="AL109" s="73"/>
      <c r="AM109" s="73"/>
      <c r="AN109" s="73"/>
      <c r="AO109" s="75"/>
      <c r="AP109" s="73"/>
      <c r="AQ109" s="73"/>
      <c r="AR109" s="73"/>
      <c r="AS109" s="73"/>
      <c r="AT109" s="75"/>
      <c r="AU109" s="73"/>
      <c r="AV109" s="73"/>
      <c r="AW109" s="73"/>
      <c r="AX109" s="73"/>
      <c r="AY109" s="75"/>
      <c r="AZ109" s="73"/>
      <c r="BA109" s="73"/>
      <c r="BB109" s="73"/>
      <c r="BC109" s="73"/>
      <c r="BD109" s="75"/>
      <c r="BE109" s="73"/>
      <c r="BF109" s="73"/>
      <c r="BG109" s="73"/>
      <c r="BH109" s="73"/>
      <c r="BI109" s="75">
        <f ca="1">-BI108*BI104</f>
        <v>-1331.5347561349029</v>
      </c>
    </row>
    <row r="110" spans="1:61">
      <c r="A110" s="1" t="s">
        <v>110</v>
      </c>
      <c r="B110" s="128"/>
      <c r="C110" s="128"/>
      <c r="D110" s="128"/>
      <c r="E110" s="128"/>
      <c r="F110" s="132"/>
      <c r="G110" s="128"/>
      <c r="H110" s="128"/>
      <c r="I110" s="128"/>
      <c r="J110" s="128"/>
      <c r="K110" s="132"/>
      <c r="L110" s="128"/>
      <c r="M110" s="128"/>
      <c r="N110" s="128"/>
      <c r="O110" s="128"/>
      <c r="P110" s="132"/>
      <c r="Q110" s="128"/>
      <c r="R110" s="128"/>
      <c r="S110" s="128"/>
      <c r="T110" s="128"/>
      <c r="U110" s="132"/>
      <c r="V110" s="128"/>
      <c r="W110" s="128"/>
      <c r="X110" s="128"/>
      <c r="Y110" s="128"/>
      <c r="Z110" s="132"/>
      <c r="AA110" s="128"/>
      <c r="AB110" s="128"/>
      <c r="AC110" s="128"/>
      <c r="AD110" s="128"/>
      <c r="AE110" s="132"/>
      <c r="AF110" s="128"/>
      <c r="AG110" s="128"/>
      <c r="AH110" s="128"/>
      <c r="AI110" s="128"/>
      <c r="AJ110" s="132"/>
      <c r="AK110" s="128"/>
      <c r="AL110" s="128"/>
      <c r="AM110" s="128"/>
      <c r="AN110" s="128"/>
      <c r="AO110" s="132"/>
      <c r="AP110" s="128"/>
      <c r="AQ110" s="128"/>
      <c r="AR110" s="128"/>
      <c r="AS110" s="128"/>
      <c r="AT110" s="132"/>
      <c r="AU110" s="128"/>
      <c r="AV110" s="128"/>
      <c r="AW110" s="128"/>
      <c r="AX110" s="128"/>
      <c r="AY110" s="132"/>
      <c r="AZ110" s="128"/>
      <c r="BA110" s="128"/>
      <c r="BB110" s="128"/>
      <c r="BC110" s="128"/>
      <c r="BD110" s="132"/>
      <c r="BE110" s="128"/>
      <c r="BF110" s="128"/>
      <c r="BG110" s="128"/>
      <c r="BH110" s="128"/>
      <c r="BI110" s="132">
        <f>+BI97</f>
        <v>0.3</v>
      </c>
    </row>
    <row r="111" spans="1:61">
      <c r="A111" s="1" t="s">
        <v>112</v>
      </c>
      <c r="B111" s="73"/>
      <c r="C111" s="73"/>
      <c r="D111" s="73"/>
      <c r="E111" s="73"/>
      <c r="F111" s="75"/>
      <c r="G111" s="73"/>
      <c r="H111" s="73"/>
      <c r="I111" s="73"/>
      <c r="J111" s="73"/>
      <c r="K111" s="75"/>
      <c r="L111" s="73"/>
      <c r="M111" s="73"/>
      <c r="N111" s="73"/>
      <c r="O111" s="73"/>
      <c r="P111" s="75"/>
      <c r="Q111" s="73"/>
      <c r="R111" s="73"/>
      <c r="S111" s="73"/>
      <c r="T111" s="73"/>
      <c r="U111" s="75"/>
      <c r="V111" s="73"/>
      <c r="W111" s="73"/>
      <c r="X111" s="73"/>
      <c r="Y111" s="73"/>
      <c r="Z111" s="75"/>
      <c r="AA111" s="73"/>
      <c r="AB111" s="73"/>
      <c r="AC111" s="73"/>
      <c r="AD111" s="73"/>
      <c r="AE111" s="75"/>
      <c r="AF111" s="73"/>
      <c r="AG111" s="73"/>
      <c r="AH111" s="73"/>
      <c r="AI111" s="73"/>
      <c r="AJ111" s="75"/>
      <c r="AK111" s="73"/>
      <c r="AL111" s="73"/>
      <c r="AM111" s="73"/>
      <c r="AN111" s="73"/>
      <c r="AO111" s="75"/>
      <c r="AP111" s="73"/>
      <c r="AQ111" s="73"/>
      <c r="AR111" s="73"/>
      <c r="AS111" s="73"/>
      <c r="AT111" s="75"/>
      <c r="AU111" s="73"/>
      <c r="AV111" s="73"/>
      <c r="AW111" s="73"/>
      <c r="AX111" s="73"/>
      <c r="AY111" s="75"/>
      <c r="AZ111" s="73"/>
      <c r="BA111" s="73"/>
      <c r="BB111" s="73"/>
      <c r="BC111" s="73"/>
      <c r="BD111" s="75"/>
      <c r="BE111" s="73"/>
      <c r="BF111" s="73"/>
      <c r="BG111" s="73"/>
      <c r="BH111" s="73"/>
      <c r="BI111" s="75">
        <f ca="1">BI109*(1-BI110)</f>
        <v>-932.07432929443189</v>
      </c>
    </row>
    <row r="112" spans="1:61">
      <c r="A112" s="1" t="s">
        <v>111</v>
      </c>
      <c r="B112" s="73"/>
      <c r="C112" s="73"/>
      <c r="D112" s="73"/>
      <c r="E112" s="73"/>
      <c r="F112" s="75"/>
      <c r="G112" s="73"/>
      <c r="H112" s="73"/>
      <c r="I112" s="73"/>
      <c r="J112" s="73"/>
      <c r="K112" s="75"/>
      <c r="L112" s="73"/>
      <c r="M112" s="73"/>
      <c r="N112" s="73"/>
      <c r="O112" s="73"/>
      <c r="P112" s="75"/>
      <c r="Q112" s="73"/>
      <c r="R112" s="73"/>
      <c r="S112" s="73"/>
      <c r="T112" s="73"/>
      <c r="U112" s="75"/>
      <c r="V112" s="73"/>
      <c r="W112" s="73"/>
      <c r="X112" s="73"/>
      <c r="Y112" s="73"/>
      <c r="Z112" s="75"/>
      <c r="AA112" s="73"/>
      <c r="AB112" s="73"/>
      <c r="AC112" s="73"/>
      <c r="AD112" s="73"/>
      <c r="AE112" s="75"/>
      <c r="AF112" s="73"/>
      <c r="AG112" s="73"/>
      <c r="AH112" s="73"/>
      <c r="AI112" s="73"/>
      <c r="AJ112" s="75"/>
      <c r="AK112" s="73"/>
      <c r="AL112" s="73"/>
      <c r="AM112" s="73"/>
      <c r="AN112" s="73"/>
      <c r="AO112" s="75"/>
      <c r="AP112" s="73"/>
      <c r="AQ112" s="73"/>
      <c r="AR112" s="73"/>
      <c r="AS112" s="73"/>
      <c r="AT112" s="75"/>
      <c r="AU112" s="73"/>
      <c r="AV112" s="73"/>
      <c r="AW112" s="73"/>
      <c r="AX112" s="73"/>
      <c r="AY112" s="75"/>
      <c r="AZ112" s="73"/>
      <c r="BA112" s="73"/>
      <c r="BB112" s="73"/>
      <c r="BC112" s="73"/>
      <c r="BD112" s="75"/>
      <c r="BE112" s="73"/>
      <c r="BF112" s="73"/>
      <c r="BG112" s="73"/>
      <c r="BH112" s="73"/>
      <c r="BI112" s="75">
        <f ca="1">BI111+ProForma_IS_Qtr!BI43</f>
        <v>7308.7793523510663</v>
      </c>
    </row>
    <row r="113" spans="1:61">
      <c r="A113" s="1" t="s">
        <v>109</v>
      </c>
      <c r="B113" s="50"/>
      <c r="C113" s="50"/>
      <c r="D113" s="50"/>
      <c r="E113" s="50"/>
      <c r="F113" s="51"/>
      <c r="G113" s="50"/>
      <c r="H113" s="50"/>
      <c r="I113" s="50"/>
      <c r="J113" s="50"/>
      <c r="K113" s="51"/>
      <c r="L113" s="50"/>
      <c r="M113" s="50"/>
      <c r="N113" s="50"/>
      <c r="O113" s="50"/>
      <c r="P113" s="51"/>
      <c r="Q113" s="50"/>
      <c r="R113" s="50"/>
      <c r="S113" s="50"/>
      <c r="T113" s="50"/>
      <c r="U113" s="51"/>
      <c r="V113" s="50"/>
      <c r="W113" s="50"/>
      <c r="X113" s="50"/>
      <c r="Y113" s="50"/>
      <c r="Z113" s="51"/>
      <c r="AA113" s="50"/>
      <c r="AB113" s="50"/>
      <c r="AC113" s="50"/>
      <c r="AD113" s="50"/>
      <c r="AE113" s="51"/>
      <c r="AF113" s="50"/>
      <c r="AG113" s="50"/>
      <c r="AH113" s="50"/>
      <c r="AI113" s="50"/>
      <c r="AJ113" s="51"/>
      <c r="AK113" s="50"/>
      <c r="AL113" s="50"/>
      <c r="AM113" s="50"/>
      <c r="AN113" s="50"/>
      <c r="AO113" s="51"/>
      <c r="AP113" s="50"/>
      <c r="AQ113" s="50"/>
      <c r="AR113" s="50"/>
      <c r="AS113" s="50"/>
      <c r="AT113" s="51"/>
      <c r="AU113" s="50"/>
      <c r="AV113" s="50"/>
      <c r="AW113" s="50"/>
      <c r="AX113" s="50"/>
      <c r="AY113" s="51"/>
      <c r="AZ113" s="50"/>
      <c r="BA113" s="50"/>
      <c r="BB113" s="50"/>
      <c r="BC113" s="50"/>
      <c r="BD113" s="51"/>
      <c r="BE113" s="50"/>
      <c r="BF113" s="50"/>
      <c r="BG113" s="50"/>
      <c r="BH113" s="50"/>
      <c r="BI113" s="51">
        <f ca="1">BI112/(ProForma_IS_Qtr!BI60-BI117)</f>
        <v>7.5861080460627042</v>
      </c>
    </row>
    <row r="114" spans="1:61">
      <c r="A114" s="131" t="s">
        <v>98</v>
      </c>
      <c r="B114" s="48"/>
      <c r="C114" s="48"/>
      <c r="D114" s="48"/>
      <c r="E114" s="48"/>
      <c r="F114" s="49"/>
      <c r="G114" s="48"/>
      <c r="H114" s="48"/>
      <c r="I114" s="48"/>
      <c r="J114" s="48"/>
      <c r="K114" s="49"/>
      <c r="L114" s="48"/>
      <c r="M114" s="48"/>
      <c r="N114" s="48"/>
      <c r="O114" s="48"/>
      <c r="P114" s="49"/>
      <c r="Q114" s="48"/>
      <c r="R114" s="48"/>
      <c r="S114" s="48"/>
      <c r="T114" s="48"/>
      <c r="U114" s="49"/>
      <c r="V114" s="48"/>
      <c r="W114" s="48"/>
      <c r="X114" s="48"/>
      <c r="Y114" s="48"/>
      <c r="Z114" s="49"/>
      <c r="AA114" s="48"/>
      <c r="AB114" s="48"/>
      <c r="AC114" s="48"/>
      <c r="AD114" s="48"/>
      <c r="AE114" s="49"/>
      <c r="AF114" s="48"/>
      <c r="AG114" s="48"/>
      <c r="AH114" s="48"/>
      <c r="AI114" s="48"/>
      <c r="AJ114" s="49"/>
      <c r="AK114" s="48"/>
      <c r="AL114" s="48"/>
      <c r="AM114" s="48"/>
      <c r="AN114" s="48"/>
      <c r="AO114" s="49"/>
      <c r="AP114" s="48"/>
      <c r="AQ114" s="48"/>
      <c r="AR114" s="48"/>
      <c r="AS114" s="48"/>
      <c r="AT114" s="49"/>
      <c r="AU114" s="48"/>
      <c r="AV114" s="48"/>
      <c r="AW114" s="48"/>
      <c r="AX114" s="48"/>
      <c r="AY114" s="49"/>
      <c r="AZ114" s="48"/>
      <c r="BA114" s="48"/>
      <c r="BB114" s="48"/>
      <c r="BC114" s="48"/>
      <c r="BD114" s="49"/>
      <c r="BE114" s="48"/>
      <c r="BF114" s="48"/>
      <c r="BG114" s="48"/>
      <c r="BH114" s="48"/>
      <c r="BI114" s="49">
        <f ca="1">BI113-ProForma_IS_Qtr!BI51</f>
        <v>-0.26172204311112157</v>
      </c>
    </row>
    <row r="115" spans="1:61">
      <c r="A115" s="1" t="s">
        <v>104</v>
      </c>
      <c r="B115" s="32"/>
      <c r="C115" s="32"/>
      <c r="D115" s="32"/>
      <c r="E115" s="32"/>
      <c r="F115" s="123"/>
      <c r="G115" s="32"/>
      <c r="H115" s="32"/>
      <c r="I115" s="32"/>
      <c r="J115" s="32"/>
      <c r="K115" s="123"/>
      <c r="L115" s="32"/>
      <c r="M115" s="32"/>
      <c r="N115" s="32"/>
      <c r="O115" s="32"/>
      <c r="P115" s="123"/>
      <c r="Q115" s="32"/>
      <c r="R115" s="32"/>
      <c r="S115" s="32"/>
      <c r="T115" s="32"/>
      <c r="U115" s="123"/>
      <c r="V115" s="32"/>
      <c r="W115" s="32"/>
      <c r="X115" s="32"/>
      <c r="Y115" s="32"/>
      <c r="Z115" s="123"/>
      <c r="AA115" s="32"/>
      <c r="AB115" s="32"/>
      <c r="AC115" s="32"/>
      <c r="AD115" s="32"/>
      <c r="AE115" s="123"/>
      <c r="AF115" s="32"/>
      <c r="AG115" s="32"/>
      <c r="AH115" s="32"/>
      <c r="AI115" s="32"/>
      <c r="AJ115" s="123"/>
      <c r="AK115" s="32"/>
      <c r="AL115" s="32"/>
      <c r="AM115" s="32"/>
      <c r="AN115" s="32"/>
      <c r="AO115" s="123"/>
      <c r="AP115" s="32"/>
      <c r="AQ115" s="32"/>
      <c r="AR115" s="32"/>
      <c r="AS115" s="32"/>
      <c r="AT115" s="123"/>
      <c r="AU115" s="198"/>
      <c r="AV115" s="198"/>
      <c r="AW115" s="198"/>
      <c r="AX115" s="32"/>
      <c r="AY115" s="123"/>
      <c r="AZ115" s="198"/>
      <c r="BA115" s="198"/>
      <c r="BB115" s="32"/>
      <c r="BC115" s="32"/>
      <c r="BD115" s="123"/>
      <c r="BE115" s="198"/>
      <c r="BF115" s="198"/>
      <c r="BG115" s="32"/>
      <c r="BH115" s="32"/>
      <c r="BI115" s="123">
        <f ca="1">BI113/(ProForma_IS_Qtr!BI51)-1</f>
        <v>-3.3349606214356009E-2</v>
      </c>
    </row>
    <row r="116" spans="1:61">
      <c r="A116" s="1" t="s">
        <v>108</v>
      </c>
      <c r="B116" s="72"/>
      <c r="C116" s="72"/>
      <c r="D116" s="72"/>
      <c r="E116" s="72"/>
      <c r="F116" s="74"/>
      <c r="G116" s="72"/>
      <c r="H116" s="72"/>
      <c r="I116" s="72"/>
      <c r="J116" s="72"/>
      <c r="K116" s="74"/>
      <c r="L116" s="72"/>
      <c r="M116" s="72"/>
      <c r="N116" s="72"/>
      <c r="O116" s="72"/>
      <c r="P116" s="74"/>
      <c r="Q116" s="72"/>
      <c r="R116" s="72"/>
      <c r="S116" s="72"/>
      <c r="T116" s="72"/>
      <c r="U116" s="74"/>
      <c r="V116" s="72"/>
      <c r="W116" s="72"/>
      <c r="X116" s="72"/>
      <c r="Y116" s="72"/>
      <c r="Z116" s="72"/>
      <c r="AA116" s="266"/>
      <c r="AB116" s="199"/>
      <c r="AC116" s="199"/>
      <c r="AD116" s="199"/>
      <c r="AE116" s="154"/>
      <c r="AF116" s="199"/>
      <c r="AG116" s="199"/>
      <c r="AH116" s="199"/>
      <c r="AI116" s="199"/>
      <c r="AJ116" s="154"/>
      <c r="AK116" s="199"/>
      <c r="AL116" s="199"/>
      <c r="AM116" s="199"/>
      <c r="AN116" s="199"/>
      <c r="AO116" s="154"/>
      <c r="AP116" s="199"/>
      <c r="AQ116" s="199"/>
      <c r="AR116" s="199"/>
      <c r="AS116" s="199"/>
      <c r="AT116" s="154"/>
      <c r="AU116" s="199"/>
      <c r="AV116" s="199"/>
      <c r="AW116" s="199"/>
      <c r="AX116" s="199"/>
      <c r="AY116" s="154"/>
      <c r="AZ116" s="199"/>
      <c r="BA116" s="199"/>
      <c r="BB116" s="199"/>
      <c r="BC116" s="199"/>
      <c r="BD116" s="154"/>
      <c r="BE116" s="199"/>
      <c r="BF116" s="199"/>
      <c r="BG116" s="199"/>
      <c r="BH116" s="199"/>
      <c r="BI116" s="154">
        <f>ProForma_IS_Qtr!BI67</f>
        <v>307.37898125000004</v>
      </c>
    </row>
    <row r="117" spans="1:61">
      <c r="A117" s="1" t="s">
        <v>115</v>
      </c>
      <c r="B117" s="20"/>
      <c r="C117" s="20"/>
      <c r="D117" s="20"/>
      <c r="E117" s="20"/>
      <c r="F117" s="21"/>
      <c r="G117" s="20"/>
      <c r="H117" s="20"/>
      <c r="I117" s="20"/>
      <c r="J117" s="20"/>
      <c r="K117" s="21"/>
      <c r="L117" s="20"/>
      <c r="M117" s="20"/>
      <c r="N117" s="20"/>
      <c r="O117" s="20"/>
      <c r="P117" s="21"/>
      <c r="Q117" s="20"/>
      <c r="R117" s="20"/>
      <c r="S117" s="20"/>
      <c r="T117" s="20"/>
      <c r="U117" s="21"/>
      <c r="V117" s="20"/>
      <c r="W117" s="20"/>
      <c r="X117" s="20"/>
      <c r="Y117" s="20"/>
      <c r="Z117" s="21"/>
      <c r="AA117" s="20"/>
      <c r="AB117" s="20"/>
      <c r="AC117" s="20"/>
      <c r="AD117" s="20"/>
      <c r="AE117" s="21"/>
      <c r="AF117" s="20"/>
      <c r="AG117" s="20"/>
      <c r="AH117" s="20"/>
      <c r="AI117" s="20"/>
      <c r="AJ117" s="21"/>
      <c r="AK117" s="20"/>
      <c r="AL117" s="20"/>
      <c r="AM117" s="20"/>
      <c r="AN117" s="20"/>
      <c r="AO117" s="21"/>
      <c r="AP117" s="20"/>
      <c r="AQ117" s="20"/>
      <c r="AR117" s="20"/>
      <c r="AS117" s="20"/>
      <c r="AT117" s="21"/>
      <c r="AU117" s="20"/>
      <c r="AV117" s="20"/>
      <c r="AW117" s="20"/>
      <c r="AX117" s="20"/>
      <c r="AY117" s="21"/>
      <c r="AZ117" s="20"/>
      <c r="BA117" s="20"/>
      <c r="BB117" s="20"/>
      <c r="BC117" s="20"/>
      <c r="BD117" s="21"/>
      <c r="BE117" s="20"/>
      <c r="BF117" s="20"/>
      <c r="BG117" s="20"/>
      <c r="BH117" s="20"/>
      <c r="BI117" s="21">
        <f ca="1">BI105/BI116</f>
        <v>86.637983555025698</v>
      </c>
    </row>
    <row r="119" spans="1:61">
      <c r="AT119" s="360"/>
      <c r="AY119" s="360"/>
      <c r="BD119" s="360"/>
      <c r="BI119" s="360"/>
    </row>
    <row r="120" spans="1:61">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row>
    <row r="121" spans="1:61">
      <c r="AT121" s="50"/>
      <c r="AY121" s="50"/>
      <c r="BD121" s="50"/>
      <c r="BI121" s="50"/>
    </row>
    <row r="122" spans="1:61">
      <c r="AT122" s="50"/>
      <c r="AY122" s="50"/>
      <c r="BD122" s="50"/>
      <c r="BI122" s="50"/>
    </row>
    <row r="123" spans="1:61">
      <c r="AT123" s="50"/>
      <c r="AY123" s="50"/>
      <c r="BD123" s="50"/>
      <c r="BI123" s="50"/>
    </row>
    <row r="138" customFormat="1"/>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tabColor theme="4" tint="0.39997558519241921"/>
  </sheetPr>
  <dimension ref="A1:AS103"/>
  <sheetViews>
    <sheetView showGridLines="0" zoomScale="115" zoomScaleNormal="115" workbookViewId="0">
      <pane xSplit="23" ySplit="2" topLeftCell="X3" activePane="bottomRight" state="frozen"/>
      <selection pane="topRight" activeCell="X1" sqref="X1"/>
      <selection pane="bottomLeft" activeCell="A3" sqref="A3"/>
      <selection pane="bottomRight" activeCell="X3" sqref="X3"/>
    </sheetView>
  </sheetViews>
  <sheetFormatPr defaultRowHeight="15" outlineLevelRow="1" outlineLevelCol="1"/>
  <cols>
    <col min="1" max="1" width="68.5703125" customWidth="1"/>
    <col min="2" max="11" width="12.140625" style="24" hidden="1" customWidth="1"/>
    <col min="12" max="20" width="12.140625" style="24" hidden="1" customWidth="1" outlineLevel="1"/>
    <col min="21" max="21" width="12.140625" style="24" hidden="1" customWidth="1" outlineLevel="1" collapsed="1"/>
    <col min="22" max="22" width="12.140625" style="24" hidden="1" customWidth="1" outlineLevel="1"/>
    <col min="23" max="23" width="12.140625" hidden="1" customWidth="1" outlineLevel="1"/>
    <col min="24" max="24" width="12.140625" customWidth="1" collapsed="1"/>
    <col min="25" max="32" width="12.140625" customWidth="1"/>
    <col min="33" max="33" width="31.42578125" style="244" customWidth="1"/>
    <col min="34" max="34" width="20.5703125" customWidth="1"/>
    <col min="35" max="39" width="9.140625" customWidth="1"/>
    <col min="40" max="40" width="29.140625" customWidth="1" outlineLevel="1"/>
    <col min="41" max="45" width="9.140625" customWidth="1" outlineLevel="1"/>
  </cols>
  <sheetData>
    <row r="1" spans="1:35">
      <c r="A1" s="13" t="s">
        <v>27</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row>
    <row r="2" spans="1:35">
      <c r="B2" s="94" t="str">
        <f>ProForma_IS_Annual!B2</f>
        <v>CY2000A</v>
      </c>
      <c r="C2" s="94" t="str">
        <f>ProForma_IS_Annual!C2</f>
        <v>CY2001A</v>
      </c>
      <c r="D2" s="94" t="str">
        <f>ProForma_IS_Annual!D2</f>
        <v>CY2002A</v>
      </c>
      <c r="E2" s="94" t="str">
        <f>ProForma_IS_Annual!E2</f>
        <v>CY2003A</v>
      </c>
      <c r="F2" s="94" t="str">
        <f>ProForma_IS_Annual!F2</f>
        <v>CY2004A</v>
      </c>
      <c r="G2" s="94" t="str">
        <f>ProForma_IS_Annual!G2</f>
        <v>CY2005A</v>
      </c>
      <c r="H2" s="94" t="str">
        <f>ProForma_IS_Annual!H2</f>
        <v>CY2006A</v>
      </c>
      <c r="I2" s="94" t="str">
        <f>ProForma_IS_Annual!I2</f>
        <v>CY2007A</v>
      </c>
      <c r="J2" s="94" t="str">
        <f>ProForma_IS_Annual!J2</f>
        <v>CY2008A</v>
      </c>
      <c r="K2" s="94" t="str">
        <f>ProForma_IS_Annual!K2</f>
        <v>CY2009A</v>
      </c>
      <c r="L2" s="94" t="str">
        <f>ProForma_IS_Annual!L2</f>
        <v>CY2010A</v>
      </c>
      <c r="M2" s="94" t="str">
        <f>ProForma_IS_Annual!M2</f>
        <v>CY2011A</v>
      </c>
      <c r="N2" s="94" t="str">
        <f>ProForma_IS_Annual!N2</f>
        <v>CY2012A</v>
      </c>
      <c r="O2" s="94" t="str">
        <f>ProForma_IS_Annual!O2</f>
        <v>CY2013A</v>
      </c>
      <c r="P2" s="94" t="str">
        <f>ProForma_IS_Annual!P2</f>
        <v>CY2014A</v>
      </c>
      <c r="Q2" s="94" t="str">
        <f>ProForma_IS_Annual!Q2</f>
        <v>CY2015A</v>
      </c>
      <c r="R2" s="94" t="str">
        <f>ProForma_IS_Annual!R2</f>
        <v>CY2016A</v>
      </c>
      <c r="S2" s="94" t="str">
        <f>ProForma_IS_Annual!S2</f>
        <v>CY2017A</v>
      </c>
      <c r="T2" s="94" t="str">
        <f>ProForma_IS_Annual!T2</f>
        <v>CY2018A</v>
      </c>
      <c r="U2" s="94" t="str">
        <f>ProForma_IS_Annual!U2</f>
        <v>CY2019A</v>
      </c>
      <c r="V2" s="94" t="str">
        <f>ProForma_IS_Annual!V2</f>
        <v>CY2020A</v>
      </c>
      <c r="W2" s="94" t="str">
        <f>ProForma_IS_Annual!W2</f>
        <v>CY2021A</v>
      </c>
      <c r="X2" s="94" t="str">
        <f>ProForma_IS_Annual!X2</f>
        <v>CY2022A</v>
      </c>
      <c r="Y2" s="94" t="str">
        <f>ProForma_IS_Annual!Y2</f>
        <v>CY2023A</v>
      </c>
      <c r="Z2" s="94" t="str">
        <f>ProForma_IS_Annual!Z2</f>
        <v>CY2024A</v>
      </c>
      <c r="AA2" s="94" t="str">
        <f>ProForma_IS_Annual!AA2</f>
        <v>CY2025A</v>
      </c>
      <c r="AB2" s="94" t="str">
        <f>ProForma_IS_Annual!AB2</f>
        <v>CY2026E</v>
      </c>
      <c r="AC2" s="94" t="str">
        <f>ProForma_IS_Annual!AC2</f>
        <v>CY2027E</v>
      </c>
      <c r="AD2" s="94" t="str">
        <f>ProForma_IS_Annual!AD2</f>
        <v>CY2028E</v>
      </c>
      <c r="AE2" s="94" t="str">
        <f>ProForma_IS_Annual!AE2</f>
        <v>CY2029E</v>
      </c>
      <c r="AF2" s="94" t="str">
        <f>ProForma_IS_Annual!AF2</f>
        <v>CY2030E</v>
      </c>
      <c r="AG2" s="243" t="s">
        <v>515</v>
      </c>
    </row>
    <row r="3" spans="1:35">
      <c r="A3" s="4" t="str">
        <f>Cash_Flow_Qtr!A3</f>
        <v>Operating activities</v>
      </c>
      <c r="B3" s="25"/>
      <c r="C3" s="25"/>
      <c r="D3" s="25"/>
      <c r="E3" s="25"/>
      <c r="F3" s="25"/>
      <c r="G3" s="25"/>
      <c r="H3" s="25"/>
      <c r="I3" s="25"/>
      <c r="J3" s="25"/>
      <c r="K3" s="25"/>
      <c r="L3" s="25"/>
      <c r="M3" s="25"/>
      <c r="N3" s="25"/>
      <c r="O3" s="25"/>
      <c r="P3" s="75"/>
      <c r="Q3" s="25"/>
      <c r="R3" s="25"/>
      <c r="S3" s="25"/>
      <c r="T3" s="25"/>
      <c r="U3" s="25"/>
      <c r="V3" s="25"/>
      <c r="W3" s="179"/>
      <c r="X3" s="179"/>
      <c r="Y3" s="179"/>
      <c r="Z3" s="179"/>
      <c r="AA3" s="179"/>
      <c r="AB3" s="179"/>
      <c r="AC3" s="179"/>
      <c r="AD3" s="179"/>
      <c r="AE3" s="179"/>
      <c r="AF3" s="179"/>
    </row>
    <row r="4" spans="1:35">
      <c r="A4" s="1" t="str">
        <f>Cash_Flow_Qtr!A4</f>
        <v>Net Earnings</v>
      </c>
      <c r="B4" s="42"/>
      <c r="C4" s="42"/>
      <c r="D4" s="42"/>
      <c r="E4" s="37"/>
      <c r="F4" s="37"/>
      <c r="G4" s="37"/>
      <c r="H4" s="37"/>
      <c r="I4" s="37"/>
      <c r="J4" s="37"/>
      <c r="K4" s="37"/>
      <c r="L4" s="37"/>
      <c r="M4" s="37"/>
      <c r="N4" s="37"/>
      <c r="O4" s="37"/>
      <c r="P4" s="37"/>
      <c r="Q4" s="37">
        <f>+Cash_Flow_Qtr!F4</f>
        <v>0</v>
      </c>
      <c r="R4" s="37">
        <f>+Cash_Flow_Qtr!K4</f>
        <v>0</v>
      </c>
      <c r="S4" s="37">
        <f>+Cash_Flow_Qtr!P4</f>
        <v>0</v>
      </c>
      <c r="T4" s="37">
        <f>+Cash_Flow_Qtr!U4</f>
        <v>0</v>
      </c>
      <c r="U4" s="37"/>
      <c r="V4" s="37"/>
      <c r="W4" s="37"/>
      <c r="X4" s="37">
        <f>+Cash_Flow_Qtr!AO4</f>
        <v>-1097</v>
      </c>
      <c r="Y4" s="37">
        <f>+Cash_Flow_Qtr!AT4</f>
        <v>9445</v>
      </c>
      <c r="Z4" s="37">
        <f>+Cash_Flow_Qtr!AY4</f>
        <v>6566</v>
      </c>
      <c r="AA4" s="37">
        <f>+Cash_Flow_Qtr!BD4</f>
        <v>8698</v>
      </c>
      <c r="AB4" s="37">
        <f ca="1">+Cash_Flow_Qtr!BI4</f>
        <v>8981.8536816454962</v>
      </c>
      <c r="AC4" s="37">
        <f ca="1">ProForma_IS_Annual!AC48</f>
        <v>10644.386050672441</v>
      </c>
      <c r="AD4" s="37">
        <f ca="1">ProForma_IS_Annual!AD48</f>
        <v>12048.880308887645</v>
      </c>
      <c r="AE4" s="37">
        <f ca="1">ProForma_IS_Annual!AE48</f>
        <v>13416.191632004058</v>
      </c>
      <c r="AF4" s="37">
        <f ca="1">ProForma_IS_Annual!AF48</f>
        <v>15003.201542385224</v>
      </c>
      <c r="AH4" s="98"/>
      <c r="AI4" s="98"/>
    </row>
    <row r="5" spans="1:35">
      <c r="A5" s="1" t="str">
        <f>Cash_Flow_Qtr!A5</f>
        <v>Earnings From Disc. Ops</v>
      </c>
      <c r="B5" s="42"/>
      <c r="C5" s="42"/>
      <c r="D5" s="42"/>
      <c r="E5" s="42"/>
      <c r="F5" s="42"/>
      <c r="G5" s="42"/>
      <c r="H5" s="42"/>
      <c r="I5" s="42"/>
      <c r="J5" s="42"/>
      <c r="K5" s="42"/>
      <c r="L5" s="42"/>
      <c r="M5" s="42"/>
      <c r="N5" s="42"/>
      <c r="O5" s="42"/>
      <c r="P5" s="42"/>
      <c r="Q5" s="37">
        <f>+Cash_Flow_Qtr!F6</f>
        <v>0</v>
      </c>
      <c r="R5" s="37">
        <f>+Cash_Flow_Qtr!K6</f>
        <v>0</v>
      </c>
      <c r="S5" s="37">
        <f>+Cash_Flow_Qtr!P6</f>
        <v>0</v>
      </c>
      <c r="T5" s="37">
        <f>+Cash_Flow_Qtr!U6</f>
        <v>0</v>
      </c>
      <c r="U5" s="37"/>
      <c r="V5" s="37"/>
      <c r="W5" s="37"/>
      <c r="X5" s="37">
        <f>+Cash_Flow_Qtr!AO5</f>
        <v>0</v>
      </c>
      <c r="Y5" s="37">
        <f>+Cash_Flow_Qtr!AT5</f>
        <v>3</v>
      </c>
      <c r="Z5" s="37">
        <f>+Cash_Flow_Qtr!AY5</f>
        <v>91</v>
      </c>
      <c r="AA5" s="37">
        <f>+Cash_Flow_Qtr!BD5</f>
        <v>-103</v>
      </c>
      <c r="AB5" s="37">
        <f>+Cash_Flow_Qtr!BI5</f>
        <v>26</v>
      </c>
      <c r="AC5" s="21"/>
      <c r="AD5" s="21"/>
      <c r="AE5" s="21"/>
      <c r="AF5" s="21"/>
      <c r="AH5" s="98"/>
      <c r="AI5" s="98"/>
    </row>
    <row r="6" spans="1:35">
      <c r="A6" s="1" t="str">
        <f>Cash_Flow_Qtr!A6</f>
        <v>Depreciation and Amortization</v>
      </c>
      <c r="B6" s="42"/>
      <c r="C6" s="42"/>
      <c r="D6" s="42"/>
      <c r="E6" s="42"/>
      <c r="F6" s="42"/>
      <c r="G6" s="42"/>
      <c r="H6" s="42"/>
      <c r="I6" s="42"/>
      <c r="J6" s="42"/>
      <c r="K6" s="42"/>
      <c r="L6" s="42"/>
      <c r="M6" s="42"/>
      <c r="N6" s="42"/>
      <c r="O6" s="42"/>
      <c r="P6" s="42"/>
      <c r="Q6" s="37">
        <f>+Cash_Flow_Qtr!F12</f>
        <v>0</v>
      </c>
      <c r="R6" s="37">
        <f>+Cash_Flow_Qtr!K12</f>
        <v>0</v>
      </c>
      <c r="S6" s="37">
        <f>+Cash_Flow_Qtr!P12</f>
        <v>0</v>
      </c>
      <c r="T6" s="37">
        <f>+Cash_Flow_Qtr!U12</f>
        <v>0</v>
      </c>
      <c r="U6" s="37"/>
      <c r="V6" s="37"/>
      <c r="W6" s="37"/>
      <c r="X6" s="37">
        <f>+Cash_Flow_Qtr!AO6</f>
        <v>1506.6666666666667</v>
      </c>
      <c r="Y6" s="37">
        <f>+Cash_Flow_Qtr!AT6</f>
        <v>797</v>
      </c>
      <c r="Z6" s="37">
        <f>+Cash_Flow_Qtr!AY6</f>
        <v>834</v>
      </c>
      <c r="AA6" s="37">
        <f>+Cash_Flow_Qtr!BD6</f>
        <v>863</v>
      </c>
      <c r="AB6" s="37">
        <f>+Cash_Flow_Qtr!BI6</f>
        <v>885.04191381975306</v>
      </c>
      <c r="AC6" s="71">
        <f ca="1">+AC71</f>
        <v>904.05684795225568</v>
      </c>
      <c r="AD6" s="71">
        <f ca="1">+AD71</f>
        <v>931.96018971780552</v>
      </c>
      <c r="AE6" s="71">
        <f ca="1">+AE71</f>
        <v>966.21326285565931</v>
      </c>
      <c r="AF6" s="71">
        <f ca="1">+AF71</f>
        <v>997.99967177824783</v>
      </c>
      <c r="AH6" s="98"/>
      <c r="AI6" s="98"/>
    </row>
    <row r="7" spans="1:35">
      <c r="A7" s="1" t="str">
        <f>Cash_Flow_Qtr!A7</f>
        <v>Amortization of Intangibles</v>
      </c>
      <c r="B7" s="42"/>
      <c r="C7" s="42"/>
      <c r="D7" s="42"/>
      <c r="E7" s="42"/>
      <c r="F7" s="42"/>
      <c r="G7" s="42"/>
      <c r="H7" s="42"/>
      <c r="I7" s="42"/>
      <c r="J7" s="42"/>
      <c r="K7" s="42"/>
      <c r="L7" s="42"/>
      <c r="M7" s="42"/>
      <c r="N7" s="42"/>
      <c r="O7" s="42"/>
      <c r="P7" s="42"/>
      <c r="Q7" s="37">
        <f>+Cash_Flow_Qtr!F13</f>
        <v>0</v>
      </c>
      <c r="R7" s="37">
        <f>+Cash_Flow_Qtr!K13</f>
        <v>0</v>
      </c>
      <c r="S7" s="37">
        <f>+Cash_Flow_Qtr!P13</f>
        <v>0</v>
      </c>
      <c r="T7" s="37">
        <f>+Cash_Flow_Qtr!U13</f>
        <v>0</v>
      </c>
      <c r="U7" s="37"/>
      <c r="V7" s="37"/>
      <c r="W7" s="37"/>
      <c r="X7" s="37">
        <f>+Cash_Flow_Qtr!AO7</f>
        <v>1323</v>
      </c>
      <c r="Y7" s="37">
        <f>+Cash_Flow_Qtr!AT7</f>
        <v>382</v>
      </c>
      <c r="Z7" s="37">
        <f>+Cash_Flow_Qtr!AY7</f>
        <v>350</v>
      </c>
      <c r="AA7" s="37">
        <f>+Cash_Flow_Qtr!BD7</f>
        <v>357</v>
      </c>
      <c r="AB7" s="37">
        <f>+Cash_Flow_Qtr!BI7</f>
        <v>358</v>
      </c>
      <c r="AC7" s="71">
        <f>+AC73</f>
        <v>358</v>
      </c>
      <c r="AD7" s="71">
        <f>+AD73</f>
        <v>358</v>
      </c>
      <c r="AE7" s="71">
        <f>+AE73</f>
        <v>358</v>
      </c>
      <c r="AF7" s="71">
        <f>+AF73</f>
        <v>358</v>
      </c>
      <c r="AH7" s="98"/>
      <c r="AI7" s="98"/>
    </row>
    <row r="8" spans="1:35">
      <c r="A8" s="1" t="str">
        <f>Cash_Flow_Qtr!A8</f>
        <v>(Gains) losses on investments</v>
      </c>
      <c r="B8" s="42"/>
      <c r="C8" s="42"/>
      <c r="D8" s="42"/>
      <c r="E8" s="42"/>
      <c r="F8" s="42"/>
      <c r="G8" s="42"/>
      <c r="H8" s="42"/>
      <c r="I8" s="42"/>
      <c r="J8" s="42"/>
      <c r="K8" s="42"/>
      <c r="L8" s="42"/>
      <c r="M8" s="42"/>
      <c r="N8" s="42"/>
      <c r="O8" s="42"/>
      <c r="P8" s="42"/>
      <c r="Q8" s="37" t="e">
        <f>+Cash_Flow_Qtr!#REF!</f>
        <v>#REF!</v>
      </c>
      <c r="R8" s="37" t="e">
        <f>+Cash_Flow_Qtr!#REF!</f>
        <v>#REF!</v>
      </c>
      <c r="S8" s="37" t="e">
        <f>+Cash_Flow_Qtr!#REF!</f>
        <v>#REF!</v>
      </c>
      <c r="T8" s="37" t="e">
        <f>+Cash_Flow_Qtr!#REF!</f>
        <v>#REF!</v>
      </c>
      <c r="U8" s="37"/>
      <c r="V8" s="37"/>
      <c r="W8" s="37"/>
      <c r="X8" s="37">
        <f>+Cash_Flow_Qtr!AO8</f>
        <v>0</v>
      </c>
      <c r="Y8" s="37">
        <f>+Cash_Flow_Qtr!AT8</f>
        <v>-5846</v>
      </c>
      <c r="Z8" s="37">
        <f>+Cash_Flow_Qtr!AY8</f>
        <v>-719</v>
      </c>
      <c r="AA8" s="37">
        <f>+Cash_Flow_Qtr!BD8</f>
        <v>-508</v>
      </c>
      <c r="AB8" s="37">
        <f>+Cash_Flow_Qtr!BI8</f>
        <v>173</v>
      </c>
      <c r="AC8" s="42">
        <v>0</v>
      </c>
      <c r="AD8" s="42">
        <v>0</v>
      </c>
      <c r="AE8" s="42">
        <v>0</v>
      </c>
      <c r="AF8" s="42">
        <v>0</v>
      </c>
      <c r="AH8" s="98"/>
      <c r="AI8" s="98"/>
    </row>
    <row r="9" spans="1:35">
      <c r="A9" s="1" t="str">
        <f>Cash_Flow_Qtr!A9</f>
        <v>Pension Cost</v>
      </c>
      <c r="B9" s="42"/>
      <c r="C9" s="42"/>
      <c r="D9" s="42"/>
      <c r="E9" s="42"/>
      <c r="F9" s="42"/>
      <c r="G9" s="42"/>
      <c r="H9" s="42"/>
      <c r="I9" s="42"/>
      <c r="J9" s="42"/>
      <c r="K9" s="42"/>
      <c r="L9" s="42"/>
      <c r="M9" s="42"/>
      <c r="N9" s="42"/>
      <c r="O9" s="42"/>
      <c r="P9" s="42"/>
      <c r="Q9" s="37" t="e">
        <f>+Cash_Flow_Qtr!#REF!</f>
        <v>#REF!</v>
      </c>
      <c r="R9" s="37" t="e">
        <f>+Cash_Flow_Qtr!#REF!</f>
        <v>#REF!</v>
      </c>
      <c r="S9" s="37" t="e">
        <f>+Cash_Flow_Qtr!#REF!</f>
        <v>#REF!</v>
      </c>
      <c r="T9" s="37" t="e">
        <f>+Cash_Flow_Qtr!#REF!</f>
        <v>#REF!</v>
      </c>
      <c r="U9" s="37"/>
      <c r="V9" s="37"/>
      <c r="W9" s="37"/>
      <c r="X9" s="37">
        <f>+Cash_Flow_Qtr!AO9</f>
        <v>358.66666666666669</v>
      </c>
      <c r="Y9" s="37">
        <f>+Cash_Flow_Qtr!AT9</f>
        <v>-755</v>
      </c>
      <c r="Z9" s="37">
        <f>+Cash_Flow_Qtr!AY9</f>
        <v>-653</v>
      </c>
      <c r="AA9" s="37">
        <f>+Cash_Flow_Qtr!BD9</f>
        <v>-655</v>
      </c>
      <c r="AB9" s="37">
        <f>+Cash_Flow_Qtr!BI9</f>
        <v>-500</v>
      </c>
      <c r="AC9" s="42">
        <f t="shared" ref="AC9:AF11" si="0">+AB9</f>
        <v>-500</v>
      </c>
      <c r="AD9" s="42">
        <f t="shared" si="0"/>
        <v>-500</v>
      </c>
      <c r="AE9" s="42">
        <f t="shared" si="0"/>
        <v>-500</v>
      </c>
      <c r="AF9" s="42">
        <f t="shared" si="0"/>
        <v>-500</v>
      </c>
      <c r="AH9" s="98"/>
      <c r="AI9" s="98"/>
    </row>
    <row r="10" spans="1:35">
      <c r="A10" s="1" t="str">
        <f>Cash_Flow_Qtr!A10</f>
        <v>Pension Contributions</v>
      </c>
      <c r="B10" s="42"/>
      <c r="C10" s="42"/>
      <c r="D10" s="42"/>
      <c r="E10" s="42"/>
      <c r="F10" s="42"/>
      <c r="G10" s="42"/>
      <c r="H10" s="42"/>
      <c r="I10" s="42"/>
      <c r="J10" s="42"/>
      <c r="K10" s="42"/>
      <c r="L10" s="42"/>
      <c r="M10" s="42"/>
      <c r="N10" s="42"/>
      <c r="O10" s="42"/>
      <c r="P10" s="42"/>
      <c r="Q10" s="42"/>
      <c r="R10" s="42"/>
      <c r="S10" s="42"/>
      <c r="T10" s="42"/>
      <c r="U10" s="42"/>
      <c r="V10" s="42"/>
      <c r="W10" s="42"/>
      <c r="X10" s="37">
        <f>+Cash_Flow_Qtr!AO10</f>
        <v>-202.66666666666666</v>
      </c>
      <c r="Y10" s="37">
        <f>+Cash_Flow_Qtr!AT10</f>
        <v>-184</v>
      </c>
      <c r="Z10" s="37">
        <f>+Cash_Flow_Qtr!AY10</f>
        <v>-210</v>
      </c>
      <c r="AA10" s="37">
        <f>+Cash_Flow_Qtr!BD10</f>
        <v>-211</v>
      </c>
      <c r="AB10" s="37">
        <f>+Cash_Flow_Qtr!BI10</f>
        <v>-200</v>
      </c>
      <c r="AC10" s="42">
        <v>-200</v>
      </c>
      <c r="AD10" s="42">
        <f t="shared" si="0"/>
        <v>-200</v>
      </c>
      <c r="AE10" s="42">
        <f t="shared" si="0"/>
        <v>-200</v>
      </c>
      <c r="AF10" s="42">
        <f t="shared" si="0"/>
        <v>-200</v>
      </c>
      <c r="AH10" s="98"/>
      <c r="AI10" s="98"/>
    </row>
    <row r="11" spans="1:35">
      <c r="A11" s="1" t="str">
        <f>Cash_Flow_Qtr!A11</f>
        <v>Other Post-retirement Benefits</v>
      </c>
      <c r="B11" s="42"/>
      <c r="C11" s="42"/>
      <c r="D11" s="42"/>
      <c r="E11" s="42"/>
      <c r="F11" s="42"/>
      <c r="G11" s="42"/>
      <c r="H11" s="42"/>
      <c r="I11" s="42"/>
      <c r="J11" s="42"/>
      <c r="K11" s="42"/>
      <c r="L11" s="42"/>
      <c r="M11" s="42"/>
      <c r="N11" s="42"/>
      <c r="O11" s="42"/>
      <c r="P11" s="42"/>
      <c r="Q11" s="37">
        <f>+Cash_Flow_Qtr!F15</f>
        <v>0</v>
      </c>
      <c r="R11" s="37">
        <f>+Cash_Flow_Qtr!K15</f>
        <v>0</v>
      </c>
      <c r="S11" s="37">
        <f>+Cash_Flow_Qtr!P15</f>
        <v>0</v>
      </c>
      <c r="T11" s="37">
        <f>+Cash_Flow_Qtr!U15</f>
        <v>0</v>
      </c>
      <c r="U11" s="37"/>
      <c r="V11" s="37"/>
      <c r="W11" s="37"/>
      <c r="X11" s="37">
        <f>+Cash_Flow_Qtr!AO11</f>
        <v>-822.66666666666663</v>
      </c>
      <c r="Y11" s="37">
        <f>+Cash_Flow_Qtr!AT11</f>
        <v>-348</v>
      </c>
      <c r="Z11" s="37">
        <f>+Cash_Flow_Qtr!AY11</f>
        <v>-299</v>
      </c>
      <c r="AA11" s="37">
        <f>+Cash_Flow_Qtr!BD11</f>
        <v>-230</v>
      </c>
      <c r="AB11" s="37">
        <f>+Cash_Flow_Qtr!BI11</f>
        <v>0</v>
      </c>
      <c r="AC11" s="42">
        <f t="shared" si="0"/>
        <v>0</v>
      </c>
      <c r="AD11" s="42">
        <f t="shared" si="0"/>
        <v>0</v>
      </c>
      <c r="AE11" s="42">
        <f t="shared" si="0"/>
        <v>0</v>
      </c>
      <c r="AF11" s="42">
        <f t="shared" si="0"/>
        <v>0</v>
      </c>
      <c r="AH11" s="98"/>
      <c r="AI11" s="98"/>
    </row>
    <row r="12" spans="1:35">
      <c r="A12" s="1" t="str">
        <f>Cash_Flow_Qtr!A12</f>
        <v>Provision for Income Taxes</v>
      </c>
      <c r="B12" s="42"/>
      <c r="C12" s="42"/>
      <c r="D12" s="42"/>
      <c r="E12" s="42"/>
      <c r="F12" s="42"/>
      <c r="G12" s="42"/>
      <c r="H12" s="42"/>
      <c r="I12" s="42"/>
      <c r="J12" s="42"/>
      <c r="K12" s="42"/>
      <c r="L12" s="42"/>
      <c r="M12" s="42"/>
      <c r="N12" s="42"/>
      <c r="O12" s="42"/>
      <c r="P12" s="42"/>
      <c r="Q12" s="37">
        <f>+Cash_Flow_Qtr!F17</f>
        <v>0</v>
      </c>
      <c r="R12" s="37">
        <f>+Cash_Flow_Qtr!K17</f>
        <v>0</v>
      </c>
      <c r="S12" s="37">
        <f>+Cash_Flow_Qtr!P17</f>
        <v>0</v>
      </c>
      <c r="T12" s="37">
        <f>+Cash_Flow_Qtr!U17</f>
        <v>0</v>
      </c>
      <c r="U12" s="37"/>
      <c r="V12" s="37"/>
      <c r="W12" s="37"/>
      <c r="X12" s="37">
        <f>+Cash_Flow_Qtr!AO12</f>
        <v>270.66666666666669</v>
      </c>
      <c r="Y12" s="37">
        <f>+Cash_Flow_Qtr!AT12</f>
        <v>994</v>
      </c>
      <c r="Z12" s="37">
        <f>+Cash_Flow_Qtr!AY12</f>
        <v>962</v>
      </c>
      <c r="AA12" s="37">
        <f>+Cash_Flow_Qtr!BD12</f>
        <v>1405</v>
      </c>
      <c r="AB12" s="37">
        <f>+Cash_Flow_Qtr!BI12</f>
        <v>500</v>
      </c>
      <c r="AC12" s="42">
        <f>AB12</f>
        <v>500</v>
      </c>
      <c r="AD12" s="42">
        <f t="shared" ref="AD12:AF12" si="1">AC12</f>
        <v>500</v>
      </c>
      <c r="AE12" s="42">
        <f t="shared" si="1"/>
        <v>500</v>
      </c>
      <c r="AF12" s="42">
        <f t="shared" si="1"/>
        <v>500</v>
      </c>
      <c r="AH12" s="98"/>
      <c r="AI12" s="98"/>
    </row>
    <row r="13" spans="1:35">
      <c r="A13" s="1" t="str">
        <f>Cash_Flow_Qtr!A13</f>
        <v>Cash Recovered (Paid) for Income Taxes</v>
      </c>
      <c r="B13" s="42"/>
      <c r="C13" s="42"/>
      <c r="D13" s="42"/>
      <c r="E13" s="42"/>
      <c r="F13" s="42"/>
      <c r="G13" s="42"/>
      <c r="H13" s="42"/>
      <c r="I13" s="42"/>
      <c r="J13" s="42"/>
      <c r="K13" s="42"/>
      <c r="L13" s="42"/>
      <c r="M13" s="42"/>
      <c r="N13" s="42"/>
      <c r="O13" s="42"/>
      <c r="P13" s="42"/>
      <c r="Q13" s="37">
        <f>+Cash_Flow_Qtr!F16</f>
        <v>0</v>
      </c>
      <c r="R13" s="37">
        <f>+Cash_Flow_Qtr!K16</f>
        <v>0</v>
      </c>
      <c r="S13" s="37">
        <f>+Cash_Flow_Qtr!P16</f>
        <v>0</v>
      </c>
      <c r="T13" s="37">
        <f>+Cash_Flow_Qtr!U16</f>
        <v>0</v>
      </c>
      <c r="U13" s="37"/>
      <c r="V13" s="37"/>
      <c r="W13" s="37"/>
      <c r="X13" s="37">
        <f>+Cash_Flow_Qtr!AO13</f>
        <v>-393.33333333333331</v>
      </c>
      <c r="Y13" s="37">
        <f>+Cash_Flow_Qtr!AT13</f>
        <v>-1041</v>
      </c>
      <c r="Z13" s="37">
        <f>+Cash_Flow_Qtr!AY13</f>
        <v>-334</v>
      </c>
      <c r="AA13" s="37">
        <f>+Cash_Flow_Qtr!BD13</f>
        <v>-739</v>
      </c>
      <c r="AB13" s="37">
        <f>+Cash_Flow_Qtr!BI13</f>
        <v>0</v>
      </c>
      <c r="AC13" s="42">
        <v>0</v>
      </c>
      <c r="AD13" s="42">
        <v>0</v>
      </c>
      <c r="AE13" s="42">
        <v>0</v>
      </c>
      <c r="AF13" s="42">
        <v>0</v>
      </c>
      <c r="AH13" s="98"/>
      <c r="AI13" s="98"/>
    </row>
    <row r="14" spans="1:35">
      <c r="A14" s="1" t="str">
        <f>Cash_Flow_Qtr!A14</f>
        <v>Changes in Assets and Liabilities</v>
      </c>
      <c r="B14" s="42"/>
      <c r="C14" s="42"/>
      <c r="D14" s="42"/>
      <c r="E14" s="42"/>
      <c r="F14" s="42"/>
      <c r="G14" s="42"/>
      <c r="H14" s="42"/>
      <c r="I14" s="42"/>
      <c r="J14" s="42"/>
      <c r="K14" s="42"/>
      <c r="L14" s="42"/>
      <c r="M14" s="42"/>
      <c r="N14" s="42"/>
      <c r="O14" s="42"/>
      <c r="P14" s="42"/>
      <c r="Q14" s="37" t="e">
        <f>+Cash_Flow_Qtr!#REF!</f>
        <v>#REF!</v>
      </c>
      <c r="R14" s="37" t="e">
        <f>+Cash_Flow_Qtr!#REF!</f>
        <v>#REF!</v>
      </c>
      <c r="S14" s="37" t="e">
        <f>+Cash_Flow_Qtr!#REF!</f>
        <v>#REF!</v>
      </c>
      <c r="T14" s="37" t="e">
        <f>+Cash_Flow_Qtr!#REF!</f>
        <v>#REF!</v>
      </c>
      <c r="U14" s="37"/>
      <c r="V14" s="37"/>
      <c r="W14" s="37"/>
      <c r="X14" s="37"/>
      <c r="Y14" s="37"/>
      <c r="Z14" s="37"/>
      <c r="AA14" s="37"/>
      <c r="AB14" s="37"/>
      <c r="AC14" s="37"/>
      <c r="AD14" s="37"/>
      <c r="AE14" s="37"/>
      <c r="AF14" s="37"/>
      <c r="AH14" s="98"/>
      <c r="AI14" s="98"/>
    </row>
    <row r="15" spans="1:35">
      <c r="A15" s="3" t="str">
        <f>Cash_Flow_Qtr!A15</f>
        <v>Receivables, Net</v>
      </c>
      <c r="B15" s="42"/>
      <c r="C15" s="42"/>
      <c r="D15" s="42"/>
      <c r="E15" s="42"/>
      <c r="F15" s="42"/>
      <c r="G15" s="42"/>
      <c r="H15" s="42"/>
      <c r="I15" s="42"/>
      <c r="J15" s="42"/>
      <c r="K15" s="42"/>
      <c r="L15" s="42"/>
      <c r="M15" s="42"/>
      <c r="N15" s="42"/>
      <c r="O15" s="42"/>
      <c r="P15" s="42"/>
      <c r="Q15" s="37">
        <f>+Cash_Flow_Qtr!F18</f>
        <v>0</v>
      </c>
      <c r="R15" s="37">
        <f>+Cash_Flow_Qtr!K18</f>
        <v>0</v>
      </c>
      <c r="S15" s="37">
        <f>+Cash_Flow_Qtr!P18</f>
        <v>0</v>
      </c>
      <c r="T15" s="37">
        <f>+Cash_Flow_Qtr!U18</f>
        <v>0</v>
      </c>
      <c r="U15" s="37"/>
      <c r="V15" s="37"/>
      <c r="W15" s="37"/>
      <c r="X15" s="37">
        <f>+Cash_Flow_Qtr!AO15</f>
        <v>-2583</v>
      </c>
      <c r="Y15" s="37">
        <f>+Cash_Flow_Qtr!AT15</f>
        <v>-210</v>
      </c>
      <c r="Z15" s="37">
        <f>+Cash_Flow_Qtr!AY15</f>
        <v>-1076</v>
      </c>
      <c r="AA15" s="37">
        <f>+Cash_Flow_Qtr!BD15</f>
        <v>-2437</v>
      </c>
      <c r="AB15" s="37">
        <f>+Cash_Flow_Qtr!BI15</f>
        <v>-1610.4680825656378</v>
      </c>
      <c r="AC15" s="37">
        <f>(Balance_Sheet_Annual!AB7-Balance_Sheet_Annual!AC7)</f>
        <v>-888.66287089916113</v>
      </c>
      <c r="AD15" s="37">
        <f>(Balance_Sheet_Annual!AC7-Balance_Sheet_Annual!AD7)</f>
        <v>-949.50970933308781</v>
      </c>
      <c r="AE15" s="37">
        <f>(Balance_Sheet_Annual!AD7-Balance_Sheet_Annual!AE7)</f>
        <v>-753.63083547525093</v>
      </c>
      <c r="AF15" s="37">
        <f>(Balance_Sheet_Annual!AE7-Balance_Sheet_Annual!AF7)</f>
        <v>-1034.249709380485</v>
      </c>
      <c r="AH15" s="98"/>
      <c r="AI15" s="98"/>
    </row>
    <row r="16" spans="1:35">
      <c r="A16" s="3" t="str">
        <f>Cash_Flow_Qtr!A16</f>
        <v>Inventories</v>
      </c>
      <c r="B16" s="42"/>
      <c r="C16" s="42"/>
      <c r="D16" s="42"/>
      <c r="E16" s="42"/>
      <c r="F16" s="42"/>
      <c r="G16" s="42"/>
      <c r="H16" s="42"/>
      <c r="I16" s="42"/>
      <c r="J16" s="42"/>
      <c r="K16" s="42"/>
      <c r="L16" s="42"/>
      <c r="M16" s="42"/>
      <c r="N16" s="42"/>
      <c r="O16" s="42"/>
      <c r="P16" s="42"/>
      <c r="Q16" s="37">
        <f>+Cash_Flow_Qtr!F20</f>
        <v>0</v>
      </c>
      <c r="R16" s="37">
        <f>+Cash_Flow_Qtr!K20</f>
        <v>0</v>
      </c>
      <c r="S16" s="37">
        <f>+Cash_Flow_Qtr!P20</f>
        <v>0</v>
      </c>
      <c r="T16" s="37">
        <f>+Cash_Flow_Qtr!U20</f>
        <v>0</v>
      </c>
      <c r="U16" s="37"/>
      <c r="V16" s="37"/>
      <c r="W16" s="37"/>
      <c r="X16" s="37">
        <f>+Cash_Flow_Qtr!AO16</f>
        <v>-2226</v>
      </c>
      <c r="Y16" s="37">
        <f>+Cash_Flow_Qtr!AT16</f>
        <v>-1321</v>
      </c>
      <c r="Z16" s="37">
        <f>+Cash_Flow_Qtr!AY16</f>
        <v>-1528</v>
      </c>
      <c r="AA16" s="37">
        <f>+Cash_Flow_Qtr!BD16</f>
        <v>-1981</v>
      </c>
      <c r="AB16" s="37">
        <f>+Cash_Flow_Qtr!BI16</f>
        <v>-1320.6350968946972</v>
      </c>
      <c r="AC16" s="37">
        <f>(Balance_Sheet_Annual!AB8-Balance_Sheet_Annual!AC8)</f>
        <v>-1876.4779521421897</v>
      </c>
      <c r="AD16" s="37">
        <f>(Balance_Sheet_Annual!AC8-Balance_Sheet_Annual!AD8)</f>
        <v>-1020.3759881043152</v>
      </c>
      <c r="AE16" s="37">
        <f>(Balance_Sheet_Annual!AD8-Balance_Sheet_Annual!AE8)</f>
        <v>-1070.3499426662111</v>
      </c>
      <c r="AF16" s="37">
        <f>(Balance_Sheet_Annual!AE8-Balance_Sheet_Annual!AF8)</f>
        <v>-1194.3213045177617</v>
      </c>
      <c r="AH16" s="98"/>
      <c r="AI16" s="98"/>
    </row>
    <row r="17" spans="1:39">
      <c r="A17" s="3" t="str">
        <f>Cash_Flow_Qtr!A17</f>
        <v>Contract Assets</v>
      </c>
      <c r="B17" s="71"/>
      <c r="C17" s="71"/>
      <c r="D17" s="71"/>
      <c r="E17" s="71"/>
      <c r="F17" s="71"/>
      <c r="G17" s="71"/>
      <c r="H17" s="71"/>
      <c r="I17" s="71"/>
      <c r="J17" s="71"/>
      <c r="K17" s="71"/>
      <c r="L17" s="71"/>
      <c r="M17" s="71"/>
      <c r="N17" s="71"/>
      <c r="O17" s="71"/>
      <c r="P17" s="71"/>
      <c r="Q17" s="37">
        <f>+Cash_Flow_Qtr!F22</f>
        <v>0</v>
      </c>
      <c r="R17" s="37">
        <f>+Cash_Flow_Qtr!K22</f>
        <v>0</v>
      </c>
      <c r="S17" s="37">
        <f>+Cash_Flow_Qtr!P22</f>
        <v>0</v>
      </c>
      <c r="T17" s="37">
        <f>+Cash_Flow_Qtr!U22</f>
        <v>0</v>
      </c>
      <c r="U17" s="37"/>
      <c r="V17" s="37"/>
      <c r="W17" s="37"/>
      <c r="X17" s="37">
        <f>+Cash_Flow_Qtr!AO17</f>
        <v>934</v>
      </c>
      <c r="Y17" s="37">
        <f>+Cash_Flow_Qtr!AT17</f>
        <v>-27</v>
      </c>
      <c r="Z17" s="37">
        <f>+Cash_Flow_Qtr!AY17</f>
        <v>-112</v>
      </c>
      <c r="AA17" s="37">
        <f>+Cash_Flow_Qtr!BD17</f>
        <v>-511</v>
      </c>
      <c r="AB17" s="37">
        <f>+Cash_Flow_Qtr!BI17</f>
        <v>-215.33768504366344</v>
      </c>
      <c r="AC17" s="37">
        <f>(Balance_Sheet_Annual!AB9-Balance_Sheet_Annual!AC9)+(Balance_Sheet_Annual!AB19-Balance_Sheet_Annual!AC19)</f>
        <v>-287.55861468822468</v>
      </c>
      <c r="AD17" s="37">
        <f>(Balance_Sheet_Annual!AC9-Balance_Sheet_Annual!AD9)+(Balance_Sheet_Annual!AC19-Balance_Sheet_Annual!AD19)</f>
        <v>-308.76951390149588</v>
      </c>
      <c r="AE17" s="37">
        <f>(Balance_Sheet_Annual!AD9-Balance_Sheet_Annual!AE9)+(Balance_Sheet_Annual!AD19-Balance_Sheet_Annual!AE19)</f>
        <v>-252.47433542653835</v>
      </c>
      <c r="AF17" s="37">
        <f>(Balance_Sheet_Annual!AE9-Balance_Sheet_Annual!AF9)+(Balance_Sheet_Annual!AE19-Balance_Sheet_Annual!AF19)</f>
        <v>-278.83001168737246</v>
      </c>
      <c r="AH17" s="98"/>
      <c r="AI17" s="98"/>
    </row>
    <row r="18" spans="1:39">
      <c r="A18" s="3" t="str">
        <f>Cash_Flow_Qtr!A18</f>
        <v>Accounts Payable and Accrued Liabilities</v>
      </c>
      <c r="B18" s="71"/>
      <c r="C18" s="71"/>
      <c r="D18" s="71"/>
      <c r="E18" s="71"/>
      <c r="F18" s="71"/>
      <c r="G18" s="71"/>
      <c r="H18" s="71"/>
      <c r="I18" s="71"/>
      <c r="J18" s="71"/>
      <c r="K18" s="71"/>
      <c r="L18" s="71"/>
      <c r="M18" s="71"/>
      <c r="N18" s="71"/>
      <c r="O18" s="71"/>
      <c r="P18" s="71"/>
      <c r="Q18" s="37">
        <f>+Cash_Flow_Qtr!F23</f>
        <v>0</v>
      </c>
      <c r="R18" s="37">
        <f>+Cash_Flow_Qtr!K23</f>
        <v>0</v>
      </c>
      <c r="S18" s="37">
        <f>+Cash_Flow_Qtr!P23</f>
        <v>0</v>
      </c>
      <c r="T18" s="37">
        <f>+Cash_Flow_Qtr!U23</f>
        <v>0</v>
      </c>
      <c r="U18" s="37"/>
      <c r="V18" s="37"/>
      <c r="W18" s="37"/>
      <c r="X18" s="37">
        <f>+Cash_Flow_Qtr!AO18</f>
        <v>1697</v>
      </c>
      <c r="Y18" s="37">
        <f>+Cash_Flow_Qtr!AT18</f>
        <v>713</v>
      </c>
      <c r="Z18" s="37">
        <f>+Cash_Flow_Qtr!AY18</f>
        <v>688</v>
      </c>
      <c r="AA18" s="37">
        <f>+Cash_Flow_Qtr!BD18</f>
        <v>1993</v>
      </c>
      <c r="AB18" s="37">
        <f>+Cash_Flow_Qtr!BI18</f>
        <v>1511.9307097828605</v>
      </c>
      <c r="AC18" s="37">
        <f>(Balance_Sheet_Annual!AC30-Balance_Sheet_Annual!AB30)</f>
        <v>1511.5346163936592</v>
      </c>
      <c r="AD18" s="37">
        <f>(Balance_Sheet_Annual!AD30-Balance_Sheet_Annual!AC30)</f>
        <v>728.82859166870185</v>
      </c>
      <c r="AE18" s="37">
        <f>(Balance_Sheet_Annual!AE30-Balance_Sheet_Annual!AD30)</f>
        <v>665.6330173602837</v>
      </c>
      <c r="AF18" s="37">
        <f>(Balance_Sheet_Annual!AF30-Balance_Sheet_Annual!AE30)</f>
        <v>871.10756678646067</v>
      </c>
      <c r="AH18" s="98"/>
      <c r="AI18" s="98"/>
    </row>
    <row r="19" spans="1:39">
      <c r="A19" s="3" t="str">
        <f>Cash_Flow_Qtr!A19</f>
        <v>Contract Liabilities and Current Deferred Income</v>
      </c>
      <c r="B19" s="71"/>
      <c r="C19" s="71"/>
      <c r="D19" s="71"/>
      <c r="E19" s="71"/>
      <c r="F19" s="71"/>
      <c r="G19" s="71"/>
      <c r="H19" s="71"/>
      <c r="I19" s="71"/>
      <c r="J19" s="71"/>
      <c r="K19" s="71"/>
      <c r="L19" s="71"/>
      <c r="M19" s="71"/>
      <c r="N19" s="71"/>
      <c r="O19" s="71"/>
      <c r="P19" s="71"/>
      <c r="Q19" s="37"/>
      <c r="R19" s="37"/>
      <c r="S19" s="37"/>
      <c r="T19" s="37"/>
      <c r="U19" s="37"/>
      <c r="V19" s="37"/>
      <c r="W19" s="37"/>
      <c r="X19" s="37"/>
      <c r="Y19" s="37">
        <f>+Cash_Flow_Qtr!AT19</f>
        <v>1226</v>
      </c>
      <c r="Z19" s="37">
        <f>+Cash_Flow_Qtr!AY19</f>
        <v>1066</v>
      </c>
      <c r="AA19" s="37">
        <f>+Cash_Flow_Qtr!BD19</f>
        <v>1066</v>
      </c>
      <c r="AB19" s="37">
        <f>+Cash_Flow_Qtr!BI19</f>
        <v>453.64220123725136</v>
      </c>
      <c r="AC19" s="37">
        <f>(Balance_Sheet_Annual!AC32-Balance_Sheet_Annual!AB32)</f>
        <v>595.46053385300002</v>
      </c>
      <c r="AD19" s="37">
        <f>(Balance_Sheet_Annual!AD32-Balance_Sheet_Annual!AC32)</f>
        <v>610.74105650989077</v>
      </c>
      <c r="AE19" s="37">
        <f>(Balance_Sheet_Annual!AE32-Balance_Sheet_Annual!AD32)</f>
        <v>409.71190585612021</v>
      </c>
      <c r="AF19" s="37">
        <f>(Balance_Sheet_Annual!AF32-Balance_Sheet_Annual!AE32)</f>
        <v>435.08552691659679</v>
      </c>
      <c r="AH19" s="98"/>
      <c r="AI19" s="98"/>
    </row>
    <row r="20" spans="1:39">
      <c r="A20" s="3" t="str">
        <f>Cash_Flow_Qtr!A20</f>
        <v>Progress Collections</v>
      </c>
      <c r="B20" s="71"/>
      <c r="C20" s="71"/>
      <c r="D20" s="71"/>
      <c r="E20" s="71"/>
      <c r="F20" s="71"/>
      <c r="G20" s="71"/>
      <c r="H20" s="71"/>
      <c r="I20" s="71"/>
      <c r="J20" s="71"/>
      <c r="K20" s="71"/>
      <c r="L20" s="71"/>
      <c r="M20" s="71"/>
      <c r="N20" s="71"/>
      <c r="O20" s="71"/>
      <c r="P20" s="71"/>
      <c r="Q20" s="37" t="e">
        <f>+Cash_Flow_Qtr!#REF!</f>
        <v>#REF!</v>
      </c>
      <c r="R20" s="37" t="e">
        <f>+Cash_Flow_Qtr!#REF!</f>
        <v>#REF!</v>
      </c>
      <c r="S20" s="37" t="e">
        <f>+Cash_Flow_Qtr!#REF!</f>
        <v>#REF!</v>
      </c>
      <c r="T20" s="37" t="e">
        <f>+Cash_Flow_Qtr!#REF!</f>
        <v>#REF!</v>
      </c>
      <c r="U20" s="37"/>
      <c r="V20" s="37"/>
      <c r="W20" s="37"/>
      <c r="X20" s="37">
        <f>+Cash_Flow_Qtr!AO20</f>
        <v>1227</v>
      </c>
      <c r="Y20" s="37">
        <f>+Cash_Flow_Qtr!AT20</f>
        <v>242</v>
      </c>
      <c r="Z20" s="37">
        <f>+Cash_Flow_Qtr!AY20</f>
        <v>531</v>
      </c>
      <c r="AA20" s="37">
        <f>+Cash_Flow_Qtr!BD20</f>
        <v>838</v>
      </c>
      <c r="AB20" s="37">
        <f>+Cash_Flow_Qtr!BI20</f>
        <v>650</v>
      </c>
      <c r="AC20" s="42">
        <f>+AB20</f>
        <v>650</v>
      </c>
      <c r="AD20" s="42">
        <f>+AC20</f>
        <v>650</v>
      </c>
      <c r="AE20" s="42">
        <f>+AD20</f>
        <v>650</v>
      </c>
      <c r="AF20" s="42">
        <f>+AE20</f>
        <v>650</v>
      </c>
      <c r="AH20" s="98"/>
      <c r="AI20" s="98"/>
      <c r="AJ20" s="98"/>
      <c r="AK20" s="98"/>
      <c r="AL20" s="98"/>
      <c r="AM20" s="98"/>
    </row>
    <row r="21" spans="1:39">
      <c r="A21" s="3" t="str">
        <f>Cash_Flow_Qtr!A21</f>
        <v>Sales Discounts and Allowances</v>
      </c>
      <c r="B21" s="71"/>
      <c r="C21" s="71"/>
      <c r="D21" s="71"/>
      <c r="E21" s="71"/>
      <c r="F21" s="71"/>
      <c r="G21" s="71"/>
      <c r="H21" s="71"/>
      <c r="I21" s="71"/>
      <c r="J21" s="71"/>
      <c r="K21" s="71"/>
      <c r="L21" s="71"/>
      <c r="M21" s="71"/>
      <c r="N21" s="71"/>
      <c r="O21" s="71"/>
      <c r="P21" s="71"/>
      <c r="Q21" s="37"/>
      <c r="R21" s="37"/>
      <c r="S21" s="37"/>
      <c r="T21" s="37"/>
      <c r="U21" s="37"/>
      <c r="V21" s="37"/>
      <c r="W21" s="37"/>
      <c r="X21" s="37"/>
      <c r="Y21" s="37">
        <f>+Cash_Flow_Qtr!AT21</f>
        <v>-203</v>
      </c>
      <c r="Z21" s="37">
        <f>+Cash_Flow_Qtr!AY21</f>
        <v>-266</v>
      </c>
      <c r="AA21" s="37">
        <f>+Cash_Flow_Qtr!BD21</f>
        <v>562</v>
      </c>
      <c r="AB21" s="37">
        <f>+Cash_Flow_Qtr!BI21</f>
        <v>706</v>
      </c>
      <c r="AC21" s="37">
        <f ca="1">(Balance_Sheet_Annual!AC33-Balance_Sheet_Annual!AB33)</f>
        <v>0</v>
      </c>
      <c r="AD21" s="37">
        <f ca="1">(Balance_Sheet_Annual!AD33-Balance_Sheet_Annual!AC33)</f>
        <v>0</v>
      </c>
      <c r="AE21" s="37">
        <f ca="1">(Balance_Sheet_Annual!AE33-Balance_Sheet_Annual!AD33)</f>
        <v>0</v>
      </c>
      <c r="AF21" s="37">
        <f ca="1">(Balance_Sheet_Annual!AF33-Balance_Sheet_Annual!AE33)</f>
        <v>0</v>
      </c>
      <c r="AH21" s="98"/>
      <c r="AI21" s="98"/>
      <c r="AJ21" s="98"/>
      <c r="AK21" s="98"/>
      <c r="AL21" s="98"/>
      <c r="AM21" s="98"/>
    </row>
    <row r="22" spans="1:39">
      <c r="A22" s="1" t="str">
        <f>Cash_Flow_Qtr!A22</f>
        <v>Working Capital</v>
      </c>
      <c r="B22" s="71"/>
      <c r="C22" s="71"/>
      <c r="D22" s="71"/>
      <c r="E22" s="71"/>
      <c r="F22" s="71"/>
      <c r="G22" s="71"/>
      <c r="H22" s="71"/>
      <c r="I22" s="71"/>
      <c r="J22" s="71"/>
      <c r="K22" s="71"/>
      <c r="L22" s="71"/>
      <c r="M22" s="71"/>
      <c r="N22" s="71"/>
      <c r="O22" s="71"/>
      <c r="P22" s="71"/>
      <c r="Q22" s="37" t="e">
        <f>+Cash_Flow_Qtr!#REF!</f>
        <v>#REF!</v>
      </c>
      <c r="R22" s="37" t="e">
        <f>+Cash_Flow_Qtr!#REF!</f>
        <v>#REF!</v>
      </c>
      <c r="S22" s="37" t="e">
        <f>+Cash_Flow_Qtr!#REF!</f>
        <v>#REF!</v>
      </c>
      <c r="T22" s="37" t="e">
        <f>+Cash_Flow_Qtr!#REF!</f>
        <v>#REF!</v>
      </c>
      <c r="U22" s="37"/>
      <c r="V22" s="37"/>
      <c r="W22" s="37"/>
      <c r="X22" s="71">
        <f>SUM(X15:X20)</f>
        <v>-951</v>
      </c>
      <c r="Y22" s="71">
        <f t="shared" ref="Y22:AE22" si="2">+SUM(Y15:Y21)</f>
        <v>420</v>
      </c>
      <c r="Z22" s="71">
        <f t="shared" si="2"/>
        <v>-697</v>
      </c>
      <c r="AA22" s="71">
        <f t="shared" si="2"/>
        <v>-470</v>
      </c>
      <c r="AB22" s="71">
        <f t="shared" ref="AB22" si="3">+SUM(AB15:AB21)</f>
        <v>175.13204651611341</v>
      </c>
      <c r="AC22" s="71">
        <f t="shared" ca="1" si="2"/>
        <v>-295.70428748291624</v>
      </c>
      <c r="AD22" s="71">
        <f t="shared" ca="1" si="2"/>
        <v>-289.08556316030626</v>
      </c>
      <c r="AE22" s="71">
        <f t="shared" ca="1" si="2"/>
        <v>-351.11019035159643</v>
      </c>
      <c r="AF22" s="71">
        <f t="shared" ref="AF22" ca="1" si="4">+SUM(AF15:AF21)</f>
        <v>-551.20793188256175</v>
      </c>
      <c r="AH22" s="98"/>
      <c r="AI22" s="98"/>
      <c r="AJ22" s="98"/>
      <c r="AK22" s="98"/>
      <c r="AL22" s="98"/>
      <c r="AM22" s="98"/>
    </row>
    <row r="23" spans="1:39">
      <c r="A23" s="1" t="str">
        <f>Cash_Flow_Qtr!A23</f>
        <v>Financial Services Derivatives, Net</v>
      </c>
      <c r="B23" s="71"/>
      <c r="C23" s="71"/>
      <c r="D23" s="71"/>
      <c r="E23" s="71"/>
      <c r="F23" s="71"/>
      <c r="G23" s="71"/>
      <c r="H23" s="71"/>
      <c r="I23" s="71"/>
      <c r="J23" s="71"/>
      <c r="K23" s="71"/>
      <c r="L23" s="71"/>
      <c r="M23" s="71"/>
      <c r="N23" s="71"/>
      <c r="O23" s="71"/>
      <c r="P23" s="71"/>
      <c r="Q23" s="37" t="e">
        <f>+Cash_Flow_Qtr!#REF!</f>
        <v>#REF!</v>
      </c>
      <c r="R23" s="37" t="e">
        <f>+Cash_Flow_Qtr!#REF!</f>
        <v>#REF!</v>
      </c>
      <c r="S23" s="37" t="e">
        <f>+Cash_Flow_Qtr!#REF!</f>
        <v>#REF!</v>
      </c>
      <c r="T23" s="37" t="e">
        <f>+Cash_Flow_Qtr!#REF!</f>
        <v>#REF!</v>
      </c>
      <c r="U23" s="37"/>
      <c r="V23" s="37"/>
      <c r="W23" s="37"/>
      <c r="X23" s="37">
        <f>+Cash_Flow_Qtr!AO23</f>
        <v>-205.33333333333334</v>
      </c>
      <c r="Y23" s="37">
        <f>+Cash_Flow_Qtr!AT23</f>
        <v>0</v>
      </c>
      <c r="Z23" s="37">
        <f>+Cash_Flow_Qtr!AY23</f>
        <v>0</v>
      </c>
      <c r="AA23" s="37">
        <f>+Cash_Flow_Qtr!BD23</f>
        <v>0</v>
      </c>
      <c r="AB23" s="37">
        <f>+Cash_Flow_Qtr!BI23</f>
        <v>0</v>
      </c>
      <c r="AC23" s="42">
        <v>0</v>
      </c>
      <c r="AD23" s="42">
        <v>0</v>
      </c>
      <c r="AE23" s="42">
        <v>0</v>
      </c>
      <c r="AF23" s="42">
        <v>0</v>
      </c>
      <c r="AH23" s="98"/>
      <c r="AI23" s="98"/>
      <c r="AJ23" s="98"/>
      <c r="AK23" s="98"/>
      <c r="AL23" s="98"/>
      <c r="AM23" s="98"/>
    </row>
    <row r="24" spans="1:39">
      <c r="A24" s="1" t="str">
        <f>Cash_Flow_Qtr!A24</f>
        <v>Other, Net</v>
      </c>
      <c r="B24" s="42"/>
      <c r="C24" s="42"/>
      <c r="D24" s="42"/>
      <c r="E24" s="42"/>
      <c r="F24" s="42"/>
      <c r="G24" s="42"/>
      <c r="H24" s="42"/>
      <c r="I24" s="42"/>
      <c r="J24" s="42"/>
      <c r="K24" s="42"/>
      <c r="L24" s="42"/>
      <c r="M24" s="42"/>
      <c r="N24" s="42"/>
      <c r="O24" s="42"/>
      <c r="P24" s="42"/>
      <c r="Q24" s="37" t="e">
        <f>+Cash_Flow_Qtr!#REF!</f>
        <v>#REF!</v>
      </c>
      <c r="R24" s="37" t="e">
        <f>+Cash_Flow_Qtr!#REF!</f>
        <v>#REF!</v>
      </c>
      <c r="S24" s="37" t="e">
        <f>+Cash_Flow_Qtr!#REF!</f>
        <v>#REF!</v>
      </c>
      <c r="T24" s="37" t="e">
        <f>+Cash_Flow_Qtr!#REF!</f>
        <v>#REF!</v>
      </c>
      <c r="U24" s="37"/>
      <c r="V24" s="37"/>
      <c r="W24" s="37"/>
      <c r="X24" s="37">
        <f>+Cash_Flow_Qtr!AO24</f>
        <v>4256</v>
      </c>
      <c r="Y24" s="37">
        <f>+Cash_Flow_Qtr!AT24</f>
        <v>742</v>
      </c>
      <c r="Z24" s="37">
        <f>+Cash_Flow_Qtr!AY24</f>
        <v>-74</v>
      </c>
      <c r="AA24" s="37">
        <f>+Cash_Flow_Qtr!BD24</f>
        <v>136</v>
      </c>
      <c r="AB24" s="37">
        <f>+Cash_Flow_Qtr!BI24</f>
        <v>210.52228746588571</v>
      </c>
      <c r="AC24" s="21">
        <f>+Balance_Sheet_Annual!AB10-Balance_Sheet_Annual!AC10</f>
        <v>107.41571298532972</v>
      </c>
      <c r="AD24" s="21">
        <f>+Balance_Sheet_Annual!AC10-Balance_Sheet_Annual!AD10</f>
        <v>43.573427064813586</v>
      </c>
      <c r="AE24" s="21">
        <f>+Balance_Sheet_Annual!AD10-Balance_Sheet_Annual!AE10</f>
        <v>79.467305185810915</v>
      </c>
      <c r="AF24" s="21">
        <f>+Balance_Sheet_Annual!AE10-Balance_Sheet_Annual!AF10</f>
        <v>96.26671296177858</v>
      </c>
      <c r="AH24" s="98"/>
      <c r="AI24" s="98"/>
      <c r="AJ24" s="98"/>
      <c r="AK24" s="98"/>
      <c r="AL24" s="98"/>
      <c r="AM24" s="98"/>
    </row>
    <row r="25" spans="1:39">
      <c r="A25" s="1" t="str">
        <f>Cash_Flow_Qtr!A25</f>
        <v>Net Cash from Operating Activities of Continuing Operations</v>
      </c>
      <c r="B25" s="42"/>
      <c r="C25" s="42"/>
      <c r="D25" s="42"/>
      <c r="E25" s="42"/>
      <c r="F25" s="42"/>
      <c r="G25" s="42"/>
      <c r="H25" s="42"/>
      <c r="I25" s="42"/>
      <c r="J25" s="42"/>
      <c r="K25" s="42"/>
      <c r="L25" s="42"/>
      <c r="M25" s="42"/>
      <c r="N25" s="42"/>
      <c r="O25" s="42"/>
      <c r="P25" s="42"/>
      <c r="Q25" s="37"/>
      <c r="R25" s="37"/>
      <c r="S25" s="37"/>
      <c r="T25" s="37"/>
      <c r="U25" s="37"/>
      <c r="V25" s="37"/>
      <c r="W25" s="37"/>
      <c r="X25" s="37"/>
      <c r="Y25" s="37">
        <f>+Cash_Flow_Qtr!AT25</f>
        <v>4609</v>
      </c>
      <c r="Z25" s="37">
        <f>+Cash_Flow_Qtr!AY25</f>
        <v>5817</v>
      </c>
      <c r="AA25" s="37">
        <f>+Cash_Flow_Qtr!BD25</f>
        <v>8543</v>
      </c>
      <c r="AB25" s="37">
        <f ca="1">+Cash_Flow_Qtr!BI25</f>
        <v>10609.549929447247</v>
      </c>
      <c r="AC25" s="21">
        <f ca="1">+SUM(AC4:AC13,AC22:AC24)</f>
        <v>11518.15432412711</v>
      </c>
      <c r="AD25" s="21">
        <f ca="1">+SUM(AD4:AD13,AD22:AD24)</f>
        <v>12893.328362509958</v>
      </c>
      <c r="AE25" s="21">
        <f ca="1">+SUM(AE4:AE13,AE22:AE24)</f>
        <v>14268.762009693932</v>
      </c>
      <c r="AF25" s="21">
        <f ca="1">+SUM(AF4:AF13,AF22:AF24)</f>
        <v>15704.25999524269</v>
      </c>
      <c r="AH25" s="98"/>
      <c r="AI25" s="98"/>
      <c r="AJ25" s="98"/>
      <c r="AK25" s="98"/>
      <c r="AL25" s="98"/>
      <c r="AM25" s="98"/>
    </row>
    <row r="26" spans="1:39">
      <c r="A26" s="1" t="str">
        <f>Cash_Flow_Qtr!A26</f>
        <v>Net Cash Used in Operating Activities of Discontinued Operations</v>
      </c>
      <c r="B26" s="42"/>
      <c r="C26" s="42"/>
      <c r="D26" s="42"/>
      <c r="E26" s="42"/>
      <c r="F26" s="42"/>
      <c r="G26" s="42"/>
      <c r="H26" s="42"/>
      <c r="I26" s="42"/>
      <c r="J26" s="42"/>
      <c r="K26" s="42"/>
      <c r="L26" s="42"/>
      <c r="M26" s="42"/>
      <c r="N26" s="42"/>
      <c r="O26" s="42"/>
      <c r="P26" s="42"/>
      <c r="Q26" s="37"/>
      <c r="R26" s="37"/>
      <c r="S26" s="37"/>
      <c r="T26" s="37"/>
      <c r="U26" s="37"/>
      <c r="V26" s="37"/>
      <c r="W26" s="37"/>
      <c r="X26" s="37"/>
      <c r="Y26" s="37">
        <f>+Cash_Flow_Qtr!AT26</f>
        <v>580</v>
      </c>
      <c r="Z26" s="37">
        <f>+Cash_Flow_Qtr!AY26</f>
        <v>-1107</v>
      </c>
      <c r="AA26" s="37">
        <f>+Cash_Flow_Qtr!BD26</f>
        <v>-6</v>
      </c>
      <c r="AB26" s="37">
        <f>+Cash_Flow_Qtr!BI26</f>
        <v>-108</v>
      </c>
      <c r="AC26" s="42">
        <v>0</v>
      </c>
      <c r="AD26" s="42">
        <v>0</v>
      </c>
      <c r="AE26" s="42">
        <v>0</v>
      </c>
      <c r="AF26" s="42">
        <v>0</v>
      </c>
      <c r="AH26" s="98"/>
      <c r="AI26" s="98"/>
      <c r="AJ26" s="98"/>
      <c r="AK26" s="98"/>
      <c r="AL26" s="98"/>
      <c r="AM26" s="98"/>
    </row>
    <row r="27" spans="1:39">
      <c r="A27" s="14" t="str">
        <f>Cash_Flow_Qtr!A25</f>
        <v>Net Cash from Operating Activities of Continuing Operations</v>
      </c>
      <c r="B27" s="23"/>
      <c r="C27" s="23"/>
      <c r="D27" s="23"/>
      <c r="E27" s="23"/>
      <c r="F27" s="23"/>
      <c r="G27" s="23"/>
      <c r="H27" s="23"/>
      <c r="I27" s="23"/>
      <c r="J27" s="23"/>
      <c r="K27" s="23"/>
      <c r="L27" s="23"/>
      <c r="M27" s="23"/>
      <c r="N27" s="23"/>
      <c r="O27" s="23"/>
      <c r="P27" s="23"/>
      <c r="Q27" s="160">
        <f>+Cash_Flow_Qtr!F25</f>
        <v>0</v>
      </c>
      <c r="R27" s="160">
        <f>+Cash_Flow_Qtr!K25</f>
        <v>0</v>
      </c>
      <c r="S27" s="160">
        <f>+Cash_Flow_Qtr!P25</f>
        <v>0</v>
      </c>
      <c r="T27" s="160">
        <f>+Cash_Flow_Qtr!U25</f>
        <v>0</v>
      </c>
      <c r="U27" s="160"/>
      <c r="V27" s="160"/>
      <c r="W27" s="160"/>
      <c r="X27" s="160">
        <f>+Cash_Flow_Qtr!AO25</f>
        <v>4043</v>
      </c>
      <c r="Y27" s="160">
        <f>+Cash_Flow_Qtr!AT27</f>
        <v>5189</v>
      </c>
      <c r="Z27" s="160">
        <f>+Cash_Flow_Qtr!AY27</f>
        <v>4710</v>
      </c>
      <c r="AA27" s="160">
        <f>+Cash_Flow_Qtr!BD25</f>
        <v>8543</v>
      </c>
      <c r="AB27" s="160">
        <f ca="1">+Cash_Flow_Qtr!BI25</f>
        <v>10609.549929447247</v>
      </c>
      <c r="AC27" s="22">
        <f ca="1">AC25+AC26</f>
        <v>11518.15432412711</v>
      </c>
      <c r="AD27" s="22">
        <f ca="1">AD25+AD26</f>
        <v>12893.328362509958</v>
      </c>
      <c r="AE27" s="22">
        <f ca="1">AE25+AE26</f>
        <v>14268.762009693932</v>
      </c>
      <c r="AF27" s="22">
        <f ca="1">AF25+AF26</f>
        <v>15704.25999524269</v>
      </c>
      <c r="AH27" s="98"/>
    </row>
    <row r="28" spans="1:39">
      <c r="B28" s="21"/>
      <c r="C28" s="21"/>
      <c r="D28" s="21"/>
      <c r="E28" s="21"/>
      <c r="F28" s="21"/>
      <c r="G28" s="21"/>
      <c r="H28" s="21"/>
      <c r="I28" s="21"/>
      <c r="J28" s="21"/>
      <c r="K28" s="21"/>
      <c r="L28" s="21"/>
      <c r="M28" s="21"/>
      <c r="N28" s="21"/>
      <c r="O28" s="21"/>
      <c r="P28" s="21"/>
      <c r="Q28" s="21"/>
      <c r="R28" s="21"/>
      <c r="S28" s="21"/>
      <c r="T28" s="21"/>
      <c r="U28" s="21"/>
      <c r="V28" s="21"/>
      <c r="W28" s="21"/>
      <c r="X28" s="21"/>
      <c r="Y28" s="21"/>
      <c r="Z28" s="21"/>
      <c r="AA28" s="21"/>
      <c r="AB28" s="21"/>
      <c r="AC28" s="179"/>
      <c r="AD28" s="179"/>
      <c r="AE28" s="179"/>
      <c r="AF28" s="179"/>
    </row>
    <row r="29" spans="1:39">
      <c r="A29" s="4" t="str">
        <f>Cash_Flow_Qtr!A29</f>
        <v>Investing Activities</v>
      </c>
      <c r="B29" s="21"/>
      <c r="C29" s="21"/>
      <c r="D29" s="21"/>
      <c r="E29" s="21"/>
      <c r="F29" s="21"/>
      <c r="G29" s="21"/>
      <c r="H29" s="21"/>
      <c r="I29" s="21"/>
      <c r="J29" s="21"/>
      <c r="K29" s="21"/>
      <c r="L29" s="21"/>
      <c r="M29" s="21"/>
      <c r="N29" s="21"/>
      <c r="O29" s="21"/>
      <c r="P29" s="21"/>
      <c r="Q29" s="21"/>
      <c r="R29" s="21"/>
      <c r="S29" s="21"/>
      <c r="T29" s="21"/>
      <c r="U29" s="21"/>
      <c r="V29" s="21"/>
      <c r="W29" s="21"/>
      <c r="X29" s="21"/>
      <c r="Y29" s="21"/>
      <c r="Z29" s="21"/>
      <c r="AA29" s="21"/>
      <c r="AB29" s="21"/>
      <c r="AC29" s="295"/>
      <c r="AD29" s="295"/>
      <c r="AE29" s="295"/>
      <c r="AF29" s="295"/>
    </row>
    <row r="30" spans="1:39">
      <c r="A30" s="1" t="str">
        <f>Cash_Flow_Qtr!A30</f>
        <v>Capital Expenditures</v>
      </c>
      <c r="B30" s="42"/>
      <c r="C30" s="42"/>
      <c r="D30" s="42"/>
      <c r="E30" s="42"/>
      <c r="F30" s="42"/>
      <c r="G30" s="42"/>
      <c r="H30" s="42"/>
      <c r="I30" s="42"/>
      <c r="J30" s="42"/>
      <c r="K30" s="42"/>
      <c r="L30" s="42"/>
      <c r="M30" s="42"/>
      <c r="N30" s="42"/>
      <c r="O30" s="42"/>
      <c r="P30" s="42"/>
      <c r="Q30" s="37">
        <f>+Cash_Flow_Qtr!F30</f>
        <v>0</v>
      </c>
      <c r="R30" s="37">
        <f>+Cash_Flow_Qtr!K30</f>
        <v>0</v>
      </c>
      <c r="S30" s="37">
        <f>+Cash_Flow_Qtr!P30</f>
        <v>0</v>
      </c>
      <c r="T30" s="37">
        <f>+Cash_Flow_Qtr!U30</f>
        <v>0</v>
      </c>
      <c r="U30" s="37"/>
      <c r="V30" s="37"/>
      <c r="W30" s="37"/>
      <c r="X30" s="37">
        <f>+Cash_Flow_Qtr!AO30</f>
        <v>-1174</v>
      </c>
      <c r="Y30" s="37">
        <f>+Cash_Flow_Qtr!AT30</f>
        <v>-862</v>
      </c>
      <c r="Z30" s="37">
        <f>+Cash_Flow_Qtr!AY30</f>
        <v>-1032</v>
      </c>
      <c r="AA30" s="37">
        <f>+Cash_Flow_Qtr!BD30</f>
        <v>-1273</v>
      </c>
      <c r="AB30" s="37">
        <f>+Cash_Flow_Qtr!BI30</f>
        <v>-1615.3036167121525</v>
      </c>
      <c r="AC30" s="21">
        <f>-ProForma_IS_Annual!AC11*AC76</f>
        <v>-1762.5929993231766</v>
      </c>
      <c r="AD30" s="21">
        <f>-ProForma_IS_Annual!AD11*AD76</f>
        <v>-1924.4804099725216</v>
      </c>
      <c r="AE30" s="21">
        <f>-ProForma_IS_Annual!AE11*AE76</f>
        <v>-2068.5425345963199</v>
      </c>
      <c r="AF30" s="21">
        <f>-ProForma_IS_Annual!AF11*AF76</f>
        <v>-2229.9109304073154</v>
      </c>
      <c r="AG30" s="245"/>
      <c r="AH30" s="98"/>
      <c r="AI30" s="98"/>
    </row>
    <row r="31" spans="1:39">
      <c r="A31" s="1" t="str">
        <f>Cash_Flow_Qtr!A31</f>
        <v>Dispositions of PP&amp;E</v>
      </c>
      <c r="B31" s="42"/>
      <c r="C31" s="42"/>
      <c r="D31" s="42"/>
      <c r="E31" s="42"/>
      <c r="F31" s="42"/>
      <c r="G31" s="42"/>
      <c r="H31" s="42"/>
      <c r="I31" s="42"/>
      <c r="J31" s="42"/>
      <c r="K31" s="42"/>
      <c r="L31" s="42"/>
      <c r="M31" s="42"/>
      <c r="N31" s="42"/>
      <c r="O31" s="42"/>
      <c r="P31" s="42"/>
      <c r="Q31" s="37">
        <f>+Cash_Flow_Qtr!F31</f>
        <v>0</v>
      </c>
      <c r="R31" s="37">
        <f>+Cash_Flow_Qtr!K31</f>
        <v>0</v>
      </c>
      <c r="S31" s="37">
        <f>+Cash_Flow_Qtr!P31</f>
        <v>0</v>
      </c>
      <c r="T31" s="37">
        <f>+Cash_Flow_Qtr!U31</f>
        <v>0</v>
      </c>
      <c r="U31" s="37"/>
      <c r="V31" s="37"/>
      <c r="W31" s="37"/>
      <c r="X31" s="37">
        <f>+Cash_Flow_Qtr!AO31</f>
        <v>157</v>
      </c>
      <c r="Y31" s="37">
        <f>+Cash_Flow_Qtr!AT31</f>
        <v>60</v>
      </c>
      <c r="Z31" s="37">
        <f>+Cash_Flow_Qtr!AY31</f>
        <v>114</v>
      </c>
      <c r="AA31" s="37">
        <f>+Cash_Flow_Qtr!BD31</f>
        <v>123</v>
      </c>
      <c r="AB31" s="37">
        <f>+Cash_Flow_Qtr!BI31</f>
        <v>58</v>
      </c>
      <c r="AC31" s="42">
        <v>0</v>
      </c>
      <c r="AD31" s="42">
        <v>0</v>
      </c>
      <c r="AE31" s="42">
        <v>0</v>
      </c>
      <c r="AF31" s="42">
        <v>0</v>
      </c>
      <c r="AH31" s="98"/>
      <c r="AJ31" s="98"/>
      <c r="AK31" s="98"/>
      <c r="AL31" s="98"/>
      <c r="AM31" s="98"/>
    </row>
    <row r="32" spans="1:39">
      <c r="A32" s="1" t="str">
        <f>Cash_Flow_Qtr!A32</f>
        <v>Dispositions of Businesses</v>
      </c>
      <c r="B32" s="42"/>
      <c r="C32" s="42"/>
      <c r="D32" s="42"/>
      <c r="E32" s="42"/>
      <c r="F32" s="42"/>
      <c r="G32" s="42"/>
      <c r="H32" s="42"/>
      <c r="I32" s="42"/>
      <c r="J32" s="42"/>
      <c r="K32" s="42"/>
      <c r="L32" s="42"/>
      <c r="M32" s="42"/>
      <c r="N32" s="42"/>
      <c r="O32" s="42"/>
      <c r="P32" s="42"/>
      <c r="Q32" s="37">
        <f>+Cash_Flow_Qtr!F32</f>
        <v>0</v>
      </c>
      <c r="R32" s="37">
        <f>+Cash_Flow_Qtr!K32</f>
        <v>0</v>
      </c>
      <c r="S32" s="37">
        <f>+Cash_Flow_Qtr!P32</f>
        <v>0</v>
      </c>
      <c r="T32" s="37">
        <f>+Cash_Flow_Qtr!U32</f>
        <v>0</v>
      </c>
      <c r="U32" s="37"/>
      <c r="V32" s="37"/>
      <c r="W32" s="37"/>
      <c r="X32" s="37">
        <f>+Cash_Flow_Qtr!AO32</f>
        <v>15</v>
      </c>
      <c r="Y32" s="37">
        <f>+Cash_Flow_Qtr!AT32</f>
        <v>0</v>
      </c>
      <c r="Z32" s="37">
        <f>+Cash_Flow_Qtr!AY32</f>
        <v>499</v>
      </c>
      <c r="AA32" s="37">
        <f>+Cash_Flow_Qtr!BD32</f>
        <v>0</v>
      </c>
      <c r="AB32" s="37">
        <f>+Cash_Flow_Qtr!BI32</f>
        <v>0</v>
      </c>
      <c r="AC32" s="42">
        <v>0</v>
      </c>
      <c r="AD32" s="42">
        <v>0</v>
      </c>
      <c r="AE32" s="42">
        <v>0</v>
      </c>
      <c r="AF32" s="42">
        <v>0</v>
      </c>
      <c r="AH32" s="98"/>
    </row>
    <row r="33" spans="1:35">
      <c r="A33" s="1" t="str">
        <f>Cash_Flow_Qtr!A33</f>
        <v>Acquisitions of Businesses</v>
      </c>
      <c r="B33" s="42"/>
      <c r="C33" s="42"/>
      <c r="D33" s="42"/>
      <c r="E33" s="42"/>
      <c r="F33" s="42"/>
      <c r="G33" s="42"/>
      <c r="H33" s="42"/>
      <c r="I33" s="42"/>
      <c r="J33" s="42"/>
      <c r="K33" s="42"/>
      <c r="L33" s="42"/>
      <c r="M33" s="42"/>
      <c r="N33" s="42"/>
      <c r="O33" s="42"/>
      <c r="P33" s="42"/>
      <c r="Q33" s="37">
        <f>+Cash_Flow_Qtr!F33</f>
        <v>0</v>
      </c>
      <c r="R33" s="37">
        <f>+Cash_Flow_Qtr!K33</f>
        <v>0</v>
      </c>
      <c r="S33" s="37">
        <f>+Cash_Flow_Qtr!P33</f>
        <v>0</v>
      </c>
      <c r="T33" s="37">
        <f>+Cash_Flow_Qtr!U33</f>
        <v>0</v>
      </c>
      <c r="U33" s="37"/>
      <c r="V33" s="37"/>
      <c r="W33" s="37"/>
      <c r="X33" s="37">
        <f>+Cash_Flow_Qtr!AO33</f>
        <v>-30</v>
      </c>
      <c r="Y33" s="37">
        <f>+Cash_Flow_Qtr!AT33</f>
        <v>-41</v>
      </c>
      <c r="Z33" s="37">
        <f>+Cash_Flow_Qtr!AY33</f>
        <v>-135</v>
      </c>
      <c r="AA33" s="37">
        <f>+Cash_Flow_Qtr!BD33</f>
        <v>-360</v>
      </c>
      <c r="AB33" s="37">
        <f>+Cash_Flow_Qtr!BI33</f>
        <v>-1</v>
      </c>
      <c r="AC33" s="42">
        <v>0</v>
      </c>
      <c r="AD33" s="42">
        <v>0</v>
      </c>
      <c r="AE33" s="42">
        <v>0</v>
      </c>
      <c r="AF33" s="42">
        <v>0</v>
      </c>
      <c r="AH33" s="98"/>
    </row>
    <row r="34" spans="1:35">
      <c r="A34" s="1" t="str">
        <f>Cash_Flow_Qtr!A34</f>
        <v>Dispositions of Retained Ownership Interests</v>
      </c>
      <c r="B34" s="42"/>
      <c r="C34" s="42"/>
      <c r="D34" s="42"/>
      <c r="E34" s="42"/>
      <c r="F34" s="42"/>
      <c r="G34" s="42"/>
      <c r="H34" s="42"/>
      <c r="I34" s="42"/>
      <c r="J34" s="42"/>
      <c r="K34" s="42"/>
      <c r="L34" s="42"/>
      <c r="M34" s="42"/>
      <c r="N34" s="42"/>
      <c r="O34" s="42"/>
      <c r="P34" s="42"/>
      <c r="Q34" s="37">
        <f>+Cash_Flow_Qtr!F34</f>
        <v>0</v>
      </c>
      <c r="R34" s="37">
        <f>+Cash_Flow_Qtr!K34</f>
        <v>0</v>
      </c>
      <c r="S34" s="37">
        <f>+Cash_Flow_Qtr!P34</f>
        <v>0</v>
      </c>
      <c r="T34" s="37">
        <f>+Cash_Flow_Qtr!U34</f>
        <v>0</v>
      </c>
      <c r="U34" s="37"/>
      <c r="V34" s="37"/>
      <c r="W34" s="37"/>
      <c r="X34" s="37">
        <f>+Cash_Flow_Qtr!AO34</f>
        <v>4071</v>
      </c>
      <c r="Y34" s="37">
        <f>+Cash_Flow_Qtr!AT34</f>
        <v>9004</v>
      </c>
      <c r="Z34" s="37">
        <f>+Cash_Flow_Qtr!AY34</f>
        <v>5250</v>
      </c>
      <c r="AA34" s="37">
        <f>+Cash_Flow_Qtr!BD34</f>
        <v>0</v>
      </c>
      <c r="AB34" s="37">
        <f>+Cash_Flow_Qtr!BI34</f>
        <v>0</v>
      </c>
      <c r="AC34" s="42">
        <v>0</v>
      </c>
      <c r="AD34" s="42">
        <v>0</v>
      </c>
      <c r="AE34" s="42">
        <v>0</v>
      </c>
      <c r="AF34" s="42">
        <v>0</v>
      </c>
      <c r="AH34" s="98"/>
    </row>
    <row r="35" spans="1:35">
      <c r="A35" s="1" t="str">
        <f>Cash_Flow_Qtr!A35</f>
        <v>Net (Purchases) / Dispositions of Investments</v>
      </c>
      <c r="B35" s="42"/>
      <c r="C35" s="42"/>
      <c r="D35" s="42"/>
      <c r="E35" s="42"/>
      <c r="F35" s="42"/>
      <c r="G35" s="42"/>
      <c r="H35" s="42"/>
      <c r="I35" s="42"/>
      <c r="J35" s="42"/>
      <c r="K35" s="42"/>
      <c r="L35" s="42"/>
      <c r="M35" s="42"/>
      <c r="N35" s="42"/>
      <c r="O35" s="42"/>
      <c r="P35" s="42"/>
      <c r="Q35" s="37">
        <f>+Cash_Flow_Qtr!F35</f>
        <v>0</v>
      </c>
      <c r="R35" s="37">
        <f>+Cash_Flow_Qtr!K35</f>
        <v>0</v>
      </c>
      <c r="S35" s="37">
        <f>+Cash_Flow_Qtr!P35</f>
        <v>0</v>
      </c>
      <c r="T35" s="37">
        <f>+Cash_Flow_Qtr!U35</f>
        <v>0</v>
      </c>
      <c r="U35" s="37"/>
      <c r="V35" s="37"/>
      <c r="W35" s="37"/>
      <c r="X35" s="37">
        <f>+Cash_Flow_Qtr!AO35</f>
        <v>-1189</v>
      </c>
      <c r="Y35" s="37">
        <f>+Cash_Flow_Qtr!AT35</f>
        <v>-986</v>
      </c>
      <c r="Z35" s="37">
        <f>+Cash_Flow_Qtr!AY35</f>
        <v>-963</v>
      </c>
      <c r="AA35" s="37">
        <f>+Cash_Flow_Qtr!BD35</f>
        <v>425</v>
      </c>
      <c r="AB35" s="37">
        <f>+Cash_Flow_Qtr!BI35</f>
        <v>-7</v>
      </c>
      <c r="AC35" s="42">
        <v>0</v>
      </c>
      <c r="AD35" s="42">
        <v>0</v>
      </c>
      <c r="AE35" s="42">
        <v>0</v>
      </c>
      <c r="AF35" s="42">
        <v>0</v>
      </c>
      <c r="AH35" s="98"/>
    </row>
    <row r="36" spans="1:35">
      <c r="A36" s="1" t="str">
        <f>Cash_Flow_Qtr!A36</f>
        <v>Other, Net</v>
      </c>
      <c r="B36" s="42"/>
      <c r="C36" s="42"/>
      <c r="D36" s="42"/>
      <c r="E36" s="42"/>
      <c r="F36" s="42"/>
      <c r="G36" s="42"/>
      <c r="H36" s="42"/>
      <c r="I36" s="42"/>
      <c r="J36" s="42"/>
      <c r="K36" s="42"/>
      <c r="L36" s="42"/>
      <c r="M36" s="42"/>
      <c r="N36" s="42"/>
      <c r="O36" s="42"/>
      <c r="P36" s="42"/>
      <c r="Q36" s="37">
        <f>+Cash_Flow_Qtr!F36</f>
        <v>0</v>
      </c>
      <c r="R36" s="37">
        <f>+Cash_Flow_Qtr!K36</f>
        <v>0</v>
      </c>
      <c r="S36" s="37">
        <f>+Cash_Flow_Qtr!P36</f>
        <v>0</v>
      </c>
      <c r="T36" s="37">
        <f>+Cash_Flow_Qtr!U36</f>
        <v>0</v>
      </c>
      <c r="U36" s="37"/>
      <c r="V36" s="37"/>
      <c r="W36" s="37"/>
      <c r="X36" s="37">
        <f>+Cash_Flow_Qtr!AO36</f>
        <v>-150</v>
      </c>
      <c r="Y36" s="37">
        <f>+Cash_Flow_Qtr!AT36</f>
        <v>518</v>
      </c>
      <c r="Z36" s="37">
        <f>+Cash_Flow_Qtr!AY36</f>
        <v>-4289</v>
      </c>
      <c r="AA36" s="37">
        <f>+Cash_Flow_Qtr!BD36</f>
        <v>309</v>
      </c>
      <c r="AB36" s="37">
        <f>+Cash_Flow_Qtr!BI36</f>
        <v>-1247</v>
      </c>
      <c r="AC36" s="42">
        <v>0</v>
      </c>
      <c r="AD36" s="42">
        <v>0</v>
      </c>
      <c r="AE36" s="42">
        <v>0</v>
      </c>
      <c r="AF36" s="42">
        <v>0</v>
      </c>
      <c r="AH36" s="98"/>
    </row>
    <row r="37" spans="1:35">
      <c r="A37" s="1" t="str">
        <f>Cash_Flow_Qtr!A37</f>
        <v>Net Cash from Investing Activities of Continuing Operations</v>
      </c>
      <c r="B37" s="42"/>
      <c r="C37" s="42"/>
      <c r="D37" s="42"/>
      <c r="E37" s="42"/>
      <c r="F37" s="42"/>
      <c r="G37" s="42"/>
      <c r="H37" s="42"/>
      <c r="I37" s="42"/>
      <c r="J37" s="42"/>
      <c r="K37" s="42"/>
      <c r="L37" s="42"/>
      <c r="M37" s="42"/>
      <c r="N37" s="42"/>
      <c r="O37" s="42"/>
      <c r="P37" s="42"/>
      <c r="Q37" s="37"/>
      <c r="R37" s="37"/>
      <c r="S37" s="37"/>
      <c r="T37" s="37"/>
      <c r="U37" s="37"/>
      <c r="V37" s="37"/>
      <c r="W37" s="37"/>
      <c r="X37" s="37"/>
      <c r="Y37" s="37">
        <f>+Cash_Flow_Qtr!AT37</f>
        <v>7693</v>
      </c>
      <c r="Z37" s="37">
        <f>+Cash_Flow_Qtr!AY37</f>
        <v>-556</v>
      </c>
      <c r="AA37" s="37">
        <f>+Cash_Flow_Qtr!BD37</f>
        <v>-776</v>
      </c>
      <c r="AB37" s="37">
        <f>+Cash_Flow_Qtr!BI37</f>
        <v>-2812.3036167121527</v>
      </c>
      <c r="AC37" s="71">
        <f>+SUM(AC30:AC36)</f>
        <v>-1762.5929993231766</v>
      </c>
      <c r="AD37" s="71">
        <f>+SUM(AD30:AD36)</f>
        <v>-1924.4804099725216</v>
      </c>
      <c r="AE37" s="71">
        <f>+SUM(AE30:AE36)</f>
        <v>-2068.5425345963199</v>
      </c>
      <c r="AF37" s="71">
        <f>+SUM(AF30:AF36)</f>
        <v>-2229.9109304073154</v>
      </c>
      <c r="AH37" s="98"/>
    </row>
    <row r="38" spans="1:35">
      <c r="A38" s="1" t="str">
        <f>Cash_Flow_Qtr!A38</f>
        <v>Net Cash Used in Investing Activities of Discontinued Operations</v>
      </c>
      <c r="B38" s="42"/>
      <c r="C38" s="42"/>
      <c r="D38" s="42"/>
      <c r="E38" s="42"/>
      <c r="F38" s="42"/>
      <c r="G38" s="42"/>
      <c r="H38" s="42"/>
      <c r="I38" s="42"/>
      <c r="J38" s="42"/>
      <c r="K38" s="42"/>
      <c r="L38" s="42"/>
      <c r="M38" s="42"/>
      <c r="N38" s="42"/>
      <c r="O38" s="42"/>
      <c r="P38" s="42"/>
      <c r="Q38" s="37"/>
      <c r="R38" s="37"/>
      <c r="S38" s="37"/>
      <c r="T38" s="37"/>
      <c r="U38" s="37"/>
      <c r="V38" s="37"/>
      <c r="W38" s="37"/>
      <c r="X38" s="37"/>
      <c r="Y38" s="37">
        <f>+Cash_Flow_Qtr!AT38</f>
        <v>-3726</v>
      </c>
      <c r="Z38" s="37">
        <f>+Cash_Flow_Qtr!AY38</f>
        <v>-1110</v>
      </c>
      <c r="AA38" s="37">
        <f>+Cash_Flow_Qtr!BD38</f>
        <v>-377</v>
      </c>
      <c r="AB38" s="37">
        <f>+Cash_Flow_Qtr!BI38</f>
        <v>-110</v>
      </c>
      <c r="AC38" s="42">
        <v>0</v>
      </c>
      <c r="AD38" s="42">
        <v>0</v>
      </c>
      <c r="AE38" s="42">
        <v>0</v>
      </c>
      <c r="AF38" s="42">
        <v>0</v>
      </c>
      <c r="AH38" s="98"/>
    </row>
    <row r="39" spans="1:35">
      <c r="A39" s="6" t="str">
        <f>Cash_Flow_Qtr!A37</f>
        <v>Net Cash from Investing Activities of Continuing Operations</v>
      </c>
      <c r="B39" s="23"/>
      <c r="C39" s="23"/>
      <c r="D39" s="23"/>
      <c r="E39" s="23"/>
      <c r="F39" s="23"/>
      <c r="G39" s="23"/>
      <c r="H39" s="23"/>
      <c r="I39" s="23"/>
      <c r="J39" s="23"/>
      <c r="K39" s="23"/>
      <c r="L39" s="23"/>
      <c r="M39" s="23"/>
      <c r="N39" s="23"/>
      <c r="O39" s="23"/>
      <c r="P39" s="23"/>
      <c r="Q39" s="160">
        <f>+Cash_Flow_Qtr!F37</f>
        <v>0</v>
      </c>
      <c r="R39" s="160">
        <f>+Cash_Flow_Qtr!K37</f>
        <v>0</v>
      </c>
      <c r="S39" s="160">
        <f>+Cash_Flow_Qtr!P37</f>
        <v>0</v>
      </c>
      <c r="T39" s="160">
        <f>+Cash_Flow_Qtr!U37</f>
        <v>0</v>
      </c>
      <c r="U39" s="160"/>
      <c r="V39" s="160"/>
      <c r="W39" s="160"/>
      <c r="X39" s="160">
        <f ca="1">+Cash_Flow_Qtr!AO37</f>
        <v>3697</v>
      </c>
      <c r="Y39" s="160">
        <f>+Cash_Flow_Qtr!AT39</f>
        <v>3967</v>
      </c>
      <c r="Z39" s="160">
        <f>+Cash_Flow_Qtr!AY39</f>
        <v>-1666</v>
      </c>
      <c r="AA39" s="160">
        <f>+Cash_Flow_Qtr!BD39</f>
        <v>-1153</v>
      </c>
      <c r="AB39" s="160">
        <f>+Cash_Flow_Qtr!BI39</f>
        <v>-2922.3036167121527</v>
      </c>
      <c r="AC39" s="23">
        <f>AC37+AC38</f>
        <v>-1762.5929993231766</v>
      </c>
      <c r="AD39" s="23">
        <f>AD37+AD38</f>
        <v>-1924.4804099725216</v>
      </c>
      <c r="AE39" s="23">
        <f>AE37+AE38</f>
        <v>-2068.5425345963199</v>
      </c>
      <c r="AF39" s="23">
        <f>AF37+AF38</f>
        <v>-2229.9109304073154</v>
      </c>
    </row>
    <row r="40" spans="1:35">
      <c r="B40" s="21"/>
      <c r="C40" s="21"/>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179"/>
      <c r="AD40" s="179"/>
      <c r="AE40" s="179"/>
      <c r="AF40" s="179"/>
    </row>
    <row r="41" spans="1:35">
      <c r="A41" s="12" t="str">
        <f>Cash_Flow_Qtr!A41</f>
        <v>Financing Activities</v>
      </c>
      <c r="B41" s="21"/>
      <c r="C41" s="21"/>
      <c r="D41" s="21"/>
      <c r="E41" s="21"/>
      <c r="F41" s="21"/>
      <c r="G41" s="21"/>
      <c r="H41" s="21"/>
      <c r="I41" s="21"/>
      <c r="J41" s="21"/>
      <c r="K41" s="21"/>
      <c r="L41" s="21"/>
      <c r="M41" s="21"/>
      <c r="N41" s="21"/>
      <c r="O41" s="21"/>
      <c r="P41" s="21"/>
      <c r="Q41" s="21"/>
      <c r="R41" s="21"/>
      <c r="S41" s="21"/>
      <c r="T41" s="21"/>
      <c r="U41" s="21"/>
      <c r="V41" s="21"/>
      <c r="W41" s="21"/>
      <c r="X41" s="21"/>
      <c r="Y41" s="21"/>
      <c r="Z41" s="21"/>
      <c r="AA41" s="21"/>
      <c r="AB41" s="21"/>
      <c r="AC41" s="179"/>
      <c r="AD41" s="179"/>
      <c r="AE41" s="179"/>
      <c r="AF41" s="179"/>
      <c r="AH41" s="98"/>
    </row>
    <row r="42" spans="1:35">
      <c r="A42" s="1" t="str">
        <f>Cash_Flow_Qtr!A42</f>
        <v>Net Increase / Decrease in Short-Term Debt</v>
      </c>
      <c r="B42" s="42"/>
      <c r="C42" s="42"/>
      <c r="D42" s="42"/>
      <c r="E42" s="42"/>
      <c r="F42" s="42"/>
      <c r="G42" s="42"/>
      <c r="H42" s="42"/>
      <c r="I42" s="42"/>
      <c r="J42" s="42"/>
      <c r="K42" s="42"/>
      <c r="L42" s="42"/>
      <c r="M42" s="42"/>
      <c r="N42" s="42"/>
      <c r="O42" s="42"/>
      <c r="P42" s="42"/>
      <c r="Q42" s="37">
        <f>+Cash_Flow_Qtr!F42</f>
        <v>0</v>
      </c>
      <c r="R42" s="37">
        <f>+Cash_Flow_Qtr!K42</f>
        <v>0</v>
      </c>
      <c r="S42" s="37">
        <f>+Cash_Flow_Qtr!P42</f>
        <v>0</v>
      </c>
      <c r="T42" s="37">
        <f>+Cash_Flow_Qtr!U42</f>
        <v>0</v>
      </c>
      <c r="U42" s="37"/>
      <c r="V42" s="37"/>
      <c r="W42" s="37"/>
      <c r="X42" s="37">
        <f>+Cash_Flow_Qtr!AO42</f>
        <v>66</v>
      </c>
      <c r="Y42" s="37">
        <f>+Cash_Flow_Qtr!AT42</f>
        <v>-71</v>
      </c>
      <c r="Z42" s="37">
        <f>+Cash_Flow_Qtr!AY42</f>
        <v>2</v>
      </c>
      <c r="AA42" s="37">
        <f>+Cash_Flow_Qtr!BD42</f>
        <v>25</v>
      </c>
      <c r="AB42" s="37">
        <f>+Cash_Flow_Qtr!BI42</f>
        <v>-20</v>
      </c>
      <c r="AC42" s="37">
        <f>+Debt_Annual!AC13-Debt_Annual!AB13</f>
        <v>0</v>
      </c>
      <c r="AD42" s="37">
        <f>+Debt_Annual!AD13-Debt_Annual!AC13</f>
        <v>0</v>
      </c>
      <c r="AE42" s="37">
        <f>+Debt_Annual!AE13-Debt_Annual!AD13</f>
        <v>0</v>
      </c>
      <c r="AF42" s="37">
        <f>+Debt_Annual!AF13-Debt_Annual!AE13</f>
        <v>0</v>
      </c>
      <c r="AH42" s="98"/>
    </row>
    <row r="43" spans="1:35">
      <c r="A43" s="1" t="str">
        <f>Cash_Flow_Qtr!A43</f>
        <v>Issuance of Long-Term Debt</v>
      </c>
      <c r="B43" s="42"/>
      <c r="C43" s="42"/>
      <c r="D43" s="42"/>
      <c r="E43" s="42"/>
      <c r="F43" s="42"/>
      <c r="G43" s="42"/>
      <c r="H43" s="42"/>
      <c r="I43" s="42"/>
      <c r="J43" s="42"/>
      <c r="K43" s="42"/>
      <c r="L43" s="42"/>
      <c r="M43" s="42"/>
      <c r="N43" s="42"/>
      <c r="O43" s="42"/>
      <c r="P43" s="42"/>
      <c r="Q43" s="37">
        <f>+Cash_Flow_Qtr!F44</f>
        <v>0</v>
      </c>
      <c r="R43" s="37">
        <f>+Cash_Flow_Qtr!K44</f>
        <v>0</v>
      </c>
      <c r="S43" s="37">
        <f>+Cash_Flow_Qtr!P44</f>
        <v>0</v>
      </c>
      <c r="T43" s="37">
        <f>+Cash_Flow_Qtr!U44</f>
        <v>0</v>
      </c>
      <c r="U43" s="37"/>
      <c r="V43" s="37"/>
      <c r="W43" s="37"/>
      <c r="X43" s="37">
        <f>+Cash_Flow_Qtr!AO43</f>
        <v>0</v>
      </c>
      <c r="Y43" s="37">
        <f>+Cash_Flow_Qtr!AT43</f>
        <v>0</v>
      </c>
      <c r="Z43" s="37">
        <f>+Cash_Flow_Qtr!AY43</f>
        <v>0</v>
      </c>
      <c r="AA43" s="37">
        <f>+Cash_Flow_Qtr!BD43</f>
        <v>1985</v>
      </c>
      <c r="AB43" s="37">
        <f>+Cash_Flow_Qtr!BI43</f>
        <v>0</v>
      </c>
      <c r="AC43" s="37">
        <f>+Debt_Annual!AC26</f>
        <v>0</v>
      </c>
      <c r="AD43" s="37">
        <f>+Debt_Annual!AD26</f>
        <v>0</v>
      </c>
      <c r="AE43" s="37">
        <f>+Debt_Annual!AE26</f>
        <v>0</v>
      </c>
      <c r="AF43" s="37">
        <f>+Debt_Annual!AF26</f>
        <v>0</v>
      </c>
      <c r="AH43" s="98"/>
    </row>
    <row r="44" spans="1:35">
      <c r="A44" s="1" t="str">
        <f>Cash_Flow_Qtr!A44</f>
        <v>Repayments of Long-Term Debt</v>
      </c>
      <c r="B44" s="42"/>
      <c r="C44" s="42"/>
      <c r="D44" s="42"/>
      <c r="E44" s="42"/>
      <c r="F44" s="42"/>
      <c r="G44" s="42"/>
      <c r="H44" s="42"/>
      <c r="I44" s="42"/>
      <c r="J44" s="42"/>
      <c r="K44" s="42"/>
      <c r="L44" s="42"/>
      <c r="M44" s="42"/>
      <c r="N44" s="42"/>
      <c r="O44" s="42"/>
      <c r="P44" s="42"/>
      <c r="Q44" s="37" t="e">
        <f>+Cash_Flow_Qtr!#REF!</f>
        <v>#REF!</v>
      </c>
      <c r="R44" s="37" t="e">
        <f>+Cash_Flow_Qtr!#REF!</f>
        <v>#REF!</v>
      </c>
      <c r="S44" s="37" t="e">
        <f>+Cash_Flow_Qtr!#REF!</f>
        <v>#REF!</v>
      </c>
      <c r="T44" s="37" t="e">
        <f>+Cash_Flow_Qtr!#REF!</f>
        <v>#REF!</v>
      </c>
      <c r="U44" s="37"/>
      <c r="V44" s="37"/>
      <c r="W44" s="37"/>
      <c r="X44" s="37">
        <f>+Cash_Flow_Qtr!AO44</f>
        <v>-3178</v>
      </c>
      <c r="Y44" s="37">
        <f>+Cash_Flow_Qtr!AT44</f>
        <v>-3282</v>
      </c>
      <c r="Z44" s="37">
        <f>+Cash_Flow_Qtr!AY44</f>
        <v>-788</v>
      </c>
      <c r="AA44" s="37">
        <f>+Cash_Flow_Qtr!BD44</f>
        <v>-1811</v>
      </c>
      <c r="AB44" s="37">
        <f>+Cash_Flow_Qtr!BI44</f>
        <v>-1026</v>
      </c>
      <c r="AC44" s="37">
        <f>+Debt_Annual!AC27</f>
        <v>0</v>
      </c>
      <c r="AD44" s="37">
        <f>+Debt_Annual!AD27</f>
        <v>0</v>
      </c>
      <c r="AE44" s="37">
        <f>+Debt_Annual!AE27</f>
        <v>0</v>
      </c>
      <c r="AF44" s="37">
        <f>+Debt_Annual!AF27</f>
        <v>0</v>
      </c>
      <c r="AH44" s="98"/>
    </row>
    <row r="45" spans="1:35">
      <c r="A45" s="1" t="str">
        <f>Cash_Flow_Qtr!A45</f>
        <v>Dividends Paid to Shareholders</v>
      </c>
      <c r="B45" s="42"/>
      <c r="C45" s="42"/>
      <c r="D45" s="42"/>
      <c r="E45" s="42"/>
      <c r="F45" s="42"/>
      <c r="G45" s="42"/>
      <c r="H45" s="42"/>
      <c r="I45" s="42"/>
      <c r="J45" s="42"/>
      <c r="K45" s="42"/>
      <c r="L45" s="42"/>
      <c r="M45" s="42"/>
      <c r="N45" s="42"/>
      <c r="O45" s="42"/>
      <c r="P45" s="42"/>
      <c r="Q45" s="37">
        <f>+Cash_Flow_Qtr!F45</f>
        <v>0</v>
      </c>
      <c r="R45" s="37">
        <f>+Cash_Flow_Qtr!K45</f>
        <v>0</v>
      </c>
      <c r="S45" s="37">
        <f>+Cash_Flow_Qtr!P45</f>
        <v>0</v>
      </c>
      <c r="T45" s="37">
        <f>+Cash_Flow_Qtr!U45</f>
        <v>0</v>
      </c>
      <c r="U45" s="37"/>
      <c r="V45" s="37"/>
      <c r="W45" s="37"/>
      <c r="X45" s="37">
        <f>+Cash_Flow_Qtr!AO45</f>
        <v>-616</v>
      </c>
      <c r="Y45" s="37">
        <f>+Cash_Flow_Qtr!AT45</f>
        <v>-589</v>
      </c>
      <c r="Z45" s="37">
        <f>+Cash_Flow_Qtr!AY45</f>
        <v>-1008</v>
      </c>
      <c r="AA45" s="37">
        <f>+Cash_Flow_Qtr!BD45</f>
        <v>-1452</v>
      </c>
      <c r="AB45" s="37">
        <f>+Cash_Flow_Qtr!BI45</f>
        <v>-1965.7507765518435</v>
      </c>
      <c r="AC45" s="37">
        <f>-AC98*ProForma_IS_Annual!AC60</f>
        <v>-2121.2357870886094</v>
      </c>
      <c r="AD45" s="37">
        <f>-AD98*ProForma_IS_Annual!AD60</f>
        <v>-2282.0017871589116</v>
      </c>
      <c r="AE45" s="37">
        <f>-AE98*ProForma_IS_Annual!AE60</f>
        <v>-2453.1720576552689</v>
      </c>
      <c r="AF45" s="37">
        <f>-AF98*ProForma_IS_Annual!AF60</f>
        <v>-2636.6302097471894</v>
      </c>
      <c r="AH45" s="98"/>
      <c r="AI45" s="98"/>
    </row>
    <row r="46" spans="1:35">
      <c r="A46" s="1" t="str">
        <f>Cash_Flow_Qtr!A46</f>
        <v>Redemption of GE Preferred Stock</v>
      </c>
      <c r="B46" s="42"/>
      <c r="C46" s="42"/>
      <c r="D46" s="42"/>
      <c r="E46" s="42"/>
      <c r="F46" s="42"/>
      <c r="G46" s="42"/>
      <c r="H46" s="42"/>
      <c r="I46" s="42"/>
      <c r="J46" s="42"/>
      <c r="K46" s="42"/>
      <c r="L46" s="42"/>
      <c r="M46" s="42"/>
      <c r="N46" s="42"/>
      <c r="O46" s="42"/>
      <c r="P46" s="42"/>
      <c r="Q46" s="37">
        <f>+Cash_Flow_Qtr!F47</f>
        <v>0</v>
      </c>
      <c r="R46" s="37">
        <f>+Cash_Flow_Qtr!K47</f>
        <v>0</v>
      </c>
      <c r="S46" s="37">
        <f>+Cash_Flow_Qtr!P47</f>
        <v>0</v>
      </c>
      <c r="T46" s="37">
        <f>+Cash_Flow_Qtr!U47</f>
        <v>0</v>
      </c>
      <c r="U46" s="37"/>
      <c r="V46" s="37"/>
      <c r="W46" s="37"/>
      <c r="X46" s="37">
        <f>+Cash_Flow_Qtr!AO46</f>
        <v>-104</v>
      </c>
      <c r="Y46" s="37">
        <f>+Cash_Flow_Qtr!AT46</f>
        <v>-5795</v>
      </c>
      <c r="Z46" s="37">
        <f>+Cash_Flow_Qtr!AY46</f>
        <v>0</v>
      </c>
      <c r="AA46" s="37">
        <f>+Cash_Flow_Qtr!BD46</f>
        <v>0</v>
      </c>
      <c r="AB46" s="37">
        <f>+Cash_Flow_Qtr!BI46</f>
        <v>0</v>
      </c>
      <c r="AC46" s="42">
        <v>0</v>
      </c>
      <c r="AD46" s="42">
        <v>0</v>
      </c>
      <c r="AE46" s="42">
        <v>0</v>
      </c>
      <c r="AF46" s="42">
        <v>0</v>
      </c>
      <c r="AH46" s="98"/>
    </row>
    <row r="47" spans="1:35">
      <c r="A47" s="1" t="str">
        <f>Cash_Flow_Qtr!A47</f>
        <v>Repurchases of Common Stock</v>
      </c>
      <c r="B47" s="42"/>
      <c r="C47" s="42"/>
      <c r="D47" s="42"/>
      <c r="E47" s="42"/>
      <c r="F47" s="42"/>
      <c r="G47" s="42"/>
      <c r="H47" s="42"/>
      <c r="I47" s="42"/>
      <c r="J47" s="42"/>
      <c r="K47" s="42"/>
      <c r="L47" s="42"/>
      <c r="M47" s="42"/>
      <c r="N47" s="42"/>
      <c r="O47" s="42"/>
      <c r="P47" s="42"/>
      <c r="Q47" s="37" t="e">
        <f>+Cash_Flow_Qtr!#REF!</f>
        <v>#REF!</v>
      </c>
      <c r="R47" s="37" t="e">
        <f>+Cash_Flow_Qtr!#REF!</f>
        <v>#REF!</v>
      </c>
      <c r="S47" s="37" t="e">
        <f>+Cash_Flow_Qtr!#REF!</f>
        <v>#REF!</v>
      </c>
      <c r="T47" s="37" t="e">
        <f>+Cash_Flow_Qtr!#REF!</f>
        <v>#REF!</v>
      </c>
      <c r="U47" s="37"/>
      <c r="V47" s="37"/>
      <c r="W47" s="37"/>
      <c r="X47" s="37">
        <f>+Cash_Flow_Qtr!AO47</f>
        <v>-1006</v>
      </c>
      <c r="Y47" s="37">
        <f>+Cash_Flow_Qtr!AT47</f>
        <v>-1233</v>
      </c>
      <c r="Z47" s="37">
        <f>+Cash_Flow_Qtr!AY47</f>
        <v>-5827</v>
      </c>
      <c r="AA47" s="37">
        <f>+Cash_Flow_Qtr!BD47</f>
        <v>-7551</v>
      </c>
      <c r="AB47" s="37">
        <f>+Cash_Flow_Qtr!BI47</f>
        <v>-7500</v>
      </c>
      <c r="AC47" s="42">
        <v>-7500</v>
      </c>
      <c r="AD47" s="42">
        <v>-8500</v>
      </c>
      <c r="AE47" s="42">
        <v>-9250</v>
      </c>
      <c r="AF47" s="42">
        <v>-10000</v>
      </c>
      <c r="AH47" s="98"/>
      <c r="AI47" s="98"/>
    </row>
    <row r="48" spans="1:35">
      <c r="A48" s="1" t="str">
        <f>Cash_Flow_Qtr!A48</f>
        <v>Other, Net</v>
      </c>
      <c r="B48" s="42"/>
      <c r="C48" s="42"/>
      <c r="D48" s="42"/>
      <c r="E48" s="42"/>
      <c r="F48" s="42"/>
      <c r="G48" s="42"/>
      <c r="H48" s="42"/>
      <c r="I48" s="42"/>
      <c r="J48" s="42"/>
      <c r="K48" s="42"/>
      <c r="L48" s="42"/>
      <c r="M48" s="42"/>
      <c r="N48" s="42"/>
      <c r="O48" s="42"/>
      <c r="P48" s="42"/>
      <c r="Q48" s="37">
        <f>+Cash_Flow_Qtr!F48</f>
        <v>0</v>
      </c>
      <c r="R48" s="37">
        <f>+Cash_Flow_Qtr!K48</f>
        <v>0</v>
      </c>
      <c r="S48" s="37">
        <f>+Cash_Flow_Qtr!P48</f>
        <v>0</v>
      </c>
      <c r="T48" s="37">
        <f>+Cash_Flow_Qtr!U48</f>
        <v>0</v>
      </c>
      <c r="U48" s="37"/>
      <c r="V48" s="37"/>
      <c r="W48" s="37"/>
      <c r="X48" s="37">
        <f>+Cash_Flow_Qtr!AO48</f>
        <v>-679</v>
      </c>
      <c r="Y48" s="37">
        <f>+Cash_Flow_Qtr!AT48</f>
        <v>459</v>
      </c>
      <c r="Z48" s="37">
        <f>+Cash_Flow_Qtr!AY48</f>
        <v>993</v>
      </c>
      <c r="AA48" s="37">
        <f>+Cash_Flow_Qtr!BD48</f>
        <v>122</v>
      </c>
      <c r="AB48" s="37">
        <f>+Cash_Flow_Qtr!BI48</f>
        <v>54</v>
      </c>
      <c r="AC48" s="42">
        <v>0</v>
      </c>
      <c r="AD48" s="42">
        <v>0</v>
      </c>
      <c r="AE48" s="42">
        <v>0</v>
      </c>
      <c r="AF48" s="42">
        <v>0</v>
      </c>
      <c r="AH48" s="98"/>
    </row>
    <row r="49" spans="1:45">
      <c r="A49" s="1" t="str">
        <f>Cash_Flow_Qtr!A49</f>
        <v>Net Cash from Financing Activities of Continuing Operations</v>
      </c>
      <c r="B49" s="42"/>
      <c r="C49" s="42"/>
      <c r="D49" s="42"/>
      <c r="E49" s="42"/>
      <c r="F49" s="42"/>
      <c r="G49" s="42"/>
      <c r="H49" s="42"/>
      <c r="I49" s="42"/>
      <c r="J49" s="42"/>
      <c r="K49" s="42"/>
      <c r="L49" s="42"/>
      <c r="M49" s="42"/>
      <c r="N49" s="42"/>
      <c r="O49" s="42"/>
      <c r="P49" s="42"/>
      <c r="Q49" s="37"/>
      <c r="R49" s="37"/>
      <c r="S49" s="37"/>
      <c r="T49" s="37"/>
      <c r="U49" s="37"/>
      <c r="V49" s="37"/>
      <c r="W49" s="37"/>
      <c r="X49" s="37"/>
      <c r="Y49" s="37">
        <f>+Cash_Flow_Qtr!AT49</f>
        <v>-10511</v>
      </c>
      <c r="Z49" s="37">
        <f>+Cash_Flow_Qtr!AY49</f>
        <v>-6628</v>
      </c>
      <c r="AA49" s="37">
        <f>+Cash_Flow_Qtr!BD49</f>
        <v>-8682</v>
      </c>
      <c r="AB49" s="37">
        <f>+Cash_Flow_Qtr!BI49</f>
        <v>-10457.750776551844</v>
      </c>
      <c r="AC49" s="71">
        <f>+SUM(AC42:AC48)</f>
        <v>-9621.2357870886099</v>
      </c>
      <c r="AD49" s="71">
        <f>+SUM(AD42:AD48)</f>
        <v>-10782.001787158912</v>
      </c>
      <c r="AE49" s="71">
        <f>+SUM(AE42:AE48)</f>
        <v>-11703.172057655269</v>
      </c>
      <c r="AF49" s="71">
        <f>+SUM(AF42:AF48)</f>
        <v>-12636.630209747189</v>
      </c>
      <c r="AH49" s="98"/>
    </row>
    <row r="50" spans="1:45">
      <c r="A50" s="1" t="str">
        <f>Cash_Flow_Qtr!A50</f>
        <v>Net Cash Used in Financing Activities of Discontinued Operations</v>
      </c>
      <c r="B50" s="42"/>
      <c r="C50" s="42"/>
      <c r="D50" s="42"/>
      <c r="E50" s="42"/>
      <c r="F50" s="42"/>
      <c r="G50" s="42"/>
      <c r="H50" s="42"/>
      <c r="I50" s="42"/>
      <c r="J50" s="42"/>
      <c r="K50" s="42"/>
      <c r="L50" s="42"/>
      <c r="M50" s="42"/>
      <c r="N50" s="42"/>
      <c r="O50" s="42"/>
      <c r="P50" s="42"/>
      <c r="Q50" s="37"/>
      <c r="R50" s="37"/>
      <c r="S50" s="37"/>
      <c r="T50" s="37"/>
      <c r="U50" s="37"/>
      <c r="V50" s="37"/>
      <c r="W50" s="37"/>
      <c r="X50" s="37"/>
      <c r="Y50" s="37">
        <f>+Cash_Flow_Qtr!AT50</f>
        <v>1898</v>
      </c>
      <c r="Z50" s="37">
        <f>+Cash_Flow_Qtr!AY50</f>
        <v>-98</v>
      </c>
      <c r="AA50" s="37">
        <f>+Cash_Flow_Qtr!BD50</f>
        <v>0</v>
      </c>
      <c r="AB50" s="37">
        <f>+Cash_Flow_Qtr!BI50</f>
        <v>0</v>
      </c>
      <c r="AC50" s="42">
        <v>0</v>
      </c>
      <c r="AD50" s="42">
        <v>0</v>
      </c>
      <c r="AE50" s="42">
        <v>0</v>
      </c>
      <c r="AF50" s="42">
        <v>0</v>
      </c>
      <c r="AH50" s="98"/>
    </row>
    <row r="51" spans="1:45">
      <c r="A51" s="6" t="str">
        <f>Cash_Flow_Qtr!A49</f>
        <v>Net Cash from Financing Activities of Continuing Operations</v>
      </c>
      <c r="B51" s="23"/>
      <c r="C51" s="23"/>
      <c r="D51" s="23"/>
      <c r="E51" s="23"/>
      <c r="F51" s="23"/>
      <c r="G51" s="23"/>
      <c r="H51" s="23"/>
      <c r="I51" s="23"/>
      <c r="J51" s="23"/>
      <c r="K51" s="23"/>
      <c r="L51" s="23"/>
      <c r="M51" s="23"/>
      <c r="N51" s="23"/>
      <c r="O51" s="23"/>
      <c r="P51" s="23"/>
      <c r="Q51" s="160">
        <f>+Cash_Flow_Qtr!F49</f>
        <v>0</v>
      </c>
      <c r="R51" s="160">
        <f>+Cash_Flow_Qtr!K49</f>
        <v>0</v>
      </c>
      <c r="S51" s="160">
        <f>+Cash_Flow_Qtr!P49</f>
        <v>0</v>
      </c>
      <c r="T51" s="160">
        <f>+Cash_Flow_Qtr!U49</f>
        <v>0</v>
      </c>
      <c r="U51" s="160"/>
      <c r="V51" s="160"/>
      <c r="W51" s="160"/>
      <c r="X51" s="160">
        <f>+Cash_Flow_Qtr!AO49</f>
        <v>-5517</v>
      </c>
      <c r="Y51" s="160">
        <f>+Cash_Flow_Qtr!AT51</f>
        <v>-8613</v>
      </c>
      <c r="Z51" s="160">
        <f>+Cash_Flow_Qtr!AY51</f>
        <v>-6726</v>
      </c>
      <c r="AA51" s="160">
        <f>+Cash_Flow_Qtr!BD51</f>
        <v>-8682</v>
      </c>
      <c r="AB51" s="160">
        <f>+Cash_Flow_Qtr!BI51</f>
        <v>-10457.750776551844</v>
      </c>
      <c r="AC51" s="23">
        <f>AC49+AC50</f>
        <v>-9621.2357870886099</v>
      </c>
      <c r="AD51" s="23">
        <f>AD49+AD50</f>
        <v>-10782.001787158912</v>
      </c>
      <c r="AE51" s="23">
        <f>AE49+AE50</f>
        <v>-11703.172057655269</v>
      </c>
      <c r="AF51" s="23">
        <f>AF49+AF50</f>
        <v>-12636.630209747189</v>
      </c>
      <c r="AH51" s="98"/>
    </row>
    <row r="52" spans="1:45">
      <c r="B52" s="21"/>
      <c r="C52" s="21"/>
      <c r="D52" s="21"/>
      <c r="E52" s="21"/>
      <c r="F52" s="21"/>
      <c r="G52" s="21"/>
      <c r="H52" s="21"/>
      <c r="I52" s="21"/>
      <c r="J52" s="21"/>
      <c r="K52" s="21"/>
      <c r="L52" s="21"/>
      <c r="M52" s="21"/>
      <c r="N52" s="21"/>
      <c r="O52" s="21"/>
      <c r="P52" s="21"/>
      <c r="Q52" s="21"/>
      <c r="R52" s="21"/>
      <c r="S52" s="21"/>
      <c r="T52" s="21"/>
      <c r="U52" s="21"/>
      <c r="V52" s="21"/>
      <c r="W52" s="21"/>
      <c r="X52" s="21"/>
      <c r="Y52" s="21"/>
      <c r="Z52" s="21"/>
      <c r="AA52" s="21"/>
      <c r="AB52" s="21"/>
      <c r="AC52" s="179"/>
      <c r="AD52" s="179"/>
      <c r="AE52" s="179"/>
      <c r="AF52" s="179"/>
      <c r="AH52" s="98"/>
    </row>
    <row r="53" spans="1:45" hidden="1" outlineLevel="1">
      <c r="A53" t="s">
        <v>192</v>
      </c>
      <c r="B53" s="21"/>
      <c r="C53" s="21"/>
      <c r="D53" s="21"/>
      <c r="E53" s="21"/>
      <c r="F53" s="21"/>
      <c r="G53" s="21"/>
      <c r="H53" s="21"/>
      <c r="I53" s="21"/>
      <c r="J53" s="21"/>
      <c r="K53" s="21"/>
      <c r="L53" s="21"/>
      <c r="M53" s="21"/>
      <c r="N53" s="21"/>
      <c r="O53" s="21"/>
      <c r="P53" s="21"/>
      <c r="Q53" s="21"/>
      <c r="R53" s="21"/>
      <c r="S53" s="21"/>
      <c r="T53" s="21"/>
      <c r="U53" s="21"/>
      <c r="V53" s="21"/>
      <c r="W53" s="21"/>
      <c r="X53" s="21"/>
      <c r="Y53" s="21"/>
      <c r="Z53" s="21"/>
      <c r="AA53" s="21"/>
      <c r="AB53" s="21"/>
      <c r="AC53" s="179"/>
      <c r="AD53" s="179"/>
      <c r="AE53" s="179"/>
      <c r="AF53" s="179"/>
      <c r="AH53" s="98"/>
    </row>
    <row r="54" spans="1:45" hidden="1" outlineLevel="1">
      <c r="A54" s="1" t="s">
        <v>193</v>
      </c>
      <c r="B54" s="42"/>
      <c r="C54" s="42"/>
      <c r="D54" s="42"/>
      <c r="E54" s="42"/>
      <c r="F54" s="42"/>
      <c r="G54" s="42"/>
      <c r="H54" s="42"/>
      <c r="I54" s="42"/>
      <c r="J54" s="42"/>
      <c r="K54" s="42"/>
      <c r="L54" s="42"/>
      <c r="M54" s="42"/>
      <c r="N54" s="42"/>
      <c r="O54" s="42"/>
      <c r="P54" s="42"/>
      <c r="Q54" s="37">
        <f>+Cash_Flow_Qtr!F54</f>
        <v>0</v>
      </c>
      <c r="R54" s="37">
        <f>+Cash_Flow_Qtr!K54</f>
        <v>0</v>
      </c>
      <c r="S54" s="37">
        <f>+Cash_Flow_Qtr!P54</f>
        <v>0</v>
      </c>
      <c r="T54" s="37">
        <f>+Cash_Flow_Qtr!U54</f>
        <v>0</v>
      </c>
      <c r="U54" s="37"/>
      <c r="V54" s="37"/>
      <c r="W54" s="37"/>
      <c r="X54" s="37">
        <f>+Cash_Flow_Qtr!AO54</f>
        <v>1038</v>
      </c>
      <c r="Y54" s="37">
        <f>+Cash_Flow_Qtr!AT54</f>
        <v>0</v>
      </c>
      <c r="Z54" s="37">
        <f>+Cash_Flow_Qtr!AY54</f>
        <v>0</v>
      </c>
      <c r="AA54" s="37">
        <f>+Cash_Flow_Qtr!BD54</f>
        <v>0</v>
      </c>
      <c r="AB54" s="37">
        <f>+Cash_Flow_Qtr!BI54</f>
        <v>0</v>
      </c>
      <c r="AC54" s="42">
        <v>0</v>
      </c>
      <c r="AD54" s="42">
        <v>0</v>
      </c>
      <c r="AE54" s="42">
        <v>0</v>
      </c>
      <c r="AF54" s="42">
        <v>0</v>
      </c>
      <c r="AH54" s="98"/>
    </row>
    <row r="55" spans="1:45" hidden="1" outlineLevel="1">
      <c r="A55" s="1" t="s">
        <v>194</v>
      </c>
      <c r="B55" s="42"/>
      <c r="C55" s="42"/>
      <c r="D55" s="42"/>
      <c r="E55" s="42"/>
      <c r="F55" s="42"/>
      <c r="G55" s="42"/>
      <c r="H55" s="42"/>
      <c r="I55" s="42"/>
      <c r="J55" s="42"/>
      <c r="K55" s="42"/>
      <c r="L55" s="42"/>
      <c r="M55" s="42"/>
      <c r="N55" s="42"/>
      <c r="O55" s="42"/>
      <c r="P55" s="42"/>
      <c r="Q55" s="37">
        <f>+Cash_Flow_Qtr!F55</f>
        <v>0</v>
      </c>
      <c r="R55" s="37">
        <f>+Cash_Flow_Qtr!K55</f>
        <v>0</v>
      </c>
      <c r="S55" s="37">
        <f>+Cash_Flow_Qtr!P55</f>
        <v>0</v>
      </c>
      <c r="T55" s="37">
        <f>+Cash_Flow_Qtr!U55</f>
        <v>0</v>
      </c>
      <c r="U55" s="37"/>
      <c r="V55" s="37"/>
      <c r="W55" s="37"/>
      <c r="X55" s="37">
        <f>+Cash_Flow_Qtr!AO55</f>
        <v>-481</v>
      </c>
      <c r="Y55" s="37">
        <f>+Cash_Flow_Qtr!AT55</f>
        <v>0</v>
      </c>
      <c r="Z55" s="37">
        <f>+Cash_Flow_Qtr!AY55</f>
        <v>0</v>
      </c>
      <c r="AA55" s="37">
        <f>+Cash_Flow_Qtr!BD55</f>
        <v>0</v>
      </c>
      <c r="AB55" s="37">
        <f>+Cash_Flow_Qtr!BI55</f>
        <v>0</v>
      </c>
      <c r="AC55" s="42">
        <v>0</v>
      </c>
      <c r="AD55" s="42">
        <v>0</v>
      </c>
      <c r="AE55" s="42">
        <v>0</v>
      </c>
      <c r="AF55" s="42">
        <v>0</v>
      </c>
      <c r="AH55" s="98"/>
    </row>
    <row r="56" spans="1:45" hidden="1" outlineLevel="1">
      <c r="A56" s="1" t="s">
        <v>195</v>
      </c>
      <c r="B56" s="42"/>
      <c r="C56" s="42"/>
      <c r="D56" s="42"/>
      <c r="E56" s="42"/>
      <c r="F56" s="42"/>
      <c r="G56" s="42"/>
      <c r="H56" s="42"/>
      <c r="I56" s="42"/>
      <c r="J56" s="42"/>
      <c r="K56" s="42"/>
      <c r="L56" s="42"/>
      <c r="M56" s="42"/>
      <c r="N56" s="42"/>
      <c r="O56" s="42"/>
      <c r="P56" s="42"/>
      <c r="Q56" s="37">
        <f>+Cash_Flow_Qtr!F56</f>
        <v>0</v>
      </c>
      <c r="R56" s="37">
        <f>+Cash_Flow_Qtr!K56</f>
        <v>0</v>
      </c>
      <c r="S56" s="37">
        <f>+Cash_Flow_Qtr!P56</f>
        <v>0</v>
      </c>
      <c r="T56" s="37">
        <f>+Cash_Flow_Qtr!U56</f>
        <v>0</v>
      </c>
      <c r="U56" s="37"/>
      <c r="V56" s="37"/>
      <c r="W56" s="37"/>
      <c r="X56" s="37">
        <f>+Cash_Flow_Qtr!AO56</f>
        <v>-89</v>
      </c>
      <c r="Y56" s="37">
        <f>+Cash_Flow_Qtr!AT56</f>
        <v>0</v>
      </c>
      <c r="Z56" s="37">
        <f>+Cash_Flow_Qtr!AY56</f>
        <v>0</v>
      </c>
      <c r="AA56" s="37">
        <f>+Cash_Flow_Qtr!BD56</f>
        <v>0</v>
      </c>
      <c r="AB56" s="37">
        <f>+Cash_Flow_Qtr!BI56</f>
        <v>0</v>
      </c>
      <c r="AC56" s="42">
        <v>0</v>
      </c>
      <c r="AD56" s="42">
        <v>0</v>
      </c>
      <c r="AE56" s="42">
        <v>0</v>
      </c>
      <c r="AF56" s="42">
        <v>0</v>
      </c>
      <c r="AH56" s="98"/>
    </row>
    <row r="57" spans="1:45" hidden="1" outlineLevel="1">
      <c r="A57" s="6" t="s">
        <v>196</v>
      </c>
      <c r="B57" s="23"/>
      <c r="C57" s="23"/>
      <c r="D57" s="23"/>
      <c r="E57" s="23"/>
      <c r="F57" s="23"/>
      <c r="G57" s="23"/>
      <c r="H57" s="23"/>
      <c r="I57" s="23"/>
      <c r="J57" s="23"/>
      <c r="K57" s="23"/>
      <c r="L57" s="23"/>
      <c r="M57" s="23"/>
      <c r="N57" s="23"/>
      <c r="O57" s="23"/>
      <c r="P57" s="23"/>
      <c r="Q57" s="160">
        <f>+Cash_Flow_Qtr!F57</f>
        <v>0</v>
      </c>
      <c r="R57" s="160">
        <f>+Cash_Flow_Qtr!K57</f>
        <v>0</v>
      </c>
      <c r="S57" s="160">
        <f>+Cash_Flow_Qtr!P57</f>
        <v>0</v>
      </c>
      <c r="T57" s="160">
        <f>+Cash_Flow_Qtr!U57</f>
        <v>0</v>
      </c>
      <c r="U57" s="160"/>
      <c r="V57" s="160"/>
      <c r="W57" s="160"/>
      <c r="X57" s="160">
        <f>+Cash_Flow_Qtr!AO57</f>
        <v>468</v>
      </c>
      <c r="Y57" s="160">
        <f>+Cash_Flow_Qtr!AT57</f>
        <v>0</v>
      </c>
      <c r="Z57" s="160">
        <f>+Cash_Flow_Qtr!AY57</f>
        <v>0</v>
      </c>
      <c r="AA57" s="160">
        <f>+Cash_Flow_Qtr!BD57</f>
        <v>0</v>
      </c>
      <c r="AB57" s="160">
        <f>+Cash_Flow_Qtr!BI57</f>
        <v>0</v>
      </c>
      <c r="AC57" s="23">
        <f>SUM(AC54:AC56)</f>
        <v>0</v>
      </c>
      <c r="AD57" s="23">
        <f>SUM(AD54:AD56)</f>
        <v>0</v>
      </c>
      <c r="AE57" s="23">
        <f>SUM(AE54:AE56)</f>
        <v>0</v>
      </c>
      <c r="AF57" s="23">
        <f>SUM(AF54:AF56)</f>
        <v>0</v>
      </c>
      <c r="AH57" s="98"/>
    </row>
    <row r="58" spans="1:45" hidden="1" outlineLevel="1">
      <c r="B58" s="21"/>
      <c r="C58" s="21"/>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179"/>
      <c r="AD58" s="179"/>
      <c r="AE58" s="179"/>
      <c r="AF58" s="179"/>
      <c r="AH58" s="98"/>
    </row>
    <row r="59" spans="1:45" s="98" customFormat="1" collapsed="1">
      <c r="A59" s="218" t="str">
        <f>Cash_Flow_Qtr!A59</f>
        <v>Effect of Exchange Rates on Cash &amp; Cash Equivalents</v>
      </c>
      <c r="B59" s="42"/>
      <c r="C59" s="42"/>
      <c r="D59" s="42"/>
      <c r="E59" s="42"/>
      <c r="F59" s="42"/>
      <c r="G59" s="42"/>
      <c r="H59" s="42"/>
      <c r="I59" s="42"/>
      <c r="J59" s="42"/>
      <c r="K59" s="42"/>
      <c r="L59" s="42"/>
      <c r="M59" s="42"/>
      <c r="N59" s="42"/>
      <c r="O59" s="42"/>
      <c r="P59" s="42"/>
      <c r="Q59" s="37">
        <f>+Cash_Flow_Qtr!F59</f>
        <v>0</v>
      </c>
      <c r="R59" s="37">
        <f>+Cash_Flow_Qtr!K59</f>
        <v>0</v>
      </c>
      <c r="S59" s="37">
        <f>+Cash_Flow_Qtr!P59</f>
        <v>0</v>
      </c>
      <c r="T59" s="37">
        <f>+Cash_Flow_Qtr!U59</f>
        <v>0</v>
      </c>
      <c r="U59" s="37"/>
      <c r="V59" s="37"/>
      <c r="W59" s="37"/>
      <c r="X59" s="37">
        <f>+Cash_Flow_Qtr!AO59</f>
        <v>0</v>
      </c>
      <c r="Y59" s="37">
        <f>+Cash_Flow_Qtr!AT59</f>
        <v>120</v>
      </c>
      <c r="Z59" s="37">
        <f>+Cash_Flow_Qtr!AY59</f>
        <v>-193</v>
      </c>
      <c r="AA59" s="37">
        <f>+Cash_Flow_Qtr!BD59</f>
        <v>201</v>
      </c>
      <c r="AB59" s="37">
        <f>+Cash_Flow_Qtr!BI59</f>
        <v>-57</v>
      </c>
      <c r="AC59" s="42">
        <v>0</v>
      </c>
      <c r="AD59" s="42">
        <v>0</v>
      </c>
      <c r="AE59" s="42">
        <v>0</v>
      </c>
      <c r="AF59" s="42">
        <v>0</v>
      </c>
      <c r="AG59" s="247"/>
      <c r="AN59"/>
      <c r="AO59"/>
      <c r="AP59"/>
      <c r="AQ59"/>
      <c r="AR59"/>
      <c r="AS59"/>
    </row>
    <row r="60" spans="1:45" s="98" customFormat="1">
      <c r="A60" s="218" t="str">
        <f>Cash_Flow_Qtr!A60</f>
        <v xml:space="preserve">Other Adjustments </v>
      </c>
      <c r="B60" s="42"/>
      <c r="C60" s="42"/>
      <c r="D60" s="42"/>
      <c r="E60" s="42"/>
      <c r="F60" s="42"/>
      <c r="G60" s="42"/>
      <c r="H60" s="42"/>
      <c r="I60" s="42"/>
      <c r="J60" s="42"/>
      <c r="K60" s="42"/>
      <c r="L60" s="42"/>
      <c r="M60" s="42"/>
      <c r="N60" s="42"/>
      <c r="O60" s="42"/>
      <c r="P60" s="42"/>
      <c r="Q60" s="37">
        <f>+Cash_Flow_Qtr!F60</f>
        <v>0</v>
      </c>
      <c r="R60" s="37">
        <f>+Cash_Flow_Qtr!K60</f>
        <v>0</v>
      </c>
      <c r="S60" s="37">
        <f>+Cash_Flow_Qtr!P60</f>
        <v>0</v>
      </c>
      <c r="T60" s="37">
        <f>+Cash_Flow_Qtr!U60</f>
        <v>0</v>
      </c>
      <c r="U60" s="37"/>
      <c r="V60" s="37"/>
      <c r="W60" s="37"/>
      <c r="X60" s="37">
        <f>+Cash_Flow_Qtr!AO60</f>
        <v>0</v>
      </c>
      <c r="Y60" s="37">
        <f>+Cash_Flow_Qtr!AT60</f>
        <v>0</v>
      </c>
      <c r="Z60" s="37">
        <f>+Cash_Flow_Qtr!AY60</f>
        <v>0</v>
      </c>
      <c r="AA60" s="37">
        <f>+Cash_Flow_Qtr!BD60</f>
        <v>0</v>
      </c>
      <c r="AB60" s="37">
        <f>+Cash_Flow_Qtr!BI60</f>
        <v>0</v>
      </c>
      <c r="AC60" s="42">
        <v>0</v>
      </c>
      <c r="AD60" s="42">
        <v>0</v>
      </c>
      <c r="AE60" s="42">
        <v>0</v>
      </c>
      <c r="AF60" s="42">
        <v>0</v>
      </c>
      <c r="AG60" s="247"/>
      <c r="AN60"/>
      <c r="AO60"/>
      <c r="AP60"/>
      <c r="AQ60"/>
      <c r="AR60"/>
      <c r="AS60"/>
    </row>
    <row r="61" spans="1:45">
      <c r="A61" s="15" t="str">
        <f>Cash_Flow_Qtr!A61</f>
        <v>Net Change in Cash and Cash Equivalents</v>
      </c>
      <c r="B61" s="75"/>
      <c r="C61" s="75"/>
      <c r="D61" s="75"/>
      <c r="E61" s="75"/>
      <c r="F61" s="75"/>
      <c r="G61" s="75"/>
      <c r="H61" s="75"/>
      <c r="I61" s="75"/>
      <c r="J61" s="75"/>
      <c r="K61" s="75"/>
      <c r="L61" s="75"/>
      <c r="M61" s="75"/>
      <c r="N61" s="75"/>
      <c r="O61" s="75"/>
      <c r="P61" s="75"/>
      <c r="Q61" s="154">
        <f>+Cash_Flow_Qtr!F61</f>
        <v>0</v>
      </c>
      <c r="R61" s="154">
        <f>+Cash_Flow_Qtr!K61</f>
        <v>0</v>
      </c>
      <c r="S61" s="154">
        <f>+Cash_Flow_Qtr!P61</f>
        <v>0</v>
      </c>
      <c r="T61" s="154">
        <f>+Cash_Flow_Qtr!U61</f>
        <v>0</v>
      </c>
      <c r="U61" s="154"/>
      <c r="V61" s="154"/>
      <c r="W61" s="154"/>
      <c r="X61" s="154">
        <f ca="1">+Cash_Flow_Qtr!AO61</f>
        <v>2691</v>
      </c>
      <c r="Y61" s="154">
        <f>+Cash_Flow_Qtr!AT61</f>
        <v>663</v>
      </c>
      <c r="Z61" s="154">
        <f>+Cash_Flow_Qtr!AY61</f>
        <v>-3875</v>
      </c>
      <c r="AA61" s="154">
        <f>+Cash_Flow_Qtr!BD61</f>
        <v>-1097</v>
      </c>
      <c r="AB61" s="154">
        <f ca="1">+Cash_Flow_Qtr!BI61</f>
        <v>-2935.5044638167492</v>
      </c>
      <c r="AC61" s="75">
        <f ca="1">+SUM(AC51,AC39,AC27,AC57,AC59,AC60)</f>
        <v>134.32553771532366</v>
      </c>
      <c r="AD61" s="75">
        <f ca="1">+SUM(AD51,AD39,AD27,AD57,AD59,AD60)</f>
        <v>186.84616537852344</v>
      </c>
      <c r="AE61" s="75">
        <f ca="1">+SUM(AE51,AE39,AE27,AE57,AE59,AE60)</f>
        <v>497.04741744234343</v>
      </c>
      <c r="AF61" s="75">
        <f ca="1">+SUM(AF51,AF39,AF27,AF57,AF59,AF60)</f>
        <v>837.71885508818559</v>
      </c>
      <c r="AH61" s="98"/>
    </row>
    <row r="62" spans="1:45">
      <c r="A62" s="15"/>
      <c r="B62" s="75"/>
      <c r="C62" s="75"/>
      <c r="D62" s="75"/>
      <c r="E62" s="75"/>
      <c r="F62" s="75"/>
      <c r="G62" s="75"/>
      <c r="H62" s="75"/>
      <c r="I62" s="75"/>
      <c r="J62" s="75"/>
      <c r="K62" s="75"/>
      <c r="L62" s="75"/>
      <c r="M62" s="75"/>
      <c r="N62" s="75"/>
      <c r="O62" s="75"/>
      <c r="P62" s="75"/>
      <c r="Q62" s="75"/>
      <c r="R62" s="75"/>
      <c r="S62" s="75"/>
      <c r="T62" s="75"/>
      <c r="U62" s="75"/>
      <c r="V62" s="75"/>
      <c r="W62" s="75"/>
      <c r="X62" s="75"/>
      <c r="Y62" s="75"/>
      <c r="Z62" s="75"/>
      <c r="AA62" s="75"/>
      <c r="AB62" s="75"/>
      <c r="AC62" s="75"/>
      <c r="AD62" s="75"/>
      <c r="AE62" s="75"/>
      <c r="AF62" s="75"/>
    </row>
    <row r="63" spans="1:45">
      <c r="A63" s="14" t="str">
        <f>Cash_Flow_Qtr!A63</f>
        <v>Cash, Cash Equivalents and Restricted Cash at Beginning of Period</v>
      </c>
      <c r="B63" s="29"/>
      <c r="C63" s="23"/>
      <c r="D63" s="23"/>
      <c r="E63" s="23"/>
      <c r="F63" s="23"/>
      <c r="G63" s="23"/>
      <c r="H63" s="23"/>
      <c r="I63" s="23"/>
      <c r="J63" s="23"/>
      <c r="K63" s="23"/>
      <c r="L63" s="23"/>
      <c r="M63" s="23"/>
      <c r="N63" s="23"/>
      <c r="O63" s="23"/>
      <c r="P63" s="23"/>
      <c r="Q63" s="160">
        <f>+Cash_Flow_Qtr!F63</f>
        <v>0</v>
      </c>
      <c r="R63" s="160">
        <f>+Cash_Flow_Qtr!K63</f>
        <v>0</v>
      </c>
      <c r="S63" s="160">
        <f>+Cash_Flow_Qtr!P63</f>
        <v>0</v>
      </c>
      <c r="T63" s="160">
        <f>+Cash_Flow_Qtr!U63</f>
        <v>0</v>
      </c>
      <c r="U63" s="160"/>
      <c r="V63" s="160"/>
      <c r="W63" s="160"/>
      <c r="X63" s="160">
        <f>+Cash_Flow_Qtr!AO63</f>
        <v>16859</v>
      </c>
      <c r="Y63" s="160">
        <f>+Cash_Flow_Qtr!AT63</f>
        <v>19092</v>
      </c>
      <c r="Z63" s="160">
        <f>+Cash_Flow_Qtr!AY63</f>
        <v>19755</v>
      </c>
      <c r="AA63" s="160">
        <f>+Cash_Flow_Qtr!BD63</f>
        <v>15880</v>
      </c>
      <c r="AB63" s="160">
        <f>+Cash_Flow_Qtr!BI63</f>
        <v>14783</v>
      </c>
      <c r="AC63" s="23">
        <f ca="1">AB64</f>
        <v>11847.495536183251</v>
      </c>
      <c r="AD63" s="23">
        <f ca="1">AC64</f>
        <v>11981.821073898574</v>
      </c>
      <c r="AE63" s="23">
        <f ca="1">AD64</f>
        <v>12168.667239277098</v>
      </c>
      <c r="AF63" s="23">
        <f ca="1">AE64</f>
        <v>12665.714656719441</v>
      </c>
    </row>
    <row r="64" spans="1:45">
      <c r="A64" s="14" t="str">
        <f>Cash_Flow_Qtr!A64</f>
        <v>Cash, Cash Equivalents and Restricted Cash at End of Period</v>
      </c>
      <c r="B64" s="23"/>
      <c r="C64" s="23"/>
      <c r="D64" s="23"/>
      <c r="E64" s="23"/>
      <c r="F64" s="23"/>
      <c r="G64" s="23"/>
      <c r="H64" s="23"/>
      <c r="I64" s="23"/>
      <c r="J64" s="23"/>
      <c r="K64" s="23"/>
      <c r="L64" s="23"/>
      <c r="M64" s="23"/>
      <c r="N64" s="23"/>
      <c r="O64" s="23"/>
      <c r="P64" s="23"/>
      <c r="Q64" s="160">
        <f>+Cash_Flow_Qtr!F64</f>
        <v>0</v>
      </c>
      <c r="R64" s="160">
        <f>+Cash_Flow_Qtr!K64</f>
        <v>0</v>
      </c>
      <c r="S64" s="160">
        <f>+Cash_Flow_Qtr!P64</f>
        <v>0</v>
      </c>
      <c r="T64" s="160">
        <f>+Cash_Flow_Qtr!U64</f>
        <v>0</v>
      </c>
      <c r="U64" s="160"/>
      <c r="V64" s="160"/>
      <c r="W64" s="160"/>
      <c r="X64" s="160">
        <f>+Cash_Flow_Qtr!AO64</f>
        <v>19092</v>
      </c>
      <c r="Y64" s="160">
        <f>+Cash_Flow_Qtr!AT64</f>
        <v>19755</v>
      </c>
      <c r="Z64" s="160">
        <f>+Cash_Flow_Qtr!AY64</f>
        <v>15880</v>
      </c>
      <c r="AA64" s="160">
        <f>+Cash_Flow_Qtr!BD64</f>
        <v>14783</v>
      </c>
      <c r="AB64" s="160">
        <f ca="1">+Cash_Flow_Qtr!BI64</f>
        <v>11847.495536183251</v>
      </c>
      <c r="AC64" s="23">
        <f ca="1">+SUM(AC61,AC63)</f>
        <v>11981.821073898574</v>
      </c>
      <c r="AD64" s="23">
        <f ca="1">+SUM(AD61,AD63)</f>
        <v>12168.667239277098</v>
      </c>
      <c r="AE64" s="23">
        <f ca="1">+SUM(AE61,AE63)</f>
        <v>12665.714656719441</v>
      </c>
      <c r="AF64" s="23">
        <f ca="1">+SUM(AF61,AF63)</f>
        <v>13503.433511807627</v>
      </c>
    </row>
    <row r="65" spans="1:37">
      <c r="A65" s="14" t="str">
        <f>Cash_Flow_Qtr!A65</f>
        <v>Less: Restricted Cash Balance</v>
      </c>
      <c r="B65" s="29"/>
      <c r="C65" s="29"/>
      <c r="D65" s="29"/>
      <c r="E65" s="29"/>
      <c r="F65" s="29"/>
      <c r="G65" s="29"/>
      <c r="H65" s="29"/>
      <c r="I65" s="29"/>
      <c r="J65" s="29"/>
      <c r="K65" s="29"/>
      <c r="L65" s="29"/>
      <c r="M65" s="29"/>
      <c r="N65" s="29"/>
      <c r="O65" s="29"/>
      <c r="P65" s="29"/>
      <c r="Q65" s="160">
        <f>+Cash_Flow_Qtr!F65</f>
        <v>0</v>
      </c>
      <c r="R65" s="160">
        <f>+Cash_Flow_Qtr!K65</f>
        <v>0</v>
      </c>
      <c r="S65" s="160">
        <f>+Cash_Flow_Qtr!P65</f>
        <v>0</v>
      </c>
      <c r="T65" s="160">
        <f>+Cash_Flow_Qtr!U65</f>
        <v>0</v>
      </c>
      <c r="U65" s="160"/>
      <c r="V65" s="160"/>
      <c r="W65" s="160"/>
      <c r="X65" s="160">
        <f>+Cash_Flow_Qtr!AO65</f>
        <v>3282</v>
      </c>
      <c r="Y65" s="160">
        <f>+Cash_Flow_Qtr!AT65</f>
        <v>8313</v>
      </c>
      <c r="Z65" s="160">
        <f>+Cash_Flow_Qtr!AY65</f>
        <v>3588</v>
      </c>
      <c r="AA65" s="160">
        <f>+Cash_Flow_Qtr!BD65</f>
        <v>3517</v>
      </c>
      <c r="AB65" s="160">
        <f>+Cash_Flow_Qtr!BI65</f>
        <v>2888</v>
      </c>
      <c r="AC65" s="23">
        <f t="shared" ref="AC65:AF66" si="5">+AB65</f>
        <v>2888</v>
      </c>
      <c r="AD65" s="23">
        <f t="shared" si="5"/>
        <v>2888</v>
      </c>
      <c r="AE65" s="23">
        <f t="shared" si="5"/>
        <v>2888</v>
      </c>
      <c r="AF65" s="23">
        <f t="shared" si="5"/>
        <v>2888</v>
      </c>
    </row>
    <row r="66" spans="1:37">
      <c r="A66" s="14" t="str">
        <f>Cash_Flow_Qtr!A66</f>
        <v>Less: Cash, Cash Equivalents and Restricted Cash for Discontinued Operations</v>
      </c>
      <c r="B66" s="29"/>
      <c r="C66" s="29"/>
      <c r="D66" s="29"/>
      <c r="E66" s="29"/>
      <c r="F66" s="29"/>
      <c r="G66" s="29"/>
      <c r="H66" s="29"/>
      <c r="I66" s="29"/>
      <c r="J66" s="29"/>
      <c r="K66" s="29"/>
      <c r="L66" s="29"/>
      <c r="M66" s="29"/>
      <c r="N66" s="29"/>
      <c r="O66" s="29"/>
      <c r="P66" s="29"/>
      <c r="Q66" s="160">
        <f>+Cash_Flow_Qtr!F66</f>
        <v>0</v>
      </c>
      <c r="R66" s="160">
        <f>+Cash_Flow_Qtr!K66</f>
        <v>0</v>
      </c>
      <c r="S66" s="160">
        <f>+Cash_Flow_Qtr!P66</f>
        <v>0</v>
      </c>
      <c r="T66" s="160">
        <f>+Cash_Flow_Qtr!U66</f>
        <v>0</v>
      </c>
      <c r="U66" s="160"/>
      <c r="V66" s="160"/>
      <c r="W66" s="160"/>
      <c r="X66" s="160">
        <f>+Cash_Flow_Qtr!AO66</f>
        <v>0</v>
      </c>
      <c r="Y66" s="160">
        <f>+Cash_Flow_Qtr!AT66</f>
        <v>-3762</v>
      </c>
      <c r="Z66" s="160">
        <f>+Cash_Flow_Qtr!AY66</f>
        <v>-1327</v>
      </c>
      <c r="AA66" s="160">
        <f>+Cash_Flow_Qtr!BD66</f>
        <v>-1126</v>
      </c>
      <c r="AB66" s="160">
        <f>+Cash_Flow_Qtr!BI66</f>
        <v>-854</v>
      </c>
      <c r="AC66" s="23">
        <f t="shared" si="5"/>
        <v>-854</v>
      </c>
      <c r="AD66" s="23">
        <f t="shared" si="5"/>
        <v>-854</v>
      </c>
      <c r="AE66" s="23">
        <f t="shared" si="5"/>
        <v>-854</v>
      </c>
      <c r="AF66" s="23">
        <f t="shared" si="5"/>
        <v>-854</v>
      </c>
      <c r="AH66" s="98"/>
    </row>
    <row r="67" spans="1:37">
      <c r="A67" s="14" t="s">
        <v>182</v>
      </c>
      <c r="B67" s="23"/>
      <c r="C67" s="23"/>
      <c r="D67" s="23"/>
      <c r="E67" s="23"/>
      <c r="F67" s="23"/>
      <c r="G67" s="23"/>
      <c r="H67" s="23"/>
      <c r="I67" s="23"/>
      <c r="J67" s="23"/>
      <c r="K67" s="23"/>
      <c r="L67" s="23"/>
      <c r="M67" s="23"/>
      <c r="N67" s="23"/>
      <c r="O67" s="23"/>
      <c r="P67" s="23"/>
      <c r="Q67" s="160">
        <f>+Cash_Flow_Qtr!F67</f>
        <v>0</v>
      </c>
      <c r="R67" s="160">
        <f>+Cash_Flow_Qtr!K67</f>
        <v>0</v>
      </c>
      <c r="S67" s="160">
        <f>+Cash_Flow_Qtr!P67</f>
        <v>0</v>
      </c>
      <c r="T67" s="160">
        <f>+Cash_Flow_Qtr!U67</f>
        <v>0</v>
      </c>
      <c r="U67" s="160"/>
      <c r="V67" s="160"/>
      <c r="W67" s="160"/>
      <c r="X67" s="160">
        <f>+Cash_Flow_Qtr!AO67</f>
        <v>15810</v>
      </c>
      <c r="Y67" s="160">
        <f>+Cash_Flow_Qtr!AT67</f>
        <v>15204</v>
      </c>
      <c r="Z67" s="160">
        <f>+Cash_Flow_Qtr!AY67</f>
        <v>13619</v>
      </c>
      <c r="AA67" s="160">
        <f>+Cash_Flow_Qtr!BD67</f>
        <v>12392</v>
      </c>
      <c r="AB67" s="160">
        <f ca="1">+Cash_Flow_Qtr!BI67</f>
        <v>9813.4955361832508</v>
      </c>
      <c r="AC67" s="23">
        <f ca="1">+AC64-AC65-AC66</f>
        <v>9947.8210738985745</v>
      </c>
      <c r="AD67" s="23">
        <f ca="1">+AD64-AD65-AD66</f>
        <v>10134.667239277098</v>
      </c>
      <c r="AE67" s="23">
        <f ca="1">+AE64-AE65-AE66</f>
        <v>10631.714656719441</v>
      </c>
      <c r="AF67" s="23">
        <f ca="1">+AF64-AF65-AF66</f>
        <v>11469.433511807627</v>
      </c>
      <c r="AH67" s="642">
        <f ca="1">AB67-AA67</f>
        <v>-2578.5044638167492</v>
      </c>
    </row>
    <row r="68" spans="1:37">
      <c r="A68" t="s">
        <v>34</v>
      </c>
      <c r="B68" s="25"/>
      <c r="C68" s="25"/>
      <c r="D68" s="25"/>
      <c r="E68" s="25"/>
      <c r="F68" s="25"/>
      <c r="G68" s="25"/>
      <c r="H68" s="25"/>
      <c r="I68" s="25"/>
      <c r="J68" s="25"/>
      <c r="K68" s="25"/>
      <c r="L68" s="25"/>
      <c r="M68" s="25"/>
      <c r="N68" s="25"/>
      <c r="O68" s="25"/>
      <c r="P68" s="25"/>
      <c r="Q68" s="25" t="b">
        <f>+Q67=Balance_Sheet_Annual!Q5</f>
        <v>1</v>
      </c>
      <c r="R68" s="25" t="b">
        <f>+R67=Balance_Sheet_Annual!R5</f>
        <v>1</v>
      </c>
      <c r="S68" s="25" t="b">
        <f>+S67=Balance_Sheet_Annual!S5</f>
        <v>1</v>
      </c>
      <c r="T68" s="25" t="b">
        <f>+T67=Balance_Sheet_Annual!T5</f>
        <v>1</v>
      </c>
      <c r="U68" s="25"/>
      <c r="V68" s="25"/>
      <c r="W68" s="25"/>
      <c r="X68" s="25" t="b">
        <f>+X67=Balance_Sheet_Annual!X5</f>
        <v>1</v>
      </c>
      <c r="Y68" s="25" t="b">
        <f>+Y67=Balance_Sheet_Annual!Y5</f>
        <v>1</v>
      </c>
      <c r="Z68" s="25" t="b">
        <f>+Z67=Balance_Sheet_Annual!Z5</f>
        <v>1</v>
      </c>
      <c r="AA68" s="25" t="b">
        <f>+AA67=Balance_Sheet_Annual!AA5</f>
        <v>1</v>
      </c>
      <c r="AB68" s="25" t="b">
        <f ca="1">+AB67=Balance_Sheet_Annual!AB5</f>
        <v>1</v>
      </c>
      <c r="AC68" s="25" t="b">
        <f ca="1">+AC67=Balance_Sheet_Annual!AC5</f>
        <v>1</v>
      </c>
      <c r="AD68" s="25" t="b">
        <f ca="1">+AD67=Balance_Sheet_Annual!AD5</f>
        <v>1</v>
      </c>
      <c r="AE68" s="25" t="b">
        <f ca="1">+AE67=Balance_Sheet_Annual!AE5</f>
        <v>1</v>
      </c>
      <c r="AF68" s="25" t="b">
        <f ca="1">+AF67=Balance_Sheet_Annual!AF5</f>
        <v>1</v>
      </c>
    </row>
    <row r="69" spans="1:37">
      <c r="A69" s="14" t="s">
        <v>635</v>
      </c>
      <c r="B69" s="25"/>
      <c r="C69" s="25"/>
      <c r="D69" s="25"/>
      <c r="E69" s="25"/>
      <c r="F69" s="25"/>
      <c r="G69" s="25"/>
      <c r="H69" s="25"/>
      <c r="I69" s="25"/>
      <c r="J69" s="25"/>
      <c r="K69" s="25"/>
      <c r="L69" s="25"/>
      <c r="M69" s="25"/>
      <c r="N69" s="25"/>
      <c r="O69" s="25"/>
      <c r="P69" s="25"/>
      <c r="Q69" s="25"/>
      <c r="R69" s="25"/>
      <c r="S69" s="25"/>
      <c r="T69" s="25"/>
      <c r="U69" s="25"/>
      <c r="V69" s="25"/>
      <c r="W69" s="25"/>
      <c r="X69" s="295"/>
      <c r="Y69" s="295">
        <f>Cash_Flow_Qtr!AT69</f>
        <v>-1269</v>
      </c>
      <c r="Z69" s="295">
        <f>Cash_Flow_Qtr!AY69</f>
        <v>2290</v>
      </c>
      <c r="AA69" s="179">
        <f>Cash_Flow_Qtr!BD69</f>
        <v>-130</v>
      </c>
      <c r="AB69" s="295">
        <f>Cash_Flow_Qtr!BI69</f>
        <v>357</v>
      </c>
      <c r="AC69" s="295"/>
      <c r="AD69" s="179"/>
      <c r="AE69" s="179"/>
      <c r="AF69" s="179"/>
      <c r="AG69" s="245"/>
      <c r="AH69" s="254"/>
      <c r="AI69" s="254"/>
      <c r="AJ69" s="254"/>
      <c r="AK69" s="254"/>
    </row>
    <row r="70" spans="1:37">
      <c r="A70" s="102" t="str">
        <f>Cash_Flow_Qtr!A70</f>
        <v>Financial Metrics</v>
      </c>
      <c r="B70" s="103"/>
      <c r="C70" s="103"/>
      <c r="D70" s="103"/>
      <c r="E70" s="103"/>
      <c r="F70" s="103"/>
      <c r="G70" s="103"/>
      <c r="H70" s="103"/>
      <c r="I70" s="103"/>
      <c r="J70" s="103"/>
      <c r="K70" s="103"/>
      <c r="L70" s="103"/>
      <c r="M70" s="103"/>
      <c r="N70" s="103"/>
      <c r="O70" s="103"/>
      <c r="P70" s="103"/>
      <c r="Q70" s="103"/>
      <c r="R70" s="103"/>
      <c r="S70" s="103"/>
      <c r="T70" s="103"/>
      <c r="U70" s="103"/>
      <c r="V70" s="103"/>
      <c r="W70" s="103"/>
      <c r="X70" s="103"/>
      <c r="Y70" s="103"/>
      <c r="Z70" s="103"/>
      <c r="AA70" s="103"/>
      <c r="AB70" s="103"/>
      <c r="AC70" s="103"/>
      <c r="AD70" s="103"/>
      <c r="AE70" s="103"/>
      <c r="AF70" s="103"/>
    </row>
    <row r="71" spans="1:37">
      <c r="A71" s="12" t="s">
        <v>361</v>
      </c>
      <c r="B71" s="42"/>
      <c r="C71" s="42"/>
      <c r="D71" s="42"/>
      <c r="E71" s="42"/>
      <c r="F71" s="42"/>
      <c r="G71" s="42"/>
      <c r="H71" s="42"/>
      <c r="I71" s="42"/>
      <c r="J71" s="42"/>
      <c r="K71" s="42"/>
      <c r="L71" s="42"/>
      <c r="M71" s="42"/>
      <c r="N71" s="42"/>
      <c r="O71" s="42"/>
      <c r="P71" s="42"/>
      <c r="Q71" s="37">
        <f>Cash_Flow_Qtr!F71</f>
        <v>0</v>
      </c>
      <c r="R71" s="37">
        <f>Cash_Flow_Qtr!K71</f>
        <v>0</v>
      </c>
      <c r="S71" s="37">
        <f>Cash_Flow_Qtr!P71</f>
        <v>0</v>
      </c>
      <c r="T71" s="37">
        <f>Cash_Flow_Qtr!U71</f>
        <v>0</v>
      </c>
      <c r="U71" s="37"/>
      <c r="V71" s="37"/>
      <c r="W71" s="37"/>
      <c r="X71" s="37"/>
      <c r="Y71" s="37">
        <f>Cash_Flow_Qtr!AT71</f>
        <v>797</v>
      </c>
      <c r="Z71" s="37">
        <f>Cash_Flow_Qtr!AY71</f>
        <v>834</v>
      </c>
      <c r="AA71" s="37">
        <f>Cash_Flow_Qtr!BD71</f>
        <v>863</v>
      </c>
      <c r="AB71" s="37">
        <f>Cash_Flow_Qtr!BI71</f>
        <v>885.04191381975306</v>
      </c>
      <c r="AC71" s="21">
        <f ca="1">Balance_Sheet_Annual!AB16*AC72</f>
        <v>904.05684795225568</v>
      </c>
      <c r="AD71" s="21">
        <f ca="1">Balance_Sheet_Annual!AC16*AD72</f>
        <v>931.96018971780552</v>
      </c>
      <c r="AE71" s="21">
        <f ca="1">Balance_Sheet_Annual!AD16*AE72</f>
        <v>966.21326285565931</v>
      </c>
      <c r="AF71" s="21">
        <f ca="1">Balance_Sheet_Annual!AE16*AF72</f>
        <v>997.99967177824783</v>
      </c>
      <c r="AG71" s="246"/>
      <c r="AH71" s="24"/>
    </row>
    <row r="72" spans="1:37">
      <c r="A72" s="1" t="s">
        <v>23</v>
      </c>
      <c r="B72" s="123"/>
      <c r="C72" s="123"/>
      <c r="D72" s="123"/>
      <c r="E72" s="123"/>
      <c r="F72" s="123"/>
      <c r="G72" s="123"/>
      <c r="H72" s="123"/>
      <c r="I72" s="123"/>
      <c r="J72" s="123"/>
      <c r="K72" s="123"/>
      <c r="L72" s="123"/>
      <c r="M72" s="123"/>
      <c r="N72" s="123"/>
      <c r="O72" s="123"/>
      <c r="P72" s="123"/>
      <c r="Q72" s="123">
        <f>Cash_Flow_Qtr!F72</f>
        <v>0</v>
      </c>
      <c r="R72" s="123">
        <f>Cash_Flow_Qtr!K72</f>
        <v>0</v>
      </c>
      <c r="S72" s="123">
        <f>Cash_Flow_Qtr!P72</f>
        <v>0</v>
      </c>
      <c r="T72" s="123">
        <f>Cash_Flow_Qtr!U72</f>
        <v>0</v>
      </c>
      <c r="U72" s="123"/>
      <c r="V72" s="123"/>
      <c r="W72" s="123"/>
      <c r="X72" s="123"/>
      <c r="Y72" s="123">
        <f>Cash_Flow_Qtr!AT72</f>
        <v>0.10999171956941761</v>
      </c>
      <c r="Z72" s="123">
        <f>Cash_Flow_Qtr!AY72</f>
        <v>0.11460766799505291</v>
      </c>
      <c r="AA72" s="123">
        <f>Cash_Flow_Qtr!BD72</f>
        <v>0.10805058219606861</v>
      </c>
      <c r="AB72" s="123">
        <f>Cash_Flow_Qtr!BI72</f>
        <v>0.11081030597467799</v>
      </c>
      <c r="AC72" s="183">
        <v>0.1045</v>
      </c>
      <c r="AD72" s="183">
        <v>9.8000000000000004E-2</v>
      </c>
      <c r="AE72" s="183">
        <v>9.1999999999999998E-2</v>
      </c>
      <c r="AF72" s="183">
        <v>8.5999999999999993E-2</v>
      </c>
      <c r="AG72" s="246"/>
      <c r="AH72" s="24"/>
    </row>
    <row r="73" spans="1:37">
      <c r="A73" s="12" t="str">
        <f>Cash_Flow_Qtr!A73</f>
        <v>Amortization of Acquired Intangibles</v>
      </c>
      <c r="B73" s="42"/>
      <c r="C73" s="42"/>
      <c r="D73" s="42"/>
      <c r="E73" s="42"/>
      <c r="F73" s="42"/>
      <c r="G73" s="42"/>
      <c r="H73" s="42"/>
      <c r="I73" s="42"/>
      <c r="J73" s="42"/>
      <c r="K73" s="42"/>
      <c r="L73" s="42"/>
      <c r="M73" s="42"/>
      <c r="N73" s="42"/>
      <c r="O73" s="42"/>
      <c r="P73" s="42"/>
      <c r="Q73" s="37">
        <f>Cash_Flow_Qtr!F73</f>
        <v>0</v>
      </c>
      <c r="R73" s="37">
        <f>Cash_Flow_Qtr!K73</f>
        <v>0</v>
      </c>
      <c r="S73" s="37">
        <f>Cash_Flow_Qtr!P73</f>
        <v>0</v>
      </c>
      <c r="T73" s="37">
        <f>Cash_Flow_Qtr!U73</f>
        <v>0</v>
      </c>
      <c r="U73" s="37"/>
      <c r="V73" s="37"/>
      <c r="W73" s="37"/>
      <c r="X73" s="37"/>
      <c r="Y73" s="37">
        <f>Cash_Flow_Qtr!AT73</f>
        <v>0</v>
      </c>
      <c r="Z73" s="37">
        <f>Cash_Flow_Qtr!AY73</f>
        <v>350</v>
      </c>
      <c r="AA73" s="37">
        <f>Cash_Flow_Qtr!BD73</f>
        <v>357</v>
      </c>
      <c r="AB73" s="37">
        <f>Cash_Flow_Qtr!BI73</f>
        <v>358</v>
      </c>
      <c r="AC73" s="42">
        <f t="shared" ref="AC73:AF73" si="6">+AB73</f>
        <v>358</v>
      </c>
      <c r="AD73" s="42">
        <f t="shared" si="6"/>
        <v>358</v>
      </c>
      <c r="AE73" s="42">
        <f t="shared" si="6"/>
        <v>358</v>
      </c>
      <c r="AF73" s="42">
        <f t="shared" si="6"/>
        <v>358</v>
      </c>
      <c r="AG73" s="246"/>
      <c r="AH73" s="24"/>
    </row>
    <row r="74" spans="1:37">
      <c r="A74" s="12"/>
      <c r="B74" s="206"/>
      <c r="C74" s="206"/>
      <c r="D74" s="206"/>
      <c r="E74" s="206"/>
      <c r="F74" s="206"/>
      <c r="G74" s="206"/>
      <c r="H74" s="206"/>
      <c r="I74" s="206"/>
      <c r="J74" s="206"/>
      <c r="K74" s="206"/>
      <c r="L74" s="206"/>
      <c r="M74" s="206"/>
      <c r="N74" s="206"/>
      <c r="O74" s="206"/>
      <c r="P74" s="206"/>
      <c r="Q74" s="154"/>
      <c r="R74" s="154"/>
      <c r="S74" s="154"/>
      <c r="T74" s="154"/>
      <c r="U74" s="154"/>
      <c r="V74" s="154"/>
      <c r="W74" s="154"/>
      <c r="X74" s="154"/>
      <c r="Y74" s="154"/>
      <c r="Z74" s="154"/>
      <c r="AA74" s="154"/>
      <c r="AB74" s="154"/>
      <c r="AC74" s="179"/>
      <c r="AD74" s="179"/>
      <c r="AE74" s="179"/>
      <c r="AF74" s="179"/>
    </row>
    <row r="75" spans="1:37">
      <c r="A75" s="12" t="str">
        <f>Cash_Flow_Qtr!A75</f>
        <v>Capital Expenditures</v>
      </c>
      <c r="B75" s="21"/>
      <c r="C75" s="21"/>
      <c r="D75" s="21"/>
      <c r="E75" s="21"/>
      <c r="F75" s="21"/>
      <c r="G75" s="21"/>
      <c r="H75" s="21"/>
      <c r="I75" s="21"/>
      <c r="J75" s="21"/>
      <c r="K75" s="21"/>
      <c r="L75" s="21"/>
      <c r="M75" s="21"/>
      <c r="N75" s="21"/>
      <c r="O75" s="21"/>
      <c r="P75" s="21"/>
      <c r="Q75" s="21"/>
      <c r="R75" s="21"/>
      <c r="S75" s="21"/>
      <c r="T75" s="21"/>
      <c r="U75" s="21"/>
      <c r="V75" s="21"/>
      <c r="W75" s="21"/>
      <c r="X75" s="21"/>
      <c r="Y75" s="21"/>
      <c r="Z75" s="21"/>
      <c r="AA75" s="21"/>
      <c r="AB75" s="21"/>
      <c r="AC75" s="179"/>
      <c r="AD75" s="179"/>
      <c r="AE75" s="179"/>
      <c r="AF75" s="179"/>
    </row>
    <row r="76" spans="1:37">
      <c r="A76" s="1" t="str">
        <f>Cash_Flow_Qtr!A76</f>
        <v>As a % of Net Revenue</v>
      </c>
      <c r="B76" s="101"/>
      <c r="C76" s="101"/>
      <c r="D76" s="101"/>
      <c r="E76" s="101"/>
      <c r="F76" s="101"/>
      <c r="G76" s="101"/>
      <c r="H76" s="101"/>
      <c r="I76" s="101"/>
      <c r="J76" s="101"/>
      <c r="K76" s="101"/>
      <c r="L76" s="101"/>
      <c r="M76" s="101"/>
      <c r="N76" s="101"/>
      <c r="O76" s="101"/>
      <c r="P76" s="35"/>
      <c r="Q76" s="164">
        <f>+Cash_Flow_Qtr!F76</f>
        <v>0</v>
      </c>
      <c r="R76" s="164">
        <f>+Cash_Flow_Qtr!K76</f>
        <v>0</v>
      </c>
      <c r="S76" s="164">
        <f>+Cash_Flow_Qtr!P76</f>
        <v>0</v>
      </c>
      <c r="T76" s="164">
        <f>+Cash_Flow_Qtr!U76</f>
        <v>0</v>
      </c>
      <c r="U76" s="164"/>
      <c r="V76" s="164"/>
      <c r="W76" s="164"/>
      <c r="X76" s="164"/>
      <c r="Y76" s="164">
        <f>+Cash_Flow_Qtr!AT76</f>
        <v>2.4386103881407717E-2</v>
      </c>
      <c r="Z76" s="164">
        <f>+Cash_Flow_Qtr!AY76</f>
        <v>2.6665288615575423E-2</v>
      </c>
      <c r="AA76" s="164">
        <f>+Cash_Flow_Qtr!BD76</f>
        <v>2.776142187329626E-2</v>
      </c>
      <c r="AB76" s="164">
        <f>+Cash_Flow_Qtr!BI76</f>
        <v>0.03</v>
      </c>
      <c r="AC76" s="202">
        <v>0.03</v>
      </c>
      <c r="AD76" s="202">
        <f>+AC76</f>
        <v>0.03</v>
      </c>
      <c r="AE76" s="202">
        <f>+AD76</f>
        <v>0.03</v>
      </c>
      <c r="AF76" s="202">
        <f>+AE76</f>
        <v>0.03</v>
      </c>
      <c r="AG76" s="244" t="s">
        <v>529</v>
      </c>
    </row>
    <row r="77" spans="1:37">
      <c r="A77" s="1" t="str">
        <f>Cash_Flow_Qtr!A77</f>
        <v>As a % of Beginning Net PP&amp;E</v>
      </c>
      <c r="B77" s="101"/>
      <c r="C77" s="101"/>
      <c r="D77" s="101"/>
      <c r="E77" s="101"/>
      <c r="F77" s="101"/>
      <c r="G77" s="101"/>
      <c r="H77" s="101"/>
      <c r="I77" s="101"/>
      <c r="J77" s="101"/>
      <c r="K77" s="101"/>
      <c r="L77" s="101"/>
      <c r="M77" s="101"/>
      <c r="N77" s="101"/>
      <c r="O77" s="101"/>
      <c r="P77" s="35"/>
      <c r="Q77" s="164">
        <f>+Cash_Flow_Qtr!F77</f>
        <v>0</v>
      </c>
      <c r="R77" s="164">
        <f>+Cash_Flow_Qtr!K77</f>
        <v>0</v>
      </c>
      <c r="S77" s="164">
        <f>+Cash_Flow_Qtr!P77</f>
        <v>0</v>
      </c>
      <c r="T77" s="164">
        <f>+Cash_Flow_Qtr!U77</f>
        <v>0</v>
      </c>
      <c r="U77" s="164"/>
      <c r="V77" s="164"/>
      <c r="W77" s="164"/>
      <c r="X77" s="164"/>
      <c r="Y77" s="164">
        <f>+Cash_Flow_Qtr!AT77</f>
        <v>7.0702099737532803E-2</v>
      </c>
      <c r="Z77" s="164">
        <f>+Cash_Flow_Qtr!AY77</f>
        <v>0.1424234060171129</v>
      </c>
      <c r="AA77" s="164">
        <f>+Cash_Flow_Qtr!BD77</f>
        <v>0.17493472584856398</v>
      </c>
      <c r="AB77" s="164">
        <f>+Cash_Flow_Qtr!BI77</f>
        <v>0.20224159468037467</v>
      </c>
      <c r="AC77" s="35">
        <f>-AC30/Balance_Sheet_Annual!AB17</f>
        <v>0.19684978772874431</v>
      </c>
      <c r="AD77" s="35">
        <f>-AD30/Balance_Sheet_Annual!AC17</f>
        <v>0.21492968617070823</v>
      </c>
      <c r="AE77" s="35">
        <f>-AE30/Balance_Sheet_Annual!AD17</f>
        <v>0.23101882226896581</v>
      </c>
      <c r="AF77" s="35">
        <f>-AF30/Balance_Sheet_Annual!AE17</f>
        <v>0.24904075613215496</v>
      </c>
    </row>
    <row r="78" spans="1:37">
      <c r="B78" s="25"/>
      <c r="C78" s="25"/>
      <c r="D78" s="25"/>
      <c r="E78" s="25"/>
      <c r="F78" s="25"/>
      <c r="G78" s="25"/>
      <c r="H78" s="25"/>
      <c r="I78" s="25"/>
      <c r="J78" s="25"/>
      <c r="K78" s="25"/>
      <c r="L78" s="25"/>
      <c r="M78" s="25"/>
      <c r="N78" s="25"/>
      <c r="O78" s="25"/>
      <c r="P78" s="25"/>
      <c r="Q78" s="25"/>
      <c r="R78" s="25"/>
      <c r="S78" s="25"/>
      <c r="T78" s="25"/>
      <c r="U78" s="25"/>
      <c r="V78" s="25"/>
      <c r="W78" s="25"/>
      <c r="X78" s="25"/>
      <c r="Y78" s="25"/>
      <c r="Z78" s="25"/>
      <c r="AA78" s="25"/>
      <c r="AB78" s="25"/>
      <c r="AC78" s="179"/>
      <c r="AD78" s="179"/>
      <c r="AE78" s="179"/>
      <c r="AF78" s="179"/>
    </row>
    <row r="79" spans="1:37">
      <c r="A79" s="4" t="str">
        <f>Cash_Flow_Qtr!A79</f>
        <v>GAAP Free Cash Flow</v>
      </c>
      <c r="B79" s="77"/>
      <c r="C79" s="77"/>
      <c r="D79" s="77"/>
      <c r="E79" s="77"/>
      <c r="F79" s="77"/>
      <c r="G79" s="77"/>
      <c r="H79" s="77"/>
      <c r="I79" s="77"/>
      <c r="J79" s="77"/>
      <c r="K79" s="77"/>
      <c r="L79" s="77"/>
      <c r="M79" s="77"/>
      <c r="N79" s="77"/>
      <c r="O79" s="77"/>
      <c r="P79" s="77"/>
      <c r="Q79" s="166">
        <f>+Cash_Flow_Qtr!F79</f>
        <v>0</v>
      </c>
      <c r="R79" s="166">
        <f>+Cash_Flow_Qtr!K79</f>
        <v>0</v>
      </c>
      <c r="S79" s="166">
        <f>+Cash_Flow_Qtr!P79</f>
        <v>0</v>
      </c>
      <c r="T79" s="166">
        <f>+Cash_Flow_Qtr!U79</f>
        <v>0</v>
      </c>
      <c r="U79" s="166"/>
      <c r="V79" s="166"/>
      <c r="W79" s="166"/>
      <c r="X79" s="166"/>
      <c r="Y79" s="166">
        <f>+Cash_Flow_Qtr!AT79</f>
        <v>3747</v>
      </c>
      <c r="Z79" s="166">
        <f>+Cash_Flow_Qtr!AY79</f>
        <v>4785</v>
      </c>
      <c r="AA79" s="166">
        <f>+Cash_Flow_Qtr!BD79</f>
        <v>7270</v>
      </c>
      <c r="AB79" s="166">
        <f ca="1">+Cash_Flow_Qtr!BI79</f>
        <v>8994.2463127350948</v>
      </c>
      <c r="AC79" s="77">
        <f ca="1">+AC27+AC30</f>
        <v>9755.5613248039335</v>
      </c>
      <c r="AD79" s="77">
        <f ca="1">+AD27+AD30</f>
        <v>10968.847952537435</v>
      </c>
      <c r="AE79" s="77">
        <f ca="1">+AE27+AE30</f>
        <v>12200.219475097612</v>
      </c>
      <c r="AF79" s="77">
        <f ca="1">+AF27+AF30</f>
        <v>13474.349064835375</v>
      </c>
    </row>
    <row r="80" spans="1:37">
      <c r="A80" s="1" t="str">
        <f>Cash_Flow_Qtr!A80</f>
        <v>FCF Conversion %</v>
      </c>
      <c r="B80" s="35"/>
      <c r="C80" s="35"/>
      <c r="D80" s="35"/>
      <c r="E80" s="35"/>
      <c r="F80" s="35"/>
      <c r="G80" s="35"/>
      <c r="H80" s="35"/>
      <c r="I80" s="35"/>
      <c r="J80" s="35"/>
      <c r="K80" s="35"/>
      <c r="L80" s="35"/>
      <c r="M80" s="35"/>
      <c r="N80" s="35"/>
      <c r="O80" s="35"/>
      <c r="P80" s="35"/>
      <c r="Q80" s="164">
        <f>+Cash_Flow_Qtr!F80</f>
        <v>0</v>
      </c>
      <c r="R80" s="164">
        <f>+Cash_Flow_Qtr!K80</f>
        <v>0</v>
      </c>
      <c r="S80" s="164">
        <f>+Cash_Flow_Qtr!P80</f>
        <v>0</v>
      </c>
      <c r="T80" s="164">
        <f>+Cash_Flow_Qtr!U80</f>
        <v>0</v>
      </c>
      <c r="U80" s="164"/>
      <c r="V80" s="164"/>
      <c r="W80" s="164"/>
      <c r="X80" s="164"/>
      <c r="Y80" s="164">
        <f>+Cash_Flow_Qtr!AT80</f>
        <v>0.39671784012705136</v>
      </c>
      <c r="Z80" s="164">
        <f>+Cash_Flow_Qtr!AY80</f>
        <v>0.72875418824246119</v>
      </c>
      <c r="AA80" s="164">
        <f>+Cash_Flow_Qtr!BD80</f>
        <v>0.83582432743159352</v>
      </c>
      <c r="AB80" s="164">
        <f ca="1">+Cash_Flow_Qtr!BI80</f>
        <v>1.0013797409230707</v>
      </c>
      <c r="AC80" s="35">
        <f ca="1">+AC79/AC4</f>
        <v>0.91649826287422587</v>
      </c>
      <c r="AD80" s="35">
        <f ca="1">+AD79/AD4</f>
        <v>0.91036242964804437</v>
      </c>
      <c r="AE80" s="35">
        <f ca="1">+AE79/AE4</f>
        <v>0.90936532584956753</v>
      </c>
      <c r="AF80" s="35">
        <f ca="1">+AF79/AF4</f>
        <v>0.89809825101457708</v>
      </c>
    </row>
    <row r="81" spans="1:37">
      <c r="A81" s="12" t="str">
        <f>Cash_Flow_Qtr!A81</f>
        <v>Per Share</v>
      </c>
      <c r="B81" s="79"/>
      <c r="C81" s="79"/>
      <c r="D81" s="79"/>
      <c r="E81" s="79"/>
      <c r="F81" s="79"/>
      <c r="G81" s="79"/>
      <c r="H81" s="79"/>
      <c r="I81" s="79"/>
      <c r="J81" s="79"/>
      <c r="K81" s="79"/>
      <c r="L81" s="79"/>
      <c r="M81" s="79"/>
      <c r="N81" s="79"/>
      <c r="O81" s="79"/>
      <c r="P81" s="79"/>
      <c r="Q81" s="167">
        <f>+Cash_Flow_Qtr!F81</f>
        <v>0</v>
      </c>
      <c r="R81" s="167">
        <f>+Cash_Flow_Qtr!K81</f>
        <v>0</v>
      </c>
      <c r="S81" s="167">
        <f>+Cash_Flow_Qtr!P81</f>
        <v>0</v>
      </c>
      <c r="T81" s="167">
        <f>+Cash_Flow_Qtr!U81</f>
        <v>0</v>
      </c>
      <c r="U81" s="167"/>
      <c r="V81" s="167"/>
      <c r="W81" s="167"/>
      <c r="X81" s="167"/>
      <c r="Y81" s="167">
        <f>+Cash_Flow_Qtr!AT81</f>
        <v>3.4094631483166515</v>
      </c>
      <c r="Z81" s="167">
        <f>+Cash_Flow_Qtr!AY81</f>
        <v>4.3738574040219378</v>
      </c>
      <c r="AA81" s="167">
        <f>+Cash_Flow_Qtr!BD81</f>
        <v>6.8071161048689142</v>
      </c>
      <c r="AB81" s="167">
        <f ca="1">+Cash_Flow_Qtr!BI81</f>
        <v>8.5652918458842286</v>
      </c>
      <c r="AC81" s="79">
        <f ca="1">+AC79/ProForma_IS_Annual!AC60</f>
        <v>9.4702588002288444</v>
      </c>
      <c r="AD81" s="79">
        <f ca="1">+AD79/ProForma_IS_Annual!AD60</f>
        <v>10.887702636370204</v>
      </c>
      <c r="AE81" s="79">
        <f ca="1">+AE79/ProForma_IS_Annual!AE60</f>
        <v>12.39149009394438</v>
      </c>
      <c r="AF81" s="79">
        <f ca="1">+AF79/ProForma_IS_Annual!AF60</f>
        <v>14.006678336423343</v>
      </c>
      <c r="AH81" s="244"/>
      <c r="AI81" s="244"/>
      <c r="AJ81" s="244"/>
      <c r="AK81" s="244"/>
    </row>
    <row r="82" spans="1:37">
      <c r="B82" s="25"/>
      <c r="C82" s="25"/>
      <c r="D82" s="25"/>
      <c r="E82" s="25"/>
      <c r="F82" s="25"/>
      <c r="G82" s="25"/>
      <c r="H82" s="25"/>
      <c r="I82" s="25"/>
      <c r="J82" s="25"/>
      <c r="K82" s="25"/>
      <c r="L82" s="25"/>
      <c r="M82" s="25"/>
      <c r="N82" s="25"/>
      <c r="O82" s="25"/>
      <c r="P82" s="25"/>
      <c r="Q82" s="25"/>
      <c r="R82" s="25"/>
      <c r="S82" s="25"/>
      <c r="T82" s="25"/>
      <c r="U82" s="25"/>
      <c r="V82" s="25"/>
      <c r="W82" s="25"/>
      <c r="X82" s="25"/>
      <c r="Y82" s="25"/>
      <c r="Z82" s="25"/>
      <c r="AA82" s="25"/>
      <c r="AB82" s="25"/>
      <c r="AC82" s="25"/>
      <c r="AD82" s="25"/>
      <c r="AE82" s="25"/>
      <c r="AF82" s="25"/>
    </row>
    <row r="83" spans="1:37">
      <c r="A83" s="257" t="s">
        <v>409</v>
      </c>
      <c r="B83" s="25"/>
      <c r="C83" s="25"/>
      <c r="D83" s="25"/>
      <c r="E83" s="25"/>
      <c r="F83" s="25"/>
      <c r="G83" s="25"/>
      <c r="H83" s="25"/>
      <c r="I83" s="25"/>
      <c r="J83" s="25"/>
      <c r="K83" s="25"/>
      <c r="L83" s="25"/>
      <c r="M83" s="25"/>
      <c r="N83" s="25"/>
      <c r="O83" s="25"/>
      <c r="P83" s="25"/>
      <c r="Q83" s="25"/>
      <c r="R83" s="25"/>
      <c r="S83" s="25"/>
      <c r="T83" s="25"/>
      <c r="U83" s="25"/>
      <c r="V83" s="25"/>
      <c r="W83" s="25"/>
      <c r="X83" s="25"/>
      <c r="Y83" s="25"/>
      <c r="Z83" s="25"/>
      <c r="AA83" s="25"/>
      <c r="AB83" s="25"/>
      <c r="AC83" s="25"/>
      <c r="AD83" s="25"/>
      <c r="AE83" s="25"/>
      <c r="AF83" s="25"/>
    </row>
    <row r="84" spans="1:37">
      <c r="A84" s="1" t="s">
        <v>362</v>
      </c>
      <c r="B84" s="25"/>
      <c r="C84" s="25"/>
      <c r="D84" s="25"/>
      <c r="E84" s="25"/>
      <c r="F84" s="25"/>
      <c r="G84" s="25"/>
      <c r="H84" s="25"/>
      <c r="I84" s="25"/>
      <c r="J84" s="25"/>
      <c r="K84" s="25"/>
      <c r="L84" s="25"/>
      <c r="M84" s="25"/>
      <c r="N84" s="25"/>
      <c r="O84" s="25"/>
      <c r="P84" s="25"/>
      <c r="Q84" s="25"/>
      <c r="R84" s="25"/>
      <c r="S84" s="25"/>
      <c r="T84" s="25"/>
      <c r="U84" s="25"/>
      <c r="V84" s="25"/>
      <c r="W84" s="25"/>
      <c r="X84" s="37">
        <f>+Cash_Flow_Qtr!AO84</f>
        <v>-136</v>
      </c>
      <c r="Y84" s="37">
        <f>+Cash_Flow_Qtr!AT84</f>
        <v>0</v>
      </c>
      <c r="Z84" s="37">
        <f>+Cash_Flow_Qtr!AY84</f>
        <v>0</v>
      </c>
      <c r="AA84" s="37">
        <f>+Cash_Flow_Qtr!BD84</f>
        <v>0</v>
      </c>
      <c r="AB84" s="37">
        <f>+Cash_Flow_Qtr!BI84</f>
        <v>0</v>
      </c>
      <c r="AC84" s="375">
        <v>0</v>
      </c>
      <c r="AD84" s="375">
        <v>0</v>
      </c>
      <c r="AE84" s="375">
        <v>0</v>
      </c>
      <c r="AF84" s="375">
        <v>0</v>
      </c>
    </row>
    <row r="85" spans="1:37">
      <c r="A85" s="4" t="s">
        <v>414</v>
      </c>
      <c r="B85" s="25"/>
      <c r="C85" s="25"/>
      <c r="D85" s="25"/>
      <c r="E85" s="25"/>
      <c r="F85" s="25"/>
      <c r="G85" s="25"/>
      <c r="H85" s="25"/>
      <c r="I85" s="25"/>
      <c r="J85" s="25"/>
      <c r="K85" s="25"/>
      <c r="L85" s="25"/>
      <c r="M85" s="25"/>
      <c r="N85" s="25"/>
      <c r="O85" s="25"/>
      <c r="P85" s="25"/>
      <c r="Q85" s="25"/>
      <c r="R85" s="25"/>
      <c r="S85" s="25"/>
      <c r="T85" s="25"/>
      <c r="U85" s="25"/>
      <c r="V85" s="25"/>
      <c r="W85" s="25"/>
      <c r="X85" s="161">
        <f>+Cash_Flow_Qtr!AO85</f>
        <v>3907</v>
      </c>
      <c r="Y85" s="161">
        <f>+Cash_Flow_Qtr!AT85</f>
        <v>4609</v>
      </c>
      <c r="Z85" s="161">
        <f>+Cash_Flow_Qtr!AY85</f>
        <v>5817</v>
      </c>
      <c r="AA85" s="161">
        <f>+Cash_Flow_Qtr!BD85</f>
        <v>8543</v>
      </c>
      <c r="AB85" s="161">
        <f ca="1">+Cash_Flow_Qtr!BI85</f>
        <v>10609.549929447248</v>
      </c>
      <c r="AC85" s="77">
        <f ca="1">+AC27</f>
        <v>11518.15432412711</v>
      </c>
      <c r="AD85" s="77">
        <f ca="1">+AD27</f>
        <v>12893.328362509958</v>
      </c>
      <c r="AE85" s="77">
        <f ca="1">+AE27</f>
        <v>14268.762009693932</v>
      </c>
      <c r="AF85" s="77">
        <f ca="1">+AF27</f>
        <v>15704.25999524269</v>
      </c>
    </row>
    <row r="86" spans="1:37">
      <c r="A86" s="1" t="s">
        <v>415</v>
      </c>
      <c r="B86" s="25"/>
      <c r="C86" s="25"/>
      <c r="D86" s="25"/>
      <c r="E86" s="25"/>
      <c r="F86" s="25"/>
      <c r="G86" s="25"/>
      <c r="H86" s="25"/>
      <c r="I86" s="25"/>
      <c r="J86" s="25"/>
      <c r="K86" s="25"/>
      <c r="L86" s="25"/>
      <c r="M86" s="25"/>
      <c r="N86" s="25"/>
      <c r="O86" s="25"/>
      <c r="P86" s="25"/>
      <c r="Q86" s="25"/>
      <c r="R86" s="25"/>
      <c r="S86" s="25"/>
      <c r="T86" s="25"/>
      <c r="U86" s="25"/>
      <c r="V86" s="25"/>
      <c r="W86" s="25"/>
      <c r="X86" s="37">
        <f>+Cash_Flow_Qtr!AO86</f>
        <v>-1174</v>
      </c>
      <c r="Y86" s="37">
        <f>+Cash_Flow_Qtr!AT86</f>
        <v>-862</v>
      </c>
      <c r="Z86" s="37">
        <f>+Cash_Flow_Qtr!AY86</f>
        <v>-1032</v>
      </c>
      <c r="AA86" s="37">
        <f>+Cash_Flow_Qtr!BD86</f>
        <v>-1273</v>
      </c>
      <c r="AB86" s="37">
        <f>+Cash_Flow_Qtr!BI86</f>
        <v>-1615.3036167121525</v>
      </c>
      <c r="AC86" s="21">
        <f>+AC30</f>
        <v>-1762.5929993231766</v>
      </c>
      <c r="AD86" s="21">
        <f>+AD30</f>
        <v>-1924.4804099725216</v>
      </c>
      <c r="AE86" s="21">
        <f>+AE30</f>
        <v>-2068.5425345963199</v>
      </c>
      <c r="AF86" s="21">
        <f>+AF30</f>
        <v>-2229.9109304073154</v>
      </c>
    </row>
    <row r="87" spans="1:37">
      <c r="A87" s="1" t="s">
        <v>363</v>
      </c>
      <c r="B87" s="25"/>
      <c r="C87" s="25"/>
      <c r="D87" s="25"/>
      <c r="E87" s="25"/>
      <c r="F87" s="25"/>
      <c r="G87" s="25"/>
      <c r="H87" s="25"/>
      <c r="I87" s="25"/>
      <c r="J87" s="25"/>
      <c r="K87" s="25"/>
      <c r="L87" s="25"/>
      <c r="M87" s="25"/>
      <c r="N87" s="25"/>
      <c r="O87" s="25"/>
      <c r="P87" s="25"/>
      <c r="Q87" s="25"/>
      <c r="R87" s="25"/>
      <c r="S87" s="25"/>
      <c r="T87" s="25"/>
      <c r="U87" s="25"/>
      <c r="V87" s="25"/>
      <c r="W87" s="25"/>
      <c r="X87" s="37">
        <f>+Cash_Flow_Qtr!AO87</f>
        <v>158</v>
      </c>
      <c r="Y87" s="37">
        <f>+Cash_Flow_Qtr!AT87</f>
        <v>820</v>
      </c>
      <c r="Z87" s="37">
        <f>+Cash_Flow_Qtr!AY87</f>
        <v>800</v>
      </c>
      <c r="AA87" s="37">
        <f>+Cash_Flow_Qtr!BD87</f>
        <v>245</v>
      </c>
      <c r="AB87" s="37">
        <f>+Cash_Flow_Qtr!BI87</f>
        <v>116</v>
      </c>
      <c r="AC87" s="375">
        <v>0</v>
      </c>
      <c r="AD87" s="375">
        <v>0</v>
      </c>
      <c r="AE87" s="375">
        <v>0</v>
      </c>
      <c r="AF87" s="375">
        <v>0</v>
      </c>
    </row>
    <row r="88" spans="1:37">
      <c r="A88" s="1" t="s">
        <v>200</v>
      </c>
      <c r="B88" s="25"/>
      <c r="C88" s="25"/>
      <c r="D88" s="25"/>
      <c r="E88" s="25"/>
      <c r="F88" s="25"/>
      <c r="G88" s="25"/>
      <c r="H88" s="25"/>
      <c r="I88" s="25"/>
      <c r="J88" s="25"/>
      <c r="K88" s="25"/>
      <c r="L88" s="25"/>
      <c r="M88" s="25"/>
      <c r="N88" s="25"/>
      <c r="O88" s="25"/>
      <c r="P88" s="25"/>
      <c r="Q88" s="25"/>
      <c r="R88" s="25"/>
      <c r="S88" s="25"/>
      <c r="T88" s="25"/>
      <c r="U88" s="25"/>
      <c r="V88" s="25"/>
      <c r="W88" s="25"/>
      <c r="X88" s="37">
        <f>+Cash_Flow_Qtr!AO88</f>
        <v>38</v>
      </c>
      <c r="Y88" s="37">
        <f>+Cash_Flow_Qtr!AT88</f>
        <v>0</v>
      </c>
      <c r="Z88" s="37">
        <f>+Cash_Flow_Qtr!AY88</f>
        <v>0</v>
      </c>
      <c r="AA88" s="37">
        <f>+Cash_Flow_Qtr!BD88</f>
        <v>0</v>
      </c>
      <c r="AB88" s="37">
        <f>+Cash_Flow_Qtr!BI88</f>
        <v>51</v>
      </c>
      <c r="AC88" s="375">
        <v>0</v>
      </c>
      <c r="AD88" s="375">
        <v>0</v>
      </c>
      <c r="AE88" s="375">
        <v>0</v>
      </c>
      <c r="AF88" s="375">
        <v>0</v>
      </c>
    </row>
    <row r="89" spans="1:37">
      <c r="A89" s="1" t="s">
        <v>364</v>
      </c>
      <c r="B89" s="25"/>
      <c r="C89" s="25"/>
      <c r="D89" s="25"/>
      <c r="E89" s="25"/>
      <c r="F89" s="25"/>
      <c r="G89" s="25"/>
      <c r="H89" s="25"/>
      <c r="I89" s="25"/>
      <c r="J89" s="25"/>
      <c r="K89" s="25"/>
      <c r="L89" s="25"/>
      <c r="M89" s="25"/>
      <c r="N89" s="25"/>
      <c r="O89" s="25"/>
      <c r="P89" s="25"/>
      <c r="Q89" s="25"/>
      <c r="R89" s="25"/>
      <c r="S89" s="25"/>
      <c r="T89" s="25"/>
      <c r="U89" s="25"/>
      <c r="V89" s="25"/>
      <c r="W89" s="25"/>
      <c r="X89" s="37">
        <f>+Cash_Flow_Qtr!AO89</f>
        <v>129</v>
      </c>
      <c r="Y89" s="37">
        <f>+Cash_Flow_Qtr!AT89</f>
        <v>0</v>
      </c>
      <c r="Z89" s="37">
        <f>+Cash_Flow_Qtr!AY89</f>
        <v>0</v>
      </c>
      <c r="AA89" s="37">
        <f>+Cash_Flow_Qtr!BD89</f>
        <v>0</v>
      </c>
      <c r="AB89" s="37">
        <f>+Cash_Flow_Qtr!BI89</f>
        <v>0</v>
      </c>
      <c r="AC89" s="375">
        <v>0</v>
      </c>
      <c r="AD89" s="375">
        <v>0</v>
      </c>
      <c r="AE89" s="375">
        <v>0</v>
      </c>
      <c r="AF89" s="375">
        <v>0</v>
      </c>
    </row>
    <row r="90" spans="1:37">
      <c r="A90" s="1" t="s">
        <v>314</v>
      </c>
      <c r="B90" s="25"/>
      <c r="C90" s="25"/>
      <c r="D90" s="25"/>
      <c r="E90" s="25"/>
      <c r="F90" s="25"/>
      <c r="G90" s="25"/>
      <c r="H90" s="25"/>
      <c r="I90" s="25"/>
      <c r="J90" s="25"/>
      <c r="K90" s="25"/>
      <c r="L90" s="25"/>
      <c r="M90" s="25"/>
      <c r="N90" s="25"/>
      <c r="O90" s="25"/>
      <c r="P90" s="25"/>
      <c r="Q90" s="25"/>
      <c r="R90" s="25"/>
      <c r="S90" s="25"/>
      <c r="T90" s="25"/>
      <c r="U90" s="25"/>
      <c r="V90" s="25"/>
      <c r="W90" s="25"/>
      <c r="X90" s="37">
        <f>+Cash_Flow_Qtr!AO90</f>
        <v>0</v>
      </c>
      <c r="Y90" s="37">
        <f>+Cash_Flow_Qtr!AT90</f>
        <v>177</v>
      </c>
      <c r="Z90" s="37">
        <f>+Cash_Flow_Qtr!AY90</f>
        <v>504</v>
      </c>
      <c r="AA90" s="37">
        <f>+Cash_Flow_Qtr!BD90</f>
        <v>179</v>
      </c>
      <c r="AB90" s="37">
        <f>+Cash_Flow_Qtr!BI90</f>
        <v>58</v>
      </c>
      <c r="AC90" s="375">
        <v>0</v>
      </c>
      <c r="AD90" s="375">
        <v>0</v>
      </c>
      <c r="AE90" s="375">
        <v>0</v>
      </c>
      <c r="AF90" s="375">
        <v>0</v>
      </c>
    </row>
    <row r="91" spans="1:37">
      <c r="A91" s="4" t="s">
        <v>409</v>
      </c>
      <c r="B91" s="25"/>
      <c r="C91" s="25"/>
      <c r="D91" s="25"/>
      <c r="E91" s="25"/>
      <c r="F91" s="25"/>
      <c r="G91" s="25"/>
      <c r="H91" s="25"/>
      <c r="I91" s="25"/>
      <c r="J91" s="25"/>
      <c r="K91" s="25"/>
      <c r="L91" s="25"/>
      <c r="M91" s="25"/>
      <c r="N91" s="25"/>
      <c r="O91" s="25"/>
      <c r="P91" s="25"/>
      <c r="Q91" s="25"/>
      <c r="R91" s="25"/>
      <c r="S91" s="25"/>
      <c r="T91" s="25"/>
      <c r="U91" s="25"/>
      <c r="V91" s="25"/>
      <c r="W91" s="25"/>
      <c r="X91" s="166">
        <f>+Cash_Flow_Qtr!AO91</f>
        <v>3058</v>
      </c>
      <c r="Y91" s="166">
        <f>+Cash_Flow_Qtr!AT91</f>
        <v>4744</v>
      </c>
      <c r="Z91" s="166">
        <f>+Cash_Flow_Qtr!AY91</f>
        <v>6089</v>
      </c>
      <c r="AA91" s="166">
        <f>+Cash_Flow_Qtr!BD91</f>
        <v>7694</v>
      </c>
      <c r="AB91" s="166">
        <f ca="1">+Cash_Flow_Qtr!BI91</f>
        <v>9219.2463127350948</v>
      </c>
      <c r="AC91" s="77">
        <f ca="1">SUM(AC85:AC90)</f>
        <v>9755.5613248039335</v>
      </c>
      <c r="AD91" s="77">
        <f ca="1">SUM(AD85:AD90)</f>
        <v>10968.847952537435</v>
      </c>
      <c r="AE91" s="77">
        <f ca="1">SUM(AE85:AE90)</f>
        <v>12200.219475097612</v>
      </c>
      <c r="AF91" s="77">
        <f ca="1">SUM(AF85:AF90)</f>
        <v>13474.349064835375</v>
      </c>
      <c r="AG91" s="244" t="s">
        <v>519</v>
      </c>
      <c r="AH91" s="635">
        <f ca="1">(AF91/AB91)^(1/4)-1</f>
        <v>9.9519899837122949E-2</v>
      </c>
    </row>
    <row r="92" spans="1:37">
      <c r="A92" s="1" t="s">
        <v>24</v>
      </c>
      <c r="B92" s="25"/>
      <c r="C92" s="25"/>
      <c r="D92" s="25"/>
      <c r="E92" s="25"/>
      <c r="F92" s="25"/>
      <c r="G92" s="25"/>
      <c r="H92" s="25"/>
      <c r="I92" s="25"/>
      <c r="J92" s="25"/>
      <c r="K92" s="25"/>
      <c r="L92" s="25"/>
      <c r="M92" s="25"/>
      <c r="N92" s="25"/>
      <c r="O92" s="25"/>
      <c r="P92" s="25"/>
      <c r="Q92" s="25"/>
      <c r="R92" s="25"/>
      <c r="S92" s="25"/>
      <c r="T92" s="25"/>
      <c r="U92" s="25"/>
      <c r="V92" s="25"/>
      <c r="W92" s="25"/>
      <c r="X92" s="164">
        <f>+Cash_Flow_Qtr!AO92</f>
        <v>3.6448152562574494</v>
      </c>
      <c r="Y92" s="164">
        <f>+Cash_Flow_Qtr!AT92</f>
        <v>1.4632942628007404</v>
      </c>
      <c r="Z92" s="164">
        <f>+Cash_Flow_Qtr!AY92</f>
        <v>1.2093346573982124</v>
      </c>
      <c r="AA92" s="164">
        <f>+Cash_Flow_Qtr!BD92</f>
        <v>1.1295603024297145</v>
      </c>
      <c r="AB92" s="164">
        <f ca="1">+Cash_Flow_Qtr!BI92</f>
        <v>1.1187246696624076</v>
      </c>
      <c r="AC92" s="35">
        <f ca="1">AC91/ProForma_IS_Annual!AC43</f>
        <v>1.0384458624739654</v>
      </c>
      <c r="AD92" s="35">
        <f ca="1">AD91/ProForma_IS_Annual!AD43</f>
        <v>1.0157393765638743</v>
      </c>
      <c r="AE92" s="35">
        <f ca="1">AE91/ProForma_IS_Annual!AE43</f>
        <v>1.002796918224109</v>
      </c>
      <c r="AF92" s="35">
        <f ca="1">AF91/ProForma_IS_Annual!AF43</f>
        <v>0.97972454074126158</v>
      </c>
      <c r="AG92" s="244" t="s">
        <v>520</v>
      </c>
    </row>
    <row r="93" spans="1:37">
      <c r="A93" s="12" t="s">
        <v>25</v>
      </c>
      <c r="B93" s="25"/>
      <c r="C93" s="25"/>
      <c r="D93" s="25"/>
      <c r="E93" s="25"/>
      <c r="F93" s="25"/>
      <c r="G93" s="25"/>
      <c r="H93" s="25"/>
      <c r="I93" s="25"/>
      <c r="J93" s="25"/>
      <c r="K93" s="25"/>
      <c r="L93" s="25"/>
      <c r="M93" s="25"/>
      <c r="N93" s="25"/>
      <c r="O93" s="25"/>
      <c r="P93" s="25"/>
      <c r="Q93" s="25"/>
      <c r="R93" s="25"/>
      <c r="S93" s="25"/>
      <c r="T93" s="25"/>
      <c r="U93" s="25"/>
      <c r="V93" s="25"/>
      <c r="W93" s="25"/>
      <c r="X93" s="167">
        <f>+Cash_Flow_Qtr!AO93</f>
        <v>2.7856980186745615</v>
      </c>
      <c r="Y93" s="167">
        <f>+Cash_Flow_Qtr!AT93</f>
        <v>4.316651501364877</v>
      </c>
      <c r="Z93" s="167">
        <f>+Cash_Flow_Qtr!AY93</f>
        <v>5.5658135283363803</v>
      </c>
      <c r="AA93" s="167">
        <f>+Cash_Flow_Qtr!BD93</f>
        <v>7.2041198501872659</v>
      </c>
      <c r="AB93" s="167">
        <f ca="1">+Cash_Flow_Qtr!BI93</f>
        <v>8.7795611240776896</v>
      </c>
      <c r="AC93" s="79">
        <f ca="1">+AC91/ProForma_IS_Annual!AC60</f>
        <v>9.4702588002288444</v>
      </c>
      <c r="AD93" s="79">
        <f ca="1">+AD91/ProForma_IS_Annual!AD60</f>
        <v>10.887702636370204</v>
      </c>
      <c r="AE93" s="79">
        <f ca="1">+AE91/ProForma_IS_Annual!AE60</f>
        <v>12.39149009394438</v>
      </c>
      <c r="AF93" s="79">
        <f ca="1">+AF91/ProForma_IS_Annual!AF60</f>
        <v>14.006678336423343</v>
      </c>
    </row>
    <row r="94" spans="1:37">
      <c r="B94" s="25"/>
      <c r="C94" s="25"/>
      <c r="D94" s="25"/>
      <c r="E94" s="25"/>
      <c r="F94" s="25"/>
      <c r="G94" s="25"/>
      <c r="H94" s="25"/>
      <c r="I94" s="25"/>
      <c r="J94" s="25"/>
      <c r="K94" s="25"/>
      <c r="L94" s="25"/>
      <c r="M94" s="25"/>
      <c r="N94" s="25"/>
      <c r="O94" s="25"/>
      <c r="P94" s="25"/>
      <c r="Q94" s="25"/>
      <c r="R94" s="25"/>
      <c r="S94" s="25"/>
      <c r="T94" s="25"/>
      <c r="U94" s="25"/>
      <c r="V94" s="25"/>
      <c r="W94" s="25"/>
      <c r="X94" s="25"/>
      <c r="Y94" s="25"/>
      <c r="Z94" s="35">
        <f>Z91/Y91-1</f>
        <v>0.2835160202360878</v>
      </c>
      <c r="AA94" s="35">
        <f t="shared" ref="AA94:AD94" si="7">AA91/Z91-1</f>
        <v>0.26359008047298405</v>
      </c>
      <c r="AB94" s="35">
        <f t="shared" ca="1" si="7"/>
        <v>0.19823840820575711</v>
      </c>
      <c r="AC94" s="35">
        <f t="shared" ca="1" si="7"/>
        <v>5.8173411781827999E-2</v>
      </c>
      <c r="AD94" s="35">
        <f t="shared" ca="1" si="7"/>
        <v>0.12436871517056303</v>
      </c>
      <c r="AE94" s="35">
        <f t="shared" ref="AE94" ca="1" si="8">AE91/AD91-1</f>
        <v>0.11226078872533951</v>
      </c>
      <c r="AF94" s="35">
        <f t="shared" ref="AF94" ca="1" si="9">AF91/AE91-1</f>
        <v>0.10443497285753289</v>
      </c>
    </row>
    <row r="95" spans="1:37">
      <c r="A95" s="4" t="str">
        <f>Cash_Flow_Qtr!A95</f>
        <v>Free Cash Flow Returned to Shareholders</v>
      </c>
      <c r="B95" s="77"/>
      <c r="C95" s="77"/>
      <c r="D95" s="77"/>
      <c r="E95" s="77"/>
      <c r="F95" s="77"/>
      <c r="G95" s="77"/>
      <c r="H95" s="77"/>
      <c r="I95" s="77"/>
      <c r="J95" s="77"/>
      <c r="K95" s="77"/>
      <c r="L95" s="77"/>
      <c r="M95" s="77"/>
      <c r="N95" s="77"/>
      <c r="O95" s="77"/>
      <c r="P95" s="77"/>
      <c r="Q95" s="166">
        <f>+Cash_Flow_Qtr!F95</f>
        <v>0</v>
      </c>
      <c r="R95" s="166">
        <f>+Cash_Flow_Qtr!K95</f>
        <v>0</v>
      </c>
      <c r="S95" s="166">
        <f>+Cash_Flow_Qtr!P95</f>
        <v>0</v>
      </c>
      <c r="T95" s="166">
        <f>+Cash_Flow_Qtr!U95</f>
        <v>0</v>
      </c>
      <c r="U95" s="166"/>
      <c r="V95" s="166"/>
      <c r="W95" s="166"/>
      <c r="X95" s="166"/>
      <c r="Y95" s="166">
        <f>+Cash_Flow_Qtr!AT95</f>
        <v>1822</v>
      </c>
      <c r="Z95" s="166">
        <f>+Cash_Flow_Qtr!AY95</f>
        <v>6835</v>
      </c>
      <c r="AA95" s="166">
        <f>+Cash_Flow_Qtr!BD95</f>
        <v>9003</v>
      </c>
      <c r="AB95" s="166">
        <f>+Cash_Flow_Qtr!BI95</f>
        <v>9465.750776551844</v>
      </c>
      <c r="AC95" s="77">
        <f>-AC45-AC47</f>
        <v>9621.2357870886099</v>
      </c>
      <c r="AD95" s="77">
        <f t="shared" ref="AD95:AF95" si="10">-AD45-AD47</f>
        <v>10782.001787158912</v>
      </c>
      <c r="AE95" s="77">
        <f t="shared" si="10"/>
        <v>11703.172057655269</v>
      </c>
      <c r="AF95" s="77">
        <f t="shared" si="10"/>
        <v>12636.630209747189</v>
      </c>
      <c r="AG95" s="244" t="s">
        <v>533</v>
      </c>
    </row>
    <row r="96" spans="1:37">
      <c r="A96" s="1" t="str">
        <f>Cash_Flow_Qtr!A96</f>
        <v>FCF Returned to Shareholders %</v>
      </c>
      <c r="B96" s="35"/>
      <c r="C96" s="35"/>
      <c r="D96" s="35"/>
      <c r="E96" s="35"/>
      <c r="F96" s="35"/>
      <c r="G96" s="35"/>
      <c r="H96" s="35"/>
      <c r="I96" s="35"/>
      <c r="J96" s="35"/>
      <c r="K96" s="35"/>
      <c r="L96" s="35"/>
      <c r="M96" s="35"/>
      <c r="N96" s="35"/>
      <c r="O96" s="35"/>
      <c r="P96" s="35"/>
      <c r="Q96" s="164">
        <f>+Cash_Flow_Qtr!F96</f>
        <v>0</v>
      </c>
      <c r="R96" s="164">
        <f>+Cash_Flow_Qtr!K96</f>
        <v>0</v>
      </c>
      <c r="S96" s="164">
        <f>+Cash_Flow_Qtr!P96</f>
        <v>0</v>
      </c>
      <c r="T96" s="164">
        <f>+Cash_Flow_Qtr!U96</f>
        <v>0</v>
      </c>
      <c r="U96" s="164"/>
      <c r="V96" s="164"/>
      <c r="W96" s="164"/>
      <c r="X96" s="164"/>
      <c r="Y96" s="164">
        <f>+Cash_Flow_Qtr!AT96</f>
        <v>0.48625567120362956</v>
      </c>
      <c r="Z96" s="164">
        <f>+Cash_Flow_Qtr!AY96</f>
        <v>1.4284221525600835</v>
      </c>
      <c r="AA96" s="164">
        <f>+Cash_Flow_Qtr!BD96</f>
        <v>1.2383768913342503</v>
      </c>
      <c r="AB96" s="164">
        <f ca="1">+Cash_Flow_Qtr!BI96</f>
        <v>1.0524228987535218</v>
      </c>
      <c r="AC96" s="35">
        <f ca="1">AC95/AC79</f>
        <v>0.98623087557516598</v>
      </c>
      <c r="AD96" s="35">
        <f ca="1">AD95/AD79</f>
        <v>0.98296574387875435</v>
      </c>
      <c r="AE96" s="35">
        <f ca="1">AE95/AE79</f>
        <v>0.95925914132472057</v>
      </c>
      <c r="AF96" s="35">
        <f ca="1">AF95/AF79</f>
        <v>0.93782862154919089</v>
      </c>
      <c r="AG96" s="244" t="s">
        <v>534</v>
      </c>
    </row>
    <row r="97" spans="1:33">
      <c r="A97" s="10"/>
      <c r="B97" s="167"/>
      <c r="C97" s="167"/>
      <c r="D97" s="167"/>
      <c r="E97" s="167"/>
      <c r="F97" s="167"/>
      <c r="G97" s="167"/>
      <c r="H97" s="167"/>
      <c r="I97" s="167"/>
      <c r="J97" s="167"/>
      <c r="K97" s="167"/>
      <c r="L97" s="167"/>
      <c r="M97" s="167"/>
      <c r="N97" s="167"/>
      <c r="O97" s="167"/>
      <c r="P97" s="167"/>
      <c r="Q97" s="167"/>
      <c r="R97" s="167"/>
      <c r="S97" s="167"/>
      <c r="T97" s="167"/>
      <c r="U97" s="167"/>
      <c r="V97" s="167"/>
      <c r="W97" s="167"/>
      <c r="X97" s="167"/>
      <c r="Y97" s="167"/>
      <c r="Z97" s="167"/>
      <c r="AA97" s="167"/>
      <c r="AB97" s="167"/>
      <c r="AC97" s="179"/>
      <c r="AD97" s="179"/>
      <c r="AE97" s="179"/>
      <c r="AF97" s="179"/>
    </row>
    <row r="98" spans="1:33">
      <c r="A98" s="4" t="str">
        <f>Cash_Flow_Qtr!A98</f>
        <v>Dividend Per Share</v>
      </c>
      <c r="B98" s="207"/>
      <c r="C98" s="207"/>
      <c r="D98" s="207"/>
      <c r="E98" s="207"/>
      <c r="F98" s="207"/>
      <c r="G98" s="207"/>
      <c r="H98" s="207"/>
      <c r="I98" s="207"/>
      <c r="J98" s="207"/>
      <c r="K98" s="207"/>
      <c r="L98" s="207"/>
      <c r="M98" s="207"/>
      <c r="N98" s="207"/>
      <c r="O98" s="207"/>
      <c r="P98" s="207"/>
      <c r="Q98" s="167">
        <f>Cash_Flow_Qtr!F98</f>
        <v>0</v>
      </c>
      <c r="R98" s="167">
        <f>Cash_Flow_Qtr!K98</f>
        <v>0</v>
      </c>
      <c r="S98" s="167">
        <f>Cash_Flow_Qtr!P98</f>
        <v>0</v>
      </c>
      <c r="T98" s="167">
        <f>Cash_Flow_Qtr!U98</f>
        <v>0</v>
      </c>
      <c r="U98" s="167"/>
      <c r="V98" s="167"/>
      <c r="W98" s="167"/>
      <c r="X98" s="167"/>
      <c r="Y98" s="167">
        <f>Cash_Flow_Qtr!AT98</f>
        <v>0.32</v>
      </c>
      <c r="Z98" s="167">
        <f>Cash_Flow_Qtr!AY98</f>
        <v>1.1200000000000001</v>
      </c>
      <c r="AA98" s="167">
        <f>Cash_Flow_Qtr!BD98</f>
        <v>1.44</v>
      </c>
      <c r="AB98" s="167">
        <f>Cash_Flow_Qtr!BI98</f>
        <v>1.8719999999999999</v>
      </c>
      <c r="AC98" s="79">
        <f>AB98*(1+AC99)</f>
        <v>2.0592000000000001</v>
      </c>
      <c r="AD98" s="79">
        <f>AC98*(1+AD99)</f>
        <v>2.2651200000000005</v>
      </c>
      <c r="AE98" s="79">
        <f>AD98*(1+AE99)</f>
        <v>2.4916320000000005</v>
      </c>
      <c r="AF98" s="79">
        <f>AE98*(1+AF99)</f>
        <v>2.7407952000000009</v>
      </c>
    </row>
    <row r="99" spans="1:33">
      <c r="A99" s="1" t="s">
        <v>4</v>
      </c>
      <c r="B99" s="193"/>
      <c r="C99" s="101"/>
      <c r="D99" s="101"/>
      <c r="E99" s="101"/>
      <c r="F99" s="101"/>
      <c r="G99" s="101"/>
      <c r="H99" s="101"/>
      <c r="I99" s="101"/>
      <c r="J99" s="101"/>
      <c r="K99" s="101"/>
      <c r="L99" s="101"/>
      <c r="M99" s="101"/>
      <c r="N99" s="101"/>
      <c r="O99" s="101"/>
      <c r="P99" s="101"/>
      <c r="Q99" s="101" t="str">
        <f>IFERROR(Q98/P98-1,"NM")</f>
        <v>NM</v>
      </c>
      <c r="R99" s="164">
        <f>Cash_Flow_Qtr!K99</f>
        <v>0</v>
      </c>
      <c r="S99" s="164">
        <f>Cash_Flow_Qtr!P99</f>
        <v>0</v>
      </c>
      <c r="T99" s="164">
        <f>Cash_Flow_Qtr!U99</f>
        <v>0</v>
      </c>
      <c r="U99" s="164"/>
      <c r="V99" s="164"/>
      <c r="W99" s="164"/>
      <c r="X99" s="164"/>
      <c r="Y99" s="164">
        <f>Cash_Flow_Qtr!AT99</f>
        <v>0</v>
      </c>
      <c r="Z99" s="164">
        <f>Cash_Flow_Qtr!AY99</f>
        <v>2.5000000000000004</v>
      </c>
      <c r="AA99" s="164">
        <f>Cash_Flow_Qtr!BD99</f>
        <v>0.28571428571428559</v>
      </c>
      <c r="AB99" s="164">
        <f>Cash_Flow_Qtr!BI99</f>
        <v>0.30000000000000004</v>
      </c>
      <c r="AC99" s="196">
        <v>0.1</v>
      </c>
      <c r="AD99" s="196">
        <v>0.1</v>
      </c>
      <c r="AE99" s="196">
        <v>0.1</v>
      </c>
      <c r="AF99" s="196">
        <v>0.1</v>
      </c>
    </row>
    <row r="103" spans="1:33">
      <c r="B103"/>
      <c r="C103"/>
      <c r="D103"/>
      <c r="E103"/>
      <c r="F103"/>
      <c r="G103"/>
      <c r="H103"/>
      <c r="I103"/>
      <c r="J103"/>
      <c r="K103"/>
      <c r="L103"/>
      <c r="M103"/>
      <c r="N103"/>
      <c r="O103"/>
      <c r="P103"/>
      <c r="Q103"/>
      <c r="R103"/>
      <c r="S103"/>
      <c r="T103"/>
      <c r="U103"/>
      <c r="V103"/>
      <c r="AG103"/>
    </row>
  </sheetData>
  <pageMargins left="0.7" right="0.7" top="0.75" bottom="0.75" header="0.3" footer="0.3"/>
  <pageSetup orientation="landscape"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theme="4" tint="0.39997558519241921"/>
  </sheetPr>
  <dimension ref="A1:BX118"/>
  <sheetViews>
    <sheetView showGridLines="0" workbookViewId="0">
      <pane xSplit="36" ySplit="2" topLeftCell="AK3" activePane="bottomRight" state="frozen"/>
      <selection pane="topRight" activeCell="AK1" sqref="AK1"/>
      <selection pane="bottomLeft" activeCell="A3" sqref="A3"/>
      <selection pane="bottomRight" activeCell="AL4" sqref="AL4"/>
    </sheetView>
  </sheetViews>
  <sheetFormatPr defaultRowHeight="15" outlineLevelRow="1" outlineLevelCol="2"/>
  <cols>
    <col min="1" max="1" width="67.85546875" customWidth="1"/>
    <col min="2" max="5" width="12.140625" style="24" hidden="1" customWidth="1" outlineLevel="1"/>
    <col min="6" max="6" width="12.140625" style="24" hidden="1" customWidth="1" outlineLevel="1" collapsed="1"/>
    <col min="7" max="10" width="12.140625" style="24" hidden="1" customWidth="1" outlineLevel="2"/>
    <col min="11" max="11" width="12.140625" style="24" hidden="1" customWidth="1" outlineLevel="1" collapsed="1"/>
    <col min="12" max="15" width="12.140625" style="24" hidden="1" customWidth="1" outlineLevel="2"/>
    <col min="16" max="16" width="12.140625" style="24" hidden="1" customWidth="1" outlineLevel="1" collapsed="1"/>
    <col min="17" max="20" width="12.140625" style="24" hidden="1" customWidth="1" outlineLevel="2"/>
    <col min="21" max="21" width="12.140625" style="24" hidden="1" customWidth="1" outlineLevel="1" collapsed="1"/>
    <col min="22" max="25" width="12.140625" style="24" hidden="1" customWidth="1" outlineLevel="1"/>
    <col min="26" max="26" width="12.140625" style="24" hidden="1" customWidth="1" outlineLevel="1" collapsed="1"/>
    <col min="27" max="30" width="12.140625" style="24" hidden="1" customWidth="1" outlineLevel="2"/>
    <col min="31" max="31" width="12.140625" style="24" hidden="1" customWidth="1" outlineLevel="1" collapsed="1"/>
    <col min="32" max="35" width="12.140625" style="24" hidden="1" customWidth="1" outlineLevel="2"/>
    <col min="36" max="36" width="12.140625" style="24" hidden="1" customWidth="1" outlineLevel="1" collapsed="1"/>
    <col min="37" max="37" width="12.140625" style="24" customWidth="1" collapsed="1"/>
    <col min="38" max="41" width="12.140625" style="24" customWidth="1"/>
    <col min="42" max="43" width="12.140625" style="24" hidden="1" customWidth="1" outlineLevel="1"/>
    <col min="44" max="44" width="12.140625" style="420" hidden="1" customWidth="1" outlineLevel="1"/>
    <col min="45" max="45" width="12.42578125" style="420" hidden="1" customWidth="1" outlineLevel="1"/>
    <col min="46" max="46" width="12.140625" style="24" customWidth="1" collapsed="1"/>
    <col min="47" max="50" width="12.140625" style="24" hidden="1" customWidth="1" outlineLevel="1"/>
    <col min="51" max="51" width="12.140625" style="24" customWidth="1" collapsed="1"/>
    <col min="52" max="55" width="12.140625" style="24" customWidth="1" outlineLevel="1"/>
    <col min="56" max="56" width="12.140625" style="24" customWidth="1"/>
    <col min="57" max="60" width="12.140625" style="24" customWidth="1" outlineLevel="1"/>
    <col min="61" max="61" width="12.140625" style="24" customWidth="1"/>
    <col min="62" max="62" width="35.42578125" style="248" customWidth="1"/>
    <col min="63" max="63" width="9.140625" customWidth="1"/>
    <col min="64" max="64" width="56.5703125" customWidth="1"/>
    <col min="65" max="67" width="9.140625" customWidth="1"/>
    <col min="68" max="68" width="63.5703125" customWidth="1" outlineLevel="1"/>
    <col min="69" max="69" width="9.140625" customWidth="1" outlineLevel="1"/>
    <col min="70" max="70" width="12.85546875" customWidth="1" outlineLevel="1"/>
    <col min="71" max="73" width="9.140625" customWidth="1" outlineLevel="1"/>
    <col min="74" max="77" width="9.140625" customWidth="1"/>
    <col min="79" max="79" width="29.42578125" customWidth="1"/>
  </cols>
  <sheetData>
    <row r="1" spans="1:67">
      <c r="A1" s="13" t="s">
        <v>19</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row>
    <row r="2" spans="1:67">
      <c r="B2" s="93" t="str">
        <f>ProForma_IS_Qtr!B2</f>
        <v>1Q15A</v>
      </c>
      <c r="C2" s="93" t="str">
        <f>ProForma_IS_Qtr!C2</f>
        <v>2Q15A</v>
      </c>
      <c r="D2" s="93" t="str">
        <f>ProForma_IS_Qtr!D2</f>
        <v>3Q15A</v>
      </c>
      <c r="E2" s="93" t="str">
        <f>ProForma_IS_Qtr!E2</f>
        <v>4Q15A</v>
      </c>
      <c r="F2" s="94" t="str">
        <f>ProForma_IS_Qtr!F2</f>
        <v>CY2015A</v>
      </c>
      <c r="G2" s="93" t="str">
        <f>ProForma_IS_Qtr!G2</f>
        <v>1Q16A</v>
      </c>
      <c r="H2" s="93" t="str">
        <f>ProForma_IS_Qtr!H2</f>
        <v>2Q16A</v>
      </c>
      <c r="I2" s="93" t="str">
        <f>ProForma_IS_Qtr!I2</f>
        <v>3Q16A</v>
      </c>
      <c r="J2" s="93" t="str">
        <f>ProForma_IS_Qtr!J2</f>
        <v>4Q16A</v>
      </c>
      <c r="K2" s="94" t="str">
        <f>ProForma_IS_Qtr!K2</f>
        <v>CY2016A</v>
      </c>
      <c r="L2" s="93" t="str">
        <f>ProForma_IS_Qtr!L2</f>
        <v>1Q17A</v>
      </c>
      <c r="M2" s="93" t="str">
        <f>ProForma_IS_Qtr!M2</f>
        <v>2Q17A</v>
      </c>
      <c r="N2" s="93" t="str">
        <f>ProForma_IS_Qtr!N2</f>
        <v>3Q17A</v>
      </c>
      <c r="O2" s="93" t="str">
        <f>ProForma_IS_Qtr!O2</f>
        <v>4Q17A</v>
      </c>
      <c r="P2" s="94" t="str">
        <f>ProForma_IS_Qtr!P2</f>
        <v>CY2017A</v>
      </c>
      <c r="Q2" s="93" t="str">
        <f>ProForma_IS_Qtr!Q2</f>
        <v>1Q18A</v>
      </c>
      <c r="R2" s="93" t="str">
        <f>ProForma_IS_Qtr!R2</f>
        <v>2Q18A</v>
      </c>
      <c r="S2" s="93" t="str">
        <f>ProForma_IS_Qtr!S2</f>
        <v>3Q18A</v>
      </c>
      <c r="T2" s="93" t="str">
        <f>ProForma_IS_Qtr!T2</f>
        <v>4Q18A</v>
      </c>
      <c r="U2" s="94" t="str">
        <f>ProForma_IS_Qtr!U2</f>
        <v>CY2018A</v>
      </c>
      <c r="V2" s="93" t="str">
        <f>ProForma_IS_Qtr!V2</f>
        <v>1Q19A</v>
      </c>
      <c r="W2" s="93" t="str">
        <f>ProForma_IS_Qtr!W2</f>
        <v>2Q19A</v>
      </c>
      <c r="X2" s="93" t="str">
        <f>ProForma_IS_Qtr!X2</f>
        <v>3Q19A</v>
      </c>
      <c r="Y2" s="93" t="str">
        <f>ProForma_IS_Qtr!Y2</f>
        <v>4Q19A</v>
      </c>
      <c r="Z2" s="94" t="str">
        <f>ProForma_IS_Qtr!Z2</f>
        <v>CY2019A</v>
      </c>
      <c r="AA2" s="93" t="str">
        <f>ProForma_IS_Qtr!AA2</f>
        <v>1Q20A</v>
      </c>
      <c r="AB2" s="93" t="str">
        <f>ProForma_IS_Qtr!AB2</f>
        <v>2Q20A</v>
      </c>
      <c r="AC2" s="93" t="str">
        <f>ProForma_IS_Qtr!AC2</f>
        <v>3Q20A</v>
      </c>
      <c r="AD2" s="93" t="str">
        <f>ProForma_IS_Qtr!AD2</f>
        <v>4Q20A</v>
      </c>
      <c r="AE2" s="94" t="str">
        <f>ProForma_IS_Qtr!AE2</f>
        <v>CY2020A</v>
      </c>
      <c r="AF2" s="93" t="str">
        <f>ProForma_IS_Qtr!AF2</f>
        <v>1Q21A</v>
      </c>
      <c r="AG2" s="93" t="str">
        <f>ProForma_IS_Qtr!AG2</f>
        <v>2Q21A</v>
      </c>
      <c r="AH2" s="93" t="str">
        <f>ProForma_IS_Qtr!AH2</f>
        <v>3Q21A</v>
      </c>
      <c r="AI2" s="93" t="str">
        <f>ProForma_IS_Qtr!AI2</f>
        <v>4Q21A</v>
      </c>
      <c r="AJ2" s="94" t="str">
        <f>ProForma_IS_Qtr!AJ2</f>
        <v>CY2021A</v>
      </c>
      <c r="AK2" s="93" t="str">
        <f>ProForma_IS_Qtr!AK2</f>
        <v>1Q22A</v>
      </c>
      <c r="AL2" s="93" t="str">
        <f>ProForma_IS_Qtr!AL2</f>
        <v>2Q22A</v>
      </c>
      <c r="AM2" s="93" t="str">
        <f>ProForma_IS_Qtr!AM2</f>
        <v>3Q22A</v>
      </c>
      <c r="AN2" s="93" t="str">
        <f>ProForma_IS_Qtr!AN2</f>
        <v>4Q22A</v>
      </c>
      <c r="AO2" s="94" t="str">
        <f>ProForma_IS_Qtr!AO2</f>
        <v>CY2022A</v>
      </c>
      <c r="AP2" s="93" t="str">
        <f>ProForma_IS_Qtr!AP2</f>
        <v>1Q23A</v>
      </c>
      <c r="AQ2" s="93" t="str">
        <f>ProForma_IS_Qtr!AQ2</f>
        <v>2Q23A</v>
      </c>
      <c r="AR2" s="482" t="str">
        <f>ProForma_IS_Qtr!AR2</f>
        <v>3Q23A</v>
      </c>
      <c r="AS2" s="482" t="str">
        <f>ProForma_IS_Qtr!AS2</f>
        <v>4Q23</v>
      </c>
      <c r="AT2" s="94" t="str">
        <f>ProForma_IS_Qtr!AT2</f>
        <v>CY2023</v>
      </c>
      <c r="AU2" s="93" t="str">
        <f>ProForma_IS_Qtr!AU2</f>
        <v>1Q24A</v>
      </c>
      <c r="AV2" s="93" t="str">
        <f>ProForma_IS_Qtr!AV2</f>
        <v>2Q24A</v>
      </c>
      <c r="AW2" s="93" t="str">
        <f>ProForma_IS_Qtr!AW2</f>
        <v>3Q24A</v>
      </c>
      <c r="AX2" s="93" t="str">
        <f>ProForma_IS_Qtr!AX2</f>
        <v>4Q24A</v>
      </c>
      <c r="AY2" s="94" t="str">
        <f>ProForma_IS_Qtr!AY2</f>
        <v>CY2024A</v>
      </c>
      <c r="AZ2" s="93" t="str">
        <f>ProForma_IS_Qtr!AZ2</f>
        <v>1Q25A</v>
      </c>
      <c r="BA2" s="93" t="str">
        <f>ProForma_IS_Qtr!BA2</f>
        <v>2Q25A</v>
      </c>
      <c r="BB2" s="93" t="str">
        <f>ProForma_IS_Qtr!BB2</f>
        <v>3Q25A</v>
      </c>
      <c r="BC2" s="93" t="str">
        <f>ProForma_IS_Qtr!BC2</f>
        <v>4Q25A</v>
      </c>
      <c r="BD2" s="94" t="str">
        <f>ProForma_IS_Qtr!BD2</f>
        <v>CY2025A</v>
      </c>
      <c r="BE2" s="93" t="str">
        <f>ProForma_IS_Qtr!BE2</f>
        <v>1Q26A</v>
      </c>
      <c r="BF2" s="93" t="str">
        <f>ProForma_IS_Qtr!BF2</f>
        <v>2Q26A</v>
      </c>
      <c r="BG2" s="93" t="str">
        <f>ProForma_IS_Qtr!BG2</f>
        <v>3Q26E</v>
      </c>
      <c r="BH2" s="93" t="str">
        <f>ProForma_IS_Qtr!BH2</f>
        <v>4Q26E</v>
      </c>
      <c r="BI2" s="94" t="str">
        <f>ProForma_IS_Qtr!BI2</f>
        <v>CY2026E</v>
      </c>
      <c r="BJ2" s="243" t="s">
        <v>538</v>
      </c>
    </row>
    <row r="3" spans="1:67">
      <c r="A3" s="4" t="s">
        <v>26</v>
      </c>
      <c r="F3" s="25"/>
      <c r="K3" s="25"/>
      <c r="P3" s="25"/>
      <c r="U3" s="25"/>
      <c r="V3" s="73"/>
      <c r="X3" s="20"/>
      <c r="Z3" s="21"/>
      <c r="AB3" s="73"/>
      <c r="AC3" s="73"/>
      <c r="AE3" s="21"/>
      <c r="AJ3" s="25"/>
      <c r="AO3" s="25"/>
      <c r="AT3" s="25"/>
      <c r="AY3" s="25"/>
      <c r="BD3" s="25"/>
      <c r="BI3" s="25"/>
    </row>
    <row r="4" spans="1:67">
      <c r="A4" s="1" t="s">
        <v>48</v>
      </c>
      <c r="B4" s="36"/>
      <c r="C4" s="36"/>
      <c r="D4" s="36"/>
      <c r="E4" s="36"/>
      <c r="F4" s="37"/>
      <c r="G4" s="36"/>
      <c r="H4" s="36"/>
      <c r="I4" s="36"/>
      <c r="J4" s="36"/>
      <c r="K4" s="37"/>
      <c r="L4" s="36"/>
      <c r="M4" s="36"/>
      <c r="N4" s="36"/>
      <c r="O4" s="36"/>
      <c r="P4" s="37"/>
      <c r="Q4" s="36"/>
      <c r="R4" s="36"/>
      <c r="S4" s="36"/>
      <c r="T4" s="36"/>
      <c r="U4" s="37"/>
      <c r="V4" s="40"/>
      <c r="W4" s="40"/>
      <c r="X4" s="40"/>
      <c r="Y4" s="20"/>
      <c r="Z4" s="42"/>
      <c r="AA4" s="40"/>
      <c r="AB4" s="40"/>
      <c r="AC4" s="40"/>
      <c r="AD4" s="20"/>
      <c r="AE4" s="42"/>
      <c r="AF4" s="40"/>
      <c r="AG4" s="40"/>
      <c r="AH4" s="40"/>
      <c r="AI4" s="20"/>
      <c r="AJ4" s="42"/>
      <c r="AK4" s="40">
        <v>-1108</v>
      </c>
      <c r="AL4" s="40">
        <f>-1971-AK4</f>
        <v>-863</v>
      </c>
      <c r="AM4" s="40">
        <f>-1806-SUM(AK4:AL4)</f>
        <v>165</v>
      </c>
      <c r="AN4" s="20">
        <f>+AO4-SUM(AK4:AM4)</f>
        <v>709</v>
      </c>
      <c r="AO4" s="42">
        <f>+ProForma_IS_Qtr!AO48</f>
        <v>-1097</v>
      </c>
      <c r="AP4" s="40">
        <v>7478</v>
      </c>
      <c r="AQ4" s="40">
        <f>7518-AP4</f>
        <v>40</v>
      </c>
      <c r="AR4" s="483">
        <f>7852-SUM(AP4:AQ4)</f>
        <v>334</v>
      </c>
      <c r="AS4" s="421">
        <f>+AT4-SUM(AP4:AR4)</f>
        <v>1593</v>
      </c>
      <c r="AT4" s="42">
        <v>9445</v>
      </c>
      <c r="AU4" s="40">
        <v>1565</v>
      </c>
      <c r="AV4" s="40">
        <f>2833-AU4</f>
        <v>1268</v>
      </c>
      <c r="AW4" s="40">
        <f>4676-SUM(AU4:AV4)</f>
        <v>1843</v>
      </c>
      <c r="AX4" s="20">
        <f>+AY4-SUM(AU4:AW4)</f>
        <v>1890</v>
      </c>
      <c r="AY4" s="42">
        <v>6566</v>
      </c>
      <c r="AZ4" s="40">
        <v>1972</v>
      </c>
      <c r="BA4" s="40">
        <f>3993-AZ4</f>
        <v>2021</v>
      </c>
      <c r="BB4" s="40">
        <f>6147-BA4-AZ4</f>
        <v>2154</v>
      </c>
      <c r="BC4" s="20">
        <f>+BD4-SUM(AZ4:BB4)</f>
        <v>2551</v>
      </c>
      <c r="BD4" s="42">
        <v>8698</v>
      </c>
      <c r="BE4" s="40">
        <v>1920</v>
      </c>
      <c r="BF4" s="40">
        <f>4276-BE4</f>
        <v>2356</v>
      </c>
      <c r="BG4" s="36">
        <f ca="1">+ProForma_IS_Qtr!BG48</f>
        <v>2358.06760038625</v>
      </c>
      <c r="BH4" s="36">
        <f ca="1">+ProForma_IS_Qtr!BH48</f>
        <v>2347.7860812592457</v>
      </c>
      <c r="BI4" s="21">
        <f ca="1">SUM(BE4:BH4)</f>
        <v>8981.8536816454962</v>
      </c>
      <c r="BJ4" s="547"/>
      <c r="BK4" s="349"/>
    </row>
    <row r="5" spans="1:67">
      <c r="A5" s="1" t="s">
        <v>346</v>
      </c>
      <c r="B5" s="36"/>
      <c r="C5" s="36"/>
      <c r="D5" s="36"/>
      <c r="E5" s="36"/>
      <c r="F5" s="37"/>
      <c r="G5" s="36"/>
      <c r="H5" s="36"/>
      <c r="I5" s="36"/>
      <c r="J5" s="36"/>
      <c r="K5" s="37"/>
      <c r="L5" s="36"/>
      <c r="M5" s="36"/>
      <c r="N5" s="36"/>
      <c r="O5" s="36"/>
      <c r="P5" s="37"/>
      <c r="Q5" s="36"/>
      <c r="R5" s="36"/>
      <c r="S5" s="36"/>
      <c r="T5" s="36"/>
      <c r="U5" s="37"/>
      <c r="V5" s="40"/>
      <c r="W5" s="40"/>
      <c r="X5" s="40"/>
      <c r="Y5" s="20"/>
      <c r="Z5" s="42"/>
      <c r="AA5" s="40"/>
      <c r="AB5" s="40"/>
      <c r="AC5" s="40"/>
      <c r="AD5" s="20"/>
      <c r="AE5" s="42"/>
      <c r="AF5" s="40"/>
      <c r="AG5" s="40"/>
      <c r="AH5" s="40"/>
      <c r="AI5" s="20"/>
      <c r="AJ5" s="42"/>
      <c r="AK5" s="40">
        <v>-101</v>
      </c>
      <c r="AL5" s="40">
        <f>-365-AK5</f>
        <v>-264</v>
      </c>
      <c r="AM5" s="40">
        <f>-775-SUM(AK5:AL5)</f>
        <v>-410</v>
      </c>
      <c r="AN5" s="20">
        <f t="shared" ref="AN5:AN13" si="0">+AO5-SUM(AK5:AM5)</f>
        <v>775</v>
      </c>
      <c r="AO5" s="42"/>
      <c r="AP5" s="40">
        <v>-1257</v>
      </c>
      <c r="AQ5" s="40">
        <f>-239-AP5</f>
        <v>1018</v>
      </c>
      <c r="AR5" s="483">
        <f>-412-SUM(AP5:AQ5)</f>
        <v>-173</v>
      </c>
      <c r="AS5" s="421">
        <f t="shared" ref="AS5:AS13" si="1">+AT5-SUM(AP5:AR5)</f>
        <v>415</v>
      </c>
      <c r="AT5" s="42">
        <v>3</v>
      </c>
      <c r="AU5" s="40">
        <v>178</v>
      </c>
      <c r="AV5" s="40">
        <f>232-AU5</f>
        <v>54</v>
      </c>
      <c r="AW5" s="40">
        <f>85-SUM(AU5:AV5)</f>
        <v>-147</v>
      </c>
      <c r="AX5" s="20">
        <f t="shared" ref="AX5:AX13" si="2">+AY5-SUM(AU5:AW5)</f>
        <v>6</v>
      </c>
      <c r="AY5" s="42">
        <v>91</v>
      </c>
      <c r="AZ5" s="40">
        <v>-10</v>
      </c>
      <c r="BA5" s="40">
        <f>-31-AZ5</f>
        <v>-21</v>
      </c>
      <c r="BB5" s="40">
        <f>-14-BA5-AZ5</f>
        <v>17</v>
      </c>
      <c r="BC5" s="20">
        <f t="shared" ref="BC5:BC13" si="3">+BD5-SUM(AZ5:BB5)</f>
        <v>-89</v>
      </c>
      <c r="BD5" s="42">
        <v>-103</v>
      </c>
      <c r="BE5" s="40">
        <v>26</v>
      </c>
      <c r="BF5" s="40">
        <f>65-BE5</f>
        <v>39</v>
      </c>
      <c r="BG5" s="40">
        <v>0</v>
      </c>
      <c r="BH5" s="41">
        <f>BI5-SUM(BE5:BG5)</f>
        <v>-39</v>
      </c>
      <c r="BI5" s="42">
        <v>26</v>
      </c>
      <c r="BJ5" s="547"/>
      <c r="BK5" s="349"/>
    </row>
    <row r="6" spans="1:67">
      <c r="A6" s="1" t="s">
        <v>49</v>
      </c>
      <c r="B6" s="40"/>
      <c r="C6" s="40"/>
      <c r="D6" s="40"/>
      <c r="E6" s="20"/>
      <c r="F6" s="42"/>
      <c r="G6" s="40"/>
      <c r="H6" s="40"/>
      <c r="I6" s="40"/>
      <c r="J6" s="20"/>
      <c r="K6" s="42"/>
      <c r="L6" s="40"/>
      <c r="M6" s="40"/>
      <c r="N6" s="40"/>
      <c r="O6" s="20"/>
      <c r="P6" s="42"/>
      <c r="Q6" s="40"/>
      <c r="R6" s="40"/>
      <c r="S6" s="40"/>
      <c r="T6" s="20"/>
      <c r="U6" s="42"/>
      <c r="V6" s="40"/>
      <c r="W6" s="40"/>
      <c r="X6" s="40"/>
      <c r="Y6" s="20"/>
      <c r="Z6" s="42"/>
      <c r="AA6" s="40"/>
      <c r="AB6" s="40"/>
      <c r="AC6" s="40"/>
      <c r="AD6" s="20"/>
      <c r="AE6" s="42"/>
      <c r="AF6" s="40"/>
      <c r="AG6" s="40"/>
      <c r="AH6" s="40"/>
      <c r="AI6" s="20"/>
      <c r="AJ6" s="42"/>
      <c r="AK6" s="40">
        <v>403</v>
      </c>
      <c r="AL6" s="40">
        <f>783-AK6</f>
        <v>380</v>
      </c>
      <c r="AM6" s="40">
        <f>1130-SUM(AK6:AL6)</f>
        <v>347</v>
      </c>
      <c r="AN6" s="20">
        <f t="shared" si="0"/>
        <v>376.66666666666674</v>
      </c>
      <c r="AO6" s="42">
        <f>+SUM(AK6:AM6)+AVERAGE(AK6:AM6)</f>
        <v>1506.6666666666667</v>
      </c>
      <c r="AP6" s="40">
        <v>367</v>
      </c>
      <c r="AQ6" s="40">
        <f>719-AP6</f>
        <v>352</v>
      </c>
      <c r="AR6" s="483">
        <f>1097-SUM(AP6:AQ6)</f>
        <v>378</v>
      </c>
      <c r="AS6" s="421">
        <f t="shared" si="1"/>
        <v>-300</v>
      </c>
      <c r="AT6" s="42">
        <v>797</v>
      </c>
      <c r="AU6" s="40">
        <v>202</v>
      </c>
      <c r="AV6" s="40">
        <f>401-AU6</f>
        <v>199</v>
      </c>
      <c r="AW6" s="40">
        <f>625-SUM(AU6:AV6)</f>
        <v>224</v>
      </c>
      <c r="AX6" s="20">
        <f t="shared" si="2"/>
        <v>209</v>
      </c>
      <c r="AY6" s="42">
        <v>834</v>
      </c>
      <c r="AZ6" s="40">
        <v>210</v>
      </c>
      <c r="BA6" s="40">
        <f>428-AZ6</f>
        <v>218</v>
      </c>
      <c r="BB6" s="40">
        <f>643-BA6-AZ6</f>
        <v>215</v>
      </c>
      <c r="BC6" s="20">
        <f t="shared" si="3"/>
        <v>220</v>
      </c>
      <c r="BD6" s="42">
        <v>863</v>
      </c>
      <c r="BE6" s="40">
        <v>227</v>
      </c>
      <c r="BF6" s="40">
        <f>452-BE6</f>
        <v>225</v>
      </c>
      <c r="BG6" s="36">
        <f t="shared" ref="BG6:BI6" ca="1" si="4">BG71</f>
        <v>0</v>
      </c>
      <c r="BH6" s="41">
        <f ca="1">BI6-SUM(BE6:BG6)</f>
        <v>433.04191381975306</v>
      </c>
      <c r="BI6" s="37">
        <f t="shared" si="4"/>
        <v>885.04191381975306</v>
      </c>
      <c r="BJ6" s="547"/>
      <c r="BK6" s="349"/>
    </row>
    <row r="7" spans="1:67">
      <c r="A7" s="1" t="s">
        <v>347</v>
      </c>
      <c r="B7" s="40"/>
      <c r="C7" s="40"/>
      <c r="D7" s="40"/>
      <c r="E7" s="20"/>
      <c r="F7" s="42"/>
      <c r="G7" s="40"/>
      <c r="H7" s="40"/>
      <c r="I7" s="40"/>
      <c r="J7" s="20"/>
      <c r="K7" s="42"/>
      <c r="L7" s="40"/>
      <c r="M7" s="40"/>
      <c r="N7" s="40"/>
      <c r="O7" s="20"/>
      <c r="P7" s="42"/>
      <c r="Q7" s="40"/>
      <c r="R7" s="40"/>
      <c r="S7" s="40"/>
      <c r="T7" s="20"/>
      <c r="U7" s="42"/>
      <c r="V7" s="40"/>
      <c r="W7" s="40"/>
      <c r="X7" s="40"/>
      <c r="Y7" s="20"/>
      <c r="Z7" s="42"/>
      <c r="AA7" s="40"/>
      <c r="AB7" s="40"/>
      <c r="AC7" s="40"/>
      <c r="AD7" s="20"/>
      <c r="AE7" s="42"/>
      <c r="AF7" s="40"/>
      <c r="AG7" s="40"/>
      <c r="AH7" s="40"/>
      <c r="AI7" s="20"/>
      <c r="AJ7" s="42"/>
      <c r="AK7" s="40">
        <f>922-765</f>
        <v>157</v>
      </c>
      <c r="AL7" s="40">
        <f>1058-AK7</f>
        <v>901</v>
      </c>
      <c r="AM7" s="40">
        <f>1193-SUM(AK7:AL7)</f>
        <v>135</v>
      </c>
      <c r="AN7" s="20">
        <f t="shared" si="0"/>
        <v>130</v>
      </c>
      <c r="AO7" s="42">
        <f>+SUM(AK7:AM7)+130</f>
        <v>1323</v>
      </c>
      <c r="AP7" s="40">
        <v>140</v>
      </c>
      <c r="AQ7" s="40">
        <f>299-AP7</f>
        <v>159</v>
      </c>
      <c r="AR7" s="483">
        <f>448-SUM(AP7:AQ7)</f>
        <v>149</v>
      </c>
      <c r="AS7" s="421">
        <f t="shared" si="1"/>
        <v>-66</v>
      </c>
      <c r="AT7" s="42">
        <v>382</v>
      </c>
      <c r="AU7" s="40">
        <v>88</v>
      </c>
      <c r="AV7" s="40">
        <f>172-AU7</f>
        <v>84</v>
      </c>
      <c r="AW7" s="40">
        <f>261-SUM(AU7:AV7)</f>
        <v>89</v>
      </c>
      <c r="AX7" s="20">
        <f t="shared" si="2"/>
        <v>89</v>
      </c>
      <c r="AY7" s="42">
        <v>350</v>
      </c>
      <c r="AZ7" s="40">
        <v>89</v>
      </c>
      <c r="BA7" s="40">
        <f>182-AZ7</f>
        <v>93</v>
      </c>
      <c r="BB7" s="40">
        <f>270-BA7-AZ7</f>
        <v>88</v>
      </c>
      <c r="BC7" s="20">
        <f t="shared" si="3"/>
        <v>87</v>
      </c>
      <c r="BD7" s="42">
        <v>357</v>
      </c>
      <c r="BE7" s="40">
        <v>85</v>
      </c>
      <c r="BF7" s="40">
        <f>173-BE7</f>
        <v>88</v>
      </c>
      <c r="BG7" s="36">
        <f t="shared" ref="BG7" si="5">BG73</f>
        <v>88</v>
      </c>
      <c r="BH7" s="41">
        <f>BI7-SUM(BE7:BG7)</f>
        <v>97</v>
      </c>
      <c r="BI7" s="37">
        <f>BI73</f>
        <v>358</v>
      </c>
      <c r="BJ7" s="547"/>
      <c r="BK7" s="349"/>
    </row>
    <row r="8" spans="1:67">
      <c r="A8" s="1" t="s">
        <v>348</v>
      </c>
      <c r="B8" s="40"/>
      <c r="C8" s="40"/>
      <c r="D8" s="40"/>
      <c r="E8" s="20"/>
      <c r="F8" s="42"/>
      <c r="G8" s="40"/>
      <c r="H8" s="40"/>
      <c r="I8" s="40"/>
      <c r="J8" s="20"/>
      <c r="K8" s="42"/>
      <c r="L8" s="40"/>
      <c r="M8" s="40"/>
      <c r="N8" s="40"/>
      <c r="O8" s="20"/>
      <c r="P8" s="42"/>
      <c r="Q8" s="40"/>
      <c r="R8" s="40"/>
      <c r="S8" s="40"/>
      <c r="T8" s="20"/>
      <c r="U8" s="42"/>
      <c r="V8" s="40"/>
      <c r="W8" s="40"/>
      <c r="X8" s="40"/>
      <c r="Y8" s="20"/>
      <c r="Z8" s="42"/>
      <c r="AA8" s="40"/>
      <c r="AB8" s="40"/>
      <c r="AC8" s="40"/>
      <c r="AD8" s="20"/>
      <c r="AE8" s="42"/>
      <c r="AF8" s="40"/>
      <c r="AG8" s="40"/>
      <c r="AH8" s="40"/>
      <c r="AI8" s="20"/>
      <c r="AJ8" s="42"/>
      <c r="AK8" s="40">
        <f>-15+206</f>
        <v>191</v>
      </c>
      <c r="AL8" s="40">
        <f>-19+1965-AK8</f>
        <v>1755</v>
      </c>
      <c r="AM8" s="40">
        <f>-42+2145-SUM(AK8:AL8)</f>
        <v>157</v>
      </c>
      <c r="AN8" s="20">
        <f t="shared" si="0"/>
        <v>-2103</v>
      </c>
      <c r="AO8" s="42"/>
      <c r="AP8" s="40">
        <f>52-5906</f>
        <v>-5854</v>
      </c>
      <c r="AQ8" s="40">
        <f>13-6282-AP8</f>
        <v>-415</v>
      </c>
      <c r="AR8" s="483">
        <f>-103-5181-SUM(AP8:AQ8)</f>
        <v>985</v>
      </c>
      <c r="AS8" s="421">
        <f t="shared" si="1"/>
        <v>-562</v>
      </c>
      <c r="AT8" s="42">
        <v>-5846</v>
      </c>
      <c r="AU8" s="40">
        <v>-675</v>
      </c>
      <c r="AV8" s="40">
        <f>-314-AU8</f>
        <v>361</v>
      </c>
      <c r="AW8" s="40">
        <f>-723-SUM(AU8:AV8)</f>
        <v>-409</v>
      </c>
      <c r="AX8" s="20">
        <f t="shared" si="2"/>
        <v>4</v>
      </c>
      <c r="AY8" s="42">
        <v>-719</v>
      </c>
      <c r="AZ8" s="40">
        <v>-43</v>
      </c>
      <c r="BA8" s="40">
        <f>-109-AZ8</f>
        <v>-66</v>
      </c>
      <c r="BB8" s="40">
        <f>-177-BA8-AZ8</f>
        <v>-68</v>
      </c>
      <c r="BC8" s="20">
        <f t="shared" si="3"/>
        <v>-331</v>
      </c>
      <c r="BD8" s="42">
        <v>-508</v>
      </c>
      <c r="BE8" s="40">
        <v>271</v>
      </c>
      <c r="BF8" s="40">
        <f>173-BE8</f>
        <v>-98</v>
      </c>
      <c r="BG8" s="40">
        <v>0</v>
      </c>
      <c r="BH8" s="40">
        <v>0</v>
      </c>
      <c r="BI8" s="21">
        <f t="shared" ref="BI8" si="6">SUM(BE8:BH8)</f>
        <v>173</v>
      </c>
      <c r="BJ8" s="547"/>
      <c r="BK8" s="349"/>
    </row>
    <row r="9" spans="1:67">
      <c r="A9" s="1" t="s">
        <v>349</v>
      </c>
      <c r="B9" s="40"/>
      <c r="C9" s="40"/>
      <c r="D9" s="40"/>
      <c r="E9" s="20"/>
      <c r="F9" s="42"/>
      <c r="G9" s="40"/>
      <c r="H9" s="40"/>
      <c r="I9" s="40"/>
      <c r="J9" s="20"/>
      <c r="K9" s="42"/>
      <c r="L9" s="40"/>
      <c r="M9" s="40"/>
      <c r="N9" s="40"/>
      <c r="O9" s="20"/>
      <c r="P9" s="42"/>
      <c r="Q9" s="40"/>
      <c r="R9" s="40"/>
      <c r="S9" s="40"/>
      <c r="T9" s="20"/>
      <c r="U9" s="42"/>
      <c r="V9" s="40"/>
      <c r="W9" s="40"/>
      <c r="X9" s="40"/>
      <c r="Y9" s="20"/>
      <c r="Z9" s="42"/>
      <c r="AA9" s="40"/>
      <c r="AB9" s="40"/>
      <c r="AC9" s="40"/>
      <c r="AD9" s="20"/>
      <c r="AE9" s="42"/>
      <c r="AF9" s="40"/>
      <c r="AG9" s="40"/>
      <c r="AH9" s="40"/>
      <c r="AI9" s="20"/>
      <c r="AJ9" s="42"/>
      <c r="AK9" s="40">
        <v>94</v>
      </c>
      <c r="AL9" s="40">
        <f>180-AK9</f>
        <v>86</v>
      </c>
      <c r="AM9" s="40">
        <f>269-SUM(AK9:AL9)</f>
        <v>89</v>
      </c>
      <c r="AN9" s="20">
        <f t="shared" si="0"/>
        <v>89.666666666666686</v>
      </c>
      <c r="AO9" s="42">
        <f>+SUM(AK9:AM9)+AVERAGE(AK9:AM9)</f>
        <v>358.66666666666669</v>
      </c>
      <c r="AP9" s="40">
        <v>-271</v>
      </c>
      <c r="AQ9" s="40">
        <f>-556-AP9</f>
        <v>-285</v>
      </c>
      <c r="AR9" s="483">
        <f>-834-SUM(AP9:AQ9)</f>
        <v>-278</v>
      </c>
      <c r="AS9" s="421">
        <f t="shared" si="1"/>
        <v>79</v>
      </c>
      <c r="AT9" s="42">
        <v>-755</v>
      </c>
      <c r="AU9" s="40">
        <v>-174</v>
      </c>
      <c r="AV9" s="40">
        <f>-328-AU9</f>
        <v>-154</v>
      </c>
      <c r="AW9" s="40">
        <f>-491-SUM(AU9:AV9)</f>
        <v>-163</v>
      </c>
      <c r="AX9" s="20">
        <f t="shared" si="2"/>
        <v>-162</v>
      </c>
      <c r="AY9" s="42">
        <v>-653</v>
      </c>
      <c r="AZ9" s="40">
        <v>-161</v>
      </c>
      <c r="BA9" s="40">
        <f>-324-AZ9</f>
        <v>-163</v>
      </c>
      <c r="BB9" s="40">
        <f>-488-BA9-AZ9</f>
        <v>-164</v>
      </c>
      <c r="BC9" s="20">
        <f t="shared" si="3"/>
        <v>-167</v>
      </c>
      <c r="BD9" s="42">
        <v>-655</v>
      </c>
      <c r="BE9" s="40">
        <v>-147</v>
      </c>
      <c r="BF9" s="40">
        <f>-293-BE9</f>
        <v>-146</v>
      </c>
      <c r="BG9" s="40">
        <v>-125</v>
      </c>
      <c r="BH9" s="41">
        <f>BI9-SUM(BE9:BG9)</f>
        <v>-82</v>
      </c>
      <c r="BI9" s="42">
        <v>-500</v>
      </c>
      <c r="BJ9" s="547"/>
      <c r="BK9" s="349"/>
    </row>
    <row r="10" spans="1:67">
      <c r="A10" s="1" t="s">
        <v>350</v>
      </c>
      <c r="B10" s="40"/>
      <c r="C10" s="40"/>
      <c r="D10" s="40"/>
      <c r="E10" s="20"/>
      <c r="F10" s="42"/>
      <c r="G10" s="40"/>
      <c r="H10" s="40"/>
      <c r="I10" s="40"/>
      <c r="J10" s="20"/>
      <c r="K10" s="42"/>
      <c r="L10" s="40"/>
      <c r="M10" s="40"/>
      <c r="N10" s="40"/>
      <c r="O10" s="20"/>
      <c r="P10" s="42"/>
      <c r="Q10" s="40"/>
      <c r="R10" s="40"/>
      <c r="S10" s="40"/>
      <c r="T10" s="20"/>
      <c r="U10" s="42"/>
      <c r="V10" s="40"/>
      <c r="W10" s="40"/>
      <c r="X10" s="40"/>
      <c r="Y10" s="20"/>
      <c r="Z10" s="42"/>
      <c r="AA10" s="40"/>
      <c r="AB10" s="40"/>
      <c r="AC10" s="40"/>
      <c r="AD10" s="20"/>
      <c r="AE10" s="42"/>
      <c r="AF10" s="40"/>
      <c r="AG10" s="40"/>
      <c r="AH10" s="40"/>
      <c r="AI10" s="20"/>
      <c r="AJ10" s="42"/>
      <c r="AK10" s="40">
        <v>-49</v>
      </c>
      <c r="AL10" s="40">
        <f>-100-AK10</f>
        <v>-51</v>
      </c>
      <c r="AM10" s="40">
        <f>-152-SUM(AK10:AL10)</f>
        <v>-52</v>
      </c>
      <c r="AN10" s="20">
        <f t="shared" si="0"/>
        <v>-50.666666666666657</v>
      </c>
      <c r="AO10" s="42">
        <f>+SUM(AK10:AM10)+AVERAGE(AK10:AM10)</f>
        <v>-202.66666666666666</v>
      </c>
      <c r="AP10" s="40">
        <v>-52</v>
      </c>
      <c r="AQ10" s="40">
        <f>-104-AP10</f>
        <v>-52</v>
      </c>
      <c r="AR10" s="483">
        <f>-156-SUM(AP10:AQ10)</f>
        <v>-52</v>
      </c>
      <c r="AS10" s="421">
        <f t="shared" si="1"/>
        <v>-28</v>
      </c>
      <c r="AT10" s="42">
        <v>-184</v>
      </c>
      <c r="AU10" s="40">
        <v>-47</v>
      </c>
      <c r="AV10" s="40">
        <f>-94-AU10</f>
        <v>-47</v>
      </c>
      <c r="AW10" s="40">
        <f>-142-SUM(AU10:AV10)</f>
        <v>-48</v>
      </c>
      <c r="AX10" s="20">
        <f t="shared" si="2"/>
        <v>-68</v>
      </c>
      <c r="AY10" s="42">
        <v>-210</v>
      </c>
      <c r="AZ10" s="40">
        <v>-48</v>
      </c>
      <c r="BA10" s="40">
        <f>-95-AZ10</f>
        <v>-47</v>
      </c>
      <c r="BB10" s="40">
        <f>-144-BA10-AZ10</f>
        <v>-49</v>
      </c>
      <c r="BC10" s="20">
        <f t="shared" si="3"/>
        <v>-67</v>
      </c>
      <c r="BD10" s="42">
        <v>-211</v>
      </c>
      <c r="BE10" s="40">
        <v>-49</v>
      </c>
      <c r="BF10" s="40">
        <f>-97-BE10</f>
        <v>-48</v>
      </c>
      <c r="BG10" s="40">
        <v>-50</v>
      </c>
      <c r="BH10" s="41">
        <f>BI10-SUM(BE10:BG10)</f>
        <v>-53</v>
      </c>
      <c r="BI10" s="42">
        <v>-200</v>
      </c>
      <c r="BJ10" s="547"/>
      <c r="BK10" s="349"/>
    </row>
    <row r="11" spans="1:67">
      <c r="A11" s="1" t="s">
        <v>351</v>
      </c>
      <c r="B11" s="40"/>
      <c r="C11" s="40"/>
      <c r="D11" s="40"/>
      <c r="E11" s="20"/>
      <c r="F11" s="42"/>
      <c r="G11" s="40"/>
      <c r="H11" s="40"/>
      <c r="I11" s="40"/>
      <c r="J11" s="20"/>
      <c r="K11" s="42"/>
      <c r="L11" s="40"/>
      <c r="M11" s="40"/>
      <c r="N11" s="40"/>
      <c r="O11" s="20"/>
      <c r="P11" s="42"/>
      <c r="Q11" s="40"/>
      <c r="R11" s="40"/>
      <c r="S11" s="40"/>
      <c r="T11" s="20"/>
      <c r="U11" s="42"/>
      <c r="V11" s="40"/>
      <c r="W11" s="40"/>
      <c r="X11" s="40"/>
      <c r="Y11" s="20"/>
      <c r="Z11" s="42"/>
      <c r="AA11" s="40"/>
      <c r="AB11" s="40"/>
      <c r="AC11" s="40"/>
      <c r="AD11" s="20"/>
      <c r="AE11" s="42"/>
      <c r="AF11" s="40"/>
      <c r="AG11" s="40"/>
      <c r="AH11" s="40"/>
      <c r="AI11" s="20"/>
      <c r="AJ11" s="42"/>
      <c r="AK11" s="40">
        <v>-224</v>
      </c>
      <c r="AL11" s="40">
        <f>-433-AK11</f>
        <v>-209</v>
      </c>
      <c r="AM11" s="40">
        <f>-617-SUM(AK11:AL11)</f>
        <v>-184</v>
      </c>
      <c r="AN11" s="20">
        <f t="shared" si="0"/>
        <v>-205.66666666666663</v>
      </c>
      <c r="AO11" s="42">
        <f>+SUM(AK11:AM11)+AVERAGE(AK11:AM11)</f>
        <v>-822.66666666666663</v>
      </c>
      <c r="AP11" s="40">
        <v>-181</v>
      </c>
      <c r="AQ11" s="40">
        <f>-343-AP11</f>
        <v>-162</v>
      </c>
      <c r="AR11" s="483">
        <f>-496-SUM(AP11:AQ11)</f>
        <v>-153</v>
      </c>
      <c r="AS11" s="421">
        <f t="shared" si="1"/>
        <v>148</v>
      </c>
      <c r="AT11" s="42">
        <v>-348</v>
      </c>
      <c r="AU11" s="40">
        <v>-88</v>
      </c>
      <c r="AV11" s="40">
        <f>-155-AU11</f>
        <v>-67</v>
      </c>
      <c r="AW11" s="40">
        <f>-221-SUM(AU11:AV11)</f>
        <v>-66</v>
      </c>
      <c r="AX11" s="20">
        <f t="shared" si="2"/>
        <v>-78</v>
      </c>
      <c r="AY11" s="42">
        <v>-299</v>
      </c>
      <c r="AZ11" s="40">
        <v>-74</v>
      </c>
      <c r="BA11" s="40">
        <f>-133-AZ11</f>
        <v>-59</v>
      </c>
      <c r="BB11" s="40">
        <f>-194-BA11-AZ11</f>
        <v>-61</v>
      </c>
      <c r="BC11" s="20">
        <f t="shared" si="3"/>
        <v>-36</v>
      </c>
      <c r="BD11" s="42">
        <v>-230</v>
      </c>
      <c r="BE11" s="40">
        <v>-79</v>
      </c>
      <c r="BF11" s="40">
        <f>-136-BE11</f>
        <v>-57</v>
      </c>
      <c r="BG11" s="40">
        <v>0</v>
      </c>
      <c r="BH11" s="41">
        <f>BI11-SUM(BE11:BG11)</f>
        <v>136</v>
      </c>
      <c r="BI11" s="42">
        <v>0</v>
      </c>
      <c r="BJ11" s="547"/>
      <c r="BK11" s="349"/>
    </row>
    <row r="12" spans="1:67">
      <c r="A12" s="1" t="s">
        <v>352</v>
      </c>
      <c r="B12" s="40"/>
      <c r="C12" s="40"/>
      <c r="D12" s="40"/>
      <c r="E12" s="20"/>
      <c r="F12" s="42"/>
      <c r="G12" s="40"/>
      <c r="H12" s="40"/>
      <c r="I12" s="40"/>
      <c r="J12" s="20"/>
      <c r="K12" s="42"/>
      <c r="L12" s="40"/>
      <c r="M12" s="40"/>
      <c r="N12" s="40"/>
      <c r="O12" s="20"/>
      <c r="P12" s="42"/>
      <c r="Q12" s="40"/>
      <c r="R12" s="40"/>
      <c r="S12" s="40"/>
      <c r="T12" s="20"/>
      <c r="U12" s="42"/>
      <c r="V12" s="40"/>
      <c r="W12" s="40"/>
      <c r="X12" s="40"/>
      <c r="Y12" s="20"/>
      <c r="Z12" s="42"/>
      <c r="AA12" s="40"/>
      <c r="AB12" s="40"/>
      <c r="AC12" s="40"/>
      <c r="AD12" s="20"/>
      <c r="AE12" s="42"/>
      <c r="AF12" s="40"/>
      <c r="AG12" s="40"/>
      <c r="AH12" s="40"/>
      <c r="AI12" s="20"/>
      <c r="AJ12" s="42"/>
      <c r="AK12" s="40">
        <v>29</v>
      </c>
      <c r="AL12" s="40">
        <f>190-AK12</f>
        <v>161</v>
      </c>
      <c r="AM12" s="40">
        <f>203-SUM(AK12:AL12)</f>
        <v>13</v>
      </c>
      <c r="AN12" s="20">
        <f t="shared" si="0"/>
        <v>67.666666666666686</v>
      </c>
      <c r="AO12" s="42">
        <f>+SUM(AK12:AM12)+AVERAGE(AK12:AM12)</f>
        <v>270.66666666666669</v>
      </c>
      <c r="AP12" s="40">
        <v>271</v>
      </c>
      <c r="AQ12" s="40">
        <f>603-AP12</f>
        <v>332</v>
      </c>
      <c r="AR12" s="483">
        <f>741-SUM(AP12:AQ12)</f>
        <v>138</v>
      </c>
      <c r="AS12" s="421">
        <f t="shared" si="1"/>
        <v>253</v>
      </c>
      <c r="AT12" s="42">
        <v>994</v>
      </c>
      <c r="AU12" s="40">
        <v>244</v>
      </c>
      <c r="AV12" s="40">
        <f>369-AU12</f>
        <v>125</v>
      </c>
      <c r="AW12" s="40">
        <f>567-SUM(AU12:AV12)</f>
        <v>198</v>
      </c>
      <c r="AX12" s="20">
        <f t="shared" si="2"/>
        <v>395</v>
      </c>
      <c r="AY12" s="42">
        <v>962</v>
      </c>
      <c r="AZ12" s="40">
        <v>283</v>
      </c>
      <c r="BA12" s="40">
        <f>671-AZ12</f>
        <v>388</v>
      </c>
      <c r="BB12" s="40">
        <f>1015-BA12-AZ12</f>
        <v>344</v>
      </c>
      <c r="BC12" s="20">
        <f t="shared" si="3"/>
        <v>390</v>
      </c>
      <c r="BD12" s="42">
        <v>1405</v>
      </c>
      <c r="BE12" s="40">
        <v>252</v>
      </c>
      <c r="BF12" s="40">
        <f>658-BE12</f>
        <v>406</v>
      </c>
      <c r="BG12" s="40">
        <v>125</v>
      </c>
      <c r="BH12" s="41">
        <f>BI12-SUM(BE12:BG12)</f>
        <v>-283</v>
      </c>
      <c r="BI12" s="42">
        <v>500</v>
      </c>
      <c r="BJ12" s="547"/>
      <c r="BK12" s="349"/>
    </row>
    <row r="13" spans="1:67">
      <c r="A13" s="1" t="s">
        <v>360</v>
      </c>
      <c r="B13" s="40"/>
      <c r="C13" s="40"/>
      <c r="D13" s="40"/>
      <c r="E13" s="20"/>
      <c r="F13" s="42"/>
      <c r="G13" s="40"/>
      <c r="H13" s="40"/>
      <c r="I13" s="40"/>
      <c r="J13" s="20"/>
      <c r="K13" s="42"/>
      <c r="L13" s="40"/>
      <c r="M13" s="40"/>
      <c r="N13" s="40"/>
      <c r="O13" s="20"/>
      <c r="P13" s="42"/>
      <c r="Q13" s="40"/>
      <c r="R13" s="40"/>
      <c r="S13" s="40"/>
      <c r="T13" s="20"/>
      <c r="U13" s="42"/>
      <c r="V13" s="40"/>
      <c r="W13" s="40"/>
      <c r="X13" s="40"/>
      <c r="Y13" s="20"/>
      <c r="Z13" s="42"/>
      <c r="AA13" s="40"/>
      <c r="AB13" s="40"/>
      <c r="AC13" s="40"/>
      <c r="AD13" s="20"/>
      <c r="AE13" s="42"/>
      <c r="AF13" s="40"/>
      <c r="AG13" s="40"/>
      <c r="AH13" s="40"/>
      <c r="AI13" s="20"/>
      <c r="AJ13" s="42"/>
      <c r="AK13" s="40">
        <v>-24</v>
      </c>
      <c r="AL13" s="40">
        <f>-174-AK13</f>
        <v>-150</v>
      </c>
      <c r="AM13" s="40">
        <f>-295-SUM(AK13:AL13)</f>
        <v>-121</v>
      </c>
      <c r="AN13" s="20">
        <f t="shared" si="0"/>
        <v>-98.333333333333314</v>
      </c>
      <c r="AO13" s="42">
        <f>+SUM(AK13:AM13)+AVERAGE(AK13:AM13)</f>
        <v>-393.33333333333331</v>
      </c>
      <c r="AP13" s="40">
        <v>-172</v>
      </c>
      <c r="AQ13" s="40">
        <f>-521-AP13</f>
        <v>-349</v>
      </c>
      <c r="AR13" s="483">
        <f>-806-SUM(AP13:AQ13)</f>
        <v>-285</v>
      </c>
      <c r="AS13" s="421">
        <f t="shared" si="1"/>
        <v>-235</v>
      </c>
      <c r="AT13" s="42">
        <v>-1041</v>
      </c>
      <c r="AU13" s="40">
        <v>248</v>
      </c>
      <c r="AV13" s="40">
        <f>91-AU13</f>
        <v>-157</v>
      </c>
      <c r="AW13" s="40">
        <f>-42-SUM(AU13:AV13)</f>
        <v>-133</v>
      </c>
      <c r="AX13" s="20">
        <f t="shared" si="2"/>
        <v>-292</v>
      </c>
      <c r="AY13" s="42">
        <v>-334</v>
      </c>
      <c r="AZ13" s="40">
        <v>-112</v>
      </c>
      <c r="BA13" s="40">
        <f>-253-AZ13</f>
        <v>-141</v>
      </c>
      <c r="BB13" s="40">
        <f>-437-BA13-AZ13</f>
        <v>-184</v>
      </c>
      <c r="BC13" s="20">
        <f t="shared" si="3"/>
        <v>-302</v>
      </c>
      <c r="BD13" s="42">
        <v>-739</v>
      </c>
      <c r="BE13" s="40">
        <v>-34</v>
      </c>
      <c r="BF13" s="40">
        <f>-141-BE13</f>
        <v>-107</v>
      </c>
      <c r="BG13" s="40">
        <v>0</v>
      </c>
      <c r="BH13" s="41">
        <f>BI13-SUM(BE13:BG13)</f>
        <v>141</v>
      </c>
      <c r="BI13" s="42">
        <v>0</v>
      </c>
      <c r="BJ13" s="547"/>
      <c r="BK13" s="349"/>
    </row>
    <row r="14" spans="1:67">
      <c r="A14" s="1" t="s">
        <v>51</v>
      </c>
      <c r="B14" s="40"/>
      <c r="C14" s="40"/>
      <c r="D14" s="40"/>
      <c r="E14" s="20"/>
      <c r="F14" s="42"/>
      <c r="G14" s="40"/>
      <c r="H14" s="40"/>
      <c r="I14" s="40"/>
      <c r="J14" s="20"/>
      <c r="K14" s="42"/>
      <c r="L14" s="40"/>
      <c r="M14" s="40"/>
      <c r="N14" s="40"/>
      <c r="O14" s="20"/>
      <c r="P14" s="42"/>
      <c r="Q14" s="40"/>
      <c r="R14" s="40"/>
      <c r="S14" s="40"/>
      <c r="T14" s="20"/>
      <c r="U14" s="42"/>
      <c r="V14" s="40"/>
      <c r="W14" s="40"/>
      <c r="X14" s="40"/>
      <c r="Y14" s="20"/>
      <c r="Z14" s="42"/>
      <c r="AA14" s="40"/>
      <c r="AB14" s="40"/>
      <c r="AC14" s="40"/>
      <c r="AD14" s="20"/>
      <c r="AE14" s="42"/>
      <c r="AF14" s="40"/>
      <c r="AG14" s="40"/>
      <c r="AH14" s="40"/>
      <c r="AI14" s="20"/>
      <c r="AJ14" s="42"/>
      <c r="AK14" s="40"/>
      <c r="AL14" s="40"/>
      <c r="AM14" s="40"/>
      <c r="AN14" s="20"/>
      <c r="AO14" s="42"/>
      <c r="AP14" s="40"/>
      <c r="AQ14" s="40"/>
      <c r="AR14" s="483"/>
      <c r="AS14" s="421"/>
      <c r="AT14" s="42"/>
      <c r="AU14" s="40"/>
      <c r="AV14" s="40"/>
      <c r="AW14" s="40"/>
      <c r="AX14" s="20"/>
      <c r="AY14" s="42"/>
      <c r="AZ14" s="40"/>
      <c r="BA14" s="40"/>
      <c r="BB14" s="40"/>
      <c r="BC14" s="20"/>
      <c r="BD14" s="42"/>
      <c r="BE14" s="40"/>
      <c r="BF14" s="40"/>
      <c r="BG14" s="40"/>
      <c r="BH14" s="20"/>
      <c r="BI14" s="21"/>
      <c r="BJ14" s="605"/>
      <c r="BK14" s="349"/>
      <c r="BL14" s="653"/>
      <c r="BM14" s="653"/>
      <c r="BN14" s="653"/>
      <c r="BO14" s="476"/>
    </row>
    <row r="15" spans="1:67">
      <c r="A15" s="3" t="s">
        <v>52</v>
      </c>
      <c r="B15" s="40"/>
      <c r="C15" s="40"/>
      <c r="D15" s="40"/>
      <c r="E15" s="20"/>
      <c r="F15" s="42"/>
      <c r="G15" s="40"/>
      <c r="H15" s="40"/>
      <c r="I15" s="40"/>
      <c r="J15" s="20"/>
      <c r="K15" s="42"/>
      <c r="L15" s="40"/>
      <c r="M15" s="40"/>
      <c r="N15" s="40"/>
      <c r="O15" s="20"/>
      <c r="P15" s="42"/>
      <c r="Q15" s="40"/>
      <c r="R15" s="40"/>
      <c r="S15" s="40"/>
      <c r="T15" s="20"/>
      <c r="U15" s="42"/>
      <c r="V15" s="40"/>
      <c r="W15" s="40"/>
      <c r="X15" s="40"/>
      <c r="Y15" s="20"/>
      <c r="Z15" s="42"/>
      <c r="AA15" s="40"/>
      <c r="AB15" s="40"/>
      <c r="AC15" s="40"/>
      <c r="AD15" s="20"/>
      <c r="AE15" s="42"/>
      <c r="AF15" s="40"/>
      <c r="AG15" s="40"/>
      <c r="AH15" s="40"/>
      <c r="AI15" s="20"/>
      <c r="AJ15" s="42"/>
      <c r="AK15" s="40">
        <v>-610</v>
      </c>
      <c r="AL15" s="40">
        <f>-1185-AK15</f>
        <v>-575</v>
      </c>
      <c r="AM15" s="40">
        <f>-2583-SUM(AK15:AL15)</f>
        <v>-1398</v>
      </c>
      <c r="AN15" s="20">
        <f t="shared" ref="AN15:AN20" si="7">+AO15-SUM(AK15:AM15)</f>
        <v>0</v>
      </c>
      <c r="AO15" s="42">
        <f>SUM(AK15:AM15)</f>
        <v>-2583</v>
      </c>
      <c r="AP15" s="40">
        <v>536</v>
      </c>
      <c r="AQ15" s="40">
        <f>26-AP15</f>
        <v>-510</v>
      </c>
      <c r="AR15" s="483">
        <f>120-SUM(AP15:AQ15)</f>
        <v>94</v>
      </c>
      <c r="AS15" s="421">
        <f t="shared" ref="AS15:AS24" si="8">+AT15-SUM(AP15:AR15)</f>
        <v>-330</v>
      </c>
      <c r="AT15" s="42">
        <v>-210</v>
      </c>
      <c r="AU15" s="40">
        <v>261</v>
      </c>
      <c r="AV15" s="40">
        <f>-48-AU15</f>
        <v>-309</v>
      </c>
      <c r="AW15" s="40">
        <f>-750-SUM(AU15:AV15)</f>
        <v>-702</v>
      </c>
      <c r="AX15" s="20">
        <f t="shared" ref="AX15:AX26" si="9">+AY15-SUM(AU15:AW15)</f>
        <v>-326</v>
      </c>
      <c r="AY15" s="42">
        <v>-1076</v>
      </c>
      <c r="AZ15" s="40">
        <v>-326</v>
      </c>
      <c r="BA15" s="40">
        <f>-1157-AZ15</f>
        <v>-831</v>
      </c>
      <c r="BB15" s="40">
        <f>-1270-BA15-AZ15</f>
        <v>-113</v>
      </c>
      <c r="BC15" s="20">
        <f t="shared" ref="BC15:BC24" si="10">+BD15-SUM(AZ15:BB15)</f>
        <v>-1167</v>
      </c>
      <c r="BD15" s="42">
        <v>-2437</v>
      </c>
      <c r="BE15" s="40">
        <v>-709</v>
      </c>
      <c r="BF15" s="40">
        <f>-694-BE15</f>
        <v>15</v>
      </c>
      <c r="BG15" s="36">
        <f>(Balance_Sheet_Qtr!BF7-Balance_Sheet_Qtr!BG7)</f>
        <v>450.5322739725998</v>
      </c>
      <c r="BH15" s="36">
        <f>(Balance_Sheet_Qtr!BG7-Balance_Sheet_Qtr!BH7)</f>
        <v>-1367.0003565382376</v>
      </c>
      <c r="BI15" s="21">
        <f t="shared" ref="BI15:BI19" si="11">SUM(BE15:BH15)</f>
        <v>-1610.4680825656378</v>
      </c>
      <c r="BJ15" s="547"/>
      <c r="BK15" s="349"/>
      <c r="BL15" s="653"/>
      <c r="BM15" s="653"/>
      <c r="BN15" s="653"/>
      <c r="BO15" s="632"/>
    </row>
    <row r="16" spans="1:67">
      <c r="A16" s="3" t="s">
        <v>21</v>
      </c>
      <c r="B16" s="40"/>
      <c r="C16" s="40"/>
      <c r="D16" s="40"/>
      <c r="E16" s="20"/>
      <c r="F16" s="42"/>
      <c r="G16" s="40"/>
      <c r="H16" s="40"/>
      <c r="I16" s="40"/>
      <c r="J16" s="20"/>
      <c r="K16" s="42"/>
      <c r="L16" s="40"/>
      <c r="M16" s="40"/>
      <c r="N16" s="40"/>
      <c r="O16" s="20"/>
      <c r="P16" s="42"/>
      <c r="Q16" s="40"/>
      <c r="R16" s="40"/>
      <c r="S16" s="40"/>
      <c r="T16" s="20"/>
      <c r="U16" s="42"/>
      <c r="V16" s="40"/>
      <c r="W16" s="40"/>
      <c r="X16" s="40"/>
      <c r="Y16" s="20"/>
      <c r="Z16" s="42"/>
      <c r="AA16" s="40"/>
      <c r="AB16" s="40"/>
      <c r="AC16" s="40"/>
      <c r="AD16" s="20"/>
      <c r="AE16" s="42"/>
      <c r="AF16" s="40"/>
      <c r="AG16" s="40"/>
      <c r="AH16" s="40"/>
      <c r="AI16" s="20"/>
      <c r="AJ16" s="42"/>
      <c r="AK16" s="40">
        <v>-732</v>
      </c>
      <c r="AL16" s="40">
        <f>-1874-AK16</f>
        <v>-1142</v>
      </c>
      <c r="AM16" s="40">
        <f>-2226-SUM(AK16:AL16)</f>
        <v>-352</v>
      </c>
      <c r="AN16" s="20">
        <f t="shared" si="7"/>
        <v>0</v>
      </c>
      <c r="AO16" s="42">
        <f>SUM(AK16:AM16)</f>
        <v>-2226</v>
      </c>
      <c r="AP16" s="40">
        <v>-1275</v>
      </c>
      <c r="AQ16" s="40">
        <f>-1802-AP16</f>
        <v>-527</v>
      </c>
      <c r="AR16" s="483">
        <f>-2220-SUM(AP16:AQ16)</f>
        <v>-418</v>
      </c>
      <c r="AS16" s="421">
        <f t="shared" si="8"/>
        <v>899</v>
      </c>
      <c r="AT16" s="42">
        <v>-1321</v>
      </c>
      <c r="AU16" s="40">
        <v>-504</v>
      </c>
      <c r="AV16" s="40">
        <f>-1201-AU16</f>
        <v>-697</v>
      </c>
      <c r="AW16" s="40">
        <f>-1416-SUM(AU16:AV16)</f>
        <v>-215</v>
      </c>
      <c r="AX16" s="20">
        <f t="shared" si="9"/>
        <v>-112</v>
      </c>
      <c r="AY16" s="42">
        <v>-1528</v>
      </c>
      <c r="AZ16" s="40">
        <v>-724</v>
      </c>
      <c r="BA16" s="40">
        <f>-1394-AZ16</f>
        <v>-670</v>
      </c>
      <c r="BB16" s="40">
        <f>-1787-BA16-AZ16</f>
        <v>-393</v>
      </c>
      <c r="BC16" s="20">
        <f t="shared" si="10"/>
        <v>-194</v>
      </c>
      <c r="BD16" s="42">
        <v>-1981</v>
      </c>
      <c r="BE16" s="40">
        <v>-534</v>
      </c>
      <c r="BF16" s="40">
        <f>-643-BE16</f>
        <v>-109</v>
      </c>
      <c r="BG16" s="36">
        <f>(Balance_Sheet_Qtr!BF8-Balance_Sheet_Qtr!BG8)</f>
        <v>-126.82141369863348</v>
      </c>
      <c r="BH16" s="36">
        <f>(Balance_Sheet_Qtr!BG8-Balance_Sheet_Qtr!BH8)</f>
        <v>-550.81368319606372</v>
      </c>
      <c r="BI16" s="21">
        <f t="shared" si="11"/>
        <v>-1320.6350968946972</v>
      </c>
      <c r="BJ16" s="547"/>
      <c r="BK16" s="349"/>
      <c r="BL16" s="653"/>
      <c r="BM16" s="653"/>
      <c r="BN16" s="653"/>
      <c r="BO16" s="476"/>
    </row>
    <row r="17" spans="1:73">
      <c r="A17" s="3" t="s">
        <v>53</v>
      </c>
      <c r="B17" s="40"/>
      <c r="C17" s="40"/>
      <c r="D17" s="40"/>
      <c r="E17" s="20"/>
      <c r="F17" s="42"/>
      <c r="G17" s="40"/>
      <c r="H17" s="40"/>
      <c r="I17" s="40"/>
      <c r="J17" s="20"/>
      <c r="K17" s="42"/>
      <c r="L17" s="40"/>
      <c r="M17" s="40"/>
      <c r="N17" s="40"/>
      <c r="O17" s="20"/>
      <c r="P17" s="42"/>
      <c r="Q17" s="40"/>
      <c r="R17" s="40"/>
      <c r="S17" s="40"/>
      <c r="T17" s="20"/>
      <c r="U17" s="42"/>
      <c r="V17" s="40"/>
      <c r="W17" s="40"/>
      <c r="X17" s="40"/>
      <c r="Y17" s="20"/>
      <c r="Z17" s="42"/>
      <c r="AA17" s="40"/>
      <c r="AB17" s="40"/>
      <c r="AC17" s="40"/>
      <c r="AD17" s="20"/>
      <c r="AE17" s="42"/>
      <c r="AF17" s="40"/>
      <c r="AG17" s="40"/>
      <c r="AH17" s="40"/>
      <c r="AI17" s="20"/>
      <c r="AJ17" s="42"/>
      <c r="AK17" s="40">
        <v>473</v>
      </c>
      <c r="AL17" s="40">
        <f>400-AK17</f>
        <v>-73</v>
      </c>
      <c r="AM17" s="40">
        <f>934-SUM(AK17:AL17)</f>
        <v>534</v>
      </c>
      <c r="AN17" s="20">
        <f t="shared" si="7"/>
        <v>0</v>
      </c>
      <c r="AO17" s="42">
        <f>SUM(AK17:AM17)</f>
        <v>934</v>
      </c>
      <c r="AP17" s="40">
        <v>294</v>
      </c>
      <c r="AQ17" s="40">
        <f>680-AP17</f>
        <v>386</v>
      </c>
      <c r="AR17" s="483">
        <f>775-SUM(AP17:AQ17)</f>
        <v>95</v>
      </c>
      <c r="AS17" s="421">
        <f t="shared" si="8"/>
        <v>-802</v>
      </c>
      <c r="AT17" s="42">
        <v>-27</v>
      </c>
      <c r="AU17" s="40">
        <v>160</v>
      </c>
      <c r="AV17" s="40">
        <f>155-AU17</f>
        <v>-5</v>
      </c>
      <c r="AW17" s="40">
        <f>-7-SUM(AU17:AV17)</f>
        <v>-162</v>
      </c>
      <c r="AX17" s="20">
        <f t="shared" si="9"/>
        <v>-105</v>
      </c>
      <c r="AY17" s="42">
        <v>-112</v>
      </c>
      <c r="AZ17" s="40">
        <v>46</v>
      </c>
      <c r="BA17" s="40">
        <f>-65-AZ17</f>
        <v>-111</v>
      </c>
      <c r="BB17" s="40">
        <f>-116-BA17-AZ17</f>
        <v>-51</v>
      </c>
      <c r="BC17" s="20">
        <f t="shared" si="10"/>
        <v>-395</v>
      </c>
      <c r="BD17" s="42">
        <v>-511</v>
      </c>
      <c r="BE17" s="40">
        <v>68</v>
      </c>
      <c r="BF17" s="40">
        <f>32-BE17</f>
        <v>-36</v>
      </c>
      <c r="BG17" s="36">
        <f>+(Balance_Sheet_Qtr!BF9+Balance_Sheet_Qtr!BF19-Balance_Sheet_Qtr!BG9-Balance_Sheet_Qtr!BG19)</f>
        <v>-86.23046575342596</v>
      </c>
      <c r="BH17" s="36">
        <f>+(Balance_Sheet_Qtr!BG9+Balance_Sheet_Qtr!BG19-Balance_Sheet_Qtr!BH9-Balance_Sheet_Qtr!BH19)</f>
        <v>-161.10721929023748</v>
      </c>
      <c r="BI17" s="21">
        <f t="shared" si="11"/>
        <v>-215.33768504366344</v>
      </c>
      <c r="BJ17" s="547"/>
      <c r="BK17" s="349"/>
    </row>
    <row r="18" spans="1:73">
      <c r="A18" s="3" t="s">
        <v>190</v>
      </c>
      <c r="B18" s="40"/>
      <c r="C18" s="40"/>
      <c r="D18" s="40"/>
      <c r="E18" s="20"/>
      <c r="F18" s="42"/>
      <c r="G18" s="40"/>
      <c r="H18" s="40"/>
      <c r="I18" s="40"/>
      <c r="J18" s="20"/>
      <c r="K18" s="42"/>
      <c r="L18" s="40"/>
      <c r="M18" s="40"/>
      <c r="N18" s="40"/>
      <c r="O18" s="20"/>
      <c r="P18" s="42"/>
      <c r="Q18" s="40"/>
      <c r="R18" s="40"/>
      <c r="S18" s="40"/>
      <c r="T18" s="20"/>
      <c r="U18" s="42"/>
      <c r="V18" s="40"/>
      <c r="W18" s="40"/>
      <c r="X18" s="40"/>
      <c r="Y18" s="20"/>
      <c r="Z18" s="42"/>
      <c r="AA18" s="40"/>
      <c r="AB18" s="40"/>
      <c r="AC18" s="40"/>
      <c r="AD18" s="20"/>
      <c r="AE18" s="42"/>
      <c r="AF18" s="40"/>
      <c r="AG18" s="40"/>
      <c r="AH18" s="40"/>
      <c r="AI18" s="20"/>
      <c r="AJ18" s="42"/>
      <c r="AK18" s="40">
        <v>-293</v>
      </c>
      <c r="AL18" s="40">
        <f>1111-AK18</f>
        <v>1404</v>
      </c>
      <c r="AM18" s="40">
        <f>1697-SUM(AK18:AL18)</f>
        <v>586</v>
      </c>
      <c r="AN18" s="20">
        <f t="shared" si="7"/>
        <v>0</v>
      </c>
      <c r="AO18" s="42">
        <f>SUM(AK18:AM18)</f>
        <v>1697</v>
      </c>
      <c r="AP18" s="40">
        <v>-201</v>
      </c>
      <c r="AQ18" s="40">
        <f>-22-AP18</f>
        <v>179</v>
      </c>
      <c r="AR18" s="483">
        <f>394-SUM(AP18:AQ18)</f>
        <v>416</v>
      </c>
      <c r="AS18" s="421">
        <f t="shared" si="8"/>
        <v>319</v>
      </c>
      <c r="AT18" s="42">
        <v>713</v>
      </c>
      <c r="AU18" s="40">
        <v>174</v>
      </c>
      <c r="AV18" s="40">
        <f>427-AU18</f>
        <v>253</v>
      </c>
      <c r="AW18" s="40">
        <f>560-SUM(AU18:AV18)</f>
        <v>133</v>
      </c>
      <c r="AX18" s="20">
        <f t="shared" si="9"/>
        <v>128</v>
      </c>
      <c r="AY18" s="42">
        <v>688</v>
      </c>
      <c r="AZ18" s="40">
        <v>706</v>
      </c>
      <c r="BA18" s="40">
        <f>1495-AZ18</f>
        <v>789</v>
      </c>
      <c r="BB18" s="40">
        <f>1498-BA18-AZ18</f>
        <v>3</v>
      </c>
      <c r="BC18" s="20">
        <f t="shared" si="10"/>
        <v>495</v>
      </c>
      <c r="BD18" s="42">
        <v>1993</v>
      </c>
      <c r="BE18" s="40">
        <v>668</v>
      </c>
      <c r="BF18" s="40">
        <f>856-BE18</f>
        <v>188</v>
      </c>
      <c r="BG18" s="36">
        <f>(Balance_Sheet_Qtr!BG30-Balance_Sheet_Qtr!BF30)</f>
        <v>-256.56125589040857</v>
      </c>
      <c r="BH18" s="36">
        <f>(Balance_Sheet_Qtr!BH30-Balance_Sheet_Qtr!BG30)</f>
        <v>912.49196567326908</v>
      </c>
      <c r="BI18" s="21">
        <f t="shared" si="11"/>
        <v>1511.9307097828605</v>
      </c>
      <c r="BJ18" s="547"/>
      <c r="BK18" s="349"/>
      <c r="BL18" s="653"/>
      <c r="BM18" s="653"/>
      <c r="BN18" s="653"/>
      <c r="BO18" s="476"/>
    </row>
    <row r="19" spans="1:73">
      <c r="A19" s="3" t="s">
        <v>536</v>
      </c>
      <c r="B19" s="40"/>
      <c r="C19" s="40"/>
      <c r="D19" s="40"/>
      <c r="E19" s="20"/>
      <c r="F19" s="42"/>
      <c r="G19" s="40"/>
      <c r="H19" s="40"/>
      <c r="I19" s="40"/>
      <c r="J19" s="20"/>
      <c r="K19" s="42"/>
      <c r="L19" s="40"/>
      <c r="M19" s="40"/>
      <c r="N19" s="40"/>
      <c r="O19" s="20"/>
      <c r="P19" s="42"/>
      <c r="Q19" s="40"/>
      <c r="R19" s="40"/>
      <c r="S19" s="40"/>
      <c r="T19" s="20"/>
      <c r="U19" s="42"/>
      <c r="V19" s="40"/>
      <c r="W19" s="40"/>
      <c r="X19" s="40"/>
      <c r="Y19" s="20"/>
      <c r="Z19" s="42"/>
      <c r="AA19" s="40"/>
      <c r="AB19" s="40"/>
      <c r="AC19" s="40"/>
      <c r="AD19" s="20"/>
      <c r="AE19" s="42"/>
      <c r="AF19" s="40"/>
      <c r="AG19" s="40"/>
      <c r="AH19" s="40"/>
      <c r="AI19" s="20"/>
      <c r="AJ19" s="42"/>
      <c r="AK19" s="40"/>
      <c r="AL19" s="40"/>
      <c r="AM19" s="40"/>
      <c r="AN19" s="20"/>
      <c r="AO19" s="42"/>
      <c r="AP19" s="40"/>
      <c r="AQ19" s="40"/>
      <c r="AR19" s="483"/>
      <c r="AS19" s="421">
        <f t="shared" si="8"/>
        <v>1226</v>
      </c>
      <c r="AT19" s="42">
        <v>1226</v>
      </c>
      <c r="AU19" s="40">
        <v>23</v>
      </c>
      <c r="AV19" s="40">
        <f>386-AU19</f>
        <v>363</v>
      </c>
      <c r="AW19" s="40">
        <f>759-SUM(AU19:AV19)</f>
        <v>373</v>
      </c>
      <c r="AX19" s="20">
        <f t="shared" si="9"/>
        <v>307</v>
      </c>
      <c r="AY19" s="42">
        <v>1066</v>
      </c>
      <c r="AZ19" s="40">
        <v>270</v>
      </c>
      <c r="BA19" s="40">
        <f>384-AZ19</f>
        <v>114</v>
      </c>
      <c r="BB19" s="40">
        <f>593-BA19-AZ19</f>
        <v>209</v>
      </c>
      <c r="BC19" s="20">
        <f t="shared" si="10"/>
        <v>473</v>
      </c>
      <c r="BD19" s="42">
        <v>1066</v>
      </c>
      <c r="BE19" s="40">
        <v>-91</v>
      </c>
      <c r="BF19" s="40">
        <f>-135-BE19</f>
        <v>-44</v>
      </c>
      <c r="BG19" s="36">
        <f>(Balance_Sheet_Qtr!BG32-Balance_Sheet_Qtr!BF32)</f>
        <v>-302.66947945205175</v>
      </c>
      <c r="BH19" s="36">
        <f>(Balance_Sheet_Qtr!BH32-Balance_Sheet_Qtr!BG32)</f>
        <v>891.3116806893031</v>
      </c>
      <c r="BI19" s="21">
        <f t="shared" si="11"/>
        <v>453.64220123725136</v>
      </c>
      <c r="BJ19" s="547"/>
      <c r="BK19" s="349"/>
      <c r="BL19" s="475"/>
      <c r="BM19" s="475"/>
      <c r="BN19" s="475"/>
      <c r="BO19" s="476"/>
    </row>
    <row r="20" spans="1:73">
      <c r="A20" s="3" t="s">
        <v>354</v>
      </c>
      <c r="B20" s="40"/>
      <c r="C20" s="40"/>
      <c r="D20" s="40"/>
      <c r="E20" s="20"/>
      <c r="F20" s="42"/>
      <c r="G20" s="40"/>
      <c r="H20" s="40"/>
      <c r="I20" s="40"/>
      <c r="J20" s="20"/>
      <c r="K20" s="42"/>
      <c r="L20" s="40"/>
      <c r="M20" s="40"/>
      <c r="N20" s="40"/>
      <c r="O20" s="20"/>
      <c r="P20" s="42"/>
      <c r="Q20" s="40"/>
      <c r="R20" s="40"/>
      <c r="S20" s="40"/>
      <c r="T20" s="20"/>
      <c r="U20" s="42"/>
      <c r="V20" s="40"/>
      <c r="W20" s="40"/>
      <c r="X20" s="40"/>
      <c r="Y20" s="20"/>
      <c r="Z20" s="42"/>
      <c r="AA20" s="40"/>
      <c r="AB20" s="40"/>
      <c r="AC20" s="40"/>
      <c r="AD20" s="20"/>
      <c r="AE20" s="42"/>
      <c r="AF20" s="40"/>
      <c r="AG20" s="40"/>
      <c r="AH20" s="40"/>
      <c r="AI20" s="20"/>
      <c r="AJ20" s="42"/>
      <c r="AK20" s="40">
        <v>173</v>
      </c>
      <c r="AL20" s="40">
        <f>707-AK20</f>
        <v>534</v>
      </c>
      <c r="AM20" s="40">
        <f>1227-SUM(AK20:AL20)</f>
        <v>520</v>
      </c>
      <c r="AN20" s="20">
        <f t="shared" si="7"/>
        <v>0</v>
      </c>
      <c r="AO20" s="42">
        <f>SUM(AK20:AM20)</f>
        <v>1227</v>
      </c>
      <c r="AP20" s="40">
        <v>205</v>
      </c>
      <c r="AQ20" s="40">
        <f>728-AP20</f>
        <v>523</v>
      </c>
      <c r="AR20" s="483">
        <f>949-SUM(AP20:AQ20)</f>
        <v>221</v>
      </c>
      <c r="AS20" s="421">
        <f t="shared" si="8"/>
        <v>-707</v>
      </c>
      <c r="AT20" s="42">
        <v>242</v>
      </c>
      <c r="AU20" s="40">
        <v>140</v>
      </c>
      <c r="AV20" s="40">
        <f>290-AU20</f>
        <v>150</v>
      </c>
      <c r="AW20" s="40">
        <f>283-SUM(AU20:AV20)</f>
        <v>-7</v>
      </c>
      <c r="AX20" s="20">
        <f t="shared" si="9"/>
        <v>248</v>
      </c>
      <c r="AY20" s="42">
        <v>531</v>
      </c>
      <c r="AZ20" s="40">
        <v>132</v>
      </c>
      <c r="BA20" s="40">
        <f>269-AZ20</f>
        <v>137</v>
      </c>
      <c r="BB20" s="40">
        <f>173-BA20-AZ20</f>
        <v>-96</v>
      </c>
      <c r="BC20" s="20">
        <f t="shared" si="10"/>
        <v>665</v>
      </c>
      <c r="BD20" s="42">
        <v>838</v>
      </c>
      <c r="BE20" s="40">
        <v>55</v>
      </c>
      <c r="BF20" s="40">
        <f>281-BE20</f>
        <v>226</v>
      </c>
      <c r="BG20" s="40">
        <v>135</v>
      </c>
      <c r="BH20" s="41">
        <f>BI20-SUM(BE20:BG20)</f>
        <v>234</v>
      </c>
      <c r="BI20" s="42">
        <v>650</v>
      </c>
      <c r="BJ20" s="547"/>
      <c r="BK20" s="349"/>
      <c r="BL20" s="653"/>
      <c r="BM20" s="653"/>
      <c r="BN20" s="653"/>
      <c r="BO20" s="476"/>
    </row>
    <row r="21" spans="1:73">
      <c r="A21" s="3" t="s">
        <v>489</v>
      </c>
      <c r="B21" s="40"/>
      <c r="C21" s="40"/>
      <c r="D21" s="40"/>
      <c r="E21" s="20"/>
      <c r="F21" s="42"/>
      <c r="G21" s="40"/>
      <c r="H21" s="40"/>
      <c r="I21" s="40"/>
      <c r="J21" s="20"/>
      <c r="K21" s="42"/>
      <c r="L21" s="40"/>
      <c r="M21" s="40"/>
      <c r="N21" s="40"/>
      <c r="O21" s="20"/>
      <c r="P21" s="42"/>
      <c r="Q21" s="40"/>
      <c r="R21" s="40"/>
      <c r="S21" s="40"/>
      <c r="T21" s="20"/>
      <c r="U21" s="42"/>
      <c r="V21" s="40"/>
      <c r="W21" s="40"/>
      <c r="X21" s="40"/>
      <c r="Y21" s="20"/>
      <c r="Z21" s="42"/>
      <c r="AA21" s="40"/>
      <c r="AB21" s="40"/>
      <c r="AC21" s="40"/>
      <c r="AD21" s="20"/>
      <c r="AE21" s="42"/>
      <c r="AF21" s="40"/>
      <c r="AG21" s="40"/>
      <c r="AH21" s="40"/>
      <c r="AI21" s="20"/>
      <c r="AJ21" s="42"/>
      <c r="AK21" s="40"/>
      <c r="AL21" s="40"/>
      <c r="AM21" s="40"/>
      <c r="AN21" s="20"/>
      <c r="AO21" s="42"/>
      <c r="AP21" s="40"/>
      <c r="AQ21" s="40"/>
      <c r="AR21" s="483"/>
      <c r="AS21" s="421">
        <f t="shared" si="8"/>
        <v>-203</v>
      </c>
      <c r="AT21" s="42">
        <v>-203</v>
      </c>
      <c r="AU21" s="40">
        <v>-106</v>
      </c>
      <c r="AV21" s="40">
        <f>-102-AU21</f>
        <v>4</v>
      </c>
      <c r="AW21" s="40">
        <f>331-SUM(AU21:AV21)</f>
        <v>433</v>
      </c>
      <c r="AX21" s="20">
        <f t="shared" si="9"/>
        <v>-597</v>
      </c>
      <c r="AY21" s="42">
        <v>-266</v>
      </c>
      <c r="AZ21" s="40">
        <v>80</v>
      </c>
      <c r="BA21" s="40">
        <f>447-AZ21</f>
        <v>367</v>
      </c>
      <c r="BB21" s="40">
        <f>554-BA21-AZ21</f>
        <v>107</v>
      </c>
      <c r="BC21" s="20">
        <f t="shared" si="10"/>
        <v>8</v>
      </c>
      <c r="BD21" s="42">
        <v>562</v>
      </c>
      <c r="BE21" s="40">
        <v>1000</v>
      </c>
      <c r="BF21" s="40">
        <f>956-BE21</f>
        <v>-44</v>
      </c>
      <c r="BG21" s="36">
        <f>(Balance_Sheet_Qtr!BG33-Balance_Sheet_Qtr!BF33)</f>
        <v>-150</v>
      </c>
      <c r="BH21" s="36">
        <f>(Balance_Sheet_Qtr!BH33-Balance_Sheet_Qtr!BG33)</f>
        <v>-100</v>
      </c>
      <c r="BI21" s="21">
        <f t="shared" ref="BI21" si="12">SUM(BE21:BH21)</f>
        <v>706</v>
      </c>
      <c r="BJ21" s="547"/>
      <c r="BK21" s="349"/>
      <c r="BL21" s="475"/>
      <c r="BM21" s="475"/>
      <c r="BN21" s="475"/>
      <c r="BO21" s="476"/>
    </row>
    <row r="22" spans="1:73">
      <c r="A22" s="1" t="s">
        <v>412</v>
      </c>
      <c r="B22" s="41"/>
      <c r="C22" s="41"/>
      <c r="D22" s="41"/>
      <c r="E22" s="20"/>
      <c r="F22" s="71"/>
      <c r="G22" s="41"/>
      <c r="H22" s="41"/>
      <c r="I22" s="41"/>
      <c r="J22" s="20"/>
      <c r="K22" s="71"/>
      <c r="L22" s="41"/>
      <c r="M22" s="41"/>
      <c r="N22" s="41"/>
      <c r="O22" s="20"/>
      <c r="P22" s="71"/>
      <c r="Q22" s="41"/>
      <c r="R22" s="41"/>
      <c r="S22" s="41"/>
      <c r="T22" s="20"/>
      <c r="U22" s="71"/>
      <c r="V22" s="41"/>
      <c r="W22" s="41"/>
      <c r="X22" s="41"/>
      <c r="Y22" s="20"/>
      <c r="Z22" s="71"/>
      <c r="AA22" s="41"/>
      <c r="AB22" s="41"/>
      <c r="AC22" s="41"/>
      <c r="AD22" s="20"/>
      <c r="AE22" s="71"/>
      <c r="AF22" s="41"/>
      <c r="AG22" s="41"/>
      <c r="AH22" s="41"/>
      <c r="AI22" s="20"/>
      <c r="AJ22" s="71"/>
      <c r="AK22" s="41">
        <f>+SUM(AK15:AK20)</f>
        <v>-989</v>
      </c>
      <c r="AL22" s="41">
        <f>+SUM(AL15:AL20)</f>
        <v>148</v>
      </c>
      <c r="AM22" s="41">
        <f>+SUM(AM15:AM20)</f>
        <v>-110</v>
      </c>
      <c r="AN22" s="20">
        <f>+AO22-SUM(AK22:AM22)</f>
        <v>0</v>
      </c>
      <c r="AO22" s="71">
        <f>+SUM(AO15:AO20)</f>
        <v>-951</v>
      </c>
      <c r="AP22" s="41">
        <f>+SUM(AP15:AP20)</f>
        <v>-441</v>
      </c>
      <c r="AQ22" s="41">
        <f>+SUM(AQ15:AQ20)</f>
        <v>51</v>
      </c>
      <c r="AR22" s="421">
        <f>+SUM(AR15:AR20)</f>
        <v>408</v>
      </c>
      <c r="AS22" s="421">
        <f t="shared" si="8"/>
        <v>402</v>
      </c>
      <c r="AT22" s="71">
        <f>+SUM(AT15:AT21)</f>
        <v>420</v>
      </c>
      <c r="AU22" s="41">
        <f>+SUM(AU15:AU21)</f>
        <v>148</v>
      </c>
      <c r="AV22" s="41">
        <f>+SUM(AV15:AV21)</f>
        <v>-241</v>
      </c>
      <c r="AW22" s="41">
        <f>+SUM(AW15:AW21)</f>
        <v>-147</v>
      </c>
      <c r="AX22" s="20">
        <f t="shared" si="9"/>
        <v>-457</v>
      </c>
      <c r="AY22" s="71">
        <f>+SUM(AY15:AY21)</f>
        <v>-697</v>
      </c>
      <c r="AZ22" s="41">
        <f>+SUM(AZ15:AZ21)</f>
        <v>184</v>
      </c>
      <c r="BA22" s="41">
        <f>+SUM(BA15:BA21)</f>
        <v>-205</v>
      </c>
      <c r="BB22" s="41">
        <f>+SUM(BB15:BB21)</f>
        <v>-334</v>
      </c>
      <c r="BC22" s="20">
        <f t="shared" si="10"/>
        <v>-115</v>
      </c>
      <c r="BD22" s="71">
        <f>+SUM(BD15:BD21)</f>
        <v>-470</v>
      </c>
      <c r="BE22" s="41">
        <f t="shared" ref="BE22:BI22" si="13">+SUM(BE15:BE21)</f>
        <v>457</v>
      </c>
      <c r="BF22" s="41">
        <f>+SUM(BF15:BF21)</f>
        <v>196</v>
      </c>
      <c r="BG22" s="41">
        <f t="shared" si="13"/>
        <v>-336.75034082191996</v>
      </c>
      <c r="BH22" s="20">
        <f t="shared" si="13"/>
        <v>-141.11761266196663</v>
      </c>
      <c r="BI22" s="21">
        <f t="shared" si="13"/>
        <v>175.13204651611341</v>
      </c>
      <c r="BJ22" s="650" t="s">
        <v>606</v>
      </c>
      <c r="BK22" s="349"/>
      <c r="BL22" s="653"/>
      <c r="BM22" s="653"/>
      <c r="BN22" s="653"/>
      <c r="BO22" s="476"/>
    </row>
    <row r="23" spans="1:73">
      <c r="A23" s="1" t="s">
        <v>353</v>
      </c>
      <c r="B23" s="40"/>
      <c r="C23" s="40"/>
      <c r="D23" s="40"/>
      <c r="E23" s="20"/>
      <c r="F23" s="42"/>
      <c r="G23" s="40"/>
      <c r="H23" s="40"/>
      <c r="I23" s="40"/>
      <c r="J23" s="20"/>
      <c r="K23" s="42"/>
      <c r="L23" s="40"/>
      <c r="M23" s="40"/>
      <c r="N23" s="40"/>
      <c r="O23" s="20"/>
      <c r="P23" s="42"/>
      <c r="Q23" s="40"/>
      <c r="R23" s="40"/>
      <c r="S23" s="40"/>
      <c r="T23" s="20"/>
      <c r="U23" s="42"/>
      <c r="V23" s="40"/>
      <c r="W23" s="40"/>
      <c r="X23" s="40"/>
      <c r="Y23" s="20"/>
      <c r="Z23" s="42"/>
      <c r="AA23" s="40"/>
      <c r="AB23" s="40"/>
      <c r="AC23" s="40"/>
      <c r="AD23" s="20"/>
      <c r="AE23" s="42"/>
      <c r="AF23" s="40"/>
      <c r="AG23" s="40"/>
      <c r="AH23" s="40"/>
      <c r="AI23" s="20"/>
      <c r="AJ23" s="42"/>
      <c r="AK23" s="40">
        <v>-155</v>
      </c>
      <c r="AL23" s="40">
        <f>-223-AK23</f>
        <v>-68</v>
      </c>
      <c r="AM23" s="40">
        <f>-154-SUM(AK23:AL23)</f>
        <v>69</v>
      </c>
      <c r="AN23" s="20">
        <f>+AO23-SUM(AK23:AM23)</f>
        <v>-51.333333333333343</v>
      </c>
      <c r="AO23" s="42">
        <f>+SUM(AK23:AM23)+AVERAGE(AK23:AM23)</f>
        <v>-205.33333333333334</v>
      </c>
      <c r="AP23" s="40">
        <v>3</v>
      </c>
      <c r="AQ23" s="40">
        <f>3-AP23</f>
        <v>0</v>
      </c>
      <c r="AR23" s="483">
        <f>3-SUM(AP23:AQ23)</f>
        <v>0</v>
      </c>
      <c r="AS23" s="421">
        <f t="shared" si="8"/>
        <v>-3</v>
      </c>
      <c r="AT23" s="42">
        <v>0</v>
      </c>
      <c r="AU23" s="40">
        <v>0</v>
      </c>
      <c r="AV23" s="40">
        <f>0-AU23</f>
        <v>0</v>
      </c>
      <c r="AW23" s="40">
        <f>0-SUM(AU23:AV23)</f>
        <v>0</v>
      </c>
      <c r="AX23" s="20">
        <f t="shared" si="9"/>
        <v>0</v>
      </c>
      <c r="AY23" s="42">
        <v>0</v>
      </c>
      <c r="AZ23" s="40">
        <v>0</v>
      </c>
      <c r="BA23" s="40">
        <f>0-AZ23</f>
        <v>0</v>
      </c>
      <c r="BB23" s="40">
        <f>0-BA23</f>
        <v>0</v>
      </c>
      <c r="BC23" s="20">
        <f t="shared" si="10"/>
        <v>0</v>
      </c>
      <c r="BD23" s="42">
        <v>0</v>
      </c>
      <c r="BE23" s="40">
        <v>0</v>
      </c>
      <c r="BF23" s="40">
        <f>0-BE23</f>
        <v>0</v>
      </c>
      <c r="BG23" s="40">
        <v>0</v>
      </c>
      <c r="BH23" s="40">
        <v>0</v>
      </c>
      <c r="BI23" s="21">
        <f t="shared" ref="BI23:BI24" si="14">SUM(BE23:BH23)</f>
        <v>0</v>
      </c>
      <c r="BJ23" s="547"/>
      <c r="BK23" s="349"/>
      <c r="BL23" s="653"/>
      <c r="BM23" s="653"/>
      <c r="BN23" s="653"/>
      <c r="BO23" s="634"/>
    </row>
    <row r="24" spans="1:73">
      <c r="A24" s="1" t="s">
        <v>39</v>
      </c>
      <c r="B24" s="40"/>
      <c r="C24" s="40"/>
      <c r="D24" s="40"/>
      <c r="E24" s="20"/>
      <c r="F24" s="42"/>
      <c r="G24" s="40"/>
      <c r="H24" s="40"/>
      <c r="I24" s="40"/>
      <c r="J24" s="20"/>
      <c r="K24" s="42"/>
      <c r="L24" s="40"/>
      <c r="M24" s="40"/>
      <c r="N24" s="40"/>
      <c r="O24" s="20"/>
      <c r="P24" s="42"/>
      <c r="Q24" s="40"/>
      <c r="R24" s="40"/>
      <c r="S24" s="40"/>
      <c r="T24" s="20"/>
      <c r="U24" s="42"/>
      <c r="V24" s="40"/>
      <c r="W24" s="40"/>
      <c r="X24" s="40"/>
      <c r="Y24" s="20"/>
      <c r="Z24" s="42"/>
      <c r="AA24" s="40"/>
      <c r="AB24" s="40"/>
      <c r="AC24" s="40"/>
      <c r="AD24" s="20"/>
      <c r="AE24" s="42"/>
      <c r="AF24" s="40"/>
      <c r="AG24" s="40"/>
      <c r="AH24" s="40"/>
      <c r="AI24" s="20"/>
      <c r="AJ24" s="42"/>
      <c r="AK24" s="40">
        <f>89-2+765</f>
        <v>852</v>
      </c>
      <c r="AL24" s="40">
        <f>-481-AK24-3</f>
        <v>-1336</v>
      </c>
      <c r="AM24" s="40">
        <f>232-SUM(AK24:AL24)-1</f>
        <v>715</v>
      </c>
      <c r="AN24" s="20">
        <f>+AO24-SUM(AK24:AM24)</f>
        <v>4025</v>
      </c>
      <c r="AO24" s="42">
        <f>4043-SUM(AO4:AO13,AO22:AO23)</f>
        <v>4256</v>
      </c>
      <c r="AP24" s="40">
        <v>125</v>
      </c>
      <c r="AQ24" s="40">
        <f>-256-AP24+1</f>
        <v>-380</v>
      </c>
      <c r="AR24" s="483">
        <f>180-SUM(AP24:AQ24)+3</f>
        <v>438</v>
      </c>
      <c r="AS24" s="421">
        <f t="shared" si="8"/>
        <v>559</v>
      </c>
      <c r="AT24" s="42">
        <f>743-1</f>
        <v>742</v>
      </c>
      <c r="AU24" s="40">
        <v>-60</v>
      </c>
      <c r="AV24" s="40">
        <f>-528-AU24</f>
        <v>-468</v>
      </c>
      <c r="AW24" s="479">
        <f>-105+251-2-SUM(AU24:AV24)</f>
        <v>672</v>
      </c>
      <c r="AX24" s="20">
        <f t="shared" si="9"/>
        <v>-218</v>
      </c>
      <c r="AY24" s="42">
        <f>-326+251+1</f>
        <v>-74</v>
      </c>
      <c r="AZ24" s="479">
        <f>-746-1</f>
        <v>-747</v>
      </c>
      <c r="BA24" s="40">
        <f>-417-AZ24</f>
        <v>330</v>
      </c>
      <c r="BB24" s="40">
        <f>180-BA24-AZ24</f>
        <v>597</v>
      </c>
      <c r="BC24" s="20">
        <f t="shared" si="10"/>
        <v>-44</v>
      </c>
      <c r="BD24" s="42">
        <v>136</v>
      </c>
      <c r="BE24" s="479">
        <f>-1063+2</f>
        <v>-1061</v>
      </c>
      <c r="BF24" s="641">
        <f>-658-BE24+1</f>
        <v>404</v>
      </c>
      <c r="BG24" s="36">
        <f>+Balance_Sheet_Qtr!BF10-Balance_Sheet_Qtr!BG10</f>
        <v>737.34699999999975</v>
      </c>
      <c r="BH24" s="36">
        <f>+Balance_Sheet_Qtr!BG10-Balance_Sheet_Qtr!BH10</f>
        <v>130.17528746588596</v>
      </c>
      <c r="BI24" s="21">
        <f t="shared" si="14"/>
        <v>210.52228746588571</v>
      </c>
      <c r="BJ24" s="547"/>
      <c r="BK24" s="349"/>
      <c r="BL24" s="654"/>
      <c r="BM24" s="654"/>
      <c r="BN24" s="654"/>
      <c r="BO24" s="632"/>
    </row>
    <row r="25" spans="1:73" s="211" customFormat="1">
      <c r="A25" s="493" t="s">
        <v>482</v>
      </c>
      <c r="B25" s="41"/>
      <c r="C25" s="41"/>
      <c r="D25" s="41"/>
      <c r="E25" s="41"/>
      <c r="F25" s="71"/>
      <c r="G25" s="41"/>
      <c r="H25" s="41"/>
      <c r="I25" s="41"/>
      <c r="J25" s="41"/>
      <c r="K25" s="71"/>
      <c r="L25" s="41"/>
      <c r="M25" s="41"/>
      <c r="N25" s="41"/>
      <c r="O25" s="41"/>
      <c r="P25" s="71"/>
      <c r="Q25" s="41"/>
      <c r="R25" s="41"/>
      <c r="S25" s="41"/>
      <c r="T25" s="41"/>
      <c r="U25" s="71"/>
      <c r="V25" s="41"/>
      <c r="W25" s="41"/>
      <c r="X25" s="41"/>
      <c r="Y25" s="41"/>
      <c r="Z25" s="71"/>
      <c r="AA25" s="41"/>
      <c r="AB25" s="41"/>
      <c r="AC25" s="41"/>
      <c r="AD25" s="41"/>
      <c r="AE25" s="71"/>
      <c r="AF25" s="41"/>
      <c r="AG25" s="41"/>
      <c r="AH25" s="41"/>
      <c r="AI25" s="41"/>
      <c r="AJ25" s="71"/>
      <c r="AK25" s="41">
        <f t="shared" ref="AK25:AZ25" si="15">+SUM(AK4:AK13,AK22:AK24)</f>
        <v>-924</v>
      </c>
      <c r="AL25" s="41">
        <f t="shared" si="15"/>
        <v>490</v>
      </c>
      <c r="AM25" s="41">
        <f t="shared" si="15"/>
        <v>813</v>
      </c>
      <c r="AN25" s="41">
        <f t="shared" si="15"/>
        <v>3664</v>
      </c>
      <c r="AO25" s="71">
        <f t="shared" si="15"/>
        <v>4043</v>
      </c>
      <c r="AP25" s="41">
        <f t="shared" si="15"/>
        <v>156</v>
      </c>
      <c r="AQ25" s="41">
        <f t="shared" si="15"/>
        <v>309</v>
      </c>
      <c r="AR25" s="421">
        <f t="shared" si="15"/>
        <v>1889</v>
      </c>
      <c r="AS25" s="421">
        <f t="shared" si="15"/>
        <v>2255</v>
      </c>
      <c r="AT25" s="71">
        <f t="shared" si="15"/>
        <v>4609</v>
      </c>
      <c r="AU25" s="41">
        <f t="shared" si="15"/>
        <v>1629</v>
      </c>
      <c r="AV25" s="41">
        <f>+SUM(AV4:AV13,AV22:AV24)</f>
        <v>957</v>
      </c>
      <c r="AW25" s="41">
        <f>+SUM(AW4:AW13,AW22:AW24)</f>
        <v>1913</v>
      </c>
      <c r="AX25" s="41">
        <f t="shared" si="15"/>
        <v>1318</v>
      </c>
      <c r="AY25" s="71">
        <f t="shared" si="15"/>
        <v>5817</v>
      </c>
      <c r="AZ25" s="41">
        <f t="shared" si="15"/>
        <v>1543</v>
      </c>
      <c r="BA25" s="41">
        <f>+SUM(BA4:BA13,BA22:BA24)</f>
        <v>2348</v>
      </c>
      <c r="BB25" s="41">
        <f>+SUM(BB4:BB13,BB22:BB24)</f>
        <v>2555</v>
      </c>
      <c r="BC25" s="41">
        <f t="shared" ref="BC25:BD25" si="16">+SUM(BC4:BC13,BC22:BC24)</f>
        <v>2097</v>
      </c>
      <c r="BD25" s="71">
        <f t="shared" si="16"/>
        <v>8543</v>
      </c>
      <c r="BE25" s="41">
        <f t="shared" ref="BE25" si="17">+SUM(BE4:BE13,BE22:BE24)</f>
        <v>1868</v>
      </c>
      <c r="BF25" s="41">
        <f>+SUM(BF4:BF13,BF22:BF24)</f>
        <v>3258</v>
      </c>
      <c r="BG25" s="41">
        <f ca="1">+SUM(BG4:BG13,BG22:BG24)</f>
        <v>2796.6642595643298</v>
      </c>
      <c r="BH25" s="41">
        <f ca="1">+SUM(BH4:BH13,BH22:BH24)</f>
        <v>2686.8856698829181</v>
      </c>
      <c r="BI25" s="71">
        <f t="shared" ref="BI25" ca="1" si="18">+SUM(BI4:BI13,BI22:BI24)</f>
        <v>10609.549929447247</v>
      </c>
      <c r="BJ25" s="547"/>
      <c r="BK25" s="495"/>
      <c r="BL25" s="655"/>
      <c r="BM25" s="655"/>
      <c r="BN25" s="655"/>
      <c r="BO25" s="633"/>
      <c r="BP25"/>
      <c r="BQ25"/>
      <c r="BR25"/>
      <c r="BS25"/>
      <c r="BT25"/>
      <c r="BU25"/>
    </row>
    <row r="26" spans="1:73">
      <c r="A26" s="1" t="s">
        <v>483</v>
      </c>
      <c r="B26" s="40"/>
      <c r="C26" s="40"/>
      <c r="D26" s="40"/>
      <c r="E26" s="20"/>
      <c r="F26" s="42"/>
      <c r="G26" s="40"/>
      <c r="H26" s="40"/>
      <c r="I26" s="40"/>
      <c r="J26" s="20"/>
      <c r="K26" s="42"/>
      <c r="L26" s="40"/>
      <c r="M26" s="40"/>
      <c r="N26" s="40"/>
      <c r="O26" s="20"/>
      <c r="P26" s="42"/>
      <c r="Q26" s="40"/>
      <c r="R26" s="40"/>
      <c r="S26" s="40"/>
      <c r="T26" s="20"/>
      <c r="U26" s="42"/>
      <c r="V26" s="40"/>
      <c r="W26" s="40"/>
      <c r="X26" s="40"/>
      <c r="Y26" s="20"/>
      <c r="Z26" s="42"/>
      <c r="AA26" s="40"/>
      <c r="AB26" s="40"/>
      <c r="AC26" s="40"/>
      <c r="AD26" s="20"/>
      <c r="AE26" s="42"/>
      <c r="AF26" s="40"/>
      <c r="AG26" s="40"/>
      <c r="AH26" s="40"/>
      <c r="AI26" s="20"/>
      <c r="AJ26" s="42"/>
      <c r="AK26" s="40"/>
      <c r="AL26" s="40"/>
      <c r="AM26" s="40"/>
      <c r="AN26" s="20"/>
      <c r="AO26" s="42"/>
      <c r="AP26" s="40"/>
      <c r="AQ26" s="40"/>
      <c r="AR26" s="483"/>
      <c r="AS26" s="421">
        <f>+AT26-SUM(AP26:AR26)</f>
        <v>580</v>
      </c>
      <c r="AT26" s="42">
        <v>580</v>
      </c>
      <c r="AU26" s="40">
        <v>-635</v>
      </c>
      <c r="AV26" s="40">
        <f>-681-AU26</f>
        <v>-46</v>
      </c>
      <c r="AW26" s="40">
        <f>-1086-SUM(AU26:AV26)</f>
        <v>-405</v>
      </c>
      <c r="AX26" s="20">
        <f t="shared" si="9"/>
        <v>-21</v>
      </c>
      <c r="AY26" s="42">
        <v>-1107</v>
      </c>
      <c r="AZ26" s="479">
        <f>-33-1</f>
        <v>-34</v>
      </c>
      <c r="BA26" s="40">
        <f>-136-AZ26</f>
        <v>-102</v>
      </c>
      <c r="BB26" s="479">
        <f>-191-BA26-AZ26+1</f>
        <v>-54</v>
      </c>
      <c r="BC26" s="20">
        <f t="shared" ref="BC26" si="19">+BD26-SUM(AZ26:BB26)</f>
        <v>184</v>
      </c>
      <c r="BD26" s="42">
        <v>-6</v>
      </c>
      <c r="BE26" s="479">
        <v>-45</v>
      </c>
      <c r="BF26" s="40">
        <f>-108-BE26</f>
        <v>-63</v>
      </c>
      <c r="BG26" s="40">
        <v>0</v>
      </c>
      <c r="BH26" s="40">
        <v>0</v>
      </c>
      <c r="BI26" s="21">
        <f t="shared" ref="BI26" si="20">SUM(BE26:BH26)</f>
        <v>-108</v>
      </c>
      <c r="BJ26" s="547"/>
      <c r="BK26" s="349"/>
      <c r="BL26" s="654"/>
      <c r="BM26" s="654"/>
      <c r="BN26" s="654"/>
      <c r="BO26" s="632"/>
    </row>
    <row r="27" spans="1:73">
      <c r="A27" s="14" t="s">
        <v>55</v>
      </c>
      <c r="B27" s="22"/>
      <c r="C27" s="22"/>
      <c r="D27" s="22"/>
      <c r="E27" s="22"/>
      <c r="F27" s="23"/>
      <c r="G27" s="22"/>
      <c r="H27" s="22"/>
      <c r="I27" s="22"/>
      <c r="J27" s="22"/>
      <c r="K27" s="23"/>
      <c r="L27" s="22"/>
      <c r="M27" s="22"/>
      <c r="N27" s="22"/>
      <c r="O27" s="22"/>
      <c r="P27" s="23"/>
      <c r="Q27" s="22"/>
      <c r="R27" s="22"/>
      <c r="S27" s="22"/>
      <c r="T27" s="22"/>
      <c r="U27" s="23"/>
      <c r="V27" s="22"/>
      <c r="W27" s="22"/>
      <c r="X27" s="22"/>
      <c r="Y27" s="22"/>
      <c r="Z27" s="23"/>
      <c r="AA27" s="22"/>
      <c r="AB27" s="22"/>
      <c r="AC27" s="22"/>
      <c r="AD27" s="22"/>
      <c r="AE27" s="23"/>
      <c r="AF27" s="22"/>
      <c r="AG27" s="22"/>
      <c r="AH27" s="22"/>
      <c r="AI27" s="22"/>
      <c r="AJ27" s="23"/>
      <c r="AK27" s="22">
        <f t="shared" ref="AK27:AU27" si="21">AK25+AK26</f>
        <v>-924</v>
      </c>
      <c r="AL27" s="22">
        <f t="shared" si="21"/>
        <v>490</v>
      </c>
      <c r="AM27" s="22">
        <f t="shared" si="21"/>
        <v>813</v>
      </c>
      <c r="AN27" s="22">
        <f t="shared" si="21"/>
        <v>3664</v>
      </c>
      <c r="AO27" s="23">
        <f t="shared" si="21"/>
        <v>4043</v>
      </c>
      <c r="AP27" s="22">
        <f t="shared" si="21"/>
        <v>156</v>
      </c>
      <c r="AQ27" s="22">
        <f t="shared" si="21"/>
        <v>309</v>
      </c>
      <c r="AR27" s="22">
        <f t="shared" si="21"/>
        <v>1889</v>
      </c>
      <c r="AS27" s="22">
        <f t="shared" si="21"/>
        <v>2835</v>
      </c>
      <c r="AT27" s="23">
        <f t="shared" si="21"/>
        <v>5189</v>
      </c>
      <c r="AU27" s="22">
        <f t="shared" si="21"/>
        <v>994</v>
      </c>
      <c r="AV27" s="22">
        <f t="shared" ref="AV27:AY27" si="22">AV25+AV26</f>
        <v>911</v>
      </c>
      <c r="AW27" s="22">
        <f t="shared" si="22"/>
        <v>1508</v>
      </c>
      <c r="AX27" s="22">
        <f t="shared" si="22"/>
        <v>1297</v>
      </c>
      <c r="AY27" s="23">
        <f t="shared" si="22"/>
        <v>4710</v>
      </c>
      <c r="AZ27" s="22">
        <f>AZ25+AZ26</f>
        <v>1509</v>
      </c>
      <c r="BA27" s="22">
        <f t="shared" ref="BA27:BD27" si="23">BA25+BA26</f>
        <v>2246</v>
      </c>
      <c r="BB27" s="22">
        <f t="shared" si="23"/>
        <v>2501</v>
      </c>
      <c r="BC27" s="22">
        <f t="shared" si="23"/>
        <v>2281</v>
      </c>
      <c r="BD27" s="23">
        <f t="shared" si="23"/>
        <v>8537</v>
      </c>
      <c r="BE27" s="22">
        <f>BE25+BE26</f>
        <v>1823</v>
      </c>
      <c r="BF27" s="22">
        <f t="shared" ref="BF27:BI27" si="24">BF25+BF26</f>
        <v>3195</v>
      </c>
      <c r="BG27" s="22">
        <f t="shared" ca="1" si="24"/>
        <v>2796.6642595643298</v>
      </c>
      <c r="BH27" s="22">
        <f t="shared" ca="1" si="24"/>
        <v>2686.8856698829181</v>
      </c>
      <c r="BI27" s="23">
        <f t="shared" ca="1" si="24"/>
        <v>10501.549929447247</v>
      </c>
      <c r="BJ27" s="605"/>
      <c r="BK27" s="349"/>
      <c r="BL27" s="654"/>
      <c r="BM27" s="654"/>
      <c r="BN27" s="654"/>
      <c r="BO27" s="476"/>
    </row>
    <row r="28" spans="1:73">
      <c r="B28" s="20"/>
      <c r="C28" s="20"/>
      <c r="D28" s="20"/>
      <c r="E28" s="20"/>
      <c r="F28" s="21"/>
      <c r="G28" s="20"/>
      <c r="H28" s="20"/>
      <c r="I28" s="20"/>
      <c r="J28" s="20"/>
      <c r="K28" s="21"/>
      <c r="L28" s="20"/>
      <c r="M28" s="20"/>
      <c r="N28" s="20"/>
      <c r="O28" s="20"/>
      <c r="P28" s="21"/>
      <c r="Q28" s="20"/>
      <c r="R28" s="20"/>
      <c r="S28" s="20"/>
      <c r="T28" s="20"/>
      <c r="U28" s="21"/>
      <c r="V28" s="20"/>
      <c r="W28" s="20"/>
      <c r="X28" s="20"/>
      <c r="Y28" s="20"/>
      <c r="Z28" s="21"/>
      <c r="AA28" s="20"/>
      <c r="AB28" s="20"/>
      <c r="AC28" s="20"/>
      <c r="AD28" s="20"/>
      <c r="AE28" s="21"/>
      <c r="AF28" s="20"/>
      <c r="AG28" s="20"/>
      <c r="AH28" s="20"/>
      <c r="AI28" s="20"/>
      <c r="AJ28" s="21"/>
      <c r="AK28" s="20"/>
      <c r="AL28" s="20"/>
      <c r="AM28" s="20"/>
      <c r="AN28" s="20"/>
      <c r="AO28" s="21"/>
      <c r="AP28" s="20"/>
      <c r="AQ28" s="20"/>
      <c r="AR28" s="422"/>
      <c r="AS28" s="422"/>
      <c r="AT28" s="21"/>
      <c r="AU28" s="20"/>
      <c r="AV28" s="20"/>
      <c r="AW28" s="20"/>
      <c r="AX28" s="20"/>
      <c r="AY28" s="21"/>
      <c r="AZ28" s="20"/>
      <c r="BA28" s="20"/>
      <c r="BB28" s="20"/>
      <c r="BC28" s="20"/>
      <c r="BD28" s="21"/>
      <c r="BE28" s="20"/>
      <c r="BF28" s="20"/>
      <c r="BG28" s="20"/>
      <c r="BH28" s="20"/>
      <c r="BI28" s="21"/>
      <c r="BJ28" s="605"/>
      <c r="BK28" s="349"/>
      <c r="BL28" s="654"/>
      <c r="BM28" s="654"/>
      <c r="BN28" s="654"/>
      <c r="BO28" s="476"/>
    </row>
    <row r="29" spans="1:73">
      <c r="A29" s="4" t="s">
        <v>56</v>
      </c>
      <c r="B29" s="20"/>
      <c r="C29" s="20"/>
      <c r="D29" s="20"/>
      <c r="E29" s="20"/>
      <c r="F29" s="21"/>
      <c r="G29" s="20"/>
      <c r="H29" s="20"/>
      <c r="I29" s="20"/>
      <c r="J29" s="20"/>
      <c r="K29" s="21"/>
      <c r="L29" s="20"/>
      <c r="M29" s="20"/>
      <c r="N29" s="20"/>
      <c r="O29" s="20"/>
      <c r="P29" s="21"/>
      <c r="Q29" s="20"/>
      <c r="R29" s="20"/>
      <c r="S29" s="20"/>
      <c r="T29" s="20"/>
      <c r="U29" s="21"/>
      <c r="V29" s="20"/>
      <c r="W29" s="20"/>
      <c r="X29" s="20"/>
      <c r="Y29" s="20"/>
      <c r="Z29" s="21"/>
      <c r="AA29" s="20"/>
      <c r="AB29" s="20"/>
      <c r="AC29" s="20"/>
      <c r="AD29" s="20"/>
      <c r="AE29" s="21"/>
      <c r="AF29" s="20"/>
      <c r="AG29" s="20"/>
      <c r="AH29" s="20"/>
      <c r="AI29" s="20"/>
      <c r="AJ29" s="21"/>
      <c r="AK29" s="20"/>
      <c r="AL29" s="20"/>
      <c r="AM29" s="20"/>
      <c r="AN29" s="20"/>
      <c r="AO29" s="21"/>
      <c r="AP29" s="20"/>
      <c r="AQ29" s="20"/>
      <c r="AR29" s="422"/>
      <c r="AS29" s="422"/>
      <c r="AT29" s="21"/>
      <c r="AU29" s="20"/>
      <c r="AV29" s="20"/>
      <c r="AW29" s="20"/>
      <c r="AX29" s="20"/>
      <c r="AY29" s="21"/>
      <c r="AZ29" s="20"/>
      <c r="BA29" s="20"/>
      <c r="BB29" s="20"/>
      <c r="BC29" s="20"/>
      <c r="BD29" s="21"/>
      <c r="BE29" s="20"/>
      <c r="BF29" s="20"/>
      <c r="BG29" s="20"/>
      <c r="BH29" s="20"/>
      <c r="BI29" s="21"/>
      <c r="BJ29" s="605"/>
      <c r="BK29" s="349"/>
      <c r="BL29" s="654"/>
      <c r="BM29" s="654"/>
      <c r="BN29" s="654"/>
      <c r="BO29" s="476"/>
    </row>
    <row r="30" spans="1:73">
      <c r="A30" s="1" t="s">
        <v>404</v>
      </c>
      <c r="B30" s="40"/>
      <c r="C30" s="40"/>
      <c r="D30" s="40"/>
      <c r="E30" s="20"/>
      <c r="F30" s="42"/>
      <c r="G30" s="40"/>
      <c r="H30" s="40"/>
      <c r="I30" s="40"/>
      <c r="J30" s="20"/>
      <c r="K30" s="42"/>
      <c r="L30" s="40"/>
      <c r="M30" s="40"/>
      <c r="N30" s="40"/>
      <c r="O30" s="20"/>
      <c r="P30" s="42"/>
      <c r="Q30" s="40"/>
      <c r="R30" s="40"/>
      <c r="S30" s="40"/>
      <c r="T30" s="20"/>
      <c r="U30" s="42"/>
      <c r="V30" s="40"/>
      <c r="W30" s="40"/>
      <c r="X30" s="40"/>
      <c r="Y30" s="20"/>
      <c r="Z30" s="42"/>
      <c r="AA30" s="40"/>
      <c r="AB30" s="40"/>
      <c r="AC30" s="40"/>
      <c r="AD30" s="20"/>
      <c r="AE30" s="42"/>
      <c r="AF30" s="40"/>
      <c r="AG30" s="40"/>
      <c r="AH30" s="40"/>
      <c r="AI30" s="20"/>
      <c r="AJ30" s="42"/>
      <c r="AK30" s="40">
        <f>-239-22</f>
        <v>-261</v>
      </c>
      <c r="AL30" s="40">
        <f>-549-AK30</f>
        <v>-288</v>
      </c>
      <c r="AM30" s="40">
        <f>-801-SUM(AK30:AL30)</f>
        <v>-252</v>
      </c>
      <c r="AN30" s="20">
        <f>+AO30-SUM(AK30:AM30)</f>
        <v>-373</v>
      </c>
      <c r="AO30" s="42">
        <v>-1174</v>
      </c>
      <c r="AP30" s="40">
        <f>-279-20</f>
        <v>-299</v>
      </c>
      <c r="AQ30" s="40">
        <f>-663-AP30</f>
        <v>-364</v>
      </c>
      <c r="AR30" s="483">
        <f>-1065-SUM(AP30:AQ30)</f>
        <v>-402</v>
      </c>
      <c r="AS30" s="421">
        <f t="shared" ref="AS30:AS38" si="25">+AT30-SUM(AP30:AR30)</f>
        <v>203</v>
      </c>
      <c r="AT30" s="42">
        <v>-862</v>
      </c>
      <c r="AU30" s="40">
        <v>-204</v>
      </c>
      <c r="AV30" s="40">
        <f>-499-AU30</f>
        <v>-295</v>
      </c>
      <c r="AW30" s="40">
        <f>-765-SUM(AU30:AV30)</f>
        <v>-266</v>
      </c>
      <c r="AX30" s="20">
        <f t="shared" ref="AX30:AX36" si="26">+AY30-SUM(AU30:AW30)</f>
        <v>-267</v>
      </c>
      <c r="AY30" s="42">
        <v>-1032</v>
      </c>
      <c r="AZ30" s="40">
        <v>-208</v>
      </c>
      <c r="BA30" s="40">
        <f>-535-AZ30</f>
        <v>-327</v>
      </c>
      <c r="BB30" s="40">
        <f>-842-BA30-AZ30</f>
        <v>-307</v>
      </c>
      <c r="BC30" s="20">
        <f t="shared" ref="BC30:BC36" si="27">+BD30-SUM(AZ30:BB30)</f>
        <v>-431</v>
      </c>
      <c r="BD30" s="42">
        <v>-1273</v>
      </c>
      <c r="BE30" s="40">
        <v>-331</v>
      </c>
      <c r="BF30" s="40">
        <f>-666-BE30</f>
        <v>-335</v>
      </c>
      <c r="BG30" s="36">
        <f>-ProForma_IS_Qtr!BG11*BG76</f>
        <v>-415.91243000000009</v>
      </c>
      <c r="BH30" s="41">
        <f>+BI30-SUM(BE30:BG30)</f>
        <v>-533.39118671215238</v>
      </c>
      <c r="BI30" s="21">
        <f>-ProForma_IS_Qtr!BI11*BI76</f>
        <v>-1615.3036167121525</v>
      </c>
      <c r="BJ30" s="547" t="s">
        <v>607</v>
      </c>
      <c r="BK30" s="349"/>
      <c r="BL30" s="653"/>
      <c r="BM30" s="653"/>
      <c r="BN30" s="653"/>
      <c r="BO30" s="476"/>
    </row>
    <row r="31" spans="1:73">
      <c r="A31" s="1" t="s">
        <v>355</v>
      </c>
      <c r="B31" s="40"/>
      <c r="C31" s="40"/>
      <c r="D31" s="40"/>
      <c r="E31" s="20"/>
      <c r="F31" s="42"/>
      <c r="G31" s="40"/>
      <c r="H31" s="40"/>
      <c r="I31" s="40"/>
      <c r="J31" s="20"/>
      <c r="K31" s="42"/>
      <c r="L31" s="40"/>
      <c r="M31" s="40"/>
      <c r="N31" s="40"/>
      <c r="O31" s="20"/>
      <c r="P31" s="42"/>
      <c r="Q31" s="40"/>
      <c r="R31" s="40"/>
      <c r="S31" s="40"/>
      <c r="T31" s="20"/>
      <c r="U31" s="42"/>
      <c r="V31" s="40"/>
      <c r="W31" s="40"/>
      <c r="X31" s="40"/>
      <c r="Y31" s="20"/>
      <c r="Z31" s="42"/>
      <c r="AA31" s="40"/>
      <c r="AB31" s="40"/>
      <c r="AC31" s="40"/>
      <c r="AD31" s="20"/>
      <c r="AE31" s="42"/>
      <c r="AF31" s="40"/>
      <c r="AG31" s="40"/>
      <c r="AH31" s="40"/>
      <c r="AI31" s="20"/>
      <c r="AJ31" s="42"/>
      <c r="AK31" s="40">
        <v>28</v>
      </c>
      <c r="AL31" s="40">
        <f>69-AK31</f>
        <v>41</v>
      </c>
      <c r="AM31" s="40">
        <f>157-SUM(AK31:AL31)</f>
        <v>88</v>
      </c>
      <c r="AN31" s="20">
        <v>0</v>
      </c>
      <c r="AO31" s="71">
        <f t="shared" ref="AO31:AO37" si="28">SUM(AK31:AN31)</f>
        <v>157</v>
      </c>
      <c r="AP31" s="40">
        <v>7</v>
      </c>
      <c r="AQ31" s="40">
        <f>62-AP31</f>
        <v>55</v>
      </c>
      <c r="AR31" s="483">
        <f>77-SUM(AP31:AQ31)</f>
        <v>15</v>
      </c>
      <c r="AS31" s="421">
        <f t="shared" si="25"/>
        <v>-17</v>
      </c>
      <c r="AT31" s="42">
        <v>60</v>
      </c>
      <c r="AU31" s="40">
        <v>38</v>
      </c>
      <c r="AV31" s="40">
        <f>87-AU31</f>
        <v>49</v>
      </c>
      <c r="AW31" s="40">
        <f>102-SUM(AU31:AV31)</f>
        <v>15</v>
      </c>
      <c r="AX31" s="20">
        <f t="shared" si="26"/>
        <v>12</v>
      </c>
      <c r="AY31" s="42">
        <v>114</v>
      </c>
      <c r="AZ31" s="40">
        <v>10</v>
      </c>
      <c r="BA31" s="40">
        <f>25-AZ31</f>
        <v>15</v>
      </c>
      <c r="BB31" s="40">
        <f>76-BA31-AZ31</f>
        <v>51</v>
      </c>
      <c r="BC31" s="20">
        <f t="shared" si="27"/>
        <v>47</v>
      </c>
      <c r="BD31" s="42">
        <v>123</v>
      </c>
      <c r="BE31" s="40">
        <v>13</v>
      </c>
      <c r="BF31" s="40">
        <f>58-BE31</f>
        <v>45</v>
      </c>
      <c r="BG31" s="40">
        <v>0</v>
      </c>
      <c r="BH31" s="40">
        <v>0</v>
      </c>
      <c r="BI31" s="71">
        <f t="shared" ref="BI31:BI36" si="29">SUM(BE31:BH31)</f>
        <v>58</v>
      </c>
      <c r="BJ31" s="547"/>
      <c r="BK31" s="349"/>
      <c r="BL31" s="653"/>
      <c r="BM31" s="653"/>
      <c r="BN31" s="653"/>
    </row>
    <row r="32" spans="1:73">
      <c r="A32" s="1" t="s">
        <v>191</v>
      </c>
      <c r="B32" s="40"/>
      <c r="C32" s="40"/>
      <c r="D32" s="40"/>
      <c r="E32" s="20"/>
      <c r="F32" s="42"/>
      <c r="G32" s="40"/>
      <c r="H32" s="40"/>
      <c r="I32" s="40"/>
      <c r="J32" s="20"/>
      <c r="K32" s="42"/>
      <c r="L32" s="40"/>
      <c r="M32" s="40"/>
      <c r="N32" s="40"/>
      <c r="O32" s="20"/>
      <c r="P32" s="42"/>
      <c r="Q32" s="40"/>
      <c r="R32" s="40"/>
      <c r="S32" s="40"/>
      <c r="T32" s="20"/>
      <c r="U32" s="42"/>
      <c r="V32" s="40"/>
      <c r="W32" s="40"/>
      <c r="X32" s="40"/>
      <c r="Y32" s="20"/>
      <c r="Z32" s="42"/>
      <c r="AA32" s="40"/>
      <c r="AB32" s="40"/>
      <c r="AC32" s="40"/>
      <c r="AD32" s="20"/>
      <c r="AE32" s="42"/>
      <c r="AF32" s="40"/>
      <c r="AG32" s="40"/>
      <c r="AH32" s="40"/>
      <c r="AI32" s="20"/>
      <c r="AJ32" s="42"/>
      <c r="AK32" s="40">
        <v>0</v>
      </c>
      <c r="AL32" s="40">
        <v>0</v>
      </c>
      <c r="AM32" s="40">
        <f>15-SUM(AK32:AL32)</f>
        <v>15</v>
      </c>
      <c r="AN32" s="20">
        <v>0</v>
      </c>
      <c r="AO32" s="71">
        <f t="shared" si="28"/>
        <v>15</v>
      </c>
      <c r="AP32" s="40">
        <v>0</v>
      </c>
      <c r="AQ32" s="40">
        <v>0</v>
      </c>
      <c r="AR32" s="483">
        <v>0</v>
      </c>
      <c r="AS32" s="421">
        <f t="shared" si="25"/>
        <v>0</v>
      </c>
      <c r="AT32" s="42">
        <v>0</v>
      </c>
      <c r="AU32" s="40">
        <v>0</v>
      </c>
      <c r="AV32" s="40">
        <f>74-AU32</f>
        <v>74</v>
      </c>
      <c r="AW32" s="40">
        <f>507-SUM(AU32:AV32)</f>
        <v>433</v>
      </c>
      <c r="AX32" s="20">
        <f t="shared" si="26"/>
        <v>-8</v>
      </c>
      <c r="AY32" s="42">
        <v>499</v>
      </c>
      <c r="AZ32" s="40">
        <v>0</v>
      </c>
      <c r="BA32" s="40">
        <f>0-AZ32</f>
        <v>0</v>
      </c>
      <c r="BB32" s="40">
        <f>0-BA32</f>
        <v>0</v>
      </c>
      <c r="BC32" s="20">
        <f t="shared" si="27"/>
        <v>0</v>
      </c>
      <c r="BD32" s="42">
        <v>0</v>
      </c>
      <c r="BE32" s="40">
        <v>0</v>
      </c>
      <c r="BF32" s="40">
        <f>0-BE32</f>
        <v>0</v>
      </c>
      <c r="BG32" s="40">
        <v>0</v>
      </c>
      <c r="BH32" s="40">
        <v>0</v>
      </c>
      <c r="BI32" s="71">
        <f t="shared" si="29"/>
        <v>0</v>
      </c>
      <c r="BJ32" s="547"/>
      <c r="BK32" s="349"/>
    </row>
    <row r="33" spans="1:73">
      <c r="A33" s="1" t="s">
        <v>209</v>
      </c>
      <c r="B33" s="40"/>
      <c r="C33" s="40"/>
      <c r="D33" s="40"/>
      <c r="E33" s="20"/>
      <c r="F33" s="42"/>
      <c r="G33" s="40"/>
      <c r="H33" s="40"/>
      <c r="I33" s="40"/>
      <c r="J33" s="20"/>
      <c r="K33" s="42"/>
      <c r="L33" s="40"/>
      <c r="M33" s="40"/>
      <c r="N33" s="40"/>
      <c r="O33" s="20"/>
      <c r="P33" s="42"/>
      <c r="Q33" s="40"/>
      <c r="R33" s="40"/>
      <c r="S33" s="40"/>
      <c r="T33" s="20"/>
      <c r="U33" s="42"/>
      <c r="V33" s="40"/>
      <c r="W33" s="40"/>
      <c r="X33" s="40"/>
      <c r="Y33" s="20"/>
      <c r="Z33" s="42"/>
      <c r="AA33" s="40"/>
      <c r="AB33" s="40"/>
      <c r="AC33" s="40"/>
      <c r="AD33" s="20"/>
      <c r="AE33" s="42"/>
      <c r="AF33" s="40"/>
      <c r="AG33" s="40"/>
      <c r="AH33" s="40"/>
      <c r="AI33" s="20"/>
      <c r="AJ33" s="42"/>
      <c r="AK33" s="40">
        <v>0</v>
      </c>
      <c r="AL33" s="40">
        <v>0</v>
      </c>
      <c r="AM33" s="40">
        <f>-30-SUM(AK33:AL33)</f>
        <v>-30</v>
      </c>
      <c r="AN33" s="20">
        <v>0</v>
      </c>
      <c r="AO33" s="71">
        <f t="shared" si="28"/>
        <v>-30</v>
      </c>
      <c r="AP33" s="40">
        <v>0</v>
      </c>
      <c r="AQ33" s="40">
        <f>-333-AP33</f>
        <v>-333</v>
      </c>
      <c r="AR33" s="483">
        <f>-365-SUM(AP33:AQ33)</f>
        <v>-32</v>
      </c>
      <c r="AS33" s="421">
        <f t="shared" si="25"/>
        <v>324</v>
      </c>
      <c r="AT33" s="42">
        <v>-41</v>
      </c>
      <c r="AU33" s="40">
        <v>0</v>
      </c>
      <c r="AV33" s="40">
        <f>0-AU33</f>
        <v>0</v>
      </c>
      <c r="AW33" s="40">
        <f>-126-SUM(AU33:AV33)</f>
        <v>-126</v>
      </c>
      <c r="AX33" s="20">
        <f t="shared" si="26"/>
        <v>-9</v>
      </c>
      <c r="AY33" s="42">
        <v>-135</v>
      </c>
      <c r="AZ33" s="40">
        <v>-100</v>
      </c>
      <c r="BA33" s="40">
        <f>-354-AZ33</f>
        <v>-254</v>
      </c>
      <c r="BB33" s="40">
        <f>-360-BA33-AZ33</f>
        <v>-6</v>
      </c>
      <c r="BC33" s="20">
        <f t="shared" si="27"/>
        <v>0</v>
      </c>
      <c r="BD33" s="42">
        <v>-360</v>
      </c>
      <c r="BE33" s="40">
        <v>0</v>
      </c>
      <c r="BF33" s="40">
        <f>-1-BE33</f>
        <v>-1</v>
      </c>
      <c r="BG33" s="40">
        <v>0</v>
      </c>
      <c r="BH33" s="40">
        <v>0</v>
      </c>
      <c r="BI33" s="71">
        <f t="shared" si="29"/>
        <v>-1</v>
      </c>
      <c r="BJ33" s="547"/>
      <c r="BK33" s="349"/>
    </row>
    <row r="34" spans="1:73">
      <c r="A34" s="1" t="s">
        <v>356</v>
      </c>
      <c r="B34" s="40"/>
      <c r="C34" s="40"/>
      <c r="D34" s="40"/>
      <c r="E34" s="20"/>
      <c r="F34" s="42"/>
      <c r="G34" s="40"/>
      <c r="H34" s="40"/>
      <c r="I34" s="40"/>
      <c r="J34" s="20"/>
      <c r="K34" s="42"/>
      <c r="L34" s="40"/>
      <c r="M34" s="40"/>
      <c r="N34" s="40"/>
      <c r="O34" s="20"/>
      <c r="P34" s="42"/>
      <c r="Q34" s="40"/>
      <c r="R34" s="40"/>
      <c r="S34" s="40"/>
      <c r="T34" s="20"/>
      <c r="U34" s="42"/>
      <c r="V34" s="40"/>
      <c r="W34" s="40"/>
      <c r="X34" s="40"/>
      <c r="Y34" s="20"/>
      <c r="Z34" s="42"/>
      <c r="AA34" s="40"/>
      <c r="AB34" s="40"/>
      <c r="AC34" s="40"/>
      <c r="AD34" s="20"/>
      <c r="AE34" s="42"/>
      <c r="AF34" s="40"/>
      <c r="AG34" s="40"/>
      <c r="AH34" s="40"/>
      <c r="AI34" s="20"/>
      <c r="AJ34" s="42"/>
      <c r="AK34" s="40">
        <v>1302</v>
      </c>
      <c r="AL34" s="40">
        <f>3783-AK34</f>
        <v>2481</v>
      </c>
      <c r="AM34" s="40">
        <f>4071-SUM(AK34:AL34)</f>
        <v>288</v>
      </c>
      <c r="AN34" s="20">
        <v>0</v>
      </c>
      <c r="AO34" s="71">
        <f t="shared" si="28"/>
        <v>4071</v>
      </c>
      <c r="AP34" s="40">
        <v>2025</v>
      </c>
      <c r="AQ34" s="40">
        <f>4304-AP34</f>
        <v>2279</v>
      </c>
      <c r="AR34" s="483">
        <f>7037-SUM(AP34:AQ34)</f>
        <v>2733</v>
      </c>
      <c r="AS34" s="421">
        <f t="shared" si="25"/>
        <v>1967</v>
      </c>
      <c r="AT34" s="42">
        <v>9004</v>
      </c>
      <c r="AU34" s="40">
        <v>2610</v>
      </c>
      <c r="AV34" s="40">
        <f>2610-AU34</f>
        <v>0</v>
      </c>
      <c r="AW34" s="40">
        <f>4080-SUM(AU34:AV34)</f>
        <v>1470</v>
      </c>
      <c r="AX34" s="20">
        <f t="shared" si="26"/>
        <v>1170</v>
      </c>
      <c r="AY34" s="42">
        <v>5250</v>
      </c>
      <c r="AZ34" s="40">
        <v>0</v>
      </c>
      <c r="BA34" s="40">
        <f>0-AZ34</f>
        <v>0</v>
      </c>
      <c r="BB34" s="40">
        <f>0-BA34</f>
        <v>0</v>
      </c>
      <c r="BC34" s="20">
        <f t="shared" si="27"/>
        <v>0</v>
      </c>
      <c r="BD34" s="42">
        <v>0</v>
      </c>
      <c r="BE34" s="40">
        <v>0</v>
      </c>
      <c r="BF34" s="40">
        <f t="shared" ref="BF34" si="30">0-BE34</f>
        <v>0</v>
      </c>
      <c r="BG34" s="40">
        <v>0</v>
      </c>
      <c r="BH34" s="40">
        <v>0</v>
      </c>
      <c r="BI34" s="71">
        <f t="shared" si="29"/>
        <v>0</v>
      </c>
      <c r="BJ34" s="547"/>
      <c r="BK34" s="349"/>
    </row>
    <row r="35" spans="1:73">
      <c r="A35" s="1" t="s">
        <v>357</v>
      </c>
      <c r="B35" s="40"/>
      <c r="C35" s="40"/>
      <c r="D35" s="40"/>
      <c r="E35" s="20"/>
      <c r="F35" s="42"/>
      <c r="G35" s="40"/>
      <c r="H35" s="40"/>
      <c r="I35" s="40"/>
      <c r="J35" s="20"/>
      <c r="K35" s="42"/>
      <c r="L35" s="40"/>
      <c r="M35" s="40"/>
      <c r="N35" s="40"/>
      <c r="O35" s="20"/>
      <c r="P35" s="42"/>
      <c r="Q35" s="40"/>
      <c r="R35" s="40"/>
      <c r="S35" s="40"/>
      <c r="T35" s="20"/>
      <c r="U35" s="42"/>
      <c r="V35" s="40"/>
      <c r="W35" s="40"/>
      <c r="X35" s="40"/>
      <c r="Y35" s="20"/>
      <c r="Z35" s="42"/>
      <c r="AA35" s="40"/>
      <c r="AB35" s="40"/>
      <c r="AC35" s="40"/>
      <c r="AD35" s="20"/>
      <c r="AE35" s="42"/>
      <c r="AF35" s="40"/>
      <c r="AG35" s="40"/>
      <c r="AH35" s="40"/>
      <c r="AI35" s="20"/>
      <c r="AJ35" s="42"/>
      <c r="AK35" s="40">
        <v>-1344</v>
      </c>
      <c r="AL35" s="40">
        <f>-1356-AK35</f>
        <v>-12</v>
      </c>
      <c r="AM35" s="40">
        <f>-1189-SUM(AK35:AL35)</f>
        <v>167</v>
      </c>
      <c r="AN35" s="20">
        <f>+Balance_Sheet_Qtr!AM6+Balance_Sheet_Qtr!AM15-Balance_Sheet_Qtr!AN6-Balance_Sheet_Qtr!AN15</f>
        <v>0</v>
      </c>
      <c r="AO35" s="71">
        <f t="shared" si="28"/>
        <v>-1189</v>
      </c>
      <c r="AP35" s="40">
        <v>-1556</v>
      </c>
      <c r="AQ35" s="40">
        <f>-1381-AP35</f>
        <v>175</v>
      </c>
      <c r="AR35" s="483">
        <f>-1240-SUM(AP35:AQ35)</f>
        <v>141</v>
      </c>
      <c r="AS35" s="421">
        <f t="shared" si="25"/>
        <v>254</v>
      </c>
      <c r="AT35" s="42">
        <v>-986</v>
      </c>
      <c r="AU35" s="40">
        <v>-1141</v>
      </c>
      <c r="AV35" s="40">
        <f>-965-AU35</f>
        <v>176</v>
      </c>
      <c r="AW35" s="40">
        <f>-698-SUM(AU35:AV35)</f>
        <v>267</v>
      </c>
      <c r="AX35" s="20">
        <f t="shared" si="26"/>
        <v>-265</v>
      </c>
      <c r="AY35" s="42">
        <v>-963</v>
      </c>
      <c r="AZ35" s="40">
        <v>99</v>
      </c>
      <c r="BA35" s="40">
        <f>361-AZ35</f>
        <v>262</v>
      </c>
      <c r="BB35" s="40">
        <f>595-BA35-AZ35</f>
        <v>234</v>
      </c>
      <c r="BC35" s="20">
        <f t="shared" si="27"/>
        <v>-170</v>
      </c>
      <c r="BD35" s="42">
        <v>425</v>
      </c>
      <c r="BE35" s="40">
        <v>-351</v>
      </c>
      <c r="BF35" s="40">
        <f>-7-BE35</f>
        <v>344</v>
      </c>
      <c r="BG35" s="36">
        <f>+Balance_Sheet_Qtr!BF6+Balance_Sheet_Qtr!BF15-Balance_Sheet_Qtr!BG6-Balance_Sheet_Qtr!BG15</f>
        <v>0</v>
      </c>
      <c r="BH35" s="36">
        <f>+Balance_Sheet_Qtr!BG6+Balance_Sheet_Qtr!BG15-Balance_Sheet_Qtr!BH6-Balance_Sheet_Qtr!BH15</f>
        <v>0</v>
      </c>
      <c r="BI35" s="71">
        <f t="shared" si="29"/>
        <v>-7</v>
      </c>
      <c r="BJ35" s="547"/>
      <c r="BK35" s="349"/>
    </row>
    <row r="36" spans="1:73">
      <c r="A36" s="1" t="s">
        <v>39</v>
      </c>
      <c r="B36" s="40"/>
      <c r="C36" s="40"/>
      <c r="D36" s="40"/>
      <c r="E36" s="20"/>
      <c r="F36" s="42"/>
      <c r="G36" s="40"/>
      <c r="H36" s="40"/>
      <c r="I36" s="40"/>
      <c r="J36" s="20"/>
      <c r="K36" s="42"/>
      <c r="L36" s="40"/>
      <c r="M36" s="40"/>
      <c r="N36" s="40"/>
      <c r="O36" s="20"/>
      <c r="P36" s="42"/>
      <c r="Q36" s="40"/>
      <c r="R36" s="40"/>
      <c r="S36" s="40"/>
      <c r="T36" s="20"/>
      <c r="U36" s="42"/>
      <c r="V36" s="40"/>
      <c r="W36" s="40"/>
      <c r="X36" s="40"/>
      <c r="Y36" s="20"/>
      <c r="Z36" s="42"/>
      <c r="AA36" s="40"/>
      <c r="AB36" s="40"/>
      <c r="AC36" s="40"/>
      <c r="AD36" s="20"/>
      <c r="AE36" s="42"/>
      <c r="AF36" s="40"/>
      <c r="AG36" s="40"/>
      <c r="AH36" s="40"/>
      <c r="AI36" s="20"/>
      <c r="AJ36" s="42"/>
      <c r="AK36" s="40">
        <v>239</v>
      </c>
      <c r="AL36" s="40">
        <f>-542-AK36</f>
        <v>-781</v>
      </c>
      <c r="AM36" s="40">
        <f>-150-SUM(AK36:AL36)</f>
        <v>392</v>
      </c>
      <c r="AN36" s="20">
        <v>0</v>
      </c>
      <c r="AO36" s="71">
        <f t="shared" si="28"/>
        <v>-150</v>
      </c>
      <c r="AP36" s="40">
        <v>1096</v>
      </c>
      <c r="AQ36" s="40">
        <f>963-AP36</f>
        <v>-133</v>
      </c>
      <c r="AR36" s="483">
        <f>906-SUM(AP36:AQ36)+1</f>
        <v>-56</v>
      </c>
      <c r="AS36" s="421">
        <f>+AT36-SUM(AP36:AR36)</f>
        <v>-389</v>
      </c>
      <c r="AT36" s="478">
        <f>519-1</f>
        <v>518</v>
      </c>
      <c r="AU36" s="479">
        <f>-2408</f>
        <v>-2408</v>
      </c>
      <c r="AV36" s="40">
        <f>-3294-AU36</f>
        <v>-886</v>
      </c>
      <c r="AW36" s="40">
        <f>-3997-SUM(AU36:AV36)</f>
        <v>-703</v>
      </c>
      <c r="AX36" s="20">
        <f t="shared" si="26"/>
        <v>-292</v>
      </c>
      <c r="AY36" s="42">
        <v>-4289</v>
      </c>
      <c r="AZ36" s="40">
        <v>-121</v>
      </c>
      <c r="BA36" s="479">
        <f>-430-1-AZ36</f>
        <v>-310</v>
      </c>
      <c r="BB36" s="479">
        <f>-795-BA36-AZ36-1</f>
        <v>-365</v>
      </c>
      <c r="BC36" s="20">
        <f t="shared" si="27"/>
        <v>1105</v>
      </c>
      <c r="BD36" s="42">
        <v>309</v>
      </c>
      <c r="BE36" s="40">
        <v>-206</v>
      </c>
      <c r="BF36" s="40">
        <f>-1247-BE36</f>
        <v>-1041</v>
      </c>
      <c r="BG36" s="40">
        <v>0</v>
      </c>
      <c r="BH36" s="40">
        <v>0</v>
      </c>
      <c r="BI36" s="71">
        <f t="shared" si="29"/>
        <v>-1247</v>
      </c>
      <c r="BJ36" s="547"/>
      <c r="BK36" s="349"/>
    </row>
    <row r="37" spans="1:73" s="211" customFormat="1">
      <c r="A37" s="493" t="s">
        <v>484</v>
      </c>
      <c r="B37" s="41"/>
      <c r="C37" s="41"/>
      <c r="D37" s="41"/>
      <c r="E37" s="41"/>
      <c r="F37" s="71"/>
      <c r="G37" s="41"/>
      <c r="H37" s="41"/>
      <c r="I37" s="41"/>
      <c r="J37" s="41"/>
      <c r="K37" s="71"/>
      <c r="L37" s="41"/>
      <c r="M37" s="41"/>
      <c r="N37" s="41"/>
      <c r="O37" s="41"/>
      <c r="P37" s="71"/>
      <c r="Q37" s="41"/>
      <c r="R37" s="41"/>
      <c r="S37" s="41"/>
      <c r="T37" s="41"/>
      <c r="U37" s="71"/>
      <c r="V37" s="41"/>
      <c r="W37" s="41"/>
      <c r="X37" s="41"/>
      <c r="Y37" s="41"/>
      <c r="Z37" s="71"/>
      <c r="AA37" s="41"/>
      <c r="AB37" s="41"/>
      <c r="AC37" s="41"/>
      <c r="AD37" s="41"/>
      <c r="AE37" s="71"/>
      <c r="AF37" s="41"/>
      <c r="AG37" s="41"/>
      <c r="AH37" s="41"/>
      <c r="AI37" s="41"/>
      <c r="AJ37" s="71"/>
      <c r="AK37" s="41">
        <f>+SUM(AK30:AK36)</f>
        <v>-36</v>
      </c>
      <c r="AL37" s="41">
        <f>+SUM(AL30:AL36)</f>
        <v>1441</v>
      </c>
      <c r="AM37" s="41">
        <f>+SUM(AM30:AM36)</f>
        <v>668</v>
      </c>
      <c r="AN37" s="41">
        <f ca="1">+AO37-SUM(AK37:AM37)</f>
        <v>1624</v>
      </c>
      <c r="AO37" s="71">
        <f t="shared" ca="1" si="28"/>
        <v>3697</v>
      </c>
      <c r="AP37" s="41">
        <f>+SUM(AP30:AP36)</f>
        <v>1273</v>
      </c>
      <c r="AQ37" s="41">
        <f>+SUM(AQ30:AQ36)</f>
        <v>1679</v>
      </c>
      <c r="AR37" s="421">
        <f>+SUM(AR30:AR36)</f>
        <v>2399</v>
      </c>
      <c r="AS37" s="421">
        <f>+SUM(AS30:AS36)</f>
        <v>2342</v>
      </c>
      <c r="AT37" s="71">
        <f>+SUM(AT30:AT36)</f>
        <v>7693</v>
      </c>
      <c r="AU37" s="41">
        <f t="shared" ref="AU37:AZ37" si="31">+SUM(AU30:AU36)</f>
        <v>-1105</v>
      </c>
      <c r="AV37" s="41">
        <f>+SUM(AV30:AV36)</f>
        <v>-882</v>
      </c>
      <c r="AW37" s="41">
        <f t="shared" si="31"/>
        <v>1090</v>
      </c>
      <c r="AX37" s="41">
        <f t="shared" si="31"/>
        <v>341</v>
      </c>
      <c r="AY37" s="71">
        <f t="shared" si="31"/>
        <v>-556</v>
      </c>
      <c r="AZ37" s="41">
        <f t="shared" si="31"/>
        <v>-320</v>
      </c>
      <c r="BA37" s="41">
        <f>+SUM(BA30:BA36)</f>
        <v>-614</v>
      </c>
      <c r="BB37" s="41">
        <f>+SUM(BB30:BB36)</f>
        <v>-393</v>
      </c>
      <c r="BC37" s="41">
        <f t="shared" ref="BC37:BD37" si="32">+SUM(BC30:BC36)</f>
        <v>551</v>
      </c>
      <c r="BD37" s="71">
        <f t="shared" si="32"/>
        <v>-776</v>
      </c>
      <c r="BE37" s="41">
        <f t="shared" ref="BE37" si="33">+SUM(BE30:BE36)</f>
        <v>-875</v>
      </c>
      <c r="BF37" s="41">
        <f>+SUM(BF30:BF36)</f>
        <v>-988</v>
      </c>
      <c r="BG37" s="41">
        <f>+SUM(BG30:BG36)</f>
        <v>-415.91243000000009</v>
      </c>
      <c r="BH37" s="41">
        <f t="shared" ref="BH37:BI37" si="34">+SUM(BH30:BH36)</f>
        <v>-533.39118671215238</v>
      </c>
      <c r="BI37" s="71">
        <f t="shared" si="34"/>
        <v>-2812.3036167121527</v>
      </c>
      <c r="BJ37" s="547"/>
      <c r="BK37" s="495"/>
      <c r="BL37" s="655"/>
      <c r="BM37" s="655"/>
      <c r="BN37" s="655"/>
      <c r="BO37" s="633"/>
      <c r="BP37"/>
      <c r="BQ37"/>
      <c r="BR37"/>
      <c r="BS37"/>
      <c r="BT37"/>
      <c r="BU37"/>
    </row>
    <row r="38" spans="1:73">
      <c r="A38" s="1" t="s">
        <v>486</v>
      </c>
      <c r="B38" s="40"/>
      <c r="C38" s="40"/>
      <c r="D38" s="40"/>
      <c r="E38" s="20"/>
      <c r="F38" s="42"/>
      <c r="G38" s="40"/>
      <c r="H38" s="40"/>
      <c r="I38" s="40"/>
      <c r="J38" s="20"/>
      <c r="K38" s="42"/>
      <c r="L38" s="40"/>
      <c r="M38" s="40"/>
      <c r="N38" s="40"/>
      <c r="O38" s="20"/>
      <c r="P38" s="42"/>
      <c r="Q38" s="40"/>
      <c r="R38" s="40"/>
      <c r="S38" s="40"/>
      <c r="T38" s="20"/>
      <c r="U38" s="42"/>
      <c r="V38" s="40"/>
      <c r="W38" s="40"/>
      <c r="X38" s="40"/>
      <c r="Y38" s="20"/>
      <c r="Z38" s="42"/>
      <c r="AA38" s="40"/>
      <c r="AB38" s="40"/>
      <c r="AC38" s="40"/>
      <c r="AD38" s="20"/>
      <c r="AE38" s="42"/>
      <c r="AF38" s="40"/>
      <c r="AG38" s="40"/>
      <c r="AH38" s="40"/>
      <c r="AI38" s="20"/>
      <c r="AJ38" s="42"/>
      <c r="AK38" s="40"/>
      <c r="AL38" s="40"/>
      <c r="AM38" s="40"/>
      <c r="AN38" s="20"/>
      <c r="AO38" s="42"/>
      <c r="AP38" s="40"/>
      <c r="AQ38" s="40"/>
      <c r="AR38" s="483"/>
      <c r="AS38" s="421">
        <f t="shared" si="25"/>
        <v>-3726</v>
      </c>
      <c r="AT38" s="42">
        <v>-3726</v>
      </c>
      <c r="AU38" s="40">
        <v>1911</v>
      </c>
      <c r="AV38" s="40">
        <f>-1491-AU38</f>
        <v>-3402</v>
      </c>
      <c r="AW38" s="40">
        <f>-1090-SUM(AU38:AV38)</f>
        <v>401</v>
      </c>
      <c r="AX38" s="20">
        <f>+AY38-SUM(AU38:AW38)</f>
        <v>-20</v>
      </c>
      <c r="AY38" s="42">
        <v>-1110</v>
      </c>
      <c r="AZ38" s="40">
        <v>3</v>
      </c>
      <c r="BA38" s="40">
        <f>82-AZ38</f>
        <v>79</v>
      </c>
      <c r="BB38" s="40">
        <f>-131-BA38-AZ38</f>
        <v>-213</v>
      </c>
      <c r="BC38" s="20">
        <f>+BD38-SUM(AZ38:BB38)</f>
        <v>-246</v>
      </c>
      <c r="BD38" s="42">
        <v>-377</v>
      </c>
      <c r="BE38" s="40">
        <v>-44</v>
      </c>
      <c r="BF38" s="40">
        <f>-110-BE38</f>
        <v>-66</v>
      </c>
      <c r="BG38" s="40">
        <v>0</v>
      </c>
      <c r="BH38" s="40">
        <v>0</v>
      </c>
      <c r="BI38" s="71">
        <f t="shared" ref="BI38" si="35">SUM(BE38:BH38)</f>
        <v>-110</v>
      </c>
      <c r="BJ38" s="547"/>
      <c r="BK38" s="349"/>
      <c r="BL38" s="654"/>
      <c r="BM38" s="654"/>
      <c r="BN38" s="654"/>
      <c r="BO38" s="632"/>
    </row>
    <row r="39" spans="1:73">
      <c r="A39" s="14" t="s">
        <v>485</v>
      </c>
      <c r="B39" s="22"/>
      <c r="C39" s="22"/>
      <c r="D39" s="22"/>
      <c r="E39" s="22"/>
      <c r="F39" s="23"/>
      <c r="G39" s="22"/>
      <c r="H39" s="22"/>
      <c r="I39" s="22"/>
      <c r="J39" s="22"/>
      <c r="K39" s="23"/>
      <c r="L39" s="22"/>
      <c r="M39" s="22"/>
      <c r="N39" s="22"/>
      <c r="O39" s="22"/>
      <c r="P39" s="23"/>
      <c r="Q39" s="22"/>
      <c r="R39" s="22"/>
      <c r="S39" s="22"/>
      <c r="T39" s="22"/>
      <c r="U39" s="23"/>
      <c r="V39" s="22"/>
      <c r="W39" s="22"/>
      <c r="X39" s="22"/>
      <c r="Y39" s="22"/>
      <c r="Z39" s="23"/>
      <c r="AA39" s="22"/>
      <c r="AB39" s="22"/>
      <c r="AC39" s="22"/>
      <c r="AD39" s="22"/>
      <c r="AE39" s="23"/>
      <c r="AF39" s="22"/>
      <c r="AG39" s="22"/>
      <c r="AH39" s="22"/>
      <c r="AI39" s="22"/>
      <c r="AJ39" s="23"/>
      <c r="AK39" s="22">
        <f t="shared" ref="AK39:AZ39" si="36">AK37+AK38</f>
        <v>-36</v>
      </c>
      <c r="AL39" s="22">
        <f t="shared" si="36"/>
        <v>1441</v>
      </c>
      <c r="AM39" s="22">
        <f t="shared" si="36"/>
        <v>668</v>
      </c>
      <c r="AN39" s="22">
        <f t="shared" ca="1" si="36"/>
        <v>1624</v>
      </c>
      <c r="AO39" s="23">
        <f t="shared" ca="1" si="36"/>
        <v>3697</v>
      </c>
      <c r="AP39" s="22">
        <f t="shared" si="36"/>
        <v>1273</v>
      </c>
      <c r="AQ39" s="22">
        <f t="shared" si="36"/>
        <v>1679</v>
      </c>
      <c r="AR39" s="22">
        <f t="shared" si="36"/>
        <v>2399</v>
      </c>
      <c r="AS39" s="22">
        <f t="shared" si="36"/>
        <v>-1384</v>
      </c>
      <c r="AT39" s="23">
        <f t="shared" si="36"/>
        <v>3967</v>
      </c>
      <c r="AU39" s="22">
        <f t="shared" si="36"/>
        <v>806</v>
      </c>
      <c r="AV39" s="22">
        <f t="shared" si="36"/>
        <v>-4284</v>
      </c>
      <c r="AW39" s="22">
        <f t="shared" si="36"/>
        <v>1491</v>
      </c>
      <c r="AX39" s="22">
        <f t="shared" si="36"/>
        <v>321</v>
      </c>
      <c r="AY39" s="23">
        <f t="shared" si="36"/>
        <v>-1666</v>
      </c>
      <c r="AZ39" s="22">
        <f t="shared" si="36"/>
        <v>-317</v>
      </c>
      <c r="BA39" s="22">
        <f t="shared" ref="BA39:BD39" si="37">BA37+BA38</f>
        <v>-535</v>
      </c>
      <c r="BB39" s="22">
        <f t="shared" si="37"/>
        <v>-606</v>
      </c>
      <c r="BC39" s="22">
        <f t="shared" si="37"/>
        <v>305</v>
      </c>
      <c r="BD39" s="23">
        <f t="shared" si="37"/>
        <v>-1153</v>
      </c>
      <c r="BE39" s="22">
        <f t="shared" ref="BE39:BI39" si="38">BE37+BE38</f>
        <v>-919</v>
      </c>
      <c r="BF39" s="22">
        <f t="shared" si="38"/>
        <v>-1054</v>
      </c>
      <c r="BG39" s="22">
        <f t="shared" si="38"/>
        <v>-415.91243000000009</v>
      </c>
      <c r="BH39" s="22">
        <f t="shared" si="38"/>
        <v>-533.39118671215238</v>
      </c>
      <c r="BI39" s="23">
        <f t="shared" si="38"/>
        <v>-2922.3036167121527</v>
      </c>
      <c r="BJ39" s="605"/>
      <c r="BK39" s="349"/>
      <c r="BL39" s="654"/>
      <c r="BM39" s="654"/>
      <c r="BN39" s="654"/>
      <c r="BO39" s="476"/>
    </row>
    <row r="40" spans="1:73">
      <c r="B40" s="20"/>
      <c r="C40" s="20"/>
      <c r="D40" s="20"/>
      <c r="E40" s="20"/>
      <c r="F40" s="21"/>
      <c r="G40" s="20"/>
      <c r="H40" s="20"/>
      <c r="I40" s="20"/>
      <c r="J40" s="20"/>
      <c r="K40" s="21"/>
      <c r="L40" s="20"/>
      <c r="M40" s="20"/>
      <c r="N40" s="20"/>
      <c r="O40" s="20"/>
      <c r="P40" s="21"/>
      <c r="Q40" s="20"/>
      <c r="R40" s="20"/>
      <c r="S40" s="20"/>
      <c r="T40" s="20"/>
      <c r="U40" s="21"/>
      <c r="V40" s="20"/>
      <c r="W40" s="20"/>
      <c r="X40" s="20"/>
      <c r="Y40" s="20"/>
      <c r="Z40" s="21"/>
      <c r="AA40" s="20"/>
      <c r="AB40" s="20"/>
      <c r="AC40" s="20"/>
      <c r="AD40" s="20"/>
      <c r="AE40" s="21"/>
      <c r="AF40" s="20"/>
      <c r="AG40" s="20"/>
      <c r="AH40" s="20"/>
      <c r="AI40" s="20"/>
      <c r="AJ40" s="21"/>
      <c r="AK40" s="20"/>
      <c r="AL40" s="20"/>
      <c r="AM40" s="20"/>
      <c r="AN40" s="20"/>
      <c r="AO40" s="21"/>
      <c r="AP40" s="20"/>
      <c r="AQ40" s="20"/>
      <c r="AR40" s="422"/>
      <c r="AS40" s="422"/>
      <c r="AT40" s="21"/>
      <c r="AU40" s="20"/>
      <c r="AV40" s="20"/>
      <c r="AW40" s="20"/>
      <c r="AX40" s="20"/>
      <c r="AY40" s="21"/>
      <c r="AZ40" s="20"/>
      <c r="BA40" s="20"/>
      <c r="BB40" s="20"/>
      <c r="BC40" s="20"/>
      <c r="BD40" s="21"/>
      <c r="BE40" s="20"/>
      <c r="BF40" s="20"/>
      <c r="BG40" s="20"/>
      <c r="BH40" s="20"/>
      <c r="BI40" s="21"/>
      <c r="BJ40" s="605"/>
    </row>
    <row r="41" spans="1:73">
      <c r="A41" s="12" t="s">
        <v>57</v>
      </c>
      <c r="B41" s="20"/>
      <c r="C41" s="20"/>
      <c r="D41" s="20"/>
      <c r="E41" s="20"/>
      <c r="F41" s="21"/>
      <c r="G41" s="20"/>
      <c r="H41" s="20"/>
      <c r="I41" s="20"/>
      <c r="J41" s="20"/>
      <c r="K41" s="21"/>
      <c r="L41" s="20"/>
      <c r="M41" s="20"/>
      <c r="N41" s="20"/>
      <c r="O41" s="20"/>
      <c r="P41" s="21"/>
      <c r="Q41" s="20"/>
      <c r="R41" s="20"/>
      <c r="S41" s="20"/>
      <c r="T41" s="20"/>
      <c r="U41" s="21"/>
      <c r="V41" s="20"/>
      <c r="W41" s="20"/>
      <c r="X41" s="20"/>
      <c r="Y41" s="20"/>
      <c r="Z41" s="21"/>
      <c r="AA41" s="20"/>
      <c r="AB41" s="20"/>
      <c r="AC41" s="20"/>
      <c r="AD41" s="20"/>
      <c r="AE41" s="21"/>
      <c r="AF41" s="20"/>
      <c r="AG41" s="20"/>
      <c r="AH41" s="20"/>
      <c r="AI41" s="20"/>
      <c r="AJ41" s="21"/>
      <c r="AK41" s="20"/>
      <c r="AL41" s="20"/>
      <c r="AM41" s="20"/>
      <c r="AN41" s="20"/>
      <c r="AO41" s="21"/>
      <c r="AP41" s="20"/>
      <c r="AQ41" s="20"/>
      <c r="AR41" s="422"/>
      <c r="AS41" s="422"/>
      <c r="AT41" s="21"/>
      <c r="AU41" s="20"/>
      <c r="AV41" s="20"/>
      <c r="AW41" s="20"/>
      <c r="AX41" s="20"/>
      <c r="AY41" s="21"/>
      <c r="AZ41" s="20"/>
      <c r="BA41" s="20"/>
      <c r="BB41" s="20"/>
      <c r="BC41" s="20"/>
      <c r="BD41" s="21"/>
      <c r="BE41" s="20"/>
      <c r="BF41" s="20"/>
      <c r="BG41" s="20"/>
      <c r="BH41" s="20"/>
      <c r="BI41" s="21"/>
      <c r="BJ41" s="605"/>
    </row>
    <row r="42" spans="1:73">
      <c r="A42" s="1" t="s">
        <v>359</v>
      </c>
      <c r="B42" s="40"/>
      <c r="C42" s="40"/>
      <c r="D42" s="40"/>
      <c r="E42" s="20"/>
      <c r="F42" s="42"/>
      <c r="G42" s="40"/>
      <c r="H42" s="40"/>
      <c r="I42" s="40"/>
      <c r="J42" s="20"/>
      <c r="K42" s="42"/>
      <c r="L42" s="40"/>
      <c r="M42" s="40"/>
      <c r="N42" s="40"/>
      <c r="O42" s="20"/>
      <c r="P42" s="42"/>
      <c r="Q42" s="40"/>
      <c r="R42" s="40"/>
      <c r="S42" s="40"/>
      <c r="T42" s="20"/>
      <c r="U42" s="42"/>
      <c r="V42" s="40"/>
      <c r="W42" s="40"/>
      <c r="X42" s="40"/>
      <c r="Y42" s="20"/>
      <c r="Z42" s="42"/>
      <c r="AA42" s="40"/>
      <c r="AB42" s="40"/>
      <c r="AC42" s="40"/>
      <c r="AD42" s="20"/>
      <c r="AE42" s="42"/>
      <c r="AF42" s="40"/>
      <c r="AG42" s="40"/>
      <c r="AH42" s="40"/>
      <c r="AI42" s="20"/>
      <c r="AJ42" s="42"/>
      <c r="AK42" s="40">
        <v>45</v>
      </c>
      <c r="AL42" s="40">
        <f>63-AK42</f>
        <v>18</v>
      </c>
      <c r="AM42" s="40">
        <f>66-SUM(AK42:AL42)</f>
        <v>3</v>
      </c>
      <c r="AN42" s="36">
        <f>+Debt_Qtr!AN13-Debt_Qtr!AM13</f>
        <v>0</v>
      </c>
      <c r="AO42" s="21">
        <f t="shared" ref="AO42:AO49" si="39">SUM(AK42:AN42)</f>
        <v>66</v>
      </c>
      <c r="AP42" s="40">
        <v>1</v>
      </c>
      <c r="AQ42" s="40">
        <f>-31-AP42</f>
        <v>-32</v>
      </c>
      <c r="AR42" s="483">
        <f>-35-SUM(AP42:AQ42)</f>
        <v>-4</v>
      </c>
      <c r="AS42" s="421">
        <f t="shared" ref="AS42:AS48" si="40">+AT42-SUM(AP42:AR42)</f>
        <v>-36</v>
      </c>
      <c r="AT42" s="42">
        <v>-71</v>
      </c>
      <c r="AU42" s="40">
        <v>-14</v>
      </c>
      <c r="AV42" s="40">
        <f>2-AU42</f>
        <v>16</v>
      </c>
      <c r="AW42" s="40">
        <f>3-SUM(AU42:AV42)</f>
        <v>1</v>
      </c>
      <c r="AX42" s="20">
        <f t="shared" ref="AX42:AX48" si="41">+AY42-SUM(AU42:AW42)</f>
        <v>-1</v>
      </c>
      <c r="AY42" s="42">
        <v>2</v>
      </c>
      <c r="AZ42" s="40">
        <v>0</v>
      </c>
      <c r="BA42" s="40">
        <f>25-AZ42</f>
        <v>25</v>
      </c>
      <c r="BB42" s="40">
        <f>17-BA42-AZ42</f>
        <v>-8</v>
      </c>
      <c r="BC42" s="20">
        <f t="shared" ref="BC42:BC48" si="42">+BD42-SUM(AZ42:BB42)</f>
        <v>8</v>
      </c>
      <c r="BD42" s="42">
        <v>25</v>
      </c>
      <c r="BE42" s="40">
        <v>0</v>
      </c>
      <c r="BF42" s="40">
        <f>-20-BE42</f>
        <v>-20</v>
      </c>
      <c r="BG42" s="36">
        <f>+Debt_Qtr!BG13-Debt_Qtr!BF13</f>
        <v>0</v>
      </c>
      <c r="BH42" s="36">
        <f>+Debt_Qtr!BH13-Debt_Qtr!BG13</f>
        <v>0</v>
      </c>
      <c r="BI42" s="21">
        <f t="shared" ref="BI42:BI46" si="43">SUM(BE42:BH42)</f>
        <v>-20</v>
      </c>
      <c r="BJ42" s="547"/>
      <c r="BK42" s="349"/>
    </row>
    <row r="43" spans="1:73">
      <c r="A43" s="1" t="s">
        <v>158</v>
      </c>
      <c r="B43" s="40"/>
      <c r="C43" s="40"/>
      <c r="D43" s="40"/>
      <c r="E43" s="20"/>
      <c r="F43" s="42"/>
      <c r="G43" s="40"/>
      <c r="H43" s="40"/>
      <c r="I43" s="40"/>
      <c r="J43" s="20"/>
      <c r="K43" s="42"/>
      <c r="L43" s="40"/>
      <c r="M43" s="40"/>
      <c r="N43" s="40"/>
      <c r="O43" s="20"/>
      <c r="P43" s="42"/>
      <c r="Q43" s="40"/>
      <c r="R43" s="40"/>
      <c r="S43" s="40"/>
      <c r="T43" s="20"/>
      <c r="U43" s="42"/>
      <c r="V43" s="40"/>
      <c r="W43" s="40"/>
      <c r="X43" s="40"/>
      <c r="Y43" s="20"/>
      <c r="Z43" s="42"/>
      <c r="AA43" s="40"/>
      <c r="AB43" s="40"/>
      <c r="AC43" s="40"/>
      <c r="AD43" s="20"/>
      <c r="AE43" s="42"/>
      <c r="AF43" s="40"/>
      <c r="AG43" s="40"/>
      <c r="AH43" s="40"/>
      <c r="AI43" s="20"/>
      <c r="AJ43" s="42"/>
      <c r="AK43" s="40">
        <v>0</v>
      </c>
      <c r="AL43" s="40">
        <v>0</v>
      </c>
      <c r="AM43" s="40">
        <v>0</v>
      </c>
      <c r="AN43" s="36">
        <f>Debt_Qtr!AN26</f>
        <v>0</v>
      </c>
      <c r="AO43" s="21">
        <f t="shared" si="39"/>
        <v>0</v>
      </c>
      <c r="AP43" s="40">
        <v>9</v>
      </c>
      <c r="AQ43" s="40">
        <f>10-AP43</f>
        <v>1</v>
      </c>
      <c r="AR43" s="483">
        <f>10-SUM(AP43:AQ43)</f>
        <v>0</v>
      </c>
      <c r="AS43" s="421">
        <f t="shared" si="40"/>
        <v>-10</v>
      </c>
      <c r="AT43" s="42">
        <v>0</v>
      </c>
      <c r="AU43" s="40">
        <v>0</v>
      </c>
      <c r="AV43" s="40">
        <f>0-AU43</f>
        <v>0</v>
      </c>
      <c r="AW43" s="40">
        <f>0-SUM(AU43:AV43)</f>
        <v>0</v>
      </c>
      <c r="AX43" s="20">
        <f t="shared" si="41"/>
        <v>0</v>
      </c>
      <c r="AY43" s="42">
        <v>0</v>
      </c>
      <c r="AZ43" s="40">
        <v>0</v>
      </c>
      <c r="BA43" s="40">
        <f>0-AZ43</f>
        <v>0</v>
      </c>
      <c r="BB43" s="40">
        <f>1985-BA43-AZ43</f>
        <v>1985</v>
      </c>
      <c r="BC43" s="20">
        <f t="shared" si="42"/>
        <v>0</v>
      </c>
      <c r="BD43" s="42">
        <v>1985</v>
      </c>
      <c r="BE43" s="40">
        <v>0</v>
      </c>
      <c r="BF43" s="40">
        <f>0-BE43</f>
        <v>0</v>
      </c>
      <c r="BG43" s="36">
        <f>Debt_Qtr!BG26</f>
        <v>0</v>
      </c>
      <c r="BH43" s="36">
        <f>Debt_Qtr!BH26</f>
        <v>0</v>
      </c>
      <c r="BI43" s="21">
        <f t="shared" si="43"/>
        <v>0</v>
      </c>
      <c r="BJ43" s="547" t="s">
        <v>605</v>
      </c>
      <c r="BK43" s="349"/>
    </row>
    <row r="44" spans="1:73">
      <c r="A44" s="165" t="s">
        <v>177</v>
      </c>
      <c r="B44" s="40"/>
      <c r="C44" s="40"/>
      <c r="D44" s="40"/>
      <c r="E44" s="20"/>
      <c r="F44" s="42"/>
      <c r="G44" s="40"/>
      <c r="H44" s="40"/>
      <c r="I44" s="40"/>
      <c r="J44" s="20"/>
      <c r="K44" s="42"/>
      <c r="L44" s="40"/>
      <c r="M44" s="40"/>
      <c r="N44" s="40"/>
      <c r="O44" s="20"/>
      <c r="P44" s="42"/>
      <c r="Q44" s="40"/>
      <c r="R44" s="40"/>
      <c r="S44" s="40"/>
      <c r="T44" s="20"/>
      <c r="U44" s="42"/>
      <c r="V44" s="40"/>
      <c r="W44" s="40"/>
      <c r="X44" s="40"/>
      <c r="Y44" s="20"/>
      <c r="Z44" s="42"/>
      <c r="AA44" s="40"/>
      <c r="AB44" s="40"/>
      <c r="AC44" s="40"/>
      <c r="AD44" s="20"/>
      <c r="AE44" s="42"/>
      <c r="AF44" s="40"/>
      <c r="AG44" s="40"/>
      <c r="AH44" s="40"/>
      <c r="AI44" s="20"/>
      <c r="AJ44" s="42"/>
      <c r="AK44" s="40">
        <v>-1267</v>
      </c>
      <c r="AL44" s="40">
        <f>-2045-AK44</f>
        <v>-778</v>
      </c>
      <c r="AM44" s="40">
        <f>-3178-SUM(AK44:AL44)</f>
        <v>-1133</v>
      </c>
      <c r="AN44" s="36">
        <f>Debt_Qtr!AN27</f>
        <v>0</v>
      </c>
      <c r="AO44" s="21">
        <f t="shared" si="39"/>
        <v>-3178</v>
      </c>
      <c r="AP44" s="40">
        <v>-1815</v>
      </c>
      <c r="AQ44" s="40">
        <f>-2590-AP44</f>
        <v>-775</v>
      </c>
      <c r="AR44" s="483">
        <f>-3230-SUM(AP44:AQ44)</f>
        <v>-640</v>
      </c>
      <c r="AS44" s="421">
        <f t="shared" si="40"/>
        <v>-52</v>
      </c>
      <c r="AT44" s="42">
        <v>-3282</v>
      </c>
      <c r="AU44" s="40">
        <v>-236</v>
      </c>
      <c r="AV44" s="40">
        <f>-616-AU44</f>
        <v>-380</v>
      </c>
      <c r="AW44" s="40">
        <f>-733-SUM(AU44:AV44)</f>
        <v>-117</v>
      </c>
      <c r="AX44" s="20">
        <f t="shared" si="41"/>
        <v>-55</v>
      </c>
      <c r="AY44" s="42">
        <v>-788</v>
      </c>
      <c r="AZ44" s="40">
        <v>-56</v>
      </c>
      <c r="BA44" s="40">
        <f>-1253-AZ44</f>
        <v>-1197</v>
      </c>
      <c r="BB44" s="40">
        <f>-1304-BA44-AZ44</f>
        <v>-51</v>
      </c>
      <c r="BC44" s="20">
        <f t="shared" si="42"/>
        <v>-507</v>
      </c>
      <c r="BD44" s="42">
        <v>-1811</v>
      </c>
      <c r="BE44" s="40">
        <v>-60</v>
      </c>
      <c r="BF44" s="40">
        <f>-1026-BE44</f>
        <v>-966</v>
      </c>
      <c r="BG44" s="36">
        <f>Debt_Qtr!BG27</f>
        <v>0</v>
      </c>
      <c r="BH44" s="36">
        <f>Debt_Qtr!BH27</f>
        <v>0</v>
      </c>
      <c r="BI44" s="21">
        <f t="shared" si="43"/>
        <v>-1026</v>
      </c>
      <c r="BJ44" s="547"/>
      <c r="BK44" s="349"/>
    </row>
    <row r="45" spans="1:73">
      <c r="A45" s="1" t="s">
        <v>369</v>
      </c>
      <c r="B45" s="40"/>
      <c r="C45" s="40"/>
      <c r="D45" s="40"/>
      <c r="E45" s="20"/>
      <c r="F45" s="42"/>
      <c r="G45" s="40"/>
      <c r="H45" s="40"/>
      <c r="I45" s="40"/>
      <c r="J45" s="20"/>
      <c r="K45" s="42"/>
      <c r="L45" s="40"/>
      <c r="M45" s="40"/>
      <c r="N45" s="40"/>
      <c r="O45" s="20"/>
      <c r="P45" s="42"/>
      <c r="Q45" s="40"/>
      <c r="R45" s="40"/>
      <c r="S45" s="40"/>
      <c r="T45" s="20"/>
      <c r="U45" s="42"/>
      <c r="V45" s="40"/>
      <c r="W45" s="40"/>
      <c r="X45" s="40"/>
      <c r="Y45" s="20"/>
      <c r="Z45" s="42"/>
      <c r="AA45" s="40"/>
      <c r="AB45" s="40"/>
      <c r="AC45" s="40"/>
      <c r="AD45" s="20"/>
      <c r="AE45" s="42"/>
      <c r="AF45" s="40"/>
      <c r="AG45" s="40"/>
      <c r="AH45" s="40"/>
      <c r="AI45" s="20"/>
      <c r="AJ45" s="42"/>
      <c r="AK45" s="40">
        <v>-140</v>
      </c>
      <c r="AL45" s="40">
        <f>-294-AK45</f>
        <v>-154</v>
      </c>
      <c r="AM45" s="40">
        <f>-455-SUM(AK45:AL45)</f>
        <v>-161</v>
      </c>
      <c r="AN45" s="20">
        <f>+AM45</f>
        <v>-161</v>
      </c>
      <c r="AO45" s="21">
        <f t="shared" si="39"/>
        <v>-616</v>
      </c>
      <c r="AP45" s="40">
        <v>-203</v>
      </c>
      <c r="AQ45" s="40">
        <f>-350-AP45</f>
        <v>-147</v>
      </c>
      <c r="AR45" s="483">
        <f>-501-SUM(AP45:AQ45)</f>
        <v>-151</v>
      </c>
      <c r="AS45" s="421">
        <f t="shared" si="40"/>
        <v>-88</v>
      </c>
      <c r="AT45" s="42">
        <v>-589</v>
      </c>
      <c r="AU45" s="40">
        <v>-86</v>
      </c>
      <c r="AV45" s="40">
        <f>-394-AU45</f>
        <v>-308</v>
      </c>
      <c r="AW45" s="40">
        <f>-702-SUM(AU45:AV45)</f>
        <v>-308</v>
      </c>
      <c r="AX45" s="20">
        <f t="shared" si="41"/>
        <v>-306</v>
      </c>
      <c r="AY45" s="42">
        <v>-1008</v>
      </c>
      <c r="AZ45" s="40">
        <v>-302</v>
      </c>
      <c r="BA45" s="40">
        <f>-688-AZ45</f>
        <v>-386</v>
      </c>
      <c r="BB45" s="40">
        <f>-1071-BA45-AZ45</f>
        <v>-383</v>
      </c>
      <c r="BC45" s="20">
        <f t="shared" si="42"/>
        <v>-381</v>
      </c>
      <c r="BD45" s="42">
        <v>-1452</v>
      </c>
      <c r="BE45" s="40">
        <v>-381</v>
      </c>
      <c r="BF45" s="40">
        <f>-873-BE45</f>
        <v>-492</v>
      </c>
      <c r="BG45" s="36">
        <f>-BG98*ProForma_IS_Qtr!BG60</f>
        <v>-489.34672801941048</v>
      </c>
      <c r="BH45" s="20">
        <f>BI45-SUM(BE45:BG45)</f>
        <v>-603.40404853243308</v>
      </c>
      <c r="BI45" s="37">
        <f>-BI98*ProForma_IS_Qtr!BI60</f>
        <v>-1965.7507765518435</v>
      </c>
      <c r="BK45" s="349"/>
    </row>
    <row r="46" spans="1:73">
      <c r="A46" s="1" t="s">
        <v>358</v>
      </c>
      <c r="B46" s="40"/>
      <c r="C46" s="40"/>
      <c r="D46" s="40"/>
      <c r="E46" s="20"/>
      <c r="F46" s="42"/>
      <c r="G46" s="40"/>
      <c r="H46" s="40"/>
      <c r="I46" s="40"/>
      <c r="J46" s="20"/>
      <c r="K46" s="42"/>
      <c r="L46" s="40"/>
      <c r="M46" s="40"/>
      <c r="N46" s="40"/>
      <c r="O46" s="20"/>
      <c r="P46" s="42"/>
      <c r="Q46" s="40"/>
      <c r="R46" s="40"/>
      <c r="S46" s="40"/>
      <c r="T46" s="20"/>
      <c r="U46" s="42"/>
      <c r="V46" s="40"/>
      <c r="W46" s="40"/>
      <c r="X46" s="40"/>
      <c r="Y46" s="20"/>
      <c r="Z46" s="42"/>
      <c r="AA46" s="40"/>
      <c r="AB46" s="40"/>
      <c r="AC46" s="40"/>
      <c r="AD46" s="20"/>
      <c r="AE46" s="42"/>
      <c r="AF46" s="40"/>
      <c r="AG46" s="40"/>
      <c r="AH46" s="40"/>
      <c r="AI46" s="20"/>
      <c r="AJ46" s="42"/>
      <c r="AK46" s="40">
        <v>0</v>
      </c>
      <c r="AL46" s="40">
        <v>0</v>
      </c>
      <c r="AM46" s="40">
        <f>-104-SUM(AK46:AL46)</f>
        <v>-104</v>
      </c>
      <c r="AN46" s="20">
        <v>0</v>
      </c>
      <c r="AO46" s="21">
        <f t="shared" si="39"/>
        <v>-104</v>
      </c>
      <c r="AP46" s="40">
        <v>-3000</v>
      </c>
      <c r="AQ46" s="40">
        <f>-3000-AP46</f>
        <v>0</v>
      </c>
      <c r="AR46" s="483">
        <f>-5795-SUM(AP46:AQ46)</f>
        <v>-2795</v>
      </c>
      <c r="AS46" s="421">
        <f t="shared" si="40"/>
        <v>0</v>
      </c>
      <c r="AT46" s="42">
        <v>-5795</v>
      </c>
      <c r="AU46" s="40">
        <v>0</v>
      </c>
      <c r="AV46" s="40">
        <f>0-AU46</f>
        <v>0</v>
      </c>
      <c r="AW46" s="40">
        <f>0-SUM(AU46:AV46)</f>
        <v>0</v>
      </c>
      <c r="AX46" s="20">
        <f t="shared" si="41"/>
        <v>0</v>
      </c>
      <c r="AY46" s="42">
        <v>0</v>
      </c>
      <c r="AZ46" s="40">
        <v>0</v>
      </c>
      <c r="BA46" s="40">
        <f>0-AZ46</f>
        <v>0</v>
      </c>
      <c r="BB46" s="40">
        <f>0-BA46</f>
        <v>0</v>
      </c>
      <c r="BC46" s="20">
        <f t="shared" si="42"/>
        <v>0</v>
      </c>
      <c r="BD46" s="42">
        <v>0</v>
      </c>
      <c r="BE46" s="40">
        <v>0</v>
      </c>
      <c r="BF46" s="40">
        <f>0-BE46</f>
        <v>0</v>
      </c>
      <c r="BG46" s="40">
        <v>0</v>
      </c>
      <c r="BH46" s="40">
        <v>0</v>
      </c>
      <c r="BI46" s="21">
        <f t="shared" si="43"/>
        <v>0</v>
      </c>
      <c r="BJ46" s="494"/>
      <c r="BK46" s="349"/>
    </row>
    <row r="47" spans="1:73">
      <c r="A47" s="1" t="s">
        <v>58</v>
      </c>
      <c r="B47" s="40"/>
      <c r="C47" s="40"/>
      <c r="D47" s="40"/>
      <c r="E47" s="20"/>
      <c r="F47" s="40"/>
      <c r="G47" s="40"/>
      <c r="H47" s="40"/>
      <c r="I47" s="40"/>
      <c r="J47" s="20"/>
      <c r="K47" s="40"/>
      <c r="L47" s="40"/>
      <c r="M47" s="40"/>
      <c r="N47" s="40"/>
      <c r="O47" s="20"/>
      <c r="P47" s="40"/>
      <c r="Q47" s="40"/>
      <c r="R47" s="40"/>
      <c r="S47" s="40"/>
      <c r="T47" s="20"/>
      <c r="U47" s="40"/>
      <c r="V47" s="40"/>
      <c r="W47" s="40"/>
      <c r="X47" s="40"/>
      <c r="Y47" s="20"/>
      <c r="Z47" s="40"/>
      <c r="AA47" s="40"/>
      <c r="AB47" s="40"/>
      <c r="AC47" s="40"/>
      <c r="AD47" s="20"/>
      <c r="AE47" s="40"/>
      <c r="AF47" s="40"/>
      <c r="AG47" s="40"/>
      <c r="AH47" s="40"/>
      <c r="AI47" s="20"/>
      <c r="AJ47" s="42"/>
      <c r="AK47" s="40">
        <v>-39</v>
      </c>
      <c r="AL47" s="40">
        <f>-370-AK47</f>
        <v>-331</v>
      </c>
      <c r="AM47" s="40">
        <f>-688-SUM(AK47:AL47)</f>
        <v>-318</v>
      </c>
      <c r="AN47" s="20">
        <f>+AM47</f>
        <v>-318</v>
      </c>
      <c r="AO47" s="21">
        <f t="shared" si="39"/>
        <v>-1006</v>
      </c>
      <c r="AP47" s="40">
        <v>-309</v>
      </c>
      <c r="AQ47" s="40">
        <f>-632-AP47</f>
        <v>-323</v>
      </c>
      <c r="AR47" s="483">
        <f>-945-SUM(AP47:AQ47)</f>
        <v>-313</v>
      </c>
      <c r="AS47" s="421">
        <f t="shared" si="40"/>
        <v>-288</v>
      </c>
      <c r="AT47" s="42">
        <v>-1233</v>
      </c>
      <c r="AU47" s="40">
        <v>-322</v>
      </c>
      <c r="AV47" s="40">
        <f>-2623-AU47</f>
        <v>-2301</v>
      </c>
      <c r="AW47" s="40">
        <f>-4159-SUM(AU47:AV47)</f>
        <v>-1536</v>
      </c>
      <c r="AX47" s="20">
        <f t="shared" si="41"/>
        <v>-1668</v>
      </c>
      <c r="AY47" s="42">
        <v>-5827</v>
      </c>
      <c r="AZ47" s="40">
        <v>-1965</v>
      </c>
      <c r="BA47" s="40">
        <f>-3710-AZ47</f>
        <v>-1745</v>
      </c>
      <c r="BB47" s="40">
        <f>-5554-BA47-AZ47</f>
        <v>-1844</v>
      </c>
      <c r="BC47" s="20">
        <f t="shared" si="42"/>
        <v>-1997</v>
      </c>
      <c r="BD47" s="42">
        <v>-7551</v>
      </c>
      <c r="BE47" s="40">
        <v>-2399</v>
      </c>
      <c r="BF47" s="40">
        <f>-4527-BE47</f>
        <v>-2128</v>
      </c>
      <c r="BG47" s="40">
        <v>-1875</v>
      </c>
      <c r="BH47" s="41">
        <f>BI47-SUM(BE47:BG47)</f>
        <v>-1098</v>
      </c>
      <c r="BI47" s="42">
        <v>-7500</v>
      </c>
      <c r="BJ47" s="494"/>
      <c r="BK47" s="349"/>
      <c r="BM47" s="361"/>
    </row>
    <row r="48" spans="1:73">
      <c r="A48" s="1" t="s">
        <v>39</v>
      </c>
      <c r="B48" s="40"/>
      <c r="C48" s="40"/>
      <c r="D48" s="40"/>
      <c r="E48" s="20"/>
      <c r="F48" s="42"/>
      <c r="G48" s="40"/>
      <c r="H48" s="40"/>
      <c r="I48" s="40"/>
      <c r="J48" s="20"/>
      <c r="K48" s="42"/>
      <c r="L48" s="40"/>
      <c r="M48" s="40"/>
      <c r="N48" s="40"/>
      <c r="O48" s="20"/>
      <c r="P48" s="42"/>
      <c r="Q48" s="40"/>
      <c r="R48" s="40"/>
      <c r="S48" s="40"/>
      <c r="T48" s="20"/>
      <c r="U48" s="42"/>
      <c r="V48" s="40"/>
      <c r="W48" s="40"/>
      <c r="X48" s="40"/>
      <c r="Y48" s="20"/>
      <c r="Z48" s="42"/>
      <c r="AA48" s="40"/>
      <c r="AB48" s="40"/>
      <c r="AC48" s="40"/>
      <c r="AD48" s="20"/>
      <c r="AE48" s="42"/>
      <c r="AF48" s="40"/>
      <c r="AG48" s="40"/>
      <c r="AH48" s="40"/>
      <c r="AI48" s="20"/>
      <c r="AJ48" s="42"/>
      <c r="AK48" s="40">
        <v>-30</v>
      </c>
      <c r="AL48" s="40">
        <f>-440-AK48</f>
        <v>-410</v>
      </c>
      <c r="AM48" s="40">
        <f>-679-SUM(AK48:AL48)</f>
        <v>-239</v>
      </c>
      <c r="AN48" s="41">
        <v>0</v>
      </c>
      <c r="AO48" s="21">
        <f t="shared" si="39"/>
        <v>-679</v>
      </c>
      <c r="AP48" s="40">
        <v>87</v>
      </c>
      <c r="AQ48" s="40">
        <f>206-AP48+1</f>
        <v>120</v>
      </c>
      <c r="AR48" s="483">
        <f>278-SUM(AP48:AQ48)+1</f>
        <v>72</v>
      </c>
      <c r="AS48" s="421">
        <f t="shared" si="40"/>
        <v>180</v>
      </c>
      <c r="AT48" s="42">
        <v>459</v>
      </c>
      <c r="AU48" s="479">
        <f>552+1</f>
        <v>553</v>
      </c>
      <c r="AV48" s="479">
        <f>636+1-AU48</f>
        <v>84</v>
      </c>
      <c r="AW48" s="479">
        <f>1139-1-SUM(AU48:AV48)</f>
        <v>501</v>
      </c>
      <c r="AX48" s="20">
        <f t="shared" si="41"/>
        <v>-145</v>
      </c>
      <c r="AY48" s="478">
        <f>992+1</f>
        <v>993</v>
      </c>
      <c r="AZ48" s="40">
        <v>39</v>
      </c>
      <c r="BA48" s="40">
        <f>136-AZ48</f>
        <v>97</v>
      </c>
      <c r="BB48" s="40">
        <f>71-BA48-AZ48</f>
        <v>-65</v>
      </c>
      <c r="BC48" s="20">
        <f t="shared" si="42"/>
        <v>51</v>
      </c>
      <c r="BD48" s="478">
        <v>122</v>
      </c>
      <c r="BE48" s="40">
        <v>9</v>
      </c>
      <c r="BF48" s="40">
        <f>54-BE48</f>
        <v>45</v>
      </c>
      <c r="BG48" s="40">
        <v>0</v>
      </c>
      <c r="BH48" s="40">
        <v>0</v>
      </c>
      <c r="BI48" s="21">
        <f t="shared" ref="BI48" si="44">SUM(BE48:BH48)</f>
        <v>54</v>
      </c>
      <c r="BJ48" s="494"/>
      <c r="BK48" s="349"/>
    </row>
    <row r="49" spans="1:73" s="211" customFormat="1">
      <c r="A49" s="493" t="s">
        <v>487</v>
      </c>
      <c r="B49" s="41"/>
      <c r="C49" s="41"/>
      <c r="D49" s="41"/>
      <c r="E49" s="41"/>
      <c r="F49" s="71"/>
      <c r="G49" s="41"/>
      <c r="H49" s="41"/>
      <c r="I49" s="41"/>
      <c r="J49" s="41"/>
      <c r="K49" s="71"/>
      <c r="L49" s="41"/>
      <c r="M49" s="41"/>
      <c r="N49" s="41"/>
      <c r="O49" s="41"/>
      <c r="P49" s="71"/>
      <c r="Q49" s="41"/>
      <c r="R49" s="41"/>
      <c r="S49" s="41"/>
      <c r="T49" s="41"/>
      <c r="U49" s="71"/>
      <c r="V49" s="41"/>
      <c r="W49" s="41"/>
      <c r="X49" s="41"/>
      <c r="Y49" s="41"/>
      <c r="Z49" s="71"/>
      <c r="AA49" s="41"/>
      <c r="AB49" s="41"/>
      <c r="AC49" s="41"/>
      <c r="AD49" s="41"/>
      <c r="AE49" s="71"/>
      <c r="AF49" s="41"/>
      <c r="AG49" s="41"/>
      <c r="AH49" s="41"/>
      <c r="AI49" s="41"/>
      <c r="AJ49" s="71"/>
      <c r="AK49" s="41">
        <f>+SUM(AK42:AK48)</f>
        <v>-1431</v>
      </c>
      <c r="AL49" s="41">
        <f>+SUM(AL42:AL48)</f>
        <v>-1655</v>
      </c>
      <c r="AM49" s="41">
        <f>+SUM(AM42:AM48)</f>
        <v>-1952</v>
      </c>
      <c r="AN49" s="41">
        <f>+SUM(AN42:AN48)</f>
        <v>-479</v>
      </c>
      <c r="AO49" s="71">
        <f t="shared" si="39"/>
        <v>-5517</v>
      </c>
      <c r="AP49" s="41">
        <f t="shared" ref="AP49:AU49" si="45">+SUM(AP42:AP48)</f>
        <v>-5230</v>
      </c>
      <c r="AQ49" s="41">
        <f t="shared" si="45"/>
        <v>-1156</v>
      </c>
      <c r="AR49" s="421">
        <f t="shared" si="45"/>
        <v>-3831</v>
      </c>
      <c r="AS49" s="421">
        <f t="shared" si="45"/>
        <v>-294</v>
      </c>
      <c r="AT49" s="71">
        <f t="shared" si="45"/>
        <v>-10511</v>
      </c>
      <c r="AU49" s="41">
        <f t="shared" si="45"/>
        <v>-105</v>
      </c>
      <c r="AV49" s="41">
        <f t="shared" ref="AV49:AZ49" si="46">+SUM(AV42:AV48)</f>
        <v>-2889</v>
      </c>
      <c r="AW49" s="41">
        <f t="shared" si="46"/>
        <v>-1459</v>
      </c>
      <c r="AX49" s="41">
        <f t="shared" si="46"/>
        <v>-2175</v>
      </c>
      <c r="AY49" s="71">
        <f t="shared" si="46"/>
        <v>-6628</v>
      </c>
      <c r="AZ49" s="41">
        <f t="shared" si="46"/>
        <v>-2284</v>
      </c>
      <c r="BA49" s="41">
        <f t="shared" ref="BA49:BD49" si="47">+SUM(BA42:BA48)</f>
        <v>-3206</v>
      </c>
      <c r="BB49" s="41">
        <f t="shared" si="47"/>
        <v>-366</v>
      </c>
      <c r="BC49" s="41">
        <f t="shared" si="47"/>
        <v>-2826</v>
      </c>
      <c r="BD49" s="71">
        <f t="shared" si="47"/>
        <v>-8682</v>
      </c>
      <c r="BE49" s="41">
        <f t="shared" ref="BE49:BI49" si="48">+SUM(BE42:BE48)</f>
        <v>-2831</v>
      </c>
      <c r="BF49" s="41">
        <f t="shared" si="48"/>
        <v>-3561</v>
      </c>
      <c r="BG49" s="41">
        <f t="shared" si="48"/>
        <v>-2364.3467280194104</v>
      </c>
      <c r="BH49" s="41">
        <f t="shared" si="48"/>
        <v>-1701.4040485324331</v>
      </c>
      <c r="BI49" s="71">
        <f t="shared" si="48"/>
        <v>-10457.750776551844</v>
      </c>
      <c r="BJ49" s="494"/>
      <c r="BK49" s="495"/>
      <c r="BL49" s="655"/>
      <c r="BM49" s="655"/>
      <c r="BN49" s="655"/>
      <c r="BO49" s="633"/>
      <c r="BP49"/>
      <c r="BQ49"/>
      <c r="BR49"/>
      <c r="BS49"/>
      <c r="BT49"/>
      <c r="BU49"/>
    </row>
    <row r="50" spans="1:73">
      <c r="A50" s="1" t="s">
        <v>488</v>
      </c>
      <c r="B50" s="40"/>
      <c r="C50" s="40"/>
      <c r="D50" s="40"/>
      <c r="E50" s="20"/>
      <c r="F50" s="42"/>
      <c r="G50" s="40"/>
      <c r="H50" s="40"/>
      <c r="I50" s="40"/>
      <c r="J50" s="20"/>
      <c r="K50" s="42"/>
      <c r="L50" s="40"/>
      <c r="M50" s="40"/>
      <c r="N50" s="40"/>
      <c r="O50" s="20"/>
      <c r="P50" s="42"/>
      <c r="Q50" s="40"/>
      <c r="R50" s="40"/>
      <c r="S50" s="40"/>
      <c r="T50" s="20"/>
      <c r="U50" s="42"/>
      <c r="V50" s="40"/>
      <c r="W50" s="40"/>
      <c r="X50" s="40"/>
      <c r="Y50" s="20"/>
      <c r="Z50" s="42"/>
      <c r="AA50" s="40"/>
      <c r="AB50" s="40"/>
      <c r="AC50" s="40"/>
      <c r="AD50" s="20"/>
      <c r="AE50" s="42"/>
      <c r="AF50" s="40"/>
      <c r="AG50" s="40"/>
      <c r="AH50" s="40"/>
      <c r="AI50" s="20"/>
      <c r="AJ50" s="42"/>
      <c r="AK50" s="40"/>
      <c r="AL50" s="40"/>
      <c r="AM50" s="40"/>
      <c r="AN50" s="20"/>
      <c r="AO50" s="42"/>
      <c r="AP50" s="40"/>
      <c r="AQ50" s="40"/>
      <c r="AR50" s="483"/>
      <c r="AS50" s="421">
        <f>+AT50-SUM(AP50:AR50)</f>
        <v>1898</v>
      </c>
      <c r="AT50" s="42">
        <f>1899-1</f>
        <v>1898</v>
      </c>
      <c r="AU50" s="40">
        <v>-99</v>
      </c>
      <c r="AV50" s="40">
        <f>-98-AU50</f>
        <v>1</v>
      </c>
      <c r="AW50" s="40">
        <f>-98-SUM(AU50:AV50)</f>
        <v>0</v>
      </c>
      <c r="AX50" s="20">
        <f>+AY50-SUM(AU50:AW50)</f>
        <v>0</v>
      </c>
      <c r="AY50" s="42">
        <v>-98</v>
      </c>
      <c r="AZ50" s="40">
        <v>0</v>
      </c>
      <c r="BA50" s="40">
        <f>0-AZ50</f>
        <v>0</v>
      </c>
      <c r="BB50" s="40">
        <f>0-BA50-AZ50</f>
        <v>0</v>
      </c>
      <c r="BC50" s="20">
        <f>+BD50-SUM(AZ50:BB50)</f>
        <v>0</v>
      </c>
      <c r="BD50" s="42">
        <v>0</v>
      </c>
      <c r="BE50" s="40">
        <v>0</v>
      </c>
      <c r="BF50" s="40">
        <f>0-BE50</f>
        <v>0</v>
      </c>
      <c r="BG50" s="40">
        <f>0-BF50-BE50</f>
        <v>0</v>
      </c>
      <c r="BH50" s="40">
        <v>0</v>
      </c>
      <c r="BI50" s="21">
        <f t="shared" ref="BI50" si="49">SUM(BE50:BH50)</f>
        <v>0</v>
      </c>
      <c r="BJ50" s="494"/>
      <c r="BK50" s="349"/>
      <c r="BL50" s="654"/>
      <c r="BM50" s="654"/>
      <c r="BN50" s="654"/>
      <c r="BO50" s="632"/>
    </row>
    <row r="51" spans="1:73">
      <c r="A51" s="14" t="s">
        <v>59</v>
      </c>
      <c r="B51" s="22"/>
      <c r="C51" s="22"/>
      <c r="D51" s="22"/>
      <c r="E51" s="22"/>
      <c r="F51" s="23"/>
      <c r="G51" s="22"/>
      <c r="H51" s="22"/>
      <c r="I51" s="22"/>
      <c r="J51" s="22"/>
      <c r="K51" s="23"/>
      <c r="L51" s="22"/>
      <c r="M51" s="22"/>
      <c r="N51" s="22"/>
      <c r="O51" s="22"/>
      <c r="P51" s="23"/>
      <c r="Q51" s="22"/>
      <c r="R51" s="22"/>
      <c r="S51" s="22"/>
      <c r="T51" s="22"/>
      <c r="U51" s="23"/>
      <c r="V51" s="22"/>
      <c r="W51" s="22"/>
      <c r="X51" s="22"/>
      <c r="Y51" s="22"/>
      <c r="Z51" s="23"/>
      <c r="AA51" s="22"/>
      <c r="AB51" s="22"/>
      <c r="AC51" s="22"/>
      <c r="AD51" s="22"/>
      <c r="AE51" s="23"/>
      <c r="AF51" s="22"/>
      <c r="AG51" s="22"/>
      <c r="AH51" s="22"/>
      <c r="AI51" s="22"/>
      <c r="AJ51" s="23"/>
      <c r="AK51" s="22">
        <f t="shared" ref="AK51:AZ51" si="50">AK49+AK50</f>
        <v>-1431</v>
      </c>
      <c r="AL51" s="22">
        <f t="shared" si="50"/>
        <v>-1655</v>
      </c>
      <c r="AM51" s="22">
        <f t="shared" si="50"/>
        <v>-1952</v>
      </c>
      <c r="AN51" s="22">
        <f t="shared" si="50"/>
        <v>-479</v>
      </c>
      <c r="AO51" s="23">
        <f t="shared" si="50"/>
        <v>-5517</v>
      </c>
      <c r="AP51" s="22">
        <f t="shared" si="50"/>
        <v>-5230</v>
      </c>
      <c r="AQ51" s="22">
        <f t="shared" si="50"/>
        <v>-1156</v>
      </c>
      <c r="AR51" s="22">
        <f t="shared" si="50"/>
        <v>-3831</v>
      </c>
      <c r="AS51" s="22">
        <f t="shared" si="50"/>
        <v>1604</v>
      </c>
      <c r="AT51" s="23">
        <f t="shared" si="50"/>
        <v>-8613</v>
      </c>
      <c r="AU51" s="22">
        <f t="shared" si="50"/>
        <v>-204</v>
      </c>
      <c r="AV51" s="22">
        <f t="shared" si="50"/>
        <v>-2888</v>
      </c>
      <c r="AW51" s="22">
        <f t="shared" si="50"/>
        <v>-1459</v>
      </c>
      <c r="AX51" s="22">
        <f t="shared" si="50"/>
        <v>-2175</v>
      </c>
      <c r="AY51" s="23">
        <f t="shared" si="50"/>
        <v>-6726</v>
      </c>
      <c r="AZ51" s="22">
        <f t="shared" si="50"/>
        <v>-2284</v>
      </c>
      <c r="BA51" s="22">
        <f t="shared" ref="BA51:BD51" si="51">BA49+BA50</f>
        <v>-3206</v>
      </c>
      <c r="BB51" s="22">
        <f t="shared" si="51"/>
        <v>-366</v>
      </c>
      <c r="BC51" s="22">
        <f t="shared" si="51"/>
        <v>-2826</v>
      </c>
      <c r="BD51" s="23">
        <f t="shared" si="51"/>
        <v>-8682</v>
      </c>
      <c r="BE51" s="22">
        <f t="shared" ref="BE51:BI51" si="52">BE49+BE50</f>
        <v>-2831</v>
      </c>
      <c r="BF51" s="22">
        <f t="shared" si="52"/>
        <v>-3561</v>
      </c>
      <c r="BG51" s="22">
        <f t="shared" si="52"/>
        <v>-2364.3467280194104</v>
      </c>
      <c r="BH51" s="22">
        <f t="shared" si="52"/>
        <v>-1701.4040485324331</v>
      </c>
      <c r="BI51" s="23">
        <f t="shared" si="52"/>
        <v>-10457.750776551844</v>
      </c>
      <c r="BJ51" s="344"/>
      <c r="BK51" s="349"/>
      <c r="BL51" s="654"/>
      <c r="BM51" s="654"/>
      <c r="BN51" s="654"/>
      <c r="BO51" s="476"/>
    </row>
    <row r="52" spans="1:73">
      <c r="B52" s="20"/>
      <c r="C52" s="20"/>
      <c r="D52" s="20"/>
      <c r="E52" s="20"/>
      <c r="F52" s="21"/>
      <c r="G52" s="20"/>
      <c r="H52" s="20"/>
      <c r="I52" s="20"/>
      <c r="J52" s="20"/>
      <c r="K52" s="21"/>
      <c r="L52" s="20"/>
      <c r="M52" s="20"/>
      <c r="N52" s="20"/>
      <c r="O52" s="20"/>
      <c r="P52" s="21"/>
      <c r="Q52" s="20"/>
      <c r="R52" s="20"/>
      <c r="S52" s="20"/>
      <c r="T52" s="20"/>
      <c r="U52" s="21"/>
      <c r="V52" s="20"/>
      <c r="W52" s="20"/>
      <c r="X52" s="20"/>
      <c r="Y52" s="20"/>
      <c r="Z52" s="21"/>
      <c r="AA52" s="20"/>
      <c r="AB52" s="20"/>
      <c r="AC52" s="20"/>
      <c r="AD52" s="20"/>
      <c r="AE52" s="21"/>
      <c r="AF52" s="20"/>
      <c r="AG52" s="20"/>
      <c r="AH52" s="20"/>
      <c r="AI52" s="20"/>
      <c r="AJ52" s="21"/>
      <c r="AK52" s="20"/>
      <c r="AL52" s="20"/>
      <c r="AM52" s="20"/>
      <c r="AN52" s="20"/>
      <c r="AO52" s="21"/>
      <c r="AP52" s="20"/>
      <c r="AQ52" s="20"/>
      <c r="AR52" s="422"/>
      <c r="AS52" s="422"/>
      <c r="AT52" s="21"/>
      <c r="AU52" s="20"/>
      <c r="AV52" s="20"/>
      <c r="AW52" s="20"/>
      <c r="AX52" s="20"/>
      <c r="AY52" s="21"/>
      <c r="AZ52" s="20"/>
      <c r="BA52" s="20"/>
      <c r="BB52" s="20"/>
      <c r="BC52" s="20"/>
      <c r="BD52" s="21"/>
      <c r="BE52" s="20"/>
      <c r="BF52" s="20"/>
      <c r="BG52" s="20"/>
      <c r="BH52" s="20"/>
      <c r="BI52" s="21"/>
    </row>
    <row r="53" spans="1:73" hidden="1" outlineLevel="1">
      <c r="A53" t="s">
        <v>192</v>
      </c>
      <c r="B53" s="20"/>
      <c r="C53" s="20"/>
      <c r="D53" s="20"/>
      <c r="E53" s="20"/>
      <c r="F53" s="21"/>
      <c r="G53" s="20"/>
      <c r="H53" s="20"/>
      <c r="I53" s="20"/>
      <c r="J53" s="20"/>
      <c r="K53" s="21"/>
      <c r="L53" s="20"/>
      <c r="M53" s="20"/>
      <c r="N53" s="20"/>
      <c r="O53" s="20"/>
      <c r="P53" s="21"/>
      <c r="Q53" s="20"/>
      <c r="R53" s="20"/>
      <c r="S53" s="20"/>
      <c r="T53" s="20"/>
      <c r="U53" s="21"/>
      <c r="V53" s="20"/>
      <c r="W53" s="20"/>
      <c r="X53" s="20"/>
      <c r="Y53" s="20"/>
      <c r="Z53" s="21"/>
      <c r="AA53" s="20"/>
      <c r="AB53" s="20"/>
      <c r="AC53" s="20"/>
      <c r="AD53" s="20"/>
      <c r="AE53" s="21"/>
      <c r="AF53" s="20"/>
      <c r="AG53" s="20"/>
      <c r="AH53" s="20"/>
      <c r="AI53" s="20"/>
      <c r="AJ53" s="21"/>
      <c r="AK53" s="20"/>
      <c r="AL53" s="20"/>
      <c r="AM53" s="20"/>
      <c r="AN53" s="20"/>
      <c r="AO53" s="21"/>
      <c r="AP53" s="20"/>
      <c r="AQ53" s="20"/>
      <c r="AR53" s="422"/>
      <c r="AS53" s="422"/>
      <c r="AT53" s="21"/>
      <c r="AU53" s="20"/>
      <c r="AV53" s="20"/>
      <c r="AW53" s="20"/>
      <c r="AX53" s="20"/>
      <c r="AY53" s="21"/>
      <c r="AZ53" s="20"/>
      <c r="BA53" s="20"/>
      <c r="BB53" s="20"/>
      <c r="BC53" s="20"/>
      <c r="BD53" s="21"/>
      <c r="BE53" s="20"/>
      <c r="BF53" s="20"/>
      <c r="BG53" s="20"/>
      <c r="BH53" s="20"/>
      <c r="BI53" s="21"/>
      <c r="BK53" s="349"/>
    </row>
    <row r="54" spans="1:73" hidden="1" outlineLevel="1">
      <c r="A54" s="1" t="s">
        <v>193</v>
      </c>
      <c r="B54" s="40"/>
      <c r="C54" s="40"/>
      <c r="D54" s="40"/>
      <c r="E54" s="20"/>
      <c r="F54" s="42"/>
      <c r="G54" s="40"/>
      <c r="H54" s="40"/>
      <c r="I54" s="40"/>
      <c r="J54" s="20"/>
      <c r="K54" s="42"/>
      <c r="L54" s="40"/>
      <c r="M54" s="40"/>
      <c r="N54" s="40"/>
      <c r="O54" s="20"/>
      <c r="P54" s="42"/>
      <c r="Q54" s="40"/>
      <c r="R54" s="40"/>
      <c r="S54" s="40"/>
      <c r="T54" s="20"/>
      <c r="U54" s="42"/>
      <c r="V54" s="40"/>
      <c r="W54" s="40"/>
      <c r="X54" s="40"/>
      <c r="Y54" s="20"/>
      <c r="Z54" s="42"/>
      <c r="AA54" s="40"/>
      <c r="AB54" s="40"/>
      <c r="AC54" s="40"/>
      <c r="AD54" s="20"/>
      <c r="AE54" s="42"/>
      <c r="AF54" s="40"/>
      <c r="AG54" s="40"/>
      <c r="AH54" s="40"/>
      <c r="AI54" s="20"/>
      <c r="AJ54" s="42"/>
      <c r="AK54" s="40">
        <v>369</v>
      </c>
      <c r="AL54" s="40">
        <f>428-AK54</f>
        <v>59</v>
      </c>
      <c r="AM54" s="40">
        <f>1038-SUM(AK54:AL54)</f>
        <v>610</v>
      </c>
      <c r="AN54" s="20">
        <v>0</v>
      </c>
      <c r="AO54" s="21">
        <f>SUM(AK54:AN54)</f>
        <v>1038</v>
      </c>
      <c r="AP54" s="40">
        <v>-413</v>
      </c>
      <c r="AQ54" s="40">
        <f>-250-AP54</f>
        <v>163</v>
      </c>
      <c r="AR54" s="483">
        <f>-313-SUM(AP54:AQ54)</f>
        <v>-63</v>
      </c>
      <c r="AS54" s="496"/>
      <c r="AT54" s="42"/>
      <c r="AU54" s="40"/>
      <c r="AV54" s="20"/>
      <c r="AW54" s="20"/>
      <c r="AX54" s="20"/>
      <c r="AY54" s="42"/>
      <c r="AZ54" s="40"/>
      <c r="BA54" s="20"/>
      <c r="BB54" s="20"/>
      <c r="BC54" s="20"/>
      <c r="BD54" s="42"/>
      <c r="BE54" s="40"/>
      <c r="BF54" s="20"/>
      <c r="BG54" s="20"/>
      <c r="BH54" s="20"/>
      <c r="BI54" s="21"/>
      <c r="BK54" s="349"/>
    </row>
    <row r="55" spans="1:73" hidden="1" outlineLevel="1">
      <c r="A55" s="1" t="s">
        <v>194</v>
      </c>
      <c r="B55" s="40"/>
      <c r="C55" s="40"/>
      <c r="D55" s="40"/>
      <c r="E55" s="20"/>
      <c r="F55" s="42"/>
      <c r="G55" s="40"/>
      <c r="H55" s="40"/>
      <c r="I55" s="40"/>
      <c r="J55" s="20"/>
      <c r="K55" s="42"/>
      <c r="L55" s="40"/>
      <c r="M55" s="40"/>
      <c r="N55" s="40"/>
      <c r="O55" s="20"/>
      <c r="P55" s="42"/>
      <c r="Q55" s="40"/>
      <c r="R55" s="40"/>
      <c r="S55" s="40"/>
      <c r="T55" s="20"/>
      <c r="U55" s="42"/>
      <c r="V55" s="40"/>
      <c r="W55" s="40"/>
      <c r="X55" s="40"/>
      <c r="Y55" s="20"/>
      <c r="Z55" s="42"/>
      <c r="AA55" s="40"/>
      <c r="AB55" s="40"/>
      <c r="AC55" s="40"/>
      <c r="AD55" s="20"/>
      <c r="AE55" s="42"/>
      <c r="AF55" s="40"/>
      <c r="AG55" s="40"/>
      <c r="AH55" s="40"/>
      <c r="AI55" s="20"/>
      <c r="AJ55" s="42"/>
      <c r="AK55" s="40">
        <v>-407</v>
      </c>
      <c r="AL55" s="40">
        <f>121-AK55</f>
        <v>528</v>
      </c>
      <c r="AM55" s="40">
        <f>-481-SUM(AK55:AL55)</f>
        <v>-602</v>
      </c>
      <c r="AN55" s="20">
        <v>0</v>
      </c>
      <c r="AO55" s="21">
        <f>SUM(AK55:AN55)</f>
        <v>-481</v>
      </c>
      <c r="AP55" s="40">
        <v>-3068</v>
      </c>
      <c r="AQ55" s="40">
        <f>-3113-AP55</f>
        <v>-45</v>
      </c>
      <c r="AR55" s="483">
        <f>-3057-SUM(AP55:AQ55)</f>
        <v>56</v>
      </c>
      <c r="AS55" s="496"/>
      <c r="AT55" s="42"/>
      <c r="AU55" s="40"/>
      <c r="AV55" s="20"/>
      <c r="AW55" s="20"/>
      <c r="AX55" s="20"/>
      <c r="AY55" s="42"/>
      <c r="AZ55" s="40"/>
      <c r="BA55" s="20"/>
      <c r="BB55" s="20"/>
      <c r="BC55" s="20"/>
      <c r="BD55" s="42"/>
      <c r="BE55" s="40"/>
      <c r="BF55" s="20"/>
      <c r="BG55" s="20"/>
      <c r="BH55" s="20"/>
      <c r="BI55" s="21"/>
      <c r="BK55" s="349"/>
    </row>
    <row r="56" spans="1:73" hidden="1" outlineLevel="1">
      <c r="A56" s="1" t="s">
        <v>195</v>
      </c>
      <c r="B56" s="40"/>
      <c r="C56" s="40"/>
      <c r="D56" s="40"/>
      <c r="E56" s="20"/>
      <c r="F56" s="42"/>
      <c r="G56" s="40"/>
      <c r="H56" s="40"/>
      <c r="I56" s="40"/>
      <c r="J56" s="20"/>
      <c r="K56" s="42"/>
      <c r="L56" s="40"/>
      <c r="M56" s="40"/>
      <c r="N56" s="40"/>
      <c r="O56" s="20"/>
      <c r="P56" s="42"/>
      <c r="Q56" s="40"/>
      <c r="R56" s="40"/>
      <c r="S56" s="40"/>
      <c r="T56" s="20"/>
      <c r="U56" s="42"/>
      <c r="V56" s="40"/>
      <c r="W56" s="40"/>
      <c r="X56" s="40"/>
      <c r="Y56" s="20"/>
      <c r="Z56" s="42"/>
      <c r="AA56" s="40"/>
      <c r="AB56" s="40"/>
      <c r="AC56" s="40"/>
      <c r="AD56" s="20"/>
      <c r="AE56" s="42"/>
      <c r="AF56" s="40"/>
      <c r="AG56" s="40"/>
      <c r="AH56" s="40"/>
      <c r="AI56" s="20"/>
      <c r="AJ56" s="42"/>
      <c r="AK56" s="40">
        <v>-28</v>
      </c>
      <c r="AL56" s="40">
        <f>-54-AK56</f>
        <v>-26</v>
      </c>
      <c r="AM56" s="40">
        <f>-89-SUM(AK56:AL56)</f>
        <v>-35</v>
      </c>
      <c r="AN56" s="20">
        <v>0</v>
      </c>
      <c r="AO56" s="21">
        <f>SUM(AK56:AN56)</f>
        <v>-89</v>
      </c>
      <c r="AP56" s="40">
        <v>1999</v>
      </c>
      <c r="AQ56" s="40">
        <f>1992-AP56</f>
        <v>-7</v>
      </c>
      <c r="AR56" s="483">
        <f>1999-SUM(AP56:AQ56)</f>
        <v>7</v>
      </c>
      <c r="AS56" s="496"/>
      <c r="AT56" s="42"/>
      <c r="AU56" s="40"/>
      <c r="AV56" s="20"/>
      <c r="AW56" s="20"/>
      <c r="AX56" s="20"/>
      <c r="AY56" s="42"/>
      <c r="AZ56" s="40"/>
      <c r="BA56" s="20"/>
      <c r="BB56" s="20"/>
      <c r="BC56" s="20"/>
      <c r="BD56" s="42"/>
      <c r="BE56" s="40"/>
      <c r="BF56" s="20"/>
      <c r="BG56" s="20"/>
      <c r="BH56" s="20"/>
      <c r="BI56" s="21"/>
      <c r="BK56" s="349"/>
    </row>
    <row r="57" spans="1:73" hidden="1" outlineLevel="1">
      <c r="A57" s="6" t="s">
        <v>196</v>
      </c>
      <c r="B57" s="22"/>
      <c r="C57" s="22"/>
      <c r="D57" s="22"/>
      <c r="E57" s="22"/>
      <c r="F57" s="23"/>
      <c r="G57" s="22"/>
      <c r="H57" s="22"/>
      <c r="I57" s="22"/>
      <c r="J57" s="22"/>
      <c r="K57" s="23"/>
      <c r="L57" s="22"/>
      <c r="M57" s="22"/>
      <c r="N57" s="22"/>
      <c r="O57" s="22"/>
      <c r="P57" s="23"/>
      <c r="Q57" s="22"/>
      <c r="R57" s="22"/>
      <c r="S57" s="22"/>
      <c r="T57" s="22"/>
      <c r="U57" s="23"/>
      <c r="V57" s="22"/>
      <c r="W57" s="22"/>
      <c r="X57" s="22"/>
      <c r="Y57" s="22"/>
      <c r="Z57" s="23"/>
      <c r="AA57" s="22"/>
      <c r="AB57" s="22"/>
      <c r="AC57" s="22"/>
      <c r="AD57" s="22"/>
      <c r="AE57" s="23"/>
      <c r="AF57" s="22"/>
      <c r="AG57" s="22"/>
      <c r="AH57" s="22"/>
      <c r="AI57" s="22"/>
      <c r="AJ57" s="23"/>
      <c r="AK57" s="22">
        <f t="shared" ref="AK57:AR57" si="53">SUM(AK54:AK56)</f>
        <v>-66</v>
      </c>
      <c r="AL57" s="22">
        <f t="shared" si="53"/>
        <v>561</v>
      </c>
      <c r="AM57" s="22">
        <f t="shared" si="53"/>
        <v>-27</v>
      </c>
      <c r="AN57" s="22">
        <f t="shared" si="53"/>
        <v>0</v>
      </c>
      <c r="AO57" s="23">
        <f t="shared" si="53"/>
        <v>468</v>
      </c>
      <c r="AP57" s="22">
        <f t="shared" si="53"/>
        <v>-1482</v>
      </c>
      <c r="AQ57" s="22">
        <f t="shared" si="53"/>
        <v>111</v>
      </c>
      <c r="AR57" s="484">
        <f t="shared" si="53"/>
        <v>0</v>
      </c>
      <c r="AS57" s="484"/>
      <c r="AT57" s="23"/>
      <c r="AU57" s="22"/>
      <c r="AV57" s="22"/>
      <c r="AW57" s="22"/>
      <c r="AX57" s="22"/>
      <c r="AY57" s="23"/>
      <c r="AZ57" s="22"/>
      <c r="BA57" s="22"/>
      <c r="BB57" s="22"/>
      <c r="BC57" s="22"/>
      <c r="BD57" s="23"/>
      <c r="BE57" s="22"/>
      <c r="BF57" s="22"/>
      <c r="BG57" s="22"/>
      <c r="BH57" s="22"/>
      <c r="BI57" s="23"/>
      <c r="BK57" s="349"/>
    </row>
    <row r="58" spans="1:73" hidden="1" outlineLevel="1">
      <c r="B58" s="20"/>
      <c r="C58" s="20"/>
      <c r="D58" s="20"/>
      <c r="E58" s="20"/>
      <c r="F58" s="21"/>
      <c r="G58" s="20"/>
      <c r="H58" s="20"/>
      <c r="I58" s="20"/>
      <c r="J58" s="20"/>
      <c r="K58" s="21"/>
      <c r="L58" s="20"/>
      <c r="M58" s="20"/>
      <c r="N58" s="20"/>
      <c r="O58" s="20"/>
      <c r="P58" s="21"/>
      <c r="Q58" s="20"/>
      <c r="R58" s="20"/>
      <c r="S58" s="20"/>
      <c r="T58" s="20"/>
      <c r="U58" s="21"/>
      <c r="V58" s="20"/>
      <c r="W58" s="20"/>
      <c r="X58" s="20"/>
      <c r="Y58" s="20"/>
      <c r="Z58" s="21"/>
      <c r="AA58" s="20"/>
      <c r="AB58" s="20"/>
      <c r="AC58" s="20"/>
      <c r="AD58" s="20"/>
      <c r="AE58" s="21"/>
      <c r="AF58" s="20"/>
      <c r="AG58" s="20"/>
      <c r="AH58" s="20"/>
      <c r="AI58" s="20"/>
      <c r="AJ58" s="21"/>
      <c r="AK58" s="20"/>
      <c r="AL58" s="20"/>
      <c r="AM58" s="20"/>
      <c r="AN58" s="20"/>
      <c r="AO58" s="21"/>
      <c r="AP58" s="20"/>
      <c r="AQ58" s="20"/>
      <c r="AR58" s="422"/>
      <c r="AS58" s="422"/>
      <c r="AT58" s="21"/>
      <c r="AU58" s="20"/>
      <c r="AV58" s="20"/>
      <c r="AW58" s="20"/>
      <c r="AX58" s="20"/>
      <c r="AY58" s="21"/>
      <c r="AZ58" s="20"/>
      <c r="BA58" s="20"/>
      <c r="BB58" s="20"/>
      <c r="BC58" s="20"/>
      <c r="BD58" s="21"/>
      <c r="BE58" s="20"/>
      <c r="BF58" s="20"/>
      <c r="BG58" s="20"/>
      <c r="BH58" s="20"/>
      <c r="BI58" s="21"/>
      <c r="BK58" s="349"/>
    </row>
    <row r="59" spans="1:73" collapsed="1">
      <c r="A59" s="1" t="s">
        <v>60</v>
      </c>
      <c r="B59" s="40"/>
      <c r="C59" s="40"/>
      <c r="D59" s="40"/>
      <c r="E59" s="20"/>
      <c r="F59" s="42"/>
      <c r="G59" s="40"/>
      <c r="H59" s="40"/>
      <c r="I59" s="40"/>
      <c r="J59" s="20"/>
      <c r="K59" s="42"/>
      <c r="L59" s="40"/>
      <c r="M59" s="40"/>
      <c r="N59" s="40"/>
      <c r="O59" s="20"/>
      <c r="P59" s="42"/>
      <c r="Q59" s="40"/>
      <c r="R59" s="40"/>
      <c r="S59" s="40"/>
      <c r="T59" s="20"/>
      <c r="U59" s="42"/>
      <c r="V59" s="40"/>
      <c r="W59" s="40"/>
      <c r="X59" s="40"/>
      <c r="Y59" s="20"/>
      <c r="Z59" s="42"/>
      <c r="AA59" s="40"/>
      <c r="AB59" s="40"/>
      <c r="AC59" s="40"/>
      <c r="AD59" s="20"/>
      <c r="AE59" s="42"/>
      <c r="AF59" s="40"/>
      <c r="AG59" s="40"/>
      <c r="AH59" s="40"/>
      <c r="AI59" s="20"/>
      <c r="AJ59" s="42"/>
      <c r="AK59" s="40">
        <v>-75</v>
      </c>
      <c r="AL59" s="40">
        <f>-266-AK59</f>
        <v>-191</v>
      </c>
      <c r="AM59" s="40">
        <f>-623-SUM(AK59:AL59)</f>
        <v>-357</v>
      </c>
      <c r="AN59" s="20">
        <f>+AO59-SUM(AK59:AM59)</f>
        <v>623</v>
      </c>
      <c r="AO59" s="42"/>
      <c r="AP59" s="40">
        <v>65</v>
      </c>
      <c r="AQ59" s="40">
        <f>79-AP59</f>
        <v>14</v>
      </c>
      <c r="AR59" s="483">
        <f>-91-SUM(AP59:AQ59)</f>
        <v>-170</v>
      </c>
      <c r="AS59" s="421">
        <f>+AT59-SUM(AP59:AR59)</f>
        <v>211</v>
      </c>
      <c r="AT59" s="42">
        <v>120</v>
      </c>
      <c r="AU59" s="40">
        <v>-61</v>
      </c>
      <c r="AV59" s="40">
        <f>-143-AU59</f>
        <v>-82</v>
      </c>
      <c r="AW59" s="40">
        <f>-58-SUM(AU59:AV59)</f>
        <v>85</v>
      </c>
      <c r="AX59" s="20">
        <f>+AY59-SUM(AU59:AW59)</f>
        <v>-135</v>
      </c>
      <c r="AY59" s="42">
        <v>-193</v>
      </c>
      <c r="AZ59" s="40">
        <v>84</v>
      </c>
      <c r="BA59" s="40">
        <f>188-AZ59</f>
        <v>104</v>
      </c>
      <c r="BB59" s="40">
        <f>189-BA59-AZ59</f>
        <v>1</v>
      </c>
      <c r="BC59" s="20">
        <f>+BD59-SUM(AZ59:BB59)</f>
        <v>12</v>
      </c>
      <c r="BD59" s="42">
        <v>201</v>
      </c>
      <c r="BE59" s="40">
        <v>-57</v>
      </c>
      <c r="BF59" s="40">
        <v>0</v>
      </c>
      <c r="BG59" s="40">
        <v>0</v>
      </c>
      <c r="BH59" s="40">
        <v>0</v>
      </c>
      <c r="BI59" s="21">
        <f>SUM(BE59:BH59)</f>
        <v>-57</v>
      </c>
      <c r="BJ59" s="494"/>
      <c r="BK59" s="349"/>
    </row>
    <row r="60" spans="1:73">
      <c r="A60" s="1" t="s">
        <v>179</v>
      </c>
      <c r="B60" s="40"/>
      <c r="C60" s="40"/>
      <c r="D60" s="40"/>
      <c r="E60" s="20"/>
      <c r="F60" s="42"/>
      <c r="G60" s="40"/>
      <c r="H60" s="40"/>
      <c r="I60" s="40"/>
      <c r="J60" s="20"/>
      <c r="K60" s="42"/>
      <c r="L60" s="40"/>
      <c r="M60" s="40"/>
      <c r="N60" s="40"/>
      <c r="O60" s="20"/>
      <c r="P60" s="42"/>
      <c r="Q60" s="40"/>
      <c r="R60" s="40"/>
      <c r="S60" s="40"/>
      <c r="T60" s="20"/>
      <c r="U60" s="42"/>
      <c r="V60" s="40"/>
      <c r="W60" s="40"/>
      <c r="X60" s="40"/>
      <c r="Y60" s="20"/>
      <c r="Z60" s="42"/>
      <c r="AA60" s="40"/>
      <c r="AB60" s="40"/>
      <c r="AC60" s="40"/>
      <c r="AD60" s="20"/>
      <c r="AE60" s="42"/>
      <c r="AF60" s="40"/>
      <c r="AG60" s="40"/>
      <c r="AH60" s="40"/>
      <c r="AI60" s="20"/>
      <c r="AJ60" s="42"/>
      <c r="AK60" s="40">
        <v>-2</v>
      </c>
      <c r="AL60" s="40">
        <v>-1</v>
      </c>
      <c r="AM60" s="40">
        <v>0</v>
      </c>
      <c r="AN60" s="20">
        <f>+AO60-SUM(AK60:AM60)</f>
        <v>3</v>
      </c>
      <c r="AO60" s="42"/>
      <c r="AP60" s="40">
        <v>-2</v>
      </c>
      <c r="AQ60" s="40">
        <v>1</v>
      </c>
      <c r="AR60" s="483">
        <v>-4</v>
      </c>
      <c r="AS60" s="421">
        <f>+AT60-SUM(AP60:AR60)</f>
        <v>5</v>
      </c>
      <c r="AT60" s="42">
        <v>0</v>
      </c>
      <c r="AU60" s="40">
        <v>0</v>
      </c>
      <c r="AV60" s="40">
        <f>0-AU60</f>
        <v>0</v>
      </c>
      <c r="AW60" s="40">
        <f>0-SUM(AU60:AV60)</f>
        <v>0</v>
      </c>
      <c r="AX60" s="20">
        <f>+AY60-SUM(AU60:AW60)</f>
        <v>0</v>
      </c>
      <c r="AY60" s="42">
        <v>0</v>
      </c>
      <c r="AZ60" s="40">
        <v>0</v>
      </c>
      <c r="BA60" s="479">
        <f>1-AZ60</f>
        <v>1</v>
      </c>
      <c r="BB60" s="479">
        <f>1-BA60</f>
        <v>0</v>
      </c>
      <c r="BC60" s="20">
        <f>+BD60-SUM(AZ60:BB60)</f>
        <v>-1</v>
      </c>
      <c r="BD60" s="42">
        <v>0</v>
      </c>
      <c r="BE60" s="40">
        <v>0</v>
      </c>
      <c r="BF60" s="40">
        <v>0</v>
      </c>
      <c r="BG60" s="40">
        <v>0</v>
      </c>
      <c r="BH60" s="40">
        <v>0</v>
      </c>
      <c r="BI60" s="21">
        <f>SUM(BE60:BH60)</f>
        <v>0</v>
      </c>
      <c r="BJ60" s="494"/>
      <c r="BK60" s="349"/>
    </row>
    <row r="61" spans="1:73">
      <c r="A61" s="15" t="s">
        <v>217</v>
      </c>
      <c r="B61" s="73"/>
      <c r="C61" s="73"/>
      <c r="D61" s="73"/>
      <c r="E61" s="73"/>
      <c r="F61" s="75"/>
      <c r="G61" s="73"/>
      <c r="H61" s="73"/>
      <c r="I61" s="73"/>
      <c r="J61" s="73"/>
      <c r="K61" s="75"/>
      <c r="L61" s="73"/>
      <c r="M61" s="73"/>
      <c r="N61" s="73"/>
      <c r="O61" s="73"/>
      <c r="P61" s="75"/>
      <c r="Q61" s="73"/>
      <c r="R61" s="73"/>
      <c r="S61" s="73"/>
      <c r="T61" s="73"/>
      <c r="U61" s="75"/>
      <c r="V61" s="73"/>
      <c r="W61" s="73"/>
      <c r="X61" s="73"/>
      <c r="Y61" s="73"/>
      <c r="Z61" s="75"/>
      <c r="AA61" s="73"/>
      <c r="AB61" s="73"/>
      <c r="AC61" s="73"/>
      <c r="AD61" s="73"/>
      <c r="AE61" s="75"/>
      <c r="AF61" s="73"/>
      <c r="AG61" s="73"/>
      <c r="AH61" s="73"/>
      <c r="AI61" s="73"/>
      <c r="AJ61" s="75"/>
      <c r="AK61" s="73">
        <f t="shared" ref="AK61:AR61" si="54">+SUM(AK49,AK37,AK25,AK57,AK59,AK60)</f>
        <v>-2534</v>
      </c>
      <c r="AL61" s="73">
        <f t="shared" si="54"/>
        <v>645</v>
      </c>
      <c r="AM61" s="73">
        <f t="shared" si="54"/>
        <v>-855</v>
      </c>
      <c r="AN61" s="73">
        <f t="shared" ca="1" si="54"/>
        <v>5435</v>
      </c>
      <c r="AO61" s="75">
        <f t="shared" ca="1" si="54"/>
        <v>2691</v>
      </c>
      <c r="AP61" s="73">
        <f t="shared" si="54"/>
        <v>-5220</v>
      </c>
      <c r="AQ61" s="73">
        <f t="shared" si="54"/>
        <v>958</v>
      </c>
      <c r="AR61" s="485">
        <f t="shared" si="54"/>
        <v>283</v>
      </c>
      <c r="AS61" s="485">
        <f t="shared" ref="AS61:AX61" si="55">+SUM(AS51,AS39,AS27,AS59,AS60)</f>
        <v>3271</v>
      </c>
      <c r="AT61" s="75">
        <f t="shared" si="55"/>
        <v>663</v>
      </c>
      <c r="AU61" s="73">
        <f t="shared" si="55"/>
        <v>1535</v>
      </c>
      <c r="AV61" s="73">
        <f t="shared" si="55"/>
        <v>-6343</v>
      </c>
      <c r="AW61" s="73">
        <f t="shared" si="55"/>
        <v>1625</v>
      </c>
      <c r="AX61" s="73">
        <f t="shared" si="55"/>
        <v>-692</v>
      </c>
      <c r="AY61" s="75">
        <f t="shared" ref="AY61:BA61" si="56">+SUM(AY51,AY39,AY27,AY59,AY60)</f>
        <v>-3875</v>
      </c>
      <c r="AZ61" s="73">
        <f t="shared" si="56"/>
        <v>-1008</v>
      </c>
      <c r="BA61" s="73">
        <f t="shared" si="56"/>
        <v>-1390</v>
      </c>
      <c r="BB61" s="73">
        <f t="shared" ref="BB61:BD61" si="57">+SUM(BB51,BB39,BB27,BB59,BB60)</f>
        <v>1530</v>
      </c>
      <c r="BC61" s="73">
        <f t="shared" si="57"/>
        <v>-229</v>
      </c>
      <c r="BD61" s="75">
        <f t="shared" si="57"/>
        <v>-1097</v>
      </c>
      <c r="BE61" s="73">
        <f t="shared" ref="BE61:BI61" si="58">+SUM(BE51,BE39,BE27,BE59,BE60)</f>
        <v>-1984</v>
      </c>
      <c r="BF61" s="73">
        <f t="shared" si="58"/>
        <v>-1420</v>
      </c>
      <c r="BG61" s="73">
        <f t="shared" ca="1" si="58"/>
        <v>16.405101544919489</v>
      </c>
      <c r="BH61" s="73">
        <f t="shared" ca="1" si="58"/>
        <v>452.09043463833268</v>
      </c>
      <c r="BI61" s="75">
        <f t="shared" ca="1" si="58"/>
        <v>-2935.5044638167492</v>
      </c>
      <c r="BK61" s="349"/>
    </row>
    <row r="62" spans="1:73">
      <c r="A62" s="15"/>
      <c r="B62" s="73"/>
      <c r="C62" s="73"/>
      <c r="D62" s="73"/>
      <c r="E62" s="73"/>
      <c r="F62" s="75"/>
      <c r="G62" s="73"/>
      <c r="H62" s="73"/>
      <c r="I62" s="73"/>
      <c r="J62" s="73"/>
      <c r="K62" s="75"/>
      <c r="L62" s="73"/>
      <c r="M62" s="73"/>
      <c r="N62" s="73"/>
      <c r="O62" s="73"/>
      <c r="P62" s="75"/>
      <c r="Q62" s="73"/>
      <c r="R62" s="73"/>
      <c r="S62" s="73"/>
      <c r="T62" s="73"/>
      <c r="U62" s="75"/>
      <c r="V62" s="73"/>
      <c r="W62" s="73"/>
      <c r="X62" s="73"/>
      <c r="Y62" s="73"/>
      <c r="Z62" s="75"/>
      <c r="AA62" s="73"/>
      <c r="AB62" s="73"/>
      <c r="AC62" s="73"/>
      <c r="AD62" s="73"/>
      <c r="AE62" s="75"/>
      <c r="AF62" s="73"/>
      <c r="AG62" s="73"/>
      <c r="AH62" s="73"/>
      <c r="AI62" s="73"/>
      <c r="AJ62" s="75"/>
      <c r="AK62" s="73"/>
      <c r="AL62" s="73"/>
      <c r="AM62" s="73"/>
      <c r="AN62" s="73"/>
      <c r="AO62" s="75"/>
      <c r="AP62" s="73"/>
      <c r="AQ62" s="73"/>
      <c r="AR62" s="485"/>
      <c r="AS62" s="485"/>
      <c r="AT62" s="75"/>
      <c r="AU62" s="73"/>
      <c r="AV62" s="73"/>
      <c r="AW62" s="73"/>
      <c r="AX62" s="73"/>
      <c r="AY62" s="75"/>
      <c r="AZ62" s="73"/>
      <c r="BA62" s="73"/>
      <c r="BB62" s="73"/>
      <c r="BC62" s="73"/>
      <c r="BD62" s="75"/>
      <c r="BE62" s="73"/>
      <c r="BF62" s="73"/>
      <c r="BG62" s="73"/>
      <c r="BH62" s="73"/>
      <c r="BI62" s="75"/>
      <c r="BK62" s="349"/>
    </row>
    <row r="63" spans="1:73">
      <c r="A63" s="14" t="s">
        <v>181</v>
      </c>
      <c r="B63" s="86"/>
      <c r="C63" s="22"/>
      <c r="D63" s="22"/>
      <c r="E63" s="22"/>
      <c r="F63" s="23"/>
      <c r="G63" s="22"/>
      <c r="H63" s="22"/>
      <c r="I63" s="22"/>
      <c r="J63" s="22"/>
      <c r="K63" s="23"/>
      <c r="L63" s="22"/>
      <c r="M63" s="22"/>
      <c r="N63" s="22"/>
      <c r="O63" s="22"/>
      <c r="P63" s="23"/>
      <c r="Q63" s="22"/>
      <c r="R63" s="22"/>
      <c r="S63" s="22"/>
      <c r="T63" s="22"/>
      <c r="U63" s="23"/>
      <c r="V63" s="28"/>
      <c r="W63" s="22"/>
      <c r="X63" s="22"/>
      <c r="Y63" s="22"/>
      <c r="Z63" s="23"/>
      <c r="AA63" s="22"/>
      <c r="AB63" s="22"/>
      <c r="AC63" s="22"/>
      <c r="AD63" s="22"/>
      <c r="AE63" s="23"/>
      <c r="AF63" s="22"/>
      <c r="AG63" s="22"/>
      <c r="AH63" s="22"/>
      <c r="AI63" s="22"/>
      <c r="AJ63" s="23"/>
      <c r="AK63" s="22">
        <f>AJ64</f>
        <v>16859</v>
      </c>
      <c r="AL63" s="22">
        <f>+AK64</f>
        <v>14325</v>
      </c>
      <c r="AM63" s="22">
        <f>AL64</f>
        <v>14970</v>
      </c>
      <c r="AN63" s="22">
        <f>+AM64</f>
        <v>14115</v>
      </c>
      <c r="AO63" s="23">
        <f>+AK63</f>
        <v>16859</v>
      </c>
      <c r="AP63" s="22">
        <f>AO64</f>
        <v>19092</v>
      </c>
      <c r="AQ63" s="22">
        <f>AP64</f>
        <v>13872</v>
      </c>
      <c r="AR63" s="484">
        <f>AQ64</f>
        <v>14830</v>
      </c>
      <c r="AS63" s="484">
        <f>AR64</f>
        <v>15113</v>
      </c>
      <c r="AT63" s="23">
        <f>+AP63</f>
        <v>19092</v>
      </c>
      <c r="AU63" s="22">
        <f>AT64</f>
        <v>19755</v>
      </c>
      <c r="AV63" s="22">
        <f>AU64</f>
        <v>21290</v>
      </c>
      <c r="AW63" s="22">
        <f>AV64</f>
        <v>14947</v>
      </c>
      <c r="AX63" s="22">
        <f>AW64</f>
        <v>16572</v>
      </c>
      <c r="AY63" s="23">
        <f>+AU63</f>
        <v>19755</v>
      </c>
      <c r="AZ63" s="22">
        <f>AY64</f>
        <v>15880</v>
      </c>
      <c r="BA63" s="22">
        <f>AZ64</f>
        <v>14872</v>
      </c>
      <c r="BB63" s="22">
        <f>BA64</f>
        <v>13482</v>
      </c>
      <c r="BC63" s="22">
        <f>BB64</f>
        <v>15012</v>
      </c>
      <c r="BD63" s="23">
        <f>+AZ63</f>
        <v>15880</v>
      </c>
      <c r="BE63" s="270">
        <f>BD64</f>
        <v>14783</v>
      </c>
      <c r="BF63" s="22">
        <f>BE64</f>
        <v>12799</v>
      </c>
      <c r="BG63" s="22">
        <f>BF64</f>
        <v>11379</v>
      </c>
      <c r="BH63" s="22">
        <f ca="1">BG64</f>
        <v>11395.405101544919</v>
      </c>
      <c r="BI63" s="23">
        <f>+BE63</f>
        <v>14783</v>
      </c>
    </row>
    <row r="64" spans="1:73">
      <c r="A64" s="14" t="s">
        <v>180</v>
      </c>
      <c r="B64" s="22"/>
      <c r="C64" s="22"/>
      <c r="D64" s="22"/>
      <c r="E64" s="22"/>
      <c r="F64" s="23"/>
      <c r="G64" s="22"/>
      <c r="H64" s="22"/>
      <c r="I64" s="22"/>
      <c r="J64" s="22"/>
      <c r="K64" s="23"/>
      <c r="L64" s="22"/>
      <c r="M64" s="22"/>
      <c r="N64" s="22"/>
      <c r="O64" s="22"/>
      <c r="P64" s="23"/>
      <c r="Q64" s="22"/>
      <c r="R64" s="22"/>
      <c r="S64" s="22"/>
      <c r="T64" s="22"/>
      <c r="U64" s="23"/>
      <c r="V64" s="22"/>
      <c r="W64" s="22"/>
      <c r="X64" s="22"/>
      <c r="Y64" s="22"/>
      <c r="Z64" s="23"/>
      <c r="AA64" s="22"/>
      <c r="AB64" s="22"/>
      <c r="AC64" s="22"/>
      <c r="AD64" s="22"/>
      <c r="AE64" s="23"/>
      <c r="AF64" s="22"/>
      <c r="AG64" s="22"/>
      <c r="AH64" s="22"/>
      <c r="AI64" s="22"/>
      <c r="AJ64" s="23">
        <v>16859</v>
      </c>
      <c r="AK64" s="22">
        <f>+SUM(AK61,AK63)</f>
        <v>14325</v>
      </c>
      <c r="AL64" s="22">
        <f t="shared" ref="AL64:AT64" si="59">+SUM(AL61,AL63)</f>
        <v>14970</v>
      </c>
      <c r="AM64" s="22">
        <f t="shared" si="59"/>
        <v>14115</v>
      </c>
      <c r="AN64" s="22">
        <f t="shared" ca="1" si="59"/>
        <v>19550</v>
      </c>
      <c r="AO64" s="29">
        <v>19092</v>
      </c>
      <c r="AP64" s="22">
        <f t="shared" si="59"/>
        <v>13872</v>
      </c>
      <c r="AQ64" s="22">
        <f t="shared" si="59"/>
        <v>14830</v>
      </c>
      <c r="AR64" s="484">
        <f t="shared" si="59"/>
        <v>15113</v>
      </c>
      <c r="AS64" s="484">
        <f>+SUM(AS61,AS63)</f>
        <v>18384</v>
      </c>
      <c r="AT64" s="23">
        <f t="shared" si="59"/>
        <v>19755</v>
      </c>
      <c r="AU64" s="22">
        <f t="shared" ref="AU64:AY64" si="60">+SUM(AU61,AU63)</f>
        <v>21290</v>
      </c>
      <c r="AV64" s="22">
        <f t="shared" si="60"/>
        <v>14947</v>
      </c>
      <c r="AW64" s="22">
        <f t="shared" si="60"/>
        <v>16572</v>
      </c>
      <c r="AX64" s="22">
        <f t="shared" si="60"/>
        <v>15880</v>
      </c>
      <c r="AY64" s="23">
        <f t="shared" si="60"/>
        <v>15880</v>
      </c>
      <c r="AZ64" s="22">
        <f>+SUM(AZ61,AZ63)</f>
        <v>14872</v>
      </c>
      <c r="BA64" s="22">
        <f t="shared" ref="BA64:BD64" si="61">+SUM(BA61,BA63)</f>
        <v>13482</v>
      </c>
      <c r="BB64" s="22">
        <f t="shared" si="61"/>
        <v>15012</v>
      </c>
      <c r="BC64" s="22">
        <f t="shared" si="61"/>
        <v>14783</v>
      </c>
      <c r="BD64" s="23">
        <f t="shared" si="61"/>
        <v>14783</v>
      </c>
      <c r="BE64" s="22">
        <f t="shared" ref="BE64:BI64" si="62">+SUM(BE61,BE63)</f>
        <v>12799</v>
      </c>
      <c r="BF64" s="22">
        <f t="shared" si="62"/>
        <v>11379</v>
      </c>
      <c r="BG64" s="22">
        <f t="shared" ca="1" si="62"/>
        <v>11395.405101544919</v>
      </c>
      <c r="BH64" s="22">
        <f t="shared" ca="1" si="62"/>
        <v>11847.495536183251</v>
      </c>
      <c r="BI64" s="23">
        <f t="shared" ca="1" si="62"/>
        <v>11847.495536183251</v>
      </c>
    </row>
    <row r="65" spans="1:76">
      <c r="A65" s="14" t="s">
        <v>184</v>
      </c>
      <c r="B65" s="28"/>
      <c r="C65" s="28"/>
      <c r="D65" s="28"/>
      <c r="E65" s="28"/>
      <c r="F65" s="23"/>
      <c r="G65" s="28"/>
      <c r="H65" s="28"/>
      <c r="I65" s="28"/>
      <c r="J65" s="28"/>
      <c r="K65" s="23"/>
      <c r="L65" s="28"/>
      <c r="M65" s="28"/>
      <c r="N65" s="28"/>
      <c r="O65" s="28"/>
      <c r="P65" s="23"/>
      <c r="Q65" s="28"/>
      <c r="R65" s="28"/>
      <c r="S65" s="28"/>
      <c r="T65" s="28"/>
      <c r="U65" s="23"/>
      <c r="V65" s="28"/>
      <c r="W65" s="28"/>
      <c r="X65" s="28"/>
      <c r="Y65" s="270"/>
      <c r="Z65" s="29"/>
      <c r="AA65" s="28"/>
      <c r="AB65" s="28"/>
      <c r="AC65" s="28"/>
      <c r="AD65" s="28"/>
      <c r="AE65" s="29"/>
      <c r="AF65" s="28"/>
      <c r="AG65" s="28"/>
      <c r="AH65" s="28"/>
      <c r="AI65" s="28"/>
      <c r="AJ65" s="29"/>
      <c r="AK65" s="270"/>
      <c r="AL65" s="270"/>
      <c r="AM65" s="270"/>
      <c r="AN65" s="270"/>
      <c r="AO65" s="177">
        <f>+AO64-Balance_Sheet_Qtr!AO5-AO66</f>
        <v>3282</v>
      </c>
      <c r="AP65" s="270">
        <f>+AP64-Balance_Sheet_Qtr!AP5-AP66</f>
        <v>691</v>
      </c>
      <c r="AQ65" s="270">
        <f>+AQ64-Balance_Sheet_Qtr!AQ5-AQ66</f>
        <v>746</v>
      </c>
      <c r="AR65" s="486">
        <f>+AR64-Balance_Sheet_Qtr!AR5-AR66</f>
        <v>742</v>
      </c>
      <c r="AS65" s="486">
        <f>+AS64-Balance_Sheet_Qtr!AS5-AS66</f>
        <v>6942</v>
      </c>
      <c r="AT65" s="177">
        <f>+AT64-Balance_Sheet_Qtr!AT5-AT66</f>
        <v>8313</v>
      </c>
      <c r="AU65" s="22">
        <f>+AU64-Balance_Sheet_Qtr!AU5-AU66</f>
        <v>7739</v>
      </c>
      <c r="AV65" s="22">
        <f>+AV64-Balance_Sheet_Qtr!AV5-AV66</f>
        <v>4238</v>
      </c>
      <c r="AW65" s="22">
        <f>+AW64-Balance_Sheet_Qtr!AW5-AW66</f>
        <v>4316</v>
      </c>
      <c r="AX65" s="270">
        <f>+AX64-Balance_Sheet_Qtr!AX5-AX66</f>
        <v>3588</v>
      </c>
      <c r="AY65" s="177">
        <f>+AY64-Balance_Sheet_Qtr!AY5-AY66</f>
        <v>3588</v>
      </c>
      <c r="AZ65" s="22">
        <f>+AZ64-Balance_Sheet_Qtr!AZ5-AZ66</f>
        <v>3839</v>
      </c>
      <c r="BA65" s="22">
        <f>+BA64-Balance_Sheet_Qtr!BA5-BA66</f>
        <v>4050</v>
      </c>
      <c r="BB65" s="22">
        <f>+BB64-Balance_Sheet_Qtr!BB5-BB66</f>
        <v>3682</v>
      </c>
      <c r="BC65" s="370">
        <f>+BC64-Balance_Sheet_Qtr!BC5-BC66</f>
        <v>3517</v>
      </c>
      <c r="BD65" s="177">
        <f>+BD64-Balance_Sheet_Qtr!BD5-BD66</f>
        <v>3517</v>
      </c>
      <c r="BE65" s="22">
        <f>+BE64-Balance_Sheet_Qtr!BE5-BE66</f>
        <v>2818</v>
      </c>
      <c r="BF65" s="22">
        <f>+BF64-Balance_Sheet_Qtr!BF5-BF66</f>
        <v>2888</v>
      </c>
      <c r="BG65" s="22">
        <f t="shared" ref="BG65:BH65" si="63">BF65</f>
        <v>2888</v>
      </c>
      <c r="BH65" s="22">
        <f t="shared" si="63"/>
        <v>2888</v>
      </c>
      <c r="BI65" s="23">
        <f t="shared" ref="BI65:BI66" si="64">+BH65</f>
        <v>2888</v>
      </c>
    </row>
    <row r="66" spans="1:76">
      <c r="A66" s="14" t="s">
        <v>210</v>
      </c>
      <c r="B66" s="28"/>
      <c r="C66" s="28"/>
      <c r="D66" s="28"/>
      <c r="E66" s="28"/>
      <c r="F66" s="23"/>
      <c r="G66" s="28"/>
      <c r="H66" s="28"/>
      <c r="I66" s="28"/>
      <c r="J66" s="28"/>
      <c r="K66" s="23"/>
      <c r="L66" s="28"/>
      <c r="M66" s="28"/>
      <c r="N66" s="28"/>
      <c r="O66" s="28"/>
      <c r="P66" s="23"/>
      <c r="Q66" s="28"/>
      <c r="R66" s="28"/>
      <c r="S66" s="28"/>
      <c r="T66" s="28"/>
      <c r="U66" s="23"/>
      <c r="V66" s="28"/>
      <c r="W66" s="28"/>
      <c r="X66" s="28"/>
      <c r="Y66" s="28"/>
      <c r="Z66" s="29"/>
      <c r="AA66" s="28"/>
      <c r="AB66" s="28"/>
      <c r="AC66" s="28"/>
      <c r="AD66" s="28"/>
      <c r="AE66" s="275"/>
      <c r="AF66" s="28"/>
      <c r="AG66" s="28"/>
      <c r="AH66" s="28"/>
      <c r="AI66" s="28"/>
      <c r="AJ66" s="29"/>
      <c r="AK66" s="28"/>
      <c r="AL66" s="28"/>
      <c r="AM66" s="28"/>
      <c r="AN66" s="28"/>
      <c r="AO66" s="29">
        <v>0</v>
      </c>
      <c r="AP66" s="28">
        <v>1180</v>
      </c>
      <c r="AQ66" s="28">
        <v>1318</v>
      </c>
      <c r="AR66" s="487">
        <v>1244</v>
      </c>
      <c r="AS66" s="486">
        <f>AT66</f>
        <v>-3762</v>
      </c>
      <c r="AT66" s="29">
        <v>-3762</v>
      </c>
      <c r="AU66" s="28">
        <v>-4896</v>
      </c>
      <c r="AV66" s="28">
        <v>-1398</v>
      </c>
      <c r="AW66" s="28">
        <v>-1468</v>
      </c>
      <c r="AX66" s="28">
        <v>-1327</v>
      </c>
      <c r="AY66" s="177">
        <f>AX66</f>
        <v>-1327</v>
      </c>
      <c r="AZ66" s="28">
        <v>-1372</v>
      </c>
      <c r="BA66" s="28">
        <v>-1429</v>
      </c>
      <c r="BB66" s="28">
        <v>-1171</v>
      </c>
      <c r="BC66" s="28">
        <v>-1126</v>
      </c>
      <c r="BD66" s="177">
        <f>BC66</f>
        <v>-1126</v>
      </c>
      <c r="BE66" s="28">
        <f>-1000</f>
        <v>-1000</v>
      </c>
      <c r="BF66" s="28">
        <v>-854</v>
      </c>
      <c r="BG66" s="270">
        <f t="shared" ref="BG66:BH66" si="65">BF66</f>
        <v>-854</v>
      </c>
      <c r="BH66" s="22">
        <f t="shared" si="65"/>
        <v>-854</v>
      </c>
      <c r="BI66" s="23">
        <f t="shared" si="64"/>
        <v>-854</v>
      </c>
    </row>
    <row r="67" spans="1:76">
      <c r="A67" s="14" t="s">
        <v>182</v>
      </c>
      <c r="B67" s="22"/>
      <c r="C67" s="22"/>
      <c r="D67" s="22"/>
      <c r="E67" s="22"/>
      <c r="F67" s="23"/>
      <c r="G67" s="22"/>
      <c r="H67" s="22"/>
      <c r="I67" s="22"/>
      <c r="J67" s="22"/>
      <c r="K67" s="23"/>
      <c r="L67" s="22"/>
      <c r="M67" s="22"/>
      <c r="N67" s="22"/>
      <c r="O67" s="22"/>
      <c r="P67" s="23"/>
      <c r="Q67" s="22"/>
      <c r="R67" s="22"/>
      <c r="S67" s="22"/>
      <c r="T67" s="22"/>
      <c r="U67" s="23"/>
      <c r="V67" s="22"/>
      <c r="W67" s="22"/>
      <c r="X67" s="22"/>
      <c r="Y67" s="22"/>
      <c r="Z67" s="23"/>
      <c r="AA67" s="22"/>
      <c r="AB67" s="22"/>
      <c r="AC67" s="22"/>
      <c r="AD67" s="22"/>
      <c r="AE67" s="23"/>
      <c r="AF67" s="22"/>
      <c r="AG67" s="22"/>
      <c r="AH67" s="22"/>
      <c r="AI67" s="22"/>
      <c r="AJ67" s="23"/>
      <c r="AK67" s="22"/>
      <c r="AL67" s="22"/>
      <c r="AM67" s="22"/>
      <c r="AN67" s="22"/>
      <c r="AO67" s="23">
        <f t="shared" ref="AO67:AU67" si="66">+AO64-AO65-AO66</f>
        <v>15810</v>
      </c>
      <c r="AP67" s="22">
        <f t="shared" si="66"/>
        <v>12001</v>
      </c>
      <c r="AQ67" s="22">
        <f t="shared" si="66"/>
        <v>12766</v>
      </c>
      <c r="AR67" s="484">
        <f t="shared" si="66"/>
        <v>13127</v>
      </c>
      <c r="AS67" s="484">
        <f t="shared" si="66"/>
        <v>15204</v>
      </c>
      <c r="AT67" s="23">
        <f>+AT64-AT65-AT66</f>
        <v>15204</v>
      </c>
      <c r="AU67" s="22">
        <f t="shared" si="66"/>
        <v>18447</v>
      </c>
      <c r="AV67" s="22">
        <f t="shared" ref="AV67:AY67" si="67">+AV64-AV65-AV66</f>
        <v>12107</v>
      </c>
      <c r="AW67" s="22">
        <f t="shared" si="67"/>
        <v>13724</v>
      </c>
      <c r="AX67" s="22">
        <f>+AX64-AX65-AX66</f>
        <v>13619</v>
      </c>
      <c r="AY67" s="23">
        <f t="shared" si="67"/>
        <v>13619</v>
      </c>
      <c r="AZ67" s="22">
        <f>+AZ64-AZ65-AZ66</f>
        <v>12405</v>
      </c>
      <c r="BA67" s="22">
        <f t="shared" ref="BA67:BD67" si="68">+BA64-BA65-BA66</f>
        <v>10861</v>
      </c>
      <c r="BB67" s="22">
        <f t="shared" si="68"/>
        <v>12501</v>
      </c>
      <c r="BC67" s="424">
        <f t="shared" si="68"/>
        <v>12392</v>
      </c>
      <c r="BD67" s="23">
        <f t="shared" si="68"/>
        <v>12392</v>
      </c>
      <c r="BE67" s="22">
        <f t="shared" ref="BE67:BI67" si="69">+BE64-BE65-BE66</f>
        <v>10981</v>
      </c>
      <c r="BF67" s="22">
        <f t="shared" si="69"/>
        <v>9345</v>
      </c>
      <c r="BG67" s="22">
        <f t="shared" ca="1" si="69"/>
        <v>9361.4051015449186</v>
      </c>
      <c r="BH67" s="22">
        <f t="shared" ca="1" si="69"/>
        <v>9813.4955361832508</v>
      </c>
      <c r="BI67" s="23">
        <f t="shared" ca="1" si="69"/>
        <v>9813.4955361832508</v>
      </c>
    </row>
    <row r="68" spans="1:76">
      <c r="A68" t="s">
        <v>34</v>
      </c>
      <c r="F68" s="25"/>
      <c r="K68" s="25"/>
      <c r="P68" s="25"/>
      <c r="U68" s="25"/>
      <c r="Z68" s="25"/>
      <c r="AE68" s="25"/>
      <c r="AJ68" s="25"/>
      <c r="AO68" s="25" t="b">
        <f>+AO67=Balance_Sheet_Qtr!AO5</f>
        <v>1</v>
      </c>
      <c r="AP68" s="24" t="b">
        <f>+AP67=Balance_Sheet_Qtr!AP5</f>
        <v>1</v>
      </c>
      <c r="AQ68" s="24" t="b">
        <f>+AQ67=Balance_Sheet_Qtr!AQ5</f>
        <v>1</v>
      </c>
      <c r="AR68" s="420" t="b">
        <f>+AR67=Balance_Sheet_Qtr!AR5</f>
        <v>1</v>
      </c>
      <c r="AS68" s="420" t="b">
        <f>+AS67=Balance_Sheet_Qtr!AS5</f>
        <v>1</v>
      </c>
      <c r="AT68" s="25" t="b">
        <f>+AT67=Balance_Sheet_Qtr!AT5</f>
        <v>1</v>
      </c>
      <c r="AU68" s="24" t="b">
        <f>+AU67=Balance_Sheet_Qtr!AU5</f>
        <v>1</v>
      </c>
      <c r="AV68" s="24" t="b">
        <f>+AV67=Balance_Sheet_Qtr!AV5</f>
        <v>1</v>
      </c>
      <c r="AW68" s="24" t="b">
        <f>+AW67=Balance_Sheet_Qtr!AW5</f>
        <v>1</v>
      </c>
      <c r="AX68" s="24" t="b">
        <f>+AX67=Balance_Sheet_Qtr!AX5</f>
        <v>1</v>
      </c>
      <c r="AY68" s="25" t="b">
        <f>+AY67=Balance_Sheet_Qtr!AY5</f>
        <v>1</v>
      </c>
      <c r="AZ68" s="24" t="b">
        <f>+AZ67=Balance_Sheet_Qtr!AZ5</f>
        <v>1</v>
      </c>
      <c r="BA68" s="24" t="b">
        <f>+BA67=Balance_Sheet_Qtr!BA5</f>
        <v>1</v>
      </c>
      <c r="BB68" s="24" t="b">
        <f>+BB67=Balance_Sheet_Qtr!BB5</f>
        <v>1</v>
      </c>
      <c r="BC68" s="24" t="b">
        <f>+BC67=Balance_Sheet_Qtr!BC5</f>
        <v>1</v>
      </c>
      <c r="BD68" s="25" t="b">
        <f>+BD67=Balance_Sheet_Qtr!BD5</f>
        <v>1</v>
      </c>
      <c r="BE68" s="24" t="b">
        <f>+BE67=Balance_Sheet_Qtr!BE5</f>
        <v>1</v>
      </c>
      <c r="BF68" s="24" t="b">
        <f>+BF67=Balance_Sheet_Qtr!BF5</f>
        <v>1</v>
      </c>
      <c r="BG68" s="24" t="b">
        <f ca="1">+BG67=Balance_Sheet_Qtr!BG5</f>
        <v>1</v>
      </c>
      <c r="BH68" s="24" t="b">
        <f ca="1">+BH67=Balance_Sheet_Qtr!BH5</f>
        <v>1</v>
      </c>
      <c r="BI68" s="25" t="b">
        <f ca="1">+BI67=Balance_Sheet_Qtr!BI5</f>
        <v>1</v>
      </c>
    </row>
    <row r="69" spans="1:76" ht="15" customHeight="1">
      <c r="A69" s="14" t="s">
        <v>635</v>
      </c>
      <c r="F69" s="25"/>
      <c r="K69" s="25"/>
      <c r="P69" s="25"/>
      <c r="U69" s="25"/>
      <c r="W69" s="73"/>
      <c r="Z69" s="25"/>
      <c r="AB69" s="73"/>
      <c r="AE69" s="25"/>
      <c r="AJ69" s="25"/>
      <c r="AN69" s="73"/>
      <c r="AO69" s="73"/>
      <c r="AP69" s="73">
        <f>AO65-AP65+AO66-AP66</f>
        <v>1411</v>
      </c>
      <c r="AQ69" s="73">
        <f t="shared" ref="AQ69:AR69" si="70">AP65-AQ65+AP66-AQ66</f>
        <v>-193</v>
      </c>
      <c r="AR69" s="73">
        <f t="shared" si="70"/>
        <v>78</v>
      </c>
      <c r="AS69" s="73">
        <f>AR65-AS65+AR66-AS66</f>
        <v>-1194</v>
      </c>
      <c r="AT69" s="73">
        <f>AO65-AT65+AO66-AT66</f>
        <v>-1269</v>
      </c>
      <c r="AU69" s="73">
        <f>AT65-AU65+AT66-AU66</f>
        <v>1708</v>
      </c>
      <c r="AV69" s="73">
        <f t="shared" ref="AV69:AX69" si="71">AU65-AV65+AU66-AV66</f>
        <v>3</v>
      </c>
      <c r="AW69" s="73">
        <f t="shared" si="71"/>
        <v>-8</v>
      </c>
      <c r="AX69" s="73">
        <f t="shared" si="71"/>
        <v>587</v>
      </c>
      <c r="AY69" s="75">
        <f>SUM(AU69:AX69)</f>
        <v>2290</v>
      </c>
      <c r="AZ69" s="73">
        <f>AY65-AZ65+AY66-AZ66</f>
        <v>-206</v>
      </c>
      <c r="BA69" s="73">
        <f t="shared" ref="BA69:BC69" si="72">AZ65-BA65+AZ66-BA66</f>
        <v>-154</v>
      </c>
      <c r="BB69" s="73">
        <f t="shared" si="72"/>
        <v>110</v>
      </c>
      <c r="BC69" s="73">
        <f t="shared" si="72"/>
        <v>120</v>
      </c>
      <c r="BD69" s="75">
        <f>SUM(AZ69:BC69)</f>
        <v>-130</v>
      </c>
      <c r="BE69" s="643">
        <f>BD65-BE65+BD66-BE66</f>
        <v>573</v>
      </c>
      <c r="BF69" s="73">
        <f t="shared" ref="BF69" si="73">BE65-BF65+BE66-BF66</f>
        <v>-216</v>
      </c>
      <c r="BI69" s="75">
        <f>SUM(BE69:BH69)</f>
        <v>357</v>
      </c>
    </row>
    <row r="70" spans="1:76">
      <c r="A70" s="120" t="s">
        <v>17</v>
      </c>
      <c r="B70" s="121"/>
      <c r="C70" s="121"/>
      <c r="D70" s="121"/>
      <c r="E70" s="121"/>
      <c r="F70" s="122"/>
      <c r="G70" s="121"/>
      <c r="H70" s="121"/>
      <c r="I70" s="121"/>
      <c r="J70" s="121"/>
      <c r="K70" s="122"/>
      <c r="L70" s="121"/>
      <c r="M70" s="121"/>
      <c r="N70" s="121"/>
      <c r="O70" s="121"/>
      <c r="P70" s="122"/>
      <c r="Q70" s="121"/>
      <c r="R70" s="121"/>
      <c r="S70" s="121"/>
      <c r="T70" s="121"/>
      <c r="U70" s="122"/>
      <c r="V70" s="121"/>
      <c r="W70" s="121"/>
      <c r="X70" s="121"/>
      <c r="Y70" s="121"/>
      <c r="Z70" s="122"/>
      <c r="AA70" s="121"/>
      <c r="AB70" s="121"/>
      <c r="AC70" s="121"/>
      <c r="AD70" s="121"/>
      <c r="AE70" s="122"/>
      <c r="AF70" s="121"/>
      <c r="AG70" s="121"/>
      <c r="AH70" s="121"/>
      <c r="AI70" s="121"/>
      <c r="AJ70" s="122"/>
      <c r="AK70" s="121"/>
      <c r="AL70" s="121"/>
      <c r="AM70" s="121"/>
      <c r="AN70" s="121"/>
      <c r="AO70" s="122"/>
      <c r="AP70" s="121"/>
      <c r="AQ70" s="121"/>
      <c r="AR70" s="121"/>
      <c r="AS70" s="121"/>
      <c r="AT70" s="122"/>
      <c r="AU70" s="423"/>
      <c r="AV70" s="121"/>
      <c r="AW70" s="121"/>
      <c r="AX70" s="121"/>
      <c r="AY70" s="122"/>
      <c r="AZ70" s="423"/>
      <c r="BA70" s="121"/>
      <c r="BB70" s="121"/>
      <c r="BC70" s="121"/>
      <c r="BD70" s="122"/>
      <c r="BE70" s="423"/>
      <c r="BF70" s="121"/>
      <c r="BG70" s="121"/>
      <c r="BH70" s="121"/>
      <c r="BI70" s="122"/>
    </row>
    <row r="71" spans="1:76">
      <c r="A71" s="12" t="s">
        <v>361</v>
      </c>
      <c r="B71" s="20"/>
      <c r="C71" s="20"/>
      <c r="D71" s="20"/>
      <c r="E71" s="20"/>
      <c r="F71" s="42"/>
      <c r="G71" s="20"/>
      <c r="H71" s="20"/>
      <c r="I71" s="20"/>
      <c r="J71" s="20"/>
      <c r="K71" s="42"/>
      <c r="L71" s="20"/>
      <c r="M71" s="20"/>
      <c r="N71" s="20"/>
      <c r="O71" s="20"/>
      <c r="P71" s="42"/>
      <c r="Q71" s="20"/>
      <c r="R71" s="20"/>
      <c r="S71" s="20"/>
      <c r="T71" s="20"/>
      <c r="U71" s="42"/>
      <c r="V71" s="20"/>
      <c r="W71" s="20"/>
      <c r="X71" s="20"/>
      <c r="Y71" s="20"/>
      <c r="Z71" s="21"/>
      <c r="AA71" s="20"/>
      <c r="AB71" s="20"/>
      <c r="AC71" s="20"/>
      <c r="AD71" s="20"/>
      <c r="AE71" s="21"/>
      <c r="AF71" s="20"/>
      <c r="AG71" s="20"/>
      <c r="AH71" s="20"/>
      <c r="AI71" s="20"/>
      <c r="AJ71" s="21"/>
      <c r="AK71" s="20"/>
      <c r="AL71" s="20"/>
      <c r="AM71" s="20"/>
      <c r="AN71" s="20"/>
      <c r="AO71" s="21"/>
      <c r="AP71" s="20">
        <f>+AP6</f>
        <v>367</v>
      </c>
      <c r="AQ71" s="20">
        <f>+AQ6</f>
        <v>352</v>
      </c>
      <c r="AR71" s="422">
        <f>+AR6</f>
        <v>378</v>
      </c>
      <c r="AS71" s="422">
        <f>+AS6</f>
        <v>-300</v>
      </c>
      <c r="AT71" s="21">
        <f>SUM(AP71:AS71)</f>
        <v>797</v>
      </c>
      <c r="AU71" s="20">
        <f>+AU6</f>
        <v>202</v>
      </c>
      <c r="AV71" s="20">
        <f>+AV6</f>
        <v>199</v>
      </c>
      <c r="AW71" s="20">
        <f>+AW6</f>
        <v>224</v>
      </c>
      <c r="AX71" s="20">
        <f>+AX6</f>
        <v>209</v>
      </c>
      <c r="AY71" s="21">
        <f>SUM(AU71:AX71)</f>
        <v>834</v>
      </c>
      <c r="AZ71" s="20">
        <f>+AZ6</f>
        <v>210</v>
      </c>
      <c r="BA71" s="20">
        <f>+BA6</f>
        <v>218</v>
      </c>
      <c r="BB71" s="20">
        <f>+BB6</f>
        <v>215</v>
      </c>
      <c r="BC71" s="20">
        <f>+BC6</f>
        <v>220</v>
      </c>
      <c r="BD71" s="21">
        <f>SUM(AZ71:BC71)</f>
        <v>863</v>
      </c>
      <c r="BE71" s="20">
        <f>+BE6</f>
        <v>227</v>
      </c>
      <c r="BF71" s="20">
        <f>+BF6</f>
        <v>225</v>
      </c>
      <c r="BG71" s="20">
        <f ca="1">BG72*Balance_Sheet_Qtr!BF16/4</f>
        <v>0</v>
      </c>
      <c r="BH71" s="20">
        <f ca="1">BI71-SUM(BE71:BG71)</f>
        <v>433.04191381975306</v>
      </c>
      <c r="BI71" s="21">
        <f>BI72*Balance_Sheet_Qtr!BD16</f>
        <v>885.04191381975306</v>
      </c>
      <c r="BL71" s="296"/>
    </row>
    <row r="72" spans="1:76">
      <c r="A72" s="1" t="s">
        <v>23</v>
      </c>
      <c r="B72" s="32"/>
      <c r="C72" s="32"/>
      <c r="D72" s="32"/>
      <c r="E72" s="32"/>
      <c r="F72" s="123"/>
      <c r="G72" s="32"/>
      <c r="H72" s="32"/>
      <c r="I72" s="32"/>
      <c r="J72" s="32"/>
      <c r="K72" s="123"/>
      <c r="L72" s="32"/>
      <c r="M72" s="32"/>
      <c r="N72" s="32"/>
      <c r="O72" s="32"/>
      <c r="P72" s="123"/>
      <c r="Q72" s="32"/>
      <c r="R72" s="32"/>
      <c r="S72" s="32"/>
      <c r="T72" s="32"/>
      <c r="U72" s="123"/>
      <c r="V72" s="32"/>
      <c r="W72" s="32"/>
      <c r="X72" s="32"/>
      <c r="Y72" s="32"/>
      <c r="Z72" s="123"/>
      <c r="AA72" s="32"/>
      <c r="AB72" s="32"/>
      <c r="AC72" s="32"/>
      <c r="AD72" s="31"/>
      <c r="AE72" s="123"/>
      <c r="AF72" s="32"/>
      <c r="AG72" s="32"/>
      <c r="AH72" s="32"/>
      <c r="AI72" s="31"/>
      <c r="AJ72" s="123"/>
      <c r="AK72" s="32"/>
      <c r="AL72" s="32"/>
      <c r="AM72" s="32"/>
      <c r="AN72" s="31"/>
      <c r="AO72" s="123"/>
      <c r="AP72" s="32">
        <f>+IFERROR(AP71/Balance_Sheet_Qtr!AS16*4,"NM")</f>
        <v>0.20259453491581561</v>
      </c>
      <c r="AQ72" s="32">
        <f>+IFERROR(AQ71/Balance_Sheet_Qtr!AT16*4,"NM")</f>
        <v>0.19431410433342533</v>
      </c>
      <c r="AR72" s="488">
        <f>+IFERROR(AR71/Balance_Sheet_Qtr!AQ16*4,"NM")</f>
        <v>0.12219169225796024</v>
      </c>
      <c r="AS72" s="497">
        <f>+AS71/Balance_Sheet_Qtr!AS16*4</f>
        <v>-0.16560861164780569</v>
      </c>
      <c r="AT72" s="123">
        <f>+AT71/Balance_Sheet_Qtr!AT16</f>
        <v>0.10999171956941761</v>
      </c>
      <c r="AU72" s="32">
        <f>+IFERROR(AU71/Balance_Sheet_Qtr!AX16*4,"NM")</f>
        <v>0.11103476707434383</v>
      </c>
      <c r="AV72" s="32">
        <f>+IFERROR(AV71/Balance_Sheet_Qtr!AY16*4,"NM")</f>
        <v>0.10938573588017041</v>
      </c>
      <c r="AW72" s="32">
        <f>+IFERROR(AW71/Balance_Sheet_Qtr!AV16*4,"NM")</f>
        <v>0.12628611698379141</v>
      </c>
      <c r="AX72" s="299">
        <f>+AX71/Balance_Sheet_Qtr!AX16*4</f>
        <v>0.11488250652741515</v>
      </c>
      <c r="AY72" s="123">
        <f>+AY71/Balance_Sheet_Qtr!AY16</f>
        <v>0.11460766799505291</v>
      </c>
      <c r="AZ72" s="32">
        <f>+IFERROR(AZ71/Balance_Sheet_Qtr!BC16*4,"NM")</f>
        <v>0.10517090271691498</v>
      </c>
      <c r="BA72" s="32">
        <f>+IFERROR(BA71/Balance_Sheet_Qtr!BD16*4,"NM")</f>
        <v>0.10917741329660699</v>
      </c>
      <c r="BB72" s="32">
        <f>+IFERROR(BB71/Balance_Sheet_Qtr!BE16*4,"NM")</f>
        <v>0.1078640411388436</v>
      </c>
      <c r="BC72" s="299">
        <f>+BC71/Balance_Sheet_Qtr!BC16*4</f>
        <v>0.11017904094152998</v>
      </c>
      <c r="BD72" s="123">
        <f>+BD71/Balance_Sheet_Qtr!BD16</f>
        <v>0.10805058219606861</v>
      </c>
      <c r="BE72" s="32">
        <f>+IFERROR(BE71/Balance_Sheet_Qtr!BC16*4,"NM")</f>
        <v>0.11368473769876049</v>
      </c>
      <c r="BF72" s="32">
        <f>+IFERROR(BF71/Balance_Sheet_Qtr!BE16*4,"NM")</f>
        <v>0.11288097328483632</v>
      </c>
      <c r="BG72" s="31">
        <f ca="1">+BG71/Balance_Sheet_Qtr!BF16*4</f>
        <v>0</v>
      </c>
      <c r="BH72" s="299">
        <f ca="1">+BH71/Balance_Sheet_Qtr!BG16*4</f>
        <v>0.20257109044900046</v>
      </c>
      <c r="BI72" s="183">
        <v>0.11081030597467799</v>
      </c>
    </row>
    <row r="73" spans="1:76">
      <c r="A73" s="12" t="s">
        <v>61</v>
      </c>
      <c r="B73" s="20"/>
      <c r="C73" s="20"/>
      <c r="D73" s="20"/>
      <c r="E73" s="20"/>
      <c r="F73" s="42"/>
      <c r="G73" s="20"/>
      <c r="H73" s="20"/>
      <c r="I73" s="20"/>
      <c r="J73" s="20"/>
      <c r="K73" s="42"/>
      <c r="L73" s="20"/>
      <c r="M73" s="20"/>
      <c r="N73" s="20"/>
      <c r="O73" s="20"/>
      <c r="P73" s="42"/>
      <c r="Q73" s="20"/>
      <c r="R73" s="20"/>
      <c r="S73" s="20"/>
      <c r="T73" s="20"/>
      <c r="U73" s="42"/>
      <c r="V73" s="40"/>
      <c r="W73" s="40"/>
      <c r="X73" s="40"/>
      <c r="Y73" s="20"/>
      <c r="Z73" s="42"/>
      <c r="AA73" s="40"/>
      <c r="AB73" s="40"/>
      <c r="AC73" s="40"/>
      <c r="AD73" s="20"/>
      <c r="AE73" s="42"/>
      <c r="AF73" s="40"/>
      <c r="AG73" s="40"/>
      <c r="AH73" s="40"/>
      <c r="AI73" s="20"/>
      <c r="AJ73" s="42"/>
      <c r="AK73" s="17"/>
      <c r="AL73" s="40"/>
      <c r="AM73" s="40"/>
      <c r="AN73" s="20"/>
      <c r="AO73" s="42"/>
      <c r="AP73" s="20">
        <f>+AP7</f>
        <v>140</v>
      </c>
      <c r="AQ73" s="20">
        <f>+AQ7</f>
        <v>159</v>
      </c>
      <c r="AR73" s="422">
        <f>+AR7</f>
        <v>149</v>
      </c>
      <c r="AS73" s="422">
        <f>+AS7</f>
        <v>-66</v>
      </c>
      <c r="AT73" s="42"/>
      <c r="AU73" s="20">
        <f>+AU7</f>
        <v>88</v>
      </c>
      <c r="AV73" s="20">
        <f>+AV7</f>
        <v>84</v>
      </c>
      <c r="AW73" s="20">
        <f>+AW7</f>
        <v>89</v>
      </c>
      <c r="AX73" s="20">
        <f>+AX7</f>
        <v>89</v>
      </c>
      <c r="AY73" s="71">
        <f>AY7</f>
        <v>350</v>
      </c>
      <c r="AZ73" s="20">
        <f>+AZ7</f>
        <v>89</v>
      </c>
      <c r="BA73" s="20">
        <f>+BA7</f>
        <v>93</v>
      </c>
      <c r="BB73" s="20">
        <f>+BB7</f>
        <v>88</v>
      </c>
      <c r="BC73" s="20">
        <f>+BC7</f>
        <v>87</v>
      </c>
      <c r="BD73" s="71">
        <f>BD7</f>
        <v>357</v>
      </c>
      <c r="BE73" s="20">
        <f>+BE7</f>
        <v>85</v>
      </c>
      <c r="BF73" s="41">
        <f>+BF7</f>
        <v>88</v>
      </c>
      <c r="BG73" s="40">
        <v>88</v>
      </c>
      <c r="BH73" s="20">
        <f>BI73-SUM(BE73:BG73)</f>
        <v>97</v>
      </c>
      <c r="BI73" s="42">
        <v>358</v>
      </c>
    </row>
    <row r="74" spans="1:76">
      <c r="A74" s="12"/>
      <c r="B74" s="20"/>
      <c r="C74" s="20"/>
      <c r="D74" s="20"/>
      <c r="E74" s="20"/>
      <c r="F74" s="204"/>
      <c r="G74" s="205"/>
      <c r="H74" s="205"/>
      <c r="I74" s="205"/>
      <c r="J74" s="205"/>
      <c r="K74" s="204"/>
      <c r="L74" s="205"/>
      <c r="M74" s="205"/>
      <c r="N74" s="205"/>
      <c r="O74" s="205"/>
      <c r="P74" s="204"/>
      <c r="Q74" s="205"/>
      <c r="R74" s="205"/>
      <c r="S74" s="205"/>
      <c r="T74" s="205"/>
      <c r="U74" s="204"/>
      <c r="V74" s="20"/>
      <c r="W74" s="20"/>
      <c r="X74" s="20"/>
      <c r="Y74" s="20"/>
      <c r="Z74" s="204"/>
      <c r="AA74" s="20"/>
      <c r="AB74" s="20"/>
      <c r="AC74" s="20"/>
      <c r="AD74" s="20"/>
      <c r="AE74" s="21"/>
      <c r="AF74" s="20"/>
      <c r="AG74" s="20"/>
      <c r="AH74" s="20"/>
      <c r="AI74" s="20"/>
      <c r="AJ74" s="21"/>
      <c r="AK74" s="20"/>
      <c r="AL74" s="20"/>
      <c r="AM74" s="20"/>
      <c r="AN74" s="20"/>
      <c r="AO74" s="21"/>
      <c r="AP74" s="20"/>
      <c r="AQ74" s="20"/>
      <c r="AR74" s="422"/>
      <c r="AS74" s="422"/>
      <c r="AT74" s="21"/>
      <c r="AU74" s="20"/>
      <c r="AV74" s="20"/>
      <c r="AW74" s="20"/>
      <c r="AX74" s="20"/>
      <c r="AY74" s="21"/>
      <c r="AZ74" s="20"/>
      <c r="BA74" s="20"/>
      <c r="BB74" s="20"/>
      <c r="BC74" s="20"/>
      <c r="BD74" s="21"/>
      <c r="BE74" s="20"/>
      <c r="BF74" s="20"/>
      <c r="BG74" s="20"/>
      <c r="BH74" s="20"/>
      <c r="BI74" s="21"/>
    </row>
    <row r="75" spans="1:76">
      <c r="A75" s="12" t="s">
        <v>404</v>
      </c>
      <c r="B75" s="20"/>
      <c r="C75" s="20"/>
      <c r="D75" s="20"/>
      <c r="E75" s="20"/>
      <c r="F75" s="21"/>
      <c r="G75" s="20"/>
      <c r="H75" s="20"/>
      <c r="I75" s="20"/>
      <c r="J75" s="20"/>
      <c r="K75" s="21"/>
      <c r="L75" s="20"/>
      <c r="M75" s="20"/>
      <c r="N75" s="20"/>
      <c r="O75" s="20"/>
      <c r="P75" s="21"/>
      <c r="Q75" s="20"/>
      <c r="R75" s="20"/>
      <c r="S75" s="20"/>
      <c r="T75" s="20"/>
      <c r="U75" s="21"/>
      <c r="V75" s="20"/>
      <c r="W75" s="20"/>
      <c r="X75" s="20"/>
      <c r="Y75" s="20"/>
      <c r="Z75" s="21"/>
      <c r="AA75" s="20"/>
      <c r="AB75" s="20"/>
      <c r="AC75" s="20"/>
      <c r="AD75" s="20"/>
      <c r="AE75" s="21"/>
      <c r="AF75" s="20"/>
      <c r="AG75" s="20"/>
      <c r="AH75" s="20"/>
      <c r="AI75" s="20"/>
      <c r="AJ75" s="21"/>
      <c r="AK75" s="20"/>
      <c r="AL75" s="20"/>
      <c r="AM75" s="20"/>
      <c r="AN75" s="20"/>
      <c r="AO75" s="21"/>
      <c r="AP75" s="20"/>
      <c r="AQ75" s="20"/>
      <c r="AR75" s="422"/>
      <c r="AS75" s="422"/>
      <c r="AT75" s="21"/>
      <c r="AU75" s="20"/>
      <c r="AV75" s="20"/>
      <c r="AW75" s="20"/>
      <c r="AX75" s="20"/>
      <c r="AY75" s="21"/>
      <c r="AZ75" s="20"/>
      <c r="BA75" s="20"/>
      <c r="BB75" s="20"/>
      <c r="BC75" s="20"/>
      <c r="BD75" s="21"/>
      <c r="BE75" s="20"/>
      <c r="BF75" s="20"/>
      <c r="BG75" s="20"/>
      <c r="BH75" s="20"/>
      <c r="BI75" s="21"/>
    </row>
    <row r="76" spans="1:76">
      <c r="A76" s="1" t="s">
        <v>22</v>
      </c>
      <c r="B76" s="34"/>
      <c r="C76" s="34"/>
      <c r="D76" s="34"/>
      <c r="E76" s="34"/>
      <c r="F76" s="35"/>
      <c r="G76" s="34"/>
      <c r="H76" s="34"/>
      <c r="I76" s="34"/>
      <c r="J76" s="34"/>
      <c r="K76" s="35"/>
      <c r="L76" s="34"/>
      <c r="M76" s="34"/>
      <c r="N76" s="34"/>
      <c r="O76" s="34"/>
      <c r="P76" s="35"/>
      <c r="Q76" s="34"/>
      <c r="R76" s="34"/>
      <c r="S76" s="34"/>
      <c r="T76" s="34"/>
      <c r="U76" s="35"/>
      <c r="V76" s="34"/>
      <c r="W76" s="34"/>
      <c r="X76" s="34"/>
      <c r="Y76" s="34"/>
      <c r="Z76" s="35"/>
      <c r="AA76" s="34"/>
      <c r="AB76" s="34"/>
      <c r="AC76" s="32"/>
      <c r="AD76" s="34"/>
      <c r="AE76" s="35"/>
      <c r="AF76" s="34"/>
      <c r="AG76" s="34"/>
      <c r="AH76" s="32"/>
      <c r="AI76" s="34"/>
      <c r="AJ76" s="35"/>
      <c r="AK76" s="34"/>
      <c r="AL76" s="34"/>
      <c r="AM76" s="32"/>
      <c r="AN76" s="34"/>
      <c r="AO76" s="123"/>
      <c r="AP76" s="34">
        <f>+-AP30/ProForma_IS_Qtr!AP11</f>
        <v>3.8157223072996425E-2</v>
      </c>
      <c r="AQ76" s="34">
        <f>+-AQ30/ProForma_IS_Qtr!AQ11</f>
        <v>4.1576242147344372E-2</v>
      </c>
      <c r="AR76" s="488">
        <f>+-AR30/ProForma_IS_Qtr!AR11</f>
        <v>4.3216512577940229E-2</v>
      </c>
      <c r="AS76" s="497">
        <f>+-AS30/ProForma_IS_Qtr!AS11</f>
        <v>-2.1470121628767849E-2</v>
      </c>
      <c r="AT76" s="35">
        <f>+-AT30/ProForma_IS_Qtr!AT11</f>
        <v>2.4386103881407717E-2</v>
      </c>
      <c r="AU76" s="34">
        <f>+-AU30/ProForma_IS_Qtr!AU11</f>
        <v>2.2780569514237858E-2</v>
      </c>
      <c r="AV76" s="34">
        <f>+-AV30/ProForma_IS_Qtr!AV11</f>
        <v>3.243897074994502E-2</v>
      </c>
      <c r="AW76" s="32">
        <f>+-AW30/ProForma_IS_Qtr!AW11</f>
        <v>2.7027027027027029E-2</v>
      </c>
      <c r="AX76" s="298">
        <f>+-AX30/ProForma_IS_Qtr!AX11</f>
        <v>2.4694783573806882E-2</v>
      </c>
      <c r="AY76" s="35">
        <f>+-AY30/ProForma_IS_Qtr!AY11</f>
        <v>2.6665288615575423E-2</v>
      </c>
      <c r="AZ76" s="34">
        <f>+-AZ30/ProForma_IS_Qtr!AZ11</f>
        <v>2.0936084549572218E-2</v>
      </c>
      <c r="BA76" s="34">
        <f>+-BA30/ProForma_IS_Qtr!BA11</f>
        <v>2.9665245395990202E-2</v>
      </c>
      <c r="BB76" s="34">
        <f>+-BB30/ProForma_IS_Qtr!BB11</f>
        <v>2.5205254515599344E-2</v>
      </c>
      <c r="BC76" s="298">
        <f>+-BC30/ProForma_IS_Qtr!BC11</f>
        <v>3.388631181696674E-2</v>
      </c>
      <c r="BD76" s="35">
        <f>+-BD30/ProForma_IS_Qtr!BD11</f>
        <v>2.776142187329626E-2</v>
      </c>
      <c r="BE76" s="34">
        <f>+-BE30/ProForma_IS_Qtr!BE11</f>
        <v>2.6710781149128469E-2</v>
      </c>
      <c r="BF76" s="34">
        <f>+-BF30/ProForma_IS_Qtr!BF11</f>
        <v>2.509551277249232E-2</v>
      </c>
      <c r="BG76" s="170">
        <v>3.1E-2</v>
      </c>
      <c r="BH76" s="34">
        <f>+-BH30/ProForma_IS_Qtr!BH11</f>
        <v>3.6317420223074416E-2</v>
      </c>
      <c r="BI76" s="196">
        <v>0.03</v>
      </c>
      <c r="BJ76" s="651" t="s">
        <v>607</v>
      </c>
      <c r="BK76" s="251"/>
      <c r="BL76" s="296"/>
    </row>
    <row r="77" spans="1:76">
      <c r="A77" s="1" t="s">
        <v>23</v>
      </c>
      <c r="B77" s="32"/>
      <c r="C77" s="32"/>
      <c r="D77" s="32"/>
      <c r="E77" s="32"/>
      <c r="F77" s="123"/>
      <c r="G77" s="32"/>
      <c r="H77" s="32"/>
      <c r="I77" s="32"/>
      <c r="J77" s="32"/>
      <c r="K77" s="123"/>
      <c r="L77" s="32"/>
      <c r="M77" s="32"/>
      <c r="N77" s="32"/>
      <c r="O77" s="32"/>
      <c r="P77" s="123"/>
      <c r="Q77" s="32"/>
      <c r="R77" s="32"/>
      <c r="S77" s="32"/>
      <c r="T77" s="32"/>
      <c r="U77" s="123"/>
      <c r="V77" s="32"/>
      <c r="W77" s="32"/>
      <c r="X77" s="32"/>
      <c r="Y77" s="32"/>
      <c r="Z77" s="123"/>
      <c r="AA77" s="32"/>
      <c r="AB77" s="32"/>
      <c r="AC77" s="32"/>
      <c r="AD77" s="32"/>
      <c r="AE77" s="123"/>
      <c r="AF77" s="32"/>
      <c r="AG77" s="32"/>
      <c r="AH77" s="32"/>
      <c r="AI77" s="32"/>
      <c r="AJ77" s="123"/>
      <c r="AK77" s="32"/>
      <c r="AL77" s="32"/>
      <c r="AM77" s="32"/>
      <c r="AN77" s="32"/>
      <c r="AO77" s="123"/>
      <c r="AP77" s="32">
        <f>IFERROR(+-AP30/Balance_Sheet_Qtr!AS16*4,"NA")</f>
        <v>0.16505658294231301</v>
      </c>
      <c r="AQ77" s="32">
        <f>IFERROR(+-AQ30/Balance_Sheet_Qtr!AT16*4,"NA")</f>
        <v>0.20093844879933756</v>
      </c>
      <c r="AR77" s="488">
        <f>IFERROR(+-AR30/Balance_Sheet_Qtr!AQ16*4,"NA")</f>
        <v>0.12994989494100534</v>
      </c>
      <c r="AS77" s="488">
        <f>+-AS30/Balance_Sheet_Qtr!AS16*4</f>
        <v>-0.11206182721501518</v>
      </c>
      <c r="AT77" s="123">
        <f>+-AT30/Balance_Sheet_Qtr!AO16</f>
        <v>7.0702099737532803E-2</v>
      </c>
      <c r="AU77" s="32">
        <f>IFERROR(+-AU30/Balance_Sheet_Qtr!AX16*4,"NA")</f>
        <v>0.11213412120379278</v>
      </c>
      <c r="AV77" s="32">
        <f>IFERROR(+-AV30/Balance_Sheet_Qtr!AY16*4,"NA")</f>
        <v>0.16215473409371994</v>
      </c>
      <c r="AW77" s="32">
        <f>IFERROR(+-AW30/Balance_Sheet_Qtr!AV16*4,"NA")</f>
        <v>0.14996476391825228</v>
      </c>
      <c r="AX77" s="32">
        <f>+-AX30/Balance_Sheet_Qtr!AX16*4</f>
        <v>0.14676377628143467</v>
      </c>
      <c r="AY77" s="123">
        <f>+-AY30/Balance_Sheet_Qtr!AT16</f>
        <v>0.1424234060171129</v>
      </c>
      <c r="AZ77" s="32">
        <f>IFERROR(+-AZ30/Balance_Sheet_Qtr!BC16*4,"NA")</f>
        <v>0.10416927507199199</v>
      </c>
      <c r="BA77" s="32">
        <f>IFERROR(+-BA30/Balance_Sheet_Qtr!BD16*4,"NA")</f>
        <v>0.16376611994491047</v>
      </c>
      <c r="BB77" s="32">
        <f>IFERROR(+-BB30/Balance_Sheet_Qtr!BE16*4,"NA")</f>
        <v>0.15401981688197666</v>
      </c>
      <c r="BC77" s="32">
        <f>+-BC30/Balance_Sheet_Qtr!BC16*4</f>
        <v>0.21585075748090649</v>
      </c>
      <c r="BD77" s="123">
        <f>+-BD30/Balance_Sheet_Qtr!AY16</f>
        <v>0.17493472584856398</v>
      </c>
      <c r="BE77" s="32">
        <f>IFERROR(+-BE30/Balance_Sheet_Qtr!BC16*4,"NA")</f>
        <v>0.16576937523475649</v>
      </c>
      <c r="BF77" s="32">
        <f>IFERROR(+-BF30/Balance_Sheet_Qtr!BE16*4,"NA")</f>
        <v>0.16806722689075632</v>
      </c>
      <c r="BG77" s="32">
        <f>IFERROR(+-BG30/Balance_Sheet_Qtr!BF16*4,"NA")</f>
        <v>0.20450518992009839</v>
      </c>
      <c r="BH77" s="32">
        <f ca="1">+-BH30/Balance_Sheet_Qtr!BG16*4</f>
        <v>0.24951310919326178</v>
      </c>
      <c r="BI77" s="123">
        <f>+-BI30/Balance_Sheet_Qtr!BD16</f>
        <v>0.20224159468037467</v>
      </c>
    </row>
    <row r="78" spans="1:76">
      <c r="F78" s="25"/>
      <c r="K78" s="25"/>
      <c r="P78" s="25"/>
      <c r="U78" s="25"/>
      <c r="Z78" s="25"/>
      <c r="AE78" s="25"/>
      <c r="AJ78" s="25"/>
      <c r="AO78" s="25"/>
      <c r="AT78" s="25"/>
      <c r="AY78" s="25"/>
      <c r="BD78" s="25"/>
      <c r="BI78" s="25"/>
      <c r="BN78" s="226"/>
      <c r="BO78" s="226"/>
      <c r="BV78" s="226"/>
      <c r="BW78" s="226"/>
      <c r="BX78" s="257"/>
    </row>
    <row r="79" spans="1:76">
      <c r="A79" s="405" t="s">
        <v>405</v>
      </c>
      <c r="B79" s="424"/>
      <c r="C79" s="424"/>
      <c r="D79" s="424"/>
      <c r="E79" s="424"/>
      <c r="F79" s="425"/>
      <c r="G79" s="424"/>
      <c r="H79" s="424"/>
      <c r="I79" s="424"/>
      <c r="J79" s="424"/>
      <c r="K79" s="425"/>
      <c r="L79" s="424"/>
      <c r="M79" s="424"/>
      <c r="N79" s="424"/>
      <c r="O79" s="424"/>
      <c r="P79" s="425"/>
      <c r="Q79" s="424"/>
      <c r="R79" s="424"/>
      <c r="S79" s="424"/>
      <c r="T79" s="424"/>
      <c r="U79" s="425"/>
      <c r="V79" s="424"/>
      <c r="W79" s="424"/>
      <c r="X79" s="424"/>
      <c r="Y79" s="424"/>
      <c r="Z79" s="425"/>
      <c r="AA79" s="424"/>
      <c r="AB79" s="424"/>
      <c r="AC79" s="424"/>
      <c r="AD79" s="424"/>
      <c r="AE79" s="425"/>
      <c r="AF79" s="424"/>
      <c r="AG79" s="424"/>
      <c r="AH79" s="424"/>
      <c r="AI79" s="424"/>
      <c r="AJ79" s="425"/>
      <c r="AK79" s="424">
        <f t="shared" ref="AK79:AZ79" si="74">+AK25+AK30</f>
        <v>-1185</v>
      </c>
      <c r="AL79" s="424">
        <f t="shared" si="74"/>
        <v>202</v>
      </c>
      <c r="AM79" s="424">
        <f t="shared" si="74"/>
        <v>561</v>
      </c>
      <c r="AN79" s="424">
        <f t="shared" si="74"/>
        <v>3291</v>
      </c>
      <c r="AO79" s="425">
        <f t="shared" si="74"/>
        <v>2869</v>
      </c>
      <c r="AP79" s="424">
        <f t="shared" si="74"/>
        <v>-143</v>
      </c>
      <c r="AQ79" s="424">
        <f t="shared" si="74"/>
        <v>-55</v>
      </c>
      <c r="AR79" s="424">
        <f t="shared" si="74"/>
        <v>1487</v>
      </c>
      <c r="AS79" s="424">
        <f t="shared" si="74"/>
        <v>2458</v>
      </c>
      <c r="AT79" s="425">
        <f t="shared" si="74"/>
        <v>3747</v>
      </c>
      <c r="AU79" s="424">
        <f t="shared" si="74"/>
        <v>1425</v>
      </c>
      <c r="AV79" s="424">
        <f t="shared" si="74"/>
        <v>662</v>
      </c>
      <c r="AW79" s="424">
        <f t="shared" si="74"/>
        <v>1647</v>
      </c>
      <c r="AX79" s="424">
        <f t="shared" si="74"/>
        <v>1051</v>
      </c>
      <c r="AY79" s="425">
        <f t="shared" si="74"/>
        <v>4785</v>
      </c>
      <c r="AZ79" s="424">
        <f t="shared" si="74"/>
        <v>1335</v>
      </c>
      <c r="BA79" s="424">
        <f t="shared" ref="BA79:BE79" si="75">+BA25+BA30</f>
        <v>2021</v>
      </c>
      <c r="BB79" s="424">
        <f t="shared" si="75"/>
        <v>2248</v>
      </c>
      <c r="BC79" s="424">
        <f t="shared" si="75"/>
        <v>1666</v>
      </c>
      <c r="BD79" s="425">
        <f t="shared" si="75"/>
        <v>7270</v>
      </c>
      <c r="BE79" s="424">
        <f t="shared" si="75"/>
        <v>1537</v>
      </c>
      <c r="BF79" s="424">
        <f t="shared" ref="BF79:BI79" si="76">+BF25+BF30</f>
        <v>2923</v>
      </c>
      <c r="BG79" s="424">
        <f t="shared" ca="1" si="76"/>
        <v>2380.7518295643295</v>
      </c>
      <c r="BH79" s="424">
        <f t="shared" ca="1" si="76"/>
        <v>2153.4944831707658</v>
      </c>
      <c r="BI79" s="425">
        <f t="shared" ca="1" si="76"/>
        <v>8994.2463127350948</v>
      </c>
      <c r="BJ79" s="261"/>
      <c r="BK79" s="254"/>
      <c r="BN79" s="73"/>
      <c r="BO79" s="73"/>
      <c r="BV79" s="73"/>
      <c r="BW79" s="73"/>
      <c r="BX79" s="254"/>
    </row>
    <row r="80" spans="1:76">
      <c r="A80" s="1" t="s">
        <v>24</v>
      </c>
      <c r="B80" s="34"/>
      <c r="C80" s="34"/>
      <c r="D80" s="34"/>
      <c r="E80" s="34"/>
      <c r="F80" s="35"/>
      <c r="G80" s="34"/>
      <c r="H80" s="34"/>
      <c r="I80" s="34"/>
      <c r="J80" s="34"/>
      <c r="K80" s="35"/>
      <c r="L80" s="34"/>
      <c r="M80" s="34"/>
      <c r="N80" s="34"/>
      <c r="O80" s="34"/>
      <c r="P80" s="35"/>
      <c r="Q80" s="34"/>
      <c r="R80" s="34"/>
      <c r="S80" s="34"/>
      <c r="T80" s="34"/>
      <c r="U80" s="35"/>
      <c r="V80" s="34"/>
      <c r="W80" s="34"/>
      <c r="X80" s="34"/>
      <c r="Y80" s="34"/>
      <c r="Z80" s="35"/>
      <c r="AA80" s="34"/>
      <c r="AB80" s="34"/>
      <c r="AC80" s="32"/>
      <c r="AD80" s="34"/>
      <c r="AE80" s="35"/>
      <c r="AF80" s="34"/>
      <c r="AG80" s="34"/>
      <c r="AH80" s="32"/>
      <c r="AI80" s="34"/>
      <c r="AJ80" s="35"/>
      <c r="AK80" s="34">
        <f t="shared" ref="AK80:AZ80" si="77">+AK79/AK4</f>
        <v>1.0694945848375452</v>
      </c>
      <c r="AL80" s="34">
        <f t="shared" si="77"/>
        <v>-0.23406720741599074</v>
      </c>
      <c r="AM80" s="32">
        <f t="shared" si="77"/>
        <v>3.4</v>
      </c>
      <c r="AN80" s="34">
        <f t="shared" si="77"/>
        <v>4.6417489421720735</v>
      </c>
      <c r="AO80" s="123">
        <f t="shared" si="77"/>
        <v>-2.6153144940747493</v>
      </c>
      <c r="AP80" s="34">
        <f t="shared" si="77"/>
        <v>-1.9122760096282429E-2</v>
      </c>
      <c r="AQ80" s="34">
        <f t="shared" si="77"/>
        <v>-1.375</v>
      </c>
      <c r="AR80" s="488">
        <f t="shared" si="77"/>
        <v>4.4520958083832332</v>
      </c>
      <c r="AS80" s="488">
        <f t="shared" si="77"/>
        <v>1.5430006277463904</v>
      </c>
      <c r="AT80" s="35">
        <f t="shared" si="77"/>
        <v>0.39671784012705136</v>
      </c>
      <c r="AU80" s="34">
        <f t="shared" si="77"/>
        <v>0.91054313099041528</v>
      </c>
      <c r="AV80" s="34">
        <f t="shared" si="77"/>
        <v>0.52208201892744477</v>
      </c>
      <c r="AW80" s="32">
        <f t="shared" si="77"/>
        <v>0.89365165491047205</v>
      </c>
      <c r="AX80" s="34">
        <f t="shared" si="77"/>
        <v>0.55608465608465607</v>
      </c>
      <c r="AY80" s="35">
        <f t="shared" si="77"/>
        <v>0.72875418824246119</v>
      </c>
      <c r="AZ80" s="34">
        <f t="shared" si="77"/>
        <v>0.67697768762677479</v>
      </c>
      <c r="BA80" s="34">
        <f t="shared" ref="BA80:BE80" si="78">+BA79/BA4</f>
        <v>1</v>
      </c>
      <c r="BB80" s="34">
        <f t="shared" si="78"/>
        <v>1.0436397400185702</v>
      </c>
      <c r="BC80" s="34">
        <f t="shared" si="78"/>
        <v>0.65307722461779694</v>
      </c>
      <c r="BD80" s="35">
        <f t="shared" si="78"/>
        <v>0.83582432743159352</v>
      </c>
      <c r="BE80" s="34">
        <f t="shared" si="78"/>
        <v>0.80052083333333335</v>
      </c>
      <c r="BF80" s="34">
        <f t="shared" ref="BF80:BI80" si="79">+BF79/BF4</f>
        <v>1.2406621392190154</v>
      </c>
      <c r="BG80" s="34">
        <f t="shared" ca="1" si="79"/>
        <v>1.0096198383686557</v>
      </c>
      <c r="BH80" s="34">
        <f t="shared" ca="1" si="79"/>
        <v>0.91724476107965047</v>
      </c>
      <c r="BI80" s="35">
        <f t="shared" ca="1" si="79"/>
        <v>1.0013797409230707</v>
      </c>
    </row>
    <row r="81" spans="1:76">
      <c r="A81" s="12" t="s">
        <v>25</v>
      </c>
      <c r="B81" s="78"/>
      <c r="C81" s="78"/>
      <c r="D81" s="78"/>
      <c r="E81" s="78"/>
      <c r="F81" s="79"/>
      <c r="G81" s="78"/>
      <c r="H81" s="78"/>
      <c r="I81" s="78"/>
      <c r="J81" s="78"/>
      <c r="K81" s="79"/>
      <c r="L81" s="78"/>
      <c r="M81" s="78"/>
      <c r="N81" s="78"/>
      <c r="O81" s="78"/>
      <c r="P81" s="79"/>
      <c r="Q81" s="78"/>
      <c r="R81" s="78"/>
      <c r="S81" s="78"/>
      <c r="T81" s="78"/>
      <c r="U81" s="79"/>
      <c r="V81" s="78"/>
      <c r="W81" s="78"/>
      <c r="X81" s="78"/>
      <c r="Y81" s="78"/>
      <c r="Z81" s="79"/>
      <c r="AA81" s="78"/>
      <c r="AB81" s="78"/>
      <c r="AC81" s="271"/>
      <c r="AD81" s="78"/>
      <c r="AE81" s="79"/>
      <c r="AF81" s="78"/>
      <c r="AG81" s="78"/>
      <c r="AH81" s="271"/>
      <c r="AI81" s="78"/>
      <c r="AJ81" s="79"/>
      <c r="AK81" s="78">
        <f>+AK79/ProForma_IS_Qtr!AK60</f>
        <v>-1.0772727272727274</v>
      </c>
      <c r="AL81" s="78">
        <f>+AL79/ProForma_IS_Qtr!AL60</f>
        <v>0.18380345768880801</v>
      </c>
      <c r="AM81" s="271">
        <f>+AM79/ProForma_IS_Qtr!AM60</f>
        <v>0.51232876712328768</v>
      </c>
      <c r="AN81" s="78">
        <f>+AN79/ProForma_IS_Qtr!AN60</f>
        <v>3</v>
      </c>
      <c r="AO81" s="272">
        <f>+AO79/ProForma_IS_Qtr!AO60</f>
        <v>2.6135276702345709</v>
      </c>
      <c r="AP81" s="78">
        <f>+AP79/ProForma_IS_Qtr!AP60</f>
        <v>-0.13023679417122039</v>
      </c>
      <c r="AQ81" s="78">
        <f>+AQ79/ProForma_IS_Qtr!AQ60</f>
        <v>-5.0091074681238613E-2</v>
      </c>
      <c r="AR81" s="489">
        <f>+AR79/ProForma_IS_Qtr!AR60</f>
        <v>1.3542805100182149</v>
      </c>
      <c r="AS81" s="489">
        <f>+AS79/ProForma_IS_Qtr!AS60</f>
        <v>2.2386156648451729</v>
      </c>
      <c r="AT81" s="79">
        <f>+AT79/ProForma_IS_Qtr!AT60</f>
        <v>3.4094631483166515</v>
      </c>
      <c r="AU81" s="78">
        <f>+AU79/ProForma_IS_Qtr!AU60</f>
        <v>1.2919310970081597</v>
      </c>
      <c r="AV81" s="78">
        <f>+AV79/ProForma_IS_Qtr!AV60</f>
        <v>0.60181818181818181</v>
      </c>
      <c r="AW81" s="271">
        <f>+AW79/ProForma_IS_Qtr!AW60</f>
        <v>1.5</v>
      </c>
      <c r="AX81" s="78">
        <f>+AX79/ProForma_IS_Qtr!AX60</f>
        <v>0.96320814996168447</v>
      </c>
      <c r="AY81" s="79">
        <f>+AY79/ProForma_IS_Qtr!AY60</f>
        <v>4.3738574040219378</v>
      </c>
      <c r="AZ81" s="78">
        <f>+AZ79/ProForma_IS_Qtr!AZ60</f>
        <v>1.238404452690167</v>
      </c>
      <c r="BA81" s="78">
        <f>+BA79/ProForma_IS_Qtr!BA60</f>
        <v>1.8870214752567693</v>
      </c>
      <c r="BB81" s="78">
        <f>+BB79/ProForma_IS_Qtr!BB60</f>
        <v>2.1107981220657277</v>
      </c>
      <c r="BC81" s="78">
        <f>+BC79/ProForma_IS_Qtr!BC60</f>
        <v>1.5710951594929692</v>
      </c>
      <c r="BD81" s="79">
        <f>+BD79/ProForma_IS_Qtr!BD60</f>
        <v>6.8071161048689142</v>
      </c>
      <c r="BE81" s="78">
        <f>+BE79/ProForma_IS_Qtr!BE60</f>
        <v>1.4582542694497154</v>
      </c>
      <c r="BF81" s="78">
        <f>+BF79/ProForma_IS_Qtr!BF60</f>
        <v>2.7917860553963707</v>
      </c>
      <c r="BG81" s="78">
        <f ca="1">+BG79/ProForma_IS_Qtr!BG60</f>
        <v>2.276896508015295</v>
      </c>
      <c r="BH81" s="78">
        <f ca="1">+BH79/ProForma_IS_Qtr!BH60</f>
        <v>2.0639534885883641</v>
      </c>
      <c r="BI81" s="79">
        <f ca="1">+BI79/ProForma_IS_Qtr!BI60</f>
        <v>8.5652918458842286</v>
      </c>
    </row>
    <row r="82" spans="1:76">
      <c r="F82" s="25"/>
      <c r="K82" s="25"/>
      <c r="P82" s="25"/>
      <c r="U82" s="25"/>
      <c r="Z82" s="25"/>
      <c r="AE82" s="25"/>
      <c r="AJ82" s="25"/>
      <c r="AO82" s="25"/>
      <c r="AT82" s="25"/>
      <c r="AY82" s="25"/>
      <c r="BD82" s="25"/>
      <c r="BI82" s="25"/>
      <c r="BN82" s="226"/>
      <c r="BO82" s="226"/>
      <c r="BV82" s="226"/>
      <c r="BW82" s="226"/>
      <c r="BX82" s="257"/>
    </row>
    <row r="83" spans="1:76">
      <c r="A83" s="257" t="s">
        <v>409</v>
      </c>
      <c r="B83" s="76"/>
      <c r="C83" s="76"/>
      <c r="D83" s="76"/>
      <c r="E83" s="76"/>
      <c r="F83" s="77"/>
      <c r="G83" s="76"/>
      <c r="H83" s="76"/>
      <c r="I83" s="76"/>
      <c r="J83" s="76"/>
      <c r="K83" s="77"/>
      <c r="L83" s="76"/>
      <c r="M83" s="76"/>
      <c r="N83" s="76"/>
      <c r="O83" s="76"/>
      <c r="P83" s="77"/>
      <c r="Q83" s="76"/>
      <c r="R83" s="76"/>
      <c r="S83" s="76"/>
      <c r="T83" s="76"/>
      <c r="U83" s="77"/>
      <c r="V83" s="76"/>
      <c r="W83" s="76"/>
      <c r="X83" s="76"/>
      <c r="Y83" s="76"/>
      <c r="Z83" s="77"/>
      <c r="AA83" s="76"/>
      <c r="AB83" s="76"/>
      <c r="AC83" s="76"/>
      <c r="AD83" s="76"/>
      <c r="AE83" s="77"/>
      <c r="AF83" s="76"/>
      <c r="AG83" s="76"/>
      <c r="AH83" s="76"/>
      <c r="AI83" s="76"/>
      <c r="AJ83" s="77"/>
      <c r="AK83" s="76"/>
      <c r="AL83" s="76"/>
      <c r="AM83" s="76"/>
      <c r="AN83" s="76"/>
      <c r="AO83" s="77"/>
      <c r="AP83" s="76"/>
      <c r="AQ83" s="76"/>
      <c r="AR83" s="484"/>
      <c r="AS83" s="484"/>
      <c r="AT83" s="77"/>
      <c r="AU83" s="76"/>
      <c r="AV83" s="76"/>
      <c r="AW83" s="76"/>
      <c r="AX83" s="76"/>
      <c r="AY83" s="77"/>
      <c r="AZ83" s="76"/>
      <c r="BA83" s="76"/>
      <c r="BB83" s="76"/>
      <c r="BC83" s="76"/>
      <c r="BD83" s="77"/>
      <c r="BE83" s="76"/>
      <c r="BF83" s="76"/>
      <c r="BG83" s="76"/>
      <c r="BH83" s="76"/>
      <c r="BI83" s="77"/>
      <c r="BJ83" s="261"/>
      <c r="BK83" s="254"/>
      <c r="BN83" s="73"/>
      <c r="BO83" s="73"/>
      <c r="BV83" s="73"/>
      <c r="BW83" s="73"/>
      <c r="BX83" s="254"/>
    </row>
    <row r="84" spans="1:76">
      <c r="A84" s="1" t="s">
        <v>362</v>
      </c>
      <c r="B84" s="76"/>
      <c r="C84" s="76"/>
      <c r="D84" s="76"/>
      <c r="E84" s="76"/>
      <c r="F84" s="77"/>
      <c r="G84" s="76"/>
      <c r="H84" s="76"/>
      <c r="I84" s="76"/>
      <c r="J84" s="76"/>
      <c r="K84" s="77"/>
      <c r="L84" s="76"/>
      <c r="M84" s="76"/>
      <c r="N84" s="76"/>
      <c r="O84" s="76"/>
      <c r="P84" s="77"/>
      <c r="Q84" s="76"/>
      <c r="R84" s="76"/>
      <c r="S84" s="76"/>
      <c r="T84" s="76"/>
      <c r="U84" s="77"/>
      <c r="V84" s="76"/>
      <c r="W84" s="76"/>
      <c r="X84" s="76"/>
      <c r="Y84" s="76"/>
      <c r="Z84" s="77"/>
      <c r="AA84" s="76"/>
      <c r="AB84" s="76"/>
      <c r="AC84" s="76"/>
      <c r="AD84" s="76"/>
      <c r="AE84" s="77"/>
      <c r="AF84" s="76"/>
      <c r="AG84" s="76"/>
      <c r="AH84" s="76"/>
      <c r="AI84" s="76"/>
      <c r="AJ84" s="77"/>
      <c r="AK84" s="40">
        <v>15</v>
      </c>
      <c r="AL84" s="40">
        <v>-70</v>
      </c>
      <c r="AM84" s="40">
        <v>7</v>
      </c>
      <c r="AN84" s="20">
        <f>AO84-SUM(AK84:AM84)</f>
        <v>-88</v>
      </c>
      <c r="AO84" s="42">
        <v>-136</v>
      </c>
      <c r="AP84" s="40">
        <v>-6</v>
      </c>
      <c r="AQ84" s="40">
        <v>-72</v>
      </c>
      <c r="AR84" s="483">
        <v>-47</v>
      </c>
      <c r="AS84" s="422">
        <f>AT84-SUM(AP84:AR84)</f>
        <v>125</v>
      </c>
      <c r="AT84" s="419"/>
      <c r="AU84" s="20"/>
      <c r="AV84" s="20"/>
      <c r="AW84" s="20"/>
      <c r="AX84" s="20"/>
      <c r="AY84" s="419"/>
      <c r="AZ84" s="20"/>
      <c r="BA84" s="20"/>
      <c r="BB84" s="20"/>
      <c r="BC84" s="20"/>
      <c r="BD84" s="419"/>
      <c r="BE84" s="20"/>
      <c r="BF84" s="20"/>
      <c r="BG84" s="20"/>
      <c r="BH84" s="20"/>
      <c r="BI84" s="21">
        <f>SUM(BE84:BH84)</f>
        <v>0</v>
      </c>
      <c r="BJ84" s="261"/>
      <c r="BK84" s="254"/>
      <c r="BN84" s="73"/>
      <c r="BO84" s="73"/>
      <c r="BV84" s="73"/>
      <c r="BW84" s="73"/>
      <c r="BX84" s="254"/>
    </row>
    <row r="85" spans="1:76">
      <c r="A85" s="4" t="s">
        <v>414</v>
      </c>
      <c r="B85" s="76"/>
      <c r="C85" s="76"/>
      <c r="D85" s="76"/>
      <c r="E85" s="76"/>
      <c r="F85" s="77"/>
      <c r="G85" s="76"/>
      <c r="H85" s="76"/>
      <c r="I85" s="76"/>
      <c r="J85" s="76"/>
      <c r="K85" s="77"/>
      <c r="L85" s="76"/>
      <c r="M85" s="76"/>
      <c r="N85" s="76"/>
      <c r="O85" s="76"/>
      <c r="P85" s="77"/>
      <c r="Q85" s="76"/>
      <c r="R85" s="76"/>
      <c r="S85" s="76"/>
      <c r="T85" s="76"/>
      <c r="U85" s="77"/>
      <c r="V85" s="76"/>
      <c r="W85" s="76"/>
      <c r="X85" s="76"/>
      <c r="Y85" s="76"/>
      <c r="Z85" s="77"/>
      <c r="AA85" s="76"/>
      <c r="AB85" s="76"/>
      <c r="AC85" s="76"/>
      <c r="AD85" s="76"/>
      <c r="AE85" s="77"/>
      <c r="AF85" s="76"/>
      <c r="AG85" s="76"/>
      <c r="AH85" s="76"/>
      <c r="AI85" s="76"/>
      <c r="AJ85" s="77"/>
      <c r="AK85" s="38">
        <f>+AK84+AK25</f>
        <v>-909</v>
      </c>
      <c r="AL85" s="38">
        <f>+AL84+AL25</f>
        <v>420</v>
      </c>
      <c r="AM85" s="38">
        <f>+AM84+AM25</f>
        <v>820</v>
      </c>
      <c r="AN85" s="38">
        <f>+AN84+AN25</f>
        <v>3576</v>
      </c>
      <c r="AO85" s="39">
        <f>SUM(AK85:AN85)</f>
        <v>3907</v>
      </c>
      <c r="AP85" s="38">
        <f>+AP84+AP25</f>
        <v>150</v>
      </c>
      <c r="AQ85" s="38">
        <f>+AQ84+AQ25</f>
        <v>237</v>
      </c>
      <c r="AR85" s="490">
        <f>+AR84+AR25</f>
        <v>1842</v>
      </c>
      <c r="AS85" s="490">
        <f>+AS84+AS25</f>
        <v>2380</v>
      </c>
      <c r="AT85" s="77">
        <f>SUM(AP85:AS85)</f>
        <v>4609</v>
      </c>
      <c r="AU85" s="38">
        <f>+AU84+AU25</f>
        <v>1629</v>
      </c>
      <c r="AV85" s="38">
        <f>+AV84+AV25</f>
        <v>957</v>
      </c>
      <c r="AW85" s="38">
        <f>+AW84+AW25</f>
        <v>1913</v>
      </c>
      <c r="AX85" s="38">
        <f>+AX84+AX25</f>
        <v>1318</v>
      </c>
      <c r="AY85" s="77">
        <f>SUM(AU85:AX85)</f>
        <v>5817</v>
      </c>
      <c r="AZ85" s="38">
        <f>+AZ84+AZ25</f>
        <v>1543</v>
      </c>
      <c r="BA85" s="38">
        <f>+BA84+BA25</f>
        <v>2348</v>
      </c>
      <c r="BB85" s="38">
        <f>+BB84+BB25</f>
        <v>2555</v>
      </c>
      <c r="BC85" s="38">
        <f>+BC84+BC25</f>
        <v>2097</v>
      </c>
      <c r="BD85" s="77">
        <f>SUM(AZ85:BC85)</f>
        <v>8543</v>
      </c>
      <c r="BE85" s="38">
        <f>+BE84+BE25</f>
        <v>1868</v>
      </c>
      <c r="BF85" s="38">
        <f>+BF84+BF25</f>
        <v>3258</v>
      </c>
      <c r="BG85" s="38">
        <f ca="1">+BG84+BG25</f>
        <v>2796.6642595643298</v>
      </c>
      <c r="BH85" s="38">
        <f ca="1">+BH84+BH25</f>
        <v>2686.8856698829181</v>
      </c>
      <c r="BI85" s="39">
        <f t="shared" ref="BI85:BI91" ca="1" si="80">SUM(BE85:BH85)</f>
        <v>10609.549929447248</v>
      </c>
      <c r="BJ85" s="261"/>
      <c r="BK85" s="254"/>
      <c r="BN85" s="73"/>
      <c r="BO85" s="73"/>
      <c r="BV85" s="73"/>
      <c r="BW85" s="73"/>
      <c r="BX85" s="254"/>
    </row>
    <row r="86" spans="1:76">
      <c r="A86" s="1" t="s">
        <v>415</v>
      </c>
      <c r="B86" s="76"/>
      <c r="C86" s="76"/>
      <c r="D86" s="76"/>
      <c r="E86" s="76"/>
      <c r="F86" s="77"/>
      <c r="G86" s="76"/>
      <c r="H86" s="76"/>
      <c r="I86" s="76"/>
      <c r="J86" s="76"/>
      <c r="K86" s="77"/>
      <c r="L86" s="76"/>
      <c r="M86" s="76"/>
      <c r="N86" s="76"/>
      <c r="O86" s="76"/>
      <c r="P86" s="77"/>
      <c r="Q86" s="76"/>
      <c r="R86" s="76"/>
      <c r="S86" s="76"/>
      <c r="T86" s="76"/>
      <c r="U86" s="77"/>
      <c r="V86" s="76"/>
      <c r="W86" s="76"/>
      <c r="X86" s="76"/>
      <c r="Y86" s="76"/>
      <c r="Z86" s="77"/>
      <c r="AA86" s="76"/>
      <c r="AB86" s="76"/>
      <c r="AC86" s="76"/>
      <c r="AD86" s="76"/>
      <c r="AE86" s="77"/>
      <c r="AF86" s="76"/>
      <c r="AG86" s="76"/>
      <c r="AH86" s="76"/>
      <c r="AI86" s="76"/>
      <c r="AJ86" s="77"/>
      <c r="AK86" s="20">
        <f>+AK30</f>
        <v>-261</v>
      </c>
      <c r="AL86" s="20">
        <f>+AL30</f>
        <v>-288</v>
      </c>
      <c r="AM86" s="20">
        <f>+AM30</f>
        <v>-252</v>
      </c>
      <c r="AN86" s="20">
        <f>+AN30</f>
        <v>-373</v>
      </c>
      <c r="AO86" s="21">
        <f>SUM(AK86:AN86)</f>
        <v>-1174</v>
      </c>
      <c r="AP86" s="20">
        <f>+AP30</f>
        <v>-299</v>
      </c>
      <c r="AQ86" s="20">
        <f>+AQ30</f>
        <v>-364</v>
      </c>
      <c r="AR86" s="422">
        <f>+AR30</f>
        <v>-402</v>
      </c>
      <c r="AS86" s="422">
        <f>+AS30</f>
        <v>203</v>
      </c>
      <c r="AT86" s="75">
        <f>SUM(AP86:AS86)</f>
        <v>-862</v>
      </c>
      <c r="AU86" s="20">
        <f>+AU30</f>
        <v>-204</v>
      </c>
      <c r="AV86" s="20">
        <f>+AV30</f>
        <v>-295</v>
      </c>
      <c r="AW86" s="20">
        <f>+AW30</f>
        <v>-266</v>
      </c>
      <c r="AX86" s="20">
        <f>+AX30</f>
        <v>-267</v>
      </c>
      <c r="AY86" s="75">
        <f>SUM(AU86:AX86)</f>
        <v>-1032</v>
      </c>
      <c r="AZ86" s="20">
        <f>+AZ30</f>
        <v>-208</v>
      </c>
      <c r="BA86" s="20">
        <f>+BA30</f>
        <v>-327</v>
      </c>
      <c r="BB86" s="20">
        <f>+BB30</f>
        <v>-307</v>
      </c>
      <c r="BC86" s="20">
        <f>+BC30</f>
        <v>-431</v>
      </c>
      <c r="BD86" s="75">
        <f>SUM(AZ86:BC86)</f>
        <v>-1273</v>
      </c>
      <c r="BE86" s="20">
        <f>+BE30</f>
        <v>-331</v>
      </c>
      <c r="BF86" s="20">
        <f>+BF30</f>
        <v>-335</v>
      </c>
      <c r="BG86" s="20">
        <f>+BG30</f>
        <v>-415.91243000000009</v>
      </c>
      <c r="BH86" s="20">
        <f>+BH30</f>
        <v>-533.39118671215238</v>
      </c>
      <c r="BI86" s="21">
        <f t="shared" si="80"/>
        <v>-1615.3036167121525</v>
      </c>
      <c r="BJ86" s="261"/>
      <c r="BK86" s="254"/>
      <c r="BN86" s="73"/>
      <c r="BO86" s="73"/>
      <c r="BV86" s="73"/>
      <c r="BW86" s="73"/>
      <c r="BX86" s="254"/>
    </row>
    <row r="87" spans="1:76">
      <c r="A87" s="1" t="s">
        <v>363</v>
      </c>
      <c r="B87" s="76"/>
      <c r="C87" s="76"/>
      <c r="D87" s="76"/>
      <c r="E87" s="76"/>
      <c r="F87" s="77"/>
      <c r="G87" s="76"/>
      <c r="H87" s="76"/>
      <c r="I87" s="76"/>
      <c r="J87" s="76"/>
      <c r="K87" s="77"/>
      <c r="L87" s="76"/>
      <c r="M87" s="76"/>
      <c r="N87" s="76"/>
      <c r="O87" s="76"/>
      <c r="P87" s="77"/>
      <c r="Q87" s="76"/>
      <c r="R87" s="76"/>
      <c r="S87" s="76"/>
      <c r="T87" s="76"/>
      <c r="U87" s="77"/>
      <c r="V87" s="76"/>
      <c r="W87" s="76"/>
      <c r="X87" s="76"/>
      <c r="Y87" s="76"/>
      <c r="Z87" s="77"/>
      <c r="AA87" s="76"/>
      <c r="AB87" s="76"/>
      <c r="AC87" s="76"/>
      <c r="AD87" s="76"/>
      <c r="AE87" s="77"/>
      <c r="AF87" s="76"/>
      <c r="AG87" s="76"/>
      <c r="AH87" s="76"/>
      <c r="AI87" s="76"/>
      <c r="AJ87" s="77"/>
      <c r="AK87" s="40">
        <v>3</v>
      </c>
      <c r="AL87" s="40">
        <v>10</v>
      </c>
      <c r="AM87" s="40">
        <v>60</v>
      </c>
      <c r="AN87" s="20">
        <f>AO87-SUM(AK87:AM87)</f>
        <v>85</v>
      </c>
      <c r="AO87" s="42">
        <v>158</v>
      </c>
      <c r="AP87" s="40">
        <v>204</v>
      </c>
      <c r="AQ87" s="40">
        <v>372</v>
      </c>
      <c r="AR87" s="483">
        <v>175</v>
      </c>
      <c r="AS87" s="422">
        <f>AT87-SUM(AP87:AR87)</f>
        <v>69</v>
      </c>
      <c r="AT87" s="74">
        <v>820</v>
      </c>
      <c r="AU87" s="40">
        <v>165</v>
      </c>
      <c r="AV87" s="40">
        <f>572-AU87</f>
        <v>407</v>
      </c>
      <c r="AW87" s="40">
        <f>716-SUM(AU87:AV87)</f>
        <v>144</v>
      </c>
      <c r="AX87" s="20">
        <f>AY87-SUM(AU87:AW87)</f>
        <v>84</v>
      </c>
      <c r="AY87" s="74">
        <v>800</v>
      </c>
      <c r="AZ87" s="40">
        <v>76</v>
      </c>
      <c r="BA87" s="40">
        <f>146-AZ87</f>
        <v>70</v>
      </c>
      <c r="BB87" s="40">
        <v>56</v>
      </c>
      <c r="BC87" s="20">
        <f>BD87-SUM(AZ87:BB87)</f>
        <v>43</v>
      </c>
      <c r="BD87" s="74">
        <v>245</v>
      </c>
      <c r="BE87" s="40">
        <v>83</v>
      </c>
      <c r="BF87" s="40">
        <f>116-BE87</f>
        <v>33</v>
      </c>
      <c r="BG87" s="40"/>
      <c r="BH87" s="20"/>
      <c r="BI87" s="21">
        <f t="shared" si="80"/>
        <v>116</v>
      </c>
      <c r="BJ87" s="261"/>
      <c r="BK87" s="254" t="s">
        <v>499</v>
      </c>
      <c r="BN87" s="73"/>
      <c r="BO87" s="73"/>
      <c r="BV87" s="73"/>
      <c r="BW87" s="73"/>
      <c r="BX87" s="254"/>
    </row>
    <row r="88" spans="1:76">
      <c r="A88" s="1" t="s">
        <v>200</v>
      </c>
      <c r="B88" s="76"/>
      <c r="C88" s="76"/>
      <c r="D88" s="76"/>
      <c r="E88" s="76"/>
      <c r="F88" s="77"/>
      <c r="G88" s="76"/>
      <c r="H88" s="76"/>
      <c r="I88" s="76"/>
      <c r="J88" s="76"/>
      <c r="K88" s="77"/>
      <c r="L88" s="76"/>
      <c r="M88" s="76"/>
      <c r="N88" s="76"/>
      <c r="O88" s="76"/>
      <c r="P88" s="77"/>
      <c r="Q88" s="76"/>
      <c r="R88" s="76"/>
      <c r="S88" s="76"/>
      <c r="T88" s="76"/>
      <c r="U88" s="77"/>
      <c r="V88" s="76"/>
      <c r="W88" s="76"/>
      <c r="X88" s="76"/>
      <c r="Y88" s="76"/>
      <c r="Z88" s="77"/>
      <c r="AA88" s="76"/>
      <c r="AB88" s="76"/>
      <c r="AC88" s="76"/>
      <c r="AD88" s="76"/>
      <c r="AE88" s="77"/>
      <c r="AF88" s="76"/>
      <c r="AG88" s="76"/>
      <c r="AH88" s="76"/>
      <c r="AI88" s="76"/>
      <c r="AJ88" s="77"/>
      <c r="AK88" s="40">
        <v>0</v>
      </c>
      <c r="AL88" s="40">
        <v>0</v>
      </c>
      <c r="AM88" s="40">
        <v>0</v>
      </c>
      <c r="AN88" s="20">
        <f>AO88-SUM(AK88:AM88)</f>
        <v>38</v>
      </c>
      <c r="AO88" s="42">
        <v>38</v>
      </c>
      <c r="AP88" s="40">
        <v>32</v>
      </c>
      <c r="AQ88" s="40">
        <v>75</v>
      </c>
      <c r="AR88" s="483">
        <v>21</v>
      </c>
      <c r="AS88" s="422">
        <f>AT88-SUM(AP88:AR88)</f>
        <v>-128</v>
      </c>
      <c r="AT88" s="74">
        <v>0</v>
      </c>
      <c r="AU88" s="40">
        <v>0</v>
      </c>
      <c r="AV88" s="40">
        <v>0</v>
      </c>
      <c r="AW88" s="40">
        <f>0-SUM(AU88:AV88)</f>
        <v>0</v>
      </c>
      <c r="AX88" s="20">
        <f>AY88-SUM(AU88:AW88)</f>
        <v>0</v>
      </c>
      <c r="AY88" s="74">
        <v>0</v>
      </c>
      <c r="AZ88" s="40">
        <v>0</v>
      </c>
      <c r="BA88" s="40">
        <v>0</v>
      </c>
      <c r="BB88" s="40">
        <v>0</v>
      </c>
      <c r="BC88" s="20">
        <f>BD88-SUM(AZ88:BB88)</f>
        <v>0</v>
      </c>
      <c r="BD88" s="74">
        <v>0</v>
      </c>
      <c r="BE88" s="40">
        <v>26</v>
      </c>
      <c r="BF88" s="40">
        <f>51-BE88</f>
        <v>25</v>
      </c>
      <c r="BG88" s="40"/>
      <c r="BH88" s="20"/>
      <c r="BI88" s="21">
        <f t="shared" si="80"/>
        <v>51</v>
      </c>
      <c r="BJ88" s="261"/>
      <c r="BK88" s="254" t="s">
        <v>499</v>
      </c>
      <c r="BN88" s="73"/>
      <c r="BO88" s="73"/>
      <c r="BV88" s="73"/>
      <c r="BW88" s="73"/>
      <c r="BX88" s="254"/>
    </row>
    <row r="89" spans="1:76">
      <c r="A89" s="1" t="s">
        <v>364</v>
      </c>
      <c r="B89" s="76"/>
      <c r="C89" s="76"/>
      <c r="D89" s="76"/>
      <c r="E89" s="76"/>
      <c r="F89" s="77"/>
      <c r="G89" s="76"/>
      <c r="H89" s="76"/>
      <c r="I89" s="76"/>
      <c r="J89" s="76"/>
      <c r="K89" s="77"/>
      <c r="L89" s="76"/>
      <c r="M89" s="76"/>
      <c r="N89" s="76"/>
      <c r="O89" s="76"/>
      <c r="P89" s="77"/>
      <c r="Q89" s="76"/>
      <c r="R89" s="76"/>
      <c r="S89" s="76"/>
      <c r="T89" s="76"/>
      <c r="U89" s="77"/>
      <c r="V89" s="76"/>
      <c r="W89" s="76"/>
      <c r="X89" s="76"/>
      <c r="Y89" s="76"/>
      <c r="Z89" s="77"/>
      <c r="AA89" s="76"/>
      <c r="AB89" s="76"/>
      <c r="AC89" s="76"/>
      <c r="AD89" s="76"/>
      <c r="AE89" s="77"/>
      <c r="AF89" s="76"/>
      <c r="AG89" s="76"/>
      <c r="AH89" s="76"/>
      <c r="AI89" s="76"/>
      <c r="AJ89" s="77"/>
      <c r="AK89" s="40">
        <v>0</v>
      </c>
      <c r="AL89" s="40">
        <v>50</v>
      </c>
      <c r="AM89" s="40">
        <v>69</v>
      </c>
      <c r="AN89" s="20">
        <f>AO89-SUM(AK89:AM89)</f>
        <v>10</v>
      </c>
      <c r="AO89" s="42">
        <v>129</v>
      </c>
      <c r="AP89" s="40">
        <v>16</v>
      </c>
      <c r="AQ89" s="40">
        <v>93</v>
      </c>
      <c r="AR89" s="483">
        <v>36</v>
      </c>
      <c r="AS89" s="422">
        <f>AT89-SUM(AP89:AR89)</f>
        <v>-145</v>
      </c>
      <c r="AT89" s="74">
        <v>0</v>
      </c>
      <c r="AU89" s="40">
        <v>0</v>
      </c>
      <c r="AV89" s="40">
        <v>0</v>
      </c>
      <c r="AW89" s="40">
        <f>0-SUM(AU89:AV89)</f>
        <v>0</v>
      </c>
      <c r="AX89" s="20">
        <f>AY89-SUM(AU89:AW89)</f>
        <v>0</v>
      </c>
      <c r="AY89" s="74">
        <v>0</v>
      </c>
      <c r="AZ89" s="40">
        <v>0</v>
      </c>
      <c r="BA89" s="40">
        <v>0</v>
      </c>
      <c r="BB89" s="40">
        <v>0</v>
      </c>
      <c r="BC89" s="20">
        <f>BD89-SUM(AZ89:BB89)</f>
        <v>0</v>
      </c>
      <c r="BD89" s="74">
        <v>0</v>
      </c>
      <c r="BE89" s="40">
        <v>0</v>
      </c>
      <c r="BF89" s="40">
        <f>0-BE89</f>
        <v>0</v>
      </c>
      <c r="BG89" s="40"/>
      <c r="BH89" s="20"/>
      <c r="BI89" s="21">
        <f t="shared" si="80"/>
        <v>0</v>
      </c>
      <c r="BJ89" s="261"/>
      <c r="BK89" s="254" t="s">
        <v>499</v>
      </c>
      <c r="BN89" s="73"/>
      <c r="BO89" s="73"/>
      <c r="BV89" s="73"/>
      <c r="BW89" s="73"/>
      <c r="BX89" s="254"/>
    </row>
    <row r="90" spans="1:76">
      <c r="A90" s="1" t="s">
        <v>314</v>
      </c>
      <c r="B90" s="76"/>
      <c r="C90" s="76"/>
      <c r="D90" s="76"/>
      <c r="E90" s="76"/>
      <c r="F90" s="77"/>
      <c r="G90" s="76"/>
      <c r="H90" s="76"/>
      <c r="I90" s="76"/>
      <c r="J90" s="76"/>
      <c r="K90" s="77"/>
      <c r="L90" s="76"/>
      <c r="M90" s="76"/>
      <c r="N90" s="76"/>
      <c r="O90" s="76"/>
      <c r="P90" s="77"/>
      <c r="Q90" s="76"/>
      <c r="R90" s="76"/>
      <c r="S90" s="76"/>
      <c r="T90" s="76"/>
      <c r="U90" s="77"/>
      <c r="V90" s="76"/>
      <c r="W90" s="76"/>
      <c r="X90" s="76"/>
      <c r="Y90" s="76"/>
      <c r="Z90" s="77"/>
      <c r="AA90" s="76"/>
      <c r="AB90" s="76"/>
      <c r="AC90" s="76"/>
      <c r="AD90" s="76"/>
      <c r="AE90" s="77"/>
      <c r="AF90" s="76"/>
      <c r="AG90" s="76"/>
      <c r="AH90" s="76"/>
      <c r="AI90" s="76"/>
      <c r="AJ90" s="77"/>
      <c r="AK90" s="20"/>
      <c r="AL90" s="20"/>
      <c r="AM90" s="20"/>
      <c r="AN90" s="20"/>
      <c r="AO90" s="42"/>
      <c r="AP90" s="40"/>
      <c r="AQ90" s="40"/>
      <c r="AR90" s="483"/>
      <c r="AS90" s="422"/>
      <c r="AT90" s="74">
        <v>177</v>
      </c>
      <c r="AU90" s="40">
        <v>79</v>
      </c>
      <c r="AV90" s="40">
        <f>108-AU90</f>
        <v>29</v>
      </c>
      <c r="AW90" s="40">
        <f>123-1-SUM(AU90:AV90)</f>
        <v>14</v>
      </c>
      <c r="AX90" s="20">
        <f>AY90-SUM(AU90:AW90)</f>
        <v>382</v>
      </c>
      <c r="AY90" s="74">
        <v>504</v>
      </c>
      <c r="AZ90" s="40">
        <f>31-1</f>
        <v>30</v>
      </c>
      <c r="BA90" s="40">
        <f>45-AZ90</f>
        <v>15</v>
      </c>
      <c r="BB90" s="40">
        <f>6+51+1</f>
        <v>58</v>
      </c>
      <c r="BC90" s="20">
        <f>BD90-SUM(AZ90:BB90)</f>
        <v>76</v>
      </c>
      <c r="BD90" s="74">
        <f>123+56</f>
        <v>179</v>
      </c>
      <c r="BE90" s="479">
        <f>13-1</f>
        <v>12</v>
      </c>
      <c r="BF90" s="40">
        <f>58-BE90</f>
        <v>46</v>
      </c>
      <c r="BG90" s="40"/>
      <c r="BH90" s="20"/>
      <c r="BI90" s="21">
        <f t="shared" si="80"/>
        <v>58</v>
      </c>
      <c r="BJ90" s="261"/>
      <c r="BK90" s="254" t="s">
        <v>499</v>
      </c>
      <c r="BN90" s="73"/>
      <c r="BO90" s="73"/>
      <c r="BV90" s="73"/>
      <c r="BW90" s="73"/>
      <c r="BX90" s="254"/>
    </row>
    <row r="91" spans="1:76">
      <c r="A91" s="405" t="s">
        <v>409</v>
      </c>
      <c r="B91" s="424"/>
      <c r="C91" s="424"/>
      <c r="D91" s="424"/>
      <c r="E91" s="424"/>
      <c r="F91" s="425"/>
      <c r="G91" s="424"/>
      <c r="H91" s="424"/>
      <c r="I91" s="424"/>
      <c r="J91" s="424"/>
      <c r="K91" s="425"/>
      <c r="L91" s="424"/>
      <c r="M91" s="424"/>
      <c r="N91" s="424"/>
      <c r="O91" s="424"/>
      <c r="P91" s="425"/>
      <c r="Q91" s="424"/>
      <c r="R91" s="424"/>
      <c r="S91" s="424"/>
      <c r="T91" s="424"/>
      <c r="U91" s="425"/>
      <c r="V91" s="424"/>
      <c r="W91" s="424"/>
      <c r="X91" s="424"/>
      <c r="Y91" s="424"/>
      <c r="Z91" s="425"/>
      <c r="AA91" s="424"/>
      <c r="AB91" s="424"/>
      <c r="AC91" s="424"/>
      <c r="AD91" s="424"/>
      <c r="AE91" s="425"/>
      <c r="AF91" s="424"/>
      <c r="AG91" s="424"/>
      <c r="AH91" s="424"/>
      <c r="AI91" s="424"/>
      <c r="AJ91" s="425"/>
      <c r="AK91" s="424">
        <f>SUM(AK85:AK90)</f>
        <v>-1167</v>
      </c>
      <c r="AL91" s="424">
        <f>SUM(AL85:AL90)</f>
        <v>192</v>
      </c>
      <c r="AM91" s="424">
        <f>SUM(AM85:AM90)</f>
        <v>697</v>
      </c>
      <c r="AN91" s="424">
        <f>SUM(AN85:AN90)</f>
        <v>3336</v>
      </c>
      <c r="AO91" s="425">
        <f>SUM(AK91:AN91)</f>
        <v>3058</v>
      </c>
      <c r="AP91" s="424">
        <f t="shared" ref="AP91:BA91" si="81">SUM(AP85:AP90)</f>
        <v>103</v>
      </c>
      <c r="AQ91" s="424">
        <f t="shared" si="81"/>
        <v>413</v>
      </c>
      <c r="AR91" s="424">
        <f t="shared" si="81"/>
        <v>1672</v>
      </c>
      <c r="AS91" s="424">
        <f t="shared" si="81"/>
        <v>2379</v>
      </c>
      <c r="AT91" s="425">
        <f t="shared" si="81"/>
        <v>4744</v>
      </c>
      <c r="AU91" s="424">
        <f t="shared" si="81"/>
        <v>1669</v>
      </c>
      <c r="AV91" s="424">
        <f t="shared" si="81"/>
        <v>1098</v>
      </c>
      <c r="AW91" s="424">
        <f t="shared" si="81"/>
        <v>1805</v>
      </c>
      <c r="AX91" s="424">
        <f t="shared" si="81"/>
        <v>1517</v>
      </c>
      <c r="AY91" s="425">
        <f t="shared" si="81"/>
        <v>6089</v>
      </c>
      <c r="AZ91" s="424">
        <f t="shared" si="81"/>
        <v>1441</v>
      </c>
      <c r="BA91" s="424">
        <f t="shared" si="81"/>
        <v>2106</v>
      </c>
      <c r="BB91" s="424">
        <f t="shared" ref="BB91:BD91" si="82">SUM(BB85:BB90)</f>
        <v>2362</v>
      </c>
      <c r="BC91" s="424">
        <f t="shared" si="82"/>
        <v>1785</v>
      </c>
      <c r="BD91" s="425">
        <f t="shared" si="82"/>
        <v>7694</v>
      </c>
      <c r="BE91" s="424">
        <f t="shared" ref="BE91:BH91" si="83">SUM(BE85:BE90)</f>
        <v>1658</v>
      </c>
      <c r="BF91" s="424">
        <f>SUM(BF85:BF90)</f>
        <v>3027</v>
      </c>
      <c r="BG91" s="424">
        <f t="shared" ca="1" si="83"/>
        <v>2380.7518295643295</v>
      </c>
      <c r="BH91" s="424">
        <f t="shared" ca="1" si="83"/>
        <v>2153.4944831707658</v>
      </c>
      <c r="BI91" s="425">
        <f t="shared" ca="1" si="80"/>
        <v>9219.2463127350948</v>
      </c>
      <c r="BJ91" s="261" t="s">
        <v>647</v>
      </c>
      <c r="BK91" s="254" t="s">
        <v>499</v>
      </c>
      <c r="BN91" s="73"/>
      <c r="BO91" s="73"/>
      <c r="BV91" s="73"/>
      <c r="BW91" s="73"/>
      <c r="BX91" s="254"/>
    </row>
    <row r="92" spans="1:76">
      <c r="A92" s="1" t="s">
        <v>24</v>
      </c>
      <c r="B92" s="34"/>
      <c r="C92" s="34"/>
      <c r="D92" s="34"/>
      <c r="E92" s="34"/>
      <c r="F92" s="35"/>
      <c r="G92" s="34"/>
      <c r="H92" s="34"/>
      <c r="I92" s="34"/>
      <c r="J92" s="34"/>
      <c r="K92" s="35"/>
      <c r="L92" s="34"/>
      <c r="M92" s="34"/>
      <c r="N92" s="34"/>
      <c r="O92" s="34"/>
      <c r="P92" s="35"/>
      <c r="Q92" s="34"/>
      <c r="R92" s="34"/>
      <c r="S92" s="34"/>
      <c r="T92" s="34"/>
      <c r="U92" s="35"/>
      <c r="V92" s="34"/>
      <c r="W92" s="34"/>
      <c r="X92" s="34"/>
      <c r="Y92" s="34"/>
      <c r="Z92" s="35"/>
      <c r="AA92" s="34"/>
      <c r="AB92" s="34"/>
      <c r="AC92" s="32"/>
      <c r="AD92" s="34"/>
      <c r="AE92" s="35"/>
      <c r="AF92" s="34"/>
      <c r="AG92" s="34"/>
      <c r="AH92" s="32"/>
      <c r="AI92" s="34"/>
      <c r="AJ92" s="35"/>
      <c r="AK92" s="34">
        <f>+AK91/ProForma_IS_Qtr!AK43</f>
        <v>11.441176470588236</v>
      </c>
      <c r="AL92" s="34">
        <f>+AL91/ProForma_IS_Qtr!AL43</f>
        <v>0.49104859335038364</v>
      </c>
      <c r="AM92" s="32">
        <f>+AM91/ProForma_IS_Qtr!AM43</f>
        <v>-3.7272727272727271</v>
      </c>
      <c r="AN92" s="34">
        <f>+AN91/ProForma_IS_Qtr!AN43</f>
        <v>4.5264586160108546</v>
      </c>
      <c r="AO92" s="123">
        <f>+AO91/ProForma_IS_Qtr!AO43</f>
        <v>3.6448152562574494</v>
      </c>
      <c r="AP92" s="34">
        <f>+AP91/ProForma_IS_Qtr!AP43</f>
        <v>0.14905933429811866</v>
      </c>
      <c r="AQ92" s="34">
        <f>+AQ91/ProForma_IS_Qtr!AQ43</f>
        <v>0.50862068965517238</v>
      </c>
      <c r="AR92" s="488">
        <f>+AR91/ProForma_IS_Qtr!AR43</f>
        <v>1.6456692913385826</v>
      </c>
      <c r="AS92" s="488">
        <f>+AS91/ProForma_IS_Qtr!AS43</f>
        <v>3.2904564315352696</v>
      </c>
      <c r="AT92" s="35">
        <f>+AT91/ProForma_IS_Qtr!AT43</f>
        <v>1.4632942628007404</v>
      </c>
      <c r="AU92" s="34">
        <f>+AU91/ProForma_IS_Qtr!AU43</f>
        <v>1.6267056530214425</v>
      </c>
      <c r="AV92" s="34">
        <f>+AV91/ProForma_IS_Qtr!AV43</f>
        <v>0.83118849356548075</v>
      </c>
      <c r="AW92" s="32">
        <f>+AW91/ProForma_IS_Qtr!AW43</f>
        <v>1.4382470119521913</v>
      </c>
      <c r="AX92" s="34">
        <f>+AX91/ProForma_IS_Qtr!AX43</f>
        <v>1.0586182833217028</v>
      </c>
      <c r="AY92" s="35">
        <f>+AY91/ProForma_IS_Qtr!AY43</f>
        <v>1.2093346573982124</v>
      </c>
      <c r="AZ92" s="34">
        <f>+AZ91/ProForma_IS_Qtr!AZ43</f>
        <v>0.90006246096189879</v>
      </c>
      <c r="BA92" s="34">
        <f>+BA91/ProForma_IS_Qtr!BA43</f>
        <v>1.1851435002813731</v>
      </c>
      <c r="BB92" s="34">
        <f>+BB91/ProForma_IS_Qtr!BB43</f>
        <v>1.3390022675736961</v>
      </c>
      <c r="BC92" s="34">
        <f>+BC91/ProForma_IS_Qtr!BC43</f>
        <v>1.0691823899371069</v>
      </c>
      <c r="BD92" s="35">
        <f>+BD91/ProForma_IS_Qtr!BD43</f>
        <v>1.1295603024297145</v>
      </c>
      <c r="BE92" s="34">
        <f>+BE91/ProForma_IS_Qtr!BE43</f>
        <v>0.84462557310239428</v>
      </c>
      <c r="BF92" s="34">
        <f>+BF91/ProForma_IS_Qtr!BF43</f>
        <v>1.4318826868495742</v>
      </c>
      <c r="BG92" s="34">
        <f ca="1">+BG91/ProForma_IS_Qtr!BG43</f>
        <v>1.1293526968149015</v>
      </c>
      <c r="BH92" s="34">
        <f ca="1">+BH91/ProForma_IS_Qtr!BH43</f>
        <v>1.0480382862293032</v>
      </c>
      <c r="BI92" s="35">
        <f ca="1">+BI91/ProForma_IS_Qtr!BI43</f>
        <v>1.1187246696624076</v>
      </c>
    </row>
    <row r="93" spans="1:76">
      <c r="A93" s="12" t="s">
        <v>25</v>
      </c>
      <c r="B93" s="78"/>
      <c r="C93" s="78"/>
      <c r="D93" s="78"/>
      <c r="E93" s="78"/>
      <c r="F93" s="79"/>
      <c r="G93" s="78"/>
      <c r="H93" s="78"/>
      <c r="I93" s="78"/>
      <c r="J93" s="78"/>
      <c r="K93" s="79"/>
      <c r="L93" s="78"/>
      <c r="M93" s="78"/>
      <c r="N93" s="78"/>
      <c r="O93" s="78"/>
      <c r="P93" s="79"/>
      <c r="Q93" s="78"/>
      <c r="R93" s="78"/>
      <c r="S93" s="78"/>
      <c r="T93" s="78"/>
      <c r="U93" s="79"/>
      <c r="V93" s="78"/>
      <c r="W93" s="78"/>
      <c r="X93" s="78"/>
      <c r="Y93" s="78"/>
      <c r="Z93" s="79"/>
      <c r="AA93" s="78"/>
      <c r="AB93" s="78"/>
      <c r="AC93" s="271"/>
      <c r="AD93" s="78"/>
      <c r="AE93" s="79"/>
      <c r="AF93" s="78"/>
      <c r="AG93" s="78"/>
      <c r="AH93" s="271"/>
      <c r="AI93" s="78"/>
      <c r="AJ93" s="79"/>
      <c r="AK93" s="78">
        <f>+AK91/ProForma_IS_Qtr!AK60</f>
        <v>-1.0609090909090908</v>
      </c>
      <c r="AL93" s="78">
        <f>+AL91/ProForma_IS_Qtr!AL60</f>
        <v>0.17470427661510465</v>
      </c>
      <c r="AM93" s="271">
        <f>+AM91/ProForma_IS_Qtr!AM60</f>
        <v>0.63652968036529678</v>
      </c>
      <c r="AN93" s="78">
        <f>+AN91/ProForma_IS_Qtr!AN60</f>
        <v>3.0410209662716499</v>
      </c>
      <c r="AO93" s="272">
        <f>+AO91/ProForma_IS_Qtr!AO60</f>
        <v>2.7856980186745615</v>
      </c>
      <c r="AP93" s="78">
        <f>+AP91/ProForma_IS_Qtr!AP60</f>
        <v>9.3806921675774133E-2</v>
      </c>
      <c r="AQ93" s="78">
        <f>+AQ91/ProForma_IS_Qtr!AQ60</f>
        <v>0.37613843351548271</v>
      </c>
      <c r="AR93" s="489">
        <f>+AR91/ProForma_IS_Qtr!AR60</f>
        <v>1.5227686703096539</v>
      </c>
      <c r="AS93" s="489">
        <f>+AS91/ProForma_IS_Qtr!AS60</f>
        <v>2.1666666666666665</v>
      </c>
      <c r="AT93" s="79">
        <f>+AT91/ProForma_IS_Qtr!AT60</f>
        <v>4.316651501364877</v>
      </c>
      <c r="AU93" s="78">
        <f>+AU91/ProForma_IS_Qtr!AU60</f>
        <v>1.513145965548504</v>
      </c>
      <c r="AV93" s="78">
        <f>+AV91/ProForma_IS_Qtr!AV60</f>
        <v>0.99818181818181817</v>
      </c>
      <c r="AW93" s="271">
        <f>+AW91/ProForma_IS_Qtr!AW60</f>
        <v>1.6438979963570128</v>
      </c>
      <c r="AX93" s="78">
        <f>+AX91/ProForma_IS_Qtr!AX60</f>
        <v>1.3902823629799004</v>
      </c>
      <c r="AY93" s="79">
        <f>+AY91/ProForma_IS_Qtr!AY60</f>
        <v>5.5658135283363803</v>
      </c>
      <c r="AZ93" s="78">
        <f>+AZ91/ProForma_IS_Qtr!AZ60</f>
        <v>1.3367346938775511</v>
      </c>
      <c r="BA93" s="78">
        <f>+BA91/ProForma_IS_Qtr!BA60</f>
        <v>1.9663865546218486</v>
      </c>
      <c r="BB93" s="78">
        <f>+BB91/ProForma_IS_Qtr!BB60</f>
        <v>2.2178403755868543</v>
      </c>
      <c r="BC93" s="78">
        <f>+BC91/ProForma_IS_Qtr!BC60</f>
        <v>1.6833162423138956</v>
      </c>
      <c r="BD93" s="79">
        <f>+BD91/ProForma_IS_Qtr!BD60</f>
        <v>7.2041198501872659</v>
      </c>
      <c r="BE93" s="78">
        <f>+BE91/ProForma_IS_Qtr!BE60</f>
        <v>1.5730550284629981</v>
      </c>
      <c r="BF93" s="78">
        <f>+BF91/ProForma_IS_Qtr!BF60</f>
        <v>2.8911174785100289</v>
      </c>
      <c r="BG93" s="78">
        <f ca="1">+BG91/ProForma_IS_Qtr!BG60</f>
        <v>2.276896508015295</v>
      </c>
      <c r="BH93" s="78">
        <f ca="1">+BH91/ProForma_IS_Qtr!BH60</f>
        <v>2.0639534885883641</v>
      </c>
      <c r="BI93" s="79">
        <f ca="1">+BI91/ProForma_IS_Qtr!BI60</f>
        <v>8.7795611240776896</v>
      </c>
    </row>
    <row r="94" spans="1:76">
      <c r="F94" s="25"/>
      <c r="K94" s="25"/>
      <c r="P94" s="25"/>
      <c r="U94" s="25"/>
      <c r="Z94" s="25"/>
      <c r="AE94" s="25"/>
      <c r="AJ94" s="25"/>
      <c r="AO94" s="25"/>
      <c r="AT94" s="25"/>
      <c r="AY94" s="25"/>
      <c r="BD94" s="25"/>
      <c r="BI94" s="25"/>
    </row>
    <row r="95" spans="1:76">
      <c r="A95" s="4" t="s">
        <v>62</v>
      </c>
      <c r="B95" s="76"/>
      <c r="C95" s="76"/>
      <c r="D95" s="76"/>
      <c r="E95" s="76"/>
      <c r="F95" s="77"/>
      <c r="G95" s="76"/>
      <c r="H95" s="76"/>
      <c r="I95" s="76"/>
      <c r="J95" s="76"/>
      <c r="K95" s="77"/>
      <c r="L95" s="76"/>
      <c r="M95" s="76"/>
      <c r="N95" s="76"/>
      <c r="O95" s="76"/>
      <c r="P95" s="77"/>
      <c r="Q95" s="76"/>
      <c r="R95" s="76"/>
      <c r="S95" s="76"/>
      <c r="T95" s="76"/>
      <c r="U95" s="77"/>
      <c r="V95" s="76"/>
      <c r="W95" s="76"/>
      <c r="X95" s="76"/>
      <c r="Y95" s="76"/>
      <c r="Z95" s="77"/>
      <c r="AA95" s="76"/>
      <c r="AB95" s="76"/>
      <c r="AC95" s="76"/>
      <c r="AD95" s="76"/>
      <c r="AE95" s="77"/>
      <c r="AF95" s="76"/>
      <c r="AG95" s="76"/>
      <c r="AH95" s="76"/>
      <c r="AI95" s="76"/>
      <c r="AJ95" s="77"/>
      <c r="AK95" s="76">
        <f t="shared" ref="AK95:BA95" si="84">-AK45-AK47</f>
        <v>179</v>
      </c>
      <c r="AL95" s="76">
        <f t="shared" si="84"/>
        <v>485</v>
      </c>
      <c r="AM95" s="76">
        <f t="shared" si="84"/>
        <v>479</v>
      </c>
      <c r="AN95" s="76">
        <f t="shared" si="84"/>
        <v>479</v>
      </c>
      <c r="AO95" s="77">
        <f t="shared" si="84"/>
        <v>1622</v>
      </c>
      <c r="AP95" s="76">
        <f t="shared" si="84"/>
        <v>512</v>
      </c>
      <c r="AQ95" s="76">
        <f t="shared" si="84"/>
        <v>470</v>
      </c>
      <c r="AR95" s="484">
        <f t="shared" si="84"/>
        <v>464</v>
      </c>
      <c r="AS95" s="484">
        <f t="shared" si="84"/>
        <v>376</v>
      </c>
      <c r="AT95" s="77">
        <f t="shared" si="84"/>
        <v>1822</v>
      </c>
      <c r="AU95" s="76">
        <f t="shared" si="84"/>
        <v>408</v>
      </c>
      <c r="AV95" s="76">
        <f t="shared" si="84"/>
        <v>2609</v>
      </c>
      <c r="AW95" s="76">
        <f t="shared" si="84"/>
        <v>1844</v>
      </c>
      <c r="AX95" s="76">
        <f t="shared" si="84"/>
        <v>1974</v>
      </c>
      <c r="AY95" s="77">
        <f t="shared" si="84"/>
        <v>6835</v>
      </c>
      <c r="AZ95" s="76">
        <f t="shared" si="84"/>
        <v>2267</v>
      </c>
      <c r="BA95" s="76">
        <f t="shared" si="84"/>
        <v>2131</v>
      </c>
      <c r="BB95" s="76">
        <f t="shared" ref="BB95:BD95" si="85">-BB45-BB47</f>
        <v>2227</v>
      </c>
      <c r="BC95" s="76">
        <f t="shared" si="85"/>
        <v>2378</v>
      </c>
      <c r="BD95" s="77">
        <f t="shared" si="85"/>
        <v>9003</v>
      </c>
      <c r="BE95" s="76">
        <f t="shared" ref="BE95:BI95" si="86">-BE45-BE47</f>
        <v>2780</v>
      </c>
      <c r="BF95" s="76">
        <f t="shared" si="86"/>
        <v>2620</v>
      </c>
      <c r="BG95" s="76">
        <f t="shared" si="86"/>
        <v>2364.3467280194104</v>
      </c>
      <c r="BH95" s="76">
        <f t="shared" si="86"/>
        <v>1701.4040485324331</v>
      </c>
      <c r="BI95" s="77">
        <f t="shared" si="86"/>
        <v>9465.750776551844</v>
      </c>
    </row>
    <row r="96" spans="1:76">
      <c r="A96" s="1" t="s">
        <v>63</v>
      </c>
      <c r="B96" s="34"/>
      <c r="C96" s="34"/>
      <c r="D96" s="34"/>
      <c r="E96" s="34"/>
      <c r="F96" s="35"/>
      <c r="G96" s="34"/>
      <c r="H96" s="34"/>
      <c r="I96" s="34"/>
      <c r="J96" s="34"/>
      <c r="K96" s="35"/>
      <c r="L96" s="34"/>
      <c r="M96" s="34"/>
      <c r="N96" s="34"/>
      <c r="O96" s="34"/>
      <c r="P96" s="35"/>
      <c r="Q96" s="34"/>
      <c r="R96" s="34"/>
      <c r="S96" s="34"/>
      <c r="T96" s="34"/>
      <c r="U96" s="35"/>
      <c r="V96" s="34"/>
      <c r="W96" s="34"/>
      <c r="X96" s="34"/>
      <c r="Y96" s="34"/>
      <c r="Z96" s="35"/>
      <c r="AA96" s="34"/>
      <c r="AB96" s="34"/>
      <c r="AC96" s="32"/>
      <c r="AD96" s="34"/>
      <c r="AE96" s="35"/>
      <c r="AF96" s="34"/>
      <c r="AG96" s="34"/>
      <c r="AH96" s="32"/>
      <c r="AI96" s="34"/>
      <c r="AJ96" s="35"/>
      <c r="AK96" s="34">
        <f t="shared" ref="AK96:AS96" si="87">AK95/AK79</f>
        <v>-0.15105485232067511</v>
      </c>
      <c r="AL96" s="34">
        <f t="shared" si="87"/>
        <v>2.4009900990099009</v>
      </c>
      <c r="AM96" s="32">
        <f t="shared" si="87"/>
        <v>0.85383244206773623</v>
      </c>
      <c r="AN96" s="34">
        <f t="shared" si="87"/>
        <v>0.14554846551200243</v>
      </c>
      <c r="AO96" s="123">
        <f t="shared" si="87"/>
        <v>0.56535378180550711</v>
      </c>
      <c r="AP96" s="34">
        <f>AP95/AP79</f>
        <v>-3.5804195804195804</v>
      </c>
      <c r="AQ96" s="34">
        <f t="shared" si="87"/>
        <v>-8.545454545454545</v>
      </c>
      <c r="AR96" s="488">
        <f t="shared" si="87"/>
        <v>0.3120376597175521</v>
      </c>
      <c r="AS96" s="488">
        <f t="shared" si="87"/>
        <v>0.15296989422294549</v>
      </c>
      <c r="AT96" s="35">
        <f t="shared" ref="AT96:BA96" si="88">AT95/AT79</f>
        <v>0.48625567120362956</v>
      </c>
      <c r="AU96" s="34">
        <f t="shared" si="88"/>
        <v>0.28631578947368419</v>
      </c>
      <c r="AV96" s="34">
        <f t="shared" si="88"/>
        <v>3.9410876132930515</v>
      </c>
      <c r="AW96" s="32">
        <f t="shared" si="88"/>
        <v>1.119611414693382</v>
      </c>
      <c r="AX96" s="34">
        <f t="shared" si="88"/>
        <v>1.8782112274024738</v>
      </c>
      <c r="AY96" s="35">
        <f t="shared" si="88"/>
        <v>1.4284221525600835</v>
      </c>
      <c r="AZ96" s="34">
        <f t="shared" si="88"/>
        <v>1.6981273408239701</v>
      </c>
      <c r="BA96" s="34">
        <f t="shared" si="88"/>
        <v>1.0544285007422067</v>
      </c>
      <c r="BB96" s="34">
        <f t="shared" ref="BB96:BD96" si="89">BB95/BB79</f>
        <v>0.99065836298932386</v>
      </c>
      <c r="BC96" s="34">
        <f t="shared" si="89"/>
        <v>1.4273709483793517</v>
      </c>
      <c r="BD96" s="35">
        <f t="shared" si="89"/>
        <v>1.2383768913342503</v>
      </c>
      <c r="BE96" s="34">
        <f t="shared" ref="BE96:BI96" si="90">BE95/BE79</f>
        <v>1.8087182823682499</v>
      </c>
      <c r="BF96" s="34">
        <f t="shared" si="90"/>
        <v>0.89633937735203562</v>
      </c>
      <c r="BG96" s="34">
        <f t="shared" ca="1" si="90"/>
        <v>0.99310927693462236</v>
      </c>
      <c r="BH96" s="34">
        <f t="shared" ca="1" si="90"/>
        <v>0.79006659261430612</v>
      </c>
      <c r="BI96" s="35">
        <f t="shared" ca="1" si="90"/>
        <v>1.0524228987535218</v>
      </c>
    </row>
    <row r="97" spans="1:62">
      <c r="A97" s="10"/>
      <c r="B97" s="78"/>
      <c r="C97" s="78"/>
      <c r="D97" s="78"/>
      <c r="E97" s="78"/>
      <c r="F97" s="79"/>
      <c r="G97" s="78"/>
      <c r="H97" s="78"/>
      <c r="I97" s="78"/>
      <c r="J97" s="78"/>
      <c r="K97" s="79"/>
      <c r="L97" s="78"/>
      <c r="M97" s="78"/>
      <c r="N97" s="78"/>
      <c r="O97" s="78"/>
      <c r="P97" s="79"/>
      <c r="Q97" s="78"/>
      <c r="R97" s="78"/>
      <c r="S97" s="78"/>
      <c r="T97" s="78"/>
      <c r="U97" s="79"/>
      <c r="V97" s="78"/>
      <c r="W97" s="78"/>
      <c r="X97" s="78"/>
      <c r="Y97" s="78"/>
      <c r="Z97" s="79"/>
      <c r="AA97" s="78"/>
      <c r="AB97" s="78"/>
      <c r="AC97" s="271"/>
      <c r="AD97" s="271"/>
      <c r="AE97" s="272"/>
      <c r="AF97" s="78"/>
      <c r="AG97" s="78"/>
      <c r="AH97" s="271"/>
      <c r="AI97" s="271"/>
      <c r="AJ97" s="272"/>
      <c r="AK97" s="78"/>
      <c r="AL97" s="78"/>
      <c r="AM97" s="271"/>
      <c r="AN97" s="271"/>
      <c r="AO97" s="272"/>
      <c r="AP97" s="78"/>
      <c r="AQ97" s="78"/>
      <c r="AR97" s="489"/>
      <c r="AS97" s="489"/>
      <c r="AT97" s="272"/>
      <c r="AU97" s="78"/>
      <c r="AV97" s="78"/>
      <c r="AW97" s="271"/>
      <c r="AX97" s="78"/>
      <c r="AY97" s="272"/>
      <c r="AZ97" s="78"/>
      <c r="BA97" s="78"/>
      <c r="BB97" s="78"/>
      <c r="BC97" s="78"/>
      <c r="BD97" s="272"/>
      <c r="BE97" s="78"/>
      <c r="BF97" s="78"/>
      <c r="BG97" s="78"/>
      <c r="BH97" s="78"/>
      <c r="BI97" s="79"/>
    </row>
    <row r="98" spans="1:62">
      <c r="A98" s="4" t="s">
        <v>167</v>
      </c>
      <c r="B98" s="195"/>
      <c r="C98" s="195"/>
      <c r="D98" s="195"/>
      <c r="E98" s="195"/>
      <c r="F98" s="79"/>
      <c r="G98" s="195"/>
      <c r="H98" s="195"/>
      <c r="I98" s="195"/>
      <c r="J98" s="195"/>
      <c r="K98" s="79"/>
      <c r="L98" s="195"/>
      <c r="M98" s="195"/>
      <c r="N98" s="195"/>
      <c r="O98" s="195"/>
      <c r="P98" s="79"/>
      <c r="Q98" s="195"/>
      <c r="R98" s="195"/>
      <c r="S98" s="195"/>
      <c r="T98" s="195"/>
      <c r="U98" s="79"/>
      <c r="V98" s="195"/>
      <c r="W98" s="195"/>
      <c r="X98" s="78"/>
      <c r="Y98" s="78"/>
      <c r="Z98" s="79"/>
      <c r="AA98" s="195"/>
      <c r="AB98" s="195"/>
      <c r="AC98" s="273"/>
      <c r="AD98" s="195"/>
      <c r="AE98" s="272"/>
      <c r="AF98" s="195"/>
      <c r="AG98" s="273"/>
      <c r="AH98" s="273"/>
      <c r="AI98" s="273"/>
      <c r="AJ98" s="272"/>
      <c r="AK98" s="347">
        <f>+ProForma_IS_Qtr!AK70</f>
        <v>0.08</v>
      </c>
      <c r="AL98" s="347">
        <f>+ProForma_IS_Qtr!AL70</f>
        <v>0.08</v>
      </c>
      <c r="AM98" s="347">
        <f>+ProForma_IS_Qtr!AM70</f>
        <v>0.08</v>
      </c>
      <c r="AN98" s="347">
        <f>+ProForma_IS_Qtr!AN70</f>
        <v>0.08</v>
      </c>
      <c r="AO98" s="348">
        <f>+ProForma_IS_Qtr!AO70</f>
        <v>0.32</v>
      </c>
      <c r="AP98" s="347">
        <f>+ProForma_IS_Qtr!AP70</f>
        <v>0.08</v>
      </c>
      <c r="AQ98" s="347">
        <f>+ProForma_IS_Qtr!AQ70</f>
        <v>0.08</v>
      </c>
      <c r="AR98" s="491">
        <f>+ProForma_IS_Qtr!AR70</f>
        <v>0.08</v>
      </c>
      <c r="AS98" s="491">
        <f>+ProForma_IS_Qtr!AS70</f>
        <v>0.08</v>
      </c>
      <c r="AT98" s="272">
        <f>+ProForma_IS_Qtr!AT70</f>
        <v>0.32</v>
      </c>
      <c r="AU98" s="347">
        <f>+ProForma_IS_Qtr!AU70</f>
        <v>0</v>
      </c>
      <c r="AV98" s="347">
        <f>+ProForma_IS_Qtr!AV70</f>
        <v>0.56000000000000005</v>
      </c>
      <c r="AW98" s="347">
        <f>+ProForma_IS_Qtr!AW70</f>
        <v>0.28000000000000003</v>
      </c>
      <c r="AX98" s="347">
        <f>+ProForma_IS_Qtr!AX70</f>
        <v>0.28000000000000003</v>
      </c>
      <c r="AY98" s="272">
        <f>+ProForma_IS_Qtr!AY70</f>
        <v>1.1200000000000001</v>
      </c>
      <c r="AZ98" s="347">
        <f>+ProForma_IS_Qtr!AZ70</f>
        <v>0.36</v>
      </c>
      <c r="BA98" s="347">
        <f>+ProForma_IS_Qtr!BA70</f>
        <v>0.36</v>
      </c>
      <c r="BB98" s="347">
        <f>+ProForma_IS_Qtr!BB70</f>
        <v>0.36</v>
      </c>
      <c r="BC98" s="347">
        <f>+ProForma_IS_Qtr!BC70</f>
        <v>0.36</v>
      </c>
      <c r="BD98" s="272">
        <f>+ProForma_IS_Qtr!BD70</f>
        <v>1.44</v>
      </c>
      <c r="BE98" s="347">
        <f>+ProForma_IS_Qtr!BE70</f>
        <v>0.47</v>
      </c>
      <c r="BF98" s="347">
        <f>+ProForma_IS_Qtr!BF70</f>
        <v>0.47</v>
      </c>
      <c r="BG98" s="347">
        <f>+ProForma_IS_Qtr!BG70</f>
        <v>0.46799999999999997</v>
      </c>
      <c r="BH98" s="347">
        <f>+ProForma_IS_Qtr!BH70</f>
        <v>0.46399999999999997</v>
      </c>
      <c r="BI98" s="167">
        <f>+ProForma_IS_Qtr!BI70</f>
        <v>1.8719999999999999</v>
      </c>
      <c r="BJ98" s="289"/>
    </row>
    <row r="99" spans="1:62">
      <c r="A99" s="1" t="s">
        <v>4</v>
      </c>
      <c r="B99" s="34"/>
      <c r="C99" s="34"/>
      <c r="D99" s="34"/>
      <c r="E99" s="34"/>
      <c r="F99" s="35"/>
      <c r="G99" s="34"/>
      <c r="H99" s="34"/>
      <c r="I99" s="34"/>
      <c r="J99" s="34"/>
      <c r="K99" s="35"/>
      <c r="L99" s="34"/>
      <c r="M99" s="34"/>
      <c r="N99" s="34"/>
      <c r="O99" s="34"/>
      <c r="P99" s="35"/>
      <c r="Q99" s="34"/>
      <c r="R99" s="34"/>
      <c r="S99" s="34"/>
      <c r="T99" s="34"/>
      <c r="U99" s="35"/>
      <c r="V99" s="34"/>
      <c r="W99" s="34"/>
      <c r="X99" s="34"/>
      <c r="Y99" s="34"/>
      <c r="Z99" s="35"/>
      <c r="AA99" s="34"/>
      <c r="AB99" s="34"/>
      <c r="AC99" s="32"/>
      <c r="AD99" s="31"/>
      <c r="AE99" s="123"/>
      <c r="AF99" s="34"/>
      <c r="AG99" s="32"/>
      <c r="AH99" s="32"/>
      <c r="AI99" s="31"/>
      <c r="AJ99" s="123"/>
      <c r="AK99" s="34"/>
      <c r="AL99" s="32"/>
      <c r="AM99" s="32"/>
      <c r="AN99" s="31"/>
      <c r="AO99" s="123"/>
      <c r="AP99" s="32">
        <f t="shared" ref="AP99:AW99" si="91">AP98/AK98-1</f>
        <v>0</v>
      </c>
      <c r="AQ99" s="32">
        <f t="shared" si="91"/>
        <v>0</v>
      </c>
      <c r="AR99" s="488">
        <f t="shared" si="91"/>
        <v>0</v>
      </c>
      <c r="AS99" s="498">
        <f t="shared" si="91"/>
        <v>0</v>
      </c>
      <c r="AT99" s="123">
        <f t="shared" si="91"/>
        <v>0</v>
      </c>
      <c r="AU99" s="32">
        <f t="shared" si="91"/>
        <v>-1</v>
      </c>
      <c r="AV99" s="32">
        <f t="shared" si="91"/>
        <v>6.0000000000000009</v>
      </c>
      <c r="AW99" s="32">
        <f t="shared" si="91"/>
        <v>2.5000000000000004</v>
      </c>
      <c r="AX99" s="31">
        <f t="shared" ref="AX99:BB99" si="92">AX98/AS98-1</f>
        <v>2.5000000000000004</v>
      </c>
      <c r="AY99" s="123">
        <f t="shared" si="92"/>
        <v>2.5000000000000004</v>
      </c>
      <c r="AZ99" s="32" t="e">
        <f t="shared" si="92"/>
        <v>#DIV/0!</v>
      </c>
      <c r="BA99" s="32">
        <f t="shared" si="92"/>
        <v>-0.35714285714285721</v>
      </c>
      <c r="BB99" s="32">
        <f t="shared" si="92"/>
        <v>0.28571428571428559</v>
      </c>
      <c r="BC99" s="31">
        <f t="shared" ref="BC99" si="93">BC98/AX98-1</f>
        <v>0.28571428571428559</v>
      </c>
      <c r="BD99" s="123">
        <f t="shared" ref="BD99" si="94">BD98/AY98-1</f>
        <v>0.28571428571428559</v>
      </c>
      <c r="BE99" s="32">
        <f t="shared" ref="BE99" si="95">BE98/AZ98-1</f>
        <v>0.30555555555555558</v>
      </c>
      <c r="BF99" s="32">
        <f t="shared" ref="BF99" si="96">BF98/BA98-1</f>
        <v>0.30555555555555558</v>
      </c>
      <c r="BG99" s="32">
        <f t="shared" ref="BG99" si="97">BG98/BB98-1</f>
        <v>0.30000000000000004</v>
      </c>
      <c r="BH99" s="31">
        <f t="shared" ref="BH99" si="98">BH98/BC98-1</f>
        <v>0.28888888888888875</v>
      </c>
      <c r="BI99" s="35">
        <f t="shared" ref="BI99" si="99">BI98/BD98-1</f>
        <v>0.30000000000000004</v>
      </c>
      <c r="BJ99" s="524"/>
    </row>
    <row r="100" spans="1:62">
      <c r="A100" s="1"/>
      <c r="B100" s="40"/>
      <c r="C100" s="40"/>
      <c r="D100" s="40"/>
      <c r="E100" s="20"/>
      <c r="F100" s="42"/>
      <c r="G100" s="40"/>
      <c r="H100" s="40"/>
      <c r="I100" s="40"/>
      <c r="J100" s="20"/>
      <c r="K100" s="42"/>
      <c r="L100" s="40"/>
      <c r="M100" s="40"/>
      <c r="N100" s="40"/>
      <c r="O100" s="20"/>
      <c r="P100" s="42"/>
      <c r="Q100" s="40"/>
      <c r="R100" s="40"/>
      <c r="S100" s="40"/>
      <c r="T100" s="20"/>
      <c r="U100" s="42"/>
      <c r="V100" s="40"/>
      <c r="W100" s="40"/>
      <c r="X100" s="40"/>
      <c r="Y100" s="20"/>
      <c r="Z100" s="42"/>
      <c r="AA100" s="40"/>
      <c r="AB100" s="20"/>
      <c r="AC100" s="32"/>
      <c r="AD100" s="31"/>
      <c r="AE100" s="123"/>
      <c r="AF100" s="34"/>
      <c r="AG100" s="32"/>
      <c r="AH100" s="32"/>
      <c r="AI100" s="31"/>
      <c r="AJ100" s="123"/>
      <c r="AK100" s="40"/>
      <c r="AL100" s="20"/>
      <c r="AM100" s="20"/>
      <c r="AN100" s="20"/>
      <c r="AO100" s="21"/>
      <c r="AP100" s="40"/>
      <c r="AQ100" s="20"/>
      <c r="AR100" s="422"/>
      <c r="AS100" s="422"/>
      <c r="AT100" s="123"/>
      <c r="AU100" s="20"/>
      <c r="AV100" s="20"/>
      <c r="AW100" s="20"/>
      <c r="AX100" s="20"/>
      <c r="AY100" s="21"/>
      <c r="AZ100" s="20"/>
      <c r="BA100" s="20"/>
      <c r="BB100" s="20"/>
      <c r="BC100" s="20"/>
      <c r="BD100" s="21"/>
      <c r="BE100" s="20"/>
      <c r="BF100" s="20"/>
      <c r="BG100" s="20"/>
      <c r="BH100" s="20"/>
      <c r="BI100" s="21"/>
    </row>
    <row r="103" spans="1:62">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row>
    <row r="118" spans="44:45" customFormat="1">
      <c r="AR118" s="492"/>
      <c r="AS118" s="492"/>
    </row>
  </sheetData>
  <mergeCells count="21">
    <mergeCell ref="BL16:BN16"/>
    <mergeCell ref="BL14:BN14"/>
    <mergeCell ref="BL15:BN15"/>
    <mergeCell ref="BL18:BN18"/>
    <mergeCell ref="BL20:BN20"/>
    <mergeCell ref="BL22:BN22"/>
    <mergeCell ref="BL23:BN23"/>
    <mergeCell ref="BL50:BN50"/>
    <mergeCell ref="BL51:BN51"/>
    <mergeCell ref="BL39:BN39"/>
    <mergeCell ref="BL49:BN49"/>
    <mergeCell ref="BL37:BN37"/>
    <mergeCell ref="BL38:BN38"/>
    <mergeCell ref="BL31:BN31"/>
    <mergeCell ref="BL24:BN24"/>
    <mergeCell ref="BL29:BN29"/>
    <mergeCell ref="BL30:BN30"/>
    <mergeCell ref="BL25:BN25"/>
    <mergeCell ref="BL28:BN28"/>
    <mergeCell ref="BL27:BN27"/>
    <mergeCell ref="BL26:BN26"/>
  </mergeCells>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9"/>
  <dimension ref="A3:AG81"/>
  <sheetViews>
    <sheetView showGridLines="0" workbookViewId="0">
      <pane xSplit="21" ySplit="4" topLeftCell="V5" activePane="bottomRight" state="frozen"/>
      <selection pane="topRight" activeCell="V1" sqref="V1"/>
      <selection pane="bottomLeft" activeCell="A5" sqref="A5"/>
      <selection pane="bottomRight" activeCell="V5" sqref="V5"/>
    </sheetView>
  </sheetViews>
  <sheetFormatPr defaultRowHeight="15" outlineLevelCol="1"/>
  <cols>
    <col min="1" max="1" width="48" customWidth="1"/>
    <col min="2" max="18" width="12.140625" style="24" hidden="1" customWidth="1" outlineLevel="1"/>
    <col min="19" max="19" width="12.140625" style="24" hidden="1" customWidth="1" outlineLevel="1" collapsed="1"/>
    <col min="20" max="21" width="12.140625" style="24" hidden="1" customWidth="1" outlineLevel="1"/>
    <col min="22" max="22" width="12.140625" style="24" customWidth="1" collapsed="1"/>
    <col min="23" max="32" width="12.140625" style="24" customWidth="1"/>
  </cols>
  <sheetData>
    <row r="3" spans="1:33">
      <c r="A3" s="13" t="s">
        <v>159</v>
      </c>
      <c r="B3" s="67"/>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row>
    <row r="4" spans="1:33">
      <c r="B4" s="94" t="s">
        <v>156</v>
      </c>
      <c r="C4" s="94" t="s">
        <v>155</v>
      </c>
      <c r="D4" s="94" t="s">
        <v>154</v>
      </c>
      <c r="E4" s="94" t="s">
        <v>153</v>
      </c>
      <c r="F4" s="94" t="s">
        <v>152</v>
      </c>
      <c r="G4" s="94" t="s">
        <v>151</v>
      </c>
      <c r="H4" s="94" t="s">
        <v>150</v>
      </c>
      <c r="I4" s="94" t="s">
        <v>149</v>
      </c>
      <c r="J4" s="94" t="s">
        <v>148</v>
      </c>
      <c r="K4" s="94" t="s">
        <v>147</v>
      </c>
      <c r="L4" s="94" t="s">
        <v>146</v>
      </c>
      <c r="M4" s="94" t="s">
        <v>145</v>
      </c>
      <c r="N4" s="94" t="s">
        <v>144</v>
      </c>
      <c r="O4" s="94" t="s">
        <v>143</v>
      </c>
      <c r="P4" s="94" t="s">
        <v>142</v>
      </c>
      <c r="Q4" s="94" t="s">
        <v>141</v>
      </c>
      <c r="R4" s="94" t="s">
        <v>136</v>
      </c>
      <c r="S4" s="94" t="s">
        <v>131</v>
      </c>
      <c r="T4" s="94" t="s">
        <v>126</v>
      </c>
      <c r="U4" s="94" t="s">
        <v>121</v>
      </c>
      <c r="V4" s="94" t="s">
        <v>166</v>
      </c>
      <c r="W4" s="94" t="s">
        <v>168</v>
      </c>
      <c r="X4" s="94" t="s">
        <v>169</v>
      </c>
      <c r="Y4" s="94" t="s">
        <v>170</v>
      </c>
      <c r="Z4" s="94" t="s">
        <v>171</v>
      </c>
      <c r="AA4" s="94" t="s">
        <v>172</v>
      </c>
      <c r="AB4" s="94" t="s">
        <v>223</v>
      </c>
      <c r="AC4" s="94" t="s">
        <v>231</v>
      </c>
      <c r="AD4" s="94" t="s">
        <v>398</v>
      </c>
      <c r="AE4" s="94" t="s">
        <v>399</v>
      </c>
      <c r="AF4" s="94" t="s">
        <v>579</v>
      </c>
      <c r="AG4" s="243" t="s">
        <v>212</v>
      </c>
    </row>
    <row r="5" spans="1:33">
      <c r="A5" s="6" t="s">
        <v>160</v>
      </c>
      <c r="B5" s="112"/>
      <c r="C5" s="112"/>
      <c r="D5" s="112"/>
      <c r="E5" s="112"/>
      <c r="F5" s="112"/>
      <c r="G5" s="112"/>
      <c r="H5" s="112"/>
      <c r="I5" s="112"/>
      <c r="J5" s="112"/>
      <c r="K5" s="112"/>
      <c r="L5" s="112"/>
      <c r="M5" s="112"/>
      <c r="N5" s="112"/>
      <c r="O5" s="112"/>
      <c r="P5" s="112"/>
      <c r="Q5" s="112"/>
      <c r="R5" s="112"/>
      <c r="S5" s="112"/>
      <c r="T5" s="112"/>
      <c r="U5" s="112"/>
      <c r="V5" s="112"/>
      <c r="W5" s="112"/>
      <c r="X5" s="112"/>
      <c r="Y5" s="112"/>
      <c r="Z5" s="112"/>
      <c r="AA5" s="112"/>
      <c r="AB5" s="112"/>
      <c r="AC5" s="112"/>
      <c r="AD5" s="112"/>
      <c r="AE5" s="112"/>
      <c r="AF5" s="112"/>
    </row>
    <row r="6" spans="1:33" s="24" customFormat="1">
      <c r="A6" s="335" t="s">
        <v>322</v>
      </c>
      <c r="B6" s="42"/>
      <c r="C6" s="42"/>
      <c r="D6" s="42"/>
      <c r="E6" s="42"/>
      <c r="F6" s="42"/>
      <c r="G6" s="42"/>
      <c r="H6" s="42"/>
      <c r="I6" s="42"/>
      <c r="J6" s="42"/>
      <c r="K6" s="42"/>
      <c r="L6" s="42"/>
      <c r="M6" s="42"/>
      <c r="N6" s="42"/>
      <c r="O6" s="42"/>
      <c r="P6" s="42"/>
      <c r="Q6" s="42"/>
      <c r="R6" s="42"/>
      <c r="S6" s="37"/>
      <c r="T6" s="37"/>
      <c r="U6" s="37"/>
      <c r="V6" s="37"/>
      <c r="W6" s="37"/>
      <c r="X6" s="37"/>
      <c r="Y6" s="37"/>
      <c r="Z6" s="42"/>
      <c r="AA6" s="42"/>
      <c r="AB6" s="42"/>
      <c r="AC6" s="42"/>
      <c r="AD6" s="42"/>
      <c r="AE6" s="42"/>
      <c r="AF6" s="42"/>
    </row>
    <row r="7" spans="1:33" s="24" customFormat="1">
      <c r="A7" s="3" t="s">
        <v>319</v>
      </c>
      <c r="B7" s="42"/>
      <c r="C7" s="42"/>
      <c r="D7" s="42"/>
      <c r="E7" s="42"/>
      <c r="F7" s="42"/>
      <c r="G7" s="42"/>
      <c r="H7" s="42"/>
      <c r="I7" s="42"/>
      <c r="J7" s="42"/>
      <c r="K7" s="42"/>
      <c r="L7" s="42"/>
      <c r="M7" s="42"/>
      <c r="N7" s="42"/>
      <c r="O7" s="42"/>
      <c r="P7" s="42"/>
      <c r="Q7" s="42"/>
      <c r="R7" s="42"/>
      <c r="S7" s="37"/>
      <c r="T7" s="37"/>
      <c r="U7" s="37"/>
      <c r="V7" s="37"/>
      <c r="W7" s="37"/>
      <c r="X7" s="37">
        <f>Debt_Qtr!AO7</f>
        <v>473</v>
      </c>
      <c r="Y7" s="37">
        <f>Debt_Qtr!AT7</f>
        <v>0</v>
      </c>
      <c r="Z7" s="37">
        <f>Debt_Qtr!AY7</f>
        <v>0</v>
      </c>
      <c r="AA7" s="37">
        <f>Debt_Qtr!BD7</f>
        <v>0</v>
      </c>
      <c r="AB7" s="37">
        <f>Debt_Qtr!BI7</f>
        <v>0</v>
      </c>
      <c r="AC7" s="42">
        <f t="shared" ref="AC7:AC12" si="0">AB7</f>
        <v>0</v>
      </c>
      <c r="AD7" s="42">
        <f t="shared" ref="AD7:AD12" si="1">AC7</f>
        <v>0</v>
      </c>
      <c r="AE7" s="42">
        <f t="shared" ref="AE7:AF12" si="2">AD7</f>
        <v>0</v>
      </c>
      <c r="AF7" s="42">
        <f t="shared" si="2"/>
        <v>0</v>
      </c>
    </row>
    <row r="8" spans="1:33" s="24" customFormat="1">
      <c r="A8" s="3" t="s">
        <v>320</v>
      </c>
      <c r="B8" s="42"/>
      <c r="C8" s="42"/>
      <c r="D8" s="42"/>
      <c r="E8" s="42"/>
      <c r="F8" s="42"/>
      <c r="G8" s="42"/>
      <c r="H8" s="42"/>
      <c r="I8" s="42"/>
      <c r="J8" s="42"/>
      <c r="K8" s="42"/>
      <c r="L8" s="42"/>
      <c r="M8" s="42"/>
      <c r="N8" s="42"/>
      <c r="O8" s="42"/>
      <c r="P8" s="42"/>
      <c r="Q8" s="42"/>
      <c r="R8" s="42"/>
      <c r="S8" s="37"/>
      <c r="T8" s="37"/>
      <c r="U8" s="37"/>
      <c r="V8" s="37"/>
      <c r="W8" s="37"/>
      <c r="X8" s="37">
        <f>Debt_Qtr!AO8</f>
        <v>1973</v>
      </c>
      <c r="Y8" s="37">
        <f>Debt_Qtr!AT8</f>
        <v>0</v>
      </c>
      <c r="Z8" s="37">
        <f>Debt_Qtr!AY8</f>
        <v>0</v>
      </c>
      <c r="AA8" s="37">
        <f>Debt_Qtr!BD8</f>
        <v>0</v>
      </c>
      <c r="AB8" s="37">
        <f>Debt_Qtr!BI8</f>
        <v>0</v>
      </c>
      <c r="AC8" s="42">
        <f t="shared" si="0"/>
        <v>0</v>
      </c>
      <c r="AD8" s="42">
        <f t="shared" si="1"/>
        <v>0</v>
      </c>
      <c r="AE8" s="42">
        <f t="shared" si="2"/>
        <v>0</v>
      </c>
      <c r="AF8" s="42">
        <f t="shared" si="2"/>
        <v>0</v>
      </c>
    </row>
    <row r="9" spans="1:33" s="24" customFormat="1">
      <c r="A9" s="3" t="s">
        <v>413</v>
      </c>
      <c r="B9" s="71"/>
      <c r="C9" s="71"/>
      <c r="D9" s="71"/>
      <c r="E9" s="71"/>
      <c r="F9" s="71"/>
      <c r="G9" s="71"/>
      <c r="H9" s="71"/>
      <c r="I9" s="71"/>
      <c r="J9" s="71"/>
      <c r="K9" s="71"/>
      <c r="L9" s="71"/>
      <c r="M9" s="71"/>
      <c r="N9" s="71"/>
      <c r="O9" s="71"/>
      <c r="P9" s="71"/>
      <c r="Q9" s="71"/>
      <c r="R9" s="71"/>
      <c r="S9" s="37"/>
      <c r="T9" s="37"/>
      <c r="U9" s="37"/>
      <c r="V9" s="37"/>
      <c r="W9" s="37"/>
      <c r="X9" s="37">
        <f>Debt_Qtr!AO9</f>
        <v>1188</v>
      </c>
      <c r="Y9" s="37">
        <f>Debt_Qtr!AT9</f>
        <v>0</v>
      </c>
      <c r="Z9" s="37">
        <f>Debt_Qtr!AY9</f>
        <v>0</v>
      </c>
      <c r="AA9" s="37">
        <f>Debt_Qtr!BD9</f>
        <v>0</v>
      </c>
      <c r="AB9" s="37">
        <f>Debt_Qtr!BI9</f>
        <v>0</v>
      </c>
      <c r="AC9" s="42">
        <f t="shared" si="0"/>
        <v>0</v>
      </c>
      <c r="AD9" s="42">
        <f t="shared" si="1"/>
        <v>0</v>
      </c>
      <c r="AE9" s="42">
        <f t="shared" si="2"/>
        <v>0</v>
      </c>
      <c r="AF9" s="42">
        <f t="shared" si="2"/>
        <v>0</v>
      </c>
    </row>
    <row r="10" spans="1:33" s="24" customFormat="1">
      <c r="A10" s="3" t="s">
        <v>490</v>
      </c>
      <c r="B10" s="71"/>
      <c r="C10" s="71"/>
      <c r="D10" s="71"/>
      <c r="E10" s="71"/>
      <c r="F10" s="71"/>
      <c r="G10" s="71"/>
      <c r="H10" s="71"/>
      <c r="I10" s="71"/>
      <c r="J10" s="71"/>
      <c r="K10" s="71"/>
      <c r="L10" s="71"/>
      <c r="M10" s="71"/>
      <c r="N10" s="71"/>
      <c r="O10" s="71"/>
      <c r="P10" s="71"/>
      <c r="Q10" s="71"/>
      <c r="R10" s="71"/>
      <c r="S10" s="37"/>
      <c r="T10" s="37"/>
      <c r="U10" s="37"/>
      <c r="V10" s="37"/>
      <c r="W10" s="37"/>
      <c r="X10" s="37"/>
      <c r="Y10" s="37">
        <f>Debt_Qtr!AT10</f>
        <v>1044</v>
      </c>
      <c r="Z10" s="37">
        <f>Debt_Qtr!AY10</f>
        <v>1952</v>
      </c>
      <c r="AA10" s="37">
        <f>Debt_Qtr!BD10</f>
        <v>1504</v>
      </c>
      <c r="AB10" s="37">
        <f>Debt_Qtr!BI10</f>
        <v>1786</v>
      </c>
      <c r="AC10" s="42">
        <f t="shared" ref="AC10:AF11" si="3">AB10</f>
        <v>1786</v>
      </c>
      <c r="AD10" s="42">
        <f t="shared" si="3"/>
        <v>1786</v>
      </c>
      <c r="AE10" s="42">
        <f t="shared" si="3"/>
        <v>1786</v>
      </c>
      <c r="AF10" s="42">
        <f t="shared" si="3"/>
        <v>1786</v>
      </c>
    </row>
    <row r="11" spans="1:33" s="24" customFormat="1">
      <c r="A11" s="3" t="s">
        <v>491</v>
      </c>
      <c r="B11" s="71"/>
      <c r="C11" s="71"/>
      <c r="D11" s="71"/>
      <c r="E11" s="71"/>
      <c r="F11" s="71"/>
      <c r="G11" s="71"/>
      <c r="H11" s="71"/>
      <c r="I11" s="71"/>
      <c r="J11" s="71"/>
      <c r="K11" s="71"/>
      <c r="L11" s="71"/>
      <c r="M11" s="71"/>
      <c r="N11" s="71"/>
      <c r="O11" s="71"/>
      <c r="P11" s="71"/>
      <c r="Q11" s="71"/>
      <c r="R11" s="71"/>
      <c r="S11" s="37"/>
      <c r="T11" s="37"/>
      <c r="U11" s="37"/>
      <c r="V11" s="37"/>
      <c r="W11" s="37"/>
      <c r="X11" s="37"/>
      <c r="Y11" s="37">
        <f>Debt_Qtr!AT11</f>
        <v>27</v>
      </c>
      <c r="Z11" s="37">
        <f>Debt_Qtr!AY11</f>
        <v>87</v>
      </c>
      <c r="AA11" s="37">
        <f>Debt_Qtr!BD11</f>
        <v>157</v>
      </c>
      <c r="AB11" s="37">
        <f>Debt_Qtr!BI11</f>
        <v>209</v>
      </c>
      <c r="AC11" s="42">
        <f t="shared" si="3"/>
        <v>209</v>
      </c>
      <c r="AD11" s="42">
        <f t="shared" si="3"/>
        <v>209</v>
      </c>
      <c r="AE11" s="42">
        <f t="shared" si="3"/>
        <v>209</v>
      </c>
      <c r="AF11" s="42">
        <f t="shared" si="3"/>
        <v>209</v>
      </c>
    </row>
    <row r="12" spans="1:33" s="24" customFormat="1">
      <c r="A12" s="3" t="s">
        <v>314</v>
      </c>
      <c r="B12" s="71"/>
      <c r="C12" s="71"/>
      <c r="D12" s="71"/>
      <c r="E12" s="71"/>
      <c r="F12" s="71"/>
      <c r="G12" s="71"/>
      <c r="H12" s="71"/>
      <c r="I12" s="71"/>
      <c r="J12" s="71"/>
      <c r="K12" s="71"/>
      <c r="L12" s="71"/>
      <c r="M12" s="71"/>
      <c r="N12" s="71"/>
      <c r="O12" s="71"/>
      <c r="P12" s="71"/>
      <c r="Q12" s="71"/>
      <c r="R12" s="71"/>
      <c r="S12" s="37"/>
      <c r="T12" s="37"/>
      <c r="U12" s="37"/>
      <c r="V12" s="37"/>
      <c r="W12" s="37"/>
      <c r="X12" s="37">
        <f>Debt_Qtr!AO12</f>
        <v>124</v>
      </c>
      <c r="Y12" s="37">
        <f>Debt_Qtr!AT12</f>
        <v>37</v>
      </c>
      <c r="Z12" s="37">
        <f>Debt_Qtr!AY12</f>
        <v>0</v>
      </c>
      <c r="AA12" s="37">
        <f>Debt_Qtr!BD12</f>
        <v>25</v>
      </c>
      <c r="AB12" s="37">
        <f>Debt_Qtr!BI12</f>
        <v>5</v>
      </c>
      <c r="AC12" s="42">
        <f t="shared" si="0"/>
        <v>5</v>
      </c>
      <c r="AD12" s="42">
        <f t="shared" si="1"/>
        <v>5</v>
      </c>
      <c r="AE12" s="42">
        <f t="shared" si="2"/>
        <v>5</v>
      </c>
      <c r="AF12" s="42">
        <f t="shared" si="2"/>
        <v>5</v>
      </c>
    </row>
    <row r="13" spans="1:33" s="24" customFormat="1">
      <c r="A13" s="336" t="s">
        <v>323</v>
      </c>
      <c r="B13" s="71"/>
      <c r="C13" s="71"/>
      <c r="D13" s="71"/>
      <c r="E13" s="71"/>
      <c r="F13" s="71"/>
      <c r="G13" s="71"/>
      <c r="H13" s="71"/>
      <c r="I13" s="71"/>
      <c r="J13" s="71"/>
      <c r="K13" s="71"/>
      <c r="L13" s="71"/>
      <c r="M13" s="71"/>
      <c r="N13" s="71"/>
      <c r="O13" s="71"/>
      <c r="P13" s="71"/>
      <c r="Q13" s="71"/>
      <c r="R13" s="71"/>
      <c r="S13" s="37"/>
      <c r="T13" s="37"/>
      <c r="U13" s="37"/>
      <c r="V13" s="37"/>
      <c r="W13" s="37"/>
      <c r="X13" s="37">
        <f>Debt_Qtr!AO13</f>
        <v>3758</v>
      </c>
      <c r="Y13" s="37">
        <f>Debt_Qtr!AT13</f>
        <v>1108</v>
      </c>
      <c r="Z13" s="37">
        <f>Debt_Qtr!AY13</f>
        <v>2039</v>
      </c>
      <c r="AA13" s="37">
        <f>Debt_Qtr!BD13</f>
        <v>1686</v>
      </c>
      <c r="AB13" s="37">
        <f>Debt_Qtr!BI13</f>
        <v>2000</v>
      </c>
      <c r="AC13" s="71">
        <f>SUM(AC7:AC12)</f>
        <v>2000</v>
      </c>
      <c r="AD13" s="71">
        <f>SUM(AD7:AD12)</f>
        <v>2000</v>
      </c>
      <c r="AE13" s="71">
        <f>SUM(AE7:AE12)</f>
        <v>2000</v>
      </c>
      <c r="AF13" s="71">
        <f>SUM(AF7:AF12)</f>
        <v>2000</v>
      </c>
    </row>
    <row r="14" spans="1:33" s="24" customFormat="1">
      <c r="A14" s="3"/>
      <c r="B14" s="71"/>
      <c r="C14" s="71"/>
      <c r="D14" s="71"/>
      <c r="E14" s="71"/>
      <c r="F14" s="71"/>
      <c r="G14" s="71"/>
      <c r="H14" s="71"/>
      <c r="I14" s="71"/>
      <c r="J14" s="71"/>
      <c r="K14" s="71"/>
      <c r="L14" s="71"/>
      <c r="M14" s="71"/>
      <c r="N14" s="71"/>
      <c r="O14" s="71"/>
      <c r="P14" s="71"/>
      <c r="Q14" s="71"/>
      <c r="R14" s="71"/>
      <c r="S14" s="37"/>
      <c r="T14" s="37"/>
      <c r="U14" s="37"/>
      <c r="V14" s="37"/>
      <c r="W14" s="37"/>
      <c r="X14" s="37"/>
      <c r="Y14" s="37"/>
      <c r="Z14" s="37"/>
      <c r="AA14" s="37"/>
      <c r="AB14" s="37"/>
      <c r="AC14" s="42"/>
      <c r="AD14" s="42"/>
      <c r="AE14" s="42"/>
      <c r="AF14" s="42"/>
    </row>
    <row r="15" spans="1:33" s="24" customFormat="1">
      <c r="A15" s="335" t="s">
        <v>321</v>
      </c>
      <c r="B15" s="71"/>
      <c r="C15" s="71"/>
      <c r="D15" s="71"/>
      <c r="E15" s="71"/>
      <c r="F15" s="71"/>
      <c r="G15" s="71"/>
      <c r="H15" s="71"/>
      <c r="I15" s="71"/>
      <c r="J15" s="71"/>
      <c r="K15" s="71"/>
      <c r="L15" s="71"/>
      <c r="M15" s="71"/>
      <c r="N15" s="71"/>
      <c r="O15" s="71"/>
      <c r="P15" s="71"/>
      <c r="Q15" s="71"/>
      <c r="R15" s="71"/>
      <c r="S15" s="37"/>
      <c r="T15" s="37"/>
      <c r="U15" s="37"/>
      <c r="V15" s="37"/>
      <c r="W15" s="37"/>
      <c r="X15" s="37"/>
      <c r="Y15" s="37"/>
      <c r="Z15" s="37"/>
      <c r="AA15" s="37"/>
      <c r="AB15" s="37"/>
      <c r="AC15" s="42"/>
      <c r="AD15" s="42"/>
      <c r="AE15" s="42"/>
      <c r="AF15" s="42"/>
    </row>
    <row r="16" spans="1:33" s="24" customFormat="1">
      <c r="A16" s="3" t="s">
        <v>319</v>
      </c>
      <c r="B16" s="71"/>
      <c r="C16" s="71"/>
      <c r="D16" s="71"/>
      <c r="E16" s="71"/>
      <c r="F16" s="71"/>
      <c r="G16" s="71"/>
      <c r="H16" s="71"/>
      <c r="I16" s="71"/>
      <c r="J16" s="71"/>
      <c r="K16" s="71"/>
      <c r="L16" s="71"/>
      <c r="M16" s="71"/>
      <c r="N16" s="71"/>
      <c r="O16" s="71"/>
      <c r="P16" s="71"/>
      <c r="Q16" s="71"/>
      <c r="R16" s="71"/>
      <c r="S16" s="37"/>
      <c r="T16" s="37"/>
      <c r="U16" s="37"/>
      <c r="V16" s="37"/>
      <c r="W16" s="37"/>
      <c r="X16" s="37">
        <f>Debt_Qtr!AO16</f>
        <v>12927</v>
      </c>
      <c r="Y16" s="37">
        <f>Debt_Qtr!AT16</f>
        <v>0</v>
      </c>
      <c r="Z16" s="37">
        <f>Debt_Qtr!AY16</f>
        <v>0</v>
      </c>
      <c r="AA16" s="37">
        <f>Debt_Qtr!BD16</f>
        <v>0</v>
      </c>
      <c r="AB16" s="37">
        <f>Debt_Qtr!BI16</f>
        <v>0</v>
      </c>
      <c r="AC16" s="42">
        <f t="shared" ref="AC16:AC18" si="4">AB16</f>
        <v>0</v>
      </c>
      <c r="AD16" s="42">
        <f>AC16</f>
        <v>0</v>
      </c>
      <c r="AE16" s="42">
        <f>AD16</f>
        <v>0</v>
      </c>
      <c r="AF16" s="42">
        <f>AE16</f>
        <v>0</v>
      </c>
    </row>
    <row r="17" spans="1:32" s="24" customFormat="1">
      <c r="A17" s="3" t="s">
        <v>320</v>
      </c>
      <c r="B17" s="71"/>
      <c r="C17" s="71"/>
      <c r="D17" s="71"/>
      <c r="E17" s="71"/>
      <c r="F17" s="71"/>
      <c r="G17" s="71"/>
      <c r="H17" s="71"/>
      <c r="I17" s="71"/>
      <c r="J17" s="71"/>
      <c r="K17" s="71"/>
      <c r="L17" s="71"/>
      <c r="M17" s="71"/>
      <c r="N17" s="71"/>
      <c r="O17" s="71"/>
      <c r="P17" s="71"/>
      <c r="Q17" s="71"/>
      <c r="R17" s="71"/>
      <c r="S17" s="37"/>
      <c r="T17" s="37"/>
      <c r="U17" s="37"/>
      <c r="V17" s="37"/>
      <c r="W17" s="37"/>
      <c r="X17" s="37">
        <f>Debt_Qtr!AO17</f>
        <v>8406</v>
      </c>
      <c r="Y17" s="37">
        <f>Debt_Qtr!AT17</f>
        <v>0</v>
      </c>
      <c r="Z17" s="37">
        <f>Debt_Qtr!AY17</f>
        <v>0</v>
      </c>
      <c r="AA17" s="37">
        <f>Debt_Qtr!BD17</f>
        <v>0</v>
      </c>
      <c r="AB17" s="37">
        <f>Debt_Qtr!BI17</f>
        <v>0</v>
      </c>
      <c r="AC17" s="42">
        <f>+AB17</f>
        <v>0</v>
      </c>
      <c r="AD17" s="42">
        <f>+AC17</f>
        <v>0</v>
      </c>
      <c r="AE17" s="42">
        <f>+AD17</f>
        <v>0</v>
      </c>
      <c r="AF17" s="42">
        <f>+AE17</f>
        <v>0</v>
      </c>
    </row>
    <row r="18" spans="1:32" s="24" customFormat="1">
      <c r="A18" s="3" t="s">
        <v>413</v>
      </c>
      <c r="B18" s="71"/>
      <c r="C18" s="71"/>
      <c r="D18" s="71"/>
      <c r="E18" s="71"/>
      <c r="F18" s="71"/>
      <c r="G18" s="71"/>
      <c r="H18" s="71"/>
      <c r="I18" s="71"/>
      <c r="J18" s="71"/>
      <c r="K18" s="71"/>
      <c r="L18" s="71"/>
      <c r="M18" s="71"/>
      <c r="N18" s="71"/>
      <c r="O18" s="71"/>
      <c r="P18" s="71"/>
      <c r="Q18" s="71"/>
      <c r="R18" s="71"/>
      <c r="S18" s="37"/>
      <c r="T18" s="37"/>
      <c r="U18" s="37"/>
      <c r="V18" s="37"/>
      <c r="W18" s="37"/>
      <c r="X18" s="37">
        <f>Debt_Qtr!AO18</f>
        <v>6289</v>
      </c>
      <c r="Y18" s="37">
        <f>Debt_Qtr!AT18</f>
        <v>0</v>
      </c>
      <c r="Z18" s="37">
        <f>Debt_Qtr!AY18</f>
        <v>0</v>
      </c>
      <c r="AA18" s="37">
        <f>Debt_Qtr!BD18</f>
        <v>0</v>
      </c>
      <c r="AB18" s="37">
        <f>Debt_Qtr!BI18</f>
        <v>0</v>
      </c>
      <c r="AC18" s="42">
        <f t="shared" si="4"/>
        <v>0</v>
      </c>
      <c r="AD18" s="42">
        <f t="shared" ref="AD18:AF21" si="5">AC18</f>
        <v>0</v>
      </c>
      <c r="AE18" s="42">
        <f t="shared" si="5"/>
        <v>0</v>
      </c>
      <c r="AF18" s="42">
        <f t="shared" si="5"/>
        <v>0</v>
      </c>
    </row>
    <row r="19" spans="1:32" s="24" customFormat="1">
      <c r="A19" s="3" t="s">
        <v>492</v>
      </c>
      <c r="B19" s="71"/>
      <c r="C19" s="71"/>
      <c r="D19" s="71"/>
      <c r="E19" s="71"/>
      <c r="F19" s="71"/>
      <c r="G19" s="71"/>
      <c r="H19" s="71"/>
      <c r="I19" s="71"/>
      <c r="J19" s="71"/>
      <c r="K19" s="71"/>
      <c r="L19" s="71"/>
      <c r="M19" s="71"/>
      <c r="N19" s="71"/>
      <c r="O19" s="71"/>
      <c r="P19" s="71"/>
      <c r="Q19" s="71"/>
      <c r="R19" s="71"/>
      <c r="S19" s="37"/>
      <c r="T19" s="37"/>
      <c r="U19" s="37"/>
      <c r="V19" s="37"/>
      <c r="W19" s="37"/>
      <c r="X19" s="37"/>
      <c r="Y19" s="37">
        <f>Debt_Qtr!AT19</f>
        <v>17509</v>
      </c>
      <c r="Z19" s="37">
        <f>Debt_Qtr!AY19</f>
        <v>15467</v>
      </c>
      <c r="AA19" s="37">
        <f>Debt_Qtr!BD19</f>
        <v>16773</v>
      </c>
      <c r="AB19" s="37">
        <f>Debt_Qtr!BI19</f>
        <v>15238</v>
      </c>
      <c r="AC19" s="42">
        <f t="shared" ref="AC19:AC21" si="6">AB19</f>
        <v>15238</v>
      </c>
      <c r="AD19" s="42">
        <f t="shared" si="5"/>
        <v>15238</v>
      </c>
      <c r="AE19" s="42">
        <f t="shared" si="5"/>
        <v>15238</v>
      </c>
      <c r="AF19" s="42">
        <f t="shared" si="5"/>
        <v>15238</v>
      </c>
    </row>
    <row r="20" spans="1:32" s="24" customFormat="1">
      <c r="A20" s="3" t="s">
        <v>493</v>
      </c>
      <c r="B20" s="71"/>
      <c r="C20" s="71"/>
      <c r="D20" s="71"/>
      <c r="E20" s="71"/>
      <c r="F20" s="71"/>
      <c r="G20" s="71"/>
      <c r="H20" s="71"/>
      <c r="I20" s="71"/>
      <c r="J20" s="71"/>
      <c r="K20" s="71"/>
      <c r="L20" s="71"/>
      <c r="M20" s="71"/>
      <c r="N20" s="71"/>
      <c r="O20" s="71"/>
      <c r="P20" s="71"/>
      <c r="Q20" s="71"/>
      <c r="R20" s="71"/>
      <c r="S20" s="37"/>
      <c r="T20" s="37"/>
      <c r="U20" s="37"/>
      <c r="V20" s="37"/>
      <c r="W20" s="37"/>
      <c r="X20" s="37"/>
      <c r="Y20" s="37">
        <f>Debt_Qtr!AT20</f>
        <v>1383</v>
      </c>
      <c r="Z20" s="37">
        <f>Debt_Qtr!AY20</f>
        <v>1330</v>
      </c>
      <c r="AA20" s="37">
        <f>Debt_Qtr!BD20</f>
        <v>1456</v>
      </c>
      <c r="AB20" s="37">
        <f>Debt_Qtr!BI20</f>
        <v>1412</v>
      </c>
      <c r="AC20" s="42">
        <f t="shared" si="6"/>
        <v>1412</v>
      </c>
      <c r="AD20" s="42">
        <f t="shared" si="5"/>
        <v>1412</v>
      </c>
      <c r="AE20" s="42">
        <f t="shared" si="5"/>
        <v>1412</v>
      </c>
      <c r="AF20" s="42">
        <f t="shared" si="5"/>
        <v>1412</v>
      </c>
    </row>
    <row r="21" spans="1:32" s="24" customFormat="1">
      <c r="A21" s="3" t="s">
        <v>314</v>
      </c>
      <c r="B21" s="71"/>
      <c r="C21" s="71"/>
      <c r="D21" s="71"/>
      <c r="E21" s="71"/>
      <c r="F21" s="71"/>
      <c r="G21" s="71"/>
      <c r="H21" s="71"/>
      <c r="I21" s="71"/>
      <c r="J21" s="71"/>
      <c r="K21" s="71"/>
      <c r="L21" s="71"/>
      <c r="M21" s="71"/>
      <c r="N21" s="71"/>
      <c r="O21" s="71"/>
      <c r="P21" s="71"/>
      <c r="Q21" s="71"/>
      <c r="R21" s="71"/>
      <c r="S21" s="37"/>
      <c r="T21" s="37"/>
      <c r="U21" s="37"/>
      <c r="V21" s="37"/>
      <c r="W21" s="37"/>
      <c r="X21" s="37">
        <f>Debt_Qtr!AO21</f>
        <v>971</v>
      </c>
      <c r="Y21" s="37">
        <f>Debt_Qtr!AT21</f>
        <v>525</v>
      </c>
      <c r="Z21" s="37">
        <f>Debt_Qtr!AY21</f>
        <v>437</v>
      </c>
      <c r="AA21" s="37">
        <f>Debt_Qtr!BD21</f>
        <v>579</v>
      </c>
      <c r="AB21" s="37">
        <f>Debt_Qtr!BI21</f>
        <v>507</v>
      </c>
      <c r="AC21" s="42">
        <f t="shared" si="6"/>
        <v>507</v>
      </c>
      <c r="AD21" s="42">
        <f t="shared" si="5"/>
        <v>507</v>
      </c>
      <c r="AE21" s="42">
        <f t="shared" si="5"/>
        <v>507</v>
      </c>
      <c r="AF21" s="42">
        <f t="shared" si="5"/>
        <v>507</v>
      </c>
    </row>
    <row r="22" spans="1:32" s="24" customFormat="1">
      <c r="A22" s="336" t="s">
        <v>324</v>
      </c>
      <c r="B22" s="71"/>
      <c r="C22" s="71"/>
      <c r="D22" s="71"/>
      <c r="E22" s="71"/>
      <c r="F22" s="71"/>
      <c r="G22" s="71"/>
      <c r="H22" s="71"/>
      <c r="I22" s="71"/>
      <c r="J22" s="71"/>
      <c r="K22" s="71"/>
      <c r="L22" s="71"/>
      <c r="M22" s="71"/>
      <c r="N22" s="71"/>
      <c r="O22" s="71"/>
      <c r="P22" s="71"/>
      <c r="Q22" s="71"/>
      <c r="R22" s="71"/>
      <c r="S22" s="37"/>
      <c r="T22" s="37"/>
      <c r="U22" s="37"/>
      <c r="V22" s="37"/>
      <c r="W22" s="37"/>
      <c r="X22" s="37">
        <f>Debt_Qtr!AO22</f>
        <v>28593</v>
      </c>
      <c r="Y22" s="37">
        <f>Debt_Qtr!AT22</f>
        <v>19417</v>
      </c>
      <c r="Z22" s="37">
        <f>Debt_Qtr!AY22</f>
        <v>17234</v>
      </c>
      <c r="AA22" s="37">
        <f>Debt_Qtr!BD22</f>
        <v>18808</v>
      </c>
      <c r="AB22" s="37">
        <f>Debt_Qtr!BI22</f>
        <v>17157</v>
      </c>
      <c r="AC22" s="71">
        <f>SUM(AC16:AC21)</f>
        <v>17157</v>
      </c>
      <c r="AD22" s="71">
        <f>SUM(AD16:AD21)</f>
        <v>17157</v>
      </c>
      <c r="AE22" s="71">
        <f>SUM(AE16:AE21)</f>
        <v>17157</v>
      </c>
      <c r="AF22" s="71">
        <f>SUM(AF16:AF21)</f>
        <v>17157</v>
      </c>
    </row>
    <row r="23" spans="1:32" s="24" customFormat="1">
      <c r="A23" s="12"/>
      <c r="B23" s="71"/>
      <c r="C23" s="71"/>
      <c r="D23" s="71"/>
      <c r="E23" s="71"/>
      <c r="F23" s="71"/>
      <c r="G23" s="71"/>
      <c r="H23" s="71"/>
      <c r="I23" s="71"/>
      <c r="J23" s="71"/>
      <c r="K23" s="71"/>
      <c r="L23" s="71"/>
      <c r="M23" s="71"/>
      <c r="N23" s="71"/>
      <c r="O23" s="71"/>
      <c r="P23" s="71"/>
      <c r="Q23" s="71"/>
      <c r="R23" s="71"/>
      <c r="S23" s="37"/>
      <c r="T23" s="37"/>
      <c r="U23" s="37"/>
      <c r="V23" s="37"/>
      <c r="W23" s="37"/>
      <c r="X23" s="37"/>
      <c r="Y23" s="37"/>
      <c r="Z23" s="37"/>
      <c r="AA23" s="37"/>
      <c r="AB23" s="37"/>
      <c r="AC23" s="42"/>
      <c r="AD23" s="42"/>
      <c r="AE23" s="42"/>
      <c r="AF23" s="42"/>
    </row>
    <row r="24" spans="1:32" s="24" customFormat="1">
      <c r="A24" s="10" t="s">
        <v>325</v>
      </c>
      <c r="B24" s="71"/>
      <c r="C24" s="71"/>
      <c r="D24" s="71"/>
      <c r="E24" s="71"/>
      <c r="F24" s="71"/>
      <c r="G24" s="71"/>
      <c r="H24" s="71"/>
      <c r="I24" s="71"/>
      <c r="J24" s="71"/>
      <c r="K24" s="71"/>
      <c r="L24" s="71"/>
      <c r="M24" s="71"/>
      <c r="N24" s="71"/>
      <c r="O24" s="71"/>
      <c r="P24" s="71"/>
      <c r="Q24" s="71"/>
      <c r="R24" s="71"/>
      <c r="S24" s="37"/>
      <c r="T24" s="37"/>
      <c r="U24" s="37"/>
      <c r="V24" s="37"/>
      <c r="W24" s="37"/>
      <c r="X24" s="37">
        <f>Debt_Qtr!AO24</f>
        <v>32351</v>
      </c>
      <c r="Y24" s="37">
        <f>Debt_Qtr!AT24</f>
        <v>20525</v>
      </c>
      <c r="Z24" s="37">
        <f>Debt_Qtr!AY24</f>
        <v>19273</v>
      </c>
      <c r="AA24" s="37">
        <f>Debt_Qtr!BD24</f>
        <v>20494</v>
      </c>
      <c r="AB24" s="37">
        <f>Debt_Qtr!BI24</f>
        <v>19157</v>
      </c>
      <c r="AC24" s="42">
        <f>+AC22+AC13</f>
        <v>19157</v>
      </c>
      <c r="AD24" s="42">
        <f>+AD22+AD13</f>
        <v>19157</v>
      </c>
      <c r="AE24" s="42">
        <f>+AE22+AE13</f>
        <v>19157</v>
      </c>
      <c r="AF24" s="42">
        <f>+AF22+AF13</f>
        <v>19157</v>
      </c>
    </row>
    <row r="25" spans="1:32" s="24" customFormat="1">
      <c r="A25" s="10"/>
      <c r="B25" s="71"/>
      <c r="C25" s="71"/>
      <c r="D25" s="71"/>
      <c r="E25" s="71"/>
      <c r="F25" s="71"/>
      <c r="G25" s="71"/>
      <c r="H25" s="71"/>
      <c r="I25" s="71"/>
      <c r="J25" s="71"/>
      <c r="K25" s="71"/>
      <c r="L25" s="71"/>
      <c r="M25" s="71"/>
      <c r="N25" s="71"/>
      <c r="O25" s="71"/>
      <c r="P25" s="71"/>
      <c r="Q25" s="71"/>
      <c r="R25" s="71"/>
      <c r="S25" s="37"/>
      <c r="T25" s="37"/>
      <c r="U25" s="37"/>
      <c r="V25" s="37"/>
      <c r="W25" s="37"/>
      <c r="X25" s="37"/>
      <c r="Y25" s="37"/>
      <c r="Z25" s="37"/>
      <c r="AA25" s="37"/>
      <c r="AB25" s="37"/>
      <c r="AC25" s="42"/>
      <c r="AD25" s="42"/>
      <c r="AE25" s="42"/>
      <c r="AF25" s="42"/>
    </row>
    <row r="26" spans="1:32" s="24" customFormat="1">
      <c r="A26" s="10" t="s">
        <v>158</v>
      </c>
      <c r="B26" s="71"/>
      <c r="C26" s="71"/>
      <c r="D26" s="71"/>
      <c r="E26" s="71"/>
      <c r="F26" s="71"/>
      <c r="G26" s="71"/>
      <c r="H26" s="71"/>
      <c r="I26" s="71"/>
      <c r="J26" s="71"/>
      <c r="K26" s="71"/>
      <c r="L26" s="71"/>
      <c r="M26" s="71"/>
      <c r="N26" s="71"/>
      <c r="O26" s="71"/>
      <c r="P26" s="71"/>
      <c r="Q26" s="71"/>
      <c r="R26" s="71"/>
      <c r="S26" s="37"/>
      <c r="T26" s="37"/>
      <c r="U26" s="37"/>
      <c r="V26" s="37"/>
      <c r="W26" s="37"/>
      <c r="X26" s="37"/>
      <c r="Y26" s="71">
        <f>+IF(Y22&gt;X22,Y22-X22,0)</f>
        <v>0</v>
      </c>
      <c r="Z26" s="71">
        <f t="shared" ref="Z26:AF26" si="7">+IF(Z22&gt;Y22,Z22-Y22,0)</f>
        <v>0</v>
      </c>
      <c r="AA26" s="71">
        <f t="shared" si="7"/>
        <v>1574</v>
      </c>
      <c r="AB26" s="71">
        <f t="shared" si="7"/>
        <v>0</v>
      </c>
      <c r="AC26" s="71">
        <f t="shared" si="7"/>
        <v>0</v>
      </c>
      <c r="AD26" s="71">
        <f t="shared" si="7"/>
        <v>0</v>
      </c>
      <c r="AE26" s="71">
        <f t="shared" si="7"/>
        <v>0</v>
      </c>
      <c r="AF26" s="71">
        <f t="shared" si="7"/>
        <v>0</v>
      </c>
    </row>
    <row r="27" spans="1:32" s="24" customFormat="1">
      <c r="A27" s="10" t="s">
        <v>367</v>
      </c>
      <c r="B27" s="71"/>
      <c r="C27" s="71"/>
      <c r="D27" s="71"/>
      <c r="E27" s="71"/>
      <c r="F27" s="71"/>
      <c r="G27" s="71"/>
      <c r="H27" s="71"/>
      <c r="I27" s="71"/>
      <c r="J27" s="71"/>
      <c r="K27" s="71"/>
      <c r="L27" s="71"/>
      <c r="M27" s="71"/>
      <c r="N27" s="71"/>
      <c r="O27" s="71"/>
      <c r="P27" s="71"/>
      <c r="Q27" s="71"/>
      <c r="R27" s="71"/>
      <c r="S27" s="37"/>
      <c r="T27" s="37"/>
      <c r="U27" s="37"/>
      <c r="V27" s="37"/>
      <c r="W27" s="37"/>
      <c r="X27" s="37"/>
      <c r="Y27" s="71">
        <f t="shared" ref="Y27:AF27" si="8">IF(Y22&lt;X22,Y22-X22,0)</f>
        <v>-9176</v>
      </c>
      <c r="Z27" s="71">
        <f t="shared" si="8"/>
        <v>-2183</v>
      </c>
      <c r="AA27" s="71">
        <f t="shared" si="8"/>
        <v>0</v>
      </c>
      <c r="AB27" s="71">
        <f t="shared" si="8"/>
        <v>-1651</v>
      </c>
      <c r="AC27" s="71">
        <f t="shared" si="8"/>
        <v>0</v>
      </c>
      <c r="AD27" s="71">
        <f t="shared" si="8"/>
        <v>0</v>
      </c>
      <c r="AE27" s="71">
        <f t="shared" si="8"/>
        <v>0</v>
      </c>
      <c r="AF27" s="71">
        <f t="shared" si="8"/>
        <v>0</v>
      </c>
    </row>
    <row r="28" spans="1:32" s="24" customFormat="1">
      <c r="A28" s="10" t="s">
        <v>368</v>
      </c>
      <c r="B28" s="71"/>
      <c r="C28" s="71"/>
      <c r="D28" s="71"/>
      <c r="E28" s="71"/>
      <c r="F28" s="71"/>
      <c r="G28" s="71"/>
      <c r="H28" s="71"/>
      <c r="I28" s="71"/>
      <c r="J28" s="71"/>
      <c r="K28" s="71"/>
      <c r="L28" s="71"/>
      <c r="M28" s="71"/>
      <c r="N28" s="71"/>
      <c r="O28" s="71"/>
      <c r="P28" s="71"/>
      <c r="Q28" s="71"/>
      <c r="R28" s="71"/>
      <c r="S28" s="37"/>
      <c r="T28" s="37"/>
      <c r="U28" s="37"/>
      <c r="V28" s="37"/>
      <c r="W28" s="37"/>
      <c r="X28" s="37"/>
      <c r="Y28" s="71">
        <f t="shared" ref="Y28:AE28" si="9">Y27+Y26</f>
        <v>-9176</v>
      </c>
      <c r="Z28" s="71">
        <f t="shared" si="9"/>
        <v>-2183</v>
      </c>
      <c r="AA28" s="71">
        <f t="shared" si="9"/>
        <v>1574</v>
      </c>
      <c r="AB28" s="71">
        <f t="shared" ref="AB28" si="10">AB27+AB26</f>
        <v>-1651</v>
      </c>
      <c r="AC28" s="71">
        <f t="shared" si="9"/>
        <v>0</v>
      </c>
      <c r="AD28" s="71">
        <f t="shared" si="9"/>
        <v>0</v>
      </c>
      <c r="AE28" s="71">
        <f t="shared" si="9"/>
        <v>0</v>
      </c>
      <c r="AF28" s="71">
        <f t="shared" ref="AF28" si="11">AF27+AF26</f>
        <v>0</v>
      </c>
    </row>
    <row r="29" spans="1:32" s="24" customFormat="1">
      <c r="A29" s="10"/>
      <c r="B29" s="97"/>
      <c r="C29" s="97"/>
      <c r="D29" s="97"/>
      <c r="E29" s="97"/>
      <c r="F29" s="97"/>
      <c r="G29" s="97"/>
      <c r="H29" s="97"/>
      <c r="I29" s="97"/>
      <c r="J29" s="97"/>
      <c r="K29" s="97"/>
      <c r="L29" s="97"/>
      <c r="M29" s="97"/>
      <c r="N29" s="97"/>
      <c r="O29" s="97"/>
      <c r="P29" s="97"/>
      <c r="Q29" s="97"/>
      <c r="R29" s="97"/>
      <c r="S29" s="97"/>
      <c r="T29" s="97"/>
      <c r="U29" s="97"/>
      <c r="V29" s="97"/>
      <c r="W29" s="97"/>
      <c r="X29" s="97"/>
      <c r="Y29" s="97"/>
      <c r="Z29" s="97"/>
      <c r="AA29" s="97"/>
      <c r="AB29" s="97"/>
      <c r="AC29" s="97"/>
      <c r="AD29" s="97"/>
      <c r="AE29" s="97"/>
      <c r="AF29" s="97"/>
    </row>
    <row r="30" spans="1:32" s="24" customFormat="1">
      <c r="A30" s="10" t="s">
        <v>161</v>
      </c>
      <c r="B30" s="71"/>
      <c r="C30" s="71"/>
      <c r="D30" s="71"/>
      <c r="E30" s="71"/>
      <c r="F30" s="71"/>
      <c r="G30" s="71"/>
      <c r="H30" s="71"/>
      <c r="I30" s="71"/>
      <c r="J30" s="71"/>
      <c r="K30" s="71"/>
      <c r="L30" s="71"/>
      <c r="M30" s="71"/>
      <c r="N30" s="71"/>
      <c r="O30" s="71"/>
      <c r="P30" s="71"/>
      <c r="Q30" s="71"/>
      <c r="R30" s="71"/>
      <c r="S30" s="37"/>
      <c r="T30" s="37"/>
      <c r="U30" s="37"/>
      <c r="V30" s="37"/>
      <c r="W30" s="37"/>
      <c r="X30" s="37"/>
      <c r="Y30" s="71">
        <f t="shared" ref="Y30:AF30" si="12">+IF(Y7-X7&gt;0,Y7-X7,0)+IF(Y8-X8&gt;0,Y8-X8,0)+IF(Y9-X9&gt;0,Y9-X9,0)+IF(Y12-X12&gt;0,Y12-X12,0)+IF(Y16-X16&gt;0,Y16-X16,0)+IF(Y17-X17&gt;0,Y17-X17,0)+IF(Y10-X10&gt;0,Y10-X10,0)+IF(Y11-X11&gt;0,Y11-X11,0)+IF(Y18-X18&gt;0,Y18-X18,0)+IF(Y21-X21&gt;0,Y21-X21,0)+IF(Y19-X19&gt;0,Y19-X19,0)+IF(Y20-X20&gt;0,Y20-X20,0)</f>
        <v>19963</v>
      </c>
      <c r="Z30" s="71">
        <f t="shared" si="12"/>
        <v>968</v>
      </c>
      <c r="AA30" s="71">
        <f t="shared" si="12"/>
        <v>1669</v>
      </c>
      <c r="AB30" s="71">
        <f t="shared" si="12"/>
        <v>334</v>
      </c>
      <c r="AC30" s="71">
        <f t="shared" si="12"/>
        <v>0</v>
      </c>
      <c r="AD30" s="71">
        <f t="shared" si="12"/>
        <v>0</v>
      </c>
      <c r="AE30" s="71">
        <f t="shared" si="12"/>
        <v>0</v>
      </c>
      <c r="AF30" s="71">
        <f t="shared" si="12"/>
        <v>0</v>
      </c>
    </row>
    <row r="31" spans="1:32" s="24" customFormat="1">
      <c r="A31" s="10" t="s">
        <v>162</v>
      </c>
      <c r="B31" s="71"/>
      <c r="C31" s="71"/>
      <c r="D31" s="71"/>
      <c r="E31" s="71"/>
      <c r="F31" s="71"/>
      <c r="G31" s="71"/>
      <c r="H31" s="71"/>
      <c r="I31" s="71"/>
      <c r="J31" s="71"/>
      <c r="K31" s="71"/>
      <c r="L31" s="71"/>
      <c r="M31" s="71"/>
      <c r="N31" s="71"/>
      <c r="O31" s="71"/>
      <c r="P31" s="71"/>
      <c r="Q31" s="71"/>
      <c r="R31" s="71"/>
      <c r="S31" s="37"/>
      <c r="T31" s="37"/>
      <c r="U31" s="37"/>
      <c r="V31" s="37"/>
      <c r="W31" s="37"/>
      <c r="X31" s="37"/>
      <c r="Y31" s="71">
        <f t="shared" ref="Y31:AF31" si="13">+IF(Y7-X7&lt;0,Y7-X7,0)+IF(Y8-X8&lt;0,Y8-X8,0)+IF(Y9-X9&lt;0,Y9-X9,0)+IF(Y12-X12&lt;0,Y12-X12,0)+IF(Y16-X16&lt;0,Y16-X16,0)+IF(Y17-X17&lt;0,Y17-X17,0)+IF(Y10-X10&lt;0,Y10-X10,0)+IF(Y11-X11&lt;0,Y11-X11,0)+IF(Y18-X18&lt;0,Y18-X18,0)+IF(Y21-X21&lt;0,Y21-X21,0)+IF(Y19-X19&lt;0,Y19-X19,0)+IF(Y20-X20&lt;0,Y20-X20,0)</f>
        <v>-31789</v>
      </c>
      <c r="Z31" s="71">
        <f t="shared" si="13"/>
        <v>-2220</v>
      </c>
      <c r="AA31" s="71">
        <f t="shared" si="13"/>
        <v>-448</v>
      </c>
      <c r="AB31" s="71">
        <f t="shared" si="13"/>
        <v>-1671</v>
      </c>
      <c r="AC31" s="71">
        <f t="shared" si="13"/>
        <v>0</v>
      </c>
      <c r="AD31" s="71">
        <f t="shared" si="13"/>
        <v>0</v>
      </c>
      <c r="AE31" s="71">
        <f t="shared" si="13"/>
        <v>0</v>
      </c>
      <c r="AF31" s="71">
        <f t="shared" si="13"/>
        <v>0</v>
      </c>
    </row>
    <row r="32" spans="1:32" s="24" customFormat="1">
      <c r="A32" s="10" t="s">
        <v>163</v>
      </c>
      <c r="B32" s="71"/>
      <c r="C32" s="71"/>
      <c r="D32" s="71"/>
      <c r="E32" s="71"/>
      <c r="F32" s="71"/>
      <c r="G32" s="71"/>
      <c r="H32" s="71"/>
      <c r="I32" s="71"/>
      <c r="J32" s="71"/>
      <c r="K32" s="71"/>
      <c r="L32" s="71"/>
      <c r="M32" s="71"/>
      <c r="N32" s="71"/>
      <c r="O32" s="71"/>
      <c r="P32" s="71"/>
      <c r="Q32" s="71"/>
      <c r="R32" s="71"/>
      <c r="S32" s="37"/>
      <c r="T32" s="37"/>
      <c r="U32" s="37"/>
      <c r="V32" s="37"/>
      <c r="W32" s="37"/>
      <c r="X32" s="37"/>
      <c r="Y32" s="71">
        <f t="shared" ref="Y32:AE32" si="14">+Y30+Y31</f>
        <v>-11826</v>
      </c>
      <c r="Z32" s="71">
        <f t="shared" si="14"/>
        <v>-1252</v>
      </c>
      <c r="AA32" s="71">
        <f t="shared" si="14"/>
        <v>1221</v>
      </c>
      <c r="AB32" s="71">
        <f t="shared" ref="AB32" si="15">+AB30+AB31</f>
        <v>-1337</v>
      </c>
      <c r="AC32" s="71">
        <f t="shared" si="14"/>
        <v>0</v>
      </c>
      <c r="AD32" s="71">
        <f t="shared" si="14"/>
        <v>0</v>
      </c>
      <c r="AE32" s="71">
        <f t="shared" si="14"/>
        <v>0</v>
      </c>
      <c r="AF32" s="71">
        <f t="shared" ref="AF32" si="16">+AF30+AF31</f>
        <v>0</v>
      </c>
    </row>
    <row r="33" spans="1:32" s="24" customFormat="1">
      <c r="A33" s="10"/>
      <c r="B33" s="97"/>
      <c r="C33" s="97"/>
      <c r="D33" s="97"/>
      <c r="E33" s="97"/>
      <c r="F33" s="97"/>
      <c r="G33" s="97"/>
      <c r="H33" s="97"/>
      <c r="I33" s="97"/>
      <c r="J33" s="97"/>
      <c r="K33" s="97"/>
      <c r="L33" s="97"/>
      <c r="M33" s="97"/>
      <c r="N33" s="97"/>
      <c r="O33" s="97"/>
      <c r="P33" s="97"/>
      <c r="Q33" s="97"/>
      <c r="R33" s="97"/>
      <c r="S33" s="97"/>
      <c r="T33" s="97"/>
      <c r="U33" s="97"/>
      <c r="V33" s="97"/>
      <c r="W33" s="97"/>
      <c r="X33" s="97"/>
      <c r="Y33" s="97"/>
      <c r="Z33" s="97"/>
      <c r="AA33" s="97"/>
      <c r="AB33" s="97"/>
      <c r="AC33" s="97"/>
      <c r="AD33" s="97"/>
      <c r="AE33" s="97"/>
      <c r="AF33" s="97"/>
    </row>
    <row r="34" spans="1:32" s="24" customFormat="1">
      <c r="A34" s="6" t="s">
        <v>164</v>
      </c>
      <c r="B34" s="112"/>
      <c r="C34" s="112"/>
      <c r="D34" s="112"/>
      <c r="E34" s="112"/>
      <c r="F34" s="112"/>
      <c r="G34" s="112"/>
      <c r="H34" s="112"/>
      <c r="I34" s="112"/>
      <c r="J34" s="112"/>
      <c r="K34" s="112"/>
      <c r="L34" s="112"/>
      <c r="M34" s="112"/>
      <c r="N34" s="112"/>
      <c r="O34" s="112"/>
      <c r="P34" s="112"/>
      <c r="Q34" s="112"/>
      <c r="R34" s="112"/>
      <c r="S34" s="112"/>
      <c r="T34" s="112"/>
      <c r="U34" s="112"/>
      <c r="V34" s="112"/>
      <c r="W34" s="112"/>
      <c r="X34" s="112"/>
      <c r="Y34" s="112"/>
      <c r="Z34" s="112"/>
      <c r="AA34" s="112"/>
      <c r="AB34" s="112"/>
      <c r="AC34" s="112"/>
      <c r="AD34" s="112"/>
      <c r="AE34" s="112"/>
      <c r="AF34" s="112"/>
    </row>
    <row r="35" spans="1:32" s="24" customFormat="1">
      <c r="A35" s="335" t="str">
        <f t="shared" ref="A35:A42" si="17">+A6</f>
        <v>Short-Term</v>
      </c>
      <c r="B35" s="183"/>
      <c r="C35" s="183"/>
      <c r="D35" s="183"/>
      <c r="E35" s="183"/>
      <c r="F35" s="183"/>
      <c r="G35" s="183"/>
      <c r="H35" s="183"/>
      <c r="I35" s="183"/>
      <c r="J35" s="183"/>
      <c r="K35" s="183"/>
      <c r="L35" s="183"/>
      <c r="M35" s="183"/>
      <c r="N35" s="183"/>
      <c r="O35" s="183"/>
      <c r="P35" s="183"/>
      <c r="Q35" s="183"/>
      <c r="R35" s="183"/>
      <c r="S35" s="192"/>
      <c r="T35" s="192"/>
      <c r="U35" s="192"/>
      <c r="V35" s="192"/>
      <c r="W35" s="192"/>
      <c r="X35" s="192"/>
      <c r="Y35" s="192"/>
      <c r="Z35" s="192"/>
      <c r="AA35" s="192"/>
      <c r="AB35" s="192"/>
      <c r="AC35" s="183"/>
      <c r="AD35" s="183"/>
      <c r="AE35" s="183"/>
      <c r="AF35" s="183"/>
    </row>
    <row r="36" spans="1:32" s="24" customFormat="1">
      <c r="A36" s="3" t="str">
        <f t="shared" si="17"/>
        <v>Senior notes issued by GE</v>
      </c>
      <c r="B36" s="183"/>
      <c r="C36" s="183"/>
      <c r="D36" s="183"/>
      <c r="E36" s="183"/>
      <c r="F36" s="183"/>
      <c r="G36" s="183"/>
      <c r="H36" s="183"/>
      <c r="I36" s="183"/>
      <c r="J36" s="183"/>
      <c r="K36" s="183"/>
      <c r="L36" s="183"/>
      <c r="M36" s="183"/>
      <c r="N36" s="183"/>
      <c r="O36" s="183"/>
      <c r="P36" s="183"/>
      <c r="Q36" s="183"/>
      <c r="R36" s="183"/>
      <c r="S36" s="192"/>
      <c r="T36" s="192"/>
      <c r="U36" s="192"/>
      <c r="V36" s="192"/>
      <c r="W36" s="192"/>
      <c r="X36" s="192">
        <f>Debt_Qtr!AO36</f>
        <v>1.04E-2</v>
      </c>
      <c r="Y36" s="192">
        <f>Debt_Qtr!AT36</f>
        <v>0</v>
      </c>
      <c r="Z36" s="192">
        <f>Debt_Qtr!AY36</f>
        <v>0</v>
      </c>
      <c r="AA36" s="192">
        <f>Debt_Qtr!BD36</f>
        <v>0</v>
      </c>
      <c r="AB36" s="192">
        <f>Debt_Qtr!BI36</f>
        <v>0</v>
      </c>
      <c r="AC36" s="183">
        <f t="shared" ref="AC36:AC47" si="18">AB36</f>
        <v>0</v>
      </c>
      <c r="AD36" s="183">
        <f t="shared" ref="AD36:AD41" si="19">AC36</f>
        <v>0</v>
      </c>
      <c r="AE36" s="183">
        <f t="shared" ref="AE36:AF41" si="20">AD36</f>
        <v>0</v>
      </c>
      <c r="AF36" s="183">
        <f t="shared" si="20"/>
        <v>0</v>
      </c>
    </row>
    <row r="37" spans="1:32" s="24" customFormat="1">
      <c r="A37" s="3" t="str">
        <f t="shared" si="17"/>
        <v>Senior and subordinated notes assumed by GE</v>
      </c>
      <c r="B37" s="183"/>
      <c r="C37" s="183"/>
      <c r="D37" s="183"/>
      <c r="E37" s="183"/>
      <c r="F37" s="183"/>
      <c r="G37" s="183"/>
      <c r="H37" s="183"/>
      <c r="I37" s="183"/>
      <c r="J37" s="183"/>
      <c r="K37" s="183"/>
      <c r="L37" s="183"/>
      <c r="M37" s="183"/>
      <c r="N37" s="183"/>
      <c r="O37" s="183"/>
      <c r="P37" s="183"/>
      <c r="Q37" s="183"/>
      <c r="R37" s="183"/>
      <c r="S37" s="192"/>
      <c r="T37" s="192"/>
      <c r="U37" s="192"/>
      <c r="V37" s="192"/>
      <c r="W37" s="192"/>
      <c r="X37" s="192">
        <f>Debt_Qtr!AO37</f>
        <v>1.4999999999999999E-2</v>
      </c>
      <c r="Y37" s="192">
        <f>Debt_Qtr!AT37</f>
        <v>0</v>
      </c>
      <c r="Z37" s="192">
        <f>Debt_Qtr!AY37</f>
        <v>0</v>
      </c>
      <c r="AA37" s="192">
        <f>Debt_Qtr!BD37</f>
        <v>0</v>
      </c>
      <c r="AB37" s="192">
        <f>Debt_Qtr!BI37</f>
        <v>0</v>
      </c>
      <c r="AC37" s="183">
        <f t="shared" si="18"/>
        <v>0</v>
      </c>
      <c r="AD37" s="183">
        <f t="shared" si="19"/>
        <v>0</v>
      </c>
      <c r="AE37" s="183">
        <f t="shared" si="20"/>
        <v>0</v>
      </c>
      <c r="AF37" s="183">
        <f t="shared" si="20"/>
        <v>0</v>
      </c>
    </row>
    <row r="38" spans="1:32" s="24" customFormat="1">
      <c r="A38" s="3" t="str">
        <f t="shared" si="17"/>
        <v>Senior notes issued by GE Capital</v>
      </c>
      <c r="B38" s="183"/>
      <c r="C38" s="183"/>
      <c r="D38" s="183"/>
      <c r="E38" s="183"/>
      <c r="F38" s="183"/>
      <c r="G38" s="183"/>
      <c r="H38" s="183"/>
      <c r="I38" s="183"/>
      <c r="J38" s="183"/>
      <c r="K38" s="183"/>
      <c r="L38" s="183"/>
      <c r="M38" s="183"/>
      <c r="N38" s="183"/>
      <c r="O38" s="183"/>
      <c r="P38" s="183"/>
      <c r="Q38" s="183"/>
      <c r="R38" s="183"/>
      <c r="S38" s="192"/>
      <c r="T38" s="192"/>
      <c r="U38" s="192"/>
      <c r="V38" s="192"/>
      <c r="W38" s="192"/>
      <c r="X38" s="192">
        <f>Debt_Qtr!AO38</f>
        <v>1.54E-2</v>
      </c>
      <c r="Y38" s="192">
        <f>Debt_Qtr!AT38</f>
        <v>0</v>
      </c>
      <c r="Z38" s="192">
        <f>Debt_Qtr!AY38</f>
        <v>0</v>
      </c>
      <c r="AA38" s="192">
        <f>Debt_Qtr!BD38</f>
        <v>0</v>
      </c>
      <c r="AB38" s="192">
        <f>Debt_Qtr!BI38</f>
        <v>0</v>
      </c>
      <c r="AC38" s="183">
        <f t="shared" si="18"/>
        <v>0</v>
      </c>
      <c r="AD38" s="183">
        <f t="shared" si="19"/>
        <v>0</v>
      </c>
      <c r="AE38" s="183">
        <f t="shared" si="20"/>
        <v>0</v>
      </c>
      <c r="AF38" s="183">
        <f t="shared" si="20"/>
        <v>0</v>
      </c>
    </row>
    <row r="39" spans="1:32" s="24" customFormat="1">
      <c r="A39" s="3" t="str">
        <f t="shared" si="17"/>
        <v>Senior unsecured (2025)</v>
      </c>
      <c r="B39" s="183"/>
      <c r="C39" s="183"/>
      <c r="D39" s="183"/>
      <c r="E39" s="183"/>
      <c r="F39" s="183"/>
      <c r="G39" s="183"/>
      <c r="H39" s="183"/>
      <c r="I39" s="183"/>
      <c r="J39" s="183"/>
      <c r="K39" s="183"/>
      <c r="L39" s="183"/>
      <c r="M39" s="183"/>
      <c r="N39" s="183"/>
      <c r="O39" s="183"/>
      <c r="P39" s="183"/>
      <c r="Q39" s="183"/>
      <c r="R39" s="183"/>
      <c r="S39" s="192"/>
      <c r="T39" s="192"/>
      <c r="U39" s="192"/>
      <c r="V39" s="192"/>
      <c r="W39" s="192"/>
      <c r="X39" s="192"/>
      <c r="Y39" s="192">
        <f>Debt_Qtr!AT39</f>
        <v>3.9899999999999998E-2</v>
      </c>
      <c r="Z39" s="192">
        <f>Debt_Qtr!AY39</f>
        <v>4.0300000000000002E-2</v>
      </c>
      <c r="AA39" s="192">
        <f>Debt_Qtr!BD39</f>
        <v>0.04</v>
      </c>
      <c r="AB39" s="192">
        <f>Debt_Qtr!BI39</f>
        <v>0.04</v>
      </c>
      <c r="AC39" s="183">
        <f t="shared" ref="AC39:AF40" si="21">AB39</f>
        <v>0.04</v>
      </c>
      <c r="AD39" s="183">
        <f t="shared" si="21"/>
        <v>0.04</v>
      </c>
      <c r="AE39" s="183">
        <f t="shared" si="21"/>
        <v>0.04</v>
      </c>
      <c r="AF39" s="183">
        <f t="shared" si="21"/>
        <v>0.04</v>
      </c>
    </row>
    <row r="40" spans="1:32" s="24" customFormat="1">
      <c r="A40" s="3" t="str">
        <f t="shared" si="17"/>
        <v>Subordinated notes and other (2025)</v>
      </c>
      <c r="B40" s="183"/>
      <c r="C40" s="183"/>
      <c r="D40" s="183"/>
      <c r="E40" s="183"/>
      <c r="F40" s="183"/>
      <c r="G40" s="183"/>
      <c r="H40" s="183"/>
      <c r="I40" s="183"/>
      <c r="J40" s="183"/>
      <c r="K40" s="183"/>
      <c r="L40" s="183"/>
      <c r="M40" s="183"/>
      <c r="N40" s="183"/>
      <c r="O40" s="183"/>
      <c r="P40" s="183"/>
      <c r="Q40" s="183"/>
      <c r="R40" s="183"/>
      <c r="S40" s="192"/>
      <c r="T40" s="192"/>
      <c r="U40" s="192"/>
      <c r="V40" s="192"/>
      <c r="W40" s="192"/>
      <c r="X40" s="192"/>
      <c r="Y40" s="192">
        <f>Debt_Qtr!AT40</f>
        <v>0.05</v>
      </c>
      <c r="Z40" s="192">
        <f>Debt_Qtr!AY40</f>
        <v>0.05</v>
      </c>
      <c r="AA40" s="192">
        <f>Debt_Qtr!BD40</f>
        <v>4.1250000000000002E-2</v>
      </c>
      <c r="AB40" s="192">
        <f>Debt_Qtr!BI40</f>
        <v>4.1250000000000002E-2</v>
      </c>
      <c r="AC40" s="183">
        <f t="shared" si="21"/>
        <v>4.1250000000000002E-2</v>
      </c>
      <c r="AD40" s="183">
        <f t="shared" si="21"/>
        <v>4.1250000000000002E-2</v>
      </c>
      <c r="AE40" s="183">
        <f t="shared" si="21"/>
        <v>4.1250000000000002E-2</v>
      </c>
      <c r="AF40" s="183">
        <f t="shared" si="21"/>
        <v>4.1250000000000002E-2</v>
      </c>
    </row>
    <row r="41" spans="1:32" s="24" customFormat="1">
      <c r="A41" s="3" t="str">
        <f t="shared" si="17"/>
        <v>Other</v>
      </c>
      <c r="B41" s="183"/>
      <c r="C41" s="183"/>
      <c r="D41" s="183"/>
      <c r="E41" s="183"/>
      <c r="F41" s="183"/>
      <c r="G41" s="183"/>
      <c r="H41" s="183"/>
      <c r="I41" s="183"/>
      <c r="J41" s="183"/>
      <c r="K41" s="183"/>
      <c r="L41" s="183"/>
      <c r="M41" s="183"/>
      <c r="N41" s="183"/>
      <c r="O41" s="183"/>
      <c r="P41" s="183"/>
      <c r="Q41" s="183"/>
      <c r="R41" s="183"/>
      <c r="S41" s="192"/>
      <c r="T41" s="192"/>
      <c r="U41" s="192"/>
      <c r="V41" s="192"/>
      <c r="W41" s="192"/>
      <c r="X41" s="192">
        <f>Debt_Qtr!AO41</f>
        <v>1.54E-2</v>
      </c>
      <c r="Y41" s="192">
        <f>Debt_Qtr!AT41</f>
        <v>0.05</v>
      </c>
      <c r="Z41" s="192">
        <f>Debt_Qtr!AY41</f>
        <v>0.05</v>
      </c>
      <c r="AA41" s="192">
        <f>Debt_Qtr!BD41</f>
        <v>0.05</v>
      </c>
      <c r="AB41" s="192">
        <f>Debt_Qtr!BI41</f>
        <v>0.05</v>
      </c>
      <c r="AC41" s="183">
        <f t="shared" si="18"/>
        <v>0.05</v>
      </c>
      <c r="AD41" s="183">
        <f t="shared" si="19"/>
        <v>0.05</v>
      </c>
      <c r="AE41" s="183">
        <f t="shared" si="20"/>
        <v>0.05</v>
      </c>
      <c r="AF41" s="183">
        <f t="shared" si="20"/>
        <v>0.05</v>
      </c>
    </row>
    <row r="42" spans="1:32" s="24" customFormat="1">
      <c r="A42" s="10" t="str">
        <f t="shared" si="17"/>
        <v>Total Short-Term Borrowings</v>
      </c>
      <c r="B42" s="183"/>
      <c r="C42" s="183"/>
      <c r="D42" s="183"/>
      <c r="E42" s="183"/>
      <c r="F42" s="183"/>
      <c r="G42" s="183"/>
      <c r="H42" s="183"/>
      <c r="I42" s="183"/>
      <c r="J42" s="183"/>
      <c r="K42" s="183"/>
      <c r="L42" s="183"/>
      <c r="M42" s="183"/>
      <c r="N42" s="183"/>
      <c r="O42" s="183"/>
      <c r="P42" s="183"/>
      <c r="Q42" s="183"/>
      <c r="R42" s="183"/>
      <c r="S42" s="192"/>
      <c r="T42" s="192"/>
      <c r="U42" s="192"/>
      <c r="V42" s="192"/>
      <c r="W42" s="192"/>
      <c r="X42" s="192"/>
      <c r="Y42" s="192"/>
      <c r="Z42" s="192"/>
      <c r="AA42" s="192"/>
      <c r="AB42" s="192"/>
      <c r="AC42" s="183"/>
      <c r="AD42" s="183"/>
      <c r="AE42" s="183"/>
      <c r="AF42" s="183"/>
    </row>
    <row r="43" spans="1:32" s="24" customFormat="1">
      <c r="A43" s="3"/>
      <c r="B43" s="183"/>
      <c r="C43" s="183"/>
      <c r="D43" s="183"/>
      <c r="E43" s="183"/>
      <c r="F43" s="183"/>
      <c r="G43" s="183"/>
      <c r="H43" s="183"/>
      <c r="I43" s="183"/>
      <c r="J43" s="183"/>
      <c r="K43" s="183"/>
      <c r="L43" s="183"/>
      <c r="M43" s="183"/>
      <c r="N43" s="183"/>
      <c r="O43" s="183"/>
      <c r="P43" s="183"/>
      <c r="Q43" s="183"/>
      <c r="R43" s="183"/>
      <c r="S43" s="192"/>
      <c r="T43" s="192"/>
      <c r="U43" s="192"/>
      <c r="V43" s="192"/>
      <c r="W43" s="192"/>
      <c r="X43" s="192"/>
      <c r="Y43" s="192"/>
      <c r="Z43" s="192"/>
      <c r="AA43" s="192"/>
      <c r="AB43" s="192"/>
      <c r="AC43" s="183"/>
      <c r="AD43" s="183"/>
      <c r="AE43" s="183"/>
      <c r="AF43" s="183"/>
    </row>
    <row r="44" spans="1:32" s="24" customFormat="1">
      <c r="A44" s="335" t="str">
        <f t="shared" ref="A44:A51" si="22">+A15</f>
        <v>Long-Term</v>
      </c>
      <c r="B44" s="183"/>
      <c r="C44" s="183"/>
      <c r="D44" s="183"/>
      <c r="E44" s="183"/>
      <c r="F44" s="183"/>
      <c r="G44" s="183"/>
      <c r="H44" s="183"/>
      <c r="I44" s="183"/>
      <c r="J44" s="183"/>
      <c r="K44" s="183"/>
      <c r="L44" s="183"/>
      <c r="M44" s="183"/>
      <c r="N44" s="183"/>
      <c r="O44" s="183"/>
      <c r="P44" s="183"/>
      <c r="Q44" s="183"/>
      <c r="R44" s="183"/>
      <c r="S44" s="192"/>
      <c r="T44" s="192"/>
      <c r="U44" s="192"/>
      <c r="V44" s="192"/>
      <c r="W44" s="192"/>
      <c r="X44" s="192"/>
      <c r="Y44" s="192"/>
      <c r="Z44" s="192"/>
      <c r="AA44" s="192"/>
      <c r="AB44" s="192"/>
      <c r="AC44" s="183"/>
      <c r="AD44" s="183"/>
      <c r="AE44" s="183"/>
      <c r="AF44" s="183"/>
    </row>
    <row r="45" spans="1:32" s="24" customFormat="1">
      <c r="A45" s="3" t="str">
        <f t="shared" si="22"/>
        <v>Senior notes issued by GE</v>
      </c>
      <c r="B45" s="183"/>
      <c r="C45" s="183"/>
      <c r="D45" s="183"/>
      <c r="E45" s="183"/>
      <c r="F45" s="183"/>
      <c r="G45" s="183"/>
      <c r="H45" s="183"/>
      <c r="I45" s="183"/>
      <c r="J45" s="183"/>
      <c r="K45" s="183"/>
      <c r="L45" s="183"/>
      <c r="M45" s="183"/>
      <c r="N45" s="183"/>
      <c r="O45" s="183"/>
      <c r="P45" s="183"/>
      <c r="Q45" s="183"/>
      <c r="R45" s="183"/>
      <c r="S45" s="192"/>
      <c r="T45" s="192"/>
      <c r="U45" s="192"/>
      <c r="V45" s="192"/>
      <c r="W45" s="192"/>
      <c r="X45" s="192">
        <f>Debt_Qtr!AO45</f>
        <v>4.7500000000000001E-2</v>
      </c>
      <c r="Y45" s="192">
        <f ca="1">Debt_Qtr!AT45</f>
        <v>4.7500000000000001E-2</v>
      </c>
      <c r="Z45" s="192">
        <f ca="1">Debt_Qtr!AY45</f>
        <v>4.7500000000000001E-2</v>
      </c>
      <c r="AA45" s="192">
        <f ca="1">Debt_Qtr!BD45</f>
        <v>4.7500000000000001E-2</v>
      </c>
      <c r="AB45" s="192">
        <f ca="1">Debt_Qtr!BI45</f>
        <v>4.7500000000000001E-2</v>
      </c>
      <c r="AC45" s="183">
        <f t="shared" ca="1" si="18"/>
        <v>4.7500000000000001E-2</v>
      </c>
      <c r="AD45" s="183">
        <f t="shared" ref="AD45:AD50" ca="1" si="23">AC45</f>
        <v>4.7500000000000001E-2</v>
      </c>
      <c r="AE45" s="183">
        <f t="shared" ref="AE45:AF50" ca="1" si="24">AD45</f>
        <v>4.7500000000000001E-2</v>
      </c>
      <c r="AF45" s="183">
        <f t="shared" ca="1" si="24"/>
        <v>4.7500000000000001E-2</v>
      </c>
    </row>
    <row r="46" spans="1:32" s="24" customFormat="1">
      <c r="A46" s="3" t="str">
        <f t="shared" si="22"/>
        <v>Senior and subordinated notes assumed by GE</v>
      </c>
      <c r="B46" s="183"/>
      <c r="C46" s="183"/>
      <c r="D46" s="183"/>
      <c r="E46" s="183"/>
      <c r="F46" s="183"/>
      <c r="G46" s="183"/>
      <c r="H46" s="183"/>
      <c r="I46" s="183"/>
      <c r="J46" s="183"/>
      <c r="K46" s="183"/>
      <c r="L46" s="183"/>
      <c r="M46" s="183"/>
      <c r="N46" s="183"/>
      <c r="O46" s="183"/>
      <c r="P46" s="183"/>
      <c r="Q46" s="183"/>
      <c r="R46" s="183"/>
      <c r="S46" s="192"/>
      <c r="T46" s="192"/>
      <c r="U46" s="192"/>
      <c r="V46" s="192"/>
      <c r="W46" s="192"/>
      <c r="X46" s="192">
        <f>Debt_Qtr!AO46</f>
        <v>4.7100000000000003E-2</v>
      </c>
      <c r="Y46" s="192">
        <f ca="1">Debt_Qtr!AT46</f>
        <v>4.7100000000000003E-2</v>
      </c>
      <c r="Z46" s="192">
        <f ca="1">Debt_Qtr!AY46</f>
        <v>4.7100000000000003E-2</v>
      </c>
      <c r="AA46" s="192">
        <f ca="1">Debt_Qtr!BD46</f>
        <v>4.7100000000000003E-2</v>
      </c>
      <c r="AB46" s="192">
        <f ca="1">Debt_Qtr!BI46</f>
        <v>4.7100000000000003E-2</v>
      </c>
      <c r="AC46" s="183">
        <f t="shared" ca="1" si="18"/>
        <v>4.7100000000000003E-2</v>
      </c>
      <c r="AD46" s="183">
        <f t="shared" ca="1" si="23"/>
        <v>4.7100000000000003E-2</v>
      </c>
      <c r="AE46" s="183">
        <f t="shared" ca="1" si="24"/>
        <v>4.7100000000000003E-2</v>
      </c>
      <c r="AF46" s="183">
        <f t="shared" ca="1" si="24"/>
        <v>4.7100000000000003E-2</v>
      </c>
    </row>
    <row r="47" spans="1:32" s="24" customFormat="1">
      <c r="A47" s="3" t="str">
        <f t="shared" si="22"/>
        <v>Senior notes issued by GE Capital</v>
      </c>
      <c r="B47" s="183"/>
      <c r="C47" s="183"/>
      <c r="D47" s="183"/>
      <c r="E47" s="183"/>
      <c r="F47" s="183"/>
      <c r="G47" s="183"/>
      <c r="H47" s="183"/>
      <c r="I47" s="183"/>
      <c r="J47" s="183"/>
      <c r="K47" s="183"/>
      <c r="L47" s="183"/>
      <c r="M47" s="183"/>
      <c r="N47" s="183"/>
      <c r="O47" s="183"/>
      <c r="P47" s="183"/>
      <c r="Q47" s="183"/>
      <c r="R47" s="183"/>
      <c r="S47" s="192"/>
      <c r="T47" s="192"/>
      <c r="U47" s="192"/>
      <c r="V47" s="192"/>
      <c r="W47" s="192"/>
      <c r="X47" s="192">
        <f>Debt_Qtr!AO47</f>
        <v>3.95E-2</v>
      </c>
      <c r="Y47" s="192">
        <f ca="1">Debt_Qtr!AT47</f>
        <v>3.95E-2</v>
      </c>
      <c r="Z47" s="192">
        <f ca="1">Debt_Qtr!AY47</f>
        <v>3.95E-2</v>
      </c>
      <c r="AA47" s="192">
        <f ca="1">Debt_Qtr!BD47</f>
        <v>3.95E-2</v>
      </c>
      <c r="AB47" s="192">
        <f ca="1">Debt_Qtr!BI47</f>
        <v>3.95E-2</v>
      </c>
      <c r="AC47" s="183">
        <f t="shared" ca="1" si="18"/>
        <v>3.95E-2</v>
      </c>
      <c r="AD47" s="183">
        <f t="shared" ca="1" si="23"/>
        <v>3.95E-2</v>
      </c>
      <c r="AE47" s="183">
        <f t="shared" ca="1" si="24"/>
        <v>3.95E-2</v>
      </c>
      <c r="AF47" s="183">
        <f t="shared" ca="1" si="24"/>
        <v>3.95E-2</v>
      </c>
    </row>
    <row r="48" spans="1:32" s="24" customFormat="1">
      <c r="A48" s="3" t="str">
        <f t="shared" si="22"/>
        <v>Senior unsecured (2026 - 2055)</v>
      </c>
      <c r="B48" s="183"/>
      <c r="C48" s="183"/>
      <c r="D48" s="183"/>
      <c r="E48" s="183"/>
      <c r="F48" s="183"/>
      <c r="G48" s="183"/>
      <c r="H48" s="183"/>
      <c r="I48" s="183"/>
      <c r="J48" s="183"/>
      <c r="K48" s="183"/>
      <c r="L48" s="183"/>
      <c r="M48" s="183"/>
      <c r="N48" s="183"/>
      <c r="O48" s="183"/>
      <c r="P48" s="183"/>
      <c r="Q48" s="183"/>
      <c r="R48" s="183"/>
      <c r="S48" s="192"/>
      <c r="T48" s="192"/>
      <c r="U48" s="192"/>
      <c r="V48" s="192"/>
      <c r="W48" s="192"/>
      <c r="X48" s="192"/>
      <c r="Y48" s="192">
        <f>Debt_Qtr!AT48</f>
        <v>3.9899999999999998E-2</v>
      </c>
      <c r="Z48" s="192">
        <f>Debt_Qtr!AY48</f>
        <v>4.0300000000000002E-2</v>
      </c>
      <c r="AA48" s="192">
        <f>Debt_Qtr!BD48</f>
        <v>0.04</v>
      </c>
      <c r="AB48" s="192">
        <f>Debt_Qtr!BI48</f>
        <v>0.04</v>
      </c>
      <c r="AC48" s="183">
        <f t="shared" ref="AC48:AF49" si="25">AB48</f>
        <v>0.04</v>
      </c>
      <c r="AD48" s="183">
        <f t="shared" si="25"/>
        <v>0.04</v>
      </c>
      <c r="AE48" s="183">
        <f t="shared" si="25"/>
        <v>0.04</v>
      </c>
      <c r="AF48" s="183">
        <f t="shared" si="25"/>
        <v>0.04</v>
      </c>
    </row>
    <row r="49" spans="1:32" s="24" customFormat="1">
      <c r="A49" s="3" t="str">
        <f t="shared" si="22"/>
        <v>Subordinated notes and other (2035 - 2037)</v>
      </c>
      <c r="B49" s="183"/>
      <c r="C49" s="183"/>
      <c r="D49" s="183"/>
      <c r="E49" s="183"/>
      <c r="F49" s="183"/>
      <c r="G49" s="183"/>
      <c r="H49" s="183"/>
      <c r="I49" s="183"/>
      <c r="J49" s="183"/>
      <c r="K49" s="183"/>
      <c r="L49" s="183"/>
      <c r="M49" s="183"/>
      <c r="N49" s="183"/>
      <c r="O49" s="183"/>
      <c r="P49" s="183"/>
      <c r="Q49" s="183"/>
      <c r="R49" s="183"/>
      <c r="S49" s="192"/>
      <c r="T49" s="192"/>
      <c r="U49" s="192"/>
      <c r="V49" s="192"/>
      <c r="W49" s="192"/>
      <c r="X49" s="192"/>
      <c r="Y49" s="192">
        <f>Debt_Qtr!AT49</f>
        <v>4.4299999999999999E-2</v>
      </c>
      <c r="Z49" s="192">
        <f>Debt_Qtr!AY49</f>
        <v>4.4299999999999999E-2</v>
      </c>
      <c r="AA49" s="192">
        <f>Debt_Qtr!BD49</f>
        <v>4.3999999999999997E-2</v>
      </c>
      <c r="AB49" s="192">
        <f>Debt_Qtr!BI49</f>
        <v>4.3999999999999997E-2</v>
      </c>
      <c r="AC49" s="183">
        <f t="shared" si="25"/>
        <v>4.3999999999999997E-2</v>
      </c>
      <c r="AD49" s="183">
        <f t="shared" si="25"/>
        <v>4.3999999999999997E-2</v>
      </c>
      <c r="AE49" s="183">
        <f t="shared" si="25"/>
        <v>4.3999999999999997E-2</v>
      </c>
      <c r="AF49" s="183">
        <f t="shared" si="25"/>
        <v>4.3999999999999997E-2</v>
      </c>
    </row>
    <row r="50" spans="1:32" s="24" customFormat="1">
      <c r="A50" s="3" t="str">
        <f t="shared" si="22"/>
        <v>Other</v>
      </c>
      <c r="B50" s="183"/>
      <c r="C50" s="183"/>
      <c r="D50" s="183"/>
      <c r="E50" s="183"/>
      <c r="F50" s="183"/>
      <c r="G50" s="183"/>
      <c r="H50" s="183"/>
      <c r="I50" s="183"/>
      <c r="J50" s="183"/>
      <c r="K50" s="183"/>
      <c r="L50" s="183"/>
      <c r="M50" s="183"/>
      <c r="N50" s="183"/>
      <c r="O50" s="183"/>
      <c r="P50" s="183"/>
      <c r="Q50" s="183"/>
      <c r="R50" s="183"/>
      <c r="S50" s="192"/>
      <c r="T50" s="192"/>
      <c r="U50" s="192"/>
      <c r="V50" s="192"/>
      <c r="W50" s="192"/>
      <c r="X50" s="192">
        <f>Debt_Qtr!AO50</f>
        <v>4.7500000000000001E-2</v>
      </c>
      <c r="Y50" s="192">
        <f>Debt_Qtr!AT50</f>
        <v>0.05</v>
      </c>
      <c r="Z50" s="192">
        <f>Debt_Qtr!AY50</f>
        <v>0.05</v>
      </c>
      <c r="AA50" s="192">
        <f>Debt_Qtr!BD50</f>
        <v>0.05</v>
      </c>
      <c r="AB50" s="192">
        <f>Debt_Qtr!BI50</f>
        <v>0.05</v>
      </c>
      <c r="AC50" s="183">
        <f>AB50</f>
        <v>0.05</v>
      </c>
      <c r="AD50" s="183">
        <f t="shared" si="23"/>
        <v>0.05</v>
      </c>
      <c r="AE50" s="183">
        <f t="shared" si="24"/>
        <v>0.05</v>
      </c>
      <c r="AF50" s="183">
        <f t="shared" si="24"/>
        <v>0.05</v>
      </c>
    </row>
    <row r="51" spans="1:32" s="24" customFormat="1">
      <c r="A51" s="10" t="str">
        <f t="shared" si="22"/>
        <v>Total Long-Term Borrowings</v>
      </c>
      <c r="B51" s="183"/>
      <c r="C51" s="183"/>
      <c r="D51" s="183"/>
      <c r="E51" s="183"/>
      <c r="F51" s="183"/>
      <c r="G51" s="183"/>
      <c r="H51" s="183"/>
      <c r="I51" s="183"/>
      <c r="J51" s="183"/>
      <c r="K51" s="183"/>
      <c r="L51" s="183"/>
      <c r="M51" s="183"/>
      <c r="N51" s="183"/>
      <c r="O51" s="183"/>
      <c r="P51" s="183"/>
      <c r="Q51" s="183"/>
      <c r="R51" s="183"/>
      <c r="S51" s="192"/>
      <c r="T51" s="192"/>
      <c r="U51" s="192"/>
      <c r="V51" s="192"/>
      <c r="W51" s="192"/>
      <c r="X51" s="192"/>
      <c r="Y51" s="192"/>
      <c r="Z51" s="192"/>
      <c r="AA51" s="192"/>
      <c r="AB51" s="192"/>
      <c r="AC51" s="183"/>
      <c r="AD51" s="183"/>
      <c r="AE51" s="183"/>
      <c r="AF51" s="183"/>
    </row>
    <row r="52" spans="1:32" s="24" customFormat="1">
      <c r="A52" s="12"/>
      <c r="B52" s="183"/>
      <c r="C52" s="183"/>
      <c r="D52" s="183"/>
      <c r="E52" s="183"/>
      <c r="F52" s="183"/>
      <c r="G52" s="183"/>
      <c r="H52" s="183"/>
      <c r="I52" s="183"/>
      <c r="J52" s="183"/>
      <c r="K52" s="183"/>
      <c r="L52" s="183"/>
      <c r="M52" s="183"/>
      <c r="N52" s="183"/>
      <c r="O52" s="183"/>
      <c r="P52" s="183"/>
      <c r="Q52" s="183"/>
      <c r="R52" s="183"/>
      <c r="S52" s="192"/>
      <c r="T52" s="192"/>
      <c r="U52" s="192"/>
      <c r="V52" s="192"/>
      <c r="W52" s="192"/>
      <c r="X52" s="192"/>
      <c r="Y52" s="192"/>
      <c r="Z52" s="192"/>
      <c r="AA52" s="192"/>
      <c r="AB52" s="192"/>
      <c r="AC52" s="183"/>
      <c r="AD52" s="183"/>
      <c r="AE52" s="183"/>
      <c r="AF52" s="183"/>
    </row>
    <row r="53" spans="1:32" s="24" customFormat="1">
      <c r="A53" s="10" t="str">
        <f>+A24</f>
        <v>Total Borrowings</v>
      </c>
      <c r="B53" s="183"/>
      <c r="C53" s="183"/>
      <c r="D53" s="183"/>
      <c r="E53" s="183"/>
      <c r="F53" s="183"/>
      <c r="G53" s="183"/>
      <c r="H53" s="183"/>
      <c r="I53" s="183"/>
      <c r="J53" s="183"/>
      <c r="K53" s="183"/>
      <c r="L53" s="183"/>
      <c r="M53" s="183"/>
      <c r="N53" s="183"/>
      <c r="O53" s="183"/>
      <c r="P53" s="183"/>
      <c r="Q53" s="183"/>
      <c r="R53" s="183"/>
      <c r="S53" s="192"/>
      <c r="T53" s="192"/>
      <c r="U53" s="192"/>
      <c r="V53" s="192"/>
      <c r="W53" s="192"/>
      <c r="X53" s="192"/>
      <c r="Y53" s="192"/>
      <c r="Z53" s="192"/>
      <c r="AA53" s="192"/>
      <c r="AB53" s="192"/>
      <c r="AC53" s="183"/>
      <c r="AD53" s="183"/>
      <c r="AE53" s="183"/>
      <c r="AF53" s="183"/>
    </row>
    <row r="54" spans="1:32" s="24" customFormat="1">
      <c r="A54" s="3"/>
      <c r="B54" s="183"/>
      <c r="C54" s="183"/>
      <c r="D54" s="183"/>
      <c r="E54" s="183"/>
      <c r="F54" s="183"/>
      <c r="G54" s="183"/>
      <c r="H54" s="183"/>
      <c r="I54" s="183"/>
      <c r="J54" s="183"/>
      <c r="K54" s="183"/>
      <c r="L54" s="183"/>
      <c r="M54" s="183"/>
      <c r="N54" s="183"/>
      <c r="O54" s="183"/>
      <c r="P54" s="183"/>
      <c r="Q54" s="183"/>
      <c r="R54" s="183"/>
      <c r="S54" s="192"/>
      <c r="T54" s="192"/>
      <c r="U54" s="192"/>
      <c r="V54" s="192"/>
      <c r="W54" s="192"/>
      <c r="X54" s="192"/>
      <c r="Y54" s="192"/>
      <c r="Z54" s="192"/>
      <c r="AA54" s="192"/>
      <c r="AB54" s="192"/>
      <c r="AC54" s="183"/>
      <c r="AD54" s="183"/>
      <c r="AE54" s="183"/>
      <c r="AF54" s="183"/>
    </row>
    <row r="55" spans="1:32" s="24" customFormat="1">
      <c r="A55" s="3" t="s">
        <v>204</v>
      </c>
      <c r="B55" s="183"/>
      <c r="C55" s="183"/>
      <c r="D55" s="183"/>
      <c r="E55" s="183"/>
      <c r="F55" s="183"/>
      <c r="G55" s="183"/>
      <c r="H55" s="183"/>
      <c r="I55" s="183"/>
      <c r="J55" s="183"/>
      <c r="K55" s="183"/>
      <c r="L55" s="183"/>
      <c r="M55" s="183"/>
      <c r="N55" s="183"/>
      <c r="O55" s="183"/>
      <c r="P55" s="183"/>
      <c r="Q55" s="183"/>
      <c r="R55" s="183"/>
      <c r="S55" s="192"/>
      <c r="T55" s="192"/>
      <c r="U55" s="192"/>
      <c r="V55" s="192"/>
      <c r="W55" s="192"/>
      <c r="X55" s="192">
        <f>Debt_Qtr!AO55</f>
        <v>4.7672899999999997E-2</v>
      </c>
      <c r="Y55" s="192">
        <f>Debt_Qtr!AT55</f>
        <v>5.6268300000000007E-2</v>
      </c>
      <c r="Z55" s="192">
        <f>Debt_Qtr!AY55</f>
        <v>5.6571100000000006E-2</v>
      </c>
      <c r="AA55" s="192">
        <f>Debt_Qtr!BD55</f>
        <v>4.2999999999999997E-2</v>
      </c>
      <c r="AB55" s="192">
        <f>Debt_Qtr!BI55</f>
        <v>3.5799999999999998E-2</v>
      </c>
      <c r="AC55" s="183">
        <f t="shared" ref="AC55:AF56" si="26">AB55</f>
        <v>3.5799999999999998E-2</v>
      </c>
      <c r="AD55" s="183">
        <f t="shared" si="26"/>
        <v>3.5799999999999998E-2</v>
      </c>
      <c r="AE55" s="183">
        <f t="shared" si="26"/>
        <v>3.5799999999999998E-2</v>
      </c>
      <c r="AF55" s="183">
        <f t="shared" si="26"/>
        <v>3.5799999999999998E-2</v>
      </c>
    </row>
    <row r="56" spans="1:32" s="24" customFormat="1">
      <c r="A56" s="3" t="s">
        <v>205</v>
      </c>
      <c r="B56" s="183"/>
      <c r="C56" s="183"/>
      <c r="D56" s="183"/>
      <c r="E56" s="183"/>
      <c r="F56" s="183"/>
      <c r="G56" s="183"/>
      <c r="H56" s="183"/>
      <c r="I56" s="183"/>
      <c r="J56" s="183"/>
      <c r="K56" s="183"/>
      <c r="L56" s="183"/>
      <c r="M56" s="183"/>
      <c r="N56" s="183"/>
      <c r="O56" s="183"/>
      <c r="P56" s="183"/>
      <c r="Q56" s="183"/>
      <c r="R56" s="183"/>
      <c r="S56" s="192"/>
      <c r="T56" s="192"/>
      <c r="U56" s="192"/>
      <c r="V56" s="192"/>
      <c r="W56" s="192"/>
      <c r="X56" s="192">
        <f>Debt_Qtr!AO56</f>
        <v>2.1320000000000002E-2</v>
      </c>
      <c r="Y56" s="192">
        <f>Debt_Qtr!AT56</f>
        <v>3.6332500000000004E-2</v>
      </c>
      <c r="Z56" s="192">
        <f>Debt_Qtr!AY56</f>
        <v>3.952E-2</v>
      </c>
      <c r="AA56" s="192">
        <f>Debt_Qtr!BD56</f>
        <v>3.952E-2</v>
      </c>
      <c r="AB56" s="192">
        <f>Debt_Qtr!BI56</f>
        <v>3.952E-2</v>
      </c>
      <c r="AC56" s="183">
        <f t="shared" si="26"/>
        <v>3.952E-2</v>
      </c>
      <c r="AD56" s="183">
        <f t="shared" si="26"/>
        <v>3.952E-2</v>
      </c>
      <c r="AE56" s="183">
        <f t="shared" si="26"/>
        <v>3.952E-2</v>
      </c>
      <c r="AF56" s="183">
        <f t="shared" si="26"/>
        <v>3.952E-2</v>
      </c>
    </row>
    <row r="57" spans="1:32" s="24" customFormat="1">
      <c r="A57" s="3"/>
      <c r="B57" s="42"/>
      <c r="C57" s="42"/>
      <c r="D57" s="42"/>
      <c r="E57" s="42"/>
      <c r="F57" s="42"/>
      <c r="G57" s="42"/>
      <c r="H57" s="42"/>
      <c r="I57" s="42"/>
      <c r="J57" s="42"/>
      <c r="K57" s="42"/>
      <c r="L57" s="42"/>
      <c r="M57" s="42"/>
      <c r="N57" s="42"/>
      <c r="O57" s="42"/>
      <c r="P57" s="42"/>
      <c r="Q57" s="42"/>
      <c r="R57" s="42"/>
      <c r="S57" s="42"/>
      <c r="T57" s="42"/>
      <c r="U57" s="42"/>
      <c r="V57" s="42"/>
      <c r="W57" s="42"/>
      <c r="X57" s="42"/>
      <c r="Y57" s="42"/>
      <c r="Z57" s="42"/>
      <c r="AA57" s="42"/>
      <c r="AB57" s="42"/>
      <c r="AC57" s="42"/>
      <c r="AD57" s="42"/>
      <c r="AE57" s="42"/>
      <c r="AF57" s="42"/>
    </row>
    <row r="58" spans="1:32" s="24" customFormat="1">
      <c r="A58" s="6" t="s">
        <v>40</v>
      </c>
      <c r="B58" s="112"/>
      <c r="C58" s="112"/>
      <c r="D58" s="112"/>
      <c r="E58" s="112"/>
      <c r="F58" s="112"/>
      <c r="G58" s="112"/>
      <c r="H58" s="112"/>
      <c r="I58" s="112"/>
      <c r="J58" s="112"/>
      <c r="K58" s="112"/>
      <c r="L58" s="112"/>
      <c r="M58" s="112"/>
      <c r="N58" s="112"/>
      <c r="O58" s="112"/>
      <c r="P58" s="112"/>
      <c r="Q58" s="112"/>
      <c r="R58" s="112"/>
      <c r="S58" s="112"/>
      <c r="T58" s="112"/>
      <c r="U58" s="112"/>
      <c r="V58" s="112"/>
      <c r="W58" s="112"/>
      <c r="X58" s="112"/>
      <c r="Y58" s="112"/>
      <c r="Z58" s="112"/>
      <c r="AA58" s="112"/>
      <c r="AB58" s="112"/>
      <c r="AC58" s="112"/>
      <c r="AD58" s="112"/>
      <c r="AE58" s="112"/>
      <c r="AF58" s="112"/>
    </row>
    <row r="59" spans="1:32" s="24" customFormat="1">
      <c r="A59" s="335" t="str">
        <f t="shared" ref="A59:A65" si="27">+A35</f>
        <v>Short-Term</v>
      </c>
      <c r="B59" s="42"/>
      <c r="C59" s="42"/>
      <c r="D59" s="42"/>
      <c r="E59" s="42"/>
      <c r="F59" s="42"/>
      <c r="G59" s="42"/>
      <c r="H59" s="42"/>
      <c r="I59" s="42"/>
      <c r="J59" s="42"/>
      <c r="K59" s="42"/>
      <c r="L59" s="42"/>
      <c r="M59" s="42"/>
      <c r="N59" s="42"/>
      <c r="O59" s="42"/>
      <c r="P59" s="42"/>
      <c r="Q59" s="42"/>
      <c r="R59" s="42"/>
      <c r="S59" s="37"/>
      <c r="T59" s="37"/>
      <c r="U59" s="37"/>
      <c r="V59" s="37"/>
      <c r="W59" s="37"/>
      <c r="X59" s="37"/>
      <c r="Y59" s="37"/>
      <c r="Z59" s="37"/>
      <c r="AA59" s="37"/>
      <c r="AB59" s="37"/>
      <c r="AC59" s="21"/>
      <c r="AD59" s="21"/>
      <c r="AE59" s="21"/>
      <c r="AF59" s="21"/>
    </row>
    <row r="60" spans="1:32" s="24" customFormat="1">
      <c r="A60" s="3" t="str">
        <f t="shared" si="27"/>
        <v>Senior notes issued by GE</v>
      </c>
      <c r="B60" s="42"/>
      <c r="C60" s="42"/>
      <c r="D60" s="42"/>
      <c r="E60" s="42"/>
      <c r="F60" s="42"/>
      <c r="G60" s="42"/>
      <c r="H60" s="42"/>
      <c r="I60" s="42"/>
      <c r="J60" s="42"/>
      <c r="K60" s="42"/>
      <c r="L60" s="42"/>
      <c r="M60" s="42"/>
      <c r="N60" s="42"/>
      <c r="O60" s="42"/>
      <c r="P60" s="42"/>
      <c r="Q60" s="42"/>
      <c r="R60" s="42"/>
      <c r="S60" s="37"/>
      <c r="T60" s="37"/>
      <c r="U60" s="37"/>
      <c r="V60" s="37"/>
      <c r="W60" s="37"/>
      <c r="X60" s="37">
        <f>Debt_Qtr!AO60</f>
        <v>1.2298</v>
      </c>
      <c r="Y60" s="37">
        <f>Debt_Qtr!AT60</f>
        <v>2.9548999999999994</v>
      </c>
      <c r="Z60" s="37">
        <f>Debt_Qtr!AY60</f>
        <v>0</v>
      </c>
      <c r="AA60" s="37">
        <f>Debt_Qtr!BD60</f>
        <v>0</v>
      </c>
      <c r="AB60" s="37">
        <f>Debt_Qtr!BI60</f>
        <v>0</v>
      </c>
      <c r="AC60" s="21">
        <f t="shared" ref="AC60:AF62" si="28">+AVERAGE(AC7,AB7)*AC36</f>
        <v>0</v>
      </c>
      <c r="AD60" s="21">
        <f t="shared" si="28"/>
        <v>0</v>
      </c>
      <c r="AE60" s="21">
        <f t="shared" si="28"/>
        <v>0</v>
      </c>
      <c r="AF60" s="21">
        <f t="shared" si="28"/>
        <v>0</v>
      </c>
    </row>
    <row r="61" spans="1:32" s="24" customFormat="1">
      <c r="A61" s="3" t="str">
        <f t="shared" si="27"/>
        <v>Senior and subordinated notes assumed by GE</v>
      </c>
      <c r="B61" s="42"/>
      <c r="C61" s="42"/>
      <c r="D61" s="42"/>
      <c r="E61" s="42"/>
      <c r="F61" s="42"/>
      <c r="G61" s="42"/>
      <c r="H61" s="42"/>
      <c r="I61" s="42"/>
      <c r="J61" s="42"/>
      <c r="K61" s="42"/>
      <c r="L61" s="42"/>
      <c r="M61" s="42"/>
      <c r="N61" s="42"/>
      <c r="O61" s="42"/>
      <c r="P61" s="42"/>
      <c r="Q61" s="42"/>
      <c r="R61" s="42"/>
      <c r="S61" s="37"/>
      <c r="T61" s="37"/>
      <c r="U61" s="37"/>
      <c r="V61" s="37"/>
      <c r="W61" s="37"/>
      <c r="X61" s="37">
        <f>Debt_Qtr!AO61</f>
        <v>7.3987499999999997</v>
      </c>
      <c r="Y61" s="37">
        <f>Debt_Qtr!AT61</f>
        <v>12.83625</v>
      </c>
      <c r="Z61" s="37">
        <f>Debt_Qtr!AY61</f>
        <v>0</v>
      </c>
      <c r="AA61" s="37">
        <f>Debt_Qtr!BD61</f>
        <v>0</v>
      </c>
      <c r="AB61" s="37">
        <f>Debt_Qtr!BI61</f>
        <v>0</v>
      </c>
      <c r="AC61" s="21">
        <f t="shared" si="28"/>
        <v>0</v>
      </c>
      <c r="AD61" s="21">
        <f t="shared" si="28"/>
        <v>0</v>
      </c>
      <c r="AE61" s="21">
        <f t="shared" si="28"/>
        <v>0</v>
      </c>
      <c r="AF61" s="21">
        <f t="shared" si="28"/>
        <v>0</v>
      </c>
    </row>
    <row r="62" spans="1:32" s="24" customFormat="1">
      <c r="A62" s="3" t="str">
        <f t="shared" si="27"/>
        <v>Senior notes issued by GE Capital</v>
      </c>
      <c r="B62" s="42"/>
      <c r="C62" s="42"/>
      <c r="D62" s="42"/>
      <c r="E62" s="42"/>
      <c r="F62" s="42"/>
      <c r="G62" s="42"/>
      <c r="H62" s="42"/>
      <c r="I62" s="42"/>
      <c r="J62" s="42"/>
      <c r="K62" s="42"/>
      <c r="L62" s="42"/>
      <c r="M62" s="42"/>
      <c r="N62" s="42"/>
      <c r="O62" s="42"/>
      <c r="P62" s="42"/>
      <c r="Q62" s="42"/>
      <c r="R62" s="42"/>
      <c r="S62" s="37"/>
      <c r="T62" s="37"/>
      <c r="U62" s="37"/>
      <c r="V62" s="37"/>
      <c r="W62" s="37"/>
      <c r="X62" s="37">
        <f>Debt_Qtr!AO62</f>
        <v>4.5738000000000003</v>
      </c>
      <c r="Y62" s="37">
        <f>Debt_Qtr!AT62</f>
        <v>6.8029500000000009</v>
      </c>
      <c r="Z62" s="37">
        <f>Debt_Qtr!AY62</f>
        <v>0</v>
      </c>
      <c r="AA62" s="37">
        <f>Debt_Qtr!BD62</f>
        <v>0</v>
      </c>
      <c r="AB62" s="37">
        <f>Debt_Qtr!BI62</f>
        <v>0</v>
      </c>
      <c r="AC62" s="21">
        <f t="shared" si="28"/>
        <v>0</v>
      </c>
      <c r="AD62" s="21">
        <f t="shared" si="28"/>
        <v>0</v>
      </c>
      <c r="AE62" s="21">
        <f t="shared" si="28"/>
        <v>0</v>
      </c>
      <c r="AF62" s="21">
        <f t="shared" si="28"/>
        <v>0</v>
      </c>
    </row>
    <row r="63" spans="1:32" s="24" customFormat="1">
      <c r="A63" s="3" t="str">
        <f t="shared" si="27"/>
        <v>Senior unsecured (2025)</v>
      </c>
      <c r="B63" s="42"/>
      <c r="C63" s="42"/>
      <c r="D63" s="42"/>
      <c r="E63" s="42"/>
      <c r="F63" s="42"/>
      <c r="G63" s="42"/>
      <c r="H63" s="42"/>
      <c r="I63" s="42"/>
      <c r="J63" s="42"/>
      <c r="K63" s="42"/>
      <c r="L63" s="42"/>
      <c r="M63" s="42"/>
      <c r="N63" s="42"/>
      <c r="O63" s="42"/>
      <c r="P63" s="42"/>
      <c r="Q63" s="42"/>
      <c r="R63" s="42"/>
      <c r="S63" s="37"/>
      <c r="T63" s="37"/>
      <c r="U63" s="37"/>
      <c r="V63" s="37"/>
      <c r="W63" s="37"/>
      <c r="X63" s="37"/>
      <c r="Y63" s="37">
        <f>Debt_Qtr!AT63</f>
        <v>10.4139</v>
      </c>
      <c r="Z63" s="37">
        <f>Debt_Qtr!AY63</f>
        <v>57.833500000000008</v>
      </c>
      <c r="AA63" s="37">
        <f>Debt_Qtr!BD63</f>
        <v>74.820875000000001</v>
      </c>
      <c r="AB63" s="37">
        <f>Debt_Qtr!BI63</f>
        <v>70.900000000000006</v>
      </c>
      <c r="AC63" s="21">
        <f t="shared" ref="AC63:AF65" si="29">+AVERAGE(AC10,AB10)*AC39</f>
        <v>71.44</v>
      </c>
      <c r="AD63" s="21">
        <f t="shared" si="29"/>
        <v>71.44</v>
      </c>
      <c r="AE63" s="21">
        <f t="shared" si="29"/>
        <v>71.44</v>
      </c>
      <c r="AF63" s="21">
        <f t="shared" si="29"/>
        <v>71.44</v>
      </c>
    </row>
    <row r="64" spans="1:32" s="24" customFormat="1">
      <c r="A64" s="3" t="str">
        <f t="shared" si="27"/>
        <v>Subordinated notes and other (2025)</v>
      </c>
      <c r="B64" s="42"/>
      <c r="C64" s="42"/>
      <c r="D64" s="42"/>
      <c r="E64" s="42"/>
      <c r="F64" s="42"/>
      <c r="G64" s="42"/>
      <c r="H64" s="42"/>
      <c r="I64" s="42"/>
      <c r="J64" s="42"/>
      <c r="K64" s="42"/>
      <c r="L64" s="42"/>
      <c r="M64" s="42"/>
      <c r="N64" s="42"/>
      <c r="O64" s="42"/>
      <c r="P64" s="42"/>
      <c r="Q64" s="42"/>
      <c r="R64" s="42"/>
      <c r="S64" s="37"/>
      <c r="T64" s="37"/>
      <c r="U64" s="37"/>
      <c r="V64" s="37"/>
      <c r="W64" s="37"/>
      <c r="X64" s="37"/>
      <c r="Y64" s="37">
        <f>Debt_Qtr!AT64</f>
        <v>0.33750000000000002</v>
      </c>
      <c r="Z64" s="37">
        <f>Debt_Qtr!AY64</f>
        <v>2.85</v>
      </c>
      <c r="AA64" s="37">
        <f>Debt_Qtr!BD64</f>
        <v>4.2075000000000005</v>
      </c>
      <c r="AB64" s="37">
        <f>Debt_Qtr!BI64</f>
        <v>8.3634374999999999</v>
      </c>
      <c r="AC64" s="21">
        <f t="shared" si="29"/>
        <v>8.6212499999999999</v>
      </c>
      <c r="AD64" s="21">
        <f t="shared" si="29"/>
        <v>8.6212499999999999</v>
      </c>
      <c r="AE64" s="21">
        <f t="shared" si="29"/>
        <v>8.6212499999999999</v>
      </c>
      <c r="AF64" s="21">
        <f t="shared" si="29"/>
        <v>8.6212499999999999</v>
      </c>
    </row>
    <row r="65" spans="1:32" s="24" customFormat="1">
      <c r="A65" s="3" t="str">
        <f t="shared" si="27"/>
        <v>Other</v>
      </c>
      <c r="B65" s="42"/>
      <c r="C65" s="42"/>
      <c r="D65" s="42"/>
      <c r="E65" s="42"/>
      <c r="F65" s="42"/>
      <c r="G65" s="42"/>
      <c r="H65" s="42"/>
      <c r="I65" s="42"/>
      <c r="J65" s="42"/>
      <c r="K65" s="42"/>
      <c r="L65" s="42"/>
      <c r="M65" s="42"/>
      <c r="N65" s="42"/>
      <c r="O65" s="42"/>
      <c r="P65" s="42"/>
      <c r="Q65" s="42"/>
      <c r="R65" s="42"/>
      <c r="S65" s="37"/>
      <c r="T65" s="37"/>
      <c r="U65" s="37"/>
      <c r="V65" s="37"/>
      <c r="W65" s="37"/>
      <c r="X65" s="37">
        <f>Debt_Qtr!AO65</f>
        <v>0.47739999999999999</v>
      </c>
      <c r="Y65" s="37">
        <f>Debt_Qtr!AT65</f>
        <v>2.3869750000000001</v>
      </c>
      <c r="Z65" s="37">
        <f>Debt_Qtr!AY65</f>
        <v>0.69375000000000009</v>
      </c>
      <c r="AA65" s="37">
        <f>Debt_Qtr!BD65</f>
        <v>0.68125000000000002</v>
      </c>
      <c r="AB65" s="37">
        <f>Debt_Qtr!BI65</f>
        <v>0.5625</v>
      </c>
      <c r="AC65" s="21">
        <f t="shared" si="29"/>
        <v>0.25</v>
      </c>
      <c r="AD65" s="21">
        <f t="shared" si="29"/>
        <v>0.25</v>
      </c>
      <c r="AE65" s="21">
        <f t="shared" si="29"/>
        <v>0.25</v>
      </c>
      <c r="AF65" s="21">
        <f t="shared" si="29"/>
        <v>0.25</v>
      </c>
    </row>
    <row r="66" spans="1:32" s="24" customFormat="1">
      <c r="A66" s="10" t="s">
        <v>327</v>
      </c>
      <c r="B66" s="42"/>
      <c r="C66" s="42"/>
      <c r="D66" s="42"/>
      <c r="E66" s="42"/>
      <c r="F66" s="42"/>
      <c r="G66" s="42"/>
      <c r="H66" s="42"/>
      <c r="I66" s="42"/>
      <c r="J66" s="42"/>
      <c r="K66" s="42"/>
      <c r="L66" s="42"/>
      <c r="M66" s="42"/>
      <c r="N66" s="42"/>
      <c r="O66" s="42"/>
      <c r="P66" s="42"/>
      <c r="Q66" s="42"/>
      <c r="R66" s="42"/>
      <c r="S66" s="37"/>
      <c r="T66" s="37"/>
      <c r="U66" s="37"/>
      <c r="V66" s="37"/>
      <c r="W66" s="37"/>
      <c r="X66" s="37">
        <f>Debt_Qtr!AO66</f>
        <v>13.67975</v>
      </c>
      <c r="Y66" s="37">
        <f>Debt_Qtr!AT66</f>
        <v>35.732474999999994</v>
      </c>
      <c r="Z66" s="37">
        <f>Debt_Qtr!AY66</f>
        <v>61.377250000000011</v>
      </c>
      <c r="AA66" s="37">
        <f>Debt_Qtr!BD66</f>
        <v>79.709625000000003</v>
      </c>
      <c r="AB66" s="37">
        <f>Debt_Qtr!BI66</f>
        <v>79.825937500000009</v>
      </c>
      <c r="AC66" s="21">
        <f>SUM(AC60:AC65)</f>
        <v>80.311250000000001</v>
      </c>
      <c r="AD66" s="21">
        <f>SUM(AD60:AD65)</f>
        <v>80.311250000000001</v>
      </c>
      <c r="AE66" s="21">
        <f>SUM(AE60:AE65)</f>
        <v>80.311250000000001</v>
      </c>
      <c r="AF66" s="21">
        <f>SUM(AF60:AF65)</f>
        <v>80.311250000000001</v>
      </c>
    </row>
    <row r="67" spans="1:32" s="24" customFormat="1">
      <c r="A67" s="3"/>
      <c r="B67" s="42"/>
      <c r="C67" s="42"/>
      <c r="D67" s="42"/>
      <c r="E67" s="42"/>
      <c r="F67" s="42"/>
      <c r="G67" s="42"/>
      <c r="H67" s="42"/>
      <c r="I67" s="42"/>
      <c r="J67" s="42"/>
      <c r="K67" s="42"/>
      <c r="L67" s="42"/>
      <c r="M67" s="42"/>
      <c r="N67" s="42"/>
      <c r="O67" s="42"/>
      <c r="P67" s="42"/>
      <c r="Q67" s="42"/>
      <c r="R67" s="42"/>
      <c r="S67" s="37"/>
      <c r="T67" s="37"/>
      <c r="U67" s="37"/>
      <c r="V67" s="37"/>
      <c r="W67" s="37"/>
      <c r="X67" s="37"/>
      <c r="Y67" s="37"/>
      <c r="Z67" s="37"/>
      <c r="AA67" s="37"/>
      <c r="AB67" s="37"/>
      <c r="AC67" s="21"/>
      <c r="AD67" s="21"/>
      <c r="AE67" s="21"/>
      <c r="AF67" s="21"/>
    </row>
    <row r="68" spans="1:32" s="24" customFormat="1">
      <c r="A68" s="335" t="str">
        <f t="shared" ref="A68:A74" si="30">+A44</f>
        <v>Long-Term</v>
      </c>
      <c r="B68" s="42"/>
      <c r="C68" s="42"/>
      <c r="D68" s="42"/>
      <c r="E68" s="42"/>
      <c r="F68" s="42"/>
      <c r="G68" s="42"/>
      <c r="H68" s="42"/>
      <c r="I68" s="42"/>
      <c r="J68" s="42"/>
      <c r="K68" s="42"/>
      <c r="L68" s="42"/>
      <c r="M68" s="42"/>
      <c r="N68" s="42"/>
      <c r="O68" s="42"/>
      <c r="P68" s="42"/>
      <c r="Q68" s="42"/>
      <c r="R68" s="42"/>
      <c r="S68" s="37"/>
      <c r="T68" s="37"/>
      <c r="U68" s="37"/>
      <c r="V68" s="37"/>
      <c r="W68" s="37"/>
      <c r="X68" s="37"/>
      <c r="Y68" s="37"/>
      <c r="Z68" s="37"/>
      <c r="AA68" s="37"/>
      <c r="AB68" s="37"/>
      <c r="AC68" s="21"/>
      <c r="AD68" s="21"/>
      <c r="AE68" s="21"/>
      <c r="AF68" s="21"/>
    </row>
    <row r="69" spans="1:32" s="24" customFormat="1">
      <c r="A69" s="3" t="str">
        <f t="shared" si="30"/>
        <v>Senior notes issued by GE</v>
      </c>
      <c r="B69" s="42"/>
      <c r="C69" s="42"/>
      <c r="D69" s="42"/>
      <c r="E69" s="42"/>
      <c r="F69" s="42"/>
      <c r="G69" s="42"/>
      <c r="H69" s="42"/>
      <c r="I69" s="42"/>
      <c r="J69" s="42"/>
      <c r="K69" s="42"/>
      <c r="L69" s="42"/>
      <c r="M69" s="42"/>
      <c r="N69" s="42"/>
      <c r="O69" s="42"/>
      <c r="P69" s="42"/>
      <c r="Q69" s="42"/>
      <c r="R69" s="42"/>
      <c r="S69" s="37"/>
      <c r="T69" s="37"/>
      <c r="U69" s="37"/>
      <c r="V69" s="37"/>
      <c r="W69" s="37"/>
      <c r="X69" s="37">
        <f>Debt_Qtr!AO69</f>
        <v>153.50812500000001</v>
      </c>
      <c r="Y69" s="37">
        <f ca="1">Debt_Qtr!AT69</f>
        <v>242.0896875</v>
      </c>
      <c r="Z69" s="37">
        <f ca="1">Debt_Qtr!AY69</f>
        <v>0</v>
      </c>
      <c r="AA69" s="37">
        <f ca="1">Debt_Qtr!BD69</f>
        <v>0</v>
      </c>
      <c r="AB69" s="37">
        <f ca="1">Debt_Qtr!BI69</f>
        <v>0</v>
      </c>
      <c r="AC69" s="21">
        <f t="shared" ref="AC69:AF71" ca="1" si="31">+AVERAGE(AC16,AB16)*AC45</f>
        <v>0</v>
      </c>
      <c r="AD69" s="21">
        <f t="shared" ca="1" si="31"/>
        <v>0</v>
      </c>
      <c r="AE69" s="21">
        <f t="shared" ca="1" si="31"/>
        <v>0</v>
      </c>
      <c r="AF69" s="21">
        <f t="shared" ca="1" si="31"/>
        <v>0</v>
      </c>
    </row>
    <row r="70" spans="1:32" s="24" customFormat="1">
      <c r="A70" s="3" t="str">
        <f t="shared" si="30"/>
        <v>Senior and subordinated notes assumed by GE</v>
      </c>
      <c r="B70" s="42"/>
      <c r="C70" s="42"/>
      <c r="D70" s="42"/>
      <c r="E70" s="42"/>
      <c r="F70" s="42"/>
      <c r="G70" s="42"/>
      <c r="H70" s="42"/>
      <c r="I70" s="42"/>
      <c r="J70" s="42"/>
      <c r="K70" s="42"/>
      <c r="L70" s="42"/>
      <c r="M70" s="42"/>
      <c r="N70" s="42"/>
      <c r="O70" s="42"/>
      <c r="P70" s="42"/>
      <c r="Q70" s="42"/>
      <c r="R70" s="42"/>
      <c r="S70" s="37"/>
      <c r="T70" s="37"/>
      <c r="U70" s="37"/>
      <c r="V70" s="37"/>
      <c r="W70" s="37"/>
      <c r="X70" s="37">
        <f>Debt_Qtr!AO70</f>
        <v>98.980650000000011</v>
      </c>
      <c r="Y70" s="37">
        <f ca="1">Debt_Qtr!AT70</f>
        <v>349.52910000000008</v>
      </c>
      <c r="Z70" s="37">
        <f ca="1">Debt_Qtr!AY70</f>
        <v>0</v>
      </c>
      <c r="AA70" s="37">
        <f ca="1">Debt_Qtr!BD70</f>
        <v>0</v>
      </c>
      <c r="AB70" s="37">
        <f ca="1">Debt_Qtr!BI70</f>
        <v>0</v>
      </c>
      <c r="AC70" s="21">
        <f t="shared" ca="1" si="31"/>
        <v>0</v>
      </c>
      <c r="AD70" s="21">
        <f t="shared" ca="1" si="31"/>
        <v>0</v>
      </c>
      <c r="AE70" s="21">
        <f t="shared" ca="1" si="31"/>
        <v>0</v>
      </c>
      <c r="AF70" s="21">
        <f t="shared" ca="1" si="31"/>
        <v>0</v>
      </c>
    </row>
    <row r="71" spans="1:32" s="24" customFormat="1">
      <c r="A71" s="3" t="str">
        <f t="shared" si="30"/>
        <v>Senior notes issued by GE Capital</v>
      </c>
      <c r="B71" s="42"/>
      <c r="C71" s="42"/>
      <c r="D71" s="42"/>
      <c r="E71" s="42"/>
      <c r="F71" s="42"/>
      <c r="G71" s="42"/>
      <c r="H71" s="42"/>
      <c r="I71" s="42"/>
      <c r="J71" s="42"/>
      <c r="K71" s="42"/>
      <c r="L71" s="42"/>
      <c r="M71" s="42"/>
      <c r="N71" s="42"/>
      <c r="O71" s="42"/>
      <c r="P71" s="42"/>
      <c r="Q71" s="42"/>
      <c r="R71" s="42"/>
      <c r="S71" s="37"/>
      <c r="T71" s="37"/>
      <c r="U71" s="37"/>
      <c r="V71" s="37"/>
      <c r="W71" s="37"/>
      <c r="X71" s="37">
        <f>Debt_Qtr!AO71</f>
        <v>62.103875000000002</v>
      </c>
      <c r="Y71" s="37">
        <f ca="1">Debt_Qtr!AT71</f>
        <v>205.07906249999999</v>
      </c>
      <c r="Z71" s="37">
        <f ca="1">Debt_Qtr!AY71</f>
        <v>0</v>
      </c>
      <c r="AA71" s="37">
        <f ca="1">Debt_Qtr!BD71</f>
        <v>0</v>
      </c>
      <c r="AB71" s="37">
        <f ca="1">Debt_Qtr!BI71</f>
        <v>0</v>
      </c>
      <c r="AC71" s="21">
        <f t="shared" ca="1" si="31"/>
        <v>0</v>
      </c>
      <c r="AD71" s="21">
        <f t="shared" ca="1" si="31"/>
        <v>0</v>
      </c>
      <c r="AE71" s="21">
        <f t="shared" ca="1" si="31"/>
        <v>0</v>
      </c>
      <c r="AF71" s="21">
        <f t="shared" ca="1" si="31"/>
        <v>0</v>
      </c>
    </row>
    <row r="72" spans="1:32" s="24" customFormat="1">
      <c r="A72" s="3" t="str">
        <f t="shared" si="30"/>
        <v>Senior unsecured (2026 - 2055)</v>
      </c>
      <c r="B72" s="42"/>
      <c r="C72" s="42"/>
      <c r="D72" s="42"/>
      <c r="E72" s="42"/>
      <c r="F72" s="42"/>
      <c r="G72" s="42"/>
      <c r="H72" s="42"/>
      <c r="I72" s="42"/>
      <c r="J72" s="42"/>
      <c r="K72" s="42"/>
      <c r="L72" s="42"/>
      <c r="M72" s="42"/>
      <c r="N72" s="42"/>
      <c r="O72" s="42"/>
      <c r="P72" s="42"/>
      <c r="Q72" s="42"/>
      <c r="R72" s="42"/>
      <c r="S72" s="37"/>
      <c r="T72" s="37"/>
      <c r="U72" s="37"/>
      <c r="V72" s="37"/>
      <c r="W72" s="37"/>
      <c r="X72" s="37"/>
      <c r="Y72" s="37">
        <f>Debt_Qtr!AT72</f>
        <v>174.652275</v>
      </c>
      <c r="Z72" s="37">
        <f>Debt_Qtr!AY72</f>
        <v>664.87812499999995</v>
      </c>
      <c r="AA72" s="37">
        <f>Debt_Qtr!BD72</f>
        <v>639.03508750000015</v>
      </c>
      <c r="AB72" s="37">
        <f>Debt_Qtr!BI72</f>
        <v>627.11500000000001</v>
      </c>
      <c r="AC72" s="21">
        <f t="shared" ref="AC72:AF74" si="32">+AVERAGE(AC19,AB19)*AC48</f>
        <v>609.52</v>
      </c>
      <c r="AD72" s="21">
        <f t="shared" si="32"/>
        <v>609.52</v>
      </c>
      <c r="AE72" s="21">
        <f t="shared" si="32"/>
        <v>609.52</v>
      </c>
      <c r="AF72" s="21">
        <f t="shared" si="32"/>
        <v>609.52</v>
      </c>
    </row>
    <row r="73" spans="1:32" s="24" customFormat="1">
      <c r="A73" s="3" t="str">
        <f t="shared" si="30"/>
        <v>Subordinated notes and other (2035 - 2037)</v>
      </c>
      <c r="B73" s="42"/>
      <c r="C73" s="42"/>
      <c r="D73" s="42"/>
      <c r="E73" s="42"/>
      <c r="F73" s="42"/>
      <c r="G73" s="42"/>
      <c r="H73" s="42"/>
      <c r="I73" s="42"/>
      <c r="J73" s="42"/>
      <c r="K73" s="42"/>
      <c r="L73" s="42"/>
      <c r="M73" s="42"/>
      <c r="N73" s="42"/>
      <c r="O73" s="42"/>
      <c r="P73" s="42"/>
      <c r="Q73" s="42"/>
      <c r="R73" s="42"/>
      <c r="S73" s="37"/>
      <c r="T73" s="37"/>
      <c r="U73" s="37"/>
      <c r="V73" s="37"/>
      <c r="W73" s="37"/>
      <c r="X73" s="37"/>
      <c r="Y73" s="37">
        <f>Debt_Qtr!AT73</f>
        <v>15.316725</v>
      </c>
      <c r="Z73" s="37">
        <f>Debt_Qtr!AY73</f>
        <v>61.039862499999998</v>
      </c>
      <c r="AA73" s="37">
        <f>Debt_Qtr!BD73</f>
        <v>62.564412500000003</v>
      </c>
      <c r="AB73" s="37">
        <f>Debt_Qtr!BI73</f>
        <v>62.589999999999989</v>
      </c>
      <c r="AC73" s="21">
        <f t="shared" si="32"/>
        <v>62.127999999999993</v>
      </c>
      <c r="AD73" s="21">
        <f t="shared" si="32"/>
        <v>62.127999999999993</v>
      </c>
      <c r="AE73" s="21">
        <f t="shared" si="32"/>
        <v>62.127999999999993</v>
      </c>
      <c r="AF73" s="21">
        <f t="shared" si="32"/>
        <v>62.127999999999993</v>
      </c>
    </row>
    <row r="74" spans="1:32" s="24" customFormat="1">
      <c r="A74" s="3" t="str">
        <f t="shared" si="30"/>
        <v>Other</v>
      </c>
      <c r="B74" s="42"/>
      <c r="C74" s="42"/>
      <c r="D74" s="42"/>
      <c r="E74" s="42"/>
      <c r="F74" s="42"/>
      <c r="G74" s="42"/>
      <c r="H74" s="42"/>
      <c r="I74" s="42"/>
      <c r="J74" s="42"/>
      <c r="K74" s="42"/>
      <c r="L74" s="42"/>
      <c r="M74" s="42"/>
      <c r="N74" s="42"/>
      <c r="O74" s="42"/>
      <c r="P74" s="42"/>
      <c r="Q74" s="42"/>
      <c r="R74" s="42"/>
      <c r="S74" s="37"/>
      <c r="T74" s="37"/>
      <c r="U74" s="37"/>
      <c r="V74" s="37"/>
      <c r="W74" s="37"/>
      <c r="X74" s="37">
        <f>Debt_Qtr!AO74</f>
        <v>11.530625000000001</v>
      </c>
      <c r="Y74" s="37">
        <f>Debt_Qtr!AT74</f>
        <v>39.224062500000002</v>
      </c>
      <c r="Z74" s="37">
        <f>Debt_Qtr!AY74</f>
        <v>24.362500000000004</v>
      </c>
      <c r="AA74" s="37">
        <f>Debt_Qtr!BD74</f>
        <v>25.825000000000003</v>
      </c>
      <c r="AB74" s="37">
        <f>Debt_Qtr!BI74</f>
        <v>25.862499999999997</v>
      </c>
      <c r="AC74" s="21">
        <f t="shared" si="32"/>
        <v>25.35</v>
      </c>
      <c r="AD74" s="21">
        <f t="shared" si="32"/>
        <v>25.35</v>
      </c>
      <c r="AE74" s="21">
        <f t="shared" si="32"/>
        <v>25.35</v>
      </c>
      <c r="AF74" s="21">
        <f t="shared" si="32"/>
        <v>25.35</v>
      </c>
    </row>
    <row r="75" spans="1:32" s="24" customFormat="1">
      <c r="A75" s="3" t="s">
        <v>617</v>
      </c>
      <c r="B75" s="42"/>
      <c r="C75" s="42"/>
      <c r="D75" s="42"/>
      <c r="E75" s="42"/>
      <c r="F75" s="42"/>
      <c r="G75" s="42"/>
      <c r="H75" s="42"/>
      <c r="I75" s="42"/>
      <c r="J75" s="42"/>
      <c r="K75" s="42"/>
      <c r="L75" s="42"/>
      <c r="M75" s="42"/>
      <c r="N75" s="42"/>
      <c r="O75" s="42"/>
      <c r="P75" s="42"/>
      <c r="Q75" s="42"/>
      <c r="R75" s="42"/>
      <c r="S75" s="37"/>
      <c r="T75" s="37"/>
      <c r="U75" s="37"/>
      <c r="V75" s="37"/>
      <c r="W75" s="37"/>
      <c r="X75" s="37">
        <f>Debt_Qtr!AO75</f>
        <v>0</v>
      </c>
      <c r="Y75" s="37">
        <f ca="1">Debt_Qtr!AT75</f>
        <v>-110.35586249999983</v>
      </c>
      <c r="Z75" s="37">
        <f ca="1">Debt_Qtr!AY75</f>
        <v>84.965012500000057</v>
      </c>
      <c r="AA75" s="37">
        <f ca="1">Debt_Qtr!BD75</f>
        <v>-70.843750000000227</v>
      </c>
      <c r="AB75" s="37">
        <f ca="1">Debt_Qtr!BI75</f>
        <v>65.590874999999983</v>
      </c>
      <c r="AC75" s="620">
        <v>68</v>
      </c>
      <c r="AD75" s="620">
        <v>68</v>
      </c>
      <c r="AE75" s="620">
        <v>68</v>
      </c>
      <c r="AF75" s="620">
        <v>68</v>
      </c>
    </row>
    <row r="76" spans="1:32" s="24" customFormat="1">
      <c r="A76" s="10" t="s">
        <v>326</v>
      </c>
      <c r="B76" s="42"/>
      <c r="C76" s="42"/>
      <c r="D76" s="42"/>
      <c r="E76" s="42"/>
      <c r="F76" s="42"/>
      <c r="G76" s="42"/>
      <c r="H76" s="42"/>
      <c r="I76" s="42"/>
      <c r="J76" s="42"/>
      <c r="K76" s="42"/>
      <c r="L76" s="42"/>
      <c r="M76" s="42"/>
      <c r="N76" s="42"/>
      <c r="O76" s="42"/>
      <c r="P76" s="42"/>
      <c r="Q76" s="42"/>
      <c r="R76" s="42"/>
      <c r="S76" s="37"/>
      <c r="T76" s="37"/>
      <c r="U76" s="37"/>
      <c r="V76" s="37"/>
      <c r="W76" s="37"/>
      <c r="X76" s="37">
        <f>Debt_Qtr!AO76</f>
        <v>326.12327500000004</v>
      </c>
      <c r="Y76" s="37">
        <f ca="1">Debt_Qtr!AT76</f>
        <v>915.53505000000018</v>
      </c>
      <c r="Z76" s="37">
        <f ca="1">Debt_Qtr!AY76</f>
        <v>835.24549999999999</v>
      </c>
      <c r="AA76" s="37">
        <f ca="1">Debt_Qtr!BD76</f>
        <v>656.58074999999997</v>
      </c>
      <c r="AB76" s="37">
        <f ca="1">Debt_Qtr!BI76</f>
        <v>781.15837499999998</v>
      </c>
      <c r="AC76" s="21">
        <f ca="1">SUM(AC69:AC75)</f>
        <v>764.99800000000005</v>
      </c>
      <c r="AD76" s="21">
        <f t="shared" ref="AD76:AF76" ca="1" si="33">SUM(AD69:AD75)</f>
        <v>764.99800000000005</v>
      </c>
      <c r="AE76" s="21">
        <f t="shared" ca="1" si="33"/>
        <v>764.99800000000005</v>
      </c>
      <c r="AF76" s="21">
        <f t="shared" ca="1" si="33"/>
        <v>764.99800000000005</v>
      </c>
    </row>
    <row r="77" spans="1:32" s="24" customFormat="1">
      <c r="A77" s="12"/>
      <c r="B77" s="42"/>
      <c r="C77" s="42"/>
      <c r="D77" s="42"/>
      <c r="E77" s="42"/>
      <c r="F77" s="42"/>
      <c r="G77" s="42"/>
      <c r="H77" s="42"/>
      <c r="I77" s="42"/>
      <c r="J77" s="42"/>
      <c r="K77" s="42"/>
      <c r="L77" s="42"/>
      <c r="M77" s="42"/>
      <c r="N77" s="42"/>
      <c r="O77" s="42"/>
      <c r="P77" s="42"/>
      <c r="Q77" s="42"/>
      <c r="R77" s="42"/>
      <c r="S77" s="37"/>
      <c r="T77" s="37"/>
      <c r="U77" s="37"/>
      <c r="V77" s="37"/>
      <c r="W77" s="37"/>
      <c r="X77" s="37"/>
      <c r="Y77" s="37"/>
      <c r="Z77" s="37"/>
      <c r="AA77" s="37"/>
      <c r="AB77" s="37"/>
      <c r="AC77" s="21"/>
      <c r="AD77" s="21"/>
      <c r="AE77" s="21"/>
      <c r="AF77" s="21"/>
    </row>
    <row r="78" spans="1:32" s="24" customFormat="1">
      <c r="A78" s="10" t="s">
        <v>165</v>
      </c>
      <c r="B78" s="42"/>
      <c r="C78" s="42"/>
      <c r="D78" s="42"/>
      <c r="E78" s="42"/>
      <c r="F78" s="42"/>
      <c r="G78" s="42"/>
      <c r="H78" s="42"/>
      <c r="I78" s="42"/>
      <c r="J78" s="42"/>
      <c r="K78" s="42"/>
      <c r="L78" s="42"/>
      <c r="M78" s="42"/>
      <c r="N78" s="42"/>
      <c r="O78" s="42"/>
      <c r="P78" s="42"/>
      <c r="Q78" s="42"/>
      <c r="R78" s="42"/>
      <c r="S78" s="37"/>
      <c r="T78" s="37"/>
      <c r="U78" s="37"/>
      <c r="V78" s="37"/>
      <c r="W78" s="37"/>
      <c r="X78" s="37">
        <f>Debt_Qtr!AO78</f>
        <v>339.80302500000005</v>
      </c>
      <c r="Y78" s="37">
        <f ca="1">Debt_Qtr!AT78</f>
        <v>951.26752500000021</v>
      </c>
      <c r="Z78" s="37">
        <f ca="1">Debt_Qtr!AY78</f>
        <v>896.62275</v>
      </c>
      <c r="AA78" s="37">
        <f ca="1">Debt_Qtr!BD78</f>
        <v>736.29037499999993</v>
      </c>
      <c r="AB78" s="37">
        <f ca="1">Debt_Qtr!BI78</f>
        <v>860.98431249999999</v>
      </c>
      <c r="AC78" s="21">
        <f ca="1">+AC76+AC66</f>
        <v>845.30925000000002</v>
      </c>
      <c r="AD78" s="21">
        <f ca="1">+AD76+AD66</f>
        <v>845.30925000000002</v>
      </c>
      <c r="AE78" s="21">
        <f ca="1">+AE76+AE66</f>
        <v>845.30925000000002</v>
      </c>
      <c r="AF78" s="21">
        <f ca="1">+AF76+AF66</f>
        <v>845.30925000000002</v>
      </c>
    </row>
    <row r="79" spans="1:32" s="24" customFormat="1">
      <c r="A79" s="10"/>
      <c r="B79" s="42"/>
      <c r="C79" s="42"/>
      <c r="D79" s="42"/>
      <c r="E79" s="42"/>
      <c r="F79" s="42"/>
      <c r="G79" s="42"/>
      <c r="H79" s="42"/>
      <c r="I79" s="42"/>
      <c r="J79" s="42"/>
      <c r="K79" s="42"/>
      <c r="L79" s="42"/>
      <c r="M79" s="42"/>
      <c r="N79" s="42"/>
      <c r="O79" s="42"/>
      <c r="P79" s="42"/>
      <c r="Q79" s="42"/>
      <c r="R79" s="42"/>
      <c r="S79" s="37"/>
      <c r="T79" s="37"/>
      <c r="U79" s="37"/>
      <c r="V79" s="37"/>
      <c r="W79" s="37"/>
      <c r="X79" s="37"/>
      <c r="Y79" s="37"/>
      <c r="Z79" s="37"/>
      <c r="AA79" s="37"/>
      <c r="AB79" s="37"/>
      <c r="AC79" s="21"/>
      <c r="AD79" s="21"/>
      <c r="AE79" s="21"/>
      <c r="AF79" s="21"/>
    </row>
    <row r="80" spans="1:32" s="24" customFormat="1">
      <c r="A80" s="10" t="s">
        <v>328</v>
      </c>
      <c r="B80" s="42"/>
      <c r="C80" s="42"/>
      <c r="D80" s="42"/>
      <c r="E80" s="42"/>
      <c r="F80" s="42"/>
      <c r="G80" s="42"/>
      <c r="H80" s="42"/>
      <c r="I80" s="42"/>
      <c r="J80" s="42"/>
      <c r="K80" s="42"/>
      <c r="L80" s="42"/>
      <c r="M80" s="42"/>
      <c r="N80" s="42"/>
      <c r="O80" s="42"/>
      <c r="P80" s="42"/>
      <c r="Q80" s="42"/>
      <c r="R80" s="42"/>
      <c r="S80" s="37"/>
      <c r="T80" s="37"/>
      <c r="U80" s="37"/>
      <c r="V80" s="37"/>
      <c r="W80" s="37"/>
      <c r="X80" s="37"/>
      <c r="Y80" s="37">
        <f>Debt_Qtr!AT80</f>
        <v>987</v>
      </c>
      <c r="Z80" s="37">
        <f>Debt_Qtr!AY80</f>
        <v>958</v>
      </c>
      <c r="AA80" s="37">
        <f>Debt_Qtr!BD80</f>
        <v>816</v>
      </c>
      <c r="AB80" s="37">
        <f ca="1">Debt_Qtr!BI80</f>
        <v>900.65462500000012</v>
      </c>
      <c r="AC80" s="21"/>
      <c r="AD80" s="21"/>
      <c r="AE80" s="21"/>
      <c r="AF80" s="21"/>
    </row>
    <row r="81" spans="1:32" s="24" customFormat="1">
      <c r="A81" s="10" t="s">
        <v>329</v>
      </c>
      <c r="B81" s="42"/>
      <c r="C81" s="42"/>
      <c r="D81" s="42"/>
      <c r="E81" s="42"/>
      <c r="F81" s="42"/>
      <c r="G81" s="42"/>
      <c r="H81" s="42"/>
      <c r="I81" s="42"/>
      <c r="J81" s="42"/>
      <c r="K81" s="42"/>
      <c r="L81" s="42"/>
      <c r="M81" s="42"/>
      <c r="N81" s="42"/>
      <c r="O81" s="42"/>
      <c r="P81" s="42"/>
      <c r="Q81" s="42"/>
      <c r="R81" s="42"/>
      <c r="S81" s="37"/>
      <c r="T81" s="37"/>
      <c r="U81" s="37"/>
      <c r="V81" s="37"/>
      <c r="W81" s="37"/>
      <c r="X81" s="37"/>
      <c r="Y81" s="37">
        <f ca="1">Debt_Qtr!AT81</f>
        <v>35.732474999999795</v>
      </c>
      <c r="Z81" s="37">
        <f ca="1">Debt_Qtr!AY81</f>
        <v>61.377250000000004</v>
      </c>
      <c r="AA81" s="37">
        <f ca="1">Debt_Qtr!BD81</f>
        <v>79.709625000000074</v>
      </c>
      <c r="AB81" s="37">
        <f ca="1">Debt_Qtr!BI81</f>
        <v>39.670312500000136</v>
      </c>
      <c r="AC81" s="21"/>
      <c r="AD81" s="21"/>
      <c r="AE81" s="21"/>
      <c r="AF81" s="21"/>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A1:BI83"/>
  <sheetViews>
    <sheetView showGridLines="0" workbookViewId="0">
      <pane xSplit="26" ySplit="4" topLeftCell="AA5" activePane="bottomRight" state="frozen"/>
      <selection pane="topRight" activeCell="AA1" sqref="AA1"/>
      <selection pane="bottomLeft" activeCell="A5" sqref="A5"/>
      <selection pane="bottomRight" activeCell="AB5" sqref="AB5"/>
    </sheetView>
  </sheetViews>
  <sheetFormatPr defaultRowHeight="15" outlineLevelCol="3"/>
  <cols>
    <col min="1" max="1" width="48" customWidth="1"/>
    <col min="2" max="4" width="12.140625" style="24" hidden="1" customWidth="1" outlineLevel="3"/>
    <col min="5" max="5" width="12.140625" style="87" hidden="1" customWidth="1" outlineLevel="3"/>
    <col min="6" max="6" width="12.140625" style="24" hidden="1" customWidth="1" outlineLevel="3" collapsed="1"/>
    <col min="7" max="9" width="12.140625" style="24" hidden="1" customWidth="1" outlineLevel="2"/>
    <col min="10" max="10" width="12.140625" style="87" hidden="1" customWidth="1" outlineLevel="2"/>
    <col min="11" max="11" width="12.140625" style="24" hidden="1" customWidth="1" outlineLevel="1" collapsed="1"/>
    <col min="12" max="14" width="12.140625" style="24" hidden="1" customWidth="1" outlineLevel="2"/>
    <col min="15" max="15" width="12.140625" style="87" hidden="1" customWidth="1" outlineLevel="2"/>
    <col min="16" max="16" width="12.140625" style="24" hidden="1" customWidth="1" outlineLevel="1" collapsed="1"/>
    <col min="17" max="19" width="12.140625" style="24" hidden="1" customWidth="1" outlineLevel="2"/>
    <col min="20" max="20" width="12.140625" style="87" hidden="1" customWidth="1" outlineLevel="2"/>
    <col min="21" max="21" width="12.140625" style="24" hidden="1" customWidth="1" outlineLevel="1" collapsed="1"/>
    <col min="22" max="24" width="12.140625" style="24" hidden="1" customWidth="1" outlineLevel="2"/>
    <col min="25" max="25" width="12.140625" style="87" hidden="1" customWidth="1" outlineLevel="2"/>
    <col min="26" max="26" width="12.140625" style="24" hidden="1" customWidth="1" outlineLevel="1" collapsed="1"/>
    <col min="27" max="27" width="12.140625" style="24" customWidth="1" collapsed="1"/>
    <col min="28" max="29" width="12.140625" style="24" customWidth="1"/>
    <col min="30" max="30" width="12.140625" style="87" customWidth="1"/>
    <col min="31" max="34" width="12.140625" style="24" customWidth="1"/>
    <col min="35" max="35" width="12.140625" style="87" customWidth="1"/>
    <col min="36" max="36" width="12.140625" style="24" customWidth="1" collapsed="1"/>
    <col min="37" max="41" width="12.140625" style="24" customWidth="1"/>
    <col min="42" max="43" width="12.140625" style="24" customWidth="1" outlineLevel="1"/>
    <col min="44" max="45" width="12.140625" style="420" customWidth="1" outlineLevel="1"/>
    <col min="46" max="46" width="12.140625" style="24" customWidth="1"/>
    <col min="47" max="50" width="12.140625" style="24" customWidth="1" outlineLevel="1"/>
    <col min="51" max="51" width="12.140625" style="24" customWidth="1"/>
    <col min="52" max="55" width="12.140625" style="24" customWidth="1" outlineLevel="1"/>
    <col min="56" max="56" width="12.140625" style="24" customWidth="1"/>
    <col min="57" max="59" width="10.5703125" customWidth="1" outlineLevel="1"/>
    <col min="60" max="60" width="11.5703125" customWidth="1" outlineLevel="1"/>
  </cols>
  <sheetData>
    <row r="1" spans="1:61">
      <c r="AK1" s="337"/>
      <c r="AL1" s="337"/>
      <c r="AM1" s="337">
        <f>EDATE(AN1,-3)</f>
        <v>44834</v>
      </c>
      <c r="AN1" s="337">
        <v>44925</v>
      </c>
      <c r="AP1" s="337">
        <f>EDATE(AN1,3)</f>
        <v>45015</v>
      </c>
      <c r="AQ1" s="337">
        <f>EDATE(AP1,3)</f>
        <v>45107</v>
      </c>
      <c r="AR1" s="337">
        <f>EDATE(AQ1,3)</f>
        <v>45199</v>
      </c>
      <c r="AS1" s="337">
        <f>EDATE(AR1,3)</f>
        <v>45290</v>
      </c>
      <c r="AU1" s="337">
        <f>EDATE(AS1,3)</f>
        <v>45381</v>
      </c>
      <c r="AV1" s="337">
        <f>EDATE(AU1,3)</f>
        <v>45473</v>
      </c>
      <c r="AW1" s="337">
        <f>EDATE(AV1,3)</f>
        <v>45565</v>
      </c>
      <c r="AX1" s="337">
        <f>EDATE(AW1,3)</f>
        <v>45656</v>
      </c>
      <c r="AZ1" s="337">
        <f>EDATE(AX1,3)</f>
        <v>45746</v>
      </c>
      <c r="BA1" s="337">
        <f>EDATE(AZ1,3)</f>
        <v>45838</v>
      </c>
      <c r="BB1" s="337">
        <f>EDATE(BA1,3)</f>
        <v>45930</v>
      </c>
      <c r="BC1" s="337">
        <f>EDATE(BB1,3)</f>
        <v>46021</v>
      </c>
      <c r="BE1" s="337">
        <f>EDATE(BC1,3)</f>
        <v>46111</v>
      </c>
      <c r="BF1" s="337">
        <f>EDATE(BE1,3)</f>
        <v>46203</v>
      </c>
      <c r="BG1" s="337">
        <f>EDATE(BF1,3)</f>
        <v>46295</v>
      </c>
      <c r="BH1" s="337">
        <f>EDATE(BG1,3)</f>
        <v>46386</v>
      </c>
      <c r="BI1" s="24"/>
    </row>
    <row r="2" spans="1:61">
      <c r="AR2" s="24"/>
      <c r="AS2" s="24"/>
      <c r="BE2" s="24"/>
      <c r="BF2" s="24"/>
      <c r="BG2" s="24"/>
      <c r="BH2" s="24"/>
      <c r="BI2" s="24"/>
    </row>
    <row r="3" spans="1:61">
      <c r="A3" s="13" t="s">
        <v>159</v>
      </c>
      <c r="B3" s="67"/>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c r="BA3" s="67"/>
      <c r="BB3" s="67"/>
      <c r="BC3" s="67"/>
      <c r="BD3" s="67"/>
      <c r="BE3" s="67"/>
      <c r="BF3" s="67"/>
      <c r="BG3" s="67"/>
      <c r="BH3" s="67"/>
      <c r="BI3" s="67"/>
    </row>
    <row r="4" spans="1:61">
      <c r="B4" s="93" t="str">
        <f>ProForma_IS_Qtr!B2</f>
        <v>1Q15A</v>
      </c>
      <c r="C4" s="93" t="str">
        <f>ProForma_IS_Qtr!C2</f>
        <v>2Q15A</v>
      </c>
      <c r="D4" s="93" t="str">
        <f>ProForma_IS_Qtr!D2</f>
        <v>3Q15A</v>
      </c>
      <c r="E4" s="93" t="str">
        <f>ProForma_IS_Qtr!E2</f>
        <v>4Q15A</v>
      </c>
      <c r="F4" s="94" t="str">
        <f>ProForma_IS_Qtr!F2</f>
        <v>CY2015A</v>
      </c>
      <c r="G4" s="93" t="str">
        <f>ProForma_IS_Qtr!G2</f>
        <v>1Q16A</v>
      </c>
      <c r="H4" s="93" t="str">
        <f>ProForma_IS_Qtr!H2</f>
        <v>2Q16A</v>
      </c>
      <c r="I4" s="93" t="str">
        <f>ProForma_IS_Qtr!I2</f>
        <v>3Q16A</v>
      </c>
      <c r="J4" s="93" t="str">
        <f>ProForma_IS_Qtr!J2</f>
        <v>4Q16A</v>
      </c>
      <c r="K4" s="94" t="str">
        <f>ProForma_IS_Qtr!K2</f>
        <v>CY2016A</v>
      </c>
      <c r="L4" s="93" t="str">
        <f>ProForma_IS_Qtr!L2</f>
        <v>1Q17A</v>
      </c>
      <c r="M4" s="93" t="str">
        <f>ProForma_IS_Qtr!M2</f>
        <v>2Q17A</v>
      </c>
      <c r="N4" s="93" t="str">
        <f>ProForma_IS_Qtr!N2</f>
        <v>3Q17A</v>
      </c>
      <c r="O4" s="93" t="str">
        <f>ProForma_IS_Qtr!O2</f>
        <v>4Q17A</v>
      </c>
      <c r="P4" s="94" t="str">
        <f>ProForma_IS_Qtr!P2</f>
        <v>CY2017A</v>
      </c>
      <c r="Q4" s="93" t="str">
        <f>ProForma_IS_Qtr!Q2</f>
        <v>1Q18A</v>
      </c>
      <c r="R4" s="93" t="str">
        <f>ProForma_IS_Qtr!R2</f>
        <v>2Q18A</v>
      </c>
      <c r="S4" s="93" t="str">
        <f>ProForma_IS_Qtr!S2</f>
        <v>3Q18A</v>
      </c>
      <c r="T4" s="93" t="str">
        <f>ProForma_IS_Qtr!T2</f>
        <v>4Q18A</v>
      </c>
      <c r="U4" s="94" t="str">
        <f>ProForma_IS_Qtr!U2</f>
        <v>CY2018A</v>
      </c>
      <c r="V4" s="93" t="str">
        <f>ProForma_IS_Qtr!V2</f>
        <v>1Q19A</v>
      </c>
      <c r="W4" s="93" t="str">
        <f>ProForma_IS_Qtr!W2</f>
        <v>2Q19A</v>
      </c>
      <c r="X4" s="93" t="str">
        <f>ProForma_IS_Qtr!X2</f>
        <v>3Q19A</v>
      </c>
      <c r="Y4" s="93" t="str">
        <f>ProForma_IS_Qtr!Y2</f>
        <v>4Q19A</v>
      </c>
      <c r="Z4" s="94" t="str">
        <f>ProForma_IS_Qtr!Z2</f>
        <v>CY2019A</v>
      </c>
      <c r="AA4" s="93" t="str">
        <f>ProForma_IS_Qtr!AA2</f>
        <v>1Q20A</v>
      </c>
      <c r="AB4" s="93" t="str">
        <f>ProForma_IS_Qtr!AB2</f>
        <v>2Q20A</v>
      </c>
      <c r="AC4" s="93" t="str">
        <f>ProForma_IS_Qtr!AC2</f>
        <v>3Q20A</v>
      </c>
      <c r="AD4" s="93" t="str">
        <f>ProForma_IS_Qtr!AD2</f>
        <v>4Q20A</v>
      </c>
      <c r="AE4" s="94" t="str">
        <f>ProForma_IS_Qtr!AE2</f>
        <v>CY2020A</v>
      </c>
      <c r="AF4" s="93" t="str">
        <f>ProForma_IS_Qtr!AF2</f>
        <v>1Q21A</v>
      </c>
      <c r="AG4" s="93" t="str">
        <f>ProForma_IS_Qtr!AG2</f>
        <v>2Q21A</v>
      </c>
      <c r="AH4" s="93" t="str">
        <f>ProForma_IS_Qtr!AH2</f>
        <v>3Q21A</v>
      </c>
      <c r="AI4" s="93" t="str">
        <f>ProForma_IS_Qtr!AI2</f>
        <v>4Q21A</v>
      </c>
      <c r="AJ4" s="94" t="str">
        <f>ProForma_IS_Qtr!AJ2</f>
        <v>CY2021A</v>
      </c>
      <c r="AK4" s="93" t="str">
        <f>ProForma_IS_Qtr!AK2</f>
        <v>1Q22A</v>
      </c>
      <c r="AL4" s="93" t="str">
        <f>ProForma_IS_Qtr!AL2</f>
        <v>2Q22A</v>
      </c>
      <c r="AM4" s="93" t="str">
        <f>ProForma_IS_Qtr!AM2</f>
        <v>3Q22A</v>
      </c>
      <c r="AN4" s="93" t="str">
        <f>ProForma_IS_Qtr!AN2</f>
        <v>4Q22A</v>
      </c>
      <c r="AO4" s="94" t="str">
        <f>ProForma_IS_Qtr!AO2</f>
        <v>CY2022A</v>
      </c>
      <c r="AP4" s="93" t="str">
        <f>ProForma_IS_Qtr!AP2</f>
        <v>1Q23A</v>
      </c>
      <c r="AQ4" s="93" t="str">
        <f>ProForma_IS_Qtr!AQ2</f>
        <v>2Q23A</v>
      </c>
      <c r="AR4" s="482" t="str">
        <f>ProForma_IS_Qtr!AR2</f>
        <v>3Q23A</v>
      </c>
      <c r="AS4" s="482" t="str">
        <f>ProForma_IS_Qtr!AS2</f>
        <v>4Q23</v>
      </c>
      <c r="AT4" s="94" t="str">
        <f>ProForma_IS_Qtr!AT2</f>
        <v>CY2023</v>
      </c>
      <c r="AU4" s="93" t="str">
        <f>ProForma_IS_Qtr!AU2</f>
        <v>1Q24A</v>
      </c>
      <c r="AV4" s="93" t="str">
        <f>ProForma_IS_Qtr!AV2</f>
        <v>2Q24A</v>
      </c>
      <c r="AW4" s="93" t="str">
        <f>ProForma_IS_Qtr!AW2</f>
        <v>3Q24A</v>
      </c>
      <c r="AX4" s="93" t="str">
        <f>ProForma_IS_Qtr!AX2</f>
        <v>4Q24A</v>
      </c>
      <c r="AY4" s="94" t="str">
        <f>ProForma_IS_Qtr!AY2</f>
        <v>CY2024A</v>
      </c>
      <c r="AZ4" s="93" t="str">
        <f>ProForma_IS_Qtr!AZ2</f>
        <v>1Q25A</v>
      </c>
      <c r="BA4" s="93" t="str">
        <f>ProForma_IS_Qtr!BA2</f>
        <v>2Q25A</v>
      </c>
      <c r="BB4" s="93" t="str">
        <f>ProForma_IS_Qtr!BB2</f>
        <v>3Q25A</v>
      </c>
      <c r="BC4" s="93" t="str">
        <f>ProForma_IS_Qtr!BC2</f>
        <v>4Q25A</v>
      </c>
      <c r="BD4" s="94" t="str">
        <f>ProForma_IS_Qtr!BD2</f>
        <v>CY2025A</v>
      </c>
      <c r="BE4" s="93" t="str">
        <f>ProForma_IS_Qtr!BE2</f>
        <v>1Q26A</v>
      </c>
      <c r="BF4" s="93" t="str">
        <f>ProForma_IS_Qtr!BF2</f>
        <v>2Q26A</v>
      </c>
      <c r="BG4" s="93" t="str">
        <f>ProForma_IS_Qtr!BG2</f>
        <v>3Q26E</v>
      </c>
      <c r="BH4" s="93" t="str">
        <f>ProForma_IS_Qtr!BH2</f>
        <v>4Q26E</v>
      </c>
      <c r="BI4" s="94" t="str">
        <f>ProForma_IS_Qtr!BI2</f>
        <v>CY2026E</v>
      </c>
    </row>
    <row r="5" spans="1:61">
      <c r="A5" s="6" t="s">
        <v>160</v>
      </c>
      <c r="B5" s="111"/>
      <c r="C5" s="111"/>
      <c r="D5" s="111"/>
      <c r="E5" s="111"/>
      <c r="F5" s="112"/>
      <c r="G5" s="111"/>
      <c r="H5" s="111"/>
      <c r="I5" s="111"/>
      <c r="J5" s="111"/>
      <c r="K5" s="112"/>
      <c r="L5" s="111"/>
      <c r="M5" s="111"/>
      <c r="N5" s="111"/>
      <c r="O5" s="111"/>
      <c r="P5" s="112"/>
      <c r="Q5" s="111"/>
      <c r="R5" s="111"/>
      <c r="S5" s="111"/>
      <c r="T5" s="111"/>
      <c r="U5" s="112"/>
      <c r="V5" s="111"/>
      <c r="W5" s="111"/>
      <c r="X5" s="111"/>
      <c r="Y5" s="111"/>
      <c r="Z5" s="112"/>
      <c r="AA5" s="111" t="s">
        <v>650</v>
      </c>
      <c r="AB5" s="111"/>
      <c r="AC5" s="111"/>
      <c r="AD5" s="111"/>
      <c r="AE5" s="112"/>
      <c r="AF5" s="111"/>
      <c r="AG5" s="111"/>
      <c r="AH5" s="111"/>
      <c r="AI5" s="111"/>
      <c r="AJ5" s="112"/>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row>
    <row r="6" spans="1:61" s="24" customFormat="1">
      <c r="A6" s="335" t="s">
        <v>322</v>
      </c>
      <c r="B6" s="40"/>
      <c r="C6" s="40"/>
      <c r="D6" s="40"/>
      <c r="E6" s="41"/>
      <c r="F6" s="42"/>
      <c r="G6" s="40"/>
      <c r="H6" s="40"/>
      <c r="I6" s="40"/>
      <c r="J6" s="41"/>
      <c r="K6" s="42"/>
      <c r="L6" s="40"/>
      <c r="M6" s="40"/>
      <c r="N6" s="40"/>
      <c r="O6" s="41"/>
      <c r="P6" s="42"/>
      <c r="Q6" s="40"/>
      <c r="R6" s="40"/>
      <c r="S6" s="40"/>
      <c r="T6" s="41"/>
      <c r="U6" s="42"/>
      <c r="V6" s="40"/>
      <c r="W6" s="40"/>
      <c r="X6" s="40"/>
      <c r="Y6" s="41"/>
      <c r="Z6" s="42"/>
      <c r="AA6" s="40"/>
      <c r="AB6" s="40"/>
      <c r="AC6" s="40"/>
      <c r="AD6" s="40"/>
      <c r="AE6" s="71"/>
      <c r="AF6" s="40"/>
      <c r="AG6" s="40"/>
      <c r="AH6" s="40"/>
      <c r="AI6" s="40"/>
      <c r="AJ6" s="71"/>
      <c r="AK6" s="40"/>
      <c r="AL6" s="40"/>
      <c r="AM6" s="40"/>
      <c r="AN6" s="40"/>
      <c r="AO6" s="71"/>
      <c r="AP6" s="40"/>
      <c r="AQ6" s="40"/>
      <c r="AR6" s="483"/>
      <c r="AS6" s="483"/>
      <c r="AT6" s="71"/>
      <c r="AU6" s="40"/>
      <c r="AV6" s="40"/>
      <c r="AW6" s="40"/>
      <c r="AX6" s="40"/>
      <c r="AY6" s="71"/>
      <c r="AZ6" s="40"/>
      <c r="BA6" s="40"/>
      <c r="BB6" s="40"/>
      <c r="BC6" s="40"/>
      <c r="BD6" s="71"/>
      <c r="BE6" s="40"/>
      <c r="BF6" s="40"/>
      <c r="BG6" s="40"/>
      <c r="BH6" s="40"/>
      <c r="BI6" s="71"/>
    </row>
    <row r="7" spans="1:61" s="24" customFormat="1">
      <c r="A7" s="3" t="s">
        <v>319</v>
      </c>
      <c r="B7" s="40"/>
      <c r="C7" s="40"/>
      <c r="D7" s="40"/>
      <c r="E7" s="41"/>
      <c r="F7" s="42"/>
      <c r="G7" s="40"/>
      <c r="H7" s="40"/>
      <c r="I7" s="40"/>
      <c r="J7" s="41"/>
      <c r="K7" s="42"/>
      <c r="L7" s="40"/>
      <c r="M7" s="40"/>
      <c r="N7" s="40"/>
      <c r="O7" s="41"/>
      <c r="P7" s="42"/>
      <c r="Q7" s="40"/>
      <c r="R7" s="40"/>
      <c r="S7" s="40"/>
      <c r="T7" s="41"/>
      <c r="U7" s="42"/>
      <c r="V7" s="40"/>
      <c r="W7" s="40"/>
      <c r="X7" s="40"/>
      <c r="Y7" s="41"/>
      <c r="Z7" s="42"/>
      <c r="AA7" s="40"/>
      <c r="AB7" s="40"/>
      <c r="AC7" s="40"/>
      <c r="AD7" s="40"/>
      <c r="AE7" s="71"/>
      <c r="AF7" s="40"/>
      <c r="AG7" s="40"/>
      <c r="AH7" s="40"/>
      <c r="AI7" s="40"/>
      <c r="AJ7" s="71"/>
      <c r="AK7" s="40"/>
      <c r="AL7" s="40"/>
      <c r="AM7" s="40"/>
      <c r="AN7" s="40">
        <v>473</v>
      </c>
      <c r="AO7" s="42">
        <v>473</v>
      </c>
      <c r="AP7" s="40">
        <v>609</v>
      </c>
      <c r="AQ7" s="40">
        <v>195</v>
      </c>
      <c r="AR7" s="483">
        <v>192</v>
      </c>
      <c r="AS7" s="421">
        <f t="shared" ref="AS7:AS12" si="0">AT7</f>
        <v>0</v>
      </c>
      <c r="AT7" s="42">
        <v>0</v>
      </c>
      <c r="AU7" s="40">
        <f t="shared" ref="AU7:AX9" si="1">+AT7</f>
        <v>0</v>
      </c>
      <c r="AV7" s="40">
        <f t="shared" si="1"/>
        <v>0</v>
      </c>
      <c r="AW7" s="40">
        <f t="shared" si="1"/>
        <v>0</v>
      </c>
      <c r="AX7" s="40">
        <f t="shared" si="1"/>
        <v>0</v>
      </c>
      <c r="AY7" s="71">
        <f t="shared" ref="AY7:AY12" si="2">AX7</f>
        <v>0</v>
      </c>
      <c r="AZ7" s="40">
        <f>+AY7</f>
        <v>0</v>
      </c>
      <c r="BA7" s="40">
        <f t="shared" ref="BA7:BB9" si="3">+AZ7</f>
        <v>0</v>
      </c>
      <c r="BB7" s="40">
        <f t="shared" si="3"/>
        <v>0</v>
      </c>
      <c r="BC7" s="40">
        <f t="shared" ref="BC7:BC9" si="4">+BB7</f>
        <v>0</v>
      </c>
      <c r="BD7" s="71">
        <f t="shared" ref="BD7:BD12" si="5">BC7</f>
        <v>0</v>
      </c>
      <c r="BE7" s="40">
        <f>+BD7</f>
        <v>0</v>
      </c>
      <c r="BF7" s="40">
        <f t="shared" ref="BF7:BF9" si="6">+BE7</f>
        <v>0</v>
      </c>
      <c r="BG7" s="40">
        <f t="shared" ref="BG7:BG9" si="7">+BF7</f>
        <v>0</v>
      </c>
      <c r="BH7" s="41">
        <f t="shared" ref="BH7:BH9" si="8">+BG7</f>
        <v>0</v>
      </c>
      <c r="BI7" s="71">
        <f t="shared" ref="BI7:BI9" si="9">BH7</f>
        <v>0</v>
      </c>
    </row>
    <row r="8" spans="1:61" s="24" customFormat="1">
      <c r="A8" s="3" t="s">
        <v>320</v>
      </c>
      <c r="B8" s="40"/>
      <c r="C8" s="40"/>
      <c r="D8" s="40"/>
      <c r="E8" s="41"/>
      <c r="F8" s="42"/>
      <c r="G8" s="40"/>
      <c r="H8" s="40"/>
      <c r="I8" s="40"/>
      <c r="J8" s="41"/>
      <c r="K8" s="42"/>
      <c r="L8" s="40"/>
      <c r="M8" s="40"/>
      <c r="N8" s="40"/>
      <c r="O8" s="41"/>
      <c r="P8" s="42"/>
      <c r="Q8" s="40"/>
      <c r="R8" s="40"/>
      <c r="S8" s="40"/>
      <c r="T8" s="41"/>
      <c r="U8" s="42"/>
      <c r="V8" s="40"/>
      <c r="W8" s="40"/>
      <c r="X8" s="40"/>
      <c r="Y8" s="41"/>
      <c r="Z8" s="42"/>
      <c r="AA8" s="40"/>
      <c r="AB8" s="40"/>
      <c r="AC8" s="40"/>
      <c r="AD8" s="40"/>
      <c r="AE8" s="71"/>
      <c r="AF8" s="40"/>
      <c r="AG8" s="40"/>
      <c r="AH8" s="40"/>
      <c r="AI8" s="40"/>
      <c r="AJ8" s="71"/>
      <c r="AK8" s="40"/>
      <c r="AL8" s="40"/>
      <c r="AM8" s="40"/>
      <c r="AN8" s="40">
        <v>1973</v>
      </c>
      <c r="AO8" s="42">
        <v>1973</v>
      </c>
      <c r="AP8" s="40">
        <v>947</v>
      </c>
      <c r="AQ8" s="40">
        <v>1032</v>
      </c>
      <c r="AR8" s="483">
        <v>915</v>
      </c>
      <c r="AS8" s="421">
        <f t="shared" si="0"/>
        <v>0</v>
      </c>
      <c r="AT8" s="42">
        <v>0</v>
      </c>
      <c r="AU8" s="40">
        <f t="shared" si="1"/>
        <v>0</v>
      </c>
      <c r="AV8" s="40">
        <f t="shared" si="1"/>
        <v>0</v>
      </c>
      <c r="AW8" s="40">
        <f t="shared" si="1"/>
        <v>0</v>
      </c>
      <c r="AX8" s="40">
        <f t="shared" si="1"/>
        <v>0</v>
      </c>
      <c r="AY8" s="71">
        <f t="shared" si="2"/>
        <v>0</v>
      </c>
      <c r="AZ8" s="40">
        <f>+AY8</f>
        <v>0</v>
      </c>
      <c r="BA8" s="40">
        <f t="shared" si="3"/>
        <v>0</v>
      </c>
      <c r="BB8" s="40">
        <f t="shared" si="3"/>
        <v>0</v>
      </c>
      <c r="BC8" s="40">
        <f t="shared" si="4"/>
        <v>0</v>
      </c>
      <c r="BD8" s="71">
        <f t="shared" si="5"/>
        <v>0</v>
      </c>
      <c r="BE8" s="40">
        <f>+BD8</f>
        <v>0</v>
      </c>
      <c r="BF8" s="40">
        <f t="shared" si="6"/>
        <v>0</v>
      </c>
      <c r="BG8" s="40">
        <f t="shared" si="7"/>
        <v>0</v>
      </c>
      <c r="BH8" s="41">
        <f t="shared" si="8"/>
        <v>0</v>
      </c>
      <c r="BI8" s="71">
        <f t="shared" si="9"/>
        <v>0</v>
      </c>
    </row>
    <row r="9" spans="1:61" s="24" customFormat="1">
      <c r="A9" s="3" t="s">
        <v>413</v>
      </c>
      <c r="B9" s="40"/>
      <c r="C9" s="40"/>
      <c r="D9" s="40"/>
      <c r="E9" s="41"/>
      <c r="F9" s="42"/>
      <c r="G9" s="40"/>
      <c r="H9" s="40"/>
      <c r="I9" s="40"/>
      <c r="J9" s="41"/>
      <c r="K9" s="42"/>
      <c r="L9" s="40"/>
      <c r="M9" s="40"/>
      <c r="N9" s="40"/>
      <c r="O9" s="41"/>
      <c r="P9" s="42"/>
      <c r="Q9" s="40"/>
      <c r="R9" s="40"/>
      <c r="S9" s="40"/>
      <c r="T9" s="41"/>
      <c r="U9" s="42"/>
      <c r="V9" s="40"/>
      <c r="W9" s="40"/>
      <c r="X9" s="40"/>
      <c r="Y9" s="41"/>
      <c r="Z9" s="42"/>
      <c r="AA9" s="40"/>
      <c r="AB9" s="40"/>
      <c r="AC9" s="40"/>
      <c r="AD9" s="40"/>
      <c r="AE9" s="71"/>
      <c r="AF9" s="40"/>
      <c r="AG9" s="40"/>
      <c r="AH9" s="40"/>
      <c r="AI9" s="40"/>
      <c r="AJ9" s="71"/>
      <c r="AK9" s="40"/>
      <c r="AL9" s="40"/>
      <c r="AM9" s="40"/>
      <c r="AN9" s="40">
        <v>1188</v>
      </c>
      <c r="AO9" s="42">
        <v>1188</v>
      </c>
      <c r="AP9" s="40">
        <v>592</v>
      </c>
      <c r="AQ9" s="40">
        <v>528</v>
      </c>
      <c r="AR9" s="483">
        <v>106</v>
      </c>
      <c r="AS9" s="421">
        <f t="shared" si="0"/>
        <v>0</v>
      </c>
      <c r="AT9" s="42">
        <v>0</v>
      </c>
      <c r="AU9" s="40">
        <f t="shared" si="1"/>
        <v>0</v>
      </c>
      <c r="AV9" s="40">
        <f t="shared" si="1"/>
        <v>0</v>
      </c>
      <c r="AW9" s="40">
        <f t="shared" si="1"/>
        <v>0</v>
      </c>
      <c r="AX9" s="40">
        <f t="shared" si="1"/>
        <v>0</v>
      </c>
      <c r="AY9" s="71">
        <f t="shared" si="2"/>
        <v>0</v>
      </c>
      <c r="AZ9" s="40">
        <f>+AY9</f>
        <v>0</v>
      </c>
      <c r="BA9" s="40">
        <f t="shared" si="3"/>
        <v>0</v>
      </c>
      <c r="BB9" s="40">
        <f t="shared" si="3"/>
        <v>0</v>
      </c>
      <c r="BC9" s="40">
        <f t="shared" si="4"/>
        <v>0</v>
      </c>
      <c r="BD9" s="71">
        <f t="shared" si="5"/>
        <v>0</v>
      </c>
      <c r="BE9" s="40">
        <f>+BD9</f>
        <v>0</v>
      </c>
      <c r="BF9" s="40">
        <f t="shared" si="6"/>
        <v>0</v>
      </c>
      <c r="BG9" s="40">
        <f t="shared" si="7"/>
        <v>0</v>
      </c>
      <c r="BH9" s="41">
        <f t="shared" si="8"/>
        <v>0</v>
      </c>
      <c r="BI9" s="71">
        <f t="shared" si="9"/>
        <v>0</v>
      </c>
    </row>
    <row r="10" spans="1:61" s="24" customFormat="1">
      <c r="A10" s="3" t="s">
        <v>603</v>
      </c>
      <c r="B10" s="40"/>
      <c r="C10" s="40"/>
      <c r="D10" s="40"/>
      <c r="E10" s="41"/>
      <c r="F10" s="42"/>
      <c r="G10" s="40"/>
      <c r="H10" s="40"/>
      <c r="I10" s="40"/>
      <c r="J10" s="41"/>
      <c r="K10" s="42"/>
      <c r="L10" s="40"/>
      <c r="M10" s="40"/>
      <c r="N10" s="40"/>
      <c r="O10" s="41"/>
      <c r="P10" s="42"/>
      <c r="Q10" s="40"/>
      <c r="R10" s="40"/>
      <c r="S10" s="40"/>
      <c r="T10" s="41"/>
      <c r="U10" s="42"/>
      <c r="V10" s="40"/>
      <c r="W10" s="40"/>
      <c r="X10" s="40"/>
      <c r="Y10" s="41"/>
      <c r="Z10" s="42"/>
      <c r="AA10" s="40"/>
      <c r="AB10" s="40"/>
      <c r="AC10" s="40"/>
      <c r="AD10" s="40"/>
      <c r="AE10" s="71"/>
      <c r="AF10" s="40"/>
      <c r="AG10" s="40"/>
      <c r="AH10" s="40"/>
      <c r="AI10" s="40"/>
      <c r="AJ10" s="71"/>
      <c r="AK10" s="40"/>
      <c r="AL10" s="40"/>
      <c r="AM10" s="40"/>
      <c r="AN10" s="40"/>
      <c r="AO10" s="42"/>
      <c r="AP10" s="40"/>
      <c r="AQ10" s="40"/>
      <c r="AR10" s="483"/>
      <c r="AS10" s="421">
        <f t="shared" si="0"/>
        <v>1044</v>
      </c>
      <c r="AT10" s="42">
        <v>1044</v>
      </c>
      <c r="AU10" s="40">
        <f>+AT10</f>
        <v>1044</v>
      </c>
      <c r="AV10" s="40">
        <v>1630</v>
      </c>
      <c r="AW10" s="40">
        <v>1608</v>
      </c>
      <c r="AX10" s="40">
        <v>1952</v>
      </c>
      <c r="AY10" s="71">
        <f t="shared" si="2"/>
        <v>1952</v>
      </c>
      <c r="AZ10" s="40">
        <v>2010</v>
      </c>
      <c r="BA10" s="40">
        <v>1817</v>
      </c>
      <c r="BB10" s="40">
        <v>1884</v>
      </c>
      <c r="BC10" s="40">
        <v>1504</v>
      </c>
      <c r="BD10" s="71">
        <f t="shared" si="5"/>
        <v>1504</v>
      </c>
      <c r="BE10" s="40">
        <v>1873</v>
      </c>
      <c r="BF10" s="40">
        <v>1786</v>
      </c>
      <c r="BG10" s="41">
        <f t="shared" ref="BG10:BH10" si="10">BF10</f>
        <v>1786</v>
      </c>
      <c r="BH10" s="41">
        <f t="shared" si="10"/>
        <v>1786</v>
      </c>
      <c r="BI10" s="71">
        <f>BH10</f>
        <v>1786</v>
      </c>
    </row>
    <row r="11" spans="1:61" s="24" customFormat="1">
      <c r="A11" s="3" t="s">
        <v>604</v>
      </c>
      <c r="B11" s="40"/>
      <c r="C11" s="40"/>
      <c r="D11" s="40"/>
      <c r="E11" s="41"/>
      <c r="F11" s="42"/>
      <c r="G11" s="40"/>
      <c r="H11" s="40"/>
      <c r="I11" s="40"/>
      <c r="J11" s="41"/>
      <c r="K11" s="42"/>
      <c r="L11" s="40"/>
      <c r="M11" s="40"/>
      <c r="N11" s="40"/>
      <c r="O11" s="41"/>
      <c r="P11" s="42"/>
      <c r="Q11" s="40"/>
      <c r="R11" s="40"/>
      <c r="S11" s="40"/>
      <c r="T11" s="41"/>
      <c r="U11" s="42"/>
      <c r="V11" s="40"/>
      <c r="W11" s="40"/>
      <c r="X11" s="40"/>
      <c r="Y11" s="41"/>
      <c r="Z11" s="42"/>
      <c r="AA11" s="40"/>
      <c r="AB11" s="40"/>
      <c r="AC11" s="40"/>
      <c r="AD11" s="40"/>
      <c r="AE11" s="71"/>
      <c r="AF11" s="40"/>
      <c r="AG11" s="40"/>
      <c r="AH11" s="40"/>
      <c r="AI11" s="40"/>
      <c r="AJ11" s="71"/>
      <c r="AK11" s="40"/>
      <c r="AL11" s="40"/>
      <c r="AM11" s="40"/>
      <c r="AN11" s="40"/>
      <c r="AO11" s="42"/>
      <c r="AP11" s="40"/>
      <c r="AQ11" s="40"/>
      <c r="AR11" s="483"/>
      <c r="AS11" s="421">
        <f t="shared" si="0"/>
        <v>27</v>
      </c>
      <c r="AT11" s="42">
        <v>27</v>
      </c>
      <c r="AU11" s="40">
        <f>+AT11</f>
        <v>27</v>
      </c>
      <c r="AV11" s="479">
        <f>71-1</f>
        <v>70</v>
      </c>
      <c r="AW11" s="40">
        <f>74</f>
        <v>74</v>
      </c>
      <c r="AX11" s="40">
        <v>87</v>
      </c>
      <c r="AY11" s="71">
        <f t="shared" si="2"/>
        <v>87</v>
      </c>
      <c r="AZ11" s="40">
        <v>74</v>
      </c>
      <c r="BA11" s="40">
        <v>47</v>
      </c>
      <c r="BB11" s="40">
        <v>165</v>
      </c>
      <c r="BC11" s="40">
        <v>157</v>
      </c>
      <c r="BD11" s="71">
        <f t="shared" si="5"/>
        <v>157</v>
      </c>
      <c r="BE11" s="40">
        <v>210</v>
      </c>
      <c r="BF11" s="40">
        <v>209</v>
      </c>
      <c r="BG11" s="41">
        <f t="shared" ref="BG11:BH11" si="11">BF11</f>
        <v>209</v>
      </c>
      <c r="BH11" s="41">
        <f t="shared" si="11"/>
        <v>209</v>
      </c>
      <c r="BI11" s="71">
        <f>BH11</f>
        <v>209</v>
      </c>
    </row>
    <row r="12" spans="1:61" s="24" customFormat="1">
      <c r="A12" s="3" t="s">
        <v>314</v>
      </c>
      <c r="B12" s="40"/>
      <c r="C12" s="40"/>
      <c r="D12" s="40"/>
      <c r="E12" s="41"/>
      <c r="F12" s="42"/>
      <c r="G12" s="40"/>
      <c r="H12" s="40"/>
      <c r="I12" s="40"/>
      <c r="J12" s="41"/>
      <c r="K12" s="42"/>
      <c r="L12" s="40"/>
      <c r="M12" s="40"/>
      <c r="N12" s="40"/>
      <c r="O12" s="41"/>
      <c r="P12" s="42"/>
      <c r="Q12" s="40"/>
      <c r="R12" s="40"/>
      <c r="S12" s="40"/>
      <c r="T12" s="41"/>
      <c r="U12" s="42"/>
      <c r="V12" s="40"/>
      <c r="W12" s="40"/>
      <c r="X12" s="40"/>
      <c r="Y12" s="41"/>
      <c r="Z12" s="42"/>
      <c r="AA12" s="40"/>
      <c r="AB12" s="40"/>
      <c r="AC12" s="40"/>
      <c r="AD12" s="40"/>
      <c r="AE12" s="71"/>
      <c r="AF12" s="40"/>
      <c r="AG12" s="40"/>
      <c r="AH12" s="40"/>
      <c r="AI12" s="40"/>
      <c r="AJ12" s="71"/>
      <c r="AK12" s="40"/>
      <c r="AL12" s="40"/>
      <c r="AM12" s="40"/>
      <c r="AN12" s="40">
        <v>124</v>
      </c>
      <c r="AO12" s="42">
        <v>124</v>
      </c>
      <c r="AP12" s="40">
        <v>114</v>
      </c>
      <c r="AQ12" s="40">
        <v>127</v>
      </c>
      <c r="AR12" s="483">
        <v>121</v>
      </c>
      <c r="AS12" s="421">
        <f t="shared" si="0"/>
        <v>37</v>
      </c>
      <c r="AT12" s="42">
        <v>37</v>
      </c>
      <c r="AU12" s="40">
        <f>+AT12</f>
        <v>37</v>
      </c>
      <c r="AV12" s="40">
        <v>0</v>
      </c>
      <c r="AW12" s="40">
        <v>0</v>
      </c>
      <c r="AX12" s="40">
        <v>0</v>
      </c>
      <c r="AY12" s="71">
        <f t="shared" si="2"/>
        <v>0</v>
      </c>
      <c r="AZ12" s="40">
        <v>0</v>
      </c>
      <c r="BA12" s="40">
        <v>25</v>
      </c>
      <c r="BB12" s="40">
        <v>17</v>
      </c>
      <c r="BC12" s="40">
        <v>25</v>
      </c>
      <c r="BD12" s="71">
        <f t="shared" si="5"/>
        <v>25</v>
      </c>
      <c r="BE12" s="40">
        <v>20</v>
      </c>
      <c r="BF12" s="40">
        <v>5</v>
      </c>
      <c r="BG12" s="41">
        <f t="shared" ref="BG12:BH12" si="12">BF12</f>
        <v>5</v>
      </c>
      <c r="BH12" s="41">
        <f t="shared" si="12"/>
        <v>5</v>
      </c>
      <c r="BI12" s="71">
        <f t="shared" ref="BI12" si="13">BH12</f>
        <v>5</v>
      </c>
    </row>
    <row r="13" spans="1:61" s="24" customFormat="1">
      <c r="A13" s="336" t="s">
        <v>323</v>
      </c>
      <c r="B13" s="330"/>
      <c r="C13" s="330"/>
      <c r="D13" s="330"/>
      <c r="E13" s="331"/>
      <c r="F13" s="332"/>
      <c r="G13" s="330"/>
      <c r="H13" s="330"/>
      <c r="I13" s="330"/>
      <c r="J13" s="331"/>
      <c r="K13" s="332"/>
      <c r="L13" s="330"/>
      <c r="M13" s="330"/>
      <c r="N13" s="330"/>
      <c r="O13" s="331"/>
      <c r="P13" s="332"/>
      <c r="Q13" s="330"/>
      <c r="R13" s="330"/>
      <c r="S13" s="330"/>
      <c r="T13" s="331"/>
      <c r="U13" s="332"/>
      <c r="V13" s="330"/>
      <c r="W13" s="330"/>
      <c r="X13" s="330"/>
      <c r="Y13" s="331"/>
      <c r="Z13" s="332"/>
      <c r="AA13" s="330"/>
      <c r="AB13" s="330"/>
      <c r="AC13" s="330"/>
      <c r="AD13" s="330"/>
      <c r="AE13" s="333"/>
      <c r="AF13" s="330"/>
      <c r="AG13" s="330"/>
      <c r="AH13" s="330"/>
      <c r="AI13" s="330"/>
      <c r="AJ13" s="333"/>
      <c r="AK13" s="330"/>
      <c r="AL13" s="330"/>
      <c r="AM13" s="330"/>
      <c r="AN13" s="330"/>
      <c r="AO13" s="333">
        <f t="shared" ref="AO13:BA13" si="14">SUM(AO7:AO12)</f>
        <v>3758</v>
      </c>
      <c r="AP13" s="331">
        <f t="shared" si="14"/>
        <v>2262</v>
      </c>
      <c r="AQ13" s="331">
        <f t="shared" si="14"/>
        <v>1882</v>
      </c>
      <c r="AR13" s="502">
        <f t="shared" si="14"/>
        <v>1334</v>
      </c>
      <c r="AS13" s="502">
        <f t="shared" si="14"/>
        <v>1108</v>
      </c>
      <c r="AT13" s="333">
        <f t="shared" si="14"/>
        <v>1108</v>
      </c>
      <c r="AU13" s="331">
        <f t="shared" si="14"/>
        <v>1108</v>
      </c>
      <c r="AV13" s="331">
        <f t="shared" si="14"/>
        <v>1700</v>
      </c>
      <c r="AW13" s="331">
        <f t="shared" si="14"/>
        <v>1682</v>
      </c>
      <c r="AX13" s="331">
        <f t="shared" si="14"/>
        <v>2039</v>
      </c>
      <c r="AY13" s="333">
        <f t="shared" si="14"/>
        <v>2039</v>
      </c>
      <c r="AZ13" s="331">
        <f t="shared" si="14"/>
        <v>2084</v>
      </c>
      <c r="BA13" s="331">
        <f t="shared" si="14"/>
        <v>1889</v>
      </c>
      <c r="BB13" s="331">
        <f t="shared" ref="BB13" si="15">SUM(BB7:BB12)</f>
        <v>2066</v>
      </c>
      <c r="BC13" s="331">
        <f t="shared" ref="BC13:BD13" si="16">SUM(BC7:BC12)</f>
        <v>1686</v>
      </c>
      <c r="BD13" s="333">
        <f t="shared" si="16"/>
        <v>1686</v>
      </c>
      <c r="BE13" s="331">
        <f t="shared" ref="BE13:BF13" si="17">SUM(BE7:BE12)</f>
        <v>2103</v>
      </c>
      <c r="BF13" s="331">
        <f t="shared" si="17"/>
        <v>2000</v>
      </c>
      <c r="BG13" s="331">
        <f t="shared" ref="BG13" si="18">SUM(BG7:BG12)</f>
        <v>2000</v>
      </c>
      <c r="BH13" s="331">
        <f t="shared" ref="BH13:BI13" si="19">SUM(BH7:BH12)</f>
        <v>2000</v>
      </c>
      <c r="BI13" s="333">
        <f t="shared" si="19"/>
        <v>2000</v>
      </c>
    </row>
    <row r="14" spans="1:61" s="24" customFormat="1">
      <c r="A14" s="3"/>
      <c r="B14" s="40"/>
      <c r="C14" s="40"/>
      <c r="D14" s="40"/>
      <c r="E14" s="41"/>
      <c r="F14" s="42"/>
      <c r="G14" s="40"/>
      <c r="H14" s="40"/>
      <c r="I14" s="40"/>
      <c r="J14" s="41"/>
      <c r="K14" s="42"/>
      <c r="L14" s="40"/>
      <c r="M14" s="40"/>
      <c r="N14" s="40"/>
      <c r="O14" s="41"/>
      <c r="P14" s="42"/>
      <c r="Q14" s="40"/>
      <c r="R14" s="40"/>
      <c r="S14" s="40"/>
      <c r="T14" s="41"/>
      <c r="U14" s="42"/>
      <c r="V14" s="40"/>
      <c r="W14" s="40"/>
      <c r="X14" s="40"/>
      <c r="Y14" s="41"/>
      <c r="Z14" s="42"/>
      <c r="AA14" s="40"/>
      <c r="AB14" s="40"/>
      <c r="AC14" s="40"/>
      <c r="AD14" s="40"/>
      <c r="AE14" s="71"/>
      <c r="AF14" s="40"/>
      <c r="AG14" s="40"/>
      <c r="AH14" s="40"/>
      <c r="AI14" s="40"/>
      <c r="AJ14" s="71"/>
      <c r="AK14" s="40"/>
      <c r="AL14" s="40"/>
      <c r="AM14" s="40"/>
      <c r="AN14" s="40"/>
      <c r="AO14" s="71"/>
      <c r="AP14" s="40"/>
      <c r="AQ14" s="40"/>
      <c r="AR14" s="483"/>
      <c r="AS14" s="483"/>
      <c r="AT14" s="71"/>
      <c r="AU14" s="40"/>
      <c r="AV14" s="40"/>
      <c r="AW14" s="40"/>
      <c r="AX14" s="40"/>
      <c r="AY14" s="71"/>
      <c r="AZ14" s="40"/>
      <c r="BA14" s="40"/>
      <c r="BB14" s="40"/>
      <c r="BC14" s="40"/>
      <c r="BD14" s="71"/>
      <c r="BE14" s="40"/>
      <c r="BF14" s="40"/>
      <c r="BG14" s="40"/>
      <c r="BH14" s="40"/>
      <c r="BI14" s="71"/>
    </row>
    <row r="15" spans="1:61" s="24" customFormat="1">
      <c r="A15" s="335" t="s">
        <v>321</v>
      </c>
      <c r="B15" s="40"/>
      <c r="C15" s="40"/>
      <c r="D15" s="40"/>
      <c r="E15" s="41"/>
      <c r="F15" s="42"/>
      <c r="G15" s="40"/>
      <c r="H15" s="40"/>
      <c r="I15" s="40"/>
      <c r="J15" s="41"/>
      <c r="K15" s="42"/>
      <c r="L15" s="40"/>
      <c r="M15" s="40"/>
      <c r="N15" s="40"/>
      <c r="O15" s="41"/>
      <c r="P15" s="42"/>
      <c r="Q15" s="40"/>
      <c r="R15" s="40"/>
      <c r="S15" s="40"/>
      <c r="T15" s="41"/>
      <c r="U15" s="42"/>
      <c r="V15" s="40"/>
      <c r="W15" s="40"/>
      <c r="X15" s="40"/>
      <c r="Y15" s="41"/>
      <c r="Z15" s="42"/>
      <c r="AA15" s="40"/>
      <c r="AB15" s="40"/>
      <c r="AC15" s="40"/>
      <c r="AD15" s="40"/>
      <c r="AE15" s="71"/>
      <c r="AF15" s="40"/>
      <c r="AG15" s="40"/>
      <c r="AH15" s="40"/>
      <c r="AI15" s="40"/>
      <c r="AJ15" s="71"/>
      <c r="AK15" s="40"/>
      <c r="AL15" s="40"/>
      <c r="AM15" s="40"/>
      <c r="AN15" s="40"/>
      <c r="AO15" s="71"/>
      <c r="AP15" s="40"/>
      <c r="AQ15" s="40"/>
      <c r="AR15" s="483"/>
      <c r="AS15" s="483"/>
      <c r="AT15" s="71"/>
      <c r="AU15" s="40"/>
      <c r="AV15" s="40"/>
      <c r="AW15" s="40"/>
      <c r="AX15" s="40"/>
      <c r="AY15" s="71"/>
      <c r="AZ15" s="40"/>
      <c r="BA15" s="40"/>
      <c r="BB15" s="40"/>
      <c r="BC15" s="40"/>
      <c r="BD15" s="71"/>
      <c r="BE15" s="40"/>
      <c r="BF15" s="40"/>
      <c r="BG15" s="40"/>
      <c r="BH15" s="40"/>
      <c r="BI15" s="71"/>
    </row>
    <row r="16" spans="1:61" s="24" customFormat="1">
      <c r="A16" s="3" t="s">
        <v>319</v>
      </c>
      <c r="B16" s="40"/>
      <c r="C16" s="40"/>
      <c r="D16" s="40"/>
      <c r="E16" s="41"/>
      <c r="F16" s="42"/>
      <c r="G16" s="40"/>
      <c r="H16" s="40"/>
      <c r="I16" s="40"/>
      <c r="J16" s="41"/>
      <c r="K16" s="42"/>
      <c r="L16" s="40"/>
      <c r="M16" s="40"/>
      <c r="N16" s="40"/>
      <c r="O16" s="41"/>
      <c r="P16" s="42"/>
      <c r="Q16" s="40"/>
      <c r="R16" s="40"/>
      <c r="S16" s="40"/>
      <c r="T16" s="41"/>
      <c r="U16" s="42"/>
      <c r="V16" s="40"/>
      <c r="W16" s="40"/>
      <c r="X16" s="40"/>
      <c r="Y16" s="41"/>
      <c r="Z16" s="42"/>
      <c r="AA16" s="40"/>
      <c r="AB16" s="40"/>
      <c r="AC16" s="40"/>
      <c r="AD16" s="40"/>
      <c r="AE16" s="71"/>
      <c r="AF16" s="40"/>
      <c r="AG16" s="40"/>
      <c r="AH16" s="40"/>
      <c r="AI16" s="40"/>
      <c r="AJ16" s="71"/>
      <c r="AK16" s="40"/>
      <c r="AL16" s="40"/>
      <c r="AM16" s="40"/>
      <c r="AN16" s="40">
        <v>12927</v>
      </c>
      <c r="AO16" s="42">
        <v>12927</v>
      </c>
      <c r="AP16" s="40">
        <v>4653</v>
      </c>
      <c r="AQ16" s="40">
        <v>4683</v>
      </c>
      <c r="AR16" s="483">
        <v>4587</v>
      </c>
      <c r="AS16" s="421">
        <f t="shared" ref="AS16:AS21" si="20">AT16</f>
        <v>0</v>
      </c>
      <c r="AT16" s="42">
        <v>0</v>
      </c>
      <c r="AU16" s="40">
        <f t="shared" ref="AU16:AW18" si="21">+AT16</f>
        <v>0</v>
      </c>
      <c r="AV16" s="40">
        <f t="shared" si="21"/>
        <v>0</v>
      </c>
      <c r="AW16" s="40">
        <f t="shared" si="21"/>
        <v>0</v>
      </c>
      <c r="AX16" s="40">
        <v>0</v>
      </c>
      <c r="AY16" s="71">
        <f t="shared" ref="AY16:AY21" si="22">AX16</f>
        <v>0</v>
      </c>
      <c r="AZ16" s="40">
        <f>+AY16</f>
        <v>0</v>
      </c>
      <c r="BA16" s="40">
        <f t="shared" ref="BA16:BB18" si="23">+AZ16</f>
        <v>0</v>
      </c>
      <c r="BB16" s="40">
        <f t="shared" si="23"/>
        <v>0</v>
      </c>
      <c r="BC16" s="40">
        <v>0</v>
      </c>
      <c r="BD16" s="71">
        <f t="shared" ref="BD16:BD21" si="24">BC16</f>
        <v>0</v>
      </c>
      <c r="BE16" s="40">
        <f t="shared" ref="BE16:BH21" si="25">BD16</f>
        <v>0</v>
      </c>
      <c r="BF16" s="40">
        <v>0</v>
      </c>
      <c r="BG16" s="41">
        <f t="shared" si="25"/>
        <v>0</v>
      </c>
      <c r="BH16" s="41">
        <f t="shared" si="25"/>
        <v>0</v>
      </c>
      <c r="BI16" s="71">
        <f t="shared" ref="BI16:BI21" si="26">BH16</f>
        <v>0</v>
      </c>
    </row>
    <row r="17" spans="1:61" s="24" customFormat="1">
      <c r="A17" s="3" t="s">
        <v>320</v>
      </c>
      <c r="B17" s="40"/>
      <c r="C17" s="40"/>
      <c r="D17" s="40"/>
      <c r="E17" s="41"/>
      <c r="F17" s="42"/>
      <c r="G17" s="40"/>
      <c r="H17" s="40"/>
      <c r="I17" s="40"/>
      <c r="J17" s="41"/>
      <c r="K17" s="42"/>
      <c r="L17" s="40"/>
      <c r="M17" s="40"/>
      <c r="N17" s="40"/>
      <c r="O17" s="41"/>
      <c r="P17" s="42"/>
      <c r="Q17" s="40"/>
      <c r="R17" s="40"/>
      <c r="S17" s="40"/>
      <c r="T17" s="41"/>
      <c r="U17" s="42"/>
      <c r="V17" s="40"/>
      <c r="W17" s="40"/>
      <c r="X17" s="40"/>
      <c r="Y17" s="41"/>
      <c r="Z17" s="42"/>
      <c r="AA17" s="40"/>
      <c r="AB17" s="40"/>
      <c r="AC17" s="40"/>
      <c r="AD17" s="40"/>
      <c r="AE17" s="71"/>
      <c r="AF17" s="40"/>
      <c r="AG17" s="40"/>
      <c r="AH17" s="40"/>
      <c r="AI17" s="40"/>
      <c r="AJ17" s="71"/>
      <c r="AK17" s="40"/>
      <c r="AL17" s="40"/>
      <c r="AM17" s="40"/>
      <c r="AN17" s="40">
        <v>8406</v>
      </c>
      <c r="AO17" s="42">
        <v>8406</v>
      </c>
      <c r="AP17" s="40">
        <v>8383</v>
      </c>
      <c r="AQ17" s="40">
        <v>8625</v>
      </c>
      <c r="AR17" s="483">
        <v>8473</v>
      </c>
      <c r="AS17" s="421">
        <f t="shared" si="20"/>
        <v>0</v>
      </c>
      <c r="AT17" s="42">
        <v>0</v>
      </c>
      <c r="AU17" s="40">
        <f t="shared" si="21"/>
        <v>0</v>
      </c>
      <c r="AV17" s="40">
        <f t="shared" si="21"/>
        <v>0</v>
      </c>
      <c r="AW17" s="40">
        <f t="shared" si="21"/>
        <v>0</v>
      </c>
      <c r="AX17" s="40">
        <v>0</v>
      </c>
      <c r="AY17" s="71">
        <f t="shared" si="22"/>
        <v>0</v>
      </c>
      <c r="AZ17" s="40">
        <f>+AY17</f>
        <v>0</v>
      </c>
      <c r="BA17" s="40">
        <f t="shared" si="23"/>
        <v>0</v>
      </c>
      <c r="BB17" s="40">
        <f t="shared" si="23"/>
        <v>0</v>
      </c>
      <c r="BC17" s="40">
        <v>0</v>
      </c>
      <c r="BD17" s="71">
        <f t="shared" si="24"/>
        <v>0</v>
      </c>
      <c r="BE17" s="40">
        <f t="shared" si="25"/>
        <v>0</v>
      </c>
      <c r="BF17" s="40">
        <v>0</v>
      </c>
      <c r="BG17" s="41">
        <f t="shared" si="25"/>
        <v>0</v>
      </c>
      <c r="BH17" s="41">
        <f t="shared" si="25"/>
        <v>0</v>
      </c>
      <c r="BI17" s="71">
        <f t="shared" si="26"/>
        <v>0</v>
      </c>
    </row>
    <row r="18" spans="1:61" s="24" customFormat="1">
      <c r="A18" s="3" t="s">
        <v>413</v>
      </c>
      <c r="B18" s="40"/>
      <c r="C18" s="40"/>
      <c r="D18" s="40"/>
      <c r="E18" s="41"/>
      <c r="F18" s="42"/>
      <c r="G18" s="40"/>
      <c r="H18" s="40"/>
      <c r="I18" s="40"/>
      <c r="J18" s="41"/>
      <c r="K18" s="42"/>
      <c r="L18" s="40"/>
      <c r="M18" s="40"/>
      <c r="N18" s="40"/>
      <c r="O18" s="41"/>
      <c r="P18" s="42"/>
      <c r="Q18" s="40"/>
      <c r="R18" s="40"/>
      <c r="S18" s="40"/>
      <c r="T18" s="41"/>
      <c r="U18" s="42"/>
      <c r="V18" s="40"/>
      <c r="W18" s="40"/>
      <c r="X18" s="40"/>
      <c r="Y18" s="41"/>
      <c r="Z18" s="42"/>
      <c r="AA18" s="40"/>
      <c r="AB18" s="40"/>
      <c r="AC18" s="40"/>
      <c r="AD18" s="40"/>
      <c r="AE18" s="71"/>
      <c r="AF18" s="40"/>
      <c r="AG18" s="40"/>
      <c r="AH18" s="40"/>
      <c r="AI18" s="40"/>
      <c r="AJ18" s="71"/>
      <c r="AK18" s="40"/>
      <c r="AL18" s="40"/>
      <c r="AM18" s="40"/>
      <c r="AN18" s="40">
        <v>6289</v>
      </c>
      <c r="AO18" s="42">
        <v>6289</v>
      </c>
      <c r="AP18" s="40">
        <v>6262</v>
      </c>
      <c r="AQ18" s="40">
        <v>5741</v>
      </c>
      <c r="AR18" s="483">
        <v>5620</v>
      </c>
      <c r="AS18" s="421">
        <f t="shared" si="20"/>
        <v>0</v>
      </c>
      <c r="AT18" s="42">
        <v>0</v>
      </c>
      <c r="AU18" s="40">
        <f t="shared" si="21"/>
        <v>0</v>
      </c>
      <c r="AV18" s="40">
        <f t="shared" si="21"/>
        <v>0</v>
      </c>
      <c r="AW18" s="40">
        <f t="shared" si="21"/>
        <v>0</v>
      </c>
      <c r="AX18" s="40">
        <v>0</v>
      </c>
      <c r="AY18" s="71">
        <f t="shared" si="22"/>
        <v>0</v>
      </c>
      <c r="AZ18" s="40">
        <f>+AY18</f>
        <v>0</v>
      </c>
      <c r="BA18" s="40">
        <f t="shared" si="23"/>
        <v>0</v>
      </c>
      <c r="BB18" s="40">
        <f t="shared" si="23"/>
        <v>0</v>
      </c>
      <c r="BC18" s="40">
        <v>0</v>
      </c>
      <c r="BD18" s="71">
        <f t="shared" si="24"/>
        <v>0</v>
      </c>
      <c r="BE18" s="40">
        <f t="shared" si="25"/>
        <v>0</v>
      </c>
      <c r="BF18" s="40">
        <v>0</v>
      </c>
      <c r="BG18" s="41">
        <f t="shared" si="25"/>
        <v>0</v>
      </c>
      <c r="BH18" s="41">
        <f t="shared" si="25"/>
        <v>0</v>
      </c>
      <c r="BI18" s="71">
        <f t="shared" si="26"/>
        <v>0</v>
      </c>
    </row>
    <row r="19" spans="1:61" s="24" customFormat="1">
      <c r="A19" s="3" t="s">
        <v>492</v>
      </c>
      <c r="B19" s="40"/>
      <c r="C19" s="40"/>
      <c r="D19" s="40"/>
      <c r="E19" s="41"/>
      <c r="F19" s="42"/>
      <c r="G19" s="40"/>
      <c r="H19" s="40"/>
      <c r="I19" s="40"/>
      <c r="J19" s="41"/>
      <c r="K19" s="42"/>
      <c r="L19" s="40"/>
      <c r="M19" s="40"/>
      <c r="N19" s="40"/>
      <c r="O19" s="41"/>
      <c r="P19" s="42"/>
      <c r="Q19" s="40"/>
      <c r="R19" s="40"/>
      <c r="S19" s="40"/>
      <c r="T19" s="41"/>
      <c r="U19" s="42"/>
      <c r="V19" s="40"/>
      <c r="W19" s="40"/>
      <c r="X19" s="40"/>
      <c r="Y19" s="41"/>
      <c r="Z19" s="42"/>
      <c r="AA19" s="40"/>
      <c r="AB19" s="40"/>
      <c r="AC19" s="40"/>
      <c r="AD19" s="40"/>
      <c r="AE19" s="71"/>
      <c r="AF19" s="40"/>
      <c r="AG19" s="40"/>
      <c r="AH19" s="40"/>
      <c r="AI19" s="40"/>
      <c r="AJ19" s="71"/>
      <c r="AK19" s="40"/>
      <c r="AL19" s="40"/>
      <c r="AM19" s="40"/>
      <c r="AN19" s="40"/>
      <c r="AO19" s="42"/>
      <c r="AP19" s="40"/>
      <c r="AQ19" s="40"/>
      <c r="AR19" s="483"/>
      <c r="AS19" s="421">
        <f t="shared" si="20"/>
        <v>17509</v>
      </c>
      <c r="AT19" s="42">
        <v>17509</v>
      </c>
      <c r="AU19" s="40">
        <f>+AT19</f>
        <v>17509</v>
      </c>
      <c r="AV19" s="40">
        <v>16155</v>
      </c>
      <c r="AW19" s="40">
        <v>16343</v>
      </c>
      <c r="AX19" s="40">
        <v>15467</v>
      </c>
      <c r="AY19" s="71">
        <f t="shared" si="22"/>
        <v>15467</v>
      </c>
      <c r="AZ19" s="40">
        <v>15578</v>
      </c>
      <c r="BA19" s="40">
        <v>14991</v>
      </c>
      <c r="BB19" s="40">
        <v>16864</v>
      </c>
      <c r="BC19" s="40">
        <v>16773</v>
      </c>
      <c r="BD19" s="71">
        <f t="shared" si="24"/>
        <v>16773</v>
      </c>
      <c r="BE19" s="40">
        <v>16230</v>
      </c>
      <c r="BF19" s="40">
        <v>15238</v>
      </c>
      <c r="BG19" s="41">
        <f t="shared" si="25"/>
        <v>15238</v>
      </c>
      <c r="BH19" s="41">
        <f t="shared" si="25"/>
        <v>15238</v>
      </c>
      <c r="BI19" s="71">
        <f t="shared" si="26"/>
        <v>15238</v>
      </c>
    </row>
    <row r="20" spans="1:61" s="24" customFormat="1">
      <c r="A20" s="3" t="s">
        <v>493</v>
      </c>
      <c r="B20" s="40"/>
      <c r="C20" s="40"/>
      <c r="D20" s="40"/>
      <c r="E20" s="41"/>
      <c r="F20" s="42"/>
      <c r="G20" s="40"/>
      <c r="H20" s="40"/>
      <c r="I20" s="40"/>
      <c r="J20" s="41"/>
      <c r="K20" s="42"/>
      <c r="L20" s="40"/>
      <c r="M20" s="40"/>
      <c r="N20" s="40"/>
      <c r="O20" s="41"/>
      <c r="P20" s="42"/>
      <c r="Q20" s="40"/>
      <c r="R20" s="40"/>
      <c r="S20" s="40"/>
      <c r="T20" s="41"/>
      <c r="U20" s="42"/>
      <c r="V20" s="40"/>
      <c r="W20" s="40"/>
      <c r="X20" s="40"/>
      <c r="Y20" s="41"/>
      <c r="Z20" s="42"/>
      <c r="AA20" s="40"/>
      <c r="AB20" s="40"/>
      <c r="AC20" s="40"/>
      <c r="AD20" s="40"/>
      <c r="AE20" s="71"/>
      <c r="AF20" s="40"/>
      <c r="AG20" s="40"/>
      <c r="AH20" s="40"/>
      <c r="AI20" s="40"/>
      <c r="AJ20" s="71"/>
      <c r="AK20" s="40"/>
      <c r="AL20" s="40"/>
      <c r="AM20" s="40"/>
      <c r="AN20" s="40"/>
      <c r="AO20" s="42"/>
      <c r="AP20" s="40"/>
      <c r="AQ20" s="40"/>
      <c r="AR20" s="483"/>
      <c r="AS20" s="421">
        <f t="shared" si="20"/>
        <v>1383</v>
      </c>
      <c r="AT20" s="42">
        <v>1383</v>
      </c>
      <c r="AU20" s="40">
        <f>+AT20</f>
        <v>1383</v>
      </c>
      <c r="AV20" s="40">
        <v>1359</v>
      </c>
      <c r="AW20" s="40">
        <v>1413</v>
      </c>
      <c r="AX20" s="40">
        <v>1330</v>
      </c>
      <c r="AY20" s="71">
        <f t="shared" si="22"/>
        <v>1330</v>
      </c>
      <c r="AZ20" s="40">
        <v>1368</v>
      </c>
      <c r="BA20" s="40">
        <v>1447</v>
      </c>
      <c r="BB20" s="40">
        <v>1451</v>
      </c>
      <c r="BC20" s="40">
        <v>1456</v>
      </c>
      <c r="BD20" s="71">
        <f t="shared" si="24"/>
        <v>1456</v>
      </c>
      <c r="BE20" s="40">
        <v>1432</v>
      </c>
      <c r="BF20" s="40">
        <v>1412</v>
      </c>
      <c r="BG20" s="41">
        <f t="shared" si="25"/>
        <v>1412</v>
      </c>
      <c r="BH20" s="41">
        <f t="shared" si="25"/>
        <v>1412</v>
      </c>
      <c r="BI20" s="71">
        <f t="shared" si="26"/>
        <v>1412</v>
      </c>
    </row>
    <row r="21" spans="1:61" s="24" customFormat="1">
      <c r="A21" s="3" t="s">
        <v>314</v>
      </c>
      <c r="B21" s="40"/>
      <c r="C21" s="40"/>
      <c r="D21" s="40"/>
      <c r="E21" s="41"/>
      <c r="F21" s="42"/>
      <c r="G21" s="40"/>
      <c r="H21" s="40"/>
      <c r="I21" s="40"/>
      <c r="J21" s="41"/>
      <c r="K21" s="42"/>
      <c r="L21" s="40"/>
      <c r="M21" s="40"/>
      <c r="N21" s="40"/>
      <c r="O21" s="41"/>
      <c r="P21" s="42"/>
      <c r="Q21" s="40"/>
      <c r="R21" s="40"/>
      <c r="S21" s="40"/>
      <c r="T21" s="41"/>
      <c r="U21" s="42"/>
      <c r="V21" s="40"/>
      <c r="W21" s="40"/>
      <c r="X21" s="40"/>
      <c r="Y21" s="41"/>
      <c r="Z21" s="42"/>
      <c r="AA21" s="40"/>
      <c r="AB21" s="40"/>
      <c r="AC21" s="40"/>
      <c r="AD21" s="40"/>
      <c r="AE21" s="71"/>
      <c r="AF21" s="40"/>
      <c r="AG21" s="40"/>
      <c r="AH21" s="40"/>
      <c r="AI21" s="40"/>
      <c r="AJ21" s="71"/>
      <c r="AK21" s="40"/>
      <c r="AL21" s="40"/>
      <c r="AM21" s="40"/>
      <c r="AN21" s="40">
        <v>971</v>
      </c>
      <c r="AO21" s="42">
        <v>971</v>
      </c>
      <c r="AP21" s="40">
        <v>861</v>
      </c>
      <c r="AQ21" s="40">
        <v>851</v>
      </c>
      <c r="AR21" s="483">
        <v>808</v>
      </c>
      <c r="AS21" s="421">
        <f t="shared" si="20"/>
        <v>525</v>
      </c>
      <c r="AT21" s="42">
        <v>525</v>
      </c>
      <c r="AU21" s="40">
        <f>+AT21</f>
        <v>525</v>
      </c>
      <c r="AV21" s="479">
        <f>458+1</f>
        <v>459</v>
      </c>
      <c r="AW21" s="40">
        <v>484</v>
      </c>
      <c r="AX21" s="40">
        <v>437</v>
      </c>
      <c r="AY21" s="71">
        <f t="shared" si="22"/>
        <v>437</v>
      </c>
      <c r="AZ21" s="40">
        <v>541</v>
      </c>
      <c r="BA21" s="40">
        <v>560</v>
      </c>
      <c r="BB21" s="40">
        <v>457</v>
      </c>
      <c r="BC21" s="40">
        <v>579</v>
      </c>
      <c r="BD21" s="71">
        <f t="shared" si="24"/>
        <v>579</v>
      </c>
      <c r="BE21" s="40">
        <v>512</v>
      </c>
      <c r="BF21" s="40">
        <v>507</v>
      </c>
      <c r="BG21" s="41">
        <f t="shared" si="25"/>
        <v>507</v>
      </c>
      <c r="BH21" s="41">
        <f t="shared" si="25"/>
        <v>507</v>
      </c>
      <c r="BI21" s="71">
        <f t="shared" si="26"/>
        <v>507</v>
      </c>
    </row>
    <row r="22" spans="1:61" s="24" customFormat="1">
      <c r="A22" s="336" t="s">
        <v>324</v>
      </c>
      <c r="B22" s="330"/>
      <c r="C22" s="330"/>
      <c r="D22" s="330"/>
      <c r="E22" s="331"/>
      <c r="F22" s="332"/>
      <c r="G22" s="330"/>
      <c r="H22" s="330"/>
      <c r="I22" s="330"/>
      <c r="J22" s="331"/>
      <c r="K22" s="332"/>
      <c r="L22" s="330"/>
      <c r="M22" s="330"/>
      <c r="N22" s="330"/>
      <c r="O22" s="331"/>
      <c r="P22" s="332"/>
      <c r="Q22" s="330"/>
      <c r="R22" s="330"/>
      <c r="S22" s="330"/>
      <c r="T22" s="331"/>
      <c r="U22" s="332"/>
      <c r="V22" s="330"/>
      <c r="W22" s="330"/>
      <c r="X22" s="330"/>
      <c r="Y22" s="331"/>
      <c r="Z22" s="332"/>
      <c r="AA22" s="330"/>
      <c r="AB22" s="330"/>
      <c r="AC22" s="330"/>
      <c r="AD22" s="330"/>
      <c r="AE22" s="333"/>
      <c r="AF22" s="330"/>
      <c r="AG22" s="330"/>
      <c r="AH22" s="330"/>
      <c r="AI22" s="330"/>
      <c r="AJ22" s="333"/>
      <c r="AK22" s="330"/>
      <c r="AL22" s="330"/>
      <c r="AM22" s="330"/>
      <c r="AN22" s="330"/>
      <c r="AO22" s="333">
        <f t="shared" ref="AO22:BA22" si="27">SUM(AO16:AO21)</f>
        <v>28593</v>
      </c>
      <c r="AP22" s="331">
        <f t="shared" si="27"/>
        <v>20159</v>
      </c>
      <c r="AQ22" s="331">
        <f t="shared" si="27"/>
        <v>19900</v>
      </c>
      <c r="AR22" s="502">
        <f t="shared" si="27"/>
        <v>19488</v>
      </c>
      <c r="AS22" s="502">
        <f t="shared" si="27"/>
        <v>19417</v>
      </c>
      <c r="AT22" s="333">
        <f t="shared" si="27"/>
        <v>19417</v>
      </c>
      <c r="AU22" s="331">
        <f t="shared" si="27"/>
        <v>19417</v>
      </c>
      <c r="AV22" s="331">
        <f t="shared" si="27"/>
        <v>17973</v>
      </c>
      <c r="AW22" s="331">
        <f t="shared" si="27"/>
        <v>18240</v>
      </c>
      <c r="AX22" s="331">
        <f t="shared" si="27"/>
        <v>17234</v>
      </c>
      <c r="AY22" s="333">
        <f t="shared" si="27"/>
        <v>17234</v>
      </c>
      <c r="AZ22" s="331">
        <f t="shared" si="27"/>
        <v>17487</v>
      </c>
      <c r="BA22" s="331">
        <f t="shared" si="27"/>
        <v>16998</v>
      </c>
      <c r="BB22" s="331">
        <f t="shared" ref="BB22:BD22" si="28">SUM(BB16:BB21)</f>
        <v>18772</v>
      </c>
      <c r="BC22" s="331">
        <f t="shared" si="28"/>
        <v>18808</v>
      </c>
      <c r="BD22" s="333">
        <f t="shared" si="28"/>
        <v>18808</v>
      </c>
      <c r="BE22" s="331">
        <f t="shared" ref="BE22:BI22" si="29">SUM(BE16:BE21)</f>
        <v>18174</v>
      </c>
      <c r="BF22" s="331">
        <f t="shared" si="29"/>
        <v>17157</v>
      </c>
      <c r="BG22" s="331">
        <f t="shared" si="29"/>
        <v>17157</v>
      </c>
      <c r="BH22" s="331">
        <f t="shared" si="29"/>
        <v>17157</v>
      </c>
      <c r="BI22" s="333">
        <f t="shared" si="29"/>
        <v>17157</v>
      </c>
    </row>
    <row r="23" spans="1:61" s="24" customFormat="1">
      <c r="A23" s="12"/>
      <c r="B23" s="40"/>
      <c r="C23" s="40"/>
      <c r="D23" s="40"/>
      <c r="E23" s="41"/>
      <c r="F23" s="42"/>
      <c r="G23" s="40"/>
      <c r="H23" s="40"/>
      <c r="I23" s="40"/>
      <c r="J23" s="41"/>
      <c r="K23" s="42"/>
      <c r="L23" s="40"/>
      <c r="M23" s="40"/>
      <c r="N23" s="40"/>
      <c r="O23" s="41"/>
      <c r="P23" s="42"/>
      <c r="Q23" s="40"/>
      <c r="R23" s="40"/>
      <c r="S23" s="40"/>
      <c r="T23" s="41"/>
      <c r="U23" s="42"/>
      <c r="V23" s="40"/>
      <c r="W23" s="40"/>
      <c r="X23" s="40"/>
      <c r="Y23" s="41"/>
      <c r="Z23" s="42"/>
      <c r="AA23" s="40"/>
      <c r="AB23" s="40"/>
      <c r="AC23" s="40"/>
      <c r="AD23" s="40"/>
      <c r="AE23" s="71"/>
      <c r="AF23" s="40"/>
      <c r="AG23" s="40"/>
      <c r="AH23" s="40"/>
      <c r="AI23" s="40"/>
      <c r="AJ23" s="71"/>
      <c r="AK23" s="40"/>
      <c r="AL23" s="40"/>
      <c r="AM23" s="40"/>
      <c r="AN23" s="40"/>
      <c r="AO23" s="71"/>
      <c r="AP23" s="40"/>
      <c r="AQ23" s="40"/>
      <c r="AR23" s="483"/>
      <c r="AS23" s="483"/>
      <c r="AT23" s="71"/>
      <c r="AU23" s="40"/>
      <c r="AV23" s="40"/>
      <c r="AW23" s="40"/>
      <c r="AX23" s="40"/>
      <c r="AY23" s="71"/>
      <c r="AZ23" s="40"/>
      <c r="BA23" s="40"/>
      <c r="BB23" s="40"/>
      <c r="BC23" s="40"/>
      <c r="BD23" s="71"/>
      <c r="BE23" s="40"/>
      <c r="BF23" s="40"/>
      <c r="BG23" s="40"/>
      <c r="BH23" s="40"/>
      <c r="BI23" s="71"/>
    </row>
    <row r="24" spans="1:61" s="24" customFormat="1">
      <c r="A24" s="10" t="s">
        <v>325</v>
      </c>
      <c r="B24" s="89"/>
      <c r="C24" s="89"/>
      <c r="D24" s="89"/>
      <c r="E24" s="89"/>
      <c r="F24" s="110"/>
      <c r="G24" s="89"/>
      <c r="H24" s="89"/>
      <c r="I24" s="89"/>
      <c r="J24" s="89"/>
      <c r="K24" s="110"/>
      <c r="L24" s="89"/>
      <c r="M24" s="89"/>
      <c r="N24" s="89"/>
      <c r="O24" s="89"/>
      <c r="P24" s="166"/>
      <c r="Q24" s="184"/>
      <c r="R24" s="184"/>
      <c r="S24" s="184"/>
      <c r="T24" s="184"/>
      <c r="U24" s="166"/>
      <c r="V24" s="184"/>
      <c r="W24" s="184"/>
      <c r="X24" s="184"/>
      <c r="Y24" s="184"/>
      <c r="Z24" s="166"/>
      <c r="AA24" s="184"/>
      <c r="AB24" s="184"/>
      <c r="AC24" s="184"/>
      <c r="AD24" s="184"/>
      <c r="AE24" s="77"/>
      <c r="AF24" s="184"/>
      <c r="AG24" s="184"/>
      <c r="AH24" s="184"/>
      <c r="AI24" s="184"/>
      <c r="AJ24" s="77"/>
      <c r="AK24" s="184"/>
      <c r="AL24" s="184"/>
      <c r="AM24" s="184"/>
      <c r="AN24" s="184"/>
      <c r="AO24" s="110">
        <f t="shared" ref="AO24:BA24" si="30">AO22+AO13</f>
        <v>32351</v>
      </c>
      <c r="AP24" s="89">
        <f t="shared" si="30"/>
        <v>22421</v>
      </c>
      <c r="AQ24" s="89">
        <f t="shared" si="30"/>
        <v>21782</v>
      </c>
      <c r="AR24" s="486">
        <f t="shared" si="30"/>
        <v>20822</v>
      </c>
      <c r="AS24" s="486">
        <f t="shared" si="30"/>
        <v>20525</v>
      </c>
      <c r="AT24" s="110">
        <f t="shared" si="30"/>
        <v>20525</v>
      </c>
      <c r="AU24" s="89">
        <f t="shared" si="30"/>
        <v>20525</v>
      </c>
      <c r="AV24" s="89">
        <f t="shared" si="30"/>
        <v>19673</v>
      </c>
      <c r="AW24" s="89">
        <f t="shared" si="30"/>
        <v>19922</v>
      </c>
      <c r="AX24" s="89">
        <f t="shared" si="30"/>
        <v>19273</v>
      </c>
      <c r="AY24" s="110">
        <f t="shared" si="30"/>
        <v>19273</v>
      </c>
      <c r="AZ24" s="89">
        <f t="shared" si="30"/>
        <v>19571</v>
      </c>
      <c r="BA24" s="89">
        <f t="shared" si="30"/>
        <v>18887</v>
      </c>
      <c r="BB24" s="89">
        <f t="shared" ref="BB24:BE24" si="31">BB22+BB13</f>
        <v>20838</v>
      </c>
      <c r="BC24" s="89">
        <f t="shared" si="31"/>
        <v>20494</v>
      </c>
      <c r="BD24" s="110">
        <f t="shared" si="31"/>
        <v>20494</v>
      </c>
      <c r="BE24" s="89">
        <f t="shared" si="31"/>
        <v>20277</v>
      </c>
      <c r="BF24" s="89">
        <f t="shared" ref="BF24:BI24" si="32">BF22+BF13</f>
        <v>19157</v>
      </c>
      <c r="BG24" s="89">
        <f t="shared" si="32"/>
        <v>19157</v>
      </c>
      <c r="BH24" s="89">
        <f t="shared" si="32"/>
        <v>19157</v>
      </c>
      <c r="BI24" s="110">
        <f t="shared" si="32"/>
        <v>19157</v>
      </c>
    </row>
    <row r="25" spans="1:61" s="24" customFormat="1">
      <c r="A25" s="10"/>
      <c r="B25" s="89"/>
      <c r="C25" s="89"/>
      <c r="D25" s="89"/>
      <c r="E25" s="89"/>
      <c r="F25" s="110"/>
      <c r="G25" s="89"/>
      <c r="H25" s="89"/>
      <c r="I25" s="89"/>
      <c r="J25" s="89"/>
      <c r="K25" s="110"/>
      <c r="L25" s="89"/>
      <c r="M25" s="89"/>
      <c r="N25" s="89"/>
      <c r="O25" s="89"/>
      <c r="P25" s="110"/>
      <c r="Q25" s="89"/>
      <c r="R25" s="89"/>
      <c r="S25" s="89"/>
      <c r="T25" s="89"/>
      <c r="U25" s="110"/>
      <c r="V25" s="89"/>
      <c r="W25" s="89"/>
      <c r="X25" s="89"/>
      <c r="Y25" s="89"/>
      <c r="Z25" s="110"/>
      <c r="AA25" s="89"/>
      <c r="AB25" s="89"/>
      <c r="AC25" s="89"/>
      <c r="AD25" s="89"/>
      <c r="AE25" s="110"/>
      <c r="AF25" s="89"/>
      <c r="AG25" s="89"/>
      <c r="AH25" s="89"/>
      <c r="AI25" s="89"/>
      <c r="AJ25" s="110"/>
      <c r="AK25" s="89"/>
      <c r="AL25" s="89"/>
      <c r="AM25" s="89"/>
      <c r="AN25" s="89"/>
      <c r="AO25" s="110"/>
      <c r="AP25" s="89"/>
      <c r="AQ25" s="89"/>
      <c r="AR25" s="486"/>
      <c r="AS25" s="486"/>
      <c r="AT25" s="110"/>
      <c r="AU25" s="89"/>
      <c r="AV25" s="89"/>
      <c r="AW25" s="89"/>
      <c r="AX25" s="89"/>
      <c r="AY25" s="110"/>
      <c r="AZ25" s="89"/>
      <c r="BA25" s="89"/>
      <c r="BB25" s="89"/>
      <c r="BC25" s="89"/>
      <c r="BD25" s="110"/>
      <c r="BE25" s="89"/>
      <c r="BF25" s="89"/>
      <c r="BG25" s="89"/>
      <c r="BH25" s="89"/>
      <c r="BI25" s="110"/>
    </row>
    <row r="26" spans="1:61" s="24" customFormat="1">
      <c r="A26" s="10" t="s">
        <v>158</v>
      </c>
      <c r="E26" s="87"/>
      <c r="F26" s="97"/>
      <c r="J26" s="87"/>
      <c r="K26" s="97"/>
      <c r="O26" s="87"/>
      <c r="P26" s="97"/>
      <c r="Q26" s="38"/>
      <c r="R26" s="38"/>
      <c r="S26" s="38"/>
      <c r="T26" s="38"/>
      <c r="U26" s="97"/>
      <c r="V26" s="38"/>
      <c r="W26" s="38"/>
      <c r="X26" s="38"/>
      <c r="Y26" s="38"/>
      <c r="Z26" s="97"/>
      <c r="AA26" s="38"/>
      <c r="AB26" s="38"/>
      <c r="AC26" s="38"/>
      <c r="AD26" s="38"/>
      <c r="AE26" s="97"/>
      <c r="AF26" s="38"/>
      <c r="AG26" s="38"/>
      <c r="AH26" s="38"/>
      <c r="AI26" s="91"/>
      <c r="AJ26" s="97"/>
      <c r="AK26" s="91"/>
      <c r="AL26" s="91"/>
      <c r="AM26" s="91"/>
      <c r="AN26" s="91"/>
      <c r="AO26" s="97"/>
      <c r="AP26" s="91">
        <f>+IF(AP22&gt;AO22,AP22-AO22,0)</f>
        <v>0</v>
      </c>
      <c r="AQ26" s="91">
        <f>+IF(AQ22&gt;AP22,AQ22-AP22,0)</f>
        <v>0</v>
      </c>
      <c r="AR26" s="503">
        <f>+IF(AR22&gt;AQ22,AR22-AQ22,0)</f>
        <v>0</v>
      </c>
      <c r="AS26" s="503">
        <f>+IF(AS22&gt;AR22,AS22-AR22,0)</f>
        <v>0</v>
      </c>
      <c r="AT26" s="97">
        <f>+IF(AT22&gt;AO22,AT22-AO22,0)</f>
        <v>0</v>
      </c>
      <c r="AU26" s="91">
        <f>+IF(AU22&gt;AT22,AU22-AT22,0)</f>
        <v>0</v>
      </c>
      <c r="AV26" s="91">
        <f>+IF(AV22&gt;AU22,AV22-AU22,0)</f>
        <v>0</v>
      </c>
      <c r="AW26" s="91">
        <f>+IF(AW22&gt;AV22,AW22-AV22,0)</f>
        <v>267</v>
      </c>
      <c r="AX26" s="91">
        <f>+IF(AX22&gt;AW22,AX22-AW22,0)</f>
        <v>0</v>
      </c>
      <c r="AY26" s="97">
        <f>+IF(AY22&gt;AT22,AY22-AT22,0)</f>
        <v>0</v>
      </c>
      <c r="AZ26" s="91">
        <f>+IF(AZ22&gt;AY22,AZ22-AY22,0)</f>
        <v>253</v>
      </c>
      <c r="BA26" s="91">
        <f>+IF(BA22&gt;AZ22,BA22-AZ22,0)</f>
        <v>0</v>
      </c>
      <c r="BB26" s="91">
        <f>+IF(BB22&gt;BA22,BB22-BA22,0)</f>
        <v>1774</v>
      </c>
      <c r="BC26" s="91">
        <f>+IF(BC22&gt;BB22,BC22-BB22,0)</f>
        <v>36</v>
      </c>
      <c r="BD26" s="97">
        <f>+IF(BD22&gt;AY22,BD22-AY22,0)</f>
        <v>1574</v>
      </c>
      <c r="BE26" s="91">
        <f>+IF(BE22&gt;BD22,BE22-BD22,0)</f>
        <v>0</v>
      </c>
      <c r="BF26" s="91">
        <f>+IF(BF22&gt;BE22,BF22-BE22,0)</f>
        <v>0</v>
      </c>
      <c r="BG26" s="91">
        <f>+IF(BG22&gt;BF22,BG22-BF22,0)</f>
        <v>0</v>
      </c>
      <c r="BH26" s="91">
        <f>+IF(BH22&gt;BG22,BH22-BG22,0)</f>
        <v>0</v>
      </c>
      <c r="BI26" s="97">
        <f>+IF(BI22&gt;BD22,BI22-BD22,0)</f>
        <v>0</v>
      </c>
    </row>
    <row r="27" spans="1:61" s="24" customFormat="1">
      <c r="A27" s="10" t="s">
        <v>367</v>
      </c>
      <c r="E27" s="87"/>
      <c r="F27" s="97"/>
      <c r="J27" s="87"/>
      <c r="K27" s="97"/>
      <c r="O27" s="87"/>
      <c r="P27" s="97"/>
      <c r="Q27" s="38"/>
      <c r="R27" s="38"/>
      <c r="S27" s="38"/>
      <c r="T27" s="38"/>
      <c r="U27" s="97"/>
      <c r="V27" s="38"/>
      <c r="W27" s="38"/>
      <c r="X27" s="38"/>
      <c r="Y27" s="38"/>
      <c r="Z27" s="97"/>
      <c r="AA27" s="38"/>
      <c r="AB27" s="38"/>
      <c r="AC27" s="38"/>
      <c r="AD27" s="38"/>
      <c r="AE27" s="97"/>
      <c r="AF27" s="38"/>
      <c r="AG27" s="38"/>
      <c r="AH27" s="38"/>
      <c r="AI27" s="91"/>
      <c r="AJ27" s="97"/>
      <c r="AK27" s="91"/>
      <c r="AL27" s="91"/>
      <c r="AM27" s="91"/>
      <c r="AN27" s="91"/>
      <c r="AO27" s="97"/>
      <c r="AP27" s="91">
        <f>IF(AP22&lt;AO22,AP22-AO22,0)</f>
        <v>-8434</v>
      </c>
      <c r="AQ27" s="91">
        <f>IF(AQ22&lt;AP22,AQ22-AP22,0)</f>
        <v>-259</v>
      </c>
      <c r="AR27" s="503">
        <f>IF(AR22&lt;AQ22,AR22-AQ22,0)</f>
        <v>-412</v>
      </c>
      <c r="AS27" s="503">
        <f>IF(AS22&lt;AR22,AS22-AR22,0)</f>
        <v>-71</v>
      </c>
      <c r="AT27" s="97">
        <f>IF(AT22&lt;AO22,AT22-AO22,0)</f>
        <v>-9176</v>
      </c>
      <c r="AU27" s="91">
        <f>IF(AU22&lt;AT22,AU22-AT22,0)</f>
        <v>0</v>
      </c>
      <c r="AV27" s="91">
        <f>IF(AV22&lt;AU22,AV22-AU22,0)</f>
        <v>-1444</v>
      </c>
      <c r="AW27" s="91">
        <f>IF(AW22&lt;AV22,AW22-AV22,0)</f>
        <v>0</v>
      </c>
      <c r="AX27" s="91">
        <f>IF(AX22&lt;AW22,AX22-AW22,0)</f>
        <v>-1006</v>
      </c>
      <c r="AY27" s="97">
        <f>IF(AY22&lt;AT22,AY22-AT22,0)</f>
        <v>-2183</v>
      </c>
      <c r="AZ27" s="91">
        <f>IF(AZ22&lt;AY22,AZ22-AY22,0)</f>
        <v>0</v>
      </c>
      <c r="BA27" s="91">
        <f>IF(BA22&lt;AZ22,BA22-AZ22,0)</f>
        <v>-489</v>
      </c>
      <c r="BB27" s="91">
        <f>IF(BB22&lt;BA22,BB22-BA22,0)</f>
        <v>0</v>
      </c>
      <c r="BC27" s="91">
        <f>IF(BC22&lt;BB22,BC22-BB22,0)</f>
        <v>0</v>
      </c>
      <c r="BD27" s="97">
        <f>IF(BD22&lt;AY22,BD22-AY22,0)</f>
        <v>0</v>
      </c>
      <c r="BE27" s="91">
        <f>IF(BE22&lt;BD22,BE22-BD22,0)</f>
        <v>-634</v>
      </c>
      <c r="BF27" s="91">
        <f>IF(BF22&lt;BE22,BF22-BE22,0)</f>
        <v>-1017</v>
      </c>
      <c r="BG27" s="91">
        <f>IF(BG22&lt;BF22,BG22-BF22,0)</f>
        <v>0</v>
      </c>
      <c r="BH27" s="91">
        <f>IF(BH22&lt;BG22,BH22-BG22,0)</f>
        <v>0</v>
      </c>
      <c r="BI27" s="97">
        <f>IF(BI22&lt;BD22,BI22-BD22,0)</f>
        <v>-1651</v>
      </c>
    </row>
    <row r="28" spans="1:61" s="24" customFormat="1">
      <c r="A28" s="10" t="s">
        <v>368</v>
      </c>
      <c r="E28" s="87"/>
      <c r="F28" s="97"/>
      <c r="J28" s="87"/>
      <c r="K28" s="97"/>
      <c r="O28" s="87"/>
      <c r="P28" s="97"/>
      <c r="Q28" s="89"/>
      <c r="R28" s="89"/>
      <c r="S28" s="89"/>
      <c r="T28" s="89"/>
      <c r="U28" s="110"/>
      <c r="V28" s="89"/>
      <c r="W28" s="89"/>
      <c r="X28" s="89"/>
      <c r="Y28" s="89"/>
      <c r="Z28" s="110"/>
      <c r="AA28" s="89"/>
      <c r="AB28" s="89"/>
      <c r="AC28" s="89"/>
      <c r="AD28" s="89"/>
      <c r="AE28" s="110"/>
      <c r="AF28" s="89"/>
      <c r="AG28" s="89"/>
      <c r="AH28" s="89"/>
      <c r="AI28" s="89"/>
      <c r="AJ28" s="110"/>
      <c r="AK28" s="89"/>
      <c r="AL28" s="89"/>
      <c r="AM28" s="89"/>
      <c r="AN28" s="89"/>
      <c r="AO28" s="110"/>
      <c r="AP28" s="89">
        <f>AP27+AP26</f>
        <v>-8434</v>
      </c>
      <c r="AQ28" s="89">
        <f>AQ27+AQ26</f>
        <v>-259</v>
      </c>
      <c r="AR28" s="486">
        <f>AR27+AR26</f>
        <v>-412</v>
      </c>
      <c r="AS28" s="486">
        <f>AS27+AS26</f>
        <v>-71</v>
      </c>
      <c r="AT28" s="110">
        <f>AT27+AT26</f>
        <v>-9176</v>
      </c>
      <c r="AU28" s="89">
        <f t="shared" ref="AU28:BA28" si="33">AU27+AU26</f>
        <v>0</v>
      </c>
      <c r="AV28" s="89">
        <f>AV27+AV26</f>
        <v>-1444</v>
      </c>
      <c r="AW28" s="89">
        <f t="shared" si="33"/>
        <v>267</v>
      </c>
      <c r="AX28" s="89">
        <f t="shared" si="33"/>
        <v>-1006</v>
      </c>
      <c r="AY28" s="110">
        <f>AY27+AY26</f>
        <v>-2183</v>
      </c>
      <c r="AZ28" s="89">
        <f t="shared" si="33"/>
        <v>253</v>
      </c>
      <c r="BA28" s="89">
        <f t="shared" si="33"/>
        <v>-489</v>
      </c>
      <c r="BB28" s="89">
        <f t="shared" ref="BB28:BC28" si="34">BB27+BB26</f>
        <v>1774</v>
      </c>
      <c r="BC28" s="89">
        <f t="shared" si="34"/>
        <v>36</v>
      </c>
      <c r="BD28" s="110">
        <f>BD27+BD26</f>
        <v>1574</v>
      </c>
      <c r="BE28" s="89">
        <f t="shared" ref="BE28" si="35">BE27+BE26</f>
        <v>-634</v>
      </c>
      <c r="BF28" s="89">
        <f t="shared" ref="BF28:BH28" si="36">BF27+BF26</f>
        <v>-1017</v>
      </c>
      <c r="BG28" s="89">
        <f t="shared" si="36"/>
        <v>0</v>
      </c>
      <c r="BH28" s="89">
        <f t="shared" si="36"/>
        <v>0</v>
      </c>
      <c r="BI28" s="110">
        <f>BI27+BI26</f>
        <v>-1651</v>
      </c>
    </row>
    <row r="29" spans="1:61" s="24" customFormat="1">
      <c r="A29" s="10"/>
      <c r="E29" s="87"/>
      <c r="F29" s="97"/>
      <c r="J29" s="87"/>
      <c r="K29" s="97"/>
      <c r="O29" s="87"/>
      <c r="P29" s="97"/>
      <c r="T29" s="87"/>
      <c r="U29" s="97"/>
      <c r="Y29" s="87"/>
      <c r="Z29" s="97"/>
      <c r="AA29" s="20"/>
      <c r="AE29" s="25"/>
      <c r="AJ29" s="25"/>
      <c r="AO29" s="25"/>
      <c r="AR29" s="420"/>
      <c r="AS29" s="420"/>
      <c r="AT29" s="25"/>
      <c r="AY29" s="25"/>
      <c r="BD29" s="25"/>
      <c r="BI29" s="25"/>
    </row>
    <row r="30" spans="1:61" s="24" customFormat="1">
      <c r="A30" s="10" t="s">
        <v>161</v>
      </c>
      <c r="E30" s="87"/>
      <c r="F30" s="97"/>
      <c r="J30" s="87"/>
      <c r="K30" s="97"/>
      <c r="O30" s="87"/>
      <c r="P30" s="97"/>
      <c r="Q30" s="38"/>
      <c r="R30" s="38"/>
      <c r="S30" s="38"/>
      <c r="T30" s="38"/>
      <c r="U30" s="97"/>
      <c r="V30" s="38"/>
      <c r="W30" s="38"/>
      <c r="X30" s="38"/>
      <c r="Y30" s="38"/>
      <c r="Z30" s="97"/>
      <c r="AA30" s="38"/>
      <c r="AB30" s="38"/>
      <c r="AC30" s="38"/>
      <c r="AD30" s="38"/>
      <c r="AE30" s="97"/>
      <c r="AF30" s="38"/>
      <c r="AG30" s="38"/>
      <c r="AH30" s="38"/>
      <c r="AI30" s="91"/>
      <c r="AJ30" s="97"/>
      <c r="AK30" s="91"/>
      <c r="AL30" s="91"/>
      <c r="AM30" s="91"/>
      <c r="AN30" s="91"/>
      <c r="AO30" s="97"/>
      <c r="AP30" s="91">
        <f>+IF(AP7-AO7&gt;0,AP7-AO7,0)+IF(AP8-AO8&gt;0,AP8-AO8,0)+IF(AP9-AO9&gt;0,AP9-AO9,0)+IF(AP12-AO12&gt;0,AP12-AO12,0)+IF(AP16-AO16&gt;0,AP16-AO16,0)+IF(AP17-AO17&gt;0,AP17-AO17,0)+IF(AP10-AO10&gt;0,AP10-AO10,0)+IF(AP11-AO11&gt;0,AP11-AO11,0)+IF(AP18-AO18&gt;0,AP18-AO18,0)+IF(AP21-AO21&gt;0,AP21-AO21,0)+IF(AP19-AO19&gt;0,AP19-AO19,0)+IF(AP20-AO20&gt;0,AP20-AO20,0)</f>
        <v>136</v>
      </c>
      <c r="AQ30" s="91">
        <f>+IF(AQ7-AP7&gt;0,AQ7-AP7,0)+IF(AQ8-AP8&gt;0,AQ8-AP8,0)+IF(AQ9-AP9&gt;0,AQ9-AP9,0)+IF(AQ12-AP12&gt;0,AQ12-AP12,0)+IF(AQ16-AP16&gt;0,AQ16-AP16,0)+IF(AQ17-AP17&gt;0,AQ17-AP17,0)+IF(AQ10-AP10&gt;0,AQ10-AP10,0)+IF(AQ11-AP11&gt;0,AQ11-AP11,0)+IF(AQ18-AP18&gt;0,AQ18-AP18,0)+IF(AQ21-AP21&gt;0,AQ21-AP21,0)+IF(AQ19-AP19&gt;0,AQ19-AP19,0)+IF(AQ20-AP20&gt;0,AQ20-AP20,0)</f>
        <v>370</v>
      </c>
      <c r="AR30" s="503">
        <f>+IF(AR7-AQ7&gt;0,AR7-AQ7,0)+IF(AR8-AQ8&gt;0,AR8-AQ8,0)+IF(AR9-AQ9&gt;0,AR9-AQ9,0)+IF(AR12-AQ12&gt;0,AR12-AQ12,0)+IF(AR16-AQ16&gt;0,AR16-AQ16,0)+IF(AR17-AQ17&gt;0,AR17-AQ17,0)+IF(AR10-AQ10&gt;0,AR10-AQ10,0)+IF(AR11-AQ11&gt;0,AR11-AQ11,0)+IF(AR18-AQ18&gt;0,AR18-AQ18,0)+IF(AR21-AQ21&gt;0,AR21-AQ21,0)+IF(AR19-AQ19&gt;0,AR19-AQ19,0)+IF(AR20-AQ20&gt;0,AR20-AQ20,0)</f>
        <v>0</v>
      </c>
      <c r="AS30" s="503">
        <f>+IF(AS7-AR7&gt;0,AS7-AR7,0)+IF(AS8-AR8&gt;0,AS8-AR8,0)+IF(AS9-AR9&gt;0,AS9-AR9,0)+IF(AS12-AR12&gt;0,AS12-AR12,0)+IF(AS16-AR16&gt;0,AS16-AR16,0)+IF(AS17-AR17&gt;0,AS17-AR17,0)+IF(AS10-AR10&gt;0,AS10-AR10,0)+IF(AS11-AR11&gt;0,AS11-AR11,0)+IF(AS18-AR18&gt;0,AS18-AR18,0)+IF(AS21-AR21&gt;0,AS21-AR21,0)+IF(AS19-AR19&gt;0,AS19-AR19,0)+IF(AS20-AR20&gt;0,AS20-AR20,0)</f>
        <v>19963</v>
      </c>
      <c r="AT30" s="97">
        <f>+IF(AT7-AO7&gt;0,AT7-AO7,0)+IF(AT8-AO8&gt;0,AT8-AO8,0)+IF(AT9-AO9&gt;0,AT9-AO9,0)+IF(AT12-AO12&gt;0,AT12-AO12,0)+IF(AT16-AO16&gt;0,AT16-AO16,0)+IF(AT17-AO17&gt;0,AT17-AO17,0)+IF(AT10-AO10&gt;0,AT10-AO10,0)+IF(AT11-AO11&gt;0,AT11-AO11,0)+IF(AT18-AO18&gt;0,AT18-AO18,0)+IF(AT21-AO21&gt;0,AT21-AO21,0)+IF(AT19-AO19&gt;0,AT19-AO19,0)+IF(AT20-AO20&gt;0,AT20-AO20,0)</f>
        <v>19963</v>
      </c>
      <c r="AU30" s="91">
        <f>+IF(AU7-AT7&gt;0,AU7-AT7,0)+IF(AU8-AT8&gt;0,AU8-AT8,0)+IF(AU9-AT9&gt;0,AU9-AT9,0)+IF(AU12-AT12&gt;0,AU12-AT12,0)+IF(AU16-AT16&gt;0,AU16-AT16,0)+IF(AU17-AT17&gt;0,AU17-AT17,0)+IF(AU10-AT10&gt;0,AU10-AT10,0)+IF(AU11-AT11&gt;0,AU11-AT11,0)+IF(AU18-AT18&gt;0,AU18-AT18,0)+IF(AU21-AT21&gt;0,AU21-AT21,0)+IF(AU19-AT19&gt;0,AU19-AT19,0)+IF(AU20-AT20&gt;0,AU20-AT20,0)</f>
        <v>0</v>
      </c>
      <c r="AV30" s="91">
        <f>+IF(AV7-AU7&gt;0,AV7-AU7,0)+IF(AV8-AU8&gt;0,AV8-AU8,0)+IF(AV9-AU9&gt;0,AV9-AU9,0)+IF(AV12-AU12&gt;0,AV12-AU12,0)+IF(AV16-AU16&gt;0,AV16-AU16,0)+IF(AV17-AU17&gt;0,AV17-AU17,0)+IF(AV10-AU10&gt;0,AV10-AU10,0)+IF(AV11-AU11&gt;0,AV11-AU11,0)+IF(AV18-AU18&gt;0,AV18-AU18,0)+IF(AV21-AU21&gt;0,AV21-AU21,0)+IF(AV19-AU19&gt;0,AV19-AU19,0)+IF(AV20-AU20&gt;0,AV20-AU20,0)</f>
        <v>629</v>
      </c>
      <c r="AW30" s="91">
        <f>+IF(AW7-AV7&gt;0,AW7-AV7,0)+IF(AW8-AV8&gt;0,AW8-AV8,0)+IF(AW9-AV9&gt;0,AW9-AV9,0)+IF(AW12-AV12&gt;0,AW12-AV12,0)+IF(AW16-AV16&gt;0,AW16-AV16,0)+IF(AW17-AV17&gt;0,AW17-AV17,0)+IF(AW10-AV10&gt;0,AW10-AV10,0)+IF(AW11-AV11&gt;0,AW11-AV11,0)+IF(AW18-AV18&gt;0,AW18-AV18,0)+IF(AW21-AV21&gt;0,AW21-AV21,0)+IF(AW19-AV19&gt;0,AW19-AV19,0)+IF(AW20-AV20&gt;0,AW20-AV20,0)</f>
        <v>271</v>
      </c>
      <c r="AX30" s="91">
        <f>+IF(AX7-AW7&gt;0,AX7-AW7,0)+IF(AX8-AW8&gt;0,AX8-AW8,0)+IF(AX9-AW9&gt;0,AX9-AW9,0)+IF(AX12-AW12&gt;0,AX12-AW12,0)+IF(AX16-AW16&gt;0,AX16-AW16,0)+IF(AX17-AW17&gt;0,AX17-AW17,0)+IF(AX10-AW10&gt;0,AX10-AW10,0)+IF(AX11-AW11&gt;0,AX11-AW11,0)+IF(AX18-AW18&gt;0,AX18-AW18,0)+IF(AX21-AW21&gt;0,AX21-AW21,0)+IF(AX19-AW19&gt;0,AX19-AW19,0)+IF(AX20-AW20&gt;0,AX20-AW20,0)</f>
        <v>357</v>
      </c>
      <c r="AY30" s="97">
        <f>+IF(AY7-AT7&gt;0,AY7-AT7,0)+IF(AY8-AT8&gt;0,AY8-AT8,0)+IF(AY9-AT9&gt;0,AY9-AT9,0)+IF(AY12-AT12&gt;0,AY12-AT12,0)+IF(AY16-AT16&gt;0,AY16-AT16,0)+IF(AY17-AT17&gt;0,AY17-AT17,0)+IF(AY10-AT10&gt;0,AY10-AT10,0)+IF(AY11-AT11&gt;0,AY11-AT11,0)+IF(AY18-AT18&gt;0,AY18-AT18,0)+IF(AY21-AT21&gt;0,AY21-AT21,0)+IF(AY19-AT19&gt;0,AY19-AT19,0)+IF(AY20-AT20&gt;0,AY20-AT20,0)</f>
        <v>968</v>
      </c>
      <c r="AZ30" s="91">
        <f>+IF(AZ7-AY7&gt;0,AZ7-AY7,0)+IF(AZ8-AY8&gt;0,AZ8-AY8,0)+IF(AZ9-AY9&gt;0,AZ9-AY9,0)+IF(AZ12-AY12&gt;0,AZ12-AY12,0)+IF(AZ16-AY16&gt;0,AZ16-AY16,0)+IF(AZ17-AY17&gt;0,AZ17-AY17,0)+IF(AZ10-AY10&gt;0,AZ10-AY10,0)+IF(AZ11-AY11&gt;0,AZ11-AY11,0)+IF(AZ18-AY18&gt;0,AZ18-AY18,0)+IF(AZ21-AY21&gt;0,AZ21-AY21,0)+IF(AZ19-AY19&gt;0,AZ19-AY19,0)+IF(AZ20-AY20&gt;0,AZ20-AY20,0)</f>
        <v>311</v>
      </c>
      <c r="BA30" s="91">
        <f>+IF(BA7-AZ7&gt;0,BA7-AZ7,0)+IF(BA8-AZ8&gt;0,BA8-AZ8,0)+IF(BA9-AZ9&gt;0,BA9-AZ9,0)+IF(BA12-AZ12&gt;0,BA12-AZ12,0)+IF(BA16-AZ16&gt;0,BA16-AZ16,0)+IF(BA17-AZ17&gt;0,BA17-AZ17,0)+IF(BA10-AZ10&gt;0,BA10-AZ10,0)+IF(BA11-AZ11&gt;0,BA11-AZ11,0)+IF(BA18-AZ18&gt;0,BA18-AZ18,0)+IF(BA21-AZ21&gt;0,BA21-AZ21,0)+IF(BA19-AZ19&gt;0,BA19-AZ19,0)+IF(BA20-AZ20&gt;0,BA20-AZ20,0)</f>
        <v>123</v>
      </c>
      <c r="BB30" s="91">
        <f>+IF(BB7-BA7&gt;0,BB7-BA7,0)+IF(BB8-BA8&gt;0,BB8-BA8,0)+IF(BB9-BA9&gt;0,BB9-BA9,0)+IF(BB12-BA12&gt;0,BB12-BA12,0)+IF(BB16-BA16&gt;0,BB16-BA16,0)+IF(BB17-BA17&gt;0,BB17-BA17,0)+IF(BB10-BA10&gt;0,BB10-BA10,0)+IF(BB11-BA11&gt;0,BB11-BA11,0)+IF(BB18-BA18&gt;0,BB18-BA18,0)+IF(BB21-BA21&gt;0,BB21-BA21,0)+IF(BB19-BA19&gt;0,BB19-BA19,0)+IF(BB20-BA20&gt;0,BB20-BA20,0)</f>
        <v>2062</v>
      </c>
      <c r="BC30" s="91">
        <f>+IF(BC7-BB7&gt;0,BC7-BB7,0)+IF(BC8-BB8&gt;0,BC8-BB8,0)+IF(BC9-BB9&gt;0,BC9-BB9,0)+IF(BC12-BB12&gt;0,BC12-BB12,0)+IF(BC16-BB16&gt;0,BC16-BB16,0)+IF(BC17-BB17&gt;0,BC17-BB17,0)+IF(BC10-BB10&gt;0,BC10-BB10,0)+IF(BC11-BB11&gt;0,BC11-BB11,0)+IF(BC18-BB18&gt;0,BC18-BB18,0)+IF(BC21-BB21&gt;0,BC21-BB21,0)+IF(BC19-BB19&gt;0,BC19-BB19,0)+IF(BC20-BB20&gt;0,BC20-BB20,0)</f>
        <v>135</v>
      </c>
      <c r="BD30" s="97">
        <f>+IF(BD7-AY7&gt;0,BD7-AY7,0)+IF(BD8-AY8&gt;0,BD8-AY8,0)+IF(BD9-AY9&gt;0,BD9-AY9,0)+IF(BD12-AY12&gt;0,BD12-AY12,0)+IF(BD16-AY16&gt;0,BD16-AY16,0)+IF(BD17-AY17&gt;0,BD17-AY17,0)+IF(BD10-AY10&gt;0,BD10-AY10,0)+IF(BD11-AY11&gt;0,BD11-AY11,0)+IF(BD18-AY18&gt;0,BD18-AY18,0)+IF(BD21-AY21&gt;0,BD21-AY21,0)+IF(BD19-AY19&gt;0,BD19-AY19,0)+IF(BD20-AY20&gt;0,BD20-AY20,0)</f>
        <v>1669</v>
      </c>
      <c r="BE30" s="91">
        <f>+IF(BE7-BD7&gt;0,BE7-BD7,0)+IF(BE8-BD8&gt;0,BE8-BD8,0)+IF(BE9-BD9&gt;0,BE9-BD9,0)+IF(BE12-BD12&gt;0,BE12-BD12,0)+IF(BE16-BD16&gt;0,BE16-BD16,0)+IF(BE17-BD17&gt;0,BE17-BD17,0)+IF(BE10-BD10&gt;0,BE10-BD10,0)+IF(BE11-BD11&gt;0,BE11-BD11,0)+IF(BE18-BD18&gt;0,BE18-BD18,0)+IF(BE21-BD21&gt;0,BE21-BD21,0)+IF(BE19-BD19&gt;0,BE19-BD19,0)+IF(BE20-BD20&gt;0,BE20-BD20,0)</f>
        <v>422</v>
      </c>
      <c r="BF30" s="91">
        <f>+IF(BF7-BE7&gt;0,BF7-BE7,0)+IF(BF8-BE8&gt;0,BF8-BE8,0)+IF(BF9-BE9&gt;0,BF9-BE9,0)+IF(BF12-BE12&gt;0,BF12-BE12,0)+IF(BF16-BE16&gt;0,BF16-BE16,0)+IF(BF17-BE17&gt;0,BF17-BE17,0)+IF(BF10-BE10&gt;0,BF10-BE10,0)+IF(BF11-BE11&gt;0,BF11-BE11,0)+IF(BF18-BE18&gt;0,BF18-BE18,0)+IF(BF21-BE21&gt;0,BF21-BE21,0)+IF(BF19-BE19&gt;0,BF19-BE19,0)+IF(BF20-BE20&gt;0,BF20-BE20,0)</f>
        <v>0</v>
      </c>
      <c r="BG30" s="91">
        <f>+IF(BG7-BF7&gt;0,BG7-BF7,0)+IF(BG8-BF8&gt;0,BG8-BF8,0)+IF(BG9-BF9&gt;0,BG9-BF9,0)+IF(BG12-BF12&gt;0,BG12-BF12,0)+IF(BG16-BF16&gt;0,BG16-BF16,0)+IF(BG17-BF17&gt;0,BG17-BF17,0)+IF(BG10-BF10&gt;0,BG10-BF10,0)+IF(BG11-BF11&gt;0,BG11-BF11,0)+IF(BG18-BF18&gt;0,BG18-BF18,0)+IF(BG21-BF21&gt;0,BG21-BF21,0)+IF(BG19-BF19&gt;0,BG19-BF19,0)+IF(BG20-BF20&gt;0,BG20-BF20,0)</f>
        <v>0</v>
      </c>
      <c r="BH30" s="91">
        <f>+IF(BH7-BG7&gt;0,BH7-BG7,0)+IF(BH8-BG8&gt;0,BH8-BG8,0)+IF(BH9-BG9&gt;0,BH9-BG9,0)+IF(BH12-BG12&gt;0,BH12-BG12,0)+IF(BH16-BG16&gt;0,BH16-BG16,0)+IF(BH17-BG17&gt;0,BH17-BG17,0)+IF(BH10-BG10&gt;0,BH10-BG10,0)+IF(BH11-BG11&gt;0,BH11-BG11,0)+IF(BH18-BG18&gt;0,BH18-BG18,0)+IF(BH21-BG21&gt;0,BH21-BG21,0)+IF(BH19-BG19&gt;0,BH19-BG19,0)+IF(BH20-BG20&gt;0,BH20-BG20,0)</f>
        <v>0</v>
      </c>
      <c r="BI30" s="97">
        <f>+IF(BI7-BD7&gt;0,BI7-BD7,0)+IF(BI8-BD8&gt;0,BI8-BD8,0)+IF(BI9-BD9&gt;0,BI9-BD9,0)+IF(BI12-BD12&gt;0,BI12-BD12,0)+IF(BI16-BD16&gt;0,BI16-BD16,0)+IF(BI17-BD17&gt;0,BI17-BD17,0)+IF(BI10-BD10&gt;0,BI10-BD10,0)+IF(BI11-BD11&gt;0,BI11-BD11,0)+IF(BI18-BD18&gt;0,BI18-BD18,0)+IF(BI21-BD21&gt;0,BI21-BD21,0)+IF(BI19-BD19&gt;0,BI19-BD19,0)+IF(BI20-BD20&gt;0,BI20-BD20,0)</f>
        <v>334</v>
      </c>
    </row>
    <row r="31" spans="1:61" s="24" customFormat="1">
      <c r="A31" s="10" t="s">
        <v>162</v>
      </c>
      <c r="E31" s="87"/>
      <c r="F31" s="97"/>
      <c r="J31" s="87"/>
      <c r="K31" s="97"/>
      <c r="O31" s="87"/>
      <c r="P31" s="97"/>
      <c r="Q31" s="38"/>
      <c r="R31" s="38"/>
      <c r="S31" s="38"/>
      <c r="T31" s="38"/>
      <c r="U31" s="97"/>
      <c r="V31" s="38"/>
      <c r="W31" s="38"/>
      <c r="X31" s="38"/>
      <c r="Y31" s="38"/>
      <c r="Z31" s="97"/>
      <c r="AA31" s="38"/>
      <c r="AB31" s="38"/>
      <c r="AC31" s="38"/>
      <c r="AD31" s="38"/>
      <c r="AE31" s="97"/>
      <c r="AF31" s="38"/>
      <c r="AG31" s="38"/>
      <c r="AH31" s="38"/>
      <c r="AI31" s="91"/>
      <c r="AJ31" s="97"/>
      <c r="AK31" s="91"/>
      <c r="AL31" s="91"/>
      <c r="AM31" s="91"/>
      <c r="AN31" s="91"/>
      <c r="AO31" s="97"/>
      <c r="AP31" s="91">
        <f>+IF(AP7-AO7&lt;0,AP7-AO7,0)+IF(AP8-AO8&lt;0,AP8-AO8,0)+IF(AP9-AO9&lt;0,AP9-AO9,0)+IF(AP12-AO12&lt;0,AP12-AO12,0)+IF(AP16-AO16&lt;0,AP16-AO16,0)+IF(AP17-AO17&lt;0,AP17-AO17,0)+IF(AP10-AO10&lt;0,AP10-AO10,0)+IF(AP11-AO11&lt;0,AP11-AO11,0)+IF(AP18-AO18&lt;0,AP18-AO18,0)+IF(AP21-AO21&lt;0,AP21-AO21,0)+IF(AP19-AO19&lt;0,AP19-AO19,0)+IF(AP20-AO20&lt;0,AP20-AO20,0)</f>
        <v>-10066</v>
      </c>
      <c r="AQ31" s="91">
        <f>+IF(AQ7-AP7&lt;0,AQ7-AP7,0)+IF(AQ8-AP8&lt;0,AQ8-AP8,0)+IF(AQ9-AP9&lt;0,AQ9-AP9,0)+IF(AQ12-AP12&lt;0,AQ12-AP12,0)+IF(AQ16-AP16&lt;0,AQ16-AP16,0)+IF(AQ17-AP17&lt;0,AQ17-AP17,0)+IF(AQ10-AP10&lt;0,AQ10-AP10,0)+IF(AQ11-AP11&lt;0,AQ11-AP11,0)+IF(AQ18-AP18&lt;0,AQ18-AP18,0)+IF(AQ21-AP21&lt;0,AQ21-AP21,0)+IF(AQ19-AP19&lt;0,AQ19-AP19,0)+IF(AQ20-AP20&lt;0,AQ20-AP20,0)</f>
        <v>-1009</v>
      </c>
      <c r="AR31" s="503">
        <f>+IF(AR7-AQ7&lt;0,AR7-AQ7,0)+IF(AR8-AQ8&lt;0,AR8-AQ8,0)+IF(AR9-AQ9&lt;0,AR9-AQ9,0)+IF(AR12-AQ12&lt;0,AR12-AQ12,0)+IF(AR16-AQ16&lt;0,AR16-AQ16,0)+IF(AR17-AQ17&lt;0,AR17-AQ17,0)+IF(AR10-AQ10&lt;0,AR10-AQ10,0)+IF(AR11-AQ11&lt;0,AR11-AQ11,0)+IF(AR18-AQ18&lt;0,AR18-AQ18,0)+IF(AR21-AQ21&lt;0,AR21-AQ21,0)+IF(AR19-AQ19&lt;0,AR19-AQ19,0)+IF(AR20-AQ20&lt;0,AR20-AQ20,0)</f>
        <v>-960</v>
      </c>
      <c r="AS31" s="503">
        <f>+IF(AS7-AR7&lt;0,AS7-AR7,0)+IF(AS8-AR8&lt;0,AS8-AR8,0)+IF(AS9-AR9&lt;0,AS9-AR9,0)+IF(AS12-AR12&lt;0,AS12-AR12,0)+IF(AS16-AR16&lt;0,AS16-AR16,0)+IF(AS17-AR17&lt;0,AS17-AR17,0)+IF(AS10-AR10&lt;0,AS10-AR10,0)+IF(AS11-AR11&lt;0,AS11-AR11,0)+IF(AS18-AR18&lt;0,AS18-AR18,0)+IF(AS21-AR21&lt;0,AS21-AR21,0)+IF(AS19-AR19&lt;0,AS19-AR19,0)+IF(AS20-AR20&lt;0,AS20-AR20,0)</f>
        <v>-20260</v>
      </c>
      <c r="AT31" s="97">
        <f>+IF(AT7-AO7&lt;0,AT7-AO7,0)+IF(AT8-AO8&lt;0,AT8-AO8,0)+IF(AT9-AO9&lt;0,AT9-AO9,0)+IF(AT12-AO12&lt;0,AT12-AO12,0)+IF(AT16-AO16&lt;0,AT16-AO16,0)+IF(AT17-AO17&lt;0,AT17-AO17,0)+IF(AT10-AO10&lt;0,AT10-AO10,0)+IF(AT11-AO11&lt;0,AT11-AO11,0)+IF(AT18-AO18&lt;0,AT18-AO18,0)+IF(AT21-AO21&lt;0,AT21-AO21,0)+IF(AT19-AO19&lt;0,AT19-AO19,0)+IF(AT20-AO20&lt;0,AT20-AO20,0)</f>
        <v>-31789</v>
      </c>
      <c r="AU31" s="91">
        <f>+IF(AU7-AT7&lt;0,AU7-AT7,0)+IF(AU8-AT8&lt;0,AU8-AT8,0)+IF(AU9-AT9&lt;0,AU9-AT9,0)+IF(AU12-AT12&lt;0,AU12-AT12,0)+IF(AU16-AT16&lt;0,AU16-AT16,0)+IF(AU17-AT17&lt;0,AU17-AT17,0)+IF(AU10-AT10&lt;0,AU10-AT10,0)+IF(AU11-AT11&lt;0,AU11-AT11,0)+IF(AU18-AT18&lt;0,AU18-AT18,0)+IF(AU21-AT21&lt;0,AU21-AT21,0)+IF(AU19-AT19&lt;0,AU19-AT19,0)+IF(AU20-AT20&lt;0,AU20-AT20,0)</f>
        <v>0</v>
      </c>
      <c r="AV31" s="91">
        <f>+IF(AV7-AU7&lt;0,AV7-AU7,0)+IF(AV8-AU8&lt;0,AV8-AU8,0)+IF(AV9-AU9&lt;0,AV9-AU9,0)+IF(AV12-AU12&lt;0,AV12-AU12,0)+IF(AV16-AU16&lt;0,AV16-AU16,0)+IF(AV17-AU17&lt;0,AV17-AU17,0)+IF(AV10-AU10&lt;0,AV10-AU10,0)+IF(AV11-AU11&lt;0,AV11-AU11,0)+IF(AV18-AU18&lt;0,AV18-AU18,0)+IF(AV21-AU21&lt;0,AV21-AU21,0)+IF(AV19-AU19&lt;0,AV19-AU19,0)+IF(AV20-AU20&lt;0,AV20-AU20,0)</f>
        <v>-1481</v>
      </c>
      <c r="AW31" s="91">
        <f>+IF(AW7-AV7&lt;0,AW7-AV7,0)+IF(AW8-AV8&lt;0,AW8-AV8,0)+IF(AW9-AV9&lt;0,AW9-AV9,0)+IF(AW12-AV12&lt;0,AW12-AV12,0)+IF(AW16-AV16&lt;0,AW16-AV16,0)+IF(AW17-AV17&lt;0,AW17-AV17,0)+IF(AW10-AV10&lt;0,AW10-AV10,0)+IF(AW11-AV11&lt;0,AW11-AV11,0)+IF(AW18-AV18&lt;0,AW18-AV18,0)+IF(AW21-AV21&lt;0,AW21-AV21,0)+IF(AW19-AV19&lt;0,AW19-AV19,0)+IF(AW20-AV20&lt;0,AW20-AV20,0)</f>
        <v>-22</v>
      </c>
      <c r="AX31" s="91">
        <f>+IF(AX7-AW7&lt;0,AX7-AW7,0)+IF(AX8-AW8&lt;0,AX8-AW8,0)+IF(AX9-AW9&lt;0,AX9-AW9,0)+IF(AX12-AW12&lt;0,AX12-AW12,0)+IF(AX16-AW16&lt;0,AX16-AW16,0)+IF(AX17-AW17&lt;0,AX17-AW17,0)+IF(AX10-AW10&lt;0,AX10-AW10,0)+IF(AX11-AW11&lt;0,AX11-AW11,0)+IF(AX18-AW18&lt;0,AX18-AW18,0)+IF(AX21-AW21&lt;0,AX21-AW21,0)+IF(AX19-AW19&lt;0,AX19-AW19,0)+IF(AX20-AW20&lt;0,AX20-AW20,0)</f>
        <v>-1006</v>
      </c>
      <c r="AY31" s="97">
        <f>+IF(AY7-AT7&lt;0,AY7-AT7,0)+IF(AY8-AT8&lt;0,AY8-AT8,0)+IF(AY9-AT9&lt;0,AY9-AT9,0)+IF(AY12-AT12&lt;0,AY12-AT12,0)+IF(AY16-AT16&lt;0,AY16-AT16,0)+IF(AY17-AT17&lt;0,AY17-AT17,0)+IF(AY10-AT10&lt;0,AY10-AT10,0)+IF(AY11-AT11&lt;0,AY11-AT11,0)+IF(AY18-AT18&lt;0,AY18-AT18,0)+IF(AY21-AT21&lt;0,AY21-AT21,0)+IF(AY19-AT19&lt;0,AY19-AT19,0)+IF(AY20-AT20&lt;0,AY20-AT20,0)</f>
        <v>-2220</v>
      </c>
      <c r="AZ31" s="91">
        <f>+IF(AZ7-AY7&lt;0,AZ7-AY7,0)+IF(AZ8-AY8&lt;0,AZ8-AY8,0)+IF(AZ9-AY9&lt;0,AZ9-AY9,0)+IF(AZ12-AY12&lt;0,AZ12-AY12,0)+IF(AZ16-AY16&lt;0,AZ16-AY16,0)+IF(AZ17-AY17&lt;0,AZ17-AY17,0)+IF(AZ10-AY10&lt;0,AZ10-AY10,0)+IF(AZ11-AY11&lt;0,AZ11-AY11,0)+IF(AZ18-AY18&lt;0,AZ18-AY18,0)+IF(AZ21-AY21&lt;0,AZ21-AY21,0)+IF(AZ19-AY19&lt;0,AZ19-AY19,0)+IF(AZ20-AY20&lt;0,AZ20-AY20,0)</f>
        <v>-13</v>
      </c>
      <c r="BA31" s="91">
        <f>+IF(BA7-AZ7&lt;0,BA7-AZ7,0)+IF(BA8-AZ8&lt;0,BA8-AZ8,0)+IF(BA9-AZ9&lt;0,BA9-AZ9,0)+IF(BA12-AZ12&lt;0,BA12-AZ12,0)+IF(BA16-AZ16&lt;0,BA16-AZ16,0)+IF(BA17-AZ17&lt;0,BA17-AZ17,0)+IF(BA10-AZ10&lt;0,BA10-AZ10,0)+IF(BA11-AZ11&lt;0,BA11-AZ11,0)+IF(BA18-AZ18&lt;0,BA18-AZ18,0)+IF(BA21-AZ21&lt;0,BA21-AZ21,0)+IF(BA19-AZ19&lt;0,BA19-AZ19,0)+IF(BA20-AZ20&lt;0,BA20-AZ20,0)</f>
        <v>-807</v>
      </c>
      <c r="BB31" s="91">
        <f>+IF(BB7-BA7&lt;0,BB7-BA7,0)+IF(BB8-BA8&lt;0,BB8-BA8,0)+IF(BB9-BA9&lt;0,BB9-BA9,0)+IF(BB12-BA12&lt;0,BB12-BA12,0)+IF(BB16-BA16&lt;0,BB16-BA16,0)+IF(BB17-BA17&lt;0,BB17-BA17,0)+IF(BB10-BA10&lt;0,BB10-BA10,0)+IF(BB11-BA11&lt;0,BB11-BA11,0)+IF(BB18-BA18&lt;0,BB18-BA18,0)+IF(BB21-BA21&lt;0,BB21-BA21,0)+IF(BB19-BA19&lt;0,BB19-BA19,0)+IF(BB20-BA20&lt;0,BB20-BA20,0)</f>
        <v>-111</v>
      </c>
      <c r="BC31" s="91">
        <f>+IF(BC7-BB7&lt;0,BC7-BB7,0)+IF(BC8-BB8&lt;0,BC8-BB8,0)+IF(BC9-BB9&lt;0,BC9-BB9,0)+IF(BC12-BB12&lt;0,BC12-BB12,0)+IF(BC16-BB16&lt;0,BC16-BB16,0)+IF(BC17-BB17&lt;0,BC17-BB17,0)+IF(BC10-BB10&lt;0,BC10-BB10,0)+IF(BC11-BB11&lt;0,BC11-BB11,0)+IF(BC18-BB18&lt;0,BC18-BB18,0)+IF(BC21-BB21&lt;0,BC21-BB21,0)+IF(BC19-BB19&lt;0,BC19-BB19,0)+IF(BC20-BB20&lt;0,BC20-BB20,0)</f>
        <v>-479</v>
      </c>
      <c r="BD31" s="97">
        <f>+IF(BD7-AY7&lt;0,BD7-AY7,0)+IF(BD8-AY8&lt;0,BD8-AY8,0)+IF(BD9-AY9&lt;0,BD9-AY9,0)+IF(BD12-AY12&lt;0,BD12-AY12,0)+IF(BD16-AY16&lt;0,BD16-AY16,0)+IF(BD17-AY17&lt;0,BD17-AY17,0)+IF(BD10-AY10&lt;0,BD10-AY10,0)+IF(BD11-AY11&lt;0,BD11-AY11,0)+IF(BD18-AY18&lt;0,BD18-AY18,0)+IF(BD21-AY21&lt;0,BD21-AY21,0)+IF(BD19-AY19&lt;0,BD19-AY19,0)+IF(BD20-AY20&lt;0,BD20-AY20,0)</f>
        <v>-448</v>
      </c>
      <c r="BE31" s="91">
        <f>+IF(BE7-BD7&lt;0,BE7-BD7,0)+IF(BE8-BD8&lt;0,BE8-BD8,0)+IF(BE9-BD9&lt;0,BE9-BD9,0)+IF(BE12-BD12&lt;0,BE12-BD12,0)+IF(BE16-BD16&lt;0,BE16-BD16,0)+IF(BE17-BD17&lt;0,BE17-BD17,0)+IF(BE10-BD10&lt;0,BE10-BD10,0)+IF(BE11-BD11&lt;0,BE11-BD11,0)+IF(BE18-BD18&lt;0,BE18-BD18,0)+IF(BE21-BD21&lt;0,BE21-BD21,0)+IF(BE19-BD19&lt;0,BE19-BD19,0)+IF(BE20-BD20&lt;0,BE20-BD20,0)</f>
        <v>-639</v>
      </c>
      <c r="BF31" s="91">
        <f>+IF(BF7-BE7&lt;0,BF7-BE7,0)+IF(BF8-BE8&lt;0,BF8-BE8,0)+IF(BF9-BE9&lt;0,BF9-BE9,0)+IF(BF12-BE12&lt;0,BF12-BE12,0)+IF(BF16-BE16&lt;0,BF16-BE16,0)+IF(BF17-BE17&lt;0,BF17-BE17,0)+IF(BF10-BE10&lt;0,BF10-BE10,0)+IF(BF11-BE11&lt;0,BF11-BE11,0)+IF(BF18-BE18&lt;0,BF18-BE18,0)+IF(BF21-BE21&lt;0,BF21-BE21,0)+IF(BF19-BE19&lt;0,BF19-BE19,0)+IF(BF20-BE20&lt;0,BF20-BE20,0)</f>
        <v>-1120</v>
      </c>
      <c r="BG31" s="91">
        <f>+IF(BG7-BF7&lt;0,BG7-BF7,0)+IF(BG8-BF8&lt;0,BG8-BF8,0)+IF(BG9-BF9&lt;0,BG9-BF9,0)+IF(BG12-BF12&lt;0,BG12-BF12,0)+IF(BG16-BF16&lt;0,BG16-BF16,0)+IF(BG17-BF17&lt;0,BG17-BF17,0)+IF(BG10-BF10&lt;0,BG10-BF10,0)+IF(BG11-BF11&lt;0,BG11-BF11,0)+IF(BG18-BF18&lt;0,BG18-BF18,0)+IF(BG21-BF21&lt;0,BG21-BF21,0)+IF(BG19-BF19&lt;0,BG19-BF19,0)+IF(BG20-BF20&lt;0,BG20-BF20,0)</f>
        <v>0</v>
      </c>
      <c r="BH31" s="91">
        <f>+IF(BH7-BG7&lt;0,BH7-BG7,0)+IF(BH8-BG8&lt;0,BH8-BG8,0)+IF(BH9-BG9&lt;0,BH9-BG9,0)+IF(BH12-BG12&lt;0,BH12-BG12,0)+IF(BH16-BG16&lt;0,BH16-BG16,0)+IF(BH17-BG17&lt;0,BH17-BG17,0)+IF(BH10-BG10&lt;0,BH10-BG10,0)+IF(BH11-BG11&lt;0,BH11-BG11,0)+IF(BH18-BG18&lt;0,BH18-BG18,0)+IF(BH21-BG21&lt;0,BH21-BG21,0)+IF(BH19-BG19&lt;0,BH19-BG19,0)+IF(BH20-BG20&lt;0,BH20-BG20,0)</f>
        <v>0</v>
      </c>
      <c r="BI31" s="97">
        <f>+IF(BI7-BD7&lt;0,BI7-BD7,0)+IF(BI8-BD8&lt;0,BI8-BD8,0)+IF(BI9-BD9&lt;0,BI9-BD9,0)+IF(BI12-BD12&lt;0,BI12-BD12,0)+IF(BI16-BD16&lt;0,BI16-BD16,0)+IF(BI17-BD17&lt;0,BI17-BD17,0)+IF(BI10-BD10&lt;0,BI10-BD10,0)+IF(BI11-BD11&lt;0,BI11-BD11,0)+IF(BI18-BD18&lt;0,BI18-BD18,0)+IF(BI21-BD21&lt;0,BI21-BD21,0)+IF(BI19-BD19&lt;0,BI19-BD19,0)+IF(BI20-BD20&lt;0,BI20-BD20,0)</f>
        <v>-1671</v>
      </c>
    </row>
    <row r="32" spans="1:61" s="24" customFormat="1">
      <c r="A32" s="10" t="s">
        <v>163</v>
      </c>
      <c r="E32" s="87"/>
      <c r="F32" s="97"/>
      <c r="J32" s="87"/>
      <c r="K32" s="97"/>
      <c r="O32" s="87"/>
      <c r="P32" s="97"/>
      <c r="Q32" s="89"/>
      <c r="R32" s="89"/>
      <c r="S32" s="89"/>
      <c r="T32" s="89"/>
      <c r="U32" s="110"/>
      <c r="V32" s="89"/>
      <c r="W32" s="89"/>
      <c r="X32" s="89"/>
      <c r="Y32" s="89"/>
      <c r="Z32" s="110"/>
      <c r="AA32" s="89"/>
      <c r="AB32" s="89"/>
      <c r="AC32" s="89"/>
      <c r="AD32" s="89"/>
      <c r="AE32" s="110"/>
      <c r="AF32" s="89"/>
      <c r="AG32" s="89"/>
      <c r="AH32" s="89"/>
      <c r="AI32" s="89"/>
      <c r="AJ32" s="110"/>
      <c r="AK32" s="89"/>
      <c r="AL32" s="89"/>
      <c r="AM32" s="89"/>
      <c r="AN32" s="89"/>
      <c r="AO32" s="110"/>
      <c r="AP32" s="89">
        <f>AP31+AP30</f>
        <v>-9930</v>
      </c>
      <c r="AQ32" s="89">
        <f>AQ31+AQ30</f>
        <v>-639</v>
      </c>
      <c r="AR32" s="486">
        <f>AR31+AR30</f>
        <v>-960</v>
      </c>
      <c r="AS32" s="486">
        <f>AS31+AS30</f>
        <v>-297</v>
      </c>
      <c r="AT32" s="110">
        <f>+AT30+AT31</f>
        <v>-11826</v>
      </c>
      <c r="AU32" s="89">
        <f t="shared" ref="AU32:BA32" si="37">AU31+AU30</f>
        <v>0</v>
      </c>
      <c r="AV32" s="89">
        <f t="shared" si="37"/>
        <v>-852</v>
      </c>
      <c r="AW32" s="89">
        <f t="shared" si="37"/>
        <v>249</v>
      </c>
      <c r="AX32" s="89">
        <f t="shared" si="37"/>
        <v>-649</v>
      </c>
      <c r="AY32" s="110">
        <f>+AY30+AY31</f>
        <v>-1252</v>
      </c>
      <c r="AZ32" s="89">
        <f t="shared" si="37"/>
        <v>298</v>
      </c>
      <c r="BA32" s="89">
        <f t="shared" si="37"/>
        <v>-684</v>
      </c>
      <c r="BB32" s="89">
        <f t="shared" ref="BB32:BC32" si="38">BB31+BB30</f>
        <v>1951</v>
      </c>
      <c r="BC32" s="89">
        <f t="shared" si="38"/>
        <v>-344</v>
      </c>
      <c r="BD32" s="110">
        <f>+BD30+BD31</f>
        <v>1221</v>
      </c>
      <c r="BE32" s="89">
        <f t="shared" ref="BE32" si="39">BE31+BE30</f>
        <v>-217</v>
      </c>
      <c r="BF32" s="89">
        <f t="shared" ref="BF32:BH32" si="40">BF31+BF30</f>
        <v>-1120</v>
      </c>
      <c r="BG32" s="89">
        <f t="shared" si="40"/>
        <v>0</v>
      </c>
      <c r="BH32" s="89">
        <f t="shared" si="40"/>
        <v>0</v>
      </c>
      <c r="BI32" s="110">
        <f>+BI30+BI31</f>
        <v>-1337</v>
      </c>
    </row>
    <row r="33" spans="1:61" s="24" customFormat="1">
      <c r="A33" s="10"/>
      <c r="E33" s="87"/>
      <c r="F33" s="97"/>
      <c r="J33" s="87"/>
      <c r="K33" s="97"/>
      <c r="O33" s="87"/>
      <c r="P33" s="97"/>
      <c r="T33" s="87"/>
      <c r="U33" s="97"/>
      <c r="Y33" s="87"/>
      <c r="Z33" s="97"/>
      <c r="AA33" s="20"/>
      <c r="AE33" s="25"/>
      <c r="AJ33" s="25"/>
      <c r="AO33" s="25"/>
      <c r="AR33" s="420"/>
      <c r="AS33" s="420"/>
      <c r="AT33" s="25"/>
      <c r="AY33" s="25"/>
      <c r="BD33" s="25"/>
      <c r="BI33" s="25"/>
    </row>
    <row r="34" spans="1:61" s="24" customFormat="1">
      <c r="A34" s="6" t="s">
        <v>164</v>
      </c>
      <c r="B34" s="111"/>
      <c r="C34" s="111"/>
      <c r="D34" s="111"/>
      <c r="E34" s="111"/>
      <c r="F34" s="112"/>
      <c r="G34" s="111"/>
      <c r="H34" s="111"/>
      <c r="I34" s="111"/>
      <c r="J34" s="111"/>
      <c r="K34" s="112"/>
      <c r="L34" s="111"/>
      <c r="M34" s="111"/>
      <c r="N34" s="111"/>
      <c r="O34" s="111"/>
      <c r="P34" s="112"/>
      <c r="Q34" s="111"/>
      <c r="R34" s="111"/>
      <c r="S34" s="111"/>
      <c r="T34" s="111"/>
      <c r="U34" s="112"/>
      <c r="V34" s="111"/>
      <c r="W34" s="111"/>
      <c r="X34" s="111"/>
      <c r="Y34" s="111"/>
      <c r="Z34" s="112"/>
      <c r="AA34" s="111"/>
      <c r="AB34" s="111"/>
      <c r="AC34" s="111"/>
      <c r="AD34" s="111"/>
      <c r="AE34" s="112"/>
      <c r="AF34" s="111"/>
      <c r="AG34" s="111"/>
      <c r="AH34" s="111"/>
      <c r="AI34" s="111"/>
      <c r="AJ34" s="112"/>
      <c r="AK34" s="111"/>
      <c r="AL34" s="111"/>
      <c r="AM34" s="111"/>
      <c r="AN34" s="111"/>
      <c r="AO34" s="112"/>
      <c r="AP34" s="111"/>
      <c r="AQ34" s="111"/>
      <c r="AR34" s="111"/>
      <c r="AS34" s="111"/>
      <c r="AT34" s="112"/>
      <c r="AU34" s="111"/>
      <c r="AV34" s="111"/>
      <c r="AW34" s="111"/>
      <c r="AX34" s="111"/>
      <c r="AY34" s="112"/>
      <c r="AZ34" s="111"/>
      <c r="BA34" s="111"/>
      <c r="BB34" s="111"/>
      <c r="BC34" s="111"/>
      <c r="BD34" s="112"/>
      <c r="BE34" s="111"/>
      <c r="BF34" s="111"/>
      <c r="BG34" s="111"/>
      <c r="BH34" s="111"/>
      <c r="BI34" s="112"/>
    </row>
    <row r="35" spans="1:61" s="24" customFormat="1">
      <c r="A35" s="335" t="str">
        <f>+A6</f>
        <v>Short-Term</v>
      </c>
      <c r="B35" s="182"/>
      <c r="C35" s="182"/>
      <c r="D35" s="182"/>
      <c r="E35" s="30"/>
      <c r="F35" s="183"/>
      <c r="G35" s="182"/>
      <c r="H35" s="182"/>
      <c r="I35" s="182"/>
      <c r="J35" s="30"/>
      <c r="K35" s="183"/>
      <c r="L35" s="182"/>
      <c r="M35" s="182"/>
      <c r="N35" s="182"/>
      <c r="O35" s="30"/>
      <c r="P35" s="185"/>
      <c r="Q35" s="30"/>
      <c r="R35" s="30"/>
      <c r="S35" s="30"/>
      <c r="T35" s="30"/>
      <c r="U35" s="185"/>
      <c r="V35" s="30"/>
      <c r="W35" s="30"/>
      <c r="X35" s="30"/>
      <c r="Y35" s="30"/>
      <c r="Z35" s="183"/>
      <c r="AA35" s="182"/>
      <c r="AB35" s="182"/>
      <c r="AC35" s="182"/>
      <c r="AD35" s="182"/>
      <c r="AE35" s="185"/>
      <c r="AF35" s="182"/>
      <c r="AG35" s="182"/>
      <c r="AH35" s="182"/>
      <c r="AI35" s="182"/>
      <c r="AJ35" s="185"/>
      <c r="AK35" s="182"/>
      <c r="AL35" s="182"/>
      <c r="AM35" s="182"/>
      <c r="AN35" s="182"/>
      <c r="AO35" s="183"/>
      <c r="AP35" s="182"/>
      <c r="AQ35" s="182"/>
      <c r="AR35" s="504"/>
      <c r="AS35" s="504"/>
      <c r="AT35" s="185"/>
      <c r="AU35" s="182"/>
      <c r="AV35" s="182"/>
      <c r="AW35" s="182"/>
      <c r="AX35" s="182"/>
      <c r="AY35" s="185"/>
      <c r="AZ35" s="182"/>
      <c r="BA35" s="182"/>
      <c r="BB35" s="182"/>
      <c r="BC35" s="182"/>
      <c r="BD35" s="185"/>
      <c r="BE35" s="182"/>
      <c r="BF35" s="182"/>
      <c r="BG35" s="182"/>
      <c r="BH35" s="182"/>
      <c r="BI35" s="185"/>
    </row>
    <row r="36" spans="1:61" s="24" customFormat="1">
      <c r="A36" s="3" t="str">
        <f>+A7</f>
        <v>Senior notes issued by GE</v>
      </c>
      <c r="B36" s="182"/>
      <c r="C36" s="182"/>
      <c r="D36" s="182"/>
      <c r="E36" s="30"/>
      <c r="F36" s="183"/>
      <c r="G36" s="182"/>
      <c r="H36" s="182"/>
      <c r="I36" s="182"/>
      <c r="J36" s="30"/>
      <c r="K36" s="183"/>
      <c r="L36" s="182"/>
      <c r="M36" s="182"/>
      <c r="N36" s="182"/>
      <c r="O36" s="30"/>
      <c r="P36" s="183"/>
      <c r="Q36" s="30"/>
      <c r="R36" s="30"/>
      <c r="S36" s="30"/>
      <c r="T36" s="30"/>
      <c r="U36" s="183"/>
      <c r="V36" s="30"/>
      <c r="W36" s="30"/>
      <c r="X36" s="30"/>
      <c r="Y36" s="30"/>
      <c r="Z36" s="183"/>
      <c r="AA36" s="182"/>
      <c r="AB36" s="182"/>
      <c r="AC36" s="182"/>
      <c r="AD36" s="182"/>
      <c r="AE36" s="185"/>
      <c r="AF36" s="182"/>
      <c r="AG36" s="182"/>
      <c r="AH36" s="182"/>
      <c r="AI36" s="182"/>
      <c r="AJ36" s="185"/>
      <c r="AK36" s="182"/>
      <c r="AL36" s="182"/>
      <c r="AM36" s="182"/>
      <c r="AN36" s="182">
        <v>1.04E-2</v>
      </c>
      <c r="AO36" s="183">
        <v>1.04E-2</v>
      </c>
      <c r="AP36" s="30">
        <f>+AO36</f>
        <v>1.04E-2</v>
      </c>
      <c r="AQ36" s="30">
        <f>+AP36</f>
        <v>1.04E-2</v>
      </c>
      <c r="AR36" s="499">
        <f>+AQ36</f>
        <v>1.04E-2</v>
      </c>
      <c r="AS36" s="499">
        <f t="shared" ref="AS36:AS41" si="41">AT36</f>
        <v>0</v>
      </c>
      <c r="AT36" s="185">
        <v>0</v>
      </c>
      <c r="AU36" s="30">
        <f>+AT36</f>
        <v>0</v>
      </c>
      <c r="AV36" s="30">
        <f>+AU36</f>
        <v>0</v>
      </c>
      <c r="AW36" s="30">
        <f>+AV36</f>
        <v>0</v>
      </c>
      <c r="AX36" s="30">
        <f>+AW36</f>
        <v>0</v>
      </c>
      <c r="AY36" s="185">
        <f t="shared" ref="AY36:AY41" si="42">AX36</f>
        <v>0</v>
      </c>
      <c r="AZ36" s="30">
        <f t="shared" ref="AZ36:BB39" si="43">+AY36</f>
        <v>0</v>
      </c>
      <c r="BA36" s="30">
        <f t="shared" si="43"/>
        <v>0</v>
      </c>
      <c r="BB36" s="30">
        <f t="shared" si="43"/>
        <v>0</v>
      </c>
      <c r="BC36" s="30">
        <f>+BB36</f>
        <v>0</v>
      </c>
      <c r="BD36" s="185">
        <f t="shared" ref="BD36:BD41" si="44">BC36</f>
        <v>0</v>
      </c>
      <c r="BE36" s="30">
        <f t="shared" ref="BE36:BE39" si="45">+BD36</f>
        <v>0</v>
      </c>
      <c r="BF36" s="30">
        <f t="shared" ref="BF36:BF41" si="46">+BE36</f>
        <v>0</v>
      </c>
      <c r="BG36" s="30">
        <f t="shared" ref="BG36:BG41" si="47">+BF36</f>
        <v>0</v>
      </c>
      <c r="BH36" s="30">
        <f t="shared" ref="BH36:BH41" si="48">+BG36</f>
        <v>0</v>
      </c>
      <c r="BI36" s="185">
        <f t="shared" ref="BI36:BI38" si="49">BH36</f>
        <v>0</v>
      </c>
    </row>
    <row r="37" spans="1:61" s="24" customFormat="1">
      <c r="A37" s="3" t="str">
        <f>+A8</f>
        <v>Senior and subordinated notes assumed by GE</v>
      </c>
      <c r="B37" s="182"/>
      <c r="C37" s="182"/>
      <c r="D37" s="182"/>
      <c r="E37" s="30"/>
      <c r="F37" s="183"/>
      <c r="G37" s="182"/>
      <c r="H37" s="182"/>
      <c r="I37" s="182"/>
      <c r="J37" s="30"/>
      <c r="K37" s="183"/>
      <c r="L37" s="182"/>
      <c r="M37" s="182"/>
      <c r="N37" s="182"/>
      <c r="O37" s="30"/>
      <c r="P37" s="183"/>
      <c r="Q37" s="30"/>
      <c r="R37" s="30"/>
      <c r="S37" s="30"/>
      <c r="T37" s="30"/>
      <c r="U37" s="183"/>
      <c r="V37" s="30"/>
      <c r="W37" s="30"/>
      <c r="X37" s="30"/>
      <c r="Y37" s="30"/>
      <c r="Z37" s="183"/>
      <c r="AA37" s="182"/>
      <c r="AB37" s="182"/>
      <c r="AC37" s="182"/>
      <c r="AD37" s="182"/>
      <c r="AE37" s="185"/>
      <c r="AF37" s="182"/>
      <c r="AG37" s="182"/>
      <c r="AH37" s="182"/>
      <c r="AI37" s="182"/>
      <c r="AJ37" s="185"/>
      <c r="AK37" s="182"/>
      <c r="AL37" s="182"/>
      <c r="AM37" s="182"/>
      <c r="AN37" s="182">
        <v>1.4999999999999999E-2</v>
      </c>
      <c r="AO37" s="183">
        <v>1.4999999999999999E-2</v>
      </c>
      <c r="AP37" s="30">
        <f t="shared" ref="AP37:AR41" si="50">+AO37</f>
        <v>1.4999999999999999E-2</v>
      </c>
      <c r="AQ37" s="30">
        <f t="shared" si="50"/>
        <v>1.4999999999999999E-2</v>
      </c>
      <c r="AR37" s="499">
        <f t="shared" si="50"/>
        <v>1.4999999999999999E-2</v>
      </c>
      <c r="AS37" s="499">
        <f t="shared" si="41"/>
        <v>0</v>
      </c>
      <c r="AT37" s="185">
        <v>0</v>
      </c>
      <c r="AU37" s="30">
        <f t="shared" ref="AU37:AW41" si="51">+AT37</f>
        <v>0</v>
      </c>
      <c r="AV37" s="30">
        <f t="shared" si="51"/>
        <v>0</v>
      </c>
      <c r="AW37" s="30">
        <f t="shared" si="51"/>
        <v>0</v>
      </c>
      <c r="AX37" s="30">
        <f>+AW37</f>
        <v>0</v>
      </c>
      <c r="AY37" s="185">
        <f t="shared" si="42"/>
        <v>0</v>
      </c>
      <c r="AZ37" s="30">
        <f t="shared" si="43"/>
        <v>0</v>
      </c>
      <c r="BA37" s="30">
        <f t="shared" si="43"/>
        <v>0</v>
      </c>
      <c r="BB37" s="30">
        <f t="shared" si="43"/>
        <v>0</v>
      </c>
      <c r="BC37" s="30">
        <f>+BB37</f>
        <v>0</v>
      </c>
      <c r="BD37" s="185">
        <f t="shared" si="44"/>
        <v>0</v>
      </c>
      <c r="BE37" s="30">
        <f t="shared" si="45"/>
        <v>0</v>
      </c>
      <c r="BF37" s="30">
        <f t="shared" si="46"/>
        <v>0</v>
      </c>
      <c r="BG37" s="30">
        <f t="shared" si="47"/>
        <v>0</v>
      </c>
      <c r="BH37" s="30">
        <f t="shared" si="48"/>
        <v>0</v>
      </c>
      <c r="BI37" s="185">
        <f t="shared" si="49"/>
        <v>0</v>
      </c>
    </row>
    <row r="38" spans="1:61" s="24" customFormat="1">
      <c r="A38" s="3" t="str">
        <f>+A9</f>
        <v>Senior notes issued by GE Capital</v>
      </c>
      <c r="B38" s="182"/>
      <c r="C38" s="182"/>
      <c r="D38" s="182"/>
      <c r="E38" s="30"/>
      <c r="F38" s="183"/>
      <c r="G38" s="182"/>
      <c r="H38" s="182"/>
      <c r="I38" s="182"/>
      <c r="J38" s="30"/>
      <c r="K38" s="183"/>
      <c r="L38" s="182"/>
      <c r="M38" s="182"/>
      <c r="N38" s="182"/>
      <c r="O38" s="30"/>
      <c r="P38" s="183"/>
      <c r="Q38" s="30"/>
      <c r="R38" s="30"/>
      <c r="S38" s="30"/>
      <c r="T38" s="30"/>
      <c r="U38" s="183"/>
      <c r="V38" s="30"/>
      <c r="W38" s="30"/>
      <c r="X38" s="30"/>
      <c r="Y38" s="30"/>
      <c r="Z38" s="183"/>
      <c r="AA38" s="182"/>
      <c r="AB38" s="182"/>
      <c r="AC38" s="182"/>
      <c r="AD38" s="182"/>
      <c r="AE38" s="185"/>
      <c r="AF38" s="182"/>
      <c r="AG38" s="182"/>
      <c r="AH38" s="182"/>
      <c r="AI38" s="182"/>
      <c r="AJ38" s="185"/>
      <c r="AK38" s="182"/>
      <c r="AL38" s="182"/>
      <c r="AM38" s="182"/>
      <c r="AN38" s="182">
        <v>1.54E-2</v>
      </c>
      <c r="AO38" s="183">
        <v>1.54E-2</v>
      </c>
      <c r="AP38" s="30">
        <f t="shared" si="50"/>
        <v>1.54E-2</v>
      </c>
      <c r="AQ38" s="30">
        <f t="shared" si="50"/>
        <v>1.54E-2</v>
      </c>
      <c r="AR38" s="499">
        <f t="shared" si="50"/>
        <v>1.54E-2</v>
      </c>
      <c r="AS38" s="499">
        <f t="shared" si="41"/>
        <v>0</v>
      </c>
      <c r="AT38" s="185">
        <v>0</v>
      </c>
      <c r="AU38" s="30">
        <f t="shared" si="51"/>
        <v>0</v>
      </c>
      <c r="AV38" s="30">
        <f t="shared" si="51"/>
        <v>0</v>
      </c>
      <c r="AW38" s="30">
        <f t="shared" si="51"/>
        <v>0</v>
      </c>
      <c r="AX38" s="30">
        <f>+AW38</f>
        <v>0</v>
      </c>
      <c r="AY38" s="185">
        <f t="shared" si="42"/>
        <v>0</v>
      </c>
      <c r="AZ38" s="30">
        <f t="shared" si="43"/>
        <v>0</v>
      </c>
      <c r="BA38" s="30">
        <f t="shared" si="43"/>
        <v>0</v>
      </c>
      <c r="BB38" s="30">
        <f t="shared" si="43"/>
        <v>0</v>
      </c>
      <c r="BC38" s="30">
        <f>+BB38</f>
        <v>0</v>
      </c>
      <c r="BD38" s="185">
        <f t="shared" si="44"/>
        <v>0</v>
      </c>
      <c r="BE38" s="30">
        <f t="shared" si="45"/>
        <v>0</v>
      </c>
      <c r="BF38" s="30">
        <f t="shared" si="46"/>
        <v>0</v>
      </c>
      <c r="BG38" s="30">
        <f t="shared" si="47"/>
        <v>0</v>
      </c>
      <c r="BH38" s="30">
        <f t="shared" si="48"/>
        <v>0</v>
      </c>
      <c r="BI38" s="185">
        <f t="shared" si="49"/>
        <v>0</v>
      </c>
    </row>
    <row r="39" spans="1:61" s="24" customFormat="1">
      <c r="A39" s="3" t="s">
        <v>490</v>
      </c>
      <c r="B39" s="182"/>
      <c r="C39" s="182"/>
      <c r="D39" s="182"/>
      <c r="E39" s="30"/>
      <c r="F39" s="183"/>
      <c r="G39" s="182"/>
      <c r="H39" s="182"/>
      <c r="I39" s="182"/>
      <c r="J39" s="30"/>
      <c r="K39" s="183"/>
      <c r="L39" s="182"/>
      <c r="M39" s="182"/>
      <c r="N39" s="182"/>
      <c r="O39" s="30"/>
      <c r="P39" s="183"/>
      <c r="Q39" s="30"/>
      <c r="R39" s="30"/>
      <c r="S39" s="30"/>
      <c r="T39" s="30"/>
      <c r="U39" s="183"/>
      <c r="V39" s="30"/>
      <c r="W39" s="30"/>
      <c r="X39" s="30"/>
      <c r="Y39" s="30"/>
      <c r="Z39" s="183"/>
      <c r="AA39" s="182"/>
      <c r="AB39" s="182"/>
      <c r="AC39" s="182"/>
      <c r="AD39" s="182"/>
      <c r="AE39" s="185"/>
      <c r="AF39" s="182"/>
      <c r="AG39" s="182"/>
      <c r="AH39" s="182"/>
      <c r="AI39" s="182"/>
      <c r="AJ39" s="185"/>
      <c r="AK39" s="182"/>
      <c r="AL39" s="182"/>
      <c r="AM39" s="182"/>
      <c r="AN39" s="182"/>
      <c r="AO39" s="183"/>
      <c r="AP39" s="30"/>
      <c r="AQ39" s="30"/>
      <c r="AR39" s="499"/>
      <c r="AS39" s="499">
        <f t="shared" si="41"/>
        <v>3.9899999999999998E-2</v>
      </c>
      <c r="AT39" s="183">
        <v>3.9899999999999998E-2</v>
      </c>
      <c r="AU39" s="30">
        <f t="shared" ref="AU39:AW40" si="52">+AT39</f>
        <v>3.9899999999999998E-2</v>
      </c>
      <c r="AV39" s="30">
        <f t="shared" si="52"/>
        <v>3.9899999999999998E-2</v>
      </c>
      <c r="AW39" s="30">
        <f t="shared" si="52"/>
        <v>3.9899999999999998E-2</v>
      </c>
      <c r="AX39" s="30">
        <v>4.0300000000000002E-2</v>
      </c>
      <c r="AY39" s="185">
        <f t="shared" si="42"/>
        <v>4.0300000000000002E-2</v>
      </c>
      <c r="AZ39" s="30">
        <f t="shared" si="43"/>
        <v>4.0300000000000002E-2</v>
      </c>
      <c r="BA39" s="30">
        <f t="shared" si="43"/>
        <v>4.0300000000000002E-2</v>
      </c>
      <c r="BB39" s="30">
        <f t="shared" si="43"/>
        <v>4.0300000000000002E-2</v>
      </c>
      <c r="BC39" s="30">
        <v>0.04</v>
      </c>
      <c r="BD39" s="185">
        <f t="shared" si="44"/>
        <v>0.04</v>
      </c>
      <c r="BE39" s="30">
        <f t="shared" si="45"/>
        <v>0.04</v>
      </c>
      <c r="BF39" s="30">
        <f t="shared" si="46"/>
        <v>0.04</v>
      </c>
      <c r="BG39" s="30">
        <f t="shared" si="47"/>
        <v>0.04</v>
      </c>
      <c r="BH39" s="30">
        <f t="shared" si="48"/>
        <v>0.04</v>
      </c>
      <c r="BI39" s="185">
        <f>BH39</f>
        <v>0.04</v>
      </c>
    </row>
    <row r="40" spans="1:61" s="24" customFormat="1">
      <c r="A40" s="3" t="s">
        <v>491</v>
      </c>
      <c r="B40" s="182"/>
      <c r="C40" s="182"/>
      <c r="D40" s="182"/>
      <c r="E40" s="30"/>
      <c r="F40" s="183"/>
      <c r="G40" s="182"/>
      <c r="H40" s="182"/>
      <c r="I40" s="182"/>
      <c r="J40" s="30"/>
      <c r="K40" s="183"/>
      <c r="L40" s="182"/>
      <c r="M40" s="182"/>
      <c r="N40" s="182"/>
      <c r="O40" s="30"/>
      <c r="P40" s="183"/>
      <c r="Q40" s="30"/>
      <c r="R40" s="30"/>
      <c r="S40" s="30"/>
      <c r="T40" s="30"/>
      <c r="U40" s="183"/>
      <c r="V40" s="30"/>
      <c r="W40" s="30"/>
      <c r="X40" s="30"/>
      <c r="Y40" s="30"/>
      <c r="Z40" s="183"/>
      <c r="AA40" s="182"/>
      <c r="AB40" s="182"/>
      <c r="AC40" s="182"/>
      <c r="AD40" s="182"/>
      <c r="AE40" s="185"/>
      <c r="AF40" s="182"/>
      <c r="AG40" s="182"/>
      <c r="AH40" s="182"/>
      <c r="AI40" s="182"/>
      <c r="AJ40" s="185"/>
      <c r="AK40" s="182"/>
      <c r="AL40" s="182"/>
      <c r="AM40" s="182"/>
      <c r="AN40" s="182"/>
      <c r="AO40" s="183"/>
      <c r="AP40" s="30"/>
      <c r="AQ40" s="30"/>
      <c r="AR40" s="499"/>
      <c r="AS40" s="499">
        <f t="shared" si="41"/>
        <v>0.05</v>
      </c>
      <c r="AT40" s="501">
        <v>0.05</v>
      </c>
      <c r="AU40" s="30">
        <f t="shared" si="52"/>
        <v>0.05</v>
      </c>
      <c r="AV40" s="30">
        <f t="shared" si="52"/>
        <v>0.05</v>
      </c>
      <c r="AW40" s="30">
        <f t="shared" si="52"/>
        <v>0.05</v>
      </c>
      <c r="AX40" s="30">
        <f>+AW40</f>
        <v>0.05</v>
      </c>
      <c r="AY40" s="185">
        <f t="shared" si="42"/>
        <v>0.05</v>
      </c>
      <c r="AZ40" s="30">
        <v>4.1250000000000002E-2</v>
      </c>
      <c r="BA40" s="30">
        <f t="shared" ref="BA40:BB41" si="53">+AZ40</f>
        <v>4.1250000000000002E-2</v>
      </c>
      <c r="BB40" s="30">
        <f t="shared" si="53"/>
        <v>4.1250000000000002E-2</v>
      </c>
      <c r="BC40" s="30">
        <f>+BB40</f>
        <v>4.1250000000000002E-2</v>
      </c>
      <c r="BD40" s="185">
        <f t="shared" si="44"/>
        <v>4.1250000000000002E-2</v>
      </c>
      <c r="BE40" s="30">
        <v>4.1250000000000002E-2</v>
      </c>
      <c r="BF40" s="30">
        <f t="shared" si="46"/>
        <v>4.1250000000000002E-2</v>
      </c>
      <c r="BG40" s="30">
        <f t="shared" si="47"/>
        <v>4.1250000000000002E-2</v>
      </c>
      <c r="BH40" s="30">
        <f t="shared" si="48"/>
        <v>4.1250000000000002E-2</v>
      </c>
      <c r="BI40" s="185">
        <f>BH40</f>
        <v>4.1250000000000002E-2</v>
      </c>
    </row>
    <row r="41" spans="1:61" s="24" customFormat="1">
      <c r="A41" s="3" t="str">
        <f>+A12</f>
        <v>Other</v>
      </c>
      <c r="B41" s="182"/>
      <c r="C41" s="182"/>
      <c r="D41" s="182"/>
      <c r="E41" s="30"/>
      <c r="F41" s="183"/>
      <c r="G41" s="182"/>
      <c r="H41" s="182"/>
      <c r="I41" s="182"/>
      <c r="J41" s="30"/>
      <c r="K41" s="183"/>
      <c r="L41" s="182"/>
      <c r="M41" s="182"/>
      <c r="N41" s="182"/>
      <c r="O41" s="30"/>
      <c r="P41" s="183"/>
      <c r="Q41" s="30"/>
      <c r="R41" s="30"/>
      <c r="S41" s="30"/>
      <c r="T41" s="30"/>
      <c r="U41" s="183"/>
      <c r="V41" s="30"/>
      <c r="W41" s="30"/>
      <c r="X41" s="30"/>
      <c r="Y41" s="30"/>
      <c r="Z41" s="183"/>
      <c r="AA41" s="182"/>
      <c r="AB41" s="182"/>
      <c r="AC41" s="182"/>
      <c r="AD41" s="182"/>
      <c r="AE41" s="185"/>
      <c r="AF41" s="182"/>
      <c r="AG41" s="182"/>
      <c r="AH41" s="182"/>
      <c r="AI41" s="182"/>
      <c r="AJ41" s="185"/>
      <c r="AK41" s="182"/>
      <c r="AL41" s="182"/>
      <c r="AM41" s="182"/>
      <c r="AN41" s="182">
        <v>1.54E-2</v>
      </c>
      <c r="AO41" s="183">
        <v>1.54E-2</v>
      </c>
      <c r="AP41" s="30">
        <f t="shared" si="50"/>
        <v>1.54E-2</v>
      </c>
      <c r="AQ41" s="30">
        <f t="shared" si="50"/>
        <v>1.54E-2</v>
      </c>
      <c r="AR41" s="499">
        <f t="shared" si="50"/>
        <v>1.54E-2</v>
      </c>
      <c r="AS41" s="499">
        <f t="shared" si="41"/>
        <v>0.05</v>
      </c>
      <c r="AT41" s="501">
        <v>0.05</v>
      </c>
      <c r="AU41" s="30">
        <f t="shared" si="51"/>
        <v>0.05</v>
      </c>
      <c r="AV41" s="30">
        <f t="shared" si="51"/>
        <v>0.05</v>
      </c>
      <c r="AW41" s="30">
        <f t="shared" si="51"/>
        <v>0.05</v>
      </c>
      <c r="AX41" s="30">
        <f>+AW41</f>
        <v>0.05</v>
      </c>
      <c r="AY41" s="185">
        <f t="shared" si="42"/>
        <v>0.05</v>
      </c>
      <c r="AZ41" s="30">
        <f>+AY41</f>
        <v>0.05</v>
      </c>
      <c r="BA41" s="30">
        <f t="shared" si="53"/>
        <v>0.05</v>
      </c>
      <c r="BB41" s="30">
        <f t="shared" si="53"/>
        <v>0.05</v>
      </c>
      <c r="BC41" s="30">
        <f>+BB41</f>
        <v>0.05</v>
      </c>
      <c r="BD41" s="185">
        <f t="shared" si="44"/>
        <v>0.05</v>
      </c>
      <c r="BE41" s="30">
        <f>+BD41</f>
        <v>0.05</v>
      </c>
      <c r="BF41" s="30">
        <f t="shared" si="46"/>
        <v>0.05</v>
      </c>
      <c r="BG41" s="30">
        <f t="shared" si="47"/>
        <v>0.05</v>
      </c>
      <c r="BH41" s="30">
        <f t="shared" si="48"/>
        <v>0.05</v>
      </c>
      <c r="BI41" s="185">
        <f t="shared" ref="BI41" si="54">BH41</f>
        <v>0.05</v>
      </c>
    </row>
    <row r="42" spans="1:61" s="24" customFormat="1">
      <c r="A42" s="10" t="str">
        <f>+A13</f>
        <v>Total Short-Term Borrowings</v>
      </c>
      <c r="B42" s="182"/>
      <c r="C42" s="182"/>
      <c r="D42" s="182"/>
      <c r="E42" s="30"/>
      <c r="F42" s="183"/>
      <c r="G42" s="182"/>
      <c r="H42" s="182"/>
      <c r="I42" s="182"/>
      <c r="J42" s="30"/>
      <c r="K42" s="183"/>
      <c r="L42" s="182"/>
      <c r="M42" s="182"/>
      <c r="N42" s="182"/>
      <c r="O42" s="30"/>
      <c r="P42" s="183"/>
      <c r="Q42" s="30"/>
      <c r="R42" s="30"/>
      <c r="S42" s="30"/>
      <c r="T42" s="30"/>
      <c r="U42" s="183"/>
      <c r="V42" s="30"/>
      <c r="W42" s="30"/>
      <c r="X42" s="30"/>
      <c r="Y42" s="30"/>
      <c r="Z42" s="183"/>
      <c r="AA42" s="182"/>
      <c r="AB42" s="182"/>
      <c r="AC42" s="182"/>
      <c r="AD42" s="182"/>
      <c r="AE42" s="185"/>
      <c r="AF42" s="182"/>
      <c r="AG42" s="182"/>
      <c r="AH42" s="182"/>
      <c r="AI42" s="182"/>
      <c r="AJ42" s="185"/>
      <c r="AK42" s="182"/>
      <c r="AL42" s="182"/>
      <c r="AM42" s="182"/>
      <c r="AN42" s="182"/>
      <c r="AO42" s="183"/>
      <c r="AP42" s="182"/>
      <c r="AQ42" s="182"/>
      <c r="AR42" s="504"/>
      <c r="AS42" s="504"/>
      <c r="AT42" s="185"/>
      <c r="AU42" s="30"/>
      <c r="AV42" s="30"/>
      <c r="AW42" s="30"/>
      <c r="AX42" s="30"/>
      <c r="AY42" s="185"/>
      <c r="AZ42" s="182"/>
      <c r="BA42" s="182"/>
      <c r="BB42" s="182"/>
      <c r="BC42" s="30"/>
      <c r="BD42" s="185"/>
      <c r="BE42" s="182"/>
      <c r="BF42" s="182"/>
      <c r="BG42" s="182"/>
      <c r="BH42" s="182"/>
      <c r="BI42" s="185"/>
    </row>
    <row r="43" spans="1:61" s="24" customFormat="1">
      <c r="A43" s="3"/>
      <c r="B43" s="182"/>
      <c r="C43" s="182"/>
      <c r="D43" s="182"/>
      <c r="E43" s="30"/>
      <c r="F43" s="183"/>
      <c r="G43" s="182"/>
      <c r="H43" s="182"/>
      <c r="I43" s="182"/>
      <c r="J43" s="30"/>
      <c r="K43" s="183"/>
      <c r="L43" s="182"/>
      <c r="M43" s="182"/>
      <c r="N43" s="182"/>
      <c r="O43" s="30"/>
      <c r="P43" s="183"/>
      <c r="Q43" s="30"/>
      <c r="R43" s="30"/>
      <c r="S43" s="30"/>
      <c r="T43" s="30"/>
      <c r="U43" s="183"/>
      <c r="V43" s="30"/>
      <c r="W43" s="30"/>
      <c r="X43" s="30"/>
      <c r="Y43" s="30"/>
      <c r="Z43" s="183"/>
      <c r="AA43" s="182"/>
      <c r="AB43" s="182"/>
      <c r="AC43" s="182"/>
      <c r="AD43" s="182"/>
      <c r="AE43" s="185"/>
      <c r="AF43" s="182"/>
      <c r="AG43" s="182"/>
      <c r="AH43" s="182"/>
      <c r="AI43" s="182"/>
      <c r="AJ43" s="185"/>
      <c r="AK43" s="182"/>
      <c r="AL43" s="182"/>
      <c r="AM43" s="182"/>
      <c r="AN43" s="182"/>
      <c r="AO43" s="183"/>
      <c r="AP43" s="182"/>
      <c r="AQ43" s="182"/>
      <c r="AR43" s="504"/>
      <c r="AS43" s="504"/>
      <c r="AT43" s="185"/>
      <c r="AU43" s="30"/>
      <c r="AV43" s="30"/>
      <c r="AW43" s="30"/>
      <c r="AX43" s="30"/>
      <c r="AY43" s="185"/>
      <c r="AZ43" s="182"/>
      <c r="BA43" s="182"/>
      <c r="BB43" s="182"/>
      <c r="BC43" s="30"/>
      <c r="BD43" s="185"/>
      <c r="BE43" s="182"/>
      <c r="BF43" s="182"/>
      <c r="BG43" s="182"/>
      <c r="BH43" s="182"/>
      <c r="BI43" s="185"/>
    </row>
    <row r="44" spans="1:61" s="24" customFormat="1">
      <c r="A44" s="335" t="str">
        <f>+A15</f>
        <v>Long-Term</v>
      </c>
      <c r="B44" s="182"/>
      <c r="C44" s="182"/>
      <c r="D44" s="182"/>
      <c r="E44" s="30"/>
      <c r="F44" s="183"/>
      <c r="G44" s="182"/>
      <c r="H44" s="182"/>
      <c r="I44" s="182"/>
      <c r="J44" s="30"/>
      <c r="K44" s="183"/>
      <c r="L44" s="182"/>
      <c r="M44" s="182"/>
      <c r="N44" s="182"/>
      <c r="O44" s="30"/>
      <c r="P44" s="183"/>
      <c r="Q44" s="30"/>
      <c r="R44" s="30"/>
      <c r="S44" s="30"/>
      <c r="T44" s="30"/>
      <c r="U44" s="183"/>
      <c r="V44" s="30"/>
      <c r="W44" s="30"/>
      <c r="X44" s="30"/>
      <c r="Y44" s="30"/>
      <c r="Z44" s="183"/>
      <c r="AA44" s="182"/>
      <c r="AB44" s="182"/>
      <c r="AC44" s="182"/>
      <c r="AD44" s="182"/>
      <c r="AE44" s="185"/>
      <c r="AF44" s="182"/>
      <c r="AG44" s="182"/>
      <c r="AH44" s="182"/>
      <c r="AI44" s="182"/>
      <c r="AJ44" s="185"/>
      <c r="AK44" s="182"/>
      <c r="AL44" s="182"/>
      <c r="AM44" s="182"/>
      <c r="AN44" s="182"/>
      <c r="AO44" s="183"/>
      <c r="AP44" s="182"/>
      <c r="AQ44" s="182"/>
      <c r="AR44" s="504"/>
      <c r="AS44" s="504"/>
      <c r="AT44" s="185"/>
      <c r="AU44" s="30"/>
      <c r="AV44" s="30"/>
      <c r="AW44" s="30"/>
      <c r="AX44" s="30"/>
      <c r="AY44" s="185"/>
      <c r="AZ44" s="182"/>
      <c r="BA44" s="182"/>
      <c r="BB44" s="182"/>
      <c r="BC44" s="30"/>
      <c r="BD44" s="185"/>
      <c r="BE44" s="182"/>
      <c r="BF44" s="182"/>
      <c r="BG44" s="182"/>
      <c r="BH44" s="182"/>
      <c r="BI44" s="185"/>
    </row>
    <row r="45" spans="1:61" s="24" customFormat="1">
      <c r="A45" s="3" t="str">
        <f>+A16</f>
        <v>Senior notes issued by GE</v>
      </c>
      <c r="B45" s="182"/>
      <c r="C45" s="182"/>
      <c r="D45" s="182"/>
      <c r="E45" s="30"/>
      <c r="F45" s="183"/>
      <c r="G45" s="182"/>
      <c r="H45" s="182"/>
      <c r="I45" s="182"/>
      <c r="J45" s="30"/>
      <c r="K45" s="183"/>
      <c r="L45" s="182"/>
      <c r="M45" s="182"/>
      <c r="N45" s="182"/>
      <c r="O45" s="30"/>
      <c r="P45" s="183"/>
      <c r="Q45" s="30"/>
      <c r="R45" s="30"/>
      <c r="S45" s="30"/>
      <c r="T45" s="30"/>
      <c r="U45" s="183"/>
      <c r="V45" s="30"/>
      <c r="W45" s="30"/>
      <c r="X45" s="30"/>
      <c r="Y45" s="30"/>
      <c r="Z45" s="183"/>
      <c r="AA45" s="182"/>
      <c r="AB45" s="182"/>
      <c r="AC45" s="182"/>
      <c r="AD45" s="182"/>
      <c r="AE45" s="185"/>
      <c r="AF45" s="182"/>
      <c r="AG45" s="182"/>
      <c r="AH45" s="182"/>
      <c r="AI45" s="182"/>
      <c r="AJ45" s="185"/>
      <c r="AK45" s="182"/>
      <c r="AL45" s="182"/>
      <c r="AM45" s="182"/>
      <c r="AN45" s="182">
        <v>4.7500000000000001E-2</v>
      </c>
      <c r="AO45" s="183">
        <v>4.7500000000000001E-2</v>
      </c>
      <c r="AP45" s="30">
        <f t="shared" ref="AP45:AR50" si="55">+AO45</f>
        <v>4.7500000000000001E-2</v>
      </c>
      <c r="AQ45" s="30">
        <f t="shared" si="55"/>
        <v>4.7500000000000001E-2</v>
      </c>
      <c r="AR45" s="499">
        <f t="shared" si="55"/>
        <v>4.7500000000000001E-2</v>
      </c>
      <c r="AS45" s="499">
        <f t="shared" ref="AS45:AS50" ca="1" si="56">AT45</f>
        <v>4.7500000000000001E-2</v>
      </c>
      <c r="AT45" s="185">
        <f ca="1">AS45</f>
        <v>4.7500000000000001E-2</v>
      </c>
      <c r="AU45" s="30">
        <f t="shared" ref="AU45:AU50" ca="1" si="57">AT45</f>
        <v>4.7500000000000001E-2</v>
      </c>
      <c r="AV45" s="30">
        <f t="shared" ref="AV45:AV50" ca="1" si="58">AU45</f>
        <v>4.7500000000000001E-2</v>
      </c>
      <c r="AW45" s="30">
        <f t="shared" ref="AW45:AW50" ca="1" si="59">AV45</f>
        <v>4.7500000000000001E-2</v>
      </c>
      <c r="AX45" s="30">
        <f t="shared" ref="AX45:AX50" ca="1" si="60">AW45</f>
        <v>4.7500000000000001E-2</v>
      </c>
      <c r="AY45" s="185">
        <f t="shared" ref="AY45:AY50" ca="1" si="61">AX45</f>
        <v>4.7500000000000001E-2</v>
      </c>
      <c r="AZ45" s="30">
        <f t="shared" ref="AZ45:AZ50" ca="1" si="62">AY45</f>
        <v>4.7500000000000001E-2</v>
      </c>
      <c r="BA45" s="30">
        <f t="shared" ref="BA45:BB50" ca="1" si="63">AZ45</f>
        <v>4.7500000000000001E-2</v>
      </c>
      <c r="BB45" s="30">
        <f t="shared" ca="1" si="63"/>
        <v>4.7500000000000001E-2</v>
      </c>
      <c r="BC45" s="30">
        <f t="shared" ref="BC45:BC47" ca="1" si="64">BB45</f>
        <v>4.7500000000000001E-2</v>
      </c>
      <c r="BD45" s="185">
        <f t="shared" ref="BD45:BD50" ca="1" si="65">BC45</f>
        <v>4.7500000000000001E-2</v>
      </c>
      <c r="BE45" s="30">
        <f t="shared" ref="BE45:BE50" ca="1" si="66">BD45</f>
        <v>4.7500000000000001E-2</v>
      </c>
      <c r="BF45" s="30">
        <f t="shared" ref="BF45:BF50" ca="1" si="67">BE45</f>
        <v>4.7500000000000001E-2</v>
      </c>
      <c r="BG45" s="30">
        <f t="shared" ref="BG45:BG50" ca="1" si="68">BF45</f>
        <v>4.7500000000000001E-2</v>
      </c>
      <c r="BH45" s="30">
        <f t="shared" ref="BH45:BH50" ca="1" si="69">BG45</f>
        <v>4.7500000000000001E-2</v>
      </c>
      <c r="BI45" s="185">
        <f t="shared" ref="BI45:BI50" ca="1" si="70">BH45</f>
        <v>4.7500000000000001E-2</v>
      </c>
    </row>
    <row r="46" spans="1:61" s="24" customFormat="1">
      <c r="A46" s="3" t="str">
        <f>+A17</f>
        <v>Senior and subordinated notes assumed by GE</v>
      </c>
      <c r="B46" s="182"/>
      <c r="C46" s="182"/>
      <c r="D46" s="182"/>
      <c r="E46" s="30"/>
      <c r="F46" s="183"/>
      <c r="G46" s="182"/>
      <c r="H46" s="182"/>
      <c r="I46" s="182"/>
      <c r="J46" s="30"/>
      <c r="K46" s="183"/>
      <c r="L46" s="182"/>
      <c r="M46" s="182"/>
      <c r="N46" s="182"/>
      <c r="O46" s="30"/>
      <c r="P46" s="183"/>
      <c r="Q46" s="30"/>
      <c r="R46" s="30"/>
      <c r="S46" s="30"/>
      <c r="T46" s="30"/>
      <c r="U46" s="183"/>
      <c r="V46" s="30"/>
      <c r="W46" s="30"/>
      <c r="X46" s="30"/>
      <c r="Y46" s="30"/>
      <c r="Z46" s="183"/>
      <c r="AA46" s="182"/>
      <c r="AB46" s="182"/>
      <c r="AC46" s="182"/>
      <c r="AD46" s="182"/>
      <c r="AE46" s="185"/>
      <c r="AF46" s="182"/>
      <c r="AG46" s="182"/>
      <c r="AH46" s="182"/>
      <c r="AI46" s="182"/>
      <c r="AJ46" s="185"/>
      <c r="AK46" s="182"/>
      <c r="AL46" s="182"/>
      <c r="AM46" s="182"/>
      <c r="AN46" s="182">
        <v>4.7100000000000003E-2</v>
      </c>
      <c r="AO46" s="183">
        <v>4.7100000000000003E-2</v>
      </c>
      <c r="AP46" s="30">
        <f t="shared" si="55"/>
        <v>4.7100000000000003E-2</v>
      </c>
      <c r="AQ46" s="30">
        <f t="shared" si="55"/>
        <v>4.7100000000000003E-2</v>
      </c>
      <c r="AR46" s="499">
        <f t="shared" si="55"/>
        <v>4.7100000000000003E-2</v>
      </c>
      <c r="AS46" s="499">
        <f t="shared" ca="1" si="56"/>
        <v>4.7100000000000003E-2</v>
      </c>
      <c r="AT46" s="185">
        <f ca="1">AS46</f>
        <v>4.7100000000000003E-2</v>
      </c>
      <c r="AU46" s="30">
        <f t="shared" ca="1" si="57"/>
        <v>4.7100000000000003E-2</v>
      </c>
      <c r="AV46" s="30">
        <f t="shared" ca="1" si="58"/>
        <v>4.7100000000000003E-2</v>
      </c>
      <c r="AW46" s="30">
        <f t="shared" ca="1" si="59"/>
        <v>4.7100000000000003E-2</v>
      </c>
      <c r="AX46" s="30">
        <f t="shared" ca="1" si="60"/>
        <v>4.7100000000000003E-2</v>
      </c>
      <c r="AY46" s="185">
        <f t="shared" ca="1" si="61"/>
        <v>4.7100000000000003E-2</v>
      </c>
      <c r="AZ46" s="30">
        <f t="shared" ca="1" si="62"/>
        <v>4.7100000000000003E-2</v>
      </c>
      <c r="BA46" s="30">
        <f t="shared" ca="1" si="63"/>
        <v>4.7100000000000003E-2</v>
      </c>
      <c r="BB46" s="30">
        <f t="shared" ca="1" si="63"/>
        <v>4.7100000000000003E-2</v>
      </c>
      <c r="BC46" s="30">
        <f t="shared" ca="1" si="64"/>
        <v>4.7100000000000003E-2</v>
      </c>
      <c r="BD46" s="185">
        <f t="shared" ca="1" si="65"/>
        <v>4.7100000000000003E-2</v>
      </c>
      <c r="BE46" s="30">
        <f t="shared" ca="1" si="66"/>
        <v>4.7100000000000003E-2</v>
      </c>
      <c r="BF46" s="30">
        <f t="shared" ca="1" si="67"/>
        <v>4.7100000000000003E-2</v>
      </c>
      <c r="BG46" s="30">
        <f t="shared" ca="1" si="68"/>
        <v>4.7100000000000003E-2</v>
      </c>
      <c r="BH46" s="30">
        <f t="shared" ca="1" si="69"/>
        <v>4.7100000000000003E-2</v>
      </c>
      <c r="BI46" s="185">
        <f t="shared" ca="1" si="70"/>
        <v>4.7100000000000003E-2</v>
      </c>
    </row>
    <row r="47" spans="1:61" s="24" customFormat="1">
      <c r="A47" s="3" t="str">
        <f>+A18</f>
        <v>Senior notes issued by GE Capital</v>
      </c>
      <c r="B47" s="182"/>
      <c r="C47" s="182"/>
      <c r="D47" s="182"/>
      <c r="E47" s="30"/>
      <c r="F47" s="183"/>
      <c r="G47" s="182"/>
      <c r="H47" s="182"/>
      <c r="I47" s="182"/>
      <c r="J47" s="30"/>
      <c r="K47" s="183"/>
      <c r="L47" s="182"/>
      <c r="M47" s="182"/>
      <c r="N47" s="182"/>
      <c r="O47" s="30"/>
      <c r="P47" s="183"/>
      <c r="Q47" s="30"/>
      <c r="R47" s="30"/>
      <c r="S47" s="30"/>
      <c r="T47" s="30"/>
      <c r="U47" s="183"/>
      <c r="V47" s="30"/>
      <c r="W47" s="30"/>
      <c r="X47" s="30"/>
      <c r="Y47" s="30"/>
      <c r="Z47" s="183"/>
      <c r="AA47" s="182"/>
      <c r="AB47" s="182"/>
      <c r="AC47" s="182"/>
      <c r="AD47" s="182"/>
      <c r="AE47" s="185"/>
      <c r="AF47" s="182"/>
      <c r="AG47" s="182"/>
      <c r="AH47" s="182"/>
      <c r="AI47" s="182"/>
      <c r="AJ47" s="185"/>
      <c r="AK47" s="182"/>
      <c r="AL47" s="182"/>
      <c r="AM47" s="182"/>
      <c r="AN47" s="182">
        <v>3.95E-2</v>
      </c>
      <c r="AO47" s="183">
        <v>3.95E-2</v>
      </c>
      <c r="AP47" s="30">
        <f t="shared" si="55"/>
        <v>3.95E-2</v>
      </c>
      <c r="AQ47" s="30">
        <f t="shared" si="55"/>
        <v>3.95E-2</v>
      </c>
      <c r="AR47" s="499">
        <f t="shared" si="55"/>
        <v>3.95E-2</v>
      </c>
      <c r="AS47" s="499">
        <f t="shared" ca="1" si="56"/>
        <v>3.95E-2</v>
      </c>
      <c r="AT47" s="185">
        <f ca="1">AS47</f>
        <v>3.95E-2</v>
      </c>
      <c r="AU47" s="30">
        <f t="shared" ca="1" si="57"/>
        <v>3.95E-2</v>
      </c>
      <c r="AV47" s="30">
        <f t="shared" ca="1" si="58"/>
        <v>3.95E-2</v>
      </c>
      <c r="AW47" s="30">
        <f t="shared" ca="1" si="59"/>
        <v>3.95E-2</v>
      </c>
      <c r="AX47" s="30">
        <f t="shared" ca="1" si="60"/>
        <v>3.95E-2</v>
      </c>
      <c r="AY47" s="185">
        <f t="shared" ca="1" si="61"/>
        <v>3.95E-2</v>
      </c>
      <c r="AZ47" s="30">
        <f t="shared" ca="1" si="62"/>
        <v>3.95E-2</v>
      </c>
      <c r="BA47" s="30">
        <f t="shared" ca="1" si="63"/>
        <v>3.95E-2</v>
      </c>
      <c r="BB47" s="30">
        <f t="shared" ca="1" si="63"/>
        <v>3.95E-2</v>
      </c>
      <c r="BC47" s="30">
        <f t="shared" ca="1" si="64"/>
        <v>3.95E-2</v>
      </c>
      <c r="BD47" s="185">
        <f t="shared" ca="1" si="65"/>
        <v>3.95E-2</v>
      </c>
      <c r="BE47" s="30">
        <f t="shared" ca="1" si="66"/>
        <v>3.95E-2</v>
      </c>
      <c r="BF47" s="30">
        <f t="shared" ca="1" si="67"/>
        <v>3.95E-2</v>
      </c>
      <c r="BG47" s="30">
        <f t="shared" ca="1" si="68"/>
        <v>3.95E-2</v>
      </c>
      <c r="BH47" s="30">
        <f t="shared" ca="1" si="69"/>
        <v>3.95E-2</v>
      </c>
      <c r="BI47" s="185">
        <f t="shared" ca="1" si="70"/>
        <v>3.95E-2</v>
      </c>
    </row>
    <row r="48" spans="1:61" s="24" customFormat="1">
      <c r="A48" s="3" t="s">
        <v>492</v>
      </c>
      <c r="B48" s="182"/>
      <c r="C48" s="182"/>
      <c r="D48" s="182"/>
      <c r="E48" s="30"/>
      <c r="F48" s="183"/>
      <c r="G48" s="182"/>
      <c r="H48" s="182"/>
      <c r="I48" s="182"/>
      <c r="J48" s="30"/>
      <c r="K48" s="183"/>
      <c r="L48" s="182"/>
      <c r="M48" s="182"/>
      <c r="N48" s="182"/>
      <c r="O48" s="30"/>
      <c r="P48" s="183"/>
      <c r="Q48" s="30"/>
      <c r="R48" s="30"/>
      <c r="S48" s="30"/>
      <c r="T48" s="30"/>
      <c r="U48" s="183"/>
      <c r="V48" s="30"/>
      <c r="W48" s="30"/>
      <c r="X48" s="30"/>
      <c r="Y48" s="30"/>
      <c r="Z48" s="183"/>
      <c r="AA48" s="182"/>
      <c r="AB48" s="182"/>
      <c r="AC48" s="182"/>
      <c r="AD48" s="182"/>
      <c r="AE48" s="185"/>
      <c r="AF48" s="182"/>
      <c r="AG48" s="182"/>
      <c r="AH48" s="182"/>
      <c r="AI48" s="182"/>
      <c r="AJ48" s="185"/>
      <c r="AK48" s="182"/>
      <c r="AL48" s="182"/>
      <c r="AM48" s="182"/>
      <c r="AN48" s="182"/>
      <c r="AO48" s="183"/>
      <c r="AP48" s="30"/>
      <c r="AQ48" s="30"/>
      <c r="AR48" s="499"/>
      <c r="AS48" s="499">
        <f t="shared" si="56"/>
        <v>3.9899999999999998E-2</v>
      </c>
      <c r="AT48" s="183">
        <v>3.9899999999999998E-2</v>
      </c>
      <c r="AU48" s="30">
        <f t="shared" ref="AU48:AW49" si="71">AT48</f>
        <v>3.9899999999999998E-2</v>
      </c>
      <c r="AV48" s="30">
        <f t="shared" si="71"/>
        <v>3.9899999999999998E-2</v>
      </c>
      <c r="AW48" s="30">
        <f t="shared" si="71"/>
        <v>3.9899999999999998E-2</v>
      </c>
      <c r="AX48" s="30">
        <v>4.0300000000000002E-2</v>
      </c>
      <c r="AY48" s="185">
        <f t="shared" si="61"/>
        <v>4.0300000000000002E-2</v>
      </c>
      <c r="AZ48" s="30">
        <f t="shared" ref="AZ48:BB49" si="72">AY48</f>
        <v>4.0300000000000002E-2</v>
      </c>
      <c r="BA48" s="30">
        <f t="shared" si="72"/>
        <v>4.0300000000000002E-2</v>
      </c>
      <c r="BB48" s="30">
        <f t="shared" si="72"/>
        <v>4.0300000000000002E-2</v>
      </c>
      <c r="BC48" s="30">
        <v>0.04</v>
      </c>
      <c r="BD48" s="185">
        <f t="shared" si="65"/>
        <v>0.04</v>
      </c>
      <c r="BE48" s="30">
        <f t="shared" si="66"/>
        <v>0.04</v>
      </c>
      <c r="BF48" s="30">
        <f t="shared" si="67"/>
        <v>0.04</v>
      </c>
      <c r="BG48" s="30">
        <f t="shared" si="68"/>
        <v>0.04</v>
      </c>
      <c r="BH48" s="30">
        <f t="shared" si="69"/>
        <v>0.04</v>
      </c>
      <c r="BI48" s="185">
        <f t="shared" si="70"/>
        <v>0.04</v>
      </c>
    </row>
    <row r="49" spans="1:61" s="24" customFormat="1">
      <c r="A49" s="3" t="s">
        <v>493</v>
      </c>
      <c r="B49" s="182"/>
      <c r="C49" s="182"/>
      <c r="D49" s="182"/>
      <c r="E49" s="30"/>
      <c r="F49" s="183"/>
      <c r="G49" s="182"/>
      <c r="H49" s="182"/>
      <c r="I49" s="182"/>
      <c r="J49" s="30"/>
      <c r="K49" s="183"/>
      <c r="L49" s="182"/>
      <c r="M49" s="182"/>
      <c r="N49" s="182"/>
      <c r="O49" s="30"/>
      <c r="P49" s="183"/>
      <c r="Q49" s="30"/>
      <c r="R49" s="30"/>
      <c r="S49" s="30"/>
      <c r="T49" s="30"/>
      <c r="U49" s="183"/>
      <c r="V49" s="30"/>
      <c r="W49" s="30"/>
      <c r="X49" s="30"/>
      <c r="Y49" s="30"/>
      <c r="Z49" s="183"/>
      <c r="AA49" s="182"/>
      <c r="AB49" s="182"/>
      <c r="AC49" s="182"/>
      <c r="AD49" s="182"/>
      <c r="AE49" s="185"/>
      <c r="AF49" s="182"/>
      <c r="AG49" s="182"/>
      <c r="AH49" s="182"/>
      <c r="AI49" s="182"/>
      <c r="AJ49" s="185"/>
      <c r="AK49" s="182"/>
      <c r="AL49" s="182"/>
      <c r="AM49" s="182"/>
      <c r="AN49" s="182"/>
      <c r="AO49" s="183"/>
      <c r="AP49" s="30"/>
      <c r="AQ49" s="30"/>
      <c r="AR49" s="499"/>
      <c r="AS49" s="499">
        <f t="shared" si="56"/>
        <v>4.4299999999999999E-2</v>
      </c>
      <c r="AT49" s="183">
        <v>4.4299999999999999E-2</v>
      </c>
      <c r="AU49" s="30">
        <f t="shared" si="71"/>
        <v>4.4299999999999999E-2</v>
      </c>
      <c r="AV49" s="30">
        <f t="shared" si="71"/>
        <v>4.4299999999999999E-2</v>
      </c>
      <c r="AW49" s="30">
        <f t="shared" si="71"/>
        <v>4.4299999999999999E-2</v>
      </c>
      <c r="AX49" s="30">
        <v>4.4299999999999999E-2</v>
      </c>
      <c r="AY49" s="185">
        <f t="shared" si="61"/>
        <v>4.4299999999999999E-2</v>
      </c>
      <c r="AZ49" s="30">
        <f t="shared" si="72"/>
        <v>4.4299999999999999E-2</v>
      </c>
      <c r="BA49" s="30">
        <f t="shared" si="72"/>
        <v>4.4299999999999999E-2</v>
      </c>
      <c r="BB49" s="30">
        <f t="shared" si="72"/>
        <v>4.4299999999999999E-2</v>
      </c>
      <c r="BC49" s="30">
        <v>4.3999999999999997E-2</v>
      </c>
      <c r="BD49" s="185">
        <f t="shared" si="65"/>
        <v>4.3999999999999997E-2</v>
      </c>
      <c r="BE49" s="30">
        <f t="shared" si="66"/>
        <v>4.3999999999999997E-2</v>
      </c>
      <c r="BF49" s="30">
        <f t="shared" si="67"/>
        <v>4.3999999999999997E-2</v>
      </c>
      <c r="BG49" s="30">
        <f t="shared" si="68"/>
        <v>4.3999999999999997E-2</v>
      </c>
      <c r="BH49" s="30">
        <f t="shared" si="69"/>
        <v>4.3999999999999997E-2</v>
      </c>
      <c r="BI49" s="185">
        <f t="shared" si="70"/>
        <v>4.3999999999999997E-2</v>
      </c>
    </row>
    <row r="50" spans="1:61" s="24" customFormat="1">
      <c r="A50" s="3" t="str">
        <f>+A21</f>
        <v>Other</v>
      </c>
      <c r="B50" s="182"/>
      <c r="C50" s="182"/>
      <c r="D50" s="182"/>
      <c r="E50" s="30"/>
      <c r="F50" s="183"/>
      <c r="G50" s="182"/>
      <c r="H50" s="182"/>
      <c r="I50" s="182"/>
      <c r="J50" s="30"/>
      <c r="K50" s="183"/>
      <c r="L50" s="182"/>
      <c r="M50" s="182"/>
      <c r="N50" s="182"/>
      <c r="O50" s="30"/>
      <c r="P50" s="183"/>
      <c r="Q50" s="30"/>
      <c r="R50" s="30"/>
      <c r="S50" s="30"/>
      <c r="T50" s="30"/>
      <c r="U50" s="183"/>
      <c r="V50" s="30"/>
      <c r="W50" s="30"/>
      <c r="X50" s="30"/>
      <c r="Y50" s="30"/>
      <c r="Z50" s="183"/>
      <c r="AA50" s="182"/>
      <c r="AB50" s="182"/>
      <c r="AC50" s="182"/>
      <c r="AD50" s="182"/>
      <c r="AE50" s="185"/>
      <c r="AF50" s="182"/>
      <c r="AG50" s="182"/>
      <c r="AH50" s="182"/>
      <c r="AI50" s="182"/>
      <c r="AJ50" s="185"/>
      <c r="AK50" s="182"/>
      <c r="AL50" s="182"/>
      <c r="AM50" s="182"/>
      <c r="AN50" s="182">
        <v>4.7500000000000001E-2</v>
      </c>
      <c r="AO50" s="183">
        <v>4.7500000000000001E-2</v>
      </c>
      <c r="AP50" s="30">
        <f t="shared" si="55"/>
        <v>4.7500000000000001E-2</v>
      </c>
      <c r="AQ50" s="30">
        <f t="shared" si="55"/>
        <v>4.7500000000000001E-2</v>
      </c>
      <c r="AR50" s="499">
        <f t="shared" si="55"/>
        <v>4.7500000000000001E-2</v>
      </c>
      <c r="AS50" s="499">
        <f t="shared" si="56"/>
        <v>0.05</v>
      </c>
      <c r="AT50" s="501">
        <v>0.05</v>
      </c>
      <c r="AU50" s="30">
        <f t="shared" si="57"/>
        <v>0.05</v>
      </c>
      <c r="AV50" s="30">
        <f t="shared" si="58"/>
        <v>0.05</v>
      </c>
      <c r="AW50" s="30">
        <f t="shared" si="59"/>
        <v>0.05</v>
      </c>
      <c r="AX50" s="30">
        <f t="shared" si="60"/>
        <v>0.05</v>
      </c>
      <c r="AY50" s="185">
        <f t="shared" si="61"/>
        <v>0.05</v>
      </c>
      <c r="AZ50" s="30">
        <f t="shared" si="62"/>
        <v>0.05</v>
      </c>
      <c r="BA50" s="30">
        <f t="shared" si="63"/>
        <v>0.05</v>
      </c>
      <c r="BB50" s="30">
        <f t="shared" si="63"/>
        <v>0.05</v>
      </c>
      <c r="BC50" s="30">
        <f t="shared" ref="BC50" si="73">BB50</f>
        <v>0.05</v>
      </c>
      <c r="BD50" s="185">
        <f t="shared" si="65"/>
        <v>0.05</v>
      </c>
      <c r="BE50" s="30">
        <f t="shared" si="66"/>
        <v>0.05</v>
      </c>
      <c r="BF50" s="30">
        <f t="shared" si="67"/>
        <v>0.05</v>
      </c>
      <c r="BG50" s="30">
        <f t="shared" si="68"/>
        <v>0.05</v>
      </c>
      <c r="BH50" s="30">
        <f t="shared" si="69"/>
        <v>0.05</v>
      </c>
      <c r="BI50" s="185">
        <f t="shared" si="70"/>
        <v>0.05</v>
      </c>
    </row>
    <row r="51" spans="1:61" s="24" customFormat="1">
      <c r="A51" s="10" t="str">
        <f>+A22</f>
        <v>Total Long-Term Borrowings</v>
      </c>
      <c r="B51" s="182"/>
      <c r="C51" s="182"/>
      <c r="D51" s="182"/>
      <c r="E51" s="30"/>
      <c r="F51" s="183"/>
      <c r="G51" s="182"/>
      <c r="H51" s="182"/>
      <c r="I51" s="182"/>
      <c r="J51" s="30"/>
      <c r="K51" s="183"/>
      <c r="L51" s="182"/>
      <c r="M51" s="182"/>
      <c r="N51" s="182"/>
      <c r="O51" s="30"/>
      <c r="P51" s="183"/>
      <c r="Q51" s="30"/>
      <c r="R51" s="30"/>
      <c r="S51" s="30"/>
      <c r="T51" s="30"/>
      <c r="U51" s="183"/>
      <c r="V51" s="30"/>
      <c r="W51" s="30"/>
      <c r="X51" s="30"/>
      <c r="Y51" s="30"/>
      <c r="Z51" s="183"/>
      <c r="AA51" s="182"/>
      <c r="AB51" s="182"/>
      <c r="AC51" s="182"/>
      <c r="AD51" s="182"/>
      <c r="AE51" s="185"/>
      <c r="AF51" s="182"/>
      <c r="AG51" s="182"/>
      <c r="AH51" s="182"/>
      <c r="AI51" s="182"/>
      <c r="AJ51" s="185"/>
      <c r="AK51" s="182"/>
      <c r="AL51" s="182"/>
      <c r="AM51" s="182"/>
      <c r="AN51" s="182"/>
      <c r="AO51" s="183"/>
      <c r="AP51" s="182"/>
      <c r="AQ51" s="182"/>
      <c r="AR51" s="504"/>
      <c r="AS51" s="504"/>
      <c r="AT51" s="185"/>
      <c r="AU51" s="30"/>
      <c r="AV51" s="30"/>
      <c r="AW51" s="30"/>
      <c r="AX51" s="30"/>
      <c r="AY51" s="185"/>
      <c r="AZ51" s="182"/>
      <c r="BA51" s="182"/>
      <c r="BB51" s="182"/>
      <c r="BC51" s="182"/>
      <c r="BD51" s="185"/>
      <c r="BE51" s="182"/>
      <c r="BF51" s="182"/>
      <c r="BG51" s="182"/>
      <c r="BH51" s="182"/>
      <c r="BI51" s="185"/>
    </row>
    <row r="52" spans="1:61" s="24" customFormat="1">
      <c r="A52" s="12"/>
      <c r="B52" s="182"/>
      <c r="C52" s="182"/>
      <c r="D52" s="182"/>
      <c r="E52" s="30"/>
      <c r="F52" s="183"/>
      <c r="G52" s="182"/>
      <c r="H52" s="182"/>
      <c r="I52" s="182"/>
      <c r="J52" s="30"/>
      <c r="K52" s="183"/>
      <c r="L52" s="182"/>
      <c r="M52" s="182"/>
      <c r="N52" s="182"/>
      <c r="O52" s="30"/>
      <c r="P52" s="183"/>
      <c r="Q52" s="30"/>
      <c r="R52" s="30"/>
      <c r="S52" s="30"/>
      <c r="T52" s="30"/>
      <c r="U52" s="183"/>
      <c r="V52" s="30"/>
      <c r="W52" s="30"/>
      <c r="X52" s="30"/>
      <c r="Y52" s="30"/>
      <c r="Z52" s="183"/>
      <c r="AA52" s="182"/>
      <c r="AB52" s="182"/>
      <c r="AC52" s="182"/>
      <c r="AD52" s="182"/>
      <c r="AE52" s="185"/>
      <c r="AF52" s="182"/>
      <c r="AG52" s="182"/>
      <c r="AH52" s="182"/>
      <c r="AI52" s="182"/>
      <c r="AJ52" s="185"/>
      <c r="AK52" s="182"/>
      <c r="AL52" s="182"/>
      <c r="AM52" s="182"/>
      <c r="AN52" s="182"/>
      <c r="AO52" s="183"/>
      <c r="AP52" s="182"/>
      <c r="AQ52" s="182"/>
      <c r="AR52" s="504"/>
      <c r="AS52" s="504"/>
      <c r="AT52" s="185"/>
      <c r="AU52" s="30"/>
      <c r="AV52" s="30"/>
      <c r="AW52" s="30"/>
      <c r="AX52" s="30"/>
      <c r="AY52" s="185"/>
      <c r="AZ52" s="182"/>
      <c r="BA52" s="182"/>
      <c r="BB52" s="182"/>
      <c r="BC52" s="182"/>
      <c r="BD52" s="185"/>
      <c r="BE52" s="182"/>
      <c r="BF52" s="182"/>
      <c r="BG52" s="182"/>
      <c r="BH52" s="182"/>
      <c r="BI52" s="185"/>
    </row>
    <row r="53" spans="1:61" s="24" customFormat="1">
      <c r="A53" s="10" t="str">
        <f>+A24</f>
        <v>Total Borrowings</v>
      </c>
      <c r="B53" s="182"/>
      <c r="C53" s="182"/>
      <c r="D53" s="182"/>
      <c r="E53" s="30"/>
      <c r="F53" s="183"/>
      <c r="G53" s="182"/>
      <c r="H53" s="182"/>
      <c r="I53" s="182"/>
      <c r="J53" s="30"/>
      <c r="K53" s="183"/>
      <c r="L53" s="182"/>
      <c r="M53" s="182"/>
      <c r="N53" s="182"/>
      <c r="O53" s="30"/>
      <c r="P53" s="183"/>
      <c r="Q53" s="30"/>
      <c r="R53" s="30"/>
      <c r="S53" s="30"/>
      <c r="T53" s="30"/>
      <c r="U53" s="183"/>
      <c r="V53" s="30"/>
      <c r="W53" s="30"/>
      <c r="X53" s="30"/>
      <c r="Y53" s="30"/>
      <c r="Z53" s="183"/>
      <c r="AA53" s="182"/>
      <c r="AB53" s="182"/>
      <c r="AC53" s="182"/>
      <c r="AD53" s="182"/>
      <c r="AE53" s="185"/>
      <c r="AF53" s="182"/>
      <c r="AG53" s="182"/>
      <c r="AH53" s="182"/>
      <c r="AI53" s="182"/>
      <c r="AJ53" s="185"/>
      <c r="AK53" s="182"/>
      <c r="AL53" s="182"/>
      <c r="AM53" s="182"/>
      <c r="AN53" s="182"/>
      <c r="AO53" s="183"/>
      <c r="AP53" s="182"/>
      <c r="AQ53" s="182"/>
      <c r="AR53" s="504"/>
      <c r="AS53" s="504"/>
      <c r="AT53" s="185"/>
      <c r="AU53" s="30"/>
      <c r="AV53" s="30"/>
      <c r="AW53" s="30"/>
      <c r="AX53" s="30"/>
      <c r="AY53" s="185"/>
      <c r="AZ53" s="182"/>
      <c r="BA53" s="182"/>
      <c r="BB53" s="182"/>
      <c r="BC53" s="182"/>
      <c r="BD53" s="185"/>
      <c r="BE53" s="182"/>
      <c r="BF53" s="182"/>
      <c r="BG53" s="182"/>
      <c r="BH53" s="182"/>
      <c r="BI53" s="185"/>
    </row>
    <row r="54" spans="1:61" s="24" customFormat="1">
      <c r="A54" s="3"/>
      <c r="B54" s="182"/>
      <c r="C54" s="182"/>
      <c r="D54" s="182"/>
      <c r="E54" s="30"/>
      <c r="F54" s="183"/>
      <c r="G54" s="182"/>
      <c r="H54" s="182"/>
      <c r="I54" s="182"/>
      <c r="J54" s="30"/>
      <c r="K54" s="183"/>
      <c r="L54" s="182"/>
      <c r="M54" s="182"/>
      <c r="N54" s="182"/>
      <c r="O54" s="30"/>
      <c r="P54" s="183"/>
      <c r="Q54" s="30"/>
      <c r="R54" s="30"/>
      <c r="S54" s="30"/>
      <c r="T54" s="30"/>
      <c r="U54" s="183"/>
      <c r="V54" s="182"/>
      <c r="W54" s="182"/>
      <c r="X54" s="182"/>
      <c r="Y54" s="182"/>
      <c r="Z54" s="183"/>
      <c r="AA54" s="30"/>
      <c r="AB54" s="30"/>
      <c r="AC54" s="30"/>
      <c r="AD54" s="30"/>
      <c r="AE54" s="185"/>
      <c r="AF54" s="30"/>
      <c r="AG54" s="30"/>
      <c r="AH54" s="30"/>
      <c r="AI54" s="30"/>
      <c r="AJ54" s="185"/>
      <c r="AK54" s="182"/>
      <c r="AL54" s="182"/>
      <c r="AM54" s="182"/>
      <c r="AN54" s="182"/>
      <c r="AO54" s="185"/>
      <c r="AP54" s="182"/>
      <c r="AQ54" s="182"/>
      <c r="AR54" s="504"/>
      <c r="AS54" s="504"/>
      <c r="AT54" s="185"/>
      <c r="AU54" s="30"/>
      <c r="AV54" s="30"/>
      <c r="AW54" s="30"/>
      <c r="AX54" s="30"/>
      <c r="AY54" s="185"/>
      <c r="AZ54" s="182"/>
      <c r="BA54" s="182"/>
      <c r="BB54" s="182"/>
      <c r="BC54" s="182"/>
      <c r="BD54" s="185"/>
      <c r="BE54" s="182"/>
      <c r="BF54" s="182"/>
      <c r="BG54" s="182"/>
      <c r="BH54" s="182"/>
      <c r="BI54" s="185"/>
    </row>
    <row r="55" spans="1:61" s="24" customFormat="1">
      <c r="A55" s="3" t="s">
        <v>500</v>
      </c>
      <c r="B55" s="182"/>
      <c r="C55" s="182"/>
      <c r="D55" s="182"/>
      <c r="E55" s="30"/>
      <c r="F55" s="185"/>
      <c r="G55" s="182"/>
      <c r="H55" s="182"/>
      <c r="I55" s="182"/>
      <c r="J55" s="30"/>
      <c r="K55" s="183"/>
      <c r="L55" s="182"/>
      <c r="M55" s="182"/>
      <c r="N55" s="182"/>
      <c r="O55" s="30"/>
      <c r="P55" s="183"/>
      <c r="Q55" s="182"/>
      <c r="R55" s="182"/>
      <c r="S55" s="182"/>
      <c r="T55" s="182"/>
      <c r="U55" s="185"/>
      <c r="V55" s="182"/>
      <c r="W55" s="182"/>
      <c r="X55" s="182"/>
      <c r="Y55" s="182"/>
      <c r="Z55" s="185"/>
      <c r="AA55" s="182"/>
      <c r="AB55" s="182"/>
      <c r="AC55" s="182"/>
      <c r="AD55" s="182"/>
      <c r="AE55" s="185"/>
      <c r="AF55" s="182"/>
      <c r="AG55" s="182"/>
      <c r="AH55" s="182"/>
      <c r="AI55" s="182"/>
      <c r="AJ55" s="185"/>
      <c r="AK55" s="182"/>
      <c r="AL55" s="182"/>
      <c r="AM55" s="182"/>
      <c r="AN55" s="182" cm="1">
        <f t="array" ref="AN55">_xll.FDS("LIBORUSD3M-FDS","FG_PRICE("&amp;AN1&amp;")")/100</f>
        <v>4.7672899999999997E-2</v>
      </c>
      <c r="AO55" s="185">
        <f>AVERAGE(AK55:AN55)</f>
        <v>4.7672899999999997E-2</v>
      </c>
      <c r="AP55" s="182" cm="1">
        <f t="array" ref="AP55">_xll.FDS("LIBORUSD3M-FDS","FG_PRICE("&amp;AT1&amp;")")/100</f>
        <v>5.6476699999999998E-2</v>
      </c>
      <c r="AQ55" s="182" cm="1">
        <f t="array" ref="AQ55">_xll.FDS("LIBORUSD3M-FDS","FG_PRICE("&amp;AQ1&amp;")")/100</f>
        <v>5.5454299999999998E-2</v>
      </c>
      <c r="AR55" s="504" cm="1">
        <f t="array" ref="AR55">_xll.FDS("LIBORUSD3M-FDS","FG_PRICE("&amp;AR1&amp;")")/100</f>
        <v>5.6571100000000006E-2</v>
      </c>
      <c r="AS55" s="499">
        <f>+AR55</f>
        <v>5.6571100000000006E-2</v>
      </c>
      <c r="AT55" s="500">
        <f>AVERAGE(AP55:AS55)</f>
        <v>5.6268300000000007E-2</v>
      </c>
      <c r="AU55" s="30">
        <f>+AS55</f>
        <v>5.6571100000000006E-2</v>
      </c>
      <c r="AV55" s="30">
        <f t="shared" ref="AV55:AX56" si="74">+AU55</f>
        <v>5.6571100000000006E-2</v>
      </c>
      <c r="AW55" s="30">
        <f t="shared" si="74"/>
        <v>5.6571100000000006E-2</v>
      </c>
      <c r="AX55" s="30">
        <f t="shared" si="74"/>
        <v>5.6571100000000006E-2</v>
      </c>
      <c r="AY55" s="185">
        <f>AVERAGE(AU55:AX55)</f>
        <v>5.6571100000000006E-2</v>
      </c>
      <c r="AZ55" s="30">
        <v>4.2999999999999997E-2</v>
      </c>
      <c r="BA55" s="30">
        <f t="shared" ref="BA55:BB56" si="75">+AZ55</f>
        <v>4.2999999999999997E-2</v>
      </c>
      <c r="BB55" s="30">
        <f t="shared" si="75"/>
        <v>4.2999999999999997E-2</v>
      </c>
      <c r="BC55" s="30">
        <f t="shared" ref="BC55:BC56" si="76">+BB55</f>
        <v>4.2999999999999997E-2</v>
      </c>
      <c r="BD55" s="185">
        <f>AVERAGE(AZ55:BC55)</f>
        <v>4.2999999999999997E-2</v>
      </c>
      <c r="BE55" s="30">
        <v>3.5799999999999998E-2</v>
      </c>
      <c r="BF55" s="30">
        <f t="shared" ref="BF55:BF56" si="77">+BE55</f>
        <v>3.5799999999999998E-2</v>
      </c>
      <c r="BG55" s="30">
        <f t="shared" ref="BG55:BG56" si="78">+BF55</f>
        <v>3.5799999999999998E-2</v>
      </c>
      <c r="BH55" s="30">
        <f t="shared" ref="BH55:BH56" si="79">+BG55</f>
        <v>3.5799999999999998E-2</v>
      </c>
      <c r="BI55" s="185">
        <f>AVERAGE(BE55:BH55)</f>
        <v>3.5799999999999998E-2</v>
      </c>
    </row>
    <row r="56" spans="1:61" s="24" customFormat="1">
      <c r="A56" s="3" t="s">
        <v>205</v>
      </c>
      <c r="B56" s="182"/>
      <c r="C56" s="182"/>
      <c r="D56" s="182"/>
      <c r="E56" s="30"/>
      <c r="F56" s="185"/>
      <c r="G56" s="182"/>
      <c r="H56" s="182"/>
      <c r="I56" s="182"/>
      <c r="J56" s="30"/>
      <c r="K56" s="183"/>
      <c r="L56" s="182"/>
      <c r="M56" s="182"/>
      <c r="N56" s="182"/>
      <c r="O56" s="30"/>
      <c r="P56" s="183"/>
      <c r="Q56" s="182"/>
      <c r="R56" s="182"/>
      <c r="S56" s="182"/>
      <c r="T56" s="182"/>
      <c r="U56" s="185"/>
      <c r="V56" s="182"/>
      <c r="W56" s="182"/>
      <c r="X56" s="182"/>
      <c r="Y56" s="182"/>
      <c r="Z56" s="185"/>
      <c r="AA56" s="182"/>
      <c r="AB56" s="182"/>
      <c r="AC56" s="182"/>
      <c r="AD56" s="182"/>
      <c r="AE56" s="185"/>
      <c r="AF56" s="182"/>
      <c r="AG56" s="182"/>
      <c r="AH56" s="182"/>
      <c r="AI56" s="182"/>
      <c r="AJ56" s="185"/>
      <c r="AK56" s="182"/>
      <c r="AL56" s="182"/>
      <c r="AM56" s="182"/>
      <c r="AN56" s="182" cm="1">
        <f t="array" ref="AN56">_xll.FDS("EURIBOR3M-FDS","FG_PRICE("&amp;AN1&amp;")")/100</f>
        <v>2.1320000000000002E-2</v>
      </c>
      <c r="AO56" s="185">
        <f>AVERAGE(AK56:AN56)</f>
        <v>2.1320000000000002E-2</v>
      </c>
      <c r="AP56" s="182" cm="1">
        <f t="array" ref="AP56">_xll.FDS("EURIBOR3M-FDS","FG_PRICE("&amp;AP1&amp;")")/100</f>
        <v>3.0520000000000002E-2</v>
      </c>
      <c r="AQ56" s="182" cm="1">
        <f t="array" ref="AQ56">_xll.FDS("EURIBOR3M-FDS","FG_PRICE("&amp;AQ1&amp;")")/100</f>
        <v>3.5769999999999996E-2</v>
      </c>
      <c r="AR56" s="504" cm="1">
        <f t="array" ref="AR56">_xll.FDS("EURIBOR3M-FDS","FG_PRICE("&amp;AR1&amp;")")/100</f>
        <v>3.952E-2</v>
      </c>
      <c r="AS56" s="499">
        <f>+AR56</f>
        <v>3.952E-2</v>
      </c>
      <c r="AT56" s="500">
        <f>AVERAGE(AP56:AS56)</f>
        <v>3.6332500000000004E-2</v>
      </c>
      <c r="AU56" s="30">
        <f>+AS56</f>
        <v>3.952E-2</v>
      </c>
      <c r="AV56" s="30">
        <f t="shared" si="74"/>
        <v>3.952E-2</v>
      </c>
      <c r="AW56" s="30">
        <f t="shared" si="74"/>
        <v>3.952E-2</v>
      </c>
      <c r="AX56" s="30">
        <f t="shared" si="74"/>
        <v>3.952E-2</v>
      </c>
      <c r="AY56" s="185">
        <f>AVERAGE(AU56:AX56)</f>
        <v>3.952E-2</v>
      </c>
      <c r="AZ56" s="30">
        <f>+AX56</f>
        <v>3.952E-2</v>
      </c>
      <c r="BA56" s="30">
        <f t="shared" si="75"/>
        <v>3.952E-2</v>
      </c>
      <c r="BB56" s="30">
        <f t="shared" si="75"/>
        <v>3.952E-2</v>
      </c>
      <c r="BC56" s="30">
        <f t="shared" si="76"/>
        <v>3.952E-2</v>
      </c>
      <c r="BD56" s="185">
        <f>AVERAGE(AZ56:BC56)</f>
        <v>3.952E-2</v>
      </c>
      <c r="BE56" s="30">
        <f>+BC56</f>
        <v>3.952E-2</v>
      </c>
      <c r="BF56" s="30">
        <f t="shared" si="77"/>
        <v>3.952E-2</v>
      </c>
      <c r="BG56" s="30">
        <f t="shared" si="78"/>
        <v>3.952E-2</v>
      </c>
      <c r="BH56" s="30">
        <f t="shared" si="79"/>
        <v>3.952E-2</v>
      </c>
      <c r="BI56" s="185">
        <f>AVERAGE(BE56:BH56)</f>
        <v>3.952E-2</v>
      </c>
    </row>
    <row r="57" spans="1:61" s="24" customFormat="1">
      <c r="A57" s="3"/>
      <c r="B57" s="40"/>
      <c r="C57" s="40"/>
      <c r="D57" s="40"/>
      <c r="E57" s="41"/>
      <c r="F57" s="42"/>
      <c r="G57" s="40"/>
      <c r="H57" s="40"/>
      <c r="I57" s="40"/>
      <c r="J57" s="41"/>
      <c r="K57" s="42"/>
      <c r="L57" s="40"/>
      <c r="M57" s="40"/>
      <c r="N57" s="40"/>
      <c r="O57" s="41"/>
      <c r="P57" s="42"/>
      <c r="Q57" s="40"/>
      <c r="R57" s="40"/>
      <c r="S57" s="40"/>
      <c r="T57" s="41"/>
      <c r="U57" s="42"/>
      <c r="V57" s="40"/>
      <c r="W57" s="40"/>
      <c r="X57" s="40"/>
      <c r="Y57" s="41"/>
      <c r="Z57" s="183"/>
      <c r="AA57" s="40"/>
      <c r="AB57" s="40"/>
      <c r="AC57" s="40"/>
      <c r="AD57" s="41"/>
      <c r="AE57" s="25"/>
      <c r="AF57" s="40"/>
      <c r="AG57" s="40"/>
      <c r="AH57" s="40"/>
      <c r="AI57" s="41"/>
      <c r="AJ57" s="25"/>
      <c r="AO57" s="25"/>
      <c r="AR57" s="420"/>
      <c r="AS57" s="420"/>
      <c r="AT57" s="25"/>
      <c r="AY57" s="25"/>
      <c r="BD57" s="25"/>
      <c r="BI57" s="25"/>
    </row>
    <row r="58" spans="1:61" s="24" customFormat="1">
      <c r="A58" s="6" t="s">
        <v>40</v>
      </c>
      <c r="B58" s="111"/>
      <c r="C58" s="111"/>
      <c r="D58" s="111"/>
      <c r="E58" s="111"/>
      <c r="F58" s="112"/>
      <c r="G58" s="111"/>
      <c r="H58" s="111"/>
      <c r="I58" s="111"/>
      <c r="J58" s="111"/>
      <c r="K58" s="112"/>
      <c r="L58" s="111"/>
      <c r="M58" s="111"/>
      <c r="N58" s="111"/>
      <c r="O58" s="111"/>
      <c r="P58" s="112"/>
      <c r="Q58" s="111"/>
      <c r="R58" s="111"/>
      <c r="S58" s="111"/>
      <c r="T58" s="111"/>
      <c r="U58" s="112"/>
      <c r="V58" s="111"/>
      <c r="W58" s="111"/>
      <c r="X58" s="111"/>
      <c r="Y58" s="111"/>
      <c r="Z58" s="112"/>
      <c r="AA58" s="111"/>
      <c r="AB58" s="111"/>
      <c r="AC58" s="111"/>
      <c r="AD58" s="111"/>
      <c r="AE58" s="112"/>
      <c r="AF58" s="111"/>
      <c r="AG58" s="111"/>
      <c r="AH58" s="111"/>
      <c r="AI58" s="111"/>
      <c r="AJ58" s="112"/>
      <c r="AK58" s="111"/>
      <c r="AL58" s="111"/>
      <c r="AM58" s="111"/>
      <c r="AN58" s="338"/>
      <c r="AO58" s="112"/>
      <c r="AP58" s="111"/>
      <c r="AQ58" s="111"/>
      <c r="AR58" s="111"/>
      <c r="AS58" s="111"/>
      <c r="AT58" s="112"/>
      <c r="AU58" s="111"/>
      <c r="AV58" s="111"/>
      <c r="AW58" s="111"/>
      <c r="AX58" s="111"/>
      <c r="AY58" s="112"/>
      <c r="AZ58" s="111"/>
      <c r="BA58" s="111"/>
      <c r="BB58" s="111"/>
      <c r="BC58" s="111"/>
      <c r="BD58" s="112"/>
      <c r="BE58" s="111"/>
      <c r="BF58" s="111"/>
      <c r="BG58" s="111"/>
      <c r="BH58" s="111"/>
      <c r="BI58" s="112"/>
    </row>
    <row r="59" spans="1:61" s="24" customFormat="1">
      <c r="A59" s="335" t="str">
        <f>+A35</f>
        <v>Short-Term</v>
      </c>
      <c r="B59" s="40"/>
      <c r="C59" s="40"/>
      <c r="D59" s="40"/>
      <c r="E59" s="41"/>
      <c r="F59" s="71"/>
      <c r="G59" s="40"/>
      <c r="H59" s="40"/>
      <c r="I59" s="40"/>
      <c r="J59" s="41"/>
      <c r="K59" s="42"/>
      <c r="L59" s="40"/>
      <c r="M59" s="40"/>
      <c r="N59" s="40"/>
      <c r="O59" s="41"/>
      <c r="P59" s="71"/>
      <c r="Q59" s="41"/>
      <c r="R59" s="41"/>
      <c r="S59" s="41"/>
      <c r="T59" s="41"/>
      <c r="U59" s="71"/>
      <c r="V59" s="41"/>
      <c r="W59" s="41"/>
      <c r="X59" s="41"/>
      <c r="Y59" s="41"/>
      <c r="Z59" s="71"/>
      <c r="AA59" s="41"/>
      <c r="AB59" s="41"/>
      <c r="AC59" s="41"/>
      <c r="AD59" s="41"/>
      <c r="AE59" s="71"/>
      <c r="AF59" s="41"/>
      <c r="AG59" s="41"/>
      <c r="AH59" s="41"/>
      <c r="AI59" s="41"/>
      <c r="AJ59" s="71"/>
      <c r="AK59" s="41"/>
      <c r="AL59" s="41"/>
      <c r="AM59" s="41"/>
      <c r="AN59" s="41"/>
      <c r="AO59" s="334"/>
      <c r="AP59" s="41"/>
      <c r="AQ59" s="41"/>
      <c r="AR59" s="421"/>
      <c r="AS59" s="421"/>
      <c r="AT59" s="71"/>
      <c r="AU59" s="41"/>
      <c r="AV59" s="41"/>
      <c r="AW59" s="41"/>
      <c r="AX59" s="41"/>
      <c r="AY59" s="71"/>
      <c r="AZ59" s="41"/>
      <c r="BA59" s="41"/>
      <c r="BB59" s="41"/>
      <c r="BC59" s="41"/>
      <c r="BD59" s="71"/>
      <c r="BE59" s="41"/>
      <c r="BF59" s="41"/>
      <c r="BG59" s="41"/>
      <c r="BH59" s="41"/>
      <c r="BI59" s="71"/>
    </row>
    <row r="60" spans="1:61" s="24" customFormat="1">
      <c r="A60" s="3" t="str">
        <f>+A36</f>
        <v>Senior notes issued by GE</v>
      </c>
      <c r="B60" s="40"/>
      <c r="C60" s="40"/>
      <c r="D60" s="40"/>
      <c r="E60" s="41"/>
      <c r="F60" s="71"/>
      <c r="G60" s="40"/>
      <c r="H60" s="40"/>
      <c r="I60" s="40"/>
      <c r="J60" s="41"/>
      <c r="K60" s="42"/>
      <c r="L60" s="40"/>
      <c r="M60" s="40"/>
      <c r="N60" s="40"/>
      <c r="O60" s="41"/>
      <c r="P60" s="71"/>
      <c r="Q60" s="41"/>
      <c r="R60" s="41"/>
      <c r="S60" s="41"/>
      <c r="T60" s="41"/>
      <c r="U60" s="71"/>
      <c r="V60" s="41"/>
      <c r="W60" s="41"/>
      <c r="X60" s="41"/>
      <c r="Y60" s="41"/>
      <c r="Z60" s="71"/>
      <c r="AA60" s="41"/>
      <c r="AB60" s="41"/>
      <c r="AC60" s="41"/>
      <c r="AD60" s="41"/>
      <c r="AE60" s="71"/>
      <c r="AF60" s="41"/>
      <c r="AG60" s="41"/>
      <c r="AH60" s="41"/>
      <c r="AI60" s="41"/>
      <c r="AJ60" s="71"/>
      <c r="AK60" s="41"/>
      <c r="AL60" s="41"/>
      <c r="AM60" s="41"/>
      <c r="AN60" s="41">
        <f>+AVERAGE(AN7,AM7)*AN36/4</f>
        <v>1.2298</v>
      </c>
      <c r="AO60" s="71">
        <f>SUM(AK60:AN60)</f>
        <v>1.2298</v>
      </c>
      <c r="AP60" s="41">
        <f t="shared" ref="AP60:AR65" si="80">+AVERAGE(AP7,AO7)*AP36/4</f>
        <v>1.4065999999999999</v>
      </c>
      <c r="AQ60" s="41">
        <f t="shared" si="80"/>
        <v>1.0451999999999999</v>
      </c>
      <c r="AR60" s="421">
        <f t="shared" si="80"/>
        <v>0.50309999999999999</v>
      </c>
      <c r="AS60" s="421">
        <f t="shared" ref="AS60:AS65" si="81">+AVERAGE(AS7,AR7)*AS36/4</f>
        <v>0</v>
      </c>
      <c r="AT60" s="71">
        <f t="shared" ref="AT60:AT65" si="82">SUM(AP60:AS60)</f>
        <v>2.9548999999999994</v>
      </c>
      <c r="AU60" s="41">
        <f t="shared" ref="AU60:AX65" si="83">+AVERAGE(AU7,AT7)*AU36/4</f>
        <v>0</v>
      </c>
      <c r="AV60" s="41">
        <f t="shared" si="83"/>
        <v>0</v>
      </c>
      <c r="AW60" s="41">
        <f t="shared" si="83"/>
        <v>0</v>
      </c>
      <c r="AX60" s="41">
        <f t="shared" si="83"/>
        <v>0</v>
      </c>
      <c r="AY60" s="71">
        <f t="shared" ref="AY60:AY65" si="84">SUM(AU60:AX60)</f>
        <v>0</v>
      </c>
      <c r="AZ60" s="41">
        <f t="shared" ref="AZ60:BB65" si="85">+AVERAGE(AZ7,AY7)*AZ36/4</f>
        <v>0</v>
      </c>
      <c r="BA60" s="41">
        <f t="shared" si="85"/>
        <v>0</v>
      </c>
      <c r="BB60" s="41">
        <f t="shared" si="85"/>
        <v>0</v>
      </c>
      <c r="BC60" s="41">
        <f t="shared" ref="BC60:BC65" si="86">+AVERAGE(BC7,BB7)*BC36/4</f>
        <v>0</v>
      </c>
      <c r="BD60" s="71">
        <f t="shared" ref="BD60:BD65" si="87">SUM(AZ60:BC60)</f>
        <v>0</v>
      </c>
      <c r="BE60" s="41">
        <f t="shared" ref="BE60:BE65" si="88">+AVERAGE(BE7,BD7)*BE36/4</f>
        <v>0</v>
      </c>
      <c r="BF60" s="41">
        <f t="shared" ref="BF60:BF65" si="89">+AVERAGE(BF7,BE7)*BF36/4</f>
        <v>0</v>
      </c>
      <c r="BG60" s="41">
        <f t="shared" ref="BG60:BG65" si="90">+AVERAGE(BG7,BF7)*BG36/4</f>
        <v>0</v>
      </c>
      <c r="BH60" s="41">
        <f t="shared" ref="BH60:BH65" si="91">+AVERAGE(BH7,BG7)*BH36/4</f>
        <v>0</v>
      </c>
      <c r="BI60" s="71">
        <f t="shared" ref="BI60:BI65" si="92">SUM(BE60:BH60)</f>
        <v>0</v>
      </c>
    </row>
    <row r="61" spans="1:61" s="24" customFormat="1">
      <c r="A61" s="3" t="str">
        <f>+A37</f>
        <v>Senior and subordinated notes assumed by GE</v>
      </c>
      <c r="B61" s="40"/>
      <c r="C61" s="40"/>
      <c r="D61" s="40"/>
      <c r="E61" s="41"/>
      <c r="F61" s="71"/>
      <c r="G61" s="40"/>
      <c r="H61" s="40"/>
      <c r="I61" s="40"/>
      <c r="J61" s="41"/>
      <c r="K61" s="42"/>
      <c r="L61" s="40"/>
      <c r="M61" s="40"/>
      <c r="N61" s="40"/>
      <c r="O61" s="41"/>
      <c r="P61" s="71"/>
      <c r="Q61" s="41"/>
      <c r="R61" s="41"/>
      <c r="S61" s="41"/>
      <c r="T61" s="41"/>
      <c r="U61" s="71"/>
      <c r="V61" s="41"/>
      <c r="W61" s="41"/>
      <c r="X61" s="41"/>
      <c r="Y61" s="41"/>
      <c r="Z61" s="71"/>
      <c r="AA61" s="41"/>
      <c r="AB61" s="41"/>
      <c r="AC61" s="41"/>
      <c r="AD61" s="41"/>
      <c r="AE61" s="71"/>
      <c r="AF61" s="41"/>
      <c r="AG61" s="41"/>
      <c r="AH61" s="41"/>
      <c r="AI61" s="41"/>
      <c r="AJ61" s="71"/>
      <c r="AK61" s="41"/>
      <c r="AL61" s="41"/>
      <c r="AM61" s="41"/>
      <c r="AN61" s="41">
        <f>+AVERAGE(AN8,AM8)*AN37/4</f>
        <v>7.3987499999999997</v>
      </c>
      <c r="AO61" s="71">
        <f>SUM(AK61:AN61)</f>
        <v>7.3987499999999997</v>
      </c>
      <c r="AP61" s="41">
        <f t="shared" si="80"/>
        <v>5.4749999999999996</v>
      </c>
      <c r="AQ61" s="41">
        <f t="shared" si="80"/>
        <v>3.7106249999999998</v>
      </c>
      <c r="AR61" s="421">
        <f t="shared" si="80"/>
        <v>3.6506249999999998</v>
      </c>
      <c r="AS61" s="421">
        <f t="shared" si="81"/>
        <v>0</v>
      </c>
      <c r="AT61" s="71">
        <f t="shared" si="82"/>
        <v>12.83625</v>
      </c>
      <c r="AU61" s="41">
        <f t="shared" si="83"/>
        <v>0</v>
      </c>
      <c r="AV61" s="41">
        <f t="shared" si="83"/>
        <v>0</v>
      </c>
      <c r="AW61" s="41">
        <f t="shared" si="83"/>
        <v>0</v>
      </c>
      <c r="AX61" s="41">
        <f t="shared" si="83"/>
        <v>0</v>
      </c>
      <c r="AY61" s="71">
        <f t="shared" si="84"/>
        <v>0</v>
      </c>
      <c r="AZ61" s="41">
        <f t="shared" si="85"/>
        <v>0</v>
      </c>
      <c r="BA61" s="41">
        <f t="shared" si="85"/>
        <v>0</v>
      </c>
      <c r="BB61" s="41">
        <f t="shared" si="85"/>
        <v>0</v>
      </c>
      <c r="BC61" s="41">
        <f t="shared" si="86"/>
        <v>0</v>
      </c>
      <c r="BD61" s="71">
        <f t="shared" si="87"/>
        <v>0</v>
      </c>
      <c r="BE61" s="41">
        <f t="shared" si="88"/>
        <v>0</v>
      </c>
      <c r="BF61" s="41">
        <f t="shared" si="89"/>
        <v>0</v>
      </c>
      <c r="BG61" s="41">
        <f t="shared" si="90"/>
        <v>0</v>
      </c>
      <c r="BH61" s="41">
        <f t="shared" si="91"/>
        <v>0</v>
      </c>
      <c r="BI61" s="71">
        <f t="shared" si="92"/>
        <v>0</v>
      </c>
    </row>
    <row r="62" spans="1:61" s="24" customFormat="1">
      <c r="A62" s="3" t="str">
        <f>+A38</f>
        <v>Senior notes issued by GE Capital</v>
      </c>
      <c r="B62" s="40"/>
      <c r="C62" s="40"/>
      <c r="D62" s="40"/>
      <c r="E62" s="41"/>
      <c r="F62" s="71"/>
      <c r="G62" s="40"/>
      <c r="H62" s="40"/>
      <c r="I62" s="40"/>
      <c r="J62" s="41"/>
      <c r="K62" s="42"/>
      <c r="L62" s="40"/>
      <c r="M62" s="40"/>
      <c r="N62" s="40"/>
      <c r="O62" s="41"/>
      <c r="P62" s="71"/>
      <c r="Q62" s="41"/>
      <c r="R62" s="41"/>
      <c r="S62" s="41"/>
      <c r="T62" s="41"/>
      <c r="U62" s="71"/>
      <c r="V62" s="41"/>
      <c r="W62" s="41"/>
      <c r="X62" s="41"/>
      <c r="Y62" s="41"/>
      <c r="Z62" s="71"/>
      <c r="AA62" s="41"/>
      <c r="AB62" s="41"/>
      <c r="AC62" s="41"/>
      <c r="AD62" s="41"/>
      <c r="AE62" s="71"/>
      <c r="AF62" s="41"/>
      <c r="AG62" s="41"/>
      <c r="AH62" s="41"/>
      <c r="AI62" s="41"/>
      <c r="AJ62" s="71"/>
      <c r="AK62" s="41"/>
      <c r="AL62" s="41"/>
      <c r="AM62" s="41"/>
      <c r="AN62" s="41">
        <f>+AVERAGE(AN9,AM9)*AN38/4</f>
        <v>4.5738000000000003</v>
      </c>
      <c r="AO62" s="71">
        <f>SUM(AK62:AN62)</f>
        <v>4.5738000000000003</v>
      </c>
      <c r="AP62" s="41">
        <f t="shared" si="80"/>
        <v>3.4265000000000003</v>
      </c>
      <c r="AQ62" s="41">
        <f t="shared" si="80"/>
        <v>2.1560000000000001</v>
      </c>
      <c r="AR62" s="421">
        <f t="shared" si="80"/>
        <v>1.22045</v>
      </c>
      <c r="AS62" s="421">
        <f t="shared" si="81"/>
        <v>0</v>
      </c>
      <c r="AT62" s="71">
        <f t="shared" si="82"/>
        <v>6.8029500000000009</v>
      </c>
      <c r="AU62" s="41">
        <f t="shared" si="83"/>
        <v>0</v>
      </c>
      <c r="AV62" s="41">
        <f t="shared" si="83"/>
        <v>0</v>
      </c>
      <c r="AW62" s="41">
        <f t="shared" si="83"/>
        <v>0</v>
      </c>
      <c r="AX62" s="41">
        <f t="shared" si="83"/>
        <v>0</v>
      </c>
      <c r="AY62" s="71">
        <f t="shared" si="84"/>
        <v>0</v>
      </c>
      <c r="AZ62" s="41">
        <f t="shared" si="85"/>
        <v>0</v>
      </c>
      <c r="BA62" s="41">
        <f t="shared" si="85"/>
        <v>0</v>
      </c>
      <c r="BB62" s="41">
        <f t="shared" si="85"/>
        <v>0</v>
      </c>
      <c r="BC62" s="41">
        <f t="shared" si="86"/>
        <v>0</v>
      </c>
      <c r="BD62" s="71">
        <f t="shared" si="87"/>
        <v>0</v>
      </c>
      <c r="BE62" s="41">
        <f t="shared" si="88"/>
        <v>0</v>
      </c>
      <c r="BF62" s="41">
        <f t="shared" si="89"/>
        <v>0</v>
      </c>
      <c r="BG62" s="41">
        <f t="shared" si="90"/>
        <v>0</v>
      </c>
      <c r="BH62" s="41">
        <f t="shared" si="91"/>
        <v>0</v>
      </c>
      <c r="BI62" s="71">
        <f t="shared" si="92"/>
        <v>0</v>
      </c>
    </row>
    <row r="63" spans="1:61" s="24" customFormat="1">
      <c r="A63" s="3" t="s">
        <v>490</v>
      </c>
      <c r="B63" s="40"/>
      <c r="C63" s="40"/>
      <c r="D63" s="40"/>
      <c r="E63" s="41"/>
      <c r="F63" s="71"/>
      <c r="G63" s="40"/>
      <c r="H63" s="40"/>
      <c r="I63" s="40"/>
      <c r="J63" s="41"/>
      <c r="K63" s="42"/>
      <c r="L63" s="40"/>
      <c r="M63" s="40"/>
      <c r="N63" s="40"/>
      <c r="O63" s="41"/>
      <c r="P63" s="71"/>
      <c r="Q63" s="41"/>
      <c r="R63" s="41"/>
      <c r="S63" s="41"/>
      <c r="T63" s="41"/>
      <c r="U63" s="71"/>
      <c r="V63" s="41"/>
      <c r="W63" s="41"/>
      <c r="X63" s="41"/>
      <c r="Y63" s="41"/>
      <c r="Z63" s="71"/>
      <c r="AA63" s="41"/>
      <c r="AB63" s="41"/>
      <c r="AC63" s="41"/>
      <c r="AD63" s="41"/>
      <c r="AE63" s="71"/>
      <c r="AF63" s="41"/>
      <c r="AG63" s="41"/>
      <c r="AH63" s="41"/>
      <c r="AI63" s="41"/>
      <c r="AJ63" s="71"/>
      <c r="AK63" s="41"/>
      <c r="AL63" s="41"/>
      <c r="AM63" s="41"/>
      <c r="AN63" s="41"/>
      <c r="AO63" s="71"/>
      <c r="AP63" s="41"/>
      <c r="AQ63" s="41"/>
      <c r="AR63" s="421"/>
      <c r="AS63" s="421">
        <f t="shared" si="81"/>
        <v>10.4139</v>
      </c>
      <c r="AT63" s="71">
        <f t="shared" si="82"/>
        <v>10.4139</v>
      </c>
      <c r="AU63" s="41">
        <f t="shared" si="83"/>
        <v>10.4139</v>
      </c>
      <c r="AV63" s="41">
        <f t="shared" si="83"/>
        <v>13.336575</v>
      </c>
      <c r="AW63" s="41">
        <f t="shared" si="83"/>
        <v>16.149525000000001</v>
      </c>
      <c r="AX63" s="41">
        <f t="shared" si="83"/>
        <v>17.933500000000002</v>
      </c>
      <c r="AY63" s="71">
        <f t="shared" si="84"/>
        <v>57.833500000000008</v>
      </c>
      <c r="AZ63" s="41">
        <f t="shared" si="85"/>
        <v>19.958575</v>
      </c>
      <c r="BA63" s="41">
        <f t="shared" si="85"/>
        <v>19.278512500000001</v>
      </c>
      <c r="BB63" s="41">
        <f t="shared" si="85"/>
        <v>18.643787500000002</v>
      </c>
      <c r="BC63" s="41">
        <f t="shared" si="86"/>
        <v>16.940000000000001</v>
      </c>
      <c r="BD63" s="71">
        <f t="shared" si="87"/>
        <v>74.820875000000001</v>
      </c>
      <c r="BE63" s="41">
        <f t="shared" si="88"/>
        <v>16.885000000000002</v>
      </c>
      <c r="BF63" s="41">
        <f t="shared" si="89"/>
        <v>18.295000000000002</v>
      </c>
      <c r="BG63" s="41">
        <f t="shared" si="90"/>
        <v>17.86</v>
      </c>
      <c r="BH63" s="41">
        <f t="shared" si="91"/>
        <v>17.86</v>
      </c>
      <c r="BI63" s="71">
        <f t="shared" si="92"/>
        <v>70.900000000000006</v>
      </c>
    </row>
    <row r="64" spans="1:61" s="24" customFormat="1">
      <c r="A64" s="3" t="s">
        <v>491</v>
      </c>
      <c r="B64" s="40"/>
      <c r="C64" s="40"/>
      <c r="D64" s="40"/>
      <c r="E64" s="41"/>
      <c r="F64" s="71"/>
      <c r="G64" s="40"/>
      <c r="H64" s="40"/>
      <c r="I64" s="40"/>
      <c r="J64" s="41"/>
      <c r="K64" s="42"/>
      <c r="L64" s="40"/>
      <c r="M64" s="40"/>
      <c r="N64" s="40"/>
      <c r="O64" s="41"/>
      <c r="P64" s="71"/>
      <c r="Q64" s="41"/>
      <c r="R64" s="41"/>
      <c r="S64" s="41"/>
      <c r="T64" s="41"/>
      <c r="U64" s="71"/>
      <c r="V64" s="41"/>
      <c r="W64" s="41"/>
      <c r="X64" s="41"/>
      <c r="Y64" s="41"/>
      <c r="Z64" s="71"/>
      <c r="AA64" s="41"/>
      <c r="AB64" s="41"/>
      <c r="AC64" s="41"/>
      <c r="AD64" s="41"/>
      <c r="AE64" s="71"/>
      <c r="AF64" s="41"/>
      <c r="AG64" s="41"/>
      <c r="AH64" s="41"/>
      <c r="AI64" s="41"/>
      <c r="AJ64" s="71"/>
      <c r="AK64" s="41"/>
      <c r="AL64" s="41"/>
      <c r="AM64" s="41"/>
      <c r="AN64" s="41"/>
      <c r="AO64" s="71"/>
      <c r="AP64" s="41"/>
      <c r="AQ64" s="41"/>
      <c r="AR64" s="421"/>
      <c r="AS64" s="421">
        <f t="shared" si="81"/>
        <v>0.33750000000000002</v>
      </c>
      <c r="AT64" s="71">
        <f t="shared" si="82"/>
        <v>0.33750000000000002</v>
      </c>
      <c r="AU64" s="41">
        <f t="shared" si="83"/>
        <v>0.33750000000000002</v>
      </c>
      <c r="AV64" s="41">
        <f t="shared" si="83"/>
        <v>0.60625000000000007</v>
      </c>
      <c r="AW64" s="41">
        <f t="shared" si="83"/>
        <v>0.9</v>
      </c>
      <c r="AX64" s="41">
        <f t="shared" si="83"/>
        <v>1.0062500000000001</v>
      </c>
      <c r="AY64" s="71">
        <f t="shared" si="84"/>
        <v>2.85</v>
      </c>
      <c r="AZ64" s="41">
        <f t="shared" si="85"/>
        <v>0.83015625000000004</v>
      </c>
      <c r="BA64" s="41">
        <f t="shared" si="85"/>
        <v>0.62390625</v>
      </c>
      <c r="BB64" s="41">
        <f t="shared" si="85"/>
        <v>1.0931250000000001</v>
      </c>
      <c r="BC64" s="41">
        <f t="shared" si="86"/>
        <v>1.6603125000000001</v>
      </c>
      <c r="BD64" s="71">
        <f t="shared" si="87"/>
        <v>4.2075000000000005</v>
      </c>
      <c r="BE64" s="41">
        <f t="shared" si="88"/>
        <v>1.89234375</v>
      </c>
      <c r="BF64" s="41">
        <f t="shared" si="89"/>
        <v>2.1604687500000002</v>
      </c>
      <c r="BG64" s="41">
        <f t="shared" si="90"/>
        <v>2.1553125</v>
      </c>
      <c r="BH64" s="41">
        <f t="shared" si="91"/>
        <v>2.1553125</v>
      </c>
      <c r="BI64" s="71">
        <f t="shared" si="92"/>
        <v>8.3634374999999999</v>
      </c>
    </row>
    <row r="65" spans="1:61" s="24" customFormat="1">
      <c r="A65" s="3" t="str">
        <f>+A41</f>
        <v>Other</v>
      </c>
      <c r="B65" s="40"/>
      <c r="C65" s="40"/>
      <c r="D65" s="40"/>
      <c r="E65" s="41"/>
      <c r="F65" s="71"/>
      <c r="G65" s="40"/>
      <c r="H65" s="40"/>
      <c r="I65" s="40"/>
      <c r="J65" s="41"/>
      <c r="K65" s="42"/>
      <c r="L65" s="40"/>
      <c r="M65" s="40"/>
      <c r="N65" s="40"/>
      <c r="O65" s="41"/>
      <c r="P65" s="71"/>
      <c r="Q65" s="41"/>
      <c r="R65" s="41"/>
      <c r="S65" s="41"/>
      <c r="T65" s="41"/>
      <c r="U65" s="71"/>
      <c r="V65" s="41"/>
      <c r="W65" s="41"/>
      <c r="X65" s="41"/>
      <c r="Y65" s="41"/>
      <c r="Z65" s="71"/>
      <c r="AA65" s="41"/>
      <c r="AB65" s="41"/>
      <c r="AC65" s="41"/>
      <c r="AD65" s="41"/>
      <c r="AE65" s="71"/>
      <c r="AF65" s="41"/>
      <c r="AG65" s="41"/>
      <c r="AH65" s="41"/>
      <c r="AI65" s="41"/>
      <c r="AJ65" s="71"/>
      <c r="AK65" s="41"/>
      <c r="AL65" s="41"/>
      <c r="AM65" s="41"/>
      <c r="AN65" s="41">
        <f>+AVERAGE(AN12,AM12)*AN41/4</f>
        <v>0.47739999999999999</v>
      </c>
      <c r="AO65" s="71">
        <f>SUM(AK65:AN65)</f>
        <v>0.47739999999999999</v>
      </c>
      <c r="AP65" s="41">
        <f t="shared" si="80"/>
        <v>0.45815</v>
      </c>
      <c r="AQ65" s="41">
        <f t="shared" si="80"/>
        <v>0.46392500000000003</v>
      </c>
      <c r="AR65" s="421">
        <f t="shared" si="80"/>
        <v>0.47739999999999999</v>
      </c>
      <c r="AS65" s="421">
        <f t="shared" si="81"/>
        <v>0.98750000000000004</v>
      </c>
      <c r="AT65" s="71">
        <f t="shared" si="82"/>
        <v>2.3869750000000001</v>
      </c>
      <c r="AU65" s="41">
        <f t="shared" si="83"/>
        <v>0.46250000000000002</v>
      </c>
      <c r="AV65" s="41">
        <f t="shared" si="83"/>
        <v>0.23125000000000001</v>
      </c>
      <c r="AW65" s="41">
        <f t="shared" si="83"/>
        <v>0</v>
      </c>
      <c r="AX65" s="41">
        <f t="shared" si="83"/>
        <v>0</v>
      </c>
      <c r="AY65" s="71">
        <f t="shared" si="84"/>
        <v>0.69375000000000009</v>
      </c>
      <c r="AZ65" s="41">
        <f t="shared" si="85"/>
        <v>0</v>
      </c>
      <c r="BA65" s="41">
        <f t="shared" si="85"/>
        <v>0.15625</v>
      </c>
      <c r="BB65" s="41">
        <f t="shared" si="85"/>
        <v>0.26250000000000001</v>
      </c>
      <c r="BC65" s="41">
        <f t="shared" si="86"/>
        <v>0.26250000000000001</v>
      </c>
      <c r="BD65" s="71">
        <f t="shared" si="87"/>
        <v>0.68125000000000002</v>
      </c>
      <c r="BE65" s="41">
        <f t="shared" si="88"/>
        <v>0.28125</v>
      </c>
      <c r="BF65" s="41">
        <f t="shared" si="89"/>
        <v>0.15625</v>
      </c>
      <c r="BG65" s="41">
        <f t="shared" si="90"/>
        <v>6.25E-2</v>
      </c>
      <c r="BH65" s="41">
        <f t="shared" si="91"/>
        <v>6.25E-2</v>
      </c>
      <c r="BI65" s="71">
        <f t="shared" si="92"/>
        <v>0.5625</v>
      </c>
    </row>
    <row r="66" spans="1:61" s="24" customFormat="1">
      <c r="A66" s="10" t="s">
        <v>327</v>
      </c>
      <c r="B66" s="40"/>
      <c r="C66" s="40"/>
      <c r="D66" s="40"/>
      <c r="E66" s="41"/>
      <c r="F66" s="71"/>
      <c r="G66" s="40"/>
      <c r="H66" s="40"/>
      <c r="I66" s="40"/>
      <c r="J66" s="41"/>
      <c r="K66" s="42"/>
      <c r="L66" s="40"/>
      <c r="M66" s="40"/>
      <c r="N66" s="40"/>
      <c r="O66" s="41"/>
      <c r="P66" s="71"/>
      <c r="Q66" s="41"/>
      <c r="R66" s="41"/>
      <c r="S66" s="41"/>
      <c r="T66" s="41"/>
      <c r="U66" s="71"/>
      <c r="V66" s="41"/>
      <c r="W66" s="41"/>
      <c r="X66" s="41"/>
      <c r="Y66" s="41"/>
      <c r="Z66" s="71"/>
      <c r="AA66" s="41"/>
      <c r="AB66" s="41"/>
      <c r="AC66" s="41"/>
      <c r="AD66" s="41"/>
      <c r="AE66" s="71"/>
      <c r="AF66" s="41"/>
      <c r="AG66" s="41"/>
      <c r="AH66" s="41"/>
      <c r="AI66" s="41"/>
      <c r="AJ66" s="71"/>
      <c r="AK66" s="41"/>
      <c r="AL66" s="41"/>
      <c r="AM66" s="41"/>
      <c r="AN66" s="41">
        <f t="shared" ref="AN66:BA66" si="93">SUM(AN60:AN65)</f>
        <v>13.67975</v>
      </c>
      <c r="AO66" s="71">
        <f t="shared" si="93"/>
        <v>13.67975</v>
      </c>
      <c r="AP66" s="41">
        <f t="shared" si="93"/>
        <v>10.766249999999999</v>
      </c>
      <c r="AQ66" s="41">
        <f t="shared" si="93"/>
        <v>7.37575</v>
      </c>
      <c r="AR66" s="421">
        <f t="shared" si="93"/>
        <v>5.8515749999999995</v>
      </c>
      <c r="AS66" s="421">
        <f t="shared" si="93"/>
        <v>11.738900000000001</v>
      </c>
      <c r="AT66" s="71">
        <f t="shared" si="93"/>
        <v>35.732474999999994</v>
      </c>
      <c r="AU66" s="41">
        <f t="shared" si="93"/>
        <v>11.213900000000001</v>
      </c>
      <c r="AV66" s="41">
        <f t="shared" si="93"/>
        <v>14.174074999999998</v>
      </c>
      <c r="AW66" s="41">
        <f t="shared" si="93"/>
        <v>17.049524999999999</v>
      </c>
      <c r="AX66" s="41">
        <f t="shared" si="93"/>
        <v>18.939750000000004</v>
      </c>
      <c r="AY66" s="71">
        <f t="shared" si="93"/>
        <v>61.377250000000011</v>
      </c>
      <c r="AZ66" s="41">
        <f t="shared" si="93"/>
        <v>20.788731250000001</v>
      </c>
      <c r="BA66" s="41">
        <f t="shared" si="93"/>
        <v>20.058668750000002</v>
      </c>
      <c r="BB66" s="41">
        <f t="shared" ref="BB66:BD66" si="94">SUM(BB60:BB65)</f>
        <v>19.999412500000002</v>
      </c>
      <c r="BC66" s="41">
        <f t="shared" si="94"/>
        <v>18.8628125</v>
      </c>
      <c r="BD66" s="71">
        <f t="shared" si="94"/>
        <v>79.709625000000003</v>
      </c>
      <c r="BE66" s="41">
        <f t="shared" ref="BE66:BI66" si="95">SUM(BE60:BE65)</f>
        <v>19.05859375</v>
      </c>
      <c r="BF66" s="41">
        <f t="shared" si="95"/>
        <v>20.611718750000001</v>
      </c>
      <c r="BG66" s="41">
        <f t="shared" si="95"/>
        <v>20.0778125</v>
      </c>
      <c r="BH66" s="41">
        <f t="shared" si="95"/>
        <v>20.0778125</v>
      </c>
      <c r="BI66" s="71">
        <f t="shared" si="95"/>
        <v>79.825937500000009</v>
      </c>
    </row>
    <row r="67" spans="1:61" s="24" customFormat="1">
      <c r="A67" s="3"/>
      <c r="B67" s="40"/>
      <c r="C67" s="40"/>
      <c r="D67" s="40"/>
      <c r="E67" s="41"/>
      <c r="F67" s="71"/>
      <c r="G67" s="40"/>
      <c r="H67" s="40"/>
      <c r="I67" s="40"/>
      <c r="J67" s="41"/>
      <c r="K67" s="42"/>
      <c r="L67" s="40"/>
      <c r="M67" s="40"/>
      <c r="N67" s="40"/>
      <c r="O67" s="41"/>
      <c r="P67" s="71"/>
      <c r="Q67" s="41"/>
      <c r="R67" s="41"/>
      <c r="S67" s="41"/>
      <c r="T67" s="41"/>
      <c r="U67" s="71"/>
      <c r="V67" s="41"/>
      <c r="W67" s="41"/>
      <c r="X67" s="41"/>
      <c r="Y67" s="41"/>
      <c r="Z67" s="71"/>
      <c r="AA67" s="41"/>
      <c r="AB67" s="41"/>
      <c r="AC67" s="41"/>
      <c r="AD67" s="41"/>
      <c r="AE67" s="71"/>
      <c r="AF67" s="41"/>
      <c r="AG67" s="41"/>
      <c r="AH67" s="41"/>
      <c r="AI67" s="41"/>
      <c r="AJ67" s="71"/>
      <c r="AK67" s="41"/>
      <c r="AL67" s="41"/>
      <c r="AM67" s="41"/>
      <c r="AN67" s="41"/>
      <c r="AO67" s="71"/>
      <c r="AP67" s="41"/>
      <c r="AQ67" s="41"/>
      <c r="AR67" s="421"/>
      <c r="AS67" s="421"/>
      <c r="AT67" s="71"/>
      <c r="AU67" s="41"/>
      <c r="AV67" s="41"/>
      <c r="AW67" s="41"/>
      <c r="AX67" s="41"/>
      <c r="AY67" s="71"/>
      <c r="AZ67" s="41"/>
      <c r="BA67" s="41"/>
      <c r="BB67" s="41"/>
      <c r="BC67" s="41"/>
      <c r="BD67" s="71"/>
      <c r="BE67" s="41"/>
      <c r="BF67" s="41"/>
      <c r="BG67" s="41"/>
      <c r="BH67" s="41"/>
      <c r="BI67" s="71"/>
    </row>
    <row r="68" spans="1:61" s="24" customFormat="1">
      <c r="A68" s="335" t="str">
        <f>+A44</f>
        <v>Long-Term</v>
      </c>
      <c r="B68" s="40"/>
      <c r="C68" s="40"/>
      <c r="D68" s="40"/>
      <c r="E68" s="41"/>
      <c r="F68" s="71"/>
      <c r="G68" s="40"/>
      <c r="H68" s="40"/>
      <c r="I68" s="40"/>
      <c r="J68" s="41"/>
      <c r="K68" s="42"/>
      <c r="L68" s="40"/>
      <c r="M68" s="40"/>
      <c r="N68" s="40"/>
      <c r="O68" s="41"/>
      <c r="P68" s="71"/>
      <c r="Q68" s="41"/>
      <c r="R68" s="41"/>
      <c r="S68" s="41"/>
      <c r="T68" s="41"/>
      <c r="U68" s="71"/>
      <c r="V68" s="41"/>
      <c r="W68" s="41"/>
      <c r="X68" s="41"/>
      <c r="Y68" s="41"/>
      <c r="Z68" s="71"/>
      <c r="AA68" s="41"/>
      <c r="AB68" s="41"/>
      <c r="AC68" s="41"/>
      <c r="AD68" s="41"/>
      <c r="AE68" s="71"/>
      <c r="AF68" s="41"/>
      <c r="AG68" s="41"/>
      <c r="AH68" s="41"/>
      <c r="AI68" s="41"/>
      <c r="AJ68" s="71"/>
      <c r="AK68" s="41"/>
      <c r="AL68" s="41"/>
      <c r="AM68" s="41"/>
      <c r="AN68" s="41"/>
      <c r="AO68" s="71"/>
      <c r="AP68" s="41"/>
      <c r="AQ68" s="41"/>
      <c r="AR68" s="421"/>
      <c r="AS68" s="421"/>
      <c r="AT68" s="71"/>
      <c r="AU68" s="41"/>
      <c r="AV68" s="41"/>
      <c r="AW68" s="41"/>
      <c r="AX68" s="41"/>
      <c r="AY68" s="71"/>
      <c r="AZ68" s="41"/>
      <c r="BA68" s="41"/>
      <c r="BB68" s="41"/>
      <c r="BC68" s="41"/>
      <c r="BD68" s="71"/>
      <c r="BE68" s="41"/>
      <c r="BF68" s="41"/>
      <c r="BG68" s="41"/>
      <c r="BH68" s="41"/>
      <c r="BI68" s="71"/>
    </row>
    <row r="69" spans="1:61" s="24" customFormat="1">
      <c r="A69" s="3" t="str">
        <f>+A45</f>
        <v>Senior notes issued by GE</v>
      </c>
      <c r="B69" s="40"/>
      <c r="C69" s="40"/>
      <c r="D69" s="40"/>
      <c r="E69" s="41"/>
      <c r="F69" s="71"/>
      <c r="G69" s="40"/>
      <c r="H69" s="40"/>
      <c r="I69" s="40"/>
      <c r="J69" s="41"/>
      <c r="K69" s="42"/>
      <c r="L69" s="40"/>
      <c r="M69" s="40"/>
      <c r="N69" s="40"/>
      <c r="O69" s="41"/>
      <c r="P69" s="71"/>
      <c r="Q69" s="41"/>
      <c r="R69" s="41"/>
      <c r="S69" s="41"/>
      <c r="T69" s="41"/>
      <c r="U69" s="71"/>
      <c r="V69" s="41"/>
      <c r="W69" s="41"/>
      <c r="X69" s="41"/>
      <c r="Y69" s="41"/>
      <c r="Z69" s="71"/>
      <c r="AA69" s="41"/>
      <c r="AB69" s="41"/>
      <c r="AC69" s="41"/>
      <c r="AD69" s="41"/>
      <c r="AE69" s="71"/>
      <c r="AF69" s="41"/>
      <c r="AG69" s="41"/>
      <c r="AH69" s="41"/>
      <c r="AI69" s="41"/>
      <c r="AJ69" s="71"/>
      <c r="AK69" s="41"/>
      <c r="AL69" s="41"/>
      <c r="AM69" s="41"/>
      <c r="AN69" s="41">
        <f>+AVERAGE(AN16,AM16)*AN45/4</f>
        <v>153.50812500000001</v>
      </c>
      <c r="AO69" s="71">
        <f>SUM(AK69:AN69)</f>
        <v>153.50812500000001</v>
      </c>
      <c r="AP69" s="41">
        <f t="shared" ref="AP69:AR74" si="96">+AVERAGE(AP16,AO16)*AP45/4</f>
        <v>104.38124999999999</v>
      </c>
      <c r="AQ69" s="41">
        <f t="shared" si="96"/>
        <v>55.432499999999997</v>
      </c>
      <c r="AR69" s="421">
        <f t="shared" si="96"/>
        <v>55.040624999999999</v>
      </c>
      <c r="AS69" s="421">
        <f t="shared" ref="AS69:AS74" ca="1" si="97">+AVERAGE(AS16,AR16)*AS45/4</f>
        <v>27.235312499999999</v>
      </c>
      <c r="AT69" s="71">
        <f t="shared" ref="AT69:AT74" ca="1" si="98">SUM(AP69:AS69)</f>
        <v>242.0896875</v>
      </c>
      <c r="AU69" s="41">
        <f t="shared" ref="AU69:AX74" ca="1" si="99">+AVERAGE(AU16,AT16)*AU45/4</f>
        <v>0</v>
      </c>
      <c r="AV69" s="41">
        <f t="shared" ca="1" si="99"/>
        <v>0</v>
      </c>
      <c r="AW69" s="41">
        <f t="shared" ca="1" si="99"/>
        <v>0</v>
      </c>
      <c r="AX69" s="41">
        <f t="shared" ca="1" si="99"/>
        <v>0</v>
      </c>
      <c r="AY69" s="71">
        <f t="shared" ref="AY69:AY74" ca="1" si="100">SUM(AU69:AX69)</f>
        <v>0</v>
      </c>
      <c r="AZ69" s="41">
        <f t="shared" ref="AZ69:BB74" ca="1" si="101">+AVERAGE(AZ16,AY16)*AZ45/4</f>
        <v>0</v>
      </c>
      <c r="BA69" s="41">
        <f t="shared" ca="1" si="101"/>
        <v>0</v>
      </c>
      <c r="BB69" s="41">
        <f t="shared" ca="1" si="101"/>
        <v>0</v>
      </c>
      <c r="BC69" s="41">
        <f t="shared" ref="BC69:BC74" ca="1" si="102">+AVERAGE(BC16,BB16)*BC45/4</f>
        <v>0</v>
      </c>
      <c r="BD69" s="71">
        <f t="shared" ref="BD69:BD74" ca="1" si="103">SUM(AZ69:BC69)</f>
        <v>0</v>
      </c>
      <c r="BE69" s="41">
        <f t="shared" ref="BE69:BE73" ca="1" si="104">+AVERAGE(BE16,BD16)*BE45/4</f>
        <v>0</v>
      </c>
      <c r="BF69" s="41">
        <f t="shared" ref="BF69:BF73" ca="1" si="105">+AVERAGE(BF16,BE16)*BF45/4</f>
        <v>0</v>
      </c>
      <c r="BG69" s="41">
        <f t="shared" ref="BG69:BG73" ca="1" si="106">+AVERAGE(BG16,BF16)*BG45/4</f>
        <v>0</v>
      </c>
      <c r="BH69" s="41">
        <f t="shared" ref="BH69:BH73" ca="1" si="107">+AVERAGE(BH16,BG16)*BH45/4</f>
        <v>0</v>
      </c>
      <c r="BI69" s="71">
        <f t="shared" ref="BI69:BI74" ca="1" si="108">SUM(BE69:BH69)</f>
        <v>0</v>
      </c>
    </row>
    <row r="70" spans="1:61" s="24" customFormat="1">
      <c r="A70" s="3" t="str">
        <f>+A46</f>
        <v>Senior and subordinated notes assumed by GE</v>
      </c>
      <c r="B70" s="40"/>
      <c r="C70" s="40"/>
      <c r="D70" s="40"/>
      <c r="E70" s="41"/>
      <c r="F70" s="71"/>
      <c r="G70" s="40"/>
      <c r="H70" s="40"/>
      <c r="I70" s="40"/>
      <c r="J70" s="41"/>
      <c r="K70" s="42"/>
      <c r="L70" s="40"/>
      <c r="M70" s="40"/>
      <c r="N70" s="40"/>
      <c r="O70" s="41"/>
      <c r="P70" s="71"/>
      <c r="Q70" s="41"/>
      <c r="R70" s="41"/>
      <c r="S70" s="41"/>
      <c r="T70" s="41"/>
      <c r="U70" s="71"/>
      <c r="V70" s="41"/>
      <c r="W70" s="41"/>
      <c r="X70" s="41"/>
      <c r="Y70" s="41"/>
      <c r="Z70" s="71"/>
      <c r="AA70" s="41"/>
      <c r="AB70" s="41"/>
      <c r="AC70" s="41"/>
      <c r="AD70" s="41"/>
      <c r="AE70" s="71"/>
      <c r="AF70" s="41"/>
      <c r="AG70" s="41"/>
      <c r="AH70" s="41"/>
      <c r="AI70" s="41"/>
      <c r="AJ70" s="71"/>
      <c r="AK70" s="41"/>
      <c r="AL70" s="41"/>
      <c r="AM70" s="41"/>
      <c r="AN70" s="41">
        <f>+AVERAGE(AN17,AM17)*AN46/4</f>
        <v>98.980650000000011</v>
      </c>
      <c r="AO70" s="71">
        <f>SUM(AK70:AN70)</f>
        <v>98.980650000000011</v>
      </c>
      <c r="AP70" s="41">
        <f t="shared" si="96"/>
        <v>98.84523750000001</v>
      </c>
      <c r="AQ70" s="41">
        <f t="shared" si="96"/>
        <v>100.13460000000001</v>
      </c>
      <c r="AR70" s="421">
        <f t="shared" si="96"/>
        <v>100.66447500000001</v>
      </c>
      <c r="AS70" s="421">
        <f t="shared" ca="1" si="97"/>
        <v>49.884787500000002</v>
      </c>
      <c r="AT70" s="71">
        <f t="shared" ca="1" si="98"/>
        <v>349.52910000000008</v>
      </c>
      <c r="AU70" s="41">
        <f t="shared" ca="1" si="99"/>
        <v>0</v>
      </c>
      <c r="AV70" s="41">
        <f t="shared" ca="1" si="99"/>
        <v>0</v>
      </c>
      <c r="AW70" s="41">
        <f t="shared" ca="1" si="99"/>
        <v>0</v>
      </c>
      <c r="AX70" s="41">
        <f t="shared" ca="1" si="99"/>
        <v>0</v>
      </c>
      <c r="AY70" s="71">
        <f t="shared" ca="1" si="100"/>
        <v>0</v>
      </c>
      <c r="AZ70" s="41">
        <f t="shared" ca="1" si="101"/>
        <v>0</v>
      </c>
      <c r="BA70" s="41">
        <f t="shared" ca="1" si="101"/>
        <v>0</v>
      </c>
      <c r="BB70" s="41">
        <f t="shared" ca="1" si="101"/>
        <v>0</v>
      </c>
      <c r="BC70" s="41">
        <f t="shared" ca="1" si="102"/>
        <v>0</v>
      </c>
      <c r="BD70" s="71">
        <f t="shared" ca="1" si="103"/>
        <v>0</v>
      </c>
      <c r="BE70" s="41">
        <f t="shared" ca="1" si="104"/>
        <v>0</v>
      </c>
      <c r="BF70" s="41">
        <f t="shared" ca="1" si="105"/>
        <v>0</v>
      </c>
      <c r="BG70" s="41">
        <f t="shared" ca="1" si="106"/>
        <v>0</v>
      </c>
      <c r="BH70" s="41">
        <f t="shared" ca="1" si="107"/>
        <v>0</v>
      </c>
      <c r="BI70" s="71">
        <f t="shared" ca="1" si="108"/>
        <v>0</v>
      </c>
    </row>
    <row r="71" spans="1:61" s="24" customFormat="1">
      <c r="A71" s="3" t="str">
        <f>+A47</f>
        <v>Senior notes issued by GE Capital</v>
      </c>
      <c r="B71" s="40"/>
      <c r="C71" s="40"/>
      <c r="D71" s="40"/>
      <c r="E71" s="41"/>
      <c r="F71" s="71"/>
      <c r="G71" s="40"/>
      <c r="H71" s="40"/>
      <c r="I71" s="40"/>
      <c r="J71" s="41"/>
      <c r="K71" s="42"/>
      <c r="L71" s="40"/>
      <c r="M71" s="40"/>
      <c r="N71" s="40"/>
      <c r="O71" s="41"/>
      <c r="P71" s="71"/>
      <c r="Q71" s="41"/>
      <c r="R71" s="41"/>
      <c r="S71" s="41"/>
      <c r="T71" s="41"/>
      <c r="U71" s="71"/>
      <c r="V71" s="41"/>
      <c r="W71" s="41"/>
      <c r="X71" s="41"/>
      <c r="Y71" s="41"/>
      <c r="Z71" s="71"/>
      <c r="AA71" s="41"/>
      <c r="AB71" s="41"/>
      <c r="AC71" s="41"/>
      <c r="AD71" s="41"/>
      <c r="AE71" s="71"/>
      <c r="AF71" s="41"/>
      <c r="AG71" s="41"/>
      <c r="AH71" s="41"/>
      <c r="AI71" s="41"/>
      <c r="AJ71" s="71"/>
      <c r="AK71" s="41"/>
      <c r="AL71" s="41"/>
      <c r="AM71" s="41"/>
      <c r="AN71" s="41">
        <f>+AVERAGE(AN18,AM18)*AN47/4</f>
        <v>62.103875000000002</v>
      </c>
      <c r="AO71" s="71">
        <f>SUM(AK71:AN71)</f>
        <v>62.103875000000002</v>
      </c>
      <c r="AP71" s="41">
        <f t="shared" si="96"/>
        <v>61.9705625</v>
      </c>
      <c r="AQ71" s="41">
        <f t="shared" si="96"/>
        <v>59.264812499999998</v>
      </c>
      <c r="AR71" s="421">
        <f t="shared" si="96"/>
        <v>56.0949375</v>
      </c>
      <c r="AS71" s="421">
        <f t="shared" ca="1" si="97"/>
        <v>27.748750000000001</v>
      </c>
      <c r="AT71" s="71">
        <f t="shared" ca="1" si="98"/>
        <v>205.07906249999999</v>
      </c>
      <c r="AU71" s="41">
        <f t="shared" ca="1" si="99"/>
        <v>0</v>
      </c>
      <c r="AV71" s="41">
        <f t="shared" ca="1" si="99"/>
        <v>0</v>
      </c>
      <c r="AW71" s="41">
        <f t="shared" ca="1" si="99"/>
        <v>0</v>
      </c>
      <c r="AX71" s="41">
        <f t="shared" ca="1" si="99"/>
        <v>0</v>
      </c>
      <c r="AY71" s="71">
        <f t="shared" ca="1" si="100"/>
        <v>0</v>
      </c>
      <c r="AZ71" s="41">
        <f t="shared" ca="1" si="101"/>
        <v>0</v>
      </c>
      <c r="BA71" s="41">
        <f t="shared" ca="1" si="101"/>
        <v>0</v>
      </c>
      <c r="BB71" s="41">
        <f t="shared" ca="1" si="101"/>
        <v>0</v>
      </c>
      <c r="BC71" s="41">
        <f t="shared" ca="1" si="102"/>
        <v>0</v>
      </c>
      <c r="BD71" s="71">
        <f t="shared" ca="1" si="103"/>
        <v>0</v>
      </c>
      <c r="BE71" s="41">
        <f t="shared" ca="1" si="104"/>
        <v>0</v>
      </c>
      <c r="BF71" s="41">
        <f t="shared" ca="1" si="105"/>
        <v>0</v>
      </c>
      <c r="BG71" s="41">
        <f t="shared" ca="1" si="106"/>
        <v>0</v>
      </c>
      <c r="BH71" s="41">
        <f t="shared" ca="1" si="107"/>
        <v>0</v>
      </c>
      <c r="BI71" s="71">
        <f t="shared" ca="1" si="108"/>
        <v>0</v>
      </c>
    </row>
    <row r="72" spans="1:61" s="24" customFormat="1">
      <c r="A72" s="3" t="s">
        <v>492</v>
      </c>
      <c r="B72" s="40"/>
      <c r="C72" s="40"/>
      <c r="D72" s="40"/>
      <c r="E72" s="41"/>
      <c r="F72" s="71"/>
      <c r="G72" s="40"/>
      <c r="H72" s="40"/>
      <c r="I72" s="40"/>
      <c r="J72" s="41"/>
      <c r="K72" s="42"/>
      <c r="L72" s="40"/>
      <c r="M72" s="40"/>
      <c r="N72" s="40"/>
      <c r="O72" s="41"/>
      <c r="P72" s="71"/>
      <c r="Q72" s="41"/>
      <c r="R72" s="41"/>
      <c r="S72" s="41"/>
      <c r="T72" s="41"/>
      <c r="U72" s="71"/>
      <c r="V72" s="41"/>
      <c r="W72" s="41"/>
      <c r="X72" s="41"/>
      <c r="Y72" s="41"/>
      <c r="Z72" s="71"/>
      <c r="AA72" s="41"/>
      <c r="AB72" s="41"/>
      <c r="AC72" s="41"/>
      <c r="AD72" s="41"/>
      <c r="AE72" s="71"/>
      <c r="AF72" s="41"/>
      <c r="AG72" s="41"/>
      <c r="AH72" s="41"/>
      <c r="AI72" s="41"/>
      <c r="AJ72" s="71"/>
      <c r="AK72" s="41"/>
      <c r="AL72" s="41"/>
      <c r="AM72" s="41"/>
      <c r="AN72" s="41"/>
      <c r="AO72" s="71"/>
      <c r="AP72" s="41"/>
      <c r="AQ72" s="41"/>
      <c r="AR72" s="421"/>
      <c r="AS72" s="421">
        <f t="shared" si="97"/>
        <v>174.652275</v>
      </c>
      <c r="AT72" s="71">
        <f t="shared" si="98"/>
        <v>174.652275</v>
      </c>
      <c r="AU72" s="41">
        <f t="shared" si="99"/>
        <v>174.652275</v>
      </c>
      <c r="AV72" s="41">
        <f t="shared" si="99"/>
        <v>167.89919999999998</v>
      </c>
      <c r="AW72" s="41">
        <f t="shared" si="99"/>
        <v>162.083775</v>
      </c>
      <c r="AX72" s="41">
        <f t="shared" si="99"/>
        <v>160.242875</v>
      </c>
      <c r="AY72" s="71">
        <f t="shared" si="100"/>
        <v>664.87812499999995</v>
      </c>
      <c r="AZ72" s="41">
        <f t="shared" si="101"/>
        <v>156.38918750000002</v>
      </c>
      <c r="BA72" s="41">
        <f t="shared" si="101"/>
        <v>153.99133750000001</v>
      </c>
      <c r="BB72" s="41">
        <f t="shared" si="101"/>
        <v>160.46956250000002</v>
      </c>
      <c r="BC72" s="41">
        <f t="shared" si="102"/>
        <v>168.185</v>
      </c>
      <c r="BD72" s="71">
        <f t="shared" si="103"/>
        <v>639.03508750000015</v>
      </c>
      <c r="BE72" s="41">
        <f t="shared" si="104"/>
        <v>165.01500000000001</v>
      </c>
      <c r="BF72" s="41">
        <f t="shared" si="105"/>
        <v>157.34</v>
      </c>
      <c r="BG72" s="41">
        <f t="shared" si="106"/>
        <v>152.38</v>
      </c>
      <c r="BH72" s="41">
        <f t="shared" si="107"/>
        <v>152.38</v>
      </c>
      <c r="BI72" s="71">
        <f t="shared" si="108"/>
        <v>627.11500000000001</v>
      </c>
    </row>
    <row r="73" spans="1:61" s="24" customFormat="1">
      <c r="A73" s="3" t="s">
        <v>493</v>
      </c>
      <c r="B73" s="40"/>
      <c r="C73" s="40"/>
      <c r="D73" s="40"/>
      <c r="E73" s="41"/>
      <c r="F73" s="71"/>
      <c r="G73" s="40"/>
      <c r="H73" s="40"/>
      <c r="I73" s="40"/>
      <c r="J73" s="41"/>
      <c r="K73" s="42"/>
      <c r="L73" s="40"/>
      <c r="M73" s="40"/>
      <c r="N73" s="40"/>
      <c r="O73" s="41"/>
      <c r="P73" s="71"/>
      <c r="Q73" s="41"/>
      <c r="R73" s="41"/>
      <c r="S73" s="41"/>
      <c r="T73" s="41"/>
      <c r="U73" s="71"/>
      <c r="V73" s="41"/>
      <c r="W73" s="41"/>
      <c r="X73" s="41"/>
      <c r="Y73" s="41"/>
      <c r="Z73" s="71"/>
      <c r="AA73" s="41"/>
      <c r="AB73" s="41"/>
      <c r="AC73" s="41"/>
      <c r="AD73" s="41"/>
      <c r="AE73" s="71"/>
      <c r="AF73" s="41"/>
      <c r="AG73" s="41"/>
      <c r="AH73" s="41"/>
      <c r="AI73" s="41"/>
      <c r="AJ73" s="71"/>
      <c r="AK73" s="41"/>
      <c r="AL73" s="41"/>
      <c r="AM73" s="41"/>
      <c r="AN73" s="41"/>
      <c r="AO73" s="71"/>
      <c r="AP73" s="41"/>
      <c r="AQ73" s="41"/>
      <c r="AR73" s="421"/>
      <c r="AS73" s="421">
        <f t="shared" si="97"/>
        <v>15.316725</v>
      </c>
      <c r="AT73" s="71">
        <f t="shared" si="98"/>
        <v>15.316725</v>
      </c>
      <c r="AU73" s="41">
        <f t="shared" si="99"/>
        <v>15.316725</v>
      </c>
      <c r="AV73" s="41">
        <f t="shared" si="99"/>
        <v>15.183825000000001</v>
      </c>
      <c r="AW73" s="41">
        <f t="shared" si="99"/>
        <v>15.34995</v>
      </c>
      <c r="AX73" s="41">
        <f t="shared" si="99"/>
        <v>15.1893625</v>
      </c>
      <c r="AY73" s="71">
        <f t="shared" si="100"/>
        <v>61.039862499999998</v>
      </c>
      <c r="AZ73" s="41">
        <f t="shared" si="101"/>
        <v>14.940175</v>
      </c>
      <c r="BA73" s="41">
        <f t="shared" si="101"/>
        <v>15.588062499999999</v>
      </c>
      <c r="BB73" s="41">
        <f t="shared" si="101"/>
        <v>16.047674999999998</v>
      </c>
      <c r="BC73" s="41">
        <f t="shared" si="102"/>
        <v>15.988499999999998</v>
      </c>
      <c r="BD73" s="71">
        <f t="shared" si="103"/>
        <v>62.564412500000003</v>
      </c>
      <c r="BE73" s="41">
        <f t="shared" si="104"/>
        <v>15.883999999999999</v>
      </c>
      <c r="BF73" s="41">
        <f t="shared" si="105"/>
        <v>15.641999999999999</v>
      </c>
      <c r="BG73" s="41">
        <f t="shared" si="106"/>
        <v>15.531999999999998</v>
      </c>
      <c r="BH73" s="41">
        <f t="shared" si="107"/>
        <v>15.531999999999998</v>
      </c>
      <c r="BI73" s="71">
        <f t="shared" si="108"/>
        <v>62.589999999999989</v>
      </c>
    </row>
    <row r="74" spans="1:61" s="24" customFormat="1">
      <c r="A74" s="3" t="str">
        <f>+A50</f>
        <v>Other</v>
      </c>
      <c r="B74" s="40"/>
      <c r="C74" s="40"/>
      <c r="D74" s="40"/>
      <c r="E74" s="41"/>
      <c r="F74" s="71"/>
      <c r="G74" s="40"/>
      <c r="H74" s="40"/>
      <c r="I74" s="40"/>
      <c r="J74" s="41"/>
      <c r="K74" s="42"/>
      <c r="L74" s="40"/>
      <c r="M74" s="40"/>
      <c r="N74" s="40"/>
      <c r="O74" s="41"/>
      <c r="P74" s="71"/>
      <c r="Q74" s="41"/>
      <c r="R74" s="41"/>
      <c r="S74" s="41"/>
      <c r="T74" s="41"/>
      <c r="U74" s="71"/>
      <c r="V74" s="41"/>
      <c r="W74" s="41"/>
      <c r="X74" s="41"/>
      <c r="Y74" s="41"/>
      <c r="Z74" s="71"/>
      <c r="AA74" s="41"/>
      <c r="AB74" s="41"/>
      <c r="AC74" s="41"/>
      <c r="AD74" s="41"/>
      <c r="AE74" s="71"/>
      <c r="AF74" s="41"/>
      <c r="AG74" s="41"/>
      <c r="AH74" s="41"/>
      <c r="AI74" s="41"/>
      <c r="AJ74" s="71"/>
      <c r="AK74" s="41"/>
      <c r="AL74" s="41"/>
      <c r="AM74" s="41"/>
      <c r="AN74" s="41">
        <f>+AVERAGE(AN21,AM21)*AN50/4</f>
        <v>11.530625000000001</v>
      </c>
      <c r="AO74" s="71">
        <f>SUM(AK74:AN74)</f>
        <v>11.530625000000001</v>
      </c>
      <c r="AP74" s="41">
        <f t="shared" si="96"/>
        <v>10.8775</v>
      </c>
      <c r="AQ74" s="41">
        <f t="shared" si="96"/>
        <v>10.165000000000001</v>
      </c>
      <c r="AR74" s="421">
        <f t="shared" si="96"/>
        <v>9.8503124999999994</v>
      </c>
      <c r="AS74" s="421">
        <f t="shared" si="97"/>
        <v>8.3312500000000007</v>
      </c>
      <c r="AT74" s="71">
        <f t="shared" si="98"/>
        <v>39.224062500000002</v>
      </c>
      <c r="AU74" s="41">
        <f t="shared" si="99"/>
        <v>6.5625</v>
      </c>
      <c r="AV74" s="41">
        <f t="shared" si="99"/>
        <v>6.15</v>
      </c>
      <c r="AW74" s="41">
        <f t="shared" si="99"/>
        <v>5.8937500000000007</v>
      </c>
      <c r="AX74" s="41">
        <f t="shared" si="99"/>
        <v>5.7562500000000005</v>
      </c>
      <c r="AY74" s="71">
        <f t="shared" si="100"/>
        <v>24.362500000000004</v>
      </c>
      <c r="AZ74" s="41">
        <f t="shared" si="101"/>
        <v>6.1125000000000007</v>
      </c>
      <c r="BA74" s="41">
        <f t="shared" si="101"/>
        <v>6.8812500000000005</v>
      </c>
      <c r="BB74" s="41">
        <f t="shared" si="101"/>
        <v>6.3562500000000002</v>
      </c>
      <c r="BC74" s="41">
        <f t="shared" si="102"/>
        <v>6.4750000000000005</v>
      </c>
      <c r="BD74" s="71">
        <f t="shared" si="103"/>
        <v>25.825000000000003</v>
      </c>
      <c r="BE74" s="41">
        <f t="shared" ref="BE74" si="109">+AVERAGE(BE21,BD21)*BE50/4</f>
        <v>6.8187500000000005</v>
      </c>
      <c r="BF74" s="41">
        <f t="shared" ref="BF74" si="110">+AVERAGE(BF21,BE21)*BF50/4</f>
        <v>6.3687500000000004</v>
      </c>
      <c r="BG74" s="41">
        <f t="shared" ref="BG74" si="111">+AVERAGE(BG21,BF21)*BG50/4</f>
        <v>6.3375000000000004</v>
      </c>
      <c r="BH74" s="41">
        <f t="shared" ref="BH74" si="112">+AVERAGE(BH21,BG21)*BH50/4</f>
        <v>6.3375000000000004</v>
      </c>
      <c r="BI74" s="71">
        <f t="shared" si="108"/>
        <v>25.862499999999997</v>
      </c>
    </row>
    <row r="75" spans="1:61" s="24" customFormat="1">
      <c r="A75" s="3" t="s">
        <v>617</v>
      </c>
      <c r="B75" s="40"/>
      <c r="C75" s="40"/>
      <c r="D75" s="40"/>
      <c r="E75" s="41"/>
      <c r="F75" s="71"/>
      <c r="G75" s="40"/>
      <c r="H75" s="40"/>
      <c r="I75" s="40"/>
      <c r="J75" s="41"/>
      <c r="K75" s="42"/>
      <c r="L75" s="40"/>
      <c r="M75" s="40"/>
      <c r="N75" s="40"/>
      <c r="O75" s="41"/>
      <c r="P75" s="71"/>
      <c r="Q75" s="41"/>
      <c r="R75" s="41"/>
      <c r="S75" s="41"/>
      <c r="T75" s="41"/>
      <c r="U75" s="71"/>
      <c r="V75" s="41"/>
      <c r="W75" s="41"/>
      <c r="X75" s="41"/>
      <c r="Y75" s="41"/>
      <c r="Z75" s="71"/>
      <c r="AA75" s="41"/>
      <c r="AB75" s="41"/>
      <c r="AC75" s="41"/>
      <c r="AD75" s="41"/>
      <c r="AE75" s="71"/>
      <c r="AF75" s="41"/>
      <c r="AG75" s="41"/>
      <c r="AH75" s="41"/>
      <c r="AI75" s="41"/>
      <c r="AJ75" s="71"/>
      <c r="AK75" s="41"/>
      <c r="AL75" s="41"/>
      <c r="AM75" s="41"/>
      <c r="AN75" s="41"/>
      <c r="AO75" s="71"/>
      <c r="AP75" s="41">
        <f>AP80-SUM(AP60:AP74)</f>
        <v>-58.607050000000015</v>
      </c>
      <c r="AQ75" s="41">
        <f t="shared" ref="AQ75:BF75" si="113">AQ80-SUM(AQ60:AQ74)</f>
        <v>-1.7484125000000006</v>
      </c>
      <c r="AR75" s="421">
        <f t="shared" si="113"/>
        <v>24.646499999999975</v>
      </c>
      <c r="AS75" s="421">
        <f t="shared" ca="1" si="113"/>
        <v>-74.646900000000016</v>
      </c>
      <c r="AT75" s="71">
        <f t="shared" ca="1" si="113"/>
        <v>-110.35586249999983</v>
      </c>
      <c r="AU75" s="41">
        <f t="shared" ca="1" si="113"/>
        <v>37.040700000000015</v>
      </c>
      <c r="AV75" s="41">
        <f t="shared" ca="1" si="113"/>
        <v>21.418824999999998</v>
      </c>
      <c r="AW75" s="41">
        <f t="shared" ca="1" si="113"/>
        <v>27.573474999999974</v>
      </c>
      <c r="AX75" s="41">
        <f t="shared" ca="1" si="113"/>
        <v>-1.0679874999999868</v>
      </c>
      <c r="AY75" s="71">
        <f t="shared" ca="1" si="113"/>
        <v>84.965012500000057</v>
      </c>
      <c r="AZ75" s="41">
        <f t="shared" ca="1" si="113"/>
        <v>-15.019325000000038</v>
      </c>
      <c r="BA75" s="41">
        <f t="shared" ca="1" si="113"/>
        <v>-64.577987500000006</v>
      </c>
      <c r="BB75" s="41">
        <f t="shared" ca="1" si="113"/>
        <v>-3.8723125000000209</v>
      </c>
      <c r="BC75" s="41">
        <f t="shared" ca="1" si="113"/>
        <v>12.625875000000008</v>
      </c>
      <c r="BD75" s="71">
        <f t="shared" ca="1" si="113"/>
        <v>-70.843750000000227</v>
      </c>
      <c r="BE75" s="41">
        <f t="shared" ca="1" si="113"/>
        <v>-0.83493749999999523</v>
      </c>
      <c r="BF75" s="41">
        <f t="shared" ca="1" si="113"/>
        <v>-12.574187500000022</v>
      </c>
      <c r="BG75" s="543">
        <v>39</v>
      </c>
      <c r="BH75" s="543">
        <v>40</v>
      </c>
      <c r="BI75" s="71">
        <f ca="1">SUM(BE75:BH75)</f>
        <v>65.590874999999983</v>
      </c>
    </row>
    <row r="76" spans="1:61" s="24" customFormat="1">
      <c r="A76" s="10" t="s">
        <v>326</v>
      </c>
      <c r="B76" s="40"/>
      <c r="C76" s="40"/>
      <c r="D76" s="40"/>
      <c r="E76" s="41"/>
      <c r="F76" s="71"/>
      <c r="G76" s="40"/>
      <c r="H76" s="40"/>
      <c r="I76" s="40"/>
      <c r="J76" s="41"/>
      <c r="K76" s="42"/>
      <c r="L76" s="40"/>
      <c r="M76" s="40"/>
      <c r="N76" s="40"/>
      <c r="O76" s="41"/>
      <c r="P76" s="71"/>
      <c r="Q76" s="41"/>
      <c r="R76" s="41"/>
      <c r="S76" s="41"/>
      <c r="T76" s="41"/>
      <c r="U76" s="71"/>
      <c r="V76" s="41"/>
      <c r="W76" s="41"/>
      <c r="X76" s="41"/>
      <c r="Y76" s="41"/>
      <c r="Z76" s="71"/>
      <c r="AA76" s="41"/>
      <c r="AB76" s="41"/>
      <c r="AC76" s="41"/>
      <c r="AD76" s="41"/>
      <c r="AE76" s="71"/>
      <c r="AF76" s="41"/>
      <c r="AG76" s="41"/>
      <c r="AH76" s="41"/>
      <c r="AI76" s="41"/>
      <c r="AJ76" s="71"/>
      <c r="AK76" s="41"/>
      <c r="AL76" s="41"/>
      <c r="AM76" s="41"/>
      <c r="AN76" s="41">
        <f t="shared" ref="AN76:AO76" si="114">SUM(AN69:AN74)</f>
        <v>326.12327500000004</v>
      </c>
      <c r="AO76" s="71">
        <f t="shared" si="114"/>
        <v>326.12327500000004</v>
      </c>
      <c r="AP76" s="41">
        <f>SUM(AP69:AP75)</f>
        <v>217.46749999999997</v>
      </c>
      <c r="AQ76" s="41">
        <f t="shared" ref="AQ76:BI76" si="115">SUM(AQ69:AQ75)</f>
        <v>223.24850000000001</v>
      </c>
      <c r="AR76" s="421">
        <f t="shared" si="115"/>
        <v>246.29685000000001</v>
      </c>
      <c r="AS76" s="421">
        <f t="shared" ca="1" si="115"/>
        <v>228.5222</v>
      </c>
      <c r="AT76" s="71">
        <f t="shared" ca="1" si="115"/>
        <v>915.53505000000018</v>
      </c>
      <c r="AU76" s="41">
        <f t="shared" ca="1" si="115"/>
        <v>233.57220000000001</v>
      </c>
      <c r="AV76" s="41">
        <f t="shared" ca="1" si="115"/>
        <v>210.65185</v>
      </c>
      <c r="AW76" s="41">
        <f t="shared" ca="1" si="115"/>
        <v>210.90094999999999</v>
      </c>
      <c r="AX76" s="41">
        <f t="shared" ca="1" si="115"/>
        <v>180.12049999999999</v>
      </c>
      <c r="AY76" s="71">
        <f t="shared" ca="1" si="115"/>
        <v>835.24549999999999</v>
      </c>
      <c r="AZ76" s="41">
        <f t="shared" ca="1" si="115"/>
        <v>162.4225375</v>
      </c>
      <c r="BA76" s="41">
        <f t="shared" ca="1" si="115"/>
        <v>111.88266250000001</v>
      </c>
      <c r="BB76" s="41">
        <f t="shared" ca="1" si="115"/>
        <v>179.00117499999999</v>
      </c>
      <c r="BC76" s="41">
        <f t="shared" ca="1" si="115"/>
        <v>203.27437499999999</v>
      </c>
      <c r="BD76" s="71">
        <f t="shared" ca="1" si="115"/>
        <v>656.58074999999997</v>
      </c>
      <c r="BE76" s="41">
        <f t="shared" ca="1" si="115"/>
        <v>186.8828125</v>
      </c>
      <c r="BF76" s="41">
        <f t="shared" ca="1" si="115"/>
        <v>166.77656249999998</v>
      </c>
      <c r="BG76" s="41">
        <f t="shared" ca="1" si="115"/>
        <v>213.24950000000001</v>
      </c>
      <c r="BH76" s="41">
        <f t="shared" ca="1" si="115"/>
        <v>214.24950000000001</v>
      </c>
      <c r="BI76" s="71">
        <f t="shared" ca="1" si="115"/>
        <v>781.15837499999998</v>
      </c>
    </row>
    <row r="77" spans="1:61" s="24" customFormat="1">
      <c r="A77" s="12"/>
      <c r="B77" s="40"/>
      <c r="C77" s="40"/>
      <c r="D77" s="40"/>
      <c r="E77" s="41"/>
      <c r="F77" s="71"/>
      <c r="G77" s="40"/>
      <c r="H77" s="40"/>
      <c r="I77" s="40"/>
      <c r="J77" s="41"/>
      <c r="K77" s="42"/>
      <c r="L77" s="40"/>
      <c r="M77" s="40"/>
      <c r="N77" s="40"/>
      <c r="O77" s="41"/>
      <c r="P77" s="71"/>
      <c r="Q77" s="41"/>
      <c r="R77" s="41"/>
      <c r="S77" s="41"/>
      <c r="T77" s="41"/>
      <c r="U77" s="71"/>
      <c r="V77" s="41"/>
      <c r="W77" s="41"/>
      <c r="X77" s="41"/>
      <c r="Y77" s="41"/>
      <c r="Z77" s="71"/>
      <c r="AA77" s="41"/>
      <c r="AB77" s="41"/>
      <c r="AC77" s="41"/>
      <c r="AD77" s="41"/>
      <c r="AE77" s="71"/>
      <c r="AF77" s="41"/>
      <c r="AG77" s="41"/>
      <c r="AH77" s="41"/>
      <c r="AI77" s="41"/>
      <c r="AJ77" s="71"/>
      <c r="AK77" s="41"/>
      <c r="AL77" s="41"/>
      <c r="AM77" s="41"/>
      <c r="AN77" s="41"/>
      <c r="AO77" s="71"/>
      <c r="AP77" s="41"/>
      <c r="AQ77" s="41"/>
      <c r="AR77" s="421"/>
      <c r="AS77" s="421"/>
      <c r="AT77" s="71"/>
      <c r="AU77" s="41"/>
      <c r="AV77" s="41"/>
      <c r="AW77" s="41"/>
      <c r="AX77" s="41"/>
      <c r="AY77" s="71"/>
      <c r="AZ77" s="41"/>
      <c r="BA77" s="41"/>
      <c r="BB77" s="41"/>
      <c r="BC77" s="41"/>
      <c r="BD77" s="71"/>
      <c r="BE77" s="41"/>
      <c r="BF77" s="41"/>
      <c r="BG77" s="41"/>
      <c r="BH77" s="41"/>
      <c r="BI77" s="71"/>
    </row>
    <row r="78" spans="1:61" s="24" customFormat="1">
      <c r="A78" s="10" t="s">
        <v>165</v>
      </c>
      <c r="B78" s="40"/>
      <c r="C78" s="40"/>
      <c r="D78" s="40"/>
      <c r="E78" s="41"/>
      <c r="F78" s="71"/>
      <c r="G78" s="40"/>
      <c r="H78" s="40"/>
      <c r="I78" s="40"/>
      <c r="J78" s="41"/>
      <c r="K78" s="42"/>
      <c r="L78" s="40"/>
      <c r="M78" s="40"/>
      <c r="N78" s="40"/>
      <c r="O78" s="41"/>
      <c r="P78" s="71"/>
      <c r="Q78" s="41"/>
      <c r="R78" s="41"/>
      <c r="S78" s="41"/>
      <c r="T78" s="41"/>
      <c r="U78" s="71"/>
      <c r="V78" s="41"/>
      <c r="W78" s="41"/>
      <c r="X78" s="41"/>
      <c r="Y78" s="41"/>
      <c r="Z78" s="71"/>
      <c r="AA78" s="41"/>
      <c r="AB78" s="41"/>
      <c r="AC78" s="41"/>
      <c r="AD78" s="41"/>
      <c r="AE78" s="71"/>
      <c r="AF78" s="41"/>
      <c r="AG78" s="41"/>
      <c r="AH78" s="41"/>
      <c r="AI78" s="41"/>
      <c r="AJ78" s="71"/>
      <c r="AK78" s="41"/>
      <c r="AL78" s="41"/>
      <c r="AM78" s="41"/>
      <c r="AN78" s="41">
        <f t="shared" ref="AN78:BA78" si="116">+AN76+AN66</f>
        <v>339.80302500000005</v>
      </c>
      <c r="AO78" s="71">
        <f t="shared" si="116"/>
        <v>339.80302500000005</v>
      </c>
      <c r="AP78" s="41">
        <f t="shared" si="116"/>
        <v>228.23374999999999</v>
      </c>
      <c r="AQ78" s="41">
        <f t="shared" si="116"/>
        <v>230.62425000000002</v>
      </c>
      <c r="AR78" s="421">
        <f t="shared" si="116"/>
        <v>252.148425</v>
      </c>
      <c r="AS78" s="421">
        <f t="shared" ca="1" si="116"/>
        <v>240.2611</v>
      </c>
      <c r="AT78" s="71">
        <f t="shared" ca="1" si="116"/>
        <v>951.26752500000021</v>
      </c>
      <c r="AU78" s="41">
        <f t="shared" ca="1" si="116"/>
        <v>244.7861</v>
      </c>
      <c r="AV78" s="41">
        <f t="shared" ca="1" si="116"/>
        <v>224.82592499999998</v>
      </c>
      <c r="AW78" s="41">
        <f t="shared" ca="1" si="116"/>
        <v>227.95047499999998</v>
      </c>
      <c r="AX78" s="41">
        <f t="shared" ca="1" si="116"/>
        <v>199.06025</v>
      </c>
      <c r="AY78" s="71">
        <f t="shared" ca="1" si="116"/>
        <v>896.62275</v>
      </c>
      <c r="AZ78" s="41">
        <f t="shared" ca="1" si="116"/>
        <v>183.21126875000002</v>
      </c>
      <c r="BA78" s="41">
        <f t="shared" ca="1" si="116"/>
        <v>131.94133125000002</v>
      </c>
      <c r="BB78" s="41">
        <f t="shared" ref="BB78:BD78" ca="1" si="117">+BB76+BB66</f>
        <v>199.00058749999999</v>
      </c>
      <c r="BC78" s="41">
        <f t="shared" ca="1" si="117"/>
        <v>222.13718749999998</v>
      </c>
      <c r="BD78" s="71">
        <f t="shared" ca="1" si="117"/>
        <v>736.29037499999993</v>
      </c>
      <c r="BE78" s="41">
        <f t="shared" ref="BE78:BI78" ca="1" si="118">+BE76+BE66</f>
        <v>205.94140625</v>
      </c>
      <c r="BF78" s="41">
        <f t="shared" ca="1" si="118"/>
        <v>187.38828124999998</v>
      </c>
      <c r="BG78" s="41">
        <f t="shared" ca="1" si="118"/>
        <v>233.32731250000001</v>
      </c>
      <c r="BH78" s="41">
        <f t="shared" ca="1" si="118"/>
        <v>234.32731250000001</v>
      </c>
      <c r="BI78" s="71">
        <f t="shared" ca="1" si="118"/>
        <v>860.98431249999999</v>
      </c>
    </row>
    <row r="79" spans="1:61" s="24" customFormat="1">
      <c r="A79" s="10"/>
      <c r="B79" s="89"/>
      <c r="C79" s="89"/>
      <c r="D79" s="89"/>
      <c r="E79" s="89"/>
      <c r="F79" s="166"/>
      <c r="G79" s="89"/>
      <c r="H79" s="89"/>
      <c r="I79" s="89"/>
      <c r="J79" s="89"/>
      <c r="K79" s="110"/>
      <c r="L79" s="89"/>
      <c r="M79" s="89"/>
      <c r="N79" s="89"/>
      <c r="O79" s="89"/>
      <c r="P79" s="166"/>
      <c r="Q79" s="184"/>
      <c r="R79" s="184"/>
      <c r="S79" s="184"/>
      <c r="T79" s="184"/>
      <c r="U79" s="225"/>
      <c r="V79" s="184"/>
      <c r="W79" s="184"/>
      <c r="X79" s="184"/>
      <c r="Y79" s="184"/>
      <c r="Z79" s="166"/>
      <c r="AA79" s="184"/>
      <c r="AB79" s="184"/>
      <c r="AC79" s="89"/>
      <c r="AD79" s="89"/>
      <c r="AE79" s="110"/>
      <c r="AF79" s="89"/>
      <c r="AG79" s="184"/>
      <c r="AH79" s="89"/>
      <c r="AI79" s="89"/>
      <c r="AJ79" s="110"/>
      <c r="AK79" s="89"/>
      <c r="AL79" s="184"/>
      <c r="AM79" s="184"/>
      <c r="AN79" s="89"/>
      <c r="AO79" s="110"/>
      <c r="AP79" s="89"/>
      <c r="AQ79" s="184"/>
      <c r="AR79" s="486"/>
      <c r="AS79" s="486"/>
      <c r="AT79" s="110"/>
      <c r="AU79" s="89"/>
      <c r="AV79" s="184"/>
      <c r="AW79" s="89"/>
      <c r="AX79" s="89"/>
      <c r="AY79" s="110"/>
      <c r="AZ79" s="89"/>
      <c r="BA79" s="184"/>
      <c r="BB79" s="184"/>
      <c r="BC79" s="89"/>
      <c r="BD79" s="110"/>
      <c r="BE79" s="89"/>
      <c r="BF79" s="184"/>
      <c r="BG79" s="184"/>
      <c r="BH79" s="89"/>
      <c r="BI79" s="110"/>
    </row>
    <row r="80" spans="1:61" s="24" customFormat="1">
      <c r="A80" s="10" t="s">
        <v>328</v>
      </c>
      <c r="B80" s="89"/>
      <c r="C80" s="89"/>
      <c r="D80" s="89"/>
      <c r="E80" s="89"/>
      <c r="F80" s="166"/>
      <c r="G80" s="89"/>
      <c r="H80" s="89"/>
      <c r="I80" s="89"/>
      <c r="J80" s="89"/>
      <c r="K80" s="110"/>
      <c r="L80" s="89"/>
      <c r="M80" s="89"/>
      <c r="N80" s="89"/>
      <c r="O80" s="89"/>
      <c r="P80" s="166"/>
      <c r="Q80" s="184"/>
      <c r="R80" s="184"/>
      <c r="S80" s="184"/>
      <c r="T80" s="184"/>
      <c r="U80" s="225"/>
      <c r="V80" s="184"/>
      <c r="W80" s="184"/>
      <c r="X80" s="184"/>
      <c r="Y80" s="184"/>
      <c r="Z80" s="166"/>
      <c r="AA80" s="184"/>
      <c r="AB80" s="184"/>
      <c r="AC80" s="89"/>
      <c r="AD80" s="89"/>
      <c r="AE80" s="110"/>
      <c r="AF80" s="89"/>
      <c r="AG80" s="184"/>
      <c r="AH80" s="89"/>
      <c r="AI80" s="89"/>
      <c r="AJ80" s="110"/>
      <c r="AK80" s="89"/>
      <c r="AL80" s="184"/>
      <c r="AM80" s="184"/>
      <c r="AN80" s="184">
        <f>-ProForma_IS_Qtr!AN29</f>
        <v>338</v>
      </c>
      <c r="AO80" s="166">
        <f>-ProForma_IS_Qtr!AO29</f>
        <v>1428</v>
      </c>
      <c r="AP80" s="184">
        <f>-ProForma_IS_Qtr!AP29</f>
        <v>239</v>
      </c>
      <c r="AQ80" s="184">
        <f>-ProForma_IS_Qtr!AQ29</f>
        <v>238</v>
      </c>
      <c r="AR80" s="505">
        <f>-ProForma_IS_Qtr!AR29</f>
        <v>258</v>
      </c>
      <c r="AS80" s="505">
        <f>-ProForma_IS_Qtr!AS29</f>
        <v>252</v>
      </c>
      <c r="AT80" s="166">
        <f>-ProForma_IS_Qtr!AT29</f>
        <v>987</v>
      </c>
      <c r="AU80" s="184">
        <f>-ProForma_IS_Qtr!AU29</f>
        <v>256</v>
      </c>
      <c r="AV80" s="184">
        <f>-ProForma_IS_Qtr!AV29</f>
        <v>239</v>
      </c>
      <c r="AW80" s="184">
        <f>-ProForma_IS_Qtr!AW29</f>
        <v>245</v>
      </c>
      <c r="AX80" s="184">
        <f>-ProForma_IS_Qtr!AX29</f>
        <v>218</v>
      </c>
      <c r="AY80" s="166">
        <f>-ProForma_IS_Qtr!AY29</f>
        <v>958</v>
      </c>
      <c r="AZ80" s="184">
        <f>-ProForma_IS_Qtr!AZ29</f>
        <v>204</v>
      </c>
      <c r="BA80" s="184">
        <f>-ProForma_IS_Qtr!BA29</f>
        <v>152</v>
      </c>
      <c r="BB80" s="184">
        <f>-ProForma_IS_Qtr!BB29</f>
        <v>219</v>
      </c>
      <c r="BC80" s="184">
        <f>-ProForma_IS_Qtr!BC29</f>
        <v>241</v>
      </c>
      <c r="BD80" s="166">
        <f>-ProForma_IS_Qtr!BD29</f>
        <v>816</v>
      </c>
      <c r="BE80" s="184">
        <f>-ProForma_IS_Qtr!BE29</f>
        <v>225</v>
      </c>
      <c r="BF80" s="184">
        <f>-ProForma_IS_Qtr!BF29</f>
        <v>208</v>
      </c>
      <c r="BG80" s="184">
        <f ca="1">-ProForma_IS_Qtr!BG29</f>
        <v>233.32731250000001</v>
      </c>
      <c r="BH80" s="184">
        <f ca="1">-ProForma_IS_Qtr!BH29</f>
        <v>234.32731250000001</v>
      </c>
      <c r="BI80" s="166">
        <f ca="1">-ProForma_IS_Qtr!BI29</f>
        <v>900.65462500000012</v>
      </c>
    </row>
    <row r="81" spans="1:61" s="24" customFormat="1">
      <c r="A81" s="10" t="s">
        <v>329</v>
      </c>
      <c r="B81" s="89"/>
      <c r="C81" s="89"/>
      <c r="D81" s="89"/>
      <c r="E81" s="89"/>
      <c r="F81" s="166"/>
      <c r="G81" s="89"/>
      <c r="H81" s="89"/>
      <c r="I81" s="89"/>
      <c r="J81" s="89"/>
      <c r="K81" s="110"/>
      <c r="L81" s="89"/>
      <c r="M81" s="89"/>
      <c r="N81" s="89"/>
      <c r="O81" s="89"/>
      <c r="P81" s="166"/>
      <c r="Q81" s="184"/>
      <c r="R81" s="184"/>
      <c r="S81" s="184"/>
      <c r="T81" s="184"/>
      <c r="U81" s="225"/>
      <c r="V81" s="184"/>
      <c r="W81" s="184"/>
      <c r="X81" s="184"/>
      <c r="Y81" s="184"/>
      <c r="Z81" s="166"/>
      <c r="AA81" s="184"/>
      <c r="AB81" s="184"/>
      <c r="AC81" s="89"/>
      <c r="AD81" s="89"/>
      <c r="AE81" s="110"/>
      <c r="AF81" s="89"/>
      <c r="AG81" s="184"/>
      <c r="AH81" s="89"/>
      <c r="AI81" s="89"/>
      <c r="AJ81" s="110"/>
      <c r="AK81" s="89"/>
      <c r="AL81" s="184"/>
      <c r="AM81" s="184"/>
      <c r="AN81" s="89">
        <f>+AN80-AN78</f>
        <v>-1.8030250000000478</v>
      </c>
      <c r="AO81" s="110">
        <f t="shared" ref="AO81:AY81" si="119">+AO80-AO78</f>
        <v>1088.1969749999998</v>
      </c>
      <c r="AP81" s="89">
        <f t="shared" si="119"/>
        <v>10.766250000000014</v>
      </c>
      <c r="AQ81" s="89">
        <f t="shared" si="119"/>
        <v>7.3757499999999823</v>
      </c>
      <c r="AR81" s="486">
        <f t="shared" si="119"/>
        <v>5.8515749999999969</v>
      </c>
      <c r="AS81" s="486">
        <f t="shared" ca="1" si="119"/>
        <v>11.738900000000001</v>
      </c>
      <c r="AT81" s="110">
        <f t="shared" ca="1" si="119"/>
        <v>35.732474999999795</v>
      </c>
      <c r="AU81" s="89">
        <f t="shared" ca="1" si="119"/>
        <v>11.213899999999995</v>
      </c>
      <c r="AV81" s="89">
        <f t="shared" ca="1" si="119"/>
        <v>14.174075000000016</v>
      </c>
      <c r="AW81" s="89">
        <f t="shared" ca="1" si="119"/>
        <v>17.049525000000017</v>
      </c>
      <c r="AX81" s="89">
        <f t="shared" ca="1" si="119"/>
        <v>18.939750000000004</v>
      </c>
      <c r="AY81" s="110">
        <f t="shared" ca="1" si="119"/>
        <v>61.377250000000004</v>
      </c>
      <c r="AZ81" s="89">
        <f t="shared" ref="AZ81:BI81" ca="1" si="120">+AZ80-AZ78</f>
        <v>20.788731249999984</v>
      </c>
      <c r="BA81" s="89">
        <f t="shared" ca="1" si="120"/>
        <v>20.058668749999981</v>
      </c>
      <c r="BB81" s="89">
        <f t="shared" ca="1" si="120"/>
        <v>19.999412500000005</v>
      </c>
      <c r="BC81" s="89">
        <f t="shared" ca="1" si="120"/>
        <v>18.862812500000018</v>
      </c>
      <c r="BD81" s="110">
        <f t="shared" ca="1" si="120"/>
        <v>79.709625000000074</v>
      </c>
      <c r="BE81" s="89">
        <f t="shared" ca="1" si="120"/>
        <v>19.05859375</v>
      </c>
      <c r="BF81" s="89">
        <f t="shared" ca="1" si="120"/>
        <v>20.611718750000023</v>
      </c>
      <c r="BG81" s="89">
        <f t="shared" ca="1" si="120"/>
        <v>0</v>
      </c>
      <c r="BH81" s="89">
        <f t="shared" ca="1" si="120"/>
        <v>0</v>
      </c>
      <c r="BI81" s="110">
        <f t="shared" ca="1" si="120"/>
        <v>39.670312500000136</v>
      </c>
    </row>
    <row r="82" spans="1:61" s="24" customFormat="1">
      <c r="A82" s="228"/>
      <c r="B82" s="229"/>
      <c r="C82" s="229"/>
      <c r="D82" s="229"/>
      <c r="E82" s="230"/>
      <c r="F82" s="230"/>
      <c r="G82" s="229"/>
      <c r="H82" s="229"/>
      <c r="I82" s="229"/>
      <c r="J82" s="230"/>
      <c r="K82" s="229"/>
      <c r="L82" s="229"/>
      <c r="M82" s="229"/>
      <c r="N82" s="229"/>
      <c r="O82" s="230"/>
      <c r="P82" s="230"/>
      <c r="Q82" s="230"/>
      <c r="R82" s="230"/>
      <c r="S82" s="230"/>
      <c r="T82" s="230"/>
      <c r="U82" s="230"/>
      <c r="V82" s="230"/>
      <c r="W82" s="230"/>
      <c r="X82" s="230"/>
      <c r="Y82" s="230"/>
      <c r="Z82" s="230"/>
      <c r="AA82" s="230"/>
      <c r="AB82" s="230"/>
      <c r="AC82" s="230"/>
      <c r="AD82" s="230"/>
      <c r="AE82" s="230"/>
      <c r="AF82" s="230"/>
      <c r="AG82" s="230"/>
      <c r="AH82" s="230"/>
      <c r="AI82" s="230"/>
      <c r="AJ82" s="230"/>
      <c r="AK82" s="41"/>
      <c r="AL82" s="41"/>
      <c r="AM82" s="41"/>
      <c r="AN82" s="41"/>
      <c r="AO82" s="41"/>
      <c r="AP82" s="41"/>
      <c r="AQ82" s="41"/>
      <c r="AR82" s="421"/>
      <c r="AS82" s="421"/>
      <c r="AT82" s="41"/>
      <c r="AU82" s="41"/>
      <c r="AV82" s="41"/>
      <c r="AW82" s="41"/>
      <c r="AX82" s="41"/>
      <c r="AY82" s="41"/>
      <c r="AZ82" s="41"/>
      <c r="BA82" s="41"/>
      <c r="BB82" s="41"/>
      <c r="BC82" s="41"/>
      <c r="BD82" s="41"/>
      <c r="BE82" s="20"/>
      <c r="BF82" s="20"/>
    </row>
    <row r="83" spans="1:61">
      <c r="BE83" s="20"/>
    </row>
  </sheetData>
  <phoneticPr fontId="29" type="noConversion"/>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ECBA48-A51D-45D7-947E-D203C2455A19}">
  <sheetPr codeName="Sheet25"/>
  <dimension ref="A1:AJ92"/>
  <sheetViews>
    <sheetView showGridLines="0" zoomScale="115" zoomScaleNormal="115" workbookViewId="0">
      <pane xSplit="1" ySplit="2" topLeftCell="S3" activePane="bottomRight" state="frozen"/>
      <selection pane="topRight" activeCell="B1" sqref="B1"/>
      <selection pane="bottomLeft" activeCell="A3" sqref="A3"/>
      <selection pane="bottomRight" activeCell="AH13" sqref="AH13"/>
    </sheetView>
  </sheetViews>
  <sheetFormatPr defaultRowHeight="15"/>
  <cols>
    <col min="1" max="1" width="41" customWidth="1"/>
    <col min="16" max="16" width="9.140625" customWidth="1"/>
    <col min="24" max="32" width="9.42578125" customWidth="1"/>
    <col min="34" max="34" width="22.140625" customWidth="1"/>
  </cols>
  <sheetData>
    <row r="1" spans="1:36">
      <c r="A1" s="467" t="s">
        <v>467</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H1" s="244" t="s">
        <v>515</v>
      </c>
    </row>
    <row r="2" spans="1:36">
      <c r="A2" s="7"/>
      <c r="B2" s="96" t="str">
        <f>ProForma_IS_Annual!B2</f>
        <v>CY2000A</v>
      </c>
      <c r="C2" s="96" t="str">
        <f>ProForma_IS_Annual!C2</f>
        <v>CY2001A</v>
      </c>
      <c r="D2" s="96" t="str">
        <f>ProForma_IS_Annual!D2</f>
        <v>CY2002A</v>
      </c>
      <c r="E2" s="96" t="str">
        <f>ProForma_IS_Annual!E2</f>
        <v>CY2003A</v>
      </c>
      <c r="F2" s="96" t="str">
        <f>ProForma_IS_Annual!F2</f>
        <v>CY2004A</v>
      </c>
      <c r="G2" s="96" t="str">
        <f>ProForma_IS_Annual!G2</f>
        <v>CY2005A</v>
      </c>
      <c r="H2" s="96" t="str">
        <f>ProForma_IS_Annual!H2</f>
        <v>CY2006A</v>
      </c>
      <c r="I2" s="96" t="str">
        <f>ProForma_IS_Annual!I2</f>
        <v>CY2007A</v>
      </c>
      <c r="J2" s="96" t="str">
        <f>ProForma_IS_Annual!J2</f>
        <v>CY2008A</v>
      </c>
      <c r="K2" s="96" t="str">
        <f>ProForma_IS_Annual!K2</f>
        <v>CY2009A</v>
      </c>
      <c r="L2" s="96" t="str">
        <f>ProForma_IS_Annual!L2</f>
        <v>CY2010A</v>
      </c>
      <c r="M2" s="96" t="str">
        <f>ProForma_IS_Annual!M2</f>
        <v>CY2011A</v>
      </c>
      <c r="N2" s="96" t="str">
        <f>ProForma_IS_Annual!N2</f>
        <v>CY2012A</v>
      </c>
      <c r="O2" s="96" t="str">
        <f>ProForma_IS_Annual!O2</f>
        <v>CY2013A</v>
      </c>
      <c r="P2" s="96" t="str">
        <f>ProForma_IS_Annual!P2</f>
        <v>CY2014A</v>
      </c>
      <c r="Q2" s="96" t="str">
        <f>ProForma_IS_Annual!Q2</f>
        <v>CY2015A</v>
      </c>
      <c r="R2" s="96" t="str">
        <f>ProForma_IS_Annual!R2</f>
        <v>CY2016A</v>
      </c>
      <c r="S2" s="96" t="str">
        <f>ProForma_IS_Annual!S2</f>
        <v>CY2017A</v>
      </c>
      <c r="T2" s="96" t="str">
        <f>ProForma_IS_Annual!T2</f>
        <v>CY2018A</v>
      </c>
      <c r="U2" s="96" t="str">
        <f>ProForma_IS_Annual!U2</f>
        <v>CY2019A</v>
      </c>
      <c r="V2" s="96" t="str">
        <f>ProForma_IS_Annual!V2</f>
        <v>CY2020A</v>
      </c>
      <c r="W2" s="96" t="str">
        <f>ProForma_IS_Annual!W2</f>
        <v>CY2021A</v>
      </c>
      <c r="X2" s="96" t="str">
        <f>ProForma_IS_Annual!X2</f>
        <v>CY2022A</v>
      </c>
      <c r="Y2" s="96" t="str">
        <f>ProForma_IS_Annual!Y2</f>
        <v>CY2023A</v>
      </c>
      <c r="Z2" s="96" t="str">
        <f>ProForma_IS_Annual!Z2</f>
        <v>CY2024A</v>
      </c>
      <c r="AA2" s="96" t="str">
        <f>ProForma_IS_Annual!AA2</f>
        <v>CY2025A</v>
      </c>
      <c r="AB2" s="96" t="str">
        <f>ProForma_IS_Annual!AB2</f>
        <v>CY2026E</v>
      </c>
      <c r="AC2" s="96" t="str">
        <f>ProForma_IS_Annual!AC2</f>
        <v>CY2027E</v>
      </c>
      <c r="AD2" s="96" t="str">
        <f>ProForma_IS_Annual!AD2</f>
        <v>CY2028E</v>
      </c>
      <c r="AE2" s="96" t="str">
        <f>ProForma_IS_Annual!AE2</f>
        <v>CY2029E</v>
      </c>
      <c r="AF2" s="96" t="str">
        <f>ProForma_IS_Annual!AF2</f>
        <v>CY2030E</v>
      </c>
    </row>
    <row r="3" spans="1:36">
      <c r="A3" s="107" t="s">
        <v>508</v>
      </c>
      <c r="B3" s="178"/>
      <c r="C3" s="178"/>
      <c r="D3" s="178"/>
      <c r="E3" s="178"/>
      <c r="F3" s="178"/>
      <c r="G3" s="178"/>
      <c r="H3" s="178"/>
      <c r="I3" s="178"/>
      <c r="J3" s="178"/>
      <c r="K3" s="178"/>
      <c r="L3" s="178"/>
      <c r="M3" s="178"/>
      <c r="N3" s="178"/>
      <c r="O3" s="178"/>
      <c r="P3" s="178"/>
      <c r="Q3" s="178"/>
      <c r="R3" s="178"/>
      <c r="S3" s="178"/>
      <c r="T3" s="178"/>
      <c r="U3" s="178">
        <f>CES_Qtr!Z3</f>
        <v>8958</v>
      </c>
      <c r="V3" s="178">
        <f>CES_Qtr!AE3</f>
        <v>6301</v>
      </c>
      <c r="W3" s="178">
        <f>CES_Qtr!AJ3</f>
        <v>5365</v>
      </c>
      <c r="X3" s="178">
        <f>CES_Qtr!AO3</f>
        <v>5807</v>
      </c>
      <c r="Y3" s="178">
        <f>CES_Qtr!AT3</f>
        <v>6169</v>
      </c>
      <c r="Z3" s="178">
        <f>CES_Qtr!AY3</f>
        <v>7106</v>
      </c>
      <c r="AA3" s="178">
        <f>CES_Qtr!BD3</f>
        <v>8304</v>
      </c>
      <c r="AB3" s="178">
        <f>CES_Qtr!BI3</f>
        <v>9209.7226798580414</v>
      </c>
      <c r="AC3" s="178">
        <f>+'CES Annual_Driver'!AC331</f>
        <v>10771.442782755727</v>
      </c>
      <c r="AD3" s="178">
        <f>+'CES Annual_Driver'!AD331</f>
        <v>12589.633874126865</v>
      </c>
      <c r="AE3" s="178">
        <f>+'CES Annual_Driver'!AE331</f>
        <v>13297.017480818347</v>
      </c>
      <c r="AF3" s="178">
        <f>+'CES Annual_Driver'!AF331</f>
        <v>13966.785324995202</v>
      </c>
      <c r="AH3" t="s">
        <v>523</v>
      </c>
      <c r="AI3" s="251">
        <f>(AD3/Z3)^(1/4)-1</f>
        <v>0.15371084296808823</v>
      </c>
      <c r="AJ3" t="s">
        <v>532</v>
      </c>
    </row>
    <row r="4" spans="1:36">
      <c r="A4" s="1" t="s">
        <v>4</v>
      </c>
      <c r="B4" s="175"/>
      <c r="C4" s="175"/>
      <c r="D4" s="175"/>
      <c r="E4" s="175"/>
      <c r="F4" s="175"/>
      <c r="G4" s="175"/>
      <c r="H4" s="175"/>
      <c r="I4" s="175"/>
      <c r="J4" s="175"/>
      <c r="K4" s="175"/>
      <c r="L4" s="175"/>
      <c r="M4" s="175"/>
      <c r="N4" s="175"/>
      <c r="O4" s="175"/>
      <c r="P4" s="175"/>
      <c r="Q4" s="175"/>
      <c r="R4" s="175"/>
      <c r="S4" s="175"/>
      <c r="T4" s="175"/>
      <c r="U4" s="175"/>
      <c r="V4" s="175">
        <f>CES_Qtr!AE4</f>
        <v>-0.29660638535387363</v>
      </c>
      <c r="W4" s="175">
        <f>CES_Qtr!AJ4</f>
        <v>-0.14854784954769085</v>
      </c>
      <c r="X4" s="175">
        <f>CES_Qtr!AO4</f>
        <v>8.2385834109972134E-2</v>
      </c>
      <c r="Y4" s="192">
        <f>CES_Qtr!AT4</f>
        <v>6.233855691406931E-2</v>
      </c>
      <c r="Z4" s="192">
        <f>CES_Qtr!AY4</f>
        <v>0.15188847463122057</v>
      </c>
      <c r="AA4" s="192">
        <f>CES_Qtr!BD4</f>
        <v>0.16858992400788075</v>
      </c>
      <c r="AB4" s="192">
        <f>CES_Qtr!BI4</f>
        <v>0.10907065027192209</v>
      </c>
      <c r="AC4" s="185">
        <f>+AC3/AB3-1</f>
        <v>0.1695729781650448</v>
      </c>
      <c r="AD4" s="185">
        <f>+AD3/AC3-1</f>
        <v>0.16879735872356161</v>
      </c>
      <c r="AE4" s="185">
        <f>+AE3/AD3-1</f>
        <v>5.6187782247205442E-2</v>
      </c>
      <c r="AF4" s="185">
        <f>+AF3/AE3-1</f>
        <v>5.0369779925688585E-2</v>
      </c>
      <c r="AI4" s="306"/>
    </row>
    <row r="5" spans="1:36">
      <c r="A5" s="1"/>
      <c r="B5" s="37"/>
      <c r="C5" s="37"/>
      <c r="D5" s="37"/>
      <c r="E5" s="37"/>
      <c r="F5" s="37"/>
      <c r="G5" s="37"/>
      <c r="H5" s="37"/>
      <c r="I5" s="37"/>
      <c r="J5" s="37"/>
      <c r="K5" s="37"/>
      <c r="L5" s="37"/>
      <c r="M5" s="37"/>
      <c r="N5" s="37"/>
      <c r="O5" s="37"/>
      <c r="P5" s="37"/>
      <c r="Q5" s="37"/>
      <c r="R5" s="37"/>
      <c r="S5" s="37"/>
      <c r="T5" s="37"/>
      <c r="U5" s="37"/>
      <c r="V5" s="37"/>
      <c r="W5" s="37"/>
      <c r="X5" s="37"/>
      <c r="Y5" s="179"/>
      <c r="Z5" s="179"/>
      <c r="AA5" s="179"/>
      <c r="AB5" s="192">
        <f>CES_Qtr!BI5</f>
        <v>0.19606788050104429</v>
      </c>
      <c r="AC5" s="179"/>
      <c r="AD5" s="179"/>
      <c r="AE5" s="179"/>
      <c r="AF5" s="179"/>
      <c r="AI5" s="306"/>
    </row>
    <row r="6" spans="1:36">
      <c r="A6" s="107" t="s">
        <v>295</v>
      </c>
      <c r="B6" s="178"/>
      <c r="C6" s="178"/>
      <c r="D6" s="178"/>
      <c r="E6" s="178"/>
      <c r="F6" s="178"/>
      <c r="G6" s="178"/>
      <c r="H6" s="178"/>
      <c r="I6" s="178"/>
      <c r="J6" s="178"/>
      <c r="K6" s="178"/>
      <c r="L6" s="178"/>
      <c r="M6" s="178"/>
      <c r="N6" s="178"/>
      <c r="O6" s="178"/>
      <c r="P6" s="178"/>
      <c r="Q6" s="178"/>
      <c r="R6" s="178"/>
      <c r="S6" s="178"/>
      <c r="T6" s="178"/>
      <c r="U6" s="178">
        <f>CES_Qtr!Z6</f>
        <v>15259</v>
      </c>
      <c r="V6" s="178">
        <f>CES_Qtr!AE6</f>
        <v>8178</v>
      </c>
      <c r="W6" s="178">
        <f>CES_Qtr!AJ6</f>
        <v>8995</v>
      </c>
      <c r="X6" s="178">
        <f>CES_Qtr!AO6</f>
        <v>12858</v>
      </c>
      <c r="Y6" s="178">
        <f>CES_Qtr!AT6</f>
        <v>17686</v>
      </c>
      <c r="Z6" s="178">
        <f>CES_Qtr!AY6</f>
        <v>19775</v>
      </c>
      <c r="AA6" s="178">
        <f>CES_Qtr!BD6</f>
        <v>25010</v>
      </c>
      <c r="AB6" s="178">
        <f>CES_Qtr!BI6</f>
        <v>29297.371210547044</v>
      </c>
      <c r="AC6" s="178">
        <f>+'CES Annual_Driver'!AC344</f>
        <v>32193.751194683493</v>
      </c>
      <c r="AD6" s="178">
        <f>+'CES Annual_Driver'!AD344</f>
        <v>35308.594704957191</v>
      </c>
      <c r="AE6" s="178">
        <f>+'CES Annual_Driver'!AE344</f>
        <v>38928.796193258982</v>
      </c>
      <c r="AF6" s="178">
        <f>+'CES Annual_Driver'!AF344</f>
        <v>43152.721671833315</v>
      </c>
      <c r="AH6" t="s">
        <v>522</v>
      </c>
      <c r="AI6" s="251">
        <f>(AD6/Z6)^(1/4)-1</f>
        <v>0.15595515261026693</v>
      </c>
      <c r="AJ6" t="s">
        <v>531</v>
      </c>
    </row>
    <row r="7" spans="1:36">
      <c r="A7" s="1" t="s">
        <v>4</v>
      </c>
      <c r="B7" s="175"/>
      <c r="C7" s="175"/>
      <c r="D7" s="175"/>
      <c r="E7" s="175"/>
      <c r="F7" s="175"/>
      <c r="G7" s="175"/>
      <c r="H7" s="175"/>
      <c r="I7" s="175"/>
      <c r="J7" s="175"/>
      <c r="K7" s="175"/>
      <c r="L7" s="175"/>
      <c r="M7" s="175"/>
      <c r="N7" s="175"/>
      <c r="O7" s="175"/>
      <c r="P7" s="175"/>
      <c r="Q7" s="175"/>
      <c r="R7" s="175"/>
      <c r="S7" s="175"/>
      <c r="T7" s="175"/>
      <c r="U7" s="175"/>
      <c r="V7" s="175">
        <f>CES_Qtr!AE7</f>
        <v>-0.46405400091749127</v>
      </c>
      <c r="W7" s="175">
        <f>CES_Qtr!AJ7</f>
        <v>9.9902176571288859E-2</v>
      </c>
      <c r="X7" s="175">
        <f>CES_Qtr!AO7</f>
        <v>0.42946081156197891</v>
      </c>
      <c r="Y7" s="192">
        <f>CES_Qtr!AT7</f>
        <v>0.37548607870586403</v>
      </c>
      <c r="Z7" s="192">
        <f>CES_Qtr!AY7</f>
        <v>0.11811602397376464</v>
      </c>
      <c r="AA7" s="192">
        <f>CES_Qtr!BD7</f>
        <v>0.26472819216182053</v>
      </c>
      <c r="AB7" s="192">
        <f>CES_Qtr!BI7</f>
        <v>0.17142627791071741</v>
      </c>
      <c r="AC7" s="185">
        <f>+AC6/AB6-1</f>
        <v>9.8861429010864699E-2</v>
      </c>
      <c r="AD7" s="185">
        <f>+AD6/AC6-1</f>
        <v>9.6753046621919747E-2</v>
      </c>
      <c r="AE7" s="185">
        <f>+AE6/AD6-1</f>
        <v>0.10253031927644307</v>
      </c>
      <c r="AF7" s="185">
        <f>+AF6/AE6-1</f>
        <v>0.108503881229848</v>
      </c>
    </row>
    <row r="8" spans="1:36">
      <c r="A8" s="1" t="s">
        <v>611</v>
      </c>
      <c r="B8" s="37"/>
      <c r="C8" s="37"/>
      <c r="D8" s="37"/>
      <c r="E8" s="37"/>
      <c r="F8" s="37"/>
      <c r="G8" s="37"/>
      <c r="H8" s="37"/>
      <c r="I8" s="37"/>
      <c r="J8" s="37"/>
      <c r="K8" s="37"/>
      <c r="L8" s="37"/>
      <c r="M8" s="37"/>
      <c r="N8" s="37"/>
      <c r="O8" s="37"/>
      <c r="P8" s="37"/>
      <c r="Q8" s="37"/>
      <c r="R8" s="37"/>
      <c r="S8" s="37"/>
      <c r="T8" s="37"/>
      <c r="U8" s="37"/>
      <c r="V8" s="37"/>
      <c r="W8" s="37"/>
      <c r="X8" s="37"/>
      <c r="Y8" s="179"/>
      <c r="Z8" s="179"/>
      <c r="AA8" s="179"/>
      <c r="AB8" s="192">
        <f>CES_Qtr!BI8</f>
        <v>0.21063517398954734</v>
      </c>
      <c r="AC8" s="179"/>
      <c r="AD8" s="179"/>
      <c r="AE8" s="179"/>
      <c r="AF8" s="179"/>
    </row>
    <row r="9" spans="1:36">
      <c r="A9" s="6" t="s">
        <v>0</v>
      </c>
      <c r="B9" s="29"/>
      <c r="C9" s="29"/>
      <c r="D9" s="29"/>
      <c r="E9" s="29"/>
      <c r="F9" s="29"/>
      <c r="G9" s="29"/>
      <c r="H9" s="29"/>
      <c r="I9" s="29"/>
      <c r="J9" s="29"/>
      <c r="K9" s="29"/>
      <c r="L9" s="29"/>
      <c r="M9" s="29"/>
      <c r="N9" s="29"/>
      <c r="O9" s="29"/>
      <c r="P9" s="29"/>
      <c r="Q9" s="160"/>
      <c r="R9" s="160">
        <f>CES_Qtr!K9</f>
        <v>19521</v>
      </c>
      <c r="S9" s="160">
        <f>CES_Qtr!P9</f>
        <v>19709</v>
      </c>
      <c r="T9" s="160">
        <f>CES_Qtr!U9</f>
        <v>22724</v>
      </c>
      <c r="U9" s="160">
        <f>CES_Qtr!Z9</f>
        <v>24217</v>
      </c>
      <c r="V9" s="160">
        <f>CES_Qtr!AE9</f>
        <v>14479</v>
      </c>
      <c r="W9" s="160">
        <f>CES_Qtr!AJ9</f>
        <v>14360</v>
      </c>
      <c r="X9" s="160">
        <f>CES_Qtr!AO9</f>
        <v>18665</v>
      </c>
      <c r="Y9" s="160">
        <f>CES_Qtr!AT9</f>
        <v>23855</v>
      </c>
      <c r="Z9" s="160">
        <f>CES_Qtr!AY9</f>
        <v>26881</v>
      </c>
      <c r="AA9" s="160">
        <f>CES_Qtr!BD9</f>
        <v>33314</v>
      </c>
      <c r="AB9" s="160">
        <f>CES_Qtr!BI9</f>
        <v>38507.093890405085</v>
      </c>
      <c r="AC9" s="177">
        <f>AC3+AC6</f>
        <v>42965.193977439223</v>
      </c>
      <c r="AD9" s="177">
        <f>AD3+AD6</f>
        <v>47898.228579084054</v>
      </c>
      <c r="AE9" s="177">
        <f>AE3+AE6</f>
        <v>52225.813674077333</v>
      </c>
      <c r="AF9" s="177">
        <f>AF3+AF6</f>
        <v>57119.506996828517</v>
      </c>
    </row>
    <row r="10" spans="1:36">
      <c r="A10" s="1" t="s">
        <v>4</v>
      </c>
      <c r="B10" s="223"/>
      <c r="C10" s="181"/>
      <c r="D10" s="181"/>
      <c r="E10" s="181"/>
      <c r="F10" s="181"/>
      <c r="G10" s="181"/>
      <c r="H10" s="181"/>
      <c r="I10" s="181"/>
      <c r="J10" s="181"/>
      <c r="K10" s="181"/>
      <c r="L10" s="181"/>
      <c r="M10" s="181"/>
      <c r="N10" s="181"/>
      <c r="O10" s="181"/>
      <c r="P10" s="181"/>
      <c r="Q10" s="175"/>
      <c r="R10" s="175"/>
      <c r="S10" s="175">
        <f>CES_Qtr!P10</f>
        <v>9.6306541673070178E-3</v>
      </c>
      <c r="T10" s="175">
        <f>CES_Qtr!U10</f>
        <v>0.15297579785884619</v>
      </c>
      <c r="U10" s="175">
        <f>CES_Qtr!Z10</f>
        <v>6.5701461010385431E-2</v>
      </c>
      <c r="V10" s="175">
        <f>CES_Qtr!AE10</f>
        <v>-0.402114217285378</v>
      </c>
      <c r="W10" s="175">
        <f>CES_Qtr!AJ10</f>
        <v>-8.2187996408591424E-3</v>
      </c>
      <c r="X10" s="175">
        <f>CES_Qtr!AO10</f>
        <v>0.29979108635097496</v>
      </c>
      <c r="Y10" s="192">
        <f>CES_Qtr!AT10</f>
        <v>0.27806054111974277</v>
      </c>
      <c r="Z10" s="192">
        <f>CES_Qtr!AY10</f>
        <v>0.12684971704045278</v>
      </c>
      <c r="AA10" s="192">
        <f>CES_Qtr!BD10</f>
        <v>0.23931401361556492</v>
      </c>
      <c r="AB10" s="192">
        <f>CES_Qtr!BI10</f>
        <v>0.15588322898496387</v>
      </c>
      <c r="AC10" s="123">
        <f>AC9/AB9-1</f>
        <v>0.11577347539449012</v>
      </c>
      <c r="AD10" s="123">
        <f>AD9/AC9-1</f>
        <v>0.11481467078293983</v>
      </c>
      <c r="AE10" s="123">
        <f>AE9/AD9-1</f>
        <v>9.0349585430869794E-2</v>
      </c>
      <c r="AF10" s="123">
        <f>AF9/AE9-1</f>
        <v>9.3702576915143387E-2</v>
      </c>
    </row>
    <row r="11" spans="1:36">
      <c r="A11" s="1" t="s">
        <v>611</v>
      </c>
      <c r="B11" s="223"/>
      <c r="C11" s="181"/>
      <c r="D11" s="181"/>
      <c r="E11" s="181"/>
      <c r="F11" s="181"/>
      <c r="G11" s="181"/>
      <c r="H11" s="181"/>
      <c r="I11" s="181"/>
      <c r="J11" s="181"/>
      <c r="K11" s="181"/>
      <c r="L11" s="181"/>
      <c r="M11" s="181"/>
      <c r="N11" s="181"/>
      <c r="O11" s="181"/>
      <c r="P11" s="181"/>
      <c r="Q11" s="175"/>
      <c r="R11" s="175"/>
      <c r="S11" s="175"/>
      <c r="T11" s="175"/>
      <c r="U11" s="175"/>
      <c r="V11" s="175"/>
      <c r="W11" s="175"/>
      <c r="X11" s="175"/>
      <c r="Y11" s="164"/>
      <c r="Z11" s="164"/>
      <c r="AA11" s="164"/>
      <c r="AB11" s="192">
        <f>CES_Qtr!BI11</f>
        <v>0.2071189307337018</v>
      </c>
      <c r="AC11" s="35"/>
      <c r="AD11" s="35"/>
      <c r="AE11" s="35"/>
      <c r="AF11" s="35"/>
    </row>
    <row r="12" spans="1:36">
      <c r="A12" s="107" t="s">
        <v>178</v>
      </c>
      <c r="B12" s="37"/>
      <c r="C12" s="37"/>
      <c r="D12" s="37"/>
      <c r="E12" s="37"/>
      <c r="F12" s="37"/>
      <c r="G12" s="37"/>
      <c r="H12" s="37"/>
      <c r="I12" s="37"/>
      <c r="J12" s="37"/>
      <c r="K12" s="37"/>
      <c r="L12" s="37"/>
      <c r="M12" s="42"/>
      <c r="N12" s="42"/>
      <c r="O12" s="42"/>
      <c r="P12" s="42"/>
      <c r="Q12" s="174"/>
      <c r="R12" s="174"/>
      <c r="S12" s="174">
        <f>CES_Qtr!P12</f>
        <v>0</v>
      </c>
      <c r="T12" s="174">
        <f>CES_Qtr!U12</f>
        <v>0</v>
      </c>
      <c r="U12" s="174">
        <f>CES_Qtr!Z12</f>
        <v>0</v>
      </c>
      <c r="V12" s="174">
        <f>CES_Qtr!AE12</f>
        <v>0</v>
      </c>
      <c r="W12" s="174">
        <f>CES_Qtr!AJ12</f>
        <v>0</v>
      </c>
      <c r="X12" s="174">
        <f>CES_Qtr!AO12</f>
        <v>0</v>
      </c>
      <c r="Y12" s="37">
        <f>CES_Qtr!AT12</f>
        <v>0</v>
      </c>
      <c r="Z12" s="37">
        <f>CES_Qtr!AY12</f>
        <v>0</v>
      </c>
      <c r="AA12" s="37">
        <f>CES_Qtr!BD12</f>
        <v>0</v>
      </c>
      <c r="AB12" s="37">
        <f>CES_Qtr!BI12</f>
        <v>0</v>
      </c>
      <c r="AC12" s="42">
        <v>0</v>
      </c>
      <c r="AD12" s="42">
        <v>0</v>
      </c>
      <c r="AE12" s="42">
        <v>0</v>
      </c>
      <c r="AF12" s="42">
        <v>0</v>
      </c>
    </row>
    <row r="13" spans="1:36">
      <c r="A13" s="6" t="s">
        <v>201</v>
      </c>
      <c r="B13" s="29"/>
      <c r="C13" s="29"/>
      <c r="D13" s="29"/>
      <c r="E13" s="29"/>
      <c r="F13" s="29"/>
      <c r="G13" s="29"/>
      <c r="H13" s="29"/>
      <c r="I13" s="29"/>
      <c r="J13" s="29"/>
      <c r="K13" s="29"/>
      <c r="L13" s="29"/>
      <c r="M13" s="23"/>
      <c r="N13" s="23"/>
      <c r="O13" s="23"/>
      <c r="P13" s="23"/>
      <c r="Q13" s="160"/>
      <c r="R13" s="160"/>
      <c r="S13" s="160">
        <f>CES_Qtr!P13</f>
        <v>19709</v>
      </c>
      <c r="T13" s="160">
        <f>CES_Qtr!U13</f>
        <v>22724</v>
      </c>
      <c r="U13" s="160">
        <f>CES_Qtr!Z13</f>
        <v>24217</v>
      </c>
      <c r="V13" s="160">
        <f>CES_Qtr!AE13</f>
        <v>14479</v>
      </c>
      <c r="W13" s="160">
        <f>CES_Qtr!AJ13</f>
        <v>14360</v>
      </c>
      <c r="X13" s="160">
        <f>CES_Qtr!AO13</f>
        <v>18665</v>
      </c>
      <c r="Y13" s="160">
        <f>CES_Qtr!AT13</f>
        <v>23855</v>
      </c>
      <c r="Z13" s="160">
        <f>CES_Qtr!AY13</f>
        <v>26881</v>
      </c>
      <c r="AA13" s="160">
        <f>CES_Qtr!BD13</f>
        <v>33314</v>
      </c>
      <c r="AB13" s="160">
        <f>CES_Qtr!BI13</f>
        <v>38507.093890405085</v>
      </c>
      <c r="AC13" s="23">
        <f>AC9+AC12</f>
        <v>42965.193977439223</v>
      </c>
      <c r="AD13" s="23">
        <f>AD9+AD12</f>
        <v>47898.228579084054</v>
      </c>
      <c r="AE13" s="23">
        <f>AE9+AE12</f>
        <v>52225.813674077333</v>
      </c>
      <c r="AF13" s="23">
        <f>AF9+AF12</f>
        <v>57119.506996828517</v>
      </c>
      <c r="AH13" t="s">
        <v>530</v>
      </c>
      <c r="AI13" s="259">
        <f>(AD13/Z13)^(1/4)-1</f>
        <v>0.15536313965424409</v>
      </c>
    </row>
    <row r="14" spans="1:36">
      <c r="A14" s="1" t="s">
        <v>4</v>
      </c>
      <c r="B14" s="35"/>
      <c r="C14" s="35"/>
      <c r="D14" s="35"/>
      <c r="E14" s="35"/>
      <c r="F14" s="35"/>
      <c r="G14" s="35"/>
      <c r="H14" s="35"/>
      <c r="I14" s="35"/>
      <c r="J14" s="35"/>
      <c r="K14" s="35"/>
      <c r="L14" s="35"/>
      <c r="M14" s="181"/>
      <c r="N14" s="35"/>
      <c r="O14" s="35"/>
      <c r="P14" s="35"/>
      <c r="Q14" s="175"/>
      <c r="R14" s="175"/>
      <c r="S14" s="175" t="e">
        <f>CES_Qtr!P14</f>
        <v>#DIV/0!</v>
      </c>
      <c r="T14" s="175">
        <f>CES_Qtr!U14</f>
        <v>0.15297579785884619</v>
      </c>
      <c r="U14" s="175">
        <f>CES_Qtr!Z14</f>
        <v>6.5701461010385431E-2</v>
      </c>
      <c r="V14" s="175">
        <f>CES_Qtr!AE14</f>
        <v>-0.402114217285378</v>
      </c>
      <c r="W14" s="175">
        <f>CES_Qtr!AJ14</f>
        <v>-8.2187996408591424E-3</v>
      </c>
      <c r="X14" s="175">
        <f>CES_Qtr!AO14</f>
        <v>0.29979108635097496</v>
      </c>
      <c r="Y14" s="192">
        <f>CES_Qtr!AT14</f>
        <v>0.27806054111974277</v>
      </c>
      <c r="Z14" s="192">
        <f>CES_Qtr!AY14</f>
        <v>0.12684971704045278</v>
      </c>
      <c r="AA14" s="192">
        <f>CES_Qtr!BD14</f>
        <v>0.23931401361556492</v>
      </c>
      <c r="AB14" s="192">
        <f>CES_Qtr!BI14</f>
        <v>0.15588322898496387</v>
      </c>
      <c r="AC14" s="123">
        <f>AC13/AB13-1</f>
        <v>0.11577347539449012</v>
      </c>
      <c r="AD14" s="123">
        <f>AD13/AC13-1</f>
        <v>0.11481467078293983</v>
      </c>
      <c r="AE14" s="123">
        <f>AE13/AD13-1</f>
        <v>9.0349585430869794E-2</v>
      </c>
      <c r="AF14" s="123">
        <f>AF13/AE13-1</f>
        <v>9.3702576915143387E-2</v>
      </c>
    </row>
    <row r="15" spans="1:36">
      <c r="A15" s="1" t="s">
        <v>611</v>
      </c>
      <c r="B15" s="37"/>
      <c r="C15" s="37"/>
      <c r="D15" s="37"/>
      <c r="E15" s="37"/>
      <c r="F15" s="37"/>
      <c r="G15" s="37"/>
      <c r="H15" s="37"/>
      <c r="I15" s="37"/>
      <c r="J15" s="37"/>
      <c r="K15" s="37"/>
      <c r="L15" s="37"/>
      <c r="M15" s="37"/>
      <c r="N15" s="37"/>
      <c r="O15" s="37"/>
      <c r="P15" s="37"/>
      <c r="Q15" s="37"/>
      <c r="R15" s="37"/>
      <c r="S15" s="37"/>
      <c r="T15" s="37"/>
      <c r="U15" s="37"/>
      <c r="V15" s="37"/>
      <c r="W15" s="37"/>
      <c r="X15" s="37"/>
      <c r="Y15" s="231"/>
      <c r="Z15" s="303"/>
      <c r="AA15" s="303"/>
      <c r="AB15" s="304">
        <f>AB11</f>
        <v>0.2071189307337018</v>
      </c>
      <c r="AC15" s="179"/>
      <c r="AD15" s="179"/>
      <c r="AE15" s="179"/>
      <c r="AF15" s="179"/>
    </row>
    <row r="16" spans="1:36">
      <c r="A16" s="6" t="s">
        <v>587</v>
      </c>
      <c r="B16" s="29"/>
      <c r="C16" s="29"/>
      <c r="D16" s="29"/>
      <c r="E16" s="29"/>
      <c r="F16" s="29"/>
      <c r="G16" s="29"/>
      <c r="H16" s="29"/>
      <c r="I16" s="29"/>
      <c r="J16" s="29"/>
      <c r="K16" s="29"/>
      <c r="L16" s="29"/>
      <c r="M16" s="29"/>
      <c r="N16" s="29"/>
      <c r="O16" s="29"/>
      <c r="P16" s="29"/>
      <c r="Q16" s="23"/>
      <c r="R16" s="23"/>
      <c r="S16" s="23"/>
      <c r="T16" s="23"/>
      <c r="U16" s="23"/>
      <c r="V16" s="23"/>
      <c r="W16" s="23"/>
      <c r="X16" s="23"/>
      <c r="Y16" s="23"/>
      <c r="Z16" s="23"/>
      <c r="AA16" s="23"/>
      <c r="AB16" s="23"/>
      <c r="AC16" s="23"/>
      <c r="AD16" s="23"/>
      <c r="AE16" s="23"/>
      <c r="AF16" s="23"/>
    </row>
    <row r="17" spans="1:34">
      <c r="A17" s="107" t="s">
        <v>588</v>
      </c>
      <c r="B17" s="37"/>
      <c r="C17" s="37"/>
      <c r="D17" s="37"/>
      <c r="E17" s="37"/>
      <c r="F17" s="37"/>
      <c r="G17" s="37"/>
      <c r="H17" s="37"/>
      <c r="I17" s="37"/>
      <c r="J17" s="37"/>
      <c r="K17" s="37"/>
      <c r="L17" s="37"/>
      <c r="M17" s="37"/>
      <c r="N17" s="37"/>
      <c r="O17" s="37"/>
      <c r="P17" s="37"/>
      <c r="Q17" s="37"/>
      <c r="R17" s="37"/>
      <c r="S17" s="37"/>
      <c r="T17" s="37"/>
      <c r="U17" s="37"/>
      <c r="V17" s="37"/>
      <c r="W17" s="37"/>
      <c r="X17" s="37"/>
      <c r="Y17" s="231"/>
      <c r="Z17" s="303"/>
      <c r="AA17" s="303"/>
      <c r="AB17" s="303"/>
      <c r="AC17" s="179"/>
      <c r="AD17" s="179"/>
      <c r="AE17" s="179"/>
      <c r="AF17" s="179"/>
    </row>
    <row r="18" spans="1:34">
      <c r="A18" s="1" t="s">
        <v>589</v>
      </c>
      <c r="B18" s="37"/>
      <c r="C18" s="37"/>
      <c r="D18" s="37"/>
      <c r="E18" s="37"/>
      <c r="F18" s="37"/>
      <c r="G18" s="37"/>
      <c r="H18" s="37"/>
      <c r="I18" s="37"/>
      <c r="J18" s="37"/>
      <c r="K18" s="37"/>
      <c r="L18" s="37"/>
      <c r="M18" s="37"/>
      <c r="N18" s="37"/>
      <c r="O18" s="37"/>
      <c r="P18" s="37"/>
      <c r="Q18" s="37"/>
      <c r="R18" s="37"/>
      <c r="S18" s="576"/>
      <c r="T18" s="576"/>
      <c r="U18" s="576"/>
      <c r="V18" s="576"/>
      <c r="W18" s="576"/>
      <c r="X18" s="576"/>
      <c r="Y18" s="577"/>
      <c r="Z18" s="578"/>
      <c r="AA18" s="578"/>
      <c r="AB18" s="578"/>
      <c r="AC18" s="579"/>
      <c r="AD18" s="579"/>
      <c r="AE18" s="579"/>
      <c r="AF18" s="579"/>
    </row>
    <row r="19" spans="1:34">
      <c r="A19" s="1" t="s">
        <v>4</v>
      </c>
      <c r="B19" s="37"/>
      <c r="C19" s="37"/>
      <c r="D19" s="37"/>
      <c r="E19" s="37"/>
      <c r="F19" s="37"/>
      <c r="G19" s="37"/>
      <c r="H19" s="37"/>
      <c r="I19" s="37"/>
      <c r="J19" s="37"/>
      <c r="K19" s="37"/>
      <c r="L19" s="37"/>
      <c r="M19" s="37"/>
      <c r="N19" s="37"/>
      <c r="O19" s="37"/>
      <c r="P19" s="37"/>
      <c r="Q19" s="37"/>
      <c r="R19" s="37"/>
      <c r="S19" s="37"/>
      <c r="T19" s="37"/>
      <c r="U19" s="37"/>
      <c r="V19" s="37"/>
      <c r="W19" s="37"/>
      <c r="X19" s="37"/>
      <c r="Y19" s="231"/>
      <c r="Z19" s="303"/>
      <c r="AA19" s="303"/>
      <c r="AB19" s="303"/>
      <c r="AC19" s="179"/>
      <c r="AD19" s="179"/>
      <c r="AE19" s="179"/>
      <c r="AF19" s="179"/>
    </row>
    <row r="20" spans="1:34">
      <c r="A20" s="1" t="s">
        <v>590</v>
      </c>
      <c r="B20" s="37"/>
      <c r="C20" s="37"/>
      <c r="D20" s="37"/>
      <c r="E20" s="37"/>
      <c r="F20" s="37"/>
      <c r="G20" s="37"/>
      <c r="H20" s="37"/>
      <c r="I20" s="37"/>
      <c r="J20" s="37"/>
      <c r="K20" s="37"/>
      <c r="L20" s="37"/>
      <c r="M20" s="37"/>
      <c r="N20" s="37"/>
      <c r="O20" s="37"/>
      <c r="P20" s="37"/>
      <c r="Q20" s="37"/>
      <c r="R20" s="37"/>
      <c r="S20" s="37"/>
      <c r="T20" s="37"/>
      <c r="U20" s="37"/>
      <c r="V20" s="37"/>
      <c r="W20" s="37"/>
      <c r="X20" s="37"/>
      <c r="Y20" s="231"/>
      <c r="Z20" s="303"/>
      <c r="AA20" s="303"/>
      <c r="AB20" s="303"/>
      <c r="AC20" s="179"/>
      <c r="AD20" s="179"/>
      <c r="AE20" s="179"/>
      <c r="AF20" s="179"/>
    </row>
    <row r="21" spans="1:34">
      <c r="A21" s="1"/>
      <c r="B21" s="37"/>
      <c r="C21" s="37"/>
      <c r="D21" s="37"/>
      <c r="E21" s="37"/>
      <c r="F21" s="37"/>
      <c r="G21" s="37"/>
      <c r="H21" s="37"/>
      <c r="I21" s="37"/>
      <c r="J21" s="37"/>
      <c r="K21" s="37"/>
      <c r="L21" s="37"/>
      <c r="M21" s="37"/>
      <c r="N21" s="37"/>
      <c r="O21" s="37"/>
      <c r="P21" s="37"/>
      <c r="Q21" s="37"/>
      <c r="R21" s="37"/>
      <c r="S21" s="37"/>
      <c r="T21" s="37"/>
      <c r="U21" s="37"/>
      <c r="V21" s="37"/>
      <c r="W21" s="37"/>
      <c r="X21" s="37"/>
      <c r="Y21" s="231"/>
      <c r="Z21" s="303"/>
      <c r="AA21" s="303"/>
      <c r="AB21" s="303"/>
      <c r="AC21" s="179"/>
      <c r="AD21" s="179"/>
      <c r="AE21" s="179"/>
      <c r="AF21" s="179"/>
    </row>
    <row r="22" spans="1:34">
      <c r="A22" s="107" t="s">
        <v>295</v>
      </c>
      <c r="B22" s="37"/>
      <c r="C22" s="37"/>
      <c r="D22" s="37"/>
      <c r="E22" s="37"/>
      <c r="F22" s="37"/>
      <c r="G22" s="37"/>
      <c r="H22" s="37"/>
      <c r="I22" s="37"/>
      <c r="J22" s="37"/>
      <c r="K22" s="37"/>
      <c r="L22" s="37"/>
      <c r="M22" s="37"/>
      <c r="N22" s="37"/>
      <c r="O22" s="37"/>
      <c r="P22" s="37"/>
      <c r="Q22" s="37"/>
      <c r="R22" s="37"/>
      <c r="S22" s="37"/>
      <c r="T22" s="37"/>
      <c r="U22" s="37"/>
      <c r="V22" s="37"/>
      <c r="W22" s="37"/>
      <c r="X22" s="37"/>
      <c r="Y22" s="231"/>
      <c r="Z22" s="303"/>
      <c r="AA22" s="303"/>
      <c r="AB22" s="303"/>
      <c r="AC22" s="179"/>
      <c r="AD22" s="179"/>
      <c r="AE22" s="179"/>
      <c r="AF22" s="179"/>
    </row>
    <row r="23" spans="1:34">
      <c r="A23" s="1" t="s">
        <v>589</v>
      </c>
      <c r="B23" s="37"/>
      <c r="C23" s="37"/>
      <c r="D23" s="37"/>
      <c r="E23" s="37"/>
      <c r="F23" s="37"/>
      <c r="G23" s="37"/>
      <c r="H23" s="37"/>
      <c r="I23" s="37"/>
      <c r="J23" s="37"/>
      <c r="K23" s="37"/>
      <c r="L23" s="37"/>
      <c r="M23" s="37"/>
      <c r="N23" s="37"/>
      <c r="O23" s="37"/>
      <c r="P23" s="37"/>
      <c r="Q23" s="37"/>
      <c r="R23" s="37"/>
      <c r="S23" s="576"/>
      <c r="T23" s="576"/>
      <c r="U23" s="576"/>
      <c r="V23" s="576"/>
      <c r="W23" s="576"/>
      <c r="X23" s="576"/>
      <c r="Y23" s="577"/>
      <c r="Z23" s="578"/>
      <c r="AA23" s="578"/>
      <c r="AB23" s="578"/>
      <c r="AC23" s="579"/>
      <c r="AD23" s="579"/>
      <c r="AE23" s="579"/>
      <c r="AF23" s="579"/>
    </row>
    <row r="24" spans="1:34">
      <c r="A24" s="1" t="s">
        <v>4</v>
      </c>
      <c r="B24" s="37"/>
      <c r="C24" s="37"/>
      <c r="D24" s="37"/>
      <c r="E24" s="37"/>
      <c r="F24" s="37"/>
      <c r="G24" s="37"/>
      <c r="H24" s="37"/>
      <c r="I24" s="37"/>
      <c r="J24" s="37"/>
      <c r="K24" s="37"/>
      <c r="L24" s="37"/>
      <c r="M24" s="37"/>
      <c r="N24" s="37"/>
      <c r="O24" s="37"/>
      <c r="P24" s="37"/>
      <c r="Q24" s="37"/>
      <c r="R24" s="37"/>
      <c r="S24" s="37"/>
      <c r="T24" s="37"/>
      <c r="U24" s="37"/>
      <c r="V24" s="37"/>
      <c r="W24" s="37"/>
      <c r="X24" s="37"/>
      <c r="Y24" s="231"/>
      <c r="Z24" s="303"/>
      <c r="AA24" s="303"/>
      <c r="AB24" s="303"/>
      <c r="AC24" s="179"/>
      <c r="AD24" s="179"/>
      <c r="AE24" s="179"/>
      <c r="AF24" s="179"/>
    </row>
    <row r="25" spans="1:34">
      <c r="A25" s="1" t="s">
        <v>590</v>
      </c>
      <c r="B25" s="37"/>
      <c r="C25" s="37"/>
      <c r="D25" s="37"/>
      <c r="E25" s="37"/>
      <c r="F25" s="37"/>
      <c r="G25" s="37"/>
      <c r="H25" s="37"/>
      <c r="I25" s="37"/>
      <c r="J25" s="37"/>
      <c r="K25" s="37"/>
      <c r="L25" s="37"/>
      <c r="M25" s="37"/>
      <c r="N25" s="37"/>
      <c r="O25" s="37"/>
      <c r="P25" s="37"/>
      <c r="Q25" s="37"/>
      <c r="R25" s="37"/>
      <c r="S25" s="37"/>
      <c r="T25" s="37"/>
      <c r="U25" s="37"/>
      <c r="V25" s="37"/>
      <c r="W25" s="37"/>
      <c r="X25" s="37"/>
      <c r="Y25" s="231"/>
      <c r="Z25" s="303"/>
      <c r="AA25" s="303"/>
      <c r="AB25" s="303"/>
      <c r="AC25" s="179"/>
      <c r="AD25" s="179"/>
      <c r="AE25" s="179"/>
      <c r="AF25" s="179"/>
    </row>
    <row r="26" spans="1:34">
      <c r="B26" s="37"/>
      <c r="C26" s="37"/>
      <c r="D26" s="37"/>
      <c r="E26" s="37"/>
      <c r="F26" s="37"/>
      <c r="G26" s="37"/>
      <c r="H26" s="37"/>
      <c r="I26" s="37"/>
      <c r="J26" s="37"/>
      <c r="K26" s="37"/>
      <c r="L26" s="37"/>
      <c r="M26" s="37"/>
      <c r="N26" s="37"/>
      <c r="O26" s="37"/>
      <c r="P26" s="37"/>
      <c r="Q26" s="37"/>
      <c r="R26" s="37"/>
      <c r="S26" s="37"/>
      <c r="T26" s="37"/>
      <c r="U26" s="37"/>
      <c r="V26" s="37"/>
      <c r="W26" s="37"/>
      <c r="X26" s="37"/>
      <c r="Y26" s="231"/>
      <c r="Z26" s="303"/>
      <c r="AA26" s="303"/>
      <c r="AB26" s="303"/>
      <c r="AC26" s="179"/>
      <c r="AD26" s="179"/>
      <c r="AE26" s="179"/>
      <c r="AF26" s="179"/>
    </row>
    <row r="27" spans="1:34">
      <c r="A27" s="8" t="s">
        <v>10</v>
      </c>
      <c r="B27" s="27"/>
      <c r="C27" s="27"/>
      <c r="D27" s="27"/>
      <c r="E27" s="27"/>
      <c r="F27" s="27"/>
      <c r="G27" s="27"/>
      <c r="H27" s="27"/>
      <c r="I27" s="27"/>
      <c r="J27" s="27"/>
      <c r="K27" s="27"/>
      <c r="L27" s="27"/>
      <c r="M27" s="27"/>
      <c r="N27" s="27"/>
      <c r="O27" s="27"/>
      <c r="P27" s="27"/>
      <c r="Q27" s="176"/>
      <c r="R27" s="176"/>
      <c r="S27" s="176">
        <f>CES_Qtr!P16</f>
        <v>-19709</v>
      </c>
      <c r="T27" s="176">
        <f>CES_Qtr!U16</f>
        <v>-22724</v>
      </c>
      <c r="U27" s="176">
        <f>CES_Qtr!Z16</f>
        <v>-24217</v>
      </c>
      <c r="V27" s="176">
        <f>CES_Qtr!AE16</f>
        <v>-14479</v>
      </c>
      <c r="W27" s="176">
        <f>CES_Qtr!AJ16</f>
        <v>-14360</v>
      </c>
      <c r="X27" s="176">
        <f>CES_Qtr!AO16</f>
        <v>-18665</v>
      </c>
      <c r="Y27" s="176">
        <f>CES_Qtr!AT16</f>
        <v>-18212</v>
      </c>
      <c r="Z27" s="176">
        <f>CES_Qtr!AY16</f>
        <v>-19826</v>
      </c>
      <c r="AA27" s="176">
        <f>CES_Qtr!BD16</f>
        <v>-24453</v>
      </c>
      <c r="AB27" s="176">
        <f>CES_Qtr!BI16</f>
        <v>-28160.237762053239</v>
      </c>
      <c r="AC27" s="27">
        <f>+-AC9+AC30</f>
        <v>-31132.784641857201</v>
      </c>
      <c r="AD27" s="27">
        <f>+-AD9+AD30</f>
        <v>-34368.088035263696</v>
      </c>
      <c r="AE27" s="27">
        <f>+-AE9+AE30</f>
        <v>-37033.960596214369</v>
      </c>
      <c r="AF27" s="27">
        <f>+-AF9+AF30</f>
        <v>-39978.823789243252</v>
      </c>
    </row>
    <row r="28" spans="1:34">
      <c r="A28" s="1" t="s">
        <v>4</v>
      </c>
      <c r="B28" s="181"/>
      <c r="C28" s="181"/>
      <c r="D28" s="181"/>
      <c r="E28" s="181"/>
      <c r="F28" s="181"/>
      <c r="G28" s="181"/>
      <c r="H28" s="181"/>
      <c r="I28" s="181"/>
      <c r="J28" s="181"/>
      <c r="K28" s="181"/>
      <c r="L28" s="181"/>
      <c r="M28" s="181"/>
      <c r="N28" s="181"/>
      <c r="O28" s="181"/>
      <c r="P28" s="181"/>
      <c r="Q28" s="175"/>
      <c r="R28" s="175"/>
      <c r="S28" s="175" t="e">
        <f>CES_Qtr!P17</f>
        <v>#DIV/0!</v>
      </c>
      <c r="T28" s="175">
        <f>CES_Qtr!U17</f>
        <v>0.15297579785884619</v>
      </c>
      <c r="U28" s="175">
        <f>CES_Qtr!Z17</f>
        <v>6.5701461010385431E-2</v>
      </c>
      <c r="V28" s="175">
        <f>CES_Qtr!AE17</f>
        <v>-0.402114217285378</v>
      </c>
      <c r="W28" s="175">
        <f>CES_Qtr!AJ17</f>
        <v>-8.2187996408591424E-3</v>
      </c>
      <c r="X28" s="175">
        <f>CES_Qtr!AO17</f>
        <v>0.29979108635097496</v>
      </c>
      <c r="Y28" s="304">
        <f>CES_Qtr!AT17</f>
        <v>-2.4270024109295463E-2</v>
      </c>
      <c r="Z28" s="304">
        <f>CES_Qtr!AY17</f>
        <v>8.8622886009224633E-2</v>
      </c>
      <c r="AA28" s="304">
        <f>CES_Qtr!BD17</f>
        <v>0.23338040956319994</v>
      </c>
      <c r="AB28" s="304">
        <f>CES_Qtr!BI17</f>
        <v>0.15160666429694669</v>
      </c>
      <c r="AC28" s="180">
        <f>AC27/AB27-1</f>
        <v>0.10555830191922455</v>
      </c>
      <c r="AD28" s="180">
        <f>AD27/AC27-1</f>
        <v>0.10391949935171274</v>
      </c>
      <c r="AE28" s="180">
        <f>AE27/AD27-1</f>
        <v>7.75682533813149E-2</v>
      </c>
      <c r="AF28" s="180">
        <f>AF27/AE27-1</f>
        <v>7.9517911279786579E-2</v>
      </c>
    </row>
    <row r="29" spans="1:34">
      <c r="A29" s="1"/>
      <c r="B29" s="181"/>
      <c r="C29" s="181"/>
      <c r="D29" s="181"/>
      <c r="E29" s="181"/>
      <c r="F29" s="181"/>
      <c r="G29" s="181"/>
      <c r="H29" s="181"/>
      <c r="I29" s="181"/>
      <c r="J29" s="181"/>
      <c r="K29" s="181"/>
      <c r="L29" s="181"/>
      <c r="M29" s="181"/>
      <c r="N29" s="181"/>
      <c r="O29" s="181"/>
      <c r="P29" s="181"/>
      <c r="Q29" s="175"/>
      <c r="R29" s="175"/>
      <c r="S29" s="175"/>
      <c r="T29" s="175"/>
      <c r="U29" s="175"/>
      <c r="V29" s="175"/>
      <c r="W29" s="175"/>
      <c r="X29" s="175"/>
      <c r="Y29" s="180"/>
      <c r="Z29" s="180"/>
      <c r="AA29" s="180"/>
      <c r="AB29" s="180"/>
      <c r="AC29" s="180"/>
      <c r="AD29" s="180"/>
      <c r="AE29" s="180"/>
      <c r="AF29" s="180"/>
    </row>
    <row r="30" spans="1:34">
      <c r="A30" s="6" t="s">
        <v>9</v>
      </c>
      <c r="B30" s="29"/>
      <c r="C30" s="29"/>
      <c r="D30" s="29"/>
      <c r="E30" s="29"/>
      <c r="F30" s="29"/>
      <c r="G30" s="29"/>
      <c r="H30" s="29"/>
      <c r="I30" s="29"/>
      <c r="J30" s="29"/>
      <c r="K30" s="29"/>
      <c r="L30" s="29"/>
      <c r="M30" s="29"/>
      <c r="N30" s="29"/>
      <c r="O30" s="29"/>
      <c r="P30" s="29"/>
      <c r="Q30" s="23"/>
      <c r="R30" s="23"/>
      <c r="S30" s="23">
        <f t="shared" ref="S30:AA30" si="0">S9+S27</f>
        <v>0</v>
      </c>
      <c r="T30" s="23">
        <f t="shared" si="0"/>
        <v>0</v>
      </c>
      <c r="U30" s="23">
        <f t="shared" si="0"/>
        <v>0</v>
      </c>
      <c r="V30" s="23">
        <f t="shared" si="0"/>
        <v>0</v>
      </c>
      <c r="W30" s="23">
        <f t="shared" si="0"/>
        <v>0</v>
      </c>
      <c r="X30" s="23">
        <f t="shared" si="0"/>
        <v>0</v>
      </c>
      <c r="Y30" s="23">
        <f t="shared" si="0"/>
        <v>5643</v>
      </c>
      <c r="Z30" s="23">
        <f t="shared" si="0"/>
        <v>7055</v>
      </c>
      <c r="AA30" s="23">
        <f t="shared" si="0"/>
        <v>8861</v>
      </c>
      <c r="AB30" s="23">
        <f t="shared" ref="AB30" si="1">AB9+AB27</f>
        <v>10346.856128351847</v>
      </c>
      <c r="AC30" s="160">
        <f>AC90</f>
        <v>11832.409335582021</v>
      </c>
      <c r="AD30" s="160">
        <f t="shared" ref="AD30:AF30" si="2">AD90</f>
        <v>13530.140543820358</v>
      </c>
      <c r="AE30" s="160">
        <f t="shared" si="2"/>
        <v>15191.853077862965</v>
      </c>
      <c r="AF30" s="160">
        <f t="shared" si="2"/>
        <v>17140.683207585269</v>
      </c>
    </row>
    <row r="31" spans="1:34">
      <c r="A31" s="1" t="s">
        <v>4</v>
      </c>
      <c r="B31" s="35"/>
      <c r="C31" s="35"/>
      <c r="D31" s="35"/>
      <c r="E31" s="35"/>
      <c r="F31" s="35"/>
      <c r="G31" s="35"/>
      <c r="H31" s="35"/>
      <c r="I31" s="35"/>
      <c r="J31" s="35"/>
      <c r="K31" s="35"/>
      <c r="L31" s="35"/>
      <c r="M31" s="181"/>
      <c r="N31" s="35"/>
      <c r="O31" s="35"/>
      <c r="P31" s="35"/>
      <c r="Q31" s="175"/>
      <c r="R31" s="175"/>
      <c r="S31" s="175" t="e">
        <f>CES_Qtr!P20</f>
        <v>#DIV/0!</v>
      </c>
      <c r="T31" s="175" t="e">
        <f>CES_Qtr!U20</f>
        <v>#DIV/0!</v>
      </c>
      <c r="U31" s="175" t="e">
        <f>CES_Qtr!Z20</f>
        <v>#DIV/0!</v>
      </c>
      <c r="V31" s="175" t="e">
        <f>CES_Qtr!AE20</f>
        <v>#DIV/0!</v>
      </c>
      <c r="W31" s="175" t="e">
        <f>CES_Qtr!AJ20</f>
        <v>#DIV/0!</v>
      </c>
      <c r="X31" s="175" t="e">
        <f>CES_Qtr!AO20</f>
        <v>#DIV/0!</v>
      </c>
      <c r="Y31" s="164" t="e">
        <f>CES_Qtr!AT20</f>
        <v>#DIV/0!</v>
      </c>
      <c r="Z31" s="164">
        <f>CES_Qtr!AY20</f>
        <v>0.25022151337940812</v>
      </c>
      <c r="AA31" s="164">
        <f>CES_Qtr!BD20</f>
        <v>0.2559886605244508</v>
      </c>
      <c r="AB31" s="164">
        <f>CES_Qtr!BI20</f>
        <v>0.16768492589457695</v>
      </c>
      <c r="AC31" s="35">
        <f>AC30/AB30-1</f>
        <v>0.14357532266825945</v>
      </c>
      <c r="AD31" s="35">
        <f>AD30/AC30-1</f>
        <v>0.14348144660048034</v>
      </c>
      <c r="AE31" s="35">
        <f>AE30/AD30-1</f>
        <v>0.12281561515645611</v>
      </c>
      <c r="AF31" s="35">
        <f>AF30/AE30-1</f>
        <v>0.1282812649473335</v>
      </c>
    </row>
    <row r="32" spans="1:34">
      <c r="A32" s="1" t="s">
        <v>175</v>
      </c>
      <c r="B32" s="35"/>
      <c r="C32" s="35"/>
      <c r="D32" s="35"/>
      <c r="E32" s="35"/>
      <c r="F32" s="35"/>
      <c r="G32" s="35"/>
      <c r="H32" s="35"/>
      <c r="I32" s="35"/>
      <c r="J32" s="35"/>
      <c r="K32" s="35"/>
      <c r="L32" s="35"/>
      <c r="M32" s="35"/>
      <c r="N32" s="35"/>
      <c r="O32" s="35"/>
      <c r="P32" s="35"/>
      <c r="Q32" s="175"/>
      <c r="R32" s="175"/>
      <c r="S32" s="175">
        <f>CES_Qtr!P21</f>
        <v>0</v>
      </c>
      <c r="T32" s="175">
        <f>CES_Qtr!U21</f>
        <v>0</v>
      </c>
      <c r="U32" s="175">
        <f>CES_Qtr!Z21</f>
        <v>0</v>
      </c>
      <c r="V32" s="175">
        <f>CES_Qtr!AE21</f>
        <v>0</v>
      </c>
      <c r="W32" s="175">
        <f>CES_Qtr!AJ21</f>
        <v>0</v>
      </c>
      <c r="X32" s="175">
        <f>CES_Qtr!AO21</f>
        <v>0</v>
      </c>
      <c r="Y32" s="164">
        <f>CES_Qtr!AT21</f>
        <v>0.23655418151330959</v>
      </c>
      <c r="Z32" s="164">
        <f>CES_Qtr!AY21</f>
        <v>0.26245303374130424</v>
      </c>
      <c r="AA32" s="164">
        <f>CES_Qtr!BD21</f>
        <v>0.26598427087710874</v>
      </c>
      <c r="AB32" s="164">
        <f>CES_Qtr!BI21</f>
        <v>0.26869999999999999</v>
      </c>
      <c r="AC32" s="164">
        <f>AC91</f>
        <v>0.27539522669896827</v>
      </c>
      <c r="AD32" s="164">
        <f t="shared" ref="AD32:AF32" si="3">AD91</f>
        <v>0.28247684612137469</v>
      </c>
      <c r="AE32" s="164">
        <f t="shared" si="3"/>
        <v>0.29088781981779926</v>
      </c>
      <c r="AF32" s="164">
        <f t="shared" si="3"/>
        <v>0.30008457896068647</v>
      </c>
      <c r="AH32" s="652"/>
    </row>
    <row r="33" spans="1:32">
      <c r="A33" s="458" t="s">
        <v>237</v>
      </c>
      <c r="B33" s="35"/>
      <c r="C33" s="35"/>
      <c r="D33" s="35"/>
      <c r="E33" s="35"/>
      <c r="F33" s="35"/>
      <c r="G33" s="35"/>
      <c r="H33" s="35"/>
      <c r="I33" s="35"/>
      <c r="J33" s="35"/>
      <c r="K33" s="35"/>
      <c r="L33" s="35"/>
      <c r="M33" s="35"/>
      <c r="N33" s="35"/>
      <c r="O33" s="35"/>
      <c r="P33" s="35"/>
      <c r="Q33" s="175"/>
      <c r="R33" s="175"/>
      <c r="S33" s="175"/>
      <c r="T33" s="175"/>
      <c r="U33" s="175"/>
      <c r="V33" s="175"/>
      <c r="W33" s="175"/>
      <c r="X33" s="175"/>
      <c r="Y33" s="164"/>
      <c r="Z33" s="164"/>
      <c r="AA33" s="164"/>
      <c r="AB33" s="164"/>
      <c r="AC33" s="164">
        <f>AC92</f>
        <v>0.33322562935514427</v>
      </c>
      <c r="AD33" s="164">
        <f t="shared" ref="AD33:AF33" si="4">AD92</f>
        <v>0.34415554427132133</v>
      </c>
      <c r="AE33" s="164">
        <f t="shared" si="4"/>
        <v>0.3839814810262413</v>
      </c>
      <c r="AF33" s="164">
        <f t="shared" si="4"/>
        <v>0.39823299115660404</v>
      </c>
    </row>
    <row r="34" spans="1:32">
      <c r="A34" s="1"/>
      <c r="B34" s="181"/>
      <c r="C34" s="181"/>
      <c r="D34" s="181"/>
      <c r="E34" s="181"/>
      <c r="F34" s="181"/>
      <c r="G34" s="181"/>
      <c r="H34" s="181"/>
      <c r="I34" s="181"/>
      <c r="J34" s="181"/>
      <c r="K34" s="181"/>
      <c r="L34" s="181"/>
      <c r="M34" s="181"/>
      <c r="N34" s="181"/>
      <c r="O34" s="181"/>
      <c r="P34" s="181"/>
      <c r="Q34" s="175"/>
      <c r="R34" s="175"/>
      <c r="S34" s="175"/>
      <c r="T34" s="175"/>
      <c r="U34" s="175"/>
      <c r="V34" s="175"/>
      <c r="W34" s="175"/>
      <c r="X34" s="175"/>
      <c r="Y34" s="304"/>
      <c r="Z34" s="304"/>
      <c r="AA34" s="304"/>
      <c r="AB34" s="304"/>
      <c r="AC34" s="180"/>
      <c r="AD34" s="180"/>
      <c r="AE34" s="180"/>
      <c r="AF34" s="180"/>
    </row>
    <row r="35" spans="1:32">
      <c r="A35" s="7" t="s">
        <v>200</v>
      </c>
      <c r="B35" s="181"/>
      <c r="C35" s="181"/>
      <c r="D35" s="181"/>
      <c r="E35" s="181"/>
      <c r="F35" s="181"/>
      <c r="G35" s="181"/>
      <c r="H35" s="181"/>
      <c r="I35" s="181"/>
      <c r="J35" s="181"/>
      <c r="K35" s="181"/>
      <c r="L35" s="181"/>
      <c r="M35" s="42"/>
      <c r="N35" s="42"/>
      <c r="O35" s="42"/>
      <c r="P35" s="42"/>
      <c r="Q35" s="174"/>
      <c r="R35" s="174"/>
      <c r="S35" s="174">
        <f>CES_Qtr!P24</f>
        <v>0</v>
      </c>
      <c r="T35" s="174">
        <f>CES_Qtr!U24</f>
        <v>0</v>
      </c>
      <c r="U35" s="174">
        <f>CES_Qtr!Z24</f>
        <v>0</v>
      </c>
      <c r="V35" s="174">
        <f>CES_Qtr!AE24</f>
        <v>0</v>
      </c>
      <c r="W35" s="174">
        <f>CES_Qtr!AJ24</f>
        <v>0</v>
      </c>
      <c r="X35" s="174">
        <f>CES_Qtr!AO24</f>
        <v>0</v>
      </c>
      <c r="Y35" s="303">
        <f>CES_Qtr!AT24</f>
        <v>0</v>
      </c>
      <c r="Z35" s="303">
        <f>CES_Qtr!AY24</f>
        <v>0</v>
      </c>
      <c r="AA35" s="303">
        <f>CES_Qtr!BD24</f>
        <v>0</v>
      </c>
      <c r="AB35" s="303">
        <f>CES_Qtr!BI24</f>
        <v>0</v>
      </c>
      <c r="AC35" s="256">
        <v>0</v>
      </c>
      <c r="AD35" s="256">
        <v>0</v>
      </c>
      <c r="AE35" s="256">
        <v>0</v>
      </c>
      <c r="AF35" s="256">
        <v>0</v>
      </c>
    </row>
    <row r="36" spans="1:32">
      <c r="A36" s="7" t="s">
        <v>203</v>
      </c>
      <c r="B36" s="19"/>
      <c r="C36" s="19"/>
      <c r="D36" s="19"/>
      <c r="E36" s="19"/>
      <c r="F36" s="19"/>
      <c r="G36" s="19"/>
      <c r="H36" s="19"/>
      <c r="I36" s="19"/>
      <c r="J36" s="19"/>
      <c r="K36" s="19"/>
      <c r="L36" s="19"/>
      <c r="M36" s="42"/>
      <c r="N36" s="42"/>
      <c r="O36" s="42"/>
      <c r="P36" s="42"/>
      <c r="Q36" s="174"/>
      <c r="R36" s="174"/>
      <c r="S36" s="174">
        <f>CES_Qtr!P25</f>
        <v>0</v>
      </c>
      <c r="T36" s="174">
        <f>CES_Qtr!U25</f>
        <v>0</v>
      </c>
      <c r="U36" s="174">
        <f>CES_Qtr!Z25</f>
        <v>0</v>
      </c>
      <c r="V36" s="174">
        <f>CES_Qtr!AE25</f>
        <v>0</v>
      </c>
      <c r="W36" s="174">
        <f>CES_Qtr!AJ25</f>
        <v>0</v>
      </c>
      <c r="X36" s="174">
        <f>CES_Qtr!AO25</f>
        <v>0</v>
      </c>
      <c r="Y36" s="303">
        <f>CES_Qtr!AT25</f>
        <v>0</v>
      </c>
      <c r="Z36" s="303">
        <f>CES_Qtr!AY25</f>
        <v>0</v>
      </c>
      <c r="AA36" s="303">
        <f>CES_Qtr!BD25</f>
        <v>0</v>
      </c>
      <c r="AB36" s="303">
        <f>CES_Qtr!BI25</f>
        <v>0</v>
      </c>
      <c r="AC36" s="256">
        <v>0</v>
      </c>
      <c r="AD36" s="256">
        <v>0</v>
      </c>
      <c r="AE36" s="256">
        <v>0</v>
      </c>
      <c r="AF36" s="256">
        <v>0</v>
      </c>
    </row>
    <row r="37" spans="1:32">
      <c r="A37" s="1"/>
      <c r="B37" s="37"/>
      <c r="C37" s="37"/>
      <c r="D37" s="37"/>
      <c r="E37" s="37"/>
      <c r="F37" s="37"/>
      <c r="G37" s="37"/>
      <c r="H37" s="37"/>
      <c r="I37" s="37"/>
      <c r="J37" s="37"/>
      <c r="K37" s="37"/>
      <c r="L37" s="37"/>
      <c r="M37" s="37"/>
      <c r="N37" s="37"/>
      <c r="O37" s="37"/>
      <c r="P37" s="37"/>
      <c r="Q37" s="37"/>
      <c r="R37" s="37"/>
      <c r="S37" s="37"/>
      <c r="T37" s="37"/>
      <c r="U37" s="37"/>
      <c r="V37" s="37"/>
      <c r="W37" s="37"/>
      <c r="X37" s="37"/>
      <c r="Y37" s="179"/>
      <c r="Z37" s="179"/>
      <c r="AA37" s="179"/>
      <c r="AB37" s="179"/>
      <c r="AC37" s="179"/>
      <c r="AD37" s="179"/>
      <c r="AE37" s="179"/>
      <c r="AF37" s="179"/>
    </row>
    <row r="38" spans="1:32">
      <c r="A38" s="6" t="s">
        <v>173</v>
      </c>
      <c r="B38" s="23"/>
      <c r="C38" s="23"/>
      <c r="D38" s="23"/>
      <c r="E38" s="23"/>
      <c r="F38" s="23"/>
      <c r="G38" s="23"/>
      <c r="H38" s="23"/>
      <c r="I38" s="23"/>
      <c r="J38" s="23"/>
      <c r="K38" s="23"/>
      <c r="L38" s="23"/>
      <c r="M38" s="23"/>
      <c r="N38" s="23"/>
      <c r="O38" s="23"/>
      <c r="P38" s="23"/>
      <c r="Q38" s="23"/>
      <c r="R38" s="23"/>
      <c r="S38" s="23">
        <f t="shared" ref="S38:Z38" si="5">S30+S36+S35</f>
        <v>0</v>
      </c>
      <c r="T38" s="23">
        <f t="shared" si="5"/>
        <v>0</v>
      </c>
      <c r="U38" s="23">
        <f t="shared" si="5"/>
        <v>0</v>
      </c>
      <c r="V38" s="23">
        <f t="shared" si="5"/>
        <v>0</v>
      </c>
      <c r="W38" s="23">
        <f t="shared" si="5"/>
        <v>0</v>
      </c>
      <c r="X38" s="23">
        <f t="shared" si="5"/>
        <v>0</v>
      </c>
      <c r="Y38" s="23">
        <f t="shared" si="5"/>
        <v>5643</v>
      </c>
      <c r="Z38" s="23">
        <f t="shared" si="5"/>
        <v>7055</v>
      </c>
      <c r="AA38" s="23">
        <f>AA30+AA36+AA35</f>
        <v>8861</v>
      </c>
      <c r="AB38" s="23">
        <f>AB30+AB36+AB35</f>
        <v>10346.856128351847</v>
      </c>
      <c r="AC38" s="23">
        <f t="shared" ref="AC38:AF38" si="6">AC30+AC36+AC35</f>
        <v>11832.409335582021</v>
      </c>
      <c r="AD38" s="23">
        <f t="shared" si="6"/>
        <v>13530.140543820358</v>
      </c>
      <c r="AE38" s="23">
        <f t="shared" si="6"/>
        <v>15191.853077862965</v>
      </c>
      <c r="AF38" s="23">
        <f t="shared" si="6"/>
        <v>17140.683207585269</v>
      </c>
    </row>
    <row r="39" spans="1:32">
      <c r="A39" s="1" t="s">
        <v>4</v>
      </c>
      <c r="B39" s="181"/>
      <c r="C39" s="181"/>
      <c r="D39" s="181"/>
      <c r="E39" s="181"/>
      <c r="F39" s="181"/>
      <c r="G39" s="181"/>
      <c r="H39" s="181"/>
      <c r="I39" s="181"/>
      <c r="J39" s="181"/>
      <c r="K39" s="181"/>
      <c r="L39" s="181"/>
      <c r="M39" s="181"/>
      <c r="N39" s="181"/>
      <c r="O39" s="181"/>
      <c r="P39" s="181"/>
      <c r="Q39" s="175"/>
      <c r="R39" s="175"/>
      <c r="S39" s="175" t="e">
        <f>CES_Qtr!P28</f>
        <v>#DIV/0!</v>
      </c>
      <c r="T39" s="175" t="e">
        <f>CES_Qtr!U28</f>
        <v>#DIV/0!</v>
      </c>
      <c r="U39" s="175" t="e">
        <f>CES_Qtr!Z28</f>
        <v>#DIV/0!</v>
      </c>
      <c r="V39" s="175" t="e">
        <f>CES_Qtr!AE28</f>
        <v>#DIV/0!</v>
      </c>
      <c r="W39" s="175" t="e">
        <f>CES_Qtr!AJ28</f>
        <v>#DIV/0!</v>
      </c>
      <c r="X39" s="175" t="e">
        <f>CES_Qtr!AO28</f>
        <v>#DIV/0!</v>
      </c>
      <c r="Y39" s="304" t="e">
        <f>CES_Qtr!AT28</f>
        <v>#DIV/0!</v>
      </c>
      <c r="Z39" s="304">
        <f>CES_Qtr!AY28</f>
        <v>0.25022151337940812</v>
      </c>
      <c r="AA39" s="304">
        <f>CES_Qtr!BD28</f>
        <v>0.2559886605244508</v>
      </c>
      <c r="AB39" s="304">
        <f>CES_Qtr!BI28</f>
        <v>0.16768492589457695</v>
      </c>
      <c r="AC39" s="180">
        <f>AC38/AB38-1</f>
        <v>0.14357532266825945</v>
      </c>
      <c r="AD39" s="180">
        <f>AD38/AC38-1</f>
        <v>0.14348144660048034</v>
      </c>
      <c r="AE39" s="180">
        <f>AE38/AD38-1</f>
        <v>0.12281561515645611</v>
      </c>
      <c r="AF39" s="180">
        <f>AF38/AE38-1</f>
        <v>0.1282812649473335</v>
      </c>
    </row>
    <row r="40" spans="1:32">
      <c r="B40" s="37"/>
      <c r="C40" s="37"/>
      <c r="D40" s="37"/>
      <c r="E40" s="37"/>
      <c r="F40" s="37"/>
      <c r="G40" s="37"/>
      <c r="H40" s="37"/>
      <c r="I40" s="37"/>
      <c r="J40" s="37"/>
      <c r="K40" s="37"/>
      <c r="L40" s="37"/>
      <c r="M40" s="37"/>
      <c r="N40" s="37"/>
      <c r="O40" s="37"/>
      <c r="P40" s="37"/>
      <c r="Q40" s="37"/>
      <c r="R40" s="37"/>
      <c r="S40" s="37"/>
      <c r="T40" s="37"/>
      <c r="U40" s="37"/>
      <c r="V40" s="37"/>
      <c r="W40" s="260"/>
      <c r="X40" s="260"/>
      <c r="Y40" s="260"/>
      <c r="Z40" s="260"/>
      <c r="AA40" s="260"/>
      <c r="AB40" s="260"/>
      <c r="AC40" s="260"/>
      <c r="AD40" s="260"/>
      <c r="AE40" s="260"/>
      <c r="AF40" s="260"/>
    </row>
    <row r="41" spans="1:32">
      <c r="A41" s="6" t="s">
        <v>174</v>
      </c>
      <c r="B41" s="109"/>
      <c r="C41" s="109"/>
      <c r="D41" s="109"/>
      <c r="E41" s="109"/>
      <c r="F41" s="109"/>
      <c r="G41" s="109"/>
      <c r="H41" s="109"/>
      <c r="I41" s="109"/>
      <c r="J41" s="109"/>
      <c r="K41" s="109"/>
      <c r="L41" s="109"/>
      <c r="M41" s="109"/>
      <c r="N41" s="109"/>
      <c r="O41" s="109"/>
      <c r="P41" s="109"/>
      <c r="Q41" s="109"/>
      <c r="R41" s="109"/>
      <c r="S41" s="109">
        <f t="shared" ref="S41:AF41" si="7">+S38/S13</f>
        <v>0</v>
      </c>
      <c r="T41" s="109">
        <f t="shared" si="7"/>
        <v>0</v>
      </c>
      <c r="U41" s="109">
        <f t="shared" si="7"/>
        <v>0</v>
      </c>
      <c r="V41" s="109">
        <f t="shared" si="7"/>
        <v>0</v>
      </c>
      <c r="W41" s="109">
        <f t="shared" si="7"/>
        <v>0</v>
      </c>
      <c r="X41" s="109">
        <f t="shared" si="7"/>
        <v>0</v>
      </c>
      <c r="Y41" s="109">
        <f t="shared" si="7"/>
        <v>0.23655418151330959</v>
      </c>
      <c r="Z41" s="109">
        <f t="shared" si="7"/>
        <v>0.26245303374130424</v>
      </c>
      <c r="AA41" s="109">
        <f t="shared" si="7"/>
        <v>0.26598427087710874</v>
      </c>
      <c r="AB41" s="109">
        <f t="shared" ref="AB41" si="8">+AB38/AB13</f>
        <v>0.26869999999999999</v>
      </c>
      <c r="AC41" s="109">
        <f t="shared" si="7"/>
        <v>0.27539522669896827</v>
      </c>
      <c r="AD41" s="109">
        <f t="shared" si="7"/>
        <v>0.28247684612137469</v>
      </c>
      <c r="AE41" s="109">
        <f t="shared" si="7"/>
        <v>0.29088781981779926</v>
      </c>
      <c r="AF41" s="109">
        <f t="shared" si="7"/>
        <v>0.30008457896068647</v>
      </c>
    </row>
    <row r="42" spans="1:32">
      <c r="A42" s="1" t="s">
        <v>4</v>
      </c>
      <c r="B42" s="181"/>
      <c r="C42" s="181"/>
      <c r="D42" s="181"/>
      <c r="E42" s="181"/>
      <c r="F42" s="181"/>
      <c r="G42" s="181"/>
      <c r="H42" s="181"/>
      <c r="I42" s="181"/>
      <c r="J42" s="181"/>
      <c r="K42" s="181"/>
      <c r="L42" s="181"/>
      <c r="M42" s="181"/>
      <c r="N42" s="181"/>
      <c r="O42" s="181"/>
      <c r="P42" s="181"/>
      <c r="Q42" s="175"/>
      <c r="R42" s="175"/>
      <c r="S42" s="175" t="e">
        <f>CES_Qtr!P31</f>
        <v>#DIV/0!</v>
      </c>
      <c r="T42" s="175" t="e">
        <f>CES_Qtr!U31</f>
        <v>#DIV/0!</v>
      </c>
      <c r="U42" s="175" t="e">
        <f>CES_Qtr!Z31</f>
        <v>#DIV/0!</v>
      </c>
      <c r="V42" s="175" t="e">
        <f>CES_Qtr!AE31</f>
        <v>#DIV/0!</v>
      </c>
      <c r="W42" s="175" t="e">
        <f>CES_Qtr!AJ31</f>
        <v>#DIV/0!</v>
      </c>
      <c r="X42" s="175" t="e">
        <f>CES_Qtr!AO31</f>
        <v>#DIV/0!</v>
      </c>
      <c r="Y42" s="304" t="e">
        <f>CES_Qtr!AT31</f>
        <v>#DIV/0!</v>
      </c>
      <c r="Z42" s="304">
        <f>CES_Qtr!AY31</f>
        <v>0.10948380646798017</v>
      </c>
      <c r="AA42" s="304">
        <f>CES_Qtr!BD31</f>
        <v>1.3454739255501114E-2</v>
      </c>
      <c r="AB42" s="304">
        <f>CES_Qtr!BI31</f>
        <v>1.0210111725538873E-2</v>
      </c>
      <c r="AC42" s="180">
        <f>AC41/AB41-1</f>
        <v>2.4917107178892062E-2</v>
      </c>
      <c r="AD42" s="180">
        <f>AD41/AC41-1</f>
        <v>2.5714386945955514E-2</v>
      </c>
      <c r="AE42" s="180">
        <f>AE41/AD41-1</f>
        <v>2.9775798660717667E-2</v>
      </c>
      <c r="AF42" s="180">
        <f>AF41/AE41-1</f>
        <v>3.1616171308402219E-2</v>
      </c>
    </row>
    <row r="43" spans="1:32">
      <c r="A43" t="s">
        <v>219</v>
      </c>
      <c r="B43" s="24"/>
      <c r="C43" s="24"/>
      <c r="D43" s="24"/>
      <c r="E43" s="24"/>
      <c r="F43" s="24"/>
      <c r="G43" s="24"/>
      <c r="H43" s="24"/>
      <c r="I43" s="24"/>
      <c r="J43" s="24"/>
      <c r="K43" s="24"/>
      <c r="L43" s="37"/>
      <c r="M43" s="37"/>
      <c r="N43" s="319"/>
      <c r="O43" s="319"/>
      <c r="P43" s="319"/>
      <c r="Q43" s="319"/>
      <c r="R43" s="319"/>
      <c r="S43" s="319">
        <f t="shared" ref="S43:AB43" si="9">(S38-R38)/(S13-R13)</f>
        <v>0</v>
      </c>
      <c r="T43" s="319">
        <f t="shared" si="9"/>
        <v>0</v>
      </c>
      <c r="U43" s="319">
        <f t="shared" si="9"/>
        <v>0</v>
      </c>
      <c r="V43" s="319">
        <f t="shared" si="9"/>
        <v>0</v>
      </c>
      <c r="W43" s="319">
        <f t="shared" si="9"/>
        <v>0</v>
      </c>
      <c r="X43" s="319">
        <f t="shared" si="9"/>
        <v>0</v>
      </c>
      <c r="Y43" s="320">
        <f t="shared" si="9"/>
        <v>1.0872832369942196</v>
      </c>
      <c r="Z43" s="320">
        <f t="shared" si="9"/>
        <v>0.46662260409781892</v>
      </c>
      <c r="AA43" s="320">
        <f t="shared" si="9"/>
        <v>0.2807399347116431</v>
      </c>
      <c r="AB43" s="320">
        <f t="shared" si="9"/>
        <v>0.28612156061671801</v>
      </c>
      <c r="AC43" s="320">
        <f t="shared" ref="AC43" si="10">(AC38-AB38)/(AC13-AB13)</f>
        <v>0.33322562935514427</v>
      </c>
      <c r="AD43" s="320">
        <f t="shared" ref="AD43" si="11">(AD38-AC38)/(AD13-AC13)</f>
        <v>0.34415554427132133</v>
      </c>
      <c r="AE43" s="320">
        <f t="shared" ref="AE43" si="12">(AE38-AD38)/(AE13-AD13)</f>
        <v>0.3839814810262413</v>
      </c>
      <c r="AF43" s="320">
        <f t="shared" ref="AF43" si="13">(AF38-AE38)/(AF13-AE13)</f>
        <v>0.39823299115660404</v>
      </c>
    </row>
    <row r="44" spans="1:32">
      <c r="A44" s="1"/>
      <c r="B44" s="21"/>
      <c r="C44" s="21"/>
      <c r="D44" s="21"/>
      <c r="E44" s="21"/>
      <c r="F44" s="21"/>
      <c r="G44" s="21"/>
      <c r="H44" s="21"/>
      <c r="I44" s="21"/>
      <c r="J44" s="21"/>
      <c r="K44" s="21"/>
      <c r="L44" s="21"/>
      <c r="M44" s="21"/>
      <c r="N44" s="21"/>
      <c r="O44" s="21"/>
      <c r="P44" s="21"/>
      <c r="Q44" s="21"/>
      <c r="R44" s="21"/>
      <c r="S44" s="21"/>
      <c r="T44" s="21"/>
      <c r="U44" s="21"/>
      <c r="V44" s="21"/>
      <c r="W44" s="21"/>
      <c r="X44" s="35"/>
      <c r="Y44" s="35"/>
      <c r="Z44" s="35"/>
      <c r="AA44" s="35"/>
      <c r="AB44" s="35"/>
      <c r="AC44" s="35"/>
      <c r="AD44" s="35"/>
      <c r="AE44" s="35"/>
      <c r="AF44" s="35"/>
    </row>
    <row r="45" spans="1:32">
      <c r="A45" s="12" t="s">
        <v>301</v>
      </c>
      <c r="B45" s="21"/>
      <c r="C45" s="21"/>
      <c r="D45" s="21"/>
      <c r="E45" s="21"/>
      <c r="F45" s="21"/>
      <c r="G45" s="21"/>
      <c r="H45" s="21"/>
      <c r="I45" s="21"/>
      <c r="J45" s="21"/>
      <c r="K45" s="21"/>
      <c r="L45" s="21"/>
      <c r="M45" s="21"/>
      <c r="N45" s="21"/>
      <c r="O45" s="21"/>
      <c r="P45" s="21"/>
      <c r="Q45" s="21"/>
      <c r="R45" s="21"/>
      <c r="S45" s="21"/>
      <c r="T45" s="21"/>
      <c r="U45" s="21"/>
      <c r="V45" s="21"/>
      <c r="W45" s="21"/>
      <c r="X45" s="35"/>
      <c r="Y45" s="35"/>
      <c r="Z45" s="35"/>
      <c r="AA45" s="35"/>
      <c r="AB45" s="35"/>
      <c r="AC45" s="35"/>
      <c r="AD45" s="35"/>
      <c r="AE45" s="35"/>
      <c r="AF45" s="35"/>
    </row>
    <row r="46" spans="1:32">
      <c r="A46" s="1" t="s">
        <v>296</v>
      </c>
      <c r="B46" s="21"/>
      <c r="C46" s="21"/>
      <c r="D46" s="21"/>
      <c r="E46" s="21"/>
      <c r="F46" s="21"/>
      <c r="G46" s="21"/>
      <c r="H46" s="21"/>
      <c r="I46" s="21"/>
      <c r="J46" s="21"/>
      <c r="K46" s="21"/>
      <c r="L46" s="21"/>
      <c r="M46" s="21"/>
      <c r="N46" s="21"/>
      <c r="O46" s="21"/>
      <c r="P46" s="21"/>
      <c r="Q46" s="21"/>
      <c r="R46" s="37"/>
      <c r="S46" s="37">
        <f>CES_Qtr!P35</f>
        <v>0</v>
      </c>
      <c r="T46" s="37">
        <f>CES_Qtr!U35</f>
        <v>0</v>
      </c>
      <c r="U46" s="37">
        <f>CES_Qtr!Z35</f>
        <v>8958</v>
      </c>
      <c r="V46" s="37">
        <f>CES_Qtr!AE35</f>
        <v>6301</v>
      </c>
      <c r="W46" s="37">
        <f>CES_Qtr!AJ35</f>
        <v>5365</v>
      </c>
      <c r="X46" s="37">
        <f>CES_Qtr!AO35</f>
        <v>5807</v>
      </c>
      <c r="Y46" s="37">
        <f>CES_Qtr!AT35</f>
        <v>6169</v>
      </c>
      <c r="Z46" s="37">
        <f>CES_Qtr!AY35</f>
        <v>7106</v>
      </c>
      <c r="AA46" s="37">
        <f>CES_Qtr!BD35</f>
        <v>8304</v>
      </c>
      <c r="AB46" s="37">
        <f>CES_Qtr!BI35</f>
        <v>9209.7226798580414</v>
      </c>
      <c r="AC46" s="21"/>
      <c r="AD46" s="21"/>
      <c r="AE46" s="21"/>
      <c r="AF46" s="21"/>
    </row>
    <row r="47" spans="1:32">
      <c r="A47" s="227" t="s">
        <v>4</v>
      </c>
      <c r="B47" s="21"/>
      <c r="C47" s="21"/>
      <c r="D47" s="21"/>
      <c r="E47" s="21"/>
      <c r="F47" s="21"/>
      <c r="G47" s="21"/>
      <c r="H47" s="21"/>
      <c r="I47" s="21"/>
      <c r="J47" s="21"/>
      <c r="K47" s="21"/>
      <c r="L47" s="21"/>
      <c r="M47" s="21"/>
      <c r="N47" s="21"/>
      <c r="O47" s="21"/>
      <c r="P47" s="21"/>
      <c r="Q47" s="265"/>
      <c r="R47" s="220"/>
      <c r="S47" s="319" t="e">
        <f>S46/R46-1</f>
        <v>#DIV/0!</v>
      </c>
      <c r="T47" s="319" t="e">
        <f t="shared" ref="T47:AB47" si="14">T46/S46-1</f>
        <v>#DIV/0!</v>
      </c>
      <c r="U47" s="319" t="e">
        <f t="shared" si="14"/>
        <v>#DIV/0!</v>
      </c>
      <c r="V47" s="319">
        <f t="shared" si="14"/>
        <v>-0.29660638535387363</v>
      </c>
      <c r="W47" s="319">
        <f t="shared" si="14"/>
        <v>-0.14854784954769085</v>
      </c>
      <c r="X47" s="319">
        <f t="shared" si="14"/>
        <v>8.2385834109972134E-2</v>
      </c>
      <c r="Y47" s="319">
        <f t="shared" si="14"/>
        <v>6.233855691406931E-2</v>
      </c>
      <c r="Z47" s="319">
        <f t="shared" si="14"/>
        <v>0.15188847463122057</v>
      </c>
      <c r="AA47" s="319">
        <f t="shared" si="14"/>
        <v>0.16858992400788075</v>
      </c>
      <c r="AB47" s="319">
        <f t="shared" si="14"/>
        <v>0.10907065027192209</v>
      </c>
      <c r="AC47" s="35"/>
      <c r="AD47" s="35"/>
      <c r="AE47" s="35"/>
      <c r="AF47" s="35"/>
    </row>
    <row r="48" spans="1:32">
      <c r="A48" s="227"/>
      <c r="B48" s="21"/>
      <c r="C48" s="21"/>
      <c r="D48" s="21"/>
      <c r="E48" s="21"/>
      <c r="F48" s="21"/>
      <c r="G48" s="21"/>
      <c r="H48" s="21"/>
      <c r="I48" s="21"/>
      <c r="J48" s="21"/>
      <c r="K48" s="21"/>
      <c r="L48" s="21"/>
      <c r="M48" s="21"/>
      <c r="N48" s="21"/>
      <c r="O48" s="21"/>
      <c r="P48" s="21"/>
      <c r="Q48" s="21"/>
      <c r="R48" s="37"/>
      <c r="S48" s="37"/>
      <c r="T48" s="37"/>
      <c r="U48" s="37"/>
      <c r="V48" s="37"/>
      <c r="W48" s="37"/>
      <c r="X48" s="164"/>
      <c r="Y48" s="35"/>
      <c r="Z48" s="35"/>
      <c r="AA48" s="35"/>
      <c r="AB48" s="35"/>
      <c r="AC48" s="35"/>
      <c r="AD48" s="35"/>
      <c r="AE48" s="35"/>
      <c r="AF48" s="35"/>
    </row>
    <row r="49" spans="1:32">
      <c r="A49" s="1" t="s">
        <v>2</v>
      </c>
      <c r="B49" s="21"/>
      <c r="C49" s="21"/>
      <c r="D49" s="21"/>
      <c r="E49" s="21"/>
      <c r="F49" s="21"/>
      <c r="G49" s="21"/>
      <c r="H49" s="21"/>
      <c r="I49" s="21"/>
      <c r="J49" s="21"/>
      <c r="K49" s="21"/>
      <c r="L49" s="21"/>
      <c r="M49" s="21"/>
      <c r="N49" s="21"/>
      <c r="O49" s="21"/>
      <c r="P49" s="21"/>
      <c r="Q49" s="21"/>
      <c r="R49" s="37"/>
      <c r="S49" s="37">
        <f>CES_Qtr!P38</f>
        <v>0</v>
      </c>
      <c r="T49" s="37">
        <f>CES_Qtr!U38</f>
        <v>0</v>
      </c>
      <c r="U49" s="37">
        <f>CES_Qtr!Z38</f>
        <v>15259</v>
      </c>
      <c r="V49" s="37">
        <f>CES_Qtr!AE38</f>
        <v>8178</v>
      </c>
      <c r="W49" s="37">
        <f>CES_Qtr!AJ38</f>
        <v>8995</v>
      </c>
      <c r="X49" s="37">
        <f>CES_Qtr!AO38</f>
        <v>12858</v>
      </c>
      <c r="Y49" s="37">
        <f>CES_Qtr!AT38</f>
        <v>17686</v>
      </c>
      <c r="Z49" s="37">
        <f>CES_Qtr!AY38</f>
        <v>19775</v>
      </c>
      <c r="AA49" s="37">
        <f>CES_Qtr!BD38</f>
        <v>25010</v>
      </c>
      <c r="AB49" s="37">
        <f>CES_Qtr!BI38</f>
        <v>29297.371210547044</v>
      </c>
      <c r="AC49" s="35"/>
      <c r="AD49" s="35"/>
      <c r="AE49" s="35"/>
      <c r="AF49" s="35"/>
    </row>
    <row r="50" spans="1:32">
      <c r="A50" s="227" t="s">
        <v>4</v>
      </c>
      <c r="B50" s="21"/>
      <c r="C50" s="21"/>
      <c r="D50" s="21"/>
      <c r="E50" s="21"/>
      <c r="F50" s="21"/>
      <c r="G50" s="21"/>
      <c r="H50" s="21"/>
      <c r="I50" s="21"/>
      <c r="J50" s="21"/>
      <c r="K50" s="21"/>
      <c r="L50" s="21"/>
      <c r="M50" s="21"/>
      <c r="N50" s="21"/>
      <c r="O50" s="21"/>
      <c r="P50" s="21"/>
      <c r="Q50" s="265"/>
      <c r="R50" s="220"/>
      <c r="S50" s="319" t="e">
        <f t="shared" ref="S50:AB50" si="15">S49/R49-1</f>
        <v>#DIV/0!</v>
      </c>
      <c r="T50" s="319" t="e">
        <f t="shared" si="15"/>
        <v>#DIV/0!</v>
      </c>
      <c r="U50" s="319" t="e">
        <f t="shared" si="15"/>
        <v>#DIV/0!</v>
      </c>
      <c r="V50" s="319">
        <f t="shared" si="15"/>
        <v>-0.46405400091749127</v>
      </c>
      <c r="W50" s="319">
        <f t="shared" si="15"/>
        <v>9.9902176571288859E-2</v>
      </c>
      <c r="X50" s="319">
        <f t="shared" si="15"/>
        <v>0.42946081156197891</v>
      </c>
      <c r="Y50" s="319">
        <f t="shared" si="15"/>
        <v>0.37548607870586403</v>
      </c>
      <c r="Z50" s="319">
        <f t="shared" si="15"/>
        <v>0.11811602397376464</v>
      </c>
      <c r="AA50" s="319">
        <f t="shared" si="15"/>
        <v>0.26472819216182053</v>
      </c>
      <c r="AB50" s="319">
        <f t="shared" si="15"/>
        <v>0.17142627791071741</v>
      </c>
      <c r="AC50" s="35"/>
      <c r="AD50" s="35"/>
      <c r="AE50" s="35"/>
      <c r="AF50" s="35"/>
    </row>
    <row r="51" spans="1:32">
      <c r="A51" s="1"/>
      <c r="B51" s="21"/>
      <c r="C51" s="21"/>
      <c r="D51" s="21"/>
      <c r="E51" s="21"/>
      <c r="F51" s="21"/>
      <c r="G51" s="21"/>
      <c r="H51" s="21"/>
      <c r="I51" s="21"/>
      <c r="J51" s="21"/>
      <c r="K51" s="21"/>
      <c r="L51" s="21"/>
      <c r="M51" s="21"/>
      <c r="N51" s="21"/>
      <c r="O51" s="21"/>
      <c r="P51" s="21"/>
      <c r="Q51" s="21"/>
      <c r="R51" s="21"/>
      <c r="S51" s="21"/>
      <c r="T51" s="21"/>
      <c r="U51" s="21"/>
      <c r="V51" s="21"/>
      <c r="W51" s="21"/>
      <c r="X51" s="35"/>
      <c r="Y51" s="35"/>
      <c r="Z51" s="35"/>
      <c r="AA51" s="35"/>
      <c r="AB51" s="35"/>
      <c r="AC51" s="35"/>
      <c r="AD51" s="35"/>
      <c r="AE51" s="35"/>
      <c r="AF51" s="35"/>
    </row>
    <row r="52" spans="1:32">
      <c r="A52" s="12" t="s">
        <v>46</v>
      </c>
      <c r="B52" s="221"/>
      <c r="C52" s="21"/>
      <c r="D52" s="21"/>
      <c r="E52" s="21"/>
      <c r="F52" s="21"/>
      <c r="G52" s="21"/>
      <c r="H52" s="21"/>
      <c r="I52" s="21"/>
      <c r="J52" s="21"/>
      <c r="K52" s="21"/>
      <c r="L52" s="21"/>
      <c r="M52" s="21"/>
      <c r="N52" s="21"/>
      <c r="O52" s="21"/>
      <c r="P52" s="21"/>
      <c r="Q52" s="21"/>
      <c r="R52" s="21"/>
      <c r="S52" s="21"/>
      <c r="T52" s="21"/>
      <c r="U52" s="21"/>
      <c r="V52" s="21"/>
      <c r="W52" s="21"/>
      <c r="X52" s="21"/>
      <c r="Y52" s="179"/>
      <c r="Z52" s="179"/>
      <c r="AA52" s="179"/>
      <c r="AB52" s="179"/>
      <c r="AC52" s="179"/>
      <c r="AD52" s="179"/>
      <c r="AE52" s="179"/>
      <c r="AF52" s="179"/>
    </row>
    <row r="53" spans="1:32">
      <c r="A53" s="1" t="s">
        <v>296</v>
      </c>
      <c r="B53" s="164"/>
      <c r="C53" s="164"/>
      <c r="D53" s="164"/>
      <c r="E53" s="164"/>
      <c r="F53" s="164"/>
      <c r="G53" s="164"/>
      <c r="H53" s="164"/>
      <c r="I53" s="164"/>
      <c r="J53" s="164"/>
      <c r="K53" s="164"/>
      <c r="L53" s="164"/>
      <c r="M53" s="164"/>
      <c r="N53" s="164"/>
      <c r="O53" s="164"/>
      <c r="P53" s="164"/>
      <c r="Q53" s="164"/>
      <c r="R53" s="164"/>
      <c r="S53" s="164"/>
      <c r="T53" s="164"/>
      <c r="U53" s="88">
        <f t="shared" ref="U53:AA53" si="16">U46/U9</f>
        <v>0.36990543832844697</v>
      </c>
      <c r="V53" s="88">
        <f t="shared" si="16"/>
        <v>0.43518198770633332</v>
      </c>
      <c r="W53" s="88">
        <f t="shared" si="16"/>
        <v>0.37360724233983289</v>
      </c>
      <c r="X53" s="88">
        <f t="shared" si="16"/>
        <v>0.31111706402357353</v>
      </c>
      <c r="Y53" s="88">
        <f t="shared" si="16"/>
        <v>0.25860406623349402</v>
      </c>
      <c r="Z53" s="88">
        <f t="shared" si="16"/>
        <v>0.26435028458762694</v>
      </c>
      <c r="AA53" s="88">
        <f t="shared" si="16"/>
        <v>0.2492645734526025</v>
      </c>
      <c r="AB53" s="88">
        <f t="shared" ref="AB53" si="17">AB46/AB9</f>
        <v>0.23916950746970944</v>
      </c>
      <c r="AC53" s="101"/>
      <c r="AD53" s="101"/>
      <c r="AE53" s="101"/>
      <c r="AF53" s="101"/>
    </row>
    <row r="54" spans="1:32">
      <c r="A54" s="1" t="s">
        <v>2</v>
      </c>
      <c r="B54" s="220"/>
      <c r="C54" s="164"/>
      <c r="D54" s="164"/>
      <c r="E54" s="164"/>
      <c r="F54" s="164"/>
      <c r="G54" s="164"/>
      <c r="H54" s="164"/>
      <c r="I54" s="164"/>
      <c r="J54" s="164"/>
      <c r="K54" s="117"/>
      <c r="L54" s="164"/>
      <c r="M54" s="164"/>
      <c r="N54" s="164"/>
      <c r="O54" s="164"/>
      <c r="P54" s="164"/>
      <c r="Q54" s="164"/>
      <c r="R54" s="164"/>
      <c r="S54" s="164"/>
      <c r="T54" s="164"/>
      <c r="U54" s="88">
        <f t="shared" ref="U54:AA54" si="18">U49/U9</f>
        <v>0.63009456167155309</v>
      </c>
      <c r="V54" s="88">
        <f t="shared" si="18"/>
        <v>0.56481801229366668</v>
      </c>
      <c r="W54" s="88">
        <f t="shared" si="18"/>
        <v>0.62639275766016711</v>
      </c>
      <c r="X54" s="88">
        <f t="shared" si="18"/>
        <v>0.68888293597642647</v>
      </c>
      <c r="Y54" s="88">
        <f t="shared" si="18"/>
        <v>0.74139593376650592</v>
      </c>
      <c r="Z54" s="88">
        <f t="shared" si="18"/>
        <v>0.73564971541237301</v>
      </c>
      <c r="AA54" s="88">
        <f t="shared" si="18"/>
        <v>0.75073542654739744</v>
      </c>
      <c r="AB54" s="88">
        <f t="shared" ref="AB54" si="19">AB49/AB9</f>
        <v>0.76083049253029056</v>
      </c>
      <c r="AC54" s="101"/>
      <c r="AD54" s="101"/>
      <c r="AE54" s="101"/>
      <c r="AF54" s="101"/>
    </row>
    <row r="55" spans="1:32">
      <c r="A55" s="1"/>
      <c r="B55" s="37"/>
      <c r="C55" s="37"/>
      <c r="D55" s="37"/>
      <c r="E55" s="37"/>
      <c r="F55" s="37"/>
      <c r="G55" s="37"/>
      <c r="H55" s="37"/>
      <c r="I55" s="37"/>
      <c r="J55" s="37"/>
      <c r="K55" s="114"/>
      <c r="L55" s="37"/>
      <c r="M55" s="37"/>
      <c r="N55" s="37"/>
      <c r="O55" s="37"/>
      <c r="P55" s="37"/>
      <c r="Q55" s="37"/>
      <c r="R55" s="37"/>
      <c r="S55" s="37"/>
      <c r="T55" s="37"/>
      <c r="U55" s="37"/>
      <c r="V55" s="37"/>
      <c r="W55" s="37"/>
      <c r="X55" s="37"/>
      <c r="Y55" s="305"/>
      <c r="Z55" s="292"/>
      <c r="AA55" s="292"/>
      <c r="AB55" s="292"/>
      <c r="AC55" s="292"/>
      <c r="AD55" s="292"/>
      <c r="AE55" s="292"/>
      <c r="AF55" s="292"/>
    </row>
    <row r="56" spans="1:32">
      <c r="A56" s="12" t="s">
        <v>297</v>
      </c>
      <c r="B56" s="37"/>
      <c r="C56" s="37"/>
      <c r="D56" s="37"/>
      <c r="E56" s="37"/>
      <c r="F56" s="37"/>
      <c r="G56" s="37"/>
      <c r="H56" s="37"/>
      <c r="I56" s="37"/>
      <c r="J56" s="37"/>
      <c r="K56" s="114"/>
      <c r="L56" s="37"/>
      <c r="M56" s="25"/>
      <c r="N56" s="25"/>
      <c r="O56" s="25"/>
      <c r="P56" s="25"/>
      <c r="Q56" s="25"/>
      <c r="R56" s="25"/>
      <c r="S56" s="25"/>
      <c r="T56" s="25"/>
      <c r="U56" s="25"/>
      <c r="V56" s="179"/>
      <c r="W56" s="179"/>
      <c r="X56" s="179"/>
      <c r="Y56" s="179"/>
      <c r="Z56" s="179"/>
      <c r="AA56" s="179"/>
      <c r="AB56" s="179"/>
      <c r="AC56" s="179"/>
      <c r="AD56" s="179"/>
      <c r="AE56" s="179"/>
      <c r="AF56" s="179"/>
    </row>
    <row r="57" spans="1:32">
      <c r="A57" s="1" t="s">
        <v>213</v>
      </c>
      <c r="B57" s="37"/>
      <c r="C57" s="37"/>
      <c r="D57" s="37"/>
      <c r="E57" s="37"/>
      <c r="F57" s="37"/>
      <c r="G57" s="37"/>
      <c r="H57" s="37"/>
      <c r="I57" s="37"/>
      <c r="J57" s="37"/>
      <c r="K57" s="114"/>
      <c r="L57" s="37"/>
      <c r="M57" s="25"/>
      <c r="N57" s="25"/>
      <c r="O57" s="25"/>
      <c r="P57" s="25"/>
      <c r="Q57" s="21"/>
      <c r="R57" s="37">
        <f>CES_Qtr!K53</f>
        <v>2747</v>
      </c>
      <c r="S57" s="37">
        <f>CES_Qtr!P53</f>
        <v>2602</v>
      </c>
      <c r="T57" s="37">
        <f>CES_Qtr!U53</f>
        <v>2825</v>
      </c>
      <c r="U57" s="37">
        <f>CES_Qtr!Z53</f>
        <v>2863</v>
      </c>
      <c r="V57" s="37">
        <f>CES_Qtr!AE53</f>
        <v>1649</v>
      </c>
      <c r="W57" s="37">
        <f>CES_Qtr!AJ53</f>
        <v>1487</v>
      </c>
      <c r="X57" s="37">
        <f>CES_Qtr!AO53</f>
        <v>1663</v>
      </c>
      <c r="Y57" s="37">
        <f>CES_Qtr!AT53</f>
        <v>2075</v>
      </c>
      <c r="Z57" s="37">
        <f>CES_Qtr!AY53</f>
        <v>1911</v>
      </c>
      <c r="AA57" s="37">
        <f>CES_Qtr!BD53</f>
        <v>2386</v>
      </c>
      <c r="AB57" s="37">
        <f>CES_Qtr!BI53</f>
        <v>0</v>
      </c>
      <c r="AC57" s="179"/>
      <c r="AD57" s="179"/>
      <c r="AE57" s="179"/>
      <c r="AF57" s="179"/>
    </row>
    <row r="58" spans="1:32">
      <c r="A58" s="1" t="s">
        <v>298</v>
      </c>
      <c r="B58" s="37"/>
      <c r="C58" s="37"/>
      <c r="D58" s="37"/>
      <c r="E58" s="37"/>
      <c r="F58" s="37"/>
      <c r="G58" s="37"/>
      <c r="H58" s="37"/>
      <c r="I58" s="37"/>
      <c r="J58" s="37"/>
      <c r="K58" s="114"/>
      <c r="L58" s="37"/>
      <c r="M58" s="25"/>
      <c r="N58" s="25"/>
      <c r="O58" s="25"/>
      <c r="P58" s="25"/>
      <c r="Q58" s="21"/>
      <c r="R58" s="37">
        <f>CES_Qtr!K54</f>
        <v>77</v>
      </c>
      <c r="S58" s="37">
        <f>CES_Qtr!P54</f>
        <v>431</v>
      </c>
      <c r="T58" s="37">
        <f>CES_Qtr!U54</f>
        <v>1118</v>
      </c>
      <c r="U58" s="37">
        <f>CES_Qtr!Z54</f>
        <v>1736</v>
      </c>
      <c r="V58" s="37">
        <f>CES_Qtr!AE54</f>
        <v>815</v>
      </c>
      <c r="W58" s="37">
        <f>CES_Qtr!AJ54</f>
        <v>845</v>
      </c>
      <c r="X58" s="37">
        <f>CES_Qtr!AO54</f>
        <v>1136</v>
      </c>
      <c r="Y58" s="37">
        <f>CES_Qtr!AT54</f>
        <v>1570</v>
      </c>
      <c r="Z58" s="37">
        <f>CES_Qtr!AY54</f>
        <v>1407</v>
      </c>
      <c r="AA58" s="37">
        <f>CES_Qtr!BD54</f>
        <v>1802</v>
      </c>
      <c r="AB58" s="37">
        <f>CES_Qtr!BI54</f>
        <v>0</v>
      </c>
      <c r="AC58" s="179"/>
      <c r="AD58" s="179"/>
      <c r="AE58" s="179"/>
      <c r="AF58" s="179"/>
    </row>
    <row r="59" spans="1:32">
      <c r="A59" s="1" t="s">
        <v>300</v>
      </c>
      <c r="B59" s="37"/>
      <c r="C59" s="37"/>
      <c r="D59" s="37"/>
      <c r="E59" s="37"/>
      <c r="F59" s="37"/>
      <c r="G59" s="37"/>
      <c r="H59" s="37"/>
      <c r="I59" s="37"/>
      <c r="J59" s="37"/>
      <c r="K59" s="114"/>
      <c r="L59" s="37"/>
      <c r="M59" s="25"/>
      <c r="N59" s="25"/>
      <c r="O59" s="25"/>
      <c r="P59" s="25"/>
      <c r="Q59" s="25"/>
      <c r="R59" s="356">
        <f>CES_Qtr!K55</f>
        <v>18.899999999999999</v>
      </c>
      <c r="S59" s="356">
        <f>CES_Qtr!P55</f>
        <v>23.475000000000001</v>
      </c>
      <c r="T59" s="356">
        <f>CES_Qtr!U55</f>
        <v>27.524999999999999</v>
      </c>
      <c r="U59" s="356">
        <f>CES_Qtr!Z55</f>
        <v>30.774999999999999</v>
      </c>
      <c r="V59" s="357">
        <f>CES_Qtr!AE55</f>
        <v>17.975000000000001</v>
      </c>
      <c r="W59" s="357">
        <f>CES_Qtr!AJ55</f>
        <v>17.824999999999999</v>
      </c>
      <c r="X59" s="357">
        <f>CES_Qtr!AO55</f>
        <v>26.9</v>
      </c>
      <c r="Y59" s="357">
        <f>CES_Qtr!AT55</f>
        <v>0</v>
      </c>
      <c r="Z59" s="357">
        <f>CES_Qtr!AY55</f>
        <v>0</v>
      </c>
      <c r="AA59" s="357">
        <f>CES_Qtr!BD55</f>
        <v>0</v>
      </c>
      <c r="AB59" s="357">
        <f>CES_Qtr!BI55</f>
        <v>0</v>
      </c>
      <c r="AC59" s="179"/>
      <c r="AD59" s="179"/>
      <c r="AE59" s="179"/>
      <c r="AF59" s="179"/>
    </row>
    <row r="60" spans="1:32">
      <c r="B60" s="37"/>
      <c r="C60" s="37"/>
      <c r="D60" s="37"/>
      <c r="E60" s="37"/>
      <c r="F60" s="37"/>
      <c r="G60" s="37"/>
      <c r="H60" s="37"/>
      <c r="I60" s="37"/>
      <c r="J60" s="37"/>
      <c r="K60" s="114"/>
      <c r="L60" s="37"/>
      <c r="M60" s="25"/>
      <c r="N60" s="25"/>
      <c r="O60" s="25"/>
      <c r="P60" s="25"/>
      <c r="Q60" s="25"/>
      <c r="R60" s="25"/>
      <c r="S60" s="25"/>
      <c r="T60" s="25"/>
      <c r="U60" s="25"/>
      <c r="V60" s="179"/>
      <c r="W60" s="179"/>
      <c r="X60" s="179"/>
      <c r="Y60" s="179"/>
      <c r="Z60" s="179"/>
      <c r="AA60" s="179"/>
      <c r="AB60" s="179"/>
      <c r="AC60" s="179"/>
      <c r="AD60" s="179"/>
      <c r="AE60" s="179"/>
      <c r="AF60" s="179"/>
    </row>
    <row r="61" spans="1:32">
      <c r="A61" s="469" t="s">
        <v>366</v>
      </c>
      <c r="B61" s="37"/>
      <c r="C61" s="37"/>
      <c r="D61" s="37"/>
      <c r="E61" s="37"/>
      <c r="F61" s="37"/>
      <c r="G61" s="37"/>
      <c r="H61" s="37"/>
      <c r="I61" s="37"/>
      <c r="J61" s="37"/>
      <c r="K61" s="114"/>
      <c r="L61" s="37"/>
      <c r="M61" s="25"/>
      <c r="N61" s="25"/>
      <c r="O61" s="25"/>
      <c r="P61" s="25"/>
      <c r="Q61" s="25"/>
      <c r="R61" s="25"/>
      <c r="S61" s="25"/>
      <c r="T61" s="25"/>
      <c r="U61" s="25"/>
      <c r="V61" s="179"/>
      <c r="W61" s="179"/>
      <c r="X61" s="179"/>
      <c r="Y61" s="179"/>
      <c r="Z61" s="179"/>
      <c r="AA61" s="179"/>
      <c r="AB61" s="179"/>
      <c r="AC61" s="179"/>
      <c r="AD61" s="179"/>
      <c r="AE61" s="179"/>
      <c r="AF61" s="179"/>
    </row>
    <row r="62" spans="1:32">
      <c r="A62" s="458" t="s">
        <v>510</v>
      </c>
      <c r="B62" s="37"/>
      <c r="C62" s="37"/>
      <c r="D62" s="37"/>
      <c r="E62" s="37"/>
      <c r="F62" s="37"/>
      <c r="G62" s="37"/>
      <c r="H62" s="37"/>
      <c r="I62" s="37"/>
      <c r="J62" s="37"/>
      <c r="K62" s="114"/>
      <c r="L62" s="37"/>
      <c r="M62" s="25"/>
      <c r="N62" s="25"/>
      <c r="O62" s="25"/>
      <c r="P62" s="25"/>
      <c r="Q62" s="21"/>
      <c r="R62" s="21"/>
      <c r="S62" s="21"/>
      <c r="T62" s="21"/>
      <c r="U62" s="21"/>
      <c r="V62" s="21"/>
      <c r="W62" s="21"/>
      <c r="X62" s="37">
        <f>CES_Qtr!AO62</f>
        <v>0</v>
      </c>
      <c r="Y62" s="37">
        <f>CES_Qtr!AT62</f>
        <v>0</v>
      </c>
      <c r="Z62" s="37">
        <f>CES_Qtr!AY62</f>
        <v>25100</v>
      </c>
      <c r="AA62" s="37">
        <f>CES_Qtr!BD62</f>
        <v>31867</v>
      </c>
      <c r="AB62" s="21"/>
      <c r="AC62" s="179"/>
      <c r="AD62" s="179"/>
      <c r="AE62" s="179"/>
      <c r="AF62" s="179"/>
    </row>
    <row r="63" spans="1:32">
      <c r="A63" s="458" t="s">
        <v>4</v>
      </c>
      <c r="B63" s="37"/>
      <c r="C63" s="37"/>
      <c r="D63" s="37"/>
      <c r="E63" s="37"/>
      <c r="F63" s="37"/>
      <c r="G63" s="37"/>
      <c r="H63" s="37"/>
      <c r="I63" s="37"/>
      <c r="J63" s="37"/>
      <c r="K63" s="114"/>
      <c r="L63" s="37"/>
      <c r="M63" s="25"/>
      <c r="N63" s="25"/>
      <c r="O63" s="25"/>
      <c r="P63" s="25"/>
      <c r="Q63" s="265"/>
      <c r="R63" s="265"/>
      <c r="S63" s="265"/>
      <c r="T63" s="265"/>
      <c r="U63" s="265"/>
      <c r="V63" s="265"/>
      <c r="W63" s="265"/>
      <c r="X63" s="220" t="e">
        <f>CES_Qtr!AO63</f>
        <v>#DIV/0!</v>
      </c>
      <c r="Y63" s="220" t="e">
        <f>CES_Qtr!AT63</f>
        <v>#DIV/0!</v>
      </c>
      <c r="Z63" s="220" t="e">
        <f>CES_Qtr!AY63</f>
        <v>#DIV/0!</v>
      </c>
      <c r="AA63" s="220">
        <f>CES_Qtr!BD63</f>
        <v>0.26960159362549807</v>
      </c>
      <c r="AB63" s="265"/>
      <c r="AC63" s="179"/>
      <c r="AD63" s="179"/>
      <c r="AE63" s="179"/>
      <c r="AF63" s="179"/>
    </row>
    <row r="64" spans="1:32">
      <c r="A64" s="458"/>
      <c r="B64" s="37"/>
      <c r="C64" s="37"/>
      <c r="D64" s="37"/>
      <c r="E64" s="37"/>
      <c r="F64" s="37"/>
      <c r="G64" s="37"/>
      <c r="H64" s="37"/>
      <c r="I64" s="37"/>
      <c r="J64" s="37"/>
      <c r="K64" s="114"/>
      <c r="L64" s="37"/>
      <c r="M64" s="25"/>
      <c r="N64" s="25"/>
      <c r="O64" s="25"/>
      <c r="P64" s="25"/>
      <c r="Q64" s="25"/>
      <c r="R64" s="25"/>
      <c r="S64" s="358"/>
      <c r="T64" s="358"/>
      <c r="U64" s="358"/>
      <c r="V64" s="359"/>
      <c r="W64" s="359"/>
      <c r="X64" s="37"/>
      <c r="Y64" s="37"/>
      <c r="Z64" s="37"/>
      <c r="AA64" s="37"/>
      <c r="AB64" s="359"/>
      <c r="AC64" s="179"/>
      <c r="AD64" s="179"/>
      <c r="AE64" s="179"/>
      <c r="AF64" s="179"/>
    </row>
    <row r="65" spans="1:32">
      <c r="A65" s="458" t="s">
        <v>511</v>
      </c>
      <c r="B65" s="37"/>
      <c r="C65" s="37"/>
      <c r="D65" s="37"/>
      <c r="E65" s="37"/>
      <c r="F65" s="37"/>
      <c r="G65" s="37"/>
      <c r="H65" s="37"/>
      <c r="I65" s="37"/>
      <c r="J65" s="37"/>
      <c r="K65" s="114"/>
      <c r="L65" s="37"/>
      <c r="M65" s="25"/>
      <c r="N65" s="25"/>
      <c r="O65" s="25"/>
      <c r="P65" s="25"/>
      <c r="Q65" s="25"/>
      <c r="R65" s="25"/>
      <c r="S65" s="358"/>
      <c r="T65" s="358"/>
      <c r="U65" s="358"/>
      <c r="V65" s="359"/>
      <c r="W65" s="359"/>
      <c r="X65" s="37">
        <f>CES_Qtr!AO65</f>
        <v>0</v>
      </c>
      <c r="Y65" s="37">
        <f>CES_Qtr!AT65</f>
        <v>0</v>
      </c>
      <c r="Z65" s="37">
        <f>CES_Qtr!AY65</f>
        <v>15100</v>
      </c>
      <c r="AA65" s="37">
        <f>CES_Qtr!BD65</f>
        <v>22548</v>
      </c>
      <c r="AB65" s="359"/>
      <c r="AC65" s="179"/>
      <c r="AD65" s="179"/>
      <c r="AE65" s="179"/>
      <c r="AF65" s="179"/>
    </row>
    <row r="66" spans="1:32">
      <c r="A66" s="458" t="s">
        <v>4</v>
      </c>
      <c r="B66" s="37"/>
      <c r="C66" s="37"/>
      <c r="D66" s="37"/>
      <c r="E66" s="37"/>
      <c r="F66" s="37"/>
      <c r="G66" s="37"/>
      <c r="H66" s="37"/>
      <c r="I66" s="37"/>
      <c r="J66" s="37"/>
      <c r="K66" s="114"/>
      <c r="L66" s="37"/>
      <c r="M66" s="25"/>
      <c r="N66" s="25"/>
      <c r="O66" s="25"/>
      <c r="P66" s="25"/>
      <c r="Q66" s="25"/>
      <c r="R66" s="25"/>
      <c r="S66" s="358"/>
      <c r="T66" s="358"/>
      <c r="U66" s="358"/>
      <c r="V66" s="359"/>
      <c r="W66" s="359"/>
      <c r="X66" s="220" t="e">
        <f>CES_Qtr!AO66</f>
        <v>#DIV/0!</v>
      </c>
      <c r="Y66" s="220" t="e">
        <f>CES_Qtr!AT66</f>
        <v>#DIV/0!</v>
      </c>
      <c r="Z66" s="220" t="e">
        <f>CES_Qtr!AY66</f>
        <v>#DIV/0!</v>
      </c>
      <c r="AA66" s="220">
        <f>CES_Qtr!BD66</f>
        <v>0.49324503311258283</v>
      </c>
      <c r="AB66" s="359"/>
      <c r="AC66" s="179"/>
      <c r="AD66" s="179"/>
      <c r="AE66" s="179"/>
      <c r="AF66" s="179"/>
    </row>
    <row r="67" spans="1:32">
      <c r="A67" s="458"/>
      <c r="B67" s="37"/>
      <c r="C67" s="37"/>
      <c r="D67" s="37"/>
      <c r="E67" s="37"/>
      <c r="F67" s="37"/>
      <c r="G67" s="37"/>
      <c r="H67" s="37"/>
      <c r="I67" s="37"/>
      <c r="J67" s="37"/>
      <c r="K67" s="114"/>
      <c r="L67" s="37"/>
      <c r="M67" s="25"/>
      <c r="N67" s="25"/>
      <c r="O67" s="25"/>
      <c r="P67" s="25"/>
      <c r="Q67" s="25"/>
      <c r="R67" s="25"/>
      <c r="S67" s="358"/>
      <c r="T67" s="358"/>
      <c r="U67" s="358"/>
      <c r="V67" s="359"/>
      <c r="W67" s="359"/>
      <c r="X67" s="37"/>
      <c r="Y67" s="37"/>
      <c r="Z67" s="37"/>
      <c r="AA67" s="37"/>
      <c r="AB67" s="359"/>
      <c r="AC67" s="179"/>
      <c r="AD67" s="179"/>
      <c r="AE67" s="179"/>
      <c r="AF67" s="179"/>
    </row>
    <row r="68" spans="1:32">
      <c r="A68" s="458" t="s">
        <v>512</v>
      </c>
      <c r="B68" s="37"/>
      <c r="C68" s="37"/>
      <c r="D68" s="37"/>
      <c r="E68" s="37"/>
      <c r="F68" s="37"/>
      <c r="G68" s="37"/>
      <c r="H68" s="37"/>
      <c r="I68" s="37"/>
      <c r="J68" s="37"/>
      <c r="K68" s="114"/>
      <c r="L68" s="37"/>
      <c r="M68" s="25"/>
      <c r="N68" s="25"/>
      <c r="O68" s="25"/>
      <c r="P68" s="25"/>
      <c r="Q68" s="25"/>
      <c r="R68" s="25"/>
      <c r="S68" s="358"/>
      <c r="T68" s="358"/>
      <c r="U68" s="358"/>
      <c r="V68" s="359"/>
      <c r="W68" s="359"/>
      <c r="X68" s="37">
        <f>CES_Qtr!AO68</f>
        <v>0</v>
      </c>
      <c r="Y68" s="37">
        <f>CES_Qtr!AT68</f>
        <v>0</v>
      </c>
      <c r="Z68" s="37">
        <f>CES_Qtr!AY68</f>
        <v>40200</v>
      </c>
      <c r="AA68" s="37">
        <f>CES_Qtr!BD68</f>
        <v>54415</v>
      </c>
      <c r="AB68" s="359"/>
      <c r="AC68" s="179"/>
      <c r="AD68" s="179"/>
      <c r="AE68" s="179"/>
      <c r="AF68" s="179"/>
    </row>
    <row r="69" spans="1:32">
      <c r="A69" s="458" t="s">
        <v>4</v>
      </c>
      <c r="B69" s="37"/>
      <c r="C69" s="37"/>
      <c r="D69" s="37"/>
      <c r="E69" s="37"/>
      <c r="F69" s="37"/>
      <c r="G69" s="37"/>
      <c r="H69" s="37"/>
      <c r="I69" s="37"/>
      <c r="J69" s="37"/>
      <c r="K69" s="114"/>
      <c r="L69" s="37"/>
      <c r="M69" s="25"/>
      <c r="N69" s="25"/>
      <c r="O69" s="25"/>
      <c r="P69" s="25"/>
      <c r="Q69" s="25"/>
      <c r="R69" s="25"/>
      <c r="S69" s="358"/>
      <c r="T69" s="358"/>
      <c r="U69" s="358"/>
      <c r="V69" s="359"/>
      <c r="W69" s="359"/>
      <c r="X69" s="220" t="e">
        <f>CES_Qtr!AO69</f>
        <v>#DIV/0!</v>
      </c>
      <c r="Y69" s="220" t="e">
        <f>CES_Qtr!AT69</f>
        <v>#DIV/0!</v>
      </c>
      <c r="Z69" s="220" t="e">
        <f>CES_Qtr!AY69</f>
        <v>#DIV/0!</v>
      </c>
      <c r="AA69" s="220">
        <f>CES_Qtr!BD69</f>
        <v>0.35360696517412937</v>
      </c>
      <c r="AB69" s="359"/>
      <c r="AC69" s="179"/>
      <c r="AD69" s="179"/>
      <c r="AE69" s="179"/>
      <c r="AF69" s="179"/>
    </row>
    <row r="70" spans="1:32">
      <c r="B70" s="37"/>
      <c r="C70" s="37"/>
      <c r="D70" s="37"/>
      <c r="E70" s="37"/>
      <c r="F70" s="37"/>
      <c r="G70" s="37"/>
      <c r="H70" s="37"/>
      <c r="I70" s="37"/>
      <c r="J70" s="37"/>
      <c r="K70" s="114"/>
      <c r="L70" s="37"/>
      <c r="M70" s="25"/>
      <c r="N70" s="25"/>
      <c r="O70" s="25"/>
      <c r="P70" s="25"/>
      <c r="Q70" s="25"/>
      <c r="R70" s="25"/>
      <c r="S70" s="358"/>
      <c r="T70" s="358"/>
      <c r="U70" s="358"/>
      <c r="V70" s="359"/>
      <c r="W70" s="359"/>
      <c r="X70" s="37"/>
      <c r="Y70" s="37"/>
      <c r="Z70" s="37"/>
      <c r="AA70" s="37"/>
      <c r="AB70" s="359"/>
      <c r="AC70" s="179"/>
      <c r="AD70" s="179"/>
      <c r="AE70" s="179"/>
      <c r="AF70" s="179"/>
    </row>
    <row r="71" spans="1:32">
      <c r="A71" s="4" t="s">
        <v>535</v>
      </c>
      <c r="B71" s="37"/>
      <c r="C71" s="37"/>
      <c r="D71" s="37"/>
      <c r="E71" s="37"/>
      <c r="F71" s="37"/>
      <c r="G71" s="37"/>
      <c r="H71" s="37"/>
      <c r="I71" s="37"/>
      <c r="J71" s="37"/>
      <c r="K71" s="114"/>
      <c r="L71" s="37"/>
      <c r="M71" s="25"/>
      <c r="N71" s="25"/>
      <c r="O71" s="25"/>
      <c r="P71" s="25"/>
      <c r="Q71" s="25"/>
      <c r="R71" s="25"/>
      <c r="S71" s="358"/>
      <c r="T71" s="358"/>
      <c r="U71" s="358"/>
      <c r="V71" s="359"/>
      <c r="W71" s="359"/>
      <c r="X71" s="37"/>
      <c r="Y71" s="37"/>
      <c r="Z71" s="37"/>
      <c r="AA71" s="37"/>
      <c r="AB71" s="359"/>
      <c r="AC71" s="179"/>
      <c r="AD71" s="179"/>
      <c r="AE71" s="179"/>
      <c r="AF71" s="179"/>
    </row>
    <row r="72" spans="1:32">
      <c r="A72" s="458" t="s">
        <v>2</v>
      </c>
      <c r="B72" s="37"/>
      <c r="C72" s="37"/>
      <c r="D72" s="37"/>
      <c r="E72" s="37"/>
      <c r="F72" s="37"/>
      <c r="G72" s="37"/>
      <c r="H72" s="37"/>
      <c r="I72" s="37"/>
      <c r="J72" s="37"/>
      <c r="K72" s="114"/>
      <c r="L72" s="37"/>
      <c r="M72" s="25"/>
      <c r="N72" s="25"/>
      <c r="O72" s="25"/>
      <c r="P72" s="25"/>
      <c r="Q72" s="25"/>
      <c r="R72" s="25"/>
      <c r="S72" s="358"/>
      <c r="T72" s="358"/>
      <c r="U72" s="358"/>
      <c r="V72" s="359"/>
      <c r="W72" s="359"/>
      <c r="X72" s="37">
        <f>CES_Qtr!AO72</f>
        <v>115902</v>
      </c>
      <c r="Y72" s="37">
        <f>CES_Qtr!AT72</f>
        <v>131028</v>
      </c>
      <c r="Z72" s="37">
        <f>CES_Qtr!AY72</f>
        <v>142182</v>
      </c>
      <c r="AA72" s="37">
        <f>CES_Qtr!BD72</f>
        <v>156068</v>
      </c>
      <c r="AB72" s="359"/>
      <c r="AC72" s="179"/>
      <c r="AD72" s="179"/>
      <c r="AE72" s="179"/>
      <c r="AF72" s="179"/>
    </row>
    <row r="73" spans="1:32">
      <c r="A73" s="458" t="s">
        <v>4</v>
      </c>
      <c r="B73" s="37"/>
      <c r="C73" s="37"/>
      <c r="D73" s="37"/>
      <c r="E73" s="37"/>
      <c r="F73" s="37"/>
      <c r="G73" s="37"/>
      <c r="H73" s="37"/>
      <c r="I73" s="37"/>
      <c r="J73" s="37"/>
      <c r="K73" s="114"/>
      <c r="L73" s="37"/>
      <c r="M73" s="25"/>
      <c r="N73" s="25"/>
      <c r="O73" s="25"/>
      <c r="P73" s="25"/>
      <c r="Q73" s="25"/>
      <c r="R73" s="25"/>
      <c r="S73" s="358"/>
      <c r="T73" s="358"/>
      <c r="U73" s="358"/>
      <c r="V73" s="359"/>
      <c r="W73" s="359"/>
      <c r="X73" s="220" t="e">
        <f>CES_Qtr!AO73</f>
        <v>#DIV/0!</v>
      </c>
      <c r="Y73" s="220">
        <f>CES_Qtr!AT73</f>
        <v>0.13050680747528087</v>
      </c>
      <c r="Z73" s="220">
        <f>CES_Qtr!AY73</f>
        <v>8.5126843117501627E-2</v>
      </c>
      <c r="AA73" s="220">
        <f>CES_Qtr!BD73</f>
        <v>9.7663557974989823E-2</v>
      </c>
      <c r="AB73" s="359"/>
      <c r="AC73" s="179"/>
      <c r="AD73" s="179"/>
      <c r="AE73" s="179"/>
      <c r="AF73" s="179"/>
    </row>
    <row r="74" spans="1:32">
      <c r="A74" s="458"/>
      <c r="B74" s="37"/>
      <c r="C74" s="37"/>
      <c r="D74" s="37"/>
      <c r="E74" s="37"/>
      <c r="F74" s="37"/>
      <c r="G74" s="37"/>
      <c r="H74" s="37"/>
      <c r="I74" s="37"/>
      <c r="J74" s="37"/>
      <c r="K74" s="114"/>
      <c r="L74" s="37"/>
      <c r="M74" s="25"/>
      <c r="N74" s="25"/>
      <c r="O74" s="25"/>
      <c r="P74" s="25"/>
      <c r="Q74" s="25"/>
      <c r="R74" s="25"/>
      <c r="S74" s="358"/>
      <c r="T74" s="358"/>
      <c r="U74" s="358"/>
      <c r="V74" s="359"/>
      <c r="W74" s="359"/>
      <c r="X74" s="37"/>
      <c r="Y74" s="37"/>
      <c r="Z74" s="37"/>
      <c r="AA74" s="37"/>
      <c r="AB74" s="359"/>
      <c r="AC74" s="179"/>
      <c r="AD74" s="179"/>
      <c r="AE74" s="179"/>
      <c r="AF74" s="179"/>
    </row>
    <row r="75" spans="1:32">
      <c r="A75" s="458" t="s">
        <v>296</v>
      </c>
      <c r="B75" s="37"/>
      <c r="C75" s="37"/>
      <c r="D75" s="37"/>
      <c r="E75" s="37"/>
      <c r="F75" s="37"/>
      <c r="G75" s="37"/>
      <c r="H75" s="37"/>
      <c r="I75" s="37"/>
      <c r="J75" s="37"/>
      <c r="K75" s="114"/>
      <c r="L75" s="37"/>
      <c r="M75" s="25"/>
      <c r="N75" s="25"/>
      <c r="O75" s="25"/>
      <c r="P75" s="25"/>
      <c r="Q75" s="25"/>
      <c r="R75" s="25"/>
      <c r="S75" s="358"/>
      <c r="T75" s="358"/>
      <c r="U75" s="358"/>
      <c r="V75" s="359"/>
      <c r="W75" s="359"/>
      <c r="X75" s="37">
        <f>CES_Qtr!AO75</f>
        <v>4818</v>
      </c>
      <c r="Y75" s="37">
        <f>CES_Qtr!AT75</f>
        <v>6508</v>
      </c>
      <c r="Z75" s="37">
        <f>CES_Qtr!AY75</f>
        <v>11462</v>
      </c>
      <c r="AA75" s="37">
        <f>CES_Qtr!BD75</f>
        <v>13754</v>
      </c>
      <c r="AB75" s="359"/>
      <c r="AC75" s="179"/>
      <c r="AD75" s="179"/>
      <c r="AE75" s="179"/>
      <c r="AF75" s="179"/>
    </row>
    <row r="76" spans="1:32">
      <c r="A76" s="458" t="s">
        <v>4</v>
      </c>
      <c r="B76" s="37"/>
      <c r="C76" s="37"/>
      <c r="D76" s="37"/>
      <c r="E76" s="37"/>
      <c r="F76" s="37"/>
      <c r="G76" s="37"/>
      <c r="H76" s="37"/>
      <c r="I76" s="37"/>
      <c r="J76" s="37"/>
      <c r="K76" s="114"/>
      <c r="L76" s="37"/>
      <c r="M76" s="25"/>
      <c r="N76" s="25"/>
      <c r="O76" s="25"/>
      <c r="P76" s="25"/>
      <c r="Q76" s="25"/>
      <c r="R76" s="25"/>
      <c r="S76" s="358"/>
      <c r="T76" s="358"/>
      <c r="U76" s="358"/>
      <c r="V76" s="359"/>
      <c r="W76" s="359"/>
      <c r="X76" s="220" t="e">
        <f>CES_Qtr!AO76</f>
        <v>#DIV/0!</v>
      </c>
      <c r="Y76" s="220">
        <f>CES_Qtr!AT76</f>
        <v>0.35076795350767953</v>
      </c>
      <c r="Z76" s="220">
        <f>CES_Qtr!AY76</f>
        <v>0.76121696373693926</v>
      </c>
      <c r="AA76" s="220">
        <f>CES_Qtr!BD76</f>
        <v>0.19996510207642637</v>
      </c>
      <c r="AB76" s="359"/>
      <c r="AC76" s="179"/>
      <c r="AD76" s="179"/>
      <c r="AE76" s="179"/>
      <c r="AF76" s="179"/>
    </row>
    <row r="77" spans="1:32">
      <c r="A77" s="458"/>
      <c r="B77" s="37"/>
      <c r="C77" s="37"/>
      <c r="D77" s="37"/>
      <c r="E77" s="37"/>
      <c r="F77" s="37"/>
      <c r="G77" s="37"/>
      <c r="H77" s="37"/>
      <c r="I77" s="37"/>
      <c r="J77" s="37"/>
      <c r="K77" s="114"/>
      <c r="L77" s="37"/>
      <c r="M77" s="25"/>
      <c r="N77" s="25"/>
      <c r="O77" s="25"/>
      <c r="P77" s="25"/>
      <c r="Q77" s="25"/>
      <c r="R77" s="25"/>
      <c r="S77" s="358"/>
      <c r="T77" s="358"/>
      <c r="U77" s="358"/>
      <c r="V77" s="359"/>
      <c r="W77" s="359"/>
      <c r="X77" s="37"/>
      <c r="Y77" s="37"/>
      <c r="Z77" s="37"/>
      <c r="AA77" s="37"/>
      <c r="AB77" s="359"/>
      <c r="AC77" s="179"/>
      <c r="AD77" s="179"/>
      <c r="AE77" s="179"/>
      <c r="AF77" s="179"/>
    </row>
    <row r="78" spans="1:32">
      <c r="A78" s="458" t="s">
        <v>11</v>
      </c>
      <c r="B78" s="37"/>
      <c r="C78" s="37"/>
      <c r="D78" s="37"/>
      <c r="E78" s="37"/>
      <c r="F78" s="37"/>
      <c r="G78" s="37"/>
      <c r="H78" s="37"/>
      <c r="I78" s="37"/>
      <c r="J78" s="37"/>
      <c r="K78" s="114"/>
      <c r="L78" s="37"/>
      <c r="M78" s="25"/>
      <c r="N78" s="25"/>
      <c r="O78" s="25"/>
      <c r="P78" s="25"/>
      <c r="Q78" s="25"/>
      <c r="R78" s="25"/>
      <c r="S78" s="358"/>
      <c r="T78" s="358"/>
      <c r="U78" s="358"/>
      <c r="V78" s="359"/>
      <c r="W78" s="359"/>
      <c r="X78" s="37">
        <f>CES_Qtr!AO78</f>
        <v>120720</v>
      </c>
      <c r="Y78" s="37">
        <f>CES_Qtr!AT78</f>
        <v>137536</v>
      </c>
      <c r="Z78" s="37">
        <f>CES_Qtr!AY78</f>
        <v>153644</v>
      </c>
      <c r="AA78" s="37">
        <f>CES_Qtr!BD78</f>
        <v>169822</v>
      </c>
      <c r="AB78" s="359"/>
      <c r="AC78" s="179"/>
      <c r="AD78" s="179"/>
      <c r="AE78" s="179"/>
      <c r="AF78" s="179"/>
    </row>
    <row r="79" spans="1:32">
      <c r="A79" s="458" t="s">
        <v>4</v>
      </c>
      <c r="B79" s="37"/>
      <c r="C79" s="37"/>
      <c r="D79" s="37"/>
      <c r="E79" s="37"/>
      <c r="F79" s="37"/>
      <c r="G79" s="37"/>
      <c r="H79" s="37"/>
      <c r="I79" s="37"/>
      <c r="J79" s="37"/>
      <c r="K79" s="114"/>
      <c r="L79" s="37"/>
      <c r="M79" s="25"/>
      <c r="N79" s="25"/>
      <c r="O79" s="25"/>
      <c r="P79" s="25"/>
      <c r="Q79" s="25"/>
      <c r="R79" s="25"/>
      <c r="S79" s="358"/>
      <c r="T79" s="358"/>
      <c r="U79" s="358"/>
      <c r="V79" s="359"/>
      <c r="W79" s="359"/>
      <c r="X79" s="220" t="e">
        <f>CES_Qtr!AO79</f>
        <v>#DIV/0!</v>
      </c>
      <c r="Y79" s="220">
        <f>CES_Qtr!AT79</f>
        <v>0.13929754804506289</v>
      </c>
      <c r="Z79" s="220">
        <f>CES_Qtr!AY79</f>
        <v>0.11711842717543042</v>
      </c>
      <c r="AA79" s="220">
        <f>CES_Qtr!BD79</f>
        <v>0.10529535810054402</v>
      </c>
      <c r="AB79" s="359"/>
      <c r="AC79" s="179"/>
      <c r="AD79" s="179"/>
      <c r="AE79" s="179"/>
      <c r="AF79" s="179"/>
    </row>
    <row r="80" spans="1:32">
      <c r="A80" s="458"/>
      <c r="B80" s="37"/>
      <c r="C80" s="37"/>
      <c r="D80" s="37"/>
      <c r="E80" s="37"/>
      <c r="F80" s="37"/>
      <c r="G80" s="37"/>
      <c r="H80" s="37"/>
      <c r="I80" s="37"/>
      <c r="J80" s="37"/>
      <c r="K80" s="114"/>
      <c r="L80" s="37"/>
      <c r="M80" s="25"/>
      <c r="N80" s="25"/>
      <c r="O80" s="25"/>
      <c r="P80" s="25"/>
      <c r="Q80" s="25"/>
      <c r="R80" s="25"/>
      <c r="S80" s="358"/>
      <c r="T80" s="358"/>
      <c r="U80" s="358"/>
      <c r="V80" s="359"/>
      <c r="W80" s="359"/>
      <c r="X80" s="220"/>
      <c r="Y80" s="220"/>
      <c r="Z80" s="220"/>
      <c r="AA80" s="220"/>
      <c r="AB80" s="359"/>
      <c r="AC80" s="179"/>
      <c r="AD80" s="179"/>
      <c r="AE80" s="179"/>
      <c r="AF80" s="179"/>
    </row>
    <row r="81" spans="1:32">
      <c r="A81" s="469" t="s">
        <v>618</v>
      </c>
      <c r="B81" s="37"/>
      <c r="C81" s="37"/>
      <c r="D81" s="37"/>
      <c r="E81" s="37"/>
      <c r="F81" s="37"/>
      <c r="G81" s="37"/>
      <c r="H81" s="37"/>
      <c r="I81" s="37"/>
      <c r="J81" s="37"/>
      <c r="K81" s="114"/>
      <c r="L81" s="37"/>
      <c r="M81" s="25"/>
      <c r="N81" s="25"/>
      <c r="O81" s="25"/>
      <c r="P81" s="25"/>
      <c r="Q81" s="25"/>
      <c r="R81" s="25"/>
      <c r="S81" s="358"/>
      <c r="T81" s="358"/>
      <c r="U81" s="358"/>
      <c r="V81" s="359"/>
      <c r="W81" s="359"/>
      <c r="X81" s="220"/>
      <c r="Y81" s="220"/>
      <c r="Z81" s="220"/>
      <c r="AA81" s="220"/>
      <c r="AB81" s="359"/>
      <c r="AC81" s="179"/>
      <c r="AD81" s="179"/>
      <c r="AE81" s="179"/>
      <c r="AF81" s="179"/>
    </row>
    <row r="82" spans="1:32">
      <c r="A82" s="458" t="s">
        <v>619</v>
      </c>
      <c r="B82" s="37"/>
      <c r="C82" s="37"/>
      <c r="D82" s="37"/>
      <c r="E82" s="37"/>
      <c r="F82" s="37"/>
      <c r="G82" s="37"/>
      <c r="H82" s="37"/>
      <c r="I82" s="37"/>
      <c r="J82" s="37"/>
      <c r="K82" s="114"/>
      <c r="L82" s="37"/>
      <c r="M82" s="25"/>
      <c r="N82" s="25"/>
      <c r="O82" s="25"/>
      <c r="P82" s="25"/>
      <c r="Q82" s="25"/>
      <c r="R82" s="25"/>
      <c r="S82" s="358"/>
      <c r="T82" s="358"/>
      <c r="U82" s="358"/>
      <c r="V82" s="359"/>
      <c r="W82" s="359"/>
      <c r="X82" s="340"/>
      <c r="Y82" s="624">
        <v>0.03</v>
      </c>
      <c r="Z82" s="624">
        <v>0.03</v>
      </c>
      <c r="AA82" s="624">
        <v>0.03</v>
      </c>
      <c r="AB82" s="624">
        <v>0.03</v>
      </c>
      <c r="AC82" s="624">
        <v>0.03</v>
      </c>
      <c r="AD82" s="624">
        <v>0.03</v>
      </c>
      <c r="AE82" s="624">
        <v>0.03</v>
      </c>
      <c r="AF82" s="624">
        <v>0.03</v>
      </c>
    </row>
    <row r="83" spans="1:32">
      <c r="A83" s="458" t="s">
        <v>620</v>
      </c>
      <c r="B83" s="37"/>
      <c r="C83" s="37"/>
      <c r="D83" s="37"/>
      <c r="E83" s="37"/>
      <c r="F83" s="37"/>
      <c r="G83" s="37"/>
      <c r="H83" s="37"/>
      <c r="I83" s="37"/>
      <c r="J83" s="37"/>
      <c r="K83" s="114"/>
      <c r="L83" s="37"/>
      <c r="M83" s="25"/>
      <c r="N83" s="25"/>
      <c r="O83" s="25"/>
      <c r="P83" s="25"/>
      <c r="Q83" s="25"/>
      <c r="R83" s="25"/>
      <c r="S83" s="358"/>
      <c r="T83" s="358"/>
      <c r="U83" s="358"/>
      <c r="V83" s="359"/>
      <c r="W83" s="359"/>
      <c r="X83" s="623"/>
      <c r="Y83" s="625">
        <f t="shared" ref="Y83:AA83" si="20">Y82*Y3</f>
        <v>185.07</v>
      </c>
      <c r="Z83" s="625">
        <f t="shared" si="20"/>
        <v>213.17999999999998</v>
      </c>
      <c r="AA83" s="625">
        <f t="shared" si="20"/>
        <v>249.12</v>
      </c>
      <c r="AB83" s="625">
        <f t="shared" ref="AB83" si="21">AB82*AB3</f>
        <v>276.29168039574125</v>
      </c>
      <c r="AC83" s="625">
        <f t="shared" ref="AC83" si="22">AC82*AC3</f>
        <v>323.14328348267179</v>
      </c>
      <c r="AD83" s="625">
        <f t="shared" ref="AD83:AF83" si="23">AD82*AD3</f>
        <v>377.68901622380594</v>
      </c>
      <c r="AE83" s="625">
        <f t="shared" si="23"/>
        <v>398.91052442455043</v>
      </c>
      <c r="AF83" s="625">
        <f t="shared" si="23"/>
        <v>419.00355974985604</v>
      </c>
    </row>
    <row r="84" spans="1:32">
      <c r="A84" s="458" t="s">
        <v>237</v>
      </c>
      <c r="B84" s="37"/>
      <c r="C84" s="37"/>
      <c r="D84" s="37"/>
      <c r="E84" s="37"/>
      <c r="F84" s="37"/>
      <c r="G84" s="37"/>
      <c r="H84" s="37"/>
      <c r="I84" s="37"/>
      <c r="J84" s="37"/>
      <c r="K84" s="114"/>
      <c r="L84" s="37"/>
      <c r="M84" s="25"/>
      <c r="N84" s="25"/>
      <c r="O84" s="25"/>
      <c r="P84" s="25"/>
      <c r="Q84" s="25"/>
      <c r="R84" s="25"/>
      <c r="S84" s="358"/>
      <c r="T84" s="358"/>
      <c r="U84" s="358"/>
      <c r="V84" s="359"/>
      <c r="W84" s="359"/>
      <c r="X84" s="220"/>
      <c r="Y84" s="626"/>
      <c r="Z84" s="627">
        <f>(Z83-Y83)/(Z3-Y3)</f>
        <v>2.9999999999999985E-2</v>
      </c>
      <c r="AA84" s="627">
        <f t="shared" ref="AA84:AD84" si="24">(AA83-Z83)/(AA3-Z3)</f>
        <v>3.0000000000000023E-2</v>
      </c>
      <c r="AB84" s="627">
        <f t="shared" si="24"/>
        <v>3.0000000000000006E-2</v>
      </c>
      <c r="AC84" s="627">
        <f t="shared" si="24"/>
        <v>2.9999999999999988E-2</v>
      </c>
      <c r="AD84" s="627">
        <f t="shared" si="24"/>
        <v>3.0000000000000002E-2</v>
      </c>
      <c r="AE84" s="627">
        <f t="shared" ref="AE84" si="25">(AE83-AD83)/(AE3-AD3)</f>
        <v>3.0000000000000016E-2</v>
      </c>
      <c r="AF84" s="627">
        <f t="shared" ref="AF84" si="26">(AF83-AE83)/(AF3-AE3)</f>
        <v>2.9999999999999943E-2</v>
      </c>
    </row>
    <row r="85" spans="1:32">
      <c r="A85" s="458"/>
      <c r="B85" s="37"/>
      <c r="C85" s="37"/>
      <c r="D85" s="37"/>
      <c r="E85" s="37"/>
      <c r="F85" s="37"/>
      <c r="G85" s="37"/>
      <c r="H85" s="37"/>
      <c r="I85" s="37"/>
      <c r="J85" s="37"/>
      <c r="K85" s="114"/>
      <c r="L85" s="37"/>
      <c r="M85" s="25"/>
      <c r="N85" s="25"/>
      <c r="O85" s="25"/>
      <c r="P85" s="25"/>
      <c r="Q85" s="25"/>
      <c r="R85" s="25"/>
      <c r="S85" s="358"/>
      <c r="T85" s="358"/>
      <c r="U85" s="358"/>
      <c r="V85" s="359"/>
      <c r="W85" s="359"/>
      <c r="X85" s="220"/>
      <c r="Y85" s="626"/>
      <c r="Z85" s="626"/>
      <c r="AA85" s="626"/>
      <c r="AB85" s="626"/>
      <c r="AC85" s="626"/>
      <c r="AD85" s="626"/>
      <c r="AE85" s="626"/>
      <c r="AF85" s="626"/>
    </row>
    <row r="86" spans="1:32">
      <c r="A86" s="458" t="s">
        <v>622</v>
      </c>
      <c r="B86" s="37"/>
      <c r="C86" s="37"/>
      <c r="D86" s="37"/>
      <c r="E86" s="37"/>
      <c r="F86" s="37"/>
      <c r="G86" s="37"/>
      <c r="H86" s="37"/>
      <c r="I86" s="37"/>
      <c r="J86" s="37"/>
      <c r="K86" s="114"/>
      <c r="L86" s="37"/>
      <c r="M86" s="25"/>
      <c r="N86" s="25"/>
      <c r="O86" s="25"/>
      <c r="P86" s="25"/>
      <c r="Q86" s="25"/>
      <c r="R86" s="25"/>
      <c r="S86" s="358"/>
      <c r="T86" s="358"/>
      <c r="U86" s="358"/>
      <c r="V86" s="359"/>
      <c r="W86" s="359"/>
      <c r="X86" s="319"/>
      <c r="Y86" s="627">
        <f t="shared" ref="Y86:AA86" si="27">Y87/Y6</f>
        <v>0.30860171887368543</v>
      </c>
      <c r="Z86" s="627">
        <f t="shared" si="27"/>
        <v>0.34598331226295825</v>
      </c>
      <c r="AA86" s="627">
        <f t="shared" si="27"/>
        <v>0.34433746501399437</v>
      </c>
      <c r="AB86" s="627">
        <f t="shared" ref="AB86" si="28">AB87/AB6</f>
        <v>0.34373611118838898</v>
      </c>
      <c r="AC86" s="630">
        <v>0.35749999999999998</v>
      </c>
      <c r="AD86" s="630">
        <f>AC86+0.015</f>
        <v>0.3725</v>
      </c>
      <c r="AE86" s="630">
        <f>AD86+0.0075</f>
        <v>0.38</v>
      </c>
      <c r="AF86" s="630">
        <f>AE86+0.0075</f>
        <v>0.38750000000000001</v>
      </c>
    </row>
    <row r="87" spans="1:32">
      <c r="A87" s="458" t="s">
        <v>621</v>
      </c>
      <c r="B87" s="37"/>
      <c r="C87" s="37"/>
      <c r="D87" s="37"/>
      <c r="E87" s="37"/>
      <c r="F87" s="37"/>
      <c r="G87" s="37"/>
      <c r="H87" s="37"/>
      <c r="I87" s="37"/>
      <c r="J87" s="37"/>
      <c r="K87" s="114"/>
      <c r="L87" s="37"/>
      <c r="M87" s="25"/>
      <c r="N87" s="25"/>
      <c r="O87" s="25"/>
      <c r="P87" s="25"/>
      <c r="Q87" s="25"/>
      <c r="R87" s="25"/>
      <c r="S87" s="358"/>
      <c r="T87" s="358"/>
      <c r="U87" s="358"/>
      <c r="V87" s="359"/>
      <c r="W87" s="359"/>
      <c r="X87" s="623"/>
      <c r="Y87" s="625">
        <f t="shared" ref="Y87:AA87" si="29">Y38-Y83</f>
        <v>5457.93</v>
      </c>
      <c r="Z87" s="625">
        <f t="shared" si="29"/>
        <v>6841.82</v>
      </c>
      <c r="AA87" s="625">
        <f t="shared" si="29"/>
        <v>8611.8799999999992</v>
      </c>
      <c r="AB87" s="625">
        <f t="shared" ref="AB87" si="30">AB38-AB83</f>
        <v>10070.564447956105</v>
      </c>
      <c r="AC87" s="625">
        <f>AC86*AC6</f>
        <v>11509.266052099349</v>
      </c>
      <c r="AD87" s="625">
        <f>AD86*AD6</f>
        <v>13152.451527596553</v>
      </c>
      <c r="AE87" s="625">
        <f t="shared" ref="AE87:AF87" si="31">AE86*AE6</f>
        <v>14792.942553438414</v>
      </c>
      <c r="AF87" s="625">
        <f t="shared" si="31"/>
        <v>16721.679647835412</v>
      </c>
    </row>
    <row r="88" spans="1:32">
      <c r="A88" s="458" t="s">
        <v>237</v>
      </c>
      <c r="B88" s="37"/>
      <c r="C88" s="37"/>
      <c r="D88" s="37"/>
      <c r="E88" s="37"/>
      <c r="F88" s="37"/>
      <c r="G88" s="37"/>
      <c r="H88" s="37"/>
      <c r="I88" s="37"/>
      <c r="J88" s="37"/>
      <c r="K88" s="114"/>
      <c r="L88" s="37"/>
      <c r="M88" s="25"/>
      <c r="N88" s="25"/>
      <c r="O88" s="25"/>
      <c r="P88" s="25"/>
      <c r="Q88" s="25"/>
      <c r="R88" s="25"/>
      <c r="S88" s="358"/>
      <c r="T88" s="358"/>
      <c r="U88" s="358"/>
      <c r="V88" s="359"/>
      <c r="W88" s="359"/>
      <c r="X88" s="623"/>
      <c r="Y88" s="625"/>
      <c r="Z88" s="627">
        <f>(Z87-Y87)/(Z13-Y13)</f>
        <v>0.4573331130204889</v>
      </c>
      <c r="AA88" s="627">
        <f t="shared" ref="AA88:AD88" si="32">(AA87-Z87)/(AA13-Z13)</f>
        <v>0.27515311674180004</v>
      </c>
      <c r="AB88" s="627">
        <f t="shared" si="32"/>
        <v>0.28088928849355382</v>
      </c>
      <c r="AC88" s="627">
        <f t="shared" si="32"/>
        <v>0.32271630875393281</v>
      </c>
      <c r="AD88" s="627">
        <f t="shared" si="32"/>
        <v>0.33309830726695372</v>
      </c>
      <c r="AE88" s="627">
        <f t="shared" ref="AE88" si="33">(AE87-AD87)/(AE13-AD13)</f>
        <v>0.37907770496293569</v>
      </c>
      <c r="AF88" s="627">
        <f t="shared" ref="AF88" si="34">(AF87-AE87)/(AF13-AE13)</f>
        <v>0.39412708708781163</v>
      </c>
    </row>
    <row r="89" spans="1:32">
      <c r="A89" s="458"/>
      <c r="B89" s="37"/>
      <c r="C89" s="37"/>
      <c r="D89" s="37"/>
      <c r="E89" s="37"/>
      <c r="F89" s="37"/>
      <c r="G89" s="37"/>
      <c r="H89" s="37"/>
      <c r="I89" s="37"/>
      <c r="J89" s="37"/>
      <c r="K89" s="114"/>
      <c r="L89" s="37"/>
      <c r="M89" s="25"/>
      <c r="N89" s="25"/>
      <c r="O89" s="25"/>
      <c r="P89" s="25"/>
      <c r="Q89" s="25"/>
      <c r="R89" s="25"/>
      <c r="S89" s="358"/>
      <c r="T89" s="358"/>
      <c r="U89" s="358"/>
      <c r="V89" s="359"/>
      <c r="W89" s="359"/>
      <c r="X89" s="220"/>
      <c r="Y89" s="220"/>
      <c r="Z89" s="220"/>
      <c r="AA89" s="220"/>
      <c r="AB89" s="359"/>
      <c r="AC89" s="179"/>
      <c r="AD89" s="179"/>
      <c r="AE89" s="179"/>
      <c r="AF89" s="179"/>
    </row>
    <row r="90" spans="1:32">
      <c r="A90" s="458" t="s">
        <v>581</v>
      </c>
      <c r="B90" s="37"/>
      <c r="C90" s="37"/>
      <c r="D90" s="37"/>
      <c r="E90" s="37"/>
      <c r="F90" s="37"/>
      <c r="G90" s="37"/>
      <c r="H90" s="37"/>
      <c r="I90" s="37"/>
      <c r="J90" s="37"/>
      <c r="K90" s="114"/>
      <c r="L90" s="37"/>
      <c r="M90" s="25"/>
      <c r="N90" s="25"/>
      <c r="O90" s="25"/>
      <c r="P90" s="25"/>
      <c r="Q90" s="25"/>
      <c r="R90" s="25"/>
      <c r="S90" s="358"/>
      <c r="T90" s="358"/>
      <c r="U90" s="358"/>
      <c r="V90" s="359"/>
      <c r="W90" s="359"/>
      <c r="X90" s="220"/>
      <c r="Y90" s="629">
        <f>+Y83+Y87</f>
        <v>5643</v>
      </c>
      <c r="Z90" s="629">
        <f t="shared" ref="Z90:AF90" si="35">+Z83+Z87</f>
        <v>7055</v>
      </c>
      <c r="AA90" s="629">
        <f t="shared" si="35"/>
        <v>8861</v>
      </c>
      <c r="AB90" s="629">
        <f t="shared" si="35"/>
        <v>10346.856128351847</v>
      </c>
      <c r="AC90" s="629">
        <f t="shared" si="35"/>
        <v>11832.409335582021</v>
      </c>
      <c r="AD90" s="629">
        <f t="shared" si="35"/>
        <v>13530.140543820358</v>
      </c>
      <c r="AE90" s="629">
        <f t="shared" si="35"/>
        <v>15191.853077862965</v>
      </c>
      <c r="AF90" s="629">
        <f t="shared" si="35"/>
        <v>17140.683207585269</v>
      </c>
    </row>
    <row r="91" spans="1:32">
      <c r="A91" s="458" t="s">
        <v>580</v>
      </c>
      <c r="B91" s="37"/>
      <c r="C91" s="37"/>
      <c r="D91" s="37"/>
      <c r="E91" s="37"/>
      <c r="F91" s="37"/>
      <c r="G91" s="37"/>
      <c r="H91" s="37"/>
      <c r="I91" s="37"/>
      <c r="J91" s="37"/>
      <c r="K91" s="114"/>
      <c r="L91" s="37"/>
      <c r="M91" s="25"/>
      <c r="N91" s="25"/>
      <c r="O91" s="25"/>
      <c r="P91" s="25"/>
      <c r="Q91" s="25"/>
      <c r="R91" s="25"/>
      <c r="S91" s="358"/>
      <c r="T91" s="358"/>
      <c r="U91" s="358"/>
      <c r="V91" s="359"/>
      <c r="W91" s="359"/>
      <c r="X91" s="220"/>
      <c r="Y91" s="292">
        <f>+Y90/Y13</f>
        <v>0.23655418151330959</v>
      </c>
      <c r="Z91" s="292">
        <f t="shared" ref="Z91:AD91" si="36">+Z90/Z13</f>
        <v>0.26245303374130424</v>
      </c>
      <c r="AA91" s="292">
        <f t="shared" si="36"/>
        <v>0.26598427087710874</v>
      </c>
      <c r="AB91" s="292">
        <f t="shared" si="36"/>
        <v>0.26869999999999999</v>
      </c>
      <c r="AC91" s="292">
        <f t="shared" si="36"/>
        <v>0.27539522669896827</v>
      </c>
      <c r="AD91" s="292">
        <f t="shared" si="36"/>
        <v>0.28247684612137469</v>
      </c>
      <c r="AE91" s="292">
        <f t="shared" ref="AE91" si="37">+AE90/AE13</f>
        <v>0.29088781981779926</v>
      </c>
      <c r="AF91" s="259">
        <f t="shared" ref="AF91" si="38">+AF90/AF13</f>
        <v>0.30008457896068647</v>
      </c>
    </row>
    <row r="92" spans="1:32">
      <c r="A92" s="458" t="s">
        <v>623</v>
      </c>
      <c r="B92" s="37"/>
      <c r="C92" s="37"/>
      <c r="D92" s="37"/>
      <c r="E92" s="37"/>
      <c r="F92" s="37"/>
      <c r="G92" s="37"/>
      <c r="H92" s="37"/>
      <c r="I92" s="37"/>
      <c r="J92" s="37"/>
      <c r="K92" s="114"/>
      <c r="L92" s="37"/>
      <c r="M92" s="25"/>
      <c r="N92" s="25"/>
      <c r="O92" s="25"/>
      <c r="P92" s="25"/>
      <c r="Q92" s="25"/>
      <c r="R92" s="25"/>
      <c r="S92" s="358"/>
      <c r="T92" s="358"/>
      <c r="U92" s="358"/>
      <c r="V92" s="359"/>
      <c r="W92" s="359"/>
      <c r="X92" s="220"/>
      <c r="Y92" s="179"/>
      <c r="Z92" s="292">
        <f>(Z90-Y90)/(Z13-Y13)</f>
        <v>0.46662260409781892</v>
      </c>
      <c r="AA92" s="292">
        <f t="shared" ref="AA92:AF92" si="39">(AA90-Z90)/(AA13-Z13)</f>
        <v>0.2807399347116431</v>
      </c>
      <c r="AB92" s="292">
        <f t="shared" si="39"/>
        <v>0.28612156061671801</v>
      </c>
      <c r="AC92" s="292">
        <f t="shared" si="39"/>
        <v>0.33322562935514427</v>
      </c>
      <c r="AD92" s="292">
        <f t="shared" si="39"/>
        <v>0.34415554427132133</v>
      </c>
      <c r="AE92" s="292">
        <f t="shared" si="39"/>
        <v>0.3839814810262413</v>
      </c>
      <c r="AF92" s="292">
        <f t="shared" si="39"/>
        <v>0.39823299115660404</v>
      </c>
    </row>
  </sheetData>
  <pageMargins left="0.7" right="0.7" top="0.75" bottom="0.75" header="0.3" footer="0.3"/>
  <pageSetup orientation="portrait"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FD1751-FEF7-4239-B1DB-A1EC364AA932}">
  <sheetPr codeName="Sheet24"/>
  <dimension ref="A1:BN79"/>
  <sheetViews>
    <sheetView showGridLines="0" workbookViewId="0">
      <pane xSplit="1" ySplit="2" topLeftCell="AJ3" activePane="bottomRight" state="frozen"/>
      <selection pane="topRight" activeCell="B1" sqref="B1"/>
      <selection pane="bottomLeft" activeCell="A3" sqref="A3"/>
      <selection pane="bottomRight" activeCell="AX17" sqref="AX17"/>
    </sheetView>
  </sheetViews>
  <sheetFormatPr defaultRowHeight="15" outlineLevelCol="1"/>
  <cols>
    <col min="1" max="1" width="39.140625" customWidth="1"/>
    <col min="42" max="44" width="8.5703125" customWidth="1" outlineLevel="1"/>
    <col min="45" max="45" width="11.42578125" customWidth="1" outlineLevel="1"/>
    <col min="46" max="46" width="9.5703125" customWidth="1"/>
    <col min="47" max="47" width="8.5703125" customWidth="1" outlineLevel="1"/>
    <col min="48" max="49" width="9.5703125" customWidth="1" outlineLevel="1"/>
    <col min="50" max="50" width="10.5703125" customWidth="1" outlineLevel="1"/>
    <col min="51" max="51" width="9.5703125" customWidth="1"/>
    <col min="52" max="52" width="9.85546875" customWidth="1" outlineLevel="1"/>
    <col min="53" max="54" width="9.5703125" customWidth="1" outlineLevel="1"/>
    <col min="55" max="55" width="10.5703125" customWidth="1" outlineLevel="1"/>
    <col min="56" max="56" width="9.5703125" customWidth="1"/>
    <col min="57" max="60" width="9.140625" outlineLevel="1"/>
    <col min="62" max="62" width="30.85546875" customWidth="1"/>
    <col min="64" max="64" width="22.42578125" customWidth="1"/>
  </cols>
  <sheetData>
    <row r="1" spans="1:66">
      <c r="A1" s="467" t="s">
        <v>466</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24"/>
    </row>
    <row r="2" spans="1:66">
      <c r="A2" s="456"/>
      <c r="B2" s="95" t="str">
        <f>ProForma_IS_Qtr!B2</f>
        <v>1Q15A</v>
      </c>
      <c r="C2" s="95" t="str">
        <f>ProForma_IS_Qtr!C2</f>
        <v>2Q15A</v>
      </c>
      <c r="D2" s="95" t="str">
        <f>ProForma_IS_Qtr!D2</f>
        <v>3Q15A</v>
      </c>
      <c r="E2" s="95" t="str">
        <f>ProForma_IS_Qtr!E2</f>
        <v>4Q15A</v>
      </c>
      <c r="F2" s="96" t="str">
        <f>ProForma_IS_Qtr!F2</f>
        <v>CY2015A</v>
      </c>
      <c r="G2" s="95" t="str">
        <f>ProForma_IS_Qtr!G2</f>
        <v>1Q16A</v>
      </c>
      <c r="H2" s="95" t="str">
        <f>ProForma_IS_Qtr!H2</f>
        <v>2Q16A</v>
      </c>
      <c r="I2" s="95" t="str">
        <f>ProForma_IS_Qtr!I2</f>
        <v>3Q16A</v>
      </c>
      <c r="J2" s="95" t="str">
        <f>ProForma_IS_Qtr!J2</f>
        <v>4Q16A</v>
      </c>
      <c r="K2" s="96" t="str">
        <f>ProForma_IS_Qtr!K2</f>
        <v>CY2016A</v>
      </c>
      <c r="L2" s="95" t="str">
        <f>ProForma_IS_Qtr!L2</f>
        <v>1Q17A</v>
      </c>
      <c r="M2" s="95" t="str">
        <f>ProForma_IS_Qtr!M2</f>
        <v>2Q17A</v>
      </c>
      <c r="N2" s="95" t="str">
        <f>ProForma_IS_Qtr!N2</f>
        <v>3Q17A</v>
      </c>
      <c r="O2" s="95" t="str">
        <f>ProForma_IS_Qtr!O2</f>
        <v>4Q17A</v>
      </c>
      <c r="P2" s="96" t="str">
        <f>ProForma_IS_Qtr!P2</f>
        <v>CY2017A</v>
      </c>
      <c r="Q2" s="95" t="str">
        <f>ProForma_IS_Qtr!Q2</f>
        <v>1Q18A</v>
      </c>
      <c r="R2" s="95" t="str">
        <f>ProForma_IS_Qtr!R2</f>
        <v>2Q18A</v>
      </c>
      <c r="S2" s="95" t="str">
        <f>ProForma_IS_Qtr!S2</f>
        <v>3Q18A</v>
      </c>
      <c r="T2" s="95" t="str">
        <f>ProForma_IS_Qtr!T2</f>
        <v>4Q18A</v>
      </c>
      <c r="U2" s="96" t="str">
        <f>ProForma_IS_Qtr!U2</f>
        <v>CY2018A</v>
      </c>
      <c r="V2" s="95" t="str">
        <f>ProForma_IS_Qtr!V2</f>
        <v>1Q19A</v>
      </c>
      <c r="W2" s="95" t="str">
        <f>ProForma_IS_Qtr!W2</f>
        <v>2Q19A</v>
      </c>
      <c r="X2" s="95" t="str">
        <f>ProForma_IS_Qtr!X2</f>
        <v>3Q19A</v>
      </c>
      <c r="Y2" s="95" t="str">
        <f>ProForma_IS_Qtr!Y2</f>
        <v>4Q19A</v>
      </c>
      <c r="Z2" s="96" t="str">
        <f>ProForma_IS_Qtr!Z2</f>
        <v>CY2019A</v>
      </c>
      <c r="AA2" s="95" t="str">
        <f>ProForma_IS_Qtr!AA2</f>
        <v>1Q20A</v>
      </c>
      <c r="AB2" s="95" t="str">
        <f>ProForma_IS_Qtr!AB2</f>
        <v>2Q20A</v>
      </c>
      <c r="AC2" s="95" t="str">
        <f>ProForma_IS_Qtr!AC2</f>
        <v>3Q20A</v>
      </c>
      <c r="AD2" s="95" t="str">
        <f>ProForma_IS_Qtr!AD2</f>
        <v>4Q20A</v>
      </c>
      <c r="AE2" s="96" t="str">
        <f>ProForma_IS_Qtr!AE2</f>
        <v>CY2020A</v>
      </c>
      <c r="AF2" s="95" t="str">
        <f>ProForma_IS_Qtr!AF2</f>
        <v>1Q21A</v>
      </c>
      <c r="AG2" s="95" t="str">
        <f>ProForma_IS_Qtr!AG2</f>
        <v>2Q21A</v>
      </c>
      <c r="AH2" s="95" t="str">
        <f>ProForma_IS_Qtr!AH2</f>
        <v>3Q21A</v>
      </c>
      <c r="AI2" s="95" t="str">
        <f>ProForma_IS_Qtr!AI2</f>
        <v>4Q21A</v>
      </c>
      <c r="AJ2" s="96" t="str">
        <f>ProForma_IS_Qtr!AJ2</f>
        <v>CY2021A</v>
      </c>
      <c r="AK2" s="95" t="str">
        <f>ProForma_IS_Qtr!AK2</f>
        <v>1Q22A</v>
      </c>
      <c r="AL2" s="95" t="str">
        <f>ProForma_IS_Qtr!AL2</f>
        <v>2Q22A</v>
      </c>
      <c r="AM2" s="95" t="str">
        <f>ProForma_IS_Qtr!AM2</f>
        <v>3Q22A</v>
      </c>
      <c r="AN2" s="95" t="str">
        <f>ProForma_IS_Qtr!AN2</f>
        <v>4Q22A</v>
      </c>
      <c r="AO2" s="96" t="str">
        <f>ProForma_IS_Qtr!AO2</f>
        <v>CY2022A</v>
      </c>
      <c r="AP2" s="93" t="str">
        <f>ProForma_IS_Qtr!AP2</f>
        <v>1Q23A</v>
      </c>
      <c r="AQ2" s="95" t="str">
        <f>ProForma_IS_Qtr!AQ2</f>
        <v>2Q23A</v>
      </c>
      <c r="AR2" s="93" t="str">
        <f>ProForma_IS_Qtr!AR2</f>
        <v>3Q23A</v>
      </c>
      <c r="AS2" s="93" t="str">
        <f>ProForma_IS_Qtr!AS2</f>
        <v>4Q23</v>
      </c>
      <c r="AT2" s="94" t="str">
        <f>ProForma_IS_Qtr!AT2</f>
        <v>CY2023</v>
      </c>
      <c r="AU2" s="93" t="str">
        <f>ProForma_IS_Qtr!AU2</f>
        <v>1Q24A</v>
      </c>
      <c r="AV2" s="95" t="str">
        <f>ProForma_IS_Qtr!AV2</f>
        <v>2Q24A</v>
      </c>
      <c r="AW2" s="93" t="str">
        <f>ProForma_IS_Qtr!AW2</f>
        <v>3Q24A</v>
      </c>
      <c r="AX2" s="93" t="str">
        <f>ProForma_IS_Qtr!AX2</f>
        <v>4Q24A</v>
      </c>
      <c r="AY2" s="94" t="str">
        <f>ProForma_IS_Qtr!AY2</f>
        <v>CY2024A</v>
      </c>
      <c r="AZ2" s="93" t="str">
        <f>ProForma_IS_Qtr!AZ2</f>
        <v>1Q25A</v>
      </c>
      <c r="BA2" s="95" t="str">
        <f>ProForma_IS_Qtr!BA2</f>
        <v>2Q25A</v>
      </c>
      <c r="BB2" s="95" t="str">
        <f>ProForma_IS_Qtr!BB2</f>
        <v>3Q25A</v>
      </c>
      <c r="BC2" s="95" t="str">
        <f>ProForma_IS_Qtr!BC2</f>
        <v>4Q25A</v>
      </c>
      <c r="BD2" s="94" t="str">
        <f>ProForma_IS_Qtr!BD2</f>
        <v>CY2025A</v>
      </c>
      <c r="BE2" s="93" t="str">
        <f>ProForma_IS_Qtr!BE2</f>
        <v>1Q26A</v>
      </c>
      <c r="BF2" s="95" t="str">
        <f>ProForma_IS_Qtr!BF2</f>
        <v>2Q26A</v>
      </c>
      <c r="BG2" s="95" t="str">
        <f>ProForma_IS_Qtr!BG2</f>
        <v>3Q26E</v>
      </c>
      <c r="BH2" s="95" t="str">
        <f>ProForma_IS_Qtr!BH2</f>
        <v>4Q26E</v>
      </c>
      <c r="BI2" s="96" t="str">
        <f>ProForma_IS_Qtr!BI2</f>
        <v>CY2026E</v>
      </c>
      <c r="BJ2" s="598" t="s">
        <v>538</v>
      </c>
      <c r="BL2" s="607" t="s">
        <v>608</v>
      </c>
      <c r="BM2" t="s">
        <v>329</v>
      </c>
    </row>
    <row r="3" spans="1:66">
      <c r="A3" s="468" t="s">
        <v>508</v>
      </c>
      <c r="B3" s="17"/>
      <c r="C3" s="17"/>
      <c r="D3" s="17"/>
      <c r="E3" s="17"/>
      <c r="F3" s="19"/>
      <c r="G3" s="17"/>
      <c r="H3" s="17"/>
      <c r="I3" s="17"/>
      <c r="J3" s="17"/>
      <c r="K3" s="19"/>
      <c r="L3" s="17"/>
      <c r="M3" s="17"/>
      <c r="N3" s="17"/>
      <c r="O3" s="18"/>
      <c r="P3" s="19"/>
      <c r="Q3" s="17"/>
      <c r="R3" s="17"/>
      <c r="S3" s="17"/>
      <c r="T3" s="18"/>
      <c r="U3" s="19"/>
      <c r="V3" s="17">
        <v>2249</v>
      </c>
      <c r="W3" s="17">
        <v>2194</v>
      </c>
      <c r="X3" s="17">
        <v>2196</v>
      </c>
      <c r="Y3" s="249">
        <f>Z3-SUM(V3:X3)</f>
        <v>2319</v>
      </c>
      <c r="Z3" s="19">
        <v>8958</v>
      </c>
      <c r="AA3" s="17">
        <v>1819</v>
      </c>
      <c r="AB3" s="17">
        <v>1349</v>
      </c>
      <c r="AC3" s="17">
        <v>1456</v>
      </c>
      <c r="AD3" s="249">
        <f>AE3-SUM(AA3:AC3)</f>
        <v>1677</v>
      </c>
      <c r="AE3" s="19">
        <v>6301</v>
      </c>
      <c r="AF3" s="17">
        <v>1365</v>
      </c>
      <c r="AG3" s="17">
        <v>1357</v>
      </c>
      <c r="AH3" s="17">
        <v>1217</v>
      </c>
      <c r="AI3" s="249">
        <f>AJ3-SUM(AF3:AH3)</f>
        <v>1426</v>
      </c>
      <c r="AJ3" s="19">
        <v>5365</v>
      </c>
      <c r="AK3" s="17">
        <v>1133</v>
      </c>
      <c r="AL3" s="17">
        <v>1349</v>
      </c>
      <c r="AM3" s="17">
        <v>1469</v>
      </c>
      <c r="AN3" s="249">
        <f>AO3-SUM(AK3:AM3)</f>
        <v>1856</v>
      </c>
      <c r="AO3" s="19">
        <v>5807</v>
      </c>
      <c r="AP3" s="17">
        <f>2906-AQ3</f>
        <v>1299</v>
      </c>
      <c r="AQ3" s="17">
        <v>1607</v>
      </c>
      <c r="AR3" s="17">
        <v>1604</v>
      </c>
      <c r="AS3" s="249">
        <f>AT3-SUM(AP3:AR3)</f>
        <v>1659</v>
      </c>
      <c r="AT3" s="42">
        <v>6169</v>
      </c>
      <c r="AU3" s="17">
        <v>1706</v>
      </c>
      <c r="AV3" s="17">
        <v>1427</v>
      </c>
      <c r="AW3" s="17">
        <v>1686</v>
      </c>
      <c r="AX3" s="249">
        <f>AY3-SUM(AU3:AW3)</f>
        <v>2287</v>
      </c>
      <c r="AY3" s="42">
        <v>7106</v>
      </c>
      <c r="AZ3" s="17">
        <v>1858.5</v>
      </c>
      <c r="BA3" s="17">
        <v>1931</v>
      </c>
      <c r="BB3" s="17">
        <v>2059</v>
      </c>
      <c r="BC3" s="249">
        <f>BD3-SUM(AZ3:BB3)</f>
        <v>2455.5</v>
      </c>
      <c r="BD3" s="42">
        <v>8304</v>
      </c>
      <c r="BE3" s="17">
        <v>2102</v>
      </c>
      <c r="BF3" s="17">
        <v>2297</v>
      </c>
      <c r="BG3" s="18">
        <f t="shared" ref="BG3" si="0">BB3*(1+BG4)</f>
        <v>2311.2275</v>
      </c>
      <c r="BH3" s="249">
        <f>BI3-SUM(BE3:BG3)</f>
        <v>2499.4951798580414</v>
      </c>
      <c r="BI3" s="174">
        <f>+'CES Annual_Driver'!AB331</f>
        <v>9209.7226798580414</v>
      </c>
      <c r="BJ3" s="564"/>
      <c r="BL3" s="608">
        <v>7700</v>
      </c>
      <c r="BM3" s="619">
        <f>BL3-BD3</f>
        <v>-604</v>
      </c>
      <c r="BN3" s="259">
        <f>-BM3/BD3</f>
        <v>7.2736030828516374E-2</v>
      </c>
    </row>
    <row r="4" spans="1:66">
      <c r="A4" s="458" t="s">
        <v>4</v>
      </c>
      <c r="B4" s="33"/>
      <c r="C4" s="34"/>
      <c r="D4" s="34"/>
      <c r="E4" s="34"/>
      <c r="F4" s="35"/>
      <c r="G4" s="33"/>
      <c r="H4" s="34"/>
      <c r="I4" s="34"/>
      <c r="J4" s="34"/>
      <c r="K4" s="35"/>
      <c r="L4" s="33"/>
      <c r="M4" s="34"/>
      <c r="N4" s="34"/>
      <c r="O4" s="34"/>
      <c r="P4" s="35"/>
      <c r="Q4" s="33"/>
      <c r="R4" s="34"/>
      <c r="S4" s="34"/>
      <c r="T4" s="34"/>
      <c r="U4" s="35"/>
      <c r="V4" s="33"/>
      <c r="W4" s="34"/>
      <c r="X4" s="34"/>
      <c r="Y4" s="34"/>
      <c r="Z4" s="35"/>
      <c r="AA4" s="33">
        <f t="shared" ref="AA4:BF4" si="1">AA3/V3-1</f>
        <v>-0.19119608714984437</v>
      </c>
      <c r="AB4" s="33">
        <f t="shared" si="1"/>
        <v>-0.38514129443938017</v>
      </c>
      <c r="AC4" s="198">
        <f t="shared" si="1"/>
        <v>-0.33697632058287796</v>
      </c>
      <c r="AD4" s="31">
        <f t="shared" si="1"/>
        <v>-0.27684346701164297</v>
      </c>
      <c r="AE4" s="35">
        <f t="shared" si="1"/>
        <v>-0.29660638535387363</v>
      </c>
      <c r="AF4" s="31">
        <f t="shared" si="1"/>
        <v>-0.24958768554150634</v>
      </c>
      <c r="AG4" s="33">
        <f t="shared" si="1"/>
        <v>5.9303187546331237E-3</v>
      </c>
      <c r="AH4" s="198">
        <f t="shared" si="1"/>
        <v>-0.16414835164835162</v>
      </c>
      <c r="AI4" s="31">
        <f t="shared" si="1"/>
        <v>-0.14967203339296364</v>
      </c>
      <c r="AJ4" s="35">
        <f t="shared" si="1"/>
        <v>-0.14854784954769085</v>
      </c>
      <c r="AK4" s="31">
        <f t="shared" si="1"/>
        <v>-0.16996336996336991</v>
      </c>
      <c r="AL4" s="33">
        <f t="shared" si="1"/>
        <v>-5.8953574060427449E-3</v>
      </c>
      <c r="AM4" s="198">
        <f t="shared" si="1"/>
        <v>0.20706655710764177</v>
      </c>
      <c r="AN4" s="31">
        <f t="shared" si="1"/>
        <v>0.30154277699859744</v>
      </c>
      <c r="AO4" s="35">
        <f t="shared" si="1"/>
        <v>8.2385834109972134E-2</v>
      </c>
      <c r="AP4" s="33">
        <f t="shared" si="1"/>
        <v>0.14651368049426305</v>
      </c>
      <c r="AQ4" s="33">
        <f t="shared" si="1"/>
        <v>0.19125277983691613</v>
      </c>
      <c r="AR4" s="33">
        <f t="shared" si="1"/>
        <v>9.1899251191286613E-2</v>
      </c>
      <c r="AS4" s="33">
        <f t="shared" si="1"/>
        <v>-0.10614224137931039</v>
      </c>
      <c r="AT4" s="35">
        <f t="shared" si="1"/>
        <v>6.233855691406931E-2</v>
      </c>
      <c r="AU4" s="33">
        <f t="shared" si="1"/>
        <v>0.31331793687451892</v>
      </c>
      <c r="AV4" s="33">
        <f t="shared" si="1"/>
        <v>-0.11200995644057254</v>
      </c>
      <c r="AW4" s="33">
        <f t="shared" si="1"/>
        <v>5.1122194513715691E-2</v>
      </c>
      <c r="AX4" s="33">
        <f t="shared" si="1"/>
        <v>0.37854128993369507</v>
      </c>
      <c r="AY4" s="35">
        <f t="shared" si="1"/>
        <v>0.15188847463122057</v>
      </c>
      <c r="AZ4" s="33">
        <f t="shared" si="1"/>
        <v>8.9390386869871108E-2</v>
      </c>
      <c r="BA4" s="33">
        <f t="shared" si="1"/>
        <v>0.35318850735809382</v>
      </c>
      <c r="BB4" s="33">
        <f t="shared" si="1"/>
        <v>0.22123368920521935</v>
      </c>
      <c r="BC4" s="33">
        <f>BC3/AX3-1</f>
        <v>7.3677306515085306E-2</v>
      </c>
      <c r="BD4" s="35">
        <f t="shared" si="1"/>
        <v>0.16858992400788075</v>
      </c>
      <c r="BE4" s="33">
        <f t="shared" si="1"/>
        <v>0.1310196394942158</v>
      </c>
      <c r="BF4" s="33">
        <f t="shared" si="1"/>
        <v>0.18953909891248055</v>
      </c>
      <c r="BG4" s="172">
        <v>0.1225</v>
      </c>
      <c r="BH4" s="33">
        <f>BH3/BC3-1</f>
        <v>1.7916994444325596E-2</v>
      </c>
      <c r="BI4" s="35">
        <f>BI3/BD3-1</f>
        <v>0.10907065027192209</v>
      </c>
      <c r="BJ4" s="599" t="s">
        <v>639</v>
      </c>
      <c r="BL4" s="564">
        <f>BI3/BL3-1</f>
        <v>0.19606788050104429</v>
      </c>
    </row>
    <row r="5" spans="1:66">
      <c r="A5" s="458" t="s">
        <v>611</v>
      </c>
      <c r="B5" s="17"/>
      <c r="C5" s="17"/>
      <c r="D5" s="17"/>
      <c r="E5" s="17"/>
      <c r="F5" s="19"/>
      <c r="G5" s="17"/>
      <c r="H5" s="17"/>
      <c r="I5" s="17"/>
      <c r="J5" s="17"/>
      <c r="K5" s="19"/>
      <c r="L5" s="17"/>
      <c r="M5" s="17"/>
      <c r="N5" s="17"/>
      <c r="O5" s="18"/>
      <c r="P5" s="19"/>
      <c r="Q5" s="17"/>
      <c r="R5" s="17"/>
      <c r="S5" s="17"/>
      <c r="T5" s="18"/>
      <c r="U5" s="19"/>
      <c r="V5" s="249"/>
      <c r="W5" s="249"/>
      <c r="X5" s="249"/>
      <c r="Y5" s="249"/>
      <c r="Z5" s="250"/>
      <c r="AA5" s="17"/>
      <c r="AB5" s="17"/>
      <c r="AC5" s="17"/>
      <c r="AD5" s="17"/>
      <c r="AE5" s="250"/>
      <c r="AF5" s="17"/>
      <c r="AG5" s="17"/>
      <c r="AH5" s="17"/>
      <c r="AI5" s="17"/>
      <c r="AJ5" s="250"/>
      <c r="AK5" s="17"/>
      <c r="AL5" s="17"/>
      <c r="AM5" s="17"/>
      <c r="AN5" s="17"/>
      <c r="AO5" s="250"/>
      <c r="AP5" s="17"/>
      <c r="AQ5" s="17"/>
      <c r="AR5" s="17"/>
      <c r="AS5" s="17"/>
      <c r="AT5" s="250"/>
      <c r="AU5" s="17"/>
      <c r="AV5" s="17"/>
      <c r="AW5" s="17"/>
      <c r="AX5" s="17"/>
      <c r="AY5" s="250"/>
      <c r="AZ5" s="17"/>
      <c r="BA5" s="17"/>
      <c r="BB5" s="17"/>
      <c r="BC5" s="17"/>
      <c r="BD5" s="250"/>
      <c r="BE5" s="17"/>
      <c r="BF5" s="17"/>
      <c r="BG5" s="172"/>
      <c r="BH5" s="33"/>
      <c r="BI5" s="223">
        <f>BI3/BL3-1</f>
        <v>0.19606788050104429</v>
      </c>
      <c r="BJ5" s="564"/>
      <c r="BL5" s="608"/>
    </row>
    <row r="6" spans="1:66">
      <c r="A6" s="468" t="s">
        <v>295</v>
      </c>
      <c r="B6" s="17"/>
      <c r="C6" s="17"/>
      <c r="D6" s="17"/>
      <c r="E6" s="17"/>
      <c r="F6" s="19"/>
      <c r="G6" s="17"/>
      <c r="H6" s="17"/>
      <c r="I6" s="17"/>
      <c r="J6" s="17"/>
      <c r="K6" s="19"/>
      <c r="L6" s="17"/>
      <c r="M6" s="17"/>
      <c r="N6" s="17"/>
      <c r="O6" s="18"/>
      <c r="P6" s="19"/>
      <c r="Q6" s="17"/>
      <c r="R6" s="17"/>
      <c r="S6" s="17"/>
      <c r="T6" s="18"/>
      <c r="U6" s="19"/>
      <c r="V6" s="17">
        <v>3700</v>
      </c>
      <c r="W6" s="17">
        <v>3654</v>
      </c>
      <c r="X6" s="17">
        <v>3801</v>
      </c>
      <c r="Y6" s="249">
        <f>Z6-SUM(V6:X6)</f>
        <v>4104</v>
      </c>
      <c r="Z6" s="19">
        <v>15259</v>
      </c>
      <c r="AA6" s="17">
        <f>4464-AB6</f>
        <v>3294</v>
      </c>
      <c r="AB6" s="17">
        <v>1170</v>
      </c>
      <c r="AC6" s="17">
        <v>1631</v>
      </c>
      <c r="AD6" s="249">
        <f>AE6-SUM(AA6:AC6)</f>
        <v>2083</v>
      </c>
      <c r="AE6" s="19">
        <v>8178</v>
      </c>
      <c r="AF6" s="17">
        <v>1988</v>
      </c>
      <c r="AG6" s="17">
        <v>1758</v>
      </c>
      <c r="AH6" s="17">
        <v>2385</v>
      </c>
      <c r="AI6" s="249">
        <f>AJ6-SUM(AF6:AH6)</f>
        <v>2864</v>
      </c>
      <c r="AJ6" s="19">
        <v>8995</v>
      </c>
      <c r="AK6" s="17">
        <v>2720</v>
      </c>
      <c r="AL6" s="17">
        <v>2956</v>
      </c>
      <c r="AM6" s="17">
        <v>3502</v>
      </c>
      <c r="AN6" s="249">
        <f>AO6-SUM(AK6:AM6)</f>
        <v>3680</v>
      </c>
      <c r="AO6" s="19">
        <v>12858</v>
      </c>
      <c r="AP6" s="17">
        <f>8063-AQ6</f>
        <v>3933</v>
      </c>
      <c r="AQ6" s="17">
        <v>4130</v>
      </c>
      <c r="AR6" s="17">
        <v>4853</v>
      </c>
      <c r="AS6" s="249">
        <f>AT6-SUM(AP6:AR6)</f>
        <v>4770</v>
      </c>
      <c r="AT6" s="42">
        <v>17686</v>
      </c>
      <c r="AU6" s="17">
        <v>4390</v>
      </c>
      <c r="AV6" s="17">
        <v>4705</v>
      </c>
      <c r="AW6" s="17">
        <v>5317</v>
      </c>
      <c r="AX6" s="249">
        <f>AY6-SUM(AU6:AW6)</f>
        <v>5363</v>
      </c>
      <c r="AY6" s="42">
        <v>19775</v>
      </c>
      <c r="AZ6" s="17">
        <v>5118.5</v>
      </c>
      <c r="BA6" s="17">
        <v>6059</v>
      </c>
      <c r="BB6" s="17">
        <v>6820</v>
      </c>
      <c r="BC6" s="249">
        <f>BD6-SUM(AZ6:BB6)</f>
        <v>7012.5</v>
      </c>
      <c r="BD6" s="42">
        <v>25010</v>
      </c>
      <c r="BE6" s="17">
        <v>6817</v>
      </c>
      <c r="BF6" s="17">
        <v>7434</v>
      </c>
      <c r="BG6" s="18">
        <f t="shared" ref="BG6" si="2">BB6*(1+BG7)</f>
        <v>7229.2000000000007</v>
      </c>
      <c r="BH6" s="249">
        <f>BI6-SUM(BE6:BG6)</f>
        <v>7817.1712105470433</v>
      </c>
      <c r="BI6" s="174">
        <f>+'CES Annual_Driver'!AB344</f>
        <v>29297.371210547044</v>
      </c>
      <c r="BJ6" s="564"/>
      <c r="BL6" s="608">
        <v>24200</v>
      </c>
      <c r="BM6" s="619">
        <f>BL6-BD6</f>
        <v>-810</v>
      </c>
      <c r="BN6" s="259">
        <f>-BM6/BD6</f>
        <v>3.2387045181927226E-2</v>
      </c>
    </row>
    <row r="7" spans="1:66">
      <c r="A7" s="458" t="s">
        <v>4</v>
      </c>
      <c r="B7" s="33"/>
      <c r="C7" s="34"/>
      <c r="D7" s="34"/>
      <c r="E7" s="34"/>
      <c r="F7" s="35"/>
      <c r="G7" s="33"/>
      <c r="H7" s="34"/>
      <c r="I7" s="34"/>
      <c r="J7" s="34"/>
      <c r="K7" s="35"/>
      <c r="L7" s="33"/>
      <c r="M7" s="34"/>
      <c r="N7" s="34"/>
      <c r="O7" s="34"/>
      <c r="P7" s="35"/>
      <c r="Q7" s="33"/>
      <c r="R7" s="34"/>
      <c r="S7" s="34"/>
      <c r="T7" s="34"/>
      <c r="U7" s="35"/>
      <c r="V7" s="33"/>
      <c r="W7" s="34"/>
      <c r="X7" s="34"/>
      <c r="Y7" s="34"/>
      <c r="Z7" s="35"/>
      <c r="AA7" s="33">
        <f t="shared" ref="AA7:BF7" si="3">AA6/V6-1</f>
        <v>-0.10972972972972972</v>
      </c>
      <c r="AB7" s="33">
        <f t="shared" si="3"/>
        <v>-0.67980295566502469</v>
      </c>
      <c r="AC7" s="198">
        <f t="shared" si="3"/>
        <v>-0.57090239410681398</v>
      </c>
      <c r="AD7" s="31">
        <f t="shared" si="3"/>
        <v>-0.49244639376218324</v>
      </c>
      <c r="AE7" s="35">
        <f t="shared" si="3"/>
        <v>-0.46405400091749127</v>
      </c>
      <c r="AF7" s="31">
        <f t="shared" si="3"/>
        <v>-0.39647844565877355</v>
      </c>
      <c r="AG7" s="33">
        <f t="shared" si="3"/>
        <v>0.50256410256410255</v>
      </c>
      <c r="AH7" s="198">
        <f t="shared" si="3"/>
        <v>0.4622930717351319</v>
      </c>
      <c r="AI7" s="31">
        <f t="shared" si="3"/>
        <v>0.37493999039846382</v>
      </c>
      <c r="AJ7" s="35">
        <f t="shared" si="3"/>
        <v>9.9902176571288859E-2</v>
      </c>
      <c r="AK7" s="31">
        <f t="shared" si="3"/>
        <v>0.36820925553319928</v>
      </c>
      <c r="AL7" s="33">
        <f t="shared" si="3"/>
        <v>0.68145620022753128</v>
      </c>
      <c r="AM7" s="198">
        <f t="shared" si="3"/>
        <v>0.4683438155136268</v>
      </c>
      <c r="AN7" s="31">
        <f t="shared" si="3"/>
        <v>0.28491620111731852</v>
      </c>
      <c r="AO7" s="35">
        <f t="shared" si="3"/>
        <v>0.42946081156197891</v>
      </c>
      <c r="AP7" s="33">
        <f t="shared" si="3"/>
        <v>0.44595588235294126</v>
      </c>
      <c r="AQ7" s="33">
        <f t="shared" si="3"/>
        <v>0.39715832205683355</v>
      </c>
      <c r="AR7" s="33">
        <f t="shared" si="3"/>
        <v>0.38577955454026269</v>
      </c>
      <c r="AS7" s="33">
        <f t="shared" si="3"/>
        <v>0.29619565217391308</v>
      </c>
      <c r="AT7" s="35">
        <f t="shared" si="3"/>
        <v>0.37548607870586403</v>
      </c>
      <c r="AU7" s="33">
        <f t="shared" si="3"/>
        <v>0.11619628782100189</v>
      </c>
      <c r="AV7" s="33">
        <f t="shared" si="3"/>
        <v>0.13922518159806296</v>
      </c>
      <c r="AW7" s="33">
        <f t="shared" si="3"/>
        <v>9.5610962291366119E-2</v>
      </c>
      <c r="AX7" s="33">
        <f t="shared" ref="AX7:BC7" si="4">AX6/AS6-1</f>
        <v>0.12431865828092237</v>
      </c>
      <c r="AY7" s="35">
        <f t="shared" si="3"/>
        <v>0.11811602397376464</v>
      </c>
      <c r="AZ7" s="33">
        <f t="shared" si="3"/>
        <v>0.16594533029612757</v>
      </c>
      <c r="BA7" s="33">
        <f t="shared" si="3"/>
        <v>0.28777895855472901</v>
      </c>
      <c r="BB7" s="33">
        <f t="shared" si="3"/>
        <v>0.28267820199360538</v>
      </c>
      <c r="BC7" s="33">
        <f t="shared" si="4"/>
        <v>0.30757038970725348</v>
      </c>
      <c r="BD7" s="35">
        <f t="shared" si="3"/>
        <v>0.26472819216182053</v>
      </c>
      <c r="BE7" s="33">
        <f t="shared" si="3"/>
        <v>0.33183549868125417</v>
      </c>
      <c r="BF7" s="33">
        <f t="shared" si="3"/>
        <v>0.22693513781152008</v>
      </c>
      <c r="BG7" s="172">
        <v>0.06</v>
      </c>
      <c r="BH7" s="33">
        <f t="shared" ref="BH7" si="5">BH6/BC6-1</f>
        <v>0.11474812271615598</v>
      </c>
      <c r="BI7" s="35">
        <f t="shared" ref="BI7" si="6">BI6/BD6-1</f>
        <v>0.17142627791071741</v>
      </c>
      <c r="BJ7" s="599" t="s">
        <v>640</v>
      </c>
      <c r="BL7" s="564">
        <f>BI6/BL6-1</f>
        <v>0.21063517398954734</v>
      </c>
    </row>
    <row r="8" spans="1:66">
      <c r="A8" s="458" t="s">
        <v>611</v>
      </c>
      <c r="B8" s="310"/>
      <c r="C8" s="310"/>
      <c r="D8" s="310"/>
      <c r="E8" s="310"/>
      <c r="F8" s="311"/>
      <c r="G8" s="310"/>
      <c r="H8" s="310"/>
      <c r="I8" s="310"/>
      <c r="J8" s="310"/>
      <c r="K8" s="311"/>
      <c r="L8" s="310"/>
      <c r="M8" s="310"/>
      <c r="N8" s="310"/>
      <c r="O8" s="312"/>
      <c r="P8" s="311"/>
      <c r="Q8" s="310"/>
      <c r="R8" s="310"/>
      <c r="S8" s="310"/>
      <c r="T8" s="312"/>
      <c r="U8" s="311"/>
      <c r="V8" s="310"/>
      <c r="W8" s="310"/>
      <c r="X8" s="310"/>
      <c r="Y8" s="310"/>
      <c r="Z8" s="313"/>
      <c r="AA8" s="310"/>
      <c r="AB8" s="310"/>
      <c r="AC8" s="310"/>
      <c r="AD8" s="310"/>
      <c r="AE8" s="313"/>
      <c r="AF8" s="310"/>
      <c r="AG8" s="310"/>
      <c r="AH8" s="310"/>
      <c r="AI8" s="310"/>
      <c r="AJ8" s="313"/>
      <c r="AK8" s="310"/>
      <c r="AL8" s="310"/>
      <c r="AM8" s="310"/>
      <c r="AN8" s="310"/>
      <c r="AO8" s="313"/>
      <c r="AP8" s="310"/>
      <c r="AQ8" s="310"/>
      <c r="AR8" s="310"/>
      <c r="AS8" s="310"/>
      <c r="AT8" s="313"/>
      <c r="AU8" s="310"/>
      <c r="AV8" s="310"/>
      <c r="AW8" s="310"/>
      <c r="AX8" s="310"/>
      <c r="AY8" s="313"/>
      <c r="AZ8" s="310"/>
      <c r="BA8" s="310"/>
      <c r="BB8" s="310"/>
      <c r="BC8" s="310"/>
      <c r="BD8" s="313"/>
      <c r="BE8" s="310"/>
      <c r="BF8" s="310"/>
      <c r="BG8" s="310"/>
      <c r="BH8" s="310"/>
      <c r="BI8" s="223">
        <f>BI6/BL6-1</f>
        <v>0.21063517398954734</v>
      </c>
      <c r="BJ8" s="564"/>
      <c r="BL8" s="608"/>
    </row>
    <row r="9" spans="1:66">
      <c r="A9" s="459" t="s">
        <v>0</v>
      </c>
      <c r="B9" s="28"/>
      <c r="C9" s="28"/>
      <c r="D9" s="28"/>
      <c r="E9" s="28"/>
      <c r="F9" s="177"/>
      <c r="G9" s="28"/>
      <c r="H9" s="28"/>
      <c r="I9" s="28"/>
      <c r="J9" s="28"/>
      <c r="K9" s="177">
        <v>19521</v>
      </c>
      <c r="L9" s="28">
        <v>4970</v>
      </c>
      <c r="M9" s="28">
        <v>4918</v>
      </c>
      <c r="N9" s="28">
        <v>4848</v>
      </c>
      <c r="O9" s="28">
        <f>P9-SUM(L9:N9)</f>
        <v>4973</v>
      </c>
      <c r="P9" s="177">
        <v>19709</v>
      </c>
      <c r="Q9" s="28">
        <v>5272</v>
      </c>
      <c r="R9" s="28">
        <v>5534</v>
      </c>
      <c r="S9" s="28">
        <v>5636</v>
      </c>
      <c r="T9" s="28">
        <f>U9-SUM(Q9:S9)</f>
        <v>6282</v>
      </c>
      <c r="U9" s="177">
        <v>22724</v>
      </c>
      <c r="V9" s="270">
        <f>V3+V6</f>
        <v>5949</v>
      </c>
      <c r="W9" s="270">
        <f t="shared" ref="W9:AX9" si="7">W3+W6</f>
        <v>5848</v>
      </c>
      <c r="X9" s="270">
        <f t="shared" si="7"/>
        <v>5997</v>
      </c>
      <c r="Y9" s="270">
        <f t="shared" si="7"/>
        <v>6423</v>
      </c>
      <c r="Z9" s="177">
        <f t="shared" si="7"/>
        <v>24217</v>
      </c>
      <c r="AA9" s="270">
        <f t="shared" si="7"/>
        <v>5113</v>
      </c>
      <c r="AB9" s="270">
        <f t="shared" si="7"/>
        <v>2519</v>
      </c>
      <c r="AC9" s="270">
        <f t="shared" si="7"/>
        <v>3087</v>
      </c>
      <c r="AD9" s="270">
        <f t="shared" si="7"/>
        <v>3760</v>
      </c>
      <c r="AE9" s="177">
        <f t="shared" si="7"/>
        <v>14479</v>
      </c>
      <c r="AF9" s="270">
        <f t="shared" si="7"/>
        <v>3353</v>
      </c>
      <c r="AG9" s="270">
        <f t="shared" si="7"/>
        <v>3115</v>
      </c>
      <c r="AH9" s="270">
        <f t="shared" si="7"/>
        <v>3602</v>
      </c>
      <c r="AI9" s="270">
        <f t="shared" si="7"/>
        <v>4290</v>
      </c>
      <c r="AJ9" s="177">
        <f t="shared" si="7"/>
        <v>14360</v>
      </c>
      <c r="AK9" s="270">
        <f t="shared" si="7"/>
        <v>3853</v>
      </c>
      <c r="AL9" s="270">
        <f t="shared" si="7"/>
        <v>4305</v>
      </c>
      <c r="AM9" s="270">
        <f t="shared" si="7"/>
        <v>4971</v>
      </c>
      <c r="AN9" s="270">
        <f t="shared" si="7"/>
        <v>5536</v>
      </c>
      <c r="AO9" s="177">
        <f t="shared" si="7"/>
        <v>18665</v>
      </c>
      <c r="AP9" s="270">
        <f t="shared" si="7"/>
        <v>5232</v>
      </c>
      <c r="AQ9" s="270">
        <f t="shared" si="7"/>
        <v>5737</v>
      </c>
      <c r="AR9" s="270">
        <f t="shared" si="7"/>
        <v>6457</v>
      </c>
      <c r="AS9" s="270">
        <f t="shared" si="7"/>
        <v>6429</v>
      </c>
      <c r="AT9" s="177">
        <f t="shared" si="7"/>
        <v>23855</v>
      </c>
      <c r="AU9" s="270">
        <f>AU3+AU6-1</f>
        <v>6095</v>
      </c>
      <c r="AV9" s="270">
        <f>AV3+AV6</f>
        <v>6132</v>
      </c>
      <c r="AW9" s="270">
        <f>AW3+AW6</f>
        <v>7003</v>
      </c>
      <c r="AX9" s="270">
        <f t="shared" si="7"/>
        <v>7650</v>
      </c>
      <c r="AY9" s="177">
        <f t="shared" ref="AY9:BC9" si="8">AY3+AY6</f>
        <v>26881</v>
      </c>
      <c r="AZ9" s="270">
        <f t="shared" si="8"/>
        <v>6977</v>
      </c>
      <c r="BA9" s="270">
        <f>BA3+BA6</f>
        <v>7990</v>
      </c>
      <c r="BB9" s="270">
        <f>BB3+BB6+1</f>
        <v>8880</v>
      </c>
      <c r="BC9" s="270">
        <f t="shared" si="8"/>
        <v>9468</v>
      </c>
      <c r="BD9" s="177">
        <f t="shared" ref="BD9" si="9">BD3+BD6</f>
        <v>33314</v>
      </c>
      <c r="BE9" s="270">
        <f>BE3+BE6+1</f>
        <v>8920</v>
      </c>
      <c r="BF9" s="270">
        <f>BF3+BF6</f>
        <v>9731</v>
      </c>
      <c r="BG9" s="270">
        <f>BG3+BG6+1</f>
        <v>9541.4275000000016</v>
      </c>
      <c r="BH9" s="270">
        <f t="shared" ref="BH9:BI9" si="10">BH3+BH6</f>
        <v>10316.666390405084</v>
      </c>
      <c r="BI9" s="177">
        <f t="shared" si="10"/>
        <v>38507.093890405085</v>
      </c>
      <c r="BJ9" s="252"/>
      <c r="BL9" s="608">
        <v>31900</v>
      </c>
      <c r="BM9" t="s">
        <v>609</v>
      </c>
    </row>
    <row r="10" spans="1:66">
      <c r="A10" s="458" t="s">
        <v>4</v>
      </c>
      <c r="B10" s="198"/>
      <c r="C10" s="32"/>
      <c r="D10" s="32"/>
      <c r="E10" s="32"/>
      <c r="F10" s="123"/>
      <c r="G10" s="198"/>
      <c r="H10" s="32"/>
      <c r="I10" s="32"/>
      <c r="J10" s="32"/>
      <c r="K10" s="123"/>
      <c r="L10" s="198" t="e">
        <f t="shared" ref="L10:BA10" si="11">L9/G9-1</f>
        <v>#DIV/0!</v>
      </c>
      <c r="M10" s="32" t="e">
        <f t="shared" si="11"/>
        <v>#DIV/0!</v>
      </c>
      <c r="N10" s="32" t="e">
        <f t="shared" si="11"/>
        <v>#DIV/0!</v>
      </c>
      <c r="O10" s="32" t="e">
        <f t="shared" si="11"/>
        <v>#DIV/0!</v>
      </c>
      <c r="P10" s="123">
        <f t="shared" si="11"/>
        <v>9.6306541673070178E-3</v>
      </c>
      <c r="Q10" s="198">
        <f t="shared" si="11"/>
        <v>6.0764587525151015E-2</v>
      </c>
      <c r="R10" s="32">
        <f t="shared" si="11"/>
        <v>0.12525416836112235</v>
      </c>
      <c r="S10" s="32">
        <f t="shared" si="11"/>
        <v>0.16254125412541254</v>
      </c>
      <c r="T10" s="32">
        <f t="shared" si="11"/>
        <v>0.26322139553589374</v>
      </c>
      <c r="U10" s="123">
        <f t="shared" si="11"/>
        <v>0.15297579785884619</v>
      </c>
      <c r="V10" s="198">
        <f t="shared" si="11"/>
        <v>0.12841426403641876</v>
      </c>
      <c r="W10" s="32">
        <f t="shared" si="11"/>
        <v>5.6740151788940985E-2</v>
      </c>
      <c r="X10" s="32">
        <f t="shared" si="11"/>
        <v>6.4052519517388218E-2</v>
      </c>
      <c r="Y10" s="32">
        <f t="shared" si="11"/>
        <v>2.2445081184336191E-2</v>
      </c>
      <c r="Z10" s="123">
        <f t="shared" si="11"/>
        <v>6.5701461010385431E-2</v>
      </c>
      <c r="AA10" s="198">
        <f t="shared" si="11"/>
        <v>-0.1405278198016473</v>
      </c>
      <c r="AB10" s="32">
        <f t="shared" si="11"/>
        <v>-0.56925444596443231</v>
      </c>
      <c r="AC10" s="32">
        <f t="shared" si="11"/>
        <v>-0.48524262131065532</v>
      </c>
      <c r="AD10" s="198">
        <f t="shared" si="11"/>
        <v>-0.4146037677097929</v>
      </c>
      <c r="AE10" s="123">
        <f t="shared" si="11"/>
        <v>-0.402114217285378</v>
      </c>
      <c r="AF10" s="198">
        <f t="shared" si="11"/>
        <v>-0.34422061412086835</v>
      </c>
      <c r="AG10" s="32">
        <f t="shared" si="11"/>
        <v>0.23660182612147684</v>
      </c>
      <c r="AH10" s="32">
        <f t="shared" si="11"/>
        <v>0.16682863621639132</v>
      </c>
      <c r="AI10" s="198">
        <f t="shared" si="11"/>
        <v>0.14095744680851063</v>
      </c>
      <c r="AJ10" s="123">
        <f t="shared" si="11"/>
        <v>-8.2187996408591424E-3</v>
      </c>
      <c r="AK10" s="198">
        <f t="shared" si="11"/>
        <v>0.14912019087384443</v>
      </c>
      <c r="AL10" s="32">
        <f t="shared" si="11"/>
        <v>0.3820224719101124</v>
      </c>
      <c r="AM10" s="32">
        <f t="shared" si="11"/>
        <v>0.38006662965019444</v>
      </c>
      <c r="AN10" s="198">
        <f t="shared" si="11"/>
        <v>0.2904428904428904</v>
      </c>
      <c r="AO10" s="123">
        <f t="shared" si="11"/>
        <v>0.29979108635097496</v>
      </c>
      <c r="AP10" s="33">
        <f t="shared" si="11"/>
        <v>0.35790293277965213</v>
      </c>
      <c r="AQ10" s="32">
        <f t="shared" si="11"/>
        <v>0.3326364692218351</v>
      </c>
      <c r="AR10" s="32">
        <f t="shared" si="11"/>
        <v>0.29893381613357484</v>
      </c>
      <c r="AS10" s="32">
        <f t="shared" si="11"/>
        <v>0.16130780346820806</v>
      </c>
      <c r="AT10" s="123">
        <f t="shared" si="11"/>
        <v>0.27806054111974277</v>
      </c>
      <c r="AU10" s="33">
        <f t="shared" si="11"/>
        <v>0.16494648318042815</v>
      </c>
      <c r="AV10" s="32">
        <f t="shared" si="11"/>
        <v>6.8851316018825104E-2</v>
      </c>
      <c r="AW10" s="32">
        <f t="shared" si="11"/>
        <v>8.4559392906922826E-2</v>
      </c>
      <c r="AX10" s="32">
        <f t="shared" ref="AX10:BD10" si="12">AX9/AS9-1</f>
        <v>0.1899206719552029</v>
      </c>
      <c r="AY10" s="123">
        <f t="shared" si="11"/>
        <v>0.12684971704045278</v>
      </c>
      <c r="AZ10" s="33">
        <f t="shared" si="11"/>
        <v>0.14470877768662849</v>
      </c>
      <c r="BA10" s="32">
        <f t="shared" si="11"/>
        <v>0.30300065231572071</v>
      </c>
      <c r="BB10" s="32">
        <f t="shared" si="12"/>
        <v>0.2680279880051406</v>
      </c>
      <c r="BC10" s="32">
        <f t="shared" si="12"/>
        <v>0.23764705882352932</v>
      </c>
      <c r="BD10" s="123">
        <f t="shared" si="12"/>
        <v>0.23931401361556492</v>
      </c>
      <c r="BE10" s="33">
        <f t="shared" ref="BE10" si="13">BE9/AZ9-1</f>
        <v>0.27848645549663176</v>
      </c>
      <c r="BF10" s="32">
        <f t="shared" ref="BF10" si="14">BF9/BA9-1</f>
        <v>0.2178973717146433</v>
      </c>
      <c r="BG10" s="32">
        <f t="shared" ref="BG10" si="15">BG9/BB9-1</f>
        <v>7.4485078828828932E-2</v>
      </c>
      <c r="BH10" s="32">
        <f t="shared" ref="BH10" si="16">BH9/BC9-1</f>
        <v>8.9635233460612973E-2</v>
      </c>
      <c r="BI10" s="123">
        <f t="shared" ref="BI10" si="17">BI9/BD9-1</f>
        <v>0.15588322898496387</v>
      </c>
      <c r="BJ10" s="599" t="s">
        <v>639</v>
      </c>
      <c r="BL10" s="564">
        <f>BI9/BL9-1</f>
        <v>0.2071189307337018</v>
      </c>
    </row>
    <row r="11" spans="1:66">
      <c r="A11" s="458" t="s">
        <v>611</v>
      </c>
      <c r="B11" s="33"/>
      <c r="C11" s="34"/>
      <c r="D11" s="34"/>
      <c r="E11" s="34"/>
      <c r="F11" s="35"/>
      <c r="G11" s="33"/>
      <c r="H11" s="34"/>
      <c r="I11" s="34"/>
      <c r="J11" s="34"/>
      <c r="K11" s="35"/>
      <c r="L11" s="33"/>
      <c r="M11" s="34"/>
      <c r="N11" s="34"/>
      <c r="O11" s="34"/>
      <c r="P11" s="35"/>
      <c r="Q11" s="33"/>
      <c r="R11" s="34"/>
      <c r="S11" s="34"/>
      <c r="T11" s="34"/>
      <c r="U11" s="35"/>
      <c r="V11" s="33"/>
      <c r="W11" s="34"/>
      <c r="X11" s="34"/>
      <c r="Y11" s="34"/>
      <c r="Z11" s="35"/>
      <c r="AA11" s="33"/>
      <c r="AB11" s="34"/>
      <c r="AC11" s="34"/>
      <c r="AD11" s="34"/>
      <c r="AE11" s="35"/>
      <c r="AF11" s="34"/>
      <c r="AG11" s="34"/>
      <c r="AH11" s="34"/>
      <c r="AI11" s="34"/>
      <c r="AJ11" s="35"/>
      <c r="AK11" s="34"/>
      <c r="AL11" s="34"/>
      <c r="AM11" s="34"/>
      <c r="AN11" s="34"/>
      <c r="AO11" s="35"/>
      <c r="AP11" s="34"/>
      <c r="AQ11" s="34"/>
      <c r="AR11" s="34"/>
      <c r="AS11" s="34"/>
      <c r="AT11" s="35"/>
      <c r="AU11" s="34"/>
      <c r="AV11" s="34"/>
      <c r="AW11" s="34"/>
      <c r="AX11" s="34"/>
      <c r="AY11" s="35"/>
      <c r="AZ11" s="34"/>
      <c r="BA11" s="34"/>
      <c r="BB11" s="34"/>
      <c r="BC11" s="34"/>
      <c r="BD11" s="35"/>
      <c r="BE11" s="34"/>
      <c r="BF11" s="34"/>
      <c r="BG11" s="34"/>
      <c r="BH11" s="34"/>
      <c r="BI11" s="223">
        <f>BI9/BL9-1</f>
        <v>0.2071189307337018</v>
      </c>
      <c r="BJ11" s="253"/>
    </row>
    <row r="12" spans="1:66">
      <c r="A12" s="460" t="s">
        <v>178</v>
      </c>
      <c r="B12" s="40"/>
      <c r="C12" s="40"/>
      <c r="D12" s="40"/>
      <c r="E12" s="40"/>
      <c r="F12" s="21"/>
      <c r="G12" s="40"/>
      <c r="H12" s="40"/>
      <c r="I12" s="40"/>
      <c r="J12" s="40"/>
      <c r="K12" s="21"/>
      <c r="L12" s="40">
        <v>0</v>
      </c>
      <c r="M12" s="40">
        <v>0</v>
      </c>
      <c r="N12" s="40">
        <v>0</v>
      </c>
      <c r="O12" s="40">
        <v>0</v>
      </c>
      <c r="P12" s="21">
        <f>SUM(L12:O12)</f>
        <v>0</v>
      </c>
      <c r="Q12" s="40">
        <v>0</v>
      </c>
      <c r="R12" s="40">
        <v>0</v>
      </c>
      <c r="S12" s="40">
        <v>0</v>
      </c>
      <c r="T12" s="40">
        <v>0</v>
      </c>
      <c r="U12" s="21">
        <f>SUM(Q12:T12)</f>
        <v>0</v>
      </c>
      <c r="V12" s="40">
        <v>0</v>
      </c>
      <c r="W12" s="40">
        <v>0</v>
      </c>
      <c r="X12" s="40">
        <v>0</v>
      </c>
      <c r="Y12" s="40">
        <v>0</v>
      </c>
      <c r="Z12" s="21">
        <f>SUM(V12:Y12)</f>
        <v>0</v>
      </c>
      <c r="AA12" s="40">
        <v>0</v>
      </c>
      <c r="AB12" s="40">
        <v>0</v>
      </c>
      <c r="AC12" s="40">
        <v>0</v>
      </c>
      <c r="AD12" s="18">
        <f>AE12-SUM(AA12:AC12)</f>
        <v>0</v>
      </c>
      <c r="AE12" s="19">
        <v>0</v>
      </c>
      <c r="AF12" s="40">
        <v>0</v>
      </c>
      <c r="AG12" s="40">
        <v>0</v>
      </c>
      <c r="AH12" s="40">
        <v>0</v>
      </c>
      <c r="AI12" s="18">
        <f>AJ12-SUM(AF12:AH12)</f>
        <v>0</v>
      </c>
      <c r="AJ12" s="19">
        <v>0</v>
      </c>
      <c r="AK12" s="40">
        <v>0</v>
      </c>
      <c r="AL12" s="40">
        <v>0</v>
      </c>
      <c r="AM12" s="40">
        <v>0</v>
      </c>
      <c r="AN12" s="18">
        <f>AO12-SUM(AK12:AM12)</f>
        <v>0</v>
      </c>
      <c r="AO12" s="19">
        <v>0</v>
      </c>
      <c r="AP12" s="40">
        <v>0</v>
      </c>
      <c r="AQ12" s="40">
        <v>0</v>
      </c>
      <c r="AR12" s="40">
        <v>0</v>
      </c>
      <c r="AS12" s="18">
        <f>AT12-SUM(AP12:AR12)</f>
        <v>0</v>
      </c>
      <c r="AT12" s="19">
        <v>0</v>
      </c>
      <c r="AU12" s="40">
        <v>0</v>
      </c>
      <c r="AV12" s="40">
        <v>0</v>
      </c>
      <c r="AW12" s="40">
        <v>0</v>
      </c>
      <c r="AX12" s="18">
        <f>AY12-SUM(AU12:AW12)</f>
        <v>0</v>
      </c>
      <c r="AY12" s="19">
        <v>0</v>
      </c>
      <c r="AZ12" s="40">
        <v>0</v>
      </c>
      <c r="BA12" s="40">
        <v>0</v>
      </c>
      <c r="BB12" s="40">
        <v>0</v>
      </c>
      <c r="BC12" s="18">
        <f>BD12-SUM(AZ12:BB12)</f>
        <v>0</v>
      </c>
      <c r="BD12" s="19">
        <v>0</v>
      </c>
      <c r="BE12" s="40">
        <v>0</v>
      </c>
      <c r="BF12" s="40">
        <v>0</v>
      </c>
      <c r="BG12" s="40">
        <v>0</v>
      </c>
      <c r="BH12" s="18">
        <f>BI12-SUM(BE12:BG12)</f>
        <v>0</v>
      </c>
      <c r="BI12" s="19">
        <v>0</v>
      </c>
      <c r="BJ12" s="253"/>
    </row>
    <row r="13" spans="1:66">
      <c r="A13" s="461" t="s">
        <v>201</v>
      </c>
      <c r="B13" s="22"/>
      <c r="C13" s="22"/>
      <c r="D13" s="22"/>
      <c r="E13" s="22"/>
      <c r="F13" s="23"/>
      <c r="G13" s="22"/>
      <c r="H13" s="22"/>
      <c r="I13" s="22"/>
      <c r="J13" s="22"/>
      <c r="K13" s="23"/>
      <c r="L13" s="22">
        <f>L9+L12</f>
        <v>4970</v>
      </c>
      <c r="M13" s="22">
        <f>M9+M12</f>
        <v>4918</v>
      </c>
      <c r="N13" s="22">
        <f>N9+N12</f>
        <v>4848</v>
      </c>
      <c r="O13" s="22">
        <f>+P13-SUM(L13,M13,N13)</f>
        <v>4973</v>
      </c>
      <c r="P13" s="23">
        <f>P9+P12</f>
        <v>19709</v>
      </c>
      <c r="Q13" s="22">
        <f>Q9+Q12</f>
        <v>5272</v>
      </c>
      <c r="R13" s="22">
        <f>R9+R12</f>
        <v>5534</v>
      </c>
      <c r="S13" s="22">
        <f>S9+S12</f>
        <v>5636</v>
      </c>
      <c r="T13" s="22">
        <f>+U13-SUM(Q13,R13,S13)</f>
        <v>6282</v>
      </c>
      <c r="U13" s="23">
        <f>U9+U12</f>
        <v>22724</v>
      </c>
      <c r="V13" s="22">
        <f t="shared" ref="V13:AT13" si="18">V9+V12</f>
        <v>5949</v>
      </c>
      <c r="W13" s="22">
        <f t="shared" si="18"/>
        <v>5848</v>
      </c>
      <c r="X13" s="22">
        <f t="shared" si="18"/>
        <v>5997</v>
      </c>
      <c r="Y13" s="22">
        <f t="shared" si="18"/>
        <v>6423</v>
      </c>
      <c r="Z13" s="23">
        <f t="shared" si="18"/>
        <v>24217</v>
      </c>
      <c r="AA13" s="22">
        <f t="shared" si="18"/>
        <v>5113</v>
      </c>
      <c r="AB13" s="22">
        <f t="shared" si="18"/>
        <v>2519</v>
      </c>
      <c r="AC13" s="22">
        <f t="shared" si="18"/>
        <v>3087</v>
      </c>
      <c r="AD13" s="22">
        <f t="shared" si="18"/>
        <v>3760</v>
      </c>
      <c r="AE13" s="23">
        <f t="shared" si="18"/>
        <v>14479</v>
      </c>
      <c r="AF13" s="22">
        <f t="shared" si="18"/>
        <v>3353</v>
      </c>
      <c r="AG13" s="22">
        <f t="shared" si="18"/>
        <v>3115</v>
      </c>
      <c r="AH13" s="22">
        <f t="shared" si="18"/>
        <v>3602</v>
      </c>
      <c r="AI13" s="22">
        <f t="shared" si="18"/>
        <v>4290</v>
      </c>
      <c r="AJ13" s="23">
        <f t="shared" si="18"/>
        <v>14360</v>
      </c>
      <c r="AK13" s="22">
        <f t="shared" si="18"/>
        <v>3853</v>
      </c>
      <c r="AL13" s="22">
        <f t="shared" si="18"/>
        <v>4305</v>
      </c>
      <c r="AM13" s="22">
        <f t="shared" si="18"/>
        <v>4971</v>
      </c>
      <c r="AN13" s="22">
        <f t="shared" si="18"/>
        <v>5536</v>
      </c>
      <c r="AO13" s="23">
        <f t="shared" si="18"/>
        <v>18665</v>
      </c>
      <c r="AP13" s="22">
        <f>AP9+AP12</f>
        <v>5232</v>
      </c>
      <c r="AQ13" s="22">
        <f t="shared" si="18"/>
        <v>5737</v>
      </c>
      <c r="AR13" s="22">
        <f t="shared" si="18"/>
        <v>6457</v>
      </c>
      <c r="AS13" s="22">
        <f t="shared" si="18"/>
        <v>6429</v>
      </c>
      <c r="AT13" s="23">
        <f t="shared" si="18"/>
        <v>23855</v>
      </c>
      <c r="AU13" s="22">
        <f>AU9+AU12</f>
        <v>6095</v>
      </c>
      <c r="AV13" s="22">
        <f t="shared" ref="AV13:BC13" si="19">AV9+AV12</f>
        <v>6132</v>
      </c>
      <c r="AW13" s="22">
        <f t="shared" si="19"/>
        <v>7003</v>
      </c>
      <c r="AX13" s="22">
        <f t="shared" si="19"/>
        <v>7650</v>
      </c>
      <c r="AY13" s="23">
        <f t="shared" si="19"/>
        <v>26881</v>
      </c>
      <c r="AZ13" s="22">
        <f>AZ9+AZ12</f>
        <v>6977</v>
      </c>
      <c r="BA13" s="22">
        <f t="shared" ref="BA13" si="20">BA9+BA12</f>
        <v>7990</v>
      </c>
      <c r="BB13" s="22">
        <f t="shared" si="19"/>
        <v>8880</v>
      </c>
      <c r="BC13" s="22">
        <f t="shared" si="19"/>
        <v>9468</v>
      </c>
      <c r="BD13" s="23">
        <f t="shared" ref="BD13" si="21">BD9+BD12</f>
        <v>33314</v>
      </c>
      <c r="BE13" s="22">
        <f>BE9+BE12</f>
        <v>8920</v>
      </c>
      <c r="BF13" s="22">
        <f t="shared" ref="BF13:BI13" si="22">BF9+BF12</f>
        <v>9731</v>
      </c>
      <c r="BG13" s="22">
        <f t="shared" si="22"/>
        <v>9541.4275000000016</v>
      </c>
      <c r="BH13" s="22">
        <f t="shared" si="22"/>
        <v>10316.666390405084</v>
      </c>
      <c r="BI13" s="23">
        <f t="shared" si="22"/>
        <v>38507.093890405085</v>
      </c>
      <c r="BJ13" s="253"/>
    </row>
    <row r="14" spans="1:66">
      <c r="A14" s="458" t="s">
        <v>4</v>
      </c>
      <c r="B14" s="33"/>
      <c r="C14" s="34"/>
      <c r="D14" s="34"/>
      <c r="E14" s="34"/>
      <c r="F14" s="35"/>
      <c r="G14" s="33"/>
      <c r="H14" s="34"/>
      <c r="I14" s="34"/>
      <c r="J14" s="34"/>
      <c r="K14" s="35"/>
      <c r="L14" s="33" t="e">
        <f t="shared" ref="L14:BA14" si="23">L13/G13-1</f>
        <v>#DIV/0!</v>
      </c>
      <c r="M14" s="34" t="e">
        <f t="shared" si="23"/>
        <v>#DIV/0!</v>
      </c>
      <c r="N14" s="34" t="e">
        <f t="shared" si="23"/>
        <v>#DIV/0!</v>
      </c>
      <c r="O14" s="34" t="e">
        <f t="shared" si="23"/>
        <v>#DIV/0!</v>
      </c>
      <c r="P14" s="35" t="e">
        <f t="shared" si="23"/>
        <v>#DIV/0!</v>
      </c>
      <c r="Q14" s="33">
        <f t="shared" si="23"/>
        <v>6.0764587525151015E-2</v>
      </c>
      <c r="R14" s="34">
        <f t="shared" si="23"/>
        <v>0.12525416836112235</v>
      </c>
      <c r="S14" s="34">
        <f t="shared" si="23"/>
        <v>0.16254125412541254</v>
      </c>
      <c r="T14" s="34">
        <f t="shared" si="23"/>
        <v>0.26322139553589374</v>
      </c>
      <c r="U14" s="35">
        <f t="shared" si="23"/>
        <v>0.15297579785884619</v>
      </c>
      <c r="V14" s="33">
        <f t="shared" si="23"/>
        <v>0.12841426403641876</v>
      </c>
      <c r="W14" s="34">
        <f t="shared" si="23"/>
        <v>5.6740151788940985E-2</v>
      </c>
      <c r="X14" s="34">
        <f t="shared" si="23"/>
        <v>6.4052519517388218E-2</v>
      </c>
      <c r="Y14" s="34">
        <f t="shared" si="23"/>
        <v>2.2445081184336191E-2</v>
      </c>
      <c r="Z14" s="35">
        <f t="shared" si="23"/>
        <v>6.5701461010385431E-2</v>
      </c>
      <c r="AA14" s="33">
        <f t="shared" si="23"/>
        <v>-0.1405278198016473</v>
      </c>
      <c r="AB14" s="34">
        <f t="shared" si="23"/>
        <v>-0.56925444596443231</v>
      </c>
      <c r="AC14" s="33">
        <f t="shared" si="23"/>
        <v>-0.48524262131065532</v>
      </c>
      <c r="AD14" s="33">
        <f t="shared" si="23"/>
        <v>-0.4146037677097929</v>
      </c>
      <c r="AE14" s="35">
        <f t="shared" si="23"/>
        <v>-0.402114217285378</v>
      </c>
      <c r="AF14" s="33">
        <f t="shared" si="23"/>
        <v>-0.34422061412086835</v>
      </c>
      <c r="AG14" s="33">
        <f t="shared" si="23"/>
        <v>0.23660182612147684</v>
      </c>
      <c r="AH14" s="33">
        <f t="shared" si="23"/>
        <v>0.16682863621639132</v>
      </c>
      <c r="AI14" s="33">
        <f t="shared" si="23"/>
        <v>0.14095744680851063</v>
      </c>
      <c r="AJ14" s="35">
        <f t="shared" si="23"/>
        <v>-8.2187996408591424E-3</v>
      </c>
      <c r="AK14" s="33">
        <f t="shared" si="23"/>
        <v>0.14912019087384443</v>
      </c>
      <c r="AL14" s="33">
        <f t="shared" si="23"/>
        <v>0.3820224719101124</v>
      </c>
      <c r="AM14" s="33">
        <f t="shared" si="23"/>
        <v>0.38006662965019444</v>
      </c>
      <c r="AN14" s="33">
        <f t="shared" si="23"/>
        <v>0.2904428904428904</v>
      </c>
      <c r="AO14" s="35">
        <f t="shared" si="23"/>
        <v>0.29979108635097496</v>
      </c>
      <c r="AP14" s="33">
        <f t="shared" si="23"/>
        <v>0.35790293277965213</v>
      </c>
      <c r="AQ14" s="33">
        <f t="shared" si="23"/>
        <v>0.3326364692218351</v>
      </c>
      <c r="AR14" s="33">
        <f t="shared" si="23"/>
        <v>0.29893381613357484</v>
      </c>
      <c r="AS14" s="33">
        <f t="shared" si="23"/>
        <v>0.16130780346820806</v>
      </c>
      <c r="AT14" s="35">
        <f t="shared" si="23"/>
        <v>0.27806054111974277</v>
      </c>
      <c r="AU14" s="33">
        <f t="shared" si="23"/>
        <v>0.16494648318042815</v>
      </c>
      <c r="AV14" s="33">
        <f t="shared" si="23"/>
        <v>6.8851316018825104E-2</v>
      </c>
      <c r="AW14" s="33">
        <f t="shared" si="23"/>
        <v>8.4559392906922826E-2</v>
      </c>
      <c r="AX14" s="33">
        <f t="shared" ref="AX14:BD14" si="24">AX13/AS13-1</f>
        <v>0.1899206719552029</v>
      </c>
      <c r="AY14" s="35">
        <f t="shared" si="23"/>
        <v>0.12684971704045278</v>
      </c>
      <c r="AZ14" s="33">
        <f t="shared" si="23"/>
        <v>0.14470877768662849</v>
      </c>
      <c r="BA14" s="33">
        <f t="shared" si="23"/>
        <v>0.30300065231572071</v>
      </c>
      <c r="BB14" s="33">
        <f t="shared" si="24"/>
        <v>0.2680279880051406</v>
      </c>
      <c r="BC14" s="33">
        <f t="shared" si="24"/>
        <v>0.23764705882352932</v>
      </c>
      <c r="BD14" s="35">
        <f t="shared" si="24"/>
        <v>0.23931401361556492</v>
      </c>
      <c r="BE14" s="33">
        <f t="shared" ref="BE14" si="25">BE13/AZ13-1</f>
        <v>0.27848645549663176</v>
      </c>
      <c r="BF14" s="33">
        <f t="shared" ref="BF14" si="26">BF13/BA13-1</f>
        <v>0.2178973717146433</v>
      </c>
      <c r="BG14" s="33">
        <f t="shared" ref="BG14" si="27">BG13/BB13-1</f>
        <v>7.4485078828828932E-2</v>
      </c>
      <c r="BH14" s="33">
        <f t="shared" ref="BH14" si="28">BH13/BC13-1</f>
        <v>8.9635233460612973E-2</v>
      </c>
      <c r="BI14" s="35">
        <f t="shared" ref="BI14" si="29">BI13/BD13-1</f>
        <v>0.15588322898496387</v>
      </c>
      <c r="BJ14" s="600"/>
    </row>
    <row r="15" spans="1:66">
      <c r="A15" s="458"/>
      <c r="B15" s="20"/>
      <c r="C15" s="20"/>
      <c r="D15" s="20"/>
      <c r="E15" s="20"/>
      <c r="F15" s="21"/>
      <c r="G15" s="20"/>
      <c r="H15" s="20"/>
      <c r="I15" s="20"/>
      <c r="J15" s="20"/>
      <c r="K15" s="21"/>
      <c r="L15" s="20"/>
      <c r="M15" s="20"/>
      <c r="N15" s="20"/>
      <c r="O15" s="20"/>
      <c r="P15" s="21"/>
      <c r="Q15" s="20"/>
      <c r="R15" s="20"/>
      <c r="S15" s="20"/>
      <c r="T15" s="20"/>
      <c r="U15" s="21"/>
      <c r="V15" s="20"/>
      <c r="W15" s="20"/>
      <c r="X15" s="20"/>
      <c r="Y15" s="20"/>
      <c r="Z15" s="21"/>
      <c r="AA15" s="20"/>
      <c r="AB15" s="20"/>
      <c r="AC15" s="20"/>
      <c r="AD15" s="20"/>
      <c r="AE15" s="21"/>
      <c r="AF15" s="20"/>
      <c r="AG15" s="20"/>
      <c r="AH15" s="20"/>
      <c r="AI15" s="20"/>
      <c r="AJ15" s="21"/>
      <c r="AK15" s="20"/>
      <c r="AL15" s="20"/>
      <c r="AM15" s="20"/>
      <c r="AN15" s="20"/>
      <c r="AO15" s="21"/>
      <c r="AP15" s="20"/>
      <c r="AQ15" s="20"/>
      <c r="AR15" s="20"/>
      <c r="AS15" s="20"/>
      <c r="AT15" s="21"/>
      <c r="AU15" s="20"/>
      <c r="AV15" s="20"/>
      <c r="AW15" s="20"/>
      <c r="AX15" s="20"/>
      <c r="AY15" s="21"/>
      <c r="AZ15" s="20"/>
      <c r="BA15" s="20"/>
      <c r="BB15" s="20"/>
      <c r="BC15" s="20"/>
      <c r="BD15" s="21"/>
      <c r="BE15" s="20"/>
      <c r="BF15" s="20"/>
      <c r="BG15" s="20"/>
      <c r="BH15" s="20"/>
      <c r="BI15" s="21"/>
      <c r="BJ15" s="253"/>
    </row>
    <row r="16" spans="1:66">
      <c r="A16" s="462" t="s">
        <v>10</v>
      </c>
      <c r="B16" s="26"/>
      <c r="C16" s="26"/>
      <c r="D16" s="26"/>
      <c r="E16" s="26"/>
      <c r="F16" s="27"/>
      <c r="G16" s="26"/>
      <c r="H16" s="26"/>
      <c r="I16" s="26"/>
      <c r="J16" s="26"/>
      <c r="K16" s="27"/>
      <c r="L16" s="26">
        <f t="shared" ref="L16:AT16" si="30">+-L9+L19</f>
        <v>-4970</v>
      </c>
      <c r="M16" s="26">
        <f t="shared" si="30"/>
        <v>-4918</v>
      </c>
      <c r="N16" s="26">
        <f t="shared" si="30"/>
        <v>-4848</v>
      </c>
      <c r="O16" s="26">
        <f t="shared" si="30"/>
        <v>-4973</v>
      </c>
      <c r="P16" s="27">
        <f t="shared" si="30"/>
        <v>-19709</v>
      </c>
      <c r="Q16" s="26">
        <f t="shared" si="30"/>
        <v>-5272</v>
      </c>
      <c r="R16" s="26">
        <f t="shared" si="30"/>
        <v>-5534</v>
      </c>
      <c r="S16" s="26">
        <f t="shared" si="30"/>
        <v>-5636</v>
      </c>
      <c r="T16" s="26">
        <f t="shared" si="30"/>
        <v>-6282</v>
      </c>
      <c r="U16" s="27">
        <f t="shared" si="30"/>
        <v>-22724</v>
      </c>
      <c r="V16" s="26">
        <f t="shared" si="30"/>
        <v>-5949</v>
      </c>
      <c r="W16" s="26">
        <f t="shared" si="30"/>
        <v>-5848</v>
      </c>
      <c r="X16" s="26">
        <f t="shared" si="30"/>
        <v>-5997</v>
      </c>
      <c r="Y16" s="26">
        <f t="shared" si="30"/>
        <v>-6423</v>
      </c>
      <c r="Z16" s="27">
        <f t="shared" si="30"/>
        <v>-24217</v>
      </c>
      <c r="AA16" s="26">
        <f t="shared" si="30"/>
        <v>-5113</v>
      </c>
      <c r="AB16" s="26">
        <f t="shared" si="30"/>
        <v>-2519</v>
      </c>
      <c r="AC16" s="26">
        <f>+-AC9+AC19</f>
        <v>-3087</v>
      </c>
      <c r="AD16" s="26">
        <f t="shared" si="30"/>
        <v>-3760</v>
      </c>
      <c r="AE16" s="27">
        <f t="shared" si="30"/>
        <v>-14479</v>
      </c>
      <c r="AF16" s="26">
        <f t="shared" si="30"/>
        <v>-3353</v>
      </c>
      <c r="AG16" s="26">
        <f t="shared" si="30"/>
        <v>-3115</v>
      </c>
      <c r="AH16" s="26">
        <f t="shared" si="30"/>
        <v>-3602</v>
      </c>
      <c r="AI16" s="26">
        <f t="shared" si="30"/>
        <v>-4290</v>
      </c>
      <c r="AJ16" s="27">
        <f t="shared" si="30"/>
        <v>-14360</v>
      </c>
      <c r="AK16" s="26">
        <f t="shared" si="30"/>
        <v>-3853</v>
      </c>
      <c r="AL16" s="26">
        <f t="shared" si="30"/>
        <v>-4305</v>
      </c>
      <c r="AM16" s="26">
        <f t="shared" si="30"/>
        <v>-4971</v>
      </c>
      <c r="AN16" s="26">
        <f t="shared" si="30"/>
        <v>-5536</v>
      </c>
      <c r="AO16" s="27">
        <f t="shared" si="30"/>
        <v>-18665</v>
      </c>
      <c r="AP16" s="26">
        <f t="shared" si="30"/>
        <v>-4018</v>
      </c>
      <c r="AQ16" s="26">
        <f t="shared" si="30"/>
        <v>-4348</v>
      </c>
      <c r="AR16" s="26">
        <f t="shared" si="30"/>
        <v>-4912</v>
      </c>
      <c r="AS16" s="26">
        <f t="shared" si="30"/>
        <v>-4934</v>
      </c>
      <c r="AT16" s="27">
        <f t="shared" si="30"/>
        <v>-18212</v>
      </c>
      <c r="AU16" s="26">
        <f>+-AU9+AU19</f>
        <v>-4676</v>
      </c>
      <c r="AV16" s="26">
        <f t="shared" ref="AV16:BC16" si="31">+-AV9+AV19</f>
        <v>-4453</v>
      </c>
      <c r="AW16" s="26">
        <f t="shared" si="31"/>
        <v>-5204</v>
      </c>
      <c r="AX16" s="26">
        <f t="shared" si="31"/>
        <v>-5492</v>
      </c>
      <c r="AY16" s="27">
        <f t="shared" si="31"/>
        <v>-19826</v>
      </c>
      <c r="AZ16" s="26">
        <f t="shared" si="31"/>
        <v>-5057</v>
      </c>
      <c r="BA16" s="26">
        <f t="shared" ref="BA16" si="32">+-BA9+BA19</f>
        <v>-5758</v>
      </c>
      <c r="BB16" s="26">
        <f t="shared" si="31"/>
        <v>-6444</v>
      </c>
      <c r="BC16" s="26">
        <f t="shared" si="31"/>
        <v>-7195</v>
      </c>
      <c r="BD16" s="27">
        <f t="shared" ref="BD16" si="33">+-BD9+BD19</f>
        <v>-24453</v>
      </c>
      <c r="BE16" s="26">
        <f t="shared" ref="BE16:BI16" si="34">+-BE9+BE19</f>
        <v>-6564</v>
      </c>
      <c r="BF16" s="26">
        <f t="shared" si="34"/>
        <v>-7074</v>
      </c>
      <c r="BG16" s="26">
        <f t="shared" si="34"/>
        <v>-6882.2316557500017</v>
      </c>
      <c r="BH16" s="26">
        <f t="shared" si="34"/>
        <v>-7642.0061063032372</v>
      </c>
      <c r="BI16" s="27">
        <f t="shared" si="34"/>
        <v>-28160.237762053239</v>
      </c>
      <c r="BJ16" s="253"/>
    </row>
    <row r="17" spans="1:64">
      <c r="A17" s="458" t="s">
        <v>4</v>
      </c>
      <c r="B17" s="33"/>
      <c r="C17" s="34"/>
      <c r="D17" s="34"/>
      <c r="E17" s="34"/>
      <c r="F17" s="35"/>
      <c r="G17" s="33"/>
      <c r="H17" s="34"/>
      <c r="I17" s="34"/>
      <c r="J17" s="34"/>
      <c r="K17" s="35"/>
      <c r="L17" s="33" t="e">
        <f t="shared" ref="L17:BA17" si="35">L16/G16-1</f>
        <v>#DIV/0!</v>
      </c>
      <c r="M17" s="34" t="e">
        <f t="shared" si="35"/>
        <v>#DIV/0!</v>
      </c>
      <c r="N17" s="34" t="e">
        <f t="shared" si="35"/>
        <v>#DIV/0!</v>
      </c>
      <c r="O17" s="34" t="e">
        <f t="shared" si="35"/>
        <v>#DIV/0!</v>
      </c>
      <c r="P17" s="35" t="e">
        <f t="shared" si="35"/>
        <v>#DIV/0!</v>
      </c>
      <c r="Q17" s="33">
        <f t="shared" si="35"/>
        <v>6.0764587525151015E-2</v>
      </c>
      <c r="R17" s="34">
        <f t="shared" si="35"/>
        <v>0.12525416836112235</v>
      </c>
      <c r="S17" s="34">
        <f t="shared" si="35"/>
        <v>0.16254125412541254</v>
      </c>
      <c r="T17" s="34">
        <f t="shared" si="35"/>
        <v>0.26322139553589374</v>
      </c>
      <c r="U17" s="35">
        <f t="shared" si="35"/>
        <v>0.15297579785884619</v>
      </c>
      <c r="V17" s="33">
        <f t="shared" si="35"/>
        <v>0.12841426403641876</v>
      </c>
      <c r="W17" s="34">
        <f t="shared" si="35"/>
        <v>5.6740151788940985E-2</v>
      </c>
      <c r="X17" s="34">
        <f t="shared" si="35"/>
        <v>6.4052519517388218E-2</v>
      </c>
      <c r="Y17" s="34">
        <f t="shared" si="35"/>
        <v>2.2445081184336191E-2</v>
      </c>
      <c r="Z17" s="35">
        <f t="shared" si="35"/>
        <v>6.5701461010385431E-2</v>
      </c>
      <c r="AA17" s="33">
        <f t="shared" si="35"/>
        <v>-0.1405278198016473</v>
      </c>
      <c r="AB17" s="34">
        <f t="shared" si="35"/>
        <v>-0.56925444596443231</v>
      </c>
      <c r="AC17" s="34">
        <f t="shared" si="35"/>
        <v>-0.48524262131065532</v>
      </c>
      <c r="AD17" s="34">
        <f t="shared" si="35"/>
        <v>-0.4146037677097929</v>
      </c>
      <c r="AE17" s="35">
        <f t="shared" si="35"/>
        <v>-0.402114217285378</v>
      </c>
      <c r="AF17" s="33">
        <f t="shared" si="35"/>
        <v>-0.34422061412086835</v>
      </c>
      <c r="AG17" s="34">
        <f t="shared" si="35"/>
        <v>0.23660182612147684</v>
      </c>
      <c r="AH17" s="34">
        <f t="shared" si="35"/>
        <v>0.16682863621639132</v>
      </c>
      <c r="AI17" s="34">
        <f t="shared" si="35"/>
        <v>0.14095744680851063</v>
      </c>
      <c r="AJ17" s="35">
        <f t="shared" si="35"/>
        <v>-8.2187996408591424E-3</v>
      </c>
      <c r="AK17" s="33">
        <f t="shared" si="35"/>
        <v>0.14912019087384443</v>
      </c>
      <c r="AL17" s="34">
        <f t="shared" si="35"/>
        <v>0.3820224719101124</v>
      </c>
      <c r="AM17" s="34">
        <f t="shared" si="35"/>
        <v>0.38006662965019444</v>
      </c>
      <c r="AN17" s="34">
        <f t="shared" si="35"/>
        <v>0.2904428904428904</v>
      </c>
      <c r="AO17" s="35">
        <f t="shared" si="35"/>
        <v>0.29979108635097496</v>
      </c>
      <c r="AP17" s="33">
        <f t="shared" si="35"/>
        <v>4.2823773682844513E-2</v>
      </c>
      <c r="AQ17" s="34">
        <f t="shared" si="35"/>
        <v>9.9883855981417469E-3</v>
      </c>
      <c r="AR17" s="34">
        <f t="shared" si="35"/>
        <v>-1.1868839267752951E-2</v>
      </c>
      <c r="AS17" s="34">
        <f t="shared" si="35"/>
        <v>-0.10874277456647397</v>
      </c>
      <c r="AT17" s="35">
        <f t="shared" si="35"/>
        <v>-2.4270024109295463E-2</v>
      </c>
      <c r="AU17" s="33">
        <f t="shared" si="35"/>
        <v>0.16376306620209058</v>
      </c>
      <c r="AV17" s="34">
        <f t="shared" si="35"/>
        <v>2.414903403863855E-2</v>
      </c>
      <c r="AW17" s="34">
        <f t="shared" si="35"/>
        <v>5.9446254071661153E-2</v>
      </c>
      <c r="AX17" s="34">
        <f t="shared" ref="AX17:BD17" si="36">AX16/AS16-1</f>
        <v>0.11309282529387921</v>
      </c>
      <c r="AY17" s="35">
        <f t="shared" si="35"/>
        <v>8.8622886009224633E-2</v>
      </c>
      <c r="AZ17" s="33">
        <f t="shared" si="35"/>
        <v>8.1479897348160746E-2</v>
      </c>
      <c r="BA17" s="34">
        <f t="shared" si="35"/>
        <v>0.29306085784864133</v>
      </c>
      <c r="BB17" s="34">
        <f t="shared" si="36"/>
        <v>0.23827824750192161</v>
      </c>
      <c r="BC17" s="34">
        <f t="shared" si="36"/>
        <v>0.31008739985433365</v>
      </c>
      <c r="BD17" s="35">
        <f t="shared" si="36"/>
        <v>0.23338040956319994</v>
      </c>
      <c r="BE17" s="33">
        <f t="shared" ref="BE17" si="37">BE16/AZ16-1</f>
        <v>0.29800276843978635</v>
      </c>
      <c r="BF17" s="34">
        <f t="shared" ref="BF17" si="38">BF16/BA16-1</f>
        <v>0.22855158040986456</v>
      </c>
      <c r="BG17" s="34">
        <f t="shared" ref="BG17" si="39">BG16/BB16-1</f>
        <v>6.8006153902855582E-2</v>
      </c>
      <c r="BH17" s="34">
        <f t="shared" ref="BH17" si="40">BH16/BC16-1</f>
        <v>6.2127325406982292E-2</v>
      </c>
      <c r="BI17" s="35">
        <f t="shared" ref="BI17" si="41">BI16/BD16-1</f>
        <v>0.15160666429694669</v>
      </c>
      <c r="BJ17" s="253"/>
    </row>
    <row r="18" spans="1:64">
      <c r="A18" s="460"/>
      <c r="B18" s="24"/>
      <c r="C18" s="24"/>
      <c r="D18" s="24"/>
      <c r="E18" s="24"/>
      <c r="F18" s="25"/>
      <c r="G18" s="24"/>
      <c r="H18" s="24"/>
      <c r="I18" s="24"/>
      <c r="J18" s="24"/>
      <c r="K18" s="25"/>
      <c r="L18" s="24"/>
      <c r="M18" s="24"/>
      <c r="N18" s="24"/>
      <c r="O18" s="24"/>
      <c r="P18" s="25"/>
      <c r="Q18" s="24"/>
      <c r="R18" s="24"/>
      <c r="S18" s="24"/>
      <c r="T18" s="24"/>
      <c r="U18" s="25"/>
      <c r="V18" s="24"/>
      <c r="W18" s="24"/>
      <c r="X18" s="24"/>
      <c r="Y18" s="24"/>
      <c r="Z18" s="25"/>
      <c r="AA18" s="24"/>
      <c r="AB18" s="24"/>
      <c r="AC18" s="24"/>
      <c r="AD18" s="24"/>
      <c r="AE18" s="25"/>
      <c r="AF18" s="24"/>
      <c r="AG18" s="24"/>
      <c r="AH18" s="24"/>
      <c r="AI18" s="24"/>
      <c r="AJ18" s="25"/>
      <c r="AK18" s="24"/>
      <c r="AL18" s="24"/>
      <c r="AM18" s="24"/>
      <c r="AN18" s="24"/>
      <c r="AO18" s="25"/>
      <c r="AP18" s="24"/>
      <c r="AQ18" s="24"/>
      <c r="AR18" s="24"/>
      <c r="AS18" s="24"/>
      <c r="AT18" s="25"/>
      <c r="AU18" s="24"/>
      <c r="AV18" s="24"/>
      <c r="AW18" s="24"/>
      <c r="AX18" s="24"/>
      <c r="AY18" s="25"/>
      <c r="AZ18" s="24"/>
      <c r="BA18" s="24"/>
      <c r="BB18" s="24"/>
      <c r="BC18" s="24"/>
      <c r="BD18" s="25"/>
      <c r="BE18" s="24"/>
      <c r="BF18" s="24"/>
      <c r="BG18" s="24"/>
      <c r="BH18" s="24"/>
      <c r="BI18" s="25"/>
      <c r="BJ18" s="253"/>
    </row>
    <row r="19" spans="1:64">
      <c r="A19" s="461" t="s">
        <v>9</v>
      </c>
      <c r="B19" s="28"/>
      <c r="C19" s="28"/>
      <c r="D19" s="28"/>
      <c r="E19" s="28"/>
      <c r="F19" s="177"/>
      <c r="G19" s="28"/>
      <c r="H19" s="28"/>
      <c r="I19" s="28"/>
      <c r="J19" s="28"/>
      <c r="K19" s="177"/>
      <c r="L19" s="28"/>
      <c r="M19" s="28"/>
      <c r="N19" s="28"/>
      <c r="O19" s="28"/>
      <c r="P19" s="177"/>
      <c r="Q19" s="28"/>
      <c r="R19" s="28"/>
      <c r="S19" s="28"/>
      <c r="T19" s="28"/>
      <c r="U19" s="177"/>
      <c r="V19" s="28"/>
      <c r="W19" s="28"/>
      <c r="X19" s="28"/>
      <c r="Y19" s="28"/>
      <c r="Z19" s="177"/>
      <c r="AA19" s="28"/>
      <c r="AB19" s="28"/>
      <c r="AC19" s="28"/>
      <c r="AD19" s="270"/>
      <c r="AE19" s="29"/>
      <c r="AF19" s="28"/>
      <c r="AG19" s="28"/>
      <c r="AH19" s="28"/>
      <c r="AI19" s="270"/>
      <c r="AJ19" s="29"/>
      <c r="AK19" s="28"/>
      <c r="AL19" s="28"/>
      <c r="AM19" s="28"/>
      <c r="AN19" s="270"/>
      <c r="AO19" s="29"/>
      <c r="AP19" s="28">
        <f>2603-AQ19</f>
        <v>1214</v>
      </c>
      <c r="AQ19" s="28">
        <v>1389</v>
      </c>
      <c r="AR19" s="28">
        <v>1545</v>
      </c>
      <c r="AS19" s="270">
        <f>+AT19-SUM(AP19:AR19)</f>
        <v>1495</v>
      </c>
      <c r="AT19" s="29">
        <v>5643</v>
      </c>
      <c r="AU19" s="28">
        <v>1419</v>
      </c>
      <c r="AV19" s="28">
        <v>1679</v>
      </c>
      <c r="AW19" s="28">
        <v>1799</v>
      </c>
      <c r="AX19" s="270">
        <f>+AY19-SUM(AU19:AW19)</f>
        <v>2158</v>
      </c>
      <c r="AY19" s="29">
        <v>7055</v>
      </c>
      <c r="AZ19" s="28">
        <v>1920</v>
      </c>
      <c r="BA19" s="28">
        <v>2232</v>
      </c>
      <c r="BB19" s="28">
        <v>2436</v>
      </c>
      <c r="BC19" s="270">
        <f>+BD19-SUM(AZ19:BB19)</f>
        <v>2273</v>
      </c>
      <c r="BD19" s="29">
        <v>8861</v>
      </c>
      <c r="BE19" s="28">
        <v>2356</v>
      </c>
      <c r="BF19" s="28">
        <v>2657</v>
      </c>
      <c r="BG19" s="270">
        <f t="shared" ref="BG19" si="42">BG13*BG21</f>
        <v>2659.1958442500004</v>
      </c>
      <c r="BH19" s="270">
        <f>+BI19-SUM(BE19:BG19)</f>
        <v>2674.6602841018466</v>
      </c>
      <c r="BI19" s="177">
        <f>+BI9*BI21</f>
        <v>10346.856128351847</v>
      </c>
      <c r="BJ19" s="252" t="s">
        <v>641</v>
      </c>
      <c r="BL19" s="608">
        <v>8600</v>
      </c>
    </row>
    <row r="20" spans="1:64">
      <c r="A20" s="458" t="s">
        <v>4</v>
      </c>
      <c r="B20" s="33"/>
      <c r="C20" s="34"/>
      <c r="D20" s="34"/>
      <c r="E20" s="34"/>
      <c r="F20" s="35"/>
      <c r="G20" s="33"/>
      <c r="H20" s="34"/>
      <c r="I20" s="34"/>
      <c r="J20" s="34"/>
      <c r="K20" s="35"/>
      <c r="L20" s="33" t="e">
        <f t="shared" ref="L20:BF20" si="43">L19/G19-1</f>
        <v>#DIV/0!</v>
      </c>
      <c r="M20" s="34" t="e">
        <f t="shared" si="43"/>
        <v>#DIV/0!</v>
      </c>
      <c r="N20" s="34" t="e">
        <f t="shared" si="43"/>
        <v>#DIV/0!</v>
      </c>
      <c r="O20" s="34" t="e">
        <f t="shared" si="43"/>
        <v>#DIV/0!</v>
      </c>
      <c r="P20" s="35" t="e">
        <f t="shared" si="43"/>
        <v>#DIV/0!</v>
      </c>
      <c r="Q20" s="33" t="e">
        <f t="shared" si="43"/>
        <v>#DIV/0!</v>
      </c>
      <c r="R20" s="34" t="e">
        <f t="shared" si="43"/>
        <v>#DIV/0!</v>
      </c>
      <c r="S20" s="34" t="e">
        <f t="shared" si="43"/>
        <v>#DIV/0!</v>
      </c>
      <c r="T20" s="34" t="e">
        <f t="shared" si="43"/>
        <v>#DIV/0!</v>
      </c>
      <c r="U20" s="35" t="e">
        <f t="shared" si="43"/>
        <v>#DIV/0!</v>
      </c>
      <c r="V20" s="33" t="e">
        <f t="shared" si="43"/>
        <v>#DIV/0!</v>
      </c>
      <c r="W20" s="34" t="e">
        <f t="shared" si="43"/>
        <v>#DIV/0!</v>
      </c>
      <c r="X20" s="34" t="e">
        <f t="shared" si="43"/>
        <v>#DIV/0!</v>
      </c>
      <c r="Y20" s="34" t="e">
        <f t="shared" si="43"/>
        <v>#DIV/0!</v>
      </c>
      <c r="Z20" s="35" t="e">
        <f t="shared" si="43"/>
        <v>#DIV/0!</v>
      </c>
      <c r="AA20" s="198" t="e">
        <f t="shared" si="43"/>
        <v>#DIV/0!</v>
      </c>
      <c r="AB20" s="32" t="e">
        <f t="shared" si="43"/>
        <v>#DIV/0!</v>
      </c>
      <c r="AC20" s="32" t="e">
        <f t="shared" si="43"/>
        <v>#DIV/0!</v>
      </c>
      <c r="AD20" s="32" t="e">
        <f t="shared" si="43"/>
        <v>#DIV/0!</v>
      </c>
      <c r="AE20" s="123" t="e">
        <f t="shared" si="43"/>
        <v>#DIV/0!</v>
      </c>
      <c r="AF20" s="198" t="e">
        <f t="shared" si="43"/>
        <v>#DIV/0!</v>
      </c>
      <c r="AG20" s="34" t="e">
        <f t="shared" si="43"/>
        <v>#DIV/0!</v>
      </c>
      <c r="AH20" s="32" t="e">
        <f t="shared" si="43"/>
        <v>#DIV/0!</v>
      </c>
      <c r="AI20" s="32" t="e">
        <f t="shared" si="43"/>
        <v>#DIV/0!</v>
      </c>
      <c r="AJ20" s="123" t="e">
        <f t="shared" si="43"/>
        <v>#DIV/0!</v>
      </c>
      <c r="AK20" s="198" t="e">
        <f t="shared" si="43"/>
        <v>#DIV/0!</v>
      </c>
      <c r="AL20" s="34" t="e">
        <f t="shared" si="43"/>
        <v>#DIV/0!</v>
      </c>
      <c r="AM20" s="32" t="e">
        <f t="shared" si="43"/>
        <v>#DIV/0!</v>
      </c>
      <c r="AN20" s="32" t="e">
        <f t="shared" si="43"/>
        <v>#DIV/0!</v>
      </c>
      <c r="AO20" s="123" t="e">
        <f t="shared" si="43"/>
        <v>#DIV/0!</v>
      </c>
      <c r="AP20" s="33" t="e">
        <f t="shared" si="43"/>
        <v>#DIV/0!</v>
      </c>
      <c r="AQ20" s="34" t="e">
        <f t="shared" si="43"/>
        <v>#DIV/0!</v>
      </c>
      <c r="AR20" s="32" t="e">
        <f t="shared" si="43"/>
        <v>#DIV/0!</v>
      </c>
      <c r="AS20" s="32" t="e">
        <f t="shared" si="43"/>
        <v>#DIV/0!</v>
      </c>
      <c r="AT20" s="123" t="e">
        <f t="shared" si="43"/>
        <v>#DIV/0!</v>
      </c>
      <c r="AU20" s="33">
        <f t="shared" si="43"/>
        <v>0.16886326194398693</v>
      </c>
      <c r="AV20" s="34">
        <f t="shared" si="43"/>
        <v>0.20878329733621315</v>
      </c>
      <c r="AW20" s="32">
        <f t="shared" si="43"/>
        <v>0.16440129449838192</v>
      </c>
      <c r="AX20" s="32">
        <f t="shared" ref="AX20:BC20" si="44">AX19/AS19-1</f>
        <v>0.44347826086956532</v>
      </c>
      <c r="AY20" s="123">
        <f t="shared" si="43"/>
        <v>0.25022151337940812</v>
      </c>
      <c r="AZ20" s="33">
        <f t="shared" si="43"/>
        <v>0.35306553911205074</v>
      </c>
      <c r="BA20" s="34">
        <f t="shared" si="43"/>
        <v>0.32936271590232291</v>
      </c>
      <c r="BB20" s="34">
        <f t="shared" si="43"/>
        <v>0.35408560311284054</v>
      </c>
      <c r="BC20" s="32">
        <f t="shared" si="44"/>
        <v>5.3290083410565403E-2</v>
      </c>
      <c r="BD20" s="123">
        <f t="shared" si="43"/>
        <v>0.2559886605244508</v>
      </c>
      <c r="BE20" s="33">
        <f t="shared" si="43"/>
        <v>0.2270833333333333</v>
      </c>
      <c r="BF20" s="34">
        <f t="shared" si="43"/>
        <v>0.19041218637992841</v>
      </c>
      <c r="BG20" s="34">
        <f t="shared" ref="BG20" si="45">BG19/BB19-1</f>
        <v>9.1623909790640612E-2</v>
      </c>
      <c r="BH20" s="32">
        <f t="shared" ref="BH20" si="46">BH19/BC19-1</f>
        <v>0.17670931988642624</v>
      </c>
      <c r="BI20" s="123">
        <f t="shared" ref="BI20" si="47">BI19/BD19-1</f>
        <v>0.16768492589457695</v>
      </c>
      <c r="BJ20" s="253"/>
    </row>
    <row r="21" spans="1:64">
      <c r="A21" s="458" t="s">
        <v>175</v>
      </c>
      <c r="B21" s="33"/>
      <c r="C21" s="34"/>
      <c r="D21" s="34"/>
      <c r="E21" s="34"/>
      <c r="F21" s="35"/>
      <c r="G21" s="33"/>
      <c r="H21" s="34"/>
      <c r="I21" s="34"/>
      <c r="J21" s="34"/>
      <c r="K21" s="35"/>
      <c r="L21" s="33">
        <f t="shared" ref="L21:AU21" si="48">L19/L9</f>
        <v>0</v>
      </c>
      <c r="M21" s="34">
        <f t="shared" si="48"/>
        <v>0</v>
      </c>
      <c r="N21" s="34">
        <f t="shared" si="48"/>
        <v>0</v>
      </c>
      <c r="O21" s="34">
        <f t="shared" si="48"/>
        <v>0</v>
      </c>
      <c r="P21" s="35">
        <f t="shared" si="48"/>
        <v>0</v>
      </c>
      <c r="Q21" s="33">
        <f t="shared" si="48"/>
        <v>0</v>
      </c>
      <c r="R21" s="34">
        <f t="shared" si="48"/>
        <v>0</v>
      </c>
      <c r="S21" s="34">
        <f t="shared" si="48"/>
        <v>0</v>
      </c>
      <c r="T21" s="34">
        <f t="shared" si="48"/>
        <v>0</v>
      </c>
      <c r="U21" s="35">
        <f t="shared" si="48"/>
        <v>0</v>
      </c>
      <c r="V21" s="33">
        <f t="shared" si="48"/>
        <v>0</v>
      </c>
      <c r="W21" s="34">
        <f t="shared" si="48"/>
        <v>0</v>
      </c>
      <c r="X21" s="34">
        <f t="shared" si="48"/>
        <v>0</v>
      </c>
      <c r="Y21" s="34">
        <f t="shared" si="48"/>
        <v>0</v>
      </c>
      <c r="Z21" s="35">
        <f t="shared" si="48"/>
        <v>0</v>
      </c>
      <c r="AA21" s="198">
        <f t="shared" si="48"/>
        <v>0</v>
      </c>
      <c r="AB21" s="32">
        <f t="shared" si="48"/>
        <v>0</v>
      </c>
      <c r="AC21" s="32">
        <f>AC19/AC9</f>
        <v>0</v>
      </c>
      <c r="AD21" s="32">
        <f t="shared" si="48"/>
        <v>0</v>
      </c>
      <c r="AE21" s="123">
        <f t="shared" si="48"/>
        <v>0</v>
      </c>
      <c r="AF21" s="198">
        <f t="shared" si="48"/>
        <v>0</v>
      </c>
      <c r="AG21" s="34">
        <f t="shared" si="48"/>
        <v>0</v>
      </c>
      <c r="AH21" s="32">
        <f t="shared" si="48"/>
        <v>0</v>
      </c>
      <c r="AI21" s="32">
        <f t="shared" si="48"/>
        <v>0</v>
      </c>
      <c r="AJ21" s="123">
        <f t="shared" si="48"/>
        <v>0</v>
      </c>
      <c r="AK21" s="198">
        <f t="shared" si="48"/>
        <v>0</v>
      </c>
      <c r="AL21" s="34">
        <f t="shared" si="48"/>
        <v>0</v>
      </c>
      <c r="AM21" s="32">
        <f t="shared" si="48"/>
        <v>0</v>
      </c>
      <c r="AN21" s="32">
        <f t="shared" si="48"/>
        <v>0</v>
      </c>
      <c r="AO21" s="123">
        <f t="shared" si="48"/>
        <v>0</v>
      </c>
      <c r="AP21" s="198">
        <f>AP19/AP9</f>
        <v>0.23203363914373087</v>
      </c>
      <c r="AQ21" s="34">
        <f t="shared" si="48"/>
        <v>0.24211260240543839</v>
      </c>
      <c r="AR21" s="32">
        <f t="shared" si="48"/>
        <v>0.23927520520365494</v>
      </c>
      <c r="AS21" s="32">
        <f t="shared" si="48"/>
        <v>0.2325400528853632</v>
      </c>
      <c r="AT21" s="123">
        <f t="shared" si="48"/>
        <v>0.23655418151330959</v>
      </c>
      <c r="AU21" s="198">
        <f t="shared" si="48"/>
        <v>0.2328137817883511</v>
      </c>
      <c r="AV21" s="34">
        <f t="shared" ref="AV21:BA21" si="49">AV19/AV9</f>
        <v>0.27380952380952384</v>
      </c>
      <c r="AW21" s="32">
        <f t="shared" si="49"/>
        <v>0.2568899043267171</v>
      </c>
      <c r="AX21" s="32">
        <f t="shared" si="49"/>
        <v>0.28209150326797383</v>
      </c>
      <c r="AY21" s="123">
        <f t="shared" si="49"/>
        <v>0.26245303374130424</v>
      </c>
      <c r="AZ21" s="198">
        <f t="shared" si="49"/>
        <v>0.27518990970331086</v>
      </c>
      <c r="BA21" s="34">
        <f t="shared" si="49"/>
        <v>0.27934918648310386</v>
      </c>
      <c r="BB21" s="34">
        <f t="shared" ref="BB21" si="50">BB19/BB9</f>
        <v>0.2743243243243243</v>
      </c>
      <c r="BC21" s="32">
        <f>BC19/BC9</f>
        <v>0.24007182087029996</v>
      </c>
      <c r="BD21" s="123">
        <f t="shared" ref="BD21:BF21" si="51">BD19/BD9</f>
        <v>0.26598427087710874</v>
      </c>
      <c r="BE21" s="198">
        <f t="shared" si="51"/>
        <v>0.26412556053811659</v>
      </c>
      <c r="BF21" s="34">
        <f t="shared" si="51"/>
        <v>0.27304490802589659</v>
      </c>
      <c r="BG21" s="170">
        <v>0.2787</v>
      </c>
      <c r="BH21" s="32">
        <f>BH19/BH9</f>
        <v>0.25925625418976317</v>
      </c>
      <c r="BI21" s="183">
        <v>0.26869999999999999</v>
      </c>
      <c r="BJ21" s="621"/>
    </row>
    <row r="22" spans="1:64">
      <c r="A22" s="458" t="s">
        <v>237</v>
      </c>
      <c r="B22" s="24"/>
      <c r="C22" s="24"/>
      <c r="D22" s="24"/>
      <c r="E22" s="24"/>
      <c r="F22" s="25"/>
      <c r="G22" s="34"/>
      <c r="H22" s="34"/>
      <c r="I22" s="34"/>
      <c r="J22" s="34"/>
      <c r="K22" s="35"/>
      <c r="L22" s="34">
        <f t="shared" ref="L22:BF22" si="52">(L19-G19)/(L9-G9)</f>
        <v>0</v>
      </c>
      <c r="M22" s="34">
        <f t="shared" si="52"/>
        <v>0</v>
      </c>
      <c r="N22" s="34">
        <f t="shared" si="52"/>
        <v>0</v>
      </c>
      <c r="O22" s="34">
        <f t="shared" si="52"/>
        <v>0</v>
      </c>
      <c r="P22" s="35">
        <f t="shared" si="52"/>
        <v>0</v>
      </c>
      <c r="Q22" s="34">
        <f t="shared" si="52"/>
        <v>0</v>
      </c>
      <c r="R22" s="34">
        <f t="shared" si="52"/>
        <v>0</v>
      </c>
      <c r="S22" s="34">
        <f t="shared" si="52"/>
        <v>0</v>
      </c>
      <c r="T22" s="34">
        <f t="shared" si="52"/>
        <v>0</v>
      </c>
      <c r="U22" s="35">
        <f t="shared" si="52"/>
        <v>0</v>
      </c>
      <c r="V22" s="34">
        <f t="shared" si="52"/>
        <v>0</v>
      </c>
      <c r="W22" s="34">
        <f t="shared" si="52"/>
        <v>0</v>
      </c>
      <c r="X22" s="34">
        <f t="shared" si="52"/>
        <v>0</v>
      </c>
      <c r="Y22" s="34">
        <f t="shared" si="52"/>
        <v>0</v>
      </c>
      <c r="Z22" s="35">
        <f t="shared" si="52"/>
        <v>0</v>
      </c>
      <c r="AA22" s="34">
        <f t="shared" si="52"/>
        <v>0</v>
      </c>
      <c r="AB22" s="34">
        <f t="shared" si="52"/>
        <v>0</v>
      </c>
      <c r="AC22" s="34">
        <f t="shared" si="52"/>
        <v>0</v>
      </c>
      <c r="AD22" s="34">
        <f t="shared" si="52"/>
        <v>0</v>
      </c>
      <c r="AE22" s="35">
        <f t="shared" si="52"/>
        <v>0</v>
      </c>
      <c r="AF22" s="34">
        <f t="shared" si="52"/>
        <v>0</v>
      </c>
      <c r="AG22" s="34">
        <f t="shared" si="52"/>
        <v>0</v>
      </c>
      <c r="AH22" s="34">
        <f t="shared" si="52"/>
        <v>0</v>
      </c>
      <c r="AI22" s="34">
        <f t="shared" si="52"/>
        <v>0</v>
      </c>
      <c r="AJ22" s="35">
        <f t="shared" si="52"/>
        <v>0</v>
      </c>
      <c r="AK22" s="34">
        <f t="shared" si="52"/>
        <v>0</v>
      </c>
      <c r="AL22" s="34">
        <f t="shared" si="52"/>
        <v>0</v>
      </c>
      <c r="AM22" s="34">
        <f t="shared" si="52"/>
        <v>0</v>
      </c>
      <c r="AN22" s="34">
        <f t="shared" si="52"/>
        <v>0</v>
      </c>
      <c r="AO22" s="35">
        <f t="shared" si="52"/>
        <v>0</v>
      </c>
      <c r="AP22" s="34">
        <f t="shared" si="52"/>
        <v>0.88034807831762152</v>
      </c>
      <c r="AQ22" s="34">
        <f t="shared" si="52"/>
        <v>0.9699720670391061</v>
      </c>
      <c r="AR22" s="34">
        <f t="shared" si="52"/>
        <v>1.0397039030955586</v>
      </c>
      <c r="AS22" s="34">
        <f t="shared" si="52"/>
        <v>1.6741321388577828</v>
      </c>
      <c r="AT22" s="35">
        <f t="shared" si="52"/>
        <v>1.0872832369942196</v>
      </c>
      <c r="AU22" s="34">
        <f t="shared" si="52"/>
        <v>0.23754345307068367</v>
      </c>
      <c r="AV22" s="34">
        <f t="shared" si="52"/>
        <v>0.73417721518987344</v>
      </c>
      <c r="AW22" s="34">
        <f t="shared" si="52"/>
        <v>0.46520146520146521</v>
      </c>
      <c r="AX22" s="34">
        <f>(AX19-AS19)/(AX9-AS9)</f>
        <v>0.54299754299754299</v>
      </c>
      <c r="AY22" s="35">
        <f t="shared" si="52"/>
        <v>0.46662260409781892</v>
      </c>
      <c r="AZ22" s="34">
        <f t="shared" si="52"/>
        <v>0.56802721088435371</v>
      </c>
      <c r="BA22" s="34">
        <f t="shared" si="52"/>
        <v>0.29763186221743809</v>
      </c>
      <c r="BB22" s="34">
        <f t="shared" si="52"/>
        <v>0.33937133724027702</v>
      </c>
      <c r="BC22" s="34">
        <f>(BC19-AX19)/(BC9-AX9)</f>
        <v>6.3256325632563254E-2</v>
      </c>
      <c r="BD22" s="35">
        <f t="shared" si="52"/>
        <v>0.2807399347116431</v>
      </c>
      <c r="BE22" s="34">
        <f t="shared" si="52"/>
        <v>0.22439526505404014</v>
      </c>
      <c r="BF22" s="34">
        <f t="shared" si="52"/>
        <v>0.24411257897759908</v>
      </c>
      <c r="BG22" s="34">
        <f t="shared" ref="BG22" si="53">(BG19-BB19)/(BG9-BB9)</f>
        <v>0.33744566751457999</v>
      </c>
      <c r="BH22" s="34">
        <f>(BH19-BC19)/(BH9-BC9)</f>
        <v>0.47328407091758035</v>
      </c>
      <c r="BI22" s="35">
        <f>(BI19-BD19)/(BI9-BD9)</f>
        <v>0.28612156061671801</v>
      </c>
      <c r="BJ22" s="253"/>
    </row>
    <row r="23" spans="1:64">
      <c r="A23" s="460"/>
      <c r="B23" s="24"/>
      <c r="C23" s="24"/>
      <c r="D23" s="24"/>
      <c r="E23" s="24"/>
      <c r="F23" s="25"/>
      <c r="G23" s="24"/>
      <c r="H23" s="24"/>
      <c r="I23" s="24"/>
      <c r="J23" s="24"/>
      <c r="K23" s="25"/>
      <c r="L23" s="24"/>
      <c r="M23" s="24"/>
      <c r="N23" s="24"/>
      <c r="O23" s="24"/>
      <c r="P23" s="25"/>
      <c r="Q23" s="24"/>
      <c r="R23" s="24"/>
      <c r="S23" s="24"/>
      <c r="T23" s="24"/>
      <c r="U23" s="25"/>
      <c r="V23" s="24"/>
      <c r="W23" s="24"/>
      <c r="X23" s="24"/>
      <c r="Y23" s="24"/>
      <c r="Z23" s="25"/>
      <c r="AA23" s="34"/>
      <c r="AB23" s="34"/>
      <c r="AC23" s="34"/>
      <c r="AD23" s="34"/>
      <c r="AE23" s="35"/>
      <c r="AF23" s="34"/>
      <c r="AG23" s="34"/>
      <c r="AH23" s="34"/>
      <c r="AI23" s="34"/>
      <c r="AJ23" s="35"/>
      <c r="AK23" s="34"/>
      <c r="AL23" s="34"/>
      <c r="AM23" s="34"/>
      <c r="AN23" s="34"/>
      <c r="AO23" s="35"/>
      <c r="AP23" s="34"/>
      <c r="AQ23" s="34"/>
      <c r="AR23" s="34"/>
      <c r="AS23" s="34"/>
      <c r="AT23" s="35"/>
      <c r="AU23" s="34"/>
      <c r="AV23" s="34"/>
      <c r="AW23" s="34"/>
      <c r="AX23" s="34"/>
      <c r="AY23" s="35"/>
      <c r="AZ23" s="34"/>
      <c r="BA23" s="34"/>
      <c r="BB23" s="34"/>
      <c r="BC23" s="34"/>
      <c r="BD23" s="35"/>
      <c r="BE23" s="34"/>
      <c r="BF23" s="34"/>
      <c r="BG23" s="34"/>
      <c r="BH23" s="34"/>
      <c r="BI23" s="35"/>
      <c r="BJ23" s="253"/>
    </row>
    <row r="24" spans="1:64">
      <c r="A24" s="463" t="s">
        <v>200</v>
      </c>
      <c r="B24" s="40"/>
      <c r="C24" s="40"/>
      <c r="D24" s="40"/>
      <c r="E24" s="40"/>
      <c r="F24" s="42"/>
      <c r="G24" s="40"/>
      <c r="H24" s="40"/>
      <c r="I24" s="40"/>
      <c r="J24" s="40"/>
      <c r="K24" s="42"/>
      <c r="L24" s="40">
        <v>0</v>
      </c>
      <c r="M24" s="40">
        <v>0</v>
      </c>
      <c r="N24" s="40">
        <v>0</v>
      </c>
      <c r="O24" s="40">
        <v>0</v>
      </c>
      <c r="P24" s="42">
        <f>SUM(L24:O24)</f>
        <v>0</v>
      </c>
      <c r="Q24" s="40">
        <v>0</v>
      </c>
      <c r="R24" s="40">
        <v>0</v>
      </c>
      <c r="S24" s="40">
        <v>0</v>
      </c>
      <c r="T24" s="40">
        <v>0</v>
      </c>
      <c r="U24" s="42">
        <f>SUM(Q24:T24)</f>
        <v>0</v>
      </c>
      <c r="V24" s="40">
        <v>0</v>
      </c>
      <c r="W24" s="40">
        <v>0</v>
      </c>
      <c r="X24" s="40">
        <v>0</v>
      </c>
      <c r="Y24" s="40">
        <v>0</v>
      </c>
      <c r="Z24" s="42">
        <f>SUM(V24:Y24)</f>
        <v>0</v>
      </c>
      <c r="AA24" s="40">
        <v>0</v>
      </c>
      <c r="AB24" s="40">
        <v>0</v>
      </c>
      <c r="AC24" s="40">
        <v>0</v>
      </c>
      <c r="AD24" s="18">
        <f>AE24-SUM(AA24:AC24)</f>
        <v>0</v>
      </c>
      <c r="AE24" s="19">
        <v>0</v>
      </c>
      <c r="AF24" s="40">
        <v>0</v>
      </c>
      <c r="AG24" s="40">
        <v>0</v>
      </c>
      <c r="AH24" s="40">
        <v>0</v>
      </c>
      <c r="AI24" s="18">
        <f>AJ24-SUM(AF24:AH24)</f>
        <v>0</v>
      </c>
      <c r="AJ24" s="19">
        <v>0</v>
      </c>
      <c r="AK24" s="40">
        <v>0</v>
      </c>
      <c r="AL24" s="40">
        <v>0</v>
      </c>
      <c r="AM24" s="40">
        <v>0</v>
      </c>
      <c r="AN24" s="18">
        <f>AO24-SUM(AK24:AM24)</f>
        <v>0</v>
      </c>
      <c r="AO24" s="19">
        <v>0</v>
      </c>
      <c r="AP24" s="40">
        <v>0</v>
      </c>
      <c r="AQ24" s="40">
        <v>0</v>
      </c>
      <c r="AR24" s="40">
        <v>0</v>
      </c>
      <c r="AS24" s="18">
        <f>AT24-SUM(AP24:AR24)</f>
        <v>0</v>
      </c>
      <c r="AT24" s="19">
        <v>0</v>
      </c>
      <c r="AU24" s="40">
        <v>0</v>
      </c>
      <c r="AV24" s="40">
        <v>0</v>
      </c>
      <c r="AW24" s="40">
        <v>0</v>
      </c>
      <c r="AX24" s="18">
        <f>AY24-SUM(AU24:AW24)</f>
        <v>0</v>
      </c>
      <c r="AY24" s="19">
        <v>0</v>
      </c>
      <c r="AZ24" s="40">
        <v>0</v>
      </c>
      <c r="BA24" s="40">
        <v>0</v>
      </c>
      <c r="BB24" s="40">
        <v>0</v>
      </c>
      <c r="BC24" s="18">
        <f>BD24-SUM(AZ24:BB24)</f>
        <v>0</v>
      </c>
      <c r="BD24" s="19">
        <v>0</v>
      </c>
      <c r="BE24" s="40">
        <v>0</v>
      </c>
      <c r="BF24" s="40">
        <v>0</v>
      </c>
      <c r="BG24" s="40">
        <v>0</v>
      </c>
      <c r="BH24" s="18">
        <f>BI24-SUM(BE24:BG24)</f>
        <v>0</v>
      </c>
      <c r="BI24" s="19">
        <v>0</v>
      </c>
      <c r="BJ24" s="253"/>
    </row>
    <row r="25" spans="1:64">
      <c r="A25" s="460" t="s">
        <v>203</v>
      </c>
      <c r="B25" s="40"/>
      <c r="C25" s="40"/>
      <c r="D25" s="40"/>
      <c r="E25" s="40"/>
      <c r="F25" s="42"/>
      <c r="G25" s="40"/>
      <c r="H25" s="40"/>
      <c r="I25" s="40"/>
      <c r="J25" s="40"/>
      <c r="K25" s="42"/>
      <c r="L25" s="40">
        <v>0</v>
      </c>
      <c r="M25" s="40">
        <v>0</v>
      </c>
      <c r="N25" s="40">
        <v>0</v>
      </c>
      <c r="O25" s="40">
        <v>0</v>
      </c>
      <c r="P25" s="42">
        <f>SUM(L25:O25)</f>
        <v>0</v>
      </c>
      <c r="Q25" s="40">
        <v>0</v>
      </c>
      <c r="R25" s="40">
        <v>0</v>
      </c>
      <c r="S25" s="40">
        <v>0</v>
      </c>
      <c r="T25" s="40">
        <v>0</v>
      </c>
      <c r="U25" s="42">
        <f>SUM(Q25:T25)</f>
        <v>0</v>
      </c>
      <c r="V25" s="40">
        <v>0</v>
      </c>
      <c r="W25" s="40">
        <v>0</v>
      </c>
      <c r="X25" s="40">
        <v>0</v>
      </c>
      <c r="Y25" s="40">
        <v>0</v>
      </c>
      <c r="Z25" s="42">
        <f>SUM(V25:Y25)</f>
        <v>0</v>
      </c>
      <c r="AA25" s="40">
        <v>0</v>
      </c>
      <c r="AB25" s="40">
        <v>0</v>
      </c>
      <c r="AC25" s="40">
        <v>0</v>
      </c>
      <c r="AD25" s="18">
        <f>AE25-SUM(AA25:AC25)</f>
        <v>0</v>
      </c>
      <c r="AE25" s="19">
        <v>0</v>
      </c>
      <c r="AF25" s="40">
        <v>0</v>
      </c>
      <c r="AG25" s="40">
        <v>0</v>
      </c>
      <c r="AH25" s="40">
        <v>0</v>
      </c>
      <c r="AI25" s="18">
        <f>AJ25-SUM(AF25:AH25)</f>
        <v>0</v>
      </c>
      <c r="AJ25" s="19">
        <v>0</v>
      </c>
      <c r="AK25" s="40">
        <v>0</v>
      </c>
      <c r="AL25" s="40">
        <v>0</v>
      </c>
      <c r="AM25" s="40">
        <v>0</v>
      </c>
      <c r="AN25" s="18">
        <f>AO25-SUM(AK25:AM25)</f>
        <v>0</v>
      </c>
      <c r="AO25" s="19">
        <v>0</v>
      </c>
      <c r="AP25" s="40">
        <v>0</v>
      </c>
      <c r="AQ25" s="40">
        <v>0</v>
      </c>
      <c r="AR25" s="40">
        <v>0</v>
      </c>
      <c r="AS25" s="18">
        <f>AT25-SUM(AP25:AR25)</f>
        <v>0</v>
      </c>
      <c r="AT25" s="19">
        <v>0</v>
      </c>
      <c r="AU25" s="40">
        <v>0</v>
      </c>
      <c r="AV25" s="40">
        <v>0</v>
      </c>
      <c r="AW25" s="40">
        <v>0</v>
      </c>
      <c r="AX25" s="18">
        <f>AY25-SUM(AU25:AW25)</f>
        <v>0</v>
      </c>
      <c r="AY25" s="19">
        <v>0</v>
      </c>
      <c r="AZ25" s="40">
        <v>0</v>
      </c>
      <c r="BA25" s="40">
        <v>0</v>
      </c>
      <c r="BB25" s="40">
        <v>0</v>
      </c>
      <c r="BC25" s="18">
        <f>BD25-SUM(AZ25:BB25)</f>
        <v>0</v>
      </c>
      <c r="BD25" s="19">
        <v>0</v>
      </c>
      <c r="BE25" s="40">
        <v>0</v>
      </c>
      <c r="BF25" s="40">
        <v>0</v>
      </c>
      <c r="BG25" s="40">
        <v>0</v>
      </c>
      <c r="BH25" s="18">
        <f>BI25-SUM(BE25:BG25)</f>
        <v>0</v>
      </c>
      <c r="BI25" s="19">
        <v>0</v>
      </c>
      <c r="BJ25" s="253"/>
    </row>
    <row r="26" spans="1:64">
      <c r="A26" s="460"/>
      <c r="B26" s="24"/>
      <c r="C26" s="24"/>
      <c r="D26" s="24"/>
      <c r="E26" s="24"/>
      <c r="F26" s="25"/>
      <c r="G26" s="24"/>
      <c r="H26" s="24"/>
      <c r="I26" s="24"/>
      <c r="J26" s="24"/>
      <c r="K26" s="25"/>
      <c r="L26" s="24"/>
      <c r="M26" s="24"/>
      <c r="N26" s="24"/>
      <c r="O26" s="24"/>
      <c r="P26" s="25"/>
      <c r="Q26" s="24"/>
      <c r="R26" s="24"/>
      <c r="S26" s="24"/>
      <c r="T26" s="24"/>
      <c r="U26" s="25"/>
      <c r="V26" s="24"/>
      <c r="W26" s="24"/>
      <c r="X26" s="24"/>
      <c r="Y26" s="24"/>
      <c r="Z26" s="25"/>
      <c r="AA26" s="24"/>
      <c r="AB26" s="24"/>
      <c r="AC26" s="24"/>
      <c r="AD26" s="24"/>
      <c r="AE26" s="25"/>
      <c r="AF26" s="24"/>
      <c r="AG26" s="24"/>
      <c r="AH26" s="24"/>
      <c r="AI26" s="24"/>
      <c r="AJ26" s="25"/>
      <c r="AK26" s="24"/>
      <c r="AL26" s="24"/>
      <c r="AM26" s="24"/>
      <c r="AN26" s="24"/>
      <c r="AO26" s="25"/>
      <c r="AP26" s="24"/>
      <c r="AQ26" s="24"/>
      <c r="AR26" s="24"/>
      <c r="AS26" s="24"/>
      <c r="AT26" s="25"/>
      <c r="AU26" s="24"/>
      <c r="AV26" s="24"/>
      <c r="AW26" s="24"/>
      <c r="AX26" s="24"/>
      <c r="AY26" s="25"/>
      <c r="AZ26" s="24"/>
      <c r="BA26" s="24"/>
      <c r="BB26" s="24"/>
      <c r="BC26" s="24"/>
      <c r="BD26" s="25"/>
      <c r="BE26" s="24"/>
      <c r="BF26" s="24"/>
      <c r="BG26" s="24"/>
      <c r="BH26" s="24"/>
      <c r="BI26" s="25"/>
      <c r="BJ26" s="253"/>
    </row>
    <row r="27" spans="1:64">
      <c r="A27" s="461" t="s">
        <v>173</v>
      </c>
      <c r="B27" s="22"/>
      <c r="C27" s="22"/>
      <c r="D27" s="22"/>
      <c r="E27" s="22"/>
      <c r="F27" s="23"/>
      <c r="G27" s="22"/>
      <c r="H27" s="22"/>
      <c r="I27" s="22"/>
      <c r="J27" s="22"/>
      <c r="K27" s="23"/>
      <c r="L27" s="22">
        <f t="shared" ref="L27:AB27" si="54">L19+L25+L24</f>
        <v>0</v>
      </c>
      <c r="M27" s="22">
        <f t="shared" si="54"/>
        <v>0</v>
      </c>
      <c r="N27" s="22">
        <f t="shared" si="54"/>
        <v>0</v>
      </c>
      <c r="O27" s="22">
        <f t="shared" si="54"/>
        <v>0</v>
      </c>
      <c r="P27" s="23">
        <f t="shared" si="54"/>
        <v>0</v>
      </c>
      <c r="Q27" s="22">
        <f t="shared" si="54"/>
        <v>0</v>
      </c>
      <c r="R27" s="22">
        <f t="shared" si="54"/>
        <v>0</v>
      </c>
      <c r="S27" s="22">
        <f t="shared" si="54"/>
        <v>0</v>
      </c>
      <c r="T27" s="22">
        <f t="shared" si="54"/>
        <v>0</v>
      </c>
      <c r="U27" s="23">
        <f t="shared" si="54"/>
        <v>0</v>
      </c>
      <c r="V27" s="22">
        <f t="shared" si="54"/>
        <v>0</v>
      </c>
      <c r="W27" s="22">
        <f t="shared" si="54"/>
        <v>0</v>
      </c>
      <c r="X27" s="22">
        <f t="shared" si="54"/>
        <v>0</v>
      </c>
      <c r="Y27" s="22">
        <f t="shared" si="54"/>
        <v>0</v>
      </c>
      <c r="Z27" s="23">
        <f t="shared" si="54"/>
        <v>0</v>
      </c>
      <c r="AA27" s="22">
        <f>AA19+AA25+AA24</f>
        <v>0</v>
      </c>
      <c r="AB27" s="22">
        <f t="shared" si="54"/>
        <v>0</v>
      </c>
      <c r="AC27" s="22">
        <f>AC19+AC25+AC24</f>
        <v>0</v>
      </c>
      <c r="AD27" s="22">
        <f>AD19+AD25+AD24</f>
        <v>0</v>
      </c>
      <c r="AE27" s="23">
        <f>SUM(AA27:AD27)</f>
        <v>0</v>
      </c>
      <c r="AF27" s="22">
        <f>AF19+AF25+AF24</f>
        <v>0</v>
      </c>
      <c r="AG27" s="22">
        <f>AG19+AG25+AG24</f>
        <v>0</v>
      </c>
      <c r="AH27" s="22">
        <f>AH19+AH25+AH24</f>
        <v>0</v>
      </c>
      <c r="AI27" s="22">
        <f>AI19+AI25+AI24</f>
        <v>0</v>
      </c>
      <c r="AJ27" s="23">
        <f>SUM(AF27:AI27)</f>
        <v>0</v>
      </c>
      <c r="AK27" s="22">
        <f>AK19+AK25+AK24</f>
        <v>0</v>
      </c>
      <c r="AL27" s="22">
        <f>AL19+AL25+AL24</f>
        <v>0</v>
      </c>
      <c r="AM27" s="22">
        <f>AM19+AM25+AM24</f>
        <v>0</v>
      </c>
      <c r="AN27" s="22">
        <f>AN19+AN25+AN24</f>
        <v>0</v>
      </c>
      <c r="AO27" s="23">
        <f>SUM(AK27:AN27)</f>
        <v>0</v>
      </c>
      <c r="AP27" s="22">
        <f>AP19+AP25+AP24</f>
        <v>1214</v>
      </c>
      <c r="AQ27" s="22">
        <f>AQ19+AQ25+AQ24</f>
        <v>1389</v>
      </c>
      <c r="AR27" s="22">
        <f>AR19+AR25+AR24</f>
        <v>1545</v>
      </c>
      <c r="AS27" s="22">
        <f>AS19+AS25+AS24</f>
        <v>1495</v>
      </c>
      <c r="AT27" s="177">
        <f>SUM(AP27:AS27)</f>
        <v>5643</v>
      </c>
      <c r="AU27" s="22">
        <f>AU19+AU25+AU24</f>
        <v>1419</v>
      </c>
      <c r="AV27" s="22">
        <f>AV19+AV25+AV24</f>
        <v>1679</v>
      </c>
      <c r="AW27" s="22">
        <f>AW19+AW25+AW24</f>
        <v>1799</v>
      </c>
      <c r="AX27" s="22">
        <f>AX19+AX25+AX24</f>
        <v>2158</v>
      </c>
      <c r="AY27" s="177">
        <f>SUM(AU27:AX27)</f>
        <v>7055</v>
      </c>
      <c r="AZ27" s="22">
        <f>AZ19+AZ25+AZ24</f>
        <v>1920</v>
      </c>
      <c r="BA27" s="22">
        <f>BA19+BA25+BA24</f>
        <v>2232</v>
      </c>
      <c r="BB27" s="22">
        <f>BB19+BB25+BB24</f>
        <v>2436</v>
      </c>
      <c r="BC27" s="22">
        <f>BC19+BC25+BC24</f>
        <v>2273</v>
      </c>
      <c r="BD27" s="177">
        <f>SUM(AZ27:BC27)</f>
        <v>8861</v>
      </c>
      <c r="BE27" s="22">
        <f>BE19+BE25+BE24</f>
        <v>2356</v>
      </c>
      <c r="BF27" s="22">
        <f>BF19+BF25+BF24</f>
        <v>2657</v>
      </c>
      <c r="BG27" s="22">
        <f>BG19+BG25+BG24</f>
        <v>2659.1958442500004</v>
      </c>
      <c r="BH27" s="22">
        <f>BH19+BH25+BH24</f>
        <v>2674.6602841018466</v>
      </c>
      <c r="BI27" s="177">
        <f>SUM(BE27:BH27)</f>
        <v>10346.856128351847</v>
      </c>
    </row>
    <row r="28" spans="1:64">
      <c r="A28" s="458" t="s">
        <v>4</v>
      </c>
      <c r="B28" s="33"/>
      <c r="C28" s="34"/>
      <c r="D28" s="34"/>
      <c r="E28" s="34"/>
      <c r="F28" s="35"/>
      <c r="G28" s="33"/>
      <c r="H28" s="34"/>
      <c r="I28" s="34"/>
      <c r="J28" s="34"/>
      <c r="K28" s="35"/>
      <c r="L28" s="33" t="e">
        <f t="shared" ref="L28:BA28" si="55">L27/G27-1</f>
        <v>#DIV/0!</v>
      </c>
      <c r="M28" s="34" t="e">
        <f t="shared" si="55"/>
        <v>#DIV/0!</v>
      </c>
      <c r="N28" s="34" t="e">
        <f t="shared" si="55"/>
        <v>#DIV/0!</v>
      </c>
      <c r="O28" s="34" t="e">
        <f t="shared" si="55"/>
        <v>#DIV/0!</v>
      </c>
      <c r="P28" s="35" t="e">
        <f t="shared" si="55"/>
        <v>#DIV/0!</v>
      </c>
      <c r="Q28" s="33" t="e">
        <f t="shared" si="55"/>
        <v>#DIV/0!</v>
      </c>
      <c r="R28" s="34" t="e">
        <f t="shared" si="55"/>
        <v>#DIV/0!</v>
      </c>
      <c r="S28" s="34" t="e">
        <f t="shared" si="55"/>
        <v>#DIV/0!</v>
      </c>
      <c r="T28" s="34" t="e">
        <f t="shared" si="55"/>
        <v>#DIV/0!</v>
      </c>
      <c r="U28" s="35" t="e">
        <f t="shared" si="55"/>
        <v>#DIV/0!</v>
      </c>
      <c r="V28" s="33" t="e">
        <f t="shared" si="55"/>
        <v>#DIV/0!</v>
      </c>
      <c r="W28" s="34" t="e">
        <f t="shared" si="55"/>
        <v>#DIV/0!</v>
      </c>
      <c r="X28" s="34" t="e">
        <f t="shared" si="55"/>
        <v>#DIV/0!</v>
      </c>
      <c r="Y28" s="34" t="e">
        <f t="shared" si="55"/>
        <v>#DIV/0!</v>
      </c>
      <c r="Z28" s="35" t="e">
        <f t="shared" si="55"/>
        <v>#DIV/0!</v>
      </c>
      <c r="AA28" s="198" t="e">
        <f>AA27/V27-1</f>
        <v>#DIV/0!</v>
      </c>
      <c r="AB28" s="32" t="e">
        <f t="shared" si="55"/>
        <v>#DIV/0!</v>
      </c>
      <c r="AC28" s="32" t="e">
        <f t="shared" si="55"/>
        <v>#DIV/0!</v>
      </c>
      <c r="AD28" s="32" t="e">
        <f t="shared" si="55"/>
        <v>#DIV/0!</v>
      </c>
      <c r="AE28" s="123" t="e">
        <f t="shared" si="55"/>
        <v>#DIV/0!</v>
      </c>
      <c r="AF28" s="198" t="e">
        <f t="shared" si="55"/>
        <v>#DIV/0!</v>
      </c>
      <c r="AG28" s="32" t="e">
        <f t="shared" si="55"/>
        <v>#DIV/0!</v>
      </c>
      <c r="AH28" s="32" t="e">
        <f t="shared" si="55"/>
        <v>#DIV/0!</v>
      </c>
      <c r="AI28" s="32" t="e">
        <f t="shared" si="55"/>
        <v>#DIV/0!</v>
      </c>
      <c r="AJ28" s="123" t="e">
        <f t="shared" si="55"/>
        <v>#DIV/0!</v>
      </c>
      <c r="AK28" s="198" t="e">
        <f t="shared" si="55"/>
        <v>#DIV/0!</v>
      </c>
      <c r="AL28" s="32" t="e">
        <f t="shared" si="55"/>
        <v>#DIV/0!</v>
      </c>
      <c r="AM28" s="32" t="e">
        <f t="shared" si="55"/>
        <v>#DIV/0!</v>
      </c>
      <c r="AN28" s="32" t="e">
        <f t="shared" si="55"/>
        <v>#DIV/0!</v>
      </c>
      <c r="AO28" s="123" t="e">
        <f t="shared" si="55"/>
        <v>#DIV/0!</v>
      </c>
      <c r="AP28" s="33" t="e">
        <f t="shared" si="55"/>
        <v>#DIV/0!</v>
      </c>
      <c r="AQ28" s="32" t="e">
        <f t="shared" si="55"/>
        <v>#DIV/0!</v>
      </c>
      <c r="AR28" s="32" t="e">
        <f t="shared" si="55"/>
        <v>#DIV/0!</v>
      </c>
      <c r="AS28" s="32" t="e">
        <f t="shared" si="55"/>
        <v>#DIV/0!</v>
      </c>
      <c r="AT28" s="123" t="e">
        <f t="shared" si="55"/>
        <v>#DIV/0!</v>
      </c>
      <c r="AU28" s="33">
        <f t="shared" si="55"/>
        <v>0.16886326194398693</v>
      </c>
      <c r="AV28" s="32">
        <f t="shared" si="55"/>
        <v>0.20878329733621315</v>
      </c>
      <c r="AW28" s="32">
        <f t="shared" si="55"/>
        <v>0.16440129449838192</v>
      </c>
      <c r="AX28" s="32">
        <f t="shared" ref="AX28:BD28" si="56">AX27/AS27-1</f>
        <v>0.44347826086956532</v>
      </c>
      <c r="AY28" s="123">
        <f t="shared" si="55"/>
        <v>0.25022151337940812</v>
      </c>
      <c r="AZ28" s="33">
        <f t="shared" si="55"/>
        <v>0.35306553911205074</v>
      </c>
      <c r="BA28" s="32">
        <f t="shared" si="55"/>
        <v>0.32936271590232291</v>
      </c>
      <c r="BB28" s="32">
        <f t="shared" si="56"/>
        <v>0.35408560311284054</v>
      </c>
      <c r="BC28" s="32">
        <f t="shared" si="56"/>
        <v>5.3290083410565403E-2</v>
      </c>
      <c r="BD28" s="123">
        <f t="shared" si="56"/>
        <v>0.2559886605244508</v>
      </c>
      <c r="BE28" s="33">
        <f t="shared" ref="BE28" si="57">BE27/AZ27-1</f>
        <v>0.2270833333333333</v>
      </c>
      <c r="BF28" s="32">
        <f t="shared" ref="BF28" si="58">BF27/BA27-1</f>
        <v>0.19041218637992841</v>
      </c>
      <c r="BG28" s="32">
        <f t="shared" ref="BG28" si="59">BG27/BB27-1</f>
        <v>9.1623909790640612E-2</v>
      </c>
      <c r="BH28" s="32">
        <f t="shared" ref="BH28" si="60">BH27/BC27-1</f>
        <v>0.17670931988642624</v>
      </c>
      <c r="BI28" s="123">
        <f t="shared" ref="BI28" si="61">BI27/BD27-1</f>
        <v>0.16768492589457695</v>
      </c>
      <c r="BJ28" s="24"/>
    </row>
    <row r="29" spans="1:64">
      <c r="A29" s="460"/>
      <c r="B29" s="24"/>
      <c r="C29" s="24"/>
      <c r="D29" s="24"/>
      <c r="E29" s="24"/>
      <c r="F29" s="25"/>
      <c r="G29" s="24"/>
      <c r="H29" s="24"/>
      <c r="I29" s="24"/>
      <c r="J29" s="24"/>
      <c r="K29" s="25"/>
      <c r="L29" s="24"/>
      <c r="M29" s="24"/>
      <c r="N29" s="24"/>
      <c r="O29" s="24"/>
      <c r="P29" s="25"/>
      <c r="Q29" s="24"/>
      <c r="R29" s="24"/>
      <c r="S29" s="24"/>
      <c r="T29" s="24"/>
      <c r="U29" s="25"/>
      <c r="V29" s="24"/>
      <c r="W29" s="24"/>
      <c r="X29" s="24"/>
      <c r="Y29" s="24"/>
      <c r="Z29" s="25"/>
      <c r="AA29" s="24"/>
      <c r="AB29" s="24"/>
      <c r="AC29" s="24"/>
      <c r="AD29" s="24"/>
      <c r="AE29" s="25"/>
      <c r="AF29" s="24"/>
      <c r="AG29" s="24"/>
      <c r="AH29" s="24"/>
      <c r="AI29" s="24"/>
      <c r="AJ29" s="25"/>
      <c r="AK29" s="24"/>
      <c r="AL29" s="24"/>
      <c r="AM29" s="24"/>
      <c r="AN29" s="24"/>
      <c r="AO29" s="25"/>
      <c r="AP29" s="24"/>
      <c r="AQ29" s="24"/>
      <c r="AR29" s="24"/>
      <c r="AS29" s="24"/>
      <c r="AT29" s="25"/>
      <c r="AU29" s="24"/>
      <c r="AV29" s="24"/>
      <c r="AW29" s="24"/>
      <c r="AX29" s="24"/>
      <c r="AY29" s="25"/>
      <c r="AZ29" s="24"/>
      <c r="BA29" s="24"/>
      <c r="BB29" s="24"/>
      <c r="BC29" s="24"/>
      <c r="BD29" s="25"/>
      <c r="BE29" s="24"/>
      <c r="BF29" s="24"/>
      <c r="BG29" s="24"/>
      <c r="BH29" s="24"/>
      <c r="BI29" s="25"/>
      <c r="BJ29" s="24"/>
    </row>
    <row r="30" spans="1:64">
      <c r="A30" s="461" t="s">
        <v>174</v>
      </c>
      <c r="B30" s="108"/>
      <c r="C30" s="108"/>
      <c r="D30" s="108"/>
      <c r="E30" s="108"/>
      <c r="F30" s="109"/>
      <c r="G30" s="108"/>
      <c r="H30" s="108"/>
      <c r="I30" s="108"/>
      <c r="J30" s="108"/>
      <c r="K30" s="109"/>
      <c r="L30" s="108">
        <f t="shared" ref="L30:AT30" si="62">+L27/L13</f>
        <v>0</v>
      </c>
      <c r="M30" s="108">
        <f t="shared" si="62"/>
        <v>0</v>
      </c>
      <c r="N30" s="108">
        <f t="shared" si="62"/>
        <v>0</v>
      </c>
      <c r="O30" s="108">
        <f t="shared" si="62"/>
        <v>0</v>
      </c>
      <c r="P30" s="109">
        <f t="shared" si="62"/>
        <v>0</v>
      </c>
      <c r="Q30" s="108">
        <f t="shared" si="62"/>
        <v>0</v>
      </c>
      <c r="R30" s="108">
        <f t="shared" si="62"/>
        <v>0</v>
      </c>
      <c r="S30" s="108">
        <f t="shared" si="62"/>
        <v>0</v>
      </c>
      <c r="T30" s="108">
        <f t="shared" si="62"/>
        <v>0</v>
      </c>
      <c r="U30" s="109">
        <f t="shared" si="62"/>
        <v>0</v>
      </c>
      <c r="V30" s="108">
        <f t="shared" si="62"/>
        <v>0</v>
      </c>
      <c r="W30" s="108">
        <f t="shared" si="62"/>
        <v>0</v>
      </c>
      <c r="X30" s="108">
        <f t="shared" si="62"/>
        <v>0</v>
      </c>
      <c r="Y30" s="108">
        <f t="shared" si="62"/>
        <v>0</v>
      </c>
      <c r="Z30" s="109">
        <f t="shared" si="62"/>
        <v>0</v>
      </c>
      <c r="AA30" s="108">
        <f t="shared" si="62"/>
        <v>0</v>
      </c>
      <c r="AB30" s="108">
        <f t="shared" si="62"/>
        <v>0</v>
      </c>
      <c r="AC30" s="108">
        <f t="shared" si="62"/>
        <v>0</v>
      </c>
      <c r="AD30" s="108">
        <f t="shared" si="62"/>
        <v>0</v>
      </c>
      <c r="AE30" s="109">
        <f t="shared" si="62"/>
        <v>0</v>
      </c>
      <c r="AF30" s="108">
        <f t="shared" si="62"/>
        <v>0</v>
      </c>
      <c r="AG30" s="108">
        <f t="shared" si="62"/>
        <v>0</v>
      </c>
      <c r="AH30" s="108">
        <f t="shared" si="62"/>
        <v>0</v>
      </c>
      <c r="AI30" s="108">
        <f t="shared" si="62"/>
        <v>0</v>
      </c>
      <c r="AJ30" s="109">
        <f t="shared" si="62"/>
        <v>0</v>
      </c>
      <c r="AK30" s="108">
        <f t="shared" si="62"/>
        <v>0</v>
      </c>
      <c r="AL30" s="108">
        <f t="shared" si="62"/>
        <v>0</v>
      </c>
      <c r="AM30" s="108">
        <f t="shared" si="62"/>
        <v>0</v>
      </c>
      <c r="AN30" s="108">
        <f t="shared" si="62"/>
        <v>0</v>
      </c>
      <c r="AO30" s="109">
        <f t="shared" si="62"/>
        <v>0</v>
      </c>
      <c r="AP30" s="108">
        <f t="shared" si="62"/>
        <v>0.23203363914373087</v>
      </c>
      <c r="AQ30" s="108">
        <f t="shared" si="62"/>
        <v>0.24211260240543839</v>
      </c>
      <c r="AR30" s="108">
        <f t="shared" si="62"/>
        <v>0.23927520520365494</v>
      </c>
      <c r="AS30" s="108">
        <f t="shared" si="62"/>
        <v>0.2325400528853632</v>
      </c>
      <c r="AT30" s="109">
        <f t="shared" si="62"/>
        <v>0.23655418151330959</v>
      </c>
      <c r="AU30" s="108">
        <f>+AU27/AU13</f>
        <v>0.2328137817883511</v>
      </c>
      <c r="AV30" s="108">
        <f t="shared" ref="AV30:BC30" si="63">+AV27/AV13</f>
        <v>0.27380952380952384</v>
      </c>
      <c r="AW30" s="108">
        <f t="shared" si="63"/>
        <v>0.2568899043267171</v>
      </c>
      <c r="AX30" s="108">
        <f t="shared" si="63"/>
        <v>0.28209150326797383</v>
      </c>
      <c r="AY30" s="109">
        <f t="shared" si="63"/>
        <v>0.26245303374130424</v>
      </c>
      <c r="AZ30" s="108">
        <f t="shared" si="63"/>
        <v>0.27518990970331086</v>
      </c>
      <c r="BA30" s="108">
        <f t="shared" ref="BA30" si="64">+BA27/BA13</f>
        <v>0.27934918648310386</v>
      </c>
      <c r="BB30" s="108">
        <f t="shared" si="63"/>
        <v>0.2743243243243243</v>
      </c>
      <c r="BC30" s="108">
        <f t="shared" si="63"/>
        <v>0.24007182087029996</v>
      </c>
      <c r="BD30" s="109">
        <f t="shared" ref="BD30" si="65">+BD27/BD13</f>
        <v>0.26598427087710874</v>
      </c>
      <c r="BE30" s="108">
        <f t="shared" ref="BE30:BI30" si="66">+BE27/BE13</f>
        <v>0.26412556053811659</v>
      </c>
      <c r="BF30" s="108">
        <f t="shared" si="66"/>
        <v>0.27304490802589659</v>
      </c>
      <c r="BG30" s="108">
        <f t="shared" si="66"/>
        <v>0.2787</v>
      </c>
      <c r="BH30" s="108">
        <f t="shared" si="66"/>
        <v>0.25925625418976317</v>
      </c>
      <c r="BI30" s="109">
        <f t="shared" si="66"/>
        <v>0.26869999999999999</v>
      </c>
      <c r="BJ30" s="226"/>
    </row>
    <row r="31" spans="1:64">
      <c r="A31" s="458" t="s">
        <v>4</v>
      </c>
      <c r="B31" s="33"/>
      <c r="C31" s="34"/>
      <c r="D31" s="34"/>
      <c r="E31" s="34"/>
      <c r="F31" s="35"/>
      <c r="G31" s="33"/>
      <c r="H31" s="34"/>
      <c r="I31" s="34"/>
      <c r="J31" s="34"/>
      <c r="K31" s="35"/>
      <c r="L31" s="33" t="e">
        <f t="shared" ref="L31:BA31" si="67">L30/G30-1</f>
        <v>#DIV/0!</v>
      </c>
      <c r="M31" s="34" t="e">
        <f t="shared" si="67"/>
        <v>#DIV/0!</v>
      </c>
      <c r="N31" s="34" t="e">
        <f t="shared" si="67"/>
        <v>#DIV/0!</v>
      </c>
      <c r="O31" s="34" t="e">
        <f t="shared" si="67"/>
        <v>#DIV/0!</v>
      </c>
      <c r="P31" s="35" t="e">
        <f t="shared" si="67"/>
        <v>#DIV/0!</v>
      </c>
      <c r="Q31" s="33" t="e">
        <f t="shared" si="67"/>
        <v>#DIV/0!</v>
      </c>
      <c r="R31" s="34" t="e">
        <f t="shared" si="67"/>
        <v>#DIV/0!</v>
      </c>
      <c r="S31" s="34" t="e">
        <f t="shared" si="67"/>
        <v>#DIV/0!</v>
      </c>
      <c r="T31" s="34" t="e">
        <f t="shared" si="67"/>
        <v>#DIV/0!</v>
      </c>
      <c r="U31" s="35" t="e">
        <f t="shared" si="67"/>
        <v>#DIV/0!</v>
      </c>
      <c r="V31" s="33" t="e">
        <f t="shared" si="67"/>
        <v>#DIV/0!</v>
      </c>
      <c r="W31" s="34" t="e">
        <f t="shared" si="67"/>
        <v>#DIV/0!</v>
      </c>
      <c r="X31" s="34" t="e">
        <f t="shared" si="67"/>
        <v>#DIV/0!</v>
      </c>
      <c r="Y31" s="34" t="e">
        <f t="shared" si="67"/>
        <v>#DIV/0!</v>
      </c>
      <c r="Z31" s="35" t="e">
        <f t="shared" si="67"/>
        <v>#DIV/0!</v>
      </c>
      <c r="AA31" s="198" t="e">
        <f t="shared" si="67"/>
        <v>#DIV/0!</v>
      </c>
      <c r="AB31" s="32" t="e">
        <f t="shared" si="67"/>
        <v>#DIV/0!</v>
      </c>
      <c r="AC31" s="32" t="e">
        <f t="shared" si="67"/>
        <v>#DIV/0!</v>
      </c>
      <c r="AD31" s="32" t="e">
        <f t="shared" si="67"/>
        <v>#DIV/0!</v>
      </c>
      <c r="AE31" s="123" t="e">
        <f t="shared" si="67"/>
        <v>#DIV/0!</v>
      </c>
      <c r="AF31" s="198" t="e">
        <f t="shared" si="67"/>
        <v>#DIV/0!</v>
      </c>
      <c r="AG31" s="32" t="e">
        <f t="shared" si="67"/>
        <v>#DIV/0!</v>
      </c>
      <c r="AH31" s="32" t="e">
        <f t="shared" si="67"/>
        <v>#DIV/0!</v>
      </c>
      <c r="AI31" s="32" t="e">
        <f t="shared" si="67"/>
        <v>#DIV/0!</v>
      </c>
      <c r="AJ31" s="123" t="e">
        <f t="shared" si="67"/>
        <v>#DIV/0!</v>
      </c>
      <c r="AK31" s="198" t="e">
        <f t="shared" si="67"/>
        <v>#DIV/0!</v>
      </c>
      <c r="AL31" s="32" t="e">
        <f t="shared" si="67"/>
        <v>#DIV/0!</v>
      </c>
      <c r="AM31" s="32" t="e">
        <f t="shared" si="67"/>
        <v>#DIV/0!</v>
      </c>
      <c r="AN31" s="32" t="e">
        <f t="shared" si="67"/>
        <v>#DIV/0!</v>
      </c>
      <c r="AO31" s="123" t="e">
        <f t="shared" si="67"/>
        <v>#DIV/0!</v>
      </c>
      <c r="AP31" s="33" t="e">
        <f t="shared" si="67"/>
        <v>#DIV/0!</v>
      </c>
      <c r="AQ31" s="32" t="e">
        <f t="shared" si="67"/>
        <v>#DIV/0!</v>
      </c>
      <c r="AR31" s="32" t="e">
        <f t="shared" si="67"/>
        <v>#DIV/0!</v>
      </c>
      <c r="AS31" s="32" t="e">
        <f t="shared" si="67"/>
        <v>#DIV/0!</v>
      </c>
      <c r="AT31" s="123" t="e">
        <f t="shared" si="67"/>
        <v>#DIV/0!</v>
      </c>
      <c r="AU31" s="33">
        <f t="shared" si="67"/>
        <v>3.3621963069629945E-3</v>
      </c>
      <c r="AV31" s="32">
        <f t="shared" si="67"/>
        <v>0.13091809798073295</v>
      </c>
      <c r="AW31" s="32">
        <f t="shared" si="67"/>
        <v>7.3616901124668122E-2</v>
      </c>
      <c r="AX31" s="32">
        <f t="shared" ref="AX31:BD31" si="68">AX30/AS30-1</f>
        <v>0.21308780903665814</v>
      </c>
      <c r="AY31" s="123">
        <f t="shared" si="67"/>
        <v>0.10948380646798017</v>
      </c>
      <c r="AZ31" s="33">
        <f t="shared" si="67"/>
        <v>0.18201726542754026</v>
      </c>
      <c r="BA31" s="32">
        <f t="shared" si="67"/>
        <v>2.0231811503509611E-2</v>
      </c>
      <c r="BB31" s="32">
        <f t="shared" si="68"/>
        <v>6.7867283626038555E-2</v>
      </c>
      <c r="BC31" s="32">
        <f t="shared" si="68"/>
        <v>-0.14895763222530356</v>
      </c>
      <c r="BD31" s="123">
        <f t="shared" si="68"/>
        <v>1.3454739255501114E-2</v>
      </c>
      <c r="BE31" s="33">
        <f t="shared" ref="BE31" si="69">BE30/AZ30-1</f>
        <v>-4.0206231315396024E-2</v>
      </c>
      <c r="BF31" s="32">
        <f t="shared" ref="BF31" si="70">BF30/BA30-1</f>
        <v>-2.2567735158192659E-2</v>
      </c>
      <c r="BG31" s="32">
        <f t="shared" ref="BG31" si="71">BG30/BB30-1</f>
        <v>1.5950738916256313E-2</v>
      </c>
      <c r="BH31" s="32">
        <f t="shared" ref="BH31" si="72">BH30/BC30-1</f>
        <v>7.9911225107205386E-2</v>
      </c>
      <c r="BI31" s="123">
        <f t="shared" ref="BI31" si="73">BI30/BD30-1</f>
        <v>1.0210111725538873E-2</v>
      </c>
      <c r="BJ31" s="24"/>
    </row>
    <row r="32" spans="1:64">
      <c r="A32" s="458" t="s">
        <v>237</v>
      </c>
      <c r="B32" s="34"/>
      <c r="C32" s="34"/>
      <c r="D32" s="34"/>
      <c r="E32" s="34"/>
      <c r="F32" s="35"/>
      <c r="G32" s="34"/>
      <c r="H32" s="34"/>
      <c r="I32" s="34"/>
      <c r="J32" s="34"/>
      <c r="K32" s="35"/>
      <c r="L32" s="34">
        <f t="shared" ref="L32:BA32" si="74">(L27-G27)/(L13-G13)</f>
        <v>0</v>
      </c>
      <c r="M32" s="34">
        <f t="shared" si="74"/>
        <v>0</v>
      </c>
      <c r="N32" s="34">
        <f t="shared" si="74"/>
        <v>0</v>
      </c>
      <c r="O32" s="34">
        <f t="shared" si="74"/>
        <v>0</v>
      </c>
      <c r="P32" s="35">
        <f t="shared" si="74"/>
        <v>0</v>
      </c>
      <c r="Q32" s="34">
        <f t="shared" si="74"/>
        <v>0</v>
      </c>
      <c r="R32" s="34">
        <f t="shared" si="74"/>
        <v>0</v>
      </c>
      <c r="S32" s="34">
        <f t="shared" si="74"/>
        <v>0</v>
      </c>
      <c r="T32" s="34">
        <f t="shared" si="74"/>
        <v>0</v>
      </c>
      <c r="U32" s="35">
        <f t="shared" si="74"/>
        <v>0</v>
      </c>
      <c r="V32" s="34">
        <f t="shared" si="74"/>
        <v>0</v>
      </c>
      <c r="W32" s="34">
        <f t="shared" si="74"/>
        <v>0</v>
      </c>
      <c r="X32" s="34">
        <f t="shared" si="74"/>
        <v>0</v>
      </c>
      <c r="Y32" s="34">
        <f t="shared" si="74"/>
        <v>0</v>
      </c>
      <c r="Z32" s="35">
        <f t="shared" si="74"/>
        <v>0</v>
      </c>
      <c r="AA32" s="34">
        <f t="shared" si="74"/>
        <v>0</v>
      </c>
      <c r="AB32" s="34">
        <f t="shared" si="74"/>
        <v>0</v>
      </c>
      <c r="AC32" s="34">
        <f t="shared" si="74"/>
        <v>0</v>
      </c>
      <c r="AD32" s="34">
        <f t="shared" si="74"/>
        <v>0</v>
      </c>
      <c r="AE32" s="35">
        <f t="shared" si="74"/>
        <v>0</v>
      </c>
      <c r="AF32" s="34">
        <f t="shared" si="74"/>
        <v>0</v>
      </c>
      <c r="AG32" s="34">
        <f t="shared" si="74"/>
        <v>0</v>
      </c>
      <c r="AH32" s="34">
        <f t="shared" si="74"/>
        <v>0</v>
      </c>
      <c r="AI32" s="34">
        <f t="shared" si="74"/>
        <v>0</v>
      </c>
      <c r="AJ32" s="35">
        <f t="shared" si="74"/>
        <v>0</v>
      </c>
      <c r="AK32" s="34">
        <f t="shared" si="74"/>
        <v>0</v>
      </c>
      <c r="AL32" s="34">
        <f t="shared" si="74"/>
        <v>0</v>
      </c>
      <c r="AM32" s="34">
        <f t="shared" si="74"/>
        <v>0</v>
      </c>
      <c r="AN32" s="34">
        <f t="shared" si="74"/>
        <v>0</v>
      </c>
      <c r="AO32" s="35">
        <f t="shared" si="74"/>
        <v>0</v>
      </c>
      <c r="AP32" s="34">
        <f>(AT27-AK27)/(AT13-AK13)</f>
        <v>0.28212178782121788</v>
      </c>
      <c r="AQ32" s="34">
        <f t="shared" si="74"/>
        <v>0.9699720670391061</v>
      </c>
      <c r="AR32" s="34">
        <f t="shared" si="74"/>
        <v>1.0397039030955586</v>
      </c>
      <c r="AS32" s="34">
        <f t="shared" si="74"/>
        <v>1.6741321388577828</v>
      </c>
      <c r="AT32" s="35">
        <f t="shared" si="74"/>
        <v>1.0872832369942196</v>
      </c>
      <c r="AU32" s="34">
        <f>(AY27-AP27)/(AY13-AP13)</f>
        <v>0.26980460991269806</v>
      </c>
      <c r="AV32" s="34">
        <f t="shared" si="74"/>
        <v>0.73417721518987344</v>
      </c>
      <c r="AW32" s="34">
        <f t="shared" si="74"/>
        <v>0.46520146520146521</v>
      </c>
      <c r="AX32" s="34">
        <f t="shared" ref="AX32:BD32" si="75">(AX27-AS27)/(AX13-AS13)</f>
        <v>0.54299754299754299</v>
      </c>
      <c r="AY32" s="35">
        <f t="shared" si="74"/>
        <v>0.46662260409781892</v>
      </c>
      <c r="AZ32" s="34">
        <f>(BD27-AU27)/(BD13-AU13)</f>
        <v>0.27341195488445569</v>
      </c>
      <c r="BA32" s="34">
        <f t="shared" si="74"/>
        <v>0.29763186221743809</v>
      </c>
      <c r="BB32" s="34">
        <f t="shared" si="75"/>
        <v>0.33937133724027702</v>
      </c>
      <c r="BC32" s="34">
        <f t="shared" si="75"/>
        <v>6.3256325632563254E-2</v>
      </c>
      <c r="BD32" s="35">
        <f t="shared" si="75"/>
        <v>0.2807399347116431</v>
      </c>
      <c r="BE32" s="34">
        <f>(BI27-AZ27)/(BI13-AZ13)</f>
        <v>0.26726390849461507</v>
      </c>
      <c r="BF32" s="34">
        <f t="shared" ref="BF32" si="76">(BF27-BA27)/(BF13-BA13)</f>
        <v>0.24411257897759908</v>
      </c>
      <c r="BG32" s="34">
        <f t="shared" ref="BG32" si="77">(BG27-BB27)/(BG13-BB13)</f>
        <v>0.33744566751457999</v>
      </c>
      <c r="BH32" s="34">
        <f t="shared" ref="BH32" si="78">(BH27-BC27)/(BH13-BC13)</f>
        <v>0.47328407091758035</v>
      </c>
      <c r="BI32" s="35">
        <f t="shared" ref="BI32" si="79">(BI27-BD27)/(BI13-BD13)</f>
        <v>0.28612156061671801</v>
      </c>
      <c r="BJ32" s="24"/>
    </row>
    <row r="33" spans="1:62">
      <c r="A33" s="458"/>
      <c r="B33" s="24"/>
      <c r="C33" s="24"/>
      <c r="D33" s="24"/>
      <c r="E33" s="24"/>
      <c r="F33" s="25"/>
      <c r="G33" s="24"/>
      <c r="H33" s="24"/>
      <c r="I33" s="24"/>
      <c r="J33" s="24"/>
      <c r="K33" s="25"/>
      <c r="L33" s="24"/>
      <c r="M33" s="24"/>
      <c r="N33" s="24"/>
      <c r="O33" s="24"/>
      <c r="P33" s="25"/>
      <c r="Q33" s="24"/>
      <c r="R33" s="24"/>
      <c r="S33" s="24"/>
      <c r="T33" s="24"/>
      <c r="U33" s="25"/>
      <c r="V33" s="24"/>
      <c r="W33" s="24"/>
      <c r="X33" s="24"/>
      <c r="Y33" s="24"/>
      <c r="Z33" s="25"/>
      <c r="AA33" s="24"/>
      <c r="AB33" s="24"/>
      <c r="AC33" s="24"/>
      <c r="AD33" s="24"/>
      <c r="AE33" s="25"/>
      <c r="AF33" s="24"/>
      <c r="AG33" s="24"/>
      <c r="AH33" s="24"/>
      <c r="AI33" s="24"/>
      <c r="AJ33" s="25"/>
      <c r="AK33" s="222"/>
      <c r="AL33" s="24"/>
      <c r="AM33" s="24"/>
      <c r="AN33" s="24"/>
      <c r="AO33" s="25"/>
      <c r="AP33" s="222"/>
      <c r="AQ33" s="24"/>
      <c r="AR33" s="222"/>
      <c r="AS33" s="222"/>
      <c r="AT33" s="265"/>
      <c r="AU33" s="222"/>
      <c r="AV33" s="24"/>
      <c r="AW33" s="222"/>
      <c r="AX33" s="222"/>
      <c r="AY33" s="265"/>
      <c r="AZ33" s="222"/>
      <c r="BA33" s="24"/>
      <c r="BB33" s="222"/>
      <c r="BC33" s="222"/>
      <c r="BD33" s="265"/>
      <c r="BE33" s="222"/>
      <c r="BF33" s="24"/>
      <c r="BG33" s="222"/>
      <c r="BH33" s="222"/>
      <c r="BI33" s="265"/>
      <c r="BJ33" s="24"/>
    </row>
    <row r="34" spans="1:62">
      <c r="A34" s="464" t="s">
        <v>301</v>
      </c>
      <c r="B34" s="24"/>
      <c r="C34" s="24"/>
      <c r="D34" s="24"/>
      <c r="E34" s="24"/>
      <c r="F34" s="25"/>
      <c r="G34" s="24"/>
      <c r="H34" s="24"/>
      <c r="I34" s="24"/>
      <c r="J34" s="24"/>
      <c r="K34" s="25"/>
      <c r="L34" s="24"/>
      <c r="M34" s="24"/>
      <c r="N34" s="24"/>
      <c r="O34" s="24"/>
      <c r="P34" s="25"/>
      <c r="Q34" s="24"/>
      <c r="R34" s="24"/>
      <c r="S34" s="24"/>
      <c r="T34" s="24"/>
      <c r="U34" s="25"/>
      <c r="V34" s="24"/>
      <c r="W34" s="24"/>
      <c r="X34" s="24"/>
      <c r="Y34" s="24"/>
      <c r="Z34" s="25"/>
      <c r="AA34" s="24"/>
      <c r="AB34" s="24"/>
      <c r="AC34" s="24"/>
      <c r="AD34" s="24"/>
      <c r="AE34" s="25"/>
      <c r="AF34" s="24"/>
      <c r="AG34" s="24"/>
      <c r="AH34" s="24"/>
      <c r="AI34" s="24"/>
      <c r="AJ34" s="25"/>
      <c r="AK34" s="24"/>
      <c r="AL34" s="24"/>
      <c r="AM34" s="24"/>
      <c r="AN34" s="24"/>
      <c r="AO34" s="25"/>
      <c r="AP34" s="24"/>
      <c r="AQ34" s="24"/>
      <c r="AR34" s="24"/>
      <c r="AS34" s="24"/>
      <c r="AT34" s="25"/>
      <c r="AU34" s="24"/>
      <c r="AV34" s="24"/>
      <c r="AW34" s="24"/>
      <c r="AX34" s="24"/>
      <c r="AY34" s="25"/>
      <c r="AZ34" s="24"/>
      <c r="BA34" s="24"/>
      <c r="BB34" s="24"/>
      <c r="BC34" s="24"/>
      <c r="BD34" s="25"/>
      <c r="BE34" s="24"/>
      <c r="BF34" s="24"/>
      <c r="BG34" s="24"/>
      <c r="BH34" s="24"/>
      <c r="BI34" s="25"/>
      <c r="BJ34" s="24"/>
    </row>
    <row r="35" spans="1:62">
      <c r="A35" s="458" t="s">
        <v>296</v>
      </c>
      <c r="B35" s="40"/>
      <c r="C35" s="40"/>
      <c r="D35" s="40"/>
      <c r="E35" s="20"/>
      <c r="F35" s="42"/>
      <c r="G35" s="40"/>
      <c r="H35" s="40"/>
      <c r="I35" s="40"/>
      <c r="J35" s="20"/>
      <c r="K35" s="42"/>
      <c r="L35" s="40"/>
      <c r="M35" s="40"/>
      <c r="N35" s="40"/>
      <c r="O35" s="20"/>
      <c r="P35" s="42"/>
      <c r="Q35" s="40"/>
      <c r="R35" s="40"/>
      <c r="S35" s="40"/>
      <c r="T35" s="20"/>
      <c r="U35" s="42"/>
      <c r="V35" s="41">
        <f>V3</f>
        <v>2249</v>
      </c>
      <c r="W35" s="41">
        <f t="shared" ref="W35:AX35" si="80">W3</f>
        <v>2194</v>
      </c>
      <c r="X35" s="41">
        <f t="shared" si="80"/>
        <v>2196</v>
      </c>
      <c r="Y35" s="41">
        <f t="shared" si="80"/>
        <v>2319</v>
      </c>
      <c r="Z35" s="71">
        <f t="shared" si="80"/>
        <v>8958</v>
      </c>
      <c r="AA35" s="41">
        <f t="shared" si="80"/>
        <v>1819</v>
      </c>
      <c r="AB35" s="41">
        <f t="shared" si="80"/>
        <v>1349</v>
      </c>
      <c r="AC35" s="41">
        <f t="shared" si="80"/>
        <v>1456</v>
      </c>
      <c r="AD35" s="41">
        <f t="shared" si="80"/>
        <v>1677</v>
      </c>
      <c r="AE35" s="71">
        <f t="shared" si="80"/>
        <v>6301</v>
      </c>
      <c r="AF35" s="41">
        <f t="shared" si="80"/>
        <v>1365</v>
      </c>
      <c r="AG35" s="41">
        <f t="shared" si="80"/>
        <v>1357</v>
      </c>
      <c r="AH35" s="41">
        <f t="shared" si="80"/>
        <v>1217</v>
      </c>
      <c r="AI35" s="41">
        <f t="shared" si="80"/>
        <v>1426</v>
      </c>
      <c r="AJ35" s="71">
        <f t="shared" si="80"/>
        <v>5365</v>
      </c>
      <c r="AK35" s="41">
        <f t="shared" si="80"/>
        <v>1133</v>
      </c>
      <c r="AL35" s="41">
        <f t="shared" si="80"/>
        <v>1349</v>
      </c>
      <c r="AM35" s="41">
        <f t="shared" si="80"/>
        <v>1469</v>
      </c>
      <c r="AN35" s="41">
        <f t="shared" si="80"/>
        <v>1856</v>
      </c>
      <c r="AO35" s="71">
        <f t="shared" si="80"/>
        <v>5807</v>
      </c>
      <c r="AP35" s="41">
        <f t="shared" si="80"/>
        <v>1299</v>
      </c>
      <c r="AQ35" s="41">
        <f t="shared" si="80"/>
        <v>1607</v>
      </c>
      <c r="AR35" s="41">
        <f t="shared" si="80"/>
        <v>1604</v>
      </c>
      <c r="AS35" s="41">
        <f t="shared" si="80"/>
        <v>1659</v>
      </c>
      <c r="AT35" s="71">
        <f t="shared" si="80"/>
        <v>6169</v>
      </c>
      <c r="AU35" s="41">
        <f>AU3</f>
        <v>1706</v>
      </c>
      <c r="AV35" s="41">
        <f>AV3</f>
        <v>1427</v>
      </c>
      <c r="AW35" s="41">
        <f>AW3</f>
        <v>1686</v>
      </c>
      <c r="AX35" s="41">
        <f t="shared" si="80"/>
        <v>2287</v>
      </c>
      <c r="AY35" s="71">
        <f t="shared" ref="AY35:BD35" si="81">AY3</f>
        <v>7106</v>
      </c>
      <c r="AZ35" s="41">
        <f t="shared" si="81"/>
        <v>1858.5</v>
      </c>
      <c r="BA35" s="41">
        <f>BA3</f>
        <v>1931</v>
      </c>
      <c r="BB35" s="41">
        <f t="shared" si="81"/>
        <v>2059</v>
      </c>
      <c r="BC35" s="41">
        <f t="shared" si="81"/>
        <v>2455.5</v>
      </c>
      <c r="BD35" s="71">
        <f t="shared" si="81"/>
        <v>8304</v>
      </c>
      <c r="BE35" s="41">
        <f t="shared" ref="BE35" si="82">BE3</f>
        <v>2102</v>
      </c>
      <c r="BF35" s="41">
        <f>BF3</f>
        <v>2297</v>
      </c>
      <c r="BG35" s="41">
        <f t="shared" ref="BG35:BI35" si="83">BG3</f>
        <v>2311.2275</v>
      </c>
      <c r="BH35" s="41">
        <f t="shared" si="83"/>
        <v>2499.4951798580414</v>
      </c>
      <c r="BI35" s="71">
        <f t="shared" si="83"/>
        <v>9209.7226798580414</v>
      </c>
      <c r="BJ35" s="323"/>
    </row>
    <row r="36" spans="1:62">
      <c r="A36" s="465" t="s">
        <v>4</v>
      </c>
      <c r="B36" s="87"/>
      <c r="C36" s="87"/>
      <c r="D36" s="87"/>
      <c r="E36" s="87"/>
      <c r="F36" s="90"/>
      <c r="G36" s="255"/>
      <c r="H36" s="255"/>
      <c r="I36" s="255"/>
      <c r="J36" s="255"/>
      <c r="K36" s="88"/>
      <c r="L36" s="255"/>
      <c r="M36" s="255"/>
      <c r="N36" s="255"/>
      <c r="O36" s="255"/>
      <c r="P36" s="88"/>
      <c r="Q36" s="255"/>
      <c r="R36" s="255"/>
      <c r="S36" s="255"/>
      <c r="T36" s="255"/>
      <c r="U36" s="88"/>
      <c r="V36" s="255" t="e">
        <f t="shared" ref="V36:BA36" si="84">+V35/Q35-1</f>
        <v>#DIV/0!</v>
      </c>
      <c r="W36" s="255" t="e">
        <f t="shared" si="84"/>
        <v>#DIV/0!</v>
      </c>
      <c r="X36" s="255" t="e">
        <f t="shared" si="84"/>
        <v>#DIV/0!</v>
      </c>
      <c r="Y36" s="255" t="e">
        <f t="shared" si="84"/>
        <v>#DIV/0!</v>
      </c>
      <c r="Z36" s="88" t="e">
        <f t="shared" si="84"/>
        <v>#DIV/0!</v>
      </c>
      <c r="AA36" s="255">
        <f t="shared" si="84"/>
        <v>-0.19119608714984437</v>
      </c>
      <c r="AB36" s="255">
        <f t="shared" si="84"/>
        <v>-0.38514129443938017</v>
      </c>
      <c r="AC36" s="255">
        <f t="shared" si="84"/>
        <v>-0.33697632058287796</v>
      </c>
      <c r="AD36" s="255">
        <f t="shared" si="84"/>
        <v>-0.27684346701164297</v>
      </c>
      <c r="AE36" s="88">
        <f t="shared" si="84"/>
        <v>-0.29660638535387363</v>
      </c>
      <c r="AF36" s="255">
        <f t="shared" si="84"/>
        <v>-0.24958768554150634</v>
      </c>
      <c r="AG36" s="255">
        <f t="shared" si="84"/>
        <v>5.9303187546331237E-3</v>
      </c>
      <c r="AH36" s="255">
        <f t="shared" si="84"/>
        <v>-0.16414835164835162</v>
      </c>
      <c r="AI36" s="255">
        <f t="shared" si="84"/>
        <v>-0.14967203339296364</v>
      </c>
      <c r="AJ36" s="88">
        <f t="shared" si="84"/>
        <v>-0.14854784954769085</v>
      </c>
      <c r="AK36" s="255">
        <f t="shared" si="84"/>
        <v>-0.16996336996336991</v>
      </c>
      <c r="AL36" s="255">
        <f t="shared" si="84"/>
        <v>-5.8953574060427449E-3</v>
      </c>
      <c r="AM36" s="255">
        <f t="shared" si="84"/>
        <v>0.20706655710764177</v>
      </c>
      <c r="AN36" s="255">
        <f t="shared" si="84"/>
        <v>0.30154277699859744</v>
      </c>
      <c r="AO36" s="88">
        <f t="shared" si="84"/>
        <v>8.2385834109972134E-2</v>
      </c>
      <c r="AP36" s="255">
        <f t="shared" si="84"/>
        <v>0.14651368049426305</v>
      </c>
      <c r="AQ36" s="255">
        <f t="shared" si="84"/>
        <v>0.19125277983691613</v>
      </c>
      <c r="AR36" s="255">
        <f t="shared" si="84"/>
        <v>9.1899251191286613E-2</v>
      </c>
      <c r="AS36" s="255">
        <f t="shared" si="84"/>
        <v>-0.10614224137931039</v>
      </c>
      <c r="AT36" s="88">
        <f t="shared" si="84"/>
        <v>6.233855691406931E-2</v>
      </c>
      <c r="AU36" s="255">
        <f t="shared" si="84"/>
        <v>0.31331793687451892</v>
      </c>
      <c r="AV36" s="255">
        <f t="shared" si="84"/>
        <v>-0.11200995644057254</v>
      </c>
      <c r="AW36" s="255">
        <f t="shared" si="84"/>
        <v>5.1122194513715691E-2</v>
      </c>
      <c r="AX36" s="255">
        <f>+AX35/AS35-1</f>
        <v>0.37854128993369507</v>
      </c>
      <c r="AY36" s="88">
        <f t="shared" si="84"/>
        <v>0.15188847463122057</v>
      </c>
      <c r="AZ36" s="255">
        <f t="shared" si="84"/>
        <v>8.9390386869871108E-2</v>
      </c>
      <c r="BA36" s="255">
        <f t="shared" si="84"/>
        <v>0.35318850735809382</v>
      </c>
      <c r="BB36" s="255">
        <f>+BB35/AW35-1</f>
        <v>0.22123368920521935</v>
      </c>
      <c r="BC36" s="255">
        <f>+BC35/AX35-1</f>
        <v>7.3677306515085306E-2</v>
      </c>
      <c r="BD36" s="88">
        <f>+BD35/AY35-1</f>
        <v>0.16858992400788075</v>
      </c>
      <c r="BE36" s="255">
        <f t="shared" ref="BE36" si="85">+BE35/AZ35-1</f>
        <v>0.1310196394942158</v>
      </c>
      <c r="BF36" s="255">
        <f t="shared" ref="BF36" si="86">+BF35/BA35-1</f>
        <v>0.18953909891248055</v>
      </c>
      <c r="BG36" s="255">
        <f>+BG35/BB35-1</f>
        <v>0.12250000000000005</v>
      </c>
      <c r="BH36" s="255">
        <f>+BH35/BC35-1</f>
        <v>1.7916994444325596E-2</v>
      </c>
      <c r="BI36" s="88">
        <f>+BI35/BD35-1</f>
        <v>0.10907065027192209</v>
      </c>
      <c r="BJ36" s="324"/>
    </row>
    <row r="37" spans="1:62">
      <c r="A37" s="465"/>
      <c r="B37" s="87"/>
      <c r="C37" s="87"/>
      <c r="D37" s="87"/>
      <c r="E37" s="87"/>
      <c r="F37" s="90"/>
      <c r="G37" s="255"/>
      <c r="H37" s="255"/>
      <c r="I37" s="255"/>
      <c r="J37" s="255"/>
      <c r="K37" s="88"/>
      <c r="L37" s="255"/>
      <c r="M37" s="255"/>
      <c r="N37" s="255"/>
      <c r="O37" s="255"/>
      <c r="P37" s="88"/>
      <c r="Q37" s="255"/>
      <c r="R37" s="255"/>
      <c r="S37" s="255"/>
      <c r="T37" s="255"/>
      <c r="U37" s="88"/>
      <c r="V37" s="255"/>
      <c r="W37" s="255"/>
      <c r="X37" s="255"/>
      <c r="Y37" s="255"/>
      <c r="Z37" s="88"/>
      <c r="AA37" s="255"/>
      <c r="AB37" s="255"/>
      <c r="AC37" s="255"/>
      <c r="AD37" s="255"/>
      <c r="AE37" s="88"/>
      <c r="AF37" s="255"/>
      <c r="AG37" s="255"/>
      <c r="AH37" s="255"/>
      <c r="AI37" s="255"/>
      <c r="AJ37" s="88"/>
      <c r="AK37" s="255"/>
      <c r="AL37" s="255"/>
      <c r="AM37" s="255"/>
      <c r="AN37" s="255"/>
      <c r="AO37" s="88"/>
      <c r="AP37" s="255"/>
      <c r="AQ37" s="255"/>
      <c r="AR37" s="255"/>
      <c r="AS37" s="255"/>
      <c r="AT37" s="88"/>
      <c r="AU37" s="255"/>
      <c r="AV37" s="255"/>
      <c r="AW37" s="255"/>
      <c r="AX37" s="255"/>
      <c r="AY37" s="88"/>
      <c r="AZ37" s="255"/>
      <c r="BA37" s="255"/>
      <c r="BB37" s="255"/>
      <c r="BC37" s="255"/>
      <c r="BD37" s="88"/>
      <c r="BE37" s="255"/>
      <c r="BF37" s="255"/>
      <c r="BG37" s="255"/>
      <c r="BH37" s="255"/>
      <c r="BI37" s="88"/>
      <c r="BJ37" s="324"/>
    </row>
    <row r="38" spans="1:62">
      <c r="A38" s="458" t="s">
        <v>2</v>
      </c>
      <c r="B38" s="40"/>
      <c r="C38" s="40"/>
      <c r="D38" s="40"/>
      <c r="E38" s="20"/>
      <c r="F38" s="42"/>
      <c r="G38" s="40"/>
      <c r="H38" s="40"/>
      <c r="I38" s="40"/>
      <c r="J38" s="20"/>
      <c r="K38" s="42"/>
      <c r="L38" s="40"/>
      <c r="M38" s="40"/>
      <c r="N38" s="40"/>
      <c r="O38" s="20"/>
      <c r="P38" s="42"/>
      <c r="Q38" s="40"/>
      <c r="R38" s="40"/>
      <c r="S38" s="40"/>
      <c r="T38" s="20"/>
      <c r="U38" s="42"/>
      <c r="V38" s="41">
        <f>V6</f>
        <v>3700</v>
      </c>
      <c r="W38" s="41">
        <f t="shared" ref="W38:AX38" si="87">W6</f>
        <v>3654</v>
      </c>
      <c r="X38" s="41">
        <f t="shared" si="87"/>
        <v>3801</v>
      </c>
      <c r="Y38" s="41">
        <f t="shared" si="87"/>
        <v>4104</v>
      </c>
      <c r="Z38" s="71">
        <f t="shared" si="87"/>
        <v>15259</v>
      </c>
      <c r="AA38" s="41">
        <f t="shared" si="87"/>
        <v>3294</v>
      </c>
      <c r="AB38" s="41">
        <f t="shared" si="87"/>
        <v>1170</v>
      </c>
      <c r="AC38" s="41">
        <f t="shared" si="87"/>
        <v>1631</v>
      </c>
      <c r="AD38" s="41">
        <f t="shared" si="87"/>
        <v>2083</v>
      </c>
      <c r="AE38" s="71">
        <f t="shared" si="87"/>
        <v>8178</v>
      </c>
      <c r="AF38" s="41">
        <f t="shared" si="87"/>
        <v>1988</v>
      </c>
      <c r="AG38" s="41">
        <f t="shared" si="87"/>
        <v>1758</v>
      </c>
      <c r="AH38" s="41">
        <f t="shared" si="87"/>
        <v>2385</v>
      </c>
      <c r="AI38" s="41">
        <f t="shared" si="87"/>
        <v>2864</v>
      </c>
      <c r="AJ38" s="71">
        <f t="shared" si="87"/>
        <v>8995</v>
      </c>
      <c r="AK38" s="41">
        <f t="shared" si="87"/>
        <v>2720</v>
      </c>
      <c r="AL38" s="41">
        <f t="shared" si="87"/>
        <v>2956</v>
      </c>
      <c r="AM38" s="41">
        <f t="shared" si="87"/>
        <v>3502</v>
      </c>
      <c r="AN38" s="41">
        <f t="shared" si="87"/>
        <v>3680</v>
      </c>
      <c r="AO38" s="71">
        <f t="shared" si="87"/>
        <v>12858</v>
      </c>
      <c r="AP38" s="41">
        <f t="shared" si="87"/>
        <v>3933</v>
      </c>
      <c r="AQ38" s="41">
        <f t="shared" si="87"/>
        <v>4130</v>
      </c>
      <c r="AR38" s="41">
        <f t="shared" si="87"/>
        <v>4853</v>
      </c>
      <c r="AS38" s="41">
        <f t="shared" si="87"/>
        <v>4770</v>
      </c>
      <c r="AT38" s="71">
        <f t="shared" si="87"/>
        <v>17686</v>
      </c>
      <c r="AU38" s="41">
        <f>AU6</f>
        <v>4390</v>
      </c>
      <c r="AV38" s="41">
        <f>AV6</f>
        <v>4705</v>
      </c>
      <c r="AW38" s="41">
        <f>AW6</f>
        <v>5317</v>
      </c>
      <c r="AX38" s="41">
        <f t="shared" si="87"/>
        <v>5363</v>
      </c>
      <c r="AY38" s="71">
        <f t="shared" ref="AY38:BD38" si="88">AY6</f>
        <v>19775</v>
      </c>
      <c r="AZ38" s="41">
        <f t="shared" si="88"/>
        <v>5118.5</v>
      </c>
      <c r="BA38" s="41">
        <f>BA6</f>
        <v>6059</v>
      </c>
      <c r="BB38" s="41">
        <f t="shared" si="88"/>
        <v>6820</v>
      </c>
      <c r="BC38" s="41">
        <f t="shared" si="88"/>
        <v>7012.5</v>
      </c>
      <c r="BD38" s="71">
        <f t="shared" si="88"/>
        <v>25010</v>
      </c>
      <c r="BE38" s="41">
        <f t="shared" ref="BE38" si="89">BE6</f>
        <v>6817</v>
      </c>
      <c r="BF38" s="41">
        <f>BF6</f>
        <v>7434</v>
      </c>
      <c r="BG38" s="41">
        <f t="shared" ref="BG38:BI38" si="90">BG6</f>
        <v>7229.2000000000007</v>
      </c>
      <c r="BH38" s="41">
        <f t="shared" si="90"/>
        <v>7817.1712105470433</v>
      </c>
      <c r="BI38" s="71">
        <f t="shared" si="90"/>
        <v>29297.371210547044</v>
      </c>
      <c r="BJ38" s="323"/>
    </row>
    <row r="39" spans="1:62">
      <c r="A39" s="465" t="s">
        <v>4</v>
      </c>
      <c r="B39" s="87"/>
      <c r="C39" s="87"/>
      <c r="D39" s="87"/>
      <c r="E39" s="87"/>
      <c r="F39" s="90"/>
      <c r="G39" s="255"/>
      <c r="H39" s="255"/>
      <c r="I39" s="255"/>
      <c r="J39" s="255"/>
      <c r="K39" s="88"/>
      <c r="L39" s="255"/>
      <c r="M39" s="255"/>
      <c r="N39" s="255"/>
      <c r="O39" s="255"/>
      <c r="P39" s="88"/>
      <c r="Q39" s="255"/>
      <c r="R39" s="255"/>
      <c r="S39" s="255"/>
      <c r="T39" s="255"/>
      <c r="U39" s="88"/>
      <c r="V39" s="255" t="e">
        <f t="shared" ref="V39:BA39" si="91">+V38/Q38-1</f>
        <v>#DIV/0!</v>
      </c>
      <c r="W39" s="255" t="e">
        <f t="shared" si="91"/>
        <v>#DIV/0!</v>
      </c>
      <c r="X39" s="255" t="e">
        <f t="shared" si="91"/>
        <v>#DIV/0!</v>
      </c>
      <c r="Y39" s="255" t="e">
        <f t="shared" si="91"/>
        <v>#DIV/0!</v>
      </c>
      <c r="Z39" s="88" t="e">
        <f t="shared" si="91"/>
        <v>#DIV/0!</v>
      </c>
      <c r="AA39" s="255">
        <f t="shared" si="91"/>
        <v>-0.10972972972972972</v>
      </c>
      <c r="AB39" s="255">
        <f t="shared" si="91"/>
        <v>-0.67980295566502469</v>
      </c>
      <c r="AC39" s="255">
        <f t="shared" si="91"/>
        <v>-0.57090239410681398</v>
      </c>
      <c r="AD39" s="255">
        <f t="shared" si="91"/>
        <v>-0.49244639376218324</v>
      </c>
      <c r="AE39" s="88">
        <f t="shared" si="91"/>
        <v>-0.46405400091749127</v>
      </c>
      <c r="AF39" s="255">
        <f t="shared" si="91"/>
        <v>-0.39647844565877355</v>
      </c>
      <c r="AG39" s="255">
        <f t="shared" si="91"/>
        <v>0.50256410256410255</v>
      </c>
      <c r="AH39" s="255">
        <f t="shared" si="91"/>
        <v>0.4622930717351319</v>
      </c>
      <c r="AI39" s="255">
        <f t="shared" si="91"/>
        <v>0.37493999039846382</v>
      </c>
      <c r="AJ39" s="88">
        <f t="shared" si="91"/>
        <v>9.9902176571288859E-2</v>
      </c>
      <c r="AK39" s="255">
        <f t="shared" si="91"/>
        <v>0.36820925553319928</v>
      </c>
      <c r="AL39" s="255">
        <f t="shared" si="91"/>
        <v>0.68145620022753128</v>
      </c>
      <c r="AM39" s="255">
        <f t="shared" si="91"/>
        <v>0.4683438155136268</v>
      </c>
      <c r="AN39" s="255">
        <f t="shared" si="91"/>
        <v>0.28491620111731852</v>
      </c>
      <c r="AO39" s="88">
        <f t="shared" si="91"/>
        <v>0.42946081156197891</v>
      </c>
      <c r="AP39" s="255">
        <f t="shared" si="91"/>
        <v>0.44595588235294126</v>
      </c>
      <c r="AQ39" s="255">
        <f t="shared" si="91"/>
        <v>0.39715832205683355</v>
      </c>
      <c r="AR39" s="255">
        <f t="shared" si="91"/>
        <v>0.38577955454026269</v>
      </c>
      <c r="AS39" s="255">
        <f t="shared" si="91"/>
        <v>0.29619565217391308</v>
      </c>
      <c r="AT39" s="88">
        <f t="shared" si="91"/>
        <v>0.37548607870586403</v>
      </c>
      <c r="AU39" s="255">
        <f t="shared" si="91"/>
        <v>0.11619628782100189</v>
      </c>
      <c r="AV39" s="255">
        <f t="shared" si="91"/>
        <v>0.13922518159806296</v>
      </c>
      <c r="AW39" s="255">
        <f t="shared" si="91"/>
        <v>9.5610962291366119E-2</v>
      </c>
      <c r="AX39" s="255">
        <f>+AX38/AS38-1</f>
        <v>0.12431865828092237</v>
      </c>
      <c r="AY39" s="88">
        <f t="shared" si="91"/>
        <v>0.11811602397376464</v>
      </c>
      <c r="AZ39" s="255">
        <f t="shared" si="91"/>
        <v>0.16594533029612757</v>
      </c>
      <c r="BA39" s="255">
        <f t="shared" si="91"/>
        <v>0.28777895855472901</v>
      </c>
      <c r="BB39" s="255">
        <f>+BB38/AW38-1</f>
        <v>0.28267820199360538</v>
      </c>
      <c r="BC39" s="255">
        <f>+BC38/AX38-1</f>
        <v>0.30757038970725348</v>
      </c>
      <c r="BD39" s="88">
        <f>+BD38/AY38-1</f>
        <v>0.26472819216182053</v>
      </c>
      <c r="BE39" s="255">
        <f t="shared" ref="BE39" si="92">+BE38/AZ38-1</f>
        <v>0.33183549868125417</v>
      </c>
      <c r="BF39" s="255">
        <f t="shared" ref="BF39" si="93">+BF38/BA38-1</f>
        <v>0.22693513781152008</v>
      </c>
      <c r="BG39" s="255">
        <f>+BG38/BB38-1</f>
        <v>6.0000000000000053E-2</v>
      </c>
      <c r="BH39" s="255">
        <f>+BH38/BC38-1</f>
        <v>0.11474812271615598</v>
      </c>
      <c r="BI39" s="88">
        <f>+BI38/BD38-1</f>
        <v>0.17142627791071741</v>
      </c>
      <c r="BJ39" s="325"/>
    </row>
    <row r="40" spans="1:62">
      <c r="A40" s="458"/>
      <c r="B40" s="40"/>
      <c r="C40" s="40"/>
      <c r="D40" s="40"/>
      <c r="E40" s="20"/>
      <c r="F40" s="81"/>
      <c r="G40" s="40"/>
      <c r="H40" s="40"/>
      <c r="I40" s="40"/>
      <c r="J40" s="20"/>
      <c r="K40" s="81"/>
      <c r="L40" s="40"/>
      <c r="M40" s="40"/>
      <c r="N40" s="40"/>
      <c r="O40" s="20"/>
      <c r="P40" s="81"/>
      <c r="Q40" s="40"/>
      <c r="R40" s="40"/>
      <c r="S40" s="40"/>
      <c r="T40" s="20"/>
      <c r="U40" s="81"/>
      <c r="V40" s="40"/>
      <c r="W40" s="40"/>
      <c r="X40" s="40"/>
      <c r="Y40" s="20"/>
      <c r="Z40" s="81"/>
      <c r="AA40" s="40"/>
      <c r="AB40" s="40"/>
      <c r="AC40" s="40"/>
      <c r="AD40" s="20"/>
      <c r="AE40" s="81"/>
      <c r="AF40" s="40"/>
      <c r="AG40" s="40"/>
      <c r="AH40" s="40"/>
      <c r="AI40" s="20"/>
      <c r="AJ40" s="81"/>
      <c r="AK40" s="40"/>
      <c r="AL40" s="40"/>
      <c r="AM40" s="40"/>
      <c r="AN40" s="20"/>
      <c r="AO40" s="81"/>
      <c r="AP40" s="40"/>
      <c r="AQ40" s="40"/>
      <c r="AR40" s="40"/>
      <c r="AS40" s="20"/>
      <c r="AT40" s="81"/>
      <c r="AU40" s="40"/>
      <c r="AV40" s="40"/>
      <c r="AW40" s="40"/>
      <c r="AX40" s="20"/>
      <c r="AY40" s="81"/>
      <c r="AZ40" s="40"/>
      <c r="BA40" s="40"/>
      <c r="BB40" s="40"/>
      <c r="BC40" s="20"/>
      <c r="BD40" s="81"/>
      <c r="BE40" s="40"/>
      <c r="BF40" s="40"/>
      <c r="BG40" s="40"/>
      <c r="BH40" s="20"/>
      <c r="BI40" s="81"/>
      <c r="BJ40" s="323"/>
    </row>
    <row r="41" spans="1:62">
      <c r="A41" s="464" t="s">
        <v>46</v>
      </c>
      <c r="B41" s="24"/>
      <c r="C41" s="24"/>
      <c r="D41" s="24"/>
      <c r="E41" s="24"/>
      <c r="F41" s="25"/>
      <c r="G41" s="24"/>
      <c r="H41" s="24"/>
      <c r="I41" s="24"/>
      <c r="J41" s="24"/>
      <c r="K41" s="25"/>
      <c r="L41" s="24"/>
      <c r="M41" s="24"/>
      <c r="N41" s="24"/>
      <c r="O41" s="24"/>
      <c r="P41" s="25"/>
      <c r="Q41" s="24"/>
      <c r="R41" s="24"/>
      <c r="S41" s="24"/>
      <c r="T41" s="24"/>
      <c r="U41" s="25"/>
      <c r="V41" s="24"/>
      <c r="W41" s="24"/>
      <c r="X41" s="24"/>
      <c r="Y41" s="24"/>
      <c r="Z41" s="25"/>
      <c r="AA41" s="24"/>
      <c r="AB41" s="24"/>
      <c r="AC41" s="24"/>
      <c r="AD41" s="24"/>
      <c r="AE41" s="25"/>
      <c r="AF41" s="24"/>
      <c r="AG41" s="24"/>
      <c r="AH41" s="24"/>
      <c r="AI41" s="24"/>
      <c r="AJ41" s="25"/>
      <c r="AK41" s="24"/>
      <c r="AL41" s="24"/>
      <c r="AM41" s="24"/>
      <c r="AN41" s="24"/>
      <c r="AO41" s="25"/>
      <c r="AP41" s="24"/>
      <c r="AQ41" s="24"/>
      <c r="AR41" s="24"/>
      <c r="AS41" s="24"/>
      <c r="AT41" s="25"/>
      <c r="AU41" s="24"/>
      <c r="AV41" s="24"/>
      <c r="AW41" s="24"/>
      <c r="AX41" s="24"/>
      <c r="AY41" s="25"/>
      <c r="AZ41" s="24"/>
      <c r="BA41" s="24"/>
      <c r="BB41" s="24"/>
      <c r="BC41" s="24"/>
      <c r="BD41" s="25"/>
      <c r="BE41" s="24"/>
      <c r="BF41" s="24"/>
      <c r="BG41" s="24"/>
      <c r="BH41" s="24"/>
      <c r="BI41" s="25"/>
      <c r="BJ41" s="24"/>
    </row>
    <row r="42" spans="1:62">
      <c r="A42" s="458" t="s">
        <v>296</v>
      </c>
      <c r="B42" s="99"/>
      <c r="C42" s="100"/>
      <c r="D42" s="100"/>
      <c r="E42" s="100"/>
      <c r="F42" s="101"/>
      <c r="G42" s="99"/>
      <c r="H42" s="100"/>
      <c r="I42" s="100"/>
      <c r="J42" s="100"/>
      <c r="K42" s="101"/>
      <c r="L42" s="99"/>
      <c r="M42" s="100"/>
      <c r="N42" s="100"/>
      <c r="O42" s="100"/>
      <c r="P42" s="101"/>
      <c r="Q42" s="99"/>
      <c r="R42" s="100"/>
      <c r="S42" s="100"/>
      <c r="T42" s="100"/>
      <c r="U42" s="101"/>
      <c r="V42" s="99">
        <f t="shared" ref="V42:AX42" si="94">V35/V$9</f>
        <v>0.37804673054294841</v>
      </c>
      <c r="W42" s="100">
        <f t="shared" si="94"/>
        <v>0.37517099863201092</v>
      </c>
      <c r="X42" s="100">
        <f t="shared" si="94"/>
        <v>0.36618309154577289</v>
      </c>
      <c r="Y42" s="100">
        <f t="shared" si="94"/>
        <v>0.36104624007473146</v>
      </c>
      <c r="Z42" s="101">
        <f t="shared" si="94"/>
        <v>0.36990543832844697</v>
      </c>
      <c r="AA42" s="105">
        <f t="shared" si="94"/>
        <v>0.35575982788969296</v>
      </c>
      <c r="AB42" s="106">
        <f t="shared" si="94"/>
        <v>0.53552997221119492</v>
      </c>
      <c r="AC42" s="106">
        <f t="shared" si="94"/>
        <v>0.47165532879818595</v>
      </c>
      <c r="AD42" s="106">
        <f t="shared" si="94"/>
        <v>0.44601063829787235</v>
      </c>
      <c r="AE42" s="193">
        <f t="shared" si="94"/>
        <v>0.43518198770633332</v>
      </c>
      <c r="AF42" s="105">
        <f t="shared" si="94"/>
        <v>0.40709812108559501</v>
      </c>
      <c r="AG42" s="100">
        <f t="shared" si="94"/>
        <v>0.43563402889245584</v>
      </c>
      <c r="AH42" s="106">
        <f t="shared" si="94"/>
        <v>0.33786785119378121</v>
      </c>
      <c r="AI42" s="106">
        <f t="shared" si="94"/>
        <v>0.33240093240093238</v>
      </c>
      <c r="AJ42" s="193">
        <f t="shared" si="94"/>
        <v>0.37360724233983289</v>
      </c>
      <c r="AK42" s="105">
        <f t="shared" si="94"/>
        <v>0.2940565792888658</v>
      </c>
      <c r="AL42" s="100">
        <f t="shared" si="94"/>
        <v>0.31335656213704993</v>
      </c>
      <c r="AM42" s="106">
        <f t="shared" si="94"/>
        <v>0.2955139810903239</v>
      </c>
      <c r="AN42" s="106">
        <f t="shared" si="94"/>
        <v>0.33526011560693642</v>
      </c>
      <c r="AO42" s="193">
        <f t="shared" si="94"/>
        <v>0.31111706402357353</v>
      </c>
      <c r="AP42" s="105">
        <f t="shared" si="94"/>
        <v>0.24827981651376146</v>
      </c>
      <c r="AQ42" s="100">
        <f t="shared" si="94"/>
        <v>0.2801115565626634</v>
      </c>
      <c r="AR42" s="106">
        <f t="shared" si="94"/>
        <v>0.24841257549945794</v>
      </c>
      <c r="AS42" s="106">
        <f t="shared" si="94"/>
        <v>0.25804946336910872</v>
      </c>
      <c r="AT42" s="193">
        <f t="shared" si="94"/>
        <v>0.25860406623349402</v>
      </c>
      <c r="AU42" s="105">
        <f>AU35/AU$9</f>
        <v>0.27990155865463495</v>
      </c>
      <c r="AV42" s="100">
        <f>AV35/AV$9</f>
        <v>0.23271363339856491</v>
      </c>
      <c r="AW42" s="106">
        <f>AW35/AW$9</f>
        <v>0.24075396258746251</v>
      </c>
      <c r="AX42" s="106">
        <f t="shared" si="94"/>
        <v>0.29895424836601309</v>
      </c>
      <c r="AY42" s="193">
        <f t="shared" ref="AY42:BD42" si="95">AY35/AY$9</f>
        <v>0.26435028458762694</v>
      </c>
      <c r="AZ42" s="105">
        <f t="shared" si="95"/>
        <v>0.2663752329081267</v>
      </c>
      <c r="BA42" s="100">
        <f>BA35/BA$9</f>
        <v>0.24167709637046308</v>
      </c>
      <c r="BB42" s="106">
        <f t="shared" si="95"/>
        <v>0.23186936936936936</v>
      </c>
      <c r="BC42" s="106">
        <f t="shared" si="95"/>
        <v>0.2593472750316857</v>
      </c>
      <c r="BD42" s="193">
        <f t="shared" si="95"/>
        <v>0.2492645734526025</v>
      </c>
      <c r="BE42" s="105">
        <f t="shared" ref="BE42" si="96">BE35/BE$9</f>
        <v>0.23565022421524665</v>
      </c>
      <c r="BF42" s="100">
        <f>BF35/BF$9</f>
        <v>0.23604973795087864</v>
      </c>
      <c r="BG42" s="106">
        <f t="shared" ref="BG42:BI42" si="97">BG35/BG$9</f>
        <v>0.24223078779354551</v>
      </c>
      <c r="BH42" s="106">
        <f t="shared" si="97"/>
        <v>0.24227740679709028</v>
      </c>
      <c r="BI42" s="193">
        <f t="shared" si="97"/>
        <v>0.23916950746970944</v>
      </c>
      <c r="BJ42" s="24"/>
    </row>
    <row r="43" spans="1:62">
      <c r="A43" s="458" t="s">
        <v>2</v>
      </c>
      <c r="B43" s="99"/>
      <c r="C43" s="100"/>
      <c r="D43" s="100"/>
      <c r="E43" s="100"/>
      <c r="F43" s="101"/>
      <c r="G43" s="99"/>
      <c r="H43" s="100"/>
      <c r="I43" s="100"/>
      <c r="J43" s="100"/>
      <c r="K43" s="101"/>
      <c r="L43" s="99"/>
      <c r="M43" s="100"/>
      <c r="N43" s="100"/>
      <c r="O43" s="100"/>
      <c r="P43" s="101"/>
      <c r="Q43" s="99"/>
      <c r="R43" s="100"/>
      <c r="S43" s="100"/>
      <c r="T43" s="100"/>
      <c r="U43" s="101"/>
      <c r="V43" s="99">
        <f t="shared" ref="V43:AX43" si="98">V38/V$9</f>
        <v>0.62195326945705165</v>
      </c>
      <c r="W43" s="100">
        <f t="shared" si="98"/>
        <v>0.62482900136798902</v>
      </c>
      <c r="X43" s="100">
        <f t="shared" si="98"/>
        <v>0.63381690845422711</v>
      </c>
      <c r="Y43" s="100">
        <f t="shared" si="98"/>
        <v>0.63895375992526859</v>
      </c>
      <c r="Z43" s="101">
        <f t="shared" si="98"/>
        <v>0.63009456167155309</v>
      </c>
      <c r="AA43" s="105">
        <f t="shared" si="98"/>
        <v>0.64424017211030704</v>
      </c>
      <c r="AB43" s="106">
        <f t="shared" si="98"/>
        <v>0.46447002778880508</v>
      </c>
      <c r="AC43" s="106">
        <f t="shared" si="98"/>
        <v>0.52834467120181405</v>
      </c>
      <c r="AD43" s="106">
        <f t="shared" si="98"/>
        <v>0.55398936170212765</v>
      </c>
      <c r="AE43" s="193">
        <f t="shared" si="98"/>
        <v>0.56481801229366668</v>
      </c>
      <c r="AF43" s="105">
        <f t="shared" si="98"/>
        <v>0.59290187891440504</v>
      </c>
      <c r="AG43" s="100">
        <f t="shared" si="98"/>
        <v>0.56436597110754416</v>
      </c>
      <c r="AH43" s="106">
        <f t="shared" si="98"/>
        <v>0.66213214880621873</v>
      </c>
      <c r="AI43" s="106">
        <f t="shared" si="98"/>
        <v>0.66759906759906762</v>
      </c>
      <c r="AJ43" s="193">
        <f t="shared" si="98"/>
        <v>0.62639275766016711</v>
      </c>
      <c r="AK43" s="105">
        <f t="shared" si="98"/>
        <v>0.70594342071113414</v>
      </c>
      <c r="AL43" s="100">
        <f t="shared" si="98"/>
        <v>0.68664343786295001</v>
      </c>
      <c r="AM43" s="106">
        <f t="shared" si="98"/>
        <v>0.7044860189096761</v>
      </c>
      <c r="AN43" s="106">
        <f t="shared" si="98"/>
        <v>0.66473988439306353</v>
      </c>
      <c r="AO43" s="193">
        <f t="shared" si="98"/>
        <v>0.68888293597642647</v>
      </c>
      <c r="AP43" s="105">
        <f t="shared" si="98"/>
        <v>0.75172018348623848</v>
      </c>
      <c r="AQ43" s="100">
        <f t="shared" si="98"/>
        <v>0.7198884434373366</v>
      </c>
      <c r="AR43" s="106">
        <f t="shared" si="98"/>
        <v>0.75158742450054206</v>
      </c>
      <c r="AS43" s="106">
        <f t="shared" si="98"/>
        <v>0.74195053663089128</v>
      </c>
      <c r="AT43" s="193">
        <f t="shared" si="98"/>
        <v>0.74139593376650592</v>
      </c>
      <c r="AU43" s="105">
        <f>AU38/AU$9</f>
        <v>0.72026251025430676</v>
      </c>
      <c r="AV43" s="100">
        <f>AV38/AV$9</f>
        <v>0.76728636660143512</v>
      </c>
      <c r="AW43" s="106">
        <f>AW38/AW$9</f>
        <v>0.75924603741253749</v>
      </c>
      <c r="AX43" s="106">
        <f t="shared" si="98"/>
        <v>0.70104575163398697</v>
      </c>
      <c r="AY43" s="193">
        <f t="shared" ref="AY43:BD43" si="99">AY38/AY$9</f>
        <v>0.73564971541237301</v>
      </c>
      <c r="AZ43" s="105">
        <f t="shared" si="99"/>
        <v>0.7336247670918733</v>
      </c>
      <c r="BA43" s="100">
        <f>BA38/BA$9</f>
        <v>0.75832290362953692</v>
      </c>
      <c r="BB43" s="106">
        <f t="shared" si="99"/>
        <v>0.76801801801801806</v>
      </c>
      <c r="BC43" s="106">
        <f t="shared" si="99"/>
        <v>0.74065272496831436</v>
      </c>
      <c r="BD43" s="193">
        <f t="shared" si="99"/>
        <v>0.75073542654739744</v>
      </c>
      <c r="BE43" s="105">
        <f t="shared" ref="BE43" si="100">BE38/BE$9</f>
        <v>0.76423766816143501</v>
      </c>
      <c r="BF43" s="100">
        <f>BF38/BF$9</f>
        <v>0.76395026204912142</v>
      </c>
      <c r="BG43" s="106">
        <f t="shared" ref="BG43:BI43" si="101">BG38/BG$9</f>
        <v>0.75766440608598651</v>
      </c>
      <c r="BH43" s="106">
        <f t="shared" si="101"/>
        <v>0.7577225932029098</v>
      </c>
      <c r="BI43" s="193">
        <f t="shared" si="101"/>
        <v>0.76083049253029056</v>
      </c>
      <c r="BJ43" s="24"/>
    </row>
    <row r="44" spans="1:62">
      <c r="A44" s="458"/>
      <c r="B44" s="24"/>
      <c r="C44" s="24"/>
      <c r="D44" s="24"/>
      <c r="E44" s="24"/>
      <c r="F44" s="25"/>
      <c r="G44" s="24"/>
      <c r="H44" s="24"/>
      <c r="I44" s="24"/>
      <c r="J44" s="24"/>
      <c r="K44" s="25"/>
      <c r="L44" s="24"/>
      <c r="M44" s="24"/>
      <c r="N44" s="24"/>
      <c r="O44" s="24"/>
      <c r="P44" s="25"/>
      <c r="Q44" s="24"/>
      <c r="R44" s="24"/>
      <c r="S44" s="24"/>
      <c r="T44" s="24"/>
      <c r="U44" s="25"/>
      <c r="V44" s="24"/>
      <c r="W44" s="24"/>
      <c r="X44" s="24"/>
      <c r="Y44" s="24"/>
      <c r="Z44" s="25"/>
      <c r="AA44" s="24"/>
      <c r="AB44" s="24"/>
      <c r="AC44" s="24"/>
      <c r="AD44" s="24"/>
      <c r="AE44" s="25"/>
      <c r="AF44" s="24"/>
      <c r="AG44" s="24"/>
      <c r="AH44" s="24"/>
      <c r="AI44" s="24"/>
      <c r="AJ44" s="25"/>
      <c r="AK44" s="24"/>
      <c r="AL44" s="24"/>
      <c r="AM44" s="24"/>
      <c r="AN44" s="24"/>
      <c r="AO44" s="25"/>
      <c r="AP44" s="24"/>
      <c r="AQ44" s="24"/>
      <c r="AR44" s="24"/>
      <c r="AS44" s="24"/>
      <c r="AT44" s="373"/>
      <c r="AU44" s="24"/>
      <c r="AV44" s="24"/>
      <c r="AW44" s="24"/>
      <c r="AX44" s="24"/>
      <c r="AY44" s="373"/>
      <c r="AZ44" s="24"/>
      <c r="BA44" s="24"/>
      <c r="BB44" s="24"/>
      <c r="BC44" s="24"/>
      <c r="BD44" s="25"/>
      <c r="BE44" s="24"/>
      <c r="BF44" s="24"/>
      <c r="BG44" s="24"/>
      <c r="BH44" s="24"/>
      <c r="BI44" s="25"/>
      <c r="BJ44" s="24"/>
    </row>
    <row r="45" spans="1:62">
      <c r="A45" s="464" t="s">
        <v>47</v>
      </c>
      <c r="B45" s="24"/>
      <c r="C45" s="24"/>
      <c r="D45" s="24"/>
      <c r="E45" s="24"/>
      <c r="F45" s="25"/>
      <c r="G45" s="24"/>
      <c r="H45" s="24"/>
      <c r="I45" s="24"/>
      <c r="J45" s="24"/>
      <c r="K45" s="25"/>
      <c r="L45" s="24"/>
      <c r="M45" s="24"/>
      <c r="N45" s="24"/>
      <c r="O45" s="24"/>
      <c r="P45" s="25"/>
      <c r="Q45" s="24"/>
      <c r="R45" s="24"/>
      <c r="S45" s="24"/>
      <c r="T45" s="24"/>
      <c r="U45" s="25"/>
      <c r="V45" s="24"/>
      <c r="W45" s="24"/>
      <c r="X45" s="24"/>
      <c r="Y45" s="24"/>
      <c r="Z45" s="25"/>
      <c r="AA45" s="24"/>
      <c r="AB45" s="24"/>
      <c r="AC45" s="24"/>
      <c r="AD45" s="24"/>
      <c r="AE45" s="25"/>
      <c r="AF45" s="24"/>
      <c r="AG45" s="24"/>
      <c r="AH45" s="24"/>
      <c r="AI45" s="24"/>
      <c r="AJ45" s="25"/>
      <c r="AK45" s="24"/>
      <c r="AL45" s="24"/>
      <c r="AM45" s="24"/>
      <c r="AN45" s="24"/>
      <c r="AO45" s="25"/>
      <c r="AP45" s="24"/>
      <c r="AQ45" s="24"/>
      <c r="AR45" s="24"/>
      <c r="AS45" s="24"/>
      <c r="AT45" s="25"/>
      <c r="AU45" s="24"/>
      <c r="AV45" s="24"/>
      <c r="AW45" s="24"/>
      <c r="AX45" s="24"/>
      <c r="AY45" s="25"/>
      <c r="AZ45" s="24"/>
      <c r="BA45" s="24"/>
      <c r="BB45" s="24"/>
      <c r="BC45" s="24"/>
      <c r="BD45" s="25"/>
      <c r="BE45" s="24"/>
      <c r="BF45" s="24"/>
      <c r="BG45" s="24"/>
      <c r="BH45" s="24"/>
      <c r="BI45" s="25"/>
      <c r="BJ45" s="24"/>
    </row>
    <row r="46" spans="1:62">
      <c r="A46" s="458" t="s">
        <v>294</v>
      </c>
      <c r="B46" s="30"/>
      <c r="C46" s="31"/>
      <c r="D46" s="31"/>
      <c r="E46" s="31"/>
      <c r="F46" s="104"/>
      <c r="G46" s="30"/>
      <c r="H46" s="31"/>
      <c r="I46" s="31"/>
      <c r="J46" s="31"/>
      <c r="K46" s="104"/>
      <c r="L46" s="30">
        <f>L9/$P9</f>
        <v>0.25216905982038662</v>
      </c>
      <c r="M46" s="31">
        <f>M9/$P9</f>
        <v>0.2495306712669339</v>
      </c>
      <c r="N46" s="31">
        <f>N9/$P9</f>
        <v>0.2459789943680552</v>
      </c>
      <c r="O46" s="31">
        <f>O9/$P9</f>
        <v>0.25232127454462427</v>
      </c>
      <c r="P46" s="104"/>
      <c r="Q46" s="30">
        <f>Q9/$U9</f>
        <v>0.2320014082027812</v>
      </c>
      <c r="R46" s="31">
        <f>R9/$U9</f>
        <v>0.24353106847386025</v>
      </c>
      <c r="S46" s="31">
        <f>S9/$U9</f>
        <v>0.24801971483893681</v>
      </c>
      <c r="T46" s="31">
        <f>T9/$U9</f>
        <v>0.27644780848442174</v>
      </c>
      <c r="U46" s="104"/>
      <c r="V46" s="30">
        <f>V9/$Z9</f>
        <v>0.24565387950613204</v>
      </c>
      <c r="W46" s="31">
        <f>W9/$Z9</f>
        <v>0.24148325556427302</v>
      </c>
      <c r="X46" s="31">
        <f>X9/$Z9</f>
        <v>0.24763595821117396</v>
      </c>
      <c r="Y46" s="31">
        <f>Y9/$Z9</f>
        <v>0.26522690671842092</v>
      </c>
      <c r="Z46" s="104" t="b">
        <f>1=SUM(V46:Y46)</f>
        <v>1</v>
      </c>
      <c r="AA46" s="30">
        <f>AA9/$AE9</f>
        <v>0.35313212238414254</v>
      </c>
      <c r="AB46" s="30">
        <f>AB9/$AE9</f>
        <v>0.17397610332205263</v>
      </c>
      <c r="AC46" s="30">
        <f>AC9/$AE9</f>
        <v>0.21320533185993507</v>
      </c>
      <c r="AD46" s="30">
        <f>AD9/$AE9</f>
        <v>0.25968644243386974</v>
      </c>
      <c r="AE46" s="274" t="b">
        <f>1=SUM(AA46:AD46)</f>
        <v>1</v>
      </c>
      <c r="AF46" s="30">
        <f>AF9/$AJ9</f>
        <v>0.23349582172701949</v>
      </c>
      <c r="AG46" s="30">
        <f>AG9/$AJ9</f>
        <v>0.21692200557103064</v>
      </c>
      <c r="AH46" s="30">
        <f>AH9/$AJ9</f>
        <v>0.2508356545961003</v>
      </c>
      <c r="AI46" s="30">
        <f>AI9/$AJ9</f>
        <v>0.29874651810584957</v>
      </c>
      <c r="AJ46" s="274" t="b">
        <f>1=SUM(AF46:AI46)</f>
        <v>1</v>
      </c>
      <c r="AK46" s="30">
        <f>AK9/$AO9</f>
        <v>0.20642914545941601</v>
      </c>
      <c r="AL46" s="30">
        <f>AL9/$AO9</f>
        <v>0.23064559335654969</v>
      </c>
      <c r="AM46" s="30">
        <f>AM9/$AO9</f>
        <v>0.26632735065630858</v>
      </c>
      <c r="AN46" s="30">
        <f>AN9/$AO9</f>
        <v>0.29659791052772572</v>
      </c>
      <c r="AO46" s="274" t="b">
        <f>1=SUM(AK46:AN46)</f>
        <v>1</v>
      </c>
      <c r="AP46" s="30">
        <f>AP9/$AT9</f>
        <v>0.21932508907985748</v>
      </c>
      <c r="AQ46" s="30">
        <f>AQ9/$AT9</f>
        <v>0.24049465520855168</v>
      </c>
      <c r="AR46" s="30">
        <f>AR9/$AT9</f>
        <v>0.27067700691678892</v>
      </c>
      <c r="AS46" s="30">
        <f>AS9/$AT9</f>
        <v>0.26950324879480192</v>
      </c>
      <c r="AT46" s="274" t="b">
        <f>1=SUM(AP46:AS46)</f>
        <v>1</v>
      </c>
      <c r="AU46" s="30">
        <f>AU9/$AY9</f>
        <v>0.22674007663405379</v>
      </c>
      <c r="AV46" s="30">
        <f>AV9/$AY9</f>
        <v>0.2281165135225624</v>
      </c>
      <c r="AW46" s="30">
        <f>AW9/$AY9</f>
        <v>0.26051858189799487</v>
      </c>
      <c r="AX46" s="30">
        <f>AX9/$AY9</f>
        <v>0.28458762694840223</v>
      </c>
      <c r="AY46" s="274" t="b">
        <f>1=(ROUND(SUM(AU46:AX46),2))</f>
        <v>1</v>
      </c>
      <c r="AZ46" s="30">
        <f>AZ9/$BD9</f>
        <v>0.20943147025274658</v>
      </c>
      <c r="BA46" s="30">
        <f>BA9/$BD9</f>
        <v>0.2398391066818755</v>
      </c>
      <c r="BB46" s="30">
        <f>BB9/$BD9</f>
        <v>0.26655460166896799</v>
      </c>
      <c r="BC46" s="30">
        <f>BC9/$BD9</f>
        <v>0.28420483880650776</v>
      </c>
      <c r="BD46" s="274" t="b">
        <f>1=(ROUND(SUM(AZ46:BC46),2))</f>
        <v>1</v>
      </c>
      <c r="BE46" s="30">
        <f>BE9/$BI9</f>
        <v>0.2316456293842164</v>
      </c>
      <c r="BF46" s="30">
        <f t="shared" ref="BF46:BH46" si="102">BF9/$BI9</f>
        <v>0.25270668380468719</v>
      </c>
      <c r="BG46" s="30">
        <f t="shared" si="102"/>
        <v>0.24778362987235097</v>
      </c>
      <c r="BH46" s="30">
        <f t="shared" si="102"/>
        <v>0.26791599542067013</v>
      </c>
      <c r="BI46" s="274" t="b">
        <f>1=(ROUND(SUM(BE46:BH46),2))</f>
        <v>1</v>
      </c>
      <c r="BJ46" s="24"/>
    </row>
    <row r="47" spans="1:62">
      <c r="A47" s="458" t="s">
        <v>1</v>
      </c>
      <c r="B47" s="30" t="str">
        <f>IFERROR(B35/$F$35,"NM")</f>
        <v>NM</v>
      </c>
      <c r="C47" s="31" t="str">
        <f>IFERROR(C35/$F$35,"NM")</f>
        <v>NM</v>
      </c>
      <c r="D47" s="31" t="str">
        <f>IFERROR(D35/$F$35,"NM")</f>
        <v>NM</v>
      </c>
      <c r="E47" s="31" t="str">
        <f>IFERROR(E35/$F$35,"NM")</f>
        <v>NM</v>
      </c>
      <c r="F47" s="104"/>
      <c r="G47" s="30" t="str">
        <f>IFERROR(G35/$K$35,"NM")</f>
        <v>NM</v>
      </c>
      <c r="H47" s="31" t="str">
        <f>IFERROR(H35/$K$35,"NM")</f>
        <v>NM</v>
      </c>
      <c r="I47" s="31" t="str">
        <f>IFERROR(I35/$K$35,"NM")</f>
        <v>NM</v>
      </c>
      <c r="J47" s="31" t="str">
        <f>IFERROR(J35/$K$35,"NM")</f>
        <v>NM</v>
      </c>
      <c r="K47" s="104"/>
      <c r="L47" s="30" t="str">
        <f>IFERROR(L35/$P$35,"NM")</f>
        <v>NM</v>
      </c>
      <c r="M47" s="31" t="str">
        <f>IFERROR(M35/$P$35,"NM")</f>
        <v>NM</v>
      </c>
      <c r="N47" s="31" t="str">
        <f>IFERROR(N35/$P$35,"NM")</f>
        <v>NM</v>
      </c>
      <c r="O47" s="31" t="str">
        <f>IFERROR(O35/$P$35,"NM")</f>
        <v>NM</v>
      </c>
      <c r="P47" s="104"/>
      <c r="Q47" s="30" t="str">
        <f>IFERROR(Q35/$U$35,"NM")</f>
        <v>NM</v>
      </c>
      <c r="R47" s="31" t="str">
        <f>IFERROR(R35/$U$35,"NM")</f>
        <v>NM</v>
      </c>
      <c r="S47" s="31" t="str">
        <f>IFERROR(S35/$U$35,"NM")</f>
        <v>NM</v>
      </c>
      <c r="T47" s="31" t="str">
        <f>IFERROR(T35/$U$35,"NM")</f>
        <v>NM</v>
      </c>
      <c r="U47" s="104"/>
      <c r="V47" s="30">
        <f>IFERROR(V35/$Z$35,"NM")</f>
        <v>0.25106050457691448</v>
      </c>
      <c r="W47" s="31">
        <f>IFERROR(W35/$Z$35,"NM")</f>
        <v>0.24492074123688323</v>
      </c>
      <c r="X47" s="31">
        <f>IFERROR(X35/$Z$35,"NM")</f>
        <v>0.24514400535833891</v>
      </c>
      <c r="Y47" s="31">
        <f>IFERROR(Y35/$Z$35,"NM")</f>
        <v>0.25887474882786338</v>
      </c>
      <c r="Z47" s="104" t="b">
        <f>1=SUM(V47:Y47)</f>
        <v>1</v>
      </c>
      <c r="AA47" s="30">
        <f>AA35/$AE$35</f>
        <v>0.28868433581971115</v>
      </c>
      <c r="AB47" s="30">
        <f>AB35/$AE$35</f>
        <v>0.21409300111093477</v>
      </c>
      <c r="AC47" s="30">
        <f>AC35/$AE$35</f>
        <v>0.23107443262974131</v>
      </c>
      <c r="AD47" s="30">
        <f>AD35/$AE$35</f>
        <v>0.26614823043961278</v>
      </c>
      <c r="AE47" s="274" t="b">
        <f>1=SUM(AA47:AD47)</f>
        <v>1</v>
      </c>
      <c r="AF47" s="30">
        <f>AF35/$AJ$35</f>
        <v>0.25442684063373716</v>
      </c>
      <c r="AG47" s="30">
        <f>AG35/$AJ$35</f>
        <v>0.25293569431500468</v>
      </c>
      <c r="AH47" s="30">
        <f>AH35/$AJ$35</f>
        <v>0.22684063373718547</v>
      </c>
      <c r="AI47" s="30">
        <f>AI35/$AJ$35</f>
        <v>0.26579683131407267</v>
      </c>
      <c r="AJ47" s="274" t="b">
        <f>1=SUM(AF47:AI47)</f>
        <v>1</v>
      </c>
      <c r="AK47" s="30">
        <f>AK35/$AO$35</f>
        <v>0.19510935078353711</v>
      </c>
      <c r="AL47" s="30">
        <f>AL35/$AO$35</f>
        <v>0.23230583778198727</v>
      </c>
      <c r="AM47" s="30">
        <f>AM35/$AO$35</f>
        <v>0.25297055278112623</v>
      </c>
      <c r="AN47" s="30">
        <f>AN35/$AO$35</f>
        <v>0.31961425865334941</v>
      </c>
      <c r="AO47" s="274" t="b">
        <f>1=SUM(AK47:AN47)</f>
        <v>1</v>
      </c>
      <c r="AP47" s="30">
        <f>AP35/$AT$35</f>
        <v>0.2105689739017669</v>
      </c>
      <c r="AQ47" s="30">
        <f>AQ35/$AT$35</f>
        <v>0.26049602852974552</v>
      </c>
      <c r="AR47" s="30">
        <f>AR35/$AT$35</f>
        <v>0.26000972604960287</v>
      </c>
      <c r="AS47" s="30">
        <f>AS35/$AT$35</f>
        <v>0.26892527151888473</v>
      </c>
      <c r="AT47" s="274" t="b">
        <f>1=SUM(AP47:AS47)</f>
        <v>1</v>
      </c>
      <c r="AU47" s="30">
        <f>AU35/$AY$35</f>
        <v>0.24007880664227413</v>
      </c>
      <c r="AV47" s="30">
        <f>AV35/$AY$35</f>
        <v>0.20081621165212496</v>
      </c>
      <c r="AW47" s="30">
        <f>AW35/$AY$35</f>
        <v>0.2372642837039122</v>
      </c>
      <c r="AX47" s="30">
        <f>AX35/$AY$35</f>
        <v>0.32184069800168874</v>
      </c>
      <c r="AY47" s="274" t="b">
        <f>1=SUM(AU47:AX47)</f>
        <v>1</v>
      </c>
      <c r="AZ47" s="30">
        <f>AZ35/$BD$35</f>
        <v>0.22380780346820808</v>
      </c>
      <c r="BA47" s="30">
        <f>BA35/$BD$35</f>
        <v>0.23253853564547206</v>
      </c>
      <c r="BB47" s="30">
        <f>BB35/$BD$35</f>
        <v>0.24795279383429672</v>
      </c>
      <c r="BC47" s="30">
        <f>BC35/$BD$35</f>
        <v>0.29570086705202314</v>
      </c>
      <c r="BD47" s="274" t="b">
        <f>1=SUM(AZ47:BC47)</f>
        <v>1</v>
      </c>
      <c r="BE47" s="30">
        <f>BE35/$BI$35</f>
        <v>0.22823705697427149</v>
      </c>
      <c r="BF47" s="30">
        <f t="shared" ref="BF47:BH47" si="103">BF35/$BI$35</f>
        <v>0.24941033295428239</v>
      </c>
      <c r="BG47" s="30">
        <f t="shared" si="103"/>
        <v>0.25095516774405474</v>
      </c>
      <c r="BH47" s="30">
        <f t="shared" si="103"/>
        <v>0.27139744232739138</v>
      </c>
      <c r="BI47" s="274" t="b">
        <f>1=SUM(BE47:BH47)</f>
        <v>1</v>
      </c>
      <c r="BJ47" s="24"/>
    </row>
    <row r="48" spans="1:62">
      <c r="A48" s="458" t="s">
        <v>2</v>
      </c>
      <c r="B48" s="105" t="str">
        <f>IFERROR(B38/$F$38,"NM")</f>
        <v>NM</v>
      </c>
      <c r="C48" s="106" t="str">
        <f>IFERROR(C38/$F$38,"NM")</f>
        <v>NM</v>
      </c>
      <c r="D48" s="106" t="str">
        <f>IFERROR(D38/$F$38,"NM")</f>
        <v>NM</v>
      </c>
      <c r="E48" s="106" t="str">
        <f>IFERROR(E38/$F$38,"NM")</f>
        <v>NM</v>
      </c>
      <c r="F48" s="104"/>
      <c r="G48" s="105" t="str">
        <f>IFERROR(G38/$K$38,"NM")</f>
        <v>NM</v>
      </c>
      <c r="H48" s="106" t="str">
        <f>IFERROR(H38/$K$38,"NM")</f>
        <v>NM</v>
      </c>
      <c r="I48" s="106" t="str">
        <f>IFERROR(I38/$K$38,"NM")</f>
        <v>NM</v>
      </c>
      <c r="J48" s="106" t="str">
        <f>IFERROR(J38/$K$38,"NM")</f>
        <v>NM</v>
      </c>
      <c r="K48" s="104"/>
      <c r="L48" s="105" t="str">
        <f>IFERROR(L38/$P$38,"NM")</f>
        <v>NM</v>
      </c>
      <c r="M48" s="106" t="str">
        <f>IFERROR(M38/$P$38,"NM")</f>
        <v>NM</v>
      </c>
      <c r="N48" s="106" t="str">
        <f>IFERROR(N38/$P$38,"NM")</f>
        <v>NM</v>
      </c>
      <c r="O48" s="106" t="str">
        <f>IFERROR(O38/$P$38,"NM")</f>
        <v>NM</v>
      </c>
      <c r="P48" s="104"/>
      <c r="Q48" s="105" t="str">
        <f>IFERROR(Q38/$U$38,"NM")</f>
        <v>NM</v>
      </c>
      <c r="R48" s="106" t="str">
        <f>IFERROR(R38/$U$38,"NM")</f>
        <v>NM</v>
      </c>
      <c r="S48" s="106" t="str">
        <f>IFERROR(S38/$U$38,"NM")</f>
        <v>NM</v>
      </c>
      <c r="T48" s="106" t="str">
        <f>IFERROR(T38/$U$38,"NM")</f>
        <v>NM</v>
      </c>
      <c r="U48" s="104"/>
      <c r="V48" s="105">
        <f>IFERROR(V38/$Z$38,"NM")</f>
        <v>0.24247984795858182</v>
      </c>
      <c r="W48" s="106">
        <f>IFERROR(W38/$Z$38,"NM")</f>
        <v>0.23946523363261027</v>
      </c>
      <c r="X48" s="106">
        <f>IFERROR(X38/$Z$38,"NM")</f>
        <v>0.24909889245691066</v>
      </c>
      <c r="Y48" s="106">
        <f>IFERROR(Y38/$Z$38,"NM")</f>
        <v>0.26895602595189722</v>
      </c>
      <c r="Z48" s="104" t="b">
        <f>1=SUM(V48:Y48)</f>
        <v>1</v>
      </c>
      <c r="AA48" s="105">
        <f>AA38/$AE$38</f>
        <v>0.40278796771826852</v>
      </c>
      <c r="AB48" s="105">
        <f>AB38/$AE$38</f>
        <v>0.14306676449009537</v>
      </c>
      <c r="AC48" s="105">
        <f>AC38/$AE$38</f>
        <v>0.19943751528491074</v>
      </c>
      <c r="AD48" s="105">
        <f>AD38/$AE$38</f>
        <v>0.25470775250672534</v>
      </c>
      <c r="AE48" s="274" t="b">
        <f>1=SUM(AA48:AD48)</f>
        <v>1</v>
      </c>
      <c r="AF48" s="105">
        <f>AF38/$AJ$38</f>
        <v>0.22101167315175096</v>
      </c>
      <c r="AG48" s="105">
        <f>AG38/$AJ$38</f>
        <v>0.19544191217342968</v>
      </c>
      <c r="AH48" s="105">
        <f>AH38/$AJ$38</f>
        <v>0.2651473040578099</v>
      </c>
      <c r="AI48" s="105">
        <f>AI38/$AJ$38</f>
        <v>0.31839911061700943</v>
      </c>
      <c r="AJ48" s="274" t="b">
        <f>1=SUM(AF48:AI48)</f>
        <v>1</v>
      </c>
      <c r="AK48" s="105">
        <f>AK38/$AO$38</f>
        <v>0.21154145279203609</v>
      </c>
      <c r="AL48" s="105">
        <f>AL38/$AO$38</f>
        <v>0.22989578472546274</v>
      </c>
      <c r="AM48" s="105">
        <f>AM38/$AO$38</f>
        <v>0.27235962046974649</v>
      </c>
      <c r="AN48" s="105">
        <f>AN38/$AO$38</f>
        <v>0.28620314201275471</v>
      </c>
      <c r="AO48" s="274" t="b">
        <f>1=SUM(AK48:AN48)</f>
        <v>1</v>
      </c>
      <c r="AP48" s="105">
        <f>AP38/$AT$38</f>
        <v>0.22237928304873911</v>
      </c>
      <c r="AQ48" s="105">
        <f>AQ38/$AT$38</f>
        <v>0.23351803686531719</v>
      </c>
      <c r="AR48" s="105">
        <f>AR38/$AT$38</f>
        <v>0.27439782879113422</v>
      </c>
      <c r="AS48" s="105">
        <f>AS38/$AT$38</f>
        <v>0.26970485129480948</v>
      </c>
      <c r="AT48" s="274" t="b">
        <f>1=SUM(AP48:AS48)</f>
        <v>1</v>
      </c>
      <c r="AU48" s="105">
        <f>AU38/$AY$38</f>
        <v>0.22199747155499369</v>
      </c>
      <c r="AV48" s="105">
        <f>AV38/$AY$38</f>
        <v>0.23792667509481669</v>
      </c>
      <c r="AW48" s="105">
        <f>AW38/$AY$38</f>
        <v>0.26887484197218708</v>
      </c>
      <c r="AX48" s="105">
        <f>AX38/$AY$38</f>
        <v>0.27120101137800251</v>
      </c>
      <c r="AY48" s="274" t="b">
        <f>1=SUM(AU48:AX48)</f>
        <v>1</v>
      </c>
      <c r="AZ48" s="105">
        <f>AZ38/$BD$38</f>
        <v>0.20465813674530187</v>
      </c>
      <c r="BA48" s="105">
        <f>BA38/$BD$38</f>
        <v>0.24226309476209515</v>
      </c>
      <c r="BB48" s="105">
        <f>BB38/$BD$38</f>
        <v>0.27269092363054775</v>
      </c>
      <c r="BC48" s="105">
        <f>BC38/$BD$38</f>
        <v>0.2803878448620552</v>
      </c>
      <c r="BD48" s="274" t="b">
        <f>1=SUM(AZ48:BC48)</f>
        <v>1</v>
      </c>
      <c r="BE48" s="105">
        <f>BE38/$BI$38</f>
        <v>0.23268299230703274</v>
      </c>
      <c r="BF48" s="105">
        <f t="shared" ref="BF48:BH48" si="104">BF38/$BI$38</f>
        <v>0.25374290227526497</v>
      </c>
      <c r="BG48" s="105">
        <f t="shared" si="104"/>
        <v>0.2467525140070414</v>
      </c>
      <c r="BH48" s="105">
        <f t="shared" si="104"/>
        <v>0.26682159141066092</v>
      </c>
      <c r="BI48" s="274" t="b">
        <f>1=SUM(BE48:BH48)</f>
        <v>1</v>
      </c>
      <c r="BJ48" s="24"/>
    </row>
    <row r="49" spans="1:62">
      <c r="A49" s="458" t="s">
        <v>0</v>
      </c>
      <c r="B49" s="105" t="e">
        <f>B9/$F$9</f>
        <v>#DIV/0!</v>
      </c>
      <c r="C49" s="106" t="e">
        <f>C9/$F$9</f>
        <v>#DIV/0!</v>
      </c>
      <c r="D49" s="106" t="e">
        <f>D9/$F$9</f>
        <v>#DIV/0!</v>
      </c>
      <c r="E49" s="106" t="e">
        <f>E9/$F$9</f>
        <v>#DIV/0!</v>
      </c>
      <c r="F49" s="104" t="e">
        <f>1=SUM(B49:E49)</f>
        <v>#DIV/0!</v>
      </c>
      <c r="G49" s="105">
        <f>G9/$K$9</f>
        <v>0</v>
      </c>
      <c r="H49" s="106">
        <f>H9/$K$9</f>
        <v>0</v>
      </c>
      <c r="I49" s="106">
        <f>I9/$K$9</f>
        <v>0</v>
      </c>
      <c r="J49" s="106">
        <f>J9/$K$9</f>
        <v>0</v>
      </c>
      <c r="K49" s="104" t="b">
        <f>1=SUM(G49:J49)</f>
        <v>0</v>
      </c>
      <c r="L49" s="105">
        <f>L9/$P$9</f>
        <v>0.25216905982038662</v>
      </c>
      <c r="M49" s="106">
        <f>M9/$P$9</f>
        <v>0.2495306712669339</v>
      </c>
      <c r="N49" s="106">
        <f>N9/$P$9</f>
        <v>0.2459789943680552</v>
      </c>
      <c r="O49" s="106">
        <f>O9/$P$9</f>
        <v>0.25232127454462427</v>
      </c>
      <c r="P49" s="104" t="b">
        <f>1=SUM(L49:O49)</f>
        <v>1</v>
      </c>
      <c r="Q49" s="105">
        <f>Q9/$U$9</f>
        <v>0.2320014082027812</v>
      </c>
      <c r="R49" s="106">
        <f>R9/$U$9</f>
        <v>0.24353106847386025</v>
      </c>
      <c r="S49" s="106">
        <f>S9/$U$9</f>
        <v>0.24801971483893681</v>
      </c>
      <c r="T49" s="106">
        <f>T9/$U$9</f>
        <v>0.27644780848442174</v>
      </c>
      <c r="U49" s="104" t="b">
        <f>1=SUM(Q49:T49)</f>
        <v>1</v>
      </c>
      <c r="V49" s="105">
        <f>V9/$Z$9</f>
        <v>0.24565387950613204</v>
      </c>
      <c r="W49" s="106">
        <f>W9/$Z$9</f>
        <v>0.24148325556427302</v>
      </c>
      <c r="X49" s="106">
        <f>X9/$Z$9</f>
        <v>0.24763595821117396</v>
      </c>
      <c r="Y49" s="106">
        <f>Y9/$Z$9</f>
        <v>0.26522690671842092</v>
      </c>
      <c r="Z49" s="104" t="b">
        <f>1=SUM(V49:Y49)</f>
        <v>1</v>
      </c>
      <c r="AA49" s="105">
        <f>AA9/$AE$9</f>
        <v>0.35313212238414254</v>
      </c>
      <c r="AB49" s="105">
        <f>AB9/$AE$9</f>
        <v>0.17397610332205263</v>
      </c>
      <c r="AC49" s="105">
        <f>AC9/$AE$9</f>
        <v>0.21320533185993507</v>
      </c>
      <c r="AD49" s="105">
        <f>AD9/$AE$9</f>
        <v>0.25968644243386974</v>
      </c>
      <c r="AE49" s="274" t="b">
        <f>1=SUM(AA49:AD49)</f>
        <v>1</v>
      </c>
      <c r="AF49" s="105">
        <f>AF9/$AJ$9</f>
        <v>0.23349582172701949</v>
      </c>
      <c r="AG49" s="105">
        <f>AG9/$AJ$9</f>
        <v>0.21692200557103064</v>
      </c>
      <c r="AH49" s="105">
        <f>AH9/$AJ$9</f>
        <v>0.2508356545961003</v>
      </c>
      <c r="AI49" s="105">
        <f>AI9/$AJ$9</f>
        <v>0.29874651810584957</v>
      </c>
      <c r="AJ49" s="274" t="b">
        <f>1=SUM(AF49:AI49)</f>
        <v>1</v>
      </c>
      <c r="AK49" s="105">
        <f>AK9/$AO$9</f>
        <v>0.20642914545941601</v>
      </c>
      <c r="AL49" s="105">
        <f>AL9/$AO$9</f>
        <v>0.23064559335654969</v>
      </c>
      <c r="AM49" s="105">
        <f>AM9/$AO$9</f>
        <v>0.26632735065630858</v>
      </c>
      <c r="AN49" s="105">
        <f>AN9/$AO$9</f>
        <v>0.29659791052772572</v>
      </c>
      <c r="AO49" s="274" t="b">
        <f>1=SUM(AK49:AN49)</f>
        <v>1</v>
      </c>
      <c r="AP49" s="105">
        <f>AP9/$AT$9</f>
        <v>0.21932508907985748</v>
      </c>
      <c r="AQ49" s="105">
        <f>AQ9/$AT$9</f>
        <v>0.24049465520855168</v>
      </c>
      <c r="AR49" s="105">
        <f>AR9/$AT$9</f>
        <v>0.27067700691678892</v>
      </c>
      <c r="AS49" s="105">
        <f>AS9/$AT$9</f>
        <v>0.26950324879480192</v>
      </c>
      <c r="AT49" s="274" t="b">
        <f>1=SUM(AP49:AS49)</f>
        <v>1</v>
      </c>
      <c r="AU49" s="105">
        <f>AU9/$AY$9</f>
        <v>0.22674007663405379</v>
      </c>
      <c r="AV49" s="105">
        <f>AV9/$AY$9</f>
        <v>0.2281165135225624</v>
      </c>
      <c r="AW49" s="105">
        <f>AW9/$AY$9</f>
        <v>0.26051858189799487</v>
      </c>
      <c r="AX49" s="105">
        <f>AX9/$AY$9</f>
        <v>0.28458762694840223</v>
      </c>
      <c r="AY49" s="274" t="b">
        <f>1=ROUND(SUM(AU49:AX49),2)</f>
        <v>1</v>
      </c>
      <c r="AZ49" s="105">
        <f>AZ9/$BD$9</f>
        <v>0.20943147025274658</v>
      </c>
      <c r="BA49" s="105">
        <f>BA9/$BD$9</f>
        <v>0.2398391066818755</v>
      </c>
      <c r="BB49" s="105">
        <f>BB9/$BD$9</f>
        <v>0.26655460166896799</v>
      </c>
      <c r="BC49" s="105">
        <f>BC9/$BD$9</f>
        <v>0.28420483880650776</v>
      </c>
      <c r="BD49" s="274" t="b">
        <f>1=ROUND(SUM(AZ49:BC49),2)</f>
        <v>1</v>
      </c>
      <c r="BE49" s="105">
        <f>BE9/$BI$9</f>
        <v>0.2316456293842164</v>
      </c>
      <c r="BF49" s="105">
        <f t="shared" ref="BF49:BH49" si="105">BF9/$BI$9</f>
        <v>0.25270668380468719</v>
      </c>
      <c r="BG49" s="105">
        <f t="shared" si="105"/>
        <v>0.24778362987235097</v>
      </c>
      <c r="BH49" s="105">
        <f t="shared" si="105"/>
        <v>0.26791599542067013</v>
      </c>
      <c r="BI49" s="274" t="b">
        <f>1=ROUND(SUM(BE49:BH49),2)</f>
        <v>1</v>
      </c>
      <c r="BJ49" s="24"/>
    </row>
    <row r="50" spans="1:62">
      <c r="A50" s="458" t="s">
        <v>9</v>
      </c>
      <c r="B50" s="105" t="e">
        <f>B27/$F$27</f>
        <v>#DIV/0!</v>
      </c>
      <c r="C50" s="106" t="e">
        <f>C27/$F$27</f>
        <v>#DIV/0!</v>
      </c>
      <c r="D50" s="106" t="e">
        <f>D27/$F$27</f>
        <v>#DIV/0!</v>
      </c>
      <c r="E50" s="106" t="e">
        <f>E27/$F$27</f>
        <v>#DIV/0!</v>
      </c>
      <c r="F50" s="104" t="e">
        <f>1=SUM(B50:E50)</f>
        <v>#DIV/0!</v>
      </c>
      <c r="G50" s="105" t="e">
        <f>G27/$K$27</f>
        <v>#DIV/0!</v>
      </c>
      <c r="H50" s="106" t="e">
        <f>H27/$K$27</f>
        <v>#DIV/0!</v>
      </c>
      <c r="I50" s="106" t="e">
        <f>I27/$K$27</f>
        <v>#DIV/0!</v>
      </c>
      <c r="J50" s="106" t="e">
        <f>J27/$K$27</f>
        <v>#DIV/0!</v>
      </c>
      <c r="K50" s="104" t="e">
        <f>1=SUM(G50:J50)</f>
        <v>#DIV/0!</v>
      </c>
      <c r="L50" s="105" t="e">
        <f>L27/$P$27</f>
        <v>#DIV/0!</v>
      </c>
      <c r="M50" s="106" t="e">
        <f>M27/$P$27</f>
        <v>#DIV/0!</v>
      </c>
      <c r="N50" s="106" t="e">
        <f>N27/$P$27</f>
        <v>#DIV/0!</v>
      </c>
      <c r="O50" s="106" t="e">
        <f>O27/$P$27</f>
        <v>#DIV/0!</v>
      </c>
      <c r="P50" s="104" t="e">
        <f>1=SUM(L50:O50)</f>
        <v>#DIV/0!</v>
      </c>
      <c r="Q50" s="105" t="e">
        <f>Q27/$U$27</f>
        <v>#DIV/0!</v>
      </c>
      <c r="R50" s="106" t="e">
        <f>R27/$U$27</f>
        <v>#DIV/0!</v>
      </c>
      <c r="S50" s="106" t="e">
        <f>S27/$U$27</f>
        <v>#DIV/0!</v>
      </c>
      <c r="T50" s="106" t="e">
        <f>T27/$U$27</f>
        <v>#DIV/0!</v>
      </c>
      <c r="U50" s="104" t="e">
        <f>1=SUM(Q50:T50)</f>
        <v>#DIV/0!</v>
      </c>
      <c r="V50" s="105" t="e">
        <f>V27/$Z$27</f>
        <v>#DIV/0!</v>
      </c>
      <c r="W50" s="106" t="e">
        <f>W27/$Z$27</f>
        <v>#DIV/0!</v>
      </c>
      <c r="X50" s="106" t="e">
        <f>X27/$Z$27</f>
        <v>#DIV/0!</v>
      </c>
      <c r="Y50" s="106" t="e">
        <f>Y27/$Z$27</f>
        <v>#DIV/0!</v>
      </c>
      <c r="Z50" s="104" t="e">
        <f>1=SUM(V50:Y50)</f>
        <v>#DIV/0!</v>
      </c>
      <c r="AA50" s="105" t="e">
        <f>AA27/$AE$27</f>
        <v>#DIV/0!</v>
      </c>
      <c r="AB50" s="105" t="e">
        <f>AB27/$AE$27</f>
        <v>#DIV/0!</v>
      </c>
      <c r="AC50" s="105" t="e">
        <f>AC27/$AE$27</f>
        <v>#DIV/0!</v>
      </c>
      <c r="AD50" s="105" t="e">
        <f>AD27/$AE$27</f>
        <v>#DIV/0!</v>
      </c>
      <c r="AE50" s="274" t="e">
        <f>1=SUM(AA50:AD50)</f>
        <v>#DIV/0!</v>
      </c>
      <c r="AF50" s="105" t="e">
        <f>AF27/$AJ$27</f>
        <v>#DIV/0!</v>
      </c>
      <c r="AG50" s="105" t="e">
        <f>AG27/$AJ$27</f>
        <v>#DIV/0!</v>
      </c>
      <c r="AH50" s="105" t="e">
        <f>AH27/$AJ$27</f>
        <v>#DIV/0!</v>
      </c>
      <c r="AI50" s="105" t="e">
        <f>AI27/$AJ$27</f>
        <v>#DIV/0!</v>
      </c>
      <c r="AJ50" s="274" t="e">
        <f>1=SUM(AF50:AI50)</f>
        <v>#DIV/0!</v>
      </c>
      <c r="AK50" s="105" t="e">
        <f>AK27/$AO$27</f>
        <v>#DIV/0!</v>
      </c>
      <c r="AL50" s="105" t="e">
        <f>AL27/$AO$27</f>
        <v>#DIV/0!</v>
      </c>
      <c r="AM50" s="105" t="e">
        <f>AM27/$AO$27</f>
        <v>#DIV/0!</v>
      </c>
      <c r="AN50" s="105" t="e">
        <f>AN27/$AO$27</f>
        <v>#DIV/0!</v>
      </c>
      <c r="AO50" s="274" t="e">
        <f>1=SUM(AK50:AN50)</f>
        <v>#DIV/0!</v>
      </c>
      <c r="AP50" s="105">
        <f>AP27/$AT$27</f>
        <v>0.21513379408116251</v>
      </c>
      <c r="AQ50" s="105">
        <f>AQ27/$AT$27</f>
        <v>0.24614566719829878</v>
      </c>
      <c r="AR50" s="105">
        <f>AR27/$AT$27</f>
        <v>0.2737905369484317</v>
      </c>
      <c r="AS50" s="105">
        <f>AS27/$AT$27</f>
        <v>0.26493000177210702</v>
      </c>
      <c r="AT50" s="274" t="b">
        <f>1=SUM(AP50:AS50)</f>
        <v>1</v>
      </c>
      <c r="AU50" s="105">
        <f>AU27/$AY$27</f>
        <v>0.20113394755492559</v>
      </c>
      <c r="AV50" s="105">
        <f>AV27/$AY$27</f>
        <v>0.2379872430900071</v>
      </c>
      <c r="AW50" s="105">
        <f>AW27/$AY$27</f>
        <v>0.25499645641389085</v>
      </c>
      <c r="AX50" s="105">
        <f>AX27/$AY$27</f>
        <v>0.30588235294117649</v>
      </c>
      <c r="AY50" s="274" t="b">
        <f>1=SUM(AU50:AX50)</f>
        <v>1</v>
      </c>
      <c r="AZ50" s="105">
        <f>AZ27/$BD$27</f>
        <v>0.21667983297596208</v>
      </c>
      <c r="BA50" s="105">
        <f>BA27/$BD$27</f>
        <v>0.25189030583455591</v>
      </c>
      <c r="BB50" s="105">
        <f>BB27/$BD$27</f>
        <v>0.27491253808825189</v>
      </c>
      <c r="BC50" s="105">
        <f>BC27/$BD$27</f>
        <v>0.2565173231012301</v>
      </c>
      <c r="BD50" s="274" t="b">
        <f>1=SUM(AZ50:BC50)</f>
        <v>1</v>
      </c>
      <c r="BE50" s="105">
        <f>BE27/$BI$27</f>
        <v>0.22770201603018597</v>
      </c>
      <c r="BF50" s="105">
        <f t="shared" ref="BF50:BH50" si="106">BF27/$BI$27</f>
        <v>0.25679297818005264</v>
      </c>
      <c r="BG50" s="105">
        <f t="shared" si="106"/>
        <v>0.25700520150883593</v>
      </c>
      <c r="BH50" s="105">
        <f t="shared" si="106"/>
        <v>0.25849980428092545</v>
      </c>
      <c r="BI50" s="274" t="b">
        <f>1=SUM(BE50:BH50)</f>
        <v>1</v>
      </c>
      <c r="BJ50" s="24"/>
    </row>
    <row r="51" spans="1:62">
      <c r="A51" s="458"/>
      <c r="B51" s="24"/>
      <c r="C51" s="24"/>
      <c r="D51" s="24"/>
      <c r="E51" s="24"/>
      <c r="F51" s="25"/>
      <c r="G51" s="24"/>
      <c r="H51" s="24"/>
      <c r="I51" s="24"/>
      <c r="J51" s="24"/>
      <c r="K51" s="25"/>
      <c r="L51" s="24"/>
      <c r="M51" s="24"/>
      <c r="N51" s="24"/>
      <c r="O51" s="24"/>
      <c r="P51" s="25"/>
      <c r="Q51" s="24"/>
      <c r="R51" s="24"/>
      <c r="S51" s="24"/>
      <c r="T51" s="24"/>
      <c r="U51" s="25"/>
      <c r="V51" s="24"/>
      <c r="W51" s="24"/>
      <c r="X51" s="24"/>
      <c r="Y51" s="24"/>
      <c r="Z51" s="25"/>
      <c r="AA51" s="24"/>
      <c r="AB51" s="24"/>
      <c r="AC51" s="24"/>
      <c r="AD51" s="24"/>
      <c r="AE51" s="25"/>
      <c r="AF51" s="24"/>
      <c r="AG51" s="24"/>
      <c r="AH51" s="24"/>
      <c r="AI51" s="24"/>
      <c r="AJ51" s="25"/>
      <c r="AK51" s="24"/>
      <c r="AL51" s="24"/>
      <c r="AM51" s="24"/>
      <c r="AN51" s="24"/>
      <c r="AO51" s="25"/>
      <c r="AP51" s="24"/>
      <c r="AQ51" s="24"/>
      <c r="AR51" s="24"/>
      <c r="AS51" s="24"/>
      <c r="AT51" s="25"/>
      <c r="AU51" s="24"/>
      <c r="AV51" s="24"/>
      <c r="AW51" s="24"/>
      <c r="AX51" s="24"/>
      <c r="AY51" s="25"/>
      <c r="AZ51" s="24"/>
      <c r="BA51" s="24"/>
      <c r="BB51" s="24"/>
      <c r="BC51" s="24"/>
      <c r="BD51" s="25"/>
      <c r="BE51" s="24"/>
      <c r="BF51" s="24"/>
      <c r="BG51" s="24"/>
      <c r="BH51" s="24"/>
      <c r="BI51" s="25"/>
      <c r="BJ51" s="24"/>
    </row>
    <row r="52" spans="1:62">
      <c r="A52" s="464" t="s">
        <v>297</v>
      </c>
      <c r="F52" s="179"/>
      <c r="K52" s="179"/>
      <c r="P52" s="179"/>
      <c r="U52" s="179"/>
      <c r="Z52" s="179"/>
      <c r="AA52" s="24"/>
      <c r="AB52" s="24"/>
      <c r="AC52" s="24"/>
      <c r="AD52" s="24"/>
      <c r="AE52" s="179"/>
      <c r="AF52" s="24"/>
      <c r="AG52" s="24"/>
      <c r="AH52" s="24"/>
      <c r="AI52" s="24"/>
      <c r="AJ52" s="179"/>
      <c r="AO52" s="179"/>
      <c r="AP52" s="378"/>
      <c r="AQ52" s="378"/>
      <c r="AR52" s="378"/>
      <c r="AS52" s="378"/>
      <c r="AT52" s="379"/>
      <c r="AU52" s="378"/>
      <c r="AV52" s="378"/>
      <c r="AW52" s="378"/>
      <c r="AX52" s="24"/>
      <c r="AY52" s="379"/>
      <c r="AZ52" s="378"/>
      <c r="BA52" s="378"/>
      <c r="BB52" s="24"/>
      <c r="BC52" s="24"/>
      <c r="BD52" s="179"/>
      <c r="BE52" s="378"/>
      <c r="BF52" s="378"/>
      <c r="BG52" s="24"/>
      <c r="BH52" s="24"/>
      <c r="BI52" s="179"/>
      <c r="BJ52" s="24"/>
    </row>
    <row r="53" spans="1:62">
      <c r="A53" s="458" t="s">
        <v>213</v>
      </c>
      <c r="B53" s="314">
        <v>649</v>
      </c>
      <c r="C53" s="314">
        <v>685</v>
      </c>
      <c r="D53" s="314">
        <v>611</v>
      </c>
      <c r="E53" s="314">
        <f>2588-SUM(B53:D53)</f>
        <v>643</v>
      </c>
      <c r="F53" s="317">
        <f>SUM(B53:E53)</f>
        <v>2588</v>
      </c>
      <c r="G53" s="314">
        <v>677</v>
      </c>
      <c r="H53" s="314">
        <v>724</v>
      </c>
      <c r="I53" s="314">
        <v>654</v>
      </c>
      <c r="J53" s="314">
        <f>2747-SUM(G53:I53)</f>
        <v>692</v>
      </c>
      <c r="K53" s="317">
        <f>SUM(G53:J53)</f>
        <v>2747</v>
      </c>
      <c r="L53" s="314">
        <v>627</v>
      </c>
      <c r="M53" s="314">
        <v>627</v>
      </c>
      <c r="N53" s="314">
        <v>641</v>
      </c>
      <c r="O53" s="314">
        <v>707</v>
      </c>
      <c r="P53" s="317">
        <f>SUM(L53:O53)</f>
        <v>2602</v>
      </c>
      <c r="Q53" s="314">
        <v>651</v>
      </c>
      <c r="R53" s="314">
        <v>697</v>
      </c>
      <c r="S53" s="314">
        <v>714</v>
      </c>
      <c r="T53" s="314">
        <v>763</v>
      </c>
      <c r="U53" s="317">
        <f>SUM(Q53:T53)</f>
        <v>2825</v>
      </c>
      <c r="V53" s="314">
        <v>751</v>
      </c>
      <c r="W53" s="314">
        <v>723</v>
      </c>
      <c r="X53" s="314">
        <v>714</v>
      </c>
      <c r="Y53" s="314">
        <v>675</v>
      </c>
      <c r="Z53" s="317">
        <f>SUM(V53:Y53)</f>
        <v>2863</v>
      </c>
      <c r="AA53" s="314">
        <v>530</v>
      </c>
      <c r="AB53" s="314">
        <v>362</v>
      </c>
      <c r="AC53" s="314">
        <v>391</v>
      </c>
      <c r="AD53" s="350">
        <f>AE53-SUM(AA53:AC53)</f>
        <v>366</v>
      </c>
      <c r="AE53" s="412">
        <v>1649</v>
      </c>
      <c r="AF53" s="314">
        <v>359</v>
      </c>
      <c r="AG53" s="314">
        <v>383</v>
      </c>
      <c r="AH53" s="314">
        <v>377</v>
      </c>
      <c r="AI53" s="350">
        <f>AJ53-SUM(AF53:AH53)</f>
        <v>368</v>
      </c>
      <c r="AJ53" s="412">
        <v>1487</v>
      </c>
      <c r="AK53" s="315">
        <v>343</v>
      </c>
      <c r="AL53" s="315">
        <v>355</v>
      </c>
      <c r="AM53" s="314">
        <v>489</v>
      </c>
      <c r="AN53" s="350">
        <f>AO53-SUM(AK53:AM53)</f>
        <v>476</v>
      </c>
      <c r="AO53" s="412">
        <v>1663</v>
      </c>
      <c r="AP53" s="314">
        <f>1024-AQ53</f>
        <v>481</v>
      </c>
      <c r="AQ53" s="314">
        <v>543</v>
      </c>
      <c r="AR53" s="314">
        <v>520</v>
      </c>
      <c r="AS53" s="350">
        <f>AT53-SUM(AP53:AR53)</f>
        <v>531</v>
      </c>
      <c r="AT53" s="415">
        <v>2075</v>
      </c>
      <c r="AU53" s="314">
        <v>489</v>
      </c>
      <c r="AV53" s="314">
        <v>402</v>
      </c>
      <c r="AW53" s="314">
        <v>501</v>
      </c>
      <c r="AX53" s="350">
        <f>AY53-SUM(AU53:AW53)</f>
        <v>519</v>
      </c>
      <c r="AY53" s="415">
        <v>1911</v>
      </c>
      <c r="AZ53" s="314">
        <v>444</v>
      </c>
      <c r="BA53" s="314">
        <v>551</v>
      </c>
      <c r="BB53" s="314">
        <v>664</v>
      </c>
      <c r="BC53" s="350">
        <f>BD53-SUM(AZ53:BB53)</f>
        <v>727</v>
      </c>
      <c r="BD53" s="375">
        <v>2386</v>
      </c>
      <c r="BE53" s="314">
        <v>640</v>
      </c>
      <c r="BF53" s="314">
        <v>659</v>
      </c>
      <c r="BG53" s="314"/>
      <c r="BH53" s="326"/>
      <c r="BI53" s="25"/>
      <c r="BJ53" s="326"/>
    </row>
    <row r="54" spans="1:62">
      <c r="A54" s="458" t="s">
        <v>298</v>
      </c>
      <c r="B54" s="314">
        <v>0</v>
      </c>
      <c r="C54" s="314">
        <v>0</v>
      </c>
      <c r="D54" s="314">
        <v>0</v>
      </c>
      <c r="E54" s="314">
        <f>0-SUM(B54:D54)</f>
        <v>0</v>
      </c>
      <c r="F54" s="317">
        <f>SUM(B54:E54)</f>
        <v>0</v>
      </c>
      <c r="G54" s="314">
        <v>0</v>
      </c>
      <c r="H54" s="314">
        <v>11</v>
      </c>
      <c r="I54" s="314">
        <v>22</v>
      </c>
      <c r="J54" s="314">
        <f>77-SUM(G54:I54)</f>
        <v>44</v>
      </c>
      <c r="K54" s="317">
        <f>SUM(G54:J54)</f>
        <v>77</v>
      </c>
      <c r="L54" s="314">
        <v>77</v>
      </c>
      <c r="M54" s="314">
        <v>69</v>
      </c>
      <c r="N54" s="314">
        <v>111</v>
      </c>
      <c r="O54" s="314">
        <v>174</v>
      </c>
      <c r="P54" s="317">
        <f>SUM(L54:O54)</f>
        <v>431</v>
      </c>
      <c r="Q54" s="314">
        <v>186</v>
      </c>
      <c r="R54" s="314">
        <v>250</v>
      </c>
      <c r="S54" s="314">
        <v>303</v>
      </c>
      <c r="T54" s="314">
        <v>379</v>
      </c>
      <c r="U54" s="317">
        <f>SUM(Q54:T54)</f>
        <v>1118</v>
      </c>
      <c r="V54" s="314">
        <v>424</v>
      </c>
      <c r="W54" s="314">
        <v>437</v>
      </c>
      <c r="X54" s="314">
        <v>455</v>
      </c>
      <c r="Y54" s="314">
        <v>420</v>
      </c>
      <c r="Z54" s="317">
        <f>SUM(V54:Y54)</f>
        <v>1736</v>
      </c>
      <c r="AA54" s="314">
        <v>272</v>
      </c>
      <c r="AB54" s="314">
        <v>178</v>
      </c>
      <c r="AC54" s="314">
        <v>172</v>
      </c>
      <c r="AD54" s="350">
        <f>AE54-SUM(AA54:AC54)</f>
        <v>193</v>
      </c>
      <c r="AE54" s="412">
        <v>815</v>
      </c>
      <c r="AF54" s="314">
        <v>188</v>
      </c>
      <c r="AG54" s="314">
        <v>211</v>
      </c>
      <c r="AH54" s="314">
        <v>226</v>
      </c>
      <c r="AI54" s="350">
        <f>AJ54-SUM(AF54:AH54)</f>
        <v>220</v>
      </c>
      <c r="AJ54" s="412">
        <v>845</v>
      </c>
      <c r="AK54" s="314">
        <v>239</v>
      </c>
      <c r="AL54" s="314">
        <v>226</v>
      </c>
      <c r="AM54" s="314">
        <v>347</v>
      </c>
      <c r="AN54" s="350">
        <f>AO54-SUM(AK54:AM54)</f>
        <v>324</v>
      </c>
      <c r="AO54" s="412">
        <v>1136</v>
      </c>
      <c r="AP54" s="314">
        <f>785-AQ54</f>
        <v>366</v>
      </c>
      <c r="AQ54" s="314">
        <v>419</v>
      </c>
      <c r="AR54" s="314">
        <v>389</v>
      </c>
      <c r="AS54" s="350">
        <f>AT54-SUM(AP54:AR54)</f>
        <v>396</v>
      </c>
      <c r="AT54" s="415">
        <v>1570</v>
      </c>
      <c r="AU54" s="314">
        <v>367</v>
      </c>
      <c r="AV54" s="314">
        <v>297</v>
      </c>
      <c r="AW54" s="314">
        <v>365</v>
      </c>
      <c r="AX54" s="350">
        <f>AY54-SUM(AU54:AW54)</f>
        <v>378</v>
      </c>
      <c r="AY54" s="415">
        <v>1407</v>
      </c>
      <c r="AZ54" s="314">
        <v>319</v>
      </c>
      <c r="BA54" s="314">
        <v>410</v>
      </c>
      <c r="BB54" s="314">
        <v>511</v>
      </c>
      <c r="BC54" s="350">
        <f>BD54-SUM(AZ54:BB54)</f>
        <v>562</v>
      </c>
      <c r="BD54" s="375">
        <v>1802</v>
      </c>
      <c r="BE54" s="314">
        <v>520</v>
      </c>
      <c r="BF54" s="314">
        <v>510</v>
      </c>
      <c r="BG54" s="314"/>
      <c r="BH54" s="326"/>
      <c r="BI54" s="25"/>
      <c r="BJ54" s="24"/>
    </row>
    <row r="55" spans="1:62">
      <c r="A55" s="458" t="s">
        <v>300</v>
      </c>
      <c r="B55" s="314"/>
      <c r="C55" s="314"/>
      <c r="D55" s="314"/>
      <c r="E55" s="314"/>
      <c r="F55" s="318"/>
      <c r="G55" s="316">
        <v>17.3</v>
      </c>
      <c r="H55" s="316">
        <v>19</v>
      </c>
      <c r="I55" s="316">
        <v>19.100000000000001</v>
      </c>
      <c r="J55" s="316">
        <f>18.9*4-SUM(G55:I55)</f>
        <v>20.199999999999996</v>
      </c>
      <c r="K55" s="318">
        <f>AVERAGE(G55:J55)</f>
        <v>18.899999999999999</v>
      </c>
      <c r="L55" s="316">
        <v>21.7</v>
      </c>
      <c r="M55" s="316">
        <v>21.6</v>
      </c>
      <c r="N55" s="316">
        <v>23.2</v>
      </c>
      <c r="O55" s="316">
        <v>27.4</v>
      </c>
      <c r="P55" s="318">
        <f>AVERAGE(L55:O55)</f>
        <v>23.475000000000001</v>
      </c>
      <c r="Q55" s="316">
        <v>25.2</v>
      </c>
      <c r="R55" s="316">
        <v>26.6</v>
      </c>
      <c r="S55" s="316">
        <v>28</v>
      </c>
      <c r="T55" s="316">
        <v>30.3</v>
      </c>
      <c r="U55" s="318">
        <f>AVERAGE(Q55:T55)</f>
        <v>27.524999999999999</v>
      </c>
      <c r="V55" s="316">
        <v>30.1</v>
      </c>
      <c r="W55" s="316">
        <v>27</v>
      </c>
      <c r="X55" s="316">
        <v>30</v>
      </c>
      <c r="Y55" s="316">
        <v>36</v>
      </c>
      <c r="Z55" s="318">
        <f>AVERAGE(V55:Y55)</f>
        <v>30.774999999999999</v>
      </c>
      <c r="AA55" s="316">
        <v>26.9</v>
      </c>
      <c r="AB55" s="316">
        <v>13.1</v>
      </c>
      <c r="AC55" s="316">
        <v>14.4</v>
      </c>
      <c r="AD55" s="371">
        <f>AE55*4-SUM(AA55:AC55)</f>
        <v>17.500000000000007</v>
      </c>
      <c r="AE55" s="413">
        <v>17.975000000000001</v>
      </c>
      <c r="AF55" s="316">
        <v>13.2</v>
      </c>
      <c r="AG55" s="316">
        <v>15</v>
      </c>
      <c r="AH55" s="316">
        <v>19.3</v>
      </c>
      <c r="AI55" s="371">
        <f>AJ55*4-SUM(AF55:AH55)</f>
        <v>23.799999999999997</v>
      </c>
      <c r="AJ55" s="413">
        <v>17.824999999999999</v>
      </c>
      <c r="AK55" s="316">
        <v>22.8</v>
      </c>
      <c r="AL55" s="316">
        <v>23.5</v>
      </c>
      <c r="AM55" s="316">
        <v>29.4</v>
      </c>
      <c r="AN55" s="371">
        <f>AO55*4-SUM(AK55:AM55)</f>
        <v>31.900000000000006</v>
      </c>
      <c r="AO55" s="413">
        <v>26.9</v>
      </c>
      <c r="AP55" s="316"/>
      <c r="AQ55" s="316"/>
      <c r="AR55" s="316"/>
      <c r="AS55" s="371">
        <f>AT55*4-SUM(AP55:AR55)</f>
        <v>0</v>
      </c>
      <c r="AT55" s="413"/>
      <c r="AU55" s="316"/>
      <c r="AV55" s="316"/>
      <c r="AW55" s="316"/>
      <c r="AX55" s="24"/>
      <c r="AY55" s="413"/>
      <c r="AZ55" s="316"/>
      <c r="BA55" s="316"/>
      <c r="BB55" s="316"/>
      <c r="BC55" s="24"/>
      <c r="BD55" s="318"/>
      <c r="BE55" s="316"/>
      <c r="BF55" s="316"/>
      <c r="BG55" s="316"/>
      <c r="BH55" s="24"/>
      <c r="BI55" s="318"/>
      <c r="BJ55" s="24"/>
    </row>
    <row r="56" spans="1:62">
      <c r="A56" s="460"/>
      <c r="B56" s="24"/>
      <c r="C56" s="24"/>
      <c r="D56" s="24"/>
      <c r="E56" s="24"/>
      <c r="F56" s="24"/>
      <c r="G56" s="24"/>
      <c r="H56" s="24"/>
      <c r="I56" s="24"/>
      <c r="J56" s="24"/>
      <c r="K56" s="24"/>
      <c r="L56" s="24"/>
      <c r="M56" s="24"/>
      <c r="N56" s="24"/>
      <c r="O56" s="24"/>
      <c r="P56" s="25"/>
      <c r="Q56" s="24"/>
      <c r="R56" s="24"/>
      <c r="S56" s="24"/>
      <c r="T56" s="24"/>
      <c r="U56" s="25"/>
      <c r="V56" s="24"/>
      <c r="W56" s="24"/>
      <c r="X56" s="24"/>
      <c r="Y56" s="24"/>
      <c r="Z56" s="25"/>
      <c r="AA56" s="24"/>
      <c r="AB56" s="24"/>
      <c r="AC56" s="24"/>
      <c r="AD56" s="24"/>
      <c r="AE56" s="25"/>
      <c r="AF56" s="24"/>
      <c r="AG56" s="24"/>
      <c r="AH56" s="24"/>
      <c r="AI56" s="24"/>
      <c r="AJ56" s="25"/>
      <c r="AK56" s="24"/>
      <c r="AL56" s="24"/>
      <c r="AM56" s="24"/>
      <c r="AN56" s="24"/>
      <c r="AO56" s="25"/>
      <c r="AP56" s="24"/>
      <c r="AQ56" s="24"/>
      <c r="AR56" s="24"/>
      <c r="AS56" s="24"/>
      <c r="AT56" s="25"/>
      <c r="AU56" s="24"/>
      <c r="AV56" s="24"/>
      <c r="AW56" s="24"/>
      <c r="AX56" s="24"/>
      <c r="AY56" s="25"/>
      <c r="AZ56" s="24"/>
      <c r="BA56" s="24"/>
      <c r="BB56" s="24"/>
      <c r="BC56" s="24"/>
      <c r="BD56" s="25"/>
      <c r="BE56" s="24"/>
      <c r="BF56" s="24"/>
      <c r="BG56" s="24"/>
      <c r="BH56" s="24"/>
      <c r="BI56" s="25"/>
      <c r="BJ56" s="24"/>
    </row>
    <row r="57" spans="1:62">
      <c r="A57" s="464" t="s">
        <v>302</v>
      </c>
      <c r="B57" s="24"/>
      <c r="C57" s="24"/>
      <c r="D57" s="24"/>
      <c r="E57" s="24"/>
      <c r="F57" s="24"/>
      <c r="G57" s="24"/>
      <c r="H57" s="24"/>
      <c r="I57" s="24"/>
      <c r="J57" s="24"/>
      <c r="K57" s="24"/>
      <c r="L57" s="24"/>
      <c r="M57" s="24"/>
      <c r="N57" s="24"/>
      <c r="O57" s="24"/>
      <c r="P57" s="25"/>
      <c r="Q57" s="24"/>
      <c r="R57" s="24"/>
      <c r="S57" s="24"/>
      <c r="T57" s="24"/>
      <c r="U57" s="25"/>
      <c r="V57" s="24"/>
      <c r="W57" s="24"/>
      <c r="X57" s="24"/>
      <c r="Y57" s="24"/>
      <c r="Z57" s="25"/>
      <c r="AA57" s="24"/>
      <c r="AB57" s="24"/>
      <c r="AC57" s="24"/>
      <c r="AD57" s="24"/>
      <c r="AE57" s="25"/>
      <c r="AF57" s="24"/>
      <c r="AG57" s="24"/>
      <c r="AH57" s="24"/>
      <c r="AI57" s="24"/>
      <c r="AJ57" s="25"/>
      <c r="AK57" s="24"/>
      <c r="AL57" s="24"/>
      <c r="AM57" s="24"/>
      <c r="AN57" s="24"/>
      <c r="AO57" s="25"/>
      <c r="AP57" s="24"/>
      <c r="AQ57" s="24"/>
      <c r="AR57" s="24"/>
      <c r="AS57" s="24"/>
      <c r="AT57" s="25"/>
      <c r="AU57" s="24"/>
      <c r="AV57" s="24"/>
      <c r="AW57" s="24"/>
      <c r="AX57" s="24"/>
      <c r="AY57" s="25"/>
      <c r="AZ57" s="24"/>
      <c r="BA57" s="24"/>
      <c r="BB57" s="24"/>
      <c r="BC57" s="24"/>
      <c r="BD57" s="25"/>
      <c r="BE57" s="24"/>
      <c r="BF57" s="24"/>
      <c r="BG57" s="24"/>
      <c r="BH57" s="24"/>
      <c r="BI57" s="25"/>
      <c r="BJ57" s="24"/>
    </row>
    <row r="58" spans="1:62">
      <c r="A58" s="458" t="s">
        <v>303</v>
      </c>
      <c r="B58" s="222"/>
      <c r="C58" s="222"/>
      <c r="D58" s="222"/>
      <c r="E58" s="222"/>
      <c r="F58" s="222"/>
      <c r="G58" s="222"/>
      <c r="H58" s="222"/>
      <c r="I58" s="222"/>
      <c r="J58" s="222"/>
      <c r="K58" s="222"/>
      <c r="L58" s="222"/>
      <c r="M58" s="222"/>
      <c r="N58" s="222"/>
      <c r="O58" s="222"/>
      <c r="P58" s="265"/>
      <c r="Q58" s="222"/>
      <c r="R58" s="222"/>
      <c r="S58" s="222"/>
      <c r="T58" s="222"/>
      <c r="U58" s="265"/>
      <c r="V58" s="222"/>
      <c r="W58" s="222"/>
      <c r="X58" s="222">
        <v>0.18</v>
      </c>
      <c r="Y58" s="222" t="s">
        <v>305</v>
      </c>
      <c r="Z58" s="265"/>
      <c r="AA58" s="222">
        <v>-0.6</v>
      </c>
      <c r="AB58" s="222">
        <v>-0.55000000000000004</v>
      </c>
      <c r="AC58" s="222">
        <v>-0.5</v>
      </c>
      <c r="AD58" s="222" t="s">
        <v>306</v>
      </c>
      <c r="AE58" s="265"/>
      <c r="AF58" s="222" t="s">
        <v>306</v>
      </c>
      <c r="AG58" s="222">
        <v>0.3</v>
      </c>
      <c r="AH58" s="222">
        <v>0.4</v>
      </c>
      <c r="AI58" s="222">
        <v>0.4</v>
      </c>
      <c r="AJ58" s="265"/>
      <c r="AK58" s="525">
        <v>0.18</v>
      </c>
      <c r="AL58" s="525">
        <v>0.14000000000000001</v>
      </c>
      <c r="AM58" s="525">
        <v>0.3</v>
      </c>
      <c r="AN58" s="525">
        <v>0.25</v>
      </c>
      <c r="AO58" s="340">
        <v>0.22</v>
      </c>
      <c r="AP58" s="525"/>
      <c r="AQ58" s="525"/>
      <c r="AR58" s="525"/>
      <c r="AS58" s="525"/>
      <c r="AT58" s="340">
        <v>0.1</v>
      </c>
      <c r="AU58" s="525"/>
      <c r="AV58" s="525"/>
      <c r="AW58" s="525"/>
      <c r="AX58" s="525"/>
      <c r="AY58" s="340">
        <v>0.19</v>
      </c>
      <c r="AZ58" s="525">
        <v>0.11</v>
      </c>
      <c r="BA58" s="525">
        <v>0.22</v>
      </c>
      <c r="BB58" s="525">
        <v>0.33</v>
      </c>
      <c r="BC58" s="525">
        <v>0.3</v>
      </c>
      <c r="BD58" s="340">
        <v>0.24</v>
      </c>
      <c r="BE58" s="525">
        <v>0.35</v>
      </c>
      <c r="BF58" s="525">
        <v>0.25</v>
      </c>
      <c r="BG58" s="525"/>
      <c r="BH58" s="222"/>
      <c r="BI58" s="265"/>
      <c r="BJ58" s="222"/>
    </row>
    <row r="59" spans="1:62">
      <c r="A59" s="458" t="s">
        <v>304</v>
      </c>
      <c r="B59" s="222">
        <v>0.31</v>
      </c>
      <c r="C59" s="222">
        <v>0.33</v>
      </c>
      <c r="D59" s="222">
        <v>0.28000000000000003</v>
      </c>
      <c r="E59" s="222">
        <v>0.1</v>
      </c>
      <c r="F59" s="222"/>
      <c r="G59" s="222">
        <v>0.06</v>
      </c>
      <c r="H59" s="222">
        <v>0.05</v>
      </c>
      <c r="I59" s="222">
        <v>0.06</v>
      </c>
      <c r="J59" s="222">
        <v>0.14000000000000001</v>
      </c>
      <c r="K59" s="222"/>
      <c r="L59" s="222">
        <v>0.25</v>
      </c>
      <c r="M59" s="222">
        <v>0.14000000000000001</v>
      </c>
      <c r="N59" s="222">
        <v>0.21</v>
      </c>
      <c r="O59" s="222">
        <v>0.36</v>
      </c>
      <c r="P59" s="265"/>
      <c r="Q59" s="222">
        <v>0.16</v>
      </c>
      <c r="R59" s="222">
        <v>0.23</v>
      </c>
      <c r="S59" s="222">
        <v>0.2</v>
      </c>
      <c r="T59" s="222">
        <v>0.1</v>
      </c>
      <c r="U59" s="265"/>
      <c r="V59" s="222">
        <v>0.21</v>
      </c>
      <c r="W59" s="222"/>
      <c r="X59" s="222"/>
      <c r="Y59" s="222"/>
      <c r="Z59" s="265"/>
      <c r="AA59" s="222" t="s">
        <v>306</v>
      </c>
      <c r="AB59" s="222" t="s">
        <v>306</v>
      </c>
      <c r="AC59" s="222" t="s">
        <v>306</v>
      </c>
      <c r="AD59" s="222" t="s">
        <v>306</v>
      </c>
      <c r="AE59" s="265"/>
      <c r="AF59" s="222" t="s">
        <v>306</v>
      </c>
      <c r="AG59" s="222"/>
      <c r="AH59" s="222" t="s">
        <v>307</v>
      </c>
      <c r="AI59" s="222"/>
      <c r="AJ59" s="265"/>
      <c r="AK59" s="525"/>
      <c r="AL59" s="525"/>
      <c r="AM59" s="525"/>
      <c r="AN59" s="525">
        <v>0.2</v>
      </c>
      <c r="AO59" s="340"/>
      <c r="AP59" s="525"/>
      <c r="AQ59" s="525"/>
      <c r="AR59" s="525"/>
      <c r="AS59" s="525"/>
      <c r="AT59" s="340"/>
      <c r="AU59" s="525"/>
      <c r="AV59" s="525"/>
      <c r="AW59" s="525"/>
      <c r="AX59" s="525"/>
      <c r="AY59" s="340"/>
      <c r="AZ59" s="525" t="s">
        <v>502</v>
      </c>
      <c r="BA59" s="525" t="s">
        <v>509</v>
      </c>
      <c r="BB59" s="525" t="s">
        <v>509</v>
      </c>
      <c r="BC59" s="525" t="s">
        <v>509</v>
      </c>
      <c r="BD59" s="265"/>
      <c r="BE59" s="525">
        <v>0.25</v>
      </c>
      <c r="BF59" s="525" t="s">
        <v>509</v>
      </c>
      <c r="BG59" s="525"/>
      <c r="BH59" s="222"/>
      <c r="BI59" s="265"/>
      <c r="BJ59" s="222"/>
    </row>
    <row r="60" spans="1:62">
      <c r="A60" s="460"/>
      <c r="P60" s="179"/>
      <c r="U60" s="179"/>
      <c r="Z60" s="179"/>
      <c r="AE60" s="179"/>
      <c r="AJ60" s="179"/>
      <c r="AO60" s="179"/>
      <c r="AT60" s="179"/>
      <c r="AY60" s="179"/>
      <c r="BD60" s="179"/>
      <c r="BI60" s="179"/>
      <c r="BJ60" s="24"/>
    </row>
    <row r="61" spans="1:62">
      <c r="A61" s="469" t="s">
        <v>366</v>
      </c>
      <c r="P61" s="179"/>
      <c r="U61" s="179"/>
      <c r="Z61" s="179"/>
      <c r="AE61" s="179"/>
      <c r="AJ61" s="179"/>
      <c r="AO61" s="179"/>
      <c r="AT61" s="179"/>
      <c r="AY61" s="179"/>
      <c r="BD61" s="179"/>
      <c r="BI61" s="179"/>
      <c r="BJ61" s="24"/>
    </row>
    <row r="62" spans="1:62">
      <c r="A62" s="458" t="s">
        <v>510</v>
      </c>
      <c r="L62" s="314"/>
      <c r="M62" s="314"/>
      <c r="N62" s="314"/>
      <c r="O62" s="314"/>
      <c r="P62" s="317">
        <f>SUM(L62:O62)</f>
        <v>0</v>
      </c>
      <c r="Q62" s="314"/>
      <c r="R62" s="314"/>
      <c r="S62" s="314"/>
      <c r="T62" s="314"/>
      <c r="U62" s="317">
        <f>SUM(Q62:T62)</f>
        <v>0</v>
      </c>
      <c r="V62" s="314"/>
      <c r="W62" s="314"/>
      <c r="X62" s="314"/>
      <c r="Y62" s="314"/>
      <c r="Z62" s="317">
        <f>SUM(V62:Y62)</f>
        <v>0</v>
      </c>
      <c r="AA62" s="314"/>
      <c r="AB62" s="314"/>
      <c r="AC62" s="314"/>
      <c r="AD62" s="350">
        <f>AE62-SUM(AA62:AC62)</f>
        <v>0</v>
      </c>
      <c r="AE62" s="412"/>
      <c r="AF62" s="314"/>
      <c r="AG62" s="314"/>
      <c r="AH62" s="314"/>
      <c r="AI62" s="350">
        <f>AJ62-SUM(AF62:AH62)</f>
        <v>0</v>
      </c>
      <c r="AJ62" s="412"/>
      <c r="AK62" s="314"/>
      <c r="AL62" s="314"/>
      <c r="AM62" s="314"/>
      <c r="AN62" s="350">
        <f>AO62-SUM(AK62:AM62)</f>
        <v>0</v>
      </c>
      <c r="AO62" s="412"/>
      <c r="AP62" s="314"/>
      <c r="AQ62" s="314"/>
      <c r="AR62" s="314"/>
      <c r="AS62" s="350">
        <f>AT62-SUM(AP62:AR62)</f>
        <v>0</v>
      </c>
      <c r="AT62" s="412"/>
      <c r="AU62" s="314">
        <v>5300</v>
      </c>
      <c r="AV62" s="314">
        <v>6300</v>
      </c>
      <c r="AW62" s="314">
        <v>6200</v>
      </c>
      <c r="AX62" s="314">
        <v>7300</v>
      </c>
      <c r="AY62" s="412">
        <v>25100</v>
      </c>
      <c r="AZ62" s="314">
        <v>6900</v>
      </c>
      <c r="BA62" s="314">
        <v>8100</v>
      </c>
      <c r="BB62" s="539">
        <v>8200</v>
      </c>
      <c r="BC62" s="314">
        <v>8577</v>
      </c>
      <c r="BD62" s="412">
        <v>31867</v>
      </c>
      <c r="BE62" s="314">
        <v>9777</v>
      </c>
      <c r="BF62" s="314">
        <v>9635</v>
      </c>
      <c r="BG62" s="539"/>
      <c r="BH62" s="350"/>
      <c r="BI62" s="317"/>
      <c r="BJ62" s="24"/>
    </row>
    <row r="63" spans="1:62">
      <c r="A63" s="458" t="s">
        <v>4</v>
      </c>
      <c r="L63" s="314"/>
      <c r="M63" s="314"/>
      <c r="N63" s="314"/>
      <c r="O63" s="314"/>
      <c r="P63" s="317"/>
      <c r="Q63" s="351" t="e">
        <f t="shared" ref="Q63:AQ63" si="107">+Q62/L62-1</f>
        <v>#DIV/0!</v>
      </c>
      <c r="R63" s="351" t="e">
        <f t="shared" si="107"/>
        <v>#DIV/0!</v>
      </c>
      <c r="S63" s="351" t="e">
        <f t="shared" si="107"/>
        <v>#DIV/0!</v>
      </c>
      <c r="T63" s="351" t="e">
        <f t="shared" si="107"/>
        <v>#DIV/0!</v>
      </c>
      <c r="U63" s="352" t="e">
        <f t="shared" si="107"/>
        <v>#DIV/0!</v>
      </c>
      <c r="V63" s="351" t="e">
        <f t="shared" si="107"/>
        <v>#DIV/0!</v>
      </c>
      <c r="W63" s="351" t="e">
        <f t="shared" si="107"/>
        <v>#DIV/0!</v>
      </c>
      <c r="X63" s="351" t="e">
        <f t="shared" si="107"/>
        <v>#DIV/0!</v>
      </c>
      <c r="Y63" s="351" t="e">
        <f t="shared" si="107"/>
        <v>#DIV/0!</v>
      </c>
      <c r="Z63" s="352" t="e">
        <f t="shared" si="107"/>
        <v>#DIV/0!</v>
      </c>
      <c r="AA63" s="351" t="e">
        <f t="shared" si="107"/>
        <v>#DIV/0!</v>
      </c>
      <c r="AB63" s="351" t="e">
        <f t="shared" si="107"/>
        <v>#DIV/0!</v>
      </c>
      <c r="AC63" s="351" t="e">
        <f t="shared" si="107"/>
        <v>#DIV/0!</v>
      </c>
      <c r="AD63" s="351" t="e">
        <f t="shared" si="107"/>
        <v>#DIV/0!</v>
      </c>
      <c r="AE63" s="352" t="e">
        <f t="shared" si="107"/>
        <v>#DIV/0!</v>
      </c>
      <c r="AF63" s="351" t="e">
        <f t="shared" si="107"/>
        <v>#DIV/0!</v>
      </c>
      <c r="AG63" s="351" t="e">
        <f t="shared" si="107"/>
        <v>#DIV/0!</v>
      </c>
      <c r="AH63" s="351" t="e">
        <f t="shared" si="107"/>
        <v>#DIV/0!</v>
      </c>
      <c r="AI63" s="351" t="e">
        <f t="shared" si="107"/>
        <v>#DIV/0!</v>
      </c>
      <c r="AJ63" s="352" t="e">
        <f t="shared" si="107"/>
        <v>#DIV/0!</v>
      </c>
      <c r="AK63" s="351" t="e">
        <f t="shared" si="107"/>
        <v>#DIV/0!</v>
      </c>
      <c r="AL63" s="351" t="e">
        <f t="shared" si="107"/>
        <v>#DIV/0!</v>
      </c>
      <c r="AM63" s="351" t="e">
        <f t="shared" si="107"/>
        <v>#DIV/0!</v>
      </c>
      <c r="AN63" s="351" t="e">
        <f t="shared" si="107"/>
        <v>#DIV/0!</v>
      </c>
      <c r="AO63" s="352" t="e">
        <f t="shared" si="107"/>
        <v>#DIV/0!</v>
      </c>
      <c r="AP63" s="351" t="e">
        <f t="shared" si="107"/>
        <v>#DIV/0!</v>
      </c>
      <c r="AQ63" s="351" t="e">
        <f t="shared" si="107"/>
        <v>#DIV/0!</v>
      </c>
      <c r="AR63" s="351" t="e">
        <f t="shared" ref="AR63:AY63" si="108">+AR62/AM62-1</f>
        <v>#DIV/0!</v>
      </c>
      <c r="AS63" s="351" t="e">
        <f t="shared" si="108"/>
        <v>#DIV/0!</v>
      </c>
      <c r="AT63" s="352" t="e">
        <f t="shared" si="108"/>
        <v>#DIV/0!</v>
      </c>
      <c r="AU63" s="351" t="e">
        <f t="shared" si="108"/>
        <v>#DIV/0!</v>
      </c>
      <c r="AV63" s="351" t="e">
        <f t="shared" si="108"/>
        <v>#DIV/0!</v>
      </c>
      <c r="AW63" s="351" t="e">
        <f t="shared" si="108"/>
        <v>#DIV/0!</v>
      </c>
      <c r="AX63" s="351" t="e">
        <f t="shared" si="108"/>
        <v>#DIV/0!</v>
      </c>
      <c r="AY63" s="352" t="e">
        <f t="shared" si="108"/>
        <v>#DIV/0!</v>
      </c>
      <c r="AZ63" s="351">
        <f t="shared" ref="AZ63" si="109">+AZ62/AU62-1</f>
        <v>0.30188679245283012</v>
      </c>
      <c r="BA63" s="351">
        <f t="shared" ref="BA63" si="110">+BA62/AV62-1</f>
        <v>0.28571428571428581</v>
      </c>
      <c r="BB63" s="351">
        <f t="shared" ref="BB63" si="111">+BB62/AW62-1</f>
        <v>0.32258064516129026</v>
      </c>
      <c r="BC63" s="351">
        <f t="shared" ref="BC63" si="112">+BC62/AX62-1</f>
        <v>0.17493150684931513</v>
      </c>
      <c r="BD63" s="352">
        <f t="shared" ref="BD63" si="113">+BD62/AY62-1</f>
        <v>0.26960159362549807</v>
      </c>
      <c r="BE63" s="351">
        <f t="shared" ref="BE63" si="114">+BE62/AZ62-1</f>
        <v>0.41695652173913045</v>
      </c>
      <c r="BF63" s="351">
        <f t="shared" ref="BF63" si="115">+BF62/BA62-1</f>
        <v>0.18950617283950622</v>
      </c>
      <c r="BG63" s="351">
        <f t="shared" ref="BG63" si="116">+BG62/BB62-1</f>
        <v>-1</v>
      </c>
      <c r="BH63" s="351"/>
      <c r="BI63" s="352"/>
      <c r="BJ63" s="24"/>
    </row>
    <row r="64" spans="1:62">
      <c r="A64" s="458"/>
      <c r="L64" s="353"/>
      <c r="M64" s="353"/>
      <c r="N64" s="353"/>
      <c r="O64" s="353"/>
      <c r="P64" s="354"/>
      <c r="Q64" s="353"/>
      <c r="R64" s="353"/>
      <c r="S64" s="353"/>
      <c r="T64" s="353"/>
      <c r="U64" s="354"/>
      <c r="V64" s="353"/>
      <c r="W64" s="353"/>
      <c r="X64" s="353"/>
      <c r="Y64" s="353"/>
      <c r="Z64" s="354"/>
      <c r="AA64" s="353"/>
      <c r="AB64" s="353"/>
      <c r="AC64" s="353"/>
      <c r="AD64" s="353"/>
      <c r="AE64" s="354"/>
      <c r="AF64" s="353"/>
      <c r="AG64" s="353"/>
      <c r="AH64" s="353"/>
      <c r="AI64" s="353"/>
      <c r="AJ64" s="354"/>
      <c r="AK64" s="353"/>
      <c r="AL64" s="353"/>
      <c r="AM64" s="353"/>
      <c r="AN64" s="353"/>
      <c r="AO64" s="354"/>
      <c r="AP64" s="353"/>
      <c r="AQ64" s="353"/>
      <c r="AR64" s="353"/>
      <c r="AS64" s="353"/>
      <c r="AT64" s="354"/>
      <c r="AU64" s="353"/>
      <c r="AV64" s="353"/>
      <c r="AW64" s="353"/>
      <c r="AX64" s="353"/>
      <c r="AY64" s="354"/>
      <c r="AZ64" s="353"/>
      <c r="BA64" s="353"/>
      <c r="BB64" s="353"/>
      <c r="BC64" s="353"/>
      <c r="BD64" s="354"/>
      <c r="BE64" s="353"/>
      <c r="BF64" s="353"/>
      <c r="BG64" s="353"/>
      <c r="BH64" s="353"/>
      <c r="BI64" s="354"/>
      <c r="BJ64" s="24"/>
    </row>
    <row r="65" spans="1:61">
      <c r="A65" s="458" t="s">
        <v>511</v>
      </c>
      <c r="L65" s="314"/>
      <c r="M65" s="314"/>
      <c r="N65" s="314"/>
      <c r="O65" s="314"/>
      <c r="P65" s="317">
        <f>SUM(L65:O65)</f>
        <v>0</v>
      </c>
      <c r="Q65" s="314"/>
      <c r="R65" s="314"/>
      <c r="S65" s="314"/>
      <c r="T65" s="314"/>
      <c r="U65" s="317">
        <f>SUM(Q65:T65)</f>
        <v>0</v>
      </c>
      <c r="V65" s="314"/>
      <c r="W65" s="314"/>
      <c r="X65" s="314"/>
      <c r="Y65" s="314"/>
      <c r="Z65" s="317">
        <f>SUM(V65:Y65)</f>
        <v>0</v>
      </c>
      <c r="AA65" s="314"/>
      <c r="AB65" s="314"/>
      <c r="AC65" s="314"/>
      <c r="AD65" s="350">
        <f>AE65-SUM(AA65:AC65)</f>
        <v>0</v>
      </c>
      <c r="AE65" s="412"/>
      <c r="AF65" s="314"/>
      <c r="AG65" s="314"/>
      <c r="AH65" s="314"/>
      <c r="AI65" s="350">
        <f>AJ65-SUM(AF65:AH65)</f>
        <v>0</v>
      </c>
      <c r="AJ65" s="412"/>
      <c r="AK65" s="314"/>
      <c r="AL65" s="314"/>
      <c r="AM65" s="314"/>
      <c r="AN65" s="350">
        <f>AO65-SUM(AK65:AM65)</f>
        <v>0</v>
      </c>
      <c r="AO65" s="412"/>
      <c r="AP65" s="314"/>
      <c r="AQ65" s="314"/>
      <c r="AR65" s="314"/>
      <c r="AS65" s="350">
        <f>AT65-SUM(AP65:AR65)</f>
        <v>0</v>
      </c>
      <c r="AT65" s="412"/>
      <c r="AU65" s="314">
        <v>3000</v>
      </c>
      <c r="AV65" s="314">
        <v>2800</v>
      </c>
      <c r="AW65" s="314">
        <v>3600</v>
      </c>
      <c r="AX65" s="314">
        <v>5700</v>
      </c>
      <c r="AY65" s="412">
        <v>15100</v>
      </c>
      <c r="AZ65" s="314">
        <v>2700</v>
      </c>
      <c r="BA65" s="314">
        <v>3600</v>
      </c>
      <c r="BB65" s="539">
        <v>2100</v>
      </c>
      <c r="BC65" s="314">
        <v>14264</v>
      </c>
      <c r="BD65" s="412">
        <v>22548</v>
      </c>
      <c r="BE65" s="314">
        <v>7554</v>
      </c>
      <c r="BF65" s="314">
        <v>7434</v>
      </c>
      <c r="BG65" s="539"/>
      <c r="BH65" s="350"/>
      <c r="BI65" s="317"/>
    </row>
    <row r="66" spans="1:61">
      <c r="A66" s="458" t="s">
        <v>4</v>
      </c>
      <c r="L66" s="314"/>
      <c r="M66" s="314"/>
      <c r="N66" s="314"/>
      <c r="O66" s="314"/>
      <c r="P66" s="317"/>
      <c r="Q66" s="351" t="e">
        <f t="shared" ref="Q66" si="117">+Q65/L65-1</f>
        <v>#DIV/0!</v>
      </c>
      <c r="R66" s="351" t="e">
        <f t="shared" ref="R66" si="118">+R65/M65-1</f>
        <v>#DIV/0!</v>
      </c>
      <c r="S66" s="351" t="e">
        <f t="shared" ref="S66" si="119">+S65/N65-1</f>
        <v>#DIV/0!</v>
      </c>
      <c r="T66" s="351" t="e">
        <f t="shared" ref="T66" si="120">+T65/O65-1</f>
        <v>#DIV/0!</v>
      </c>
      <c r="U66" s="352" t="e">
        <f t="shared" ref="U66" si="121">+U65/P65-1</f>
        <v>#DIV/0!</v>
      </c>
      <c r="V66" s="351" t="e">
        <f t="shared" ref="V66" si="122">+V65/Q65-1</f>
        <v>#DIV/0!</v>
      </c>
      <c r="W66" s="351" t="e">
        <f t="shared" ref="W66" si="123">+W65/R65-1</f>
        <v>#DIV/0!</v>
      </c>
      <c r="X66" s="351" t="e">
        <f t="shared" ref="X66" si="124">+X65/S65-1</f>
        <v>#DIV/0!</v>
      </c>
      <c r="Y66" s="351" t="e">
        <f t="shared" ref="Y66" si="125">+Y65/T65-1</f>
        <v>#DIV/0!</v>
      </c>
      <c r="Z66" s="352" t="e">
        <f t="shared" ref="Z66" si="126">+Z65/U65-1</f>
        <v>#DIV/0!</v>
      </c>
      <c r="AA66" s="351" t="e">
        <f t="shared" ref="AA66" si="127">+AA65/V65-1</f>
        <v>#DIV/0!</v>
      </c>
      <c r="AB66" s="351" t="e">
        <f t="shared" ref="AB66" si="128">+AB65/W65-1</f>
        <v>#DIV/0!</v>
      </c>
      <c r="AC66" s="351" t="e">
        <f t="shared" ref="AC66" si="129">+AC65/X65-1</f>
        <v>#DIV/0!</v>
      </c>
      <c r="AD66" s="351" t="e">
        <f t="shared" ref="AD66" si="130">+AD65/Y65-1</f>
        <v>#DIV/0!</v>
      </c>
      <c r="AE66" s="352" t="e">
        <f t="shared" ref="AE66" si="131">+AE65/Z65-1</f>
        <v>#DIV/0!</v>
      </c>
      <c r="AF66" s="351" t="e">
        <f t="shared" ref="AF66" si="132">+AF65/AA65-1</f>
        <v>#DIV/0!</v>
      </c>
      <c r="AG66" s="351" t="e">
        <f t="shared" ref="AG66" si="133">+AG65/AB65-1</f>
        <v>#DIV/0!</v>
      </c>
      <c r="AH66" s="351" t="e">
        <f t="shared" ref="AH66" si="134">+AH65/AC65-1</f>
        <v>#DIV/0!</v>
      </c>
      <c r="AI66" s="351" t="e">
        <f t="shared" ref="AI66" si="135">+AI65/AD65-1</f>
        <v>#DIV/0!</v>
      </c>
      <c r="AJ66" s="352" t="e">
        <f t="shared" ref="AJ66" si="136">+AJ65/AE65-1</f>
        <v>#DIV/0!</v>
      </c>
      <c r="AK66" s="351" t="e">
        <f t="shared" ref="AK66" si="137">+AK65/AF65-1</f>
        <v>#DIV/0!</v>
      </c>
      <c r="AL66" s="351" t="e">
        <f t="shared" ref="AL66" si="138">+AL65/AG65-1</f>
        <v>#DIV/0!</v>
      </c>
      <c r="AM66" s="351" t="e">
        <f t="shared" ref="AM66" si="139">+AM65/AH65-1</f>
        <v>#DIV/0!</v>
      </c>
      <c r="AN66" s="351" t="e">
        <f t="shared" ref="AN66" si="140">+AN65/AI65-1</f>
        <v>#DIV/0!</v>
      </c>
      <c r="AO66" s="352" t="e">
        <f t="shared" ref="AO66" si="141">+AO65/AJ65-1</f>
        <v>#DIV/0!</v>
      </c>
      <c r="AP66" s="351" t="e">
        <f t="shared" ref="AP66" si="142">+AP65/AK65-1</f>
        <v>#DIV/0!</v>
      </c>
      <c r="AQ66" s="351" t="e">
        <f t="shared" ref="AQ66" si="143">+AQ65/AL65-1</f>
        <v>#DIV/0!</v>
      </c>
      <c r="AR66" s="351" t="e">
        <f t="shared" ref="AR66" si="144">+AR65/AM65-1</f>
        <v>#DIV/0!</v>
      </c>
      <c r="AS66" s="351" t="e">
        <f t="shared" ref="AS66" si="145">+AS65/AN65-1</f>
        <v>#DIV/0!</v>
      </c>
      <c r="AT66" s="352" t="e">
        <f t="shared" ref="AT66" si="146">+AT65/AO65-1</f>
        <v>#DIV/0!</v>
      </c>
      <c r="AU66" s="351" t="e">
        <f t="shared" ref="AU66" si="147">+AU65/AP65-1</f>
        <v>#DIV/0!</v>
      </c>
      <c r="AV66" s="351" t="e">
        <f t="shared" ref="AV66" si="148">+AV65/AQ65-1</f>
        <v>#DIV/0!</v>
      </c>
      <c r="AW66" s="351" t="e">
        <f t="shared" ref="AW66" si="149">+AW65/AR65-1</f>
        <v>#DIV/0!</v>
      </c>
      <c r="AX66" s="351" t="e">
        <f t="shared" ref="AX66" si="150">+AX65/AS65-1</f>
        <v>#DIV/0!</v>
      </c>
      <c r="AY66" s="352" t="e">
        <f t="shared" ref="AY66" si="151">+AY65/AT65-1</f>
        <v>#DIV/0!</v>
      </c>
      <c r="AZ66" s="351">
        <f t="shared" ref="AZ66" si="152">+AZ65/AU65-1</f>
        <v>-9.9999999999999978E-2</v>
      </c>
      <c r="BA66" s="351">
        <f t="shared" ref="BA66" si="153">+BA65/AV65-1</f>
        <v>0.28571428571428581</v>
      </c>
      <c r="BB66" s="351">
        <f t="shared" ref="BB66" si="154">+BB65/AW65-1</f>
        <v>-0.41666666666666663</v>
      </c>
      <c r="BC66" s="351">
        <f t="shared" ref="BC66" si="155">+BC65/AX65-1</f>
        <v>1.5024561403508772</v>
      </c>
      <c r="BD66" s="352">
        <f t="shared" ref="BD66" si="156">+BD65/AY65-1</f>
        <v>0.49324503311258283</v>
      </c>
      <c r="BE66" s="351">
        <f t="shared" ref="BE66" si="157">+BE65/AZ65-1</f>
        <v>1.7977777777777777</v>
      </c>
      <c r="BF66" s="351">
        <f t="shared" ref="BF66" si="158">+BF65/BA65-1</f>
        <v>1.0649999999999999</v>
      </c>
      <c r="BG66" s="351">
        <f t="shared" ref="BG66" si="159">+BG65/BB65-1</f>
        <v>-1</v>
      </c>
      <c r="BH66" s="351"/>
      <c r="BI66" s="352"/>
    </row>
    <row r="67" spans="1:61">
      <c r="A67" s="458"/>
      <c r="L67" s="353"/>
      <c r="M67" s="353"/>
      <c r="N67" s="353"/>
      <c r="O67" s="353"/>
      <c r="P67" s="354"/>
      <c r="Q67" s="353"/>
      <c r="R67" s="353"/>
      <c r="S67" s="353"/>
      <c r="T67" s="353"/>
      <c r="U67" s="354"/>
      <c r="V67" s="353"/>
      <c r="W67" s="353"/>
      <c r="X67" s="353"/>
      <c r="Y67" s="353"/>
      <c r="Z67" s="354"/>
      <c r="AA67" s="353"/>
      <c r="AB67" s="353"/>
      <c r="AC67" s="353"/>
      <c r="AD67" s="353"/>
      <c r="AE67" s="354"/>
      <c r="AF67" s="353"/>
      <c r="AG67" s="353"/>
      <c r="AH67" s="353"/>
      <c r="AI67" s="353"/>
      <c r="AJ67" s="354"/>
      <c r="AK67" s="353"/>
      <c r="AL67" s="353"/>
      <c r="AM67" s="353"/>
      <c r="AN67" s="353"/>
      <c r="AO67" s="354"/>
      <c r="AP67" s="353"/>
      <c r="AQ67" s="353"/>
      <c r="AR67" s="353"/>
      <c r="AS67" s="353"/>
      <c r="AT67" s="354"/>
      <c r="AU67" s="353"/>
      <c r="AV67" s="353"/>
      <c r="AW67" s="353"/>
      <c r="AX67" s="353"/>
      <c r="AY67" s="354"/>
      <c r="AZ67" s="353"/>
      <c r="BA67" s="353"/>
      <c r="BB67" s="353"/>
      <c r="BC67" s="353"/>
      <c r="BD67" s="354"/>
      <c r="BE67" s="353"/>
      <c r="BF67" s="353"/>
      <c r="BG67" s="353"/>
      <c r="BH67" s="353"/>
      <c r="BI67" s="354"/>
    </row>
    <row r="68" spans="1:61">
      <c r="A68" s="458" t="s">
        <v>512</v>
      </c>
      <c r="L68" s="314"/>
      <c r="M68" s="314"/>
      <c r="N68" s="314"/>
      <c r="O68" s="314"/>
      <c r="P68" s="317">
        <f>SUM(L68:O68)</f>
        <v>0</v>
      </c>
      <c r="Q68" s="314"/>
      <c r="R68" s="314"/>
      <c r="S68" s="314"/>
      <c r="T68" s="314"/>
      <c r="U68" s="317">
        <f>SUM(Q68:T68)</f>
        <v>0</v>
      </c>
      <c r="V68" s="314"/>
      <c r="W68" s="314"/>
      <c r="X68" s="314"/>
      <c r="Y68" s="314"/>
      <c r="Z68" s="317">
        <f>SUM(V68:Y68)</f>
        <v>0</v>
      </c>
      <c r="AA68" s="314"/>
      <c r="AB68" s="314"/>
      <c r="AC68" s="314"/>
      <c r="AD68" s="350">
        <f>AE68-SUM(AA68:AC68)</f>
        <v>0</v>
      </c>
      <c r="AE68" s="412"/>
      <c r="AF68" s="314"/>
      <c r="AG68" s="314"/>
      <c r="AH68" s="314"/>
      <c r="AI68" s="350">
        <f>AJ68-SUM(AF68:AH68)</f>
        <v>0</v>
      </c>
      <c r="AJ68" s="412"/>
      <c r="AK68" s="314"/>
      <c r="AL68" s="314"/>
      <c r="AM68" s="314"/>
      <c r="AN68" s="350">
        <f>AO68-SUM(AK68:AM68)</f>
        <v>0</v>
      </c>
      <c r="AO68" s="412"/>
      <c r="AP68" s="314"/>
      <c r="AQ68" s="314"/>
      <c r="AR68" s="314"/>
      <c r="AS68" s="350">
        <f>AT68-SUM(AP68:AR68)</f>
        <v>0</v>
      </c>
      <c r="AT68" s="412"/>
      <c r="AU68" s="350">
        <f>AU62+AU65</f>
        <v>8300</v>
      </c>
      <c r="AV68" s="350">
        <f t="shared" ref="AV68:BA68" si="160">AV62+AV65</f>
        <v>9100</v>
      </c>
      <c r="AW68" s="350">
        <f t="shared" si="160"/>
        <v>9800</v>
      </c>
      <c r="AX68" s="350">
        <f t="shared" si="160"/>
        <v>13000</v>
      </c>
      <c r="AY68" s="317">
        <f t="shared" si="160"/>
        <v>40200</v>
      </c>
      <c r="AZ68" s="350">
        <f t="shared" si="160"/>
        <v>9600</v>
      </c>
      <c r="BA68" s="350">
        <f t="shared" si="160"/>
        <v>11700</v>
      </c>
      <c r="BB68" s="540">
        <f>BB62+BB65</f>
        <v>10300</v>
      </c>
      <c r="BC68" s="350">
        <f t="shared" ref="BC68:BD68" si="161">BC62+BC65</f>
        <v>22841</v>
      </c>
      <c r="BD68" s="317">
        <f t="shared" si="161"/>
        <v>54415</v>
      </c>
      <c r="BE68" s="350">
        <f>BE62+BE65</f>
        <v>17331</v>
      </c>
      <c r="BF68" s="350">
        <f>BF62+BF65</f>
        <v>17069</v>
      </c>
      <c r="BG68" s="540">
        <f>BG62+BG65</f>
        <v>0</v>
      </c>
      <c r="BH68" s="350"/>
      <c r="BI68" s="317"/>
    </row>
    <row r="69" spans="1:61">
      <c r="A69" s="458" t="s">
        <v>4</v>
      </c>
      <c r="L69" s="314"/>
      <c r="M69" s="314"/>
      <c r="N69" s="314"/>
      <c r="O69" s="314"/>
      <c r="P69" s="317"/>
      <c r="Q69" s="351" t="e">
        <f t="shared" ref="Q69" si="162">+Q68/L68-1</f>
        <v>#DIV/0!</v>
      </c>
      <c r="R69" s="351" t="e">
        <f t="shared" ref="R69" si="163">+R68/M68-1</f>
        <v>#DIV/0!</v>
      </c>
      <c r="S69" s="351" t="e">
        <f t="shared" ref="S69" si="164">+S68/N68-1</f>
        <v>#DIV/0!</v>
      </c>
      <c r="T69" s="351" t="e">
        <f t="shared" ref="T69" si="165">+T68/O68-1</f>
        <v>#DIV/0!</v>
      </c>
      <c r="U69" s="352" t="e">
        <f t="shared" ref="U69" si="166">+U68/P68-1</f>
        <v>#DIV/0!</v>
      </c>
      <c r="V69" s="351" t="e">
        <f t="shared" ref="V69" si="167">+V68/Q68-1</f>
        <v>#DIV/0!</v>
      </c>
      <c r="W69" s="351" t="e">
        <f t="shared" ref="W69" si="168">+W68/R68-1</f>
        <v>#DIV/0!</v>
      </c>
      <c r="X69" s="351" t="e">
        <f t="shared" ref="X69" si="169">+X68/S68-1</f>
        <v>#DIV/0!</v>
      </c>
      <c r="Y69" s="351" t="e">
        <f t="shared" ref="Y69" si="170">+Y68/T68-1</f>
        <v>#DIV/0!</v>
      </c>
      <c r="Z69" s="352" t="e">
        <f t="shared" ref="Z69" si="171">+Z68/U68-1</f>
        <v>#DIV/0!</v>
      </c>
      <c r="AA69" s="351" t="e">
        <f t="shared" ref="AA69" si="172">+AA68/V68-1</f>
        <v>#DIV/0!</v>
      </c>
      <c r="AB69" s="351" t="e">
        <f t="shared" ref="AB69" si="173">+AB68/W68-1</f>
        <v>#DIV/0!</v>
      </c>
      <c r="AC69" s="351" t="e">
        <f t="shared" ref="AC69" si="174">+AC68/X68-1</f>
        <v>#DIV/0!</v>
      </c>
      <c r="AD69" s="351" t="e">
        <f t="shared" ref="AD69" si="175">+AD68/Y68-1</f>
        <v>#DIV/0!</v>
      </c>
      <c r="AE69" s="352" t="e">
        <f t="shared" ref="AE69" si="176">+AE68/Z68-1</f>
        <v>#DIV/0!</v>
      </c>
      <c r="AF69" s="351" t="e">
        <f t="shared" ref="AF69" si="177">+AF68/AA68-1</f>
        <v>#DIV/0!</v>
      </c>
      <c r="AG69" s="351" t="e">
        <f t="shared" ref="AG69" si="178">+AG68/AB68-1</f>
        <v>#DIV/0!</v>
      </c>
      <c r="AH69" s="351" t="e">
        <f t="shared" ref="AH69" si="179">+AH68/AC68-1</f>
        <v>#DIV/0!</v>
      </c>
      <c r="AI69" s="351" t="e">
        <f t="shared" ref="AI69" si="180">+AI68/AD68-1</f>
        <v>#DIV/0!</v>
      </c>
      <c r="AJ69" s="352" t="e">
        <f t="shared" ref="AJ69" si="181">+AJ68/AE68-1</f>
        <v>#DIV/0!</v>
      </c>
      <c r="AK69" s="351" t="e">
        <f t="shared" ref="AK69" si="182">+AK68/AF68-1</f>
        <v>#DIV/0!</v>
      </c>
      <c r="AL69" s="351" t="e">
        <f t="shared" ref="AL69" si="183">+AL68/AG68-1</f>
        <v>#DIV/0!</v>
      </c>
      <c r="AM69" s="351" t="e">
        <f t="shared" ref="AM69" si="184">+AM68/AH68-1</f>
        <v>#DIV/0!</v>
      </c>
      <c r="AN69" s="351" t="e">
        <f t="shared" ref="AN69" si="185">+AN68/AI68-1</f>
        <v>#DIV/0!</v>
      </c>
      <c r="AO69" s="352" t="e">
        <f t="shared" ref="AO69" si="186">+AO68/AJ68-1</f>
        <v>#DIV/0!</v>
      </c>
      <c r="AP69" s="351" t="e">
        <f t="shared" ref="AP69" si="187">+AP68/AK68-1</f>
        <v>#DIV/0!</v>
      </c>
      <c r="AQ69" s="351" t="e">
        <f t="shared" ref="AQ69" si="188">+AQ68/AL68-1</f>
        <v>#DIV/0!</v>
      </c>
      <c r="AR69" s="351" t="e">
        <f t="shared" ref="AR69" si="189">+AR68/AM68-1</f>
        <v>#DIV/0!</v>
      </c>
      <c r="AS69" s="351" t="e">
        <f t="shared" ref="AS69" si="190">+AS68/AN68-1</f>
        <v>#DIV/0!</v>
      </c>
      <c r="AT69" s="352" t="e">
        <f t="shared" ref="AT69" si="191">+AT68/AO68-1</f>
        <v>#DIV/0!</v>
      </c>
      <c r="AU69" s="351" t="e">
        <f t="shared" ref="AU69" si="192">+AU68/AP68-1</f>
        <v>#DIV/0!</v>
      </c>
      <c r="AV69" s="351" t="e">
        <f t="shared" ref="AV69" si="193">+AV68/AQ68-1</f>
        <v>#DIV/0!</v>
      </c>
      <c r="AW69" s="351" t="e">
        <f t="shared" ref="AW69" si="194">+AW68/AR68-1</f>
        <v>#DIV/0!</v>
      </c>
      <c r="AX69" s="351" t="e">
        <f t="shared" ref="AX69" si="195">+AX68/AS68-1</f>
        <v>#DIV/0!</v>
      </c>
      <c r="AY69" s="352" t="e">
        <f t="shared" ref="AY69" si="196">+AY68/AT68-1</f>
        <v>#DIV/0!</v>
      </c>
      <c r="AZ69" s="351">
        <f t="shared" ref="AZ69" si="197">+AZ68/AU68-1</f>
        <v>0.15662650602409633</v>
      </c>
      <c r="BA69" s="351">
        <f t="shared" ref="BA69" si="198">+BA68/AV68-1</f>
        <v>0.28571428571428581</v>
      </c>
      <c r="BB69" s="351">
        <f t="shared" ref="BB69" si="199">+BB68/AW68-1</f>
        <v>5.1020408163265252E-2</v>
      </c>
      <c r="BC69" s="351">
        <f t="shared" ref="BC69" si="200">+BC68/AX68-1</f>
        <v>0.7569999999999999</v>
      </c>
      <c r="BD69" s="352">
        <f t="shared" ref="BD69" si="201">+BD68/AY68-1</f>
        <v>0.35360696517412937</v>
      </c>
      <c r="BE69" s="351">
        <f t="shared" ref="BE69" si="202">+BE68/AZ68-1</f>
        <v>0.8053125000000001</v>
      </c>
      <c r="BF69" s="351">
        <f t="shared" ref="BF69" si="203">+BF68/BA68-1</f>
        <v>0.4588888888888889</v>
      </c>
      <c r="BG69" s="351">
        <f t="shared" ref="BG69" si="204">+BG68/BB68-1</f>
        <v>-1</v>
      </c>
      <c r="BH69" s="351"/>
      <c r="BI69" s="352"/>
    </row>
    <row r="71" spans="1:61">
      <c r="A71" s="4" t="s">
        <v>535</v>
      </c>
    </row>
    <row r="72" spans="1:61">
      <c r="A72" s="458" t="s">
        <v>2</v>
      </c>
      <c r="P72" s="317">
        <f>SUM(L72:O72)</f>
        <v>0</v>
      </c>
      <c r="Q72" s="314"/>
      <c r="R72" s="314"/>
      <c r="S72" s="314"/>
      <c r="T72" s="314"/>
      <c r="U72" s="317">
        <f>SUM(Q72:T72)</f>
        <v>0</v>
      </c>
      <c r="V72" s="314"/>
      <c r="W72" s="314"/>
      <c r="X72" s="314"/>
      <c r="Y72" s="314"/>
      <c r="Z72" s="317">
        <f>SUM(V72:Y72)</f>
        <v>0</v>
      </c>
      <c r="AA72" s="314"/>
      <c r="AB72" s="314"/>
      <c r="AC72" s="314"/>
      <c r="AD72" s="350">
        <f>AE72-SUM(AA72:AC72)</f>
        <v>0</v>
      </c>
      <c r="AE72" s="412"/>
      <c r="AF72" s="314"/>
      <c r="AG72" s="314"/>
      <c r="AH72" s="314"/>
      <c r="AI72" s="350">
        <f>AJ72-SUM(AF72:AH72)</f>
        <v>0</v>
      </c>
      <c r="AJ72" s="412"/>
      <c r="AK72" s="314"/>
      <c r="AL72" s="314"/>
      <c r="AM72" s="314"/>
      <c r="AN72" s="350">
        <f>AO72</f>
        <v>115902</v>
      </c>
      <c r="AO72" s="412">
        <v>115902</v>
      </c>
      <c r="AP72" s="314"/>
      <c r="AQ72" s="314"/>
      <c r="AR72" s="314"/>
      <c r="AS72" s="350">
        <f>AT72</f>
        <v>131028</v>
      </c>
      <c r="AT72" s="412">
        <v>131028</v>
      </c>
      <c r="AU72" s="314"/>
      <c r="AV72" s="314">
        <v>134205</v>
      </c>
      <c r="AW72" s="314">
        <v>140102</v>
      </c>
      <c r="AX72" s="350">
        <f>AY72</f>
        <v>142182</v>
      </c>
      <c r="AY72" s="412">
        <v>142182</v>
      </c>
      <c r="AZ72" s="314">
        <v>142103</v>
      </c>
      <c r="BA72" s="314">
        <v>142848</v>
      </c>
      <c r="BB72" s="539">
        <v>144045</v>
      </c>
      <c r="BC72" s="350">
        <f>BD72</f>
        <v>156068</v>
      </c>
      <c r="BD72" s="412">
        <v>156068</v>
      </c>
      <c r="BE72" s="314">
        <v>171376</v>
      </c>
      <c r="BF72" s="314">
        <v>170282</v>
      </c>
      <c r="BG72" s="539"/>
      <c r="BH72" s="350"/>
      <c r="BI72" s="317"/>
    </row>
    <row r="73" spans="1:61">
      <c r="A73" s="458" t="s">
        <v>4</v>
      </c>
      <c r="P73" s="317"/>
      <c r="Q73" s="351" t="e">
        <f t="shared" ref="Q73" si="205">+Q72/L72-1</f>
        <v>#DIV/0!</v>
      </c>
      <c r="R73" s="351" t="e">
        <f t="shared" ref="R73" si="206">+R72/M72-1</f>
        <v>#DIV/0!</v>
      </c>
      <c r="S73" s="351" t="e">
        <f t="shared" ref="S73" si="207">+S72/N72-1</f>
        <v>#DIV/0!</v>
      </c>
      <c r="T73" s="351" t="e">
        <f t="shared" ref="T73" si="208">+T72/O72-1</f>
        <v>#DIV/0!</v>
      </c>
      <c r="U73" s="352" t="e">
        <f t="shared" ref="U73" si="209">+U72/P72-1</f>
        <v>#DIV/0!</v>
      </c>
      <c r="V73" s="351" t="e">
        <f t="shared" ref="V73" si="210">+V72/Q72-1</f>
        <v>#DIV/0!</v>
      </c>
      <c r="W73" s="351" t="e">
        <f t="shared" ref="W73" si="211">+W72/R72-1</f>
        <v>#DIV/0!</v>
      </c>
      <c r="X73" s="351" t="e">
        <f t="shared" ref="X73" si="212">+X72/S72-1</f>
        <v>#DIV/0!</v>
      </c>
      <c r="Y73" s="351" t="e">
        <f t="shared" ref="Y73" si="213">+Y72/T72-1</f>
        <v>#DIV/0!</v>
      </c>
      <c r="Z73" s="352" t="e">
        <f t="shared" ref="Z73" si="214">+Z72/U72-1</f>
        <v>#DIV/0!</v>
      </c>
      <c r="AA73" s="351" t="e">
        <f t="shared" ref="AA73" si="215">+AA72/V72-1</f>
        <v>#DIV/0!</v>
      </c>
      <c r="AB73" s="351" t="e">
        <f t="shared" ref="AB73" si="216">+AB72/W72-1</f>
        <v>#DIV/0!</v>
      </c>
      <c r="AC73" s="351" t="e">
        <f t="shared" ref="AC73" si="217">+AC72/X72-1</f>
        <v>#DIV/0!</v>
      </c>
      <c r="AD73" s="351" t="e">
        <f t="shared" ref="AD73" si="218">+AD72/Y72-1</f>
        <v>#DIV/0!</v>
      </c>
      <c r="AE73" s="352" t="e">
        <f t="shared" ref="AE73" si="219">+AE72/Z72-1</f>
        <v>#DIV/0!</v>
      </c>
      <c r="AF73" s="351" t="e">
        <f t="shared" ref="AF73" si="220">+AF72/AA72-1</f>
        <v>#DIV/0!</v>
      </c>
      <c r="AG73" s="351" t="e">
        <f t="shared" ref="AG73" si="221">+AG72/AB72-1</f>
        <v>#DIV/0!</v>
      </c>
      <c r="AH73" s="351" t="e">
        <f t="shared" ref="AH73" si="222">+AH72/AC72-1</f>
        <v>#DIV/0!</v>
      </c>
      <c r="AI73" s="351" t="e">
        <f t="shared" ref="AI73" si="223">+AI72/AD72-1</f>
        <v>#DIV/0!</v>
      </c>
      <c r="AJ73" s="352" t="e">
        <f t="shared" ref="AJ73" si="224">+AJ72/AE72-1</f>
        <v>#DIV/0!</v>
      </c>
      <c r="AK73" s="351" t="e">
        <f t="shared" ref="AK73" si="225">+AK72/AF72-1</f>
        <v>#DIV/0!</v>
      </c>
      <c r="AL73" s="351" t="e">
        <f t="shared" ref="AL73" si="226">+AL72/AG72-1</f>
        <v>#DIV/0!</v>
      </c>
      <c r="AM73" s="351" t="e">
        <f t="shared" ref="AM73" si="227">+AM72/AH72-1</f>
        <v>#DIV/0!</v>
      </c>
      <c r="AN73" s="351" t="e">
        <f t="shared" ref="AN73" si="228">+AN72/AI72-1</f>
        <v>#DIV/0!</v>
      </c>
      <c r="AO73" s="352" t="e">
        <f t="shared" ref="AO73" si="229">+AO72/AJ72-1</f>
        <v>#DIV/0!</v>
      </c>
      <c r="AP73" s="351" t="e">
        <f t="shared" ref="AP73" si="230">+AP72/AK72-1</f>
        <v>#DIV/0!</v>
      </c>
      <c r="AQ73" s="351" t="e">
        <f t="shared" ref="AQ73" si="231">+AQ72/AL72-1</f>
        <v>#DIV/0!</v>
      </c>
      <c r="AR73" s="351" t="e">
        <f t="shared" ref="AR73:AS73" si="232">+AR72/AM72-1</f>
        <v>#DIV/0!</v>
      </c>
      <c r="AS73" s="351">
        <f t="shared" si="232"/>
        <v>0.13050680747528087</v>
      </c>
      <c r="AT73" s="352">
        <f t="shared" ref="AT73" si="233">+AT72/AO72-1</f>
        <v>0.13050680747528087</v>
      </c>
      <c r="AU73" s="351" t="e">
        <f t="shared" ref="AU73" si="234">+AU72/AP72-1</f>
        <v>#DIV/0!</v>
      </c>
      <c r="AV73" s="351" t="e">
        <f t="shared" ref="AV73" si="235">+AV72/AQ72-1</f>
        <v>#DIV/0!</v>
      </c>
      <c r="AW73" s="351" t="e">
        <f t="shared" ref="AW73:AX73" si="236">+AW72/AR72-1</f>
        <v>#DIV/0!</v>
      </c>
      <c r="AX73" s="351">
        <f t="shared" si="236"/>
        <v>8.5126843117501627E-2</v>
      </c>
      <c r="AY73" s="352">
        <f t="shared" ref="AY73" si="237">+AY72/AT72-1</f>
        <v>8.5126843117501627E-2</v>
      </c>
      <c r="AZ73" s="351" t="e">
        <f t="shared" ref="AZ73" si="238">+AZ72/AU72-1</f>
        <v>#DIV/0!</v>
      </c>
      <c r="BA73" s="351">
        <f t="shared" ref="BA73" si="239">+BA72/AV72-1</f>
        <v>6.4401475354867621E-2</v>
      </c>
      <c r="BB73" s="351">
        <f t="shared" ref="BB73:BC73" si="240">+BB72/AW72-1</f>
        <v>2.8143780959586584E-2</v>
      </c>
      <c r="BC73" s="351">
        <f t="shared" si="240"/>
        <v>9.7663557974989823E-2</v>
      </c>
      <c r="BD73" s="352">
        <f t="shared" ref="BD73" si="241">+BD72/AY72-1</f>
        <v>9.7663557974989823E-2</v>
      </c>
      <c r="BE73" s="351">
        <f t="shared" ref="BE73" si="242">+BE72/AZ72-1</f>
        <v>0.20599846590149395</v>
      </c>
      <c r="BF73" s="351">
        <f t="shared" ref="BF73" si="243">+BF72/BA72-1</f>
        <v>0.19205029121863793</v>
      </c>
      <c r="BG73" s="351">
        <f t="shared" ref="BG73" si="244">+BG72/BB72-1</f>
        <v>-1</v>
      </c>
      <c r="BH73" s="351"/>
      <c r="BI73" s="352"/>
    </row>
    <row r="74" spans="1:61">
      <c r="A74" s="458"/>
      <c r="P74" s="354"/>
      <c r="Q74" s="353"/>
      <c r="R74" s="353"/>
      <c r="S74" s="353"/>
      <c r="T74" s="353"/>
      <c r="U74" s="354"/>
      <c r="V74" s="353"/>
      <c r="W74" s="353"/>
      <c r="X74" s="353"/>
      <c r="Y74" s="353"/>
      <c r="Z74" s="354"/>
      <c r="AA74" s="353"/>
      <c r="AB74" s="353"/>
      <c r="AC74" s="353"/>
      <c r="AD74" s="353"/>
      <c r="AE74" s="354"/>
      <c r="AF74" s="353"/>
      <c r="AG74" s="353"/>
      <c r="AH74" s="353"/>
      <c r="AI74" s="353"/>
      <c r="AJ74" s="354"/>
      <c r="AK74" s="353"/>
      <c r="AL74" s="353"/>
      <c r="AM74" s="353"/>
      <c r="AN74" s="353"/>
      <c r="AO74" s="354"/>
      <c r="AP74" s="353"/>
      <c r="AQ74" s="353"/>
      <c r="AR74" s="353"/>
      <c r="AS74" s="353"/>
      <c r="AT74" s="354"/>
      <c r="AU74" s="353"/>
      <c r="AV74" s="353"/>
      <c r="AW74" s="353"/>
      <c r="AX74" s="353"/>
      <c r="AY74" s="354"/>
      <c r="AZ74" s="353"/>
      <c r="BA74" s="353"/>
      <c r="BB74" s="353"/>
      <c r="BC74" s="353"/>
      <c r="BD74" s="354"/>
      <c r="BE74" s="353"/>
      <c r="BF74" s="353"/>
      <c r="BG74" s="353"/>
      <c r="BH74" s="353"/>
      <c r="BI74" s="354"/>
    </row>
    <row r="75" spans="1:61">
      <c r="A75" s="458" t="s">
        <v>296</v>
      </c>
      <c r="P75" s="317">
        <f>SUM(L75:O75)</f>
        <v>0</v>
      </c>
      <c r="Q75" s="314"/>
      <c r="R75" s="314"/>
      <c r="S75" s="314"/>
      <c r="T75" s="314"/>
      <c r="U75" s="317">
        <f>SUM(Q75:T75)</f>
        <v>0</v>
      </c>
      <c r="V75" s="314"/>
      <c r="W75" s="314"/>
      <c r="X75" s="314"/>
      <c r="Y75" s="314"/>
      <c r="Z75" s="317">
        <f>SUM(V75:Y75)</f>
        <v>0</v>
      </c>
      <c r="AA75" s="314"/>
      <c r="AB75" s="314"/>
      <c r="AC75" s="314"/>
      <c r="AD75" s="350">
        <f>AE75-SUM(AA75:AC75)</f>
        <v>0</v>
      </c>
      <c r="AE75" s="412"/>
      <c r="AF75" s="314"/>
      <c r="AG75" s="314"/>
      <c r="AH75" s="314"/>
      <c r="AI75" s="350">
        <f>AJ75-SUM(AF75:AH75)</f>
        <v>0</v>
      </c>
      <c r="AJ75" s="412"/>
      <c r="AK75" s="314"/>
      <c r="AL75" s="314"/>
      <c r="AM75" s="314"/>
      <c r="AN75" s="350">
        <f>AO75</f>
        <v>4818</v>
      </c>
      <c r="AO75" s="412">
        <v>4818</v>
      </c>
      <c r="AP75" s="314"/>
      <c r="AQ75" s="314"/>
      <c r="AR75" s="314"/>
      <c r="AS75" s="350">
        <f>AT75</f>
        <v>6508</v>
      </c>
      <c r="AT75" s="412">
        <v>6508</v>
      </c>
      <c r="AU75" s="314"/>
      <c r="AV75" s="314"/>
      <c r="AW75" s="314"/>
      <c r="AX75" s="350">
        <f>AY75</f>
        <v>11462</v>
      </c>
      <c r="AY75" s="412">
        <v>11462</v>
      </c>
      <c r="AZ75" s="314">
        <v>11649</v>
      </c>
      <c r="BA75" s="314">
        <v>12384</v>
      </c>
      <c r="BB75" s="539">
        <v>13151</v>
      </c>
      <c r="BC75" s="350">
        <f>BD75</f>
        <v>13754</v>
      </c>
      <c r="BD75" s="412">
        <v>13754</v>
      </c>
      <c r="BE75" s="314">
        <v>9679</v>
      </c>
      <c r="BF75" s="314">
        <v>9618</v>
      </c>
      <c r="BG75" s="539"/>
      <c r="BH75" s="350"/>
      <c r="BI75" s="317"/>
    </row>
    <row r="76" spans="1:61">
      <c r="A76" s="458" t="s">
        <v>4</v>
      </c>
      <c r="P76" s="317"/>
      <c r="Q76" s="351" t="e">
        <f t="shared" ref="Q76" si="245">+Q75/L75-1</f>
        <v>#DIV/0!</v>
      </c>
      <c r="R76" s="351" t="e">
        <f t="shared" ref="R76" si="246">+R75/M75-1</f>
        <v>#DIV/0!</v>
      </c>
      <c r="S76" s="351" t="e">
        <f t="shared" ref="S76" si="247">+S75/N75-1</f>
        <v>#DIV/0!</v>
      </c>
      <c r="T76" s="351" t="e">
        <f t="shared" ref="T76" si="248">+T75/O75-1</f>
        <v>#DIV/0!</v>
      </c>
      <c r="U76" s="352" t="e">
        <f t="shared" ref="U76" si="249">+U75/P75-1</f>
        <v>#DIV/0!</v>
      </c>
      <c r="V76" s="351" t="e">
        <f t="shared" ref="V76" si="250">+V75/Q75-1</f>
        <v>#DIV/0!</v>
      </c>
      <c r="W76" s="351" t="e">
        <f t="shared" ref="W76" si="251">+W75/R75-1</f>
        <v>#DIV/0!</v>
      </c>
      <c r="X76" s="351" t="e">
        <f t="shared" ref="X76" si="252">+X75/S75-1</f>
        <v>#DIV/0!</v>
      </c>
      <c r="Y76" s="351" t="e">
        <f t="shared" ref="Y76" si="253">+Y75/T75-1</f>
        <v>#DIV/0!</v>
      </c>
      <c r="Z76" s="352" t="e">
        <f t="shared" ref="Z76" si="254">+Z75/U75-1</f>
        <v>#DIV/0!</v>
      </c>
      <c r="AA76" s="351" t="e">
        <f t="shared" ref="AA76" si="255">+AA75/V75-1</f>
        <v>#DIV/0!</v>
      </c>
      <c r="AB76" s="351" t="e">
        <f t="shared" ref="AB76" si="256">+AB75/W75-1</f>
        <v>#DIV/0!</v>
      </c>
      <c r="AC76" s="351" t="e">
        <f t="shared" ref="AC76" si="257">+AC75/X75-1</f>
        <v>#DIV/0!</v>
      </c>
      <c r="AD76" s="351" t="e">
        <f t="shared" ref="AD76" si="258">+AD75/Y75-1</f>
        <v>#DIV/0!</v>
      </c>
      <c r="AE76" s="352" t="e">
        <f t="shared" ref="AE76" si="259">+AE75/Z75-1</f>
        <v>#DIV/0!</v>
      </c>
      <c r="AF76" s="351" t="e">
        <f t="shared" ref="AF76" si="260">+AF75/AA75-1</f>
        <v>#DIV/0!</v>
      </c>
      <c r="AG76" s="351" t="e">
        <f t="shared" ref="AG76" si="261">+AG75/AB75-1</f>
        <v>#DIV/0!</v>
      </c>
      <c r="AH76" s="351" t="e">
        <f t="shared" ref="AH76" si="262">+AH75/AC75-1</f>
        <v>#DIV/0!</v>
      </c>
      <c r="AI76" s="351" t="e">
        <f t="shared" ref="AI76" si="263">+AI75/AD75-1</f>
        <v>#DIV/0!</v>
      </c>
      <c r="AJ76" s="352" t="e">
        <f t="shared" ref="AJ76" si="264">+AJ75/AE75-1</f>
        <v>#DIV/0!</v>
      </c>
      <c r="AK76" s="351" t="e">
        <f t="shared" ref="AK76" si="265">+AK75/AF75-1</f>
        <v>#DIV/0!</v>
      </c>
      <c r="AL76" s="351" t="e">
        <f t="shared" ref="AL76" si="266">+AL75/AG75-1</f>
        <v>#DIV/0!</v>
      </c>
      <c r="AM76" s="351" t="e">
        <f t="shared" ref="AM76" si="267">+AM75/AH75-1</f>
        <v>#DIV/0!</v>
      </c>
      <c r="AN76" s="351" t="e">
        <f t="shared" ref="AN76" si="268">+AN75/AI75-1</f>
        <v>#DIV/0!</v>
      </c>
      <c r="AO76" s="352" t="e">
        <f t="shared" ref="AO76" si="269">+AO75/AJ75-1</f>
        <v>#DIV/0!</v>
      </c>
      <c r="AP76" s="351" t="e">
        <f t="shared" ref="AP76" si="270">+AP75/AK75-1</f>
        <v>#DIV/0!</v>
      </c>
      <c r="AQ76" s="351" t="e">
        <f t="shared" ref="AQ76" si="271">+AQ75/AL75-1</f>
        <v>#DIV/0!</v>
      </c>
      <c r="AR76" s="351" t="e">
        <f t="shared" ref="AR76:AS76" si="272">+AR75/AM75-1</f>
        <v>#DIV/0!</v>
      </c>
      <c r="AS76" s="351">
        <f t="shared" si="272"/>
        <v>0.35076795350767953</v>
      </c>
      <c r="AT76" s="352">
        <f t="shared" ref="AT76" si="273">+AT75/AO75-1</f>
        <v>0.35076795350767953</v>
      </c>
      <c r="AU76" s="351" t="e">
        <f t="shared" ref="AU76" si="274">+AU75/AP75-1</f>
        <v>#DIV/0!</v>
      </c>
      <c r="AV76" s="351" t="e">
        <f t="shared" ref="AV76" si="275">+AV75/AQ75-1</f>
        <v>#DIV/0!</v>
      </c>
      <c r="AW76" s="351" t="e">
        <f t="shared" ref="AW76:AX76" si="276">+AW75/AR75-1</f>
        <v>#DIV/0!</v>
      </c>
      <c r="AX76" s="351">
        <f t="shared" si="276"/>
        <v>0.76121696373693926</v>
      </c>
      <c r="AY76" s="352">
        <f t="shared" ref="AY76" si="277">+AY75/AT75-1</f>
        <v>0.76121696373693926</v>
      </c>
      <c r="AZ76" s="351" t="e">
        <f t="shared" ref="AZ76" si="278">+AZ75/AU75-1</f>
        <v>#DIV/0!</v>
      </c>
      <c r="BA76" s="351" t="e">
        <f t="shared" ref="BA76" si="279">+BA75/AV75-1</f>
        <v>#DIV/0!</v>
      </c>
      <c r="BB76" s="351" t="e">
        <f t="shared" ref="BB76:BC76" si="280">+BB75/AW75-1</f>
        <v>#DIV/0!</v>
      </c>
      <c r="BC76" s="351">
        <f t="shared" si="280"/>
        <v>0.19996510207642637</v>
      </c>
      <c r="BD76" s="352">
        <f t="shared" ref="BD76" si="281">+BD75/AY75-1</f>
        <v>0.19996510207642637</v>
      </c>
      <c r="BE76" s="351">
        <f t="shared" ref="BE76" si="282">+BE75/AZ75-1</f>
        <v>-0.16911322860331357</v>
      </c>
      <c r="BF76" s="351">
        <f t="shared" ref="BF76" si="283">+BF75/BA75-1</f>
        <v>-0.22335271317829453</v>
      </c>
      <c r="BG76" s="351">
        <f t="shared" ref="BG76" si="284">+BG75/BB75-1</f>
        <v>-1</v>
      </c>
      <c r="BH76" s="351"/>
      <c r="BI76" s="352"/>
    </row>
    <row r="77" spans="1:61">
      <c r="A77" s="458"/>
      <c r="P77" s="354"/>
      <c r="Q77" s="353"/>
      <c r="R77" s="353"/>
      <c r="S77" s="353"/>
      <c r="T77" s="353"/>
      <c r="U77" s="354"/>
      <c r="V77" s="353"/>
      <c r="W77" s="353"/>
      <c r="X77" s="353"/>
      <c r="Y77" s="353"/>
      <c r="Z77" s="354"/>
      <c r="AA77" s="353"/>
      <c r="AB77" s="353"/>
      <c r="AC77" s="353"/>
      <c r="AD77" s="353"/>
      <c r="AE77" s="354"/>
      <c r="AF77" s="353"/>
      <c r="AG77" s="353"/>
      <c r="AH77" s="353"/>
      <c r="AI77" s="353"/>
      <c r="AJ77" s="354"/>
      <c r="AK77" s="353"/>
      <c r="AL77" s="353"/>
      <c r="AM77" s="353"/>
      <c r="AN77" s="353"/>
      <c r="AO77" s="354"/>
      <c r="AP77" s="353"/>
      <c r="AQ77" s="353"/>
      <c r="AR77" s="353"/>
      <c r="AS77" s="353"/>
      <c r="AT77" s="354"/>
      <c r="AU77" s="353"/>
      <c r="AV77" s="353"/>
      <c r="AW77" s="353"/>
      <c r="AX77" s="353"/>
      <c r="AY77" s="354"/>
      <c r="AZ77" s="353"/>
      <c r="BA77" s="353"/>
      <c r="BB77" s="353"/>
      <c r="BC77" s="353"/>
      <c r="BD77" s="354"/>
      <c r="BE77" s="353"/>
      <c r="BF77" s="353"/>
      <c r="BG77" s="353"/>
      <c r="BH77" s="353"/>
      <c r="BI77" s="354"/>
    </row>
    <row r="78" spans="1:61">
      <c r="A78" s="458" t="s">
        <v>11</v>
      </c>
      <c r="P78" s="317">
        <f>SUM(L78:O78)</f>
        <v>0</v>
      </c>
      <c r="Q78" s="314"/>
      <c r="R78" s="314"/>
      <c r="S78" s="314"/>
      <c r="T78" s="314"/>
      <c r="U78" s="317">
        <f>SUM(Q78:T78)</f>
        <v>0</v>
      </c>
      <c r="V78" s="314"/>
      <c r="W78" s="314"/>
      <c r="X78" s="314"/>
      <c r="Y78" s="314"/>
      <c r="Z78" s="317">
        <f>SUM(V78:Y78)</f>
        <v>0</v>
      </c>
      <c r="AA78" s="314"/>
      <c r="AB78" s="314"/>
      <c r="AC78" s="314"/>
      <c r="AD78" s="350">
        <f>AE78-SUM(AA78:AC78)</f>
        <v>0</v>
      </c>
      <c r="AE78" s="412"/>
      <c r="AF78" s="314"/>
      <c r="AG78" s="314"/>
      <c r="AH78" s="314"/>
      <c r="AI78" s="350">
        <f>AJ78-SUM(AF78:AH78)</f>
        <v>0</v>
      </c>
      <c r="AJ78" s="412"/>
      <c r="AK78" s="314"/>
      <c r="AL78" s="314"/>
      <c r="AM78" s="314"/>
      <c r="AN78" s="350">
        <f>AO78</f>
        <v>120720</v>
      </c>
      <c r="AO78" s="317">
        <f>AO72+AO75</f>
        <v>120720</v>
      </c>
      <c r="AP78" s="314">
        <f t="shared" ref="AP78:BB78" si="285">AP72+AP75</f>
        <v>0</v>
      </c>
      <c r="AQ78" s="314">
        <f t="shared" si="285"/>
        <v>0</v>
      </c>
      <c r="AR78" s="314">
        <f t="shared" si="285"/>
        <v>0</v>
      </c>
      <c r="AS78" s="350">
        <f>AT78</f>
        <v>137536</v>
      </c>
      <c r="AT78" s="317">
        <f t="shared" si="285"/>
        <v>137536</v>
      </c>
      <c r="AU78" s="314">
        <f t="shared" si="285"/>
        <v>0</v>
      </c>
      <c r="AV78" s="314">
        <f t="shared" si="285"/>
        <v>134205</v>
      </c>
      <c r="AW78" s="314">
        <f t="shared" si="285"/>
        <v>140102</v>
      </c>
      <c r="AX78" s="350">
        <f>AY78</f>
        <v>153644</v>
      </c>
      <c r="AY78" s="317">
        <f t="shared" si="285"/>
        <v>153644</v>
      </c>
      <c r="AZ78" s="314">
        <f t="shared" si="285"/>
        <v>153752</v>
      </c>
      <c r="BA78" s="314">
        <f t="shared" si="285"/>
        <v>155232</v>
      </c>
      <c r="BB78" s="540">
        <f t="shared" si="285"/>
        <v>157196</v>
      </c>
      <c r="BC78" s="350">
        <f>BD78</f>
        <v>169822</v>
      </c>
      <c r="BD78" s="317">
        <f t="shared" ref="BD78" si="286">BD72+BD75</f>
        <v>169822</v>
      </c>
      <c r="BE78" s="350">
        <f t="shared" ref="BE78:BG78" si="287">BE72+BE75</f>
        <v>181055</v>
      </c>
      <c r="BF78" s="314">
        <f t="shared" si="287"/>
        <v>179900</v>
      </c>
      <c r="BG78" s="540">
        <f t="shared" si="287"/>
        <v>0</v>
      </c>
      <c r="BH78" s="350"/>
      <c r="BI78" s="317"/>
    </row>
    <row r="79" spans="1:61">
      <c r="A79" s="458" t="s">
        <v>4</v>
      </c>
      <c r="P79" s="317"/>
      <c r="Q79" s="351" t="e">
        <f t="shared" ref="Q79" si="288">+Q78/L78-1</f>
        <v>#DIV/0!</v>
      </c>
      <c r="R79" s="351" t="e">
        <f t="shared" ref="R79" si="289">+R78/M78-1</f>
        <v>#DIV/0!</v>
      </c>
      <c r="S79" s="351" t="e">
        <f t="shared" ref="S79" si="290">+S78/N78-1</f>
        <v>#DIV/0!</v>
      </c>
      <c r="T79" s="351" t="e">
        <f t="shared" ref="T79" si="291">+T78/O78-1</f>
        <v>#DIV/0!</v>
      </c>
      <c r="U79" s="352" t="e">
        <f t="shared" ref="U79" si="292">+U78/P78-1</f>
        <v>#DIV/0!</v>
      </c>
      <c r="V79" s="351" t="e">
        <f t="shared" ref="V79" si="293">+V78/Q78-1</f>
        <v>#DIV/0!</v>
      </c>
      <c r="W79" s="351" t="e">
        <f t="shared" ref="W79" si="294">+W78/R78-1</f>
        <v>#DIV/0!</v>
      </c>
      <c r="X79" s="351" t="e">
        <f t="shared" ref="X79" si="295">+X78/S78-1</f>
        <v>#DIV/0!</v>
      </c>
      <c r="Y79" s="351" t="e">
        <f t="shared" ref="Y79" si="296">+Y78/T78-1</f>
        <v>#DIV/0!</v>
      </c>
      <c r="Z79" s="352" t="e">
        <f t="shared" ref="Z79" si="297">+Z78/U78-1</f>
        <v>#DIV/0!</v>
      </c>
      <c r="AA79" s="351" t="e">
        <f t="shared" ref="AA79" si="298">+AA78/V78-1</f>
        <v>#DIV/0!</v>
      </c>
      <c r="AB79" s="351" t="e">
        <f t="shared" ref="AB79" si="299">+AB78/W78-1</f>
        <v>#DIV/0!</v>
      </c>
      <c r="AC79" s="351" t="e">
        <f t="shared" ref="AC79" si="300">+AC78/X78-1</f>
        <v>#DIV/0!</v>
      </c>
      <c r="AD79" s="351" t="e">
        <f t="shared" ref="AD79" si="301">+AD78/Y78-1</f>
        <v>#DIV/0!</v>
      </c>
      <c r="AE79" s="352" t="e">
        <f t="shared" ref="AE79" si="302">+AE78/Z78-1</f>
        <v>#DIV/0!</v>
      </c>
      <c r="AF79" s="351" t="e">
        <f t="shared" ref="AF79" si="303">+AF78/AA78-1</f>
        <v>#DIV/0!</v>
      </c>
      <c r="AG79" s="351" t="e">
        <f t="shared" ref="AG79" si="304">+AG78/AB78-1</f>
        <v>#DIV/0!</v>
      </c>
      <c r="AH79" s="351" t="e">
        <f t="shared" ref="AH79" si="305">+AH78/AC78-1</f>
        <v>#DIV/0!</v>
      </c>
      <c r="AI79" s="351" t="e">
        <f t="shared" ref="AI79" si="306">+AI78/AD78-1</f>
        <v>#DIV/0!</v>
      </c>
      <c r="AJ79" s="352" t="e">
        <f t="shared" ref="AJ79" si="307">+AJ78/AE78-1</f>
        <v>#DIV/0!</v>
      </c>
      <c r="AK79" s="351" t="e">
        <f t="shared" ref="AK79" si="308">+AK78/AF78-1</f>
        <v>#DIV/0!</v>
      </c>
      <c r="AL79" s="351" t="e">
        <f t="shared" ref="AL79" si="309">+AL78/AG78-1</f>
        <v>#DIV/0!</v>
      </c>
      <c r="AM79" s="351" t="e">
        <f t="shared" ref="AM79" si="310">+AM78/AH78-1</f>
        <v>#DIV/0!</v>
      </c>
      <c r="AN79" s="351" t="e">
        <f t="shared" ref="AN79" si="311">+AN78/AI78-1</f>
        <v>#DIV/0!</v>
      </c>
      <c r="AO79" s="352" t="e">
        <f t="shared" ref="AO79" si="312">+AO78/AJ78-1</f>
        <v>#DIV/0!</v>
      </c>
      <c r="AP79" s="351" t="e">
        <f t="shared" ref="AP79" si="313">+AP78/AK78-1</f>
        <v>#DIV/0!</v>
      </c>
      <c r="AQ79" s="351" t="e">
        <f t="shared" ref="AQ79" si="314">+AQ78/AL78-1</f>
        <v>#DIV/0!</v>
      </c>
      <c r="AR79" s="351" t="e">
        <f t="shared" ref="AR79:AS79" si="315">+AR78/AM78-1</f>
        <v>#DIV/0!</v>
      </c>
      <c r="AS79" s="351">
        <f t="shared" si="315"/>
        <v>0.13929754804506289</v>
      </c>
      <c r="AT79" s="352">
        <f t="shared" ref="AT79" si="316">+AT78/AO78-1</f>
        <v>0.13929754804506289</v>
      </c>
      <c r="AU79" s="351" t="e">
        <f t="shared" ref="AU79" si="317">+AU78/AP78-1</f>
        <v>#DIV/0!</v>
      </c>
      <c r="AV79" s="351" t="e">
        <f t="shared" ref="AV79" si="318">+AV78/AQ78-1</f>
        <v>#DIV/0!</v>
      </c>
      <c r="AW79" s="351" t="e">
        <f t="shared" ref="AW79:AX79" si="319">+AW78/AR78-1</f>
        <v>#DIV/0!</v>
      </c>
      <c r="AX79" s="351">
        <f t="shared" si="319"/>
        <v>0.11711842717543042</v>
      </c>
      <c r="AY79" s="352">
        <f t="shared" ref="AY79" si="320">+AY78/AT78-1</f>
        <v>0.11711842717543042</v>
      </c>
      <c r="AZ79" s="351" t="e">
        <f t="shared" ref="AZ79" si="321">+AZ78/AU78-1</f>
        <v>#DIV/0!</v>
      </c>
      <c r="BA79" s="351">
        <f t="shared" ref="BA79" si="322">+BA78/AV78-1</f>
        <v>0.15667821616184185</v>
      </c>
      <c r="BB79" s="351">
        <f t="shared" ref="BB79:BC79" si="323">+BB78/AW78-1</f>
        <v>0.12201110619405853</v>
      </c>
      <c r="BC79" s="351">
        <f t="shared" si="323"/>
        <v>0.10529535810054402</v>
      </c>
      <c r="BD79" s="352">
        <f t="shared" ref="BD79" si="324">+BD78/AY78-1</f>
        <v>0.10529535810054402</v>
      </c>
      <c r="BE79" s="351">
        <f t="shared" ref="BE79" si="325">+BE78/AZ78-1</f>
        <v>0.17757817784484109</v>
      </c>
      <c r="BF79" s="351">
        <f t="shared" ref="BF79" si="326">+BF78/BA78-1</f>
        <v>0.15891053391053389</v>
      </c>
      <c r="BG79" s="351">
        <f t="shared" ref="BG79" si="327">+BG78/BB78-1</f>
        <v>-1</v>
      </c>
      <c r="BH79" s="351"/>
      <c r="BI79" s="352"/>
    </row>
  </sheetData>
  <pageMargins left="0.7" right="0.7" top="0.75" bottom="0.75" header="0.3" footer="0.3"/>
  <pageSetup orientation="portrait" r:id="rId1"/>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E778CA-66AD-488D-9346-1FB1D0EE6F96}">
  <sheetPr codeName="Sheet13"/>
  <dimension ref="A1:AR358"/>
  <sheetViews>
    <sheetView showGridLines="0" topLeftCell="E169" workbookViewId="0">
      <selection activeCell="AH301" sqref="AH301"/>
    </sheetView>
  </sheetViews>
  <sheetFormatPr defaultRowHeight="15" outlineLevelRow="1"/>
  <cols>
    <col min="1" max="1" width="64.85546875" customWidth="1"/>
    <col min="2" max="32" width="8.5703125" customWidth="1"/>
    <col min="33" max="33" width="10.5703125" customWidth="1"/>
    <col min="34" max="34" width="36" customWidth="1"/>
  </cols>
  <sheetData>
    <row r="1" spans="1:34">
      <c r="B1" s="409">
        <v>2000</v>
      </c>
      <c r="C1" s="409">
        <f t="shared" ref="C1:X1" si="0">+B1+1</f>
        <v>2001</v>
      </c>
      <c r="D1" s="409">
        <f t="shared" si="0"/>
        <v>2002</v>
      </c>
      <c r="E1" s="409">
        <f t="shared" si="0"/>
        <v>2003</v>
      </c>
      <c r="F1" s="409">
        <f t="shared" si="0"/>
        <v>2004</v>
      </c>
      <c r="G1" s="409">
        <f t="shared" si="0"/>
        <v>2005</v>
      </c>
      <c r="H1" s="409">
        <f t="shared" si="0"/>
        <v>2006</v>
      </c>
      <c r="I1" s="409">
        <f t="shared" si="0"/>
        <v>2007</v>
      </c>
      <c r="J1" s="409">
        <f t="shared" si="0"/>
        <v>2008</v>
      </c>
      <c r="K1" s="409">
        <f t="shared" si="0"/>
        <v>2009</v>
      </c>
      <c r="L1" s="409">
        <f t="shared" si="0"/>
        <v>2010</v>
      </c>
      <c r="M1" s="409">
        <f t="shared" si="0"/>
        <v>2011</v>
      </c>
      <c r="N1" s="409">
        <f t="shared" si="0"/>
        <v>2012</v>
      </c>
      <c r="O1" s="409">
        <f t="shared" si="0"/>
        <v>2013</v>
      </c>
      <c r="P1" s="409">
        <f t="shared" si="0"/>
        <v>2014</v>
      </c>
      <c r="Q1" s="409">
        <f t="shared" si="0"/>
        <v>2015</v>
      </c>
      <c r="R1" s="409">
        <f t="shared" si="0"/>
        <v>2016</v>
      </c>
      <c r="S1" s="409">
        <f t="shared" si="0"/>
        <v>2017</v>
      </c>
      <c r="T1" s="409">
        <f t="shared" si="0"/>
        <v>2018</v>
      </c>
      <c r="U1" s="409">
        <f t="shared" si="0"/>
        <v>2019</v>
      </c>
      <c r="V1" s="409">
        <f t="shared" si="0"/>
        <v>2020</v>
      </c>
      <c r="W1" s="409">
        <f t="shared" si="0"/>
        <v>2021</v>
      </c>
      <c r="X1" s="409">
        <f t="shared" si="0"/>
        <v>2022</v>
      </c>
      <c r="Y1" s="418">
        <v>2023</v>
      </c>
      <c r="Z1" s="418">
        <v>2024</v>
      </c>
      <c r="AA1" s="418" t="s">
        <v>610</v>
      </c>
      <c r="AB1" s="418" t="s">
        <v>441</v>
      </c>
      <c r="AC1" s="418" t="s">
        <v>442</v>
      </c>
      <c r="AD1" s="418" t="s">
        <v>443</v>
      </c>
      <c r="AE1" s="418" t="s">
        <v>444</v>
      </c>
      <c r="AF1" s="418" t="s">
        <v>582</v>
      </c>
    </row>
    <row r="2" spans="1:34">
      <c r="A2" s="257" t="s">
        <v>393</v>
      </c>
      <c r="B2" s="179"/>
      <c r="C2" s="179"/>
      <c r="D2" s="179"/>
      <c r="E2" s="179"/>
      <c r="F2" s="179"/>
      <c r="G2" s="179"/>
      <c r="H2" s="179"/>
      <c r="I2" s="179"/>
      <c r="J2" s="179"/>
      <c r="K2" s="179"/>
      <c r="L2" s="179"/>
      <c r="M2" s="179"/>
      <c r="N2" s="179"/>
      <c r="O2" s="179"/>
      <c r="P2" s="179"/>
      <c r="Q2" s="179"/>
      <c r="R2" s="179"/>
      <c r="S2" s="179"/>
      <c r="T2" s="179"/>
      <c r="U2" s="179"/>
      <c r="V2" s="179"/>
      <c r="W2" s="179"/>
      <c r="X2" s="179"/>
      <c r="Y2" s="391"/>
      <c r="Z2" s="391"/>
      <c r="AA2" s="391"/>
      <c r="AB2" s="391"/>
      <c r="AC2" s="391"/>
      <c r="AD2" s="391"/>
      <c r="AE2" s="391"/>
      <c r="AF2" s="391"/>
    </row>
    <row r="3" spans="1:34">
      <c r="B3" s="179"/>
      <c r="C3" s="179"/>
      <c r="D3" s="179"/>
      <c r="E3" s="179"/>
      <c r="F3" s="179"/>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row>
    <row r="4" spans="1:34" outlineLevel="1">
      <c r="A4" s="434" t="s">
        <v>419</v>
      </c>
      <c r="B4" s="435">
        <v>2000</v>
      </c>
      <c r="C4" s="435">
        <f>+B4+1</f>
        <v>2001</v>
      </c>
      <c r="D4" s="435">
        <f t="shared" ref="D4:AF4" si="1">+C4+1</f>
        <v>2002</v>
      </c>
      <c r="E4" s="435">
        <f t="shared" si="1"/>
        <v>2003</v>
      </c>
      <c r="F4" s="435">
        <f t="shared" si="1"/>
        <v>2004</v>
      </c>
      <c r="G4" s="435">
        <f t="shared" si="1"/>
        <v>2005</v>
      </c>
      <c r="H4" s="435">
        <f t="shared" si="1"/>
        <v>2006</v>
      </c>
      <c r="I4" s="435">
        <f t="shared" si="1"/>
        <v>2007</v>
      </c>
      <c r="J4" s="435">
        <f t="shared" si="1"/>
        <v>2008</v>
      </c>
      <c r="K4" s="435">
        <f t="shared" si="1"/>
        <v>2009</v>
      </c>
      <c r="L4" s="435">
        <f t="shared" si="1"/>
        <v>2010</v>
      </c>
      <c r="M4" s="435">
        <f t="shared" si="1"/>
        <v>2011</v>
      </c>
      <c r="N4" s="435">
        <f t="shared" si="1"/>
        <v>2012</v>
      </c>
      <c r="O4" s="435">
        <f t="shared" si="1"/>
        <v>2013</v>
      </c>
      <c r="P4" s="435">
        <f t="shared" si="1"/>
        <v>2014</v>
      </c>
      <c r="Q4" s="435">
        <f t="shared" si="1"/>
        <v>2015</v>
      </c>
      <c r="R4" s="435">
        <f t="shared" si="1"/>
        <v>2016</v>
      </c>
      <c r="S4" s="435">
        <f t="shared" si="1"/>
        <v>2017</v>
      </c>
      <c r="T4" s="435">
        <f t="shared" si="1"/>
        <v>2018</v>
      </c>
      <c r="U4" s="435">
        <f t="shared" si="1"/>
        <v>2019</v>
      </c>
      <c r="V4" s="435">
        <f t="shared" si="1"/>
        <v>2020</v>
      </c>
      <c r="W4" s="435">
        <f t="shared" si="1"/>
        <v>2021</v>
      </c>
      <c r="X4" s="435">
        <f t="shared" si="1"/>
        <v>2022</v>
      </c>
      <c r="Y4" s="435">
        <f t="shared" si="1"/>
        <v>2023</v>
      </c>
      <c r="Z4" s="435">
        <f t="shared" si="1"/>
        <v>2024</v>
      </c>
      <c r="AA4" s="435">
        <f t="shared" si="1"/>
        <v>2025</v>
      </c>
      <c r="AB4" s="435">
        <f t="shared" si="1"/>
        <v>2026</v>
      </c>
      <c r="AC4" s="435">
        <f t="shared" si="1"/>
        <v>2027</v>
      </c>
      <c r="AD4" s="435">
        <f t="shared" si="1"/>
        <v>2028</v>
      </c>
      <c r="AE4" s="435">
        <f t="shared" si="1"/>
        <v>2029</v>
      </c>
      <c r="AF4" s="435">
        <f t="shared" si="1"/>
        <v>2030</v>
      </c>
    </row>
    <row r="5" spans="1:34" outlineLevel="1">
      <c r="A5" t="s">
        <v>378</v>
      </c>
      <c r="B5" s="381"/>
      <c r="C5" s="381"/>
      <c r="D5" s="381"/>
      <c r="E5" s="381"/>
      <c r="F5" s="381"/>
      <c r="G5" s="381"/>
      <c r="H5" s="381"/>
      <c r="I5" s="381"/>
      <c r="J5" s="381"/>
      <c r="K5" s="381"/>
      <c r="L5" s="381"/>
      <c r="M5" s="381"/>
      <c r="N5" s="381"/>
      <c r="O5" s="381"/>
      <c r="P5" s="381"/>
      <c r="Q5" s="381"/>
      <c r="R5" s="381"/>
      <c r="S5" s="381">
        <v>74</v>
      </c>
      <c r="T5" s="381">
        <v>252</v>
      </c>
      <c r="U5" s="381">
        <v>57</v>
      </c>
      <c r="V5" s="381">
        <v>26</v>
      </c>
      <c r="W5" s="381">
        <v>243</v>
      </c>
      <c r="X5" s="381">
        <v>372</v>
      </c>
      <c r="Y5" s="526">
        <v>396</v>
      </c>
      <c r="Z5" s="526">
        <v>265</v>
      </c>
      <c r="AA5" s="401">
        <v>395</v>
      </c>
      <c r="AB5" s="402">
        <v>499.5</v>
      </c>
      <c r="AC5" s="402">
        <v>579</v>
      </c>
      <c r="AD5" s="402">
        <v>624</v>
      </c>
      <c r="AE5" s="402">
        <v>624</v>
      </c>
      <c r="AF5" s="402">
        <v>624</v>
      </c>
      <c r="AH5" t="s">
        <v>503</v>
      </c>
    </row>
    <row r="6" spans="1:34" outlineLevel="1">
      <c r="A6" t="s">
        <v>370</v>
      </c>
      <c r="B6" s="381">
        <v>203</v>
      </c>
      <c r="C6" s="381">
        <v>223</v>
      </c>
      <c r="D6" s="381">
        <v>167</v>
      </c>
      <c r="E6" s="381">
        <v>139</v>
      </c>
      <c r="F6" s="381">
        <v>175</v>
      </c>
      <c r="G6" s="381">
        <v>181</v>
      </c>
      <c r="H6" s="381">
        <v>267</v>
      </c>
      <c r="I6" s="381">
        <v>311</v>
      </c>
      <c r="J6" s="381">
        <v>267</v>
      </c>
      <c r="K6" s="381">
        <v>352</v>
      </c>
      <c r="L6" s="381">
        <v>359</v>
      </c>
      <c r="M6" s="381">
        <v>358</v>
      </c>
      <c r="N6" s="381">
        <v>398</v>
      </c>
      <c r="O6" s="381">
        <v>424</v>
      </c>
      <c r="P6" s="381">
        <v>467</v>
      </c>
      <c r="Q6" s="381">
        <v>470</v>
      </c>
      <c r="R6" s="381">
        <v>464</v>
      </c>
      <c r="S6" s="381">
        <v>431</v>
      </c>
      <c r="T6" s="381">
        <v>304</v>
      </c>
      <c r="U6" s="381">
        <v>49</v>
      </c>
      <c r="V6" s="381">
        <v>2</v>
      </c>
      <c r="W6" s="381"/>
      <c r="X6" s="381"/>
      <c r="Y6" s="526"/>
      <c r="Z6" s="526"/>
      <c r="AA6" s="401"/>
      <c r="AB6" s="402"/>
      <c r="AC6" s="402"/>
      <c r="AD6" s="402"/>
      <c r="AE6" s="402"/>
      <c r="AF6" s="402"/>
      <c r="AH6" t="s">
        <v>503</v>
      </c>
    </row>
    <row r="7" spans="1:34" outlineLevel="1">
      <c r="A7" t="s">
        <v>371</v>
      </c>
      <c r="B7" s="381">
        <v>20</v>
      </c>
      <c r="C7" s="381">
        <v>23</v>
      </c>
      <c r="D7" s="381">
        <v>20</v>
      </c>
      <c r="E7" s="381">
        <v>13</v>
      </c>
      <c r="F7" s="381">
        <v>15</v>
      </c>
      <c r="G7" s="381">
        <v>13</v>
      </c>
      <c r="H7" s="381">
        <v>13</v>
      </c>
      <c r="I7" s="381">
        <v>15</v>
      </c>
      <c r="J7" s="381">
        <v>14</v>
      </c>
      <c r="K7" s="381">
        <v>8</v>
      </c>
      <c r="L7" s="381"/>
      <c r="M7" s="381">
        <v>9</v>
      </c>
      <c r="N7" s="381">
        <v>23</v>
      </c>
      <c r="O7" s="381">
        <v>24</v>
      </c>
      <c r="P7" s="381">
        <v>18</v>
      </c>
      <c r="Q7" s="381">
        <v>18</v>
      </c>
      <c r="R7" s="381">
        <v>9</v>
      </c>
      <c r="S7" s="381">
        <v>10</v>
      </c>
      <c r="T7" s="381">
        <v>6</v>
      </c>
      <c r="U7" s="381">
        <v>7</v>
      </c>
      <c r="V7" s="381">
        <v>5</v>
      </c>
      <c r="W7" s="381">
        <v>6</v>
      </c>
      <c r="X7" s="381">
        <v>5</v>
      </c>
      <c r="Y7" s="526">
        <v>1</v>
      </c>
      <c r="Z7" s="526">
        <v>0</v>
      </c>
      <c r="AA7" s="401">
        <v>0</v>
      </c>
      <c r="AB7" s="402">
        <v>0</v>
      </c>
      <c r="AC7" s="402">
        <v>0</v>
      </c>
      <c r="AD7" s="402">
        <v>0</v>
      </c>
      <c r="AE7" s="402">
        <v>0</v>
      </c>
      <c r="AF7" s="402">
        <v>0</v>
      </c>
      <c r="AH7" t="s">
        <v>503</v>
      </c>
    </row>
    <row r="8" spans="1:34" outlineLevel="1">
      <c r="A8" t="s">
        <v>372</v>
      </c>
      <c r="B8" s="381">
        <v>42</v>
      </c>
      <c r="C8" s="381">
        <v>39</v>
      </c>
      <c r="D8" s="381">
        <v>34</v>
      </c>
      <c r="E8" s="381">
        <v>20</v>
      </c>
      <c r="F8" s="381">
        <v>8</v>
      </c>
      <c r="G8" s="381">
        <v>8</v>
      </c>
      <c r="H8" s="381">
        <v>10</v>
      </c>
      <c r="I8" s="381">
        <v>11</v>
      </c>
      <c r="J8" s="381">
        <v>8</v>
      </c>
      <c r="K8" s="381">
        <v>12</v>
      </c>
      <c r="L8" s="381">
        <v>11</v>
      </c>
      <c r="M8" s="381">
        <v>20</v>
      </c>
      <c r="N8" s="381">
        <v>26</v>
      </c>
      <c r="O8" s="381">
        <v>21</v>
      </c>
      <c r="P8" s="381">
        <v>6</v>
      </c>
      <c r="Q8" s="381">
        <v>16</v>
      </c>
      <c r="R8" s="381">
        <v>13</v>
      </c>
      <c r="S8" s="381">
        <v>10</v>
      </c>
      <c r="T8" s="381">
        <v>17</v>
      </c>
      <c r="U8" s="381">
        <v>20</v>
      </c>
      <c r="V8" s="381">
        <v>19</v>
      </c>
      <c r="W8" s="381">
        <v>19</v>
      </c>
      <c r="X8" s="381">
        <v>18</v>
      </c>
      <c r="Y8" s="526">
        <v>32</v>
      </c>
      <c r="Z8" s="526">
        <v>18</v>
      </c>
      <c r="AA8" s="401">
        <v>30</v>
      </c>
      <c r="AB8" s="402">
        <v>36</v>
      </c>
      <c r="AC8" s="402">
        <v>0</v>
      </c>
      <c r="AD8" s="402">
        <v>0</v>
      </c>
      <c r="AE8" s="402">
        <v>0</v>
      </c>
      <c r="AF8" s="402">
        <v>0</v>
      </c>
      <c r="AH8" t="s">
        <v>503</v>
      </c>
    </row>
    <row r="9" spans="1:34" outlineLevel="1">
      <c r="A9" t="s">
        <v>373</v>
      </c>
      <c r="B9" s="381">
        <v>46</v>
      </c>
      <c r="C9" s="381">
        <v>46</v>
      </c>
      <c r="D9" s="381">
        <v>37</v>
      </c>
      <c r="E9" s="381">
        <v>28</v>
      </c>
      <c r="F9" s="381">
        <v>31</v>
      </c>
      <c r="G9" s="381">
        <v>37</v>
      </c>
      <c r="H9" s="381">
        <v>60</v>
      </c>
      <c r="I9" s="381">
        <v>72</v>
      </c>
      <c r="J9" s="381">
        <v>56</v>
      </c>
      <c r="K9" s="381">
        <v>86</v>
      </c>
      <c r="L9" s="381">
        <v>70</v>
      </c>
      <c r="M9" s="381">
        <v>71</v>
      </c>
      <c r="N9" s="381">
        <v>83</v>
      </c>
      <c r="O9" s="381">
        <v>98</v>
      </c>
      <c r="P9" s="381">
        <v>97</v>
      </c>
      <c r="Q9" s="381">
        <v>97</v>
      </c>
      <c r="R9" s="381">
        <v>99</v>
      </c>
      <c r="S9" s="381">
        <v>71</v>
      </c>
      <c r="T9" s="381">
        <v>44</v>
      </c>
      <c r="U9" s="381">
        <v>44</v>
      </c>
      <c r="V9" s="381">
        <v>26</v>
      </c>
      <c r="W9" s="381">
        <v>24</v>
      </c>
      <c r="X9" s="381">
        <v>24</v>
      </c>
      <c r="Y9" s="526">
        <v>26</v>
      </c>
      <c r="Z9" s="526">
        <v>14</v>
      </c>
      <c r="AA9" s="401">
        <v>32</v>
      </c>
      <c r="AB9" s="402">
        <v>30</v>
      </c>
      <c r="AC9" s="402">
        <v>48</v>
      </c>
      <c r="AD9" s="402">
        <v>48</v>
      </c>
      <c r="AE9" s="402">
        <v>48</v>
      </c>
      <c r="AF9" s="402">
        <v>48</v>
      </c>
      <c r="AH9" t="s">
        <v>503</v>
      </c>
    </row>
    <row r="10" spans="1:34" outlineLevel="1">
      <c r="A10" t="s">
        <v>374</v>
      </c>
      <c r="B10" s="381"/>
      <c r="C10" s="381"/>
      <c r="D10" s="381"/>
      <c r="E10" s="381"/>
      <c r="F10" s="381"/>
      <c r="G10" s="381"/>
      <c r="H10" s="381"/>
      <c r="I10" s="381"/>
      <c r="J10" s="381"/>
      <c r="K10" s="381"/>
      <c r="L10" s="381"/>
      <c r="M10" s="381">
        <v>3</v>
      </c>
      <c r="N10" s="381">
        <v>46</v>
      </c>
      <c r="O10" s="381">
        <v>61</v>
      </c>
      <c r="P10" s="381">
        <v>111</v>
      </c>
      <c r="Q10" s="381">
        <v>131</v>
      </c>
      <c r="R10" s="381">
        <v>137</v>
      </c>
      <c r="S10" s="381">
        <v>135</v>
      </c>
      <c r="T10" s="381">
        <v>144</v>
      </c>
      <c r="U10" s="381">
        <v>156</v>
      </c>
      <c r="V10" s="381">
        <v>53</v>
      </c>
      <c r="W10" s="381">
        <v>14</v>
      </c>
      <c r="X10" s="381">
        <v>31</v>
      </c>
      <c r="Y10" s="526">
        <v>73</v>
      </c>
      <c r="Z10" s="526">
        <v>51</v>
      </c>
      <c r="AA10" s="401">
        <v>70</v>
      </c>
      <c r="AB10" s="402">
        <v>96</v>
      </c>
      <c r="AC10" s="402">
        <v>120</v>
      </c>
      <c r="AD10" s="402">
        <v>120</v>
      </c>
      <c r="AE10" s="402">
        <v>120</v>
      </c>
      <c r="AF10" s="402">
        <v>120</v>
      </c>
      <c r="AH10" t="s">
        <v>503</v>
      </c>
    </row>
    <row r="11" spans="1:34" outlineLevel="1">
      <c r="B11" s="379"/>
      <c r="C11" s="379"/>
      <c r="D11" s="379"/>
      <c r="E11" s="379"/>
      <c r="F11" s="379"/>
      <c r="G11" s="379"/>
      <c r="H11" s="379"/>
      <c r="I11" s="379"/>
      <c r="J11" s="379"/>
      <c r="K11" s="379"/>
      <c r="L11" s="379"/>
      <c r="M11" s="379"/>
      <c r="N11" s="379"/>
      <c r="O11" s="379"/>
      <c r="P11" s="379"/>
      <c r="Q11" s="379"/>
      <c r="R11" s="379"/>
      <c r="S11" s="379"/>
      <c r="T11" s="379"/>
      <c r="U11" s="379"/>
      <c r="V11" s="379"/>
      <c r="W11" s="379"/>
      <c r="X11" s="379"/>
      <c r="Y11" s="388"/>
      <c r="Z11" s="388"/>
      <c r="AA11" s="401"/>
      <c r="AB11" s="402"/>
      <c r="AC11" s="402"/>
      <c r="AD11" s="402"/>
      <c r="AE11" s="402"/>
      <c r="AF11" s="402"/>
    </row>
    <row r="12" spans="1:34" outlineLevel="1">
      <c r="A12" t="s">
        <v>381</v>
      </c>
      <c r="B12" s="381">
        <v>76</v>
      </c>
      <c r="C12" s="381">
        <v>64</v>
      </c>
      <c r="D12" s="381">
        <v>53</v>
      </c>
      <c r="E12" s="381">
        <v>50</v>
      </c>
      <c r="F12" s="381">
        <v>62</v>
      </c>
      <c r="G12" s="381">
        <v>91</v>
      </c>
      <c r="H12" s="381">
        <v>98</v>
      </c>
      <c r="I12" s="381">
        <v>80</v>
      </c>
      <c r="J12" s="381">
        <v>74</v>
      </c>
      <c r="K12" s="381">
        <v>73</v>
      </c>
      <c r="L12" s="381">
        <v>37</v>
      </c>
      <c r="M12" s="381">
        <v>38</v>
      </c>
      <c r="N12" s="381">
        <v>28</v>
      </c>
      <c r="O12" s="381">
        <v>33</v>
      </c>
      <c r="P12" s="381">
        <v>29</v>
      </c>
      <c r="Q12" s="381">
        <v>23</v>
      </c>
      <c r="R12" s="381">
        <v>4</v>
      </c>
      <c r="S12" s="381">
        <v>10</v>
      </c>
      <c r="T12" s="381">
        <v>8</v>
      </c>
      <c r="U12" s="381">
        <v>4</v>
      </c>
      <c r="V12" s="381">
        <v>3</v>
      </c>
      <c r="W12" s="381">
        <v>2</v>
      </c>
      <c r="X12" s="381">
        <v>5</v>
      </c>
      <c r="Y12" s="526">
        <v>7</v>
      </c>
      <c r="Z12" s="526">
        <v>9</v>
      </c>
      <c r="AA12" s="401">
        <v>15</v>
      </c>
      <c r="AB12" s="402">
        <v>5</v>
      </c>
      <c r="AC12" s="402">
        <v>5</v>
      </c>
      <c r="AD12" s="402">
        <v>5</v>
      </c>
      <c r="AE12" s="402">
        <v>5</v>
      </c>
      <c r="AF12" s="402">
        <v>5</v>
      </c>
      <c r="AH12" t="s">
        <v>504</v>
      </c>
    </row>
    <row r="13" spans="1:34" outlineLevel="1">
      <c r="A13" t="s">
        <v>382</v>
      </c>
      <c r="B13" s="381">
        <v>76</v>
      </c>
      <c r="C13" s="381">
        <v>91</v>
      </c>
      <c r="D13" s="381">
        <v>90</v>
      </c>
      <c r="E13" s="381">
        <v>95</v>
      </c>
      <c r="F13" s="381">
        <v>83</v>
      </c>
      <c r="G13" s="381">
        <v>106</v>
      </c>
      <c r="H13" s="381">
        <v>157</v>
      </c>
      <c r="I13" s="381">
        <v>185</v>
      </c>
      <c r="J13" s="381">
        <v>201</v>
      </c>
      <c r="K13" s="381">
        <v>219</v>
      </c>
      <c r="L13" s="381">
        <v>288</v>
      </c>
      <c r="M13" s="381">
        <v>304</v>
      </c>
      <c r="N13" s="381">
        <v>326</v>
      </c>
      <c r="O13" s="381">
        <v>352</v>
      </c>
      <c r="P13" s="381">
        <v>302</v>
      </c>
      <c r="Q13" s="381">
        <v>281</v>
      </c>
      <c r="R13" s="381">
        <v>319</v>
      </c>
      <c r="S13" s="381">
        <v>344</v>
      </c>
      <c r="T13" s="381">
        <v>416</v>
      </c>
      <c r="U13" s="381">
        <v>426</v>
      </c>
      <c r="V13" s="381">
        <v>253</v>
      </c>
      <c r="W13" s="381">
        <v>256</v>
      </c>
      <c r="X13" s="381">
        <v>246</v>
      </c>
      <c r="Y13" s="526">
        <v>247</v>
      </c>
      <c r="Z13" s="526">
        <v>232</v>
      </c>
      <c r="AA13" s="401">
        <v>205</v>
      </c>
      <c r="AB13" s="402">
        <v>223.55</v>
      </c>
      <c r="AC13" s="402">
        <v>214.9375</v>
      </c>
      <c r="AD13" s="402">
        <v>232.1875</v>
      </c>
      <c r="AE13" s="402">
        <v>236.5</v>
      </c>
      <c r="AF13" s="402">
        <v>236.5</v>
      </c>
      <c r="AH13" t="s">
        <v>504</v>
      </c>
    </row>
    <row r="14" spans="1:34" outlineLevel="1">
      <c r="A14" t="s">
        <v>383</v>
      </c>
      <c r="B14" s="381">
        <v>20</v>
      </c>
      <c r="C14" s="381">
        <v>47</v>
      </c>
      <c r="D14" s="381">
        <v>35</v>
      </c>
      <c r="E14" s="381">
        <v>30</v>
      </c>
      <c r="F14" s="381">
        <v>33</v>
      </c>
      <c r="G14" s="381">
        <v>17</v>
      </c>
      <c r="H14" s="381">
        <v>30</v>
      </c>
      <c r="I14" s="381">
        <v>47</v>
      </c>
      <c r="J14" s="381">
        <v>66</v>
      </c>
      <c r="K14" s="381">
        <v>87</v>
      </c>
      <c r="L14" s="381">
        <v>50</v>
      </c>
      <c r="M14" s="381">
        <v>66</v>
      </c>
      <c r="N14" s="381">
        <v>83</v>
      </c>
      <c r="O14" s="381">
        <v>100</v>
      </c>
      <c r="P14" s="381">
        <v>149</v>
      </c>
      <c r="Q14" s="381">
        <v>184</v>
      </c>
      <c r="R14" s="381">
        <v>222</v>
      </c>
      <c r="S14" s="381">
        <v>202</v>
      </c>
      <c r="T14" s="381">
        <v>201</v>
      </c>
      <c r="U14" s="381">
        <v>205</v>
      </c>
      <c r="V14" s="381">
        <v>187</v>
      </c>
      <c r="W14" s="381">
        <v>219</v>
      </c>
      <c r="X14" s="381">
        <v>264</v>
      </c>
      <c r="Y14" s="526">
        <v>317</v>
      </c>
      <c r="Z14" s="526">
        <v>361</v>
      </c>
      <c r="AA14" s="401">
        <v>387</v>
      </c>
      <c r="AB14" s="402">
        <v>424.45</v>
      </c>
      <c r="AC14" s="402">
        <v>513.1875</v>
      </c>
      <c r="AD14" s="402">
        <v>553.4375</v>
      </c>
      <c r="AE14" s="402">
        <v>563.5</v>
      </c>
      <c r="AF14" s="402">
        <v>563.5</v>
      </c>
      <c r="AH14" t="s">
        <v>504</v>
      </c>
    </row>
    <row r="15" spans="1:34" outlineLevel="1">
      <c r="A15" t="s">
        <v>375</v>
      </c>
      <c r="B15" s="381">
        <v>15</v>
      </c>
      <c r="C15" s="381">
        <v>22</v>
      </c>
      <c r="D15" s="381">
        <v>29</v>
      </c>
      <c r="E15" s="381">
        <v>25</v>
      </c>
      <c r="F15" s="381">
        <v>38</v>
      </c>
      <c r="G15" s="381">
        <v>53</v>
      </c>
      <c r="H15" s="381">
        <v>57</v>
      </c>
      <c r="I15" s="381">
        <v>67</v>
      </c>
      <c r="J15" s="381">
        <v>61</v>
      </c>
      <c r="K15" s="381">
        <v>65</v>
      </c>
      <c r="L15" s="381">
        <v>82</v>
      </c>
      <c r="M15" s="381">
        <v>83</v>
      </c>
      <c r="N15" s="381">
        <v>97</v>
      </c>
      <c r="O15" s="381">
        <v>102</v>
      </c>
      <c r="P15" s="381">
        <v>102</v>
      </c>
      <c r="Q15" s="381">
        <v>96</v>
      </c>
      <c r="R15" s="381">
        <v>61</v>
      </c>
      <c r="S15" s="381">
        <v>61</v>
      </c>
      <c r="T15" s="381">
        <v>44</v>
      </c>
      <c r="U15" s="381">
        <v>48</v>
      </c>
      <c r="V15" s="381">
        <v>14</v>
      </c>
      <c r="W15" s="381">
        <v>14</v>
      </c>
      <c r="X15" s="381">
        <v>27</v>
      </c>
      <c r="Y15" s="526">
        <v>32</v>
      </c>
      <c r="Z15" s="526">
        <v>32</v>
      </c>
      <c r="AA15" s="401">
        <v>36</v>
      </c>
      <c r="AB15" s="402">
        <v>36</v>
      </c>
      <c r="AC15" s="402">
        <v>36</v>
      </c>
      <c r="AD15" s="402">
        <v>36</v>
      </c>
      <c r="AE15" s="402">
        <v>36</v>
      </c>
      <c r="AF15" s="402">
        <v>41.5</v>
      </c>
      <c r="AH15" t="s">
        <v>504</v>
      </c>
    </row>
    <row r="16" spans="1:34" outlineLevel="1">
      <c r="A16" t="s">
        <v>376</v>
      </c>
      <c r="B16" s="381">
        <v>11</v>
      </c>
      <c r="C16" s="381">
        <v>8</v>
      </c>
      <c r="D16" s="381">
        <v>6</v>
      </c>
      <c r="E16" s="381">
        <v>18</v>
      </c>
      <c r="F16" s="381">
        <v>16</v>
      </c>
      <c r="G16" s="381">
        <v>17</v>
      </c>
      <c r="H16" s="381">
        <v>11</v>
      </c>
      <c r="I16" s="381">
        <v>5</v>
      </c>
      <c r="J16" s="381">
        <v>9</v>
      </c>
      <c r="K16" s="381">
        <v>8</v>
      </c>
      <c r="L16" s="381">
        <v>1</v>
      </c>
      <c r="M16" s="381"/>
      <c r="N16" s="381">
        <v>2</v>
      </c>
      <c r="O16" s="381"/>
      <c r="P16" s="381"/>
      <c r="Q16" s="381"/>
      <c r="R16" s="381"/>
      <c r="S16" s="381"/>
      <c r="T16" s="381"/>
      <c r="U16" s="381"/>
      <c r="V16" s="381"/>
      <c r="W16" s="381"/>
      <c r="X16" s="381"/>
      <c r="Y16" s="526"/>
      <c r="Z16" s="526">
        <v>0</v>
      </c>
      <c r="AA16" s="401">
        <v>0</v>
      </c>
      <c r="AB16" s="402">
        <v>0</v>
      </c>
      <c r="AC16" s="402">
        <v>0</v>
      </c>
      <c r="AD16" s="402">
        <v>0</v>
      </c>
      <c r="AE16" s="402">
        <v>0</v>
      </c>
      <c r="AF16" s="402">
        <v>0</v>
      </c>
      <c r="AH16" t="s">
        <v>504</v>
      </c>
    </row>
    <row r="17" spans="1:34" outlineLevel="1">
      <c r="A17" t="s">
        <v>377</v>
      </c>
      <c r="B17" s="381"/>
      <c r="C17" s="381"/>
      <c r="D17" s="381"/>
      <c r="E17" s="381"/>
      <c r="F17" s="381"/>
      <c r="G17" s="381"/>
      <c r="H17" s="381"/>
      <c r="I17" s="381"/>
      <c r="J17" s="381">
        <v>7</v>
      </c>
      <c r="K17" s="381">
        <v>4</v>
      </c>
      <c r="L17" s="381">
        <v>15</v>
      </c>
      <c r="M17" s="381">
        <v>23</v>
      </c>
      <c r="N17" s="381">
        <v>29</v>
      </c>
      <c r="O17" s="381">
        <v>25</v>
      </c>
      <c r="P17" s="381">
        <v>30</v>
      </c>
      <c r="Q17" s="381">
        <v>27</v>
      </c>
      <c r="R17" s="381">
        <v>28</v>
      </c>
      <c r="S17" s="381">
        <v>15</v>
      </c>
      <c r="T17" s="381">
        <v>12</v>
      </c>
      <c r="U17" s="381">
        <v>8</v>
      </c>
      <c r="V17" s="381">
        <v>4</v>
      </c>
      <c r="W17" s="381">
        <v>5</v>
      </c>
      <c r="X17" s="381"/>
      <c r="Y17" s="526"/>
      <c r="Z17" s="526">
        <v>0</v>
      </c>
      <c r="AA17" s="401">
        <v>0</v>
      </c>
      <c r="AB17" s="402">
        <v>0</v>
      </c>
      <c r="AC17" s="402">
        <v>0</v>
      </c>
      <c r="AD17" s="402">
        <v>0</v>
      </c>
      <c r="AE17" s="402">
        <v>0</v>
      </c>
      <c r="AF17" s="402">
        <v>0</v>
      </c>
      <c r="AH17" t="s">
        <v>504</v>
      </c>
    </row>
    <row r="18" spans="1:34" outlineLevel="1">
      <c r="B18" s="379"/>
      <c r="C18" s="379"/>
      <c r="D18" s="379"/>
      <c r="E18" s="379"/>
      <c r="F18" s="379"/>
      <c r="G18" s="379"/>
      <c r="H18" s="379"/>
      <c r="I18" s="379"/>
      <c r="J18" s="379"/>
      <c r="K18" s="379"/>
      <c r="L18" s="379"/>
      <c r="M18" s="379"/>
      <c r="N18" s="379"/>
      <c r="O18" s="379"/>
      <c r="P18" s="379"/>
      <c r="Q18" s="379"/>
      <c r="R18" s="379"/>
      <c r="S18" s="379"/>
      <c r="T18" s="379"/>
      <c r="U18" s="379"/>
      <c r="V18" s="379"/>
      <c r="W18" s="379"/>
      <c r="X18" s="379"/>
      <c r="Y18" s="388"/>
      <c r="Z18" s="388"/>
      <c r="AA18" s="401"/>
      <c r="AB18" s="402"/>
      <c r="AC18" s="402"/>
      <c r="AD18" s="402"/>
      <c r="AE18" s="402"/>
      <c r="AF18" s="402"/>
    </row>
    <row r="19" spans="1:34" outlineLevel="1">
      <c r="A19" t="s">
        <v>379</v>
      </c>
      <c r="B19" s="381"/>
      <c r="C19" s="381"/>
      <c r="D19" s="381"/>
      <c r="E19" s="381"/>
      <c r="F19" s="381">
        <v>39</v>
      </c>
      <c r="G19" s="381">
        <v>42</v>
      </c>
      <c r="H19" s="381">
        <v>19</v>
      </c>
      <c r="I19" s="381">
        <v>8</v>
      </c>
      <c r="J19" s="381">
        <v>9</v>
      </c>
      <c r="K19" s="381">
        <v>22</v>
      </c>
      <c r="L19" s="381">
        <v>8</v>
      </c>
      <c r="M19" s="381">
        <v>1</v>
      </c>
      <c r="N19" s="381">
        <v>1</v>
      </c>
      <c r="O19" s="381">
        <v>4</v>
      </c>
      <c r="P19" s="381">
        <v>1</v>
      </c>
      <c r="Q19" s="381">
        <v>2</v>
      </c>
      <c r="R19" s="381"/>
      <c r="S19" s="381"/>
      <c r="T19" s="381">
        <v>1</v>
      </c>
      <c r="U19" s="381"/>
      <c r="V19" s="381"/>
      <c r="W19" s="381"/>
      <c r="X19" s="381"/>
      <c r="Y19" s="388"/>
      <c r="Z19" s="388"/>
      <c r="AA19" s="401"/>
      <c r="AB19" s="402"/>
      <c r="AC19" s="402"/>
      <c r="AD19" s="402"/>
      <c r="AE19" s="402"/>
      <c r="AF19" s="402"/>
      <c r="AH19" t="s">
        <v>505</v>
      </c>
    </row>
    <row r="20" spans="1:34" outlineLevel="1">
      <c r="A20" t="s">
        <v>384</v>
      </c>
      <c r="B20" s="381"/>
      <c r="C20" s="381"/>
      <c r="D20" s="381"/>
      <c r="E20" s="381"/>
      <c r="F20" s="381"/>
      <c r="G20" s="381">
        <v>14</v>
      </c>
      <c r="H20" s="381">
        <v>10</v>
      </c>
      <c r="I20" s="381">
        <v>34</v>
      </c>
      <c r="J20" s="381">
        <v>55</v>
      </c>
      <c r="K20" s="381">
        <v>9</v>
      </c>
      <c r="L20" s="381">
        <v>8</v>
      </c>
      <c r="M20" s="381">
        <v>9</v>
      </c>
      <c r="N20" s="381">
        <v>17</v>
      </c>
      <c r="O20" s="381">
        <v>22</v>
      </c>
      <c r="P20" s="381">
        <v>62</v>
      </c>
      <c r="Q20" s="381">
        <v>82</v>
      </c>
      <c r="R20" s="381">
        <v>90</v>
      </c>
      <c r="S20" s="381">
        <v>79</v>
      </c>
      <c r="T20" s="381">
        <v>67</v>
      </c>
      <c r="U20" s="381">
        <v>67</v>
      </c>
      <c r="V20" s="381">
        <v>32</v>
      </c>
      <c r="W20" s="381">
        <v>27</v>
      </c>
      <c r="X20" s="381">
        <v>35</v>
      </c>
      <c r="Y20" s="526">
        <v>25</v>
      </c>
      <c r="Z20" s="526">
        <v>26</v>
      </c>
      <c r="AA20" s="401">
        <v>34</v>
      </c>
      <c r="AB20" s="402">
        <v>36</v>
      </c>
      <c r="AC20" s="402">
        <v>40</v>
      </c>
      <c r="AD20" s="402">
        <v>41</v>
      </c>
      <c r="AE20" s="402">
        <v>42</v>
      </c>
      <c r="AF20" s="402">
        <v>43</v>
      </c>
      <c r="AH20" t="s">
        <v>505</v>
      </c>
    </row>
    <row r="21" spans="1:34" outlineLevel="1">
      <c r="A21" t="s">
        <v>380</v>
      </c>
      <c r="B21" s="381"/>
      <c r="C21" s="381"/>
      <c r="D21" s="381"/>
      <c r="E21" s="381"/>
      <c r="F21" s="381"/>
      <c r="G21" s="381">
        <v>9</v>
      </c>
      <c r="H21" s="381">
        <v>31</v>
      </c>
      <c r="I21" s="381">
        <v>64</v>
      </c>
      <c r="J21" s="381">
        <v>57</v>
      </c>
      <c r="K21" s="381">
        <v>58</v>
      </c>
      <c r="L21" s="381">
        <v>54</v>
      </c>
      <c r="M21" s="381">
        <v>64</v>
      </c>
      <c r="N21" s="381">
        <v>58</v>
      </c>
      <c r="O21" s="381">
        <v>44</v>
      </c>
      <c r="P21" s="381">
        <v>18</v>
      </c>
      <c r="Q21" s="381">
        <v>8</v>
      </c>
      <c r="R21" s="381">
        <v>11</v>
      </c>
      <c r="S21" s="381">
        <v>12</v>
      </c>
      <c r="T21" s="381">
        <v>17</v>
      </c>
      <c r="U21" s="381">
        <v>12</v>
      </c>
      <c r="V21" s="381">
        <v>5</v>
      </c>
      <c r="W21" s="381">
        <v>2</v>
      </c>
      <c r="X21" s="381">
        <v>3</v>
      </c>
      <c r="Y21" s="526">
        <v>1</v>
      </c>
      <c r="Z21" s="526">
        <v>8</v>
      </c>
      <c r="AA21" s="401">
        <v>6</v>
      </c>
      <c r="AB21" s="402">
        <v>7</v>
      </c>
      <c r="AC21" s="402">
        <v>9</v>
      </c>
      <c r="AD21" s="402">
        <v>10</v>
      </c>
      <c r="AE21" s="402">
        <v>11</v>
      </c>
      <c r="AF21" s="402">
        <v>12</v>
      </c>
      <c r="AH21" t="s">
        <v>505</v>
      </c>
    </row>
    <row r="22" spans="1:34" outlineLevel="1">
      <c r="A22" t="s">
        <v>385</v>
      </c>
      <c r="B22" s="381"/>
      <c r="C22" s="381"/>
      <c r="D22" s="381"/>
      <c r="E22" s="381"/>
      <c r="F22" s="381"/>
      <c r="G22" s="381"/>
      <c r="H22" s="381">
        <v>2</v>
      </c>
      <c r="I22" s="381">
        <v>10</v>
      </c>
      <c r="J22" s="381">
        <v>14</v>
      </c>
      <c r="K22" s="381">
        <v>19</v>
      </c>
      <c r="L22" s="381">
        <v>16</v>
      </c>
      <c r="M22" s="381">
        <v>23</v>
      </c>
      <c r="N22" s="381">
        <v>23</v>
      </c>
      <c r="O22" s="381">
        <v>17</v>
      </c>
      <c r="P22" s="381">
        <v>10</v>
      </c>
      <c r="Q22" s="381">
        <v>9</v>
      </c>
      <c r="R22" s="381">
        <v>7</v>
      </c>
      <c r="S22" s="381">
        <v>10</v>
      </c>
      <c r="T22" s="381">
        <v>5</v>
      </c>
      <c r="U22" s="381">
        <v>10</v>
      </c>
      <c r="V22" s="381">
        <v>7</v>
      </c>
      <c r="W22" s="381">
        <v>19</v>
      </c>
      <c r="X22" s="381">
        <v>18</v>
      </c>
      <c r="Y22" s="526">
        <v>38</v>
      </c>
      <c r="Z22" s="526">
        <v>39</v>
      </c>
      <c r="AA22" s="401">
        <v>38</v>
      </c>
      <c r="AB22" s="402">
        <v>40</v>
      </c>
      <c r="AC22" s="402">
        <v>50</v>
      </c>
      <c r="AD22" s="402">
        <v>53</v>
      </c>
      <c r="AE22" s="402">
        <v>55</v>
      </c>
      <c r="AF22" s="402">
        <v>58</v>
      </c>
      <c r="AH22" t="s">
        <v>505</v>
      </c>
    </row>
    <row r="23" spans="1:34" outlineLevel="1">
      <c r="B23" s="379"/>
      <c r="C23" s="379"/>
      <c r="D23" s="379"/>
      <c r="E23" s="379"/>
      <c r="F23" s="379"/>
      <c r="G23" s="379"/>
      <c r="H23" s="379"/>
      <c r="I23" s="379"/>
      <c r="J23" s="379"/>
      <c r="K23" s="379"/>
      <c r="L23" s="379"/>
      <c r="M23" s="379"/>
      <c r="N23" s="379"/>
      <c r="O23" s="379"/>
      <c r="P23" s="379"/>
      <c r="Q23" s="379"/>
      <c r="R23" s="379"/>
      <c r="S23" s="379"/>
      <c r="T23" s="379"/>
      <c r="U23" s="379"/>
      <c r="V23" s="379"/>
      <c r="W23" s="379"/>
      <c r="X23" s="379"/>
      <c r="Y23" s="388"/>
      <c r="Z23" s="388"/>
      <c r="AA23" s="388"/>
      <c r="AB23" s="392"/>
      <c r="AC23" s="392"/>
      <c r="AD23" s="392"/>
      <c r="AE23" s="392"/>
      <c r="AF23" s="392"/>
    </row>
    <row r="24" spans="1:34" outlineLevel="1">
      <c r="A24" t="s">
        <v>314</v>
      </c>
      <c r="B24" s="379">
        <f t="shared" ref="B24:Y24" si="2">+B25-SUM(B12:B17,B5:B10)-SUM(B19:B21)</f>
        <v>223</v>
      </c>
      <c r="C24" s="379">
        <f t="shared" si="2"/>
        <v>290</v>
      </c>
      <c r="D24" s="379">
        <f t="shared" si="2"/>
        <v>310</v>
      </c>
      <c r="E24" s="379">
        <f t="shared" si="2"/>
        <v>301</v>
      </c>
      <c r="F24" s="379">
        <f t="shared" si="2"/>
        <v>275</v>
      </c>
      <c r="G24" s="379">
        <f t="shared" si="2"/>
        <v>195</v>
      </c>
      <c r="H24" s="379">
        <f t="shared" si="2"/>
        <v>103</v>
      </c>
      <c r="I24" s="379">
        <f t="shared" si="2"/>
        <v>84</v>
      </c>
      <c r="J24" s="379">
        <f t="shared" si="2"/>
        <v>86</v>
      </c>
      <c r="K24" s="379">
        <f t="shared" si="2"/>
        <v>92</v>
      </c>
      <c r="L24" s="379">
        <f t="shared" si="2"/>
        <v>63</v>
      </c>
      <c r="M24" s="379">
        <f t="shared" si="2"/>
        <v>77</v>
      </c>
      <c r="N24" s="379">
        <f t="shared" si="2"/>
        <v>47</v>
      </c>
      <c r="O24" s="379">
        <f t="shared" si="2"/>
        <v>60</v>
      </c>
      <c r="P24" s="379">
        <f t="shared" si="2"/>
        <v>92</v>
      </c>
      <c r="Q24" s="379">
        <f t="shared" si="2"/>
        <v>87</v>
      </c>
      <c r="R24" s="379">
        <f t="shared" si="2"/>
        <v>126</v>
      </c>
      <c r="S24" s="379">
        <f t="shared" si="2"/>
        <v>156</v>
      </c>
      <c r="T24" s="379">
        <f t="shared" si="2"/>
        <v>182</v>
      </c>
      <c r="U24" s="379">
        <f t="shared" si="2"/>
        <v>213</v>
      </c>
      <c r="V24" s="379">
        <f t="shared" si="2"/>
        <v>157</v>
      </c>
      <c r="W24" s="379">
        <f t="shared" si="2"/>
        <v>169</v>
      </c>
      <c r="X24" s="379">
        <f t="shared" si="2"/>
        <v>173</v>
      </c>
      <c r="Y24" s="388">
        <f t="shared" si="2"/>
        <v>166</v>
      </c>
      <c r="Z24" s="388">
        <f t="shared" ref="Z24:AF24" si="3">+Y24</f>
        <v>166</v>
      </c>
      <c r="AA24" s="388">
        <f t="shared" si="3"/>
        <v>166</v>
      </c>
      <c r="AB24" s="392">
        <f t="shared" si="3"/>
        <v>166</v>
      </c>
      <c r="AC24" s="392">
        <f t="shared" si="3"/>
        <v>166</v>
      </c>
      <c r="AD24" s="392">
        <f t="shared" si="3"/>
        <v>166</v>
      </c>
      <c r="AE24" s="392">
        <f t="shared" si="3"/>
        <v>166</v>
      </c>
      <c r="AF24" s="392">
        <f t="shared" si="3"/>
        <v>166</v>
      </c>
    </row>
    <row r="25" spans="1:34" outlineLevel="1">
      <c r="A25" s="365" t="s">
        <v>11</v>
      </c>
      <c r="B25" s="382">
        <v>732</v>
      </c>
      <c r="C25" s="382">
        <v>853</v>
      </c>
      <c r="D25" s="382">
        <v>781</v>
      </c>
      <c r="E25" s="382">
        <v>719</v>
      </c>
      <c r="F25" s="382">
        <v>775</v>
      </c>
      <c r="G25" s="382">
        <v>783</v>
      </c>
      <c r="H25" s="382">
        <v>866</v>
      </c>
      <c r="I25" s="382">
        <v>983</v>
      </c>
      <c r="J25" s="382">
        <v>970</v>
      </c>
      <c r="K25" s="382">
        <v>1095</v>
      </c>
      <c r="L25" s="382">
        <v>1046</v>
      </c>
      <c r="M25" s="382">
        <v>1126</v>
      </c>
      <c r="N25" s="382">
        <v>1264</v>
      </c>
      <c r="O25" s="382">
        <v>1370</v>
      </c>
      <c r="P25" s="382">
        <v>1484</v>
      </c>
      <c r="Q25" s="382">
        <v>1522</v>
      </c>
      <c r="R25" s="382">
        <v>1583</v>
      </c>
      <c r="S25" s="382">
        <v>1610</v>
      </c>
      <c r="T25" s="382">
        <v>1715</v>
      </c>
      <c r="U25" s="382">
        <v>1316</v>
      </c>
      <c r="V25" s="382">
        <v>786</v>
      </c>
      <c r="W25" s="382">
        <v>1000</v>
      </c>
      <c r="X25" s="382">
        <v>1203</v>
      </c>
      <c r="Y25" s="529">
        <v>1323</v>
      </c>
      <c r="Z25" s="529">
        <v>1215</v>
      </c>
      <c r="AA25" s="527">
        <f t="shared" ref="AA25:AF25" si="4">SUM(AA5:AA24)</f>
        <v>1414</v>
      </c>
      <c r="AB25" s="393">
        <f t="shared" si="4"/>
        <v>1599.5</v>
      </c>
      <c r="AC25" s="393">
        <f t="shared" si="4"/>
        <v>1781.125</v>
      </c>
      <c r="AD25" s="393">
        <f t="shared" si="4"/>
        <v>1888.625</v>
      </c>
      <c r="AE25" s="393">
        <f t="shared" si="4"/>
        <v>1907</v>
      </c>
      <c r="AF25" s="393">
        <f t="shared" si="4"/>
        <v>1917.5</v>
      </c>
      <c r="AH25" t="s">
        <v>506</v>
      </c>
    </row>
    <row r="26" spans="1:34" outlineLevel="1">
      <c r="B26" s="179"/>
      <c r="C26" s="179"/>
      <c r="D26" s="179"/>
      <c r="E26" s="179"/>
      <c r="F26" s="179"/>
      <c r="G26" s="179"/>
      <c r="H26" s="179"/>
      <c r="I26" s="179"/>
      <c r="J26" s="179"/>
      <c r="K26" s="179"/>
      <c r="L26" s="179"/>
      <c r="M26" s="179"/>
      <c r="N26" s="179"/>
      <c r="O26" s="179"/>
      <c r="P26" s="179"/>
      <c r="Q26" s="179"/>
      <c r="R26" s="179"/>
      <c r="S26" s="179"/>
      <c r="T26" s="179"/>
      <c r="U26" s="179"/>
      <c r="V26" s="179"/>
      <c r="W26" s="179"/>
      <c r="X26" s="179"/>
      <c r="Y26" s="526"/>
      <c r="Z26" s="528">
        <f t="shared" ref="Z26:AF26" si="5">+Z25/Y25-1</f>
        <v>-8.1632653061224469E-2</v>
      </c>
      <c r="AA26" s="528">
        <f t="shared" si="5"/>
        <v>0.16378600823045275</v>
      </c>
      <c r="AB26" s="395">
        <f t="shared" si="5"/>
        <v>0.13118811881188108</v>
      </c>
      <c r="AC26" s="395">
        <f t="shared" si="5"/>
        <v>0.11355110972178806</v>
      </c>
      <c r="AD26" s="395">
        <f t="shared" si="5"/>
        <v>6.0355112639483455E-2</v>
      </c>
      <c r="AE26" s="395">
        <f t="shared" si="5"/>
        <v>9.7293004169700659E-3</v>
      </c>
      <c r="AF26" s="395">
        <f t="shared" si="5"/>
        <v>5.5060304142633409E-3</v>
      </c>
    </row>
    <row r="27" spans="1:34" outlineLevel="1">
      <c r="A27" s="4" t="s">
        <v>420</v>
      </c>
      <c r="B27" s="380">
        <v>2000</v>
      </c>
      <c r="C27" s="380">
        <f>+B27+1</f>
        <v>2001</v>
      </c>
      <c r="D27" s="380">
        <f t="shared" ref="D27:AF27" si="6">+C27+1</f>
        <v>2002</v>
      </c>
      <c r="E27" s="380">
        <f t="shared" si="6"/>
        <v>2003</v>
      </c>
      <c r="F27" s="380">
        <f t="shared" si="6"/>
        <v>2004</v>
      </c>
      <c r="G27" s="380">
        <f t="shared" si="6"/>
        <v>2005</v>
      </c>
      <c r="H27" s="380">
        <f t="shared" si="6"/>
        <v>2006</v>
      </c>
      <c r="I27" s="380">
        <f t="shared" si="6"/>
        <v>2007</v>
      </c>
      <c r="J27" s="380">
        <f t="shared" si="6"/>
        <v>2008</v>
      </c>
      <c r="K27" s="380">
        <f t="shared" si="6"/>
        <v>2009</v>
      </c>
      <c r="L27" s="380">
        <f t="shared" si="6"/>
        <v>2010</v>
      </c>
      <c r="M27" s="380">
        <f t="shared" si="6"/>
        <v>2011</v>
      </c>
      <c r="N27" s="380">
        <f t="shared" si="6"/>
        <v>2012</v>
      </c>
      <c r="O27" s="380">
        <f t="shared" si="6"/>
        <v>2013</v>
      </c>
      <c r="P27" s="380">
        <f t="shared" si="6"/>
        <v>2014</v>
      </c>
      <c r="Q27" s="380">
        <f t="shared" si="6"/>
        <v>2015</v>
      </c>
      <c r="R27" s="380">
        <f t="shared" si="6"/>
        <v>2016</v>
      </c>
      <c r="S27" s="380">
        <f t="shared" si="6"/>
        <v>2017</v>
      </c>
      <c r="T27" s="380">
        <f t="shared" si="6"/>
        <v>2018</v>
      </c>
      <c r="U27" s="380">
        <f t="shared" si="6"/>
        <v>2019</v>
      </c>
      <c r="V27" s="380">
        <f t="shared" si="6"/>
        <v>2020</v>
      </c>
      <c r="W27" s="380">
        <f t="shared" si="6"/>
        <v>2021</v>
      </c>
      <c r="X27" s="380">
        <f t="shared" si="6"/>
        <v>2022</v>
      </c>
      <c r="Y27" s="380">
        <f t="shared" si="6"/>
        <v>2023</v>
      </c>
      <c r="Z27" s="380">
        <f t="shared" si="6"/>
        <v>2024</v>
      </c>
      <c r="AA27" s="380">
        <f t="shared" si="6"/>
        <v>2025</v>
      </c>
      <c r="AB27" s="390">
        <f t="shared" si="6"/>
        <v>2026</v>
      </c>
      <c r="AC27" s="390">
        <f t="shared" si="6"/>
        <v>2027</v>
      </c>
      <c r="AD27" s="390">
        <f t="shared" si="6"/>
        <v>2028</v>
      </c>
      <c r="AE27" s="390">
        <f t="shared" si="6"/>
        <v>2029</v>
      </c>
      <c r="AF27" s="390">
        <f t="shared" si="6"/>
        <v>2030</v>
      </c>
    </row>
    <row r="28" spans="1:34" outlineLevel="1">
      <c r="A28" t="s">
        <v>378</v>
      </c>
      <c r="B28" s="381"/>
      <c r="C28" s="381"/>
      <c r="D28" s="381"/>
      <c r="E28" s="381"/>
      <c r="F28" s="381"/>
      <c r="G28" s="381"/>
      <c r="H28" s="381"/>
      <c r="I28" s="381"/>
      <c r="J28" s="381"/>
      <c r="K28" s="381"/>
      <c r="L28" s="381"/>
      <c r="M28" s="381"/>
      <c r="N28" s="381"/>
      <c r="O28" s="381"/>
      <c r="P28" s="381"/>
      <c r="Q28" s="381"/>
      <c r="R28" s="381"/>
      <c r="S28" s="381">
        <v>74</v>
      </c>
      <c r="T28" s="381">
        <v>252</v>
      </c>
      <c r="U28" s="381">
        <v>57</v>
      </c>
      <c r="V28" s="381">
        <v>26</v>
      </c>
      <c r="W28" s="381">
        <v>243</v>
      </c>
      <c r="X28" s="381">
        <v>372</v>
      </c>
      <c r="Y28" s="526">
        <v>396</v>
      </c>
      <c r="Z28" s="526">
        <v>265</v>
      </c>
      <c r="AA28" s="388">
        <f t="shared" ref="AA28:AE29" si="7">+AA5*AA51</f>
        <v>395</v>
      </c>
      <c r="AB28" s="392">
        <f t="shared" si="7"/>
        <v>499.5</v>
      </c>
      <c r="AC28" s="392">
        <f t="shared" si="7"/>
        <v>579</v>
      </c>
      <c r="AD28" s="392">
        <f t="shared" si="7"/>
        <v>624</v>
      </c>
      <c r="AE28" s="392">
        <f t="shared" si="7"/>
        <v>624</v>
      </c>
      <c r="AF28" s="392">
        <f t="shared" ref="AF28" si="8">+AF5*AF51</f>
        <v>624</v>
      </c>
    </row>
    <row r="29" spans="1:34" outlineLevel="1">
      <c r="A29" t="s">
        <v>370</v>
      </c>
      <c r="B29" s="381">
        <v>203</v>
      </c>
      <c r="C29" s="381">
        <v>223</v>
      </c>
      <c r="D29" s="381">
        <v>167</v>
      </c>
      <c r="E29" s="381">
        <v>139</v>
      </c>
      <c r="F29" s="381">
        <v>175</v>
      </c>
      <c r="G29" s="381">
        <v>181</v>
      </c>
      <c r="H29" s="381">
        <v>267</v>
      </c>
      <c r="I29" s="381">
        <v>311</v>
      </c>
      <c r="J29" s="381">
        <v>267</v>
      </c>
      <c r="K29" s="381">
        <v>352</v>
      </c>
      <c r="L29" s="381">
        <v>359</v>
      </c>
      <c r="M29" s="381">
        <v>358</v>
      </c>
      <c r="N29" s="381">
        <v>398</v>
      </c>
      <c r="O29" s="381">
        <v>424</v>
      </c>
      <c r="P29" s="381">
        <v>467</v>
      </c>
      <c r="Q29" s="381">
        <v>470</v>
      </c>
      <c r="R29" s="381">
        <v>464</v>
      </c>
      <c r="S29" s="381">
        <v>431</v>
      </c>
      <c r="T29" s="381">
        <v>304</v>
      </c>
      <c r="U29" s="381">
        <v>49</v>
      </c>
      <c r="V29" s="381">
        <v>2</v>
      </c>
      <c r="W29" s="381"/>
      <c r="X29" s="381"/>
      <c r="Y29" s="526">
        <v>0</v>
      </c>
      <c r="Z29" s="526">
        <v>0</v>
      </c>
      <c r="AA29" s="388">
        <f t="shared" si="7"/>
        <v>0</v>
      </c>
      <c r="AB29" s="392">
        <f t="shared" si="7"/>
        <v>0</v>
      </c>
      <c r="AC29" s="392">
        <f t="shared" si="7"/>
        <v>0</v>
      </c>
      <c r="AD29" s="392">
        <f t="shared" si="7"/>
        <v>0</v>
      </c>
      <c r="AE29" s="392">
        <f t="shared" si="7"/>
        <v>0</v>
      </c>
      <c r="AF29" s="392">
        <f t="shared" ref="AF29" si="9">+AF6*AF52</f>
        <v>0</v>
      </c>
    </row>
    <row r="30" spans="1:34" outlineLevel="1">
      <c r="A30" t="s">
        <v>371</v>
      </c>
      <c r="B30" s="381">
        <v>15</v>
      </c>
      <c r="C30" s="381">
        <v>12</v>
      </c>
      <c r="D30" s="381">
        <v>13</v>
      </c>
      <c r="E30" s="381">
        <v>9</v>
      </c>
      <c r="F30" s="381">
        <v>9</v>
      </c>
      <c r="G30" s="381">
        <v>8</v>
      </c>
      <c r="H30" s="381">
        <v>7</v>
      </c>
      <c r="I30" s="381">
        <v>14</v>
      </c>
      <c r="J30" s="381">
        <v>11</v>
      </c>
      <c r="K30" s="381">
        <v>4</v>
      </c>
      <c r="L30" s="381"/>
      <c r="M30" s="381">
        <v>9</v>
      </c>
      <c r="N30" s="381">
        <v>23</v>
      </c>
      <c r="O30" s="381">
        <v>24</v>
      </c>
      <c r="P30" s="381">
        <v>18</v>
      </c>
      <c r="Q30" s="381">
        <v>18</v>
      </c>
      <c r="R30" s="381">
        <v>9</v>
      </c>
      <c r="S30" s="381">
        <v>10</v>
      </c>
      <c r="T30" s="381">
        <v>6</v>
      </c>
      <c r="U30" s="381">
        <v>7</v>
      </c>
      <c r="V30" s="381">
        <v>5</v>
      </c>
      <c r="W30" s="381">
        <v>6</v>
      </c>
      <c r="X30" s="381">
        <v>5</v>
      </c>
      <c r="Y30" s="526">
        <v>1</v>
      </c>
      <c r="Z30" s="526">
        <v>0</v>
      </c>
      <c r="AA30" s="388" t="str">
        <f t="shared" ref="AA30:AF30" si="10">IFERROR(+AA7*AA53,"0")</f>
        <v>0</v>
      </c>
      <c r="AB30" s="392" t="str">
        <f t="shared" si="10"/>
        <v>0</v>
      </c>
      <c r="AC30" s="392" t="str">
        <f t="shared" si="10"/>
        <v>0</v>
      </c>
      <c r="AD30" s="392" t="str">
        <f t="shared" si="10"/>
        <v>0</v>
      </c>
      <c r="AE30" s="392" t="str">
        <f t="shared" si="10"/>
        <v>0</v>
      </c>
      <c r="AF30" s="392" t="str">
        <f t="shared" si="10"/>
        <v>0</v>
      </c>
    </row>
    <row r="31" spans="1:34" outlineLevel="1">
      <c r="A31" t="s">
        <v>372</v>
      </c>
      <c r="B31" s="381">
        <v>33</v>
      </c>
      <c r="C31" s="381">
        <v>33</v>
      </c>
      <c r="D31" s="381">
        <v>28</v>
      </c>
      <c r="E31" s="381">
        <v>14</v>
      </c>
      <c r="F31" s="381">
        <v>6</v>
      </c>
      <c r="G31" s="381">
        <v>7</v>
      </c>
      <c r="H31" s="381">
        <v>8</v>
      </c>
      <c r="I31" s="381">
        <v>10</v>
      </c>
      <c r="J31" s="381">
        <v>8</v>
      </c>
      <c r="K31" s="381">
        <v>12</v>
      </c>
      <c r="L31" s="381">
        <v>11</v>
      </c>
      <c r="M31" s="381">
        <v>20</v>
      </c>
      <c r="N31" s="381">
        <v>24</v>
      </c>
      <c r="O31" s="381">
        <v>17</v>
      </c>
      <c r="P31" s="381">
        <v>5</v>
      </c>
      <c r="Q31" s="381">
        <v>16</v>
      </c>
      <c r="R31" s="381">
        <v>13</v>
      </c>
      <c r="S31" s="381">
        <v>10</v>
      </c>
      <c r="T31" s="381">
        <v>17</v>
      </c>
      <c r="U31" s="381">
        <v>20</v>
      </c>
      <c r="V31" s="381">
        <v>19</v>
      </c>
      <c r="W31" s="381">
        <v>19</v>
      </c>
      <c r="X31" s="381">
        <v>18</v>
      </c>
      <c r="Y31" s="526">
        <v>32</v>
      </c>
      <c r="Z31" s="526">
        <v>18</v>
      </c>
      <c r="AA31" s="388">
        <f t="shared" ref="AA31:AE33" si="11">+AA8*AA54</f>
        <v>30</v>
      </c>
      <c r="AB31" s="392">
        <f t="shared" si="11"/>
        <v>36</v>
      </c>
      <c r="AC31" s="392">
        <f t="shared" si="11"/>
        <v>0</v>
      </c>
      <c r="AD31" s="392">
        <f t="shared" si="11"/>
        <v>0</v>
      </c>
      <c r="AE31" s="392">
        <f t="shared" si="11"/>
        <v>0</v>
      </c>
      <c r="AF31" s="392">
        <f t="shared" ref="AF31" si="12">+AF8*AF54</f>
        <v>0</v>
      </c>
    </row>
    <row r="32" spans="1:34" outlineLevel="1">
      <c r="A32" t="s">
        <v>373</v>
      </c>
      <c r="B32" s="381">
        <v>6</v>
      </c>
      <c r="C32" s="381">
        <v>4</v>
      </c>
      <c r="D32" s="381">
        <v>13</v>
      </c>
      <c r="E32" s="381">
        <v>11</v>
      </c>
      <c r="F32" s="381">
        <v>22</v>
      </c>
      <c r="G32" s="381">
        <v>23</v>
      </c>
      <c r="H32" s="381">
        <v>44</v>
      </c>
      <c r="I32" s="381">
        <v>59</v>
      </c>
      <c r="J32" s="381">
        <v>53</v>
      </c>
      <c r="K32" s="381">
        <v>82</v>
      </c>
      <c r="L32" s="381">
        <v>69</v>
      </c>
      <c r="M32" s="381">
        <v>71</v>
      </c>
      <c r="N32" s="381">
        <v>80</v>
      </c>
      <c r="O32" s="381">
        <v>94</v>
      </c>
      <c r="P32" s="381">
        <v>97</v>
      </c>
      <c r="Q32" s="381">
        <v>97</v>
      </c>
      <c r="R32" s="381">
        <v>99</v>
      </c>
      <c r="S32" s="381">
        <v>71</v>
      </c>
      <c r="T32" s="381">
        <v>44</v>
      </c>
      <c r="U32" s="381">
        <v>44</v>
      </c>
      <c r="V32" s="381">
        <v>26</v>
      </c>
      <c r="W32" s="381">
        <v>24</v>
      </c>
      <c r="X32" s="381">
        <v>24</v>
      </c>
      <c r="Y32" s="526">
        <v>26</v>
      </c>
      <c r="Z32" s="526">
        <v>14</v>
      </c>
      <c r="AA32" s="388">
        <f t="shared" si="11"/>
        <v>32</v>
      </c>
      <c r="AB32" s="392">
        <f t="shared" si="11"/>
        <v>30</v>
      </c>
      <c r="AC32" s="392">
        <f t="shared" si="11"/>
        <v>48</v>
      </c>
      <c r="AD32" s="392">
        <f t="shared" si="11"/>
        <v>48</v>
      </c>
      <c r="AE32" s="392">
        <f t="shared" si="11"/>
        <v>48</v>
      </c>
      <c r="AF32" s="392">
        <f t="shared" ref="AF32" si="13">+AF9*AF55</f>
        <v>48</v>
      </c>
    </row>
    <row r="33" spans="1:32" outlineLevel="1">
      <c r="A33" t="s">
        <v>374</v>
      </c>
      <c r="B33" s="381"/>
      <c r="C33" s="381"/>
      <c r="D33" s="381"/>
      <c r="E33" s="381"/>
      <c r="F33" s="381"/>
      <c r="G33" s="381"/>
      <c r="H33" s="381"/>
      <c r="I33" s="381"/>
      <c r="J33" s="381"/>
      <c r="K33" s="381"/>
      <c r="L33" s="381"/>
      <c r="M33" s="381"/>
      <c r="N33" s="381">
        <v>27</v>
      </c>
      <c r="O33" s="381">
        <v>43</v>
      </c>
      <c r="P33" s="381">
        <v>71</v>
      </c>
      <c r="Q33" s="381">
        <v>83</v>
      </c>
      <c r="R33" s="381">
        <v>75</v>
      </c>
      <c r="S33" s="381">
        <v>87</v>
      </c>
      <c r="T33" s="381">
        <v>87</v>
      </c>
      <c r="U33" s="381">
        <v>108</v>
      </c>
      <c r="V33" s="381">
        <v>43</v>
      </c>
      <c r="W33" s="381">
        <v>12</v>
      </c>
      <c r="X33" s="381">
        <v>26</v>
      </c>
      <c r="Y33" s="526">
        <v>51</v>
      </c>
      <c r="Z33" s="526">
        <v>37</v>
      </c>
      <c r="AA33" s="388">
        <f t="shared" si="11"/>
        <v>50.784313725490193</v>
      </c>
      <c r="AB33" s="392">
        <f t="shared" si="11"/>
        <v>69.647058823529406</v>
      </c>
      <c r="AC33" s="392">
        <f t="shared" si="11"/>
        <v>87.058823529411768</v>
      </c>
      <c r="AD33" s="392">
        <f t="shared" si="11"/>
        <v>87.058823529411768</v>
      </c>
      <c r="AE33" s="392">
        <f t="shared" si="11"/>
        <v>87.058823529411768</v>
      </c>
      <c r="AF33" s="392">
        <f t="shared" ref="AF33" si="14">+AF10*AF56</f>
        <v>87.058823529411768</v>
      </c>
    </row>
    <row r="34" spans="1:32" outlineLevel="1">
      <c r="B34" s="379"/>
      <c r="C34" s="379"/>
      <c r="D34" s="379"/>
      <c r="E34" s="379"/>
      <c r="F34" s="379"/>
      <c r="G34" s="379"/>
      <c r="H34" s="379"/>
      <c r="I34" s="379"/>
      <c r="J34" s="379"/>
      <c r="K34" s="379"/>
      <c r="L34" s="379"/>
      <c r="M34" s="379"/>
      <c r="N34" s="379"/>
      <c r="O34" s="379"/>
      <c r="P34" s="379"/>
      <c r="Q34" s="379"/>
      <c r="R34" s="379"/>
      <c r="S34" s="379"/>
      <c r="T34" s="379"/>
      <c r="U34" s="379"/>
      <c r="V34" s="379"/>
      <c r="W34" s="379"/>
      <c r="X34" s="379"/>
      <c r="Y34" s="388"/>
      <c r="Z34" s="388"/>
      <c r="AA34" s="388"/>
      <c r="AB34" s="392"/>
      <c r="AC34" s="392"/>
      <c r="AD34" s="392"/>
      <c r="AE34" s="392"/>
      <c r="AF34" s="392"/>
    </row>
    <row r="35" spans="1:32" outlineLevel="1">
      <c r="A35" t="s">
        <v>381</v>
      </c>
      <c r="B35" s="381">
        <v>51</v>
      </c>
      <c r="C35" s="381">
        <v>30</v>
      </c>
      <c r="D35" s="381">
        <v>44</v>
      </c>
      <c r="E35" s="381">
        <v>40</v>
      </c>
      <c r="F35" s="381">
        <v>43</v>
      </c>
      <c r="G35" s="381">
        <v>59</v>
      </c>
      <c r="H35" s="381">
        <v>61</v>
      </c>
      <c r="I35" s="381">
        <v>45</v>
      </c>
      <c r="J35" s="381">
        <v>49</v>
      </c>
      <c r="K35" s="381">
        <v>48</v>
      </c>
      <c r="L35" s="381">
        <v>20</v>
      </c>
      <c r="M35" s="381">
        <v>27</v>
      </c>
      <c r="N35" s="381">
        <v>19</v>
      </c>
      <c r="O35" s="381">
        <v>21</v>
      </c>
      <c r="P35" s="381">
        <v>21</v>
      </c>
      <c r="Q35" s="381">
        <v>21</v>
      </c>
      <c r="R35" s="381">
        <v>4</v>
      </c>
      <c r="S35" s="381">
        <v>5</v>
      </c>
      <c r="T35" s="381">
        <v>8</v>
      </c>
      <c r="U35" s="381">
        <v>4</v>
      </c>
      <c r="V35" s="381">
        <v>3</v>
      </c>
      <c r="W35" s="381">
        <v>2</v>
      </c>
      <c r="X35" s="381">
        <v>5</v>
      </c>
      <c r="Y35" s="526">
        <v>7</v>
      </c>
      <c r="Z35" s="526">
        <v>9</v>
      </c>
      <c r="AA35" s="388">
        <f t="shared" ref="AA35:AE40" si="15">+AA12*AA58</f>
        <v>15</v>
      </c>
      <c r="AB35" s="392">
        <f t="shared" si="15"/>
        <v>5</v>
      </c>
      <c r="AC35" s="392">
        <f t="shared" si="15"/>
        <v>5</v>
      </c>
      <c r="AD35" s="392">
        <f t="shared" si="15"/>
        <v>5</v>
      </c>
      <c r="AE35" s="392">
        <f t="shared" si="15"/>
        <v>5</v>
      </c>
      <c r="AF35" s="392">
        <f t="shared" ref="AF35" si="16">+AF12*AF58</f>
        <v>5</v>
      </c>
    </row>
    <row r="36" spans="1:32" outlineLevel="1">
      <c r="A36" t="s">
        <v>382</v>
      </c>
      <c r="B36" s="381">
        <v>40</v>
      </c>
      <c r="C36" s="381">
        <v>44</v>
      </c>
      <c r="D36" s="381">
        <v>38</v>
      </c>
      <c r="E36" s="381">
        <v>51</v>
      </c>
      <c r="F36" s="381">
        <v>38</v>
      </c>
      <c r="G36" s="381">
        <v>45</v>
      </c>
      <c r="H36" s="381">
        <v>85</v>
      </c>
      <c r="I36" s="381">
        <v>124</v>
      </c>
      <c r="J36" s="381">
        <v>117</v>
      </c>
      <c r="K36" s="381">
        <v>154</v>
      </c>
      <c r="L36" s="381">
        <v>170</v>
      </c>
      <c r="M36" s="381">
        <v>189</v>
      </c>
      <c r="N36" s="381">
        <v>195</v>
      </c>
      <c r="O36" s="381">
        <v>210</v>
      </c>
      <c r="P36" s="381">
        <v>179</v>
      </c>
      <c r="Q36" s="381">
        <v>179</v>
      </c>
      <c r="R36" s="381">
        <v>222</v>
      </c>
      <c r="S36" s="381">
        <v>248</v>
      </c>
      <c r="T36" s="381">
        <v>273</v>
      </c>
      <c r="U36" s="381">
        <v>259</v>
      </c>
      <c r="V36" s="381">
        <v>137</v>
      </c>
      <c r="W36" s="381">
        <v>162</v>
      </c>
      <c r="X36" s="381">
        <v>160</v>
      </c>
      <c r="Y36" s="526">
        <v>156</v>
      </c>
      <c r="Z36" s="526">
        <v>169</v>
      </c>
      <c r="AA36" s="388">
        <f t="shared" si="15"/>
        <v>149.33189655172413</v>
      </c>
      <c r="AB36" s="392">
        <f t="shared" si="15"/>
        <v>162.84461206896552</v>
      </c>
      <c r="AC36" s="392">
        <f t="shared" si="15"/>
        <v>156.57085129310346</v>
      </c>
      <c r="AD36" s="392">
        <f t="shared" si="15"/>
        <v>169.13658405172413</v>
      </c>
      <c r="AE36" s="392">
        <f t="shared" si="15"/>
        <v>172.2780172413793</v>
      </c>
      <c r="AF36" s="392">
        <f t="shared" ref="AF36" si="17">+AF13*AF59</f>
        <v>172.2780172413793</v>
      </c>
    </row>
    <row r="37" spans="1:32" outlineLevel="1">
      <c r="A37" t="s">
        <v>383</v>
      </c>
      <c r="B37" s="381">
        <v>9</v>
      </c>
      <c r="C37" s="381">
        <v>37</v>
      </c>
      <c r="D37" s="381">
        <v>17</v>
      </c>
      <c r="E37" s="381">
        <v>16</v>
      </c>
      <c r="F37" s="381">
        <v>10</v>
      </c>
      <c r="G37" s="381">
        <v>7</v>
      </c>
      <c r="H37" s="381">
        <v>10</v>
      </c>
      <c r="I37" s="381">
        <v>14</v>
      </c>
      <c r="J37" s="381">
        <v>29</v>
      </c>
      <c r="K37" s="381">
        <v>29</v>
      </c>
      <c r="L37" s="381">
        <v>21</v>
      </c>
      <c r="M37" s="381">
        <v>11</v>
      </c>
      <c r="N37" s="381">
        <v>12</v>
      </c>
      <c r="O37" s="381">
        <v>35</v>
      </c>
      <c r="P37" s="381">
        <v>37</v>
      </c>
      <c r="Q37" s="381">
        <v>65</v>
      </c>
      <c r="R37" s="381">
        <v>111</v>
      </c>
      <c r="S37" s="381">
        <v>93</v>
      </c>
      <c r="T37" s="381">
        <v>90</v>
      </c>
      <c r="U37" s="381">
        <v>94</v>
      </c>
      <c r="V37" s="381">
        <v>102</v>
      </c>
      <c r="W37" s="381">
        <v>124</v>
      </c>
      <c r="X37" s="381">
        <v>123</v>
      </c>
      <c r="Y37" s="526">
        <v>124</v>
      </c>
      <c r="Z37" s="526">
        <v>150</v>
      </c>
      <c r="AA37" s="388">
        <f t="shared" si="15"/>
        <v>160.80332409972297</v>
      </c>
      <c r="AB37" s="392">
        <f t="shared" si="15"/>
        <v>176.36426592797781</v>
      </c>
      <c r="AC37" s="392">
        <f t="shared" si="15"/>
        <v>213.23580332409972</v>
      </c>
      <c r="AD37" s="392">
        <f t="shared" si="15"/>
        <v>229.96018005540165</v>
      </c>
      <c r="AE37" s="392">
        <f t="shared" si="15"/>
        <v>234.14127423822714</v>
      </c>
      <c r="AF37" s="392">
        <f t="shared" ref="AF37" si="18">+AF14*AF60</f>
        <v>234.14127423822714</v>
      </c>
    </row>
    <row r="38" spans="1:32" outlineLevel="1">
      <c r="A38" t="s">
        <v>375</v>
      </c>
      <c r="B38" s="381"/>
      <c r="C38" s="381">
        <v>3</v>
      </c>
      <c r="D38" s="381">
        <v>14</v>
      </c>
      <c r="E38" s="381">
        <v>7</v>
      </c>
      <c r="F38" s="381">
        <v>14</v>
      </c>
      <c r="G38" s="381">
        <v>26</v>
      </c>
      <c r="H38" s="381">
        <v>21</v>
      </c>
      <c r="I38" s="381">
        <v>25</v>
      </c>
      <c r="J38" s="381">
        <v>17</v>
      </c>
      <c r="K38" s="381">
        <v>8</v>
      </c>
      <c r="L38" s="381">
        <v>9</v>
      </c>
      <c r="M38" s="381">
        <v>12</v>
      </c>
      <c r="N38" s="381">
        <v>17</v>
      </c>
      <c r="O38" s="381">
        <v>13</v>
      </c>
      <c r="P38" s="381">
        <v>13</v>
      </c>
      <c r="Q38" s="381">
        <v>19</v>
      </c>
      <c r="R38" s="381">
        <v>20</v>
      </c>
      <c r="S38" s="381">
        <v>11</v>
      </c>
      <c r="T38" s="381">
        <v>4</v>
      </c>
      <c r="U38" s="381">
        <v>3</v>
      </c>
      <c r="V38" s="381">
        <v>1</v>
      </c>
      <c r="W38" s="381"/>
      <c r="X38" s="381"/>
      <c r="Y38" s="526">
        <v>0</v>
      </c>
      <c r="Z38" s="526">
        <v>0</v>
      </c>
      <c r="AA38" s="388">
        <f t="shared" si="15"/>
        <v>0</v>
      </c>
      <c r="AB38" s="392">
        <f t="shared" si="15"/>
        <v>0</v>
      </c>
      <c r="AC38" s="392">
        <f t="shared" si="15"/>
        <v>0</v>
      </c>
      <c r="AD38" s="392">
        <f t="shared" si="15"/>
        <v>0</v>
      </c>
      <c r="AE38" s="392">
        <f t="shared" si="15"/>
        <v>0</v>
      </c>
      <c r="AF38" s="392">
        <f t="shared" ref="AF38" si="19">+AF15*AF61</f>
        <v>0</v>
      </c>
    </row>
    <row r="39" spans="1:32" outlineLevel="1">
      <c r="A39" t="s">
        <v>376</v>
      </c>
      <c r="B39" s="381">
        <v>11</v>
      </c>
      <c r="C39" s="381">
        <v>8</v>
      </c>
      <c r="D39" s="381">
        <v>3</v>
      </c>
      <c r="E39" s="381">
        <v>7</v>
      </c>
      <c r="F39" s="381">
        <v>4</v>
      </c>
      <c r="G39" s="381">
        <v>4</v>
      </c>
      <c r="H39" s="381"/>
      <c r="I39" s="381">
        <v>2</v>
      </c>
      <c r="J39" s="381">
        <v>2</v>
      </c>
      <c r="K39" s="381"/>
      <c r="L39" s="381"/>
      <c r="M39" s="381"/>
      <c r="N39" s="381"/>
      <c r="O39" s="381"/>
      <c r="P39" s="381"/>
      <c r="Q39" s="381"/>
      <c r="R39" s="381"/>
      <c r="S39" s="381"/>
      <c r="T39" s="381"/>
      <c r="U39" s="381"/>
      <c r="V39" s="381"/>
      <c r="W39" s="381"/>
      <c r="X39" s="381"/>
      <c r="Y39" s="526">
        <v>0</v>
      </c>
      <c r="Z39" s="526">
        <v>0</v>
      </c>
      <c r="AA39" s="388">
        <f t="shared" si="15"/>
        <v>0</v>
      </c>
      <c r="AB39" s="392">
        <f t="shared" si="15"/>
        <v>0</v>
      </c>
      <c r="AC39" s="392">
        <f t="shared" si="15"/>
        <v>0</v>
      </c>
      <c r="AD39" s="392">
        <f t="shared" si="15"/>
        <v>0</v>
      </c>
      <c r="AE39" s="392">
        <f t="shared" si="15"/>
        <v>0</v>
      </c>
      <c r="AF39" s="392">
        <f t="shared" ref="AF39" si="20">+AF16*AF62</f>
        <v>0</v>
      </c>
    </row>
    <row r="40" spans="1:32" outlineLevel="1">
      <c r="A40" t="s">
        <v>377</v>
      </c>
      <c r="B40" s="381"/>
      <c r="C40" s="381"/>
      <c r="D40" s="381"/>
      <c r="E40" s="381"/>
      <c r="F40" s="381"/>
      <c r="G40" s="381"/>
      <c r="H40" s="381"/>
      <c r="I40" s="381"/>
      <c r="J40" s="381">
        <v>2</v>
      </c>
      <c r="K40" s="381">
        <v>3</v>
      </c>
      <c r="L40" s="381">
        <v>9</v>
      </c>
      <c r="M40" s="381">
        <v>10</v>
      </c>
      <c r="N40" s="381">
        <v>13</v>
      </c>
      <c r="O40" s="381">
        <v>16</v>
      </c>
      <c r="P40" s="381">
        <v>21</v>
      </c>
      <c r="Q40" s="381">
        <v>21</v>
      </c>
      <c r="R40" s="381">
        <v>21</v>
      </c>
      <c r="S40" s="381">
        <v>5</v>
      </c>
      <c r="T40" s="381">
        <v>1</v>
      </c>
      <c r="U40" s="381"/>
      <c r="V40" s="381"/>
      <c r="W40" s="381"/>
      <c r="X40" s="381"/>
      <c r="Y40" s="526">
        <v>0</v>
      </c>
      <c r="Z40" s="526">
        <v>0</v>
      </c>
      <c r="AA40" s="388">
        <f t="shared" si="15"/>
        <v>0</v>
      </c>
      <c r="AB40" s="392">
        <f t="shared" si="15"/>
        <v>0</v>
      </c>
      <c r="AC40" s="392">
        <f t="shared" si="15"/>
        <v>0</v>
      </c>
      <c r="AD40" s="392">
        <f t="shared" si="15"/>
        <v>0</v>
      </c>
      <c r="AE40" s="392">
        <f t="shared" si="15"/>
        <v>0</v>
      </c>
      <c r="AF40" s="392">
        <f t="shared" ref="AF40" si="21">+AF17*AF63</f>
        <v>0</v>
      </c>
    </row>
    <row r="41" spans="1:32" outlineLevel="1">
      <c r="B41" s="379"/>
      <c r="C41" s="379"/>
      <c r="D41" s="379"/>
      <c r="E41" s="379"/>
      <c r="F41" s="379"/>
      <c r="G41" s="379"/>
      <c r="H41" s="379"/>
      <c r="I41" s="379"/>
      <c r="J41" s="379"/>
      <c r="K41" s="379"/>
      <c r="L41" s="379"/>
      <c r="M41" s="379"/>
      <c r="N41" s="379"/>
      <c r="O41" s="379"/>
      <c r="P41" s="379"/>
      <c r="Q41" s="379"/>
      <c r="R41" s="379"/>
      <c r="S41" s="379"/>
      <c r="T41" s="379"/>
      <c r="U41" s="379"/>
      <c r="V41" s="379"/>
      <c r="W41" s="379"/>
      <c r="X41" s="379"/>
      <c r="Y41" s="388"/>
      <c r="Z41" s="388"/>
      <c r="AA41" s="388"/>
      <c r="AB41" s="392"/>
      <c r="AC41" s="392"/>
      <c r="AD41" s="392"/>
      <c r="AE41" s="392"/>
      <c r="AF41" s="392"/>
    </row>
    <row r="42" spans="1:32" outlineLevel="1">
      <c r="A42" t="s">
        <v>379</v>
      </c>
      <c r="B42" s="381"/>
      <c r="C42" s="381"/>
      <c r="D42" s="381"/>
      <c r="E42" s="381"/>
      <c r="F42" s="381">
        <v>39</v>
      </c>
      <c r="G42" s="381">
        <v>42</v>
      </c>
      <c r="H42" s="381">
        <v>19</v>
      </c>
      <c r="I42" s="381">
        <v>8</v>
      </c>
      <c r="J42" s="381">
        <v>9</v>
      </c>
      <c r="K42" s="381">
        <v>22</v>
      </c>
      <c r="L42" s="381">
        <v>8</v>
      </c>
      <c r="M42" s="381">
        <v>1</v>
      </c>
      <c r="N42" s="381">
        <v>1</v>
      </c>
      <c r="O42" s="381">
        <v>4</v>
      </c>
      <c r="P42" s="381">
        <v>1</v>
      </c>
      <c r="Q42" s="381">
        <v>2</v>
      </c>
      <c r="R42" s="381"/>
      <c r="S42" s="381"/>
      <c r="T42" s="381">
        <v>1</v>
      </c>
      <c r="U42" s="381"/>
      <c r="V42" s="381"/>
      <c r="W42" s="381"/>
      <c r="X42" s="381"/>
      <c r="Y42" s="388"/>
      <c r="Z42" s="388"/>
      <c r="AA42" s="388"/>
      <c r="AB42" s="392"/>
      <c r="AC42" s="392"/>
      <c r="AD42" s="392"/>
      <c r="AE42" s="392"/>
      <c r="AF42" s="392"/>
    </row>
    <row r="43" spans="1:32" outlineLevel="1">
      <c r="A43" t="s">
        <v>384</v>
      </c>
      <c r="B43" s="381"/>
      <c r="C43" s="381"/>
      <c r="D43" s="381"/>
      <c r="E43" s="381"/>
      <c r="F43" s="381"/>
      <c r="G43" s="381">
        <v>14</v>
      </c>
      <c r="H43" s="381">
        <v>10</v>
      </c>
      <c r="I43" s="381">
        <v>34</v>
      </c>
      <c r="J43" s="381">
        <v>55</v>
      </c>
      <c r="K43" s="381">
        <v>9</v>
      </c>
      <c r="L43" s="381">
        <v>8</v>
      </c>
      <c r="M43" s="381">
        <v>9</v>
      </c>
      <c r="N43" s="381">
        <v>17</v>
      </c>
      <c r="O43" s="381">
        <v>22</v>
      </c>
      <c r="P43" s="381">
        <v>62</v>
      </c>
      <c r="Q43" s="381">
        <v>82</v>
      </c>
      <c r="R43" s="381">
        <v>90</v>
      </c>
      <c r="S43" s="381">
        <v>79</v>
      </c>
      <c r="T43" s="381">
        <v>67</v>
      </c>
      <c r="U43" s="381">
        <v>67</v>
      </c>
      <c r="V43" s="381">
        <v>32</v>
      </c>
      <c r="W43" s="381">
        <v>27</v>
      </c>
      <c r="X43" s="381">
        <v>35</v>
      </c>
      <c r="Y43" s="526">
        <v>25</v>
      </c>
      <c r="Z43" s="526">
        <v>26</v>
      </c>
      <c r="AA43" s="388">
        <f t="shared" ref="AA43:AE47" si="22">+AA20*AA66</f>
        <v>34</v>
      </c>
      <c r="AB43" s="392">
        <f t="shared" si="22"/>
        <v>36</v>
      </c>
      <c r="AC43" s="392">
        <f t="shared" si="22"/>
        <v>40</v>
      </c>
      <c r="AD43" s="392">
        <f t="shared" si="22"/>
        <v>41</v>
      </c>
      <c r="AE43" s="392">
        <f t="shared" si="22"/>
        <v>42</v>
      </c>
      <c r="AF43" s="392">
        <f t="shared" ref="AF43" si="23">+AF20*AF66</f>
        <v>43</v>
      </c>
    </row>
    <row r="44" spans="1:32" outlineLevel="1">
      <c r="A44" t="s">
        <v>380</v>
      </c>
      <c r="B44" s="381"/>
      <c r="C44" s="381"/>
      <c r="D44" s="381"/>
      <c r="E44" s="381"/>
      <c r="F44" s="381"/>
      <c r="G44" s="381">
        <v>9</v>
      </c>
      <c r="H44" s="381">
        <v>31</v>
      </c>
      <c r="I44" s="381">
        <v>64</v>
      </c>
      <c r="J44" s="381">
        <v>57</v>
      </c>
      <c r="K44" s="381">
        <v>58</v>
      </c>
      <c r="L44" s="381">
        <v>54</v>
      </c>
      <c r="M44" s="381">
        <v>64</v>
      </c>
      <c r="N44" s="381">
        <v>58</v>
      </c>
      <c r="O44" s="381">
        <v>44</v>
      </c>
      <c r="P44" s="381">
        <v>18</v>
      </c>
      <c r="Q44" s="381">
        <v>8</v>
      </c>
      <c r="R44" s="381">
        <v>11</v>
      </c>
      <c r="S44" s="381">
        <v>12</v>
      </c>
      <c r="T44" s="381">
        <v>13</v>
      </c>
      <c r="U44" s="381">
        <v>5</v>
      </c>
      <c r="V44" s="381">
        <v>1</v>
      </c>
      <c r="W44" s="381"/>
      <c r="X44" s="381">
        <v>3</v>
      </c>
      <c r="Y44" s="526">
        <v>0</v>
      </c>
      <c r="Z44" s="526">
        <v>0</v>
      </c>
      <c r="AA44" s="388">
        <f t="shared" si="22"/>
        <v>0</v>
      </c>
      <c r="AB44" s="392">
        <f t="shared" si="22"/>
        <v>0</v>
      </c>
      <c r="AC44" s="392">
        <f t="shared" si="22"/>
        <v>0</v>
      </c>
      <c r="AD44" s="392">
        <f t="shared" si="22"/>
        <v>0</v>
      </c>
      <c r="AE44" s="392">
        <f t="shared" si="22"/>
        <v>0</v>
      </c>
      <c r="AF44" s="392">
        <f t="shared" ref="AF44" si="24">+AF21*AF67</f>
        <v>0</v>
      </c>
    </row>
    <row r="45" spans="1:32" outlineLevel="1">
      <c r="A45" t="s">
        <v>385</v>
      </c>
      <c r="B45" s="381"/>
      <c r="C45" s="381"/>
      <c r="D45" s="381"/>
      <c r="E45" s="381"/>
      <c r="F45" s="381"/>
      <c r="G45" s="381"/>
      <c r="H45" s="381">
        <v>2</v>
      </c>
      <c r="I45" s="381">
        <v>10</v>
      </c>
      <c r="J45" s="381">
        <v>14</v>
      </c>
      <c r="K45" s="381">
        <v>19</v>
      </c>
      <c r="L45" s="381">
        <v>16</v>
      </c>
      <c r="M45" s="381">
        <v>23</v>
      </c>
      <c r="N45" s="381">
        <v>23</v>
      </c>
      <c r="O45" s="381">
        <v>17</v>
      </c>
      <c r="P45" s="381">
        <v>10</v>
      </c>
      <c r="Q45" s="381">
        <v>9</v>
      </c>
      <c r="R45" s="381">
        <v>7</v>
      </c>
      <c r="S45" s="381">
        <v>10</v>
      </c>
      <c r="T45" s="381">
        <v>5</v>
      </c>
      <c r="U45" s="381">
        <v>3</v>
      </c>
      <c r="V45" s="381"/>
      <c r="W45" s="381"/>
      <c r="X45" s="381"/>
      <c r="Y45" s="526">
        <v>0</v>
      </c>
      <c r="Z45" s="526">
        <v>0</v>
      </c>
      <c r="AA45" s="388">
        <f t="shared" si="22"/>
        <v>0</v>
      </c>
      <c r="AB45" s="392">
        <f t="shared" si="22"/>
        <v>0</v>
      </c>
      <c r="AC45" s="392">
        <f t="shared" si="22"/>
        <v>0</v>
      </c>
      <c r="AD45" s="392">
        <f t="shared" si="22"/>
        <v>0</v>
      </c>
      <c r="AE45" s="392">
        <f t="shared" si="22"/>
        <v>0</v>
      </c>
      <c r="AF45" s="392">
        <f t="shared" ref="AF45" si="25">+AF22*AF68</f>
        <v>0</v>
      </c>
    </row>
    <row r="46" spans="1:32" outlineLevel="1">
      <c r="B46" s="379"/>
      <c r="C46" s="379"/>
      <c r="D46" s="379"/>
      <c r="E46" s="379"/>
      <c r="F46" s="379"/>
      <c r="G46" s="379"/>
      <c r="H46" s="379"/>
      <c r="I46" s="379"/>
      <c r="J46" s="379"/>
      <c r="K46" s="379"/>
      <c r="L46" s="379"/>
      <c r="M46" s="379"/>
      <c r="N46" s="379"/>
      <c r="O46" s="379"/>
      <c r="P46" s="379"/>
      <c r="Q46" s="379"/>
      <c r="R46" s="379"/>
      <c r="S46" s="379"/>
      <c r="T46" s="379"/>
      <c r="U46" s="379"/>
      <c r="V46" s="379"/>
      <c r="W46" s="379"/>
      <c r="X46" s="379"/>
      <c r="Y46" s="388"/>
      <c r="Z46" s="388"/>
      <c r="AA46" s="388"/>
      <c r="AB46" s="392"/>
      <c r="AC46" s="392"/>
      <c r="AD46" s="392"/>
      <c r="AE46" s="392"/>
      <c r="AF46" s="392"/>
    </row>
    <row r="47" spans="1:32" outlineLevel="1">
      <c r="A47" t="s">
        <v>314</v>
      </c>
      <c r="B47" s="379">
        <f>+B48-SUM(B35:B40,B28:B33)-SUM(B42:B44)</f>
        <v>39</v>
      </c>
      <c r="C47" s="379">
        <f t="shared" ref="C47:Z47" si="26">+C48-SUM(C35:C40,C28:C33)-SUM(C42:C44)</f>
        <v>74</v>
      </c>
      <c r="D47" s="379">
        <f t="shared" si="26"/>
        <v>145</v>
      </c>
      <c r="E47" s="379">
        <f t="shared" si="26"/>
        <v>194</v>
      </c>
      <c r="F47" s="379">
        <f t="shared" si="26"/>
        <v>167</v>
      </c>
      <c r="G47" s="379">
        <f t="shared" si="26"/>
        <v>124</v>
      </c>
      <c r="H47" s="379">
        <f t="shared" si="26"/>
        <v>77</v>
      </c>
      <c r="I47" s="379">
        <f t="shared" si="26"/>
        <v>75</v>
      </c>
      <c r="J47" s="379">
        <f t="shared" si="26"/>
        <v>76</v>
      </c>
      <c r="K47" s="379">
        <f t="shared" si="26"/>
        <v>78</v>
      </c>
      <c r="L47" s="379">
        <f t="shared" si="26"/>
        <v>51</v>
      </c>
      <c r="M47" s="379">
        <f t="shared" si="26"/>
        <v>69</v>
      </c>
      <c r="N47" s="379">
        <f t="shared" si="26"/>
        <v>37</v>
      </c>
      <c r="O47" s="379">
        <f t="shared" si="26"/>
        <v>42</v>
      </c>
      <c r="P47" s="379">
        <f t="shared" si="26"/>
        <v>62</v>
      </c>
      <c r="Q47" s="379">
        <f t="shared" si="26"/>
        <v>53</v>
      </c>
      <c r="R47" s="379">
        <f t="shared" si="26"/>
        <v>53</v>
      </c>
      <c r="S47" s="379">
        <f t="shared" si="26"/>
        <v>38</v>
      </c>
      <c r="T47" s="379">
        <f t="shared" si="26"/>
        <v>29</v>
      </c>
      <c r="U47" s="379">
        <f t="shared" si="26"/>
        <v>40</v>
      </c>
      <c r="V47" s="379">
        <f t="shared" si="26"/>
        <v>37</v>
      </c>
      <c r="W47" s="379">
        <f t="shared" si="26"/>
        <v>23</v>
      </c>
      <c r="X47" s="379">
        <f t="shared" si="26"/>
        <v>35</v>
      </c>
      <c r="Y47" s="379">
        <f t="shared" si="26"/>
        <v>9</v>
      </c>
      <c r="Z47" s="379">
        <f t="shared" si="26"/>
        <v>37</v>
      </c>
      <c r="AA47" s="388">
        <f t="shared" si="22"/>
        <v>37</v>
      </c>
      <c r="AB47" s="392">
        <f t="shared" si="22"/>
        <v>37</v>
      </c>
      <c r="AC47" s="392">
        <f t="shared" si="22"/>
        <v>37</v>
      </c>
      <c r="AD47" s="392">
        <f t="shared" si="22"/>
        <v>37</v>
      </c>
      <c r="AE47" s="392">
        <f t="shared" si="22"/>
        <v>37</v>
      </c>
      <c r="AF47" s="392">
        <f t="shared" ref="AF47" si="27">+AF24*AF70</f>
        <v>37</v>
      </c>
    </row>
    <row r="48" spans="1:32" outlineLevel="1">
      <c r="A48" s="365" t="s">
        <v>11</v>
      </c>
      <c r="B48" s="382">
        <v>407</v>
      </c>
      <c r="C48" s="382">
        <v>468</v>
      </c>
      <c r="D48" s="382">
        <v>482</v>
      </c>
      <c r="E48" s="382">
        <v>488</v>
      </c>
      <c r="F48" s="382">
        <v>527</v>
      </c>
      <c r="G48" s="382">
        <v>549</v>
      </c>
      <c r="H48" s="382">
        <v>640</v>
      </c>
      <c r="I48" s="382">
        <v>785</v>
      </c>
      <c r="J48" s="382">
        <v>752</v>
      </c>
      <c r="K48" s="382">
        <v>859</v>
      </c>
      <c r="L48" s="382">
        <v>789</v>
      </c>
      <c r="M48" s="382">
        <v>850</v>
      </c>
      <c r="N48" s="382">
        <v>921</v>
      </c>
      <c r="O48" s="382">
        <v>1009</v>
      </c>
      <c r="P48" s="382">
        <v>1072</v>
      </c>
      <c r="Q48" s="382">
        <v>1134</v>
      </c>
      <c r="R48" s="382">
        <v>1192</v>
      </c>
      <c r="S48" s="382">
        <v>1174</v>
      </c>
      <c r="T48" s="382">
        <v>1196</v>
      </c>
      <c r="U48" s="382">
        <v>757</v>
      </c>
      <c r="V48" s="382">
        <v>434</v>
      </c>
      <c r="W48" s="382">
        <v>642</v>
      </c>
      <c r="X48" s="382">
        <v>806</v>
      </c>
      <c r="Y48" s="529">
        <f>817+10</f>
        <v>827</v>
      </c>
      <c r="Z48" s="529">
        <f>718+7</f>
        <v>725</v>
      </c>
      <c r="AA48" s="527">
        <f t="shared" ref="AA48:AF48" si="28">SUM(AA28:AA47)</f>
        <v>903.91953437693735</v>
      </c>
      <c r="AB48" s="393">
        <f t="shared" si="28"/>
        <v>1052.3559368204728</v>
      </c>
      <c r="AC48" s="393">
        <f t="shared" si="28"/>
        <v>1165.8654781466148</v>
      </c>
      <c r="AD48" s="393">
        <f t="shared" si="28"/>
        <v>1241.1555876365376</v>
      </c>
      <c r="AE48" s="393">
        <f t="shared" si="28"/>
        <v>1249.4781150090182</v>
      </c>
      <c r="AF48" s="393">
        <f t="shared" si="28"/>
        <v>1250.4781150090182</v>
      </c>
    </row>
    <row r="49" spans="1:32" outlineLevel="1">
      <c r="B49" s="179"/>
      <c r="C49" s="179"/>
      <c r="D49" s="179"/>
      <c r="E49" s="179"/>
      <c r="F49" s="179"/>
      <c r="G49" s="179"/>
      <c r="H49" s="179"/>
      <c r="I49" s="179"/>
      <c r="J49" s="179"/>
      <c r="K49" s="179"/>
      <c r="L49" s="179"/>
      <c r="M49" s="179"/>
      <c r="N49" s="179"/>
      <c r="O49" s="179"/>
      <c r="P49" s="179"/>
      <c r="Q49" s="179"/>
      <c r="R49" s="179"/>
      <c r="S49" s="179"/>
      <c r="T49" s="179"/>
      <c r="U49" s="179"/>
      <c r="V49" s="179"/>
      <c r="W49" s="179"/>
      <c r="X49" s="179"/>
      <c r="Y49" s="179"/>
      <c r="Z49" s="179"/>
      <c r="AA49" s="179"/>
      <c r="AB49" s="391"/>
      <c r="AC49" s="391"/>
      <c r="AD49" s="391"/>
      <c r="AE49" s="391"/>
      <c r="AF49" s="391"/>
    </row>
    <row r="50" spans="1:32" outlineLevel="1">
      <c r="A50" s="434" t="s">
        <v>421</v>
      </c>
      <c r="B50" s="435">
        <v>2000</v>
      </c>
      <c r="C50" s="435">
        <f>+B50+1</f>
        <v>2001</v>
      </c>
      <c r="D50" s="435">
        <f t="shared" ref="D50:AF50" si="29">+C50+1</f>
        <v>2002</v>
      </c>
      <c r="E50" s="435">
        <f t="shared" si="29"/>
        <v>2003</v>
      </c>
      <c r="F50" s="435">
        <f t="shared" si="29"/>
        <v>2004</v>
      </c>
      <c r="G50" s="435">
        <f t="shared" si="29"/>
        <v>2005</v>
      </c>
      <c r="H50" s="435">
        <f t="shared" si="29"/>
        <v>2006</v>
      </c>
      <c r="I50" s="435">
        <f t="shared" si="29"/>
        <v>2007</v>
      </c>
      <c r="J50" s="435">
        <f t="shared" si="29"/>
        <v>2008</v>
      </c>
      <c r="K50" s="435">
        <f t="shared" si="29"/>
        <v>2009</v>
      </c>
      <c r="L50" s="435">
        <f t="shared" si="29"/>
        <v>2010</v>
      </c>
      <c r="M50" s="435">
        <f t="shared" si="29"/>
        <v>2011</v>
      </c>
      <c r="N50" s="435">
        <f t="shared" si="29"/>
        <v>2012</v>
      </c>
      <c r="O50" s="435">
        <f t="shared" si="29"/>
        <v>2013</v>
      </c>
      <c r="P50" s="435">
        <f t="shared" si="29"/>
        <v>2014</v>
      </c>
      <c r="Q50" s="435">
        <f t="shared" si="29"/>
        <v>2015</v>
      </c>
      <c r="R50" s="435">
        <f t="shared" si="29"/>
        <v>2016</v>
      </c>
      <c r="S50" s="435">
        <f t="shared" si="29"/>
        <v>2017</v>
      </c>
      <c r="T50" s="435">
        <f t="shared" si="29"/>
        <v>2018</v>
      </c>
      <c r="U50" s="435">
        <f t="shared" si="29"/>
        <v>2019</v>
      </c>
      <c r="V50" s="435">
        <f t="shared" si="29"/>
        <v>2020</v>
      </c>
      <c r="W50" s="435">
        <f t="shared" si="29"/>
        <v>2021</v>
      </c>
      <c r="X50" s="435">
        <f t="shared" si="29"/>
        <v>2022</v>
      </c>
      <c r="Y50" s="435">
        <f t="shared" si="29"/>
        <v>2023</v>
      </c>
      <c r="Z50" s="435">
        <f t="shared" si="29"/>
        <v>2024</v>
      </c>
      <c r="AA50" s="435">
        <f t="shared" si="29"/>
        <v>2025</v>
      </c>
      <c r="AB50" s="435">
        <f t="shared" si="29"/>
        <v>2026</v>
      </c>
      <c r="AC50" s="435">
        <f t="shared" si="29"/>
        <v>2027</v>
      </c>
      <c r="AD50" s="435">
        <f t="shared" si="29"/>
        <v>2028</v>
      </c>
      <c r="AE50" s="435">
        <f t="shared" si="29"/>
        <v>2029</v>
      </c>
      <c r="AF50" s="435">
        <f t="shared" si="29"/>
        <v>2030</v>
      </c>
    </row>
    <row r="51" spans="1:32" outlineLevel="1">
      <c r="A51" t="s">
        <v>378</v>
      </c>
      <c r="B51" s="292" t="str">
        <f t="shared" ref="B51:X51" si="30">IFERROR(B28/B5,"")</f>
        <v/>
      </c>
      <c r="C51" s="292" t="str">
        <f t="shared" si="30"/>
        <v/>
      </c>
      <c r="D51" s="292" t="str">
        <f t="shared" si="30"/>
        <v/>
      </c>
      <c r="E51" s="292" t="str">
        <f t="shared" si="30"/>
        <v/>
      </c>
      <c r="F51" s="292" t="str">
        <f t="shared" si="30"/>
        <v/>
      </c>
      <c r="G51" s="292" t="str">
        <f t="shared" si="30"/>
        <v/>
      </c>
      <c r="H51" s="292" t="str">
        <f t="shared" si="30"/>
        <v/>
      </c>
      <c r="I51" s="292" t="str">
        <f t="shared" si="30"/>
        <v/>
      </c>
      <c r="J51" s="292" t="str">
        <f t="shared" si="30"/>
        <v/>
      </c>
      <c r="K51" s="292" t="str">
        <f t="shared" si="30"/>
        <v/>
      </c>
      <c r="L51" s="292" t="str">
        <f t="shared" si="30"/>
        <v/>
      </c>
      <c r="M51" s="292" t="str">
        <f t="shared" si="30"/>
        <v/>
      </c>
      <c r="N51" s="292" t="str">
        <f t="shared" si="30"/>
        <v/>
      </c>
      <c r="O51" s="292" t="str">
        <f t="shared" si="30"/>
        <v/>
      </c>
      <c r="P51" s="292" t="str">
        <f t="shared" si="30"/>
        <v/>
      </c>
      <c r="Q51" s="292" t="str">
        <f t="shared" si="30"/>
        <v/>
      </c>
      <c r="R51" s="292" t="str">
        <f t="shared" si="30"/>
        <v/>
      </c>
      <c r="S51" s="292">
        <f t="shared" si="30"/>
        <v>1</v>
      </c>
      <c r="T51" s="292">
        <f t="shared" si="30"/>
        <v>1</v>
      </c>
      <c r="U51" s="292">
        <f t="shared" si="30"/>
        <v>1</v>
      </c>
      <c r="V51" s="292">
        <f t="shared" si="30"/>
        <v>1</v>
      </c>
      <c r="W51" s="292">
        <f t="shared" si="30"/>
        <v>1</v>
      </c>
      <c r="X51" s="292">
        <f t="shared" si="30"/>
        <v>1</v>
      </c>
      <c r="Y51" s="292">
        <f t="shared" ref="Y51:Z56" si="31">IFERROR(Y28/Y5,"")</f>
        <v>1</v>
      </c>
      <c r="Z51" s="292">
        <f t="shared" si="31"/>
        <v>1</v>
      </c>
      <c r="AA51" s="532">
        <f>+Z51</f>
        <v>1</v>
      </c>
      <c r="AB51" s="396">
        <f t="shared" ref="AB51:AF56" si="32">+AA51</f>
        <v>1</v>
      </c>
      <c r="AC51" s="396">
        <f t="shared" si="32"/>
        <v>1</v>
      </c>
      <c r="AD51" s="396">
        <f t="shared" si="32"/>
        <v>1</v>
      </c>
      <c r="AE51" s="396">
        <f t="shared" si="32"/>
        <v>1</v>
      </c>
      <c r="AF51" s="396">
        <f t="shared" si="32"/>
        <v>1</v>
      </c>
    </row>
    <row r="52" spans="1:32" outlineLevel="1">
      <c r="A52" t="s">
        <v>370</v>
      </c>
      <c r="B52" s="292">
        <f t="shared" ref="B52:X52" si="33">IFERROR(B29/B6,"")</f>
        <v>1</v>
      </c>
      <c r="C52" s="292">
        <f t="shared" si="33"/>
        <v>1</v>
      </c>
      <c r="D52" s="292">
        <f t="shared" si="33"/>
        <v>1</v>
      </c>
      <c r="E52" s="292">
        <f t="shared" si="33"/>
        <v>1</v>
      </c>
      <c r="F52" s="292">
        <f t="shared" si="33"/>
        <v>1</v>
      </c>
      <c r="G52" s="292">
        <f t="shared" si="33"/>
        <v>1</v>
      </c>
      <c r="H52" s="292">
        <f t="shared" si="33"/>
        <v>1</v>
      </c>
      <c r="I52" s="292">
        <f t="shared" si="33"/>
        <v>1</v>
      </c>
      <c r="J52" s="292">
        <f t="shared" si="33"/>
        <v>1</v>
      </c>
      <c r="K52" s="292">
        <f t="shared" si="33"/>
        <v>1</v>
      </c>
      <c r="L52" s="292">
        <f t="shared" si="33"/>
        <v>1</v>
      </c>
      <c r="M52" s="292">
        <f t="shared" si="33"/>
        <v>1</v>
      </c>
      <c r="N52" s="292">
        <f t="shared" si="33"/>
        <v>1</v>
      </c>
      <c r="O52" s="292">
        <f t="shared" si="33"/>
        <v>1</v>
      </c>
      <c r="P52" s="292">
        <f t="shared" si="33"/>
        <v>1</v>
      </c>
      <c r="Q52" s="292">
        <f t="shared" si="33"/>
        <v>1</v>
      </c>
      <c r="R52" s="292">
        <f t="shared" si="33"/>
        <v>1</v>
      </c>
      <c r="S52" s="292">
        <f t="shared" si="33"/>
        <v>1</v>
      </c>
      <c r="T52" s="292">
        <f t="shared" si="33"/>
        <v>1</v>
      </c>
      <c r="U52" s="292">
        <f t="shared" si="33"/>
        <v>1</v>
      </c>
      <c r="V52" s="292">
        <f t="shared" si="33"/>
        <v>1</v>
      </c>
      <c r="W52" s="292" t="str">
        <f t="shared" si="33"/>
        <v/>
      </c>
      <c r="X52" s="292" t="str">
        <f t="shared" si="33"/>
        <v/>
      </c>
      <c r="Y52" s="292" t="str">
        <f t="shared" si="31"/>
        <v/>
      </c>
      <c r="Z52" s="292" t="str">
        <f t="shared" si="31"/>
        <v/>
      </c>
      <c r="AA52" s="532"/>
      <c r="AB52" s="396"/>
      <c r="AC52" s="396"/>
      <c r="AD52" s="396"/>
      <c r="AE52" s="396"/>
      <c r="AF52" s="396"/>
    </row>
    <row r="53" spans="1:32" outlineLevel="1">
      <c r="A53" t="s">
        <v>371</v>
      </c>
      <c r="B53" s="292">
        <f t="shared" ref="B53:X53" si="34">IFERROR(B30/B7,"")</f>
        <v>0.75</v>
      </c>
      <c r="C53" s="292">
        <f t="shared" si="34"/>
        <v>0.52173913043478259</v>
      </c>
      <c r="D53" s="292">
        <f t="shared" si="34"/>
        <v>0.65</v>
      </c>
      <c r="E53" s="292">
        <f t="shared" si="34"/>
        <v>0.69230769230769229</v>
      </c>
      <c r="F53" s="292">
        <f t="shared" si="34"/>
        <v>0.6</v>
      </c>
      <c r="G53" s="292">
        <f t="shared" si="34"/>
        <v>0.61538461538461542</v>
      </c>
      <c r="H53" s="292">
        <f t="shared" si="34"/>
        <v>0.53846153846153844</v>
      </c>
      <c r="I53" s="292">
        <f t="shared" si="34"/>
        <v>0.93333333333333335</v>
      </c>
      <c r="J53" s="292">
        <f t="shared" si="34"/>
        <v>0.7857142857142857</v>
      </c>
      <c r="K53" s="292">
        <f t="shared" si="34"/>
        <v>0.5</v>
      </c>
      <c r="L53" s="292" t="str">
        <f t="shared" si="34"/>
        <v/>
      </c>
      <c r="M53" s="292">
        <f t="shared" si="34"/>
        <v>1</v>
      </c>
      <c r="N53" s="292">
        <f t="shared" si="34"/>
        <v>1</v>
      </c>
      <c r="O53" s="292">
        <f t="shared" si="34"/>
        <v>1</v>
      </c>
      <c r="P53" s="292">
        <f t="shared" si="34"/>
        <v>1</v>
      </c>
      <c r="Q53" s="292">
        <f t="shared" si="34"/>
        <v>1</v>
      </c>
      <c r="R53" s="292">
        <f t="shared" si="34"/>
        <v>1</v>
      </c>
      <c r="S53" s="292">
        <f t="shared" si="34"/>
        <v>1</v>
      </c>
      <c r="T53" s="292">
        <f t="shared" si="34"/>
        <v>1</v>
      </c>
      <c r="U53" s="292">
        <f t="shared" si="34"/>
        <v>1</v>
      </c>
      <c r="V53" s="292">
        <f t="shared" si="34"/>
        <v>1</v>
      </c>
      <c r="W53" s="292">
        <f t="shared" si="34"/>
        <v>1</v>
      </c>
      <c r="X53" s="292">
        <f t="shared" si="34"/>
        <v>1</v>
      </c>
      <c r="Y53" s="292">
        <f t="shared" si="31"/>
        <v>1</v>
      </c>
      <c r="Z53" s="292" t="str">
        <f t="shared" si="31"/>
        <v/>
      </c>
      <c r="AA53" s="532" t="str">
        <f>+Z53</f>
        <v/>
      </c>
      <c r="AB53" s="396" t="str">
        <f t="shared" si="32"/>
        <v/>
      </c>
      <c r="AC53" s="396" t="str">
        <f t="shared" si="32"/>
        <v/>
      </c>
      <c r="AD53" s="396" t="str">
        <f t="shared" si="32"/>
        <v/>
      </c>
      <c r="AE53" s="396" t="str">
        <f t="shared" si="32"/>
        <v/>
      </c>
      <c r="AF53" s="396" t="str">
        <f t="shared" si="32"/>
        <v/>
      </c>
    </row>
    <row r="54" spans="1:32" outlineLevel="1">
      <c r="A54" t="s">
        <v>372</v>
      </c>
      <c r="B54" s="292">
        <f t="shared" ref="B54:X54" si="35">IFERROR(B31/B8,"")</f>
        <v>0.7857142857142857</v>
      </c>
      <c r="C54" s="292">
        <f t="shared" si="35"/>
        <v>0.84615384615384615</v>
      </c>
      <c r="D54" s="292">
        <f t="shared" si="35"/>
        <v>0.82352941176470584</v>
      </c>
      <c r="E54" s="292">
        <f t="shared" si="35"/>
        <v>0.7</v>
      </c>
      <c r="F54" s="292">
        <f t="shared" si="35"/>
        <v>0.75</v>
      </c>
      <c r="G54" s="292">
        <f t="shared" si="35"/>
        <v>0.875</v>
      </c>
      <c r="H54" s="292">
        <f t="shared" si="35"/>
        <v>0.8</v>
      </c>
      <c r="I54" s="292">
        <f t="shared" si="35"/>
        <v>0.90909090909090906</v>
      </c>
      <c r="J54" s="292">
        <f t="shared" si="35"/>
        <v>1</v>
      </c>
      <c r="K54" s="292">
        <f t="shared" si="35"/>
        <v>1</v>
      </c>
      <c r="L54" s="292">
        <f t="shared" si="35"/>
        <v>1</v>
      </c>
      <c r="M54" s="292">
        <f t="shared" si="35"/>
        <v>1</v>
      </c>
      <c r="N54" s="292">
        <f t="shared" si="35"/>
        <v>0.92307692307692313</v>
      </c>
      <c r="O54" s="292">
        <f t="shared" si="35"/>
        <v>0.80952380952380953</v>
      </c>
      <c r="P54" s="292">
        <f t="shared" si="35"/>
        <v>0.83333333333333337</v>
      </c>
      <c r="Q54" s="292">
        <f t="shared" si="35"/>
        <v>1</v>
      </c>
      <c r="R54" s="292">
        <f t="shared" si="35"/>
        <v>1</v>
      </c>
      <c r="S54" s="292">
        <f t="shared" si="35"/>
        <v>1</v>
      </c>
      <c r="T54" s="292">
        <f t="shared" si="35"/>
        <v>1</v>
      </c>
      <c r="U54" s="292">
        <f t="shared" si="35"/>
        <v>1</v>
      </c>
      <c r="V54" s="292">
        <f t="shared" si="35"/>
        <v>1</v>
      </c>
      <c r="W54" s="292">
        <f t="shared" si="35"/>
        <v>1</v>
      </c>
      <c r="X54" s="292">
        <f t="shared" si="35"/>
        <v>1</v>
      </c>
      <c r="Y54" s="292">
        <f t="shared" si="31"/>
        <v>1</v>
      </c>
      <c r="Z54" s="292">
        <f t="shared" si="31"/>
        <v>1</v>
      </c>
      <c r="AA54" s="532">
        <f>+Z54</f>
        <v>1</v>
      </c>
      <c r="AB54" s="396">
        <f t="shared" si="32"/>
        <v>1</v>
      </c>
      <c r="AC54" s="396">
        <f t="shared" si="32"/>
        <v>1</v>
      </c>
      <c r="AD54" s="396">
        <f t="shared" si="32"/>
        <v>1</v>
      </c>
      <c r="AE54" s="396">
        <f t="shared" si="32"/>
        <v>1</v>
      </c>
      <c r="AF54" s="396">
        <f t="shared" si="32"/>
        <v>1</v>
      </c>
    </row>
    <row r="55" spans="1:32" outlineLevel="1">
      <c r="A55" t="s">
        <v>373</v>
      </c>
      <c r="B55" s="292">
        <f t="shared" ref="B55:X55" si="36">IFERROR(B32/B9,"")</f>
        <v>0.13043478260869565</v>
      </c>
      <c r="C55" s="292">
        <f t="shared" si="36"/>
        <v>8.6956521739130432E-2</v>
      </c>
      <c r="D55" s="292">
        <f t="shared" si="36"/>
        <v>0.35135135135135137</v>
      </c>
      <c r="E55" s="292">
        <f t="shared" si="36"/>
        <v>0.39285714285714285</v>
      </c>
      <c r="F55" s="292">
        <f t="shared" si="36"/>
        <v>0.70967741935483875</v>
      </c>
      <c r="G55" s="292">
        <f t="shared" si="36"/>
        <v>0.6216216216216216</v>
      </c>
      <c r="H55" s="292">
        <f t="shared" si="36"/>
        <v>0.73333333333333328</v>
      </c>
      <c r="I55" s="292">
        <f t="shared" si="36"/>
        <v>0.81944444444444442</v>
      </c>
      <c r="J55" s="292">
        <f t="shared" si="36"/>
        <v>0.9464285714285714</v>
      </c>
      <c r="K55" s="292">
        <f t="shared" si="36"/>
        <v>0.95348837209302328</v>
      </c>
      <c r="L55" s="292">
        <f t="shared" si="36"/>
        <v>0.98571428571428577</v>
      </c>
      <c r="M55" s="292">
        <f t="shared" si="36"/>
        <v>1</v>
      </c>
      <c r="N55" s="292">
        <f t="shared" si="36"/>
        <v>0.96385542168674698</v>
      </c>
      <c r="O55" s="292">
        <f t="shared" si="36"/>
        <v>0.95918367346938771</v>
      </c>
      <c r="P55" s="292">
        <f t="shared" si="36"/>
        <v>1</v>
      </c>
      <c r="Q55" s="292">
        <f t="shared" si="36"/>
        <v>1</v>
      </c>
      <c r="R55" s="292">
        <f t="shared" si="36"/>
        <v>1</v>
      </c>
      <c r="S55" s="292">
        <f t="shared" si="36"/>
        <v>1</v>
      </c>
      <c r="T55" s="292">
        <f t="shared" si="36"/>
        <v>1</v>
      </c>
      <c r="U55" s="292">
        <f t="shared" si="36"/>
        <v>1</v>
      </c>
      <c r="V55" s="292">
        <f t="shared" si="36"/>
        <v>1</v>
      </c>
      <c r="W55" s="292">
        <f t="shared" si="36"/>
        <v>1</v>
      </c>
      <c r="X55" s="292">
        <f t="shared" si="36"/>
        <v>1</v>
      </c>
      <c r="Y55" s="292">
        <f t="shared" si="31"/>
        <v>1</v>
      </c>
      <c r="Z55" s="292">
        <f t="shared" si="31"/>
        <v>1</v>
      </c>
      <c r="AA55" s="532">
        <f>+Z55</f>
        <v>1</v>
      </c>
      <c r="AB55" s="396">
        <f t="shared" si="32"/>
        <v>1</v>
      </c>
      <c r="AC55" s="396">
        <f t="shared" si="32"/>
        <v>1</v>
      </c>
      <c r="AD55" s="396">
        <f t="shared" si="32"/>
        <v>1</v>
      </c>
      <c r="AE55" s="396">
        <f t="shared" si="32"/>
        <v>1</v>
      </c>
      <c r="AF55" s="396">
        <f t="shared" si="32"/>
        <v>1</v>
      </c>
    </row>
    <row r="56" spans="1:32" outlineLevel="1">
      <c r="A56" t="s">
        <v>374</v>
      </c>
      <c r="B56" s="292" t="str">
        <f t="shared" ref="B56:X56" si="37">IFERROR(B33/B10,"")</f>
        <v/>
      </c>
      <c r="C56" s="292" t="str">
        <f t="shared" si="37"/>
        <v/>
      </c>
      <c r="D56" s="292" t="str">
        <f t="shared" si="37"/>
        <v/>
      </c>
      <c r="E56" s="292" t="str">
        <f t="shared" si="37"/>
        <v/>
      </c>
      <c r="F56" s="292" t="str">
        <f t="shared" si="37"/>
        <v/>
      </c>
      <c r="G56" s="292" t="str">
        <f t="shared" si="37"/>
        <v/>
      </c>
      <c r="H56" s="292" t="str">
        <f t="shared" si="37"/>
        <v/>
      </c>
      <c r="I56" s="292" t="str">
        <f t="shared" si="37"/>
        <v/>
      </c>
      <c r="J56" s="292" t="str">
        <f t="shared" si="37"/>
        <v/>
      </c>
      <c r="K56" s="292" t="str">
        <f t="shared" si="37"/>
        <v/>
      </c>
      <c r="L56" s="292" t="str">
        <f t="shared" si="37"/>
        <v/>
      </c>
      <c r="M56" s="292">
        <f t="shared" si="37"/>
        <v>0</v>
      </c>
      <c r="N56" s="292">
        <f t="shared" si="37"/>
        <v>0.58695652173913049</v>
      </c>
      <c r="O56" s="292">
        <f t="shared" si="37"/>
        <v>0.70491803278688525</v>
      </c>
      <c r="P56" s="292">
        <f t="shared" si="37"/>
        <v>0.63963963963963966</v>
      </c>
      <c r="Q56" s="292">
        <f t="shared" si="37"/>
        <v>0.63358778625954193</v>
      </c>
      <c r="R56" s="292">
        <f t="shared" si="37"/>
        <v>0.54744525547445255</v>
      </c>
      <c r="S56" s="292">
        <f t="shared" si="37"/>
        <v>0.64444444444444449</v>
      </c>
      <c r="T56" s="292">
        <f t="shared" si="37"/>
        <v>0.60416666666666663</v>
      </c>
      <c r="U56" s="292">
        <f t="shared" si="37"/>
        <v>0.69230769230769229</v>
      </c>
      <c r="V56" s="292">
        <f t="shared" si="37"/>
        <v>0.81132075471698117</v>
      </c>
      <c r="W56" s="292">
        <f t="shared" si="37"/>
        <v>0.8571428571428571</v>
      </c>
      <c r="X56" s="292">
        <f t="shared" si="37"/>
        <v>0.83870967741935487</v>
      </c>
      <c r="Y56" s="292">
        <f t="shared" si="31"/>
        <v>0.69863013698630139</v>
      </c>
      <c r="Z56" s="292">
        <f t="shared" si="31"/>
        <v>0.72549019607843135</v>
      </c>
      <c r="AA56" s="532">
        <f>+Z56</f>
        <v>0.72549019607843135</v>
      </c>
      <c r="AB56" s="396">
        <f t="shared" si="32"/>
        <v>0.72549019607843135</v>
      </c>
      <c r="AC56" s="396">
        <f t="shared" si="32"/>
        <v>0.72549019607843135</v>
      </c>
      <c r="AD56" s="396">
        <f t="shared" si="32"/>
        <v>0.72549019607843135</v>
      </c>
      <c r="AE56" s="396">
        <f t="shared" si="32"/>
        <v>0.72549019607843135</v>
      </c>
      <c r="AF56" s="396">
        <f t="shared" si="32"/>
        <v>0.72549019607843135</v>
      </c>
    </row>
    <row r="57" spans="1:32" outlineLevel="1">
      <c r="B57" s="179"/>
      <c r="C57" s="179"/>
      <c r="D57" s="179"/>
      <c r="E57" s="179"/>
      <c r="F57" s="179"/>
      <c r="G57" s="179"/>
      <c r="H57" s="179"/>
      <c r="I57" s="179"/>
      <c r="J57" s="179"/>
      <c r="K57" s="179"/>
      <c r="L57" s="179"/>
      <c r="M57" s="179"/>
      <c r="N57" s="179"/>
      <c r="O57" s="179"/>
      <c r="P57" s="179"/>
      <c r="Q57" s="179"/>
      <c r="R57" s="179"/>
      <c r="S57" s="179"/>
      <c r="T57" s="179"/>
      <c r="U57" s="179"/>
      <c r="V57" s="179"/>
      <c r="W57" s="179"/>
      <c r="X57" s="179"/>
      <c r="Y57" s="179"/>
      <c r="Z57" s="179"/>
      <c r="AA57" s="532"/>
      <c r="AB57" s="396"/>
      <c r="AC57" s="396"/>
      <c r="AD57" s="396"/>
      <c r="AE57" s="396"/>
      <c r="AF57" s="396"/>
    </row>
    <row r="58" spans="1:32" outlineLevel="1">
      <c r="A58" t="s">
        <v>381</v>
      </c>
      <c r="B58" s="292">
        <f t="shared" ref="B58:X58" si="38">IFERROR(B35/B12,"")</f>
        <v>0.67105263157894735</v>
      </c>
      <c r="C58" s="292">
        <f t="shared" si="38"/>
        <v>0.46875</v>
      </c>
      <c r="D58" s="292">
        <f t="shared" si="38"/>
        <v>0.83018867924528306</v>
      </c>
      <c r="E58" s="292">
        <f t="shared" si="38"/>
        <v>0.8</v>
      </c>
      <c r="F58" s="292">
        <f t="shared" si="38"/>
        <v>0.69354838709677424</v>
      </c>
      <c r="G58" s="292">
        <f t="shared" si="38"/>
        <v>0.64835164835164838</v>
      </c>
      <c r="H58" s="292">
        <f t="shared" si="38"/>
        <v>0.62244897959183676</v>
      </c>
      <c r="I58" s="292">
        <f t="shared" si="38"/>
        <v>0.5625</v>
      </c>
      <c r="J58" s="292">
        <f t="shared" si="38"/>
        <v>0.66216216216216217</v>
      </c>
      <c r="K58" s="292">
        <f t="shared" si="38"/>
        <v>0.65753424657534243</v>
      </c>
      <c r="L58" s="292">
        <f t="shared" si="38"/>
        <v>0.54054054054054057</v>
      </c>
      <c r="M58" s="292">
        <f t="shared" si="38"/>
        <v>0.71052631578947367</v>
      </c>
      <c r="N58" s="292">
        <f t="shared" si="38"/>
        <v>0.6785714285714286</v>
      </c>
      <c r="O58" s="292">
        <f t="shared" si="38"/>
        <v>0.63636363636363635</v>
      </c>
      <c r="P58" s="292">
        <f t="shared" si="38"/>
        <v>0.72413793103448276</v>
      </c>
      <c r="Q58" s="292">
        <f t="shared" si="38"/>
        <v>0.91304347826086951</v>
      </c>
      <c r="R58" s="292">
        <f t="shared" si="38"/>
        <v>1</v>
      </c>
      <c r="S58" s="292">
        <f t="shared" si="38"/>
        <v>0.5</v>
      </c>
      <c r="T58" s="292">
        <f t="shared" si="38"/>
        <v>1</v>
      </c>
      <c r="U58" s="292">
        <f t="shared" si="38"/>
        <v>1</v>
      </c>
      <c r="V58" s="292">
        <f t="shared" si="38"/>
        <v>1</v>
      </c>
      <c r="W58" s="292">
        <f t="shared" si="38"/>
        <v>1</v>
      </c>
      <c r="X58" s="292">
        <f t="shared" si="38"/>
        <v>1</v>
      </c>
      <c r="Y58" s="292">
        <f t="shared" ref="Y58:Z63" si="39">IFERROR(Y35/Y12,"")</f>
        <v>1</v>
      </c>
      <c r="Z58" s="292">
        <f t="shared" si="39"/>
        <v>1</v>
      </c>
      <c r="AA58" s="532">
        <f t="shared" ref="AA58:AF60" si="40">+Z58</f>
        <v>1</v>
      </c>
      <c r="AB58" s="396">
        <f t="shared" si="40"/>
        <v>1</v>
      </c>
      <c r="AC58" s="396">
        <f t="shared" si="40"/>
        <v>1</v>
      </c>
      <c r="AD58" s="396">
        <f t="shared" si="40"/>
        <v>1</v>
      </c>
      <c r="AE58" s="396">
        <f t="shared" si="40"/>
        <v>1</v>
      </c>
      <c r="AF58" s="396">
        <f t="shared" si="40"/>
        <v>1</v>
      </c>
    </row>
    <row r="59" spans="1:32" outlineLevel="1">
      <c r="A59" t="s">
        <v>382</v>
      </c>
      <c r="B59" s="292">
        <f t="shared" ref="B59:X59" si="41">IFERROR(B36/B13,"")</f>
        <v>0.52631578947368418</v>
      </c>
      <c r="C59" s="292">
        <f t="shared" si="41"/>
        <v>0.48351648351648352</v>
      </c>
      <c r="D59" s="292">
        <f t="shared" si="41"/>
        <v>0.42222222222222222</v>
      </c>
      <c r="E59" s="292">
        <f t="shared" si="41"/>
        <v>0.5368421052631579</v>
      </c>
      <c r="F59" s="292">
        <f t="shared" si="41"/>
        <v>0.45783132530120479</v>
      </c>
      <c r="G59" s="292">
        <f t="shared" si="41"/>
        <v>0.42452830188679247</v>
      </c>
      <c r="H59" s="292">
        <f t="shared" si="41"/>
        <v>0.54140127388535031</v>
      </c>
      <c r="I59" s="292">
        <f t="shared" si="41"/>
        <v>0.67027027027027031</v>
      </c>
      <c r="J59" s="292">
        <f t="shared" si="41"/>
        <v>0.58208955223880599</v>
      </c>
      <c r="K59" s="292">
        <f t="shared" si="41"/>
        <v>0.70319634703196343</v>
      </c>
      <c r="L59" s="292">
        <f t="shared" si="41"/>
        <v>0.59027777777777779</v>
      </c>
      <c r="M59" s="292">
        <f t="shared" si="41"/>
        <v>0.62171052631578949</v>
      </c>
      <c r="N59" s="292">
        <f t="shared" si="41"/>
        <v>0.59815950920245398</v>
      </c>
      <c r="O59" s="292">
        <f t="shared" si="41"/>
        <v>0.59659090909090906</v>
      </c>
      <c r="P59" s="292">
        <f t="shared" si="41"/>
        <v>0.5927152317880795</v>
      </c>
      <c r="Q59" s="292">
        <f t="shared" si="41"/>
        <v>0.63701067615658358</v>
      </c>
      <c r="R59" s="292">
        <f t="shared" si="41"/>
        <v>0.6959247648902821</v>
      </c>
      <c r="S59" s="292">
        <f t="shared" si="41"/>
        <v>0.72093023255813948</v>
      </c>
      <c r="T59" s="292">
        <f t="shared" si="41"/>
        <v>0.65625</v>
      </c>
      <c r="U59" s="292">
        <f t="shared" si="41"/>
        <v>0.607981220657277</v>
      </c>
      <c r="V59" s="292">
        <f t="shared" si="41"/>
        <v>0.54150197628458496</v>
      </c>
      <c r="W59" s="292">
        <f t="shared" si="41"/>
        <v>0.6328125</v>
      </c>
      <c r="X59" s="292">
        <f t="shared" si="41"/>
        <v>0.65040650406504064</v>
      </c>
      <c r="Y59" s="292">
        <f t="shared" si="39"/>
        <v>0.63157894736842102</v>
      </c>
      <c r="Z59" s="292">
        <f t="shared" si="39"/>
        <v>0.72844827586206895</v>
      </c>
      <c r="AA59" s="532">
        <f t="shared" si="40"/>
        <v>0.72844827586206895</v>
      </c>
      <c r="AB59" s="396">
        <f t="shared" si="40"/>
        <v>0.72844827586206895</v>
      </c>
      <c r="AC59" s="396">
        <f t="shared" si="40"/>
        <v>0.72844827586206895</v>
      </c>
      <c r="AD59" s="396">
        <f t="shared" si="40"/>
        <v>0.72844827586206895</v>
      </c>
      <c r="AE59" s="396">
        <f t="shared" si="40"/>
        <v>0.72844827586206895</v>
      </c>
      <c r="AF59" s="396">
        <f t="shared" si="40"/>
        <v>0.72844827586206895</v>
      </c>
    </row>
    <row r="60" spans="1:32" outlineLevel="1">
      <c r="A60" t="s">
        <v>383</v>
      </c>
      <c r="B60" s="292">
        <f t="shared" ref="B60:X60" si="42">IFERROR(B37/B14,"")</f>
        <v>0.45</v>
      </c>
      <c r="C60" s="292">
        <f t="shared" si="42"/>
        <v>0.78723404255319152</v>
      </c>
      <c r="D60" s="292">
        <f t="shared" si="42"/>
        <v>0.48571428571428571</v>
      </c>
      <c r="E60" s="292">
        <f t="shared" si="42"/>
        <v>0.53333333333333333</v>
      </c>
      <c r="F60" s="292">
        <f t="shared" si="42"/>
        <v>0.30303030303030304</v>
      </c>
      <c r="G60" s="292">
        <f t="shared" si="42"/>
        <v>0.41176470588235292</v>
      </c>
      <c r="H60" s="292">
        <f t="shared" si="42"/>
        <v>0.33333333333333331</v>
      </c>
      <c r="I60" s="292">
        <f t="shared" si="42"/>
        <v>0.2978723404255319</v>
      </c>
      <c r="J60" s="292">
        <f t="shared" si="42"/>
        <v>0.43939393939393939</v>
      </c>
      <c r="K60" s="292">
        <f t="shared" si="42"/>
        <v>0.33333333333333331</v>
      </c>
      <c r="L60" s="292">
        <f t="shared" si="42"/>
        <v>0.42</v>
      </c>
      <c r="M60" s="292">
        <f t="shared" si="42"/>
        <v>0.16666666666666666</v>
      </c>
      <c r="N60" s="292">
        <f t="shared" si="42"/>
        <v>0.14457831325301204</v>
      </c>
      <c r="O60" s="292">
        <f t="shared" si="42"/>
        <v>0.35</v>
      </c>
      <c r="P60" s="292">
        <f t="shared" si="42"/>
        <v>0.24832214765100671</v>
      </c>
      <c r="Q60" s="292">
        <f t="shared" si="42"/>
        <v>0.35326086956521741</v>
      </c>
      <c r="R60" s="292">
        <f t="shared" si="42"/>
        <v>0.5</v>
      </c>
      <c r="S60" s="292">
        <f t="shared" si="42"/>
        <v>0.46039603960396042</v>
      </c>
      <c r="T60" s="292">
        <f t="shared" si="42"/>
        <v>0.44776119402985076</v>
      </c>
      <c r="U60" s="292">
        <f t="shared" si="42"/>
        <v>0.45853658536585368</v>
      </c>
      <c r="V60" s="292">
        <f t="shared" si="42"/>
        <v>0.54545454545454541</v>
      </c>
      <c r="W60" s="292">
        <f t="shared" si="42"/>
        <v>0.56621004566210043</v>
      </c>
      <c r="X60" s="292">
        <f t="shared" si="42"/>
        <v>0.46590909090909088</v>
      </c>
      <c r="Y60" s="292">
        <f t="shared" si="39"/>
        <v>0.39116719242902209</v>
      </c>
      <c r="Z60" s="292">
        <f t="shared" si="39"/>
        <v>0.41551246537396119</v>
      </c>
      <c r="AA60" s="532">
        <f t="shared" si="40"/>
        <v>0.41551246537396119</v>
      </c>
      <c r="AB60" s="396">
        <f t="shared" si="40"/>
        <v>0.41551246537396119</v>
      </c>
      <c r="AC60" s="396">
        <f t="shared" si="40"/>
        <v>0.41551246537396119</v>
      </c>
      <c r="AD60" s="396">
        <f t="shared" si="40"/>
        <v>0.41551246537396119</v>
      </c>
      <c r="AE60" s="396">
        <f t="shared" si="40"/>
        <v>0.41551246537396119</v>
      </c>
      <c r="AF60" s="396">
        <f t="shared" si="40"/>
        <v>0.41551246537396119</v>
      </c>
    </row>
    <row r="61" spans="1:32" outlineLevel="1">
      <c r="A61" t="s">
        <v>375</v>
      </c>
      <c r="B61" s="292">
        <f t="shared" ref="B61:F63" si="43">IFERROR(B38/B15,"")</f>
        <v>0</v>
      </c>
      <c r="C61" s="292">
        <f t="shared" si="43"/>
        <v>0.13636363636363635</v>
      </c>
      <c r="D61" s="292">
        <f t="shared" si="43"/>
        <v>0.48275862068965519</v>
      </c>
      <c r="E61" s="292">
        <f t="shared" si="43"/>
        <v>0.28000000000000003</v>
      </c>
      <c r="F61" s="292">
        <f t="shared" si="43"/>
        <v>0.36842105263157893</v>
      </c>
      <c r="G61" s="292">
        <f t="shared" ref="G61:X61" si="44">IFERROR(G38/G15,"")</f>
        <v>0.49056603773584906</v>
      </c>
      <c r="H61" s="292">
        <f t="shared" si="44"/>
        <v>0.36842105263157893</v>
      </c>
      <c r="I61" s="292">
        <f t="shared" si="44"/>
        <v>0.37313432835820898</v>
      </c>
      <c r="J61" s="292">
        <f t="shared" si="44"/>
        <v>0.27868852459016391</v>
      </c>
      <c r="K61" s="292">
        <f t="shared" si="44"/>
        <v>0.12307692307692308</v>
      </c>
      <c r="L61" s="292">
        <f t="shared" si="44"/>
        <v>0.10975609756097561</v>
      </c>
      <c r="M61" s="292">
        <f t="shared" si="44"/>
        <v>0.14457831325301204</v>
      </c>
      <c r="N61" s="292">
        <f t="shared" si="44"/>
        <v>0.17525773195876287</v>
      </c>
      <c r="O61" s="292">
        <f t="shared" si="44"/>
        <v>0.12745098039215685</v>
      </c>
      <c r="P61" s="292">
        <f t="shared" si="44"/>
        <v>0.12745098039215685</v>
      </c>
      <c r="Q61" s="292">
        <f t="shared" si="44"/>
        <v>0.19791666666666666</v>
      </c>
      <c r="R61" s="292">
        <f t="shared" si="44"/>
        <v>0.32786885245901637</v>
      </c>
      <c r="S61" s="292">
        <f t="shared" si="44"/>
        <v>0.18032786885245902</v>
      </c>
      <c r="T61" s="292">
        <f t="shared" si="44"/>
        <v>9.0909090909090912E-2</v>
      </c>
      <c r="U61" s="292">
        <f t="shared" si="44"/>
        <v>6.25E-2</v>
      </c>
      <c r="V61" s="292">
        <f t="shared" si="44"/>
        <v>7.1428571428571425E-2</v>
      </c>
      <c r="W61" s="292">
        <f t="shared" si="44"/>
        <v>0</v>
      </c>
      <c r="X61" s="292">
        <f t="shared" si="44"/>
        <v>0</v>
      </c>
      <c r="Y61" s="292">
        <f t="shared" si="39"/>
        <v>0</v>
      </c>
      <c r="Z61" s="292">
        <f t="shared" si="39"/>
        <v>0</v>
      </c>
      <c r="AA61" s="532"/>
      <c r="AB61" s="396"/>
      <c r="AC61" s="396"/>
      <c r="AD61" s="396"/>
      <c r="AE61" s="396"/>
      <c r="AF61" s="396"/>
    </row>
    <row r="62" spans="1:32" outlineLevel="1">
      <c r="A62" t="s">
        <v>376</v>
      </c>
      <c r="B62" s="292">
        <f t="shared" si="43"/>
        <v>1</v>
      </c>
      <c r="C62" s="292">
        <f t="shared" si="43"/>
        <v>1</v>
      </c>
      <c r="D62" s="292">
        <f t="shared" si="43"/>
        <v>0.5</v>
      </c>
      <c r="E62" s="292">
        <f t="shared" si="43"/>
        <v>0.3888888888888889</v>
      </c>
      <c r="F62" s="292">
        <f t="shared" si="43"/>
        <v>0.25</v>
      </c>
      <c r="G62" s="292">
        <f t="shared" ref="G62:X62" si="45">IFERROR(G39/G16,"")</f>
        <v>0.23529411764705882</v>
      </c>
      <c r="H62" s="292">
        <f t="shared" si="45"/>
        <v>0</v>
      </c>
      <c r="I62" s="292">
        <f t="shared" si="45"/>
        <v>0.4</v>
      </c>
      <c r="J62" s="292">
        <f t="shared" si="45"/>
        <v>0.22222222222222221</v>
      </c>
      <c r="K62" s="292">
        <f t="shared" si="45"/>
        <v>0</v>
      </c>
      <c r="L62" s="292">
        <f t="shared" si="45"/>
        <v>0</v>
      </c>
      <c r="M62" s="292" t="str">
        <f t="shared" si="45"/>
        <v/>
      </c>
      <c r="N62" s="292">
        <f t="shared" si="45"/>
        <v>0</v>
      </c>
      <c r="O62" s="292" t="str">
        <f t="shared" si="45"/>
        <v/>
      </c>
      <c r="P62" s="292" t="str">
        <f t="shared" si="45"/>
        <v/>
      </c>
      <c r="Q62" s="292" t="str">
        <f t="shared" si="45"/>
        <v/>
      </c>
      <c r="R62" s="292" t="str">
        <f t="shared" si="45"/>
        <v/>
      </c>
      <c r="S62" s="292" t="str">
        <f t="shared" si="45"/>
        <v/>
      </c>
      <c r="T62" s="292" t="str">
        <f t="shared" si="45"/>
        <v/>
      </c>
      <c r="U62" s="292" t="str">
        <f t="shared" si="45"/>
        <v/>
      </c>
      <c r="V62" s="292" t="str">
        <f t="shared" si="45"/>
        <v/>
      </c>
      <c r="W62" s="292" t="str">
        <f t="shared" si="45"/>
        <v/>
      </c>
      <c r="X62" s="292" t="str">
        <f t="shared" si="45"/>
        <v/>
      </c>
      <c r="Y62" s="292" t="str">
        <f t="shared" si="39"/>
        <v/>
      </c>
      <c r="Z62" s="292" t="str">
        <f t="shared" si="39"/>
        <v/>
      </c>
      <c r="AA62" s="532"/>
      <c r="AB62" s="396"/>
      <c r="AC62" s="396"/>
      <c r="AD62" s="396"/>
      <c r="AE62" s="396"/>
      <c r="AF62" s="396"/>
    </row>
    <row r="63" spans="1:32" outlineLevel="1">
      <c r="A63" t="s">
        <v>377</v>
      </c>
      <c r="B63" s="292" t="str">
        <f t="shared" si="43"/>
        <v/>
      </c>
      <c r="C63" s="292" t="str">
        <f t="shared" si="43"/>
        <v/>
      </c>
      <c r="D63" s="292" t="str">
        <f t="shared" si="43"/>
        <v/>
      </c>
      <c r="E63" s="292" t="str">
        <f t="shared" si="43"/>
        <v/>
      </c>
      <c r="F63" s="292" t="str">
        <f t="shared" si="43"/>
        <v/>
      </c>
      <c r="G63" s="292" t="str">
        <f t="shared" ref="G63:X63" si="46">IFERROR(G40/G17,"")</f>
        <v/>
      </c>
      <c r="H63" s="292" t="str">
        <f t="shared" si="46"/>
        <v/>
      </c>
      <c r="I63" s="292" t="str">
        <f t="shared" si="46"/>
        <v/>
      </c>
      <c r="J63" s="292">
        <f t="shared" si="46"/>
        <v>0.2857142857142857</v>
      </c>
      <c r="K63" s="292">
        <f t="shared" si="46"/>
        <v>0.75</v>
      </c>
      <c r="L63" s="292">
        <f t="shared" si="46"/>
        <v>0.6</v>
      </c>
      <c r="M63" s="292">
        <f t="shared" si="46"/>
        <v>0.43478260869565216</v>
      </c>
      <c r="N63" s="292">
        <f t="shared" si="46"/>
        <v>0.44827586206896552</v>
      </c>
      <c r="O63" s="292">
        <f t="shared" si="46"/>
        <v>0.64</v>
      </c>
      <c r="P63" s="292">
        <f t="shared" si="46"/>
        <v>0.7</v>
      </c>
      <c r="Q63" s="292">
        <f t="shared" si="46"/>
        <v>0.77777777777777779</v>
      </c>
      <c r="R63" s="292">
        <f t="shared" si="46"/>
        <v>0.75</v>
      </c>
      <c r="S63" s="292">
        <f t="shared" si="46"/>
        <v>0.33333333333333331</v>
      </c>
      <c r="T63" s="292">
        <f t="shared" si="46"/>
        <v>8.3333333333333329E-2</v>
      </c>
      <c r="U63" s="292">
        <f t="shared" si="46"/>
        <v>0</v>
      </c>
      <c r="V63" s="292">
        <f t="shared" si="46"/>
        <v>0</v>
      </c>
      <c r="W63" s="292">
        <f t="shared" si="46"/>
        <v>0</v>
      </c>
      <c r="X63" s="292" t="str">
        <f t="shared" si="46"/>
        <v/>
      </c>
      <c r="Y63" s="292" t="str">
        <f t="shared" si="39"/>
        <v/>
      </c>
      <c r="Z63" s="292" t="str">
        <f t="shared" si="39"/>
        <v/>
      </c>
      <c r="AA63" s="532"/>
      <c r="AB63" s="396"/>
      <c r="AC63" s="396"/>
      <c r="AD63" s="396"/>
      <c r="AE63" s="396"/>
      <c r="AF63" s="396"/>
    </row>
    <row r="64" spans="1:32" outlineLevel="1">
      <c r="B64" s="179"/>
      <c r="C64" s="179"/>
      <c r="D64" s="179"/>
      <c r="E64" s="179"/>
      <c r="F64" s="179"/>
      <c r="G64" s="179"/>
      <c r="H64" s="179"/>
      <c r="I64" s="179"/>
      <c r="J64" s="179"/>
      <c r="K64" s="179"/>
      <c r="L64" s="179"/>
      <c r="M64" s="179"/>
      <c r="N64" s="179"/>
      <c r="O64" s="179"/>
      <c r="P64" s="179"/>
      <c r="Q64" s="179"/>
      <c r="R64" s="179"/>
      <c r="S64" s="179"/>
      <c r="T64" s="179"/>
      <c r="U64" s="179"/>
      <c r="V64" s="179"/>
      <c r="W64" s="179"/>
      <c r="X64" s="179"/>
      <c r="Y64" s="179"/>
      <c r="Z64" s="179"/>
      <c r="AA64" s="532"/>
      <c r="AB64" s="396"/>
      <c r="AC64" s="396"/>
      <c r="AD64" s="396"/>
      <c r="AE64" s="396"/>
      <c r="AF64" s="396"/>
    </row>
    <row r="65" spans="1:34" outlineLevel="1">
      <c r="A65" t="s">
        <v>379</v>
      </c>
      <c r="B65" s="292" t="str">
        <f t="shared" ref="B65:F71" si="47">IFERROR(B42/B19,"")</f>
        <v/>
      </c>
      <c r="C65" s="292" t="str">
        <f t="shared" si="47"/>
        <v/>
      </c>
      <c r="D65" s="292" t="str">
        <f t="shared" si="47"/>
        <v/>
      </c>
      <c r="E65" s="292" t="str">
        <f t="shared" si="47"/>
        <v/>
      </c>
      <c r="F65" s="292">
        <f t="shared" si="47"/>
        <v>1</v>
      </c>
      <c r="G65" s="292">
        <f t="shared" ref="G65:X65" si="48">IFERROR(G42/G19,"")</f>
        <v>1</v>
      </c>
      <c r="H65" s="292">
        <f t="shared" si="48"/>
        <v>1</v>
      </c>
      <c r="I65" s="292">
        <f t="shared" si="48"/>
        <v>1</v>
      </c>
      <c r="J65" s="292">
        <f t="shared" si="48"/>
        <v>1</v>
      </c>
      <c r="K65" s="292">
        <f t="shared" si="48"/>
        <v>1</v>
      </c>
      <c r="L65" s="292">
        <f t="shared" si="48"/>
        <v>1</v>
      </c>
      <c r="M65" s="292">
        <f t="shared" si="48"/>
        <v>1</v>
      </c>
      <c r="N65" s="292">
        <f t="shared" si="48"/>
        <v>1</v>
      </c>
      <c r="O65" s="292">
        <f t="shared" si="48"/>
        <v>1</v>
      </c>
      <c r="P65" s="292">
        <f t="shared" si="48"/>
        <v>1</v>
      </c>
      <c r="Q65" s="292">
        <f t="shared" si="48"/>
        <v>1</v>
      </c>
      <c r="R65" s="292" t="str">
        <f t="shared" si="48"/>
        <v/>
      </c>
      <c r="S65" s="292" t="str">
        <f t="shared" si="48"/>
        <v/>
      </c>
      <c r="T65" s="292">
        <f t="shared" si="48"/>
        <v>1</v>
      </c>
      <c r="U65" s="292" t="str">
        <f t="shared" si="48"/>
        <v/>
      </c>
      <c r="V65" s="292" t="str">
        <f t="shared" si="48"/>
        <v/>
      </c>
      <c r="W65" s="292" t="str">
        <f t="shared" si="48"/>
        <v/>
      </c>
      <c r="X65" s="292" t="str">
        <f t="shared" si="48"/>
        <v/>
      </c>
      <c r="Y65" s="292" t="str">
        <f t="shared" ref="Y65:Z71" si="49">IFERROR(Y42/Y19,"")</f>
        <v/>
      </c>
      <c r="Z65" s="292" t="str">
        <f t="shared" si="49"/>
        <v/>
      </c>
      <c r="AA65" s="532"/>
      <c r="AB65" s="396"/>
      <c r="AC65" s="396"/>
      <c r="AD65" s="396"/>
      <c r="AE65" s="396"/>
      <c r="AF65" s="396"/>
    </row>
    <row r="66" spans="1:34" outlineLevel="1">
      <c r="A66" t="s">
        <v>384</v>
      </c>
      <c r="B66" s="292" t="str">
        <f t="shared" si="47"/>
        <v/>
      </c>
      <c r="C66" s="292" t="str">
        <f t="shared" si="47"/>
        <v/>
      </c>
      <c r="D66" s="292" t="str">
        <f t="shared" si="47"/>
        <v/>
      </c>
      <c r="E66" s="292" t="str">
        <f t="shared" si="47"/>
        <v/>
      </c>
      <c r="F66" s="292" t="str">
        <f t="shared" si="47"/>
        <v/>
      </c>
      <c r="G66" s="292">
        <f t="shared" ref="G66:X66" si="50">IFERROR(G43/G20,"")</f>
        <v>1</v>
      </c>
      <c r="H66" s="292">
        <f t="shared" si="50"/>
        <v>1</v>
      </c>
      <c r="I66" s="292">
        <f t="shared" si="50"/>
        <v>1</v>
      </c>
      <c r="J66" s="292">
        <f t="shared" si="50"/>
        <v>1</v>
      </c>
      <c r="K66" s="292">
        <f t="shared" si="50"/>
        <v>1</v>
      </c>
      <c r="L66" s="292">
        <f t="shared" si="50"/>
        <v>1</v>
      </c>
      <c r="M66" s="292">
        <f t="shared" si="50"/>
        <v>1</v>
      </c>
      <c r="N66" s="292">
        <f t="shared" si="50"/>
        <v>1</v>
      </c>
      <c r="O66" s="292">
        <f t="shared" si="50"/>
        <v>1</v>
      </c>
      <c r="P66" s="292">
        <f t="shared" si="50"/>
        <v>1</v>
      </c>
      <c r="Q66" s="292">
        <f t="shared" si="50"/>
        <v>1</v>
      </c>
      <c r="R66" s="292">
        <f t="shared" si="50"/>
        <v>1</v>
      </c>
      <c r="S66" s="292">
        <f t="shared" si="50"/>
        <v>1</v>
      </c>
      <c r="T66" s="292">
        <f t="shared" si="50"/>
        <v>1</v>
      </c>
      <c r="U66" s="292">
        <f t="shared" si="50"/>
        <v>1</v>
      </c>
      <c r="V66" s="292">
        <f t="shared" si="50"/>
        <v>1</v>
      </c>
      <c r="W66" s="292">
        <f t="shared" si="50"/>
        <v>1</v>
      </c>
      <c r="X66" s="292">
        <f t="shared" si="50"/>
        <v>1</v>
      </c>
      <c r="Y66" s="292">
        <f t="shared" si="49"/>
        <v>1</v>
      </c>
      <c r="Z66" s="292">
        <f t="shared" si="49"/>
        <v>1</v>
      </c>
      <c r="AA66" s="532">
        <f t="shared" ref="AA66:AF66" si="51">+Z66</f>
        <v>1</v>
      </c>
      <c r="AB66" s="396">
        <f t="shared" si="51"/>
        <v>1</v>
      </c>
      <c r="AC66" s="396">
        <f t="shared" si="51"/>
        <v>1</v>
      </c>
      <c r="AD66" s="396">
        <f t="shared" si="51"/>
        <v>1</v>
      </c>
      <c r="AE66" s="396">
        <f t="shared" si="51"/>
        <v>1</v>
      </c>
      <c r="AF66" s="396">
        <f t="shared" si="51"/>
        <v>1</v>
      </c>
    </row>
    <row r="67" spans="1:34" outlineLevel="1">
      <c r="A67" t="s">
        <v>380</v>
      </c>
      <c r="B67" s="292" t="str">
        <f t="shared" si="47"/>
        <v/>
      </c>
      <c r="C67" s="292" t="str">
        <f t="shared" si="47"/>
        <v/>
      </c>
      <c r="D67" s="292" t="str">
        <f t="shared" si="47"/>
        <v/>
      </c>
      <c r="E67" s="292" t="str">
        <f t="shared" si="47"/>
        <v/>
      </c>
      <c r="F67" s="292" t="str">
        <f t="shared" si="47"/>
        <v/>
      </c>
      <c r="G67" s="292">
        <f t="shared" ref="G67:X67" si="52">IFERROR(G44/G21,"")</f>
        <v>1</v>
      </c>
      <c r="H67" s="292">
        <f t="shared" si="52"/>
        <v>1</v>
      </c>
      <c r="I67" s="292">
        <f t="shared" si="52"/>
        <v>1</v>
      </c>
      <c r="J67" s="292">
        <f t="shared" si="52"/>
        <v>1</v>
      </c>
      <c r="K67" s="292">
        <f t="shared" si="52"/>
        <v>1</v>
      </c>
      <c r="L67" s="292">
        <f t="shared" si="52"/>
        <v>1</v>
      </c>
      <c r="M67" s="292">
        <f t="shared" si="52"/>
        <v>1</v>
      </c>
      <c r="N67" s="292">
        <f t="shared" si="52"/>
        <v>1</v>
      </c>
      <c r="O67" s="292">
        <f t="shared" si="52"/>
        <v>1</v>
      </c>
      <c r="P67" s="292">
        <f t="shared" si="52"/>
        <v>1</v>
      </c>
      <c r="Q67" s="292">
        <f t="shared" si="52"/>
        <v>1</v>
      </c>
      <c r="R67" s="292">
        <f t="shared" si="52"/>
        <v>1</v>
      </c>
      <c r="S67" s="292">
        <f t="shared" si="52"/>
        <v>1</v>
      </c>
      <c r="T67" s="292">
        <f t="shared" si="52"/>
        <v>0.76470588235294112</v>
      </c>
      <c r="U67" s="292">
        <f t="shared" si="52"/>
        <v>0.41666666666666669</v>
      </c>
      <c r="V67" s="292">
        <f t="shared" si="52"/>
        <v>0.2</v>
      </c>
      <c r="W67" s="292">
        <f t="shared" si="52"/>
        <v>0</v>
      </c>
      <c r="X67" s="292">
        <f t="shared" si="52"/>
        <v>1</v>
      </c>
      <c r="Y67" s="292">
        <f t="shared" si="49"/>
        <v>0</v>
      </c>
      <c r="Z67" s="292">
        <f t="shared" si="49"/>
        <v>0</v>
      </c>
      <c r="AA67" s="532"/>
      <c r="AB67" s="396"/>
      <c r="AC67" s="396"/>
      <c r="AD67" s="396"/>
      <c r="AE67" s="396"/>
      <c r="AF67" s="396"/>
    </row>
    <row r="68" spans="1:34" outlineLevel="1">
      <c r="A68" t="s">
        <v>385</v>
      </c>
      <c r="B68" s="292" t="str">
        <f t="shared" si="47"/>
        <v/>
      </c>
      <c r="C68" s="292" t="str">
        <f t="shared" si="47"/>
        <v/>
      </c>
      <c r="D68" s="292" t="str">
        <f t="shared" si="47"/>
        <v/>
      </c>
      <c r="E68" s="292" t="str">
        <f t="shared" si="47"/>
        <v/>
      </c>
      <c r="F68" s="292" t="str">
        <f t="shared" si="47"/>
        <v/>
      </c>
      <c r="G68" s="292" t="str">
        <f t="shared" ref="G68:X68" si="53">IFERROR(G45/G22,"")</f>
        <v/>
      </c>
      <c r="H68" s="292">
        <f t="shared" si="53"/>
        <v>1</v>
      </c>
      <c r="I68" s="292">
        <f t="shared" si="53"/>
        <v>1</v>
      </c>
      <c r="J68" s="292">
        <f t="shared" si="53"/>
        <v>1</v>
      </c>
      <c r="K68" s="292">
        <f t="shared" si="53"/>
        <v>1</v>
      </c>
      <c r="L68" s="292">
        <f t="shared" si="53"/>
        <v>1</v>
      </c>
      <c r="M68" s="292">
        <f t="shared" si="53"/>
        <v>1</v>
      </c>
      <c r="N68" s="292">
        <f t="shared" si="53"/>
        <v>1</v>
      </c>
      <c r="O68" s="292">
        <f t="shared" si="53"/>
        <v>1</v>
      </c>
      <c r="P68" s="292">
        <f t="shared" si="53"/>
        <v>1</v>
      </c>
      <c r="Q68" s="292">
        <f t="shared" si="53"/>
        <v>1</v>
      </c>
      <c r="R68" s="292">
        <f t="shared" si="53"/>
        <v>1</v>
      </c>
      <c r="S68" s="292">
        <f t="shared" si="53"/>
        <v>1</v>
      </c>
      <c r="T68" s="292">
        <f t="shared" si="53"/>
        <v>1</v>
      </c>
      <c r="U68" s="292">
        <f t="shared" si="53"/>
        <v>0.3</v>
      </c>
      <c r="V68" s="292">
        <f t="shared" si="53"/>
        <v>0</v>
      </c>
      <c r="W68" s="292">
        <f t="shared" si="53"/>
        <v>0</v>
      </c>
      <c r="X68" s="292">
        <f t="shared" si="53"/>
        <v>0</v>
      </c>
      <c r="Y68" s="292">
        <f t="shared" si="49"/>
        <v>0</v>
      </c>
      <c r="Z68" s="292">
        <f t="shared" si="49"/>
        <v>0</v>
      </c>
      <c r="AA68" s="532"/>
      <c r="AB68" s="396"/>
      <c r="AC68" s="396"/>
      <c r="AD68" s="396"/>
      <c r="AE68" s="396"/>
      <c r="AF68" s="396"/>
    </row>
    <row r="69" spans="1:34" outlineLevel="1">
      <c r="B69" s="292" t="str">
        <f t="shared" si="47"/>
        <v/>
      </c>
      <c r="C69" s="292" t="str">
        <f t="shared" si="47"/>
        <v/>
      </c>
      <c r="D69" s="292" t="str">
        <f t="shared" si="47"/>
        <v/>
      </c>
      <c r="E69" s="292" t="str">
        <f t="shared" si="47"/>
        <v/>
      </c>
      <c r="F69" s="292" t="str">
        <f t="shared" si="47"/>
        <v/>
      </c>
      <c r="G69" s="292" t="str">
        <f t="shared" ref="G69:X69" si="54">IFERROR(G46/G23,"")</f>
        <v/>
      </c>
      <c r="H69" s="292" t="str">
        <f t="shared" si="54"/>
        <v/>
      </c>
      <c r="I69" s="292" t="str">
        <f t="shared" si="54"/>
        <v/>
      </c>
      <c r="J69" s="292" t="str">
        <f t="shared" si="54"/>
        <v/>
      </c>
      <c r="K69" s="292" t="str">
        <f t="shared" si="54"/>
        <v/>
      </c>
      <c r="L69" s="292" t="str">
        <f t="shared" si="54"/>
        <v/>
      </c>
      <c r="M69" s="292" t="str">
        <f t="shared" si="54"/>
        <v/>
      </c>
      <c r="N69" s="292" t="str">
        <f t="shared" si="54"/>
        <v/>
      </c>
      <c r="O69" s="292" t="str">
        <f t="shared" si="54"/>
        <v/>
      </c>
      <c r="P69" s="292" t="str">
        <f t="shared" si="54"/>
        <v/>
      </c>
      <c r="Q69" s="292" t="str">
        <f t="shared" si="54"/>
        <v/>
      </c>
      <c r="R69" s="292" t="str">
        <f t="shared" si="54"/>
        <v/>
      </c>
      <c r="S69" s="292" t="str">
        <f t="shared" si="54"/>
        <v/>
      </c>
      <c r="T69" s="292" t="str">
        <f t="shared" si="54"/>
        <v/>
      </c>
      <c r="U69" s="292" t="str">
        <f t="shared" si="54"/>
        <v/>
      </c>
      <c r="V69" s="292" t="str">
        <f t="shared" si="54"/>
        <v/>
      </c>
      <c r="W69" s="292" t="str">
        <f t="shared" si="54"/>
        <v/>
      </c>
      <c r="X69" s="292" t="str">
        <f t="shared" si="54"/>
        <v/>
      </c>
      <c r="Y69" s="292" t="str">
        <f t="shared" si="49"/>
        <v/>
      </c>
      <c r="Z69" s="292" t="str">
        <f t="shared" si="49"/>
        <v/>
      </c>
      <c r="AA69" s="532"/>
      <c r="AB69" s="396"/>
      <c r="AC69" s="396"/>
      <c r="AD69" s="396"/>
      <c r="AE69" s="396"/>
      <c r="AF69" s="396"/>
    </row>
    <row r="70" spans="1:34" outlineLevel="1">
      <c r="A70" t="s">
        <v>314</v>
      </c>
      <c r="B70" s="292">
        <f t="shared" si="47"/>
        <v>0.17488789237668162</v>
      </c>
      <c r="C70" s="292">
        <f t="shared" si="47"/>
        <v>0.25517241379310346</v>
      </c>
      <c r="D70" s="292">
        <f t="shared" si="47"/>
        <v>0.46774193548387094</v>
      </c>
      <c r="E70" s="292">
        <f t="shared" si="47"/>
        <v>0.64451827242524917</v>
      </c>
      <c r="F70" s="292">
        <f t="shared" si="47"/>
        <v>0.6072727272727273</v>
      </c>
      <c r="G70" s="292">
        <f t="shared" ref="G70:X70" si="55">IFERROR(G47/G24,"")</f>
        <v>0.63589743589743586</v>
      </c>
      <c r="H70" s="292">
        <f t="shared" si="55"/>
        <v>0.74757281553398058</v>
      </c>
      <c r="I70" s="292">
        <f t="shared" si="55"/>
        <v>0.8928571428571429</v>
      </c>
      <c r="J70" s="292">
        <f t="shared" si="55"/>
        <v>0.88372093023255816</v>
      </c>
      <c r="K70" s="292">
        <f t="shared" si="55"/>
        <v>0.84782608695652173</v>
      </c>
      <c r="L70" s="292">
        <f t="shared" si="55"/>
        <v>0.80952380952380953</v>
      </c>
      <c r="M70" s="292">
        <f t="shared" si="55"/>
        <v>0.89610389610389607</v>
      </c>
      <c r="N70" s="292">
        <f t="shared" si="55"/>
        <v>0.78723404255319152</v>
      </c>
      <c r="O70" s="292">
        <f t="shared" si="55"/>
        <v>0.7</v>
      </c>
      <c r="P70" s="292">
        <f t="shared" si="55"/>
        <v>0.67391304347826086</v>
      </c>
      <c r="Q70" s="292">
        <f t="shared" si="55"/>
        <v>0.60919540229885061</v>
      </c>
      <c r="R70" s="292">
        <f t="shared" si="55"/>
        <v>0.42063492063492064</v>
      </c>
      <c r="S70" s="292">
        <f t="shared" si="55"/>
        <v>0.24358974358974358</v>
      </c>
      <c r="T70" s="292">
        <f t="shared" si="55"/>
        <v>0.15934065934065933</v>
      </c>
      <c r="U70" s="292">
        <f t="shared" si="55"/>
        <v>0.18779342723004694</v>
      </c>
      <c r="V70" s="292">
        <f t="shared" si="55"/>
        <v>0.2356687898089172</v>
      </c>
      <c r="W70" s="292">
        <f t="shared" si="55"/>
        <v>0.13609467455621302</v>
      </c>
      <c r="X70" s="292">
        <f t="shared" si="55"/>
        <v>0.20231213872832371</v>
      </c>
      <c r="Y70" s="292">
        <f t="shared" si="49"/>
        <v>5.4216867469879519E-2</v>
      </c>
      <c r="Z70" s="292">
        <f t="shared" si="49"/>
        <v>0.22289156626506024</v>
      </c>
      <c r="AA70" s="532">
        <f t="shared" ref="AA70:AF70" si="56">+Z70</f>
        <v>0.22289156626506024</v>
      </c>
      <c r="AB70" s="396">
        <f t="shared" si="56"/>
        <v>0.22289156626506024</v>
      </c>
      <c r="AC70" s="396">
        <f t="shared" si="56"/>
        <v>0.22289156626506024</v>
      </c>
      <c r="AD70" s="396">
        <f t="shared" si="56"/>
        <v>0.22289156626506024</v>
      </c>
      <c r="AE70" s="396">
        <f t="shared" si="56"/>
        <v>0.22289156626506024</v>
      </c>
      <c r="AF70" s="396">
        <f t="shared" si="56"/>
        <v>0.22289156626506024</v>
      </c>
    </row>
    <row r="71" spans="1:34" outlineLevel="1">
      <c r="A71" s="365" t="s">
        <v>11</v>
      </c>
      <c r="B71" s="383">
        <f t="shared" si="47"/>
        <v>0.55601092896174864</v>
      </c>
      <c r="C71" s="383">
        <f t="shared" si="47"/>
        <v>0.54865181711606092</v>
      </c>
      <c r="D71" s="383">
        <f t="shared" si="47"/>
        <v>0.61715749039692702</v>
      </c>
      <c r="E71" s="383">
        <f t="shared" si="47"/>
        <v>0.67872044506258689</v>
      </c>
      <c r="F71" s="383">
        <f t="shared" si="47"/>
        <v>0.68</v>
      </c>
      <c r="G71" s="383">
        <f t="shared" ref="G71:AE71" si="57">IFERROR(G48/G25,"")</f>
        <v>0.70114942528735635</v>
      </c>
      <c r="H71" s="383">
        <f t="shared" si="57"/>
        <v>0.73903002309468824</v>
      </c>
      <c r="I71" s="383">
        <f t="shared" si="57"/>
        <v>0.79857578840284837</v>
      </c>
      <c r="J71" s="383">
        <f t="shared" si="57"/>
        <v>0.77525773195876291</v>
      </c>
      <c r="K71" s="383">
        <f t="shared" si="57"/>
        <v>0.78447488584474889</v>
      </c>
      <c r="L71" s="383">
        <f t="shared" si="57"/>
        <v>0.75430210325047797</v>
      </c>
      <c r="M71" s="383">
        <f t="shared" si="57"/>
        <v>0.75488454706927177</v>
      </c>
      <c r="N71" s="383">
        <f t="shared" si="57"/>
        <v>0.72863924050632911</v>
      </c>
      <c r="O71" s="383">
        <f t="shared" si="57"/>
        <v>0.73649635036496353</v>
      </c>
      <c r="P71" s="383">
        <f t="shared" si="57"/>
        <v>0.72237196765498657</v>
      </c>
      <c r="Q71" s="383">
        <f t="shared" si="57"/>
        <v>0.74507227332457293</v>
      </c>
      <c r="R71" s="383">
        <f t="shared" si="57"/>
        <v>0.75300063171193932</v>
      </c>
      <c r="S71" s="383">
        <f t="shared" si="57"/>
        <v>0.72919254658385091</v>
      </c>
      <c r="T71" s="383">
        <f t="shared" si="57"/>
        <v>0.6973760932944606</v>
      </c>
      <c r="U71" s="383">
        <f t="shared" si="57"/>
        <v>0.57522796352583583</v>
      </c>
      <c r="V71" s="383">
        <f t="shared" si="57"/>
        <v>0.55216284987277353</v>
      </c>
      <c r="W71" s="383">
        <f t="shared" si="57"/>
        <v>0.64200000000000002</v>
      </c>
      <c r="X71" s="383">
        <f t="shared" si="57"/>
        <v>0.6699916874480466</v>
      </c>
      <c r="Y71" s="383">
        <f t="shared" si="49"/>
        <v>0.62509448223733943</v>
      </c>
      <c r="Z71" s="383">
        <f t="shared" si="49"/>
        <v>0.5967078189300411</v>
      </c>
      <c r="AA71" s="610">
        <f t="shared" si="57"/>
        <v>0.63926416858340684</v>
      </c>
      <c r="AB71" s="397">
        <f t="shared" si="57"/>
        <v>0.65792806303249318</v>
      </c>
      <c r="AC71" s="397">
        <f t="shared" si="57"/>
        <v>0.6545669047072018</v>
      </c>
      <c r="AD71" s="397">
        <f t="shared" si="57"/>
        <v>0.65717418102404535</v>
      </c>
      <c r="AE71" s="397">
        <f t="shared" si="57"/>
        <v>0.65520614316151982</v>
      </c>
      <c r="AF71" s="397">
        <f t="shared" ref="AF71" si="58">IFERROR(AF48/AF25,"")</f>
        <v>0.65213982529805381</v>
      </c>
    </row>
    <row r="72" spans="1:34" outlineLevel="1">
      <c r="B72" s="179"/>
      <c r="C72" s="179"/>
      <c r="D72" s="179"/>
      <c r="E72" s="179"/>
      <c r="F72" s="179"/>
      <c r="G72" s="179"/>
      <c r="H72" s="179"/>
      <c r="I72" s="179"/>
      <c r="J72" s="179"/>
      <c r="K72" s="179"/>
      <c r="L72" s="179"/>
      <c r="M72" s="179"/>
      <c r="N72" s="179"/>
      <c r="O72" s="179"/>
      <c r="P72" s="179"/>
      <c r="Q72" s="179"/>
      <c r="R72" s="179"/>
      <c r="S72" s="179"/>
      <c r="T72" s="179"/>
      <c r="U72" s="179"/>
      <c r="V72" s="179"/>
      <c r="W72" s="179"/>
      <c r="X72" s="179"/>
      <c r="Y72" s="179"/>
      <c r="Z72" s="179"/>
      <c r="AA72" s="179"/>
      <c r="AB72" s="391"/>
      <c r="AC72" s="391"/>
      <c r="AD72" s="391"/>
      <c r="AE72" s="391"/>
      <c r="AF72" s="391"/>
    </row>
    <row r="73" spans="1:34">
      <c r="A73" s="257" t="s">
        <v>392</v>
      </c>
      <c r="B73" s="179"/>
      <c r="C73" s="179"/>
      <c r="D73" s="179"/>
      <c r="E73" s="179"/>
      <c r="F73" s="179"/>
      <c r="G73" s="179"/>
      <c r="H73" s="179"/>
      <c r="I73" s="179"/>
      <c r="J73" s="179"/>
      <c r="K73" s="179"/>
      <c r="L73" s="179"/>
      <c r="M73" s="179"/>
      <c r="N73" s="179"/>
      <c r="O73" s="179"/>
      <c r="P73" s="179"/>
      <c r="Q73" s="179"/>
      <c r="R73" s="179"/>
      <c r="S73" s="179"/>
      <c r="T73" s="179"/>
      <c r="U73" s="179"/>
      <c r="V73" s="179"/>
      <c r="W73" s="179"/>
      <c r="X73" s="179"/>
      <c r="Y73" s="179"/>
      <c r="Z73" s="179"/>
      <c r="AA73" s="179"/>
      <c r="AB73" s="391"/>
      <c r="AC73" s="391"/>
      <c r="AD73" s="391"/>
      <c r="AE73" s="391"/>
      <c r="AF73" s="391"/>
    </row>
    <row r="74" spans="1:34" outlineLevel="1">
      <c r="B74" s="179"/>
      <c r="C74" s="179"/>
      <c r="D74" s="179"/>
      <c r="E74" s="179"/>
      <c r="F74" s="179"/>
      <c r="G74" s="179"/>
      <c r="H74" s="179"/>
      <c r="I74" s="179"/>
      <c r="J74" s="179"/>
      <c r="K74" s="179"/>
      <c r="L74" s="179"/>
      <c r="M74" s="179"/>
      <c r="N74" s="179"/>
      <c r="O74" s="179"/>
      <c r="P74" s="179"/>
      <c r="Q74" s="179"/>
      <c r="R74" s="179"/>
      <c r="S74" s="179"/>
      <c r="T74" s="179"/>
      <c r="U74" s="179"/>
      <c r="V74" s="179"/>
      <c r="W74" s="179"/>
      <c r="X74" s="179"/>
      <c r="Y74" s="179"/>
      <c r="Z74" s="179"/>
      <c r="AA74" s="179"/>
      <c r="AB74" s="391"/>
      <c r="AC74" s="391"/>
      <c r="AD74" s="391"/>
      <c r="AE74" s="391"/>
      <c r="AF74" s="391"/>
    </row>
    <row r="75" spans="1:34" outlineLevel="1">
      <c r="A75" s="434" t="s">
        <v>453</v>
      </c>
      <c r="B75" s="435">
        <v>2000</v>
      </c>
      <c r="C75" s="435">
        <f>+B75+1</f>
        <v>2001</v>
      </c>
      <c r="D75" s="435">
        <f t="shared" ref="D75:AF75" si="59">+C75+1</f>
        <v>2002</v>
      </c>
      <c r="E75" s="435">
        <f t="shared" si="59"/>
        <v>2003</v>
      </c>
      <c r="F75" s="435">
        <f t="shared" si="59"/>
        <v>2004</v>
      </c>
      <c r="G75" s="435">
        <f t="shared" si="59"/>
        <v>2005</v>
      </c>
      <c r="H75" s="435">
        <f t="shared" si="59"/>
        <v>2006</v>
      </c>
      <c r="I75" s="435">
        <f t="shared" si="59"/>
        <v>2007</v>
      </c>
      <c r="J75" s="435">
        <f t="shared" si="59"/>
        <v>2008</v>
      </c>
      <c r="K75" s="435">
        <f t="shared" si="59"/>
        <v>2009</v>
      </c>
      <c r="L75" s="435">
        <f t="shared" si="59"/>
        <v>2010</v>
      </c>
      <c r="M75" s="435">
        <f t="shared" si="59"/>
        <v>2011</v>
      </c>
      <c r="N75" s="435">
        <f t="shared" si="59"/>
        <v>2012</v>
      </c>
      <c r="O75" s="435">
        <f t="shared" si="59"/>
        <v>2013</v>
      </c>
      <c r="P75" s="435">
        <f t="shared" si="59"/>
        <v>2014</v>
      </c>
      <c r="Q75" s="435">
        <f t="shared" si="59"/>
        <v>2015</v>
      </c>
      <c r="R75" s="435">
        <f t="shared" si="59"/>
        <v>2016</v>
      </c>
      <c r="S75" s="435">
        <f t="shared" si="59"/>
        <v>2017</v>
      </c>
      <c r="T75" s="435">
        <f t="shared" si="59"/>
        <v>2018</v>
      </c>
      <c r="U75" s="435">
        <f t="shared" si="59"/>
        <v>2019</v>
      </c>
      <c r="V75" s="435">
        <f t="shared" si="59"/>
        <v>2020</v>
      </c>
      <c r="W75" s="435">
        <f t="shared" si="59"/>
        <v>2021</v>
      </c>
      <c r="X75" s="435">
        <f t="shared" si="59"/>
        <v>2022</v>
      </c>
      <c r="Y75" s="435">
        <f t="shared" si="59"/>
        <v>2023</v>
      </c>
      <c r="Z75" s="435">
        <f t="shared" si="59"/>
        <v>2024</v>
      </c>
      <c r="AA75" s="435">
        <f t="shared" si="59"/>
        <v>2025</v>
      </c>
      <c r="AB75" s="435">
        <f t="shared" si="59"/>
        <v>2026</v>
      </c>
      <c r="AC75" s="435">
        <f t="shared" si="59"/>
        <v>2027</v>
      </c>
      <c r="AD75" s="435">
        <f t="shared" si="59"/>
        <v>2028</v>
      </c>
      <c r="AE75" s="435">
        <f t="shared" si="59"/>
        <v>2029</v>
      </c>
      <c r="AF75" s="435">
        <f t="shared" si="59"/>
        <v>2030</v>
      </c>
      <c r="AH75" s="377" t="s">
        <v>422</v>
      </c>
    </row>
    <row r="76" spans="1:34" outlineLevel="1">
      <c r="A76" t="s">
        <v>378</v>
      </c>
      <c r="B76" s="381"/>
      <c r="C76" s="381"/>
      <c r="D76" s="381"/>
      <c r="E76" s="381"/>
      <c r="F76" s="381"/>
      <c r="G76" s="381"/>
      <c r="H76" s="381"/>
      <c r="I76" s="381"/>
      <c r="J76" s="381"/>
      <c r="K76" s="381"/>
      <c r="L76" s="381"/>
      <c r="M76" s="381"/>
      <c r="N76" s="381"/>
      <c r="O76" s="381"/>
      <c r="P76" s="381"/>
      <c r="Q76" s="381"/>
      <c r="R76" s="381"/>
      <c r="S76" s="381">
        <v>148</v>
      </c>
      <c r="T76" s="381">
        <v>504</v>
      </c>
      <c r="U76" s="381">
        <v>114</v>
      </c>
      <c r="V76" s="381">
        <v>52</v>
      </c>
      <c r="W76" s="381">
        <v>486</v>
      </c>
      <c r="X76" s="381">
        <v>744</v>
      </c>
      <c r="Y76" s="526">
        <f t="shared" ref="Y76:AE76" si="60">Y5*Y51*$AH76</f>
        <v>792</v>
      </c>
      <c r="Z76" s="526">
        <f t="shared" si="60"/>
        <v>530</v>
      </c>
      <c r="AA76" s="388">
        <f t="shared" si="60"/>
        <v>790</v>
      </c>
      <c r="AB76" s="392">
        <f t="shared" si="60"/>
        <v>999</v>
      </c>
      <c r="AC76" s="392">
        <f t="shared" si="60"/>
        <v>1158</v>
      </c>
      <c r="AD76" s="392">
        <f t="shared" si="60"/>
        <v>1248</v>
      </c>
      <c r="AE76" s="392">
        <f t="shared" si="60"/>
        <v>1248</v>
      </c>
      <c r="AF76" s="392">
        <f t="shared" ref="AF76" si="61">AF5*AF51*$AH76</f>
        <v>1248</v>
      </c>
      <c r="AH76" s="376">
        <v>2</v>
      </c>
    </row>
    <row r="77" spans="1:34" outlineLevel="1">
      <c r="A77" t="s">
        <v>370</v>
      </c>
      <c r="B77" s="381">
        <v>406</v>
      </c>
      <c r="C77" s="381">
        <v>446</v>
      </c>
      <c r="D77" s="381">
        <v>334</v>
      </c>
      <c r="E77" s="381">
        <v>278</v>
      </c>
      <c r="F77" s="381">
        <v>350</v>
      </c>
      <c r="G77" s="381">
        <v>362</v>
      </c>
      <c r="H77" s="381">
        <v>534</v>
      </c>
      <c r="I77" s="381">
        <v>622</v>
      </c>
      <c r="J77" s="381">
        <v>534</v>
      </c>
      <c r="K77" s="381">
        <v>704</v>
      </c>
      <c r="L77" s="381">
        <v>718</v>
      </c>
      <c r="M77" s="381">
        <v>716</v>
      </c>
      <c r="N77" s="381">
        <v>796</v>
      </c>
      <c r="O77" s="381">
        <v>848</v>
      </c>
      <c r="P77" s="381">
        <v>934</v>
      </c>
      <c r="Q77" s="381">
        <v>940</v>
      </c>
      <c r="R77" s="381">
        <v>928</v>
      </c>
      <c r="S77" s="381">
        <v>862</v>
      </c>
      <c r="T77" s="381">
        <v>608</v>
      </c>
      <c r="U77" s="381">
        <v>98</v>
      </c>
      <c r="V77" s="381">
        <v>4</v>
      </c>
      <c r="W77" s="381"/>
      <c r="X77" s="381"/>
      <c r="Y77" s="526">
        <v>0</v>
      </c>
      <c r="Z77" s="526">
        <v>0</v>
      </c>
      <c r="AA77" s="388">
        <f t="shared" ref="AA77:AF77" si="62">AA6*AA52*$AH77</f>
        <v>0</v>
      </c>
      <c r="AB77" s="392">
        <f t="shared" si="62"/>
        <v>0</v>
      </c>
      <c r="AC77" s="392">
        <f t="shared" si="62"/>
        <v>0</v>
      </c>
      <c r="AD77" s="392">
        <f t="shared" si="62"/>
        <v>0</v>
      </c>
      <c r="AE77" s="392">
        <f t="shared" si="62"/>
        <v>0</v>
      </c>
      <c r="AF77" s="392">
        <f t="shared" si="62"/>
        <v>0</v>
      </c>
      <c r="AH77" s="376">
        <v>2</v>
      </c>
    </row>
    <row r="78" spans="1:34" outlineLevel="1">
      <c r="A78" t="s">
        <v>371</v>
      </c>
      <c r="B78" s="381">
        <v>60</v>
      </c>
      <c r="C78" s="381">
        <v>48</v>
      </c>
      <c r="D78" s="381">
        <v>52</v>
      </c>
      <c r="E78" s="381">
        <v>36</v>
      </c>
      <c r="F78" s="381">
        <v>36</v>
      </c>
      <c r="G78" s="381">
        <v>32</v>
      </c>
      <c r="H78" s="381">
        <v>28</v>
      </c>
      <c r="I78" s="381">
        <v>56</v>
      </c>
      <c r="J78" s="381">
        <v>44</v>
      </c>
      <c r="K78" s="381">
        <v>16</v>
      </c>
      <c r="L78" s="381"/>
      <c r="M78" s="381">
        <v>36</v>
      </c>
      <c r="N78" s="381">
        <v>92</v>
      </c>
      <c r="O78" s="381">
        <v>96</v>
      </c>
      <c r="P78" s="381">
        <v>72</v>
      </c>
      <c r="Q78" s="381">
        <v>72</v>
      </c>
      <c r="R78" s="381">
        <v>36</v>
      </c>
      <c r="S78" s="381">
        <v>40</v>
      </c>
      <c r="T78" s="381">
        <v>24</v>
      </c>
      <c r="U78" s="381">
        <v>28</v>
      </c>
      <c r="V78" s="381">
        <v>20</v>
      </c>
      <c r="W78" s="381">
        <v>24</v>
      </c>
      <c r="X78" s="381">
        <v>20</v>
      </c>
      <c r="Y78" s="526">
        <f>Y7*Y53*$AH78</f>
        <v>4</v>
      </c>
      <c r="Z78" s="526">
        <v>0</v>
      </c>
      <c r="AA78" s="388">
        <f t="shared" ref="AA78:AF78" si="63">IFERROR(AA7*AA53*$AH78,0)</f>
        <v>0</v>
      </c>
      <c r="AB78" s="392">
        <f t="shared" si="63"/>
        <v>0</v>
      </c>
      <c r="AC78" s="392">
        <f t="shared" si="63"/>
        <v>0</v>
      </c>
      <c r="AD78" s="392">
        <f t="shared" si="63"/>
        <v>0</v>
      </c>
      <c r="AE78" s="392">
        <f t="shared" si="63"/>
        <v>0</v>
      </c>
      <c r="AF78" s="392">
        <f t="shared" si="63"/>
        <v>0</v>
      </c>
      <c r="AH78" s="376">
        <v>4</v>
      </c>
    </row>
    <row r="79" spans="1:34" outlineLevel="1">
      <c r="A79" t="s">
        <v>372</v>
      </c>
      <c r="B79" s="381">
        <v>66</v>
      </c>
      <c r="C79" s="381">
        <v>66</v>
      </c>
      <c r="D79" s="381">
        <v>56</v>
      </c>
      <c r="E79" s="381">
        <v>28</v>
      </c>
      <c r="F79" s="381">
        <v>12</v>
      </c>
      <c r="G79" s="381">
        <v>14</v>
      </c>
      <c r="H79" s="381">
        <v>16</v>
      </c>
      <c r="I79" s="381">
        <v>20</v>
      </c>
      <c r="J79" s="381">
        <v>16</v>
      </c>
      <c r="K79" s="381">
        <v>24</v>
      </c>
      <c r="L79" s="381">
        <v>22</v>
      </c>
      <c r="M79" s="381">
        <v>40</v>
      </c>
      <c r="N79" s="381">
        <v>48</v>
      </c>
      <c r="O79" s="381">
        <v>34</v>
      </c>
      <c r="P79" s="381">
        <v>10</v>
      </c>
      <c r="Q79" s="381">
        <v>32</v>
      </c>
      <c r="R79" s="381">
        <v>26</v>
      </c>
      <c r="S79" s="381">
        <v>20</v>
      </c>
      <c r="T79" s="381">
        <v>34</v>
      </c>
      <c r="U79" s="381">
        <v>40</v>
      </c>
      <c r="V79" s="381">
        <v>38</v>
      </c>
      <c r="W79" s="381">
        <v>38</v>
      </c>
      <c r="X79" s="381">
        <v>36</v>
      </c>
      <c r="Y79" s="526">
        <f>Y8*Y54*$AH79</f>
        <v>64</v>
      </c>
      <c r="Z79" s="526">
        <f t="shared" ref="Z79:AE81" si="64">Z8*Z54*$AH79</f>
        <v>36</v>
      </c>
      <c r="AA79" s="388">
        <f t="shared" si="64"/>
        <v>60</v>
      </c>
      <c r="AB79" s="392">
        <f t="shared" si="64"/>
        <v>72</v>
      </c>
      <c r="AC79" s="392">
        <f t="shared" si="64"/>
        <v>0</v>
      </c>
      <c r="AD79" s="392">
        <f t="shared" si="64"/>
        <v>0</v>
      </c>
      <c r="AE79" s="392">
        <f t="shared" si="64"/>
        <v>0</v>
      </c>
      <c r="AF79" s="392">
        <f t="shared" ref="AF79" si="65">AF8*AF54*$AH79</f>
        <v>0</v>
      </c>
      <c r="AH79" s="376">
        <v>2</v>
      </c>
    </row>
    <row r="80" spans="1:34" outlineLevel="1">
      <c r="A80" t="s">
        <v>373</v>
      </c>
      <c r="B80" s="381">
        <v>12</v>
      </c>
      <c r="C80" s="381">
        <v>8</v>
      </c>
      <c r="D80" s="381">
        <v>26</v>
      </c>
      <c r="E80" s="381">
        <v>22</v>
      </c>
      <c r="F80" s="381">
        <v>44</v>
      </c>
      <c r="G80" s="381">
        <v>46</v>
      </c>
      <c r="H80" s="381">
        <v>88</v>
      </c>
      <c r="I80" s="381">
        <v>118</v>
      </c>
      <c r="J80" s="381">
        <v>106</v>
      </c>
      <c r="K80" s="381">
        <v>164</v>
      </c>
      <c r="L80" s="381">
        <v>138</v>
      </c>
      <c r="M80" s="381">
        <v>142</v>
      </c>
      <c r="N80" s="381">
        <v>160</v>
      </c>
      <c r="O80" s="381">
        <v>188</v>
      </c>
      <c r="P80" s="381">
        <v>194</v>
      </c>
      <c r="Q80" s="381">
        <v>194</v>
      </c>
      <c r="R80" s="381">
        <v>198</v>
      </c>
      <c r="S80" s="381">
        <v>142</v>
      </c>
      <c r="T80" s="381">
        <v>88</v>
      </c>
      <c r="U80" s="381">
        <v>88</v>
      </c>
      <c r="V80" s="381">
        <v>52</v>
      </c>
      <c r="W80" s="381">
        <v>48</v>
      </c>
      <c r="X80" s="381">
        <v>48</v>
      </c>
      <c r="Y80" s="526">
        <f>Y9*Y55*$AH80</f>
        <v>52</v>
      </c>
      <c r="Z80" s="526">
        <f t="shared" si="64"/>
        <v>28</v>
      </c>
      <c r="AA80" s="388">
        <f t="shared" si="64"/>
        <v>64</v>
      </c>
      <c r="AB80" s="392">
        <f t="shared" si="64"/>
        <v>60</v>
      </c>
      <c r="AC80" s="392">
        <f t="shared" si="64"/>
        <v>96</v>
      </c>
      <c r="AD80" s="392">
        <f t="shared" si="64"/>
        <v>96</v>
      </c>
      <c r="AE80" s="392">
        <f t="shared" si="64"/>
        <v>96</v>
      </c>
      <c r="AF80" s="392">
        <f t="shared" ref="AF80" si="66">AF9*AF55*$AH80</f>
        <v>96</v>
      </c>
      <c r="AH80" s="376">
        <v>2</v>
      </c>
    </row>
    <row r="81" spans="1:34" outlineLevel="1">
      <c r="A81" t="s">
        <v>374</v>
      </c>
      <c r="B81" s="381"/>
      <c r="C81" s="381"/>
      <c r="D81" s="381"/>
      <c r="E81" s="381"/>
      <c r="F81" s="381"/>
      <c r="G81" s="381"/>
      <c r="H81" s="381"/>
      <c r="I81" s="381"/>
      <c r="J81" s="381"/>
      <c r="K81" s="381"/>
      <c r="L81" s="381"/>
      <c r="M81" s="381"/>
      <c r="N81" s="381">
        <v>54</v>
      </c>
      <c r="O81" s="381">
        <v>86</v>
      </c>
      <c r="P81" s="381">
        <v>142</v>
      </c>
      <c r="Q81" s="381">
        <v>166</v>
      </c>
      <c r="R81" s="381">
        <v>150</v>
      </c>
      <c r="S81" s="381">
        <v>174</v>
      </c>
      <c r="T81" s="381">
        <v>174</v>
      </c>
      <c r="U81" s="381">
        <v>216</v>
      </c>
      <c r="V81" s="381">
        <v>86</v>
      </c>
      <c r="W81" s="381">
        <v>24</v>
      </c>
      <c r="X81" s="381">
        <v>52</v>
      </c>
      <c r="Y81" s="526">
        <f>Y10*Y56*$AH81</f>
        <v>102</v>
      </c>
      <c r="Z81" s="526">
        <f t="shared" si="64"/>
        <v>74</v>
      </c>
      <c r="AA81" s="388">
        <f t="shared" si="64"/>
        <v>101.56862745098039</v>
      </c>
      <c r="AB81" s="392">
        <f t="shared" si="64"/>
        <v>139.29411764705881</v>
      </c>
      <c r="AC81" s="392">
        <f t="shared" si="64"/>
        <v>174.11764705882354</v>
      </c>
      <c r="AD81" s="392">
        <f t="shared" si="64"/>
        <v>174.11764705882354</v>
      </c>
      <c r="AE81" s="392">
        <f t="shared" si="64"/>
        <v>174.11764705882354</v>
      </c>
      <c r="AF81" s="392">
        <f t="shared" ref="AF81" si="67">AF10*AF56*$AH81</f>
        <v>174.11764705882354</v>
      </c>
      <c r="AH81" s="376">
        <v>2</v>
      </c>
    </row>
    <row r="82" spans="1:34" outlineLevel="1">
      <c r="B82" s="379"/>
      <c r="C82" s="379"/>
      <c r="D82" s="379"/>
      <c r="E82" s="379"/>
      <c r="F82" s="379"/>
      <c r="G82" s="379"/>
      <c r="H82" s="379"/>
      <c r="I82" s="379"/>
      <c r="J82" s="379"/>
      <c r="K82" s="379"/>
      <c r="L82" s="379"/>
      <c r="M82" s="379"/>
      <c r="N82" s="379"/>
      <c r="O82" s="379"/>
      <c r="P82" s="379"/>
      <c r="Q82" s="379"/>
      <c r="R82" s="379"/>
      <c r="S82" s="379"/>
      <c r="T82" s="379"/>
      <c r="U82" s="379"/>
      <c r="V82" s="379"/>
      <c r="W82" s="379"/>
      <c r="X82" s="379"/>
      <c r="Y82" s="526"/>
      <c r="Z82" s="526"/>
      <c r="AA82" s="388"/>
      <c r="AB82" s="392"/>
      <c r="AC82" s="392"/>
      <c r="AD82" s="392"/>
      <c r="AE82" s="392"/>
      <c r="AF82" s="392"/>
      <c r="AH82" s="376"/>
    </row>
    <row r="83" spans="1:34" outlineLevel="1">
      <c r="A83" t="s">
        <v>381</v>
      </c>
      <c r="B83" s="381">
        <v>102</v>
      </c>
      <c r="C83" s="381">
        <v>60</v>
      </c>
      <c r="D83" s="381">
        <v>88</v>
      </c>
      <c r="E83" s="381">
        <v>80</v>
      </c>
      <c r="F83" s="381">
        <v>86</v>
      </c>
      <c r="G83" s="381">
        <v>118</v>
      </c>
      <c r="H83" s="381">
        <v>122</v>
      </c>
      <c r="I83" s="381">
        <v>90</v>
      </c>
      <c r="J83" s="381">
        <v>98</v>
      </c>
      <c r="K83" s="381">
        <v>96</v>
      </c>
      <c r="L83" s="381">
        <v>40</v>
      </c>
      <c r="M83" s="381">
        <v>54</v>
      </c>
      <c r="N83" s="381">
        <v>38</v>
      </c>
      <c r="O83" s="381">
        <v>42</v>
      </c>
      <c r="P83" s="381">
        <v>42</v>
      </c>
      <c r="Q83" s="381">
        <v>42</v>
      </c>
      <c r="R83" s="381">
        <v>8</v>
      </c>
      <c r="S83" s="381">
        <v>10</v>
      </c>
      <c r="T83" s="381">
        <v>16</v>
      </c>
      <c r="U83" s="381">
        <v>8</v>
      </c>
      <c r="V83" s="381">
        <v>6</v>
      </c>
      <c r="W83" s="381">
        <v>4</v>
      </c>
      <c r="X83" s="381">
        <v>10</v>
      </c>
      <c r="Y83" s="526">
        <f t="shared" ref="Y83:AE86" si="68">Y12*Y58*$AH83</f>
        <v>14</v>
      </c>
      <c r="Z83" s="526">
        <f t="shared" si="68"/>
        <v>18</v>
      </c>
      <c r="AA83" s="388">
        <f t="shared" si="68"/>
        <v>30</v>
      </c>
      <c r="AB83" s="392">
        <f t="shared" si="68"/>
        <v>10</v>
      </c>
      <c r="AC83" s="392">
        <f t="shared" si="68"/>
        <v>10</v>
      </c>
      <c r="AD83" s="392">
        <f t="shared" si="68"/>
        <v>10</v>
      </c>
      <c r="AE83" s="392">
        <f t="shared" si="68"/>
        <v>10</v>
      </c>
      <c r="AF83" s="392">
        <f t="shared" ref="AF83" si="69">AF12*AF58*$AH83</f>
        <v>10</v>
      </c>
      <c r="AH83" s="376">
        <v>2</v>
      </c>
    </row>
    <row r="84" spans="1:34" outlineLevel="1">
      <c r="A84" t="s">
        <v>382</v>
      </c>
      <c r="B84" s="381">
        <v>80</v>
      </c>
      <c r="C84" s="381">
        <v>88</v>
      </c>
      <c r="D84" s="381">
        <v>76</v>
      </c>
      <c r="E84" s="381">
        <v>102</v>
      </c>
      <c r="F84" s="381">
        <v>76</v>
      </c>
      <c r="G84" s="381">
        <v>90</v>
      </c>
      <c r="H84" s="381">
        <v>170</v>
      </c>
      <c r="I84" s="381">
        <v>248</v>
      </c>
      <c r="J84" s="381">
        <v>234</v>
      </c>
      <c r="K84" s="381">
        <v>308</v>
      </c>
      <c r="L84" s="381">
        <v>340</v>
      </c>
      <c r="M84" s="381">
        <v>378</v>
      </c>
      <c r="N84" s="381">
        <v>390</v>
      </c>
      <c r="O84" s="381">
        <v>420</v>
      </c>
      <c r="P84" s="381">
        <v>358</v>
      </c>
      <c r="Q84" s="381">
        <v>358</v>
      </c>
      <c r="R84" s="381">
        <v>444</v>
      </c>
      <c r="S84" s="381">
        <v>496</v>
      </c>
      <c r="T84" s="381">
        <v>546</v>
      </c>
      <c r="U84" s="381">
        <v>518</v>
      </c>
      <c r="V84" s="381">
        <v>274</v>
      </c>
      <c r="W84" s="381">
        <v>324</v>
      </c>
      <c r="X84" s="381">
        <v>320</v>
      </c>
      <c r="Y84" s="526">
        <f t="shared" si="68"/>
        <v>312</v>
      </c>
      <c r="Z84" s="526">
        <f t="shared" si="68"/>
        <v>338</v>
      </c>
      <c r="AA84" s="388">
        <f t="shared" si="68"/>
        <v>298.66379310344826</v>
      </c>
      <c r="AB84" s="392">
        <f t="shared" si="68"/>
        <v>325.68922413793103</v>
      </c>
      <c r="AC84" s="392">
        <f t="shared" si="68"/>
        <v>313.14170258620692</v>
      </c>
      <c r="AD84" s="392">
        <f t="shared" si="68"/>
        <v>338.27316810344826</v>
      </c>
      <c r="AE84" s="392">
        <f t="shared" si="68"/>
        <v>344.55603448275861</v>
      </c>
      <c r="AF84" s="392">
        <f t="shared" ref="AF84" si="70">AF13*AF59*$AH84</f>
        <v>344.55603448275861</v>
      </c>
      <c r="AH84" s="376">
        <v>2</v>
      </c>
    </row>
    <row r="85" spans="1:34" outlineLevel="1">
      <c r="A85" t="s">
        <v>383</v>
      </c>
      <c r="B85" s="381">
        <v>18</v>
      </c>
      <c r="C85" s="381">
        <v>74</v>
      </c>
      <c r="D85" s="381">
        <v>34</v>
      </c>
      <c r="E85" s="381">
        <v>32</v>
      </c>
      <c r="F85" s="381">
        <v>20</v>
      </c>
      <c r="G85" s="381">
        <v>14</v>
      </c>
      <c r="H85" s="381">
        <v>20</v>
      </c>
      <c r="I85" s="381">
        <v>28</v>
      </c>
      <c r="J85" s="381">
        <v>58</v>
      </c>
      <c r="K85" s="381">
        <v>58</v>
      </c>
      <c r="L85" s="381">
        <v>42</v>
      </c>
      <c r="M85" s="381">
        <v>22</v>
      </c>
      <c r="N85" s="381">
        <v>24</v>
      </c>
      <c r="O85" s="381">
        <v>70</v>
      </c>
      <c r="P85" s="381">
        <v>74</v>
      </c>
      <c r="Q85" s="381">
        <v>130</v>
      </c>
      <c r="R85" s="381">
        <v>222</v>
      </c>
      <c r="S85" s="381">
        <v>186</v>
      </c>
      <c r="T85" s="381">
        <v>180</v>
      </c>
      <c r="U85" s="381">
        <v>188</v>
      </c>
      <c r="V85" s="381">
        <v>204</v>
      </c>
      <c r="W85" s="381">
        <v>248</v>
      </c>
      <c r="X85" s="381">
        <v>246</v>
      </c>
      <c r="Y85" s="526">
        <f t="shared" si="68"/>
        <v>248</v>
      </c>
      <c r="Z85" s="526">
        <f t="shared" si="68"/>
        <v>300</v>
      </c>
      <c r="AA85" s="388">
        <f t="shared" si="68"/>
        <v>321.60664819944594</v>
      </c>
      <c r="AB85" s="392">
        <f t="shared" si="68"/>
        <v>352.72853185595562</v>
      </c>
      <c r="AC85" s="392">
        <f t="shared" si="68"/>
        <v>426.47160664819944</v>
      </c>
      <c r="AD85" s="392">
        <f t="shared" si="68"/>
        <v>459.9203601108033</v>
      </c>
      <c r="AE85" s="392">
        <f t="shared" si="68"/>
        <v>468.28254847645428</v>
      </c>
      <c r="AF85" s="392">
        <f t="shared" ref="AF85" si="71">AF14*AF60*$AH85</f>
        <v>468.28254847645428</v>
      </c>
      <c r="AH85" s="376">
        <v>2</v>
      </c>
    </row>
    <row r="86" spans="1:34" outlineLevel="1">
      <c r="A86" t="s">
        <v>375</v>
      </c>
      <c r="B86" s="381"/>
      <c r="C86" s="381">
        <v>6</v>
      </c>
      <c r="D86" s="381">
        <v>28</v>
      </c>
      <c r="E86" s="381">
        <v>14</v>
      </c>
      <c r="F86" s="381">
        <v>28</v>
      </c>
      <c r="G86" s="381">
        <v>52</v>
      </c>
      <c r="H86" s="381">
        <v>42</v>
      </c>
      <c r="I86" s="381">
        <v>50</v>
      </c>
      <c r="J86" s="381">
        <v>34</v>
      </c>
      <c r="K86" s="381">
        <v>16</v>
      </c>
      <c r="L86" s="381">
        <v>18</v>
      </c>
      <c r="M86" s="381">
        <v>24</v>
      </c>
      <c r="N86" s="381">
        <v>34</v>
      </c>
      <c r="O86" s="381">
        <v>26</v>
      </c>
      <c r="P86" s="381">
        <v>26</v>
      </c>
      <c r="Q86" s="381">
        <v>38</v>
      </c>
      <c r="R86" s="381">
        <v>40</v>
      </c>
      <c r="S86" s="381">
        <v>22</v>
      </c>
      <c r="T86" s="381">
        <v>8</v>
      </c>
      <c r="U86" s="381">
        <v>6</v>
      </c>
      <c r="V86" s="381">
        <v>2</v>
      </c>
      <c r="W86" s="381"/>
      <c r="X86" s="381"/>
      <c r="Y86" s="526">
        <f t="shared" si="68"/>
        <v>0</v>
      </c>
      <c r="Z86" s="526">
        <f t="shared" si="68"/>
        <v>0</v>
      </c>
      <c r="AA86" s="388">
        <f t="shared" si="68"/>
        <v>0</v>
      </c>
      <c r="AB86" s="392">
        <f t="shared" si="68"/>
        <v>0</v>
      </c>
      <c r="AC86" s="392">
        <f t="shared" si="68"/>
        <v>0</v>
      </c>
      <c r="AD86" s="392">
        <f t="shared" si="68"/>
        <v>0</v>
      </c>
      <c r="AE86" s="392">
        <f t="shared" si="68"/>
        <v>0</v>
      </c>
      <c r="AF86" s="392">
        <f t="shared" ref="AF86" si="72">AF15*AF61*$AH86</f>
        <v>0</v>
      </c>
      <c r="AH86" s="376">
        <v>2</v>
      </c>
    </row>
    <row r="87" spans="1:34" outlineLevel="1">
      <c r="A87" t="s">
        <v>376</v>
      </c>
      <c r="B87" s="381">
        <v>44</v>
      </c>
      <c r="C87" s="381">
        <v>32</v>
      </c>
      <c r="D87" s="381">
        <v>12</v>
      </c>
      <c r="E87" s="381">
        <v>28</v>
      </c>
      <c r="F87" s="381">
        <v>16</v>
      </c>
      <c r="G87" s="381">
        <v>16</v>
      </c>
      <c r="H87" s="381"/>
      <c r="I87" s="381">
        <v>8</v>
      </c>
      <c r="J87" s="381">
        <v>8</v>
      </c>
      <c r="K87" s="381"/>
      <c r="L87" s="381"/>
      <c r="M87" s="381"/>
      <c r="N87" s="381"/>
      <c r="O87" s="381"/>
      <c r="P87" s="381"/>
      <c r="Q87" s="381"/>
      <c r="R87" s="381"/>
      <c r="S87" s="381"/>
      <c r="T87" s="381"/>
      <c r="U87" s="381"/>
      <c r="V87" s="381"/>
      <c r="W87" s="381"/>
      <c r="X87" s="381"/>
      <c r="Y87" s="526">
        <v>0</v>
      </c>
      <c r="Z87" s="526">
        <v>0</v>
      </c>
      <c r="AA87" s="388">
        <f t="shared" ref="AA87:AE88" si="73">AA16*AA62*$AH87</f>
        <v>0</v>
      </c>
      <c r="AB87" s="392">
        <f t="shared" si="73"/>
        <v>0</v>
      </c>
      <c r="AC87" s="392">
        <f t="shared" si="73"/>
        <v>0</v>
      </c>
      <c r="AD87" s="392">
        <f t="shared" si="73"/>
        <v>0</v>
      </c>
      <c r="AE87" s="392">
        <f t="shared" si="73"/>
        <v>0</v>
      </c>
      <c r="AF87" s="392">
        <f t="shared" ref="AF87" si="74">AF16*AF62*$AH87</f>
        <v>0</v>
      </c>
      <c r="AH87" s="376">
        <v>4</v>
      </c>
    </row>
    <row r="88" spans="1:34" outlineLevel="1">
      <c r="A88" t="s">
        <v>377</v>
      </c>
      <c r="B88" s="381"/>
      <c r="C88" s="381"/>
      <c r="D88" s="381"/>
      <c r="E88" s="381"/>
      <c r="F88" s="381"/>
      <c r="G88" s="381"/>
      <c r="H88" s="381"/>
      <c r="I88" s="381"/>
      <c r="J88" s="381">
        <v>8</v>
      </c>
      <c r="K88" s="381">
        <v>12</v>
      </c>
      <c r="L88" s="381">
        <v>36</v>
      </c>
      <c r="M88" s="381">
        <v>40</v>
      </c>
      <c r="N88" s="381">
        <v>52</v>
      </c>
      <c r="O88" s="381">
        <v>64</v>
      </c>
      <c r="P88" s="381">
        <v>84</v>
      </c>
      <c r="Q88" s="381">
        <v>84</v>
      </c>
      <c r="R88" s="381">
        <v>84</v>
      </c>
      <c r="S88" s="381">
        <v>20</v>
      </c>
      <c r="T88" s="381">
        <v>4</v>
      </c>
      <c r="U88" s="381"/>
      <c r="V88" s="381"/>
      <c r="W88" s="381"/>
      <c r="X88" s="381"/>
      <c r="Y88" s="526">
        <v>0</v>
      </c>
      <c r="Z88" s="526">
        <v>0</v>
      </c>
      <c r="AA88" s="388">
        <f t="shared" si="73"/>
        <v>0</v>
      </c>
      <c r="AB88" s="392">
        <f t="shared" si="73"/>
        <v>0</v>
      </c>
      <c r="AC88" s="392">
        <f t="shared" si="73"/>
        <v>0</v>
      </c>
      <c r="AD88" s="392">
        <f t="shared" si="73"/>
        <v>0</v>
      </c>
      <c r="AE88" s="392">
        <f t="shared" si="73"/>
        <v>0</v>
      </c>
      <c r="AF88" s="392">
        <f t="shared" ref="AF88" si="75">AF17*AF63*$AH88</f>
        <v>0</v>
      </c>
      <c r="AH88" s="376">
        <v>4</v>
      </c>
    </row>
    <row r="89" spans="1:34" outlineLevel="1">
      <c r="B89" s="379"/>
      <c r="C89" s="379"/>
      <c r="D89" s="379"/>
      <c r="E89" s="379"/>
      <c r="F89" s="379"/>
      <c r="G89" s="379"/>
      <c r="H89" s="379"/>
      <c r="I89" s="379"/>
      <c r="J89" s="379"/>
      <c r="K89" s="379"/>
      <c r="L89" s="379"/>
      <c r="M89" s="379"/>
      <c r="N89" s="379"/>
      <c r="O89" s="379"/>
      <c r="P89" s="379"/>
      <c r="Q89" s="379"/>
      <c r="R89" s="379"/>
      <c r="S89" s="379"/>
      <c r="T89" s="379"/>
      <c r="U89" s="379"/>
      <c r="V89" s="379"/>
      <c r="W89" s="379"/>
      <c r="X89" s="379"/>
      <c r="Y89" s="526"/>
      <c r="Z89" s="526"/>
      <c r="AA89" s="388"/>
      <c r="AB89" s="392"/>
      <c r="AC89" s="392"/>
      <c r="AD89" s="392"/>
      <c r="AE89" s="392"/>
      <c r="AF89" s="392"/>
      <c r="AH89" s="376"/>
    </row>
    <row r="90" spans="1:34" outlineLevel="1">
      <c r="A90" t="s">
        <v>379</v>
      </c>
      <c r="B90" s="381"/>
      <c r="C90" s="381"/>
      <c r="D90" s="381"/>
      <c r="E90" s="381"/>
      <c r="F90" s="381">
        <v>78</v>
      </c>
      <c r="G90" s="381">
        <v>84</v>
      </c>
      <c r="H90" s="381">
        <v>38</v>
      </c>
      <c r="I90" s="381">
        <v>16</v>
      </c>
      <c r="J90" s="381">
        <v>18</v>
      </c>
      <c r="K90" s="381">
        <v>44</v>
      </c>
      <c r="L90" s="381">
        <v>16</v>
      </c>
      <c r="M90" s="381">
        <v>2</v>
      </c>
      <c r="N90" s="381">
        <v>2</v>
      </c>
      <c r="O90" s="381">
        <v>8</v>
      </c>
      <c r="P90" s="381">
        <v>2</v>
      </c>
      <c r="Q90" s="381">
        <v>4</v>
      </c>
      <c r="R90" s="381"/>
      <c r="S90" s="381"/>
      <c r="T90" s="381">
        <v>2</v>
      </c>
      <c r="U90" s="381"/>
      <c r="V90" s="381"/>
      <c r="W90" s="381"/>
      <c r="X90" s="381"/>
      <c r="Y90" s="526">
        <v>0</v>
      </c>
      <c r="Z90" s="526">
        <v>0</v>
      </c>
      <c r="AA90" s="388">
        <f t="shared" ref="AA90:AE93" si="76">AA19*AA65*$AH90</f>
        <v>0</v>
      </c>
      <c r="AB90" s="392">
        <f t="shared" si="76"/>
        <v>0</v>
      </c>
      <c r="AC90" s="392">
        <f t="shared" si="76"/>
        <v>0</v>
      </c>
      <c r="AD90" s="392">
        <f t="shared" si="76"/>
        <v>0</v>
      </c>
      <c r="AE90" s="392">
        <f t="shared" si="76"/>
        <v>0</v>
      </c>
      <c r="AF90" s="392">
        <f t="shared" ref="AF90" si="77">AF19*AF65*$AH90</f>
        <v>0</v>
      </c>
      <c r="AH90" s="376">
        <v>2</v>
      </c>
    </row>
    <row r="91" spans="1:34" outlineLevel="1">
      <c r="A91" t="s">
        <v>384</v>
      </c>
      <c r="B91" s="381"/>
      <c r="C91" s="381"/>
      <c r="D91" s="381"/>
      <c r="E91" s="381"/>
      <c r="F91" s="381"/>
      <c r="G91" s="381">
        <v>28</v>
      </c>
      <c r="H91" s="381">
        <v>20</v>
      </c>
      <c r="I91" s="381">
        <v>68</v>
      </c>
      <c r="J91" s="381">
        <v>110</v>
      </c>
      <c r="K91" s="381">
        <v>18</v>
      </c>
      <c r="L91" s="381">
        <v>16</v>
      </c>
      <c r="M91" s="381">
        <v>18</v>
      </c>
      <c r="N91" s="381">
        <v>34</v>
      </c>
      <c r="O91" s="381">
        <v>44</v>
      </c>
      <c r="P91" s="381">
        <v>124</v>
      </c>
      <c r="Q91" s="381">
        <v>164</v>
      </c>
      <c r="R91" s="381">
        <v>180</v>
      </c>
      <c r="S91" s="381">
        <v>158</v>
      </c>
      <c r="T91" s="381">
        <v>134</v>
      </c>
      <c r="U91" s="381">
        <v>134</v>
      </c>
      <c r="V91" s="381">
        <v>64</v>
      </c>
      <c r="W91" s="381">
        <v>54</v>
      </c>
      <c r="X91" s="381">
        <v>70</v>
      </c>
      <c r="Y91" s="526">
        <f t="shared" ref="Y91:Z93" si="78">Y20*Y66*$AH91</f>
        <v>50</v>
      </c>
      <c r="Z91" s="526">
        <f t="shared" si="78"/>
        <v>52</v>
      </c>
      <c r="AA91" s="388">
        <f t="shared" si="76"/>
        <v>68</v>
      </c>
      <c r="AB91" s="392">
        <f t="shared" si="76"/>
        <v>72</v>
      </c>
      <c r="AC91" s="392">
        <f t="shared" si="76"/>
        <v>80</v>
      </c>
      <c r="AD91" s="392">
        <f t="shared" si="76"/>
        <v>82</v>
      </c>
      <c r="AE91" s="392">
        <f t="shared" si="76"/>
        <v>84</v>
      </c>
      <c r="AF91" s="392">
        <f t="shared" ref="AF91" si="79">AF20*AF66*$AH91</f>
        <v>86</v>
      </c>
      <c r="AH91" s="376">
        <v>2</v>
      </c>
    </row>
    <row r="92" spans="1:34" outlineLevel="1">
      <c r="A92" t="s">
        <v>380</v>
      </c>
      <c r="B92" s="381"/>
      <c r="C92" s="381"/>
      <c r="D92" s="381"/>
      <c r="E92" s="381"/>
      <c r="F92" s="381"/>
      <c r="G92" s="381">
        <v>18</v>
      </c>
      <c r="H92" s="381">
        <v>62</v>
      </c>
      <c r="I92" s="381">
        <v>128</v>
      </c>
      <c r="J92" s="381">
        <v>114</v>
      </c>
      <c r="K92" s="381">
        <v>116</v>
      </c>
      <c r="L92" s="381">
        <v>108</v>
      </c>
      <c r="M92" s="381">
        <v>128</v>
      </c>
      <c r="N92" s="381">
        <v>116</v>
      </c>
      <c r="O92" s="381">
        <v>88</v>
      </c>
      <c r="P92" s="381">
        <v>36</v>
      </c>
      <c r="Q92" s="381">
        <v>16</v>
      </c>
      <c r="R92" s="381">
        <v>22</v>
      </c>
      <c r="S92" s="381">
        <v>24</v>
      </c>
      <c r="T92" s="381">
        <v>26</v>
      </c>
      <c r="U92" s="381">
        <v>10</v>
      </c>
      <c r="V92" s="381">
        <v>2</v>
      </c>
      <c r="W92" s="381"/>
      <c r="X92" s="381">
        <v>6</v>
      </c>
      <c r="Y92" s="526">
        <f t="shared" si="78"/>
        <v>0</v>
      </c>
      <c r="Z92" s="526">
        <f t="shared" si="78"/>
        <v>0</v>
      </c>
      <c r="AA92" s="388">
        <f t="shared" si="76"/>
        <v>0</v>
      </c>
      <c r="AB92" s="392">
        <f t="shared" si="76"/>
        <v>0</v>
      </c>
      <c r="AC92" s="392">
        <f t="shared" si="76"/>
        <v>0</v>
      </c>
      <c r="AD92" s="392">
        <f t="shared" si="76"/>
        <v>0</v>
      </c>
      <c r="AE92" s="392">
        <f t="shared" si="76"/>
        <v>0</v>
      </c>
      <c r="AF92" s="392">
        <f t="shared" ref="AF92" si="80">AF21*AF67*$AH92</f>
        <v>0</v>
      </c>
      <c r="AH92" s="376">
        <v>2</v>
      </c>
    </row>
    <row r="93" spans="1:34" outlineLevel="1">
      <c r="A93" t="s">
        <v>385</v>
      </c>
      <c r="B93" s="381"/>
      <c r="C93" s="381"/>
      <c r="D93" s="381"/>
      <c r="E93" s="381"/>
      <c r="F93" s="381"/>
      <c r="G93" s="381"/>
      <c r="H93" s="381">
        <v>4</v>
      </c>
      <c r="I93" s="381">
        <v>20</v>
      </c>
      <c r="J93" s="381">
        <v>28</v>
      </c>
      <c r="K93" s="381">
        <v>38</v>
      </c>
      <c r="L93" s="381">
        <v>32</v>
      </c>
      <c r="M93" s="381">
        <v>46</v>
      </c>
      <c r="N93" s="381">
        <v>46</v>
      </c>
      <c r="O93" s="381">
        <v>34</v>
      </c>
      <c r="P93" s="381">
        <v>20</v>
      </c>
      <c r="Q93" s="381">
        <v>18</v>
      </c>
      <c r="R93" s="381">
        <v>14</v>
      </c>
      <c r="S93" s="381">
        <v>20</v>
      </c>
      <c r="T93" s="381">
        <v>10</v>
      </c>
      <c r="U93" s="381">
        <v>6</v>
      </c>
      <c r="V93" s="381"/>
      <c r="W93" s="381"/>
      <c r="X93" s="381"/>
      <c r="Y93" s="526">
        <f t="shared" si="78"/>
        <v>0</v>
      </c>
      <c r="Z93" s="526">
        <f t="shared" si="78"/>
        <v>0</v>
      </c>
      <c r="AA93" s="388">
        <f t="shared" si="76"/>
        <v>0</v>
      </c>
      <c r="AB93" s="392">
        <f t="shared" si="76"/>
        <v>0</v>
      </c>
      <c r="AC93" s="392">
        <f t="shared" si="76"/>
        <v>0</v>
      </c>
      <c r="AD93" s="392">
        <f t="shared" si="76"/>
        <v>0</v>
      </c>
      <c r="AE93" s="392">
        <f t="shared" si="76"/>
        <v>0</v>
      </c>
      <c r="AF93" s="392">
        <f t="shared" ref="AF93" si="81">AF22*AF68*$AH93</f>
        <v>0</v>
      </c>
      <c r="AH93" s="376">
        <v>2</v>
      </c>
    </row>
    <row r="94" spans="1:34" outlineLevel="1">
      <c r="B94" s="379"/>
      <c r="C94" s="379"/>
      <c r="D94" s="379"/>
      <c r="E94" s="379"/>
      <c r="F94" s="379"/>
      <c r="G94" s="379"/>
      <c r="H94" s="379"/>
      <c r="I94" s="379"/>
      <c r="J94" s="379"/>
      <c r="K94" s="379"/>
      <c r="L94" s="379"/>
      <c r="M94" s="379"/>
      <c r="N94" s="379"/>
      <c r="O94" s="379"/>
      <c r="P94" s="379"/>
      <c r="Q94" s="379"/>
      <c r="R94" s="379"/>
      <c r="S94" s="379"/>
      <c r="T94" s="379"/>
      <c r="U94" s="379"/>
      <c r="V94" s="379"/>
      <c r="W94" s="379"/>
      <c r="X94" s="379"/>
      <c r="Y94" s="388"/>
      <c r="Z94" s="388"/>
      <c r="AA94" s="388"/>
      <c r="AB94" s="392"/>
      <c r="AC94" s="392"/>
      <c r="AD94" s="392"/>
      <c r="AE94" s="392"/>
      <c r="AF94" s="392"/>
      <c r="AH94" s="376"/>
    </row>
    <row r="95" spans="1:34" outlineLevel="1">
      <c r="A95" t="s">
        <v>314</v>
      </c>
      <c r="B95" s="379">
        <f t="shared" ref="B95:X95" si="82">+B96-SUM(B83:B88,B76:B81)-SUM(B90:B92)</f>
        <v>82</v>
      </c>
      <c r="C95" s="379">
        <f t="shared" si="82"/>
        <v>150</v>
      </c>
      <c r="D95" s="379">
        <f t="shared" si="82"/>
        <v>290</v>
      </c>
      <c r="E95" s="379">
        <f t="shared" si="82"/>
        <v>388</v>
      </c>
      <c r="F95" s="379">
        <f t="shared" si="82"/>
        <v>334</v>
      </c>
      <c r="G95" s="379">
        <f t="shared" si="82"/>
        <v>248</v>
      </c>
      <c r="H95" s="379">
        <f t="shared" si="82"/>
        <v>154</v>
      </c>
      <c r="I95" s="379">
        <f t="shared" si="82"/>
        <v>150</v>
      </c>
      <c r="J95" s="379">
        <f t="shared" si="82"/>
        <v>152</v>
      </c>
      <c r="K95" s="379">
        <f t="shared" si="82"/>
        <v>156</v>
      </c>
      <c r="L95" s="379">
        <f t="shared" si="82"/>
        <v>102</v>
      </c>
      <c r="M95" s="379">
        <f t="shared" si="82"/>
        <v>138</v>
      </c>
      <c r="N95" s="379">
        <f t="shared" si="82"/>
        <v>74</v>
      </c>
      <c r="O95" s="379">
        <f t="shared" si="82"/>
        <v>84</v>
      </c>
      <c r="P95" s="379">
        <f t="shared" si="82"/>
        <v>124</v>
      </c>
      <c r="Q95" s="379">
        <f t="shared" si="82"/>
        <v>106</v>
      </c>
      <c r="R95" s="379">
        <f t="shared" si="82"/>
        <v>106</v>
      </c>
      <c r="S95" s="379">
        <f t="shared" si="82"/>
        <v>76</v>
      </c>
      <c r="T95" s="379">
        <f t="shared" si="82"/>
        <v>58</v>
      </c>
      <c r="U95" s="379">
        <f t="shared" si="82"/>
        <v>80</v>
      </c>
      <c r="V95" s="379">
        <f t="shared" si="82"/>
        <v>74</v>
      </c>
      <c r="W95" s="379">
        <f t="shared" si="82"/>
        <v>46</v>
      </c>
      <c r="X95" s="379">
        <f t="shared" si="82"/>
        <v>70</v>
      </c>
      <c r="Y95" s="388">
        <f t="shared" ref="Y95:AE95" si="83">Y24*Y70*$AH95</f>
        <v>18</v>
      </c>
      <c r="Z95" s="388">
        <f t="shared" si="83"/>
        <v>74</v>
      </c>
      <c r="AA95" s="388">
        <f t="shared" si="83"/>
        <v>74</v>
      </c>
      <c r="AB95" s="392">
        <f t="shared" si="83"/>
        <v>74</v>
      </c>
      <c r="AC95" s="392">
        <f t="shared" si="83"/>
        <v>74</v>
      </c>
      <c r="AD95" s="392">
        <f t="shared" si="83"/>
        <v>74</v>
      </c>
      <c r="AE95" s="392">
        <f t="shared" si="83"/>
        <v>74</v>
      </c>
      <c r="AF95" s="392">
        <f t="shared" ref="AF95" si="84">AF24*AF70*$AH95</f>
        <v>74</v>
      </c>
      <c r="AH95" s="376">
        <v>2</v>
      </c>
    </row>
    <row r="96" spans="1:34" outlineLevel="1">
      <c r="A96" s="365" t="s">
        <v>11</v>
      </c>
      <c r="B96" s="382">
        <v>870</v>
      </c>
      <c r="C96" s="382">
        <v>978</v>
      </c>
      <c r="D96" s="382">
        <v>996</v>
      </c>
      <c r="E96" s="382">
        <v>1008</v>
      </c>
      <c r="F96" s="382">
        <v>1080</v>
      </c>
      <c r="G96" s="382">
        <v>1122</v>
      </c>
      <c r="H96" s="382">
        <v>1294</v>
      </c>
      <c r="I96" s="382">
        <v>1602</v>
      </c>
      <c r="J96" s="382">
        <v>1534</v>
      </c>
      <c r="K96" s="382">
        <v>1732</v>
      </c>
      <c r="L96" s="382">
        <v>1596</v>
      </c>
      <c r="M96" s="382">
        <v>1738</v>
      </c>
      <c r="N96" s="382">
        <v>1914</v>
      </c>
      <c r="O96" s="382">
        <v>2098</v>
      </c>
      <c r="P96" s="382">
        <v>2222</v>
      </c>
      <c r="Q96" s="382">
        <v>2346</v>
      </c>
      <c r="R96" s="382">
        <v>2444</v>
      </c>
      <c r="S96" s="382">
        <v>2378</v>
      </c>
      <c r="T96" s="382">
        <v>2406</v>
      </c>
      <c r="U96" s="382">
        <v>1528</v>
      </c>
      <c r="V96" s="382">
        <v>878</v>
      </c>
      <c r="W96" s="382">
        <v>1296</v>
      </c>
      <c r="X96" s="382">
        <v>1622</v>
      </c>
      <c r="Y96" s="529">
        <f t="shared" ref="Y96:AE96" si="85">SUM(Y76:Y95)</f>
        <v>1656</v>
      </c>
      <c r="Z96" s="529">
        <f t="shared" si="85"/>
        <v>1450</v>
      </c>
      <c r="AA96" s="527">
        <f t="shared" si="85"/>
        <v>1807.8390687538747</v>
      </c>
      <c r="AB96" s="393">
        <f t="shared" si="85"/>
        <v>2104.7118736409457</v>
      </c>
      <c r="AC96" s="393">
        <f t="shared" si="85"/>
        <v>2331.7309562932296</v>
      </c>
      <c r="AD96" s="393">
        <f t="shared" si="85"/>
        <v>2482.3111752730752</v>
      </c>
      <c r="AE96" s="393">
        <f t="shared" si="85"/>
        <v>2498.9562300180364</v>
      </c>
      <c r="AF96" s="393">
        <f t="shared" ref="AF96" si="86">SUM(AF76:AF95)</f>
        <v>2500.9562300180364</v>
      </c>
    </row>
    <row r="97" spans="1:34" outlineLevel="1">
      <c r="B97" s="179"/>
      <c r="C97" s="179"/>
      <c r="D97" s="179"/>
      <c r="E97" s="179"/>
      <c r="F97" s="179"/>
      <c r="G97" s="179"/>
      <c r="H97" s="179"/>
      <c r="I97" s="179"/>
      <c r="J97" s="179"/>
      <c r="K97" s="179"/>
      <c r="L97" s="179"/>
      <c r="M97" s="179"/>
      <c r="N97" s="179"/>
      <c r="O97" s="179"/>
      <c r="P97" s="179"/>
      <c r="Q97" s="179"/>
      <c r="R97" s="179"/>
      <c r="S97" s="179"/>
      <c r="T97" s="179"/>
      <c r="U97" s="179"/>
      <c r="V97" s="179"/>
      <c r="W97" s="179"/>
      <c r="X97" s="179"/>
      <c r="Y97" s="179"/>
      <c r="Z97" s="528"/>
      <c r="AA97" s="528"/>
      <c r="AB97" s="395"/>
      <c r="AC97" s="395"/>
      <c r="AD97" s="395"/>
      <c r="AE97" s="395"/>
      <c r="AF97" s="395"/>
    </row>
    <row r="98" spans="1:34" outlineLevel="1">
      <c r="A98" s="434" t="s">
        <v>449</v>
      </c>
      <c r="B98" s="435">
        <v>2000</v>
      </c>
      <c r="C98" s="435">
        <f>+B98+1</f>
        <v>2001</v>
      </c>
      <c r="D98" s="435">
        <f t="shared" ref="D98:AF98" si="87">+C98+1</f>
        <v>2002</v>
      </c>
      <c r="E98" s="435">
        <f t="shared" si="87"/>
        <v>2003</v>
      </c>
      <c r="F98" s="435">
        <f t="shared" si="87"/>
        <v>2004</v>
      </c>
      <c r="G98" s="435">
        <f t="shared" si="87"/>
        <v>2005</v>
      </c>
      <c r="H98" s="435">
        <f t="shared" si="87"/>
        <v>2006</v>
      </c>
      <c r="I98" s="435">
        <f t="shared" si="87"/>
        <v>2007</v>
      </c>
      <c r="J98" s="435">
        <f t="shared" si="87"/>
        <v>2008</v>
      </c>
      <c r="K98" s="435">
        <f t="shared" si="87"/>
        <v>2009</v>
      </c>
      <c r="L98" s="435">
        <f t="shared" si="87"/>
        <v>2010</v>
      </c>
      <c r="M98" s="435">
        <f t="shared" si="87"/>
        <v>2011</v>
      </c>
      <c r="N98" s="435">
        <f t="shared" si="87"/>
        <v>2012</v>
      </c>
      <c r="O98" s="435">
        <f t="shared" si="87"/>
        <v>2013</v>
      </c>
      <c r="P98" s="435">
        <f t="shared" si="87"/>
        <v>2014</v>
      </c>
      <c r="Q98" s="435">
        <f t="shared" si="87"/>
        <v>2015</v>
      </c>
      <c r="R98" s="435">
        <f t="shared" si="87"/>
        <v>2016</v>
      </c>
      <c r="S98" s="435">
        <f t="shared" si="87"/>
        <v>2017</v>
      </c>
      <c r="T98" s="435">
        <f t="shared" si="87"/>
        <v>2018</v>
      </c>
      <c r="U98" s="435">
        <f t="shared" si="87"/>
        <v>2019</v>
      </c>
      <c r="V98" s="435">
        <f t="shared" si="87"/>
        <v>2020</v>
      </c>
      <c r="W98" s="435">
        <f t="shared" si="87"/>
        <v>2021</v>
      </c>
      <c r="X98" s="435">
        <f t="shared" si="87"/>
        <v>2022</v>
      </c>
      <c r="Y98" s="435">
        <f t="shared" si="87"/>
        <v>2023</v>
      </c>
      <c r="Z98" s="435">
        <f t="shared" si="87"/>
        <v>2024</v>
      </c>
      <c r="AA98" s="435">
        <f t="shared" si="87"/>
        <v>2025</v>
      </c>
      <c r="AB98" s="435">
        <f t="shared" si="87"/>
        <v>2026</v>
      </c>
      <c r="AC98" s="435">
        <f t="shared" si="87"/>
        <v>2027</v>
      </c>
      <c r="AD98" s="435">
        <f t="shared" si="87"/>
        <v>2028</v>
      </c>
      <c r="AE98" s="435">
        <f t="shared" si="87"/>
        <v>2029</v>
      </c>
      <c r="AF98" s="435">
        <f t="shared" si="87"/>
        <v>2030</v>
      </c>
    </row>
    <row r="99" spans="1:34" outlineLevel="1">
      <c r="A99" t="s">
        <v>386</v>
      </c>
      <c r="B99" s="381">
        <v>66</v>
      </c>
      <c r="C99" s="381">
        <v>144</v>
      </c>
      <c r="D99" s="381">
        <v>290</v>
      </c>
      <c r="E99" s="381">
        <v>384</v>
      </c>
      <c r="F99" s="381">
        <v>404</v>
      </c>
      <c r="G99" s="381">
        <v>374</v>
      </c>
      <c r="H99" s="381">
        <v>258</v>
      </c>
      <c r="I99" s="381">
        <v>342</v>
      </c>
      <c r="J99" s="381">
        <v>394</v>
      </c>
      <c r="K99" s="381">
        <v>334</v>
      </c>
      <c r="L99" s="381">
        <v>242</v>
      </c>
      <c r="M99" s="381">
        <v>286</v>
      </c>
      <c r="N99" s="381">
        <v>226</v>
      </c>
      <c r="O99" s="381">
        <v>224</v>
      </c>
      <c r="P99" s="381">
        <v>286</v>
      </c>
      <c r="Q99" s="381">
        <v>290</v>
      </c>
      <c r="R99" s="381">
        <v>308</v>
      </c>
      <c r="S99" s="381">
        <v>258</v>
      </c>
      <c r="T99" s="381">
        <v>220</v>
      </c>
      <c r="U99" s="381">
        <v>224</v>
      </c>
      <c r="V99" s="381">
        <v>140</v>
      </c>
      <c r="W99" s="381">
        <v>100</v>
      </c>
      <c r="X99" s="381">
        <v>144</v>
      </c>
      <c r="Y99" s="526">
        <v>94</v>
      </c>
      <c r="Z99" s="526">
        <v>120</v>
      </c>
      <c r="AA99" s="388">
        <f t="shared" ref="AA99:AF99" si="88">+AA91+AA92+AA95</f>
        <v>142</v>
      </c>
      <c r="AB99" s="392">
        <f t="shared" si="88"/>
        <v>146</v>
      </c>
      <c r="AC99" s="392">
        <f t="shared" si="88"/>
        <v>154</v>
      </c>
      <c r="AD99" s="392">
        <f t="shared" si="88"/>
        <v>156</v>
      </c>
      <c r="AE99" s="392">
        <f t="shared" si="88"/>
        <v>158</v>
      </c>
      <c r="AF99" s="392">
        <f t="shared" si="88"/>
        <v>160</v>
      </c>
    </row>
    <row r="100" spans="1:34" outlineLevel="1">
      <c r="A100" t="s">
        <v>387</v>
      </c>
      <c r="B100" s="381">
        <v>138</v>
      </c>
      <c r="C100" s="381">
        <v>126</v>
      </c>
      <c r="D100" s="381">
        <v>136</v>
      </c>
      <c r="E100" s="381">
        <v>78</v>
      </c>
      <c r="F100" s="381">
        <v>84</v>
      </c>
      <c r="G100" s="381">
        <v>102</v>
      </c>
      <c r="H100" s="381">
        <v>90</v>
      </c>
      <c r="I100" s="381">
        <v>138</v>
      </c>
      <c r="J100" s="381">
        <v>94</v>
      </c>
      <c r="K100" s="381">
        <v>56</v>
      </c>
      <c r="L100" s="381">
        <v>40</v>
      </c>
      <c r="M100" s="381">
        <v>64</v>
      </c>
      <c r="N100" s="381">
        <v>82</v>
      </c>
      <c r="O100" s="381">
        <v>60</v>
      </c>
      <c r="P100" s="381">
        <v>36</v>
      </c>
      <c r="Q100" s="381">
        <v>70</v>
      </c>
      <c r="R100" s="381">
        <v>66</v>
      </c>
      <c r="S100" s="381">
        <v>42</v>
      </c>
      <c r="T100" s="381">
        <v>42</v>
      </c>
      <c r="U100" s="381">
        <v>46</v>
      </c>
      <c r="V100" s="381">
        <v>40</v>
      </c>
      <c r="W100" s="381">
        <v>38</v>
      </c>
      <c r="X100" s="381">
        <v>36</v>
      </c>
      <c r="Y100" s="526">
        <v>36</v>
      </c>
      <c r="Z100" s="526">
        <v>20</v>
      </c>
      <c r="AA100" s="388">
        <f t="shared" ref="AA100:AF100" si="89">+AA79</f>
        <v>60</v>
      </c>
      <c r="AB100" s="392">
        <f t="shared" si="89"/>
        <v>72</v>
      </c>
      <c r="AC100" s="392">
        <f t="shared" si="89"/>
        <v>0</v>
      </c>
      <c r="AD100" s="392">
        <f t="shared" si="89"/>
        <v>0</v>
      </c>
      <c r="AE100" s="392">
        <f t="shared" si="89"/>
        <v>0</v>
      </c>
      <c r="AF100" s="392">
        <f t="shared" si="89"/>
        <v>0</v>
      </c>
    </row>
    <row r="101" spans="1:34" outlineLevel="1">
      <c r="A101" t="s">
        <v>388</v>
      </c>
      <c r="B101" s="381">
        <v>654</v>
      </c>
      <c r="C101" s="381">
        <v>700</v>
      </c>
      <c r="D101" s="381">
        <v>544</v>
      </c>
      <c r="E101" s="381">
        <v>524</v>
      </c>
      <c r="F101" s="381">
        <v>548</v>
      </c>
      <c r="G101" s="381">
        <v>600</v>
      </c>
      <c r="H101" s="381">
        <v>858</v>
      </c>
      <c r="I101" s="381">
        <v>1004</v>
      </c>
      <c r="J101" s="381">
        <v>932</v>
      </c>
      <c r="K101" s="381">
        <v>1166</v>
      </c>
      <c r="L101" s="381">
        <v>1140</v>
      </c>
      <c r="M101" s="381">
        <v>1170</v>
      </c>
      <c r="N101" s="381">
        <v>1248</v>
      </c>
      <c r="O101" s="381">
        <v>1380</v>
      </c>
      <c r="P101" s="381">
        <v>1408</v>
      </c>
      <c r="Q101" s="381">
        <v>1470</v>
      </c>
      <c r="R101" s="381">
        <v>1544</v>
      </c>
      <c r="S101" s="381">
        <v>1338</v>
      </c>
      <c r="T101" s="381">
        <v>948</v>
      </c>
      <c r="U101" s="381">
        <v>256</v>
      </c>
      <c r="V101" s="381">
        <v>32</v>
      </c>
      <c r="W101" s="381">
        <v>48</v>
      </c>
      <c r="X101" s="381"/>
      <c r="Y101" s="526"/>
      <c r="Z101" s="526"/>
      <c r="AA101" s="388"/>
      <c r="AB101" s="392"/>
      <c r="AC101" s="392"/>
      <c r="AD101" s="392"/>
      <c r="AE101" s="392"/>
      <c r="AF101" s="392"/>
    </row>
    <row r="102" spans="1:34" outlineLevel="1">
      <c r="A102" t="s">
        <v>389</v>
      </c>
      <c r="B102" s="381">
        <v>12</v>
      </c>
      <c r="C102" s="381">
        <v>8</v>
      </c>
      <c r="D102" s="381">
        <v>26</v>
      </c>
      <c r="E102" s="381">
        <v>22</v>
      </c>
      <c r="F102" s="381">
        <v>44</v>
      </c>
      <c r="G102" s="381">
        <v>46</v>
      </c>
      <c r="H102" s="381">
        <v>88</v>
      </c>
      <c r="I102" s="381">
        <v>118</v>
      </c>
      <c r="J102" s="381">
        <v>106</v>
      </c>
      <c r="K102" s="381">
        <v>164</v>
      </c>
      <c r="L102" s="381">
        <v>138</v>
      </c>
      <c r="M102" s="381">
        <v>142</v>
      </c>
      <c r="N102" s="381">
        <v>160</v>
      </c>
      <c r="O102" s="381">
        <v>188</v>
      </c>
      <c r="P102" s="381">
        <v>194</v>
      </c>
      <c r="Q102" s="381">
        <v>194</v>
      </c>
      <c r="R102" s="381">
        <v>198</v>
      </c>
      <c r="S102" s="381">
        <v>142</v>
      </c>
      <c r="T102" s="381">
        <v>88</v>
      </c>
      <c r="U102" s="381">
        <v>88</v>
      </c>
      <c r="V102" s="381">
        <v>52</v>
      </c>
      <c r="W102" s="381">
        <v>48</v>
      </c>
      <c r="X102" s="381">
        <v>48</v>
      </c>
      <c r="Y102" s="526">
        <v>52</v>
      </c>
      <c r="Z102" s="526">
        <v>28</v>
      </c>
      <c r="AA102" s="388">
        <f t="shared" ref="AA102:AF102" si="90">+AA80</f>
        <v>64</v>
      </c>
      <c r="AB102" s="392">
        <f t="shared" si="90"/>
        <v>60</v>
      </c>
      <c r="AC102" s="392">
        <f t="shared" si="90"/>
        <v>96</v>
      </c>
      <c r="AD102" s="392">
        <f t="shared" si="90"/>
        <v>96</v>
      </c>
      <c r="AE102" s="392">
        <f t="shared" si="90"/>
        <v>96</v>
      </c>
      <c r="AF102" s="392">
        <f t="shared" si="90"/>
        <v>96</v>
      </c>
    </row>
    <row r="103" spans="1:34" outlineLevel="1">
      <c r="A103" t="s">
        <v>390</v>
      </c>
      <c r="B103" s="381"/>
      <c r="C103" s="381"/>
      <c r="D103" s="381"/>
      <c r="E103" s="381"/>
      <c r="F103" s="381"/>
      <c r="G103" s="381"/>
      <c r="H103" s="381"/>
      <c r="I103" s="381"/>
      <c r="J103" s="381"/>
      <c r="K103" s="381"/>
      <c r="L103" s="381"/>
      <c r="M103" s="381">
        <v>36</v>
      </c>
      <c r="N103" s="381">
        <v>146</v>
      </c>
      <c r="O103" s="381">
        <v>182</v>
      </c>
      <c r="P103" s="381">
        <v>214</v>
      </c>
      <c r="Q103" s="381">
        <v>238</v>
      </c>
      <c r="R103" s="381">
        <v>186</v>
      </c>
      <c r="S103" s="381">
        <v>214</v>
      </c>
      <c r="T103" s="381">
        <v>198</v>
      </c>
      <c r="U103" s="381">
        <v>244</v>
      </c>
      <c r="V103" s="381">
        <v>106</v>
      </c>
      <c r="W103" s="381">
        <v>48</v>
      </c>
      <c r="X103" s="381">
        <v>72</v>
      </c>
      <c r="Y103" s="526">
        <v>106</v>
      </c>
      <c r="Z103" s="526">
        <v>74</v>
      </c>
      <c r="AA103" s="388">
        <f t="shared" ref="AA103:AF103" si="91">+AA81+AA78</f>
        <v>101.56862745098039</v>
      </c>
      <c r="AB103" s="392">
        <f t="shared" si="91"/>
        <v>139.29411764705881</v>
      </c>
      <c r="AC103" s="392">
        <f t="shared" si="91"/>
        <v>174.11764705882354</v>
      </c>
      <c r="AD103" s="392">
        <f t="shared" si="91"/>
        <v>174.11764705882354</v>
      </c>
      <c r="AE103" s="392">
        <f t="shared" si="91"/>
        <v>174.11764705882354</v>
      </c>
      <c r="AF103" s="392">
        <f t="shared" si="91"/>
        <v>174.11764705882354</v>
      </c>
    </row>
    <row r="104" spans="1:34" outlineLevel="1">
      <c r="A104" t="s">
        <v>391</v>
      </c>
      <c r="B104" s="381"/>
      <c r="C104" s="381"/>
      <c r="D104" s="381"/>
      <c r="E104" s="381"/>
      <c r="F104" s="381"/>
      <c r="G104" s="381"/>
      <c r="H104" s="381"/>
      <c r="I104" s="381"/>
      <c r="J104" s="381">
        <v>8</v>
      </c>
      <c r="K104" s="381">
        <v>12</v>
      </c>
      <c r="L104" s="381">
        <v>36</v>
      </c>
      <c r="M104" s="381">
        <v>40</v>
      </c>
      <c r="N104" s="381">
        <v>52</v>
      </c>
      <c r="O104" s="381">
        <v>64</v>
      </c>
      <c r="P104" s="381">
        <v>84</v>
      </c>
      <c r="Q104" s="381">
        <v>84</v>
      </c>
      <c r="R104" s="381">
        <v>84</v>
      </c>
      <c r="S104" s="381">
        <v>20</v>
      </c>
      <c r="T104" s="381">
        <v>4</v>
      </c>
      <c r="U104" s="381"/>
      <c r="V104" s="381"/>
      <c r="W104" s="381"/>
      <c r="X104" s="381"/>
      <c r="Y104" s="388"/>
      <c r="Z104" s="388"/>
      <c r="AA104" s="388"/>
      <c r="AB104" s="392"/>
      <c r="AC104" s="392"/>
      <c r="AD104" s="392"/>
      <c r="AE104" s="392"/>
      <c r="AF104" s="392"/>
    </row>
    <row r="105" spans="1:34" outlineLevel="1">
      <c r="A105" t="s">
        <v>401</v>
      </c>
      <c r="B105" s="381"/>
      <c r="C105" s="381"/>
      <c r="D105" s="381"/>
      <c r="E105" s="381"/>
      <c r="F105" s="381"/>
      <c r="G105" s="381"/>
      <c r="H105" s="381"/>
      <c r="I105" s="381"/>
      <c r="J105" s="381"/>
      <c r="K105" s="381"/>
      <c r="L105" s="381"/>
      <c r="M105" s="381"/>
      <c r="N105" s="381"/>
      <c r="O105" s="381"/>
      <c r="P105" s="381"/>
      <c r="Q105" s="381"/>
      <c r="R105" s="398">
        <f>+R121/(1+R110)</f>
        <v>61.6</v>
      </c>
      <c r="S105" s="398">
        <f t="shared" ref="S105:Z105" si="92">+S121/(1+S110)</f>
        <v>351.83673469387753</v>
      </c>
      <c r="T105" s="398">
        <f t="shared" si="92"/>
        <v>931.66666666666674</v>
      </c>
      <c r="U105" s="398">
        <f t="shared" si="92"/>
        <v>1477.4468085106382</v>
      </c>
      <c r="V105" s="398">
        <f t="shared" si="92"/>
        <v>708.69565217391312</v>
      </c>
      <c r="W105" s="398">
        <f t="shared" si="92"/>
        <v>751.11111111111109</v>
      </c>
      <c r="X105" s="398">
        <f t="shared" si="92"/>
        <v>1032.7272727272727</v>
      </c>
      <c r="Y105" s="530">
        <f t="shared" si="92"/>
        <v>1427.2727272727273</v>
      </c>
      <c r="Z105" s="530">
        <f t="shared" si="92"/>
        <v>1279.090909090909</v>
      </c>
      <c r="AA105" s="388">
        <f t="shared" ref="AA105:AF105" si="93">Z105/(Z76+Z83+Z84+Z85)*(AA76+AA83+AA84+AA85)</f>
        <v>1553.3194166128869</v>
      </c>
      <c r="AB105" s="392">
        <f t="shared" si="93"/>
        <v>1819.8656926900187</v>
      </c>
      <c r="AC105" s="392">
        <f t="shared" si="93"/>
        <v>2057.3447233579718</v>
      </c>
      <c r="AD105" s="392">
        <f t="shared" si="93"/>
        <v>2217.5872253544781</v>
      </c>
      <c r="AE105" s="392">
        <f t="shared" si="93"/>
        <v>2233.3817922915932</v>
      </c>
      <c r="AF105" s="392">
        <f t="shared" si="93"/>
        <v>2233.3817922915932</v>
      </c>
    </row>
    <row r="106" spans="1:34" outlineLevel="1">
      <c r="A106" s="365" t="s">
        <v>11</v>
      </c>
      <c r="B106" s="384">
        <f>SUM(B99:B105)</f>
        <v>870</v>
      </c>
      <c r="C106" s="384">
        <f t="shared" ref="C106:X106" si="94">SUM(C99:C105)</f>
        <v>978</v>
      </c>
      <c r="D106" s="384">
        <f t="shared" si="94"/>
        <v>996</v>
      </c>
      <c r="E106" s="384">
        <f t="shared" si="94"/>
        <v>1008</v>
      </c>
      <c r="F106" s="384">
        <f t="shared" si="94"/>
        <v>1080</v>
      </c>
      <c r="G106" s="384">
        <f t="shared" si="94"/>
        <v>1122</v>
      </c>
      <c r="H106" s="384">
        <f t="shared" si="94"/>
        <v>1294</v>
      </c>
      <c r="I106" s="384">
        <f t="shared" si="94"/>
        <v>1602</v>
      </c>
      <c r="J106" s="384">
        <f t="shared" si="94"/>
        <v>1534</v>
      </c>
      <c r="K106" s="384">
        <f t="shared" si="94"/>
        <v>1732</v>
      </c>
      <c r="L106" s="384">
        <f t="shared" si="94"/>
        <v>1596</v>
      </c>
      <c r="M106" s="384">
        <f t="shared" si="94"/>
        <v>1738</v>
      </c>
      <c r="N106" s="384">
        <f t="shared" si="94"/>
        <v>1914</v>
      </c>
      <c r="O106" s="384">
        <f t="shared" si="94"/>
        <v>2098</v>
      </c>
      <c r="P106" s="384">
        <f t="shared" si="94"/>
        <v>2222</v>
      </c>
      <c r="Q106" s="384">
        <f t="shared" si="94"/>
        <v>2346</v>
      </c>
      <c r="R106" s="384">
        <f t="shared" si="94"/>
        <v>2447.6</v>
      </c>
      <c r="S106" s="384">
        <f t="shared" si="94"/>
        <v>2365.8367346938776</v>
      </c>
      <c r="T106" s="384">
        <f t="shared" si="94"/>
        <v>2431.666666666667</v>
      </c>
      <c r="U106" s="384">
        <f t="shared" si="94"/>
        <v>2335.4468085106382</v>
      </c>
      <c r="V106" s="384">
        <f t="shared" si="94"/>
        <v>1078.695652173913</v>
      </c>
      <c r="W106" s="384">
        <f t="shared" si="94"/>
        <v>1033.1111111111111</v>
      </c>
      <c r="X106" s="384">
        <f t="shared" si="94"/>
        <v>1332.7272727272727</v>
      </c>
      <c r="Y106" s="527">
        <f t="shared" ref="Y106:AE106" si="95">SUM(Y99:Y105)</f>
        <v>1715.2727272727273</v>
      </c>
      <c r="Z106" s="527">
        <f t="shared" si="95"/>
        <v>1521.090909090909</v>
      </c>
      <c r="AA106" s="527">
        <f t="shared" si="95"/>
        <v>1920.8880440638673</v>
      </c>
      <c r="AB106" s="393">
        <f t="shared" si="95"/>
        <v>2237.1598103370775</v>
      </c>
      <c r="AC106" s="393">
        <f t="shared" si="95"/>
        <v>2481.4623704167952</v>
      </c>
      <c r="AD106" s="393">
        <f t="shared" si="95"/>
        <v>2643.7048724133015</v>
      </c>
      <c r="AE106" s="393">
        <f t="shared" si="95"/>
        <v>2661.4994393504167</v>
      </c>
      <c r="AF106" s="393">
        <f t="shared" ref="AF106" si="96">SUM(AF99:AF105)</f>
        <v>2663.4994393504167</v>
      </c>
    </row>
    <row r="107" spans="1:34" outlineLevel="1">
      <c r="A107" s="4"/>
      <c r="B107" s="385"/>
      <c r="C107" s="385"/>
      <c r="D107" s="385"/>
      <c r="E107" s="385"/>
      <c r="F107" s="385"/>
      <c r="G107" s="385"/>
      <c r="H107" s="385"/>
      <c r="I107" s="385"/>
      <c r="J107" s="385"/>
      <c r="K107" s="385"/>
      <c r="L107" s="385"/>
      <c r="M107" s="385"/>
      <c r="N107" s="385"/>
      <c r="O107" s="385"/>
      <c r="P107" s="385"/>
      <c r="Q107" s="385"/>
      <c r="R107" s="385"/>
      <c r="S107" s="385"/>
      <c r="T107" s="385"/>
      <c r="U107" s="385"/>
      <c r="V107" s="385"/>
      <c r="W107" s="385"/>
      <c r="X107" s="385"/>
      <c r="Y107" s="531"/>
      <c r="Z107" s="528"/>
      <c r="AA107" s="528"/>
      <c r="AB107" s="395"/>
      <c r="AC107" s="395"/>
      <c r="AD107" s="395"/>
      <c r="AE107" s="395"/>
      <c r="AF107" s="395"/>
    </row>
    <row r="108" spans="1:34" outlineLevel="1">
      <c r="A108" t="s">
        <v>394</v>
      </c>
      <c r="B108" s="385">
        <f t="shared" ref="B108:O108" si="97">+SUM(B99:B104)*B109+B105*B110</f>
        <v>87</v>
      </c>
      <c r="C108" s="385">
        <f t="shared" si="97"/>
        <v>97.800000000000011</v>
      </c>
      <c r="D108" s="385">
        <f t="shared" si="97"/>
        <v>99.600000000000009</v>
      </c>
      <c r="E108" s="385">
        <f t="shared" si="97"/>
        <v>100.80000000000001</v>
      </c>
      <c r="F108" s="385">
        <f t="shared" si="97"/>
        <v>108</v>
      </c>
      <c r="G108" s="385">
        <f t="shared" si="97"/>
        <v>112.2</v>
      </c>
      <c r="H108" s="385">
        <f t="shared" si="97"/>
        <v>129.4</v>
      </c>
      <c r="I108" s="385">
        <f t="shared" si="97"/>
        <v>160.20000000000002</v>
      </c>
      <c r="J108" s="385">
        <f t="shared" si="97"/>
        <v>153.4</v>
      </c>
      <c r="K108" s="385">
        <f t="shared" si="97"/>
        <v>173.20000000000002</v>
      </c>
      <c r="L108" s="385">
        <f t="shared" si="97"/>
        <v>159.60000000000002</v>
      </c>
      <c r="M108" s="385">
        <f t="shared" si="97"/>
        <v>173.8</v>
      </c>
      <c r="N108" s="385">
        <f t="shared" si="97"/>
        <v>191.4</v>
      </c>
      <c r="O108" s="385">
        <f t="shared" si="97"/>
        <v>209.8</v>
      </c>
      <c r="P108" s="385">
        <f>+SUM(P99:P104)*P109+P105*P110</f>
        <v>222.20000000000002</v>
      </c>
      <c r="Q108" s="385">
        <f>+SUM(Q99:Q104)*Q109+Q105*Q110</f>
        <v>234.60000000000002</v>
      </c>
      <c r="R108" s="385">
        <f t="shared" ref="R108:Y108" si="98">+SUM(R99:R104)*R109+R105*R110</f>
        <v>254.00000000000003</v>
      </c>
      <c r="S108" s="385">
        <f t="shared" si="98"/>
        <v>280.56326530612245</v>
      </c>
      <c r="T108" s="385">
        <f t="shared" si="98"/>
        <v>336.33333333333337</v>
      </c>
      <c r="U108" s="385">
        <f t="shared" si="98"/>
        <v>344.35319148936173</v>
      </c>
      <c r="V108" s="385">
        <f t="shared" si="98"/>
        <v>143.304347826087</v>
      </c>
      <c r="W108" s="385">
        <f t="shared" si="98"/>
        <v>122.0888888888889</v>
      </c>
      <c r="X108" s="385">
        <f t="shared" si="98"/>
        <v>133.27272727272731</v>
      </c>
      <c r="Y108" s="531">
        <f t="shared" si="98"/>
        <v>171.52727272727279</v>
      </c>
      <c r="Z108" s="531">
        <f t="shared" ref="Z108:AE108" si="99">+SUM(Z99:Z104)*Z109+Z105*Z110</f>
        <v>152.10909090909095</v>
      </c>
      <c r="AA108" s="531">
        <f t="shared" si="99"/>
        <v>192.08880440638677</v>
      </c>
      <c r="AB108" s="399">
        <f t="shared" si="99"/>
        <v>223.71598103370781</v>
      </c>
      <c r="AC108" s="399">
        <f t="shared" si="99"/>
        <v>248.1462370416796</v>
      </c>
      <c r="AD108" s="399">
        <f t="shared" si="99"/>
        <v>264.37048724133024</v>
      </c>
      <c r="AE108" s="399">
        <f t="shared" si="99"/>
        <v>266.14994393504173</v>
      </c>
      <c r="AF108" s="399">
        <f t="shared" ref="AF108" si="100">+SUM(AF99:AF104)*AF109+AF105*AF110</f>
        <v>266.34994393504178</v>
      </c>
    </row>
    <row r="109" spans="1:34" outlineLevel="1">
      <c r="A109" s="1" t="s">
        <v>395</v>
      </c>
      <c r="B109" s="386">
        <v>0.1</v>
      </c>
      <c r="C109" s="386">
        <v>0.1</v>
      </c>
      <c r="D109" s="386">
        <v>0.1</v>
      </c>
      <c r="E109" s="386">
        <v>0.1</v>
      </c>
      <c r="F109" s="386">
        <v>0.1</v>
      </c>
      <c r="G109" s="386">
        <v>0.1</v>
      </c>
      <c r="H109" s="386">
        <v>0.1</v>
      </c>
      <c r="I109" s="386">
        <v>0.1</v>
      </c>
      <c r="J109" s="386">
        <v>0.1</v>
      </c>
      <c r="K109" s="386">
        <v>0.1</v>
      </c>
      <c r="L109" s="386">
        <v>0.1</v>
      </c>
      <c r="M109" s="386">
        <v>0.1</v>
      </c>
      <c r="N109" s="386">
        <v>0.1</v>
      </c>
      <c r="O109" s="386">
        <v>0.1</v>
      </c>
      <c r="P109" s="386">
        <v>0.1</v>
      </c>
      <c r="Q109" s="386">
        <v>0.1</v>
      </c>
      <c r="R109" s="386">
        <v>0.1</v>
      </c>
      <c r="S109" s="386">
        <v>0.1</v>
      </c>
      <c r="T109" s="386">
        <v>0.1</v>
      </c>
      <c r="U109" s="386">
        <v>0.1</v>
      </c>
      <c r="V109" s="386">
        <v>0.1</v>
      </c>
      <c r="W109" s="386">
        <v>0.1</v>
      </c>
      <c r="X109" s="386">
        <v>0.1</v>
      </c>
      <c r="Y109" s="532">
        <v>0.1</v>
      </c>
      <c r="Z109" s="532">
        <v>0.1</v>
      </c>
      <c r="AA109" s="532">
        <v>0.1</v>
      </c>
      <c r="AB109" s="396">
        <v>0.1</v>
      </c>
      <c r="AC109" s="396">
        <v>0.1</v>
      </c>
      <c r="AD109" s="396">
        <v>0.1</v>
      </c>
      <c r="AE109" s="396">
        <v>0.1</v>
      </c>
      <c r="AF109" s="396">
        <v>0.1</v>
      </c>
    </row>
    <row r="110" spans="1:34" outlineLevel="1">
      <c r="A110" s="1" t="s">
        <v>396</v>
      </c>
      <c r="B110" s="385"/>
      <c r="C110" s="385"/>
      <c r="D110" s="385"/>
      <c r="E110" s="385"/>
      <c r="F110" s="385"/>
      <c r="G110" s="385"/>
      <c r="H110" s="385"/>
      <c r="I110" s="385"/>
      <c r="J110" s="385"/>
      <c r="K110" s="385"/>
      <c r="L110" s="385"/>
      <c r="M110" s="385"/>
      <c r="N110" s="385"/>
      <c r="O110" s="385"/>
      <c r="P110" s="385"/>
      <c r="Q110" s="386"/>
      <c r="R110" s="386">
        <v>0.25</v>
      </c>
      <c r="S110" s="386">
        <f t="shared" ref="S110:X110" si="101">+R110-0.025</f>
        <v>0.22500000000000001</v>
      </c>
      <c r="T110" s="386">
        <f t="shared" si="101"/>
        <v>0.2</v>
      </c>
      <c r="U110" s="386">
        <f t="shared" si="101"/>
        <v>0.17500000000000002</v>
      </c>
      <c r="V110" s="386">
        <f t="shared" si="101"/>
        <v>0.15000000000000002</v>
      </c>
      <c r="W110" s="386">
        <f t="shared" si="101"/>
        <v>0.12500000000000003</v>
      </c>
      <c r="X110" s="386">
        <f t="shared" si="101"/>
        <v>0.10000000000000003</v>
      </c>
      <c r="Y110" s="532">
        <v>0.10000000000000003</v>
      </c>
      <c r="Z110" s="532">
        <v>0.10000000000000003</v>
      </c>
      <c r="AA110" s="532">
        <v>0.10000000000000003</v>
      </c>
      <c r="AB110" s="396">
        <v>0.10000000000000003</v>
      </c>
      <c r="AC110" s="396">
        <v>0.10000000000000003</v>
      </c>
      <c r="AD110" s="396">
        <v>0.10000000000000003</v>
      </c>
      <c r="AE110" s="396">
        <v>0.10000000000000003</v>
      </c>
      <c r="AF110" s="396">
        <v>0.10000000000000003</v>
      </c>
    </row>
    <row r="111" spans="1:34" outlineLevel="1">
      <c r="A111" s="11" t="s">
        <v>397</v>
      </c>
      <c r="B111" s="387">
        <v>0</v>
      </c>
      <c r="C111" s="387">
        <v>0</v>
      </c>
      <c r="D111" s="387">
        <v>0</v>
      </c>
      <c r="E111" s="387">
        <v>0</v>
      </c>
      <c r="F111" s="387">
        <v>0</v>
      </c>
      <c r="G111" s="387">
        <v>0</v>
      </c>
      <c r="H111" s="387">
        <v>0</v>
      </c>
      <c r="I111" s="387">
        <v>0</v>
      </c>
      <c r="J111" s="387">
        <v>0</v>
      </c>
      <c r="K111" s="387">
        <v>0</v>
      </c>
      <c r="L111" s="387">
        <v>0</v>
      </c>
      <c r="M111" s="387">
        <v>0</v>
      </c>
      <c r="N111" s="387">
        <v>0</v>
      </c>
      <c r="O111" s="387">
        <v>0</v>
      </c>
      <c r="P111" s="387">
        <v>0</v>
      </c>
      <c r="Q111" s="387">
        <f>+Q112-Q106-Q108</f>
        <v>7.3999999999999773</v>
      </c>
      <c r="R111" s="387">
        <f t="shared" ref="R111:X111" si="102">+R112-R106-R108</f>
        <v>45.400000000000063</v>
      </c>
      <c r="S111" s="387">
        <f t="shared" si="102"/>
        <v>-44.400000000000034</v>
      </c>
      <c r="T111" s="387">
        <f t="shared" si="102"/>
        <v>56.999999999999659</v>
      </c>
      <c r="U111" s="387">
        <f>+U112-U106-U108</f>
        <v>183.20000000000005</v>
      </c>
      <c r="V111" s="387">
        <f t="shared" si="102"/>
        <v>427</v>
      </c>
      <c r="W111" s="387">
        <f t="shared" si="102"/>
        <v>331.8</v>
      </c>
      <c r="X111" s="387">
        <f t="shared" si="102"/>
        <v>196.99999999999994</v>
      </c>
      <c r="Y111" s="533">
        <f>+Y112-Y106-Y108</f>
        <v>188.19999999999996</v>
      </c>
      <c r="Z111" s="533">
        <f>+Z112-Z106-Z108</f>
        <v>237.80000000000004</v>
      </c>
      <c r="AA111" s="533">
        <f t="shared" ref="AA111:AF111" si="103">+Z111</f>
        <v>237.80000000000004</v>
      </c>
      <c r="AB111" s="400">
        <f t="shared" si="103"/>
        <v>237.80000000000004</v>
      </c>
      <c r="AC111" s="400">
        <f t="shared" si="103"/>
        <v>237.80000000000004</v>
      </c>
      <c r="AD111" s="400">
        <f t="shared" si="103"/>
        <v>237.80000000000004</v>
      </c>
      <c r="AE111" s="400">
        <f t="shared" si="103"/>
        <v>237.80000000000004</v>
      </c>
      <c r="AF111" s="400">
        <f t="shared" si="103"/>
        <v>237.80000000000004</v>
      </c>
    </row>
    <row r="112" spans="1:34" outlineLevel="1">
      <c r="A112" s="365" t="s">
        <v>451</v>
      </c>
      <c r="B112" s="438">
        <f t="shared" ref="B112:O112" si="104">B106+B108</f>
        <v>957</v>
      </c>
      <c r="C112" s="438">
        <f t="shared" si="104"/>
        <v>1075.8</v>
      </c>
      <c r="D112" s="438">
        <f t="shared" si="104"/>
        <v>1095.5999999999999</v>
      </c>
      <c r="E112" s="438">
        <f t="shared" si="104"/>
        <v>1108.8</v>
      </c>
      <c r="F112" s="438">
        <f t="shared" si="104"/>
        <v>1188</v>
      </c>
      <c r="G112" s="438">
        <f t="shared" si="104"/>
        <v>1234.2</v>
      </c>
      <c r="H112" s="438">
        <f t="shared" si="104"/>
        <v>1423.4</v>
      </c>
      <c r="I112" s="438">
        <f t="shared" si="104"/>
        <v>1762.2</v>
      </c>
      <c r="J112" s="438">
        <f t="shared" si="104"/>
        <v>1687.4</v>
      </c>
      <c r="K112" s="438">
        <f t="shared" si="104"/>
        <v>1905.2</v>
      </c>
      <c r="L112" s="438">
        <f t="shared" si="104"/>
        <v>1755.6</v>
      </c>
      <c r="M112" s="438">
        <f t="shared" si="104"/>
        <v>1911.8</v>
      </c>
      <c r="N112" s="438">
        <f t="shared" si="104"/>
        <v>2105.4</v>
      </c>
      <c r="O112" s="438">
        <f t="shared" si="104"/>
        <v>2307.8000000000002</v>
      </c>
      <c r="P112" s="438">
        <f>P106+P108</f>
        <v>2444.1999999999998</v>
      </c>
      <c r="Q112" s="439">
        <v>2588</v>
      </c>
      <c r="R112" s="439">
        <v>2747</v>
      </c>
      <c r="S112" s="439">
        <v>2602</v>
      </c>
      <c r="T112" s="439">
        <v>2825</v>
      </c>
      <c r="U112" s="439">
        <v>2863</v>
      </c>
      <c r="V112" s="439">
        <v>1649</v>
      </c>
      <c r="W112" s="439">
        <v>1487</v>
      </c>
      <c r="X112" s="439">
        <v>1663</v>
      </c>
      <c r="Y112" s="439">
        <f>CES_Annual!Y57</f>
        <v>2075</v>
      </c>
      <c r="Z112" s="439">
        <f>CES_Annual!Z57</f>
        <v>1911</v>
      </c>
      <c r="AA112" s="439">
        <f>CES_Annual!AA57</f>
        <v>2386</v>
      </c>
      <c r="AB112" s="393">
        <f t="shared" ref="AB112:AF112" si="105">+AB106+AB108+AB111</f>
        <v>2698.6757913707856</v>
      </c>
      <c r="AC112" s="393">
        <f t="shared" si="105"/>
        <v>2967.4086074584752</v>
      </c>
      <c r="AD112" s="393">
        <f t="shared" si="105"/>
        <v>3145.8753596546321</v>
      </c>
      <c r="AE112" s="393">
        <f t="shared" si="105"/>
        <v>3165.4493832854587</v>
      </c>
      <c r="AF112" s="393">
        <f t="shared" si="105"/>
        <v>3167.6493832854585</v>
      </c>
      <c r="AH112" s="492" t="s">
        <v>501</v>
      </c>
    </row>
    <row r="113" spans="1:34" outlineLevel="1">
      <c r="B113" s="179"/>
      <c r="C113" s="179"/>
      <c r="D113" s="179"/>
      <c r="E113" s="179"/>
      <c r="F113" s="179"/>
      <c r="G113" s="179"/>
      <c r="H113" s="179"/>
      <c r="I113" s="179"/>
      <c r="J113" s="179"/>
      <c r="K113" s="179"/>
      <c r="L113" s="179"/>
      <c r="M113" s="179"/>
      <c r="N113" s="179"/>
      <c r="O113" s="179"/>
      <c r="P113" s="179"/>
      <c r="Q113" s="179"/>
      <c r="R113" s="179"/>
      <c r="S113" s="179"/>
      <c r="T113" s="179"/>
      <c r="U113" s="179"/>
      <c r="V113" s="179"/>
      <c r="W113" s="179"/>
      <c r="X113" s="179"/>
      <c r="Y113" s="179"/>
      <c r="Z113" s="179"/>
      <c r="AA113" s="179"/>
      <c r="AB113" s="179"/>
      <c r="AC113" s="179"/>
      <c r="AD113" s="179"/>
      <c r="AE113" s="179"/>
      <c r="AF113" s="179"/>
    </row>
    <row r="114" spans="1:34" outlineLevel="1">
      <c r="A114" s="408" t="s">
        <v>423</v>
      </c>
      <c r="B114" s="409">
        <v>2000</v>
      </c>
      <c r="C114" s="409">
        <f t="shared" ref="C114:AF114" si="106">+B114+1</f>
        <v>2001</v>
      </c>
      <c r="D114" s="409">
        <f t="shared" si="106"/>
        <v>2002</v>
      </c>
      <c r="E114" s="409">
        <f t="shared" si="106"/>
        <v>2003</v>
      </c>
      <c r="F114" s="409">
        <f t="shared" si="106"/>
        <v>2004</v>
      </c>
      <c r="G114" s="409">
        <f t="shared" si="106"/>
        <v>2005</v>
      </c>
      <c r="H114" s="409">
        <f t="shared" si="106"/>
        <v>2006</v>
      </c>
      <c r="I114" s="409">
        <f t="shared" si="106"/>
        <v>2007</v>
      </c>
      <c r="J114" s="409">
        <f t="shared" si="106"/>
        <v>2008</v>
      </c>
      <c r="K114" s="409">
        <f t="shared" si="106"/>
        <v>2009</v>
      </c>
      <c r="L114" s="409">
        <f t="shared" si="106"/>
        <v>2010</v>
      </c>
      <c r="M114" s="409">
        <f t="shared" si="106"/>
        <v>2011</v>
      </c>
      <c r="N114" s="409">
        <f t="shared" si="106"/>
        <v>2012</v>
      </c>
      <c r="O114" s="409">
        <f t="shared" si="106"/>
        <v>2013</v>
      </c>
      <c r="P114" s="409">
        <f t="shared" si="106"/>
        <v>2014</v>
      </c>
      <c r="Q114" s="409">
        <f t="shared" si="106"/>
        <v>2015</v>
      </c>
      <c r="R114" s="409">
        <f t="shared" si="106"/>
        <v>2016</v>
      </c>
      <c r="S114" s="409">
        <f t="shared" si="106"/>
        <v>2017</v>
      </c>
      <c r="T114" s="409">
        <f t="shared" si="106"/>
        <v>2018</v>
      </c>
      <c r="U114" s="409">
        <f t="shared" si="106"/>
        <v>2019</v>
      </c>
      <c r="V114" s="409">
        <f t="shared" si="106"/>
        <v>2020</v>
      </c>
      <c r="W114" s="409">
        <f t="shared" si="106"/>
        <v>2021</v>
      </c>
      <c r="X114" s="409">
        <f t="shared" si="106"/>
        <v>2022</v>
      </c>
      <c r="Y114" s="409">
        <f t="shared" si="106"/>
        <v>2023</v>
      </c>
      <c r="Z114" s="409">
        <f t="shared" si="106"/>
        <v>2024</v>
      </c>
      <c r="AA114" s="409">
        <f t="shared" si="106"/>
        <v>2025</v>
      </c>
      <c r="AB114" s="410">
        <f t="shared" si="106"/>
        <v>2026</v>
      </c>
      <c r="AC114" s="410">
        <f t="shared" si="106"/>
        <v>2027</v>
      </c>
      <c r="AD114" s="410">
        <f t="shared" si="106"/>
        <v>2028</v>
      </c>
      <c r="AE114" s="410">
        <f t="shared" si="106"/>
        <v>2029</v>
      </c>
      <c r="AF114" s="410">
        <f t="shared" si="106"/>
        <v>2030</v>
      </c>
    </row>
    <row r="115" spans="1:34" outlineLevel="1">
      <c r="A115" t="s">
        <v>386</v>
      </c>
      <c r="B115" s="388">
        <f t="shared" ref="B115:AF115" si="107">+B99*(1+B$109)</f>
        <v>72.600000000000009</v>
      </c>
      <c r="C115" s="388">
        <f t="shared" si="107"/>
        <v>158.4</v>
      </c>
      <c r="D115" s="388">
        <f t="shared" si="107"/>
        <v>319</v>
      </c>
      <c r="E115" s="388">
        <f t="shared" si="107"/>
        <v>422.40000000000003</v>
      </c>
      <c r="F115" s="388">
        <f t="shared" si="107"/>
        <v>444.40000000000003</v>
      </c>
      <c r="G115" s="388">
        <f t="shared" si="107"/>
        <v>411.40000000000003</v>
      </c>
      <c r="H115" s="388">
        <f t="shared" si="107"/>
        <v>283.8</v>
      </c>
      <c r="I115" s="388">
        <f t="shared" si="107"/>
        <v>376.20000000000005</v>
      </c>
      <c r="J115" s="388">
        <f t="shared" si="107"/>
        <v>433.40000000000003</v>
      </c>
      <c r="K115" s="388">
        <f t="shared" si="107"/>
        <v>367.40000000000003</v>
      </c>
      <c r="L115" s="388">
        <f t="shared" si="107"/>
        <v>266.20000000000005</v>
      </c>
      <c r="M115" s="388">
        <f t="shared" si="107"/>
        <v>314.60000000000002</v>
      </c>
      <c r="N115" s="388">
        <f t="shared" si="107"/>
        <v>248.60000000000002</v>
      </c>
      <c r="O115" s="388">
        <f t="shared" si="107"/>
        <v>246.40000000000003</v>
      </c>
      <c r="P115" s="388">
        <f t="shared" si="107"/>
        <v>314.60000000000002</v>
      </c>
      <c r="Q115" s="388">
        <f t="shared" si="107"/>
        <v>319</v>
      </c>
      <c r="R115" s="388">
        <f t="shared" si="107"/>
        <v>338.8</v>
      </c>
      <c r="S115" s="388">
        <f t="shared" si="107"/>
        <v>283.8</v>
      </c>
      <c r="T115" s="388">
        <f t="shared" si="107"/>
        <v>242.00000000000003</v>
      </c>
      <c r="U115" s="388">
        <f t="shared" si="107"/>
        <v>246.40000000000003</v>
      </c>
      <c r="V115" s="388">
        <f t="shared" si="107"/>
        <v>154</v>
      </c>
      <c r="W115" s="388">
        <f t="shared" si="107"/>
        <v>110.00000000000001</v>
      </c>
      <c r="X115" s="388">
        <f t="shared" si="107"/>
        <v>158.4</v>
      </c>
      <c r="Y115" s="388">
        <f t="shared" si="107"/>
        <v>103.4</v>
      </c>
      <c r="Z115" s="388">
        <f t="shared" si="107"/>
        <v>132</v>
      </c>
      <c r="AA115" s="388">
        <f t="shared" si="107"/>
        <v>156.20000000000002</v>
      </c>
      <c r="AB115" s="392">
        <f t="shared" si="107"/>
        <v>160.60000000000002</v>
      </c>
      <c r="AC115" s="392">
        <f t="shared" si="107"/>
        <v>169.4</v>
      </c>
      <c r="AD115" s="392">
        <f t="shared" si="107"/>
        <v>171.60000000000002</v>
      </c>
      <c r="AE115" s="392">
        <f t="shared" si="107"/>
        <v>173.8</v>
      </c>
      <c r="AF115" s="392">
        <f t="shared" si="107"/>
        <v>176</v>
      </c>
    </row>
    <row r="116" spans="1:34" outlineLevel="1">
      <c r="A116" t="s">
        <v>387</v>
      </c>
      <c r="B116" s="388">
        <f t="shared" ref="B116:AF116" si="108">+B100*(1+B$109)</f>
        <v>151.80000000000001</v>
      </c>
      <c r="C116" s="388">
        <f t="shared" si="108"/>
        <v>138.60000000000002</v>
      </c>
      <c r="D116" s="388">
        <f t="shared" si="108"/>
        <v>149.60000000000002</v>
      </c>
      <c r="E116" s="388">
        <f t="shared" si="108"/>
        <v>85.800000000000011</v>
      </c>
      <c r="F116" s="388">
        <f t="shared" si="108"/>
        <v>92.4</v>
      </c>
      <c r="G116" s="388">
        <f t="shared" si="108"/>
        <v>112.2</v>
      </c>
      <c r="H116" s="388">
        <f t="shared" si="108"/>
        <v>99.000000000000014</v>
      </c>
      <c r="I116" s="388">
        <f t="shared" si="108"/>
        <v>151.80000000000001</v>
      </c>
      <c r="J116" s="388">
        <f t="shared" si="108"/>
        <v>103.4</v>
      </c>
      <c r="K116" s="388">
        <f t="shared" si="108"/>
        <v>61.600000000000009</v>
      </c>
      <c r="L116" s="388">
        <f t="shared" si="108"/>
        <v>44</v>
      </c>
      <c r="M116" s="388">
        <f t="shared" si="108"/>
        <v>70.400000000000006</v>
      </c>
      <c r="N116" s="388">
        <f t="shared" si="108"/>
        <v>90.2</v>
      </c>
      <c r="O116" s="388">
        <f t="shared" si="108"/>
        <v>66</v>
      </c>
      <c r="P116" s="388">
        <f t="shared" si="108"/>
        <v>39.6</v>
      </c>
      <c r="Q116" s="388">
        <f t="shared" si="108"/>
        <v>77</v>
      </c>
      <c r="R116" s="388">
        <f t="shared" si="108"/>
        <v>72.600000000000009</v>
      </c>
      <c r="S116" s="388">
        <f t="shared" si="108"/>
        <v>46.2</v>
      </c>
      <c r="T116" s="388">
        <f t="shared" si="108"/>
        <v>46.2</v>
      </c>
      <c r="U116" s="388">
        <f t="shared" si="108"/>
        <v>50.6</v>
      </c>
      <c r="V116" s="388">
        <f t="shared" si="108"/>
        <v>44</v>
      </c>
      <c r="W116" s="388">
        <f t="shared" si="108"/>
        <v>41.800000000000004</v>
      </c>
      <c r="X116" s="388">
        <f t="shared" si="108"/>
        <v>39.6</v>
      </c>
      <c r="Y116" s="388">
        <f t="shared" si="108"/>
        <v>39.6</v>
      </c>
      <c r="Z116" s="388">
        <f t="shared" si="108"/>
        <v>22</v>
      </c>
      <c r="AA116" s="388">
        <f t="shared" si="108"/>
        <v>66</v>
      </c>
      <c r="AB116" s="392">
        <f t="shared" si="108"/>
        <v>79.2</v>
      </c>
      <c r="AC116" s="392">
        <f t="shared" si="108"/>
        <v>0</v>
      </c>
      <c r="AD116" s="392">
        <f t="shared" si="108"/>
        <v>0</v>
      </c>
      <c r="AE116" s="392">
        <f t="shared" si="108"/>
        <v>0</v>
      </c>
      <c r="AF116" s="392">
        <f t="shared" si="108"/>
        <v>0</v>
      </c>
    </row>
    <row r="117" spans="1:34" outlineLevel="1">
      <c r="A117" t="s">
        <v>388</v>
      </c>
      <c r="B117" s="388">
        <f t="shared" ref="B117:AF117" si="109">+B101*(1+B$109)</f>
        <v>719.40000000000009</v>
      </c>
      <c r="C117" s="388">
        <f t="shared" si="109"/>
        <v>770.00000000000011</v>
      </c>
      <c r="D117" s="388">
        <f t="shared" si="109"/>
        <v>598.40000000000009</v>
      </c>
      <c r="E117" s="388">
        <f t="shared" si="109"/>
        <v>576.40000000000009</v>
      </c>
      <c r="F117" s="388">
        <f t="shared" si="109"/>
        <v>602.80000000000007</v>
      </c>
      <c r="G117" s="388">
        <f t="shared" si="109"/>
        <v>660</v>
      </c>
      <c r="H117" s="388">
        <f t="shared" si="109"/>
        <v>943.80000000000007</v>
      </c>
      <c r="I117" s="388">
        <f t="shared" si="109"/>
        <v>1104.4000000000001</v>
      </c>
      <c r="J117" s="388">
        <f t="shared" si="109"/>
        <v>1025.2</v>
      </c>
      <c r="K117" s="388">
        <f t="shared" si="109"/>
        <v>1282.6000000000001</v>
      </c>
      <c r="L117" s="388">
        <f t="shared" si="109"/>
        <v>1254</v>
      </c>
      <c r="M117" s="388">
        <f t="shared" si="109"/>
        <v>1287</v>
      </c>
      <c r="N117" s="388">
        <f t="shared" si="109"/>
        <v>1372.8000000000002</v>
      </c>
      <c r="O117" s="388">
        <f t="shared" si="109"/>
        <v>1518.0000000000002</v>
      </c>
      <c r="P117" s="388">
        <f t="shared" si="109"/>
        <v>1548.8000000000002</v>
      </c>
      <c r="Q117" s="388">
        <f t="shared" si="109"/>
        <v>1617.0000000000002</v>
      </c>
      <c r="R117" s="388">
        <f t="shared" si="109"/>
        <v>1698.4</v>
      </c>
      <c r="S117" s="388">
        <f t="shared" si="109"/>
        <v>1471.8000000000002</v>
      </c>
      <c r="T117" s="388">
        <f t="shared" si="109"/>
        <v>1042.8000000000002</v>
      </c>
      <c r="U117" s="388">
        <f t="shared" si="109"/>
        <v>281.60000000000002</v>
      </c>
      <c r="V117" s="388">
        <f t="shared" si="109"/>
        <v>35.200000000000003</v>
      </c>
      <c r="W117" s="388">
        <f t="shared" si="109"/>
        <v>52.800000000000004</v>
      </c>
      <c r="X117" s="388">
        <f t="shared" si="109"/>
        <v>0</v>
      </c>
      <c r="Y117" s="388">
        <f t="shared" si="109"/>
        <v>0</v>
      </c>
      <c r="Z117" s="388">
        <f t="shared" si="109"/>
        <v>0</v>
      </c>
      <c r="AA117" s="388">
        <f t="shared" si="109"/>
        <v>0</v>
      </c>
      <c r="AB117" s="392">
        <f t="shared" si="109"/>
        <v>0</v>
      </c>
      <c r="AC117" s="392">
        <f t="shared" si="109"/>
        <v>0</v>
      </c>
      <c r="AD117" s="392">
        <f t="shared" si="109"/>
        <v>0</v>
      </c>
      <c r="AE117" s="392">
        <f t="shared" si="109"/>
        <v>0</v>
      </c>
      <c r="AF117" s="392">
        <f t="shared" si="109"/>
        <v>0</v>
      </c>
    </row>
    <row r="118" spans="1:34" outlineLevel="1">
      <c r="A118" t="s">
        <v>389</v>
      </c>
      <c r="B118" s="388">
        <f t="shared" ref="B118:AF118" si="110">+B102*(1+B$109)</f>
        <v>13.200000000000001</v>
      </c>
      <c r="C118" s="388">
        <f t="shared" si="110"/>
        <v>8.8000000000000007</v>
      </c>
      <c r="D118" s="388">
        <f t="shared" si="110"/>
        <v>28.6</v>
      </c>
      <c r="E118" s="388">
        <f t="shared" si="110"/>
        <v>24.200000000000003</v>
      </c>
      <c r="F118" s="388">
        <f t="shared" si="110"/>
        <v>48.400000000000006</v>
      </c>
      <c r="G118" s="388">
        <f t="shared" si="110"/>
        <v>50.6</v>
      </c>
      <c r="H118" s="388">
        <f t="shared" si="110"/>
        <v>96.800000000000011</v>
      </c>
      <c r="I118" s="388">
        <f t="shared" si="110"/>
        <v>129.80000000000001</v>
      </c>
      <c r="J118" s="388">
        <f t="shared" si="110"/>
        <v>116.60000000000001</v>
      </c>
      <c r="K118" s="388">
        <f t="shared" si="110"/>
        <v>180.4</v>
      </c>
      <c r="L118" s="388">
        <f t="shared" si="110"/>
        <v>151.80000000000001</v>
      </c>
      <c r="M118" s="388">
        <f t="shared" si="110"/>
        <v>156.20000000000002</v>
      </c>
      <c r="N118" s="388">
        <f t="shared" si="110"/>
        <v>176</v>
      </c>
      <c r="O118" s="388">
        <f t="shared" si="110"/>
        <v>206.8</v>
      </c>
      <c r="P118" s="388">
        <f t="shared" si="110"/>
        <v>213.4</v>
      </c>
      <c r="Q118" s="388">
        <f t="shared" si="110"/>
        <v>213.4</v>
      </c>
      <c r="R118" s="388">
        <f t="shared" si="110"/>
        <v>217.8</v>
      </c>
      <c r="S118" s="388">
        <f t="shared" si="110"/>
        <v>156.20000000000002</v>
      </c>
      <c r="T118" s="388">
        <f t="shared" si="110"/>
        <v>96.800000000000011</v>
      </c>
      <c r="U118" s="388">
        <f t="shared" si="110"/>
        <v>96.800000000000011</v>
      </c>
      <c r="V118" s="388">
        <f t="shared" si="110"/>
        <v>57.2</v>
      </c>
      <c r="W118" s="388">
        <f t="shared" si="110"/>
        <v>52.800000000000004</v>
      </c>
      <c r="X118" s="388">
        <f t="shared" si="110"/>
        <v>52.800000000000004</v>
      </c>
      <c r="Y118" s="388">
        <f t="shared" si="110"/>
        <v>57.2</v>
      </c>
      <c r="Z118" s="388">
        <f t="shared" si="110"/>
        <v>30.800000000000004</v>
      </c>
      <c r="AA118" s="388">
        <f t="shared" si="110"/>
        <v>70.400000000000006</v>
      </c>
      <c r="AB118" s="392">
        <f t="shared" si="110"/>
        <v>66</v>
      </c>
      <c r="AC118" s="392">
        <f t="shared" si="110"/>
        <v>105.60000000000001</v>
      </c>
      <c r="AD118" s="392">
        <f t="shared" si="110"/>
        <v>105.60000000000001</v>
      </c>
      <c r="AE118" s="392">
        <f t="shared" si="110"/>
        <v>105.60000000000001</v>
      </c>
      <c r="AF118" s="392">
        <f t="shared" si="110"/>
        <v>105.60000000000001</v>
      </c>
    </row>
    <row r="119" spans="1:34" outlineLevel="1">
      <c r="A119" t="s">
        <v>390</v>
      </c>
      <c r="B119" s="388">
        <f t="shared" ref="B119:AF119" si="111">+B103*(1+B$109)</f>
        <v>0</v>
      </c>
      <c r="C119" s="388">
        <f t="shared" si="111"/>
        <v>0</v>
      </c>
      <c r="D119" s="388">
        <f t="shared" si="111"/>
        <v>0</v>
      </c>
      <c r="E119" s="388">
        <f t="shared" si="111"/>
        <v>0</v>
      </c>
      <c r="F119" s="388">
        <f t="shared" si="111"/>
        <v>0</v>
      </c>
      <c r="G119" s="388">
        <f t="shared" si="111"/>
        <v>0</v>
      </c>
      <c r="H119" s="388">
        <f t="shared" si="111"/>
        <v>0</v>
      </c>
      <c r="I119" s="388">
        <f t="shared" si="111"/>
        <v>0</v>
      </c>
      <c r="J119" s="388">
        <f t="shared" si="111"/>
        <v>0</v>
      </c>
      <c r="K119" s="388">
        <f t="shared" si="111"/>
        <v>0</v>
      </c>
      <c r="L119" s="388">
        <f t="shared" si="111"/>
        <v>0</v>
      </c>
      <c r="M119" s="388">
        <f t="shared" si="111"/>
        <v>39.6</v>
      </c>
      <c r="N119" s="388">
        <f t="shared" si="111"/>
        <v>160.60000000000002</v>
      </c>
      <c r="O119" s="388">
        <f t="shared" si="111"/>
        <v>200.20000000000002</v>
      </c>
      <c r="P119" s="388">
        <f t="shared" si="111"/>
        <v>235.4</v>
      </c>
      <c r="Q119" s="388">
        <f t="shared" si="111"/>
        <v>261.8</v>
      </c>
      <c r="R119" s="388">
        <f t="shared" si="111"/>
        <v>204.60000000000002</v>
      </c>
      <c r="S119" s="388">
        <f t="shared" si="111"/>
        <v>235.4</v>
      </c>
      <c r="T119" s="388">
        <f t="shared" si="111"/>
        <v>217.8</v>
      </c>
      <c r="U119" s="388">
        <f t="shared" si="111"/>
        <v>268.40000000000003</v>
      </c>
      <c r="V119" s="388">
        <f t="shared" si="111"/>
        <v>116.60000000000001</v>
      </c>
      <c r="W119" s="388">
        <f t="shared" si="111"/>
        <v>52.800000000000004</v>
      </c>
      <c r="X119" s="388">
        <f t="shared" si="111"/>
        <v>79.2</v>
      </c>
      <c r="Y119" s="388">
        <f t="shared" si="111"/>
        <v>116.60000000000001</v>
      </c>
      <c r="Z119" s="388">
        <f t="shared" si="111"/>
        <v>81.400000000000006</v>
      </c>
      <c r="AA119" s="388">
        <f t="shared" si="111"/>
        <v>111.72549019607844</v>
      </c>
      <c r="AB119" s="392">
        <f t="shared" si="111"/>
        <v>153.2235294117647</v>
      </c>
      <c r="AC119" s="392">
        <f t="shared" si="111"/>
        <v>191.52941176470591</v>
      </c>
      <c r="AD119" s="392">
        <f t="shared" si="111"/>
        <v>191.52941176470591</v>
      </c>
      <c r="AE119" s="392">
        <f t="shared" si="111"/>
        <v>191.52941176470591</v>
      </c>
      <c r="AF119" s="392">
        <f t="shared" si="111"/>
        <v>191.52941176470591</v>
      </c>
    </row>
    <row r="120" spans="1:34" outlineLevel="1">
      <c r="A120" t="s">
        <v>391</v>
      </c>
      <c r="B120" s="388">
        <f t="shared" ref="B120:AF120" si="112">+B104*(1+B$109)</f>
        <v>0</v>
      </c>
      <c r="C120" s="388">
        <f t="shared" si="112"/>
        <v>0</v>
      </c>
      <c r="D120" s="388">
        <f t="shared" si="112"/>
        <v>0</v>
      </c>
      <c r="E120" s="388">
        <f t="shared" si="112"/>
        <v>0</v>
      </c>
      <c r="F120" s="388">
        <f t="shared" si="112"/>
        <v>0</v>
      </c>
      <c r="G120" s="388">
        <f t="shared" si="112"/>
        <v>0</v>
      </c>
      <c r="H120" s="388">
        <f t="shared" si="112"/>
        <v>0</v>
      </c>
      <c r="I120" s="388">
        <f t="shared" si="112"/>
        <v>0</v>
      </c>
      <c r="J120" s="388">
        <f t="shared" si="112"/>
        <v>8.8000000000000007</v>
      </c>
      <c r="K120" s="388">
        <f t="shared" si="112"/>
        <v>13.200000000000001</v>
      </c>
      <c r="L120" s="388">
        <f t="shared" si="112"/>
        <v>39.6</v>
      </c>
      <c r="M120" s="388">
        <f t="shared" si="112"/>
        <v>44</v>
      </c>
      <c r="N120" s="388">
        <f t="shared" si="112"/>
        <v>57.2</v>
      </c>
      <c r="O120" s="388">
        <f t="shared" si="112"/>
        <v>70.400000000000006</v>
      </c>
      <c r="P120" s="388">
        <f t="shared" si="112"/>
        <v>92.4</v>
      </c>
      <c r="Q120" s="388">
        <f t="shared" si="112"/>
        <v>92.4</v>
      </c>
      <c r="R120" s="388">
        <f t="shared" si="112"/>
        <v>92.4</v>
      </c>
      <c r="S120" s="388">
        <f t="shared" si="112"/>
        <v>22</v>
      </c>
      <c r="T120" s="388">
        <f t="shared" si="112"/>
        <v>4.4000000000000004</v>
      </c>
      <c r="U120" s="388">
        <f t="shared" si="112"/>
        <v>0</v>
      </c>
      <c r="V120" s="388">
        <f t="shared" si="112"/>
        <v>0</v>
      </c>
      <c r="W120" s="388">
        <f t="shared" si="112"/>
        <v>0</v>
      </c>
      <c r="X120" s="388">
        <f t="shared" si="112"/>
        <v>0</v>
      </c>
      <c r="Y120" s="388">
        <f t="shared" si="112"/>
        <v>0</v>
      </c>
      <c r="Z120" s="388">
        <f t="shared" si="112"/>
        <v>0</v>
      </c>
      <c r="AA120" s="388">
        <f t="shared" si="112"/>
        <v>0</v>
      </c>
      <c r="AB120" s="392">
        <f t="shared" si="112"/>
        <v>0</v>
      </c>
      <c r="AC120" s="392">
        <f t="shared" si="112"/>
        <v>0</v>
      </c>
      <c r="AD120" s="392">
        <f t="shared" si="112"/>
        <v>0</v>
      </c>
      <c r="AE120" s="392">
        <f t="shared" si="112"/>
        <v>0</v>
      </c>
      <c r="AF120" s="392">
        <f t="shared" si="112"/>
        <v>0</v>
      </c>
    </row>
    <row r="121" spans="1:34" outlineLevel="1">
      <c r="A121" t="s">
        <v>460</v>
      </c>
      <c r="B121" s="388">
        <f t="shared" ref="B121:Q121" si="113">+B105*(1+B$110)</f>
        <v>0</v>
      </c>
      <c r="C121" s="388">
        <f t="shared" si="113"/>
        <v>0</v>
      </c>
      <c r="D121" s="388">
        <f t="shared" si="113"/>
        <v>0</v>
      </c>
      <c r="E121" s="388">
        <f t="shared" si="113"/>
        <v>0</v>
      </c>
      <c r="F121" s="388">
        <f t="shared" si="113"/>
        <v>0</v>
      </c>
      <c r="G121" s="388">
        <f t="shared" si="113"/>
        <v>0</v>
      </c>
      <c r="H121" s="388">
        <f t="shared" si="113"/>
        <v>0</v>
      </c>
      <c r="I121" s="388">
        <f t="shared" si="113"/>
        <v>0</v>
      </c>
      <c r="J121" s="388">
        <f t="shared" si="113"/>
        <v>0</v>
      </c>
      <c r="K121" s="388">
        <f t="shared" si="113"/>
        <v>0</v>
      </c>
      <c r="L121" s="388">
        <f t="shared" si="113"/>
        <v>0</v>
      </c>
      <c r="M121" s="388">
        <f t="shared" si="113"/>
        <v>0</v>
      </c>
      <c r="N121" s="388">
        <f t="shared" si="113"/>
        <v>0</v>
      </c>
      <c r="O121" s="388">
        <f t="shared" si="113"/>
        <v>0</v>
      </c>
      <c r="P121" s="388">
        <f t="shared" si="113"/>
        <v>0</v>
      </c>
      <c r="Q121" s="388">
        <f t="shared" si="113"/>
        <v>0</v>
      </c>
      <c r="R121" s="401">
        <v>77</v>
      </c>
      <c r="S121" s="401">
        <v>431</v>
      </c>
      <c r="T121" s="401">
        <v>1118</v>
      </c>
      <c r="U121" s="401">
        <v>1736</v>
      </c>
      <c r="V121" s="401">
        <v>815</v>
      </c>
      <c r="W121" s="401">
        <v>845</v>
      </c>
      <c r="X121" s="401">
        <v>1136</v>
      </c>
      <c r="Y121" s="401">
        <f>CES_Annual!Y58</f>
        <v>1570</v>
      </c>
      <c r="Z121" s="401">
        <f>CES_Annual!Z58</f>
        <v>1407</v>
      </c>
      <c r="AA121" s="388">
        <f t="shared" ref="AA121:AF121" si="114">+AA105*(1+AA$110)</f>
        <v>1708.6513582741757</v>
      </c>
      <c r="AB121" s="392">
        <f t="shared" si="114"/>
        <v>2001.8522619590208</v>
      </c>
      <c r="AC121" s="392">
        <f t="shared" si="114"/>
        <v>2263.0791956937692</v>
      </c>
      <c r="AD121" s="392">
        <f t="shared" si="114"/>
        <v>2439.3459478899263</v>
      </c>
      <c r="AE121" s="392">
        <f t="shared" si="114"/>
        <v>2456.7199715207526</v>
      </c>
      <c r="AF121" s="392">
        <f t="shared" si="114"/>
        <v>2456.7199715207526</v>
      </c>
      <c r="AH121" s="492" t="s">
        <v>501</v>
      </c>
    </row>
    <row r="122" spans="1:34" outlineLevel="1">
      <c r="A122" t="s">
        <v>314</v>
      </c>
      <c r="B122" s="388">
        <f t="shared" ref="B122:Q122" si="115">+B111</f>
        <v>0</v>
      </c>
      <c r="C122" s="388">
        <f t="shared" si="115"/>
        <v>0</v>
      </c>
      <c r="D122" s="388">
        <f t="shared" si="115"/>
        <v>0</v>
      </c>
      <c r="E122" s="388">
        <f t="shared" si="115"/>
        <v>0</v>
      </c>
      <c r="F122" s="388">
        <f t="shared" si="115"/>
        <v>0</v>
      </c>
      <c r="G122" s="388">
        <f t="shared" si="115"/>
        <v>0</v>
      </c>
      <c r="H122" s="388">
        <f t="shared" si="115"/>
        <v>0</v>
      </c>
      <c r="I122" s="388">
        <f t="shared" si="115"/>
        <v>0</v>
      </c>
      <c r="J122" s="388">
        <f t="shared" si="115"/>
        <v>0</v>
      </c>
      <c r="K122" s="388">
        <f t="shared" si="115"/>
        <v>0</v>
      </c>
      <c r="L122" s="388">
        <f t="shared" si="115"/>
        <v>0</v>
      </c>
      <c r="M122" s="388">
        <f t="shared" si="115"/>
        <v>0</v>
      </c>
      <c r="N122" s="388">
        <f t="shared" si="115"/>
        <v>0</v>
      </c>
      <c r="O122" s="388">
        <f t="shared" si="115"/>
        <v>0</v>
      </c>
      <c r="P122" s="388">
        <f t="shared" si="115"/>
        <v>0</v>
      </c>
      <c r="Q122" s="388">
        <f t="shared" si="115"/>
        <v>7.3999999999999773</v>
      </c>
      <c r="R122" s="388">
        <f>+R111</f>
        <v>45.400000000000063</v>
      </c>
      <c r="S122" s="388">
        <f t="shared" ref="S122:X122" si="116">+S111</f>
        <v>-44.400000000000034</v>
      </c>
      <c r="T122" s="388">
        <f t="shared" si="116"/>
        <v>56.999999999999659</v>
      </c>
      <c r="U122" s="388">
        <f>+U111</f>
        <v>183.20000000000005</v>
      </c>
      <c r="V122" s="388">
        <f t="shared" si="116"/>
        <v>427</v>
      </c>
      <c r="W122" s="388">
        <f t="shared" si="116"/>
        <v>331.8</v>
      </c>
      <c r="X122" s="388">
        <f t="shared" si="116"/>
        <v>196.99999999999994</v>
      </c>
      <c r="Y122" s="388">
        <f>+Y111</f>
        <v>188.19999999999996</v>
      </c>
      <c r="Z122" s="388">
        <f t="shared" ref="Z122:AE122" si="117">+Z111</f>
        <v>237.80000000000004</v>
      </c>
      <c r="AA122" s="388">
        <f t="shared" si="117"/>
        <v>237.80000000000004</v>
      </c>
      <c r="AB122" s="392">
        <f t="shared" si="117"/>
        <v>237.80000000000004</v>
      </c>
      <c r="AC122" s="392">
        <f t="shared" si="117"/>
        <v>237.80000000000004</v>
      </c>
      <c r="AD122" s="392">
        <f t="shared" si="117"/>
        <v>237.80000000000004</v>
      </c>
      <c r="AE122" s="392">
        <f t="shared" si="117"/>
        <v>237.80000000000004</v>
      </c>
      <c r="AF122" s="392">
        <f t="shared" ref="AF122" si="118">+AF111</f>
        <v>237.80000000000004</v>
      </c>
    </row>
    <row r="123" spans="1:34" outlineLevel="1">
      <c r="A123" s="436" t="s">
        <v>451</v>
      </c>
      <c r="B123" s="437">
        <f t="shared" ref="B123:AE123" si="119">SUM(B115:B122)</f>
        <v>957.00000000000023</v>
      </c>
      <c r="C123" s="437">
        <f t="shared" si="119"/>
        <v>1075.8</v>
      </c>
      <c r="D123" s="437">
        <f t="shared" si="119"/>
        <v>1095.5999999999999</v>
      </c>
      <c r="E123" s="437">
        <f t="shared" si="119"/>
        <v>1108.8000000000002</v>
      </c>
      <c r="F123" s="437">
        <f t="shared" si="119"/>
        <v>1188.0000000000002</v>
      </c>
      <c r="G123" s="437">
        <f t="shared" si="119"/>
        <v>1234.1999999999998</v>
      </c>
      <c r="H123" s="437">
        <f t="shared" si="119"/>
        <v>1423.4</v>
      </c>
      <c r="I123" s="437">
        <f t="shared" si="119"/>
        <v>1762.2</v>
      </c>
      <c r="J123" s="437">
        <f t="shared" si="119"/>
        <v>1687.3999999999999</v>
      </c>
      <c r="K123" s="437">
        <f t="shared" si="119"/>
        <v>1905.2000000000003</v>
      </c>
      <c r="L123" s="437">
        <f t="shared" si="119"/>
        <v>1755.6</v>
      </c>
      <c r="M123" s="437">
        <f t="shared" si="119"/>
        <v>1911.8</v>
      </c>
      <c r="N123" s="437">
        <f t="shared" si="119"/>
        <v>2105.4</v>
      </c>
      <c r="O123" s="437">
        <f t="shared" si="119"/>
        <v>2307.8000000000002</v>
      </c>
      <c r="P123" s="437">
        <f t="shared" si="119"/>
        <v>2444.2000000000003</v>
      </c>
      <c r="Q123" s="437">
        <f t="shared" si="119"/>
        <v>2588.0000000000005</v>
      </c>
      <c r="R123" s="437">
        <f t="shared" si="119"/>
        <v>2747.0000000000005</v>
      </c>
      <c r="S123" s="437">
        <f t="shared" si="119"/>
        <v>2602</v>
      </c>
      <c r="T123" s="437">
        <f t="shared" si="119"/>
        <v>2824.9999999999995</v>
      </c>
      <c r="U123" s="437">
        <f>SUM(U115:U122)</f>
        <v>2863</v>
      </c>
      <c r="V123" s="437">
        <f t="shared" si="119"/>
        <v>1649</v>
      </c>
      <c r="W123" s="437">
        <f t="shared" si="119"/>
        <v>1487</v>
      </c>
      <c r="X123" s="437">
        <f t="shared" si="119"/>
        <v>1663</v>
      </c>
      <c r="Y123" s="437">
        <f t="shared" si="119"/>
        <v>2075</v>
      </c>
      <c r="Z123" s="437">
        <f t="shared" si="119"/>
        <v>1911</v>
      </c>
      <c r="AA123" s="437">
        <f t="shared" si="119"/>
        <v>2350.7768484702542</v>
      </c>
      <c r="AB123" s="437">
        <f t="shared" si="119"/>
        <v>2698.6757913707856</v>
      </c>
      <c r="AC123" s="437">
        <f t="shared" si="119"/>
        <v>2967.4086074584752</v>
      </c>
      <c r="AD123" s="437">
        <f t="shared" si="119"/>
        <v>3145.8753596546326</v>
      </c>
      <c r="AE123" s="437">
        <f t="shared" si="119"/>
        <v>3165.4493832854587</v>
      </c>
      <c r="AF123" s="437">
        <f t="shared" ref="AF123" si="120">SUM(AF115:AF122)</f>
        <v>3167.6493832854585</v>
      </c>
    </row>
    <row r="124" spans="1:34" outlineLevel="1">
      <c r="B124" s="179"/>
      <c r="C124" s="179"/>
      <c r="D124" s="179"/>
      <c r="E124" s="179"/>
      <c r="F124" s="179"/>
      <c r="G124" s="179"/>
      <c r="H124" s="179"/>
      <c r="I124" s="179"/>
      <c r="J124" s="179"/>
      <c r="K124" s="179"/>
      <c r="L124" s="179"/>
      <c r="M124" s="179"/>
      <c r="N124" s="179"/>
      <c r="O124" s="179"/>
      <c r="P124" s="179"/>
      <c r="Q124" s="179"/>
      <c r="R124" s="179"/>
      <c r="S124" s="179"/>
      <c r="T124" s="179"/>
      <c r="U124" s="179"/>
      <c r="V124" s="179"/>
      <c r="W124" s="179"/>
      <c r="X124" s="179"/>
      <c r="Y124" s="179"/>
      <c r="Z124" s="417"/>
      <c r="AA124" s="179"/>
      <c r="AB124" s="179"/>
      <c r="AC124" s="179"/>
      <c r="AD124" s="179"/>
      <c r="AE124" s="179"/>
      <c r="AF124" s="179"/>
    </row>
    <row r="125" spans="1:34" outlineLevel="1">
      <c r="A125" s="408" t="s">
        <v>400</v>
      </c>
      <c r="B125" s="409">
        <v>2000</v>
      </c>
      <c r="C125" s="409">
        <f>+B125+1</f>
        <v>2001</v>
      </c>
      <c r="D125" s="409">
        <f t="shared" ref="D125:AF125" si="121">+C125+1</f>
        <v>2002</v>
      </c>
      <c r="E125" s="409">
        <f t="shared" si="121"/>
        <v>2003</v>
      </c>
      <c r="F125" s="409">
        <f t="shared" si="121"/>
        <v>2004</v>
      </c>
      <c r="G125" s="409">
        <f t="shared" si="121"/>
        <v>2005</v>
      </c>
      <c r="H125" s="409">
        <f t="shared" si="121"/>
        <v>2006</v>
      </c>
      <c r="I125" s="409">
        <f t="shared" si="121"/>
        <v>2007</v>
      </c>
      <c r="J125" s="409">
        <f t="shared" si="121"/>
        <v>2008</v>
      </c>
      <c r="K125" s="409">
        <f t="shared" si="121"/>
        <v>2009</v>
      </c>
      <c r="L125" s="409">
        <f t="shared" si="121"/>
        <v>2010</v>
      </c>
      <c r="M125" s="409">
        <f t="shared" si="121"/>
        <v>2011</v>
      </c>
      <c r="N125" s="409">
        <f t="shared" si="121"/>
        <v>2012</v>
      </c>
      <c r="O125" s="409">
        <f t="shared" si="121"/>
        <v>2013</v>
      </c>
      <c r="P125" s="409">
        <f t="shared" si="121"/>
        <v>2014</v>
      </c>
      <c r="Q125" s="409">
        <f t="shared" si="121"/>
        <v>2015</v>
      </c>
      <c r="R125" s="409">
        <f t="shared" si="121"/>
        <v>2016</v>
      </c>
      <c r="S125" s="409">
        <f t="shared" si="121"/>
        <v>2017</v>
      </c>
      <c r="T125" s="409">
        <f t="shared" si="121"/>
        <v>2018</v>
      </c>
      <c r="U125" s="409">
        <f t="shared" si="121"/>
        <v>2019</v>
      </c>
      <c r="V125" s="409">
        <f t="shared" si="121"/>
        <v>2020</v>
      </c>
      <c r="W125" s="409">
        <f t="shared" si="121"/>
        <v>2021</v>
      </c>
      <c r="X125" s="409">
        <f t="shared" si="121"/>
        <v>2022</v>
      </c>
      <c r="Y125" s="409">
        <f t="shared" si="121"/>
        <v>2023</v>
      </c>
      <c r="Z125" s="409">
        <f t="shared" si="121"/>
        <v>2024</v>
      </c>
      <c r="AA125" s="409">
        <f t="shared" si="121"/>
        <v>2025</v>
      </c>
      <c r="AB125" s="410">
        <f t="shared" si="121"/>
        <v>2026</v>
      </c>
      <c r="AC125" s="410">
        <f t="shared" si="121"/>
        <v>2027</v>
      </c>
      <c r="AD125" s="410">
        <f t="shared" si="121"/>
        <v>2028</v>
      </c>
      <c r="AE125" s="410">
        <f t="shared" si="121"/>
        <v>2029</v>
      </c>
      <c r="AF125" s="410">
        <f t="shared" si="121"/>
        <v>2030</v>
      </c>
    </row>
    <row r="126" spans="1:34" outlineLevel="1">
      <c r="A126" t="s">
        <v>386</v>
      </c>
      <c r="B126" s="328">
        <v>1</v>
      </c>
      <c r="C126" s="328">
        <v>1</v>
      </c>
      <c r="D126" s="328">
        <v>1</v>
      </c>
      <c r="E126" s="328">
        <v>1</v>
      </c>
      <c r="F126" s="328">
        <v>1</v>
      </c>
      <c r="G126" s="328">
        <v>1</v>
      </c>
      <c r="H126" s="328">
        <v>1</v>
      </c>
      <c r="I126" s="328">
        <v>1</v>
      </c>
      <c r="J126" s="328">
        <v>1</v>
      </c>
      <c r="K126" s="328">
        <v>1</v>
      </c>
      <c r="L126" s="328">
        <v>1</v>
      </c>
      <c r="M126" s="328">
        <v>1</v>
      </c>
      <c r="N126" s="328">
        <v>1</v>
      </c>
      <c r="O126" s="328">
        <v>1</v>
      </c>
      <c r="P126" s="328">
        <v>1</v>
      </c>
      <c r="Q126" s="328">
        <v>1</v>
      </c>
      <c r="R126" s="328">
        <v>1</v>
      </c>
      <c r="S126" s="328">
        <v>1</v>
      </c>
      <c r="T126" s="328">
        <v>1</v>
      </c>
      <c r="U126" s="328">
        <v>1</v>
      </c>
      <c r="V126" s="328">
        <f t="shared" ref="V126:AF126" si="122">+U126</f>
        <v>1</v>
      </c>
      <c r="W126" s="328">
        <f t="shared" si="122"/>
        <v>1</v>
      </c>
      <c r="X126" s="328">
        <f t="shared" si="122"/>
        <v>1</v>
      </c>
      <c r="Y126" s="532">
        <f t="shared" si="122"/>
        <v>1</v>
      </c>
      <c r="Z126" s="532">
        <f t="shared" si="122"/>
        <v>1</v>
      </c>
      <c r="AA126" s="532">
        <f t="shared" si="122"/>
        <v>1</v>
      </c>
      <c r="AB126" s="396">
        <f t="shared" si="122"/>
        <v>1</v>
      </c>
      <c r="AC126" s="396">
        <f t="shared" si="122"/>
        <v>1</v>
      </c>
      <c r="AD126" s="396">
        <f t="shared" si="122"/>
        <v>1</v>
      </c>
      <c r="AE126" s="396">
        <f t="shared" si="122"/>
        <v>1</v>
      </c>
      <c r="AF126" s="396">
        <f t="shared" si="122"/>
        <v>1</v>
      </c>
    </row>
    <row r="127" spans="1:34" outlineLevel="1">
      <c r="A127" t="s">
        <v>387</v>
      </c>
      <c r="B127" s="328">
        <v>1</v>
      </c>
      <c r="C127" s="328">
        <v>1</v>
      </c>
      <c r="D127" s="328">
        <v>1</v>
      </c>
      <c r="E127" s="328">
        <v>1</v>
      </c>
      <c r="F127" s="328">
        <v>1</v>
      </c>
      <c r="G127" s="328">
        <v>1</v>
      </c>
      <c r="H127" s="328">
        <v>1</v>
      </c>
      <c r="I127" s="328">
        <v>1</v>
      </c>
      <c r="J127" s="328">
        <v>1</v>
      </c>
      <c r="K127" s="328">
        <v>1</v>
      </c>
      <c r="L127" s="328">
        <v>1</v>
      </c>
      <c r="M127" s="328">
        <v>1</v>
      </c>
      <c r="N127" s="328">
        <v>1</v>
      </c>
      <c r="O127" s="328">
        <v>1</v>
      </c>
      <c r="P127" s="328">
        <v>1</v>
      </c>
      <c r="Q127" s="328">
        <v>1</v>
      </c>
      <c r="R127" s="328">
        <v>1</v>
      </c>
      <c r="S127" s="328">
        <v>1</v>
      </c>
      <c r="T127" s="328">
        <v>1</v>
      </c>
      <c r="U127" s="328">
        <v>1</v>
      </c>
      <c r="V127" s="328">
        <f t="shared" ref="V127:AF127" si="123">+U127</f>
        <v>1</v>
      </c>
      <c r="W127" s="328">
        <f t="shared" si="123"/>
        <v>1</v>
      </c>
      <c r="X127" s="328">
        <f t="shared" si="123"/>
        <v>1</v>
      </c>
      <c r="Y127" s="532">
        <f t="shared" si="123"/>
        <v>1</v>
      </c>
      <c r="Z127" s="532">
        <f t="shared" si="123"/>
        <v>1</v>
      </c>
      <c r="AA127" s="532">
        <f t="shared" si="123"/>
        <v>1</v>
      </c>
      <c r="AB127" s="396">
        <f t="shared" si="123"/>
        <v>1</v>
      </c>
      <c r="AC127" s="396">
        <f t="shared" si="123"/>
        <v>1</v>
      </c>
      <c r="AD127" s="396">
        <f t="shared" si="123"/>
        <v>1</v>
      </c>
      <c r="AE127" s="396">
        <f t="shared" si="123"/>
        <v>1</v>
      </c>
      <c r="AF127" s="396">
        <f t="shared" si="123"/>
        <v>1</v>
      </c>
    </row>
    <row r="128" spans="1:34" outlineLevel="1">
      <c r="A128" t="s">
        <v>425</v>
      </c>
      <c r="B128" s="328">
        <v>0.5</v>
      </c>
      <c r="C128" s="328">
        <v>0.5</v>
      </c>
      <c r="D128" s="328">
        <v>0.5</v>
      </c>
      <c r="E128" s="328">
        <v>0.5</v>
      </c>
      <c r="F128" s="328">
        <v>0.5</v>
      </c>
      <c r="G128" s="328">
        <v>0.5</v>
      </c>
      <c r="H128" s="328">
        <v>0.5</v>
      </c>
      <c r="I128" s="328">
        <v>0.5</v>
      </c>
      <c r="J128" s="328">
        <v>0.5</v>
      </c>
      <c r="K128" s="328">
        <v>0.5</v>
      </c>
      <c r="L128" s="328">
        <v>0.5</v>
      </c>
      <c r="M128" s="328">
        <v>0.5</v>
      </c>
      <c r="N128" s="328">
        <v>0.5</v>
      </c>
      <c r="O128" s="328">
        <v>0.5</v>
      </c>
      <c r="P128" s="328">
        <v>0.5</v>
      </c>
      <c r="Q128" s="328">
        <v>0.5</v>
      </c>
      <c r="R128" s="328">
        <v>0.5</v>
      </c>
      <c r="S128" s="328">
        <v>0.5</v>
      </c>
      <c r="T128" s="328">
        <v>0.5</v>
      </c>
      <c r="U128" s="328">
        <v>0.5</v>
      </c>
      <c r="V128" s="328">
        <f t="shared" ref="V128:AF128" si="124">+U128</f>
        <v>0.5</v>
      </c>
      <c r="W128" s="328">
        <f t="shared" si="124"/>
        <v>0.5</v>
      </c>
      <c r="X128" s="328">
        <f t="shared" si="124"/>
        <v>0.5</v>
      </c>
      <c r="Y128" s="532">
        <f t="shared" si="124"/>
        <v>0.5</v>
      </c>
      <c r="Z128" s="532">
        <f t="shared" si="124"/>
        <v>0.5</v>
      </c>
      <c r="AA128" s="532">
        <f t="shared" si="124"/>
        <v>0.5</v>
      </c>
      <c r="AB128" s="396">
        <f t="shared" si="124"/>
        <v>0.5</v>
      </c>
      <c r="AC128" s="396">
        <f t="shared" si="124"/>
        <v>0.5</v>
      </c>
      <c r="AD128" s="396">
        <f t="shared" si="124"/>
        <v>0.5</v>
      </c>
      <c r="AE128" s="396">
        <f t="shared" si="124"/>
        <v>0.5</v>
      </c>
      <c r="AF128" s="396">
        <f t="shared" si="124"/>
        <v>0.5</v>
      </c>
    </row>
    <row r="129" spans="1:32" outlineLevel="1">
      <c r="A129" t="s">
        <v>389</v>
      </c>
      <c r="B129" s="328">
        <v>1</v>
      </c>
      <c r="C129" s="328">
        <v>1</v>
      </c>
      <c r="D129" s="328">
        <v>1</v>
      </c>
      <c r="E129" s="328">
        <v>1</v>
      </c>
      <c r="F129" s="328">
        <v>1</v>
      </c>
      <c r="G129" s="328">
        <v>1</v>
      </c>
      <c r="H129" s="328">
        <v>1</v>
      </c>
      <c r="I129" s="328">
        <v>1</v>
      </c>
      <c r="J129" s="328">
        <v>1</v>
      </c>
      <c r="K129" s="328">
        <v>1</v>
      </c>
      <c r="L129" s="328">
        <v>1</v>
      </c>
      <c r="M129" s="328">
        <v>1</v>
      </c>
      <c r="N129" s="328">
        <v>1</v>
      </c>
      <c r="O129" s="328">
        <v>1</v>
      </c>
      <c r="P129" s="328">
        <v>1</v>
      </c>
      <c r="Q129" s="328">
        <v>1</v>
      </c>
      <c r="R129" s="328">
        <v>1</v>
      </c>
      <c r="S129" s="328">
        <v>1</v>
      </c>
      <c r="T129" s="328">
        <v>1</v>
      </c>
      <c r="U129" s="328">
        <v>1</v>
      </c>
      <c r="V129" s="328">
        <f t="shared" ref="V129:AF129" si="125">+U129</f>
        <v>1</v>
      </c>
      <c r="W129" s="328">
        <f t="shared" si="125"/>
        <v>1</v>
      </c>
      <c r="X129" s="328">
        <f t="shared" si="125"/>
        <v>1</v>
      </c>
      <c r="Y129" s="532">
        <f t="shared" si="125"/>
        <v>1</v>
      </c>
      <c r="Z129" s="532">
        <f t="shared" si="125"/>
        <v>1</v>
      </c>
      <c r="AA129" s="532">
        <f t="shared" si="125"/>
        <v>1</v>
      </c>
      <c r="AB129" s="396">
        <f t="shared" si="125"/>
        <v>1</v>
      </c>
      <c r="AC129" s="396">
        <f t="shared" si="125"/>
        <v>1</v>
      </c>
      <c r="AD129" s="396">
        <f t="shared" si="125"/>
        <v>1</v>
      </c>
      <c r="AE129" s="396">
        <f t="shared" si="125"/>
        <v>1</v>
      </c>
      <c r="AF129" s="396">
        <f t="shared" si="125"/>
        <v>1</v>
      </c>
    </row>
    <row r="130" spans="1:32" outlineLevel="1">
      <c r="A130" t="s">
        <v>390</v>
      </c>
      <c r="B130" s="328">
        <v>1</v>
      </c>
      <c r="C130" s="328">
        <v>1</v>
      </c>
      <c r="D130" s="328">
        <v>1</v>
      </c>
      <c r="E130" s="328">
        <v>1</v>
      </c>
      <c r="F130" s="328">
        <v>1</v>
      </c>
      <c r="G130" s="328">
        <v>1</v>
      </c>
      <c r="H130" s="328">
        <v>1</v>
      </c>
      <c r="I130" s="328">
        <v>1</v>
      </c>
      <c r="J130" s="328">
        <v>1</v>
      </c>
      <c r="K130" s="328">
        <v>1</v>
      </c>
      <c r="L130" s="328">
        <v>1</v>
      </c>
      <c r="M130" s="328">
        <v>1</v>
      </c>
      <c r="N130" s="328">
        <v>1</v>
      </c>
      <c r="O130" s="328">
        <v>1</v>
      </c>
      <c r="P130" s="328">
        <v>1</v>
      </c>
      <c r="Q130" s="328">
        <v>1</v>
      </c>
      <c r="R130" s="328">
        <v>1</v>
      </c>
      <c r="S130" s="328">
        <v>1</v>
      </c>
      <c r="T130" s="328">
        <v>1</v>
      </c>
      <c r="U130" s="328">
        <v>1</v>
      </c>
      <c r="V130" s="328">
        <f t="shared" ref="V130:AF130" si="126">+U130</f>
        <v>1</v>
      </c>
      <c r="W130" s="328">
        <f t="shared" si="126"/>
        <v>1</v>
      </c>
      <c r="X130" s="328">
        <f t="shared" si="126"/>
        <v>1</v>
      </c>
      <c r="Y130" s="532">
        <f t="shared" si="126"/>
        <v>1</v>
      </c>
      <c r="Z130" s="532">
        <f t="shared" si="126"/>
        <v>1</v>
      </c>
      <c r="AA130" s="532">
        <f t="shared" si="126"/>
        <v>1</v>
      </c>
      <c r="AB130" s="396">
        <f t="shared" si="126"/>
        <v>1</v>
      </c>
      <c r="AC130" s="396">
        <f t="shared" si="126"/>
        <v>1</v>
      </c>
      <c r="AD130" s="396">
        <f t="shared" si="126"/>
        <v>1</v>
      </c>
      <c r="AE130" s="396">
        <f t="shared" si="126"/>
        <v>1</v>
      </c>
      <c r="AF130" s="396">
        <f t="shared" si="126"/>
        <v>1</v>
      </c>
    </row>
    <row r="131" spans="1:32" outlineLevel="1">
      <c r="A131" t="s">
        <v>426</v>
      </c>
      <c r="B131" s="328">
        <v>0.5</v>
      </c>
      <c r="C131" s="328">
        <v>0.5</v>
      </c>
      <c r="D131" s="328">
        <v>0.5</v>
      </c>
      <c r="E131" s="328">
        <v>0.5</v>
      </c>
      <c r="F131" s="328">
        <v>0.5</v>
      </c>
      <c r="G131" s="328">
        <v>0.5</v>
      </c>
      <c r="H131" s="328">
        <v>0.5</v>
      </c>
      <c r="I131" s="328">
        <v>0.5</v>
      </c>
      <c r="J131" s="328">
        <v>0.5</v>
      </c>
      <c r="K131" s="328">
        <v>0.5</v>
      </c>
      <c r="L131" s="328">
        <v>0.5</v>
      </c>
      <c r="M131" s="328">
        <v>0.5</v>
      </c>
      <c r="N131" s="328">
        <v>0.5</v>
      </c>
      <c r="O131" s="328">
        <v>0.5</v>
      </c>
      <c r="P131" s="328">
        <v>0.5</v>
      </c>
      <c r="Q131" s="328">
        <v>0.5</v>
      </c>
      <c r="R131" s="328">
        <v>0.5</v>
      </c>
      <c r="S131" s="328">
        <v>0.5</v>
      </c>
      <c r="T131" s="328">
        <v>0.5</v>
      </c>
      <c r="U131" s="328">
        <v>0.5</v>
      </c>
      <c r="V131" s="328">
        <f t="shared" ref="V131:AF131" si="127">+U131</f>
        <v>0.5</v>
      </c>
      <c r="W131" s="328">
        <f t="shared" si="127"/>
        <v>0.5</v>
      </c>
      <c r="X131" s="328">
        <f t="shared" si="127"/>
        <v>0.5</v>
      </c>
      <c r="Y131" s="532">
        <f t="shared" si="127"/>
        <v>0.5</v>
      </c>
      <c r="Z131" s="532">
        <f t="shared" si="127"/>
        <v>0.5</v>
      </c>
      <c r="AA131" s="532">
        <f t="shared" si="127"/>
        <v>0.5</v>
      </c>
      <c r="AB131" s="396">
        <f t="shared" si="127"/>
        <v>0.5</v>
      </c>
      <c r="AC131" s="396">
        <f t="shared" si="127"/>
        <v>0.5</v>
      </c>
      <c r="AD131" s="396">
        <f t="shared" si="127"/>
        <v>0.5</v>
      </c>
      <c r="AE131" s="396">
        <f t="shared" si="127"/>
        <v>0.5</v>
      </c>
      <c r="AF131" s="396">
        <f t="shared" si="127"/>
        <v>0.5</v>
      </c>
    </row>
    <row r="132" spans="1:32" outlineLevel="1">
      <c r="A132" t="s">
        <v>427</v>
      </c>
      <c r="B132" s="328">
        <v>0.5</v>
      </c>
      <c r="C132" s="328">
        <v>0.5</v>
      </c>
      <c r="D132" s="328">
        <v>0.5</v>
      </c>
      <c r="E132" s="328">
        <v>0.5</v>
      </c>
      <c r="F132" s="328">
        <v>0.5</v>
      </c>
      <c r="G132" s="328">
        <v>0.5</v>
      </c>
      <c r="H132" s="328">
        <v>0.5</v>
      </c>
      <c r="I132" s="328">
        <v>0.5</v>
      </c>
      <c r="J132" s="328">
        <v>0.5</v>
      </c>
      <c r="K132" s="328">
        <v>0.5</v>
      </c>
      <c r="L132" s="328">
        <v>0.5</v>
      </c>
      <c r="M132" s="328">
        <v>0.5</v>
      </c>
      <c r="N132" s="328">
        <v>0.5</v>
      </c>
      <c r="O132" s="328">
        <v>0.5</v>
      </c>
      <c r="P132" s="328">
        <v>0.5</v>
      </c>
      <c r="Q132" s="328">
        <v>0.5</v>
      </c>
      <c r="R132" s="328">
        <v>0.5</v>
      </c>
      <c r="S132" s="328">
        <v>0.5</v>
      </c>
      <c r="T132" s="328">
        <v>0.5</v>
      </c>
      <c r="U132" s="328">
        <v>0.5</v>
      </c>
      <c r="V132" s="328">
        <f t="shared" ref="V132:AF132" si="128">+U132</f>
        <v>0.5</v>
      </c>
      <c r="W132" s="328">
        <f t="shared" si="128"/>
        <v>0.5</v>
      </c>
      <c r="X132" s="328">
        <f t="shared" si="128"/>
        <v>0.5</v>
      </c>
      <c r="Y132" s="532">
        <f t="shared" si="128"/>
        <v>0.5</v>
      </c>
      <c r="Z132" s="532">
        <f t="shared" si="128"/>
        <v>0.5</v>
      </c>
      <c r="AA132" s="532">
        <f t="shared" si="128"/>
        <v>0.5</v>
      </c>
      <c r="AB132" s="396">
        <f t="shared" si="128"/>
        <v>0.5</v>
      </c>
      <c r="AC132" s="396">
        <f t="shared" si="128"/>
        <v>0.5</v>
      </c>
      <c r="AD132" s="396">
        <f t="shared" si="128"/>
        <v>0.5</v>
      </c>
      <c r="AE132" s="396">
        <f t="shared" si="128"/>
        <v>0.5</v>
      </c>
      <c r="AF132" s="396">
        <f t="shared" si="128"/>
        <v>0.5</v>
      </c>
    </row>
    <row r="133" spans="1:32" outlineLevel="1">
      <c r="A133" t="s">
        <v>314</v>
      </c>
      <c r="B133" s="320">
        <f>+SUMPRODUCT(B126:B132,B115:B121)/SUM(B115:B121)</f>
        <v>0.62413793103448278</v>
      </c>
      <c r="C133" s="320">
        <f t="shared" ref="C133:AE133" si="129">+SUMPRODUCT(C126:C132,C115:C121)/SUM(C115:C121)</f>
        <v>0.64212678936605316</v>
      </c>
      <c r="D133" s="320">
        <f t="shared" si="129"/>
        <v>0.72690763052208851</v>
      </c>
      <c r="E133" s="320">
        <f t="shared" si="129"/>
        <v>0.74007936507936511</v>
      </c>
      <c r="F133" s="320">
        <f t="shared" si="129"/>
        <v>0.74629629629629612</v>
      </c>
      <c r="G133" s="320">
        <f t="shared" si="129"/>
        <v>0.73262032085561513</v>
      </c>
      <c r="H133" s="320">
        <f t="shared" si="129"/>
        <v>0.66846986089644511</v>
      </c>
      <c r="I133" s="320">
        <f t="shared" si="129"/>
        <v>0.68664169787765295</v>
      </c>
      <c r="J133" s="320">
        <f t="shared" si="129"/>
        <v>0.69361147327249029</v>
      </c>
      <c r="K133" s="320">
        <f t="shared" si="129"/>
        <v>0.65993071593533492</v>
      </c>
      <c r="L133" s="320">
        <f t="shared" si="129"/>
        <v>0.63157894736842102</v>
      </c>
      <c r="M133" s="320">
        <f t="shared" si="129"/>
        <v>0.65189873417721522</v>
      </c>
      <c r="N133" s="320">
        <f t="shared" si="129"/>
        <v>0.66039707419017768</v>
      </c>
      <c r="O133" s="320">
        <f t="shared" si="129"/>
        <v>0.6558627264061011</v>
      </c>
      <c r="P133" s="320">
        <f t="shared" si="129"/>
        <v>0.66426642664266433</v>
      </c>
      <c r="Q133" s="320">
        <f t="shared" si="129"/>
        <v>0.66879795396419428</v>
      </c>
      <c r="R133" s="320">
        <f t="shared" si="129"/>
        <v>0.65431596091205202</v>
      </c>
      <c r="S133" s="320">
        <f t="shared" si="129"/>
        <v>0.6363361547762999</v>
      </c>
      <c r="T133" s="320">
        <f t="shared" si="129"/>
        <v>0.60888728323699426</v>
      </c>
      <c r="U133" s="320">
        <f t="shared" si="129"/>
        <v>0.62355399656690802</v>
      </c>
      <c r="V133" s="320">
        <f t="shared" si="129"/>
        <v>0.65212765957446817</v>
      </c>
      <c r="W133" s="320">
        <f t="shared" si="129"/>
        <v>0.61140927977839332</v>
      </c>
      <c r="X133" s="320">
        <f t="shared" si="129"/>
        <v>0.61255115961800821</v>
      </c>
      <c r="Y133" s="528">
        <f t="shared" si="129"/>
        <v>0.58395166419334321</v>
      </c>
      <c r="Z133" s="528">
        <f t="shared" si="129"/>
        <v>0.57954817116901747</v>
      </c>
      <c r="AA133" s="528">
        <f t="shared" si="129"/>
        <v>0.595676744042132</v>
      </c>
      <c r="AB133" s="395">
        <f t="shared" si="129"/>
        <v>0.59326426206096206</v>
      </c>
      <c r="AC133" s="395">
        <f t="shared" si="129"/>
        <v>0.5854571989716667</v>
      </c>
      <c r="AD133" s="395">
        <f t="shared" si="129"/>
        <v>0.58059100157232046</v>
      </c>
      <c r="AE133" s="395">
        <f t="shared" si="129"/>
        <v>0.58042790479852835</v>
      </c>
      <c r="AF133" s="395">
        <f t="shared" ref="AF133" si="130">+SUMPRODUCT(AF126:AF132,AF115:AF121)/SUM(AF115:AF121)</f>
        <v>0.58074295806191767</v>
      </c>
    </row>
    <row r="134" spans="1:32" outlineLevel="1">
      <c r="B134" s="179"/>
      <c r="C134" s="179"/>
      <c r="D134" s="179"/>
      <c r="E134" s="179"/>
      <c r="F134" s="179"/>
      <c r="G134" s="179"/>
      <c r="H134" s="179"/>
      <c r="I134" s="179"/>
      <c r="J134" s="179"/>
      <c r="K134" s="179"/>
      <c r="L134" s="179"/>
      <c r="M134" s="179"/>
      <c r="N134" s="179"/>
      <c r="O134" s="179"/>
      <c r="P134" s="179"/>
      <c r="Q134" s="179"/>
      <c r="R134" s="179"/>
      <c r="S134" s="179"/>
      <c r="T134" s="179"/>
      <c r="U134" s="179"/>
      <c r="V134" s="179"/>
      <c r="W134" s="179"/>
      <c r="X134" s="179"/>
      <c r="Y134" s="179"/>
      <c r="Z134" s="179"/>
      <c r="AA134" s="179"/>
      <c r="AB134" s="179"/>
      <c r="AC134" s="179"/>
      <c r="AD134" s="179"/>
      <c r="AE134" s="179"/>
      <c r="AF134" s="179"/>
    </row>
    <row r="135" spans="1:32" outlineLevel="1">
      <c r="A135" s="408" t="s">
        <v>424</v>
      </c>
      <c r="B135" s="409">
        <v>2000</v>
      </c>
      <c r="C135" s="409">
        <f>+B135+1</f>
        <v>2001</v>
      </c>
      <c r="D135" s="409">
        <f t="shared" ref="D135:AF135" si="131">+C135+1</f>
        <v>2002</v>
      </c>
      <c r="E135" s="409">
        <f t="shared" si="131"/>
        <v>2003</v>
      </c>
      <c r="F135" s="409">
        <f t="shared" si="131"/>
        <v>2004</v>
      </c>
      <c r="G135" s="409">
        <f t="shared" si="131"/>
        <v>2005</v>
      </c>
      <c r="H135" s="409">
        <f t="shared" si="131"/>
        <v>2006</v>
      </c>
      <c r="I135" s="409">
        <f t="shared" si="131"/>
        <v>2007</v>
      </c>
      <c r="J135" s="409">
        <f t="shared" si="131"/>
        <v>2008</v>
      </c>
      <c r="K135" s="409">
        <f t="shared" si="131"/>
        <v>2009</v>
      </c>
      <c r="L135" s="409">
        <f t="shared" si="131"/>
        <v>2010</v>
      </c>
      <c r="M135" s="409">
        <f t="shared" si="131"/>
        <v>2011</v>
      </c>
      <c r="N135" s="409">
        <f t="shared" si="131"/>
        <v>2012</v>
      </c>
      <c r="O135" s="409">
        <f t="shared" si="131"/>
        <v>2013</v>
      </c>
      <c r="P135" s="409">
        <f t="shared" si="131"/>
        <v>2014</v>
      </c>
      <c r="Q135" s="409">
        <f t="shared" si="131"/>
        <v>2015</v>
      </c>
      <c r="R135" s="409">
        <f t="shared" si="131"/>
        <v>2016</v>
      </c>
      <c r="S135" s="409">
        <f t="shared" si="131"/>
        <v>2017</v>
      </c>
      <c r="T135" s="409">
        <f>+S135+1</f>
        <v>2018</v>
      </c>
      <c r="U135" s="409">
        <f>+T135+1</f>
        <v>2019</v>
      </c>
      <c r="V135" s="409">
        <f t="shared" si="131"/>
        <v>2020</v>
      </c>
      <c r="W135" s="409">
        <f t="shared" si="131"/>
        <v>2021</v>
      </c>
      <c r="X135" s="409">
        <f t="shared" si="131"/>
        <v>2022</v>
      </c>
      <c r="Y135" s="409">
        <f t="shared" si="131"/>
        <v>2023</v>
      </c>
      <c r="Z135" s="409">
        <f t="shared" si="131"/>
        <v>2024</v>
      </c>
      <c r="AA135" s="409">
        <f t="shared" si="131"/>
        <v>2025</v>
      </c>
      <c r="AB135" s="410">
        <f t="shared" si="131"/>
        <v>2026</v>
      </c>
      <c r="AC135" s="410">
        <f t="shared" si="131"/>
        <v>2027</v>
      </c>
      <c r="AD135" s="410">
        <f t="shared" si="131"/>
        <v>2028</v>
      </c>
      <c r="AE135" s="410">
        <f t="shared" si="131"/>
        <v>2029</v>
      </c>
      <c r="AF135" s="410">
        <f t="shared" si="131"/>
        <v>2030</v>
      </c>
    </row>
    <row r="136" spans="1:32" outlineLevel="1">
      <c r="A136" t="s">
        <v>386</v>
      </c>
      <c r="B136" s="388">
        <f t="shared" ref="B136:W136" si="132">+B115*B126</f>
        <v>72.600000000000009</v>
      </c>
      <c r="C136" s="388">
        <f t="shared" si="132"/>
        <v>158.4</v>
      </c>
      <c r="D136" s="388">
        <f t="shared" si="132"/>
        <v>319</v>
      </c>
      <c r="E136" s="388">
        <f t="shared" si="132"/>
        <v>422.40000000000003</v>
      </c>
      <c r="F136" s="388">
        <f t="shared" si="132"/>
        <v>444.40000000000003</v>
      </c>
      <c r="G136" s="388">
        <f t="shared" si="132"/>
        <v>411.40000000000003</v>
      </c>
      <c r="H136" s="388">
        <f t="shared" si="132"/>
        <v>283.8</v>
      </c>
      <c r="I136" s="388">
        <f t="shared" si="132"/>
        <v>376.20000000000005</v>
      </c>
      <c r="J136" s="388">
        <f t="shared" si="132"/>
        <v>433.40000000000003</v>
      </c>
      <c r="K136" s="388">
        <f t="shared" si="132"/>
        <v>367.40000000000003</v>
      </c>
      <c r="L136" s="388">
        <f t="shared" si="132"/>
        <v>266.20000000000005</v>
      </c>
      <c r="M136" s="388">
        <f t="shared" si="132"/>
        <v>314.60000000000002</v>
      </c>
      <c r="N136" s="388">
        <f t="shared" si="132"/>
        <v>248.60000000000002</v>
      </c>
      <c r="O136" s="388">
        <f t="shared" si="132"/>
        <v>246.40000000000003</v>
      </c>
      <c r="P136" s="388">
        <f t="shared" si="132"/>
        <v>314.60000000000002</v>
      </c>
      <c r="Q136" s="388">
        <f t="shared" si="132"/>
        <v>319</v>
      </c>
      <c r="R136" s="388">
        <f t="shared" si="132"/>
        <v>338.8</v>
      </c>
      <c r="S136" s="388">
        <f t="shared" si="132"/>
        <v>283.8</v>
      </c>
      <c r="T136" s="388">
        <f t="shared" si="132"/>
        <v>242.00000000000003</v>
      </c>
      <c r="U136" s="388">
        <f>+U115*U126</f>
        <v>246.40000000000003</v>
      </c>
      <c r="V136" s="388">
        <f>+V115*V126</f>
        <v>154</v>
      </c>
      <c r="W136" s="388">
        <f t="shared" si="132"/>
        <v>110.00000000000001</v>
      </c>
      <c r="X136" s="388">
        <f>+X115*X126</f>
        <v>158.4</v>
      </c>
      <c r="Y136" s="388">
        <f t="shared" ref="Y136:AE136" si="133">+Y115*Y126</f>
        <v>103.4</v>
      </c>
      <c r="Z136" s="388">
        <f t="shared" si="133"/>
        <v>132</v>
      </c>
      <c r="AA136" s="388">
        <f>+AA115*AA126</f>
        <v>156.20000000000002</v>
      </c>
      <c r="AB136" s="392">
        <f t="shared" si="133"/>
        <v>160.60000000000002</v>
      </c>
      <c r="AC136" s="392">
        <f t="shared" si="133"/>
        <v>169.4</v>
      </c>
      <c r="AD136" s="392">
        <f t="shared" si="133"/>
        <v>171.60000000000002</v>
      </c>
      <c r="AE136" s="392">
        <f t="shared" si="133"/>
        <v>173.8</v>
      </c>
      <c r="AF136" s="392">
        <f t="shared" ref="AF136" si="134">+AF115*AF126</f>
        <v>176</v>
      </c>
    </row>
    <row r="137" spans="1:32" outlineLevel="1">
      <c r="A137" t="s">
        <v>387</v>
      </c>
      <c r="B137" s="388">
        <f t="shared" ref="B137:W137" si="135">+B116*B127</f>
        <v>151.80000000000001</v>
      </c>
      <c r="C137" s="388">
        <f t="shared" si="135"/>
        <v>138.60000000000002</v>
      </c>
      <c r="D137" s="388">
        <f t="shared" si="135"/>
        <v>149.60000000000002</v>
      </c>
      <c r="E137" s="388">
        <f t="shared" si="135"/>
        <v>85.800000000000011</v>
      </c>
      <c r="F137" s="388">
        <f t="shared" si="135"/>
        <v>92.4</v>
      </c>
      <c r="G137" s="388">
        <f t="shared" si="135"/>
        <v>112.2</v>
      </c>
      <c r="H137" s="388">
        <f t="shared" si="135"/>
        <v>99.000000000000014</v>
      </c>
      <c r="I137" s="388">
        <f t="shared" si="135"/>
        <v>151.80000000000001</v>
      </c>
      <c r="J137" s="388">
        <f t="shared" si="135"/>
        <v>103.4</v>
      </c>
      <c r="K137" s="388">
        <f t="shared" si="135"/>
        <v>61.600000000000009</v>
      </c>
      <c r="L137" s="388">
        <f t="shared" si="135"/>
        <v>44</v>
      </c>
      <c r="M137" s="388">
        <f t="shared" si="135"/>
        <v>70.400000000000006</v>
      </c>
      <c r="N137" s="388">
        <f t="shared" si="135"/>
        <v>90.2</v>
      </c>
      <c r="O137" s="388">
        <f t="shared" si="135"/>
        <v>66</v>
      </c>
      <c r="P137" s="388">
        <f t="shared" si="135"/>
        <v>39.6</v>
      </c>
      <c r="Q137" s="388">
        <f t="shared" si="135"/>
        <v>77</v>
      </c>
      <c r="R137" s="388">
        <f t="shared" si="135"/>
        <v>72.600000000000009</v>
      </c>
      <c r="S137" s="388">
        <f t="shared" si="135"/>
        <v>46.2</v>
      </c>
      <c r="T137" s="388">
        <f t="shared" si="135"/>
        <v>46.2</v>
      </c>
      <c r="U137" s="388">
        <f t="shared" si="135"/>
        <v>50.6</v>
      </c>
      <c r="V137" s="388">
        <f t="shared" si="135"/>
        <v>44</v>
      </c>
      <c r="W137" s="388">
        <f t="shared" si="135"/>
        <v>41.800000000000004</v>
      </c>
      <c r="X137" s="388">
        <f>+X116*X127</f>
        <v>39.6</v>
      </c>
      <c r="Y137" s="388">
        <f t="shared" ref="Y137:AE137" si="136">+Y116*Y127</f>
        <v>39.6</v>
      </c>
      <c r="Z137" s="388">
        <f t="shared" si="136"/>
        <v>22</v>
      </c>
      <c r="AA137" s="388">
        <f t="shared" si="136"/>
        <v>66</v>
      </c>
      <c r="AB137" s="392">
        <f t="shared" si="136"/>
        <v>79.2</v>
      </c>
      <c r="AC137" s="392">
        <f t="shared" si="136"/>
        <v>0</v>
      </c>
      <c r="AD137" s="392">
        <f t="shared" si="136"/>
        <v>0</v>
      </c>
      <c r="AE137" s="392">
        <f t="shared" si="136"/>
        <v>0</v>
      </c>
      <c r="AF137" s="392">
        <f t="shared" ref="AF137" si="137">+AF116*AF127</f>
        <v>0</v>
      </c>
    </row>
    <row r="138" spans="1:32" outlineLevel="1">
      <c r="A138" t="s">
        <v>388</v>
      </c>
      <c r="B138" s="388">
        <f t="shared" ref="B138:AE138" si="138">+B117*B128</f>
        <v>359.70000000000005</v>
      </c>
      <c r="C138" s="388">
        <f t="shared" si="138"/>
        <v>385.00000000000006</v>
      </c>
      <c r="D138" s="388">
        <f t="shared" si="138"/>
        <v>299.20000000000005</v>
      </c>
      <c r="E138" s="388">
        <f t="shared" si="138"/>
        <v>288.20000000000005</v>
      </c>
      <c r="F138" s="388">
        <f t="shared" si="138"/>
        <v>301.40000000000003</v>
      </c>
      <c r="G138" s="388">
        <f t="shared" si="138"/>
        <v>330</v>
      </c>
      <c r="H138" s="388">
        <f t="shared" si="138"/>
        <v>471.90000000000003</v>
      </c>
      <c r="I138" s="388">
        <f t="shared" si="138"/>
        <v>552.20000000000005</v>
      </c>
      <c r="J138" s="388">
        <f t="shared" si="138"/>
        <v>512.6</v>
      </c>
      <c r="K138" s="388">
        <f t="shared" si="138"/>
        <v>641.30000000000007</v>
      </c>
      <c r="L138" s="388">
        <f t="shared" si="138"/>
        <v>627</v>
      </c>
      <c r="M138" s="388">
        <f t="shared" si="138"/>
        <v>643.5</v>
      </c>
      <c r="N138" s="388">
        <f t="shared" si="138"/>
        <v>686.40000000000009</v>
      </c>
      <c r="O138" s="388">
        <f t="shared" si="138"/>
        <v>759.00000000000011</v>
      </c>
      <c r="P138" s="388">
        <f t="shared" si="138"/>
        <v>774.40000000000009</v>
      </c>
      <c r="Q138" s="388">
        <f t="shared" si="138"/>
        <v>808.50000000000011</v>
      </c>
      <c r="R138" s="388">
        <f t="shared" si="138"/>
        <v>849.2</v>
      </c>
      <c r="S138" s="388">
        <f t="shared" si="138"/>
        <v>735.90000000000009</v>
      </c>
      <c r="T138" s="388">
        <f t="shared" si="138"/>
        <v>521.40000000000009</v>
      </c>
      <c r="U138" s="388">
        <f t="shared" si="138"/>
        <v>140.80000000000001</v>
      </c>
      <c r="V138" s="388">
        <f t="shared" si="138"/>
        <v>17.600000000000001</v>
      </c>
      <c r="W138" s="388">
        <f t="shared" si="138"/>
        <v>26.400000000000002</v>
      </c>
      <c r="X138" s="388">
        <f t="shared" si="138"/>
        <v>0</v>
      </c>
      <c r="Y138" s="388">
        <f t="shared" si="138"/>
        <v>0</v>
      </c>
      <c r="Z138" s="388">
        <f t="shared" si="138"/>
        <v>0</v>
      </c>
      <c r="AA138" s="388">
        <f t="shared" si="138"/>
        <v>0</v>
      </c>
      <c r="AB138" s="392">
        <f t="shared" si="138"/>
        <v>0</v>
      </c>
      <c r="AC138" s="392">
        <f t="shared" si="138"/>
        <v>0</v>
      </c>
      <c r="AD138" s="392">
        <f t="shared" si="138"/>
        <v>0</v>
      </c>
      <c r="AE138" s="392">
        <f t="shared" si="138"/>
        <v>0</v>
      </c>
      <c r="AF138" s="392">
        <f t="shared" ref="AF138" si="139">+AF117*AF128</f>
        <v>0</v>
      </c>
    </row>
    <row r="139" spans="1:32" outlineLevel="1">
      <c r="A139" t="s">
        <v>389</v>
      </c>
      <c r="B139" s="388">
        <f t="shared" ref="B139:AE139" si="140">+B118*B129</f>
        <v>13.200000000000001</v>
      </c>
      <c r="C139" s="388">
        <f t="shared" si="140"/>
        <v>8.8000000000000007</v>
      </c>
      <c r="D139" s="388">
        <f t="shared" si="140"/>
        <v>28.6</v>
      </c>
      <c r="E139" s="388">
        <f t="shared" si="140"/>
        <v>24.200000000000003</v>
      </c>
      <c r="F139" s="388">
        <f t="shared" si="140"/>
        <v>48.400000000000006</v>
      </c>
      <c r="G139" s="388">
        <f t="shared" si="140"/>
        <v>50.6</v>
      </c>
      <c r="H139" s="388">
        <f t="shared" si="140"/>
        <v>96.800000000000011</v>
      </c>
      <c r="I139" s="388">
        <f t="shared" si="140"/>
        <v>129.80000000000001</v>
      </c>
      <c r="J139" s="388">
        <f t="shared" si="140"/>
        <v>116.60000000000001</v>
      </c>
      <c r="K139" s="388">
        <f t="shared" si="140"/>
        <v>180.4</v>
      </c>
      <c r="L139" s="388">
        <f t="shared" si="140"/>
        <v>151.80000000000001</v>
      </c>
      <c r="M139" s="388">
        <f t="shared" si="140"/>
        <v>156.20000000000002</v>
      </c>
      <c r="N139" s="388">
        <f t="shared" si="140"/>
        <v>176</v>
      </c>
      <c r="O139" s="388">
        <f t="shared" si="140"/>
        <v>206.8</v>
      </c>
      <c r="P139" s="388">
        <f t="shared" si="140"/>
        <v>213.4</v>
      </c>
      <c r="Q139" s="388">
        <f t="shared" si="140"/>
        <v>213.4</v>
      </c>
      <c r="R139" s="388">
        <f t="shared" si="140"/>
        <v>217.8</v>
      </c>
      <c r="S139" s="388">
        <f t="shared" si="140"/>
        <v>156.20000000000002</v>
      </c>
      <c r="T139" s="388">
        <f t="shared" si="140"/>
        <v>96.800000000000011</v>
      </c>
      <c r="U139" s="388">
        <f t="shared" si="140"/>
        <v>96.800000000000011</v>
      </c>
      <c r="V139" s="388">
        <f t="shared" si="140"/>
        <v>57.2</v>
      </c>
      <c r="W139" s="388">
        <f t="shared" si="140"/>
        <v>52.800000000000004</v>
      </c>
      <c r="X139" s="388">
        <f t="shared" si="140"/>
        <v>52.800000000000004</v>
      </c>
      <c r="Y139" s="388">
        <f t="shared" si="140"/>
        <v>57.2</v>
      </c>
      <c r="Z139" s="388">
        <f t="shared" si="140"/>
        <v>30.800000000000004</v>
      </c>
      <c r="AA139" s="388">
        <f t="shared" si="140"/>
        <v>70.400000000000006</v>
      </c>
      <c r="AB139" s="392">
        <f t="shared" si="140"/>
        <v>66</v>
      </c>
      <c r="AC139" s="392">
        <f t="shared" si="140"/>
        <v>105.60000000000001</v>
      </c>
      <c r="AD139" s="392">
        <f t="shared" si="140"/>
        <v>105.60000000000001</v>
      </c>
      <c r="AE139" s="392">
        <f t="shared" si="140"/>
        <v>105.60000000000001</v>
      </c>
      <c r="AF139" s="392">
        <f t="shared" ref="AF139" si="141">+AF118*AF129</f>
        <v>105.60000000000001</v>
      </c>
    </row>
    <row r="140" spans="1:32" outlineLevel="1">
      <c r="A140" t="s">
        <v>390</v>
      </c>
      <c r="B140" s="388">
        <f t="shared" ref="B140:AE140" si="142">+B119*B130</f>
        <v>0</v>
      </c>
      <c r="C140" s="388">
        <f t="shared" si="142"/>
        <v>0</v>
      </c>
      <c r="D140" s="388">
        <f t="shared" si="142"/>
        <v>0</v>
      </c>
      <c r="E140" s="388">
        <f t="shared" si="142"/>
        <v>0</v>
      </c>
      <c r="F140" s="388">
        <f t="shared" si="142"/>
        <v>0</v>
      </c>
      <c r="G140" s="388">
        <f t="shared" si="142"/>
        <v>0</v>
      </c>
      <c r="H140" s="388">
        <f t="shared" si="142"/>
        <v>0</v>
      </c>
      <c r="I140" s="388">
        <f t="shared" si="142"/>
        <v>0</v>
      </c>
      <c r="J140" s="388">
        <f t="shared" si="142"/>
        <v>0</v>
      </c>
      <c r="K140" s="388">
        <f t="shared" si="142"/>
        <v>0</v>
      </c>
      <c r="L140" s="388">
        <f t="shared" si="142"/>
        <v>0</v>
      </c>
      <c r="M140" s="388">
        <f t="shared" si="142"/>
        <v>39.6</v>
      </c>
      <c r="N140" s="388">
        <f t="shared" si="142"/>
        <v>160.60000000000002</v>
      </c>
      <c r="O140" s="388">
        <f t="shared" si="142"/>
        <v>200.20000000000002</v>
      </c>
      <c r="P140" s="388">
        <f t="shared" si="142"/>
        <v>235.4</v>
      </c>
      <c r="Q140" s="388">
        <f t="shared" si="142"/>
        <v>261.8</v>
      </c>
      <c r="R140" s="388">
        <f t="shared" si="142"/>
        <v>204.60000000000002</v>
      </c>
      <c r="S140" s="388">
        <f t="shared" si="142"/>
        <v>235.4</v>
      </c>
      <c r="T140" s="388">
        <f t="shared" si="142"/>
        <v>217.8</v>
      </c>
      <c r="U140" s="388">
        <f t="shared" si="142"/>
        <v>268.40000000000003</v>
      </c>
      <c r="V140" s="388">
        <f t="shared" si="142"/>
        <v>116.60000000000001</v>
      </c>
      <c r="W140" s="388">
        <f t="shared" si="142"/>
        <v>52.800000000000004</v>
      </c>
      <c r="X140" s="388">
        <f t="shared" si="142"/>
        <v>79.2</v>
      </c>
      <c r="Y140" s="388">
        <f t="shared" si="142"/>
        <v>116.60000000000001</v>
      </c>
      <c r="Z140" s="388">
        <f t="shared" si="142"/>
        <v>81.400000000000006</v>
      </c>
      <c r="AA140" s="388">
        <f t="shared" si="142"/>
        <v>111.72549019607844</v>
      </c>
      <c r="AB140" s="392">
        <f t="shared" si="142"/>
        <v>153.2235294117647</v>
      </c>
      <c r="AC140" s="392">
        <f t="shared" si="142"/>
        <v>191.52941176470591</v>
      </c>
      <c r="AD140" s="392">
        <f t="shared" si="142"/>
        <v>191.52941176470591</v>
      </c>
      <c r="AE140" s="392">
        <f t="shared" si="142"/>
        <v>191.52941176470591</v>
      </c>
      <c r="AF140" s="392">
        <f t="shared" ref="AF140" si="143">+AF119*AF130</f>
        <v>191.52941176470591</v>
      </c>
    </row>
    <row r="141" spans="1:32" outlineLevel="1">
      <c r="A141" t="s">
        <v>391</v>
      </c>
      <c r="B141" s="388">
        <f t="shared" ref="B141:AE141" si="144">+B120*B131</f>
        <v>0</v>
      </c>
      <c r="C141" s="388">
        <f t="shared" si="144"/>
        <v>0</v>
      </c>
      <c r="D141" s="388">
        <f t="shared" si="144"/>
        <v>0</v>
      </c>
      <c r="E141" s="388">
        <f t="shared" si="144"/>
        <v>0</v>
      </c>
      <c r="F141" s="388">
        <f t="shared" si="144"/>
        <v>0</v>
      </c>
      <c r="G141" s="388">
        <f t="shared" si="144"/>
        <v>0</v>
      </c>
      <c r="H141" s="388">
        <f t="shared" si="144"/>
        <v>0</v>
      </c>
      <c r="I141" s="388">
        <f t="shared" si="144"/>
        <v>0</v>
      </c>
      <c r="J141" s="388">
        <f t="shared" si="144"/>
        <v>4.4000000000000004</v>
      </c>
      <c r="K141" s="388">
        <f t="shared" si="144"/>
        <v>6.6000000000000005</v>
      </c>
      <c r="L141" s="388">
        <f t="shared" si="144"/>
        <v>19.8</v>
      </c>
      <c r="M141" s="388">
        <f t="shared" si="144"/>
        <v>22</v>
      </c>
      <c r="N141" s="388">
        <f t="shared" si="144"/>
        <v>28.6</v>
      </c>
      <c r="O141" s="388">
        <f t="shared" si="144"/>
        <v>35.200000000000003</v>
      </c>
      <c r="P141" s="388">
        <f t="shared" si="144"/>
        <v>46.2</v>
      </c>
      <c r="Q141" s="388">
        <f t="shared" si="144"/>
        <v>46.2</v>
      </c>
      <c r="R141" s="388">
        <f t="shared" si="144"/>
        <v>46.2</v>
      </c>
      <c r="S141" s="388">
        <f t="shared" si="144"/>
        <v>11</v>
      </c>
      <c r="T141" s="388">
        <f t="shared" si="144"/>
        <v>2.2000000000000002</v>
      </c>
      <c r="U141" s="388">
        <f t="shared" si="144"/>
        <v>0</v>
      </c>
      <c r="V141" s="388">
        <f t="shared" si="144"/>
        <v>0</v>
      </c>
      <c r="W141" s="388">
        <f t="shared" si="144"/>
        <v>0</v>
      </c>
      <c r="X141" s="388">
        <f t="shared" si="144"/>
        <v>0</v>
      </c>
      <c r="Y141" s="388">
        <f t="shared" si="144"/>
        <v>0</v>
      </c>
      <c r="Z141" s="388">
        <f t="shared" si="144"/>
        <v>0</v>
      </c>
      <c r="AA141" s="388">
        <f t="shared" si="144"/>
        <v>0</v>
      </c>
      <c r="AB141" s="392">
        <f t="shared" si="144"/>
        <v>0</v>
      </c>
      <c r="AC141" s="392">
        <f t="shared" si="144"/>
        <v>0</v>
      </c>
      <c r="AD141" s="392">
        <f t="shared" si="144"/>
        <v>0</v>
      </c>
      <c r="AE141" s="392">
        <f t="shared" si="144"/>
        <v>0</v>
      </c>
      <c r="AF141" s="392">
        <f t="shared" ref="AF141" si="145">+AF120*AF131</f>
        <v>0</v>
      </c>
    </row>
    <row r="142" spans="1:32" outlineLevel="1">
      <c r="A142" t="s">
        <v>298</v>
      </c>
      <c r="B142" s="388">
        <f t="shared" ref="B142:AE142" si="146">+B121*B132</f>
        <v>0</v>
      </c>
      <c r="C142" s="388">
        <f t="shared" si="146"/>
        <v>0</v>
      </c>
      <c r="D142" s="388">
        <f t="shared" si="146"/>
        <v>0</v>
      </c>
      <c r="E142" s="388">
        <f t="shared" si="146"/>
        <v>0</v>
      </c>
      <c r="F142" s="388">
        <f t="shared" si="146"/>
        <v>0</v>
      </c>
      <c r="G142" s="388">
        <f t="shared" si="146"/>
        <v>0</v>
      </c>
      <c r="H142" s="388">
        <f t="shared" si="146"/>
        <v>0</v>
      </c>
      <c r="I142" s="388">
        <f t="shared" si="146"/>
        <v>0</v>
      </c>
      <c r="J142" s="388">
        <f t="shared" si="146"/>
        <v>0</v>
      </c>
      <c r="K142" s="388">
        <f t="shared" si="146"/>
        <v>0</v>
      </c>
      <c r="L142" s="388">
        <f t="shared" si="146"/>
        <v>0</v>
      </c>
      <c r="M142" s="388">
        <f t="shared" si="146"/>
        <v>0</v>
      </c>
      <c r="N142" s="388">
        <f t="shared" si="146"/>
        <v>0</v>
      </c>
      <c r="O142" s="388">
        <f t="shared" si="146"/>
        <v>0</v>
      </c>
      <c r="P142" s="388">
        <f t="shared" si="146"/>
        <v>0</v>
      </c>
      <c r="Q142" s="388">
        <f t="shared" si="146"/>
        <v>0</v>
      </c>
      <c r="R142" s="388">
        <f t="shared" si="146"/>
        <v>38.5</v>
      </c>
      <c r="S142" s="388">
        <f t="shared" si="146"/>
        <v>215.5</v>
      </c>
      <c r="T142" s="388">
        <f t="shared" si="146"/>
        <v>559</v>
      </c>
      <c r="U142" s="388">
        <f t="shared" si="146"/>
        <v>868</v>
      </c>
      <c r="V142" s="388">
        <f t="shared" si="146"/>
        <v>407.5</v>
      </c>
      <c r="W142" s="388">
        <f t="shared" si="146"/>
        <v>422.5</v>
      </c>
      <c r="X142" s="388">
        <f t="shared" si="146"/>
        <v>568</v>
      </c>
      <c r="Y142" s="388">
        <f t="shared" si="146"/>
        <v>785</v>
      </c>
      <c r="Z142" s="388">
        <f t="shared" si="146"/>
        <v>703.5</v>
      </c>
      <c r="AA142" s="388">
        <f t="shared" si="146"/>
        <v>854.32567913708783</v>
      </c>
      <c r="AB142" s="392">
        <f t="shared" si="146"/>
        <v>1000.9261309795104</v>
      </c>
      <c r="AC142" s="392">
        <f t="shared" si="146"/>
        <v>1131.5395978468846</v>
      </c>
      <c r="AD142" s="392">
        <f t="shared" si="146"/>
        <v>1219.6729739449631</v>
      </c>
      <c r="AE142" s="392">
        <f t="shared" si="146"/>
        <v>1228.3599857603763</v>
      </c>
      <c r="AF142" s="392">
        <f t="shared" ref="AF142" si="147">+AF121*AF132</f>
        <v>1228.3599857603763</v>
      </c>
    </row>
    <row r="143" spans="1:32" outlineLevel="1">
      <c r="A143" t="s">
        <v>314</v>
      </c>
      <c r="B143" s="388">
        <f t="shared" ref="B143:X143" si="148">B122*B133</f>
        <v>0</v>
      </c>
      <c r="C143" s="388">
        <f t="shared" si="148"/>
        <v>0</v>
      </c>
      <c r="D143" s="388">
        <f t="shared" si="148"/>
        <v>0</v>
      </c>
      <c r="E143" s="388">
        <f t="shared" si="148"/>
        <v>0</v>
      </c>
      <c r="F143" s="388">
        <f t="shared" si="148"/>
        <v>0</v>
      </c>
      <c r="G143" s="388">
        <f t="shared" si="148"/>
        <v>0</v>
      </c>
      <c r="H143" s="388">
        <f t="shared" si="148"/>
        <v>0</v>
      </c>
      <c r="I143" s="388">
        <f t="shared" si="148"/>
        <v>0</v>
      </c>
      <c r="J143" s="388">
        <f t="shared" si="148"/>
        <v>0</v>
      </c>
      <c r="K143" s="388">
        <f t="shared" si="148"/>
        <v>0</v>
      </c>
      <c r="L143" s="388">
        <f t="shared" si="148"/>
        <v>0</v>
      </c>
      <c r="M143" s="388">
        <f t="shared" si="148"/>
        <v>0</v>
      </c>
      <c r="N143" s="388">
        <f t="shared" si="148"/>
        <v>0</v>
      </c>
      <c r="O143" s="388">
        <f t="shared" si="148"/>
        <v>0</v>
      </c>
      <c r="P143" s="388">
        <f t="shared" si="148"/>
        <v>0</v>
      </c>
      <c r="Q143" s="388">
        <f t="shared" si="148"/>
        <v>4.9491048593350229</v>
      </c>
      <c r="R143" s="388">
        <f t="shared" si="148"/>
        <v>29.705944625407202</v>
      </c>
      <c r="S143" s="388">
        <f t="shared" si="148"/>
        <v>-28.253325272067737</v>
      </c>
      <c r="T143" s="388">
        <f t="shared" si="148"/>
        <v>34.706575144508463</v>
      </c>
      <c r="U143" s="388">
        <f t="shared" si="148"/>
        <v>114.23509217105757</v>
      </c>
      <c r="V143" s="388">
        <f t="shared" si="148"/>
        <v>278.45851063829792</v>
      </c>
      <c r="W143" s="388">
        <f t="shared" si="148"/>
        <v>202.86559903047092</v>
      </c>
      <c r="X143" s="388">
        <f t="shared" si="148"/>
        <v>120.67257844474759</v>
      </c>
      <c r="Y143" s="388">
        <f>Y122*Y133</f>
        <v>109.89970320118717</v>
      </c>
      <c r="Z143" s="388">
        <f t="shared" ref="Z143:AE143" si="149">Z122*Z133</f>
        <v>137.81655510399239</v>
      </c>
      <c r="AA143" s="388">
        <f t="shared" si="149"/>
        <v>141.65192973321902</v>
      </c>
      <c r="AB143" s="392">
        <f t="shared" si="149"/>
        <v>141.0782415180968</v>
      </c>
      <c r="AC143" s="392">
        <f t="shared" si="149"/>
        <v>139.22172191546235</v>
      </c>
      <c r="AD143" s="392">
        <f t="shared" si="149"/>
        <v>138.06454017389783</v>
      </c>
      <c r="AE143" s="392">
        <f t="shared" si="149"/>
        <v>138.02575576109007</v>
      </c>
      <c r="AF143" s="392">
        <f t="shared" ref="AF143" si="150">AF122*AF133</f>
        <v>138.10067542712403</v>
      </c>
    </row>
    <row r="144" spans="1:32" outlineLevel="1">
      <c r="A144" s="436" t="s">
        <v>450</v>
      </c>
      <c r="B144" s="437">
        <f t="shared" ref="B144:T144" si="151">SUM(B136:B143)</f>
        <v>597.30000000000018</v>
      </c>
      <c r="C144" s="437">
        <f t="shared" si="151"/>
        <v>690.8</v>
      </c>
      <c r="D144" s="437">
        <f t="shared" si="151"/>
        <v>796.40000000000009</v>
      </c>
      <c r="E144" s="437">
        <f t="shared" si="151"/>
        <v>820.60000000000014</v>
      </c>
      <c r="F144" s="437">
        <f t="shared" si="151"/>
        <v>886.6</v>
      </c>
      <c r="G144" s="437">
        <f t="shared" si="151"/>
        <v>904.2</v>
      </c>
      <c r="H144" s="437">
        <f t="shared" si="151"/>
        <v>951.5</v>
      </c>
      <c r="I144" s="437">
        <f t="shared" si="151"/>
        <v>1210</v>
      </c>
      <c r="J144" s="437">
        <f t="shared" si="151"/>
        <v>1170.4000000000001</v>
      </c>
      <c r="K144" s="437">
        <f t="shared" si="151"/>
        <v>1257.3000000000002</v>
      </c>
      <c r="L144" s="437">
        <f t="shared" si="151"/>
        <v>1108.8</v>
      </c>
      <c r="M144" s="437">
        <f t="shared" si="151"/>
        <v>1246.3</v>
      </c>
      <c r="N144" s="437">
        <f t="shared" si="151"/>
        <v>1390.4</v>
      </c>
      <c r="O144" s="437">
        <f t="shared" si="151"/>
        <v>1513.6000000000001</v>
      </c>
      <c r="P144" s="437">
        <f t="shared" si="151"/>
        <v>1623.6000000000004</v>
      </c>
      <c r="Q144" s="437">
        <f t="shared" si="151"/>
        <v>1730.8491048593351</v>
      </c>
      <c r="R144" s="437">
        <f t="shared" si="151"/>
        <v>1797.4059446254073</v>
      </c>
      <c r="S144" s="437">
        <f t="shared" si="151"/>
        <v>1655.7466747279325</v>
      </c>
      <c r="T144" s="437">
        <f t="shared" si="151"/>
        <v>1720.1065751445085</v>
      </c>
      <c r="U144" s="437">
        <f>SUM(U136:U143)</f>
        <v>1785.2350921710579</v>
      </c>
      <c r="V144" s="437">
        <f t="shared" ref="V144:AE144" si="152">SUM(V136:V143)</f>
        <v>1075.358510638298</v>
      </c>
      <c r="W144" s="437">
        <f t="shared" si="152"/>
        <v>909.16559903047084</v>
      </c>
      <c r="X144" s="437">
        <f t="shared" si="152"/>
        <v>1018.6725784447476</v>
      </c>
      <c r="Y144" s="437">
        <f t="shared" si="152"/>
        <v>1211.699703201187</v>
      </c>
      <c r="Z144" s="437">
        <f>SUM(Z136:Z143)</f>
        <v>1107.5165551039925</v>
      </c>
      <c r="AA144" s="437">
        <f>SUM(AA136:AA143)</f>
        <v>1400.3030990663854</v>
      </c>
      <c r="AB144" s="437">
        <f t="shared" si="152"/>
        <v>1601.0279019093718</v>
      </c>
      <c r="AC144" s="437">
        <f t="shared" si="152"/>
        <v>1737.2907315270527</v>
      </c>
      <c r="AD144" s="437">
        <f t="shared" si="152"/>
        <v>1826.4669258835668</v>
      </c>
      <c r="AE144" s="437">
        <f t="shared" si="152"/>
        <v>1837.3151532861723</v>
      </c>
      <c r="AF144" s="437">
        <f t="shared" ref="AF144" si="153">SUM(AF136:AF143)</f>
        <v>1839.5900729522064</v>
      </c>
    </row>
    <row r="145" spans="1:44" s="440" customFormat="1" outlineLevel="1">
      <c r="A145" s="441" t="s">
        <v>4</v>
      </c>
      <c r="B145" s="442"/>
      <c r="C145" s="443">
        <f t="shared" ref="C145:AD145" si="154">+C144/B144-1</f>
        <v>0.15653775322283559</v>
      </c>
      <c r="D145" s="443">
        <f t="shared" si="154"/>
        <v>0.15286624203821675</v>
      </c>
      <c r="E145" s="443">
        <f t="shared" si="154"/>
        <v>3.0386740331491691E-2</v>
      </c>
      <c r="F145" s="443">
        <f t="shared" si="154"/>
        <v>8.0428954423592325E-2</v>
      </c>
      <c r="G145" s="443">
        <f t="shared" si="154"/>
        <v>1.9851116625310139E-2</v>
      </c>
      <c r="H145" s="443">
        <f t="shared" si="154"/>
        <v>5.2311435523114236E-2</v>
      </c>
      <c r="I145" s="443">
        <f t="shared" si="154"/>
        <v>0.27167630057803471</v>
      </c>
      <c r="J145" s="443">
        <f t="shared" si="154"/>
        <v>-3.2727272727272605E-2</v>
      </c>
      <c r="K145" s="443">
        <f t="shared" si="154"/>
        <v>7.4248120300751896E-2</v>
      </c>
      <c r="L145" s="443">
        <f t="shared" si="154"/>
        <v>-0.11811023622047256</v>
      </c>
      <c r="M145" s="443">
        <f t="shared" si="154"/>
        <v>0.12400793650793651</v>
      </c>
      <c r="N145" s="443">
        <f t="shared" si="154"/>
        <v>0.11562224183583414</v>
      </c>
      <c r="O145" s="443">
        <f t="shared" si="154"/>
        <v>8.8607594936708889E-2</v>
      </c>
      <c r="P145" s="443">
        <f t="shared" si="154"/>
        <v>7.2674418604651292E-2</v>
      </c>
      <c r="Q145" s="443">
        <f t="shared" si="154"/>
        <v>6.6056359238318985E-2</v>
      </c>
      <c r="R145" s="443">
        <f t="shared" si="154"/>
        <v>3.8453288376909756E-2</v>
      </c>
      <c r="S145" s="443">
        <f t="shared" si="154"/>
        <v>-7.8813175354773612E-2</v>
      </c>
      <c r="T145" s="443">
        <f t="shared" si="154"/>
        <v>3.8870620366579622E-2</v>
      </c>
      <c r="U145" s="443">
        <f t="shared" si="154"/>
        <v>3.7863070793202391E-2</v>
      </c>
      <c r="V145" s="443">
        <f t="shared" si="154"/>
        <v>-0.39763759106340757</v>
      </c>
      <c r="W145" s="443">
        <f t="shared" si="154"/>
        <v>-0.15454651631406202</v>
      </c>
      <c r="X145" s="443">
        <f t="shared" si="154"/>
        <v>0.12044778149443225</v>
      </c>
      <c r="Y145" s="443">
        <f t="shared" si="154"/>
        <v>0.1894888788025908</v>
      </c>
      <c r="Z145" s="443">
        <f t="shared" si="154"/>
        <v>-8.5980996629737017E-2</v>
      </c>
      <c r="AA145" s="443">
        <f t="shared" si="154"/>
        <v>0.26436313083816709</v>
      </c>
      <c r="AB145" s="443">
        <f t="shared" si="154"/>
        <v>0.1433438253309689</v>
      </c>
      <c r="AC145" s="443">
        <f t="shared" si="154"/>
        <v>8.5109590816734082E-2</v>
      </c>
      <c r="AD145" s="443">
        <f t="shared" si="154"/>
        <v>5.1330610782761577E-2</v>
      </c>
      <c r="AE145" s="443">
        <f>+AE144/AD144-1</f>
        <v>5.9394600848616808E-3</v>
      </c>
      <c r="AF145" s="443">
        <f>+AF144/AE144-1</f>
        <v>1.2381760755444393E-3</v>
      </c>
    </row>
    <row r="146" spans="1:44" outlineLevel="1">
      <c r="B146" s="179"/>
      <c r="C146" s="179"/>
      <c r="D146" s="179"/>
      <c r="E146" s="179"/>
      <c r="F146" s="179"/>
      <c r="G146" s="179"/>
      <c r="H146" s="179"/>
      <c r="I146" s="179"/>
      <c r="J146" s="179"/>
      <c r="K146" s="179"/>
      <c r="L146" s="179"/>
      <c r="M146" s="179"/>
      <c r="N146" s="179"/>
      <c r="O146" s="179"/>
      <c r="P146" s="179"/>
      <c r="Q146" s="179"/>
      <c r="R146" s="179"/>
      <c r="S146" s="179"/>
      <c r="T146" s="179"/>
      <c r="U146" s="179"/>
      <c r="V146" s="179"/>
      <c r="W146" s="179"/>
      <c r="X146" s="179"/>
      <c r="Y146" s="179"/>
      <c r="Z146" s="179"/>
      <c r="AA146" s="179"/>
      <c r="AB146" s="179"/>
      <c r="AC146" s="179"/>
      <c r="AD146" s="179"/>
      <c r="AE146" s="179"/>
      <c r="AF146" s="179"/>
    </row>
    <row r="147" spans="1:44" outlineLevel="1">
      <c r="A147" t="s">
        <v>578</v>
      </c>
      <c r="B147" s="179"/>
      <c r="C147" s="179"/>
      <c r="D147" s="179"/>
      <c r="E147" s="179"/>
      <c r="F147" s="179"/>
      <c r="G147" s="179"/>
      <c r="H147" s="179"/>
      <c r="I147" s="179"/>
      <c r="J147" s="179"/>
      <c r="K147" s="179"/>
      <c r="L147" s="179"/>
      <c r="M147" s="179"/>
      <c r="N147" s="179"/>
      <c r="O147" s="179"/>
      <c r="P147" s="179"/>
      <c r="Q147" s="179"/>
      <c r="R147" s="179"/>
      <c r="S147" s="179"/>
      <c r="T147" s="416"/>
      <c r="U147" s="561">
        <f>CES_Annual!U3/CES_Annual!U57</f>
        <v>3.1288857841425077</v>
      </c>
      <c r="V147" s="561">
        <f>CES_Annual!V3/CES_Annual!V57</f>
        <v>3.8211036992116436</v>
      </c>
      <c r="W147" s="561">
        <f>CES_Annual!W3/CES_Annual!W57</f>
        <v>3.6079354404841966</v>
      </c>
      <c r="X147" s="561">
        <f>CES_Annual!X3/CES_Annual!X57</f>
        <v>3.4918821407095608</v>
      </c>
      <c r="Y147" s="561">
        <f>CES_Annual!Y3/CES_Annual!Y57</f>
        <v>2.9730120481927709</v>
      </c>
      <c r="Z147" s="561">
        <f>CES_Annual!Z3/CES_Annual!Z57</f>
        <v>3.7184720041862898</v>
      </c>
      <c r="AA147" s="562">
        <f>CES_Qtr!BL3/'CES Annual_Driver'!AA144</f>
        <v>5.4988095114077584</v>
      </c>
      <c r="AB147" s="562">
        <f>CES_Annual!AB3/'CES Annual_Driver'!AB144</f>
        <v>5.7523811226991155</v>
      </c>
      <c r="AC147" s="562">
        <f>CES_Annual!AC3/'CES Annual_Driver'!AC144</f>
        <v>6.2001382884762117</v>
      </c>
      <c r="AD147" s="562">
        <f>CES_Annual!AD3/'CES Annual_Driver'!AD144</f>
        <v>6.8928890502829869</v>
      </c>
      <c r="AE147" s="562">
        <f>CES_Annual!AE3/'CES Annual_Driver'!AE144</f>
        <v>7.237200137948931</v>
      </c>
      <c r="AF147" s="562">
        <f>CES_Annual!AF3/'CES Annual_Driver'!AF144</f>
        <v>7.5923356677942175</v>
      </c>
    </row>
    <row r="148" spans="1:44">
      <c r="B148" s="179"/>
      <c r="C148" s="179"/>
      <c r="D148" s="179"/>
      <c r="E148" s="179"/>
      <c r="F148" s="179"/>
      <c r="G148" s="179"/>
      <c r="H148" s="179"/>
      <c r="I148" s="179"/>
      <c r="J148" s="179"/>
      <c r="K148" s="179"/>
      <c r="L148" s="179"/>
      <c r="M148" s="179"/>
      <c r="N148" s="179"/>
      <c r="O148" s="179"/>
      <c r="P148" s="179"/>
      <c r="Q148" s="179"/>
      <c r="R148" s="179"/>
      <c r="S148" s="179"/>
      <c r="T148" s="179"/>
      <c r="U148" s="179"/>
      <c r="V148" s="179"/>
      <c r="W148" s="179"/>
      <c r="X148" s="179"/>
      <c r="Y148" s="559"/>
      <c r="Z148" s="559"/>
      <c r="AA148" s="179"/>
      <c r="AB148" s="179"/>
      <c r="AC148" s="179"/>
      <c r="AD148" s="179"/>
      <c r="AE148" s="179"/>
      <c r="AF148" s="179"/>
      <c r="AH148" s="551"/>
    </row>
    <row r="149" spans="1:44">
      <c r="A149" s="4" t="s">
        <v>454</v>
      </c>
      <c r="B149" s="179"/>
      <c r="C149" s="179"/>
      <c r="D149" s="179"/>
      <c r="E149" s="179"/>
      <c r="F149" s="179"/>
      <c r="G149" s="179"/>
      <c r="H149" s="179"/>
      <c r="I149" s="179"/>
      <c r="J149" s="179"/>
      <c r="K149" s="179"/>
      <c r="L149" s="179"/>
      <c r="M149" s="179"/>
      <c r="N149" s="179"/>
      <c r="O149" s="179"/>
      <c r="P149" s="179"/>
      <c r="Q149" s="179"/>
      <c r="R149" s="179"/>
      <c r="S149" s="179"/>
      <c r="T149" s="179"/>
      <c r="U149" s="179"/>
      <c r="V149" s="179"/>
      <c r="W149" s="179"/>
      <c r="X149" s="179"/>
      <c r="Y149" s="560"/>
      <c r="Z149" s="559"/>
      <c r="AA149" s="179"/>
      <c r="AB149" s="179"/>
      <c r="AC149" s="179"/>
      <c r="AD149" s="179"/>
      <c r="AE149" s="179"/>
      <c r="AF149" s="179"/>
    </row>
    <row r="150" spans="1:44">
      <c r="A150" s="1" t="s">
        <v>455</v>
      </c>
      <c r="B150" s="179"/>
      <c r="C150" s="179"/>
      <c r="D150" s="179"/>
      <c r="E150" s="179"/>
      <c r="F150" s="179"/>
      <c r="G150" s="179"/>
      <c r="H150" s="179"/>
      <c r="I150" s="179"/>
      <c r="J150" s="179"/>
      <c r="K150" s="179"/>
      <c r="L150" s="179"/>
      <c r="M150" s="179"/>
      <c r="N150" s="179"/>
      <c r="O150" s="179"/>
      <c r="P150" s="179"/>
      <c r="Q150" s="179"/>
      <c r="R150" s="179"/>
      <c r="S150" s="179"/>
      <c r="T150" s="179"/>
      <c r="U150" s="179"/>
      <c r="V150" s="179"/>
      <c r="W150" s="179"/>
      <c r="X150" s="179"/>
      <c r="Y150" s="591">
        <f>+Y152*0.6</f>
        <v>4.9379999999999997</v>
      </c>
      <c r="Z150" s="592">
        <f>+Y150*(1+Z151)</f>
        <v>5.9881773586523508</v>
      </c>
      <c r="AA150" s="592">
        <f t="shared" ref="AA150:AF150" si="155">+Z150*(1+AA151)</f>
        <v>7.2293382399273707</v>
      </c>
      <c r="AB150" s="592">
        <f t="shared" si="155"/>
        <v>7.8438319903211973</v>
      </c>
      <c r="AC150" s="592">
        <f t="shared" si="155"/>
        <v>8.1968044298856508</v>
      </c>
      <c r="AD150" s="592">
        <f t="shared" si="155"/>
        <v>8.6066446513799342</v>
      </c>
      <c r="AE150" s="592">
        <f t="shared" si="155"/>
        <v>9.0369768839489311</v>
      </c>
      <c r="AF150" s="592">
        <f t="shared" si="155"/>
        <v>9.4888257281463773</v>
      </c>
    </row>
    <row r="151" spans="1:44">
      <c r="A151" s="3" t="s">
        <v>577</v>
      </c>
      <c r="B151" s="179"/>
      <c r="C151" s="179"/>
      <c r="D151" s="179"/>
      <c r="E151" s="179"/>
      <c r="F151" s="179"/>
      <c r="G151" s="179"/>
      <c r="H151" s="179"/>
      <c r="I151" s="179"/>
      <c r="J151" s="179"/>
      <c r="K151" s="179"/>
      <c r="L151" s="179"/>
      <c r="M151" s="179"/>
      <c r="N151" s="179"/>
      <c r="O151" s="179"/>
      <c r="P151" s="179"/>
      <c r="Q151" s="179"/>
      <c r="R151" s="179"/>
      <c r="S151" s="179"/>
      <c r="T151" s="179"/>
      <c r="U151" s="179"/>
      <c r="V151" s="179"/>
      <c r="W151" s="179"/>
      <c r="X151" s="179"/>
      <c r="Y151" s="591"/>
      <c r="Z151" s="593">
        <v>0.21267261212076777</v>
      </c>
      <c r="AA151" s="593">
        <v>0.20726855718153683</v>
      </c>
      <c r="AB151" s="593">
        <v>8.5000000000000006E-2</v>
      </c>
      <c r="AC151" s="593">
        <v>4.4999999999999998E-2</v>
      </c>
      <c r="AD151" s="593">
        <v>0.05</v>
      </c>
      <c r="AE151" s="593">
        <v>0.05</v>
      </c>
      <c r="AF151" s="593">
        <v>0.05</v>
      </c>
    </row>
    <row r="152" spans="1:44">
      <c r="A152" s="1" t="s">
        <v>456</v>
      </c>
      <c r="B152" s="179"/>
      <c r="C152" s="179"/>
      <c r="D152" s="179"/>
      <c r="E152" s="179"/>
      <c r="F152" s="179"/>
      <c r="G152" s="179"/>
      <c r="H152" s="179"/>
      <c r="I152" s="179"/>
      <c r="J152" s="179"/>
      <c r="K152" s="179"/>
      <c r="L152" s="179"/>
      <c r="M152" s="179"/>
      <c r="N152" s="179"/>
      <c r="O152" s="179"/>
      <c r="P152" s="179"/>
      <c r="Q152" s="179"/>
      <c r="R152" s="179"/>
      <c r="S152" s="179"/>
      <c r="T152" s="179"/>
      <c r="U152" s="179"/>
      <c r="V152" s="179"/>
      <c r="W152" s="179"/>
      <c r="X152" s="179"/>
      <c r="Y152" s="591">
        <v>8.23</v>
      </c>
      <c r="Z152" s="592">
        <f>+Y152*(1+Z153)</f>
        <v>8.7238000000000007</v>
      </c>
      <c r="AA152" s="592">
        <f t="shared" ref="AA152:AF152" si="156">+Z152*(1+AA153)</f>
        <v>10.90475</v>
      </c>
      <c r="AB152" s="592">
        <f t="shared" si="156"/>
        <v>12.37689125</v>
      </c>
      <c r="AC152" s="592">
        <f t="shared" si="156"/>
        <v>12.933851356249999</v>
      </c>
      <c r="AD152" s="592">
        <f t="shared" si="156"/>
        <v>13.5805439240625</v>
      </c>
      <c r="AE152" s="592">
        <f t="shared" si="156"/>
        <v>14.259571120265626</v>
      </c>
      <c r="AF152" s="592">
        <f t="shared" si="156"/>
        <v>14.972549676278907</v>
      </c>
    </row>
    <row r="153" spans="1:44">
      <c r="A153" s="3" t="s">
        <v>403</v>
      </c>
      <c r="B153" s="179"/>
      <c r="C153" s="179"/>
      <c r="D153" s="179"/>
      <c r="E153" s="179"/>
      <c r="F153" s="179"/>
      <c r="G153" s="179"/>
      <c r="H153" s="179"/>
      <c r="I153" s="179"/>
      <c r="J153" s="179"/>
      <c r="K153" s="179"/>
      <c r="L153" s="179"/>
      <c r="M153" s="179"/>
      <c r="N153" s="179"/>
      <c r="O153" s="179"/>
      <c r="P153" s="179"/>
      <c r="Q153" s="179"/>
      <c r="R153" s="179"/>
      <c r="S153" s="179"/>
      <c r="T153" s="179"/>
      <c r="U153" s="179"/>
      <c r="V153" s="179"/>
      <c r="W153" s="179"/>
      <c r="X153" s="179"/>
      <c r="Y153" s="591"/>
      <c r="Z153" s="594">
        <v>0.06</v>
      </c>
      <c r="AA153" s="593">
        <v>0.25</v>
      </c>
      <c r="AB153" s="593">
        <v>0.13500000000000001</v>
      </c>
      <c r="AC153" s="593">
        <v>4.4999999999999998E-2</v>
      </c>
      <c r="AD153" s="593">
        <v>0.05</v>
      </c>
      <c r="AE153" s="593">
        <v>0.05</v>
      </c>
      <c r="AF153" s="593">
        <v>0.05</v>
      </c>
      <c r="AH153" t="s">
        <v>595</v>
      </c>
    </row>
    <row r="154" spans="1:44">
      <c r="A154" s="4"/>
      <c r="B154" s="179"/>
      <c r="C154" s="179"/>
      <c r="D154" s="179"/>
      <c r="E154" s="179"/>
      <c r="F154" s="179"/>
      <c r="G154" s="179"/>
      <c r="H154" s="179"/>
      <c r="I154" s="179"/>
      <c r="J154" s="179"/>
      <c r="K154" s="179"/>
      <c r="L154" s="179"/>
      <c r="M154" s="179"/>
      <c r="N154" s="179"/>
      <c r="O154" s="179"/>
      <c r="P154" s="179"/>
      <c r="Q154" s="179"/>
      <c r="R154" s="179"/>
      <c r="S154" s="179"/>
      <c r="T154" s="179"/>
      <c r="U154" s="179"/>
      <c r="V154" s="179"/>
      <c r="W154" s="179"/>
      <c r="X154" s="179"/>
      <c r="Y154" s="179"/>
      <c r="Z154" s="179"/>
      <c r="AA154" s="179"/>
      <c r="AB154" s="179"/>
      <c r="AC154" s="179"/>
      <c r="AD154" s="179"/>
      <c r="AE154" s="179"/>
      <c r="AF154" s="179"/>
    </row>
    <row r="155" spans="1:44">
      <c r="A155" s="433" t="s">
        <v>388</v>
      </c>
      <c r="B155" s="432">
        <f t="shared" ref="B155:AF155" si="157">+B$1</f>
        <v>2000</v>
      </c>
      <c r="C155" s="432">
        <f t="shared" si="157"/>
        <v>2001</v>
      </c>
      <c r="D155" s="432">
        <f t="shared" si="157"/>
        <v>2002</v>
      </c>
      <c r="E155" s="432">
        <f t="shared" si="157"/>
        <v>2003</v>
      </c>
      <c r="F155" s="432">
        <f t="shared" si="157"/>
        <v>2004</v>
      </c>
      <c r="G155" s="432">
        <f t="shared" si="157"/>
        <v>2005</v>
      </c>
      <c r="H155" s="432">
        <f t="shared" si="157"/>
        <v>2006</v>
      </c>
      <c r="I155" s="432">
        <f t="shared" si="157"/>
        <v>2007</v>
      </c>
      <c r="J155" s="432">
        <f t="shared" si="157"/>
        <v>2008</v>
      </c>
      <c r="K155" s="432">
        <f t="shared" si="157"/>
        <v>2009</v>
      </c>
      <c r="L155" s="432">
        <f t="shared" si="157"/>
        <v>2010</v>
      </c>
      <c r="M155" s="432">
        <f t="shared" si="157"/>
        <v>2011</v>
      </c>
      <c r="N155" s="432">
        <f t="shared" si="157"/>
        <v>2012</v>
      </c>
      <c r="O155" s="432">
        <f t="shared" si="157"/>
        <v>2013</v>
      </c>
      <c r="P155" s="432">
        <f t="shared" si="157"/>
        <v>2014</v>
      </c>
      <c r="Q155" s="432">
        <f t="shared" si="157"/>
        <v>2015</v>
      </c>
      <c r="R155" s="432">
        <f t="shared" si="157"/>
        <v>2016</v>
      </c>
      <c r="S155" s="432">
        <f t="shared" si="157"/>
        <v>2017</v>
      </c>
      <c r="T155" s="432">
        <f t="shared" si="157"/>
        <v>2018</v>
      </c>
      <c r="U155" s="432">
        <f t="shared" si="157"/>
        <v>2019</v>
      </c>
      <c r="V155" s="432">
        <f t="shared" si="157"/>
        <v>2020</v>
      </c>
      <c r="W155" s="432">
        <f t="shared" si="157"/>
        <v>2021</v>
      </c>
      <c r="X155" s="432">
        <f t="shared" si="157"/>
        <v>2022</v>
      </c>
      <c r="Y155" s="432">
        <f t="shared" si="157"/>
        <v>2023</v>
      </c>
      <c r="Z155" s="432">
        <f t="shared" si="157"/>
        <v>2024</v>
      </c>
      <c r="AA155" s="432" t="str">
        <f t="shared" si="157"/>
        <v>2025A</v>
      </c>
      <c r="AB155" s="432" t="str">
        <f t="shared" si="157"/>
        <v>2026E</v>
      </c>
      <c r="AC155" s="432" t="str">
        <f t="shared" si="157"/>
        <v>2027E</v>
      </c>
      <c r="AD155" s="432" t="str">
        <f t="shared" si="157"/>
        <v>2028E</v>
      </c>
      <c r="AE155" s="432" t="str">
        <f t="shared" si="157"/>
        <v>2029E</v>
      </c>
      <c r="AF155" s="432" t="str">
        <f t="shared" si="157"/>
        <v>2030E</v>
      </c>
    </row>
    <row r="156" spans="1:44">
      <c r="A156" s="1" t="s">
        <v>402</v>
      </c>
      <c r="B156" s="389">
        <f t="shared" ref="B156:AE156" si="158">+B117</f>
        <v>719.40000000000009</v>
      </c>
      <c r="C156" s="389">
        <f t="shared" si="158"/>
        <v>770.00000000000011</v>
      </c>
      <c r="D156" s="389">
        <f t="shared" si="158"/>
        <v>598.40000000000009</v>
      </c>
      <c r="E156" s="389">
        <f t="shared" si="158"/>
        <v>576.40000000000009</v>
      </c>
      <c r="F156" s="389">
        <f t="shared" si="158"/>
        <v>602.80000000000007</v>
      </c>
      <c r="G156" s="389">
        <f t="shared" si="158"/>
        <v>660</v>
      </c>
      <c r="H156" s="389">
        <f t="shared" si="158"/>
        <v>943.80000000000007</v>
      </c>
      <c r="I156" s="389">
        <f t="shared" si="158"/>
        <v>1104.4000000000001</v>
      </c>
      <c r="J156" s="389">
        <f t="shared" si="158"/>
        <v>1025.2</v>
      </c>
      <c r="K156" s="389">
        <f t="shared" si="158"/>
        <v>1282.6000000000001</v>
      </c>
      <c r="L156" s="389">
        <f t="shared" si="158"/>
        <v>1254</v>
      </c>
      <c r="M156" s="389">
        <f t="shared" si="158"/>
        <v>1287</v>
      </c>
      <c r="N156" s="389">
        <f t="shared" si="158"/>
        <v>1372.8000000000002</v>
      </c>
      <c r="O156" s="389">
        <f t="shared" si="158"/>
        <v>1518.0000000000002</v>
      </c>
      <c r="P156" s="389">
        <f t="shared" si="158"/>
        <v>1548.8000000000002</v>
      </c>
      <c r="Q156" s="389">
        <f t="shared" si="158"/>
        <v>1617.0000000000002</v>
      </c>
      <c r="R156" s="389">
        <f t="shared" si="158"/>
        <v>1698.4</v>
      </c>
      <c r="S156" s="389">
        <f t="shared" si="158"/>
        <v>1471.8000000000002</v>
      </c>
      <c r="T156" s="389">
        <f t="shared" si="158"/>
        <v>1042.8000000000002</v>
      </c>
      <c r="U156" s="389">
        <f t="shared" si="158"/>
        <v>281.60000000000002</v>
      </c>
      <c r="V156" s="389">
        <f t="shared" si="158"/>
        <v>35.200000000000003</v>
      </c>
      <c r="W156" s="389">
        <f t="shared" si="158"/>
        <v>52.800000000000004</v>
      </c>
      <c r="X156" s="389">
        <f t="shared" si="158"/>
        <v>0</v>
      </c>
      <c r="Y156" s="389">
        <f t="shared" si="158"/>
        <v>0</v>
      </c>
      <c r="Z156" s="389">
        <f t="shared" si="158"/>
        <v>0</v>
      </c>
      <c r="AA156" s="389">
        <f t="shared" si="158"/>
        <v>0</v>
      </c>
      <c r="AB156" s="389">
        <f t="shared" si="158"/>
        <v>0</v>
      </c>
      <c r="AC156" s="389">
        <f t="shared" si="158"/>
        <v>0</v>
      </c>
      <c r="AD156" s="389">
        <f t="shared" si="158"/>
        <v>0</v>
      </c>
      <c r="AE156" s="389">
        <f t="shared" si="158"/>
        <v>0</v>
      </c>
      <c r="AF156" s="389">
        <f t="shared" ref="AF156" si="159">+AF117</f>
        <v>0</v>
      </c>
      <c r="AQ156" t="s">
        <v>11</v>
      </c>
    </row>
    <row r="157" spans="1:44">
      <c r="A157" s="1" t="s">
        <v>434</v>
      </c>
      <c r="B157" s="179"/>
      <c r="C157" s="179"/>
      <c r="D157" s="179"/>
      <c r="E157" s="179"/>
      <c r="F157" s="179"/>
      <c r="G157" s="179"/>
      <c r="H157" s="179"/>
      <c r="I157" s="179"/>
      <c r="J157" s="179"/>
      <c r="K157" s="179"/>
      <c r="L157" s="179"/>
      <c r="M157" s="179"/>
      <c r="N157" s="179"/>
      <c r="O157" s="179"/>
      <c r="P157" s="179"/>
      <c r="Q157" s="179"/>
      <c r="R157" s="179"/>
      <c r="S157" s="179"/>
      <c r="T157" s="179"/>
      <c r="U157" s="179"/>
      <c r="V157" s="179"/>
      <c r="W157" s="179"/>
      <c r="X157" s="381">
        <v>2.5162188129022884</v>
      </c>
      <c r="Y157" s="398">
        <f>+AVERAGE(V157:X157)*(1+Y158)</f>
        <v>2.5162188129022884</v>
      </c>
      <c r="Z157" s="398">
        <f>+Y157*(1+Z158)</f>
        <v>2.5162188129022884</v>
      </c>
      <c r="AA157" s="398">
        <f t="shared" ref="AA157:AF157" si="160">+Z157*(1+AA158)</f>
        <v>2.5162188129022884</v>
      </c>
      <c r="AB157" s="398">
        <f t="shared" si="160"/>
        <v>2.5162188129022884</v>
      </c>
      <c r="AC157" s="398">
        <f t="shared" si="160"/>
        <v>2.5162188129022884</v>
      </c>
      <c r="AD157" s="398">
        <f t="shared" si="160"/>
        <v>2.5162188129022884</v>
      </c>
      <c r="AE157" s="398">
        <f t="shared" si="160"/>
        <v>2.5162188129022884</v>
      </c>
      <c r="AF157" s="398">
        <f t="shared" si="160"/>
        <v>2.5162188129022884</v>
      </c>
      <c r="AQ157">
        <f>SUM(AJ162:AM162)</f>
        <v>8750</v>
      </c>
    </row>
    <row r="158" spans="1:44">
      <c r="A158" s="1" t="s">
        <v>435</v>
      </c>
      <c r="B158" s="179"/>
      <c r="C158" s="179"/>
      <c r="D158" s="179"/>
      <c r="E158" s="179"/>
      <c r="F158" s="179"/>
      <c r="G158" s="179"/>
      <c r="H158" s="179"/>
      <c r="I158" s="179"/>
      <c r="J158" s="179"/>
      <c r="K158" s="179"/>
      <c r="L158" s="179"/>
      <c r="M158" s="179"/>
      <c r="N158" s="179"/>
      <c r="O158" s="179"/>
      <c r="P158" s="179"/>
      <c r="Q158" s="179"/>
      <c r="R158" s="179"/>
      <c r="S158" s="179"/>
      <c r="T158" s="179"/>
      <c r="U158" s="179"/>
      <c r="V158" s="179"/>
      <c r="W158" s="179"/>
      <c r="X158" s="381"/>
      <c r="Y158" s="202">
        <v>0</v>
      </c>
      <c r="Z158" s="202">
        <f t="shared" ref="Z158:AF158" si="161">+Y158</f>
        <v>0</v>
      </c>
      <c r="AA158" s="202">
        <f t="shared" si="161"/>
        <v>0</v>
      </c>
      <c r="AB158" s="202">
        <f t="shared" si="161"/>
        <v>0</v>
      </c>
      <c r="AC158" s="202">
        <f t="shared" si="161"/>
        <v>0</v>
      </c>
      <c r="AD158" s="202">
        <f t="shared" si="161"/>
        <v>0</v>
      </c>
      <c r="AE158" s="202">
        <f t="shared" si="161"/>
        <v>0</v>
      </c>
      <c r="AF158" s="202">
        <f t="shared" si="161"/>
        <v>0</v>
      </c>
    </row>
    <row r="159" spans="1:44">
      <c r="A159" s="1" t="s">
        <v>436</v>
      </c>
      <c r="B159" s="179"/>
      <c r="C159" s="179"/>
      <c r="D159" s="179"/>
      <c r="E159" s="179"/>
      <c r="F159" s="179"/>
      <c r="G159" s="179"/>
      <c r="H159" s="179"/>
      <c r="I159" s="179"/>
      <c r="J159" s="179"/>
      <c r="K159" s="179"/>
      <c r="L159" s="179"/>
      <c r="M159" s="179"/>
      <c r="N159" s="179"/>
      <c r="O159" s="179"/>
      <c r="P159" s="179"/>
      <c r="Q159" s="179"/>
      <c r="R159" s="179"/>
      <c r="S159" s="179"/>
      <c r="T159" s="379"/>
      <c r="U159" s="381"/>
      <c r="V159" s="381"/>
      <c r="W159" s="381"/>
      <c r="X159" s="328">
        <f t="shared" ref="X159:AE159" si="162">X128</f>
        <v>0.5</v>
      </c>
      <c r="Y159" s="328">
        <f t="shared" si="162"/>
        <v>0.5</v>
      </c>
      <c r="Z159" s="328">
        <f t="shared" si="162"/>
        <v>0.5</v>
      </c>
      <c r="AA159" s="328">
        <f t="shared" si="162"/>
        <v>0.5</v>
      </c>
      <c r="AB159" s="328">
        <f t="shared" si="162"/>
        <v>0.5</v>
      </c>
      <c r="AC159" s="328">
        <f t="shared" si="162"/>
        <v>0.5</v>
      </c>
      <c r="AD159" s="328">
        <f t="shared" si="162"/>
        <v>0.5</v>
      </c>
      <c r="AE159" s="328">
        <f t="shared" si="162"/>
        <v>0.5</v>
      </c>
      <c r="AF159" s="328">
        <f t="shared" ref="AF159" si="163">AF128</f>
        <v>0.5</v>
      </c>
      <c r="AQ159" s="552">
        <f>SUM(AJ165:AM165)</f>
        <v>9350</v>
      </c>
    </row>
    <row r="160" spans="1:44">
      <c r="A160" s="366" t="s">
        <v>428</v>
      </c>
      <c r="B160" s="391"/>
      <c r="C160" s="391"/>
      <c r="D160" s="391"/>
      <c r="E160" s="391"/>
      <c r="F160" s="391"/>
      <c r="G160" s="391"/>
      <c r="H160" s="391"/>
      <c r="I160" s="391"/>
      <c r="J160" s="391"/>
      <c r="K160" s="391"/>
      <c r="L160" s="391"/>
      <c r="M160" s="391"/>
      <c r="N160" s="391"/>
      <c r="O160" s="391"/>
      <c r="P160" s="391"/>
      <c r="Q160" s="391"/>
      <c r="R160" s="391"/>
      <c r="S160" s="391"/>
      <c r="T160" s="392"/>
      <c r="U160" s="394"/>
      <c r="V160" s="394"/>
      <c r="W160" s="394"/>
      <c r="X160" s="406">
        <f t="shared" ref="X160:AE160" si="164">X156*X157*X159</f>
        <v>0</v>
      </c>
      <c r="Y160" s="406">
        <f t="shared" si="164"/>
        <v>0</v>
      </c>
      <c r="Z160" s="406">
        <f t="shared" si="164"/>
        <v>0</v>
      </c>
      <c r="AA160" s="406">
        <f t="shared" si="164"/>
        <v>0</v>
      </c>
      <c r="AB160" s="406">
        <f t="shared" si="164"/>
        <v>0</v>
      </c>
      <c r="AC160" s="406">
        <f t="shared" si="164"/>
        <v>0</v>
      </c>
      <c r="AD160" s="406">
        <f t="shared" si="164"/>
        <v>0</v>
      </c>
      <c r="AE160" s="406">
        <f t="shared" si="164"/>
        <v>0</v>
      </c>
      <c r="AF160" s="406">
        <f t="shared" ref="AF160" si="165">AF156*AF157*AF159</f>
        <v>0</v>
      </c>
      <c r="AH160" s="554" t="s">
        <v>552</v>
      </c>
      <c r="AQ160">
        <f>AQ159-AQ157</f>
        <v>600</v>
      </c>
      <c r="AR160" t="s">
        <v>554</v>
      </c>
    </row>
    <row r="161" spans="1:41">
      <c r="A161" s="404" t="s">
        <v>457</v>
      </c>
      <c r="B161" s="179"/>
      <c r="C161" s="179"/>
      <c r="D161" s="179"/>
      <c r="E161" s="179"/>
      <c r="F161" s="179"/>
      <c r="G161" s="179"/>
      <c r="H161" s="179"/>
      <c r="I161" s="179"/>
      <c r="J161" s="179"/>
      <c r="K161" s="179"/>
      <c r="L161" s="179"/>
      <c r="M161" s="179"/>
      <c r="N161" s="179"/>
      <c r="O161" s="179"/>
      <c r="P161" s="179"/>
      <c r="Q161" s="179"/>
      <c r="R161" s="179"/>
      <c r="S161" s="179"/>
      <c r="T161" s="379"/>
      <c r="U161" s="381"/>
      <c r="V161" s="381"/>
      <c r="W161" s="381"/>
      <c r="X161" s="403"/>
      <c r="Y161" s="403"/>
      <c r="Z161" s="403"/>
      <c r="AA161" s="403"/>
      <c r="AB161" s="403"/>
      <c r="AC161" s="403"/>
      <c r="AD161" s="403"/>
      <c r="AE161" s="403"/>
      <c r="AF161" s="403"/>
      <c r="AH161">
        <v>2023</v>
      </c>
      <c r="AI161">
        <v>2024</v>
      </c>
      <c r="AJ161">
        <v>2025</v>
      </c>
      <c r="AK161">
        <v>2026</v>
      </c>
      <c r="AL161">
        <v>2027</v>
      </c>
      <c r="AM161">
        <v>2028</v>
      </c>
      <c r="AN161">
        <v>2029</v>
      </c>
      <c r="AO161">
        <v>2030</v>
      </c>
    </row>
    <row r="162" spans="1:41" outlineLevel="1">
      <c r="A162" s="3" t="s">
        <v>430</v>
      </c>
      <c r="B162" s="179"/>
      <c r="C162" s="179"/>
      <c r="D162" s="179"/>
      <c r="E162" s="179"/>
      <c r="F162" s="179"/>
      <c r="G162" s="179"/>
      <c r="H162" s="179"/>
      <c r="I162" s="179"/>
      <c r="J162" s="179"/>
      <c r="K162" s="179"/>
      <c r="L162" s="179"/>
      <c r="M162" s="179"/>
      <c r="N162" s="179"/>
      <c r="O162" s="179"/>
      <c r="P162" s="179"/>
      <c r="Q162" s="179"/>
      <c r="R162" s="179"/>
      <c r="S162" s="179"/>
      <c r="T162" s="379"/>
      <c r="U162" s="381"/>
      <c r="V162" s="381"/>
      <c r="W162" s="381"/>
      <c r="X162" s="556">
        <v>1</v>
      </c>
      <c r="Y162" s="556">
        <v>1</v>
      </c>
      <c r="Z162" s="556">
        <v>1</v>
      </c>
      <c r="AA162" s="556">
        <v>1</v>
      </c>
      <c r="AB162" s="556">
        <v>1</v>
      </c>
      <c r="AC162" s="556">
        <v>1</v>
      </c>
      <c r="AD162" s="556">
        <v>1</v>
      </c>
      <c r="AE162" s="556">
        <v>1</v>
      </c>
      <c r="AF162" s="556">
        <v>1</v>
      </c>
      <c r="AH162" s="552">
        <v>2000</v>
      </c>
      <c r="AI162" s="552">
        <f>AVERAGE(AH162,AJ162)</f>
        <v>2125</v>
      </c>
      <c r="AJ162" s="552">
        <v>2250</v>
      </c>
      <c r="AK162" s="552">
        <f>AJ162</f>
        <v>2250</v>
      </c>
      <c r="AL162" s="552">
        <f>AK162</f>
        <v>2250</v>
      </c>
      <c r="AM162" s="552">
        <v>2000</v>
      </c>
    </row>
    <row r="163" spans="1:41">
      <c r="A163" s="3" t="s">
        <v>432</v>
      </c>
      <c r="B163" s="179"/>
      <c r="C163" s="179"/>
      <c r="D163" s="179"/>
      <c r="E163" s="179"/>
      <c r="F163" s="179"/>
      <c r="G163" s="179"/>
      <c r="H163" s="179"/>
      <c r="I163" s="179"/>
      <c r="J163" s="179"/>
      <c r="K163" s="179"/>
      <c r="L163" s="179"/>
      <c r="M163" s="179"/>
      <c r="N163" s="179"/>
      <c r="O163" s="179"/>
      <c r="P163" s="179"/>
      <c r="Q163" s="179"/>
      <c r="R163" s="179"/>
      <c r="S163" s="179"/>
      <c r="T163" s="379"/>
      <c r="U163" s="381"/>
      <c r="V163" s="381"/>
      <c r="W163" s="381"/>
      <c r="X163" s="556">
        <v>0.7</v>
      </c>
      <c r="Y163" s="556">
        <v>0.7</v>
      </c>
      <c r="Z163" s="556">
        <v>0.65</v>
      </c>
      <c r="AA163" s="556">
        <v>0.7</v>
      </c>
      <c r="AB163" s="556">
        <v>0.82499999999999996</v>
      </c>
      <c r="AC163" s="556">
        <v>0.95</v>
      </c>
      <c r="AD163" s="556">
        <v>1</v>
      </c>
      <c r="AE163" s="556">
        <v>1.1000000000000001</v>
      </c>
      <c r="AF163" s="556">
        <v>1.2</v>
      </c>
      <c r="AH163" t="s">
        <v>555</v>
      </c>
      <c r="AJ163">
        <f>AJ162*0.3</f>
        <v>675</v>
      </c>
      <c r="AK163">
        <f t="shared" ref="AK163:AM163" si="166">AK162*0.3</f>
        <v>675</v>
      </c>
      <c r="AL163">
        <f t="shared" si="166"/>
        <v>675</v>
      </c>
      <c r="AM163">
        <f t="shared" si="166"/>
        <v>600</v>
      </c>
    </row>
    <row r="164" spans="1:41">
      <c r="A164" s="3" t="s">
        <v>431</v>
      </c>
      <c r="B164" s="179"/>
      <c r="C164" s="179"/>
      <c r="D164" s="179"/>
      <c r="E164" s="179"/>
      <c r="F164" s="179"/>
      <c r="G164" s="179"/>
      <c r="H164" s="179"/>
      <c r="I164" s="179"/>
      <c r="J164" s="179"/>
      <c r="K164" s="179"/>
      <c r="L164" s="179"/>
      <c r="M164" s="179"/>
      <c r="N164" s="179"/>
      <c r="O164" s="179"/>
      <c r="P164" s="179"/>
      <c r="Q164" s="179"/>
      <c r="R164" s="179"/>
      <c r="S164" s="179"/>
      <c r="T164" s="379"/>
      <c r="U164" s="381"/>
      <c r="V164" s="381"/>
      <c r="W164" s="381"/>
      <c r="X164" s="556">
        <v>0.05</v>
      </c>
      <c r="Y164" s="556">
        <v>0.25</v>
      </c>
      <c r="Z164" s="556">
        <v>0.2</v>
      </c>
      <c r="AA164" s="556">
        <v>0.3</v>
      </c>
      <c r="AB164" s="556">
        <v>0.34</v>
      </c>
      <c r="AC164" s="556">
        <v>0.38</v>
      </c>
      <c r="AD164" s="556">
        <v>0.53</v>
      </c>
      <c r="AE164" s="556">
        <v>0.65</v>
      </c>
      <c r="AF164" s="556">
        <v>0.74</v>
      </c>
    </row>
    <row r="165" spans="1:41">
      <c r="A165" s="10" t="s">
        <v>437</v>
      </c>
      <c r="B165" s="380"/>
      <c r="C165" s="380"/>
      <c r="D165" s="380"/>
      <c r="E165" s="380"/>
      <c r="F165" s="380"/>
      <c r="G165" s="380"/>
      <c r="H165" s="380"/>
      <c r="I165" s="380"/>
      <c r="J165" s="380"/>
      <c r="K165" s="380"/>
      <c r="L165" s="380"/>
      <c r="M165" s="380"/>
      <c r="N165" s="380"/>
      <c r="O165" s="380"/>
      <c r="P165" s="380"/>
      <c r="Q165" s="380"/>
      <c r="R165" s="380"/>
      <c r="S165" s="380"/>
      <c r="T165" s="380"/>
      <c r="U165" s="380"/>
      <c r="V165" s="380"/>
      <c r="W165" s="380"/>
      <c r="X165" s="403">
        <f t="shared" ref="X165:AF165" si="167">+(AVERAGE(N156:S156)*X$162+AVERAGE(I156:N156)*X$163+AVERAGE(D156:I156)*X$164)*X166</f>
        <v>850.45858333333331</v>
      </c>
      <c r="Y165" s="403">
        <f t="shared" si="167"/>
        <v>906.65575000000001</v>
      </c>
      <c r="Z165" s="403">
        <f t="shared" si="167"/>
        <v>707.76200000000017</v>
      </c>
      <c r="AA165" s="403">
        <f t="shared" si="167"/>
        <v>702.30600000000015</v>
      </c>
      <c r="AB165" s="403">
        <f t="shared" si="167"/>
        <v>719.36149999999986</v>
      </c>
      <c r="AC165" s="403">
        <f t="shared" si="167"/>
        <v>721.67700000000002</v>
      </c>
      <c r="AD165" s="403">
        <f t="shared" si="167"/>
        <v>720.55940000000021</v>
      </c>
      <c r="AE165" s="403">
        <f t="shared" si="167"/>
        <v>708.35600000000011</v>
      </c>
      <c r="AF165" s="403">
        <f t="shared" si="167"/>
        <v>691.31920000000014</v>
      </c>
      <c r="AH165" s="554" t="s">
        <v>553</v>
      </c>
      <c r="AJ165" s="552">
        <v>2300</v>
      </c>
      <c r="AK165" s="552">
        <v>2350</v>
      </c>
      <c r="AL165" s="552">
        <v>2400</v>
      </c>
      <c r="AM165" s="552">
        <v>2300</v>
      </c>
      <c r="AN165" s="552">
        <v>2150</v>
      </c>
      <c r="AO165" s="552">
        <v>2000</v>
      </c>
    </row>
    <row r="166" spans="1:41">
      <c r="A166" s="3" t="s">
        <v>438</v>
      </c>
      <c r="B166" s="179"/>
      <c r="C166" s="179"/>
      <c r="D166" s="179"/>
      <c r="E166" s="179"/>
      <c r="F166" s="179"/>
      <c r="G166" s="179"/>
      <c r="H166" s="179"/>
      <c r="I166" s="179"/>
      <c r="J166" s="179"/>
      <c r="K166" s="179"/>
      <c r="L166" s="179"/>
      <c r="M166" s="179"/>
      <c r="N166" s="179"/>
      <c r="O166" s="179"/>
      <c r="P166" s="179"/>
      <c r="Q166" s="179"/>
      <c r="R166" s="179"/>
      <c r="S166" s="179"/>
      <c r="T166" s="179"/>
      <c r="U166" s="179"/>
      <c r="V166" s="179"/>
      <c r="W166" s="179"/>
      <c r="X166" s="328">
        <v>0.35</v>
      </c>
      <c r="Y166" s="328">
        <v>0.35</v>
      </c>
      <c r="Z166" s="328">
        <v>0.3</v>
      </c>
      <c r="AA166" s="328">
        <v>0.3</v>
      </c>
      <c r="AB166" s="328">
        <v>0.3</v>
      </c>
      <c r="AC166" s="328">
        <v>0.3</v>
      </c>
      <c r="AD166" s="328">
        <v>0.3</v>
      </c>
      <c r="AE166" s="328">
        <v>0.3</v>
      </c>
      <c r="AF166" s="328">
        <v>0.3</v>
      </c>
      <c r="AG166" s="553"/>
      <c r="AH166" t="s">
        <v>555</v>
      </c>
      <c r="AJ166">
        <f>AJ165*0.3</f>
        <v>690</v>
      </c>
      <c r="AK166">
        <f t="shared" ref="AK166" si="168">AK165*0.3</f>
        <v>705</v>
      </c>
      <c r="AL166">
        <f t="shared" ref="AL166" si="169">AL165*0.3</f>
        <v>720</v>
      </c>
      <c r="AM166">
        <f t="shared" ref="AM166" si="170">AM165*0.3</f>
        <v>690</v>
      </c>
      <c r="AN166">
        <f t="shared" ref="AN166" si="171">AN165*0.3</f>
        <v>645</v>
      </c>
      <c r="AO166">
        <f t="shared" ref="AO166" si="172">AO165*0.3</f>
        <v>600</v>
      </c>
    </row>
    <row r="167" spans="1:41">
      <c r="A167" s="366" t="s">
        <v>429</v>
      </c>
      <c r="B167" s="391"/>
      <c r="C167" s="391"/>
      <c r="D167" s="391"/>
      <c r="E167" s="391"/>
      <c r="F167" s="391"/>
      <c r="G167" s="391"/>
      <c r="H167" s="391"/>
      <c r="I167" s="391"/>
      <c r="J167" s="391"/>
      <c r="K167" s="391"/>
      <c r="L167" s="391"/>
      <c r="M167" s="391"/>
      <c r="N167" s="391"/>
      <c r="O167" s="391"/>
      <c r="P167" s="391"/>
      <c r="Q167" s="391"/>
      <c r="R167" s="391"/>
      <c r="S167" s="391"/>
      <c r="T167" s="391"/>
      <c r="U167" s="391"/>
      <c r="V167" s="391"/>
      <c r="W167" s="391"/>
      <c r="X167" s="391"/>
      <c r="Y167" s="406">
        <f>+Y165*Y$150</f>
        <v>4477.0660934999996</v>
      </c>
      <c r="Z167" s="406">
        <f>+Z165*Z$150</f>
        <v>4238.2043837145065</v>
      </c>
      <c r="AA167" s="406">
        <f>+AA165*AA$150</f>
        <v>5077.2076219304327</v>
      </c>
      <c r="AB167" s="406">
        <f t="shared" ref="AB167:AE167" si="173">+AB165*AB$150</f>
        <v>5642.550746305441</v>
      </c>
      <c r="AC167" s="406">
        <f>+AC165*AC$150</f>
        <v>5915.4452305465866</v>
      </c>
      <c r="AD167" s="406">
        <f t="shared" si="173"/>
        <v>6201.5987060115367</v>
      </c>
      <c r="AE167" s="406">
        <f t="shared" si="173"/>
        <v>6401.3967976065296</v>
      </c>
      <c r="AF167" s="406">
        <f t="shared" ref="AF167" si="174">+AF165*AF$150</f>
        <v>6559.8074113215725</v>
      </c>
    </row>
    <row r="168" spans="1:41">
      <c r="A168" s="4"/>
      <c r="B168" s="179"/>
      <c r="C168" s="179"/>
      <c r="D168" s="179"/>
      <c r="E168" s="179"/>
      <c r="F168" s="179"/>
      <c r="G168" s="179"/>
      <c r="H168" s="179"/>
      <c r="I168" s="179"/>
      <c r="J168" s="179"/>
      <c r="K168" s="179"/>
      <c r="L168" s="179"/>
      <c r="M168" s="179"/>
      <c r="N168" s="179"/>
      <c r="O168" s="179"/>
      <c r="P168" s="179"/>
      <c r="Q168" s="179"/>
      <c r="R168" s="179"/>
      <c r="S168" s="179"/>
      <c r="T168" s="179"/>
      <c r="U168" s="179"/>
      <c r="V168" s="179"/>
      <c r="W168" s="179"/>
      <c r="X168" s="179"/>
      <c r="Y168" s="403"/>
      <c r="Z168" s="403"/>
      <c r="AA168" s="403"/>
      <c r="AB168" s="628">
        <f>AB167/AA167-1</f>
        <v>0.11134922313065787</v>
      </c>
      <c r="AC168" s="628">
        <f t="shared" ref="AC168:AF168" si="175">AC167/AB167-1</f>
        <v>4.8363673896921089E-2</v>
      </c>
      <c r="AD168" s="628">
        <f t="shared" si="175"/>
        <v>4.8373953998811503E-2</v>
      </c>
      <c r="AE168" s="628">
        <f t="shared" si="175"/>
        <v>3.2217191254461319E-2</v>
      </c>
      <c r="AF168" s="628">
        <f t="shared" si="175"/>
        <v>2.4746257531523819E-2</v>
      </c>
      <c r="AH168" s="554" t="s">
        <v>649</v>
      </c>
      <c r="AJ168" s="552">
        <v>2300</v>
      </c>
      <c r="AK168" s="552">
        <v>2400</v>
      </c>
      <c r="AL168" s="552">
        <v>2400</v>
      </c>
      <c r="AM168" s="552">
        <v>2300</v>
      </c>
      <c r="AN168" s="552">
        <v>2150</v>
      </c>
      <c r="AO168" s="552">
        <v>2000</v>
      </c>
    </row>
    <row r="169" spans="1:41">
      <c r="A169" s="433" t="s">
        <v>298</v>
      </c>
      <c r="B169" s="432">
        <f t="shared" ref="B169:AF169" si="176">+B$1</f>
        <v>2000</v>
      </c>
      <c r="C169" s="432">
        <f t="shared" si="176"/>
        <v>2001</v>
      </c>
      <c r="D169" s="432">
        <f t="shared" si="176"/>
        <v>2002</v>
      </c>
      <c r="E169" s="432">
        <f t="shared" si="176"/>
        <v>2003</v>
      </c>
      <c r="F169" s="432">
        <f t="shared" si="176"/>
        <v>2004</v>
      </c>
      <c r="G169" s="432">
        <f t="shared" si="176"/>
        <v>2005</v>
      </c>
      <c r="H169" s="432">
        <f t="shared" si="176"/>
        <v>2006</v>
      </c>
      <c r="I169" s="432">
        <f t="shared" si="176"/>
        <v>2007</v>
      </c>
      <c r="J169" s="432">
        <f t="shared" si="176"/>
        <v>2008</v>
      </c>
      <c r="K169" s="432">
        <f t="shared" si="176"/>
        <v>2009</v>
      </c>
      <c r="L169" s="432">
        <f t="shared" si="176"/>
        <v>2010</v>
      </c>
      <c r="M169" s="432">
        <f t="shared" si="176"/>
        <v>2011</v>
      </c>
      <c r="N169" s="432">
        <f t="shared" si="176"/>
        <v>2012</v>
      </c>
      <c r="O169" s="432">
        <f t="shared" si="176"/>
        <v>2013</v>
      </c>
      <c r="P169" s="432">
        <f t="shared" si="176"/>
        <v>2014</v>
      </c>
      <c r="Q169" s="432">
        <f t="shared" si="176"/>
        <v>2015</v>
      </c>
      <c r="R169" s="432">
        <f t="shared" si="176"/>
        <v>2016</v>
      </c>
      <c r="S169" s="432">
        <f t="shared" si="176"/>
        <v>2017</v>
      </c>
      <c r="T169" s="432">
        <f t="shared" si="176"/>
        <v>2018</v>
      </c>
      <c r="U169" s="432">
        <f t="shared" si="176"/>
        <v>2019</v>
      </c>
      <c r="V169" s="432">
        <f t="shared" si="176"/>
        <v>2020</v>
      </c>
      <c r="W169" s="432">
        <f t="shared" si="176"/>
        <v>2021</v>
      </c>
      <c r="X169" s="432">
        <f t="shared" si="176"/>
        <v>2022</v>
      </c>
      <c r="Y169" s="432">
        <f t="shared" si="176"/>
        <v>2023</v>
      </c>
      <c r="Z169" s="432">
        <f t="shared" si="176"/>
        <v>2024</v>
      </c>
      <c r="AA169" s="432" t="str">
        <f t="shared" si="176"/>
        <v>2025A</v>
      </c>
      <c r="AB169" s="432" t="str">
        <f t="shared" si="176"/>
        <v>2026E</v>
      </c>
      <c r="AC169" s="432" t="str">
        <f t="shared" si="176"/>
        <v>2027E</v>
      </c>
      <c r="AD169" s="432" t="str">
        <f t="shared" si="176"/>
        <v>2028E</v>
      </c>
      <c r="AE169" s="432" t="str">
        <f t="shared" si="176"/>
        <v>2029E</v>
      </c>
      <c r="AF169" s="432" t="str">
        <f t="shared" si="176"/>
        <v>2030E</v>
      </c>
      <c r="AG169" s="553"/>
      <c r="AH169" t="s">
        <v>555</v>
      </c>
      <c r="AJ169">
        <f>AJ168*0.3</f>
        <v>690</v>
      </c>
      <c r="AK169">
        <f t="shared" ref="AK169:AO169" si="177">AK168*0.3</f>
        <v>720</v>
      </c>
      <c r="AL169">
        <f t="shared" si="177"/>
        <v>720</v>
      </c>
      <c r="AM169">
        <f t="shared" si="177"/>
        <v>690</v>
      </c>
      <c r="AN169">
        <f t="shared" si="177"/>
        <v>645</v>
      </c>
      <c r="AO169">
        <f t="shared" si="177"/>
        <v>600</v>
      </c>
    </row>
    <row r="170" spans="1:41">
      <c r="A170" s="1" t="s">
        <v>402</v>
      </c>
      <c r="B170" s="389">
        <f t="shared" ref="B170:AE170" si="178">+B121</f>
        <v>0</v>
      </c>
      <c r="C170" s="389">
        <f t="shared" si="178"/>
        <v>0</v>
      </c>
      <c r="D170" s="389">
        <f t="shared" si="178"/>
        <v>0</v>
      </c>
      <c r="E170" s="389">
        <f t="shared" si="178"/>
        <v>0</v>
      </c>
      <c r="F170" s="389">
        <f t="shared" si="178"/>
        <v>0</v>
      </c>
      <c r="G170" s="389">
        <f t="shared" si="178"/>
        <v>0</v>
      </c>
      <c r="H170" s="389">
        <f t="shared" si="178"/>
        <v>0</v>
      </c>
      <c r="I170" s="389">
        <f t="shared" si="178"/>
        <v>0</v>
      </c>
      <c r="J170" s="389">
        <f t="shared" si="178"/>
        <v>0</v>
      </c>
      <c r="K170" s="389">
        <f t="shared" si="178"/>
        <v>0</v>
      </c>
      <c r="L170" s="389">
        <f t="shared" si="178"/>
        <v>0</v>
      </c>
      <c r="M170" s="389">
        <f t="shared" si="178"/>
        <v>0</v>
      </c>
      <c r="N170" s="389">
        <f t="shared" si="178"/>
        <v>0</v>
      </c>
      <c r="O170" s="389">
        <f t="shared" si="178"/>
        <v>0</v>
      </c>
      <c r="P170" s="389">
        <f t="shared" si="178"/>
        <v>0</v>
      </c>
      <c r="Q170" s="389">
        <f t="shared" si="178"/>
        <v>0</v>
      </c>
      <c r="R170" s="389">
        <f t="shared" si="178"/>
        <v>77</v>
      </c>
      <c r="S170" s="389">
        <f t="shared" si="178"/>
        <v>431</v>
      </c>
      <c r="T170" s="389">
        <f t="shared" si="178"/>
        <v>1118</v>
      </c>
      <c r="U170" s="389">
        <f t="shared" si="178"/>
        <v>1736</v>
      </c>
      <c r="V170" s="572">
        <f>CES_Annual!V58</f>
        <v>815</v>
      </c>
      <c r="W170" s="572">
        <f>CES_Annual!W58</f>
        <v>845</v>
      </c>
      <c r="X170" s="572">
        <f>CES_Annual!X58</f>
        <v>1136</v>
      </c>
      <c r="Y170" s="572">
        <f>CES_Annual!Y58</f>
        <v>1570</v>
      </c>
      <c r="Z170" s="572">
        <f>CES_Annual!Z58</f>
        <v>1407</v>
      </c>
      <c r="AA170" s="572">
        <f>CES_Annual!AA58</f>
        <v>1802</v>
      </c>
      <c r="AB170" s="389">
        <f t="shared" si="178"/>
        <v>2001.8522619590208</v>
      </c>
      <c r="AC170" s="389">
        <f t="shared" si="178"/>
        <v>2263.0791956937692</v>
      </c>
      <c r="AD170" s="389">
        <f t="shared" si="178"/>
        <v>2439.3459478899263</v>
      </c>
      <c r="AE170" s="389">
        <f t="shared" si="178"/>
        <v>2456.7199715207526</v>
      </c>
      <c r="AF170" s="389">
        <f t="shared" ref="AF170" si="179">+AF121</f>
        <v>2456.7199715207526</v>
      </c>
      <c r="AH170" s="573"/>
    </row>
    <row r="171" spans="1:41">
      <c r="A171" s="1" t="s">
        <v>434</v>
      </c>
      <c r="B171" s="179"/>
      <c r="C171" s="179"/>
      <c r="D171" s="179"/>
      <c r="E171" s="179"/>
      <c r="F171" s="179"/>
      <c r="G171" s="179"/>
      <c r="H171" s="179"/>
      <c r="I171" s="179"/>
      <c r="J171" s="179"/>
      <c r="K171" s="179"/>
      <c r="L171" s="179"/>
      <c r="M171" s="179"/>
      <c r="N171" s="179"/>
      <c r="O171" s="179"/>
      <c r="P171" s="179"/>
      <c r="Q171" s="179"/>
      <c r="R171" s="179"/>
      <c r="S171" s="179"/>
      <c r="T171" s="179"/>
      <c r="U171" s="179"/>
      <c r="V171" s="179"/>
      <c r="W171" s="179"/>
      <c r="X171" s="570">
        <v>5.3261351984732137</v>
      </c>
      <c r="Y171" s="398">
        <f>+AVERAGE(V171:X171)*(1+Y172)</f>
        <v>5.5125499304197758</v>
      </c>
      <c r="Z171" s="398">
        <f t="shared" ref="Z171:AF171" si="180">+Y171*(1+Z172)</f>
        <v>7.7418941229550775</v>
      </c>
      <c r="AA171" s="398">
        <f t="shared" si="180"/>
        <v>6.4118367126313958</v>
      </c>
      <c r="AB171" s="398">
        <f t="shared" si="180"/>
        <v>6.6362509975734945</v>
      </c>
      <c r="AC171" s="398">
        <f t="shared" si="180"/>
        <v>7.1671510773793745</v>
      </c>
      <c r="AD171" s="398">
        <f t="shared" si="180"/>
        <v>8.0272092066648995</v>
      </c>
      <c r="AE171" s="398">
        <f t="shared" si="180"/>
        <v>8.4285696669981451</v>
      </c>
      <c r="AF171" s="398">
        <f t="shared" si="180"/>
        <v>8.8499981503480534</v>
      </c>
      <c r="AH171" s="568"/>
    </row>
    <row r="172" spans="1:41">
      <c r="A172" s="1" t="s">
        <v>435</v>
      </c>
      <c r="B172" s="179"/>
      <c r="C172" s="179"/>
      <c r="D172" s="179"/>
      <c r="E172" s="179"/>
      <c r="F172" s="179"/>
      <c r="G172" s="179"/>
      <c r="H172" s="179"/>
      <c r="I172" s="179"/>
      <c r="J172" s="179"/>
      <c r="K172" s="179"/>
      <c r="L172" s="179"/>
      <c r="M172" s="179"/>
      <c r="N172" s="179"/>
      <c r="O172" s="179"/>
      <c r="P172" s="179"/>
      <c r="Q172" s="179"/>
      <c r="R172" s="179"/>
      <c r="S172" s="179"/>
      <c r="T172" s="179"/>
      <c r="U172" s="179"/>
      <c r="V172" s="179"/>
      <c r="W172" s="179"/>
      <c r="X172" s="381"/>
      <c r="Y172" s="574">
        <v>3.5000000000000003E-2</v>
      </c>
      <c r="Z172" s="574">
        <v>0.40441251701561254</v>
      </c>
      <c r="AA172" s="574">
        <v>-0.17180000000000001</v>
      </c>
      <c r="AB172" s="575">
        <v>3.5000000000000003E-2</v>
      </c>
      <c r="AC172" s="575">
        <v>0.08</v>
      </c>
      <c r="AD172" s="575">
        <v>0.12</v>
      </c>
      <c r="AE172" s="575">
        <v>0.05</v>
      </c>
      <c r="AF172" s="575">
        <v>0.05</v>
      </c>
      <c r="AH172" s="569"/>
    </row>
    <row r="173" spans="1:41">
      <c r="A173" s="1" t="s">
        <v>436</v>
      </c>
      <c r="B173" s="179"/>
      <c r="C173" s="179"/>
      <c r="D173" s="179"/>
      <c r="E173" s="179"/>
      <c r="F173" s="179"/>
      <c r="G173" s="179"/>
      <c r="H173" s="179"/>
      <c r="I173" s="179"/>
      <c r="J173" s="179"/>
      <c r="K173" s="179"/>
      <c r="L173" s="179"/>
      <c r="M173" s="179"/>
      <c r="N173" s="179"/>
      <c r="O173" s="179"/>
      <c r="P173" s="179"/>
      <c r="Q173" s="179"/>
      <c r="R173" s="179"/>
      <c r="S173" s="179"/>
      <c r="T173" s="379"/>
      <c r="U173" s="381"/>
      <c r="V173" s="381"/>
      <c r="W173" s="381"/>
      <c r="X173" s="328">
        <v>0.5</v>
      </c>
      <c r="Y173" s="328">
        <v>0.5</v>
      </c>
      <c r="Z173" s="328">
        <v>0.5</v>
      </c>
      <c r="AA173" s="328">
        <v>0.5</v>
      </c>
      <c r="AB173" s="328">
        <v>0.5</v>
      </c>
      <c r="AC173" s="328">
        <v>0.5</v>
      </c>
      <c r="AD173" s="328">
        <v>0.5</v>
      </c>
      <c r="AE173" s="328">
        <v>0.5</v>
      </c>
      <c r="AF173" s="328">
        <v>0.5</v>
      </c>
    </row>
    <row r="174" spans="1:41">
      <c r="A174" s="366" t="s">
        <v>428</v>
      </c>
      <c r="B174" s="391"/>
      <c r="C174" s="391"/>
      <c r="D174" s="391"/>
      <c r="E174" s="391"/>
      <c r="F174" s="391"/>
      <c r="G174" s="391"/>
      <c r="H174" s="391"/>
      <c r="I174" s="391"/>
      <c r="J174" s="391"/>
      <c r="K174" s="391"/>
      <c r="L174" s="391"/>
      <c r="M174" s="391"/>
      <c r="N174" s="391"/>
      <c r="O174" s="391"/>
      <c r="P174" s="391"/>
      <c r="Q174" s="391"/>
      <c r="R174" s="391"/>
      <c r="S174" s="391"/>
      <c r="T174" s="392"/>
      <c r="U174" s="394"/>
      <c r="V174" s="394"/>
      <c r="W174" s="394"/>
      <c r="X174" s="406">
        <f t="shared" ref="X174:AE174" si="181">X170*X171*X173</f>
        <v>3025.2447927327853</v>
      </c>
      <c r="Y174" s="406">
        <f>Y170*Y171*Y173</f>
        <v>4327.3516953795242</v>
      </c>
      <c r="Z174" s="406">
        <f>Z170*Z171*Z173</f>
        <v>5446.4225154988972</v>
      </c>
      <c r="AA174" s="406">
        <f t="shared" si="181"/>
        <v>5777.0648780808879</v>
      </c>
      <c r="AB174" s="406">
        <f t="shared" si="181"/>
        <v>6642.3970352101542</v>
      </c>
      <c r="AC174" s="406">
        <f t="shared" si="181"/>
        <v>8109.9152478057231</v>
      </c>
      <c r="AD174" s="406">
        <f t="shared" si="181"/>
        <v>9790.5701255713666</v>
      </c>
      <c r="AE174" s="406">
        <f t="shared" si="181"/>
        <v>10353.317716134181</v>
      </c>
      <c r="AF174" s="406">
        <f t="shared" ref="AF174" si="182">AF170*AF171*AF173</f>
        <v>10870.98360194089</v>
      </c>
      <c r="AG174" s="532"/>
    </row>
    <row r="175" spans="1:41">
      <c r="A175" s="404" t="s">
        <v>457</v>
      </c>
      <c r="B175" s="179"/>
      <c r="C175" s="179"/>
      <c r="D175" s="179"/>
      <c r="E175" s="179"/>
      <c r="F175" s="179"/>
      <c r="G175" s="179"/>
      <c r="H175" s="179"/>
      <c r="I175" s="179"/>
      <c r="J175" s="179"/>
      <c r="K175" s="179"/>
      <c r="L175" s="179"/>
      <c r="M175" s="179"/>
      <c r="N175" s="179"/>
      <c r="O175" s="179"/>
      <c r="P175" s="179"/>
      <c r="Q175" s="179"/>
      <c r="R175" s="179"/>
      <c r="S175" s="179"/>
      <c r="T175" s="379"/>
      <c r="U175" s="381"/>
      <c r="V175" s="381"/>
      <c r="W175" s="381"/>
      <c r="X175" s="403"/>
      <c r="Y175" s="403"/>
      <c r="Z175" s="403"/>
      <c r="AA175" s="403"/>
      <c r="AB175" s="403"/>
      <c r="AC175" s="403"/>
      <c r="AD175" s="403"/>
      <c r="AE175" s="403"/>
      <c r="AF175" s="403"/>
    </row>
    <row r="176" spans="1:41">
      <c r="A176" s="3" t="s">
        <v>430</v>
      </c>
      <c r="B176" s="179"/>
      <c r="C176" s="179"/>
      <c r="D176" s="179"/>
      <c r="E176" s="179"/>
      <c r="F176" s="179"/>
      <c r="G176" s="179"/>
      <c r="H176" s="179"/>
      <c r="I176" s="179"/>
      <c r="J176" s="179"/>
      <c r="K176" s="179"/>
      <c r="L176" s="179"/>
      <c r="M176" s="179"/>
      <c r="N176" s="179"/>
      <c r="O176" s="179"/>
      <c r="P176" s="179"/>
      <c r="Q176" s="179"/>
      <c r="R176" s="179"/>
      <c r="S176" s="179"/>
      <c r="T176" s="379"/>
      <c r="U176" s="381"/>
      <c r="V176" s="381"/>
      <c r="W176" s="381"/>
      <c r="X176" s="556">
        <v>0.7</v>
      </c>
      <c r="Y176" s="556">
        <v>0.85</v>
      </c>
      <c r="Z176" s="556">
        <v>0.95</v>
      </c>
      <c r="AA176" s="556">
        <v>1</v>
      </c>
      <c r="AB176" s="452">
        <v>1.0900000000000001</v>
      </c>
      <c r="AC176" s="452">
        <v>1.06</v>
      </c>
      <c r="AD176" s="452">
        <v>1.05</v>
      </c>
      <c r="AE176" s="452">
        <v>1.05</v>
      </c>
      <c r="AF176" s="452">
        <v>1.25</v>
      </c>
    </row>
    <row r="177" spans="1:34">
      <c r="A177" s="3" t="s">
        <v>432</v>
      </c>
      <c r="B177" s="179"/>
      <c r="C177" s="179"/>
      <c r="D177" s="179"/>
      <c r="E177" s="179"/>
      <c r="F177" s="179"/>
      <c r="G177" s="179"/>
      <c r="H177" s="179"/>
      <c r="I177" s="179"/>
      <c r="J177" s="179"/>
      <c r="K177" s="179"/>
      <c r="L177" s="179"/>
      <c r="M177" s="179"/>
      <c r="N177" s="179"/>
      <c r="O177" s="179"/>
      <c r="P177" s="179"/>
      <c r="Q177" s="179"/>
      <c r="R177" s="179"/>
      <c r="S177" s="179"/>
      <c r="T177" s="379"/>
      <c r="U177" s="381"/>
      <c r="V177" s="381"/>
      <c r="W177" s="381"/>
      <c r="X177" s="556">
        <v>0.5</v>
      </c>
      <c r="Y177" s="556">
        <v>0.5</v>
      </c>
      <c r="Z177" s="556">
        <v>0.6</v>
      </c>
      <c r="AA177" s="556">
        <v>0.9</v>
      </c>
      <c r="AB177" s="556">
        <v>0.9</v>
      </c>
      <c r="AC177" s="452">
        <v>1</v>
      </c>
      <c r="AD177" s="452">
        <v>1</v>
      </c>
      <c r="AE177" s="452">
        <v>1.26</v>
      </c>
      <c r="AF177" s="452">
        <v>1.3</v>
      </c>
    </row>
    <row r="178" spans="1:34">
      <c r="A178" s="3" t="s">
        <v>431</v>
      </c>
      <c r="B178" s="179"/>
      <c r="C178" s="179"/>
      <c r="D178" s="179"/>
      <c r="E178" s="179"/>
      <c r="F178" s="179"/>
      <c r="G178" s="179"/>
      <c r="H178" s="179"/>
      <c r="I178" s="179"/>
      <c r="J178" s="179"/>
      <c r="K178" s="179"/>
      <c r="L178" s="179"/>
      <c r="M178" s="179"/>
      <c r="N178" s="179"/>
      <c r="O178" s="179"/>
      <c r="P178" s="179"/>
      <c r="Q178" s="179"/>
      <c r="R178" s="179"/>
      <c r="S178" s="179"/>
      <c r="T178" s="379"/>
      <c r="U178" s="381"/>
      <c r="V178" s="381"/>
      <c r="W178" s="381"/>
      <c r="X178" s="556">
        <v>0.05</v>
      </c>
      <c r="Y178" s="556">
        <f>+X178+0.1</f>
        <v>0.15000000000000002</v>
      </c>
      <c r="Z178" s="556">
        <v>0.2</v>
      </c>
      <c r="AA178" s="556">
        <v>0.25</v>
      </c>
      <c r="AB178" s="556">
        <v>0.3</v>
      </c>
      <c r="AC178" s="556">
        <v>0.45</v>
      </c>
      <c r="AD178" s="556">
        <v>0.55000000000000004</v>
      </c>
      <c r="AE178" s="556">
        <v>0.6</v>
      </c>
      <c r="AF178" s="556">
        <v>0.7</v>
      </c>
    </row>
    <row r="179" spans="1:34">
      <c r="A179" s="10" t="s">
        <v>437</v>
      </c>
      <c r="B179" s="380"/>
      <c r="C179" s="380"/>
      <c r="D179" s="380"/>
      <c r="E179" s="380"/>
      <c r="F179" s="380"/>
      <c r="G179" s="380"/>
      <c r="H179" s="380"/>
      <c r="I179" s="380"/>
      <c r="J179" s="380"/>
      <c r="K179" s="380"/>
      <c r="L179" s="380"/>
      <c r="M179" s="380"/>
      <c r="N179" s="380"/>
      <c r="O179" s="380"/>
      <c r="P179" s="380"/>
      <c r="Q179" s="380"/>
      <c r="R179" s="380"/>
      <c r="S179" s="380"/>
      <c r="T179" s="380"/>
      <c r="U179" s="380"/>
      <c r="V179" s="380"/>
      <c r="W179" s="380"/>
      <c r="X179" s="403">
        <f t="shared" ref="X179:AF179" si="183">+(AVERAGE(N170:S170)*X$176+AVERAGE(I170:N170)*X$177+AVERAGE(D170:I170)*X$178)*X180</f>
        <v>29.633333333333333</v>
      </c>
      <c r="Y179" s="403">
        <f t="shared" si="183"/>
        <v>115.175</v>
      </c>
      <c r="Z179" s="403">
        <f t="shared" si="183"/>
        <v>266.15833333333336</v>
      </c>
      <c r="AA179" s="403">
        <f t="shared" si="183"/>
        <v>295.87083333333334</v>
      </c>
      <c r="AB179" s="403">
        <f t="shared" si="183"/>
        <v>369.55200000000002</v>
      </c>
      <c r="AC179" s="403">
        <f t="shared" si="183"/>
        <v>463.59066666666672</v>
      </c>
      <c r="AD179" s="403">
        <f t="shared" si="183"/>
        <v>598.45500000000004</v>
      </c>
      <c r="AE179" s="403">
        <f t="shared" si="183"/>
        <v>747.43515000000014</v>
      </c>
      <c r="AF179" s="403">
        <f t="shared" si="183"/>
        <v>918.76241666666658</v>
      </c>
      <c r="AH179" s="622"/>
    </row>
    <row r="180" spans="1:34">
      <c r="A180" s="3" t="s">
        <v>438</v>
      </c>
      <c r="B180" s="179"/>
      <c r="C180" s="179"/>
      <c r="D180" s="179"/>
      <c r="E180" s="179"/>
      <c r="F180" s="179"/>
      <c r="G180" s="179"/>
      <c r="H180" s="179"/>
      <c r="I180" s="179"/>
      <c r="J180" s="179"/>
      <c r="K180" s="179"/>
      <c r="L180" s="179"/>
      <c r="M180" s="179"/>
      <c r="N180" s="179"/>
      <c r="O180" s="179"/>
      <c r="P180" s="179"/>
      <c r="Q180" s="179"/>
      <c r="R180" s="179"/>
      <c r="S180" s="179"/>
      <c r="T180" s="179"/>
      <c r="U180" s="179"/>
      <c r="V180" s="179"/>
      <c r="W180" s="179"/>
      <c r="X180" s="328">
        <v>0.5</v>
      </c>
      <c r="Y180" s="328">
        <v>0.5</v>
      </c>
      <c r="Z180" s="328">
        <v>0.5</v>
      </c>
      <c r="AA180" s="328">
        <v>0.42499999999999999</v>
      </c>
      <c r="AB180" s="328">
        <v>0.4</v>
      </c>
      <c r="AC180" s="328">
        <v>0.4</v>
      </c>
      <c r="AD180" s="328">
        <v>0.39</v>
      </c>
      <c r="AE180" s="328">
        <v>0.37</v>
      </c>
      <c r="AF180" s="328">
        <v>0.37</v>
      </c>
    </row>
    <row r="181" spans="1:34">
      <c r="A181" s="366" t="s">
        <v>429</v>
      </c>
      <c r="B181" s="391"/>
      <c r="C181" s="391"/>
      <c r="D181" s="391"/>
      <c r="E181" s="391"/>
      <c r="F181" s="391"/>
      <c r="G181" s="391"/>
      <c r="H181" s="391"/>
      <c r="I181" s="391"/>
      <c r="J181" s="391"/>
      <c r="K181" s="391"/>
      <c r="L181" s="391"/>
      <c r="M181" s="391"/>
      <c r="N181" s="391"/>
      <c r="O181" s="391"/>
      <c r="P181" s="391"/>
      <c r="Q181" s="391"/>
      <c r="R181" s="391"/>
      <c r="S181" s="391"/>
      <c r="T181" s="391"/>
      <c r="U181" s="391"/>
      <c r="V181" s="391"/>
      <c r="W181" s="391"/>
      <c r="X181" s="391"/>
      <c r="Y181" s="406">
        <f t="shared" ref="Y181:AE181" si="184">+Y179*Y$150</f>
        <v>568.73415</v>
      </c>
      <c r="Z181" s="406">
        <f t="shared" si="184"/>
        <v>1593.803305483312</v>
      </c>
      <c r="AA181" s="406">
        <f t="shared" si="184"/>
        <v>2138.9503294958445</v>
      </c>
      <c r="AB181" s="406">
        <f t="shared" si="184"/>
        <v>2898.7037996871791</v>
      </c>
      <c r="AC181" s="406">
        <f t="shared" si="184"/>
        <v>3799.9620301869759</v>
      </c>
      <c r="AD181" s="406">
        <f t="shared" si="184"/>
        <v>5150.6895248415785</v>
      </c>
      <c r="AE181" s="406">
        <f t="shared" si="184"/>
        <v>6754.554172800903</v>
      </c>
      <c r="AF181" s="406">
        <f t="shared" ref="AF181" si="185">+AF179*AF$150</f>
        <v>8717.9764573206085</v>
      </c>
    </row>
    <row r="182" spans="1:34">
      <c r="A182" s="4"/>
      <c r="B182" s="179"/>
      <c r="C182" s="179"/>
      <c r="D182" s="179"/>
      <c r="E182" s="179"/>
      <c r="F182" s="179"/>
      <c r="G182" s="179"/>
      <c r="H182" s="179"/>
      <c r="I182" s="179"/>
      <c r="J182" s="179"/>
      <c r="K182" s="179"/>
      <c r="L182" s="179"/>
      <c r="M182" s="179"/>
      <c r="N182" s="179"/>
      <c r="O182" s="179"/>
      <c r="P182" s="179"/>
      <c r="Q182" s="179"/>
      <c r="R182" s="179"/>
      <c r="S182" s="179"/>
      <c r="T182" s="179"/>
      <c r="U182" s="179"/>
      <c r="V182" s="179"/>
      <c r="W182" s="179"/>
      <c r="X182" s="179"/>
      <c r="Y182" s="403"/>
      <c r="Z182" s="403"/>
      <c r="AA182" s="555">
        <f>AA179/Z179-1</f>
        <v>0.11163467860609266</v>
      </c>
      <c r="AB182" s="555">
        <f t="shared" ref="AB182:AF182" si="186">AB179/AA179-1</f>
        <v>0.24903153121435317</v>
      </c>
      <c r="AC182" s="555">
        <f t="shared" si="186"/>
        <v>0.25446666955304442</v>
      </c>
      <c r="AD182" s="555">
        <f t="shared" si="186"/>
        <v>0.29091252915646848</v>
      </c>
      <c r="AE182" s="555">
        <f t="shared" si="186"/>
        <v>0.24894127377998365</v>
      </c>
      <c r="AF182" s="555">
        <f t="shared" si="186"/>
        <v>0.22922024294236953</v>
      </c>
      <c r="AH182" t="s">
        <v>596</v>
      </c>
    </row>
    <row r="183" spans="1:34">
      <c r="A183" s="433" t="s">
        <v>390</v>
      </c>
      <c r="B183" s="432">
        <f t="shared" ref="B183:AF183" si="187">+B$1</f>
        <v>2000</v>
      </c>
      <c r="C183" s="432">
        <f t="shared" si="187"/>
        <v>2001</v>
      </c>
      <c r="D183" s="432">
        <f t="shared" si="187"/>
        <v>2002</v>
      </c>
      <c r="E183" s="432">
        <f t="shared" si="187"/>
        <v>2003</v>
      </c>
      <c r="F183" s="432">
        <f t="shared" si="187"/>
        <v>2004</v>
      </c>
      <c r="G183" s="432">
        <f t="shared" si="187"/>
        <v>2005</v>
      </c>
      <c r="H183" s="432">
        <f t="shared" si="187"/>
        <v>2006</v>
      </c>
      <c r="I183" s="432">
        <f t="shared" si="187"/>
        <v>2007</v>
      </c>
      <c r="J183" s="432">
        <f t="shared" si="187"/>
        <v>2008</v>
      </c>
      <c r="K183" s="432">
        <f t="shared" si="187"/>
        <v>2009</v>
      </c>
      <c r="L183" s="432">
        <f t="shared" si="187"/>
        <v>2010</v>
      </c>
      <c r="M183" s="432">
        <f t="shared" si="187"/>
        <v>2011</v>
      </c>
      <c r="N183" s="432">
        <f t="shared" si="187"/>
        <v>2012</v>
      </c>
      <c r="O183" s="432">
        <f t="shared" si="187"/>
        <v>2013</v>
      </c>
      <c r="P183" s="432">
        <f t="shared" si="187"/>
        <v>2014</v>
      </c>
      <c r="Q183" s="432">
        <f t="shared" si="187"/>
        <v>2015</v>
      </c>
      <c r="R183" s="432">
        <f t="shared" si="187"/>
        <v>2016</v>
      </c>
      <c r="S183" s="432">
        <f t="shared" si="187"/>
        <v>2017</v>
      </c>
      <c r="T183" s="432">
        <f t="shared" si="187"/>
        <v>2018</v>
      </c>
      <c r="U183" s="432">
        <f t="shared" si="187"/>
        <v>2019</v>
      </c>
      <c r="V183" s="432">
        <f t="shared" si="187"/>
        <v>2020</v>
      </c>
      <c r="W183" s="432">
        <f t="shared" si="187"/>
        <v>2021</v>
      </c>
      <c r="X183" s="432">
        <f t="shared" si="187"/>
        <v>2022</v>
      </c>
      <c r="Y183" s="432">
        <f t="shared" si="187"/>
        <v>2023</v>
      </c>
      <c r="Z183" s="432">
        <f t="shared" si="187"/>
        <v>2024</v>
      </c>
      <c r="AA183" s="432" t="str">
        <f t="shared" si="187"/>
        <v>2025A</v>
      </c>
      <c r="AB183" s="432" t="str">
        <f t="shared" si="187"/>
        <v>2026E</v>
      </c>
      <c r="AC183" s="432" t="str">
        <f t="shared" si="187"/>
        <v>2027E</v>
      </c>
      <c r="AD183" s="432" t="str">
        <f t="shared" si="187"/>
        <v>2028E</v>
      </c>
      <c r="AE183" s="432" t="str">
        <f t="shared" si="187"/>
        <v>2029E</v>
      </c>
      <c r="AF183" s="432" t="str">
        <f t="shared" si="187"/>
        <v>2030E</v>
      </c>
    </row>
    <row r="184" spans="1:34">
      <c r="A184" s="1" t="s">
        <v>402</v>
      </c>
      <c r="B184" s="389">
        <f t="shared" ref="B184:AE184" si="188">+B119</f>
        <v>0</v>
      </c>
      <c r="C184" s="389">
        <f t="shared" si="188"/>
        <v>0</v>
      </c>
      <c r="D184" s="389">
        <f t="shared" si="188"/>
        <v>0</v>
      </c>
      <c r="E184" s="389">
        <f t="shared" si="188"/>
        <v>0</v>
      </c>
      <c r="F184" s="389">
        <f t="shared" si="188"/>
        <v>0</v>
      </c>
      <c r="G184" s="389">
        <f t="shared" si="188"/>
        <v>0</v>
      </c>
      <c r="H184" s="389">
        <f t="shared" si="188"/>
        <v>0</v>
      </c>
      <c r="I184" s="389">
        <f t="shared" si="188"/>
        <v>0</v>
      </c>
      <c r="J184" s="389">
        <f t="shared" si="188"/>
        <v>0</v>
      </c>
      <c r="K184" s="389">
        <f t="shared" si="188"/>
        <v>0</v>
      </c>
      <c r="L184" s="389">
        <f t="shared" si="188"/>
        <v>0</v>
      </c>
      <c r="M184" s="389">
        <f t="shared" si="188"/>
        <v>39.6</v>
      </c>
      <c r="N184" s="389">
        <f t="shared" si="188"/>
        <v>160.60000000000002</v>
      </c>
      <c r="O184" s="389">
        <f t="shared" si="188"/>
        <v>200.20000000000002</v>
      </c>
      <c r="P184" s="389">
        <f t="shared" si="188"/>
        <v>235.4</v>
      </c>
      <c r="Q184" s="389">
        <f t="shared" si="188"/>
        <v>261.8</v>
      </c>
      <c r="R184" s="389">
        <f t="shared" si="188"/>
        <v>204.60000000000002</v>
      </c>
      <c r="S184" s="389">
        <f t="shared" si="188"/>
        <v>235.4</v>
      </c>
      <c r="T184" s="389">
        <f t="shared" si="188"/>
        <v>217.8</v>
      </c>
      <c r="U184" s="389">
        <f t="shared" si="188"/>
        <v>268.40000000000003</v>
      </c>
      <c r="V184" s="389">
        <f t="shared" si="188"/>
        <v>116.60000000000001</v>
      </c>
      <c r="W184" s="389">
        <f t="shared" si="188"/>
        <v>52.800000000000004</v>
      </c>
      <c r="X184" s="389">
        <f t="shared" si="188"/>
        <v>79.2</v>
      </c>
      <c r="Y184" s="389">
        <f t="shared" si="188"/>
        <v>116.60000000000001</v>
      </c>
      <c r="Z184" s="389">
        <f>+Z119</f>
        <v>81.400000000000006</v>
      </c>
      <c r="AA184" s="389">
        <f t="shared" si="188"/>
        <v>111.72549019607844</v>
      </c>
      <c r="AB184" s="389">
        <f t="shared" si="188"/>
        <v>153.2235294117647</v>
      </c>
      <c r="AC184" s="389">
        <f t="shared" si="188"/>
        <v>191.52941176470591</v>
      </c>
      <c r="AD184" s="389">
        <f t="shared" si="188"/>
        <v>191.52941176470591</v>
      </c>
      <c r="AE184" s="389">
        <f t="shared" si="188"/>
        <v>191.52941176470591</v>
      </c>
      <c r="AF184" s="389">
        <f t="shared" ref="AF184" si="189">+AF119</f>
        <v>191.52941176470591</v>
      </c>
    </row>
    <row r="185" spans="1:34">
      <c r="A185" s="1" t="s">
        <v>434</v>
      </c>
      <c r="B185" s="179"/>
      <c r="C185" s="179"/>
      <c r="D185" s="179"/>
      <c r="E185" s="179"/>
      <c r="F185" s="179"/>
      <c r="G185" s="179"/>
      <c r="H185" s="179"/>
      <c r="I185" s="179"/>
      <c r="J185" s="179"/>
      <c r="K185" s="179"/>
      <c r="L185" s="179"/>
      <c r="M185" s="179"/>
      <c r="N185" s="179"/>
      <c r="O185" s="179"/>
      <c r="P185" s="179"/>
      <c r="Q185" s="179"/>
      <c r="R185" s="179"/>
      <c r="S185" s="179"/>
      <c r="T185" s="179"/>
      <c r="U185" s="179"/>
      <c r="V185" s="179"/>
      <c r="W185" s="179"/>
      <c r="X185" s="570">
        <v>5.0324376258045769</v>
      </c>
      <c r="Y185" s="398">
        <f>+AVERAGE(V185:X185)*(1+Y186)</f>
        <v>5.1330863783206686</v>
      </c>
      <c r="Z185" s="398">
        <f t="shared" ref="Z185:AF185" si="190">+Y185*(1+Z186)</f>
        <v>5.5437332885863224</v>
      </c>
      <c r="AA185" s="398">
        <f t="shared" si="190"/>
        <v>5.8209199530156388</v>
      </c>
      <c r="AB185" s="398">
        <f t="shared" si="190"/>
        <v>6.1119659506664208</v>
      </c>
      <c r="AC185" s="398">
        <f t="shared" si="190"/>
        <v>6.4175642481997421</v>
      </c>
      <c r="AD185" s="398">
        <f t="shared" si="190"/>
        <v>6.73844246060973</v>
      </c>
      <c r="AE185" s="398">
        <f t="shared" si="190"/>
        <v>7.0753645836402166</v>
      </c>
      <c r="AF185" s="398">
        <f t="shared" si="190"/>
        <v>7.4291328128222274</v>
      </c>
    </row>
    <row r="186" spans="1:34">
      <c r="A186" s="1" t="s">
        <v>435</v>
      </c>
      <c r="B186" s="179"/>
      <c r="C186" s="179"/>
      <c r="D186" s="179"/>
      <c r="E186" s="179"/>
      <c r="F186" s="179"/>
      <c r="G186" s="179"/>
      <c r="H186" s="179"/>
      <c r="I186" s="179"/>
      <c r="J186" s="179"/>
      <c r="K186" s="179"/>
      <c r="L186" s="179"/>
      <c r="M186" s="179"/>
      <c r="N186" s="179"/>
      <c r="O186" s="179"/>
      <c r="P186" s="179"/>
      <c r="Q186" s="179"/>
      <c r="R186" s="179"/>
      <c r="S186" s="179"/>
      <c r="T186" s="179"/>
      <c r="U186" s="179"/>
      <c r="V186" s="179"/>
      <c r="W186" s="179"/>
      <c r="X186" s="381"/>
      <c r="Y186" s="538">
        <v>0.02</v>
      </c>
      <c r="Z186" s="538">
        <v>0.08</v>
      </c>
      <c r="AA186" s="538">
        <v>0.05</v>
      </c>
      <c r="AB186" s="538">
        <v>0.05</v>
      </c>
      <c r="AC186" s="538">
        <v>0.05</v>
      </c>
      <c r="AD186" s="538">
        <v>0.05</v>
      </c>
      <c r="AE186" s="538">
        <v>0.05</v>
      </c>
      <c r="AF186" s="538">
        <v>0.05</v>
      </c>
    </row>
    <row r="187" spans="1:34">
      <c r="A187" s="1" t="s">
        <v>436</v>
      </c>
      <c r="B187" s="179"/>
      <c r="C187" s="179"/>
      <c r="D187" s="179"/>
      <c r="E187" s="179"/>
      <c r="F187" s="179"/>
      <c r="G187" s="179"/>
      <c r="H187" s="179"/>
      <c r="I187" s="179"/>
      <c r="J187" s="179"/>
      <c r="K187" s="179"/>
      <c r="L187" s="179"/>
      <c r="M187" s="179"/>
      <c r="N187" s="179"/>
      <c r="O187" s="179"/>
      <c r="P187" s="179"/>
      <c r="Q187" s="179"/>
      <c r="R187" s="179"/>
      <c r="S187" s="179"/>
      <c r="T187" s="379"/>
      <c r="U187" s="381"/>
      <c r="V187" s="381"/>
      <c r="W187" s="381"/>
      <c r="X187" s="328">
        <f>X130</f>
        <v>1</v>
      </c>
      <c r="Y187" s="328">
        <f>Y130</f>
        <v>1</v>
      </c>
      <c r="Z187" s="328">
        <f>Z130</f>
        <v>1</v>
      </c>
      <c r="AA187" s="328">
        <f>AA130</f>
        <v>1</v>
      </c>
      <c r="AB187" s="328">
        <v>0.7</v>
      </c>
      <c r="AC187" s="328">
        <v>0.7</v>
      </c>
      <c r="AD187" s="328">
        <v>0.7</v>
      </c>
      <c r="AE187" s="328">
        <v>0.7</v>
      </c>
      <c r="AF187" s="328">
        <v>0.7</v>
      </c>
    </row>
    <row r="188" spans="1:34">
      <c r="A188" s="366" t="s">
        <v>428</v>
      </c>
      <c r="B188" s="391"/>
      <c r="C188" s="391"/>
      <c r="D188" s="391"/>
      <c r="E188" s="391"/>
      <c r="F188" s="391"/>
      <c r="G188" s="391"/>
      <c r="H188" s="391"/>
      <c r="I188" s="391"/>
      <c r="J188" s="391"/>
      <c r="K188" s="391"/>
      <c r="L188" s="391"/>
      <c r="M188" s="391"/>
      <c r="N188" s="391"/>
      <c r="O188" s="391"/>
      <c r="P188" s="391"/>
      <c r="Q188" s="391"/>
      <c r="R188" s="391"/>
      <c r="S188" s="391"/>
      <c r="T188" s="392"/>
      <c r="U188" s="394"/>
      <c r="V188" s="394"/>
      <c r="W188" s="394"/>
      <c r="X188" s="406">
        <f t="shared" ref="X188:AE188" si="191">X184*X185*X187</f>
        <v>398.56905996372251</v>
      </c>
      <c r="Y188" s="406">
        <f t="shared" si="191"/>
        <v>598.51787171218996</v>
      </c>
      <c r="Z188" s="406">
        <f>Z184*Z185*Z187</f>
        <v>451.25988969092668</v>
      </c>
      <c r="AA188" s="406">
        <f t="shared" si="191"/>
        <v>650.34513514280616</v>
      </c>
      <c r="AB188" s="406">
        <f t="shared" si="191"/>
        <v>655.54789622394844</v>
      </c>
      <c r="AC188" s="406">
        <f t="shared" si="191"/>
        <v>860.40661379393259</v>
      </c>
      <c r="AD188" s="406">
        <f t="shared" si="191"/>
        <v>903.42694448362931</v>
      </c>
      <c r="AE188" s="406">
        <f t="shared" si="191"/>
        <v>948.59829170781074</v>
      </c>
      <c r="AF188" s="406">
        <f t="shared" ref="AF188" si="192">AF184*AF185*AF187</f>
        <v>996.02820629320138</v>
      </c>
    </row>
    <row r="189" spans="1:34">
      <c r="A189" s="404" t="s">
        <v>457</v>
      </c>
      <c r="B189" s="179"/>
      <c r="C189" s="179"/>
      <c r="D189" s="179"/>
      <c r="E189" s="179"/>
      <c r="F189" s="179"/>
      <c r="G189" s="179"/>
      <c r="H189" s="179"/>
      <c r="I189" s="179"/>
      <c r="J189" s="179"/>
      <c r="K189" s="179"/>
      <c r="L189" s="179"/>
      <c r="M189" s="179"/>
      <c r="N189" s="179"/>
      <c r="O189" s="179"/>
      <c r="P189" s="179"/>
      <c r="Q189" s="179"/>
      <c r="R189" s="179"/>
      <c r="S189" s="179"/>
      <c r="T189" s="379"/>
      <c r="U189" s="381"/>
      <c r="V189" s="381"/>
      <c r="W189" s="381"/>
      <c r="X189" s="403"/>
      <c r="Y189" s="403"/>
      <c r="Z189" s="403"/>
      <c r="AA189" s="403"/>
      <c r="AB189" s="403"/>
      <c r="AC189" s="403"/>
      <c r="AD189" s="403"/>
      <c r="AE189" s="403"/>
      <c r="AF189" s="403"/>
    </row>
    <row r="190" spans="1:34">
      <c r="A190" s="3" t="s">
        <v>430</v>
      </c>
      <c r="B190" s="179"/>
      <c r="C190" s="179"/>
      <c r="D190" s="179"/>
      <c r="E190" s="179"/>
      <c r="F190" s="179"/>
      <c r="G190" s="179"/>
      <c r="H190" s="179"/>
      <c r="I190" s="179"/>
      <c r="J190" s="179"/>
      <c r="K190" s="179"/>
      <c r="L190" s="179"/>
      <c r="M190" s="179"/>
      <c r="N190" s="179"/>
      <c r="O190" s="179"/>
      <c r="P190" s="179"/>
      <c r="Q190" s="179"/>
      <c r="R190" s="179"/>
      <c r="S190" s="179"/>
      <c r="T190" s="379"/>
      <c r="U190" s="381"/>
      <c r="V190" s="381"/>
      <c r="W190" s="381"/>
      <c r="X190" s="556">
        <v>0.7</v>
      </c>
      <c r="Y190" s="556">
        <v>0.85</v>
      </c>
      <c r="Z190" s="556">
        <v>0.95</v>
      </c>
      <c r="AA190" s="556">
        <v>0.95</v>
      </c>
      <c r="AB190" s="556">
        <v>0.95</v>
      </c>
      <c r="AC190" s="556">
        <v>0.95</v>
      </c>
      <c r="AD190" s="556">
        <v>0.95</v>
      </c>
      <c r="AE190" s="556">
        <v>0.95</v>
      </c>
      <c r="AF190" s="556">
        <v>0.95</v>
      </c>
    </row>
    <row r="191" spans="1:34">
      <c r="A191" s="3" t="s">
        <v>432</v>
      </c>
      <c r="B191" s="179"/>
      <c r="C191" s="179"/>
      <c r="D191" s="179"/>
      <c r="E191" s="179"/>
      <c r="F191" s="179"/>
      <c r="G191" s="179"/>
      <c r="H191" s="179"/>
      <c r="I191" s="179"/>
      <c r="J191" s="179"/>
      <c r="K191" s="179"/>
      <c r="L191" s="179"/>
      <c r="M191" s="179"/>
      <c r="N191" s="179"/>
      <c r="O191" s="179"/>
      <c r="P191" s="179"/>
      <c r="Q191" s="179"/>
      <c r="R191" s="179"/>
      <c r="S191" s="179"/>
      <c r="T191" s="379"/>
      <c r="U191" s="381"/>
      <c r="V191" s="381"/>
      <c r="W191" s="381"/>
      <c r="X191" s="556">
        <v>0.5</v>
      </c>
      <c r="Y191" s="556">
        <v>0.5</v>
      </c>
      <c r="Z191" s="556">
        <v>0.55000000000000004</v>
      </c>
      <c r="AA191" s="556">
        <v>0.6</v>
      </c>
      <c r="AB191" s="556">
        <v>0.65</v>
      </c>
      <c r="AC191" s="556">
        <v>0.8</v>
      </c>
      <c r="AD191" s="556">
        <v>0.85</v>
      </c>
      <c r="AE191" s="556">
        <v>0.85</v>
      </c>
      <c r="AF191" s="556">
        <v>0.95</v>
      </c>
    </row>
    <row r="192" spans="1:34">
      <c r="A192" s="3" t="s">
        <v>431</v>
      </c>
      <c r="B192" s="179"/>
      <c r="C192" s="179"/>
      <c r="D192" s="179"/>
      <c r="E192" s="179"/>
      <c r="F192" s="179"/>
      <c r="G192" s="179"/>
      <c r="H192" s="179"/>
      <c r="I192" s="179"/>
      <c r="J192" s="179"/>
      <c r="K192" s="179"/>
      <c r="L192" s="179"/>
      <c r="M192" s="179"/>
      <c r="N192" s="179"/>
      <c r="O192" s="179"/>
      <c r="P192" s="179"/>
      <c r="Q192" s="179"/>
      <c r="R192" s="179"/>
      <c r="S192" s="179"/>
      <c r="T192" s="379"/>
      <c r="U192" s="381"/>
      <c r="V192" s="381"/>
      <c r="W192" s="381"/>
      <c r="X192" s="556">
        <v>0.05</v>
      </c>
      <c r="Y192" s="556">
        <f>+X192+0.1</f>
        <v>0.15000000000000002</v>
      </c>
      <c r="Z192" s="556">
        <v>0.2</v>
      </c>
      <c r="AA192" s="556">
        <v>0.25</v>
      </c>
      <c r="AB192" s="556">
        <v>0.3</v>
      </c>
      <c r="AC192" s="556">
        <v>0.35</v>
      </c>
      <c r="AD192" s="556">
        <v>0.35</v>
      </c>
      <c r="AE192" s="556">
        <v>0.35</v>
      </c>
      <c r="AF192" s="556">
        <v>0.45</v>
      </c>
    </row>
    <row r="193" spans="1:32">
      <c r="A193" s="10" t="s">
        <v>437</v>
      </c>
      <c r="B193" s="380"/>
      <c r="C193" s="380"/>
      <c r="D193" s="380"/>
      <c r="E193" s="380"/>
      <c r="F193" s="380"/>
      <c r="G193" s="380"/>
      <c r="H193" s="380"/>
      <c r="I193" s="380"/>
      <c r="J193" s="380"/>
      <c r="K193" s="380"/>
      <c r="L193" s="380"/>
      <c r="M193" s="380"/>
      <c r="N193" s="380"/>
      <c r="O193" s="380"/>
      <c r="P193" s="380"/>
      <c r="Q193" s="380"/>
      <c r="R193" s="380"/>
      <c r="S193" s="380"/>
      <c r="T193" s="380"/>
      <c r="U193" s="380"/>
      <c r="V193" s="380"/>
      <c r="W193" s="380"/>
      <c r="X193" s="403">
        <f t="shared" ref="X193:AF193" si="193">+(AVERAGE(N184:S184)*X$190+AVERAGE(I184:N184)*X$191+AVERAGE(D184:I184)*X$192)*X194</f>
        <v>129.6688008799598</v>
      </c>
      <c r="Y193" s="403">
        <f t="shared" si="193"/>
        <v>173.81558346962549</v>
      </c>
      <c r="Z193" s="403">
        <f t="shared" si="193"/>
        <v>218.78251768972063</v>
      </c>
      <c r="AA193" s="403">
        <f t="shared" si="193"/>
        <v>207.42516666666668</v>
      </c>
      <c r="AB193" s="403">
        <f t="shared" si="193"/>
        <v>206.39850000000001</v>
      </c>
      <c r="AC193" s="403">
        <f t="shared" si="193"/>
        <v>236.85200000000003</v>
      </c>
      <c r="AD193" s="403">
        <f t="shared" si="193"/>
        <v>245.10383333333334</v>
      </c>
      <c r="AE193" s="403">
        <f t="shared" si="193"/>
        <v>246.36150000000001</v>
      </c>
      <c r="AF193" s="403">
        <f t="shared" si="193"/>
        <v>253.59824183006538</v>
      </c>
    </row>
    <row r="194" spans="1:32">
      <c r="A194" s="3" t="s">
        <v>438</v>
      </c>
      <c r="B194" s="179"/>
      <c r="C194" s="179"/>
      <c r="D194" s="179"/>
      <c r="E194" s="179"/>
      <c r="F194" s="179"/>
      <c r="G194" s="179"/>
      <c r="H194" s="179"/>
      <c r="I194" s="179"/>
      <c r="J194" s="179"/>
      <c r="K194" s="179"/>
      <c r="L194" s="179"/>
      <c r="M194" s="179"/>
      <c r="N194" s="179"/>
      <c r="O194" s="179"/>
      <c r="P194" s="179"/>
      <c r="Q194" s="179"/>
      <c r="R194" s="179"/>
      <c r="S194" s="179"/>
      <c r="T194" s="179"/>
      <c r="U194" s="179"/>
      <c r="V194" s="179"/>
      <c r="W194" s="179"/>
      <c r="X194" s="558">
        <v>0.7713024737580636</v>
      </c>
      <c r="Y194" s="558">
        <v>0.7713024737580636</v>
      </c>
      <c r="Z194" s="558">
        <v>0.7713024737580636</v>
      </c>
      <c r="AA194" s="558">
        <v>0.7</v>
      </c>
      <c r="AB194" s="558">
        <v>0.7</v>
      </c>
      <c r="AC194" s="558">
        <v>0.7</v>
      </c>
      <c r="AD194" s="558">
        <v>0.7</v>
      </c>
      <c r="AE194" s="558">
        <v>0.7</v>
      </c>
      <c r="AF194" s="558">
        <v>0.7</v>
      </c>
    </row>
    <row r="195" spans="1:32">
      <c r="A195" s="366" t="s">
        <v>429</v>
      </c>
      <c r="B195" s="391"/>
      <c r="C195" s="391"/>
      <c r="D195" s="391"/>
      <c r="E195" s="391"/>
      <c r="F195" s="391"/>
      <c r="G195" s="391"/>
      <c r="H195" s="391"/>
      <c r="I195" s="391"/>
      <c r="J195" s="391"/>
      <c r="K195" s="391"/>
      <c r="L195" s="391"/>
      <c r="M195" s="391"/>
      <c r="N195" s="391"/>
      <c r="O195" s="391"/>
      <c r="P195" s="391"/>
      <c r="Q195" s="391"/>
      <c r="R195" s="391"/>
      <c r="S195" s="391"/>
      <c r="T195" s="391"/>
      <c r="U195" s="391"/>
      <c r="V195" s="391"/>
      <c r="W195" s="391"/>
      <c r="X195" s="391"/>
      <c r="Y195" s="406">
        <f t="shared" ref="Y195:AE195" si="194">+Y193*Y$152</f>
        <v>1430.502251955018</v>
      </c>
      <c r="Z195" s="406">
        <f t="shared" si="194"/>
        <v>1908.6149278215851</v>
      </c>
      <c r="AA195" s="406">
        <f t="shared" si="194"/>
        <v>2261.9195862083334</v>
      </c>
      <c r="AB195" s="406">
        <f t="shared" si="194"/>
        <v>2554.5717886631251</v>
      </c>
      <c r="AC195" s="406">
        <f t="shared" si="194"/>
        <v>3063.408561430525</v>
      </c>
      <c r="AD195" s="406">
        <f t="shared" si="194"/>
        <v>3328.6433745394279</v>
      </c>
      <c r="AE195" s="406">
        <f t="shared" si="194"/>
        <v>3513.0093305453202</v>
      </c>
      <c r="AF195" s="406">
        <f t="shared" ref="AF195" si="195">+AF193*AF$152</f>
        <v>3797.0122736176454</v>
      </c>
    </row>
    <row r="196" spans="1:32">
      <c r="A196" s="1"/>
      <c r="B196" s="179"/>
      <c r="C196" s="179"/>
      <c r="D196" s="179"/>
      <c r="E196" s="179"/>
      <c r="F196" s="179"/>
      <c r="G196" s="179"/>
      <c r="H196" s="179"/>
      <c r="I196" s="179"/>
      <c r="J196" s="179"/>
      <c r="K196" s="179"/>
      <c r="L196" s="179"/>
      <c r="M196" s="179"/>
      <c r="N196" s="179"/>
      <c r="O196" s="179"/>
      <c r="P196" s="179"/>
      <c r="Q196" s="179"/>
      <c r="R196" s="179"/>
      <c r="S196" s="179"/>
      <c r="T196" s="179"/>
      <c r="U196" s="179"/>
      <c r="V196" s="179"/>
      <c r="W196" s="179"/>
      <c r="X196" s="571"/>
      <c r="Y196" s="179"/>
      <c r="Z196" s="179"/>
      <c r="AA196" s="179"/>
      <c r="AB196" s="179"/>
      <c r="AC196" s="179"/>
      <c r="AD196" s="179"/>
      <c r="AE196" s="179"/>
      <c r="AF196" s="179"/>
    </row>
    <row r="197" spans="1:32">
      <c r="A197" s="453" t="s">
        <v>459</v>
      </c>
      <c r="B197" s="454">
        <f t="shared" ref="B197:AF197" si="196">+B$1</f>
        <v>2000</v>
      </c>
      <c r="C197" s="454">
        <f t="shared" si="196"/>
        <v>2001</v>
      </c>
      <c r="D197" s="454">
        <f t="shared" si="196"/>
        <v>2002</v>
      </c>
      <c r="E197" s="454">
        <f t="shared" si="196"/>
        <v>2003</v>
      </c>
      <c r="F197" s="454">
        <f t="shared" si="196"/>
        <v>2004</v>
      </c>
      <c r="G197" s="454">
        <f t="shared" si="196"/>
        <v>2005</v>
      </c>
      <c r="H197" s="454">
        <f t="shared" si="196"/>
        <v>2006</v>
      </c>
      <c r="I197" s="454">
        <f t="shared" si="196"/>
        <v>2007</v>
      </c>
      <c r="J197" s="454">
        <f t="shared" si="196"/>
        <v>2008</v>
      </c>
      <c r="K197" s="454">
        <f t="shared" si="196"/>
        <v>2009</v>
      </c>
      <c r="L197" s="454">
        <f t="shared" si="196"/>
        <v>2010</v>
      </c>
      <c r="M197" s="454">
        <f t="shared" si="196"/>
        <v>2011</v>
      </c>
      <c r="N197" s="454">
        <f t="shared" si="196"/>
        <v>2012</v>
      </c>
      <c r="O197" s="454">
        <f t="shared" si="196"/>
        <v>2013</v>
      </c>
      <c r="P197" s="454">
        <f t="shared" si="196"/>
        <v>2014</v>
      </c>
      <c r="Q197" s="454">
        <f t="shared" si="196"/>
        <v>2015</v>
      </c>
      <c r="R197" s="454">
        <f t="shared" si="196"/>
        <v>2016</v>
      </c>
      <c r="S197" s="454">
        <f t="shared" si="196"/>
        <v>2017</v>
      </c>
      <c r="T197" s="454">
        <f t="shared" si="196"/>
        <v>2018</v>
      </c>
      <c r="U197" s="454">
        <f t="shared" si="196"/>
        <v>2019</v>
      </c>
      <c r="V197" s="454">
        <f t="shared" si="196"/>
        <v>2020</v>
      </c>
      <c r="W197" s="454">
        <f t="shared" si="196"/>
        <v>2021</v>
      </c>
      <c r="X197" s="454">
        <f t="shared" si="196"/>
        <v>2022</v>
      </c>
      <c r="Y197" s="454">
        <f t="shared" si="196"/>
        <v>2023</v>
      </c>
      <c r="Z197" s="454">
        <f t="shared" si="196"/>
        <v>2024</v>
      </c>
      <c r="AA197" s="454" t="str">
        <f t="shared" si="196"/>
        <v>2025A</v>
      </c>
      <c r="AB197" s="454" t="str">
        <f t="shared" si="196"/>
        <v>2026E</v>
      </c>
      <c r="AC197" s="454" t="str">
        <f t="shared" si="196"/>
        <v>2027E</v>
      </c>
      <c r="AD197" s="454" t="str">
        <f t="shared" si="196"/>
        <v>2028E</v>
      </c>
      <c r="AE197" s="454" t="str">
        <f t="shared" si="196"/>
        <v>2029E</v>
      </c>
      <c r="AF197" s="454" t="str">
        <f t="shared" si="196"/>
        <v>2030E</v>
      </c>
    </row>
    <row r="198" spans="1:32">
      <c r="A198" s="404" t="s">
        <v>457</v>
      </c>
      <c r="B198" s="179"/>
      <c r="C198" s="179"/>
      <c r="D198" s="179"/>
      <c r="E198" s="179"/>
      <c r="F198" s="179"/>
      <c r="G198" s="179"/>
      <c r="H198" s="179"/>
      <c r="I198" s="179"/>
      <c r="J198" s="179"/>
      <c r="K198" s="179"/>
      <c r="L198" s="179"/>
      <c r="M198" s="179"/>
      <c r="N198" s="179"/>
      <c r="O198" s="179"/>
      <c r="P198" s="179"/>
      <c r="Q198" s="179"/>
      <c r="R198" s="179"/>
      <c r="S198" s="179"/>
      <c r="T198" s="179"/>
      <c r="U198" s="179"/>
      <c r="V198" s="179"/>
      <c r="W198" s="179"/>
      <c r="X198" s="179"/>
      <c r="Y198" s="179"/>
      <c r="Z198" s="179"/>
      <c r="AA198" s="179"/>
      <c r="AB198" s="179"/>
      <c r="AC198" s="179"/>
      <c r="AD198" s="179"/>
      <c r="AE198" s="179"/>
      <c r="AF198" s="179"/>
    </row>
    <row r="199" spans="1:32">
      <c r="A199" s="3" t="s">
        <v>430</v>
      </c>
      <c r="B199" s="179"/>
      <c r="C199" s="179"/>
      <c r="D199" s="179"/>
      <c r="E199" s="179"/>
      <c r="F199" s="179"/>
      <c r="G199" s="179"/>
      <c r="H199" s="179"/>
      <c r="I199" s="179"/>
      <c r="J199" s="179"/>
      <c r="K199" s="179"/>
      <c r="L199" s="179"/>
      <c r="M199" s="179"/>
      <c r="N199" s="179"/>
      <c r="O199" s="179"/>
      <c r="P199" s="179"/>
      <c r="Q199" s="179"/>
      <c r="R199" s="179"/>
      <c r="S199" s="179"/>
      <c r="T199" s="179"/>
      <c r="U199" s="179"/>
      <c r="V199" s="179"/>
      <c r="W199" s="179"/>
      <c r="X199" s="556">
        <v>0.7</v>
      </c>
      <c r="Y199" s="556">
        <v>0.85</v>
      </c>
      <c r="Z199" s="556">
        <v>0.95</v>
      </c>
      <c r="AA199" s="556">
        <v>0.95</v>
      </c>
      <c r="AB199" s="556">
        <v>0.95</v>
      </c>
      <c r="AC199" s="556">
        <v>0.95</v>
      </c>
      <c r="AD199" s="556">
        <v>0.95</v>
      </c>
      <c r="AE199" s="556">
        <v>0.95</v>
      </c>
      <c r="AF199" s="556">
        <v>0.95</v>
      </c>
    </row>
    <row r="200" spans="1:32">
      <c r="A200" s="3" t="s">
        <v>432</v>
      </c>
      <c r="B200" s="179"/>
      <c r="C200" s="179"/>
      <c r="D200" s="179"/>
      <c r="E200" s="179"/>
      <c r="F200" s="179"/>
      <c r="G200" s="179"/>
      <c r="H200" s="179"/>
      <c r="I200" s="179"/>
      <c r="J200" s="179"/>
      <c r="K200" s="179"/>
      <c r="L200" s="179"/>
      <c r="M200" s="179"/>
      <c r="N200" s="179"/>
      <c r="O200" s="179"/>
      <c r="P200" s="179"/>
      <c r="Q200" s="179"/>
      <c r="R200" s="179"/>
      <c r="S200" s="179"/>
      <c r="T200" s="179"/>
      <c r="U200" s="179"/>
      <c r="V200" s="179"/>
      <c r="W200" s="179"/>
      <c r="X200" s="556">
        <v>0.5</v>
      </c>
      <c r="Y200" s="556">
        <v>0.5</v>
      </c>
      <c r="Z200" s="556">
        <v>0.55000000000000004</v>
      </c>
      <c r="AA200" s="556">
        <v>0.6</v>
      </c>
      <c r="AB200" s="556">
        <v>0.7</v>
      </c>
      <c r="AC200" s="556">
        <v>0.8</v>
      </c>
      <c r="AD200" s="556">
        <v>0.8</v>
      </c>
      <c r="AE200" s="556">
        <v>0.8</v>
      </c>
      <c r="AF200" s="556">
        <v>0.8</v>
      </c>
    </row>
    <row r="201" spans="1:32">
      <c r="A201" s="3" t="s">
        <v>431</v>
      </c>
      <c r="B201" s="179"/>
      <c r="C201" s="179"/>
      <c r="D201" s="179"/>
      <c r="E201" s="179"/>
      <c r="F201" s="179"/>
      <c r="G201" s="179"/>
      <c r="H201" s="179"/>
      <c r="I201" s="179"/>
      <c r="J201" s="179"/>
      <c r="K201" s="179"/>
      <c r="L201" s="179"/>
      <c r="M201" s="179"/>
      <c r="N201" s="179"/>
      <c r="O201" s="179"/>
      <c r="P201" s="179"/>
      <c r="Q201" s="179"/>
      <c r="R201" s="179"/>
      <c r="S201" s="179"/>
      <c r="T201" s="179"/>
      <c r="U201" s="179"/>
      <c r="V201" s="179"/>
      <c r="W201" s="179"/>
      <c r="X201" s="556">
        <v>0.05</v>
      </c>
      <c r="Y201" s="556">
        <f>+X201+0.1</f>
        <v>0.15000000000000002</v>
      </c>
      <c r="Z201" s="556">
        <v>0.2</v>
      </c>
      <c r="AA201" s="556">
        <v>0.25</v>
      </c>
      <c r="AB201" s="556">
        <v>0.35</v>
      </c>
      <c r="AC201" s="556">
        <v>0.35</v>
      </c>
      <c r="AD201" s="556">
        <v>0.35</v>
      </c>
      <c r="AE201" s="556">
        <v>0.35</v>
      </c>
      <c r="AF201" s="556">
        <v>0.35</v>
      </c>
    </row>
    <row r="202" spans="1:32">
      <c r="A202" s="1"/>
      <c r="B202" s="179"/>
      <c r="C202" s="179"/>
      <c r="D202" s="179"/>
      <c r="E202" s="179"/>
      <c r="F202" s="179"/>
      <c r="G202" s="179"/>
      <c r="H202" s="179"/>
      <c r="I202" s="179"/>
      <c r="J202" s="179"/>
      <c r="K202" s="179"/>
      <c r="L202" s="179"/>
      <c r="M202" s="179"/>
      <c r="N202" s="179"/>
      <c r="O202" s="179"/>
      <c r="P202" s="179"/>
      <c r="Q202" s="179"/>
      <c r="R202" s="179"/>
      <c r="S202" s="179"/>
      <c r="T202" s="179"/>
      <c r="U202" s="179"/>
      <c r="V202" s="179"/>
      <c r="W202" s="179"/>
      <c r="X202" s="389"/>
      <c r="Y202" s="389"/>
      <c r="Z202" s="389"/>
      <c r="AA202" s="389"/>
      <c r="AB202" s="389"/>
      <c r="AC202" s="389"/>
      <c r="AD202" s="389"/>
      <c r="AE202" s="389"/>
      <c r="AF202" s="389"/>
    </row>
    <row r="203" spans="1:32">
      <c r="A203" s="433" t="s">
        <v>387</v>
      </c>
      <c r="B203" s="432">
        <f t="shared" ref="B203:AF203" si="197">+B$1</f>
        <v>2000</v>
      </c>
      <c r="C203" s="432">
        <f t="shared" si="197"/>
        <v>2001</v>
      </c>
      <c r="D203" s="432">
        <f t="shared" si="197"/>
        <v>2002</v>
      </c>
      <c r="E203" s="432">
        <f t="shared" si="197"/>
        <v>2003</v>
      </c>
      <c r="F203" s="432">
        <f t="shared" si="197"/>
        <v>2004</v>
      </c>
      <c r="G203" s="432">
        <f t="shared" si="197"/>
        <v>2005</v>
      </c>
      <c r="H203" s="432">
        <f t="shared" si="197"/>
        <v>2006</v>
      </c>
      <c r="I203" s="432">
        <f t="shared" si="197"/>
        <v>2007</v>
      </c>
      <c r="J203" s="432">
        <f t="shared" si="197"/>
        <v>2008</v>
      </c>
      <c r="K203" s="432">
        <f t="shared" si="197"/>
        <v>2009</v>
      </c>
      <c r="L203" s="432">
        <f t="shared" si="197"/>
        <v>2010</v>
      </c>
      <c r="M203" s="432">
        <f t="shared" si="197"/>
        <v>2011</v>
      </c>
      <c r="N203" s="432">
        <f t="shared" si="197"/>
        <v>2012</v>
      </c>
      <c r="O203" s="432">
        <f t="shared" si="197"/>
        <v>2013</v>
      </c>
      <c r="P203" s="432">
        <f t="shared" si="197"/>
        <v>2014</v>
      </c>
      <c r="Q203" s="432">
        <f t="shared" si="197"/>
        <v>2015</v>
      </c>
      <c r="R203" s="432">
        <f t="shared" si="197"/>
        <v>2016</v>
      </c>
      <c r="S203" s="432">
        <f t="shared" si="197"/>
        <v>2017</v>
      </c>
      <c r="T203" s="432">
        <f t="shared" si="197"/>
        <v>2018</v>
      </c>
      <c r="U203" s="432">
        <f t="shared" si="197"/>
        <v>2019</v>
      </c>
      <c r="V203" s="432">
        <f t="shared" si="197"/>
        <v>2020</v>
      </c>
      <c r="W203" s="432">
        <f t="shared" si="197"/>
        <v>2021</v>
      </c>
      <c r="X203" s="432">
        <f t="shared" si="197"/>
        <v>2022</v>
      </c>
      <c r="Y203" s="432">
        <f t="shared" si="197"/>
        <v>2023</v>
      </c>
      <c r="Z203" s="432">
        <f t="shared" si="197"/>
        <v>2024</v>
      </c>
      <c r="AA203" s="432" t="str">
        <f t="shared" si="197"/>
        <v>2025A</v>
      </c>
      <c r="AB203" s="432" t="str">
        <f t="shared" si="197"/>
        <v>2026E</v>
      </c>
      <c r="AC203" s="432" t="str">
        <f t="shared" si="197"/>
        <v>2027E</v>
      </c>
      <c r="AD203" s="432" t="str">
        <f t="shared" si="197"/>
        <v>2028E</v>
      </c>
      <c r="AE203" s="432" t="str">
        <f t="shared" si="197"/>
        <v>2029E</v>
      </c>
      <c r="AF203" s="432" t="str">
        <f t="shared" si="197"/>
        <v>2030E</v>
      </c>
    </row>
    <row r="204" spans="1:32">
      <c r="A204" s="1" t="s">
        <v>402</v>
      </c>
      <c r="B204" s="389">
        <f t="shared" ref="B204:AE204" si="198">+B116</f>
        <v>151.80000000000001</v>
      </c>
      <c r="C204" s="389">
        <f t="shared" si="198"/>
        <v>138.60000000000002</v>
      </c>
      <c r="D204" s="389">
        <f t="shared" si="198"/>
        <v>149.60000000000002</v>
      </c>
      <c r="E204" s="389">
        <f t="shared" si="198"/>
        <v>85.800000000000011</v>
      </c>
      <c r="F204" s="389">
        <f t="shared" si="198"/>
        <v>92.4</v>
      </c>
      <c r="G204" s="389">
        <f t="shared" si="198"/>
        <v>112.2</v>
      </c>
      <c r="H204" s="389">
        <f t="shared" si="198"/>
        <v>99.000000000000014</v>
      </c>
      <c r="I204" s="389">
        <f t="shared" si="198"/>
        <v>151.80000000000001</v>
      </c>
      <c r="J204" s="389">
        <f t="shared" si="198"/>
        <v>103.4</v>
      </c>
      <c r="K204" s="389">
        <f t="shared" si="198"/>
        <v>61.600000000000009</v>
      </c>
      <c r="L204" s="389">
        <f t="shared" si="198"/>
        <v>44</v>
      </c>
      <c r="M204" s="389">
        <f t="shared" si="198"/>
        <v>70.400000000000006</v>
      </c>
      <c r="N204" s="389">
        <f t="shared" si="198"/>
        <v>90.2</v>
      </c>
      <c r="O204" s="389">
        <f t="shared" si="198"/>
        <v>66</v>
      </c>
      <c r="P204" s="389">
        <f t="shared" si="198"/>
        <v>39.6</v>
      </c>
      <c r="Q204" s="389">
        <f t="shared" si="198"/>
        <v>77</v>
      </c>
      <c r="R204" s="389">
        <f t="shared" si="198"/>
        <v>72.600000000000009</v>
      </c>
      <c r="S204" s="389">
        <f t="shared" si="198"/>
        <v>46.2</v>
      </c>
      <c r="T204" s="389">
        <f t="shared" si="198"/>
        <v>46.2</v>
      </c>
      <c r="U204" s="389">
        <f t="shared" si="198"/>
        <v>50.6</v>
      </c>
      <c r="V204" s="389">
        <f t="shared" si="198"/>
        <v>44</v>
      </c>
      <c r="W204" s="389">
        <f t="shared" si="198"/>
        <v>41.800000000000004</v>
      </c>
      <c r="X204" s="389">
        <f t="shared" si="198"/>
        <v>39.6</v>
      </c>
      <c r="Y204" s="389">
        <f t="shared" si="198"/>
        <v>39.6</v>
      </c>
      <c r="Z204" s="389">
        <f t="shared" si="198"/>
        <v>22</v>
      </c>
      <c r="AA204" s="389">
        <f t="shared" si="198"/>
        <v>66</v>
      </c>
      <c r="AB204" s="389">
        <f t="shared" si="198"/>
        <v>79.2</v>
      </c>
      <c r="AC204" s="389">
        <f t="shared" si="198"/>
        <v>0</v>
      </c>
      <c r="AD204" s="389">
        <f t="shared" si="198"/>
        <v>0</v>
      </c>
      <c r="AE204" s="389">
        <f t="shared" si="198"/>
        <v>0</v>
      </c>
      <c r="AF204" s="389">
        <f t="shared" ref="AF204" si="199">+AF116</f>
        <v>0</v>
      </c>
    </row>
    <row r="205" spans="1:32">
      <c r="A205" s="1" t="s">
        <v>434</v>
      </c>
      <c r="B205" s="389"/>
      <c r="C205" s="389"/>
      <c r="D205" s="389"/>
      <c r="E205" s="389"/>
      <c r="F205" s="389"/>
      <c r="G205" s="389"/>
      <c r="H205" s="389"/>
      <c r="I205" s="389"/>
      <c r="J205" s="389"/>
      <c r="K205" s="389"/>
      <c r="L205" s="389"/>
      <c r="M205" s="389"/>
      <c r="N205" s="389"/>
      <c r="O205" s="389"/>
      <c r="P205" s="389"/>
      <c r="Q205" s="389"/>
      <c r="R205" s="389"/>
      <c r="S205" s="389"/>
      <c r="T205" s="389"/>
      <c r="U205" s="389"/>
      <c r="V205" s="389"/>
      <c r="W205" s="389"/>
      <c r="X205" s="570">
        <v>5</v>
      </c>
      <c r="Y205" s="398">
        <f>+AVERAGE(V205:X205)*(1+Y206)</f>
        <v>5.05</v>
      </c>
      <c r="Z205" s="398">
        <f t="shared" ref="Z205:AF205" si="200">+Y205*(1+Z206)</f>
        <v>5.4539999999999997</v>
      </c>
      <c r="AA205" s="398">
        <f t="shared" si="200"/>
        <v>5.7267000000000001</v>
      </c>
      <c r="AB205" s="398">
        <f t="shared" si="200"/>
        <v>6.0130350000000004</v>
      </c>
      <c r="AC205" s="398">
        <f t="shared" si="200"/>
        <v>6.3136867500000005</v>
      </c>
      <c r="AD205" s="398">
        <f t="shared" si="200"/>
        <v>6.6293710875000009</v>
      </c>
      <c r="AE205" s="398">
        <f t="shared" si="200"/>
        <v>6.9608396418750011</v>
      </c>
      <c r="AF205" s="398">
        <f t="shared" si="200"/>
        <v>7.3088816239687517</v>
      </c>
    </row>
    <row r="206" spans="1:32">
      <c r="A206" s="1" t="s">
        <v>435</v>
      </c>
      <c r="B206" s="389"/>
      <c r="C206" s="389"/>
      <c r="D206" s="389"/>
      <c r="E206" s="389"/>
      <c r="F206" s="389"/>
      <c r="G206" s="389"/>
      <c r="H206" s="389"/>
      <c r="I206" s="389"/>
      <c r="J206" s="389"/>
      <c r="K206" s="389"/>
      <c r="L206" s="389"/>
      <c r="M206" s="389"/>
      <c r="N206" s="389"/>
      <c r="O206" s="389"/>
      <c r="P206" s="389"/>
      <c r="Q206" s="389"/>
      <c r="R206" s="389"/>
      <c r="S206" s="389"/>
      <c r="T206" s="389"/>
      <c r="U206" s="389"/>
      <c r="V206" s="389"/>
      <c r="W206" s="389"/>
      <c r="X206" s="381"/>
      <c r="Y206" s="202">
        <v>0.01</v>
      </c>
      <c r="Z206" s="538">
        <v>0.08</v>
      </c>
      <c r="AA206" s="538">
        <v>0.05</v>
      </c>
      <c r="AB206" s="538">
        <v>0.05</v>
      </c>
      <c r="AC206" s="538">
        <v>0.05</v>
      </c>
      <c r="AD206" s="538">
        <v>0.05</v>
      </c>
      <c r="AE206" s="538">
        <v>0.05</v>
      </c>
      <c r="AF206" s="538">
        <v>0.05</v>
      </c>
    </row>
    <row r="207" spans="1:32">
      <c r="A207" s="1" t="s">
        <v>436</v>
      </c>
      <c r="B207" s="179"/>
      <c r="C207" s="179"/>
      <c r="D207" s="179"/>
      <c r="E207" s="179"/>
      <c r="F207" s="179"/>
      <c r="G207" s="179"/>
      <c r="H207" s="179"/>
      <c r="I207" s="179"/>
      <c r="J207" s="179"/>
      <c r="K207" s="179"/>
      <c r="L207" s="179"/>
      <c r="M207" s="179"/>
      <c r="N207" s="179"/>
      <c r="O207" s="179"/>
      <c r="P207" s="179"/>
      <c r="Q207" s="179"/>
      <c r="R207" s="179"/>
      <c r="S207" s="179"/>
      <c r="T207" s="379"/>
      <c r="U207" s="381"/>
      <c r="V207" s="381"/>
      <c r="W207" s="381"/>
      <c r="X207" s="328">
        <f t="shared" ref="X207:AE207" si="201">X127</f>
        <v>1</v>
      </c>
      <c r="Y207" s="328">
        <f t="shared" si="201"/>
        <v>1</v>
      </c>
      <c r="Z207" s="328">
        <f t="shared" si="201"/>
        <v>1</v>
      </c>
      <c r="AA207" s="328">
        <f t="shared" si="201"/>
        <v>1</v>
      </c>
      <c r="AB207" s="328">
        <f t="shared" si="201"/>
        <v>1</v>
      </c>
      <c r="AC207" s="328">
        <f t="shared" si="201"/>
        <v>1</v>
      </c>
      <c r="AD207" s="328">
        <f t="shared" si="201"/>
        <v>1</v>
      </c>
      <c r="AE207" s="328">
        <f t="shared" si="201"/>
        <v>1</v>
      </c>
      <c r="AF207" s="328">
        <f t="shared" ref="AF207" si="202">AF127</f>
        <v>1</v>
      </c>
    </row>
    <row r="208" spans="1:32">
      <c r="A208" s="366" t="s">
        <v>428</v>
      </c>
      <c r="B208" s="391"/>
      <c r="C208" s="391"/>
      <c r="D208" s="391"/>
      <c r="E208" s="391"/>
      <c r="F208" s="391"/>
      <c r="G208" s="391"/>
      <c r="H208" s="391"/>
      <c r="I208" s="391"/>
      <c r="J208" s="391"/>
      <c r="K208" s="391"/>
      <c r="L208" s="391"/>
      <c r="M208" s="391"/>
      <c r="N208" s="391"/>
      <c r="O208" s="391"/>
      <c r="P208" s="391"/>
      <c r="Q208" s="391"/>
      <c r="R208" s="391"/>
      <c r="S208" s="391"/>
      <c r="T208" s="392"/>
      <c r="U208" s="394"/>
      <c r="V208" s="394"/>
      <c r="W208" s="394"/>
      <c r="X208" s="406">
        <f t="shared" ref="X208:AE208" si="203">X204*X205*X207</f>
        <v>198</v>
      </c>
      <c r="Y208" s="406">
        <f t="shared" si="203"/>
        <v>199.98</v>
      </c>
      <c r="Z208" s="406">
        <f t="shared" si="203"/>
        <v>119.988</v>
      </c>
      <c r="AA208" s="406">
        <f t="shared" si="203"/>
        <v>377.9622</v>
      </c>
      <c r="AB208" s="406">
        <f t="shared" si="203"/>
        <v>476.23237200000005</v>
      </c>
      <c r="AC208" s="406">
        <f t="shared" si="203"/>
        <v>0</v>
      </c>
      <c r="AD208" s="406">
        <f t="shared" si="203"/>
        <v>0</v>
      </c>
      <c r="AE208" s="406">
        <f t="shared" si="203"/>
        <v>0</v>
      </c>
      <c r="AF208" s="406">
        <f t="shared" ref="AF208" si="204">AF204*AF205*AF207</f>
        <v>0</v>
      </c>
    </row>
    <row r="209" spans="1:32">
      <c r="A209" s="1" t="s">
        <v>437</v>
      </c>
      <c r="B209" s="179"/>
      <c r="C209" s="179"/>
      <c r="D209" s="179"/>
      <c r="E209" s="179"/>
      <c r="F209" s="179"/>
      <c r="G209" s="179"/>
      <c r="H209" s="179"/>
      <c r="I209" s="179"/>
      <c r="J209" s="179"/>
      <c r="K209" s="179"/>
      <c r="L209" s="179"/>
      <c r="M209" s="179"/>
      <c r="N209" s="179"/>
      <c r="O209" s="179"/>
      <c r="P209" s="179"/>
      <c r="Q209" s="179"/>
      <c r="R209" s="179"/>
      <c r="S209" s="179"/>
      <c r="T209" s="179"/>
      <c r="U209" s="179"/>
      <c r="V209" s="179"/>
      <c r="W209" s="179"/>
      <c r="X209" s="389">
        <f t="shared" ref="X209:AF209" si="205">+(AVERAGE(N204:S204)*X$199+AVERAGE(I204:N204)*X$200+AVERAGE(D204:I204)*X$201)*X210</f>
        <v>47.446666666666673</v>
      </c>
      <c r="Y209" s="389">
        <f t="shared" si="205"/>
        <v>50.829166666666666</v>
      </c>
      <c r="Z209" s="389">
        <f t="shared" si="205"/>
        <v>53.680000000000007</v>
      </c>
      <c r="AA209" s="389">
        <f t="shared" si="205"/>
        <v>57.924166666666672</v>
      </c>
      <c r="AB209" s="389">
        <f t="shared" si="205"/>
        <v>63.580000000000013</v>
      </c>
      <c r="AC209" s="389">
        <f t="shared" si="205"/>
        <v>62.562500000000007</v>
      </c>
      <c r="AD209" s="389">
        <f t="shared" si="205"/>
        <v>56.604166666666657</v>
      </c>
      <c r="AE209" s="389">
        <f t="shared" si="205"/>
        <v>51.80083333333333</v>
      </c>
      <c r="AF209" s="389">
        <f t="shared" si="205"/>
        <v>53.762500000000003</v>
      </c>
    </row>
    <row r="210" spans="1:32">
      <c r="A210" s="1" t="s">
        <v>438</v>
      </c>
      <c r="B210" s="179"/>
      <c r="C210" s="179"/>
      <c r="D210" s="179"/>
      <c r="E210" s="179"/>
      <c r="F210" s="179"/>
      <c r="G210" s="179"/>
      <c r="H210" s="179"/>
      <c r="I210" s="179"/>
      <c r="J210" s="179"/>
      <c r="K210" s="179"/>
      <c r="L210" s="179"/>
      <c r="M210" s="179"/>
      <c r="N210" s="179"/>
      <c r="O210" s="179"/>
      <c r="P210" s="179"/>
      <c r="Q210" s="179"/>
      <c r="R210" s="179"/>
      <c r="S210" s="179"/>
      <c r="T210" s="179"/>
      <c r="U210" s="179"/>
      <c r="V210" s="179"/>
      <c r="W210" s="179"/>
      <c r="X210" s="558">
        <v>0.5</v>
      </c>
      <c r="Y210" s="558">
        <v>0.5</v>
      </c>
      <c r="Z210" s="558">
        <v>0.5</v>
      </c>
      <c r="AA210" s="558">
        <v>0.5</v>
      </c>
      <c r="AB210" s="558">
        <v>0.5</v>
      </c>
      <c r="AC210" s="558">
        <v>0.5</v>
      </c>
      <c r="AD210" s="558">
        <v>0.5</v>
      </c>
      <c r="AE210" s="558">
        <v>0.5</v>
      </c>
      <c r="AF210" s="558">
        <v>0.5</v>
      </c>
    </row>
    <row r="211" spans="1:32">
      <c r="A211" s="366" t="s">
        <v>429</v>
      </c>
      <c r="B211" s="391"/>
      <c r="C211" s="391"/>
      <c r="D211" s="391"/>
      <c r="E211" s="391"/>
      <c r="F211" s="391"/>
      <c r="G211" s="391"/>
      <c r="H211" s="391"/>
      <c r="I211" s="391"/>
      <c r="J211" s="391"/>
      <c r="K211" s="391"/>
      <c r="L211" s="391"/>
      <c r="M211" s="391"/>
      <c r="N211" s="391"/>
      <c r="O211" s="391"/>
      <c r="P211" s="391"/>
      <c r="Q211" s="391"/>
      <c r="R211" s="391"/>
      <c r="S211" s="391"/>
      <c r="T211" s="391"/>
      <c r="U211" s="391"/>
      <c r="V211" s="391"/>
      <c r="W211" s="391"/>
      <c r="X211" s="391"/>
      <c r="Y211" s="406">
        <f t="shared" ref="Y211:AE211" si="206">+Y209*Y$152</f>
        <v>418.32404166666669</v>
      </c>
      <c r="Z211" s="406">
        <f t="shared" si="206"/>
        <v>468.29358400000012</v>
      </c>
      <c r="AA211" s="406">
        <f t="shared" si="206"/>
        <v>631.64855645833336</v>
      </c>
      <c r="AB211" s="406">
        <f t="shared" si="206"/>
        <v>786.9227456750001</v>
      </c>
      <c r="AC211" s="406">
        <f t="shared" si="206"/>
        <v>809.17407547539062</v>
      </c>
      <c r="AD211" s="406">
        <f t="shared" si="206"/>
        <v>768.71537170162094</v>
      </c>
      <c r="AE211" s="406">
        <f t="shared" si="206"/>
        <v>738.65766700569293</v>
      </c>
      <c r="AF211" s="406">
        <f t="shared" ref="AF211" si="207">+AF209*AF$152</f>
        <v>804.96170197094477</v>
      </c>
    </row>
    <row r="212" spans="1:32">
      <c r="A212" s="1"/>
      <c r="B212" s="179"/>
      <c r="C212" s="179"/>
      <c r="D212" s="179"/>
      <c r="E212" s="179"/>
      <c r="F212" s="179"/>
      <c r="G212" s="179"/>
      <c r="H212" s="179"/>
      <c r="I212" s="179"/>
      <c r="J212" s="179"/>
      <c r="K212" s="179"/>
      <c r="L212" s="179"/>
      <c r="M212" s="179"/>
      <c r="N212" s="179"/>
      <c r="O212" s="179"/>
      <c r="P212" s="179"/>
      <c r="Q212" s="179"/>
      <c r="R212" s="179"/>
      <c r="S212" s="179"/>
      <c r="T212" s="179"/>
      <c r="U212" s="179"/>
      <c r="V212" s="179"/>
      <c r="W212" s="179"/>
      <c r="X212" s="179"/>
      <c r="Y212" s="179"/>
      <c r="Z212" s="179"/>
      <c r="AA212" s="179"/>
      <c r="AB212" s="179"/>
      <c r="AC212" s="179"/>
      <c r="AD212" s="179"/>
      <c r="AE212" s="179"/>
      <c r="AF212" s="179"/>
    </row>
    <row r="213" spans="1:32">
      <c r="A213" s="433" t="s">
        <v>389</v>
      </c>
      <c r="B213" s="432">
        <f t="shared" ref="B213:AF213" si="208">+B$1</f>
        <v>2000</v>
      </c>
      <c r="C213" s="432">
        <f t="shared" si="208"/>
        <v>2001</v>
      </c>
      <c r="D213" s="432">
        <f t="shared" si="208"/>
        <v>2002</v>
      </c>
      <c r="E213" s="432">
        <f t="shared" si="208"/>
        <v>2003</v>
      </c>
      <c r="F213" s="432">
        <f t="shared" si="208"/>
        <v>2004</v>
      </c>
      <c r="G213" s="432">
        <f t="shared" si="208"/>
        <v>2005</v>
      </c>
      <c r="H213" s="432">
        <f t="shared" si="208"/>
        <v>2006</v>
      </c>
      <c r="I213" s="432">
        <f t="shared" si="208"/>
        <v>2007</v>
      </c>
      <c r="J213" s="432">
        <f t="shared" si="208"/>
        <v>2008</v>
      </c>
      <c r="K213" s="432">
        <f t="shared" si="208"/>
        <v>2009</v>
      </c>
      <c r="L213" s="432">
        <f t="shared" si="208"/>
        <v>2010</v>
      </c>
      <c r="M213" s="432">
        <f t="shared" si="208"/>
        <v>2011</v>
      </c>
      <c r="N213" s="432">
        <f t="shared" si="208"/>
        <v>2012</v>
      </c>
      <c r="O213" s="432">
        <f t="shared" si="208"/>
        <v>2013</v>
      </c>
      <c r="P213" s="432">
        <f t="shared" si="208"/>
        <v>2014</v>
      </c>
      <c r="Q213" s="432">
        <f t="shared" si="208"/>
        <v>2015</v>
      </c>
      <c r="R213" s="432">
        <f t="shared" si="208"/>
        <v>2016</v>
      </c>
      <c r="S213" s="432">
        <f t="shared" si="208"/>
        <v>2017</v>
      </c>
      <c r="T213" s="432">
        <f t="shared" si="208"/>
        <v>2018</v>
      </c>
      <c r="U213" s="432">
        <f t="shared" si="208"/>
        <v>2019</v>
      </c>
      <c r="V213" s="432">
        <f t="shared" si="208"/>
        <v>2020</v>
      </c>
      <c r="W213" s="432">
        <f t="shared" si="208"/>
        <v>2021</v>
      </c>
      <c r="X213" s="432">
        <f t="shared" si="208"/>
        <v>2022</v>
      </c>
      <c r="Y213" s="432">
        <f t="shared" si="208"/>
        <v>2023</v>
      </c>
      <c r="Z213" s="432">
        <f t="shared" si="208"/>
        <v>2024</v>
      </c>
      <c r="AA213" s="432" t="str">
        <f t="shared" si="208"/>
        <v>2025A</v>
      </c>
      <c r="AB213" s="432" t="str">
        <f t="shared" si="208"/>
        <v>2026E</v>
      </c>
      <c r="AC213" s="432" t="str">
        <f t="shared" si="208"/>
        <v>2027E</v>
      </c>
      <c r="AD213" s="432" t="str">
        <f t="shared" si="208"/>
        <v>2028E</v>
      </c>
      <c r="AE213" s="432" t="str">
        <f t="shared" si="208"/>
        <v>2029E</v>
      </c>
      <c r="AF213" s="432" t="str">
        <f t="shared" si="208"/>
        <v>2030E</v>
      </c>
    </row>
    <row r="214" spans="1:32">
      <c r="A214" s="1" t="s">
        <v>402</v>
      </c>
      <c r="B214" s="389">
        <f t="shared" ref="B214:AE214" si="209">+B118</f>
        <v>13.200000000000001</v>
      </c>
      <c r="C214" s="389">
        <f t="shared" si="209"/>
        <v>8.8000000000000007</v>
      </c>
      <c r="D214" s="389">
        <f t="shared" si="209"/>
        <v>28.6</v>
      </c>
      <c r="E214" s="389">
        <f t="shared" si="209"/>
        <v>24.200000000000003</v>
      </c>
      <c r="F214" s="389">
        <f t="shared" si="209"/>
        <v>48.400000000000006</v>
      </c>
      <c r="G214" s="389">
        <f t="shared" si="209"/>
        <v>50.6</v>
      </c>
      <c r="H214" s="389">
        <f t="shared" si="209"/>
        <v>96.800000000000011</v>
      </c>
      <c r="I214" s="389">
        <f t="shared" si="209"/>
        <v>129.80000000000001</v>
      </c>
      <c r="J214" s="389">
        <f t="shared" si="209"/>
        <v>116.60000000000001</v>
      </c>
      <c r="K214" s="389">
        <f t="shared" si="209"/>
        <v>180.4</v>
      </c>
      <c r="L214" s="389">
        <f t="shared" si="209"/>
        <v>151.80000000000001</v>
      </c>
      <c r="M214" s="389">
        <f t="shared" si="209"/>
        <v>156.20000000000002</v>
      </c>
      <c r="N214" s="389">
        <f t="shared" si="209"/>
        <v>176</v>
      </c>
      <c r="O214" s="389">
        <f t="shared" si="209"/>
        <v>206.8</v>
      </c>
      <c r="P214" s="389">
        <f t="shared" si="209"/>
        <v>213.4</v>
      </c>
      <c r="Q214" s="389">
        <f t="shared" si="209"/>
        <v>213.4</v>
      </c>
      <c r="R214" s="389">
        <f t="shared" si="209"/>
        <v>217.8</v>
      </c>
      <c r="S214" s="389">
        <f t="shared" si="209"/>
        <v>156.20000000000002</v>
      </c>
      <c r="T214" s="389">
        <f t="shared" si="209"/>
        <v>96.800000000000011</v>
      </c>
      <c r="U214" s="389">
        <f t="shared" si="209"/>
        <v>96.800000000000011</v>
      </c>
      <c r="V214" s="389">
        <f t="shared" si="209"/>
        <v>57.2</v>
      </c>
      <c r="W214" s="389">
        <f t="shared" si="209"/>
        <v>52.800000000000004</v>
      </c>
      <c r="X214" s="389">
        <f t="shared" si="209"/>
        <v>52.800000000000004</v>
      </c>
      <c r="Y214" s="389">
        <f t="shared" si="209"/>
        <v>57.2</v>
      </c>
      <c r="Z214" s="389">
        <f t="shared" si="209"/>
        <v>30.800000000000004</v>
      </c>
      <c r="AA214" s="389">
        <f t="shared" si="209"/>
        <v>70.400000000000006</v>
      </c>
      <c r="AB214" s="389">
        <f t="shared" si="209"/>
        <v>66</v>
      </c>
      <c r="AC214" s="389">
        <f t="shared" si="209"/>
        <v>105.60000000000001</v>
      </c>
      <c r="AD214" s="389">
        <f t="shared" si="209"/>
        <v>105.60000000000001</v>
      </c>
      <c r="AE214" s="389">
        <f t="shared" si="209"/>
        <v>105.60000000000001</v>
      </c>
      <c r="AF214" s="389">
        <f t="shared" ref="AF214" si="210">+AF118</f>
        <v>105.60000000000001</v>
      </c>
    </row>
    <row r="215" spans="1:32">
      <c r="A215" s="1" t="s">
        <v>434</v>
      </c>
      <c r="B215" s="179"/>
      <c r="C215" s="179"/>
      <c r="D215" s="179"/>
      <c r="E215" s="179"/>
      <c r="F215" s="179"/>
      <c r="G215" s="179"/>
      <c r="H215" s="179"/>
      <c r="I215" s="179"/>
      <c r="J215" s="179"/>
      <c r="K215" s="179"/>
      <c r="L215" s="179"/>
      <c r="M215" s="179"/>
      <c r="N215" s="179"/>
      <c r="O215" s="179"/>
      <c r="P215" s="179"/>
      <c r="Q215" s="179"/>
      <c r="R215" s="179"/>
      <c r="S215" s="179"/>
      <c r="T215" s="179"/>
      <c r="U215" s="179"/>
      <c r="V215" s="179"/>
      <c r="W215" s="179"/>
      <c r="X215" s="570">
        <v>6.9196017354812929</v>
      </c>
      <c r="Y215" s="398">
        <f>+AVERAGE(V215:X215)*(1+Y216)</f>
        <v>6.9887977528361063</v>
      </c>
      <c r="Z215" s="398">
        <f t="shared" ref="Z215:AF215" si="211">+Y215*(1+Z216)</f>
        <v>7.5479015730629957</v>
      </c>
      <c r="AA215" s="398">
        <f t="shared" si="211"/>
        <v>7.9252966517161454</v>
      </c>
      <c r="AB215" s="398">
        <f t="shared" si="211"/>
        <v>8.3215614843019523</v>
      </c>
      <c r="AC215" s="398">
        <f t="shared" si="211"/>
        <v>8.737639558517051</v>
      </c>
      <c r="AD215" s="398">
        <f t="shared" si="211"/>
        <v>9.1745215364429047</v>
      </c>
      <c r="AE215" s="398">
        <f t="shared" si="211"/>
        <v>9.6332476132650502</v>
      </c>
      <c r="AF215" s="398">
        <f t="shared" si="211"/>
        <v>10.114909993928302</v>
      </c>
    </row>
    <row r="216" spans="1:32">
      <c r="A216" s="1" t="s">
        <v>435</v>
      </c>
      <c r="B216" s="179"/>
      <c r="C216" s="179"/>
      <c r="D216" s="179"/>
      <c r="E216" s="179"/>
      <c r="F216" s="179"/>
      <c r="G216" s="179"/>
      <c r="H216" s="179"/>
      <c r="I216" s="179"/>
      <c r="J216" s="179"/>
      <c r="K216" s="179"/>
      <c r="L216" s="179"/>
      <c r="M216" s="179"/>
      <c r="N216" s="179"/>
      <c r="O216" s="179"/>
      <c r="P216" s="179"/>
      <c r="Q216" s="179"/>
      <c r="R216" s="179"/>
      <c r="S216" s="179"/>
      <c r="T216" s="179"/>
      <c r="U216" s="179"/>
      <c r="V216" s="179"/>
      <c r="W216" s="179"/>
      <c r="X216" s="179"/>
      <c r="Y216" s="202">
        <v>0.01</v>
      </c>
      <c r="Z216" s="538">
        <v>0.08</v>
      </c>
      <c r="AA216" s="538">
        <v>0.05</v>
      </c>
      <c r="AB216" s="538">
        <v>0.05</v>
      </c>
      <c r="AC216" s="538">
        <v>0.05</v>
      </c>
      <c r="AD216" s="538">
        <v>0.05</v>
      </c>
      <c r="AE216" s="538">
        <v>0.05</v>
      </c>
      <c r="AF216" s="538">
        <v>0.05</v>
      </c>
    </row>
    <row r="217" spans="1:32">
      <c r="A217" s="1" t="s">
        <v>436</v>
      </c>
      <c r="B217" s="179"/>
      <c r="C217" s="179"/>
      <c r="D217" s="179"/>
      <c r="E217" s="179"/>
      <c r="F217" s="179"/>
      <c r="G217" s="179"/>
      <c r="H217" s="179"/>
      <c r="I217" s="179"/>
      <c r="J217" s="179"/>
      <c r="K217" s="179"/>
      <c r="L217" s="179"/>
      <c r="M217" s="179"/>
      <c r="N217" s="179"/>
      <c r="O217" s="179"/>
      <c r="P217" s="179"/>
      <c r="Q217" s="179"/>
      <c r="R217" s="179"/>
      <c r="S217" s="179"/>
      <c r="T217" s="379"/>
      <c r="U217" s="381"/>
      <c r="V217" s="381"/>
      <c r="W217" s="381"/>
      <c r="X217" s="328">
        <f>X129</f>
        <v>1</v>
      </c>
      <c r="Y217" s="328">
        <f>Y129</f>
        <v>1</v>
      </c>
      <c r="Z217" s="328">
        <f>Z129</f>
        <v>1</v>
      </c>
      <c r="AA217" s="328">
        <f>AA129</f>
        <v>1</v>
      </c>
      <c r="AB217" s="328">
        <v>0.8</v>
      </c>
      <c r="AC217" s="328">
        <v>0.8</v>
      </c>
      <c r="AD217" s="328">
        <v>0.8</v>
      </c>
      <c r="AE217" s="328">
        <v>0.8</v>
      </c>
      <c r="AF217" s="328">
        <v>0.8</v>
      </c>
    </row>
    <row r="218" spans="1:32">
      <c r="A218" s="366" t="s">
        <v>428</v>
      </c>
      <c r="B218" s="391"/>
      <c r="C218" s="391"/>
      <c r="D218" s="391"/>
      <c r="E218" s="391"/>
      <c r="F218" s="391"/>
      <c r="G218" s="391"/>
      <c r="H218" s="391"/>
      <c r="I218" s="391"/>
      <c r="J218" s="391"/>
      <c r="K218" s="391"/>
      <c r="L218" s="391"/>
      <c r="M218" s="391"/>
      <c r="N218" s="391"/>
      <c r="O218" s="391"/>
      <c r="P218" s="391"/>
      <c r="Q218" s="391"/>
      <c r="R218" s="391"/>
      <c r="S218" s="391"/>
      <c r="T218" s="392"/>
      <c r="U218" s="394"/>
      <c r="V218" s="394"/>
      <c r="W218" s="394"/>
      <c r="X218" s="406">
        <f t="shared" ref="X218:AE218" si="212">X214*X215*X217</f>
        <v>365.35497163341228</v>
      </c>
      <c r="Y218" s="406">
        <f t="shared" si="212"/>
        <v>399.75923146222527</v>
      </c>
      <c r="Z218" s="406">
        <f t="shared" si="212"/>
        <v>232.47536845034031</v>
      </c>
      <c r="AA218" s="406">
        <f t="shared" si="212"/>
        <v>557.9408842808167</v>
      </c>
      <c r="AB218" s="406">
        <f t="shared" si="212"/>
        <v>439.37844637114307</v>
      </c>
      <c r="AC218" s="406">
        <f t="shared" si="212"/>
        <v>738.1557899035206</v>
      </c>
      <c r="AD218" s="406">
        <f t="shared" si="212"/>
        <v>775.06357939869667</v>
      </c>
      <c r="AE218" s="406">
        <f t="shared" si="212"/>
        <v>813.81675836863155</v>
      </c>
      <c r="AF218" s="406">
        <f t="shared" ref="AF218" si="213">AF214*AF215*AF217</f>
        <v>854.50759628706317</v>
      </c>
    </row>
    <row r="219" spans="1:32">
      <c r="A219" s="1" t="s">
        <v>437</v>
      </c>
      <c r="B219" s="179"/>
      <c r="C219" s="179"/>
      <c r="D219" s="179"/>
      <c r="E219" s="179"/>
      <c r="F219" s="179"/>
      <c r="G219" s="179"/>
      <c r="H219" s="179"/>
      <c r="I219" s="179"/>
      <c r="J219" s="179"/>
      <c r="K219" s="179"/>
      <c r="L219" s="179"/>
      <c r="M219" s="179"/>
      <c r="N219" s="179"/>
      <c r="O219" s="179"/>
      <c r="P219" s="179"/>
      <c r="Q219" s="179"/>
      <c r="R219" s="179"/>
      <c r="S219" s="179"/>
      <c r="T219" s="179"/>
      <c r="U219" s="179"/>
      <c r="V219" s="179"/>
      <c r="W219" s="179"/>
      <c r="X219" s="389">
        <f t="shared" ref="X219:AF219" si="214">+(AVERAGE(N214:S214)*X$199+AVERAGE(I214:N214)*X$200+AVERAGE(D214:I214)*X$201)*X220</f>
        <v>151.99799999999999</v>
      </c>
      <c r="Y219" s="389">
        <f t="shared" si="214"/>
        <v>175.30333333333331</v>
      </c>
      <c r="Z219" s="389">
        <f t="shared" si="214"/>
        <v>194.33516666666665</v>
      </c>
      <c r="AA219" s="389">
        <f t="shared" si="214"/>
        <v>192.3075</v>
      </c>
      <c r="AB219" s="389">
        <f t="shared" si="214"/>
        <v>205.71833333333331</v>
      </c>
      <c r="AC219" s="389">
        <f t="shared" si="214"/>
        <v>204.4735</v>
      </c>
      <c r="AD219" s="389">
        <f t="shared" si="214"/>
        <v>189.25316666666666</v>
      </c>
      <c r="AE219" s="389">
        <f t="shared" si="214"/>
        <v>175.62416666666664</v>
      </c>
      <c r="AF219" s="389">
        <f t="shared" si="214"/>
        <v>159.46699999999998</v>
      </c>
    </row>
    <row r="220" spans="1:32">
      <c r="A220" s="1" t="s">
        <v>438</v>
      </c>
      <c r="B220" s="179"/>
      <c r="C220" s="179"/>
      <c r="D220" s="179"/>
      <c r="E220" s="179"/>
      <c r="F220" s="179"/>
      <c r="G220" s="179"/>
      <c r="H220" s="179"/>
      <c r="I220" s="179"/>
      <c r="J220" s="179"/>
      <c r="K220" s="179"/>
      <c r="L220" s="179"/>
      <c r="M220" s="179"/>
      <c r="N220" s="179"/>
      <c r="O220" s="179"/>
      <c r="P220" s="179"/>
      <c r="Q220" s="179"/>
      <c r="R220" s="179"/>
      <c r="S220" s="179"/>
      <c r="T220" s="179"/>
      <c r="U220" s="179"/>
      <c r="V220" s="179"/>
      <c r="W220" s="179"/>
      <c r="X220" s="558">
        <v>0.7</v>
      </c>
      <c r="Y220" s="558">
        <v>0.7</v>
      </c>
      <c r="Z220" s="558">
        <v>0.7</v>
      </c>
      <c r="AA220" s="558">
        <v>0.7</v>
      </c>
      <c r="AB220" s="558">
        <v>0.7</v>
      </c>
      <c r="AC220" s="558">
        <v>0.7</v>
      </c>
      <c r="AD220" s="558">
        <v>0.7</v>
      </c>
      <c r="AE220" s="558">
        <v>0.7</v>
      </c>
      <c r="AF220" s="558">
        <v>0.7</v>
      </c>
    </row>
    <row r="221" spans="1:32">
      <c r="A221" s="366" t="s">
        <v>429</v>
      </c>
      <c r="B221" s="391"/>
      <c r="C221" s="391"/>
      <c r="D221" s="391"/>
      <c r="E221" s="391"/>
      <c r="F221" s="391"/>
      <c r="G221" s="391"/>
      <c r="H221" s="391"/>
      <c r="I221" s="391"/>
      <c r="J221" s="391"/>
      <c r="K221" s="391"/>
      <c r="L221" s="391"/>
      <c r="M221" s="391"/>
      <c r="N221" s="391"/>
      <c r="O221" s="391"/>
      <c r="P221" s="391"/>
      <c r="Q221" s="391"/>
      <c r="R221" s="391"/>
      <c r="S221" s="391"/>
      <c r="T221" s="391"/>
      <c r="U221" s="391"/>
      <c r="V221" s="391"/>
      <c r="W221" s="391"/>
      <c r="X221" s="391"/>
      <c r="Y221" s="406">
        <f t="shared" ref="Y221:AE221" si="215">+Y219*Y$152</f>
        <v>1442.7464333333332</v>
      </c>
      <c r="Z221" s="406">
        <f t="shared" si="215"/>
        <v>1695.3411269666667</v>
      </c>
      <c r="AA221" s="406">
        <f t="shared" si="215"/>
        <v>2097.065210625</v>
      </c>
      <c r="AB221" s="406">
        <f t="shared" si="215"/>
        <v>2546.1534397979162</v>
      </c>
      <c r="AC221" s="406">
        <f t="shared" si="215"/>
        <v>2644.6298552921844</v>
      </c>
      <c r="AD221" s="406">
        <f t="shared" si="215"/>
        <v>2570.1609426845876</v>
      </c>
      <c r="AE221" s="406">
        <f t="shared" si="215"/>
        <v>2504.3252950207166</v>
      </c>
      <c r="AF221" s="406">
        <f t="shared" ref="AF221" si="216">+AF219*AF$152</f>
        <v>2387.6275792271681</v>
      </c>
    </row>
    <row r="222" spans="1:32">
      <c r="A222" s="1"/>
      <c r="B222" s="179"/>
      <c r="C222" s="179"/>
      <c r="D222" s="179"/>
      <c r="E222" s="179"/>
      <c r="F222" s="179"/>
      <c r="G222" s="179"/>
      <c r="H222" s="179"/>
      <c r="I222" s="179"/>
      <c r="J222" s="179"/>
      <c r="K222" s="179"/>
      <c r="L222" s="179"/>
      <c r="M222" s="179"/>
      <c r="N222" s="179"/>
      <c r="O222" s="179"/>
      <c r="P222" s="179"/>
      <c r="Q222" s="179"/>
      <c r="R222" s="179"/>
      <c r="S222" s="179"/>
      <c r="T222" s="179"/>
      <c r="U222" s="179"/>
      <c r="V222" s="179"/>
      <c r="W222" s="179"/>
      <c r="X222" s="179"/>
      <c r="Y222" s="389"/>
      <c r="Z222" s="403"/>
      <c r="AA222" s="403"/>
      <c r="AB222" s="403"/>
      <c r="AC222" s="403"/>
      <c r="AD222" s="403"/>
      <c r="AE222" s="403"/>
      <c r="AF222" s="403"/>
    </row>
    <row r="223" spans="1:32">
      <c r="A223" s="433" t="s">
        <v>391</v>
      </c>
      <c r="B223" s="432">
        <f t="shared" ref="B223:AF223" si="217">+B$1</f>
        <v>2000</v>
      </c>
      <c r="C223" s="432">
        <f t="shared" si="217"/>
        <v>2001</v>
      </c>
      <c r="D223" s="432">
        <f t="shared" si="217"/>
        <v>2002</v>
      </c>
      <c r="E223" s="432">
        <f t="shared" si="217"/>
        <v>2003</v>
      </c>
      <c r="F223" s="432">
        <f t="shared" si="217"/>
        <v>2004</v>
      </c>
      <c r="G223" s="432">
        <f t="shared" si="217"/>
        <v>2005</v>
      </c>
      <c r="H223" s="432">
        <f t="shared" si="217"/>
        <v>2006</v>
      </c>
      <c r="I223" s="432">
        <f t="shared" si="217"/>
        <v>2007</v>
      </c>
      <c r="J223" s="432">
        <f t="shared" si="217"/>
        <v>2008</v>
      </c>
      <c r="K223" s="432">
        <f t="shared" si="217"/>
        <v>2009</v>
      </c>
      <c r="L223" s="432">
        <f t="shared" si="217"/>
        <v>2010</v>
      </c>
      <c r="M223" s="432">
        <f t="shared" si="217"/>
        <v>2011</v>
      </c>
      <c r="N223" s="432">
        <f t="shared" si="217"/>
        <v>2012</v>
      </c>
      <c r="O223" s="432">
        <f t="shared" si="217"/>
        <v>2013</v>
      </c>
      <c r="P223" s="432">
        <f t="shared" si="217"/>
        <v>2014</v>
      </c>
      <c r="Q223" s="432">
        <f t="shared" si="217"/>
        <v>2015</v>
      </c>
      <c r="R223" s="432">
        <f t="shared" si="217"/>
        <v>2016</v>
      </c>
      <c r="S223" s="432">
        <f t="shared" si="217"/>
        <v>2017</v>
      </c>
      <c r="T223" s="432">
        <f t="shared" si="217"/>
        <v>2018</v>
      </c>
      <c r="U223" s="432">
        <f t="shared" si="217"/>
        <v>2019</v>
      </c>
      <c r="V223" s="432">
        <f t="shared" si="217"/>
        <v>2020</v>
      </c>
      <c r="W223" s="432">
        <f t="shared" si="217"/>
        <v>2021</v>
      </c>
      <c r="X223" s="432">
        <f t="shared" si="217"/>
        <v>2022</v>
      </c>
      <c r="Y223" s="432">
        <f t="shared" si="217"/>
        <v>2023</v>
      </c>
      <c r="Z223" s="432">
        <f t="shared" si="217"/>
        <v>2024</v>
      </c>
      <c r="AA223" s="432" t="str">
        <f t="shared" si="217"/>
        <v>2025A</v>
      </c>
      <c r="AB223" s="432" t="str">
        <f t="shared" si="217"/>
        <v>2026E</v>
      </c>
      <c r="AC223" s="432" t="str">
        <f t="shared" si="217"/>
        <v>2027E</v>
      </c>
      <c r="AD223" s="432" t="str">
        <f t="shared" si="217"/>
        <v>2028E</v>
      </c>
      <c r="AE223" s="432" t="str">
        <f t="shared" si="217"/>
        <v>2029E</v>
      </c>
      <c r="AF223" s="432" t="str">
        <f t="shared" si="217"/>
        <v>2030E</v>
      </c>
    </row>
    <row r="224" spans="1:32">
      <c r="A224" s="1" t="s">
        <v>402</v>
      </c>
      <c r="B224" s="389">
        <f t="shared" ref="B224:AE224" si="218">+B120</f>
        <v>0</v>
      </c>
      <c r="C224" s="389">
        <f t="shared" si="218"/>
        <v>0</v>
      </c>
      <c r="D224" s="389">
        <f t="shared" si="218"/>
        <v>0</v>
      </c>
      <c r="E224" s="389">
        <f t="shared" si="218"/>
        <v>0</v>
      </c>
      <c r="F224" s="389">
        <f t="shared" si="218"/>
        <v>0</v>
      </c>
      <c r="G224" s="389">
        <f t="shared" si="218"/>
        <v>0</v>
      </c>
      <c r="H224" s="389">
        <f t="shared" si="218"/>
        <v>0</v>
      </c>
      <c r="I224" s="389">
        <f t="shared" si="218"/>
        <v>0</v>
      </c>
      <c r="J224" s="389">
        <f t="shared" si="218"/>
        <v>8.8000000000000007</v>
      </c>
      <c r="K224" s="389">
        <f t="shared" si="218"/>
        <v>13.200000000000001</v>
      </c>
      <c r="L224" s="389">
        <f t="shared" si="218"/>
        <v>39.6</v>
      </c>
      <c r="M224" s="389">
        <f t="shared" si="218"/>
        <v>44</v>
      </c>
      <c r="N224" s="389">
        <f t="shared" si="218"/>
        <v>57.2</v>
      </c>
      <c r="O224" s="389">
        <f t="shared" si="218"/>
        <v>70.400000000000006</v>
      </c>
      <c r="P224" s="389">
        <f t="shared" si="218"/>
        <v>92.4</v>
      </c>
      <c r="Q224" s="389">
        <f t="shared" si="218"/>
        <v>92.4</v>
      </c>
      <c r="R224" s="389">
        <f t="shared" si="218"/>
        <v>92.4</v>
      </c>
      <c r="S224" s="389">
        <f t="shared" si="218"/>
        <v>22</v>
      </c>
      <c r="T224" s="389">
        <f t="shared" si="218"/>
        <v>4.4000000000000004</v>
      </c>
      <c r="U224" s="389">
        <f t="shared" si="218"/>
        <v>0</v>
      </c>
      <c r="V224" s="389">
        <f t="shared" si="218"/>
        <v>0</v>
      </c>
      <c r="W224" s="389">
        <f t="shared" si="218"/>
        <v>0</v>
      </c>
      <c r="X224" s="389">
        <f t="shared" si="218"/>
        <v>0</v>
      </c>
      <c r="Y224" s="389">
        <f t="shared" si="218"/>
        <v>0</v>
      </c>
      <c r="Z224" s="389">
        <f t="shared" si="218"/>
        <v>0</v>
      </c>
      <c r="AA224" s="389">
        <f t="shared" si="218"/>
        <v>0</v>
      </c>
      <c r="AB224" s="389">
        <f t="shared" si="218"/>
        <v>0</v>
      </c>
      <c r="AC224" s="389">
        <f t="shared" si="218"/>
        <v>0</v>
      </c>
      <c r="AD224" s="389">
        <f t="shared" si="218"/>
        <v>0</v>
      </c>
      <c r="AE224" s="389">
        <f t="shared" si="218"/>
        <v>0</v>
      </c>
      <c r="AF224" s="389">
        <f t="shared" ref="AF224" si="219">+AF120</f>
        <v>0</v>
      </c>
    </row>
    <row r="225" spans="1:32">
      <c r="A225" s="1" t="s">
        <v>434</v>
      </c>
      <c r="B225" s="389"/>
      <c r="C225" s="389"/>
      <c r="D225" s="389"/>
      <c r="E225" s="389"/>
      <c r="F225" s="389"/>
      <c r="G225" s="389"/>
      <c r="H225" s="389"/>
      <c r="I225" s="389"/>
      <c r="J225" s="389"/>
      <c r="K225" s="389"/>
      <c r="L225" s="389"/>
      <c r="M225" s="389"/>
      <c r="N225" s="389"/>
      <c r="O225" s="389"/>
      <c r="P225" s="389"/>
      <c r="Q225" s="389"/>
      <c r="R225" s="389"/>
      <c r="S225" s="389"/>
      <c r="T225" s="389"/>
      <c r="U225" s="389"/>
      <c r="V225" s="389"/>
      <c r="W225" s="389"/>
      <c r="X225" s="381">
        <v>4.1936980215038142</v>
      </c>
      <c r="Y225" s="398">
        <f>+AVERAGE(V225:X225)*(1+Y226)</f>
        <v>4.1936980215038142</v>
      </c>
      <c r="Z225" s="398">
        <f t="shared" ref="Z225:AF225" si="220">+Y225*(1+Z226)</f>
        <v>4.1936980215038142</v>
      </c>
      <c r="AA225" s="398">
        <f t="shared" si="220"/>
        <v>4.1936980215038142</v>
      </c>
      <c r="AB225" s="398">
        <f t="shared" si="220"/>
        <v>4.1936980215038142</v>
      </c>
      <c r="AC225" s="398">
        <f t="shared" si="220"/>
        <v>4.1936980215038142</v>
      </c>
      <c r="AD225" s="398">
        <f t="shared" si="220"/>
        <v>4.1936980215038142</v>
      </c>
      <c r="AE225" s="398">
        <f t="shared" si="220"/>
        <v>4.1936980215038142</v>
      </c>
      <c r="AF225" s="398">
        <f t="shared" si="220"/>
        <v>4.1936980215038142</v>
      </c>
    </row>
    <row r="226" spans="1:32">
      <c r="A226" s="1" t="s">
        <v>435</v>
      </c>
      <c r="B226" s="389"/>
      <c r="C226" s="389"/>
      <c r="D226" s="389"/>
      <c r="E226" s="389"/>
      <c r="F226" s="389"/>
      <c r="G226" s="389"/>
      <c r="H226" s="389"/>
      <c r="I226" s="389"/>
      <c r="J226" s="389"/>
      <c r="K226" s="389"/>
      <c r="L226" s="389"/>
      <c r="M226" s="389"/>
      <c r="N226" s="389"/>
      <c r="O226" s="389"/>
      <c r="P226" s="389"/>
      <c r="Q226" s="389"/>
      <c r="R226" s="389"/>
      <c r="S226" s="389"/>
      <c r="T226" s="389"/>
      <c r="U226" s="389"/>
      <c r="V226" s="389"/>
      <c r="W226" s="389"/>
      <c r="X226" s="179"/>
      <c r="Y226" s="202">
        <v>0</v>
      </c>
      <c r="Z226" s="202">
        <f t="shared" ref="Z226:AF226" si="221">+Y226</f>
        <v>0</v>
      </c>
      <c r="AA226" s="202">
        <f t="shared" si="221"/>
        <v>0</v>
      </c>
      <c r="AB226" s="202">
        <f t="shared" si="221"/>
        <v>0</v>
      </c>
      <c r="AC226" s="202">
        <f t="shared" si="221"/>
        <v>0</v>
      </c>
      <c r="AD226" s="202">
        <f t="shared" si="221"/>
        <v>0</v>
      </c>
      <c r="AE226" s="202">
        <f t="shared" si="221"/>
        <v>0</v>
      </c>
      <c r="AF226" s="202">
        <f t="shared" si="221"/>
        <v>0</v>
      </c>
    </row>
    <row r="227" spans="1:32">
      <c r="A227" s="1" t="s">
        <v>436</v>
      </c>
      <c r="B227" s="179"/>
      <c r="C227" s="179"/>
      <c r="D227" s="179"/>
      <c r="E227" s="179"/>
      <c r="F227" s="179"/>
      <c r="G227" s="179"/>
      <c r="H227" s="179"/>
      <c r="I227" s="179"/>
      <c r="J227" s="179"/>
      <c r="K227" s="179"/>
      <c r="L227" s="179"/>
      <c r="M227" s="179"/>
      <c r="N227" s="179"/>
      <c r="O227" s="179"/>
      <c r="P227" s="179"/>
      <c r="Q227" s="179"/>
      <c r="R227" s="179"/>
      <c r="S227" s="179"/>
      <c r="T227" s="379"/>
      <c r="U227" s="381"/>
      <c r="V227" s="381"/>
      <c r="W227" s="381"/>
      <c r="X227" s="328">
        <v>0</v>
      </c>
      <c r="Y227" s="328">
        <v>0</v>
      </c>
      <c r="Z227" s="328">
        <v>0</v>
      </c>
      <c r="AA227" s="328">
        <v>0</v>
      </c>
      <c r="AB227" s="328">
        <v>0</v>
      </c>
      <c r="AC227" s="328">
        <v>0</v>
      </c>
      <c r="AD227" s="328">
        <v>0</v>
      </c>
      <c r="AE227" s="328">
        <v>0</v>
      </c>
      <c r="AF227" s="328">
        <v>0</v>
      </c>
    </row>
    <row r="228" spans="1:32">
      <c r="A228" s="366" t="s">
        <v>428</v>
      </c>
      <c r="B228" s="391"/>
      <c r="C228" s="391"/>
      <c r="D228" s="391"/>
      <c r="E228" s="391"/>
      <c r="F228" s="391"/>
      <c r="G228" s="391"/>
      <c r="H228" s="391"/>
      <c r="I228" s="391"/>
      <c r="J228" s="391"/>
      <c r="K228" s="391"/>
      <c r="L228" s="391"/>
      <c r="M228" s="391"/>
      <c r="N228" s="391"/>
      <c r="O228" s="391"/>
      <c r="P228" s="391"/>
      <c r="Q228" s="391"/>
      <c r="R228" s="391"/>
      <c r="S228" s="391"/>
      <c r="T228" s="392"/>
      <c r="U228" s="394"/>
      <c r="V228" s="394"/>
      <c r="W228" s="394"/>
      <c r="X228" s="406">
        <f t="shared" ref="X228:AE228" si="222">X224*X225*X227</f>
        <v>0</v>
      </c>
      <c r="Y228" s="406">
        <f t="shared" si="222"/>
        <v>0</v>
      </c>
      <c r="Z228" s="406">
        <f t="shared" si="222"/>
        <v>0</v>
      </c>
      <c r="AA228" s="406">
        <f t="shared" si="222"/>
        <v>0</v>
      </c>
      <c r="AB228" s="406">
        <f t="shared" si="222"/>
        <v>0</v>
      </c>
      <c r="AC228" s="406">
        <f t="shared" si="222"/>
        <v>0</v>
      </c>
      <c r="AD228" s="406">
        <f t="shared" si="222"/>
        <v>0</v>
      </c>
      <c r="AE228" s="406">
        <f t="shared" si="222"/>
        <v>0</v>
      </c>
      <c r="AF228" s="406">
        <f t="shared" ref="AF228" si="223">AF224*AF225*AF227</f>
        <v>0</v>
      </c>
    </row>
    <row r="229" spans="1:32">
      <c r="A229" s="1" t="s">
        <v>437</v>
      </c>
      <c r="B229" s="179"/>
      <c r="C229" s="179"/>
      <c r="D229" s="179"/>
      <c r="E229" s="179"/>
      <c r="F229" s="179"/>
      <c r="G229" s="179"/>
      <c r="H229" s="179"/>
      <c r="I229" s="179"/>
      <c r="J229" s="179"/>
      <c r="K229" s="179"/>
      <c r="L229" s="179"/>
      <c r="M229" s="179"/>
      <c r="N229" s="179"/>
      <c r="O229" s="179"/>
      <c r="P229" s="179"/>
      <c r="Q229" s="179"/>
      <c r="R229" s="179"/>
      <c r="S229" s="179"/>
      <c r="T229" s="179"/>
      <c r="U229" s="179"/>
      <c r="V229" s="179"/>
      <c r="W229" s="179"/>
      <c r="X229" s="389">
        <f t="shared" ref="X229:AF229" si="224">+(AVERAGE(N224:S224)*X$199+AVERAGE(I224:N224)*X$200+AVERAGE(D224:I224)*X$201)*X230</f>
        <v>31.679999999999996</v>
      </c>
      <c r="Y229" s="389">
        <f t="shared" si="224"/>
        <v>36.318333333333335</v>
      </c>
      <c r="Z229" s="389">
        <f t="shared" si="224"/>
        <v>38.921666666666674</v>
      </c>
      <c r="AA229" s="389">
        <f t="shared" si="224"/>
        <v>37.803333333333327</v>
      </c>
      <c r="AB229" s="389">
        <f t="shared" si="224"/>
        <v>38.664999999999992</v>
      </c>
      <c r="AC229" s="389">
        <f t="shared" si="224"/>
        <v>35.291666666666664</v>
      </c>
      <c r="AD229" s="389">
        <f t="shared" si="224"/>
        <v>32.083333333333336</v>
      </c>
      <c r="AE229" s="389">
        <f t="shared" si="224"/>
        <v>29.480000000000004</v>
      </c>
      <c r="AF229" s="389">
        <f t="shared" si="224"/>
        <v>25.630000000000003</v>
      </c>
    </row>
    <row r="230" spans="1:32">
      <c r="A230" s="1" t="s">
        <v>438</v>
      </c>
      <c r="B230" s="179"/>
      <c r="C230" s="179"/>
      <c r="D230" s="179"/>
      <c r="E230" s="179"/>
      <c r="F230" s="179"/>
      <c r="G230" s="179"/>
      <c r="H230" s="179"/>
      <c r="I230" s="179"/>
      <c r="J230" s="179"/>
      <c r="K230" s="179"/>
      <c r="L230" s="179"/>
      <c r="M230" s="179"/>
      <c r="N230" s="179"/>
      <c r="O230" s="179"/>
      <c r="P230" s="179"/>
      <c r="Q230" s="179"/>
      <c r="R230" s="179"/>
      <c r="S230" s="179"/>
      <c r="T230" s="179"/>
      <c r="U230" s="179"/>
      <c r="V230" s="179"/>
      <c r="W230" s="179"/>
      <c r="X230" s="558">
        <f t="shared" ref="X230:AE230" si="225">+X131</f>
        <v>0.5</v>
      </c>
      <c r="Y230" s="558">
        <f t="shared" si="225"/>
        <v>0.5</v>
      </c>
      <c r="Z230" s="558">
        <f t="shared" si="225"/>
        <v>0.5</v>
      </c>
      <c r="AA230" s="558">
        <f t="shared" si="225"/>
        <v>0.5</v>
      </c>
      <c r="AB230" s="558">
        <f t="shared" si="225"/>
        <v>0.5</v>
      </c>
      <c r="AC230" s="558">
        <f t="shared" si="225"/>
        <v>0.5</v>
      </c>
      <c r="AD230" s="558">
        <f t="shared" si="225"/>
        <v>0.5</v>
      </c>
      <c r="AE230" s="558">
        <f t="shared" si="225"/>
        <v>0.5</v>
      </c>
      <c r="AF230" s="558">
        <f t="shared" ref="AF230" si="226">+AF131</f>
        <v>0.5</v>
      </c>
    </row>
    <row r="231" spans="1:32">
      <c r="A231" s="366" t="s">
        <v>429</v>
      </c>
      <c r="B231" s="391"/>
      <c r="C231" s="391"/>
      <c r="D231" s="391"/>
      <c r="E231" s="391"/>
      <c r="F231" s="391"/>
      <c r="G231" s="391"/>
      <c r="H231" s="391"/>
      <c r="I231" s="391"/>
      <c r="J231" s="391"/>
      <c r="K231" s="391"/>
      <c r="L231" s="391"/>
      <c r="M231" s="391"/>
      <c r="N231" s="391"/>
      <c r="O231" s="391"/>
      <c r="P231" s="391"/>
      <c r="Q231" s="391"/>
      <c r="R231" s="391"/>
      <c r="S231" s="391"/>
      <c r="T231" s="391"/>
      <c r="U231" s="391"/>
      <c r="V231" s="391"/>
      <c r="W231" s="391"/>
      <c r="X231" s="391"/>
      <c r="Y231" s="406">
        <f t="shared" ref="Y231:AE231" si="227">+Y229*Y$152</f>
        <v>298.89988333333338</v>
      </c>
      <c r="Z231" s="406">
        <f t="shared" si="227"/>
        <v>339.54483566666676</v>
      </c>
      <c r="AA231" s="406">
        <f t="shared" si="227"/>
        <v>412.23589916666663</v>
      </c>
      <c r="AB231" s="406">
        <f t="shared" si="227"/>
        <v>478.55250018124991</v>
      </c>
      <c r="AC231" s="406">
        <f t="shared" si="227"/>
        <v>456.45717078098954</v>
      </c>
      <c r="AD231" s="406">
        <f t="shared" si="227"/>
        <v>435.7091175636719</v>
      </c>
      <c r="AE231" s="406">
        <f t="shared" si="227"/>
        <v>420.3721566254307</v>
      </c>
      <c r="AF231" s="406">
        <f t="shared" ref="AF231" si="228">+AF229*AF$152</f>
        <v>383.74644820302842</v>
      </c>
    </row>
    <row r="232" spans="1:32">
      <c r="A232" s="1"/>
      <c r="B232" s="179"/>
      <c r="C232" s="179"/>
      <c r="D232" s="179"/>
      <c r="E232" s="179"/>
      <c r="F232" s="179"/>
      <c r="G232" s="179"/>
      <c r="H232" s="179"/>
      <c r="I232" s="179"/>
      <c r="J232" s="179"/>
      <c r="K232" s="179"/>
      <c r="L232" s="179"/>
      <c r="M232" s="179"/>
      <c r="N232" s="179"/>
      <c r="O232" s="179"/>
      <c r="P232" s="179"/>
      <c r="Q232" s="179"/>
      <c r="R232" s="179"/>
      <c r="S232" s="179"/>
      <c r="T232" s="179"/>
      <c r="U232" s="179"/>
      <c r="V232" s="179"/>
      <c r="W232" s="179"/>
      <c r="X232" s="179"/>
      <c r="Y232" s="179"/>
      <c r="Z232" s="179"/>
      <c r="AA232" s="179"/>
      <c r="AB232" s="179"/>
      <c r="AC232" s="179"/>
      <c r="AD232" s="179"/>
      <c r="AE232" s="179"/>
      <c r="AF232" s="179"/>
    </row>
    <row r="233" spans="1:32">
      <c r="A233" s="453" t="s">
        <v>458</v>
      </c>
      <c r="B233" s="454">
        <f t="shared" ref="B233:AF233" si="229">+B$1</f>
        <v>2000</v>
      </c>
      <c r="C233" s="454">
        <f t="shared" si="229"/>
        <v>2001</v>
      </c>
      <c r="D233" s="454">
        <f t="shared" si="229"/>
        <v>2002</v>
      </c>
      <c r="E233" s="454">
        <f t="shared" si="229"/>
        <v>2003</v>
      </c>
      <c r="F233" s="454">
        <f t="shared" si="229"/>
        <v>2004</v>
      </c>
      <c r="G233" s="454">
        <f t="shared" si="229"/>
        <v>2005</v>
      </c>
      <c r="H233" s="454">
        <f t="shared" si="229"/>
        <v>2006</v>
      </c>
      <c r="I233" s="454">
        <f t="shared" si="229"/>
        <v>2007</v>
      </c>
      <c r="J233" s="454">
        <f t="shared" si="229"/>
        <v>2008</v>
      </c>
      <c r="K233" s="454">
        <f t="shared" si="229"/>
        <v>2009</v>
      </c>
      <c r="L233" s="454">
        <f t="shared" si="229"/>
        <v>2010</v>
      </c>
      <c r="M233" s="454">
        <f t="shared" si="229"/>
        <v>2011</v>
      </c>
      <c r="N233" s="454">
        <f t="shared" si="229"/>
        <v>2012</v>
      </c>
      <c r="O233" s="454">
        <f t="shared" si="229"/>
        <v>2013</v>
      </c>
      <c r="P233" s="454">
        <f t="shared" si="229"/>
        <v>2014</v>
      </c>
      <c r="Q233" s="454">
        <f t="shared" si="229"/>
        <v>2015</v>
      </c>
      <c r="R233" s="454">
        <f t="shared" si="229"/>
        <v>2016</v>
      </c>
      <c r="S233" s="454">
        <f t="shared" si="229"/>
        <v>2017</v>
      </c>
      <c r="T233" s="454">
        <f t="shared" si="229"/>
        <v>2018</v>
      </c>
      <c r="U233" s="454">
        <f t="shared" si="229"/>
        <v>2019</v>
      </c>
      <c r="V233" s="454">
        <f t="shared" si="229"/>
        <v>2020</v>
      </c>
      <c r="W233" s="454">
        <f t="shared" si="229"/>
        <v>2021</v>
      </c>
      <c r="X233" s="454">
        <f t="shared" si="229"/>
        <v>2022</v>
      </c>
      <c r="Y233" s="454">
        <f t="shared" si="229"/>
        <v>2023</v>
      </c>
      <c r="Z233" s="454">
        <f t="shared" si="229"/>
        <v>2024</v>
      </c>
      <c r="AA233" s="454" t="str">
        <f t="shared" si="229"/>
        <v>2025A</v>
      </c>
      <c r="AB233" s="454" t="str">
        <f t="shared" si="229"/>
        <v>2026E</v>
      </c>
      <c r="AC233" s="454" t="str">
        <f t="shared" si="229"/>
        <v>2027E</v>
      </c>
      <c r="AD233" s="454" t="str">
        <f t="shared" si="229"/>
        <v>2028E</v>
      </c>
      <c r="AE233" s="454" t="str">
        <f t="shared" si="229"/>
        <v>2029E</v>
      </c>
      <c r="AF233" s="454" t="str">
        <f t="shared" si="229"/>
        <v>2030E</v>
      </c>
    </row>
    <row r="234" spans="1:32">
      <c r="A234" s="404" t="s">
        <v>457</v>
      </c>
      <c r="B234" s="179"/>
      <c r="C234" s="179"/>
      <c r="D234" s="179"/>
      <c r="E234" s="179"/>
      <c r="F234" s="179"/>
      <c r="G234" s="179"/>
      <c r="H234" s="179"/>
      <c r="I234" s="179"/>
      <c r="J234" s="179"/>
      <c r="K234" s="179"/>
      <c r="L234" s="179"/>
      <c r="M234" s="179"/>
      <c r="N234" s="179"/>
      <c r="O234" s="179"/>
      <c r="P234" s="179"/>
      <c r="Q234" s="179"/>
      <c r="R234" s="179"/>
      <c r="S234" s="179"/>
      <c r="T234" s="179"/>
      <c r="U234" s="179"/>
      <c r="V234" s="179"/>
      <c r="W234" s="179"/>
      <c r="X234" s="179"/>
      <c r="Y234" s="179"/>
      <c r="Z234" s="179"/>
      <c r="AA234" s="179"/>
      <c r="AB234" s="179"/>
      <c r="AC234" s="179"/>
      <c r="AD234" s="179"/>
      <c r="AE234" s="179"/>
      <c r="AF234" s="179"/>
    </row>
    <row r="235" spans="1:32">
      <c r="A235" s="3" t="s">
        <v>430</v>
      </c>
      <c r="B235" s="179"/>
      <c r="C235" s="179"/>
      <c r="D235" s="179"/>
      <c r="E235" s="179"/>
      <c r="F235" s="179"/>
      <c r="G235" s="179"/>
      <c r="H235" s="179"/>
      <c r="I235" s="179"/>
      <c r="J235" s="179"/>
      <c r="K235" s="179"/>
      <c r="L235" s="179"/>
      <c r="M235" s="179"/>
      <c r="N235" s="179"/>
      <c r="O235" s="179"/>
      <c r="P235" s="179"/>
      <c r="Q235" s="179"/>
      <c r="R235" s="179"/>
      <c r="S235" s="179"/>
      <c r="T235" s="179"/>
      <c r="U235" s="179"/>
      <c r="V235" s="179"/>
      <c r="W235" s="179"/>
      <c r="X235" s="556">
        <v>0.7</v>
      </c>
      <c r="Y235" s="556">
        <v>0.85</v>
      </c>
      <c r="Z235" s="556">
        <v>0.95</v>
      </c>
      <c r="AA235" s="556">
        <v>0.95</v>
      </c>
      <c r="AB235" s="556">
        <v>0.95</v>
      </c>
      <c r="AC235" s="556">
        <v>0.95</v>
      </c>
      <c r="AD235" s="556">
        <v>0.95</v>
      </c>
      <c r="AE235" s="556">
        <v>0.95</v>
      </c>
      <c r="AF235" s="556">
        <v>0.95</v>
      </c>
    </row>
    <row r="236" spans="1:32">
      <c r="A236" s="3" t="s">
        <v>432</v>
      </c>
      <c r="B236" s="179"/>
      <c r="C236" s="179"/>
      <c r="D236" s="179"/>
      <c r="E236" s="179"/>
      <c r="F236" s="179"/>
      <c r="G236" s="179"/>
      <c r="H236" s="179"/>
      <c r="I236" s="179"/>
      <c r="J236" s="179"/>
      <c r="K236" s="179"/>
      <c r="L236" s="179"/>
      <c r="M236" s="179"/>
      <c r="N236" s="179"/>
      <c r="O236" s="179"/>
      <c r="P236" s="179"/>
      <c r="Q236" s="179"/>
      <c r="R236" s="179"/>
      <c r="S236" s="179"/>
      <c r="T236" s="179"/>
      <c r="U236" s="179"/>
      <c r="V236" s="179"/>
      <c r="W236" s="179"/>
      <c r="X236" s="556">
        <v>0.5</v>
      </c>
      <c r="Y236" s="556">
        <v>0.5</v>
      </c>
      <c r="Z236" s="556">
        <v>0.55000000000000004</v>
      </c>
      <c r="AA236" s="556">
        <v>0.6</v>
      </c>
      <c r="AB236" s="556">
        <v>0.7</v>
      </c>
      <c r="AC236" s="556">
        <v>0.8</v>
      </c>
      <c r="AD236" s="556">
        <v>0.8</v>
      </c>
      <c r="AE236" s="556">
        <v>0.8</v>
      </c>
      <c r="AF236" s="556">
        <v>0.8</v>
      </c>
    </row>
    <row r="237" spans="1:32">
      <c r="A237" s="3" t="s">
        <v>431</v>
      </c>
      <c r="B237" s="179"/>
      <c r="C237" s="179"/>
      <c r="D237" s="179"/>
      <c r="E237" s="179"/>
      <c r="F237" s="179"/>
      <c r="G237" s="179"/>
      <c r="H237" s="179"/>
      <c r="I237" s="179"/>
      <c r="J237" s="179"/>
      <c r="K237" s="179"/>
      <c r="L237" s="179"/>
      <c r="M237" s="179"/>
      <c r="N237" s="179"/>
      <c r="O237" s="179"/>
      <c r="P237" s="179"/>
      <c r="Q237" s="179"/>
      <c r="R237" s="179"/>
      <c r="S237" s="179"/>
      <c r="T237" s="179"/>
      <c r="U237" s="179"/>
      <c r="V237" s="179"/>
      <c r="W237" s="179"/>
      <c r="X237" s="556">
        <v>0.05</v>
      </c>
      <c r="Y237" s="556">
        <f>+X237+0.1</f>
        <v>0.15000000000000002</v>
      </c>
      <c r="Z237" s="556">
        <v>0.2</v>
      </c>
      <c r="AA237" s="556">
        <v>0.25</v>
      </c>
      <c r="AB237" s="556">
        <v>0.35</v>
      </c>
      <c r="AC237" s="556">
        <v>0.35</v>
      </c>
      <c r="AD237" s="556">
        <v>0.35</v>
      </c>
      <c r="AE237" s="556">
        <v>0.35</v>
      </c>
      <c r="AF237" s="556">
        <v>0.35</v>
      </c>
    </row>
    <row r="238" spans="1:32">
      <c r="A238" s="10"/>
      <c r="B238" s="179"/>
      <c r="C238" s="179"/>
      <c r="D238" s="179"/>
      <c r="E238" s="179"/>
      <c r="F238" s="179"/>
      <c r="G238" s="179"/>
      <c r="H238" s="179"/>
      <c r="I238" s="179"/>
      <c r="J238" s="179"/>
      <c r="K238" s="179"/>
      <c r="L238" s="179"/>
      <c r="M238" s="179"/>
      <c r="N238" s="179"/>
      <c r="O238" s="179"/>
      <c r="P238" s="179"/>
      <c r="Q238" s="179"/>
      <c r="R238" s="179"/>
      <c r="S238" s="179"/>
      <c r="T238" s="179"/>
      <c r="U238" s="179"/>
      <c r="V238" s="179"/>
      <c r="W238" s="179"/>
      <c r="X238" s="179"/>
      <c r="Y238" s="179"/>
      <c r="Z238" s="179"/>
      <c r="AA238" s="179"/>
      <c r="AB238" s="179"/>
      <c r="AC238" s="179"/>
      <c r="AD238" s="179"/>
      <c r="AE238" s="179"/>
      <c r="AF238" s="179"/>
    </row>
    <row r="239" spans="1:32">
      <c r="A239" s="433" t="s">
        <v>386</v>
      </c>
      <c r="B239" s="432">
        <f t="shared" ref="B239:AF239" si="230">+B$1</f>
        <v>2000</v>
      </c>
      <c r="C239" s="432">
        <f t="shared" si="230"/>
        <v>2001</v>
      </c>
      <c r="D239" s="432">
        <f t="shared" si="230"/>
        <v>2002</v>
      </c>
      <c r="E239" s="432">
        <f t="shared" si="230"/>
        <v>2003</v>
      </c>
      <c r="F239" s="432">
        <f t="shared" si="230"/>
        <v>2004</v>
      </c>
      <c r="G239" s="432">
        <f t="shared" si="230"/>
        <v>2005</v>
      </c>
      <c r="H239" s="432">
        <f t="shared" si="230"/>
        <v>2006</v>
      </c>
      <c r="I239" s="432">
        <f t="shared" si="230"/>
        <v>2007</v>
      </c>
      <c r="J239" s="432">
        <f t="shared" si="230"/>
        <v>2008</v>
      </c>
      <c r="K239" s="432">
        <f t="shared" si="230"/>
        <v>2009</v>
      </c>
      <c r="L239" s="432">
        <f t="shared" si="230"/>
        <v>2010</v>
      </c>
      <c r="M239" s="432">
        <f t="shared" si="230"/>
        <v>2011</v>
      </c>
      <c r="N239" s="432">
        <f t="shared" si="230"/>
        <v>2012</v>
      </c>
      <c r="O239" s="432">
        <f t="shared" si="230"/>
        <v>2013</v>
      </c>
      <c r="P239" s="432">
        <f t="shared" si="230"/>
        <v>2014</v>
      </c>
      <c r="Q239" s="432">
        <f t="shared" si="230"/>
        <v>2015</v>
      </c>
      <c r="R239" s="432">
        <f t="shared" si="230"/>
        <v>2016</v>
      </c>
      <c r="S239" s="432">
        <f t="shared" si="230"/>
        <v>2017</v>
      </c>
      <c r="T239" s="432">
        <f t="shared" si="230"/>
        <v>2018</v>
      </c>
      <c r="U239" s="432">
        <f t="shared" si="230"/>
        <v>2019</v>
      </c>
      <c r="V239" s="432">
        <f t="shared" si="230"/>
        <v>2020</v>
      </c>
      <c r="W239" s="432">
        <f t="shared" si="230"/>
        <v>2021</v>
      </c>
      <c r="X239" s="432">
        <f t="shared" si="230"/>
        <v>2022</v>
      </c>
      <c r="Y239" s="432">
        <f t="shared" si="230"/>
        <v>2023</v>
      </c>
      <c r="Z239" s="432">
        <f t="shared" si="230"/>
        <v>2024</v>
      </c>
      <c r="AA239" s="432" t="str">
        <f t="shared" si="230"/>
        <v>2025A</v>
      </c>
      <c r="AB239" s="432" t="str">
        <f t="shared" si="230"/>
        <v>2026E</v>
      </c>
      <c r="AC239" s="432" t="str">
        <f t="shared" si="230"/>
        <v>2027E</v>
      </c>
      <c r="AD239" s="432" t="str">
        <f t="shared" si="230"/>
        <v>2028E</v>
      </c>
      <c r="AE239" s="432" t="str">
        <f t="shared" si="230"/>
        <v>2029E</v>
      </c>
      <c r="AF239" s="432" t="str">
        <f t="shared" si="230"/>
        <v>2030E</v>
      </c>
    </row>
    <row r="240" spans="1:32">
      <c r="A240" s="1" t="s">
        <v>402</v>
      </c>
      <c r="B240" s="389">
        <f t="shared" ref="B240:AE240" si="231">+B115</f>
        <v>72.600000000000009</v>
      </c>
      <c r="C240" s="389">
        <f t="shared" si="231"/>
        <v>158.4</v>
      </c>
      <c r="D240" s="389">
        <f t="shared" si="231"/>
        <v>319</v>
      </c>
      <c r="E240" s="389">
        <f t="shared" si="231"/>
        <v>422.40000000000003</v>
      </c>
      <c r="F240" s="389">
        <f t="shared" si="231"/>
        <v>444.40000000000003</v>
      </c>
      <c r="G240" s="389">
        <f t="shared" si="231"/>
        <v>411.40000000000003</v>
      </c>
      <c r="H240" s="389">
        <f t="shared" si="231"/>
        <v>283.8</v>
      </c>
      <c r="I240" s="389">
        <f t="shared" si="231"/>
        <v>376.20000000000005</v>
      </c>
      <c r="J240" s="389">
        <f t="shared" si="231"/>
        <v>433.40000000000003</v>
      </c>
      <c r="K240" s="389">
        <f t="shared" si="231"/>
        <v>367.40000000000003</v>
      </c>
      <c r="L240" s="389">
        <f t="shared" si="231"/>
        <v>266.20000000000005</v>
      </c>
      <c r="M240" s="389">
        <f t="shared" si="231"/>
        <v>314.60000000000002</v>
      </c>
      <c r="N240" s="389">
        <f t="shared" si="231"/>
        <v>248.60000000000002</v>
      </c>
      <c r="O240" s="389">
        <f t="shared" si="231"/>
        <v>246.40000000000003</v>
      </c>
      <c r="P240" s="389">
        <f t="shared" si="231"/>
        <v>314.60000000000002</v>
      </c>
      <c r="Q240" s="389">
        <f t="shared" si="231"/>
        <v>319</v>
      </c>
      <c r="R240" s="389">
        <f t="shared" si="231"/>
        <v>338.8</v>
      </c>
      <c r="S240" s="389">
        <f t="shared" si="231"/>
        <v>283.8</v>
      </c>
      <c r="T240" s="389">
        <f t="shared" si="231"/>
        <v>242.00000000000003</v>
      </c>
      <c r="U240" s="389">
        <f t="shared" si="231"/>
        <v>246.40000000000003</v>
      </c>
      <c r="V240" s="389">
        <f t="shared" si="231"/>
        <v>154</v>
      </c>
      <c r="W240" s="389">
        <f t="shared" si="231"/>
        <v>110.00000000000001</v>
      </c>
      <c r="X240" s="389">
        <f t="shared" si="231"/>
        <v>158.4</v>
      </c>
      <c r="Y240" s="389">
        <f t="shared" si="231"/>
        <v>103.4</v>
      </c>
      <c r="Z240" s="389">
        <f t="shared" si="231"/>
        <v>132</v>
      </c>
      <c r="AA240" s="389">
        <f t="shared" si="231"/>
        <v>156.20000000000002</v>
      </c>
      <c r="AB240" s="389">
        <f t="shared" si="231"/>
        <v>160.60000000000002</v>
      </c>
      <c r="AC240" s="389">
        <f t="shared" si="231"/>
        <v>169.4</v>
      </c>
      <c r="AD240" s="389">
        <f t="shared" si="231"/>
        <v>171.60000000000002</v>
      </c>
      <c r="AE240" s="389">
        <f t="shared" si="231"/>
        <v>173.8</v>
      </c>
      <c r="AF240" s="389">
        <f t="shared" ref="AF240" si="232">+AF115</f>
        <v>176</v>
      </c>
    </row>
    <row r="241" spans="1:32">
      <c r="A241" s="1" t="s">
        <v>434</v>
      </c>
      <c r="B241" s="389"/>
      <c r="C241" s="389"/>
      <c r="D241" s="389"/>
      <c r="E241" s="389"/>
      <c r="F241" s="389"/>
      <c r="G241" s="389"/>
      <c r="H241" s="389"/>
      <c r="I241" s="389"/>
      <c r="J241" s="389"/>
      <c r="K241" s="389"/>
      <c r="L241" s="389"/>
      <c r="M241" s="389"/>
      <c r="N241" s="389"/>
      <c r="O241" s="389"/>
      <c r="P241" s="389"/>
      <c r="Q241" s="389"/>
      <c r="R241" s="389"/>
      <c r="S241" s="389"/>
      <c r="T241" s="389"/>
      <c r="U241" s="389"/>
      <c r="V241" s="389"/>
      <c r="W241" s="389"/>
      <c r="X241" s="381">
        <v>1.5726367580639302</v>
      </c>
      <c r="Y241" s="398">
        <f>+AVERAGE(V241:X241)*(1+Y242)</f>
        <v>1.5883631256445696</v>
      </c>
      <c r="Z241" s="398">
        <f t="shared" ref="Z241:AF241" si="233">+Y241*(1+Z242)</f>
        <v>1.6677812819267981</v>
      </c>
      <c r="AA241" s="398">
        <f t="shared" si="233"/>
        <v>1.751170346023138</v>
      </c>
      <c r="AB241" s="398">
        <f t="shared" si="233"/>
        <v>1.8387288633242951</v>
      </c>
      <c r="AC241" s="398">
        <f t="shared" si="233"/>
        <v>1.9306653064905099</v>
      </c>
      <c r="AD241" s="398">
        <f t="shared" si="233"/>
        <v>2.0271985718150356</v>
      </c>
      <c r="AE241" s="398">
        <f t="shared" si="233"/>
        <v>2.1285585004057874</v>
      </c>
      <c r="AF241" s="398">
        <f t="shared" si="233"/>
        <v>2.2349864254260767</v>
      </c>
    </row>
    <row r="242" spans="1:32">
      <c r="A242" s="1" t="s">
        <v>435</v>
      </c>
      <c r="B242" s="179"/>
      <c r="C242" s="179"/>
      <c r="D242" s="179"/>
      <c r="E242" s="179"/>
      <c r="F242" s="179"/>
      <c r="G242" s="179"/>
      <c r="H242" s="179"/>
      <c r="I242" s="179"/>
      <c r="J242" s="179"/>
      <c r="K242" s="179"/>
      <c r="L242" s="179"/>
      <c r="M242" s="179"/>
      <c r="N242" s="179"/>
      <c r="O242" s="179"/>
      <c r="P242" s="179"/>
      <c r="Q242" s="179"/>
      <c r="R242" s="179"/>
      <c r="S242" s="179"/>
      <c r="T242" s="379"/>
      <c r="U242" s="381"/>
      <c r="V242" s="381"/>
      <c r="W242" s="381"/>
      <c r="X242" s="381"/>
      <c r="Y242" s="202">
        <v>0.01</v>
      </c>
      <c r="Z242" s="538">
        <v>0.05</v>
      </c>
      <c r="AA242" s="538">
        <v>0.05</v>
      </c>
      <c r="AB242" s="538">
        <v>0.05</v>
      </c>
      <c r="AC242" s="538">
        <v>0.05</v>
      </c>
      <c r="AD242" s="538">
        <v>0.05</v>
      </c>
      <c r="AE242" s="538">
        <v>0.05</v>
      </c>
      <c r="AF242" s="538">
        <v>0.05</v>
      </c>
    </row>
    <row r="243" spans="1:32">
      <c r="A243" s="1" t="s">
        <v>436</v>
      </c>
      <c r="B243" s="179"/>
      <c r="C243" s="179"/>
      <c r="D243" s="179"/>
      <c r="E243" s="179"/>
      <c r="F243" s="179"/>
      <c r="G243" s="179"/>
      <c r="H243" s="179"/>
      <c r="I243" s="179"/>
      <c r="J243" s="179"/>
      <c r="K243" s="179"/>
      <c r="L243" s="179"/>
      <c r="M243" s="179"/>
      <c r="N243" s="179"/>
      <c r="O243" s="179"/>
      <c r="P243" s="179"/>
      <c r="Q243" s="179"/>
      <c r="R243" s="179"/>
      <c r="S243" s="179"/>
      <c r="T243" s="379"/>
      <c r="U243" s="381"/>
      <c r="V243" s="381"/>
      <c r="W243" s="381"/>
      <c r="X243" s="328">
        <f t="shared" ref="X243:AE243" si="234">X126</f>
        <v>1</v>
      </c>
      <c r="Y243" s="328">
        <f t="shared" si="234"/>
        <v>1</v>
      </c>
      <c r="Z243" s="328">
        <f t="shared" si="234"/>
        <v>1</v>
      </c>
      <c r="AA243" s="328">
        <f t="shared" si="234"/>
        <v>1</v>
      </c>
      <c r="AB243" s="328">
        <f t="shared" si="234"/>
        <v>1</v>
      </c>
      <c r="AC243" s="328">
        <f t="shared" si="234"/>
        <v>1</v>
      </c>
      <c r="AD243" s="328">
        <f t="shared" si="234"/>
        <v>1</v>
      </c>
      <c r="AE243" s="328">
        <f t="shared" si="234"/>
        <v>1</v>
      </c>
      <c r="AF243" s="328">
        <f t="shared" ref="AF243" si="235">AF126</f>
        <v>1</v>
      </c>
    </row>
    <row r="244" spans="1:32">
      <c r="A244" s="366" t="s">
        <v>428</v>
      </c>
      <c r="B244" s="391"/>
      <c r="C244" s="391"/>
      <c r="D244" s="391"/>
      <c r="E244" s="391"/>
      <c r="F244" s="391"/>
      <c r="G244" s="391"/>
      <c r="H244" s="391"/>
      <c r="I244" s="391"/>
      <c r="J244" s="391"/>
      <c r="K244" s="391"/>
      <c r="L244" s="391"/>
      <c r="M244" s="391"/>
      <c r="N244" s="391"/>
      <c r="O244" s="391"/>
      <c r="P244" s="391"/>
      <c r="Q244" s="391"/>
      <c r="R244" s="391"/>
      <c r="S244" s="391"/>
      <c r="T244" s="392"/>
      <c r="U244" s="394"/>
      <c r="V244" s="394"/>
      <c r="W244" s="394"/>
      <c r="X244" s="406">
        <f>X240*X241*X243</f>
        <v>249.10566247732655</v>
      </c>
      <c r="Y244" s="406">
        <f>Y240*Y241*Y243</f>
        <v>164.2367471916485</v>
      </c>
      <c r="Z244" s="406">
        <f t="shared" ref="Z244:AE244" si="236">Z240*Z241*Z243</f>
        <v>220.14712921433735</v>
      </c>
      <c r="AA244" s="406">
        <f t="shared" si="236"/>
        <v>273.53280804881422</v>
      </c>
      <c r="AB244" s="406">
        <f t="shared" si="236"/>
        <v>295.29985544988182</v>
      </c>
      <c r="AC244" s="406">
        <f t="shared" si="236"/>
        <v>327.0547029194924</v>
      </c>
      <c r="AD244" s="406">
        <f t="shared" si="236"/>
        <v>347.86727492346017</v>
      </c>
      <c r="AE244" s="406">
        <f t="shared" si="236"/>
        <v>369.94346737052587</v>
      </c>
      <c r="AF244" s="406">
        <f t="shared" ref="AF244" si="237">AF240*AF241*AF243</f>
        <v>393.35761087498952</v>
      </c>
    </row>
    <row r="245" spans="1:32">
      <c r="A245" s="1" t="s">
        <v>437</v>
      </c>
      <c r="B245" s="179"/>
      <c r="C245" s="179"/>
      <c r="D245" s="179"/>
      <c r="E245" s="179"/>
      <c r="F245" s="179"/>
      <c r="G245" s="179"/>
      <c r="H245" s="179"/>
      <c r="I245" s="179"/>
      <c r="J245" s="179"/>
      <c r="K245" s="179"/>
      <c r="L245" s="179"/>
      <c r="M245" s="179"/>
      <c r="N245" s="179"/>
      <c r="O245" s="179"/>
      <c r="P245" s="179"/>
      <c r="Q245" s="179"/>
      <c r="R245" s="179"/>
      <c r="S245" s="179"/>
      <c r="T245" s="179"/>
      <c r="U245" s="179"/>
      <c r="V245" s="179"/>
      <c r="W245" s="179"/>
      <c r="X245" s="389">
        <f t="shared" ref="X245:AF245" si="238">+(AVERAGE(N240:S240)*X$235+AVERAGE(I240:N240)*X$236+AVERAGE(D240:I240)*X$237)*X246</f>
        <v>195.15833333333333</v>
      </c>
      <c r="Y245" s="389">
        <f t="shared" si="238"/>
        <v>231.41249999999999</v>
      </c>
      <c r="Z245" s="389">
        <f t="shared" si="238"/>
        <v>257.29000000000002</v>
      </c>
      <c r="AA245" s="389">
        <f t="shared" si="238"/>
        <v>255.42000000000002</v>
      </c>
      <c r="AB245" s="389">
        <f t="shared" si="238"/>
        <v>272.35083333333336</v>
      </c>
      <c r="AC245" s="389">
        <f t="shared" si="238"/>
        <v>269.83916666666664</v>
      </c>
      <c r="AD245" s="389">
        <f t="shared" si="238"/>
        <v>251.33166666666665</v>
      </c>
      <c r="AE245" s="389">
        <f t="shared" si="238"/>
        <v>239.15833333333339</v>
      </c>
      <c r="AF245" s="389">
        <f t="shared" si="238"/>
        <v>219.8991666666667</v>
      </c>
    </row>
    <row r="246" spans="1:32">
      <c r="A246" s="1" t="s">
        <v>438</v>
      </c>
      <c r="B246" s="179"/>
      <c r="C246" s="179"/>
      <c r="D246" s="179"/>
      <c r="E246" s="179"/>
      <c r="F246" s="179"/>
      <c r="G246" s="179"/>
      <c r="H246" s="179"/>
      <c r="I246" s="179"/>
      <c r="J246" s="179"/>
      <c r="K246" s="179"/>
      <c r="L246" s="179"/>
      <c r="M246" s="179"/>
      <c r="N246" s="179"/>
      <c r="O246" s="179"/>
      <c r="P246" s="179"/>
      <c r="Q246" s="179"/>
      <c r="R246" s="179"/>
      <c r="S246" s="179"/>
      <c r="T246" s="179"/>
      <c r="U246" s="179"/>
      <c r="V246" s="179"/>
      <c r="W246" s="179"/>
      <c r="X246" s="558">
        <v>0.5</v>
      </c>
      <c r="Y246" s="558">
        <v>0.5</v>
      </c>
      <c r="Z246" s="558">
        <v>0.5</v>
      </c>
      <c r="AA246" s="558">
        <v>0.5</v>
      </c>
      <c r="AB246" s="558">
        <v>0.5</v>
      </c>
      <c r="AC246" s="558">
        <v>0.5</v>
      </c>
      <c r="AD246" s="558">
        <v>0.5</v>
      </c>
      <c r="AE246" s="558">
        <v>0.5</v>
      </c>
      <c r="AF246" s="558">
        <v>0.5</v>
      </c>
    </row>
    <row r="247" spans="1:32">
      <c r="A247" s="366" t="s">
        <v>429</v>
      </c>
      <c r="B247" s="391"/>
      <c r="C247" s="391"/>
      <c r="D247" s="391"/>
      <c r="E247" s="391"/>
      <c r="F247" s="391"/>
      <c r="G247" s="391"/>
      <c r="H247" s="391"/>
      <c r="I247" s="391"/>
      <c r="J247" s="391"/>
      <c r="K247" s="391"/>
      <c r="L247" s="391"/>
      <c r="M247" s="391"/>
      <c r="N247" s="391"/>
      <c r="O247" s="391"/>
      <c r="P247" s="391"/>
      <c r="Q247" s="391"/>
      <c r="R247" s="391"/>
      <c r="S247" s="391"/>
      <c r="T247" s="391"/>
      <c r="U247" s="391"/>
      <c r="V247" s="391"/>
      <c r="W247" s="391"/>
      <c r="X247" s="391"/>
      <c r="Y247" s="406">
        <f t="shared" ref="Y247:AE247" si="239">+Y245*Y$150</f>
        <v>1142.714925</v>
      </c>
      <c r="Z247" s="406">
        <f t="shared" si="239"/>
        <v>1540.6981526076634</v>
      </c>
      <c r="AA247" s="406">
        <f t="shared" si="239"/>
        <v>1846.5175732422492</v>
      </c>
      <c r="AB247" s="406">
        <f t="shared" si="239"/>
        <v>2136.2741790906371</v>
      </c>
      <c r="AC247" s="406">
        <f t="shared" si="239"/>
        <v>2211.8188766899857</v>
      </c>
      <c r="AD247" s="406">
        <f t="shared" si="239"/>
        <v>2163.1223446390709</v>
      </c>
      <c r="AE247" s="406">
        <f t="shared" si="239"/>
        <v>2161.2683299370869</v>
      </c>
      <c r="AF247" s="406">
        <f t="shared" ref="AF247" si="240">+AF245*AF$150</f>
        <v>2086.5848702646153</v>
      </c>
    </row>
    <row r="248" spans="1:32">
      <c r="A248" s="1"/>
      <c r="B248" s="179"/>
      <c r="C248" s="179"/>
      <c r="D248" s="179"/>
      <c r="E248" s="179"/>
      <c r="F248" s="179"/>
      <c r="G248" s="179"/>
      <c r="H248" s="179"/>
      <c r="I248" s="179"/>
      <c r="J248" s="179"/>
      <c r="K248" s="179"/>
      <c r="L248" s="179"/>
      <c r="M248" s="179"/>
      <c r="N248" s="179"/>
      <c r="O248" s="179"/>
      <c r="P248" s="179"/>
      <c r="Q248" s="179"/>
      <c r="R248" s="179"/>
      <c r="S248" s="179"/>
      <c r="T248" s="179"/>
      <c r="U248" s="179"/>
      <c r="V248" s="179"/>
      <c r="W248" s="179"/>
      <c r="X248" s="179"/>
      <c r="Y248" s="179"/>
      <c r="Z248" s="179"/>
      <c r="AA248" s="179"/>
      <c r="AB248" s="179"/>
      <c r="AC248" s="179"/>
      <c r="AD248" s="179"/>
      <c r="AE248" s="179"/>
      <c r="AF248" s="179"/>
    </row>
    <row r="249" spans="1:32">
      <c r="A249" s="433" t="s">
        <v>314</v>
      </c>
      <c r="B249" s="432">
        <f t="shared" ref="B249:AF249" si="241">+B$1</f>
        <v>2000</v>
      </c>
      <c r="C249" s="432">
        <f t="shared" si="241"/>
        <v>2001</v>
      </c>
      <c r="D249" s="432">
        <f t="shared" si="241"/>
        <v>2002</v>
      </c>
      <c r="E249" s="432">
        <f t="shared" si="241"/>
        <v>2003</v>
      </c>
      <c r="F249" s="432">
        <f t="shared" si="241"/>
        <v>2004</v>
      </c>
      <c r="G249" s="432">
        <f t="shared" si="241"/>
        <v>2005</v>
      </c>
      <c r="H249" s="432">
        <f t="shared" si="241"/>
        <v>2006</v>
      </c>
      <c r="I249" s="432">
        <f t="shared" si="241"/>
        <v>2007</v>
      </c>
      <c r="J249" s="432">
        <f t="shared" si="241"/>
        <v>2008</v>
      </c>
      <c r="K249" s="432">
        <f t="shared" si="241"/>
        <v>2009</v>
      </c>
      <c r="L249" s="432">
        <f t="shared" si="241"/>
        <v>2010</v>
      </c>
      <c r="M249" s="432">
        <f t="shared" si="241"/>
        <v>2011</v>
      </c>
      <c r="N249" s="432">
        <f t="shared" si="241"/>
        <v>2012</v>
      </c>
      <c r="O249" s="432">
        <f t="shared" si="241"/>
        <v>2013</v>
      </c>
      <c r="P249" s="432">
        <f t="shared" si="241"/>
        <v>2014</v>
      </c>
      <c r="Q249" s="432">
        <f t="shared" si="241"/>
        <v>2015</v>
      </c>
      <c r="R249" s="432">
        <f t="shared" si="241"/>
        <v>2016</v>
      </c>
      <c r="S249" s="432">
        <f t="shared" si="241"/>
        <v>2017</v>
      </c>
      <c r="T249" s="432">
        <f t="shared" si="241"/>
        <v>2018</v>
      </c>
      <c r="U249" s="432">
        <f t="shared" si="241"/>
        <v>2019</v>
      </c>
      <c r="V249" s="432">
        <f t="shared" si="241"/>
        <v>2020</v>
      </c>
      <c r="W249" s="432">
        <f t="shared" si="241"/>
        <v>2021</v>
      </c>
      <c r="X249" s="432">
        <f t="shared" si="241"/>
        <v>2022</v>
      </c>
      <c r="Y249" s="432">
        <f t="shared" si="241"/>
        <v>2023</v>
      </c>
      <c r="Z249" s="432">
        <f t="shared" si="241"/>
        <v>2024</v>
      </c>
      <c r="AA249" s="432" t="str">
        <f t="shared" si="241"/>
        <v>2025A</v>
      </c>
      <c r="AB249" s="432" t="str">
        <f t="shared" si="241"/>
        <v>2026E</v>
      </c>
      <c r="AC249" s="432" t="str">
        <f t="shared" si="241"/>
        <v>2027E</v>
      </c>
      <c r="AD249" s="432" t="str">
        <f t="shared" si="241"/>
        <v>2028E</v>
      </c>
      <c r="AE249" s="432" t="str">
        <f t="shared" si="241"/>
        <v>2029E</v>
      </c>
      <c r="AF249" s="432" t="str">
        <f t="shared" si="241"/>
        <v>2030E</v>
      </c>
    </row>
    <row r="250" spans="1:32">
      <c r="A250" s="1" t="s">
        <v>402</v>
      </c>
      <c r="B250" s="389">
        <f t="shared" ref="B250:AE250" si="242">IF(B122&gt;0,B122,0)</f>
        <v>0</v>
      </c>
      <c r="C250" s="389">
        <f t="shared" si="242"/>
        <v>0</v>
      </c>
      <c r="D250" s="389">
        <f t="shared" si="242"/>
        <v>0</v>
      </c>
      <c r="E250" s="389">
        <f t="shared" si="242"/>
        <v>0</v>
      </c>
      <c r="F250" s="389">
        <f t="shared" si="242"/>
        <v>0</v>
      </c>
      <c r="G250" s="389">
        <f t="shared" si="242"/>
        <v>0</v>
      </c>
      <c r="H250" s="389">
        <f t="shared" si="242"/>
        <v>0</v>
      </c>
      <c r="I250" s="389">
        <f t="shared" si="242"/>
        <v>0</v>
      </c>
      <c r="J250" s="389">
        <f t="shared" si="242"/>
        <v>0</v>
      </c>
      <c r="K250" s="389">
        <f t="shared" si="242"/>
        <v>0</v>
      </c>
      <c r="L250" s="389">
        <f t="shared" si="242"/>
        <v>0</v>
      </c>
      <c r="M250" s="389">
        <f t="shared" si="242"/>
        <v>0</v>
      </c>
      <c r="N250" s="389">
        <f t="shared" si="242"/>
        <v>0</v>
      </c>
      <c r="O250" s="389">
        <f t="shared" si="242"/>
        <v>0</v>
      </c>
      <c r="P250" s="389">
        <f t="shared" si="242"/>
        <v>0</v>
      </c>
      <c r="Q250" s="389">
        <f t="shared" si="242"/>
        <v>7.3999999999999773</v>
      </c>
      <c r="R250" s="389">
        <f t="shared" si="242"/>
        <v>45.400000000000063</v>
      </c>
      <c r="S250" s="389">
        <f t="shared" si="242"/>
        <v>0</v>
      </c>
      <c r="T250" s="389">
        <f t="shared" si="242"/>
        <v>56.999999999999659</v>
      </c>
      <c r="U250" s="389">
        <f t="shared" si="242"/>
        <v>183.20000000000005</v>
      </c>
      <c r="V250" s="389">
        <f t="shared" si="242"/>
        <v>427</v>
      </c>
      <c r="W250" s="389">
        <f t="shared" si="242"/>
        <v>331.8</v>
      </c>
      <c r="X250" s="389">
        <f t="shared" si="242"/>
        <v>196.99999999999994</v>
      </c>
      <c r="Y250" s="389">
        <f t="shared" si="242"/>
        <v>188.19999999999996</v>
      </c>
      <c r="Z250" s="389">
        <f t="shared" si="242"/>
        <v>237.80000000000004</v>
      </c>
      <c r="AA250" s="389">
        <f t="shared" si="242"/>
        <v>237.80000000000004</v>
      </c>
      <c r="AB250" s="389">
        <f t="shared" si="242"/>
        <v>237.80000000000004</v>
      </c>
      <c r="AC250" s="389">
        <f t="shared" si="242"/>
        <v>237.80000000000004</v>
      </c>
      <c r="AD250" s="389">
        <f t="shared" si="242"/>
        <v>237.80000000000004</v>
      </c>
      <c r="AE250" s="389">
        <f t="shared" si="242"/>
        <v>237.80000000000004</v>
      </c>
      <c r="AF250" s="389">
        <f t="shared" ref="AF250" si="243">IF(AF122&gt;0,AF122,0)</f>
        <v>237.80000000000004</v>
      </c>
    </row>
    <row r="251" spans="1:32">
      <c r="A251" s="1" t="s">
        <v>434</v>
      </c>
      <c r="B251" s="389"/>
      <c r="C251" s="389"/>
      <c r="D251" s="389"/>
      <c r="E251" s="389"/>
      <c r="F251" s="389"/>
      <c r="G251" s="389"/>
      <c r="H251" s="389"/>
      <c r="I251" s="389"/>
      <c r="J251" s="389"/>
      <c r="K251" s="389"/>
      <c r="L251" s="389"/>
      <c r="M251" s="389"/>
      <c r="N251" s="389"/>
      <c r="O251" s="389"/>
      <c r="P251" s="389"/>
      <c r="Q251" s="389"/>
      <c r="R251" s="389"/>
      <c r="S251" s="389"/>
      <c r="T251" s="389"/>
      <c r="U251" s="389"/>
      <c r="V251" s="389"/>
      <c r="W251" s="389"/>
      <c r="X251" s="381">
        <v>5.0415552682990228</v>
      </c>
      <c r="Y251" s="398">
        <f>+AVERAGE(V251:X251)*(1+Y252)</f>
        <v>5.0919708209820129</v>
      </c>
      <c r="Z251" s="398">
        <f t="shared" ref="Z251:AF251" si="244">+Y251*(1+Z252)</f>
        <v>5.3465693620311141</v>
      </c>
      <c r="AA251" s="398">
        <f t="shared" si="244"/>
        <v>5.6138978301326699</v>
      </c>
      <c r="AB251" s="398">
        <f t="shared" si="244"/>
        <v>5.8945927216393033</v>
      </c>
      <c r="AC251" s="398">
        <f t="shared" si="244"/>
        <v>6.1893223577212684</v>
      </c>
      <c r="AD251" s="398">
        <f t="shared" si="244"/>
        <v>6.4987884756073324</v>
      </c>
      <c r="AE251" s="398">
        <f t="shared" si="244"/>
        <v>6.8237278993876993</v>
      </c>
      <c r="AF251" s="398">
        <f t="shared" si="244"/>
        <v>7.1649142943570849</v>
      </c>
    </row>
    <row r="252" spans="1:32">
      <c r="A252" s="1" t="s">
        <v>435</v>
      </c>
      <c r="B252" s="389"/>
      <c r="C252" s="389"/>
      <c r="D252" s="389"/>
      <c r="E252" s="389"/>
      <c r="F252" s="389"/>
      <c r="G252" s="389"/>
      <c r="H252" s="389"/>
      <c r="I252" s="389"/>
      <c r="J252" s="389"/>
      <c r="K252" s="389"/>
      <c r="L252" s="389"/>
      <c r="M252" s="389"/>
      <c r="N252" s="389"/>
      <c r="O252" s="389"/>
      <c r="P252" s="389"/>
      <c r="Q252" s="389"/>
      <c r="R252" s="389"/>
      <c r="S252" s="389"/>
      <c r="T252" s="389"/>
      <c r="U252" s="389"/>
      <c r="V252" s="389"/>
      <c r="W252" s="389"/>
      <c r="X252" s="179"/>
      <c r="Y252" s="202">
        <v>0.01</v>
      </c>
      <c r="Z252" s="538">
        <v>0.05</v>
      </c>
      <c r="AA252" s="538">
        <v>0.05</v>
      </c>
      <c r="AB252" s="538">
        <v>0.05</v>
      </c>
      <c r="AC252" s="538">
        <v>0.05</v>
      </c>
      <c r="AD252" s="538">
        <v>0.05</v>
      </c>
      <c r="AE252" s="538">
        <v>0.05</v>
      </c>
      <c r="AF252" s="538">
        <v>0.05</v>
      </c>
    </row>
    <row r="253" spans="1:32">
      <c r="A253" s="1" t="s">
        <v>436</v>
      </c>
      <c r="B253" s="179"/>
      <c r="C253" s="179"/>
      <c r="D253" s="179"/>
      <c r="E253" s="179"/>
      <c r="F253" s="179"/>
      <c r="G253" s="179"/>
      <c r="H253" s="179"/>
      <c r="I253" s="179"/>
      <c r="J253" s="179"/>
      <c r="K253" s="179"/>
      <c r="L253" s="179"/>
      <c r="M253" s="179"/>
      <c r="N253" s="179"/>
      <c r="O253" s="179"/>
      <c r="P253" s="179"/>
      <c r="Q253" s="179"/>
      <c r="R253" s="179"/>
      <c r="S253" s="179"/>
      <c r="T253" s="379"/>
      <c r="U253" s="381"/>
      <c r="V253" s="381"/>
      <c r="W253" s="381"/>
      <c r="X253" s="328">
        <v>0.5</v>
      </c>
      <c r="Y253" s="328">
        <v>0.5</v>
      </c>
      <c r="Z253" s="328">
        <v>0.5</v>
      </c>
      <c r="AA253" s="328">
        <v>0.5</v>
      </c>
      <c r="AB253" s="328">
        <v>0.5</v>
      </c>
      <c r="AC253" s="328">
        <v>0.5</v>
      </c>
      <c r="AD253" s="328">
        <v>0.5</v>
      </c>
      <c r="AE253" s="328">
        <v>0.5</v>
      </c>
      <c r="AF253" s="328">
        <v>0.5</v>
      </c>
    </row>
    <row r="254" spans="1:32">
      <c r="A254" s="366" t="s">
        <v>428</v>
      </c>
      <c r="B254" s="391"/>
      <c r="C254" s="391"/>
      <c r="D254" s="391"/>
      <c r="E254" s="391"/>
      <c r="F254" s="391"/>
      <c r="G254" s="391"/>
      <c r="H254" s="391"/>
      <c r="I254" s="391"/>
      <c r="J254" s="391"/>
      <c r="K254" s="391"/>
      <c r="L254" s="391"/>
      <c r="M254" s="391"/>
      <c r="N254" s="391"/>
      <c r="O254" s="391"/>
      <c r="P254" s="391"/>
      <c r="Q254" s="391"/>
      <c r="R254" s="391"/>
      <c r="S254" s="391"/>
      <c r="T254" s="392"/>
      <c r="U254" s="394"/>
      <c r="V254" s="394"/>
      <c r="W254" s="394"/>
      <c r="X254" s="406">
        <f t="shared" ref="X254:AE254" si="245">X250*X251*X253</f>
        <v>496.59319392745363</v>
      </c>
      <c r="Y254" s="406">
        <f t="shared" si="245"/>
        <v>479.15445425440731</v>
      </c>
      <c r="Z254" s="406">
        <f t="shared" si="245"/>
        <v>635.70709714549957</v>
      </c>
      <c r="AA254" s="406">
        <f t="shared" si="245"/>
        <v>667.4924520027746</v>
      </c>
      <c r="AB254" s="406">
        <f t="shared" si="245"/>
        <v>700.86707460291325</v>
      </c>
      <c r="AC254" s="406">
        <f t="shared" si="245"/>
        <v>735.91042833305892</v>
      </c>
      <c r="AD254" s="406">
        <f t="shared" si="245"/>
        <v>772.70594974971198</v>
      </c>
      <c r="AE254" s="406">
        <f t="shared" si="245"/>
        <v>811.34124723719754</v>
      </c>
      <c r="AF254" s="406">
        <f t="shared" ref="AF254" si="246">AF250*AF251*AF253</f>
        <v>851.90830959905759</v>
      </c>
    </row>
    <row r="255" spans="1:32">
      <c r="A255" s="1" t="s">
        <v>437</v>
      </c>
      <c r="B255" s="179"/>
      <c r="C255" s="179"/>
      <c r="D255" s="179"/>
      <c r="E255" s="179"/>
      <c r="F255" s="179"/>
      <c r="G255" s="179"/>
      <c r="H255" s="179"/>
      <c r="I255" s="179"/>
      <c r="J255" s="179"/>
      <c r="K255" s="179"/>
      <c r="L255" s="179"/>
      <c r="M255" s="179"/>
      <c r="N255" s="179"/>
      <c r="O255" s="179"/>
      <c r="P255" s="179"/>
      <c r="Q255" s="179"/>
      <c r="R255" s="179"/>
      <c r="S255" s="179"/>
      <c r="T255" s="179"/>
      <c r="U255" s="179"/>
      <c r="V255" s="179"/>
      <c r="W255" s="179"/>
      <c r="X255" s="389">
        <f t="shared" ref="X255:AF255" si="247">+(AVERAGE(N250:S250)*X$235+AVERAGE(I250:N250)*X$236+AVERAGE(D250:I250)*X$237)*X256</f>
        <v>3.0800000000000018</v>
      </c>
      <c r="Y255" s="389">
        <f t="shared" si="247"/>
        <v>7.7774999999999785</v>
      </c>
      <c r="Z255" s="389">
        <f t="shared" si="247"/>
        <v>23.195833333333312</v>
      </c>
      <c r="AA255" s="389">
        <f t="shared" si="247"/>
        <v>57.369999999999976</v>
      </c>
      <c r="AB255" s="389">
        <f t="shared" si="247"/>
        <v>85.761666666666642</v>
      </c>
      <c r="AC255" s="389">
        <f t="shared" si="247"/>
        <v>98.203333333333305</v>
      </c>
      <c r="AD255" s="389">
        <f t="shared" si="247"/>
        <v>116.90249999999996</v>
      </c>
      <c r="AE255" s="389">
        <f t="shared" si="247"/>
        <v>143.42916666666662</v>
      </c>
      <c r="AF255" s="389">
        <f t="shared" si="247"/>
        <v>176.43416666666664</v>
      </c>
    </row>
    <row r="256" spans="1:32">
      <c r="A256" s="1" t="s">
        <v>438</v>
      </c>
      <c r="B256" s="179"/>
      <c r="C256" s="179"/>
      <c r="D256" s="179"/>
      <c r="E256" s="179"/>
      <c r="F256" s="179"/>
      <c r="G256" s="179"/>
      <c r="H256" s="179"/>
      <c r="I256" s="179"/>
      <c r="J256" s="179"/>
      <c r="K256" s="179"/>
      <c r="L256" s="179"/>
      <c r="M256" s="179"/>
      <c r="N256" s="179"/>
      <c r="O256" s="179"/>
      <c r="P256" s="179"/>
      <c r="Q256" s="179"/>
      <c r="R256" s="179"/>
      <c r="S256" s="179"/>
      <c r="T256" s="179"/>
      <c r="U256" s="179"/>
      <c r="V256" s="179"/>
      <c r="W256" s="179"/>
      <c r="X256" s="328">
        <v>0.5</v>
      </c>
      <c r="Y256" s="328">
        <v>0.5</v>
      </c>
      <c r="Z256" s="328">
        <v>0.5</v>
      </c>
      <c r="AA256" s="328">
        <v>0.5</v>
      </c>
      <c r="AB256" s="328">
        <v>0.5</v>
      </c>
      <c r="AC256" s="328">
        <v>0.5</v>
      </c>
      <c r="AD256" s="328">
        <v>0.5</v>
      </c>
      <c r="AE256" s="328">
        <v>0.5</v>
      </c>
      <c r="AF256" s="328">
        <v>0.5</v>
      </c>
    </row>
    <row r="257" spans="1:33">
      <c r="A257" s="366" t="s">
        <v>429</v>
      </c>
      <c r="B257" s="391"/>
      <c r="C257" s="391"/>
      <c r="D257" s="391"/>
      <c r="E257" s="391"/>
      <c r="F257" s="391"/>
      <c r="G257" s="391"/>
      <c r="H257" s="391"/>
      <c r="I257" s="391"/>
      <c r="J257" s="391"/>
      <c r="K257" s="391"/>
      <c r="L257" s="391"/>
      <c r="M257" s="391"/>
      <c r="N257" s="391"/>
      <c r="O257" s="391"/>
      <c r="P257" s="391"/>
      <c r="Q257" s="391"/>
      <c r="R257" s="391"/>
      <c r="S257" s="391"/>
      <c r="T257" s="391"/>
      <c r="U257" s="391"/>
      <c r="V257" s="391"/>
      <c r="W257" s="391"/>
      <c r="X257" s="391"/>
      <c r="Y257" s="406">
        <f t="shared" ref="Y257:AE257" si="248">+Y255*Y133*Y$150</f>
        <v>22.426835929086224</v>
      </c>
      <c r="Z257" s="406">
        <f t="shared" si="248"/>
        <v>80.499683739596762</v>
      </c>
      <c r="AA257" s="406">
        <f t="shared" si="248"/>
        <v>247.05522287314059</v>
      </c>
      <c r="AB257" s="406">
        <f t="shared" si="248"/>
        <v>399.08893111019091</v>
      </c>
      <c r="AC257" s="406">
        <f t="shared" si="248"/>
        <v>471.26583177280929</v>
      </c>
      <c r="AD257" s="406">
        <f t="shared" si="248"/>
        <v>584.15482959090593</v>
      </c>
      <c r="AE257" s="406">
        <f t="shared" si="248"/>
        <v>752.33095259574611</v>
      </c>
      <c r="AF257" s="406">
        <f t="shared" ref="AF257" si="249">+AF255*AF133*AF$150</f>
        <v>972.25260030742913</v>
      </c>
    </row>
    <row r="258" spans="1:33">
      <c r="A258" s="4"/>
      <c r="B258" s="179"/>
      <c r="C258" s="179"/>
      <c r="D258" s="179"/>
      <c r="E258" s="179"/>
      <c r="F258" s="179"/>
      <c r="G258" s="179"/>
      <c r="H258" s="179"/>
      <c r="I258" s="179"/>
      <c r="J258" s="179"/>
      <c r="K258" s="179"/>
      <c r="L258" s="179"/>
      <c r="M258" s="179"/>
      <c r="N258" s="179"/>
      <c r="O258" s="179"/>
      <c r="P258" s="179"/>
      <c r="Q258" s="179"/>
      <c r="R258" s="179"/>
      <c r="S258" s="179"/>
      <c r="T258" s="179"/>
      <c r="U258" s="179"/>
      <c r="V258" s="179"/>
      <c r="W258" s="179"/>
      <c r="X258" s="179"/>
      <c r="Y258" s="403"/>
      <c r="Z258" s="403"/>
      <c r="AA258" s="403"/>
      <c r="AB258" s="403"/>
      <c r="AC258" s="403"/>
      <c r="AD258" s="403"/>
      <c r="AE258" s="403"/>
      <c r="AF258" s="403"/>
    </row>
    <row r="259" spans="1:33">
      <c r="A259" s="429" t="s">
        <v>433</v>
      </c>
      <c r="B259" s="430"/>
      <c r="C259" s="430"/>
      <c r="D259" s="430"/>
      <c r="E259" s="430"/>
      <c r="F259" s="430"/>
      <c r="G259" s="430"/>
      <c r="H259" s="430"/>
      <c r="I259" s="430"/>
      <c r="J259" s="430"/>
      <c r="K259" s="430"/>
      <c r="L259" s="430"/>
      <c r="M259" s="430"/>
      <c r="N259" s="430"/>
      <c r="O259" s="430"/>
      <c r="P259" s="430"/>
      <c r="Q259" s="430"/>
      <c r="R259" s="430"/>
      <c r="S259" s="430"/>
      <c r="T259" s="430"/>
      <c r="U259" s="431">
        <v>2100</v>
      </c>
      <c r="V259" s="431">
        <f>+U259*0.55</f>
        <v>1155</v>
      </c>
      <c r="W259" s="431">
        <f>+U259*0.6</f>
        <v>1260</v>
      </c>
      <c r="X259" s="428">
        <f t="shared" ref="X259:AE259" si="250">+X255+X179+X229+X193+X219+X165+X209+X245</f>
        <v>1439.1237175466265</v>
      </c>
      <c r="Y259" s="428">
        <f>+Y255+Y179+Y229+Y193+Y219+Y165+Y209+Y245</f>
        <v>1697.2871668029586</v>
      </c>
      <c r="Z259" s="428">
        <f>+Z255+Z179+Z229+Z193+Z219+Z165+Z209+Z245</f>
        <v>1760.1255176897209</v>
      </c>
      <c r="AA259" s="428">
        <f t="shared" si="250"/>
        <v>1806.4270000000001</v>
      </c>
      <c r="AB259" s="428">
        <f t="shared" si="250"/>
        <v>1961.3878333333332</v>
      </c>
      <c r="AC259" s="428">
        <f t="shared" si="250"/>
        <v>2092.4898333333335</v>
      </c>
      <c r="AD259" s="428">
        <f t="shared" si="250"/>
        <v>2210.2930666666671</v>
      </c>
      <c r="AE259" s="428">
        <f t="shared" si="250"/>
        <v>2341.6451500000003</v>
      </c>
      <c r="AF259" s="428">
        <f t="shared" ref="AF259" si="251">+AF255+AF179+AF229+AF193+AF219+AF165+AF209+AF245</f>
        <v>2498.8726918300649</v>
      </c>
    </row>
    <row r="260" spans="1:33">
      <c r="A260" s="3" t="s">
        <v>4</v>
      </c>
      <c r="B260" s="179"/>
      <c r="C260" s="179"/>
      <c r="D260" s="179"/>
      <c r="E260" s="179"/>
      <c r="F260" s="179"/>
      <c r="G260" s="179"/>
      <c r="H260" s="179"/>
      <c r="I260" s="179"/>
      <c r="J260" s="179"/>
      <c r="K260" s="179"/>
      <c r="L260" s="179"/>
      <c r="M260" s="179"/>
      <c r="N260" s="179"/>
      <c r="O260" s="179"/>
      <c r="P260" s="179"/>
      <c r="Q260" s="179"/>
      <c r="R260" s="179"/>
      <c r="S260" s="179"/>
      <c r="T260" s="179"/>
      <c r="U260" s="179"/>
      <c r="V260" s="179"/>
      <c r="W260" s="179"/>
      <c r="X260" s="403"/>
      <c r="Y260" s="407">
        <f t="shared" ref="Y260:AF260" si="252">+Y259/X259-1</f>
        <v>0.17938933679478319</v>
      </c>
      <c r="Z260" s="407">
        <f t="shared" si="252"/>
        <v>3.7022816242183509E-2</v>
      </c>
      <c r="AA260" s="407">
        <f t="shared" si="252"/>
        <v>2.6305784357386619E-2</v>
      </c>
      <c r="AB260" s="407">
        <f t="shared" si="252"/>
        <v>8.57830586751267E-2</v>
      </c>
      <c r="AC260" s="407">
        <f t="shared" si="252"/>
        <v>6.6841446536963334E-2</v>
      </c>
      <c r="AD260" s="407">
        <f t="shared" si="252"/>
        <v>5.6298115028675211E-2</v>
      </c>
      <c r="AE260" s="407">
        <f t="shared" si="252"/>
        <v>5.9427451189278058E-2</v>
      </c>
      <c r="AF260" s="407">
        <f t="shared" si="252"/>
        <v>6.7144051194120813E-2</v>
      </c>
      <c r="AG260" s="4"/>
    </row>
    <row r="261" spans="1:33">
      <c r="A261" s="1" t="s">
        <v>388</v>
      </c>
      <c r="B261" s="179"/>
      <c r="C261" s="179"/>
      <c r="D261" s="179"/>
      <c r="E261" s="179"/>
      <c r="F261" s="179"/>
      <c r="G261" s="179"/>
      <c r="H261" s="179"/>
      <c r="I261" s="179"/>
      <c r="J261" s="179"/>
      <c r="K261" s="179"/>
      <c r="L261" s="179"/>
      <c r="M261" s="179"/>
      <c r="N261" s="179"/>
      <c r="O261" s="179"/>
      <c r="P261" s="179"/>
      <c r="Q261" s="179"/>
      <c r="R261" s="179"/>
      <c r="S261" s="179"/>
      <c r="T261" s="179"/>
      <c r="U261" s="179"/>
      <c r="V261" s="179"/>
      <c r="W261" s="179"/>
      <c r="X261" s="403">
        <f t="shared" ref="X261:AE261" si="253">+X165</f>
        <v>850.45858333333331</v>
      </c>
      <c r="Y261" s="403">
        <f t="shared" si="253"/>
        <v>906.65575000000001</v>
      </c>
      <c r="Z261" s="403">
        <f t="shared" si="253"/>
        <v>707.76200000000017</v>
      </c>
      <c r="AA261" s="403">
        <f t="shared" si="253"/>
        <v>702.30600000000015</v>
      </c>
      <c r="AB261" s="403">
        <f t="shared" si="253"/>
        <v>719.36149999999986</v>
      </c>
      <c r="AC261" s="403">
        <f t="shared" si="253"/>
        <v>721.67700000000002</v>
      </c>
      <c r="AD261" s="403">
        <f t="shared" si="253"/>
        <v>720.55940000000021</v>
      </c>
      <c r="AE261" s="403">
        <f t="shared" si="253"/>
        <v>708.35600000000011</v>
      </c>
      <c r="AF261" s="403">
        <f t="shared" ref="AF261" si="254">+AF165</f>
        <v>691.31920000000014</v>
      </c>
      <c r="AG261" s="4"/>
    </row>
    <row r="262" spans="1:33">
      <c r="A262" s="3" t="s">
        <v>4</v>
      </c>
      <c r="B262" s="179"/>
      <c r="C262" s="179"/>
      <c r="D262" s="179"/>
      <c r="E262" s="179"/>
      <c r="F262" s="179"/>
      <c r="G262" s="179"/>
      <c r="H262" s="179"/>
      <c r="I262" s="179"/>
      <c r="J262" s="179"/>
      <c r="K262" s="179"/>
      <c r="L262" s="179"/>
      <c r="M262" s="179"/>
      <c r="N262" s="179"/>
      <c r="O262" s="179"/>
      <c r="P262" s="179"/>
      <c r="Q262" s="179"/>
      <c r="R262" s="179"/>
      <c r="S262" s="179"/>
      <c r="T262" s="179"/>
      <c r="U262" s="179"/>
      <c r="V262" s="179"/>
      <c r="W262" s="179"/>
      <c r="X262" s="407"/>
      <c r="Y262" s="407">
        <f t="shared" ref="Y262:AF262" si="255">+Y261/X261-1</f>
        <v>6.6078663638627244E-2</v>
      </c>
      <c r="Z262" s="407">
        <f t="shared" si="255"/>
        <v>-0.2193707479382333</v>
      </c>
      <c r="AA262" s="407">
        <f t="shared" si="255"/>
        <v>-7.7088060675764014E-3</v>
      </c>
      <c r="AB262" s="407">
        <f t="shared" si="255"/>
        <v>2.4284998277103842E-2</v>
      </c>
      <c r="AC262" s="407">
        <f t="shared" si="255"/>
        <v>3.2188266956185707E-3</v>
      </c>
      <c r="AD262" s="407">
        <f t="shared" si="255"/>
        <v>-1.5486152392272245E-3</v>
      </c>
      <c r="AE262" s="407">
        <f t="shared" si="255"/>
        <v>-1.6936008329084484E-2</v>
      </c>
      <c r="AF262" s="407">
        <f t="shared" si="255"/>
        <v>-2.4051183303310686E-2</v>
      </c>
    </row>
    <row r="263" spans="1:33">
      <c r="A263" s="1" t="s">
        <v>298</v>
      </c>
      <c r="B263" s="179"/>
      <c r="C263" s="179"/>
      <c r="D263" s="179"/>
      <c r="E263" s="179"/>
      <c r="F263" s="179"/>
      <c r="G263" s="179"/>
      <c r="H263" s="179"/>
      <c r="I263" s="179"/>
      <c r="J263" s="179"/>
      <c r="K263" s="179"/>
      <c r="L263" s="179"/>
      <c r="M263" s="179"/>
      <c r="N263" s="179"/>
      <c r="O263" s="179"/>
      <c r="P263" s="179"/>
      <c r="Q263" s="179"/>
      <c r="R263" s="179"/>
      <c r="S263" s="179"/>
      <c r="T263" s="179"/>
      <c r="U263" s="179"/>
      <c r="V263" s="179"/>
      <c r="W263" s="179"/>
      <c r="X263" s="403">
        <f t="shared" ref="X263:AE263" si="256">+X179</f>
        <v>29.633333333333333</v>
      </c>
      <c r="Y263" s="403">
        <f t="shared" si="256"/>
        <v>115.175</v>
      </c>
      <c r="Z263" s="403">
        <f t="shared" si="256"/>
        <v>266.15833333333336</v>
      </c>
      <c r="AA263" s="403">
        <f t="shared" si="256"/>
        <v>295.87083333333334</v>
      </c>
      <c r="AB263" s="403">
        <f t="shared" si="256"/>
        <v>369.55200000000002</v>
      </c>
      <c r="AC263" s="403">
        <f t="shared" si="256"/>
        <v>463.59066666666672</v>
      </c>
      <c r="AD263" s="403">
        <f t="shared" si="256"/>
        <v>598.45500000000004</v>
      </c>
      <c r="AE263" s="403">
        <f t="shared" si="256"/>
        <v>747.43515000000014</v>
      </c>
      <c r="AF263" s="403">
        <f t="shared" ref="AF263" si="257">+AF179</f>
        <v>918.76241666666658</v>
      </c>
      <c r="AG263" s="4"/>
    </row>
    <row r="264" spans="1:33">
      <c r="A264" s="3" t="s">
        <v>4</v>
      </c>
      <c r="B264" s="179"/>
      <c r="C264" s="179"/>
      <c r="D264" s="179"/>
      <c r="E264" s="179"/>
      <c r="F264" s="179"/>
      <c r="G264" s="179"/>
      <c r="H264" s="179"/>
      <c r="I264" s="179"/>
      <c r="J264" s="179"/>
      <c r="K264" s="179"/>
      <c r="L264" s="179"/>
      <c r="M264" s="179"/>
      <c r="N264" s="179"/>
      <c r="O264" s="179"/>
      <c r="P264" s="179"/>
      <c r="Q264" s="179"/>
      <c r="R264" s="179"/>
      <c r="S264" s="179"/>
      <c r="T264" s="179"/>
      <c r="U264" s="179"/>
      <c r="V264" s="179"/>
      <c r="W264" s="179"/>
      <c r="X264" s="403"/>
      <c r="Y264" s="407">
        <f t="shared" ref="Y264:AF264" si="258">+Y263/X263-1</f>
        <v>2.8866704161979753</v>
      </c>
      <c r="Z264" s="407">
        <f t="shared" si="258"/>
        <v>1.3109036972722672</v>
      </c>
      <c r="AA264" s="407">
        <f t="shared" si="258"/>
        <v>0.11163467860609266</v>
      </c>
      <c r="AB264" s="407">
        <f t="shared" si="258"/>
        <v>0.24903153121435317</v>
      </c>
      <c r="AC264" s="407">
        <f t="shared" si="258"/>
        <v>0.25446666955304442</v>
      </c>
      <c r="AD264" s="407">
        <f t="shared" si="258"/>
        <v>0.29091252915646848</v>
      </c>
      <c r="AE264" s="407">
        <f t="shared" si="258"/>
        <v>0.24894127377998365</v>
      </c>
      <c r="AF264" s="407">
        <f t="shared" si="258"/>
        <v>0.22922024294236953</v>
      </c>
    </row>
    <row r="265" spans="1:33">
      <c r="A265" s="1" t="s">
        <v>390</v>
      </c>
      <c r="B265" s="179"/>
      <c r="C265" s="179"/>
      <c r="D265" s="179"/>
      <c r="E265" s="179"/>
      <c r="F265" s="179"/>
      <c r="G265" s="179"/>
      <c r="H265" s="179"/>
      <c r="I265" s="179"/>
      <c r="J265" s="179"/>
      <c r="K265" s="179"/>
      <c r="L265" s="179"/>
      <c r="M265" s="179"/>
      <c r="N265" s="179"/>
      <c r="O265" s="179"/>
      <c r="P265" s="179"/>
      <c r="Q265" s="179"/>
      <c r="R265" s="179"/>
      <c r="S265" s="179"/>
      <c r="T265" s="179"/>
      <c r="U265" s="179"/>
      <c r="V265" s="179"/>
      <c r="W265" s="179"/>
      <c r="X265" s="403">
        <f>+X193</f>
        <v>129.6688008799598</v>
      </c>
      <c r="Y265" s="403">
        <f t="shared" ref="Y265:AE265" si="259">+Y193</f>
        <v>173.81558346962549</v>
      </c>
      <c r="Z265" s="403">
        <f t="shared" si="259"/>
        <v>218.78251768972063</v>
      </c>
      <c r="AA265" s="403">
        <f t="shared" si="259"/>
        <v>207.42516666666668</v>
      </c>
      <c r="AB265" s="403">
        <f t="shared" si="259"/>
        <v>206.39850000000001</v>
      </c>
      <c r="AC265" s="403">
        <f t="shared" si="259"/>
        <v>236.85200000000003</v>
      </c>
      <c r="AD265" s="403">
        <f t="shared" si="259"/>
        <v>245.10383333333334</v>
      </c>
      <c r="AE265" s="403">
        <f t="shared" si="259"/>
        <v>246.36150000000001</v>
      </c>
      <c r="AF265" s="403">
        <f t="shared" ref="AF265" si="260">+AF193</f>
        <v>253.59824183006538</v>
      </c>
      <c r="AG265" s="4"/>
    </row>
    <row r="266" spans="1:33">
      <c r="A266" s="3" t="s">
        <v>4</v>
      </c>
      <c r="B266" s="179"/>
      <c r="C266" s="179"/>
      <c r="D266" s="179"/>
      <c r="E266" s="179"/>
      <c r="F266" s="179"/>
      <c r="G266" s="179"/>
      <c r="H266" s="179"/>
      <c r="I266" s="179"/>
      <c r="J266" s="179"/>
      <c r="K266" s="179"/>
      <c r="L266" s="179"/>
      <c r="M266" s="179"/>
      <c r="N266" s="179"/>
      <c r="O266" s="179"/>
      <c r="P266" s="179"/>
      <c r="Q266" s="179"/>
      <c r="R266" s="179"/>
      <c r="S266" s="179"/>
      <c r="T266" s="179"/>
      <c r="U266" s="179"/>
      <c r="V266" s="179"/>
      <c r="W266" s="179"/>
      <c r="X266" s="403"/>
      <c r="Y266" s="407">
        <f t="shared" ref="Y266:AF266" si="261">+Y265/X265-1</f>
        <v>0.34045801526717545</v>
      </c>
      <c r="Z266" s="407">
        <f t="shared" si="261"/>
        <v>0.25870484868206978</v>
      </c>
      <c r="AA266" s="407">
        <f t="shared" si="261"/>
        <v>-5.1911602183685623E-2</v>
      </c>
      <c r="AB266" s="407">
        <f t="shared" si="261"/>
        <v>-4.9495761925385517E-3</v>
      </c>
      <c r="AC266" s="407">
        <f t="shared" si="261"/>
        <v>0.14754709942174982</v>
      </c>
      <c r="AD266" s="407">
        <f t="shared" si="261"/>
        <v>3.4839618552232166E-2</v>
      </c>
      <c r="AE266" s="407">
        <f t="shared" si="261"/>
        <v>5.1311586994082781E-3</v>
      </c>
      <c r="AF266" s="407">
        <f t="shared" si="261"/>
        <v>2.9374483553904929E-2</v>
      </c>
    </row>
    <row r="267" spans="1:33">
      <c r="A267" s="1" t="s">
        <v>439</v>
      </c>
      <c r="B267" s="179"/>
      <c r="C267" s="179"/>
      <c r="D267" s="179"/>
      <c r="E267" s="179"/>
      <c r="F267" s="179"/>
      <c r="G267" s="179"/>
      <c r="H267" s="179"/>
      <c r="I267" s="179"/>
      <c r="J267" s="179"/>
      <c r="K267" s="179"/>
      <c r="L267" s="179"/>
      <c r="M267" s="179"/>
      <c r="N267" s="179"/>
      <c r="O267" s="179"/>
      <c r="P267" s="179"/>
      <c r="Q267" s="179"/>
      <c r="R267" s="179"/>
      <c r="S267" s="179"/>
      <c r="T267" s="179"/>
      <c r="U267" s="179"/>
      <c r="V267" s="179"/>
      <c r="W267" s="179"/>
      <c r="X267" s="403">
        <f t="shared" ref="X267:AE267" si="262">+X229+X219+X209</f>
        <v>231.12466666666666</v>
      </c>
      <c r="Y267" s="403">
        <f t="shared" si="262"/>
        <v>262.45083333333332</v>
      </c>
      <c r="Z267" s="403">
        <f t="shared" si="262"/>
        <v>286.93683333333331</v>
      </c>
      <c r="AA267" s="403">
        <f t="shared" si="262"/>
        <v>288.03500000000003</v>
      </c>
      <c r="AB267" s="403">
        <f t="shared" si="262"/>
        <v>307.96333333333331</v>
      </c>
      <c r="AC267" s="403">
        <f t="shared" si="262"/>
        <v>302.32766666666669</v>
      </c>
      <c r="AD267" s="403">
        <f t="shared" si="262"/>
        <v>277.94066666666663</v>
      </c>
      <c r="AE267" s="403">
        <f t="shared" si="262"/>
        <v>256.90499999999997</v>
      </c>
      <c r="AF267" s="403">
        <f t="shared" ref="AF267" si="263">+AF229+AF219+AF209</f>
        <v>238.85949999999997</v>
      </c>
      <c r="AG267" s="4"/>
    </row>
    <row r="268" spans="1:33">
      <c r="A268" s="3" t="s">
        <v>4</v>
      </c>
      <c r="B268" s="179"/>
      <c r="C268" s="179"/>
      <c r="D268" s="179"/>
      <c r="E268" s="179"/>
      <c r="F268" s="179"/>
      <c r="G268" s="179"/>
      <c r="H268" s="179"/>
      <c r="I268" s="179"/>
      <c r="J268" s="179"/>
      <c r="K268" s="179"/>
      <c r="L268" s="179"/>
      <c r="M268" s="179"/>
      <c r="N268" s="179"/>
      <c r="O268" s="179"/>
      <c r="P268" s="179"/>
      <c r="Q268" s="179"/>
      <c r="R268" s="179"/>
      <c r="S268" s="179"/>
      <c r="T268" s="179"/>
      <c r="U268" s="179"/>
      <c r="V268" s="179"/>
      <c r="W268" s="179"/>
      <c r="X268" s="403"/>
      <c r="Y268" s="407">
        <f t="shared" ref="Y268:AF268" si="264">+Y267/X267-1</f>
        <v>0.1355379636386711</v>
      </c>
      <c r="Z268" s="407">
        <f t="shared" si="264"/>
        <v>9.3297474765114741E-2</v>
      </c>
      <c r="AA268" s="407">
        <f t="shared" si="264"/>
        <v>3.8272070333715824E-3</v>
      </c>
      <c r="AB268" s="407">
        <f t="shared" si="264"/>
        <v>6.9187193685952275E-2</v>
      </c>
      <c r="AC268" s="407">
        <f t="shared" si="264"/>
        <v>-1.8299797594951595E-2</v>
      </c>
      <c r="AD268" s="407">
        <f t="shared" si="264"/>
        <v>-8.0664135931985625E-2</v>
      </c>
      <c r="AE268" s="407">
        <f t="shared" si="264"/>
        <v>-7.5684018891322147E-2</v>
      </c>
      <c r="AF268" s="407">
        <f t="shared" si="264"/>
        <v>-7.0241918218796884E-2</v>
      </c>
    </row>
    <row r="269" spans="1:33">
      <c r="A269" s="3"/>
      <c r="B269" s="179"/>
      <c r="C269" s="179"/>
      <c r="D269" s="179"/>
      <c r="E269" s="179"/>
      <c r="F269" s="179"/>
      <c r="G269" s="179"/>
      <c r="H269" s="179"/>
      <c r="I269" s="179"/>
      <c r="J269" s="179"/>
      <c r="K269" s="179"/>
      <c r="L269" s="179"/>
      <c r="M269" s="179"/>
      <c r="N269" s="179"/>
      <c r="O269" s="179"/>
      <c r="P269" s="179"/>
      <c r="Q269" s="179"/>
      <c r="R269" s="179"/>
      <c r="S269" s="179"/>
      <c r="T269" s="179"/>
      <c r="U269" s="179"/>
      <c r="V269" s="179"/>
      <c r="W269" s="179"/>
      <c r="X269" s="403"/>
      <c r="Y269" s="407"/>
      <c r="Z269" s="407"/>
      <c r="AA269" s="407"/>
      <c r="AB269" s="407"/>
      <c r="AC269" s="407"/>
      <c r="AD269" s="407"/>
      <c r="AE269" s="407"/>
      <c r="AF269" s="407"/>
      <c r="AG269" s="4"/>
    </row>
    <row r="270" spans="1:33">
      <c r="A270" s="12" t="s">
        <v>440</v>
      </c>
      <c r="B270" s="179"/>
      <c r="C270" s="179"/>
      <c r="D270" s="179"/>
      <c r="E270" s="179"/>
      <c r="F270" s="179"/>
      <c r="G270" s="179"/>
      <c r="H270" s="179"/>
      <c r="I270" s="179"/>
      <c r="J270" s="179"/>
      <c r="K270" s="179"/>
      <c r="L270" s="179"/>
      <c r="M270" s="179"/>
      <c r="N270" s="179"/>
      <c r="O270" s="179"/>
      <c r="P270" s="179"/>
      <c r="Q270" s="179"/>
      <c r="R270" s="179"/>
      <c r="S270" s="179"/>
      <c r="T270" s="179"/>
      <c r="U270" s="411">
        <f>+U259</f>
        <v>2100</v>
      </c>
      <c r="V270" s="411">
        <f>U270*(1+(5500/5400)-1)</f>
        <v>2138.8888888888891</v>
      </c>
      <c r="W270" s="455">
        <f t="shared" ref="W270:AF270" si="265">V270*(1+0.025)</f>
        <v>2192.3611111111113</v>
      </c>
      <c r="X270" s="379">
        <f t="shared" si="265"/>
        <v>2247.1701388888887</v>
      </c>
      <c r="Y270" s="379">
        <f>X270*(1+0.025)</f>
        <v>2303.3493923611109</v>
      </c>
      <c r="Z270" s="379">
        <f t="shared" si="265"/>
        <v>2360.9331271701385</v>
      </c>
      <c r="AA270" s="379">
        <f t="shared" si="265"/>
        <v>2419.9564553493919</v>
      </c>
      <c r="AB270" s="379">
        <f t="shared" si="265"/>
        <v>2480.4553667331265</v>
      </c>
      <c r="AC270" s="379">
        <f t="shared" si="265"/>
        <v>2542.4667509014544</v>
      </c>
      <c r="AD270" s="379">
        <f t="shared" si="265"/>
        <v>2606.0284196739904</v>
      </c>
      <c r="AE270" s="379">
        <f t="shared" si="265"/>
        <v>2671.17913016584</v>
      </c>
      <c r="AF270" s="379">
        <f t="shared" si="265"/>
        <v>2737.9586084199859</v>
      </c>
      <c r="AG270" s="4"/>
    </row>
    <row r="271" spans="1:33">
      <c r="A271" s="1" t="s">
        <v>445</v>
      </c>
      <c r="B271" s="179"/>
      <c r="C271" s="179"/>
      <c r="D271" s="179"/>
      <c r="E271" s="179"/>
      <c r="F271" s="179"/>
      <c r="G271" s="179"/>
      <c r="H271" s="179"/>
      <c r="I271" s="179"/>
      <c r="J271" s="179"/>
      <c r="K271" s="179"/>
      <c r="L271" s="179"/>
      <c r="M271" s="179"/>
      <c r="N271" s="179"/>
      <c r="O271" s="179"/>
      <c r="P271" s="179"/>
      <c r="Q271" s="179"/>
      <c r="R271" s="179"/>
      <c r="S271" s="179"/>
      <c r="T271" s="179"/>
      <c r="U271" s="379">
        <f t="shared" ref="U271:AE271" si="266">+U259-U270</f>
        <v>0</v>
      </c>
      <c r="V271" s="379">
        <f t="shared" si="266"/>
        <v>-983.88888888888914</v>
      </c>
      <c r="W271" s="379">
        <f t="shared" si="266"/>
        <v>-932.36111111111131</v>
      </c>
      <c r="X271" s="379">
        <f t="shared" si="266"/>
        <v>-808.04642134226219</v>
      </c>
      <c r="Y271" s="379">
        <f>+Y259-Y270</f>
        <v>-606.06222555815225</v>
      </c>
      <c r="Z271" s="379">
        <f t="shared" si="266"/>
        <v>-600.80760948041757</v>
      </c>
      <c r="AA271" s="379">
        <f t="shared" si="266"/>
        <v>-613.52945534939181</v>
      </c>
      <c r="AB271" s="379">
        <f t="shared" si="266"/>
        <v>-519.06753339979332</v>
      </c>
      <c r="AC271" s="379">
        <f t="shared" si="266"/>
        <v>-449.97691756812083</v>
      </c>
      <c r="AD271" s="379">
        <f t="shared" si="266"/>
        <v>-395.73535300732328</v>
      </c>
      <c r="AE271" s="379">
        <f t="shared" si="266"/>
        <v>-329.53398016583969</v>
      </c>
      <c r="AF271" s="379">
        <f t="shared" ref="AF271" si="267">+AF259-AF270</f>
        <v>-239.085916589921</v>
      </c>
    </row>
    <row r="272" spans="1:33">
      <c r="A272" s="1" t="s">
        <v>446</v>
      </c>
      <c r="B272" s="179"/>
      <c r="C272" s="179"/>
      <c r="D272" s="179"/>
      <c r="E272" s="179"/>
      <c r="F272" s="179"/>
      <c r="G272" s="179"/>
      <c r="H272" s="179"/>
      <c r="I272" s="179"/>
      <c r="J272" s="179"/>
      <c r="K272" s="179"/>
      <c r="L272" s="179"/>
      <c r="M272" s="179"/>
      <c r="N272" s="179"/>
      <c r="O272" s="179"/>
      <c r="P272" s="179"/>
      <c r="Q272" s="179"/>
      <c r="R272" s="179"/>
      <c r="S272" s="179"/>
      <c r="T272" s="179"/>
      <c r="U272" s="379"/>
      <c r="V272" s="379">
        <f>+SUM($U$271:V$271)</f>
        <v>-983.88888888888914</v>
      </c>
      <c r="W272" s="379">
        <f>+SUM($U$271:W$271)</f>
        <v>-1916.2500000000005</v>
      </c>
      <c r="X272" s="379">
        <f>+SUM($U$271:X$271)</f>
        <v>-2724.2964213422629</v>
      </c>
      <c r="Y272" s="379">
        <f>+SUM($U$271:Y$271)</f>
        <v>-3330.3586469004149</v>
      </c>
      <c r="Z272" s="379">
        <f>+SUM($U$271:Z$271)</f>
        <v>-3931.1662563808322</v>
      </c>
      <c r="AA272" s="379">
        <f>+SUM($U$271:AA$271)</f>
        <v>-4544.6957117302245</v>
      </c>
      <c r="AB272" s="379">
        <f>+SUM($U$271:AB$271)</f>
        <v>-5063.7632451300178</v>
      </c>
      <c r="AC272" s="379">
        <f>+SUM($U$271:AC$271)</f>
        <v>-5513.7401626981391</v>
      </c>
      <c r="AD272" s="379">
        <f>+SUM($U$271:AD$271)</f>
        <v>-5909.4755157054624</v>
      </c>
      <c r="AE272" s="379">
        <f>+SUM($U$271:AE$271)</f>
        <v>-6239.0094958713016</v>
      </c>
      <c r="AF272" s="379">
        <f>+SUM($U$271:AF$271)</f>
        <v>-6478.0954124612226</v>
      </c>
    </row>
    <row r="273" spans="1:38">
      <c r="A273" s="1"/>
      <c r="B273" s="179"/>
      <c r="C273" s="179"/>
      <c r="D273" s="179"/>
      <c r="E273" s="179"/>
      <c r="F273" s="179"/>
      <c r="G273" s="179"/>
      <c r="H273" s="179"/>
      <c r="I273" s="179"/>
      <c r="J273" s="179"/>
      <c r="K273" s="179"/>
      <c r="L273" s="179"/>
      <c r="M273" s="179"/>
      <c r="N273" s="179"/>
      <c r="O273" s="179"/>
      <c r="P273" s="179"/>
      <c r="Q273" s="179"/>
      <c r="R273" s="179"/>
      <c r="S273" s="179"/>
      <c r="T273" s="179"/>
      <c r="U273" s="379"/>
      <c r="V273" s="379"/>
      <c r="W273" s="379"/>
      <c r="X273" s="379"/>
      <c r="Y273" s="379"/>
      <c r="Z273" s="379"/>
      <c r="AA273" s="379"/>
      <c r="AB273" s="379"/>
      <c r="AC273" s="379"/>
      <c r="AD273" s="379"/>
      <c r="AE273" s="379"/>
      <c r="AF273" s="379"/>
    </row>
    <row r="274" spans="1:38">
      <c r="Y274" s="259"/>
      <c r="Z274" s="259"/>
      <c r="AA274" s="259"/>
      <c r="AB274" s="259"/>
      <c r="AC274" s="259"/>
      <c r="AD274" s="259"/>
      <c r="AE274" s="259"/>
      <c r="AF274" s="259"/>
    </row>
    <row r="275" spans="1:38">
      <c r="A275" s="567" t="s">
        <v>583</v>
      </c>
      <c r="B275" s="566"/>
      <c r="C275" s="566"/>
      <c r="D275" s="566"/>
      <c r="E275" s="566"/>
      <c r="F275" s="566"/>
      <c r="G275" s="566"/>
      <c r="H275" s="566"/>
      <c r="I275" s="566"/>
      <c r="J275" s="566"/>
      <c r="K275" s="566"/>
      <c r="L275" s="566"/>
      <c r="M275" s="566"/>
      <c r="N275" s="566"/>
      <c r="O275" s="566"/>
      <c r="P275" s="566"/>
      <c r="Q275" s="566"/>
      <c r="R275" s="566"/>
      <c r="S275" s="566"/>
      <c r="T275" s="566"/>
      <c r="U275" s="566"/>
      <c r="V275" s="566"/>
      <c r="W275" s="566"/>
      <c r="X275" s="566"/>
      <c r="Y275" s="566"/>
      <c r="Z275" s="566"/>
      <c r="AA275" s="566"/>
      <c r="AB275" s="566"/>
      <c r="AC275" s="566"/>
      <c r="AD275" s="566"/>
      <c r="AE275" s="566"/>
      <c r="AF275" s="566"/>
      <c r="AI275" s="4">
        <v>2024</v>
      </c>
      <c r="AJ275" s="4">
        <v>2030</v>
      </c>
    </row>
    <row r="276" spans="1:38">
      <c r="A276" s="6" t="s">
        <v>455</v>
      </c>
      <c r="B276" s="557"/>
      <c r="C276" s="557"/>
      <c r="D276" s="557"/>
      <c r="E276" s="557"/>
      <c r="F276" s="557"/>
      <c r="G276" s="557"/>
      <c r="H276" s="557"/>
      <c r="I276" s="557"/>
      <c r="J276" s="557"/>
      <c r="K276" s="557"/>
      <c r="L276" s="557"/>
      <c r="M276" s="557"/>
      <c r="N276" s="557"/>
      <c r="O276" s="557"/>
      <c r="P276" s="557"/>
      <c r="Q276" s="557"/>
      <c r="R276" s="557"/>
      <c r="S276" s="557"/>
      <c r="T276" s="557"/>
      <c r="U276" s="557"/>
      <c r="V276" s="557"/>
      <c r="W276" s="557"/>
      <c r="X276" s="557"/>
      <c r="Y276" s="557"/>
      <c r="Z276" s="557"/>
      <c r="AA276" s="557"/>
      <c r="AB276" s="557"/>
      <c r="AC276" s="557"/>
      <c r="AD276" s="557"/>
      <c r="AE276" s="557"/>
      <c r="AF276" s="557"/>
      <c r="AH276" t="s">
        <v>455</v>
      </c>
      <c r="AI276" s="549">
        <v>10</v>
      </c>
      <c r="AJ276" s="549">
        <v>20</v>
      </c>
    </row>
    <row r="277" spans="1:38">
      <c r="A277" t="s">
        <v>557</v>
      </c>
      <c r="M277" s="179"/>
      <c r="N277" s="179"/>
      <c r="O277" s="179"/>
      <c r="P277" s="179"/>
      <c r="Q277" s="179"/>
      <c r="R277" s="179"/>
      <c r="S277" s="179"/>
      <c r="T277" s="179"/>
      <c r="U277" s="179"/>
      <c r="V277" s="179"/>
      <c r="W277" s="179"/>
      <c r="X277" s="179"/>
      <c r="Y277" s="389">
        <f t="shared" ref="Y277:AF277" si="268">Y167+Y181</f>
        <v>5045.8002434999999</v>
      </c>
      <c r="Z277" s="389">
        <f t="shared" si="268"/>
        <v>5832.0076891978188</v>
      </c>
      <c r="AA277" s="389">
        <f t="shared" si="268"/>
        <v>7216.1579514262776</v>
      </c>
      <c r="AB277" s="389">
        <f t="shared" si="268"/>
        <v>8541.2545459926205</v>
      </c>
      <c r="AC277" s="389">
        <f t="shared" si="268"/>
        <v>9715.407260733562</v>
      </c>
      <c r="AD277" s="389">
        <f t="shared" si="268"/>
        <v>11352.288230853115</v>
      </c>
      <c r="AE277" s="389">
        <f t="shared" si="268"/>
        <v>13155.950970407433</v>
      </c>
      <c r="AF277" s="389">
        <f t="shared" si="268"/>
        <v>15277.783868642182</v>
      </c>
      <c r="AH277" t="s">
        <v>456</v>
      </c>
      <c r="AI277" s="549">
        <v>7</v>
      </c>
      <c r="AJ277" s="548">
        <f>AI277*1.5</f>
        <v>10.5</v>
      </c>
    </row>
    <row r="278" spans="1:38">
      <c r="A278" s="1" t="s">
        <v>4</v>
      </c>
      <c r="M278" s="179"/>
      <c r="N278" s="179"/>
      <c r="O278" s="179"/>
      <c r="P278" s="179"/>
      <c r="Q278" s="179"/>
      <c r="R278" s="179"/>
      <c r="S278" s="179"/>
      <c r="T278" s="179"/>
      <c r="U278" s="179"/>
      <c r="V278" s="179"/>
      <c r="W278" s="179"/>
      <c r="X278" s="179"/>
      <c r="Y278" s="179"/>
      <c r="Z278" s="292">
        <f>Z277/Y277-1</f>
        <v>0.1558142232662918</v>
      </c>
      <c r="AA278" s="292">
        <f>AA277/Z277-1</f>
        <v>0.23733683767122149</v>
      </c>
      <c r="AB278" s="292">
        <f t="shared" ref="AB278:AF278" si="269">AB277/AA277-1</f>
        <v>0.18362910062195037</v>
      </c>
      <c r="AC278" s="292">
        <f t="shared" si="269"/>
        <v>0.13746841385166642</v>
      </c>
      <c r="AD278" s="292">
        <f t="shared" si="269"/>
        <v>0.16848300088615753</v>
      </c>
      <c r="AE278" s="292">
        <f t="shared" si="269"/>
        <v>0.15888098530235917</v>
      </c>
      <c r="AF278" s="292">
        <f t="shared" si="269"/>
        <v>0.16128312601707995</v>
      </c>
      <c r="AH278" t="s">
        <v>544</v>
      </c>
      <c r="AI278" s="548">
        <f>Z347/1000-SUM(AI276:AI277)</f>
        <v>2.7749999999999986</v>
      </c>
      <c r="AJ278" s="548">
        <f>AI278*(1.06^6)</f>
        <v>3.9363905365103995</v>
      </c>
    </row>
    <row r="279" spans="1:38">
      <c r="A279" t="s">
        <v>558</v>
      </c>
      <c r="M279" s="179"/>
      <c r="N279" s="179"/>
      <c r="O279" s="179"/>
      <c r="P279" s="179"/>
      <c r="Q279" s="179"/>
      <c r="R279" s="179"/>
      <c r="S279" s="179"/>
      <c r="T279" s="179"/>
      <c r="U279" s="179"/>
      <c r="V279" s="179"/>
      <c r="W279" s="179"/>
      <c r="X279" s="179"/>
      <c r="Y279" s="179"/>
      <c r="Z279" s="389">
        <f>10000-Z277</f>
        <v>4167.9923108021812</v>
      </c>
      <c r="AA279" s="389">
        <f>Z279*(1+AA280)</f>
        <v>5668.4695426909657</v>
      </c>
      <c r="AB279" s="389">
        <f>AA279*(1+AB280)</f>
        <v>6745.478755802249</v>
      </c>
      <c r="AC279" s="389">
        <f t="shared" ref="AC279:AF279" si="270">AB279*(1+AC280)</f>
        <v>7318.8444500454398</v>
      </c>
      <c r="AD279" s="389">
        <f t="shared" si="270"/>
        <v>8123.9173395504386</v>
      </c>
      <c r="AE279" s="389">
        <f t="shared" si="270"/>
        <v>9180.026593691995</v>
      </c>
      <c r="AF279" s="389">
        <f t="shared" si="270"/>
        <v>10373.430050871953</v>
      </c>
      <c r="AH279" s="4" t="s">
        <v>545</v>
      </c>
      <c r="AI279" s="550">
        <f>SUM(AI276:AI278)</f>
        <v>19.774999999999999</v>
      </c>
      <c r="AJ279" s="550">
        <f>SUM(AJ276:AJ278)</f>
        <v>34.436390536510402</v>
      </c>
    </row>
    <row r="280" spans="1:38">
      <c r="A280" s="1" t="s">
        <v>4</v>
      </c>
      <c r="M280" s="179"/>
      <c r="N280" s="179"/>
      <c r="O280" s="179"/>
      <c r="P280" s="179"/>
      <c r="Q280" s="179"/>
      <c r="R280" s="179"/>
      <c r="S280" s="179"/>
      <c r="T280" s="179"/>
      <c r="U280" s="179"/>
      <c r="V280" s="179"/>
      <c r="W280" s="179"/>
      <c r="X280" s="179"/>
      <c r="Y280" s="179"/>
      <c r="Z280" s="179"/>
      <c r="AA280" s="583">
        <f>SUM(AA281:AA283)</f>
        <v>0.36</v>
      </c>
      <c r="AB280" s="583">
        <f>SUM(AB281:AB283)</f>
        <v>0.19</v>
      </c>
      <c r="AC280" s="583">
        <f t="shared" ref="AC280:AE280" si="271">SUM(AC281:AC283)</f>
        <v>8.5000000000000006E-2</v>
      </c>
      <c r="AD280" s="583">
        <f t="shared" si="271"/>
        <v>0.11</v>
      </c>
      <c r="AE280" s="583">
        <f t="shared" si="271"/>
        <v>0.13</v>
      </c>
      <c r="AF280" s="583">
        <f t="shared" ref="AF280" si="272">SUM(AF281:AF283)</f>
        <v>0.13</v>
      </c>
    </row>
    <row r="281" spans="1:38">
      <c r="A281" s="1" t="s">
        <v>561</v>
      </c>
      <c r="M281" s="179"/>
      <c r="N281" s="179"/>
      <c r="O281" s="179"/>
      <c r="P281" s="179"/>
      <c r="Q281" s="179"/>
      <c r="R281" s="179"/>
      <c r="S281" s="179"/>
      <c r="T281" s="179"/>
      <c r="U281" s="179"/>
      <c r="V281" s="179"/>
      <c r="W281" s="179"/>
      <c r="X281" s="179"/>
      <c r="Y281" s="179"/>
      <c r="Z281" s="179"/>
      <c r="AA281" s="611">
        <v>0.22</v>
      </c>
      <c r="AB281" s="556">
        <v>0.06</v>
      </c>
      <c r="AC281" s="556">
        <v>0.01</v>
      </c>
      <c r="AD281" s="556">
        <v>0.01</v>
      </c>
      <c r="AE281" s="556">
        <v>0.03</v>
      </c>
      <c r="AF281" s="556">
        <v>0.03</v>
      </c>
      <c r="AH281" t="s">
        <v>455</v>
      </c>
      <c r="AI281">
        <v>2024</v>
      </c>
      <c r="AJ281">
        <v>2025</v>
      </c>
      <c r="AK281">
        <v>2028</v>
      </c>
      <c r="AL281">
        <v>2030</v>
      </c>
    </row>
    <row r="282" spans="1:38">
      <c r="A282" s="1" t="s">
        <v>559</v>
      </c>
      <c r="M282" s="179"/>
      <c r="N282" s="179"/>
      <c r="O282" s="179"/>
      <c r="P282" s="179"/>
      <c r="Q282" s="179"/>
      <c r="R282" s="179"/>
      <c r="S282" s="179"/>
      <c r="T282" s="179"/>
      <c r="U282" s="179"/>
      <c r="V282" s="179"/>
      <c r="W282" s="179"/>
      <c r="X282" s="179"/>
      <c r="Y282" s="179"/>
      <c r="Z282" s="179"/>
      <c r="AA282" s="611">
        <v>0.04</v>
      </c>
      <c r="AB282" s="556">
        <v>0.05</v>
      </c>
      <c r="AC282" s="556">
        <v>2.5000000000000001E-2</v>
      </c>
      <c r="AD282" s="556">
        <v>0.04</v>
      </c>
      <c r="AE282" s="556">
        <v>0.04</v>
      </c>
      <c r="AF282" s="556">
        <v>0.04</v>
      </c>
      <c r="AH282" t="s">
        <v>548</v>
      </c>
      <c r="AI282" s="551">
        <v>0.1</v>
      </c>
      <c r="AJ282" s="551">
        <v>0.2</v>
      </c>
      <c r="AK282" s="551">
        <v>0.4</v>
      </c>
      <c r="AL282" s="551">
        <v>0.5</v>
      </c>
    </row>
    <row r="283" spans="1:38">
      <c r="A283" s="1" t="s">
        <v>560</v>
      </c>
      <c r="M283" s="179"/>
      <c r="N283" s="179"/>
      <c r="O283" s="179"/>
      <c r="P283" s="179"/>
      <c r="Q283" s="179"/>
      <c r="R283" s="179"/>
      <c r="S283" s="179"/>
      <c r="T283" s="179"/>
      <c r="U283" s="179"/>
      <c r="V283" s="179"/>
      <c r="W283" s="179"/>
      <c r="X283" s="179"/>
      <c r="Y283" s="179"/>
      <c r="Z283" s="179"/>
      <c r="AA283" s="611">
        <v>0.1</v>
      </c>
      <c r="AB283" s="556">
        <v>0.08</v>
      </c>
      <c r="AC283" s="556">
        <v>0.05</v>
      </c>
      <c r="AD283" s="556">
        <v>0.06</v>
      </c>
      <c r="AE283" s="556">
        <v>0.06</v>
      </c>
      <c r="AF283" s="556">
        <v>0.06</v>
      </c>
      <c r="AH283" t="s">
        <v>388</v>
      </c>
      <c r="AI283" s="551">
        <f>1-AI282</f>
        <v>0.9</v>
      </c>
      <c r="AJ283" s="551">
        <f>1-AJ282</f>
        <v>0.8</v>
      </c>
      <c r="AK283" s="551">
        <f>1-AK282</f>
        <v>0.6</v>
      </c>
      <c r="AL283" s="551">
        <f>1-AL282</f>
        <v>0.5</v>
      </c>
    </row>
    <row r="284" spans="1:38">
      <c r="A284" s="4" t="s">
        <v>562</v>
      </c>
      <c r="B284" s="4"/>
      <c r="C284" s="4"/>
      <c r="D284" s="4"/>
      <c r="E284" s="4"/>
      <c r="F284" s="4"/>
      <c r="G284" s="4"/>
      <c r="H284" s="4"/>
      <c r="I284" s="4"/>
      <c r="J284" s="4"/>
      <c r="K284" s="4"/>
      <c r="L284" s="4"/>
      <c r="M284" s="380"/>
      <c r="N284" s="380"/>
      <c r="O284" s="380"/>
      <c r="P284" s="380"/>
      <c r="Q284" s="380"/>
      <c r="R284" s="380"/>
      <c r="S284" s="380"/>
      <c r="T284" s="380"/>
      <c r="U284" s="380"/>
      <c r="V284" s="380"/>
      <c r="W284" s="380"/>
      <c r="X284" s="380"/>
      <c r="Y284" s="380"/>
      <c r="Z284" s="380"/>
      <c r="AA284" s="403">
        <f>AA277+AA279</f>
        <v>12884.627494117243</v>
      </c>
      <c r="AB284" s="403">
        <f t="shared" ref="AB284:AE284" si="273">AB277+AB279</f>
        <v>15286.733301794869</v>
      </c>
      <c r="AC284" s="403">
        <f t="shared" si="273"/>
        <v>17034.251710779001</v>
      </c>
      <c r="AD284" s="403">
        <f t="shared" si="273"/>
        <v>19476.205570403552</v>
      </c>
      <c r="AE284" s="403">
        <f t="shared" si="273"/>
        <v>22335.977564099427</v>
      </c>
      <c r="AF284" s="403">
        <f t="shared" ref="AF284" si="274">AF277+AF279</f>
        <v>25651.213919514135</v>
      </c>
    </row>
    <row r="285" spans="1:38">
      <c r="A285" s="1" t="s">
        <v>4</v>
      </c>
      <c r="M285" s="179"/>
      <c r="N285" s="179"/>
      <c r="O285" s="179"/>
      <c r="P285" s="179"/>
      <c r="Q285" s="179"/>
      <c r="R285" s="179"/>
      <c r="S285" s="179"/>
      <c r="T285" s="179"/>
      <c r="U285" s="179"/>
      <c r="V285" s="179"/>
      <c r="W285" s="179"/>
      <c r="X285" s="179"/>
      <c r="Y285" s="179"/>
      <c r="Z285" s="179"/>
      <c r="AA285" s="179"/>
      <c r="AB285" s="292">
        <f>AB284/AA284-1</f>
        <v>0.18643191731964004</v>
      </c>
      <c r="AC285" s="292">
        <f t="shared" ref="AC285:AF285" si="275">AC284/AB284-1</f>
        <v>0.11431601340091069</v>
      </c>
      <c r="AD285" s="292">
        <f t="shared" si="275"/>
        <v>0.14335551106593791</v>
      </c>
      <c r="AE285" s="292">
        <f t="shared" si="275"/>
        <v>0.14683414504731074</v>
      </c>
      <c r="AF285" s="292">
        <f t="shared" si="275"/>
        <v>0.14842584551764948</v>
      </c>
      <c r="AG285" s="444"/>
    </row>
    <row r="286" spans="1:38">
      <c r="A286" s="11"/>
      <c r="M286" s="179"/>
      <c r="N286" s="179"/>
      <c r="O286" s="179"/>
      <c r="P286" s="179"/>
      <c r="Q286" s="179"/>
      <c r="R286" s="179"/>
      <c r="S286" s="179"/>
      <c r="T286" s="179"/>
      <c r="U286" s="179"/>
      <c r="V286" s="179"/>
      <c r="W286" s="179"/>
      <c r="X286" s="179"/>
      <c r="Y286" s="179"/>
      <c r="Z286" s="179"/>
      <c r="AA286" s="179"/>
      <c r="AB286" s="179"/>
      <c r="AC286" s="179"/>
      <c r="AD286" s="179"/>
      <c r="AE286" s="179"/>
      <c r="AF286" s="179"/>
    </row>
    <row r="287" spans="1:38">
      <c r="A287" s="6" t="s">
        <v>456</v>
      </c>
      <c r="B287" s="557"/>
      <c r="C287" s="557"/>
      <c r="D287" s="557"/>
      <c r="E287" s="557"/>
      <c r="F287" s="557"/>
      <c r="G287" s="557"/>
      <c r="H287" s="557"/>
      <c r="I287" s="557"/>
      <c r="J287" s="557"/>
      <c r="K287" s="557"/>
      <c r="L287" s="557"/>
      <c r="M287" s="534"/>
      <c r="N287" s="534"/>
      <c r="O287" s="534"/>
      <c r="P287" s="534"/>
      <c r="Q287" s="534"/>
      <c r="R287" s="534"/>
      <c r="S287" s="534"/>
      <c r="T287" s="534"/>
      <c r="U287" s="534"/>
      <c r="V287" s="534"/>
      <c r="W287" s="534"/>
      <c r="X287" s="534"/>
      <c r="Y287" s="534"/>
      <c r="Z287" s="534"/>
      <c r="AA287" s="534"/>
      <c r="AB287" s="534"/>
      <c r="AC287" s="534"/>
      <c r="AD287" s="534"/>
      <c r="AE287" s="534"/>
      <c r="AF287" s="534"/>
    </row>
    <row r="288" spans="1:38">
      <c r="A288" t="s">
        <v>557</v>
      </c>
      <c r="M288" s="179"/>
      <c r="N288" s="179"/>
      <c r="O288" s="179"/>
      <c r="P288" s="179"/>
      <c r="Q288" s="179"/>
      <c r="R288" s="179"/>
      <c r="S288" s="179"/>
      <c r="T288" s="179"/>
      <c r="U288" s="179"/>
      <c r="V288" s="179"/>
      <c r="W288" s="179"/>
      <c r="X288" s="179"/>
      <c r="Y288" s="389">
        <f t="shared" ref="Y288:AF288" si="276">SUM(Y195+Y211+Y221+Y231)</f>
        <v>3590.4726102883515</v>
      </c>
      <c r="Z288" s="389">
        <f t="shared" si="276"/>
        <v>4411.7944744549186</v>
      </c>
      <c r="AA288" s="389">
        <f t="shared" si="276"/>
        <v>5402.8692524583339</v>
      </c>
      <c r="AB288" s="389">
        <f t="shared" si="276"/>
        <v>6366.200474317292</v>
      </c>
      <c r="AC288" s="389">
        <f t="shared" si="276"/>
        <v>6973.6696629790886</v>
      </c>
      <c r="AD288" s="389">
        <f t="shared" si="276"/>
        <v>7103.2288064893082</v>
      </c>
      <c r="AE288" s="389">
        <f t="shared" si="276"/>
        <v>7176.36444919716</v>
      </c>
      <c r="AF288" s="389">
        <f t="shared" si="276"/>
        <v>7373.3480030187866</v>
      </c>
      <c r="AH288" t="s">
        <v>551</v>
      </c>
      <c r="AJ288">
        <v>1.25</v>
      </c>
    </row>
    <row r="289" spans="1:38">
      <c r="A289" s="1" t="s">
        <v>4</v>
      </c>
      <c r="M289" s="179"/>
      <c r="N289" s="179"/>
      <c r="O289" s="179"/>
      <c r="P289" s="179"/>
      <c r="Q289" s="179"/>
      <c r="R289" s="179"/>
      <c r="S289" s="179"/>
      <c r="T289" s="179"/>
      <c r="U289" s="179"/>
      <c r="V289" s="179"/>
      <c r="W289" s="179"/>
      <c r="X289" s="179"/>
      <c r="Y289" s="179"/>
      <c r="Z289" s="292">
        <f>Z288/Y288-1</f>
        <v>0.22875034941447625</v>
      </c>
      <c r="AA289" s="292">
        <f>AA288/Z288-1</f>
        <v>0.22464210056518175</v>
      </c>
      <c r="AB289" s="292">
        <f t="shared" ref="AB289" si="277">AB288/AA288-1</f>
        <v>0.17829993228517194</v>
      </c>
      <c r="AC289" s="292">
        <f t="shared" ref="AC289" si="278">AC288/AB288-1</f>
        <v>9.5420995790576502E-2</v>
      </c>
      <c r="AD289" s="292">
        <f t="shared" ref="AD289" si="279">AD288/AC288-1</f>
        <v>1.8578331032513162E-2</v>
      </c>
      <c r="AE289" s="292">
        <f t="shared" ref="AE289:AF289" si="280">AE288/AD288-1</f>
        <v>1.0296112472265806E-2</v>
      </c>
      <c r="AF289" s="292">
        <f t="shared" si="280"/>
        <v>2.7448933957592292E-2</v>
      </c>
      <c r="AH289" t="s">
        <v>389</v>
      </c>
      <c r="AI289" s="551">
        <v>0.5</v>
      </c>
      <c r="AJ289" s="551">
        <v>0.45</v>
      </c>
      <c r="AK289" s="551">
        <v>0.45</v>
      </c>
      <c r="AL289" s="551">
        <v>0.4</v>
      </c>
    </row>
    <row r="290" spans="1:38">
      <c r="A290" t="s">
        <v>558</v>
      </c>
      <c r="M290" s="179"/>
      <c r="N290" s="179"/>
      <c r="O290" s="179"/>
      <c r="P290" s="179"/>
      <c r="Q290" s="179"/>
      <c r="R290" s="179"/>
      <c r="S290" s="179"/>
      <c r="T290" s="179"/>
      <c r="U290" s="179"/>
      <c r="V290" s="179"/>
      <c r="W290" s="179"/>
      <c r="X290" s="179"/>
      <c r="Y290" s="179"/>
      <c r="Z290" s="389">
        <f>7000-Z288</f>
        <v>2588.2055255450814</v>
      </c>
      <c r="AA290" s="389">
        <f>Z290*(1+AA291)</f>
        <v>3028.2004648877451</v>
      </c>
      <c r="AB290" s="389">
        <f>AA290*(1+AB291)</f>
        <v>3603.5585532164164</v>
      </c>
      <c r="AC290" s="389">
        <f t="shared" ref="AC290" si="281">AB290*(1+AC291)</f>
        <v>3891.8432374737299</v>
      </c>
      <c r="AD290" s="389">
        <f t="shared" ref="AD290" si="282">AC290*(1+AD291)</f>
        <v>4242.1091288463658</v>
      </c>
      <c r="AE290" s="389">
        <f t="shared" ref="AE290:AF290" si="283">AD290*(1+AE291)</f>
        <v>4623.898950442539</v>
      </c>
      <c r="AF290" s="389">
        <f t="shared" si="283"/>
        <v>5040.0498559823682</v>
      </c>
      <c r="AH290" t="s">
        <v>549</v>
      </c>
      <c r="AI290" s="551">
        <v>0.3</v>
      </c>
      <c r="AJ290" s="551">
        <v>0.35</v>
      </c>
      <c r="AK290" s="551">
        <v>0.35</v>
      </c>
      <c r="AL290" s="551">
        <v>0.4</v>
      </c>
    </row>
    <row r="291" spans="1:38">
      <c r="A291" s="1" t="s">
        <v>4</v>
      </c>
      <c r="M291" s="179"/>
      <c r="N291" s="179"/>
      <c r="O291" s="179"/>
      <c r="P291" s="179"/>
      <c r="Q291" s="179"/>
      <c r="R291" s="179"/>
      <c r="S291" s="179"/>
      <c r="T291" s="179"/>
      <c r="U291" s="179"/>
      <c r="V291" s="179"/>
      <c r="W291" s="179"/>
      <c r="X291" s="179"/>
      <c r="Y291" s="179"/>
      <c r="Z291" s="179"/>
      <c r="AA291" s="583">
        <f>SUM(AA292:AA294)</f>
        <v>0.16999999999999998</v>
      </c>
      <c r="AB291" s="583">
        <f>SUM(AB292:AB294)</f>
        <v>0.19</v>
      </c>
      <c r="AC291" s="583">
        <f t="shared" ref="AC291" si="284">SUM(AC292:AC294)</f>
        <v>0.08</v>
      </c>
      <c r="AD291" s="583">
        <f t="shared" ref="AD291" si="285">SUM(AD292:AD294)</f>
        <v>0.09</v>
      </c>
      <c r="AE291" s="583">
        <f t="shared" ref="AE291:AF291" si="286">SUM(AE292:AE294)</f>
        <v>0.09</v>
      </c>
      <c r="AF291" s="583">
        <f t="shared" si="286"/>
        <v>0.09</v>
      </c>
      <c r="AH291" t="s">
        <v>550</v>
      </c>
      <c r="AI291" s="551">
        <f>1-SUM(AI289:AI290)</f>
        <v>0.19999999999999996</v>
      </c>
      <c r="AJ291" s="551">
        <f>1-SUM(AJ289:AJ290)</f>
        <v>0.19999999999999996</v>
      </c>
      <c r="AK291" s="551">
        <f>1-SUM(AK289:AK290)</f>
        <v>0.19999999999999996</v>
      </c>
      <c r="AL291" s="551">
        <f>1-SUM(AL289:AL290)</f>
        <v>0.19999999999999996</v>
      </c>
    </row>
    <row r="292" spans="1:38">
      <c r="A292" s="1" t="s">
        <v>561</v>
      </c>
      <c r="M292" s="179"/>
      <c r="N292" s="179"/>
      <c r="O292" s="179"/>
      <c r="P292" s="179"/>
      <c r="Q292" s="179"/>
      <c r="R292" s="179"/>
      <c r="S292" s="179"/>
      <c r="T292" s="179"/>
      <c r="U292" s="179"/>
      <c r="V292" s="179"/>
      <c r="W292" s="179"/>
      <c r="X292" s="179"/>
      <c r="Y292" s="179"/>
      <c r="Z292" s="179"/>
      <c r="AA292" s="611">
        <v>0.05</v>
      </c>
      <c r="AB292" s="556">
        <v>0.06</v>
      </c>
      <c r="AC292" s="556">
        <v>0</v>
      </c>
      <c r="AD292" s="556">
        <v>0</v>
      </c>
      <c r="AE292" s="556">
        <v>0</v>
      </c>
      <c r="AF292" s="556">
        <v>0</v>
      </c>
    </row>
    <row r="293" spans="1:38">
      <c r="A293" s="1" t="s">
        <v>559</v>
      </c>
      <c r="M293" s="179"/>
      <c r="N293" s="179"/>
      <c r="O293" s="179"/>
      <c r="P293" s="179"/>
      <c r="Q293" s="179"/>
      <c r="R293" s="179"/>
      <c r="S293" s="179"/>
      <c r="T293" s="179"/>
      <c r="U293" s="179"/>
      <c r="V293" s="179"/>
      <c r="W293" s="179"/>
      <c r="X293" s="179"/>
      <c r="Y293" s="179"/>
      <c r="Z293" s="179"/>
      <c r="AA293" s="611">
        <v>0.04</v>
      </c>
      <c r="AB293" s="556">
        <v>0.05</v>
      </c>
      <c r="AC293" s="556">
        <v>0.04</v>
      </c>
      <c r="AD293" s="556">
        <v>0.04</v>
      </c>
      <c r="AE293" s="556">
        <v>0.04</v>
      </c>
      <c r="AF293" s="556">
        <v>0.04</v>
      </c>
    </row>
    <row r="294" spans="1:38">
      <c r="A294" s="1" t="s">
        <v>560</v>
      </c>
      <c r="M294" s="179"/>
      <c r="N294" s="179"/>
      <c r="O294" s="179"/>
      <c r="P294" s="179"/>
      <c r="Q294" s="179"/>
      <c r="R294" s="179"/>
      <c r="S294" s="179"/>
      <c r="T294" s="179"/>
      <c r="U294" s="179"/>
      <c r="V294" s="179"/>
      <c r="W294" s="179"/>
      <c r="X294" s="179"/>
      <c r="Y294" s="179"/>
      <c r="Z294" s="179"/>
      <c r="AA294" s="611">
        <v>0.08</v>
      </c>
      <c r="AB294" s="556">
        <v>0.08</v>
      </c>
      <c r="AC294" s="556">
        <v>0.04</v>
      </c>
      <c r="AD294" s="556">
        <v>0.05</v>
      </c>
      <c r="AE294" s="556">
        <v>0.05</v>
      </c>
      <c r="AF294" s="556">
        <v>0.05</v>
      </c>
    </row>
    <row r="295" spans="1:38">
      <c r="A295" s="4" t="s">
        <v>564</v>
      </c>
      <c r="B295" s="4"/>
      <c r="C295" s="4"/>
      <c r="D295" s="4"/>
      <c r="E295" s="4"/>
      <c r="F295" s="4"/>
      <c r="G295" s="4"/>
      <c r="H295" s="4"/>
      <c r="I295" s="4"/>
      <c r="J295" s="4"/>
      <c r="K295" s="4"/>
      <c r="L295" s="4"/>
      <c r="M295" s="380"/>
      <c r="N295" s="380"/>
      <c r="O295" s="380"/>
      <c r="P295" s="380"/>
      <c r="Q295" s="380"/>
      <c r="R295" s="380"/>
      <c r="S295" s="380"/>
      <c r="T295" s="380"/>
      <c r="U295" s="380"/>
      <c r="V295" s="380"/>
      <c r="W295" s="380"/>
      <c r="X295" s="380"/>
      <c r="Y295" s="380"/>
      <c r="Z295" s="380"/>
      <c r="AA295" s="403">
        <f>AA288+AA290</f>
        <v>8431.0697173460794</v>
      </c>
      <c r="AB295" s="403">
        <f t="shared" ref="AB295:AE295" si="287">AB288+AB290</f>
        <v>9969.7590275337079</v>
      </c>
      <c r="AC295" s="403">
        <f t="shared" si="287"/>
        <v>10865.512900452819</v>
      </c>
      <c r="AD295" s="403">
        <f t="shared" si="287"/>
        <v>11345.337935335674</v>
      </c>
      <c r="AE295" s="403">
        <f t="shared" si="287"/>
        <v>11800.263399639698</v>
      </c>
      <c r="AF295" s="403">
        <f t="shared" ref="AF295" si="288">AF288+AF290</f>
        <v>12413.397859001154</v>
      </c>
    </row>
    <row r="296" spans="1:38">
      <c r="A296" s="1" t="s">
        <v>4</v>
      </c>
      <c r="M296" s="179"/>
      <c r="N296" s="179"/>
      <c r="O296" s="179"/>
      <c r="P296" s="179"/>
      <c r="Q296" s="179"/>
      <c r="R296" s="179"/>
      <c r="S296" s="179"/>
      <c r="T296" s="179"/>
      <c r="U296" s="179"/>
      <c r="V296" s="179"/>
      <c r="W296" s="179"/>
      <c r="X296" s="179"/>
      <c r="Y296" s="179"/>
      <c r="Z296" s="179"/>
      <c r="AA296" s="179"/>
      <c r="AB296" s="292">
        <f>AB295/AA295-1</f>
        <v>0.1825022638612428</v>
      </c>
      <c r="AC296" s="292">
        <f t="shared" ref="AC296" si="289">AC295/AB295-1</f>
        <v>8.9847093640406772E-2</v>
      </c>
      <c r="AD296" s="292">
        <f t="shared" ref="AD296" si="290">AD295/AC295-1</f>
        <v>4.4160366775033655E-2</v>
      </c>
      <c r="AE296" s="292">
        <f t="shared" ref="AE296:AF296" si="291">AE295/AD295-1</f>
        <v>4.0098009146746882E-2</v>
      </c>
      <c r="AF296" s="292">
        <f t="shared" si="291"/>
        <v>5.1959387565889248E-2</v>
      </c>
    </row>
    <row r="297" spans="1:38">
      <c r="M297" s="179"/>
      <c r="N297" s="179"/>
      <c r="O297" s="179"/>
      <c r="P297" s="179"/>
      <c r="Q297" s="179"/>
      <c r="R297" s="179"/>
      <c r="S297" s="179"/>
      <c r="T297" s="179"/>
      <c r="U297" s="179"/>
      <c r="V297" s="179"/>
      <c r="W297" s="179"/>
      <c r="X297" s="179"/>
      <c r="Y297" s="179"/>
      <c r="Z297" s="179"/>
      <c r="AA297" s="179"/>
      <c r="AB297" s="179"/>
      <c r="AC297" s="179"/>
      <c r="AD297" s="179"/>
      <c r="AE297" s="179"/>
      <c r="AF297" s="179"/>
    </row>
    <row r="298" spans="1:38">
      <c r="A298" s="6" t="s">
        <v>556</v>
      </c>
      <c r="B298" s="557"/>
      <c r="C298" s="557"/>
      <c r="D298" s="557"/>
      <c r="E298" s="557"/>
      <c r="F298" s="557"/>
      <c r="G298" s="557"/>
      <c r="H298" s="557"/>
      <c r="I298" s="557"/>
      <c r="J298" s="557"/>
      <c r="K298" s="557"/>
      <c r="L298" s="557"/>
      <c r="M298" s="534"/>
      <c r="N298" s="534"/>
      <c r="O298" s="534"/>
      <c r="P298" s="534"/>
      <c r="Q298" s="534"/>
      <c r="R298" s="534"/>
      <c r="S298" s="534"/>
      <c r="T298" s="534"/>
      <c r="U298" s="534"/>
      <c r="V298" s="534"/>
      <c r="W298" s="534"/>
      <c r="X298" s="534"/>
      <c r="Y298" s="534"/>
      <c r="Z298" s="534"/>
      <c r="AA298" s="534"/>
      <c r="AB298" s="534"/>
      <c r="AC298" s="534"/>
      <c r="AD298" s="534"/>
      <c r="AE298" s="534"/>
      <c r="AF298" s="534"/>
    </row>
    <row r="299" spans="1:38">
      <c r="A299" t="s">
        <v>557</v>
      </c>
      <c r="M299" s="179"/>
      <c r="N299" s="179"/>
      <c r="O299" s="179"/>
      <c r="P299" s="179"/>
      <c r="Q299" s="179"/>
      <c r="R299" s="179"/>
      <c r="S299" s="179"/>
      <c r="T299" s="179"/>
      <c r="U299" s="179"/>
      <c r="V299" s="179"/>
      <c r="W299" s="179"/>
      <c r="X299" s="179"/>
      <c r="Y299" s="389">
        <f t="shared" ref="Y299:AF299" si="292">+SUM(Y247+Y257)</f>
        <v>1165.1417609290861</v>
      </c>
      <c r="Z299" s="389">
        <f t="shared" si="292"/>
        <v>1621.1978363472601</v>
      </c>
      <c r="AA299" s="389">
        <f t="shared" si="292"/>
        <v>2093.5727961153898</v>
      </c>
      <c r="AB299" s="389">
        <f t="shared" si="292"/>
        <v>2535.363110200828</v>
      </c>
      <c r="AC299" s="389">
        <f t="shared" si="292"/>
        <v>2683.0847084627949</v>
      </c>
      <c r="AD299" s="389">
        <f t="shared" si="292"/>
        <v>2747.2771742299769</v>
      </c>
      <c r="AE299" s="389">
        <f t="shared" si="292"/>
        <v>2913.5992825328331</v>
      </c>
      <c r="AF299" s="389">
        <f t="shared" si="292"/>
        <v>3058.8374705720444</v>
      </c>
    </row>
    <row r="300" spans="1:38">
      <c r="A300" s="1" t="s">
        <v>4</v>
      </c>
      <c r="M300" s="179"/>
      <c r="N300" s="179"/>
      <c r="O300" s="179"/>
      <c r="P300" s="179"/>
      <c r="Q300" s="179"/>
      <c r="R300" s="179"/>
      <c r="S300" s="179"/>
      <c r="T300" s="179"/>
      <c r="U300" s="179"/>
      <c r="V300" s="179"/>
      <c r="W300" s="179"/>
      <c r="X300" s="179"/>
      <c r="Y300" s="179"/>
      <c r="Z300" s="292">
        <f>Z299/Y299-1</f>
        <v>0.39141681356825986</v>
      </c>
      <c r="AA300" s="292">
        <f>AA299/Z299-1</f>
        <v>0.29137403787340554</v>
      </c>
      <c r="AB300" s="292">
        <f t="shared" ref="AB300" si="293">AB299/AA299-1</f>
        <v>0.21102218891321911</v>
      </c>
      <c r="AC300" s="292">
        <f t="shared" ref="AC300" si="294">AC299/AB299-1</f>
        <v>5.8264474097466046E-2</v>
      </c>
      <c r="AD300" s="292">
        <f t="shared" ref="AD300" si="295">AD299/AC299-1</f>
        <v>2.39248748146903E-2</v>
      </c>
      <c r="AE300" s="292">
        <f t="shared" ref="AE300:AF300" si="296">AE299/AD299-1</f>
        <v>6.0540709129385029E-2</v>
      </c>
      <c r="AF300" s="292">
        <f t="shared" si="296"/>
        <v>4.9848374452149624E-2</v>
      </c>
    </row>
    <row r="301" spans="1:38">
      <c r="A301" t="s">
        <v>558</v>
      </c>
      <c r="M301" s="179"/>
      <c r="N301" s="179"/>
      <c r="O301" s="179"/>
      <c r="P301" s="179"/>
      <c r="Q301" s="179"/>
      <c r="R301" s="179"/>
      <c r="S301" s="179"/>
      <c r="T301" s="179"/>
      <c r="U301" s="179"/>
      <c r="V301" s="179"/>
      <c r="W301" s="179"/>
      <c r="X301" s="179"/>
      <c r="Y301" s="179"/>
      <c r="Z301" s="389">
        <f>2780-Z299</f>
        <v>1158.8021636527399</v>
      </c>
      <c r="AA301" s="389">
        <f>Z301*(1+AA302)</f>
        <v>1297.8584232910687</v>
      </c>
      <c r="AB301" s="389">
        <f>AA301*(1+AB302)</f>
        <v>1505.5157710176395</v>
      </c>
      <c r="AC301" s="389">
        <f t="shared" ref="AC301" si="297">AB301*(1+AC302)</f>
        <v>1610.9018749888744</v>
      </c>
      <c r="AD301" s="389">
        <f t="shared" ref="AD301" si="298">AC301*(1+AD302)</f>
        <v>1739.7740249879844</v>
      </c>
      <c r="AE301" s="389">
        <f t="shared" ref="AE301:AF301" si="299">AD301*(1+AE302)</f>
        <v>1878.9559469870233</v>
      </c>
      <c r="AF301" s="389">
        <f t="shared" si="299"/>
        <v>2029.2724227459853</v>
      </c>
    </row>
    <row r="302" spans="1:38">
      <c r="A302" s="1" t="s">
        <v>4</v>
      </c>
      <c r="M302" s="179"/>
      <c r="N302" s="179"/>
      <c r="O302" s="179"/>
      <c r="P302" s="179"/>
      <c r="Q302" s="179"/>
      <c r="R302" s="179"/>
      <c r="S302" s="179"/>
      <c r="T302" s="179"/>
      <c r="U302" s="179"/>
      <c r="V302" s="179"/>
      <c r="W302" s="179"/>
      <c r="X302" s="179"/>
      <c r="Y302" s="179"/>
      <c r="Z302" s="179"/>
      <c r="AA302" s="583">
        <f>SUM(AA303:AA305)</f>
        <v>0.12</v>
      </c>
      <c r="AB302" s="583">
        <f>SUM(AB303:AB305)</f>
        <v>0.16</v>
      </c>
      <c r="AC302" s="583">
        <f t="shared" ref="AC302" si="300">SUM(AC303:AC305)</f>
        <v>7.0000000000000007E-2</v>
      </c>
      <c r="AD302" s="583">
        <f t="shared" ref="AD302" si="301">SUM(AD303:AD305)</f>
        <v>0.08</v>
      </c>
      <c r="AE302" s="583">
        <f t="shared" ref="AE302:AF302" si="302">SUM(AE303:AE305)</f>
        <v>0.08</v>
      </c>
      <c r="AF302" s="583">
        <f t="shared" si="302"/>
        <v>0.08</v>
      </c>
    </row>
    <row r="303" spans="1:38">
      <c r="A303" s="1" t="s">
        <v>561</v>
      </c>
      <c r="M303" s="179"/>
      <c r="N303" s="179"/>
      <c r="O303" s="179"/>
      <c r="P303" s="179"/>
      <c r="Q303" s="179"/>
      <c r="R303" s="179"/>
      <c r="S303" s="179"/>
      <c r="T303" s="179"/>
      <c r="U303" s="179"/>
      <c r="V303" s="179"/>
      <c r="W303" s="179"/>
      <c r="X303" s="179"/>
      <c r="Y303" s="179"/>
      <c r="Z303" s="179"/>
      <c r="AA303" s="611">
        <v>0</v>
      </c>
      <c r="AB303" s="556">
        <v>0.04</v>
      </c>
      <c r="AC303" s="556">
        <v>0</v>
      </c>
      <c r="AD303" s="556">
        <v>0</v>
      </c>
      <c r="AE303" s="556">
        <v>0</v>
      </c>
      <c r="AF303" s="556">
        <v>0</v>
      </c>
    </row>
    <row r="304" spans="1:38">
      <c r="A304" s="1" t="s">
        <v>559</v>
      </c>
      <c r="M304" s="179"/>
      <c r="N304" s="179"/>
      <c r="O304" s="179"/>
      <c r="P304" s="179"/>
      <c r="Q304" s="179"/>
      <c r="R304" s="179"/>
      <c r="S304" s="179"/>
      <c r="T304" s="179"/>
      <c r="U304" s="179"/>
      <c r="V304" s="179"/>
      <c r="W304" s="179"/>
      <c r="X304" s="179"/>
      <c r="Y304" s="179"/>
      <c r="Z304" s="179"/>
      <c r="AA304" s="611">
        <v>0.04</v>
      </c>
      <c r="AB304" s="556">
        <v>0.04</v>
      </c>
      <c r="AC304" s="556">
        <v>0.03</v>
      </c>
      <c r="AD304" s="556">
        <v>0.03</v>
      </c>
      <c r="AE304" s="556">
        <v>0.03</v>
      </c>
      <c r="AF304" s="556">
        <v>0.03</v>
      </c>
    </row>
    <row r="305" spans="1:34">
      <c r="A305" s="1" t="s">
        <v>560</v>
      </c>
      <c r="M305" s="179"/>
      <c r="N305" s="179"/>
      <c r="O305" s="179"/>
      <c r="P305" s="179"/>
      <c r="Q305" s="179"/>
      <c r="R305" s="179"/>
      <c r="S305" s="179"/>
      <c r="T305" s="179"/>
      <c r="U305" s="179"/>
      <c r="V305" s="179"/>
      <c r="W305" s="179"/>
      <c r="X305" s="179"/>
      <c r="Y305" s="179"/>
      <c r="Z305" s="179"/>
      <c r="AA305" s="611">
        <v>0.08</v>
      </c>
      <c r="AB305" s="556">
        <v>0.08</v>
      </c>
      <c r="AC305" s="556">
        <v>0.04</v>
      </c>
      <c r="AD305" s="556">
        <v>0.05</v>
      </c>
      <c r="AE305" s="556">
        <v>0.05</v>
      </c>
      <c r="AF305" s="556">
        <v>0.05</v>
      </c>
    </row>
    <row r="306" spans="1:34">
      <c r="A306" s="4" t="s">
        <v>565</v>
      </c>
      <c r="M306" s="179"/>
      <c r="N306" s="179"/>
      <c r="O306" s="179"/>
      <c r="P306" s="179"/>
      <c r="Q306" s="179"/>
      <c r="R306" s="179"/>
      <c r="S306" s="179"/>
      <c r="T306" s="179"/>
      <c r="U306" s="179"/>
      <c r="V306" s="179"/>
      <c r="W306" s="179"/>
      <c r="X306" s="179"/>
      <c r="Y306" s="179"/>
      <c r="Z306" s="179"/>
      <c r="AA306" s="403">
        <f>AA299+AA301</f>
        <v>3391.4312194064587</v>
      </c>
      <c r="AB306" s="403">
        <f t="shared" ref="AB306:AE306" si="303">AB299+AB301</f>
        <v>4040.8788812184675</v>
      </c>
      <c r="AC306" s="403">
        <f t="shared" si="303"/>
        <v>4293.9865834516695</v>
      </c>
      <c r="AD306" s="403">
        <f t="shared" si="303"/>
        <v>4487.0511992179618</v>
      </c>
      <c r="AE306" s="403">
        <f t="shared" si="303"/>
        <v>4792.5552295198559</v>
      </c>
      <c r="AF306" s="403">
        <f t="shared" ref="AF306" si="304">AF299+AF301</f>
        <v>5088.1098933180292</v>
      </c>
    </row>
    <row r="307" spans="1:34">
      <c r="A307" s="1" t="s">
        <v>4</v>
      </c>
      <c r="M307" s="179"/>
      <c r="N307" s="179"/>
      <c r="O307" s="179"/>
      <c r="P307" s="179"/>
      <c r="Q307" s="179"/>
      <c r="R307" s="179"/>
      <c r="S307" s="179"/>
      <c r="T307" s="179"/>
      <c r="U307" s="179"/>
      <c r="V307" s="179"/>
      <c r="W307" s="179"/>
      <c r="X307" s="179"/>
      <c r="Y307" s="179"/>
      <c r="Z307" s="179"/>
      <c r="AA307" s="179"/>
      <c r="AB307" s="292">
        <f>AB306/AA306-1</f>
        <v>0.19149663366184089</v>
      </c>
      <c r="AC307" s="292">
        <f t="shared" ref="AC307" si="305">AC306/AB306-1</f>
        <v>6.2636795032292802E-2</v>
      </c>
      <c r="AD307" s="292">
        <f t="shared" ref="AD307" si="306">AD306/AC306-1</f>
        <v>4.4961625290198093E-2</v>
      </c>
      <c r="AE307" s="292">
        <f t="shared" ref="AE307:AF307" si="307">AE306/AD306-1</f>
        <v>6.8085701887052208E-2</v>
      </c>
      <c r="AF307" s="292">
        <f t="shared" si="307"/>
        <v>6.1669537364472671E-2</v>
      </c>
    </row>
    <row r="308" spans="1:34">
      <c r="M308" s="179"/>
      <c r="N308" s="179"/>
      <c r="O308" s="179"/>
      <c r="P308" s="179"/>
      <c r="Q308" s="179"/>
      <c r="R308" s="179"/>
      <c r="S308" s="179"/>
      <c r="T308" s="179"/>
      <c r="U308" s="179"/>
      <c r="V308" s="179"/>
      <c r="W308" s="179"/>
      <c r="X308" s="179"/>
      <c r="Y308" s="179"/>
      <c r="Z308" s="179"/>
      <c r="AA308" s="179"/>
      <c r="AB308" s="179"/>
      <c r="AC308" s="179"/>
      <c r="AD308" s="179"/>
      <c r="AE308" s="179"/>
      <c r="AF308" s="179"/>
    </row>
    <row r="309" spans="1:34">
      <c r="M309" s="179"/>
      <c r="N309" s="179"/>
      <c r="O309" s="179"/>
      <c r="P309" s="179"/>
      <c r="Q309" s="179"/>
      <c r="R309" s="179"/>
      <c r="S309" s="179"/>
      <c r="T309" s="179"/>
      <c r="U309" s="179"/>
      <c r="V309" s="179"/>
      <c r="W309" s="179"/>
      <c r="X309" s="179"/>
      <c r="Y309" s="179"/>
      <c r="Z309" s="179"/>
      <c r="AA309" s="179"/>
      <c r="AB309" s="179"/>
      <c r="AC309" s="179"/>
      <c r="AD309" s="179"/>
      <c r="AE309" s="179"/>
      <c r="AF309" s="179"/>
    </row>
    <row r="310" spans="1:34">
      <c r="M310" s="179"/>
      <c r="N310" s="179"/>
      <c r="O310" s="179"/>
      <c r="P310" s="179"/>
      <c r="Q310" s="179"/>
      <c r="R310" s="179"/>
      <c r="S310" s="179"/>
      <c r="T310" s="179"/>
      <c r="U310" s="179"/>
      <c r="V310" s="179"/>
      <c r="W310" s="179"/>
      <c r="X310" s="179"/>
      <c r="Y310" s="389"/>
      <c r="Z310" s="389"/>
      <c r="AA310" s="389"/>
      <c r="AB310" s="389"/>
      <c r="AC310" s="389"/>
      <c r="AD310" s="389"/>
      <c r="AE310" s="389"/>
      <c r="AF310" s="389"/>
    </row>
    <row r="311" spans="1:34">
      <c r="A311" s="6" t="s">
        <v>585</v>
      </c>
      <c r="B311" s="557"/>
      <c r="C311" s="557"/>
      <c r="D311" s="557"/>
      <c r="E311" s="557"/>
      <c r="F311" s="557"/>
      <c r="G311" s="557"/>
      <c r="H311" s="557"/>
      <c r="I311" s="557"/>
      <c r="J311" s="557"/>
      <c r="K311" s="557"/>
      <c r="L311" s="557"/>
      <c r="M311" s="534"/>
      <c r="N311" s="534"/>
      <c r="O311" s="534"/>
      <c r="P311" s="534"/>
      <c r="Q311" s="534"/>
      <c r="R311" s="534"/>
      <c r="S311" s="534"/>
      <c r="T311" s="534"/>
      <c r="U311" s="534"/>
      <c r="V311" s="534"/>
      <c r="W311" s="534"/>
      <c r="X311" s="534"/>
      <c r="Y311" s="534"/>
      <c r="Z311" s="534"/>
      <c r="AA311" s="584" t="b">
        <f t="shared" ref="AA311:AF311" si="308">AA312=AA338</f>
        <v>1</v>
      </c>
      <c r="AB311" s="584" t="b">
        <f t="shared" si="308"/>
        <v>1</v>
      </c>
      <c r="AC311" s="584" t="b">
        <f t="shared" si="308"/>
        <v>1</v>
      </c>
      <c r="AD311" s="584" t="b">
        <f t="shared" si="308"/>
        <v>1</v>
      </c>
      <c r="AE311" s="584" t="b">
        <f t="shared" si="308"/>
        <v>1</v>
      </c>
      <c r="AF311" s="584" t="b">
        <f t="shared" si="308"/>
        <v>1</v>
      </c>
    </row>
    <row r="312" spans="1:34">
      <c r="A312" t="s">
        <v>566</v>
      </c>
      <c r="M312" s="179"/>
      <c r="N312" s="179"/>
      <c r="O312" s="179"/>
      <c r="P312" s="179"/>
      <c r="Q312" s="179"/>
      <c r="R312" s="179"/>
      <c r="S312" s="179"/>
      <c r="T312" s="179"/>
      <c r="U312" s="179"/>
      <c r="V312" s="179"/>
      <c r="W312" s="179"/>
      <c r="X312" s="179"/>
      <c r="Y312" s="179"/>
      <c r="Z312" s="179"/>
      <c r="AA312" s="389">
        <f t="shared" ref="AA312:AF312" si="309">AA277+AA288+AA299</f>
        <v>14712.600000000002</v>
      </c>
      <c r="AB312" s="389">
        <f t="shared" si="309"/>
        <v>17442.818130510743</v>
      </c>
      <c r="AC312" s="389">
        <f t="shared" si="309"/>
        <v>19372.161632175448</v>
      </c>
      <c r="AD312" s="389">
        <f>AD277+AD288+AD299</f>
        <v>21202.7942115724</v>
      </c>
      <c r="AE312" s="389">
        <f t="shared" si="309"/>
        <v>23245.914702137427</v>
      </c>
      <c r="AF312" s="389">
        <f t="shared" si="309"/>
        <v>25709.969342233013</v>
      </c>
    </row>
    <row r="313" spans="1:34">
      <c r="A313" t="s">
        <v>567</v>
      </c>
      <c r="M313" s="179"/>
      <c r="N313" s="179"/>
      <c r="O313" s="179"/>
      <c r="P313" s="179"/>
      <c r="Q313" s="179"/>
      <c r="R313" s="179"/>
      <c r="S313" s="179"/>
      <c r="T313" s="179"/>
      <c r="U313" s="179"/>
      <c r="V313" s="179"/>
      <c r="W313" s="179"/>
      <c r="X313" s="179"/>
      <c r="Y313" s="179"/>
      <c r="Z313" s="179"/>
      <c r="AA313" s="389">
        <f t="shared" ref="AA313:AF313" si="310">AA279+AA290+AA301</f>
        <v>9994.5284308697792</v>
      </c>
      <c r="AB313" s="389">
        <f>AB279+AB290+AB301</f>
        <v>11854.553080036305</v>
      </c>
      <c r="AC313" s="389">
        <f t="shared" si="310"/>
        <v>12821.589562508045</v>
      </c>
      <c r="AD313" s="389">
        <f t="shared" si="310"/>
        <v>14105.80049338479</v>
      </c>
      <c r="AE313" s="389">
        <f t="shared" si="310"/>
        <v>15682.881491121558</v>
      </c>
      <c r="AF313" s="389">
        <f t="shared" si="310"/>
        <v>17442.752329600306</v>
      </c>
    </row>
    <row r="314" spans="1:34">
      <c r="A314" s="6" t="s">
        <v>568</v>
      </c>
      <c r="B314" s="6"/>
      <c r="C314" s="6"/>
      <c r="D314" s="6"/>
      <c r="E314" s="6"/>
      <c r="F314" s="6"/>
      <c r="G314" s="6"/>
      <c r="H314" s="6"/>
      <c r="I314" s="6"/>
      <c r="J314" s="6"/>
      <c r="K314" s="6"/>
      <c r="L314" s="6"/>
      <c r="M314" s="580"/>
      <c r="N314" s="580"/>
      <c r="O314" s="580"/>
      <c r="P314" s="580"/>
      <c r="Q314" s="580"/>
      <c r="R314" s="580"/>
      <c r="S314" s="580"/>
      <c r="T314" s="580"/>
      <c r="U314" s="580"/>
      <c r="V314" s="580"/>
      <c r="W314" s="580"/>
      <c r="X314" s="580"/>
      <c r="Y314" s="580"/>
      <c r="Z314" s="580"/>
      <c r="AA314" s="581">
        <f>AA312+AA313</f>
        <v>24707.12843086978</v>
      </c>
      <c r="AB314" s="581">
        <f t="shared" ref="AB314:AE314" si="311">AB312+AB313</f>
        <v>29297.371210547048</v>
      </c>
      <c r="AC314" s="581">
        <f t="shared" si="311"/>
        <v>32193.751194683493</v>
      </c>
      <c r="AD314" s="581">
        <f t="shared" si="311"/>
        <v>35308.594704957191</v>
      </c>
      <c r="AE314" s="581">
        <f t="shared" si="311"/>
        <v>38928.796193258982</v>
      </c>
      <c r="AF314" s="581">
        <f t="shared" ref="AF314" si="312">AF312+AF313</f>
        <v>43152.721671833322</v>
      </c>
    </row>
    <row r="315" spans="1:34">
      <c r="M315" s="179"/>
      <c r="N315" s="179"/>
      <c r="O315" s="179"/>
      <c r="P315" s="179"/>
      <c r="Q315" s="179"/>
      <c r="R315" s="179"/>
      <c r="S315" s="179"/>
      <c r="T315" s="179"/>
      <c r="U315" s="179"/>
      <c r="V315" s="179"/>
      <c r="W315" s="179"/>
      <c r="X315" s="179"/>
      <c r="Y315" s="179"/>
      <c r="Z315" s="179"/>
      <c r="AA315" s="179"/>
      <c r="AB315" s="179"/>
      <c r="AC315" s="179"/>
      <c r="AD315" s="179"/>
      <c r="AE315" s="179"/>
      <c r="AF315" s="179"/>
    </row>
    <row r="316" spans="1:34">
      <c r="A316" s="6" t="s">
        <v>563</v>
      </c>
      <c r="B316" s="557"/>
      <c r="C316" s="557"/>
      <c r="D316" s="557"/>
      <c r="E316" s="557"/>
      <c r="F316" s="557"/>
      <c r="G316" s="557"/>
      <c r="H316" s="557"/>
      <c r="I316" s="557"/>
      <c r="J316" s="557"/>
      <c r="K316" s="557"/>
      <c r="L316" s="557"/>
      <c r="M316" s="534"/>
      <c r="N316" s="534"/>
      <c r="O316" s="534"/>
      <c r="P316" s="534"/>
      <c r="Q316" s="534"/>
      <c r="R316" s="534"/>
      <c r="S316" s="534"/>
      <c r="T316" s="534"/>
      <c r="U316" s="534"/>
      <c r="V316" s="534"/>
      <c r="W316" s="534"/>
      <c r="X316" s="534"/>
      <c r="Y316" s="534"/>
      <c r="Z316" s="534"/>
      <c r="AA316" s="534"/>
      <c r="AB316" s="534"/>
      <c r="AC316" s="534"/>
      <c r="AD316" s="534"/>
      <c r="AE316" s="534"/>
      <c r="AF316" s="534"/>
    </row>
    <row r="317" spans="1:34">
      <c r="A317" t="s">
        <v>575</v>
      </c>
      <c r="M317" s="179"/>
      <c r="N317" s="179"/>
      <c r="O317" s="179"/>
      <c r="P317" s="179"/>
      <c r="Q317" s="179"/>
      <c r="R317" s="179"/>
      <c r="S317" s="179"/>
      <c r="T317" s="179"/>
      <c r="U317" s="179"/>
      <c r="V317" s="179"/>
      <c r="W317" s="179"/>
      <c r="X317" s="179"/>
      <c r="Y317" s="179"/>
      <c r="Z317" s="179"/>
      <c r="AA317" s="292">
        <f t="shared" ref="AA317:AF317" si="313">AA312/AA314</f>
        <v>0.59547996608208287</v>
      </c>
      <c r="AB317" s="292">
        <f t="shared" si="313"/>
        <v>0.59537144152480592</v>
      </c>
      <c r="AC317" s="292">
        <f t="shared" si="313"/>
        <v>0.60173670085934516</v>
      </c>
      <c r="AD317" s="292">
        <f t="shared" si="313"/>
        <v>0.60049952111505611</v>
      </c>
      <c r="AE317" s="292">
        <f t="shared" si="313"/>
        <v>0.59713931524455288</v>
      </c>
      <c r="AF317" s="292">
        <f t="shared" si="313"/>
        <v>0.59579021545272415</v>
      </c>
      <c r="AH317" t="s">
        <v>546</v>
      </c>
    </row>
    <row r="318" spans="1:34">
      <c r="A318" t="s">
        <v>576</v>
      </c>
      <c r="M318" s="179"/>
      <c r="N318" s="179"/>
      <c r="O318" s="179"/>
      <c r="P318" s="179"/>
      <c r="Q318" s="179"/>
      <c r="R318" s="179"/>
      <c r="S318" s="179"/>
      <c r="T318" s="179"/>
      <c r="U318" s="179"/>
      <c r="V318" s="179"/>
      <c r="W318" s="179"/>
      <c r="X318" s="179"/>
      <c r="Y318" s="179"/>
      <c r="Z318" s="179"/>
      <c r="AA318" s="583">
        <f>1-AA317</f>
        <v>0.40452003391791713</v>
      </c>
      <c r="AB318" s="583">
        <f t="shared" ref="AB318:AE318" si="314">1-AB317</f>
        <v>0.40462855847519408</v>
      </c>
      <c r="AC318" s="583">
        <f t="shared" si="314"/>
        <v>0.39826329914065484</v>
      </c>
      <c r="AD318" s="583">
        <f t="shared" si="314"/>
        <v>0.39950047888494389</v>
      </c>
      <c r="AE318" s="583">
        <f t="shared" si="314"/>
        <v>0.40286068475544712</v>
      </c>
      <c r="AF318" s="583">
        <f t="shared" ref="AF318" si="315">1-AF317</f>
        <v>0.40420978454727585</v>
      </c>
      <c r="AH318" t="s">
        <v>547</v>
      </c>
    </row>
    <row r="319" spans="1:34">
      <c r="M319" s="179"/>
      <c r="N319" s="179"/>
      <c r="O319" s="179"/>
      <c r="P319" s="179"/>
      <c r="Q319" s="179"/>
      <c r="R319" s="179"/>
      <c r="S319" s="179"/>
      <c r="T319" s="179"/>
      <c r="U319" s="179"/>
      <c r="V319" s="179"/>
      <c r="W319" s="179"/>
      <c r="X319" s="179"/>
      <c r="Y319" s="179"/>
      <c r="Z319" s="179"/>
      <c r="AA319" s="179"/>
      <c r="AB319" s="179"/>
      <c r="AC319" s="179"/>
      <c r="AD319" s="179"/>
      <c r="AE319" s="179"/>
      <c r="AF319" s="179"/>
    </row>
    <row r="320" spans="1:34">
      <c r="A320" t="s">
        <v>569</v>
      </c>
      <c r="M320" s="179"/>
      <c r="N320" s="179"/>
      <c r="O320" s="179"/>
      <c r="P320" s="179"/>
      <c r="Q320" s="179"/>
      <c r="R320" s="179"/>
      <c r="S320" s="179"/>
      <c r="T320" s="179"/>
      <c r="U320" s="179"/>
      <c r="V320" s="179"/>
      <c r="W320" s="179"/>
      <c r="X320" s="179"/>
      <c r="Y320" s="179"/>
      <c r="Z320" s="179"/>
      <c r="AA320" s="292">
        <f t="shared" ref="AA320:AF320" si="316">AA277/AA284</f>
        <v>0.56005949374329766</v>
      </c>
      <c r="AB320" s="292">
        <f t="shared" si="316"/>
        <v>0.55873641394592533</v>
      </c>
      <c r="AC320" s="292">
        <f t="shared" si="316"/>
        <v>0.57034540910216847</v>
      </c>
      <c r="AD320" s="292">
        <f t="shared" si="316"/>
        <v>0.5828798730746757</v>
      </c>
      <c r="AE320" s="292">
        <f t="shared" si="316"/>
        <v>0.58900269453856224</v>
      </c>
      <c r="AF320" s="292">
        <f t="shared" si="316"/>
        <v>0.59559691469492693</v>
      </c>
    </row>
    <row r="321" spans="1:35">
      <c r="A321" t="s">
        <v>570</v>
      </c>
      <c r="M321" s="179"/>
      <c r="N321" s="179"/>
      <c r="O321" s="179"/>
      <c r="P321" s="179"/>
      <c r="Q321" s="179"/>
      <c r="R321" s="179"/>
      <c r="S321" s="179"/>
      <c r="T321" s="179"/>
      <c r="U321" s="179"/>
      <c r="V321" s="179"/>
      <c r="W321" s="179"/>
      <c r="X321" s="179"/>
      <c r="Y321" s="179"/>
      <c r="Z321" s="179"/>
      <c r="AA321" s="292">
        <f>1-AA320</f>
        <v>0.43994050625670234</v>
      </c>
      <c r="AB321" s="292">
        <f t="shared" ref="AB321:AE321" si="317">1-AB320</f>
        <v>0.44126358605407467</v>
      </c>
      <c r="AC321" s="292">
        <f t="shared" si="317"/>
        <v>0.42965459089783153</v>
      </c>
      <c r="AD321" s="292">
        <f t="shared" si="317"/>
        <v>0.4171201269253243</v>
      </c>
      <c r="AE321" s="292">
        <f t="shared" si="317"/>
        <v>0.41099730546143776</v>
      </c>
      <c r="AF321" s="292">
        <f t="shared" ref="AF321" si="318">1-AF320</f>
        <v>0.40440308530507307</v>
      </c>
    </row>
    <row r="322" spans="1:35">
      <c r="M322" s="179"/>
      <c r="N322" s="179"/>
      <c r="O322" s="179"/>
      <c r="P322" s="179"/>
      <c r="Q322" s="179"/>
      <c r="R322" s="179"/>
      <c r="S322" s="179"/>
      <c r="T322" s="179"/>
      <c r="U322" s="179"/>
      <c r="V322" s="179"/>
      <c r="W322" s="179"/>
      <c r="X322" s="179"/>
      <c r="Y322" s="179"/>
      <c r="Z322" s="179"/>
      <c r="AA322" s="179"/>
      <c r="AB322" s="179"/>
      <c r="AC322" s="179"/>
      <c r="AD322" s="179"/>
      <c r="AE322" s="179"/>
      <c r="AF322" s="179"/>
    </row>
    <row r="323" spans="1:35">
      <c r="A323" t="s">
        <v>571</v>
      </c>
      <c r="M323" s="179"/>
      <c r="N323" s="179"/>
      <c r="O323" s="179"/>
      <c r="P323" s="179"/>
      <c r="Q323" s="179"/>
      <c r="R323" s="179"/>
      <c r="S323" s="179"/>
      <c r="T323" s="179"/>
      <c r="U323" s="179"/>
      <c r="V323" s="179"/>
      <c r="W323" s="179"/>
      <c r="X323" s="179"/>
      <c r="Y323" s="179"/>
      <c r="Z323" s="179"/>
      <c r="AA323" s="292">
        <f t="shared" ref="AA323:AF323" si="319">AA288/AA295</f>
        <v>0.64082843975806214</v>
      </c>
      <c r="AB323" s="292">
        <f t="shared" si="319"/>
        <v>0.63855108801883909</v>
      </c>
      <c r="AC323" s="292">
        <f t="shared" si="319"/>
        <v>0.64181688677471105</v>
      </c>
      <c r="AD323" s="292">
        <f t="shared" si="319"/>
        <v>0.62609230742840316</v>
      </c>
      <c r="AE323" s="292">
        <f t="shared" si="319"/>
        <v>0.60815290355436291</v>
      </c>
      <c r="AF323" s="292">
        <f t="shared" si="319"/>
        <v>0.59398305659495587</v>
      </c>
    </row>
    <row r="324" spans="1:35">
      <c r="A324" t="s">
        <v>572</v>
      </c>
      <c r="M324" s="179"/>
      <c r="N324" s="179"/>
      <c r="O324" s="179"/>
      <c r="P324" s="179"/>
      <c r="Q324" s="179"/>
      <c r="R324" s="179"/>
      <c r="S324" s="179"/>
      <c r="T324" s="179"/>
      <c r="U324" s="179"/>
      <c r="V324" s="179"/>
      <c r="W324" s="179"/>
      <c r="X324" s="179"/>
      <c r="Y324" s="179"/>
      <c r="Z324" s="179"/>
      <c r="AA324" s="292">
        <f>1-AA323</f>
        <v>0.35917156024193786</v>
      </c>
      <c r="AB324" s="292">
        <f t="shared" ref="AB324" si="320">1-AB323</f>
        <v>0.36144891198116091</v>
      </c>
      <c r="AC324" s="292">
        <f t="shared" ref="AC324" si="321">1-AC323</f>
        <v>0.35818311322528895</v>
      </c>
      <c r="AD324" s="292">
        <f t="shared" ref="AD324" si="322">1-AD323</f>
        <v>0.37390769257159684</v>
      </c>
      <c r="AE324" s="292">
        <f t="shared" ref="AE324:AF324" si="323">1-AE323</f>
        <v>0.39184709644563709</v>
      </c>
      <c r="AF324" s="292">
        <f t="shared" si="323"/>
        <v>0.40601694340504413</v>
      </c>
    </row>
    <row r="325" spans="1:35">
      <c r="M325" s="179"/>
      <c r="N325" s="179"/>
      <c r="O325" s="179"/>
      <c r="P325" s="179"/>
      <c r="Q325" s="179"/>
      <c r="R325" s="179"/>
      <c r="S325" s="179"/>
      <c r="T325" s="179"/>
      <c r="U325" s="179"/>
      <c r="V325" s="179"/>
      <c r="W325" s="179"/>
      <c r="X325" s="179"/>
      <c r="Y325" s="179"/>
      <c r="Z325" s="179"/>
      <c r="AA325" s="179"/>
      <c r="AB325" s="179"/>
      <c r="AC325" s="179"/>
      <c r="AD325" s="179"/>
      <c r="AE325" s="179"/>
      <c r="AF325" s="179"/>
    </row>
    <row r="326" spans="1:35">
      <c r="A326" t="s">
        <v>573</v>
      </c>
      <c r="M326" s="179"/>
      <c r="N326" s="179"/>
      <c r="O326" s="179"/>
      <c r="P326" s="179"/>
      <c r="Q326" s="179"/>
      <c r="R326" s="179"/>
      <c r="S326" s="179"/>
      <c r="T326" s="179"/>
      <c r="U326" s="179"/>
      <c r="V326" s="179"/>
      <c r="W326" s="179"/>
      <c r="X326" s="179"/>
      <c r="Y326" s="179"/>
      <c r="Z326" s="179"/>
      <c r="AA326" s="292">
        <f t="shared" ref="AA326:AF326" si="324">AA299/AA306</f>
        <v>0.61731247390055877</v>
      </c>
      <c r="AB326" s="292">
        <f t="shared" si="324"/>
        <v>0.62742863241580915</v>
      </c>
      <c r="AC326" s="292">
        <f t="shared" si="324"/>
        <v>0.62484701717582669</v>
      </c>
      <c r="AD326" s="292">
        <f t="shared" si="324"/>
        <v>0.61226784635503906</v>
      </c>
      <c r="AE326" s="292">
        <f t="shared" si="324"/>
        <v>0.60794276601893915</v>
      </c>
      <c r="AF326" s="292">
        <f t="shared" si="324"/>
        <v>0.6011736253159683</v>
      </c>
    </row>
    <row r="327" spans="1:35">
      <c r="A327" t="s">
        <v>574</v>
      </c>
      <c r="M327" s="179"/>
      <c r="N327" s="179"/>
      <c r="O327" s="179"/>
      <c r="P327" s="179"/>
      <c r="Q327" s="179"/>
      <c r="R327" s="179"/>
      <c r="S327" s="179"/>
      <c r="T327" s="179"/>
      <c r="U327" s="179"/>
      <c r="V327" s="179"/>
      <c r="W327" s="179"/>
      <c r="X327" s="179"/>
      <c r="Y327" s="179"/>
      <c r="Z327" s="179"/>
      <c r="AA327" s="292">
        <f>1-AA326</f>
        <v>0.38268752609944123</v>
      </c>
      <c r="AB327" s="292">
        <f t="shared" ref="AB327" si="325">1-AB326</f>
        <v>0.37257136758419085</v>
      </c>
      <c r="AC327" s="292">
        <f t="shared" ref="AC327" si="326">1-AC326</f>
        <v>0.37515298282417331</v>
      </c>
      <c r="AD327" s="292">
        <f t="shared" ref="AD327" si="327">1-AD326</f>
        <v>0.38773215364496094</v>
      </c>
      <c r="AE327" s="292">
        <f t="shared" ref="AE327:AF327" si="328">1-AE326</f>
        <v>0.39205723398106085</v>
      </c>
      <c r="AF327" s="292">
        <f t="shared" si="328"/>
        <v>0.3988263746840317</v>
      </c>
    </row>
    <row r="330" spans="1:35">
      <c r="A330" s="567" t="s">
        <v>584</v>
      </c>
      <c r="B330" s="566"/>
      <c r="C330" s="566"/>
      <c r="D330" s="566"/>
      <c r="E330" s="566"/>
      <c r="F330" s="566"/>
      <c r="G330" s="566"/>
      <c r="H330" s="566"/>
      <c r="I330" s="566"/>
      <c r="J330" s="566"/>
      <c r="K330" s="566"/>
      <c r="L330" s="566"/>
      <c r="M330" s="566"/>
      <c r="N330" s="566"/>
      <c r="O330" s="566"/>
      <c r="P330" s="566"/>
      <c r="Q330" s="566"/>
      <c r="R330" s="566"/>
      <c r="S330" s="566"/>
      <c r="T330" s="566"/>
      <c r="U330" s="566"/>
      <c r="V330" s="566"/>
      <c r="W330" s="566"/>
      <c r="X330" s="566"/>
      <c r="Y330" s="566"/>
      <c r="Z330" s="566"/>
      <c r="AA330" s="566"/>
      <c r="AB330" s="566"/>
      <c r="AC330" s="566"/>
      <c r="AD330" s="566"/>
      <c r="AE330" s="566"/>
      <c r="AF330" s="566"/>
    </row>
    <row r="331" spans="1:35">
      <c r="A331" s="405" t="s">
        <v>526</v>
      </c>
      <c r="B331" s="427"/>
      <c r="C331" s="427"/>
      <c r="D331" s="427"/>
      <c r="E331" s="427"/>
      <c r="F331" s="427"/>
      <c r="G331" s="427"/>
      <c r="H331" s="427"/>
      <c r="I331" s="427"/>
      <c r="J331" s="427"/>
      <c r="K331" s="427"/>
      <c r="L331" s="585"/>
      <c r="M331" s="427"/>
      <c r="N331" s="427"/>
      <c r="O331" s="427"/>
      <c r="P331" s="427"/>
      <c r="Q331" s="427"/>
      <c r="R331" s="427"/>
      <c r="S331" s="427"/>
      <c r="T331" s="427"/>
      <c r="U331" s="428"/>
      <c r="V331" s="428"/>
      <c r="W331" s="428"/>
      <c r="X331" s="428">
        <f t="shared" ref="X331:AF331" si="329">X244+X208+X160+X218+X188+X228+X174+X254</f>
        <v>4732.8676807347001</v>
      </c>
      <c r="Y331" s="428">
        <f t="shared" si="329"/>
        <v>6168.9999999999945</v>
      </c>
      <c r="Z331" s="428">
        <f t="shared" si="329"/>
        <v>7106.0000000000009</v>
      </c>
      <c r="AA331" s="428">
        <f t="shared" si="329"/>
        <v>8304.3383575561002</v>
      </c>
      <c r="AB331" s="428">
        <f>AB244+AB208+AB160+AB218+AB188+AB228+AB174+AB254</f>
        <v>9209.7226798580414</v>
      </c>
      <c r="AC331" s="428">
        <f t="shared" si="329"/>
        <v>10771.442782755727</v>
      </c>
      <c r="AD331" s="428">
        <f t="shared" si="329"/>
        <v>12589.633874126865</v>
      </c>
      <c r="AE331" s="428">
        <f t="shared" si="329"/>
        <v>13297.017480818347</v>
      </c>
      <c r="AF331" s="618">
        <f t="shared" si="329"/>
        <v>13966.785324995202</v>
      </c>
      <c r="AH331" t="s">
        <v>541</v>
      </c>
      <c r="AI331" s="251">
        <f>(AD331/Z334)^(1/4)-1</f>
        <v>0.15371084296808823</v>
      </c>
    </row>
    <row r="332" spans="1:35">
      <c r="A332" s="1" t="s">
        <v>4</v>
      </c>
      <c r="B332" s="179"/>
      <c r="C332" s="179"/>
      <c r="D332" s="179"/>
      <c r="E332" s="179"/>
      <c r="F332" s="179"/>
      <c r="G332" s="179"/>
      <c r="H332" s="179"/>
      <c r="I332" s="179"/>
      <c r="J332" s="179"/>
      <c r="K332" s="179"/>
      <c r="L332" s="586"/>
      <c r="M332" s="179"/>
      <c r="N332" s="179"/>
      <c r="O332" s="179"/>
      <c r="P332" s="179"/>
      <c r="Q332" s="179"/>
      <c r="R332" s="179"/>
      <c r="S332" s="179"/>
      <c r="T332" s="179"/>
      <c r="U332" s="200"/>
      <c r="V332" s="200"/>
      <c r="W332" s="200"/>
      <c r="X332" s="200"/>
      <c r="Y332" s="292">
        <f t="shared" ref="Y332:AF332" si="330">+Y331/X331-1</f>
        <v>0.30343808788720628</v>
      </c>
      <c r="Z332" s="292">
        <f t="shared" si="330"/>
        <v>0.15188847463122168</v>
      </c>
      <c r="AA332" s="292">
        <f t="shared" si="330"/>
        <v>0.16863753976303109</v>
      </c>
      <c r="AB332" s="292">
        <f t="shared" si="330"/>
        <v>0.10902546155024306</v>
      </c>
      <c r="AC332" s="292">
        <f t="shared" si="330"/>
        <v>0.1695729781650448</v>
      </c>
      <c r="AD332" s="292">
        <f t="shared" si="330"/>
        <v>0.16879735872356161</v>
      </c>
      <c r="AE332" s="292">
        <f t="shared" si="330"/>
        <v>5.6187782247205442E-2</v>
      </c>
      <c r="AF332" s="292">
        <f t="shared" si="330"/>
        <v>5.0369779925688585E-2</v>
      </c>
    </row>
    <row r="333" spans="1:35">
      <c r="A333" s="1"/>
      <c r="B333" s="179"/>
      <c r="C333" s="179"/>
      <c r="D333" s="179"/>
      <c r="E333" s="179"/>
      <c r="F333" s="179"/>
      <c r="G333" s="179"/>
      <c r="H333" s="179"/>
      <c r="I333" s="179"/>
      <c r="J333" s="179"/>
      <c r="K333" s="179"/>
      <c r="L333" s="586"/>
      <c r="M333" s="179"/>
      <c r="N333" s="179"/>
      <c r="O333" s="179"/>
      <c r="P333" s="179"/>
      <c r="Q333" s="179"/>
      <c r="R333" s="179"/>
      <c r="S333" s="179"/>
      <c r="T333" s="179"/>
      <c r="U333" s="200"/>
      <c r="V333" s="200"/>
      <c r="W333" s="200"/>
      <c r="X333" s="200"/>
      <c r="Y333" s="292"/>
      <c r="Z333" s="292"/>
      <c r="AA333" s="292"/>
      <c r="AB333" s="292"/>
      <c r="AC333" s="292"/>
      <c r="AD333" s="292"/>
      <c r="AE333" s="292"/>
      <c r="AF333" s="292"/>
    </row>
    <row r="334" spans="1:35">
      <c r="A334" s="405" t="s">
        <v>527</v>
      </c>
      <c r="B334" s="534"/>
      <c r="C334" s="534"/>
      <c r="D334" s="534"/>
      <c r="E334" s="534"/>
      <c r="F334" s="534"/>
      <c r="G334" s="534"/>
      <c r="H334" s="534"/>
      <c r="I334" s="534"/>
      <c r="J334" s="534"/>
      <c r="K334" s="534"/>
      <c r="L334" s="587"/>
      <c r="M334" s="534"/>
      <c r="N334" s="534"/>
      <c r="O334" s="534"/>
      <c r="P334" s="534"/>
      <c r="Q334" s="534"/>
      <c r="R334" s="534"/>
      <c r="S334" s="534"/>
      <c r="T334" s="534"/>
      <c r="U334" s="535"/>
      <c r="V334" s="535"/>
      <c r="W334" s="535"/>
      <c r="X334" s="537"/>
      <c r="Y334" s="537">
        <f>CES_Annual!Y3</f>
        <v>6169</v>
      </c>
      <c r="Z334" s="537">
        <f>CES_Annual!Z3</f>
        <v>7106</v>
      </c>
      <c r="AA334" s="537">
        <f>CES_Annual!AA3</f>
        <v>8304</v>
      </c>
      <c r="AB334" s="536"/>
      <c r="AC334" s="536"/>
      <c r="AD334" s="536"/>
      <c r="AE334" s="536"/>
      <c r="AF334" s="536"/>
    </row>
    <row r="335" spans="1:35">
      <c r="A335" s="1"/>
      <c r="B335" s="179"/>
      <c r="C335" s="179"/>
      <c r="D335" s="179"/>
      <c r="E335" s="179"/>
      <c r="F335" s="179"/>
      <c r="G335" s="179"/>
      <c r="H335" s="179"/>
      <c r="I335" s="179"/>
      <c r="J335" s="179"/>
      <c r="K335" s="179"/>
      <c r="L335" s="586"/>
      <c r="M335" s="179"/>
      <c r="N335" s="179"/>
      <c r="O335" s="179"/>
      <c r="P335" s="179"/>
      <c r="Q335" s="179"/>
      <c r="R335" s="179"/>
      <c r="S335" s="179"/>
      <c r="T335" s="179"/>
      <c r="U335" s="200"/>
      <c r="V335" s="200"/>
      <c r="W335" s="200"/>
      <c r="X335" s="200"/>
      <c r="Y335" s="292"/>
      <c r="Z335" s="292"/>
      <c r="AA335" s="292"/>
      <c r="AB335" s="292"/>
      <c r="AC335" s="292"/>
      <c r="AD335" s="292"/>
      <c r="AE335" s="292"/>
      <c r="AF335" s="292"/>
    </row>
    <row r="336" spans="1:35">
      <c r="A336" s="1" t="s">
        <v>586</v>
      </c>
      <c r="B336" s="179"/>
      <c r="C336" s="179"/>
      <c r="D336" s="179"/>
      <c r="E336" s="179"/>
      <c r="F336" s="179"/>
      <c r="G336" s="179"/>
      <c r="H336" s="179"/>
      <c r="I336" s="179"/>
      <c r="J336" s="179"/>
      <c r="K336" s="179"/>
      <c r="L336" s="586"/>
      <c r="M336" s="179"/>
      <c r="N336" s="179"/>
      <c r="O336" s="179"/>
      <c r="P336" s="179"/>
      <c r="Q336" s="179"/>
      <c r="R336" s="179"/>
      <c r="S336" s="179"/>
      <c r="T336" s="179"/>
      <c r="U336" s="200"/>
      <c r="V336" s="200"/>
      <c r="W336" s="200"/>
      <c r="X336" s="200"/>
      <c r="Y336" s="200">
        <f>+Y334-Y331</f>
        <v>0</v>
      </c>
      <c r="Z336" s="200">
        <f>+Z334-Z331</f>
        <v>0</v>
      </c>
      <c r="AA336" s="200">
        <f>+AA334-AA331</f>
        <v>-0.33835755610016349</v>
      </c>
      <c r="AB336" s="292"/>
      <c r="AC336" s="292"/>
      <c r="AD336" s="292"/>
      <c r="AE336" s="292"/>
      <c r="AF336" s="292"/>
    </row>
    <row r="337" spans="1:35">
      <c r="B337" s="179"/>
      <c r="C337" s="179"/>
      <c r="D337" s="179"/>
      <c r="E337" s="179"/>
      <c r="F337" s="179"/>
      <c r="G337" s="179"/>
      <c r="H337" s="179"/>
      <c r="I337" s="179"/>
      <c r="J337" s="179"/>
      <c r="K337" s="179"/>
      <c r="L337" s="586"/>
      <c r="M337" s="179"/>
      <c r="N337" s="179"/>
      <c r="O337" s="179"/>
      <c r="P337" s="179"/>
      <c r="Q337" s="179"/>
      <c r="R337" s="179"/>
      <c r="S337" s="179"/>
      <c r="T337" s="179"/>
      <c r="U337" s="200"/>
      <c r="V337" s="200"/>
      <c r="W337" s="200"/>
      <c r="X337" s="200"/>
      <c r="Y337" s="403"/>
      <c r="Z337" s="403"/>
      <c r="AA337" s="292"/>
      <c r="AB337" s="292"/>
      <c r="AC337" s="292"/>
      <c r="AD337" s="292"/>
      <c r="AE337" s="292"/>
      <c r="AF337" s="292"/>
    </row>
    <row r="338" spans="1:35">
      <c r="A338" s="4" t="s">
        <v>416</v>
      </c>
      <c r="B338" s="380"/>
      <c r="C338" s="380"/>
      <c r="D338" s="380"/>
      <c r="E338" s="380"/>
      <c r="F338" s="380"/>
      <c r="G338" s="380"/>
      <c r="H338" s="380"/>
      <c r="I338" s="380"/>
      <c r="J338" s="380"/>
      <c r="K338" s="380"/>
      <c r="L338" s="588"/>
      <c r="M338" s="380"/>
      <c r="N338" s="380"/>
      <c r="O338" s="380"/>
      <c r="P338" s="380"/>
      <c r="Q338" s="380"/>
      <c r="R338" s="380"/>
      <c r="S338" s="380"/>
      <c r="T338" s="380"/>
      <c r="U338" s="403"/>
      <c r="V338" s="403"/>
      <c r="W338" s="403"/>
      <c r="X338" s="403"/>
      <c r="Y338" s="403">
        <f t="shared" ref="Y338:AF338" si="331">+Y257+Y181+Y231+Y195+Y221+Y167+Y211+Y247</f>
        <v>9801.4146147174379</v>
      </c>
      <c r="Z338" s="403">
        <f t="shared" si="331"/>
        <v>11864.999999999998</v>
      </c>
      <c r="AA338" s="403">
        <f t="shared" si="331"/>
        <v>14712.599999999999</v>
      </c>
      <c r="AB338" s="403">
        <f>+AB257+AB181+AB231+AB195+AB221+AB167+AB211+AB247</f>
        <v>17442.818130510739</v>
      </c>
      <c r="AC338" s="403">
        <f t="shared" si="331"/>
        <v>19372.161632175448</v>
      </c>
      <c r="AD338" s="403">
        <f>+AD257+AD181+AD231+AD195+AD221+AD167+AD211+AD247</f>
        <v>21202.794211572404</v>
      </c>
      <c r="AE338" s="403">
        <f t="shared" si="331"/>
        <v>23245.914702137427</v>
      </c>
      <c r="AF338" s="403">
        <f t="shared" si="331"/>
        <v>25709.969342233009</v>
      </c>
      <c r="AH338" t="s">
        <v>539</v>
      </c>
    </row>
    <row r="339" spans="1:35">
      <c r="A339" s="1" t="s">
        <v>4</v>
      </c>
      <c r="B339" s="179"/>
      <c r="C339" s="179"/>
      <c r="D339" s="179"/>
      <c r="E339" s="179"/>
      <c r="F339" s="179"/>
      <c r="G339" s="179"/>
      <c r="H339" s="179"/>
      <c r="I339" s="179"/>
      <c r="J339" s="179"/>
      <c r="K339" s="179"/>
      <c r="L339" s="586"/>
      <c r="M339" s="179"/>
      <c r="N339" s="179"/>
      <c r="O339" s="179"/>
      <c r="P339" s="179"/>
      <c r="Q339" s="179"/>
      <c r="R339" s="179"/>
      <c r="S339" s="179"/>
      <c r="T339" s="179"/>
      <c r="U339" s="200"/>
      <c r="V339" s="200"/>
      <c r="W339" s="200"/>
      <c r="X339" s="292"/>
      <c r="Y339" s="379"/>
      <c r="Z339" s="292">
        <f t="shared" ref="Z339:AF339" si="332">+Z338/Y338-1</f>
        <v>0.21053954621855886</v>
      </c>
      <c r="AA339" s="292">
        <f t="shared" si="332"/>
        <v>0.24</v>
      </c>
      <c r="AB339" s="292">
        <f t="shared" si="332"/>
        <v>0.18557006446928082</v>
      </c>
      <c r="AC339" s="292">
        <f t="shared" si="332"/>
        <v>0.11060962094708349</v>
      </c>
      <c r="AD339" s="292">
        <f t="shared" si="332"/>
        <v>9.4498105795092879E-2</v>
      </c>
      <c r="AE339" s="292">
        <f t="shared" si="332"/>
        <v>9.636090744350545E-2</v>
      </c>
      <c r="AF339" s="292">
        <f t="shared" si="332"/>
        <v>0.10599947008620036</v>
      </c>
    </row>
    <row r="340" spans="1:35">
      <c r="B340" s="179"/>
      <c r="C340" s="179"/>
      <c r="D340" s="179"/>
      <c r="E340" s="179"/>
      <c r="F340" s="179"/>
      <c r="G340" s="179"/>
      <c r="H340" s="179"/>
      <c r="I340" s="179"/>
      <c r="J340" s="179"/>
      <c r="K340" s="179"/>
      <c r="L340" s="586"/>
      <c r="M340" s="179"/>
      <c r="N340" s="179"/>
      <c r="O340" s="179"/>
      <c r="P340" s="179"/>
      <c r="Q340" s="179"/>
      <c r="R340" s="179"/>
      <c r="S340" s="179"/>
      <c r="T340" s="179"/>
      <c r="U340" s="200"/>
      <c r="V340" s="200"/>
      <c r="W340" s="200"/>
      <c r="X340" s="292"/>
      <c r="Y340" s="292"/>
      <c r="Z340" s="292"/>
      <c r="AA340" s="292"/>
      <c r="AB340" s="292"/>
      <c r="AC340" s="292"/>
      <c r="AD340" s="292"/>
      <c r="AE340" s="292"/>
      <c r="AF340" s="292"/>
    </row>
    <row r="341" spans="1:35">
      <c r="A341" s="4" t="s">
        <v>417</v>
      </c>
      <c r="B341" s="380"/>
      <c r="C341" s="380"/>
      <c r="D341" s="380"/>
      <c r="E341" s="380"/>
      <c r="F341" s="380"/>
      <c r="G341" s="380"/>
      <c r="H341" s="380"/>
      <c r="I341" s="380"/>
      <c r="J341" s="380"/>
      <c r="K341" s="380"/>
      <c r="L341" s="588"/>
      <c r="M341" s="380"/>
      <c r="N341" s="380"/>
      <c r="O341" s="380"/>
      <c r="P341" s="380"/>
      <c r="Q341" s="380"/>
      <c r="R341" s="380"/>
      <c r="S341" s="380"/>
      <c r="T341" s="380"/>
      <c r="U341" s="403"/>
      <c r="V341" s="403"/>
      <c r="W341" s="403"/>
      <c r="X341" s="403"/>
      <c r="Y341" s="403">
        <f>Y347-Y338</f>
        <v>7884.5853852825621</v>
      </c>
      <c r="Z341" s="403">
        <f>Z347-Z338</f>
        <v>7910.0000000000018</v>
      </c>
      <c r="AA341" s="403">
        <f>AA347-AA338</f>
        <v>10297.400000000001</v>
      </c>
      <c r="AB341" s="565">
        <f t="shared" ref="AB341:AF341" si="333">AB313</f>
        <v>11854.553080036305</v>
      </c>
      <c r="AC341" s="565">
        <f t="shared" si="333"/>
        <v>12821.589562508045</v>
      </c>
      <c r="AD341" s="565">
        <f t="shared" si="333"/>
        <v>14105.80049338479</v>
      </c>
      <c r="AE341" s="565">
        <f t="shared" si="333"/>
        <v>15682.881491121558</v>
      </c>
      <c r="AF341" s="565">
        <f t="shared" si="333"/>
        <v>17442.752329600306</v>
      </c>
      <c r="AH341" t="s">
        <v>540</v>
      </c>
    </row>
    <row r="342" spans="1:35">
      <c r="A342" s="1" t="s">
        <v>4</v>
      </c>
      <c r="B342" s="380"/>
      <c r="C342" s="380"/>
      <c r="D342" s="380"/>
      <c r="E342" s="380"/>
      <c r="F342" s="380"/>
      <c r="G342" s="380"/>
      <c r="H342" s="380"/>
      <c r="I342" s="380"/>
      <c r="J342" s="380"/>
      <c r="K342" s="380"/>
      <c r="L342" s="588"/>
      <c r="M342" s="380"/>
      <c r="N342" s="380"/>
      <c r="O342" s="380"/>
      <c r="P342" s="380"/>
      <c r="Q342" s="380"/>
      <c r="R342" s="380"/>
      <c r="S342" s="380"/>
      <c r="T342" s="380"/>
      <c r="U342" s="403"/>
      <c r="V342" s="403"/>
      <c r="W342" s="403"/>
      <c r="X342" s="403"/>
      <c r="Y342" s="389"/>
      <c r="Z342" s="320">
        <f>Z341/Y341-1</f>
        <v>3.2233292526553381E-3</v>
      </c>
      <c r="AA342" s="320">
        <f t="shared" ref="AA342:AF342" si="334">AA341/Z341-1</f>
        <v>0.30182048040455101</v>
      </c>
      <c r="AB342" s="320">
        <f t="shared" si="334"/>
        <v>0.15121808223787592</v>
      </c>
      <c r="AC342" s="320">
        <f t="shared" si="334"/>
        <v>8.1575110925124594E-2</v>
      </c>
      <c r="AD342" s="320">
        <f t="shared" si="334"/>
        <v>0.1001600405796752</v>
      </c>
      <c r="AE342" s="320">
        <f t="shared" si="334"/>
        <v>0.11180372205578637</v>
      </c>
      <c r="AF342" s="320">
        <f t="shared" si="334"/>
        <v>0.11221603883667997</v>
      </c>
    </row>
    <row r="343" spans="1:35">
      <c r="A343" s="4"/>
      <c r="B343" s="380"/>
      <c r="C343" s="380"/>
      <c r="D343" s="380"/>
      <c r="E343" s="380"/>
      <c r="F343" s="380"/>
      <c r="G343" s="380"/>
      <c r="H343" s="380"/>
      <c r="I343" s="380"/>
      <c r="J343" s="380"/>
      <c r="K343" s="380"/>
      <c r="L343" s="588"/>
      <c r="M343" s="380"/>
      <c r="N343" s="380"/>
      <c r="O343" s="380"/>
      <c r="P343" s="380"/>
      <c r="Q343" s="380"/>
      <c r="R343" s="380"/>
      <c r="S343" s="380"/>
      <c r="T343" s="380"/>
      <c r="U343" s="403"/>
      <c r="V343" s="403"/>
      <c r="W343" s="403"/>
      <c r="X343" s="403"/>
      <c r="Y343" s="403"/>
      <c r="Z343" s="292"/>
      <c r="AA343" s="292"/>
      <c r="AB343" s="292"/>
      <c r="AC343" s="292"/>
      <c r="AD343" s="292"/>
      <c r="AE343" s="292"/>
      <c r="AF343" s="292"/>
    </row>
    <row r="344" spans="1:35">
      <c r="A344" s="405" t="s">
        <v>418</v>
      </c>
      <c r="B344" s="427"/>
      <c r="C344" s="427"/>
      <c r="D344" s="427"/>
      <c r="E344" s="427"/>
      <c r="F344" s="427"/>
      <c r="G344" s="427"/>
      <c r="H344" s="427"/>
      <c r="I344" s="427"/>
      <c r="J344" s="427"/>
      <c r="K344" s="427"/>
      <c r="L344" s="585"/>
      <c r="M344" s="427"/>
      <c r="N344" s="427"/>
      <c r="O344" s="427"/>
      <c r="P344" s="427"/>
      <c r="Q344" s="427"/>
      <c r="R344" s="427"/>
      <c r="S344" s="427"/>
      <c r="T344" s="427"/>
      <c r="U344" s="428"/>
      <c r="V344" s="428"/>
      <c r="W344" s="428"/>
      <c r="X344" s="428"/>
      <c r="Y344" s="428">
        <f t="shared" ref="Y344:AE344" si="335">+Y338+Y341</f>
        <v>17686</v>
      </c>
      <c r="Z344" s="428">
        <f t="shared" si="335"/>
        <v>19775</v>
      </c>
      <c r="AA344" s="428">
        <f t="shared" si="335"/>
        <v>25010</v>
      </c>
      <c r="AB344" s="428">
        <f t="shared" si="335"/>
        <v>29297.371210547044</v>
      </c>
      <c r="AC344" s="428">
        <f t="shared" si="335"/>
        <v>32193.751194683493</v>
      </c>
      <c r="AD344" s="428">
        <f t="shared" si="335"/>
        <v>35308.594704957191</v>
      </c>
      <c r="AE344" s="428">
        <f t="shared" si="335"/>
        <v>38928.796193258982</v>
      </c>
      <c r="AF344" s="428">
        <f t="shared" ref="AF344" si="336">+AF338+AF341</f>
        <v>43152.721671833315</v>
      </c>
      <c r="AH344" t="s">
        <v>542</v>
      </c>
      <c r="AI344" s="251">
        <f>(AD344/Z347)^(1/4)-1</f>
        <v>0.15595515261026693</v>
      </c>
    </row>
    <row r="345" spans="1:35">
      <c r="A345" s="1" t="s">
        <v>4</v>
      </c>
      <c r="B345" s="179"/>
      <c r="C345" s="179"/>
      <c r="D345" s="179"/>
      <c r="E345" s="179"/>
      <c r="F345" s="179"/>
      <c r="G345" s="179"/>
      <c r="H345" s="179"/>
      <c r="I345" s="179"/>
      <c r="J345" s="179"/>
      <c r="K345" s="179"/>
      <c r="L345" s="586"/>
      <c r="M345" s="179"/>
      <c r="N345" s="179"/>
      <c r="O345" s="179"/>
      <c r="P345" s="179"/>
      <c r="Q345" s="179"/>
      <c r="R345" s="179"/>
      <c r="S345" s="179"/>
      <c r="T345" s="179"/>
      <c r="U345" s="200"/>
      <c r="V345" s="200"/>
      <c r="W345" s="200"/>
      <c r="X345" s="200"/>
      <c r="Y345" s="292"/>
      <c r="Z345" s="292">
        <f t="shared" ref="Z345:AF345" si="337">+Z344/Y344-1</f>
        <v>0.11811602397376464</v>
      </c>
      <c r="AA345" s="292">
        <f t="shared" si="337"/>
        <v>0.26472819216182053</v>
      </c>
      <c r="AB345" s="292">
        <f t="shared" si="337"/>
        <v>0.17142627791071741</v>
      </c>
      <c r="AC345" s="292">
        <f t="shared" si="337"/>
        <v>9.8861429010864699E-2</v>
      </c>
      <c r="AD345" s="292">
        <f t="shared" si="337"/>
        <v>9.6753046621919747E-2</v>
      </c>
      <c r="AE345" s="292">
        <f t="shared" si="337"/>
        <v>0.10253031927644307</v>
      </c>
      <c r="AF345" s="292">
        <f t="shared" si="337"/>
        <v>0.108503881229848</v>
      </c>
    </row>
    <row r="346" spans="1:35">
      <c r="B346" s="179"/>
      <c r="C346" s="179"/>
      <c r="D346" s="179"/>
      <c r="E346" s="179"/>
      <c r="F346" s="179"/>
      <c r="G346" s="179"/>
      <c r="H346" s="179"/>
      <c r="I346" s="179"/>
      <c r="J346" s="179"/>
      <c r="K346" s="179"/>
      <c r="L346" s="586"/>
      <c r="M346" s="179"/>
      <c r="N346" s="179"/>
      <c r="O346" s="179"/>
      <c r="P346" s="179"/>
      <c r="Q346" s="179"/>
      <c r="R346" s="179"/>
      <c r="S346" s="179"/>
      <c r="T346" s="179"/>
      <c r="U346" s="179"/>
      <c r="V346" s="179"/>
      <c r="W346" s="179"/>
      <c r="X346" s="179"/>
      <c r="Y346" s="179"/>
      <c r="Z346" s="179"/>
      <c r="AA346" s="179"/>
      <c r="AB346" s="179"/>
      <c r="AC346" s="179"/>
      <c r="AD346" s="179"/>
      <c r="AE346" s="179"/>
      <c r="AF346" s="179"/>
    </row>
    <row r="347" spans="1:35">
      <c r="A347" s="405" t="s">
        <v>525</v>
      </c>
      <c r="B347" s="534"/>
      <c r="C347" s="534"/>
      <c r="D347" s="534"/>
      <c r="E347" s="534"/>
      <c r="F347" s="534"/>
      <c r="G347" s="534"/>
      <c r="H347" s="534"/>
      <c r="I347" s="534"/>
      <c r="J347" s="534"/>
      <c r="K347" s="534"/>
      <c r="L347" s="587"/>
      <c r="M347" s="534"/>
      <c r="N347" s="534"/>
      <c r="O347" s="534"/>
      <c r="P347" s="534"/>
      <c r="Q347" s="534"/>
      <c r="R347" s="534"/>
      <c r="S347" s="534"/>
      <c r="T347" s="534"/>
      <c r="U347" s="534"/>
      <c r="V347" s="534"/>
      <c r="W347" s="534"/>
      <c r="X347" s="537"/>
      <c r="Y347" s="537">
        <f>CES_Annual!Y6</f>
        <v>17686</v>
      </c>
      <c r="Z347" s="537">
        <f>CES_Annual!Z6</f>
        <v>19775</v>
      </c>
      <c r="AA347" s="537">
        <f>CES_Annual!AA6</f>
        <v>25010</v>
      </c>
      <c r="AB347" s="534"/>
      <c r="AC347" s="534"/>
      <c r="AD347" s="534"/>
      <c r="AE347" s="534"/>
      <c r="AF347" s="534"/>
    </row>
    <row r="348" spans="1:35">
      <c r="A348" s="1" t="s">
        <v>329</v>
      </c>
      <c r="B348" s="179"/>
      <c r="C348" s="179"/>
      <c r="D348" s="179"/>
      <c r="E348" s="179"/>
      <c r="F348" s="179"/>
      <c r="G348" s="179"/>
      <c r="H348" s="179"/>
      <c r="I348" s="179"/>
      <c r="J348" s="179"/>
      <c r="K348" s="179"/>
      <c r="L348" s="586"/>
      <c r="M348" s="179"/>
      <c r="N348" s="179"/>
      <c r="O348" s="179"/>
      <c r="P348" s="179"/>
      <c r="Q348" s="179"/>
      <c r="R348" s="179"/>
      <c r="S348" s="179"/>
      <c r="T348" s="179"/>
      <c r="U348" s="179"/>
      <c r="V348" s="179"/>
      <c r="W348" s="179"/>
      <c r="X348" s="179"/>
      <c r="Y348" s="389">
        <f>Y347-Y344</f>
        <v>0</v>
      </c>
      <c r="Z348" s="389">
        <f>Z347-Z344</f>
        <v>0</v>
      </c>
      <c r="AA348" s="179"/>
      <c r="AB348" s="179"/>
      <c r="AC348" s="179"/>
      <c r="AD348" s="179"/>
      <c r="AE348" s="179"/>
      <c r="AF348" s="179"/>
    </row>
    <row r="349" spans="1:35">
      <c r="A349" s="1"/>
      <c r="B349" s="179"/>
      <c r="C349" s="179"/>
      <c r="D349" s="179"/>
      <c r="E349" s="179"/>
      <c r="F349" s="179"/>
      <c r="G349" s="179"/>
      <c r="H349" s="179"/>
      <c r="I349" s="179"/>
      <c r="J349" s="179"/>
      <c r="K349" s="179"/>
      <c r="L349" s="586"/>
      <c r="M349" s="179"/>
      <c r="N349" s="179"/>
      <c r="O349" s="179"/>
      <c r="P349" s="179"/>
      <c r="Q349" s="179"/>
      <c r="R349" s="179"/>
      <c r="S349" s="179"/>
      <c r="T349" s="179"/>
      <c r="U349" s="179"/>
      <c r="V349" s="179"/>
      <c r="W349" s="179"/>
      <c r="X349" s="179"/>
      <c r="Y349" s="389"/>
      <c r="Z349" s="389"/>
      <c r="AA349" s="179"/>
      <c r="AB349" s="179"/>
      <c r="AC349" s="179"/>
      <c r="AD349" s="179"/>
      <c r="AE349" s="179"/>
      <c r="AF349" s="179"/>
    </row>
    <row r="350" spans="1:35">
      <c r="A350" s="6" t="s">
        <v>591</v>
      </c>
      <c r="B350" s="580"/>
      <c r="C350" s="580"/>
      <c r="D350" s="580"/>
      <c r="E350" s="580"/>
      <c r="F350" s="580"/>
      <c r="G350" s="580"/>
      <c r="H350" s="580"/>
      <c r="I350" s="580"/>
      <c r="J350" s="580"/>
      <c r="K350" s="580"/>
      <c r="L350" s="589"/>
      <c r="M350" s="580"/>
      <c r="N350" s="580"/>
      <c r="O350" s="580"/>
      <c r="P350" s="580"/>
      <c r="Q350" s="580"/>
      <c r="R350" s="580"/>
      <c r="S350" s="580"/>
      <c r="T350" s="580"/>
      <c r="U350" s="580"/>
      <c r="V350" s="580"/>
      <c r="W350" s="580"/>
      <c r="X350" s="580"/>
      <c r="Y350" s="582">
        <f>CES_Annual!Y9</f>
        <v>23855</v>
      </c>
      <c r="Z350" s="582">
        <f>CES_Annual!Z9</f>
        <v>26881</v>
      </c>
      <c r="AA350" s="582">
        <f>CES_Annual!AA9</f>
        <v>33314</v>
      </c>
      <c r="AB350" s="581">
        <f t="shared" ref="AB350:AF350" si="338">AB331+AB344</f>
        <v>38507.093890405085</v>
      </c>
      <c r="AC350" s="581">
        <f t="shared" si="338"/>
        <v>42965.193977439223</v>
      </c>
      <c r="AD350" s="581">
        <f t="shared" si="338"/>
        <v>47898.228579084054</v>
      </c>
      <c r="AE350" s="581">
        <f t="shared" si="338"/>
        <v>52225.813674077333</v>
      </c>
      <c r="AF350" s="581">
        <f t="shared" si="338"/>
        <v>57119.506996828517</v>
      </c>
    </row>
    <row r="351" spans="1:35">
      <c r="A351" s="1" t="s">
        <v>4</v>
      </c>
      <c r="M351" s="179"/>
      <c r="N351" s="179"/>
      <c r="O351" s="179"/>
      <c r="P351" s="179"/>
      <c r="Q351" s="179"/>
      <c r="R351" s="179"/>
      <c r="S351" s="179"/>
      <c r="T351" s="179"/>
      <c r="U351" s="179"/>
      <c r="V351" s="179"/>
      <c r="W351" s="179"/>
      <c r="X351" s="179"/>
      <c r="Y351" s="179"/>
      <c r="Z351" s="180">
        <f>Z350/Y350-1</f>
        <v>0.12684971704045278</v>
      </c>
      <c r="AA351" s="180">
        <f t="shared" ref="AA351:AF351" si="339">AA350/Z350-1</f>
        <v>0.23931401361556492</v>
      </c>
      <c r="AB351" s="180">
        <f t="shared" si="339"/>
        <v>0.15588322898496387</v>
      </c>
      <c r="AC351" s="180">
        <f t="shared" si="339"/>
        <v>0.11577347539449012</v>
      </c>
      <c r="AD351" s="180">
        <f t="shared" si="339"/>
        <v>0.11481467078293983</v>
      </c>
      <c r="AE351" s="180">
        <f t="shared" si="339"/>
        <v>9.0349585430869794E-2</v>
      </c>
      <c r="AF351" s="180">
        <f t="shared" si="339"/>
        <v>9.3702576915143387E-2</v>
      </c>
    </row>
    <row r="352" spans="1:35">
      <c r="M352" s="179"/>
      <c r="N352" s="179"/>
      <c r="O352" s="179"/>
      <c r="P352" s="179"/>
      <c r="Q352" s="179"/>
      <c r="R352" s="179"/>
      <c r="S352" s="179"/>
      <c r="T352" s="179"/>
      <c r="U352" s="179"/>
      <c r="V352" s="179"/>
      <c r="W352" s="179"/>
      <c r="X352" s="179"/>
      <c r="Y352" s="179"/>
      <c r="Z352" s="179"/>
      <c r="AA352" s="179"/>
      <c r="AB352" s="179"/>
      <c r="AC352" s="179"/>
      <c r="AD352" s="179"/>
      <c r="AE352" s="179"/>
      <c r="AF352" s="179"/>
    </row>
    <row r="353" spans="1:34">
      <c r="M353" s="179"/>
      <c r="N353" s="179"/>
      <c r="O353" s="179"/>
      <c r="P353" s="179"/>
      <c r="Q353" s="179"/>
      <c r="R353" s="179"/>
      <c r="S353" s="179"/>
      <c r="T353" s="179"/>
      <c r="U353" s="179"/>
      <c r="V353" s="179"/>
      <c r="W353" s="179"/>
      <c r="X353" s="179"/>
      <c r="Y353" s="179"/>
      <c r="Z353" s="179"/>
      <c r="AA353" s="179"/>
      <c r="AB353" s="179"/>
      <c r="AC353" s="179"/>
      <c r="AD353" s="179"/>
      <c r="AE353" s="179"/>
      <c r="AF353" s="179"/>
    </row>
    <row r="354" spans="1:34">
      <c r="A354" t="s">
        <v>543</v>
      </c>
      <c r="M354" s="179"/>
      <c r="N354" s="179"/>
      <c r="O354" s="179"/>
      <c r="P354" s="179"/>
      <c r="Q354" s="179"/>
      <c r="R354" s="179"/>
      <c r="S354" s="179"/>
      <c r="T354" s="179"/>
      <c r="U354" s="179"/>
      <c r="V354" s="179"/>
      <c r="W354" s="179"/>
      <c r="X354" s="179"/>
      <c r="Y354" s="590">
        <f>Y331/Y350</f>
        <v>0.2586040662334938</v>
      </c>
      <c r="Z354" s="590">
        <f t="shared" ref="Z354:AF354" si="340">Z331/Z350</f>
        <v>0.26435028458762699</v>
      </c>
      <c r="AA354" s="590">
        <f t="shared" si="340"/>
        <v>0.24927473007012368</v>
      </c>
      <c r="AB354" s="590">
        <f t="shared" si="340"/>
        <v>0.23916950746970944</v>
      </c>
      <c r="AC354" s="590">
        <f t="shared" si="340"/>
        <v>0.2507015978657457</v>
      </c>
      <c r="AD354" s="590">
        <f t="shared" si="340"/>
        <v>0.26284132519306652</v>
      </c>
      <c r="AE354" s="590">
        <f t="shared" si="340"/>
        <v>0.25460622909200203</v>
      </c>
      <c r="AF354" s="590">
        <f t="shared" si="340"/>
        <v>0.2445186602498283</v>
      </c>
    </row>
    <row r="355" spans="1:34">
      <c r="A355" t="s">
        <v>592</v>
      </c>
      <c r="M355" s="179"/>
      <c r="N355" s="179"/>
      <c r="O355" s="179"/>
      <c r="P355" s="179"/>
      <c r="Q355" s="179"/>
      <c r="R355" s="179"/>
      <c r="S355" s="179"/>
      <c r="T355" s="179"/>
      <c r="U355" s="179"/>
      <c r="V355" s="179"/>
      <c r="W355" s="179"/>
      <c r="X355" s="179"/>
      <c r="Y355" s="590">
        <f>Y344/Y350</f>
        <v>0.74139593376650592</v>
      </c>
      <c r="Z355" s="590">
        <f t="shared" ref="Z355:AF355" si="341">Z344/Z350</f>
        <v>0.73564971541237301</v>
      </c>
      <c r="AA355" s="590">
        <f t="shared" si="341"/>
        <v>0.75073542654739744</v>
      </c>
      <c r="AB355" s="590">
        <f t="shared" si="341"/>
        <v>0.76083049253029056</v>
      </c>
      <c r="AC355" s="590">
        <f t="shared" si="341"/>
        <v>0.74929840213425425</v>
      </c>
      <c r="AD355" s="590">
        <f t="shared" si="341"/>
        <v>0.73715867480693353</v>
      </c>
      <c r="AE355" s="590">
        <f t="shared" si="341"/>
        <v>0.74539377090799785</v>
      </c>
      <c r="AF355" s="590">
        <f t="shared" si="341"/>
        <v>0.75548133975017173</v>
      </c>
    </row>
    <row r="356" spans="1:34">
      <c r="M356" s="179"/>
      <c r="N356" s="179"/>
      <c r="O356" s="179"/>
      <c r="P356" s="179"/>
      <c r="Q356" s="179"/>
      <c r="R356" s="179"/>
      <c r="S356" s="179"/>
      <c r="T356" s="179"/>
      <c r="U356" s="179"/>
      <c r="V356" s="179"/>
      <c r="W356" s="179"/>
      <c r="X356" s="179"/>
      <c r="Y356" s="179"/>
      <c r="Z356" s="179"/>
      <c r="AA356" s="179"/>
      <c r="AB356" s="179"/>
      <c r="AC356" s="179"/>
      <c r="AD356" s="179"/>
      <c r="AE356" s="179"/>
      <c r="AF356" s="179"/>
    </row>
    <row r="357" spans="1:34">
      <c r="A357" t="s">
        <v>593</v>
      </c>
      <c r="M357" s="179"/>
      <c r="N357" s="179"/>
      <c r="O357" s="179"/>
      <c r="P357" s="179"/>
      <c r="Q357" s="179"/>
      <c r="R357" s="179"/>
      <c r="S357" s="179"/>
      <c r="T357" s="179"/>
      <c r="U357" s="179"/>
      <c r="V357" s="179"/>
      <c r="W357" s="179"/>
      <c r="X357" s="179"/>
      <c r="Y357" s="590">
        <f t="shared" ref="Y357:AF357" si="342">Y338/Y344</f>
        <v>0.55419058095202067</v>
      </c>
      <c r="Z357" s="590">
        <f t="shared" si="342"/>
        <v>0.59999999999999987</v>
      </c>
      <c r="AA357" s="590">
        <f t="shared" si="342"/>
        <v>0.58826869252299074</v>
      </c>
      <c r="AB357" s="590">
        <f t="shared" si="342"/>
        <v>0.59537144152480581</v>
      </c>
      <c r="AC357" s="590">
        <f t="shared" si="342"/>
        <v>0.60173670085934516</v>
      </c>
      <c r="AD357" s="590">
        <f t="shared" si="342"/>
        <v>0.60049952111505622</v>
      </c>
      <c r="AE357" s="590">
        <f t="shared" si="342"/>
        <v>0.59713931524455288</v>
      </c>
      <c r="AF357" s="590">
        <f t="shared" si="342"/>
        <v>0.59579021545272415</v>
      </c>
      <c r="AH357" t="s">
        <v>546</v>
      </c>
    </row>
    <row r="358" spans="1:34">
      <c r="A358" t="s">
        <v>594</v>
      </c>
      <c r="M358" s="179"/>
      <c r="N358" s="179"/>
      <c r="O358" s="179"/>
      <c r="P358" s="179"/>
      <c r="Q358" s="179"/>
      <c r="R358" s="179"/>
      <c r="S358" s="179"/>
      <c r="T358" s="179"/>
      <c r="U358" s="179"/>
      <c r="V358" s="179"/>
      <c r="W358" s="179"/>
      <c r="X358" s="179"/>
      <c r="Y358" s="590">
        <f t="shared" ref="Y358:AF358" si="343">Y341/Y344</f>
        <v>0.44580941904797933</v>
      </c>
      <c r="Z358" s="590">
        <f t="shared" si="343"/>
        <v>0.40000000000000008</v>
      </c>
      <c r="AA358" s="590">
        <f t="shared" si="343"/>
        <v>0.41173130747700926</v>
      </c>
      <c r="AB358" s="590">
        <f t="shared" si="343"/>
        <v>0.40462855847519419</v>
      </c>
      <c r="AC358" s="590">
        <f t="shared" si="343"/>
        <v>0.39826329914065478</v>
      </c>
      <c r="AD358" s="590">
        <f t="shared" si="343"/>
        <v>0.39950047888494383</v>
      </c>
      <c r="AE358" s="590">
        <f t="shared" si="343"/>
        <v>0.40286068475544712</v>
      </c>
      <c r="AF358" s="590">
        <f t="shared" si="343"/>
        <v>0.40420978454727585</v>
      </c>
      <c r="AH358" t="s">
        <v>547</v>
      </c>
    </row>
  </sheetData>
  <sortState xmlns:xlrd2="http://schemas.microsoft.com/office/spreadsheetml/2017/richdata2" ref="A4:A34">
    <sortCondition ref="A4:A34"/>
  </sortState>
  <pageMargins left="0.7" right="0.7" top="0.75" bottom="0.75" header="0.3" footer="0.3"/>
  <pageSetup orientation="portrait"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BA1CED-138B-4D29-882E-1C4ED5073784}">
  <sheetPr codeName="Sheet22"/>
  <dimension ref="A1:AL50"/>
  <sheetViews>
    <sheetView showGridLines="0" workbookViewId="0">
      <pane xSplit="1" ySplit="2" topLeftCell="B3" activePane="bottomRight" state="frozen"/>
      <selection pane="topRight" activeCell="B1" sqref="B1"/>
      <selection pane="bottomLeft" activeCell="A3" sqref="A3"/>
      <selection pane="bottomRight" activeCell="B3" sqref="B3"/>
    </sheetView>
  </sheetViews>
  <sheetFormatPr defaultRowHeight="15"/>
  <cols>
    <col min="1" max="1" width="39.140625" customWidth="1"/>
    <col min="19" max="19" width="10.85546875" customWidth="1"/>
    <col min="26" max="27" width="9.85546875" customWidth="1"/>
    <col min="34" max="34" width="18.140625" customWidth="1"/>
  </cols>
  <sheetData>
    <row r="1" spans="1:35">
      <c r="A1" s="13" t="s">
        <v>633</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row>
    <row r="2" spans="1:35">
      <c r="A2" s="7"/>
      <c r="B2" s="96" t="str">
        <f>ProForma_IS_Annual!B2</f>
        <v>CY2000A</v>
      </c>
      <c r="C2" s="96" t="str">
        <f>ProForma_IS_Annual!C2</f>
        <v>CY2001A</v>
      </c>
      <c r="D2" s="96" t="str">
        <f>ProForma_IS_Annual!D2</f>
        <v>CY2002A</v>
      </c>
      <c r="E2" s="96" t="str">
        <f>ProForma_IS_Annual!E2</f>
        <v>CY2003A</v>
      </c>
      <c r="F2" s="96" t="str">
        <f>ProForma_IS_Annual!F2</f>
        <v>CY2004A</v>
      </c>
      <c r="G2" s="96" t="str">
        <f>ProForma_IS_Annual!G2</f>
        <v>CY2005A</v>
      </c>
      <c r="H2" s="96" t="str">
        <f>ProForma_IS_Annual!H2</f>
        <v>CY2006A</v>
      </c>
      <c r="I2" s="96" t="str">
        <f>ProForma_IS_Annual!I2</f>
        <v>CY2007A</v>
      </c>
      <c r="J2" s="96" t="str">
        <f>ProForma_IS_Annual!J2</f>
        <v>CY2008A</v>
      </c>
      <c r="K2" s="96" t="str">
        <f>ProForma_IS_Annual!K2</f>
        <v>CY2009A</v>
      </c>
      <c r="L2" s="96" t="str">
        <f>ProForma_IS_Annual!L2</f>
        <v>CY2010A</v>
      </c>
      <c r="M2" s="96" t="str">
        <f>ProForma_IS_Annual!M2</f>
        <v>CY2011A</v>
      </c>
      <c r="N2" s="96" t="str">
        <f>ProForma_IS_Annual!N2</f>
        <v>CY2012A</v>
      </c>
      <c r="O2" s="96" t="str">
        <f>ProForma_IS_Annual!O2</f>
        <v>CY2013A</v>
      </c>
      <c r="P2" s="96" t="str">
        <f>ProForma_IS_Annual!P2</f>
        <v>CY2014A</v>
      </c>
      <c r="Q2" s="96" t="str">
        <f>ProForma_IS_Annual!Q2</f>
        <v>CY2015A</v>
      </c>
      <c r="R2" s="96" t="str">
        <f>ProForma_IS_Annual!R2</f>
        <v>CY2016A</v>
      </c>
      <c r="S2" s="96" t="str">
        <f>ProForma_IS_Annual!S2</f>
        <v>CY2017A</v>
      </c>
      <c r="T2" s="96" t="str">
        <f>ProForma_IS_Annual!T2</f>
        <v>CY2018A</v>
      </c>
      <c r="U2" s="96" t="str">
        <f>ProForma_IS_Annual!U2</f>
        <v>CY2019A</v>
      </c>
      <c r="V2" s="96" t="str">
        <f>ProForma_IS_Annual!V2</f>
        <v>CY2020A</v>
      </c>
      <c r="W2" s="96" t="str">
        <f>ProForma_IS_Annual!W2</f>
        <v>CY2021A</v>
      </c>
      <c r="X2" s="96" t="str">
        <f>ProForma_IS_Annual!X2</f>
        <v>CY2022A</v>
      </c>
      <c r="Y2" s="96" t="str">
        <f>ProForma_IS_Annual!Y2</f>
        <v>CY2023A</v>
      </c>
      <c r="Z2" s="96" t="str">
        <f>ProForma_IS_Annual!Z2</f>
        <v>CY2024A</v>
      </c>
      <c r="AA2" s="96" t="str">
        <f>ProForma_IS_Annual!AA2</f>
        <v>CY2025A</v>
      </c>
      <c r="AB2" s="96" t="str">
        <f>ProForma_IS_Annual!AB2</f>
        <v>CY2026E</v>
      </c>
      <c r="AC2" s="96" t="str">
        <f>ProForma_IS_Annual!AC2</f>
        <v>CY2027E</v>
      </c>
      <c r="AD2" s="96" t="str">
        <f>ProForma_IS_Annual!AD2</f>
        <v>CY2028E</v>
      </c>
      <c r="AE2" s="96" t="str">
        <f>ProForma_IS_Annual!AE2</f>
        <v>CY2029E</v>
      </c>
      <c r="AF2" s="96" t="str">
        <f>ProForma_IS_Annual!AF2</f>
        <v>CY2030E</v>
      </c>
      <c r="AH2" t="s">
        <v>515</v>
      </c>
    </row>
    <row r="3" spans="1:35">
      <c r="A3" s="457" t="s">
        <v>461</v>
      </c>
      <c r="B3" s="176"/>
      <c r="C3" s="176"/>
      <c r="D3" s="176"/>
      <c r="E3" s="176"/>
      <c r="F3" s="176"/>
      <c r="G3" s="176"/>
      <c r="H3" s="176"/>
      <c r="I3" s="176"/>
      <c r="J3" s="176"/>
      <c r="K3" s="176"/>
      <c r="L3" s="176"/>
      <c r="M3" s="176"/>
      <c r="N3" s="176"/>
      <c r="O3" s="176"/>
      <c r="P3" s="176"/>
      <c r="Q3" s="176"/>
      <c r="R3" s="176">
        <f>'Def and Prop Tech_Qtr'!K3</f>
        <v>3585</v>
      </c>
      <c r="S3" s="176">
        <f>'Def and Prop Tech_Qtr'!P3</f>
        <v>3991</v>
      </c>
      <c r="T3" s="176">
        <f>'Def and Prop Tech_Qtr'!U3</f>
        <v>4103</v>
      </c>
      <c r="U3" s="176">
        <f>'Def and Prop Tech_Qtr'!Z3</f>
        <v>4389</v>
      </c>
      <c r="V3" s="176">
        <f>'Def and Prop Tech_Qtr'!AE3</f>
        <v>4572</v>
      </c>
      <c r="W3" s="176">
        <f>'Def and Prop Tech_Qtr'!AJ3</f>
        <v>4136</v>
      </c>
      <c r="X3" s="176">
        <f>'Def and Prop Tech_Qtr'!AO3</f>
        <v>4410</v>
      </c>
      <c r="Y3" s="449">
        <f>'Def and Prop Tech_Qtr'!AT3</f>
        <v>5927</v>
      </c>
      <c r="Z3" s="449">
        <f>'Def and Prop Tech_Qtr'!AY3</f>
        <v>6109</v>
      </c>
      <c r="AA3" s="449">
        <f>'Def and Prop Tech_Qtr'!BD3</f>
        <v>6574</v>
      </c>
      <c r="AB3" s="449">
        <f>'Def and Prop Tech_Qtr'!BI3</f>
        <v>8809.16</v>
      </c>
      <c r="AC3" s="450">
        <f>AB3*(1+AC4)</f>
        <v>9249.6180000000004</v>
      </c>
      <c r="AD3" s="450">
        <f>AC3*(1+AD4)</f>
        <v>9712.0989000000009</v>
      </c>
      <c r="AE3" s="450">
        <f>AD3*(1+AE4)</f>
        <v>10197.703845000002</v>
      </c>
      <c r="AF3" s="450">
        <f>AE3*(1+AF4)</f>
        <v>10707.589037250002</v>
      </c>
    </row>
    <row r="4" spans="1:35">
      <c r="A4" s="458" t="s">
        <v>4</v>
      </c>
      <c r="B4" s="175"/>
      <c r="C4" s="175"/>
      <c r="D4" s="175"/>
      <c r="E4" s="175"/>
      <c r="F4" s="175"/>
      <c r="G4" s="175"/>
      <c r="H4" s="175"/>
      <c r="I4" s="175"/>
      <c r="J4" s="175"/>
      <c r="K4" s="175"/>
      <c r="L4" s="175"/>
      <c r="M4" s="175"/>
      <c r="N4" s="175"/>
      <c r="O4" s="175"/>
      <c r="P4" s="175"/>
      <c r="Q4" s="175"/>
      <c r="R4" s="175">
        <f>'Def and Prop Tech_Qtr'!K4</f>
        <v>0</v>
      </c>
      <c r="S4" s="175">
        <f>'Def and Prop Tech_Qtr'!P4</f>
        <v>0</v>
      </c>
      <c r="T4" s="175">
        <f>'Def and Prop Tech_Qtr'!U4</f>
        <v>0</v>
      </c>
      <c r="U4" s="175">
        <f>'Def and Prop Tech_Qtr'!Z4</f>
        <v>0</v>
      </c>
      <c r="V4" s="175">
        <f>'Def and Prop Tech_Qtr'!AE4</f>
        <v>4.1695146958304896E-2</v>
      </c>
      <c r="W4" s="175">
        <f>'Def and Prop Tech_Qtr'!AJ4</f>
        <v>-9.5363079615048085E-2</v>
      </c>
      <c r="X4" s="175">
        <f>'Def and Prop Tech_Qtr'!AO4</f>
        <v>6.6247582205029021E-2</v>
      </c>
      <c r="Y4" s="192">
        <f>'Def and Prop Tech_Qtr'!AT4</f>
        <v>0.3439909297052155</v>
      </c>
      <c r="Z4" s="192">
        <f>'Def and Prop Tech_Qtr'!AY4</f>
        <v>3.0706934368145866E-2</v>
      </c>
      <c r="AA4" s="192">
        <f>'Def and Prop Tech_Qtr'!BD4</f>
        <v>7.6117204125061289E-2</v>
      </c>
      <c r="AB4" s="192">
        <f>'Def and Prop Tech_Qtr'!BI4</f>
        <v>0.34</v>
      </c>
      <c r="AC4" s="183">
        <v>0.05</v>
      </c>
      <c r="AD4" s="183">
        <v>0.05</v>
      </c>
      <c r="AE4" s="183">
        <v>0.05</v>
      </c>
      <c r="AF4" s="183">
        <v>0.05</v>
      </c>
    </row>
    <row r="5" spans="1:35">
      <c r="A5" s="458"/>
      <c r="B5" s="175"/>
      <c r="C5" s="175"/>
      <c r="D5" s="175"/>
      <c r="E5" s="175"/>
      <c r="F5" s="175"/>
      <c r="G5" s="175"/>
      <c r="H5" s="175"/>
      <c r="I5" s="175"/>
      <c r="J5" s="175"/>
      <c r="K5" s="175"/>
      <c r="L5" s="175"/>
      <c r="M5" s="175"/>
      <c r="N5" s="175"/>
      <c r="O5" s="175"/>
      <c r="P5" s="175"/>
      <c r="Q5" s="175"/>
      <c r="R5" s="175"/>
      <c r="S5" s="175"/>
      <c r="T5" s="175"/>
      <c r="U5" s="175"/>
      <c r="V5" s="175"/>
      <c r="W5" s="175"/>
      <c r="X5" s="175"/>
      <c r="Y5" s="192"/>
      <c r="Z5" s="192"/>
      <c r="AA5" s="192"/>
      <c r="AB5" s="192"/>
      <c r="AC5" s="183"/>
      <c r="AD5" s="183"/>
      <c r="AE5" s="183"/>
      <c r="AF5" s="183"/>
    </row>
    <row r="6" spans="1:35">
      <c r="A6" s="457" t="s">
        <v>462</v>
      </c>
      <c r="B6" s="451"/>
      <c r="C6" s="451"/>
      <c r="D6" s="451"/>
      <c r="E6" s="451"/>
      <c r="F6" s="451"/>
      <c r="G6" s="451"/>
      <c r="H6" s="451"/>
      <c r="I6" s="451"/>
      <c r="J6" s="451"/>
      <c r="K6" s="451"/>
      <c r="L6" s="451"/>
      <c r="M6" s="451"/>
      <c r="N6" s="451"/>
      <c r="O6" s="451"/>
      <c r="P6" s="451"/>
      <c r="Q6" s="176"/>
      <c r="R6" s="176">
        <f>'Def and Prop Tech_Qtr'!K6</f>
        <v>3135</v>
      </c>
      <c r="S6" s="176">
        <f>'Def and Prop Tech_Qtr'!P6</f>
        <v>3314</v>
      </c>
      <c r="T6" s="176">
        <f>'Def and Prop Tech_Qtr'!U6</f>
        <v>3740</v>
      </c>
      <c r="U6" s="176">
        <f>'Def and Prop Tech_Qtr'!Z6</f>
        <v>4269</v>
      </c>
      <c r="V6" s="176">
        <f>'Def and Prop Tech_Qtr'!AE6</f>
        <v>2991</v>
      </c>
      <c r="W6" s="176">
        <f>'Def and Prop Tech_Qtr'!AJ6</f>
        <v>2814</v>
      </c>
      <c r="X6" s="176">
        <f>'Def and Prop Tech_Qtr'!AO6</f>
        <v>2975</v>
      </c>
      <c r="Y6" s="449">
        <f>'Def and Prop Tech_Qtr'!AT6</f>
        <v>3034</v>
      </c>
      <c r="Z6" s="449">
        <f>'Def and Prop Tech_Qtr'!AY6</f>
        <v>3370</v>
      </c>
      <c r="AA6" s="449">
        <f>'Def and Prop Tech_Qtr'!BD6</f>
        <v>3981</v>
      </c>
      <c r="AB6" s="449">
        <f>'Def and Prop Tech_Qtr'!BI6</f>
        <v>4777.2</v>
      </c>
      <c r="AC6" s="450">
        <f>AB6*(1+AC7)</f>
        <v>4968.2879999999996</v>
      </c>
      <c r="AD6" s="450">
        <f>AC6*(1+AD7)</f>
        <v>5167.0195199999998</v>
      </c>
      <c r="AE6" s="450">
        <f>AD6*(1+AE7)</f>
        <v>5373.7003008000002</v>
      </c>
      <c r="AF6" s="450">
        <f>AE6*(1+AF7)</f>
        <v>5588.6483128320006</v>
      </c>
    </row>
    <row r="7" spans="1:35">
      <c r="A7" s="458" t="s">
        <v>4</v>
      </c>
      <c r="B7" s="175"/>
      <c r="C7" s="175"/>
      <c r="D7" s="175"/>
      <c r="E7" s="175"/>
      <c r="F7" s="175"/>
      <c r="G7" s="175"/>
      <c r="H7" s="175"/>
      <c r="I7" s="175"/>
      <c r="J7" s="175"/>
      <c r="K7" s="175"/>
      <c r="L7" s="175"/>
      <c r="M7" s="175"/>
      <c r="N7" s="175"/>
      <c r="O7" s="175"/>
      <c r="P7" s="175"/>
      <c r="Q7" s="175"/>
      <c r="R7" s="175">
        <f>'Def and Prop Tech_Qtr'!K7</f>
        <v>0</v>
      </c>
      <c r="S7" s="175">
        <f>'Def and Prop Tech_Qtr'!P7</f>
        <v>0</v>
      </c>
      <c r="T7" s="175">
        <f>'Def and Prop Tech_Qtr'!U7</f>
        <v>0</v>
      </c>
      <c r="U7" s="175">
        <f>'Def and Prop Tech_Qtr'!Z7</f>
        <v>0</v>
      </c>
      <c r="V7" s="175">
        <f>'Def and Prop Tech_Qtr'!AE7</f>
        <v>-0.29936753338018274</v>
      </c>
      <c r="W7" s="175">
        <f>'Def and Prop Tech_Qtr'!AJ7</f>
        <v>-5.9177532597793348E-2</v>
      </c>
      <c r="X7" s="175">
        <f>'Def and Prop Tech_Qtr'!AO7</f>
        <v>5.7213930348258613E-2</v>
      </c>
      <c r="Y7" s="192">
        <f>'Def and Prop Tech_Qtr'!AT7</f>
        <v>1.9831932773109351E-2</v>
      </c>
      <c r="Z7" s="192">
        <f>'Def and Prop Tech_Qtr'!AY7</f>
        <v>0.11074489123269604</v>
      </c>
      <c r="AA7" s="192">
        <f>'Def and Prop Tech_Qtr'!BD7</f>
        <v>0.18130563798219579</v>
      </c>
      <c r="AB7" s="192">
        <f>'Def and Prop Tech_Qtr'!BI7</f>
        <v>0.2</v>
      </c>
      <c r="AC7" s="183">
        <v>0.04</v>
      </c>
      <c r="AD7" s="183">
        <v>0.04</v>
      </c>
      <c r="AE7" s="183">
        <v>0.04</v>
      </c>
      <c r="AF7" s="183">
        <v>0.04</v>
      </c>
    </row>
    <row r="8" spans="1:35">
      <c r="A8" s="1"/>
      <c r="B8" s="37"/>
      <c r="C8" s="37"/>
      <c r="D8" s="37"/>
      <c r="E8" s="37"/>
      <c r="F8" s="37"/>
      <c r="G8" s="37"/>
      <c r="H8" s="37"/>
      <c r="I8" s="37"/>
      <c r="J8" s="37"/>
      <c r="K8" s="37"/>
      <c r="L8" s="37"/>
      <c r="M8" s="37"/>
      <c r="N8" s="37"/>
      <c r="O8" s="37"/>
      <c r="P8" s="37"/>
      <c r="Q8" s="37"/>
      <c r="R8" s="37"/>
      <c r="S8" s="37"/>
      <c r="T8" s="37"/>
      <c r="U8" s="37"/>
      <c r="V8" s="37"/>
      <c r="W8" s="37"/>
      <c r="X8" s="37"/>
      <c r="Y8" s="231"/>
      <c r="Z8" s="179"/>
      <c r="AA8" s="179"/>
      <c r="AB8" s="179"/>
      <c r="AC8" s="179"/>
      <c r="AD8" s="179"/>
      <c r="AE8" s="179"/>
      <c r="AF8" s="179"/>
    </row>
    <row r="9" spans="1:35">
      <c r="A9" s="6" t="s">
        <v>0</v>
      </c>
      <c r="B9" s="29"/>
      <c r="C9" s="29"/>
      <c r="D9" s="29"/>
      <c r="E9" s="29"/>
      <c r="F9" s="29"/>
      <c r="G9" s="29"/>
      <c r="H9" s="29"/>
      <c r="I9" s="29"/>
      <c r="J9" s="29"/>
      <c r="K9" s="29"/>
      <c r="L9" s="29"/>
      <c r="M9" s="29"/>
      <c r="N9" s="29"/>
      <c r="O9" s="29"/>
      <c r="P9" s="29"/>
      <c r="Q9" s="160"/>
      <c r="R9" s="160">
        <f>'Def and Prop Tech_Qtr'!K9</f>
        <v>6720</v>
      </c>
      <c r="S9" s="160">
        <f>'Def and Prop Tech_Qtr'!P9</f>
        <v>7305</v>
      </c>
      <c r="T9" s="160">
        <f>'Def and Prop Tech_Qtr'!U9</f>
        <v>7843</v>
      </c>
      <c r="U9" s="160">
        <f>'Def and Prop Tech_Qtr'!Z9</f>
        <v>8658</v>
      </c>
      <c r="V9" s="160">
        <f>'Def and Prop Tech_Qtr'!AE9</f>
        <v>7563</v>
      </c>
      <c r="W9" s="160">
        <f>'Def and Prop Tech_Qtr'!AJ9</f>
        <v>6950</v>
      </c>
      <c r="X9" s="160">
        <f>'Def and Prop Tech_Qtr'!AO9</f>
        <v>7385</v>
      </c>
      <c r="Y9" s="160">
        <f>'Def and Prop Tech_Qtr'!AT9</f>
        <v>8961</v>
      </c>
      <c r="Z9" s="160">
        <f>'Def and Prop Tech_Qtr'!AY9</f>
        <v>9478</v>
      </c>
      <c r="AA9" s="160">
        <f>'Def and Prop Tech_Qtr'!BD9</f>
        <v>10554</v>
      </c>
      <c r="AB9" s="160">
        <f>'Def and Prop Tech_Qtr'!BI9</f>
        <v>13586.36</v>
      </c>
      <c r="AC9" s="177">
        <f>AC3+AC6</f>
        <v>14217.905999999999</v>
      </c>
      <c r="AD9" s="177">
        <f>AD3+AD6</f>
        <v>14879.118420000001</v>
      </c>
      <c r="AE9" s="177">
        <f>AE3+AE6</f>
        <v>15571.404145800003</v>
      </c>
      <c r="AF9" s="177">
        <f>AF3+AF6</f>
        <v>16296.237350082003</v>
      </c>
    </row>
    <row r="10" spans="1:35">
      <c r="A10" s="1" t="s">
        <v>4</v>
      </c>
      <c r="B10" s="223"/>
      <c r="C10" s="181"/>
      <c r="D10" s="181"/>
      <c r="E10" s="181"/>
      <c r="F10" s="181"/>
      <c r="G10" s="181"/>
      <c r="H10" s="181"/>
      <c r="I10" s="181"/>
      <c r="J10" s="181"/>
      <c r="K10" s="181"/>
      <c r="L10" s="181"/>
      <c r="M10" s="181"/>
      <c r="N10" s="181"/>
      <c r="O10" s="181"/>
      <c r="P10" s="181"/>
      <c r="Q10" s="175"/>
      <c r="R10" s="175">
        <f>'Def and Prop Tech_Qtr'!K10</f>
        <v>0</v>
      </c>
      <c r="S10" s="175">
        <f>'Def and Prop Tech_Qtr'!P10</f>
        <v>8.7053571428571397E-2</v>
      </c>
      <c r="T10" s="175">
        <f>'Def and Prop Tech_Qtr'!U10</f>
        <v>7.3648186173853603E-2</v>
      </c>
      <c r="U10" s="175">
        <f>'Def and Prop Tech_Qtr'!Z10</f>
        <v>0.10391431850057375</v>
      </c>
      <c r="V10" s="175">
        <f>'Def and Prop Tech_Qtr'!AE10</f>
        <v>-0.12647262647262647</v>
      </c>
      <c r="W10" s="175">
        <f>'Def and Prop Tech_Qtr'!AJ10</f>
        <v>-8.1052492397196918E-2</v>
      </c>
      <c r="X10" s="175">
        <f>'Def and Prop Tech_Qtr'!AO10</f>
        <v>6.2589928057553923E-2</v>
      </c>
      <c r="Y10" s="192">
        <f>'Def and Prop Tech_Qtr'!AT10</f>
        <v>0.21340555179417731</v>
      </c>
      <c r="Z10" s="192">
        <f>'Def and Prop Tech_Qtr'!AY10</f>
        <v>5.7694453744001839E-2</v>
      </c>
      <c r="AA10" s="192">
        <f>'Def and Prop Tech_Qtr'!BD10</f>
        <v>0.11352606035028479</v>
      </c>
      <c r="AB10" s="192">
        <f>'Def and Prop Tech_Qtr'!BI10</f>
        <v>0.28731855220769376</v>
      </c>
      <c r="AC10" s="123">
        <f>AC9/AB9-1</f>
        <v>4.6483826425915309E-2</v>
      </c>
      <c r="AD10" s="123">
        <f>AD9/AC9-1</f>
        <v>4.6505612007844421E-2</v>
      </c>
      <c r="AE10" s="123">
        <f>AE9/AD9-1</f>
        <v>4.6527334903757156E-2</v>
      </c>
      <c r="AF10" s="123">
        <f>AF9/AE9-1</f>
        <v>4.6548994393514898E-2</v>
      </c>
    </row>
    <row r="11" spans="1:35">
      <c r="A11" s="1"/>
      <c r="B11" s="223"/>
      <c r="C11" s="181"/>
      <c r="D11" s="181"/>
      <c r="E11" s="181"/>
      <c r="F11" s="181"/>
      <c r="G11" s="181"/>
      <c r="H11" s="181"/>
      <c r="I11" s="181"/>
      <c r="J11" s="181"/>
      <c r="K11" s="181"/>
      <c r="L11" s="181"/>
      <c r="M11" s="181"/>
      <c r="N11" s="181"/>
      <c r="O11" s="181"/>
      <c r="P11" s="181"/>
      <c r="Q11" s="175"/>
      <c r="R11" s="175"/>
      <c r="S11" s="175"/>
      <c r="T11" s="175"/>
      <c r="U11" s="175"/>
      <c r="V11" s="175"/>
      <c r="W11" s="175"/>
      <c r="X11" s="175"/>
      <c r="Y11" s="164"/>
      <c r="Z11" s="164"/>
      <c r="AA11" s="164"/>
      <c r="AB11" s="164"/>
      <c r="AC11" s="35"/>
      <c r="AD11" s="35"/>
      <c r="AE11" s="35"/>
      <c r="AF11" s="35"/>
    </row>
    <row r="12" spans="1:35">
      <c r="A12" s="107" t="s">
        <v>178</v>
      </c>
      <c r="B12" s="37"/>
      <c r="C12" s="37"/>
      <c r="D12" s="37"/>
      <c r="E12" s="37"/>
      <c r="F12" s="37"/>
      <c r="G12" s="37"/>
      <c r="H12" s="37"/>
      <c r="I12" s="37"/>
      <c r="J12" s="37"/>
      <c r="K12" s="37"/>
      <c r="L12" s="37"/>
      <c r="M12" s="42"/>
      <c r="N12" s="42"/>
      <c r="O12" s="42"/>
      <c r="P12" s="42"/>
      <c r="Q12" s="174"/>
      <c r="R12" s="174">
        <f>'Def and Prop Tech_Qtr'!K12</f>
        <v>0</v>
      </c>
      <c r="S12" s="174">
        <f>'Def and Prop Tech_Qtr'!P12</f>
        <v>0</v>
      </c>
      <c r="T12" s="174">
        <f>'Def and Prop Tech_Qtr'!U12</f>
        <v>0</v>
      </c>
      <c r="U12" s="174">
        <f>'Def and Prop Tech_Qtr'!Z12</f>
        <v>0</v>
      </c>
      <c r="V12" s="174">
        <f>'Def and Prop Tech_Qtr'!AE12</f>
        <v>0</v>
      </c>
      <c r="W12" s="174">
        <f>'Def and Prop Tech_Qtr'!AJ12</f>
        <v>0</v>
      </c>
      <c r="X12" s="174">
        <f>'Def and Prop Tech_Qtr'!AO12</f>
        <v>0</v>
      </c>
      <c r="Y12" s="37">
        <f>'Def and Prop Tech_Qtr'!AT12</f>
        <v>0</v>
      </c>
      <c r="Z12" s="37">
        <f>'Def and Prop Tech_Qtr'!AY12</f>
        <v>0</v>
      </c>
      <c r="AA12" s="37">
        <f>'Def and Prop Tech_Qtr'!BD12</f>
        <v>0</v>
      </c>
      <c r="AB12" s="37">
        <f>'Def and Prop Tech_Qtr'!BI12</f>
        <v>0</v>
      </c>
      <c r="AC12" s="42">
        <v>0</v>
      </c>
      <c r="AD12" s="42">
        <v>0</v>
      </c>
      <c r="AE12" s="42">
        <v>0</v>
      </c>
      <c r="AF12" s="42">
        <v>0</v>
      </c>
    </row>
    <row r="13" spans="1:35">
      <c r="A13" s="6" t="s">
        <v>201</v>
      </c>
      <c r="B13" s="29"/>
      <c r="C13" s="29"/>
      <c r="D13" s="29"/>
      <c r="E13" s="29"/>
      <c r="F13" s="29"/>
      <c r="G13" s="29"/>
      <c r="H13" s="29"/>
      <c r="I13" s="29"/>
      <c r="J13" s="29"/>
      <c r="K13" s="29"/>
      <c r="L13" s="29"/>
      <c r="M13" s="23"/>
      <c r="N13" s="23"/>
      <c r="O13" s="23"/>
      <c r="P13" s="23"/>
      <c r="Q13" s="160"/>
      <c r="R13" s="160">
        <f>'Def and Prop Tech_Qtr'!K13</f>
        <v>6720</v>
      </c>
      <c r="S13" s="160">
        <f>'Def and Prop Tech_Qtr'!P13</f>
        <v>7305</v>
      </c>
      <c r="T13" s="160">
        <f>'Def and Prop Tech_Qtr'!U13</f>
        <v>7843</v>
      </c>
      <c r="U13" s="160">
        <f>'Def and Prop Tech_Qtr'!Z13</f>
        <v>8658</v>
      </c>
      <c r="V13" s="160">
        <f>'Def and Prop Tech_Qtr'!AE13</f>
        <v>7563</v>
      </c>
      <c r="W13" s="160">
        <f>'Def and Prop Tech_Qtr'!AJ13</f>
        <v>6950</v>
      </c>
      <c r="X13" s="160">
        <f>'Def and Prop Tech_Qtr'!AO13</f>
        <v>7385</v>
      </c>
      <c r="Y13" s="160">
        <f>'Def and Prop Tech_Qtr'!AT13</f>
        <v>8961</v>
      </c>
      <c r="Z13" s="160">
        <f>'Def and Prop Tech_Qtr'!AY13</f>
        <v>9478</v>
      </c>
      <c r="AA13" s="160">
        <f>'Def and Prop Tech_Qtr'!BD13</f>
        <v>10554</v>
      </c>
      <c r="AB13" s="160">
        <f>'Def and Prop Tech_Qtr'!BI13</f>
        <v>13586.36</v>
      </c>
      <c r="AC13" s="23">
        <f>AC9+AC12</f>
        <v>14217.905999999999</v>
      </c>
      <c r="AD13" s="23">
        <f>AD9+AD12</f>
        <v>14879.118420000001</v>
      </c>
      <c r="AE13" s="23">
        <f>AE9+AE12</f>
        <v>15571.404145800003</v>
      </c>
      <c r="AF13" s="23">
        <f>AF9+AF12</f>
        <v>16296.237350082003</v>
      </c>
      <c r="AH13" t="s">
        <v>524</v>
      </c>
      <c r="AI13" s="251">
        <f>(AD13/Z13)^(1/4)-1</f>
        <v>0.11934799059216683</v>
      </c>
    </row>
    <row r="14" spans="1:35">
      <c r="A14" s="1" t="s">
        <v>4</v>
      </c>
      <c r="B14" s="35"/>
      <c r="C14" s="35"/>
      <c r="D14" s="35"/>
      <c r="E14" s="35"/>
      <c r="F14" s="35"/>
      <c r="G14" s="35"/>
      <c r="H14" s="35"/>
      <c r="I14" s="35"/>
      <c r="J14" s="35"/>
      <c r="K14" s="35"/>
      <c r="L14" s="35"/>
      <c r="M14" s="181"/>
      <c r="N14" s="35"/>
      <c r="O14" s="35"/>
      <c r="P14" s="35"/>
      <c r="Q14" s="175"/>
      <c r="R14" s="175"/>
      <c r="S14" s="175">
        <f>'Def and Prop Tech_Qtr'!P14</f>
        <v>8.7053571428571397E-2</v>
      </c>
      <c r="T14" s="175">
        <f>'Def and Prop Tech_Qtr'!U14</f>
        <v>7.3648186173853603E-2</v>
      </c>
      <c r="U14" s="175">
        <f>'Def and Prop Tech_Qtr'!Z14</f>
        <v>0.10391431850057375</v>
      </c>
      <c r="V14" s="175">
        <f>'Def and Prop Tech_Qtr'!AE14</f>
        <v>-0.12647262647262647</v>
      </c>
      <c r="W14" s="175">
        <f>'Def and Prop Tech_Qtr'!AJ14</f>
        <v>-8.1052492397196918E-2</v>
      </c>
      <c r="X14" s="175">
        <f>'Def and Prop Tech_Qtr'!AO14</f>
        <v>6.2589928057553923E-2</v>
      </c>
      <c r="Y14" s="192">
        <f>'Def and Prop Tech_Qtr'!AT14</f>
        <v>0.21340555179417731</v>
      </c>
      <c r="Z14" s="192">
        <f>'Def and Prop Tech_Qtr'!AY14</f>
        <v>5.7694453744001839E-2</v>
      </c>
      <c r="AA14" s="192">
        <f>'Def and Prop Tech_Qtr'!BD14</f>
        <v>0.11352606035028479</v>
      </c>
      <c r="AB14" s="192">
        <f>'Def and Prop Tech_Qtr'!BI14</f>
        <v>0.28731855220769376</v>
      </c>
      <c r="AC14" s="123">
        <f>AC13/AB13-1</f>
        <v>4.6483826425915309E-2</v>
      </c>
      <c r="AD14" s="123">
        <f>AD13/AC13-1</f>
        <v>4.6505612007844421E-2</v>
      </c>
      <c r="AE14" s="123">
        <f>AE13/AD13-1</f>
        <v>4.6527334903757156E-2</v>
      </c>
      <c r="AF14" s="123">
        <f>AF13/AE13-1</f>
        <v>4.6548994393514898E-2</v>
      </c>
    </row>
    <row r="15" spans="1:35">
      <c r="B15" s="37"/>
      <c r="C15" s="37"/>
      <c r="D15" s="37"/>
      <c r="E15" s="37"/>
      <c r="F15" s="37"/>
      <c r="G15" s="37"/>
      <c r="H15" s="37"/>
      <c r="I15" s="37"/>
      <c r="J15" s="37"/>
      <c r="K15" s="37"/>
      <c r="L15" s="37"/>
      <c r="M15" s="37"/>
      <c r="N15" s="37"/>
      <c r="O15" s="37"/>
      <c r="P15" s="37"/>
      <c r="Q15" s="37"/>
      <c r="R15" s="37"/>
      <c r="S15" s="37"/>
      <c r="T15" s="37"/>
      <c r="U15" s="37"/>
      <c r="V15" s="37"/>
      <c r="W15" s="37"/>
      <c r="X15" s="37"/>
      <c r="Y15" s="231"/>
      <c r="Z15" s="303"/>
      <c r="AA15" s="303"/>
      <c r="AB15" s="303"/>
      <c r="AC15" s="179"/>
      <c r="AD15" s="179"/>
      <c r="AE15" s="179"/>
      <c r="AF15" s="179"/>
    </row>
    <row r="16" spans="1:35">
      <c r="A16" s="8" t="s">
        <v>10</v>
      </c>
      <c r="B16" s="27"/>
      <c r="C16" s="27"/>
      <c r="D16" s="27"/>
      <c r="E16" s="27"/>
      <c r="F16" s="27"/>
      <c r="G16" s="27"/>
      <c r="H16" s="27"/>
      <c r="I16" s="27"/>
      <c r="J16" s="27"/>
      <c r="K16" s="27"/>
      <c r="L16" s="27"/>
      <c r="M16" s="27"/>
      <c r="N16" s="27"/>
      <c r="O16" s="27"/>
      <c r="P16" s="27"/>
      <c r="Q16" s="176"/>
      <c r="R16" s="176"/>
      <c r="S16" s="176">
        <f>'Def and Prop Tech_Qtr'!P16</f>
        <v>-7305</v>
      </c>
      <c r="T16" s="176">
        <f>'Def and Prop Tech_Qtr'!U16</f>
        <v>-7843</v>
      </c>
      <c r="U16" s="176">
        <f>'Def and Prop Tech_Qtr'!Z16</f>
        <v>-8658</v>
      </c>
      <c r="V16" s="176">
        <f>'Def and Prop Tech_Qtr'!AE16</f>
        <v>-7563</v>
      </c>
      <c r="W16" s="176">
        <f>'Def and Prop Tech_Qtr'!AJ16</f>
        <v>-6950</v>
      </c>
      <c r="X16" s="176">
        <f>'Def and Prop Tech_Qtr'!AO16</f>
        <v>-7385</v>
      </c>
      <c r="Y16" s="176">
        <f>'Def and Prop Tech_Qtr'!AT16</f>
        <v>-8053</v>
      </c>
      <c r="Z16" s="176">
        <f>'Def and Prop Tech_Qtr'!AY16</f>
        <v>-8417</v>
      </c>
      <c r="AA16" s="176">
        <f>'Def and Prop Tech_Qtr'!BD16</f>
        <v>-9258</v>
      </c>
      <c r="AB16" s="176">
        <f>'Def and Prop Tech_Qtr'!BI16</f>
        <v>-11894.858180000001</v>
      </c>
      <c r="AC16" s="27">
        <f>+-AC9+AC19</f>
        <v>-12454.885655999999</v>
      </c>
      <c r="AD16" s="27">
        <f>+-AD9+AD19</f>
        <v>-12996.90993987</v>
      </c>
      <c r="AE16" s="27">
        <f>+-AE9+AE19</f>
        <v>-13562.693010991803</v>
      </c>
      <c r="AF16" s="27">
        <f>+-AF9+AF19</f>
        <v>-14194.022731921425</v>
      </c>
    </row>
    <row r="17" spans="1:32">
      <c r="A17" s="1" t="s">
        <v>4</v>
      </c>
      <c r="B17" s="181"/>
      <c r="C17" s="181"/>
      <c r="D17" s="181"/>
      <c r="E17" s="181"/>
      <c r="F17" s="181"/>
      <c r="G17" s="181"/>
      <c r="H17" s="181"/>
      <c r="I17" s="181"/>
      <c r="J17" s="181"/>
      <c r="K17" s="181"/>
      <c r="L17" s="181"/>
      <c r="M17" s="181"/>
      <c r="N17" s="181"/>
      <c r="O17" s="181"/>
      <c r="P17" s="181"/>
      <c r="Q17" s="175"/>
      <c r="R17" s="175"/>
      <c r="S17" s="175" t="e">
        <f>'Def and Prop Tech_Qtr'!P17</f>
        <v>#DIV/0!</v>
      </c>
      <c r="T17" s="175">
        <f>'Def and Prop Tech_Qtr'!U17</f>
        <v>7.3648186173853603E-2</v>
      </c>
      <c r="U17" s="175">
        <f>'Def and Prop Tech_Qtr'!Z17</f>
        <v>0.10391431850057375</v>
      </c>
      <c r="V17" s="175">
        <f>'Def and Prop Tech_Qtr'!AE17</f>
        <v>-0.12647262647262647</v>
      </c>
      <c r="W17" s="175">
        <f>'Def and Prop Tech_Qtr'!AJ17</f>
        <v>-8.1052492397196918E-2</v>
      </c>
      <c r="X17" s="175">
        <f>'Def and Prop Tech_Qtr'!AO17</f>
        <v>6.2589928057553923E-2</v>
      </c>
      <c r="Y17" s="304">
        <f>'Def and Prop Tech_Qtr'!AT17</f>
        <v>9.0453622207176787E-2</v>
      </c>
      <c r="Z17" s="304">
        <f>'Def and Prop Tech_Qtr'!AY17</f>
        <v>4.5200546380230966E-2</v>
      </c>
      <c r="AA17" s="304">
        <f>'Def and Prop Tech_Qtr'!BD17</f>
        <v>9.991683497683268E-2</v>
      </c>
      <c r="AB17" s="304">
        <f>'Def and Prop Tech_Qtr'!BI17</f>
        <v>0.28481941888096785</v>
      </c>
      <c r="AC17" s="180">
        <f>AC16/AB16-1</f>
        <v>4.708147567001908E-2</v>
      </c>
      <c r="AD17" s="180">
        <f>AD16/AC16-1</f>
        <v>4.3519009233849326E-2</v>
      </c>
      <c r="AE17" s="180">
        <f>AE16/AD16-1</f>
        <v>4.3532122153603359E-2</v>
      </c>
      <c r="AF17" s="180">
        <f>AF16/AE16-1</f>
        <v>4.6548994393514898E-2</v>
      </c>
    </row>
    <row r="18" spans="1:32">
      <c r="A18" s="1"/>
      <c r="B18" s="181"/>
      <c r="C18" s="181"/>
      <c r="D18" s="181"/>
      <c r="E18" s="181"/>
      <c r="F18" s="181"/>
      <c r="G18" s="181"/>
      <c r="H18" s="181"/>
      <c r="I18" s="181"/>
      <c r="J18" s="181"/>
      <c r="K18" s="181"/>
      <c r="L18" s="181"/>
      <c r="M18" s="181"/>
      <c r="N18" s="181"/>
      <c r="O18" s="181"/>
      <c r="P18" s="181"/>
      <c r="Q18" s="175"/>
      <c r="R18" s="175"/>
      <c r="S18" s="175"/>
      <c r="T18" s="175"/>
      <c r="U18" s="175"/>
      <c r="V18" s="175"/>
      <c r="W18" s="175"/>
      <c r="X18" s="175"/>
      <c r="Y18" s="180"/>
      <c r="Z18" s="180"/>
      <c r="AA18" s="180"/>
      <c r="AB18" s="180"/>
      <c r="AC18" s="180"/>
      <c r="AD18" s="180"/>
      <c r="AE18" s="180"/>
      <c r="AF18" s="180"/>
    </row>
    <row r="19" spans="1:32">
      <c r="A19" s="6" t="s">
        <v>9</v>
      </c>
      <c r="B19" s="29"/>
      <c r="C19" s="29"/>
      <c r="D19" s="29"/>
      <c r="E19" s="29"/>
      <c r="F19" s="29"/>
      <c r="G19" s="29"/>
      <c r="H19" s="29"/>
      <c r="I19" s="29"/>
      <c r="J19" s="29"/>
      <c r="K19" s="29"/>
      <c r="L19" s="29"/>
      <c r="M19" s="29"/>
      <c r="N19" s="29"/>
      <c r="O19" s="29"/>
      <c r="P19" s="29"/>
      <c r="Q19" s="23"/>
      <c r="R19" s="23"/>
      <c r="S19" s="23">
        <f t="shared" ref="S19:AA19" si="0">S9+S16</f>
        <v>0</v>
      </c>
      <c r="T19" s="23">
        <f t="shared" si="0"/>
        <v>0</v>
      </c>
      <c r="U19" s="23">
        <f t="shared" si="0"/>
        <v>0</v>
      </c>
      <c r="V19" s="23">
        <f t="shared" si="0"/>
        <v>0</v>
      </c>
      <c r="W19" s="23">
        <f t="shared" si="0"/>
        <v>0</v>
      </c>
      <c r="X19" s="23">
        <f t="shared" si="0"/>
        <v>0</v>
      </c>
      <c r="Y19" s="23">
        <f t="shared" si="0"/>
        <v>908</v>
      </c>
      <c r="Z19" s="23">
        <f t="shared" si="0"/>
        <v>1061</v>
      </c>
      <c r="AA19" s="23">
        <f t="shared" si="0"/>
        <v>1296</v>
      </c>
      <c r="AB19" s="23">
        <f t="shared" ref="AB19" si="1">AB9+AB16</f>
        <v>1691.5018199999995</v>
      </c>
      <c r="AC19" s="23">
        <f>AC13*AC21</f>
        <v>1763.0203439999998</v>
      </c>
      <c r="AD19" s="23">
        <f t="shared" ref="AD19:AF19" si="2">AD13*AD21</f>
        <v>1882.20848013</v>
      </c>
      <c r="AE19" s="23">
        <f t="shared" si="2"/>
        <v>2008.7111348082003</v>
      </c>
      <c r="AF19" s="23">
        <f t="shared" si="2"/>
        <v>2102.2146181605785</v>
      </c>
    </row>
    <row r="20" spans="1:32">
      <c r="A20" s="1" t="s">
        <v>4</v>
      </c>
      <c r="B20" s="35"/>
      <c r="C20" s="35"/>
      <c r="D20" s="35"/>
      <c r="E20" s="35"/>
      <c r="F20" s="35"/>
      <c r="G20" s="35"/>
      <c r="H20" s="35"/>
      <c r="I20" s="35"/>
      <c r="J20" s="35"/>
      <c r="K20" s="35"/>
      <c r="L20" s="35"/>
      <c r="M20" s="181"/>
      <c r="N20" s="35"/>
      <c r="O20" s="35"/>
      <c r="P20" s="35"/>
      <c r="Q20" s="175"/>
      <c r="R20" s="175"/>
      <c r="S20" s="175" t="e">
        <f>'Def and Prop Tech_Qtr'!P20</f>
        <v>#DIV/0!</v>
      </c>
      <c r="T20" s="175" t="e">
        <f>'Def and Prop Tech_Qtr'!U20</f>
        <v>#DIV/0!</v>
      </c>
      <c r="U20" s="175" t="e">
        <f>'Def and Prop Tech_Qtr'!Z20</f>
        <v>#DIV/0!</v>
      </c>
      <c r="V20" s="175" t="e">
        <f>'Def and Prop Tech_Qtr'!AE20</f>
        <v>#DIV/0!</v>
      </c>
      <c r="W20" s="175" t="e">
        <f>'Def and Prop Tech_Qtr'!AJ20</f>
        <v>#DIV/0!</v>
      </c>
      <c r="X20" s="175" t="e">
        <f>'Def and Prop Tech_Qtr'!AO20</f>
        <v>#DIV/0!</v>
      </c>
      <c r="Y20" s="164" t="e">
        <f>'Def and Prop Tech_Qtr'!AT20</f>
        <v>#DIV/0!</v>
      </c>
      <c r="Z20" s="164">
        <f>'Def and Prop Tech_Qtr'!AY20</f>
        <v>0.16850220264317173</v>
      </c>
      <c r="AA20" s="164">
        <f>'Def and Prop Tech_Qtr'!BD20</f>
        <v>0.22148916116870887</v>
      </c>
      <c r="AB20" s="164">
        <f>'Def and Prop Tech_Qtr'!BI20</f>
        <v>0.30517115740740763</v>
      </c>
      <c r="AC20" s="35">
        <f>AC19/AB19-1</f>
        <v>4.2281080135048388E-2</v>
      </c>
      <c r="AD20" s="35">
        <f>AD19/AC19-1</f>
        <v>6.7604515475744309E-2</v>
      </c>
      <c r="AE20" s="35">
        <f>AE19/AD19-1</f>
        <v>6.7209693301064632E-2</v>
      </c>
      <c r="AF20" s="35">
        <f>AF19/AE19-1</f>
        <v>4.654899439351512E-2</v>
      </c>
    </row>
    <row r="21" spans="1:32">
      <c r="A21" s="1" t="s">
        <v>175</v>
      </c>
      <c r="B21" s="35"/>
      <c r="C21" s="35"/>
      <c r="D21" s="35"/>
      <c r="E21" s="35"/>
      <c r="F21" s="35"/>
      <c r="G21" s="35"/>
      <c r="H21" s="35"/>
      <c r="I21" s="35"/>
      <c r="J21" s="35"/>
      <c r="K21" s="35"/>
      <c r="L21" s="35"/>
      <c r="M21" s="35"/>
      <c r="N21" s="35"/>
      <c r="O21" s="35"/>
      <c r="P21" s="35"/>
      <c r="Q21" s="175"/>
      <c r="R21" s="175"/>
      <c r="S21" s="175">
        <f>'Def and Prop Tech_Qtr'!P21</f>
        <v>0</v>
      </c>
      <c r="T21" s="175">
        <f>'Def and Prop Tech_Qtr'!U21</f>
        <v>0</v>
      </c>
      <c r="U21" s="175">
        <f>'Def and Prop Tech_Qtr'!Z21</f>
        <v>0</v>
      </c>
      <c r="V21" s="175">
        <f>'Def and Prop Tech_Qtr'!AE21</f>
        <v>0</v>
      </c>
      <c r="W21" s="175">
        <f>'Def and Prop Tech_Qtr'!AJ21</f>
        <v>0</v>
      </c>
      <c r="X21" s="175">
        <f>'Def and Prop Tech_Qtr'!AO21</f>
        <v>0</v>
      </c>
      <c r="Y21" s="164">
        <f>'Def and Prop Tech_Qtr'!AT21</f>
        <v>0.10132797678830488</v>
      </c>
      <c r="Z21" s="164">
        <f>'Def and Prop Tech_Qtr'!AY21</f>
        <v>0.11194344798480692</v>
      </c>
      <c r="AA21" s="164">
        <f>'Def and Prop Tech_Qtr'!BD21</f>
        <v>0.12279704377487209</v>
      </c>
      <c r="AB21" s="164">
        <f>'Def and Prop Tech_Qtr'!BI21</f>
        <v>0.1245</v>
      </c>
      <c r="AC21" s="196">
        <v>0.124</v>
      </c>
      <c r="AD21" s="196">
        <v>0.1265</v>
      </c>
      <c r="AE21" s="196">
        <v>0.129</v>
      </c>
      <c r="AF21" s="196">
        <v>0.129</v>
      </c>
    </row>
    <row r="22" spans="1:32">
      <c r="A22" s="1"/>
      <c r="B22" s="181"/>
      <c r="C22" s="181"/>
      <c r="D22" s="181"/>
      <c r="E22" s="181"/>
      <c r="F22" s="181"/>
      <c r="G22" s="181"/>
      <c r="H22" s="181"/>
      <c r="I22" s="181"/>
      <c r="J22" s="181"/>
      <c r="K22" s="181"/>
      <c r="L22" s="181"/>
      <c r="M22" s="181"/>
      <c r="N22" s="181"/>
      <c r="O22" s="181"/>
      <c r="P22" s="181"/>
      <c r="Q22" s="175"/>
      <c r="R22" s="175"/>
      <c r="S22" s="175"/>
      <c r="T22" s="175"/>
      <c r="U22" s="175"/>
      <c r="V22" s="175"/>
      <c r="W22" s="175"/>
      <c r="X22" s="175"/>
      <c r="Y22" s="304"/>
      <c r="Z22" s="304"/>
      <c r="AA22" s="304"/>
      <c r="AB22" s="304"/>
      <c r="AC22" s="180"/>
      <c r="AD22" s="180"/>
      <c r="AE22" s="180"/>
      <c r="AF22" s="180"/>
    </row>
    <row r="23" spans="1:32">
      <c r="A23" s="7" t="s">
        <v>200</v>
      </c>
      <c r="B23" s="181"/>
      <c r="C23" s="181"/>
      <c r="D23" s="181"/>
      <c r="E23" s="181"/>
      <c r="F23" s="181"/>
      <c r="G23" s="181"/>
      <c r="H23" s="181"/>
      <c r="I23" s="181"/>
      <c r="J23" s="181"/>
      <c r="K23" s="181"/>
      <c r="L23" s="181"/>
      <c r="M23" s="42"/>
      <c r="N23" s="42"/>
      <c r="O23" s="42"/>
      <c r="P23" s="42"/>
      <c r="Q23" s="174"/>
      <c r="R23" s="174"/>
      <c r="S23" s="174">
        <f>'Def and Prop Tech_Qtr'!P23</f>
        <v>0</v>
      </c>
      <c r="T23" s="174">
        <f>'Def and Prop Tech_Qtr'!U23</f>
        <v>0</v>
      </c>
      <c r="U23" s="174">
        <f>'Def and Prop Tech_Qtr'!Z23</f>
        <v>0</v>
      </c>
      <c r="V23" s="174">
        <f>'Def and Prop Tech_Qtr'!AE23</f>
        <v>0</v>
      </c>
      <c r="W23" s="174">
        <f>'Def and Prop Tech_Qtr'!AJ23</f>
        <v>0</v>
      </c>
      <c r="X23" s="174">
        <f>'Def and Prop Tech_Qtr'!AO23</f>
        <v>0</v>
      </c>
      <c r="Y23" s="303">
        <f>'Def and Prop Tech_Qtr'!AT23</f>
        <v>0</v>
      </c>
      <c r="Z23" s="303">
        <f>'Def and Prop Tech_Qtr'!AY23</f>
        <v>0</v>
      </c>
      <c r="AA23" s="303">
        <f>'Def and Prop Tech_Qtr'!BD23</f>
        <v>0</v>
      </c>
      <c r="AB23" s="303">
        <f>'Def and Prop Tech_Qtr'!BI23</f>
        <v>0</v>
      </c>
      <c r="AC23" s="256">
        <v>0</v>
      </c>
      <c r="AD23" s="256">
        <v>0</v>
      </c>
      <c r="AE23" s="256">
        <v>0</v>
      </c>
      <c r="AF23" s="256">
        <v>0</v>
      </c>
    </row>
    <row r="24" spans="1:32">
      <c r="A24" s="7" t="s">
        <v>203</v>
      </c>
      <c r="B24" s="19"/>
      <c r="C24" s="19"/>
      <c r="D24" s="19"/>
      <c r="E24" s="19"/>
      <c r="F24" s="19"/>
      <c r="G24" s="19"/>
      <c r="H24" s="19"/>
      <c r="I24" s="19"/>
      <c r="J24" s="19"/>
      <c r="K24" s="19"/>
      <c r="L24" s="19"/>
      <c r="M24" s="42"/>
      <c r="N24" s="42"/>
      <c r="O24" s="42"/>
      <c r="P24" s="42"/>
      <c r="Q24" s="174"/>
      <c r="R24" s="174"/>
      <c r="S24" s="174">
        <f>'Def and Prop Tech_Qtr'!P24</f>
        <v>0</v>
      </c>
      <c r="T24" s="174">
        <f>'Def and Prop Tech_Qtr'!U24</f>
        <v>0</v>
      </c>
      <c r="U24" s="174">
        <f>'Def and Prop Tech_Qtr'!Z24</f>
        <v>0</v>
      </c>
      <c r="V24" s="174">
        <f>'Def and Prop Tech_Qtr'!AE24</f>
        <v>0</v>
      </c>
      <c r="W24" s="174">
        <f>'Def and Prop Tech_Qtr'!AJ24</f>
        <v>0</v>
      </c>
      <c r="X24" s="174">
        <f>'Def and Prop Tech_Qtr'!AO24</f>
        <v>0</v>
      </c>
      <c r="Y24" s="303">
        <f>'Def and Prop Tech_Qtr'!AT24</f>
        <v>0</v>
      </c>
      <c r="Z24" s="303">
        <f>'Def and Prop Tech_Qtr'!AY24</f>
        <v>0</v>
      </c>
      <c r="AA24" s="303">
        <f>'Def and Prop Tech_Qtr'!BD24</f>
        <v>0</v>
      </c>
      <c r="AB24" s="303">
        <f>'Def and Prop Tech_Qtr'!BI24</f>
        <v>0</v>
      </c>
      <c r="AC24" s="256">
        <v>0</v>
      </c>
      <c r="AD24" s="256">
        <v>0</v>
      </c>
      <c r="AE24" s="256">
        <v>0</v>
      </c>
      <c r="AF24" s="256">
        <v>0</v>
      </c>
    </row>
    <row r="25" spans="1:32">
      <c r="A25" s="1"/>
      <c r="B25" s="37"/>
      <c r="C25" s="37"/>
      <c r="D25" s="37"/>
      <c r="E25" s="37"/>
      <c r="F25" s="37"/>
      <c r="G25" s="37"/>
      <c r="H25" s="37"/>
      <c r="I25" s="37"/>
      <c r="J25" s="37"/>
      <c r="K25" s="37"/>
      <c r="L25" s="37"/>
      <c r="M25" s="37"/>
      <c r="N25" s="37"/>
      <c r="O25" s="37"/>
      <c r="P25" s="37"/>
      <c r="Q25" s="37"/>
      <c r="R25" s="37"/>
      <c r="S25" s="37"/>
      <c r="T25" s="37"/>
      <c r="U25" s="37"/>
      <c r="V25" s="37"/>
      <c r="W25" s="37"/>
      <c r="X25" s="37"/>
      <c r="Y25" s="179"/>
      <c r="Z25" s="179"/>
      <c r="AA25" s="179"/>
      <c r="AB25" s="179"/>
      <c r="AC25" s="179"/>
      <c r="AD25" s="179"/>
      <c r="AE25" s="179"/>
      <c r="AF25" s="179"/>
    </row>
    <row r="26" spans="1:32">
      <c r="A26" s="6" t="s">
        <v>173</v>
      </c>
      <c r="B26" s="23"/>
      <c r="C26" s="23"/>
      <c r="D26" s="23"/>
      <c r="E26" s="23"/>
      <c r="F26" s="23"/>
      <c r="G26" s="23"/>
      <c r="H26" s="23"/>
      <c r="I26" s="23"/>
      <c r="J26" s="23"/>
      <c r="K26" s="23"/>
      <c r="L26" s="23"/>
      <c r="M26" s="23"/>
      <c r="N26" s="23"/>
      <c r="O26" s="23"/>
      <c r="P26" s="23"/>
      <c r="Q26" s="23"/>
      <c r="R26" s="23"/>
      <c r="S26" s="23">
        <f t="shared" ref="S26:AA26" si="3">S19+S24+S23</f>
        <v>0</v>
      </c>
      <c r="T26" s="23">
        <f t="shared" si="3"/>
        <v>0</v>
      </c>
      <c r="U26" s="23">
        <f t="shared" si="3"/>
        <v>0</v>
      </c>
      <c r="V26" s="23">
        <f t="shared" si="3"/>
        <v>0</v>
      </c>
      <c r="W26" s="23">
        <f t="shared" si="3"/>
        <v>0</v>
      </c>
      <c r="X26" s="23">
        <f t="shared" si="3"/>
        <v>0</v>
      </c>
      <c r="Y26" s="23">
        <f t="shared" si="3"/>
        <v>908</v>
      </c>
      <c r="Z26" s="23">
        <f t="shared" si="3"/>
        <v>1061</v>
      </c>
      <c r="AA26" s="23">
        <f t="shared" si="3"/>
        <v>1296</v>
      </c>
      <c r="AB26" s="23">
        <f t="shared" ref="AB26" si="4">AB19+AB24+AB23</f>
        <v>1691.5018199999995</v>
      </c>
      <c r="AC26" s="177">
        <f>AC19+AC23+AC24</f>
        <v>1763.0203439999998</v>
      </c>
      <c r="AD26" s="177">
        <f t="shared" ref="AD26:AF26" si="5">AD19+AD23+AD24</f>
        <v>1882.20848013</v>
      </c>
      <c r="AE26" s="177">
        <f t="shared" si="5"/>
        <v>2008.7111348082003</v>
      </c>
      <c r="AF26" s="177">
        <f t="shared" si="5"/>
        <v>2102.2146181605785</v>
      </c>
    </row>
    <row r="27" spans="1:32">
      <c r="A27" s="1" t="s">
        <v>4</v>
      </c>
      <c r="B27" s="181"/>
      <c r="C27" s="181"/>
      <c r="D27" s="181"/>
      <c r="E27" s="181"/>
      <c r="F27" s="181"/>
      <c r="G27" s="181"/>
      <c r="H27" s="181"/>
      <c r="I27" s="181"/>
      <c r="J27" s="181"/>
      <c r="K27" s="181"/>
      <c r="L27" s="181"/>
      <c r="M27" s="181"/>
      <c r="N27" s="181"/>
      <c r="O27" s="181"/>
      <c r="P27" s="181"/>
      <c r="Q27" s="175"/>
      <c r="R27" s="175"/>
      <c r="S27" s="175">
        <f>'Def and Prop Tech_Qtr'!P27</f>
        <v>0</v>
      </c>
      <c r="T27" s="175">
        <f>'Def and Prop Tech_Qtr'!U27</f>
        <v>0</v>
      </c>
      <c r="U27" s="175">
        <f>'Def and Prop Tech_Qtr'!Z27</f>
        <v>0</v>
      </c>
      <c r="V27" s="175">
        <f>'Def and Prop Tech_Qtr'!AE27</f>
        <v>0</v>
      </c>
      <c r="W27" s="175" t="e">
        <f>'Def and Prop Tech_Qtr'!AJ28</f>
        <v>#DIV/0!</v>
      </c>
      <c r="X27" s="175" t="e">
        <f>'Def and Prop Tech_Qtr'!AO28</f>
        <v>#DIV/0!</v>
      </c>
      <c r="Y27" s="304" t="e">
        <f>'Def and Prop Tech_Qtr'!AT28</f>
        <v>#DIV/0!</v>
      </c>
      <c r="Z27" s="304">
        <f>'Def and Prop Tech_Qtr'!AY28</f>
        <v>0.16850220264317173</v>
      </c>
      <c r="AA27" s="304">
        <f>'Def and Prop Tech_Qtr'!BD28</f>
        <v>0.22148916116870887</v>
      </c>
      <c r="AB27" s="304">
        <f>'Def and Prop Tech_Qtr'!BI28</f>
        <v>0.30517115740740763</v>
      </c>
      <c r="AC27" s="180">
        <f>AC26/AB26-1</f>
        <v>4.2281080135048388E-2</v>
      </c>
      <c r="AD27" s="180">
        <f>AD26/AC26-1</f>
        <v>6.7604515475744309E-2</v>
      </c>
      <c r="AE27" s="180">
        <f>AE26/AD26-1</f>
        <v>6.7209693301064632E-2</v>
      </c>
      <c r="AF27" s="180">
        <f>AF26/AE26-1</f>
        <v>4.654899439351512E-2</v>
      </c>
    </row>
    <row r="28" spans="1:32">
      <c r="B28" s="37"/>
      <c r="C28" s="37"/>
      <c r="D28" s="37"/>
      <c r="E28" s="37"/>
      <c r="F28" s="37"/>
      <c r="G28" s="37"/>
      <c r="H28" s="37"/>
      <c r="I28" s="37"/>
      <c r="J28" s="37"/>
      <c r="K28" s="37"/>
      <c r="L28" s="37"/>
      <c r="M28" s="37"/>
      <c r="N28" s="37"/>
      <c r="O28" s="37"/>
      <c r="P28" s="37"/>
      <c r="Q28" s="37"/>
      <c r="R28" s="37"/>
      <c r="S28" s="37"/>
      <c r="T28" s="37"/>
      <c r="U28" s="37"/>
      <c r="V28" s="37"/>
      <c r="W28" s="260"/>
      <c r="X28" s="260"/>
      <c r="Y28" s="260"/>
      <c r="Z28" s="260"/>
      <c r="AA28" s="260"/>
      <c r="AB28" s="260"/>
      <c r="AC28" s="260"/>
      <c r="AD28" s="260"/>
      <c r="AE28" s="260"/>
      <c r="AF28" s="260"/>
    </row>
    <row r="29" spans="1:32">
      <c r="A29" s="6" t="s">
        <v>174</v>
      </c>
      <c r="B29" s="109"/>
      <c r="C29" s="109"/>
      <c r="D29" s="109"/>
      <c r="E29" s="109"/>
      <c r="F29" s="109"/>
      <c r="G29" s="109"/>
      <c r="H29" s="109"/>
      <c r="I29" s="109"/>
      <c r="J29" s="109"/>
      <c r="K29" s="109"/>
      <c r="L29" s="109"/>
      <c r="M29" s="109"/>
      <c r="N29" s="109"/>
      <c r="O29" s="109"/>
      <c r="P29" s="109"/>
      <c r="Q29" s="109"/>
      <c r="R29" s="109"/>
      <c r="S29" s="109">
        <f t="shared" ref="S29:AE29" si="6">+S26/S13</f>
        <v>0</v>
      </c>
      <c r="T29" s="109">
        <f t="shared" si="6"/>
        <v>0</v>
      </c>
      <c r="U29" s="109">
        <f t="shared" si="6"/>
        <v>0</v>
      </c>
      <c r="V29" s="109">
        <f t="shared" si="6"/>
        <v>0</v>
      </c>
      <c r="W29" s="109">
        <f t="shared" si="6"/>
        <v>0</v>
      </c>
      <c r="X29" s="109">
        <f t="shared" si="6"/>
        <v>0</v>
      </c>
      <c r="Y29" s="109">
        <f t="shared" si="6"/>
        <v>0.10132797678830488</v>
      </c>
      <c r="Z29" s="109">
        <f t="shared" si="6"/>
        <v>0.11194344798480692</v>
      </c>
      <c r="AA29" s="109">
        <f>+AA26/AA13</f>
        <v>0.12279704377487209</v>
      </c>
      <c r="AB29" s="109">
        <f>+AB26/AB13</f>
        <v>0.12449999999999996</v>
      </c>
      <c r="AC29" s="109">
        <f t="shared" si="6"/>
        <v>0.124</v>
      </c>
      <c r="AD29" s="109">
        <f t="shared" si="6"/>
        <v>0.1265</v>
      </c>
      <c r="AE29" s="109">
        <f t="shared" si="6"/>
        <v>0.129</v>
      </c>
      <c r="AF29" s="109">
        <f t="shared" ref="AF29" si="7">+AF26/AF13</f>
        <v>0.129</v>
      </c>
    </row>
    <row r="30" spans="1:32">
      <c r="A30" s="1" t="s">
        <v>4</v>
      </c>
      <c r="B30" s="181"/>
      <c r="C30" s="181"/>
      <c r="D30" s="181"/>
      <c r="E30" s="181"/>
      <c r="F30" s="181"/>
      <c r="G30" s="181"/>
      <c r="H30" s="181"/>
      <c r="I30" s="181"/>
      <c r="J30" s="181"/>
      <c r="K30" s="181"/>
      <c r="L30" s="181"/>
      <c r="M30" s="181"/>
      <c r="N30" s="181"/>
      <c r="O30" s="181"/>
      <c r="P30" s="181"/>
      <c r="Q30" s="175"/>
      <c r="R30" s="175"/>
      <c r="S30" s="175">
        <f>'Def and Prop Tech_Qtr'!P30</f>
        <v>0</v>
      </c>
      <c r="T30" s="175">
        <f>'Def and Prop Tech_Qtr'!U30</f>
        <v>0</v>
      </c>
      <c r="U30" s="175">
        <f>'Def and Prop Tech_Qtr'!Z30</f>
        <v>0</v>
      </c>
      <c r="V30" s="175">
        <f>'Def and Prop Tech_Qtr'!AE30</f>
        <v>0</v>
      </c>
      <c r="W30" s="175">
        <f>'Def and Prop Tech_Qtr'!AJ30</f>
        <v>0</v>
      </c>
      <c r="X30" s="175">
        <f>'Def and Prop Tech_Qtr'!AO30</f>
        <v>0</v>
      </c>
      <c r="Y30" s="304">
        <f>'Def and Prop Tech_Qtr'!AT30</f>
        <v>0.10132797678830488</v>
      </c>
      <c r="Z30" s="304">
        <f>'Def and Prop Tech_Qtr'!AY30</f>
        <v>0.11194344798480692</v>
      </c>
      <c r="AA30" s="304">
        <f>'Def and Prop Tech_Qtr'!BD30</f>
        <v>0.12279704377487209</v>
      </c>
      <c r="AB30" s="304">
        <f>'Def and Prop Tech_Qtr'!BI30</f>
        <v>0.12450000000000001</v>
      </c>
      <c r="AC30" s="180">
        <f>AC29/AB29-1</f>
        <v>-4.0160642570278293E-3</v>
      </c>
      <c r="AD30" s="180">
        <f>AD29/AC29-1</f>
        <v>2.0161290322580738E-2</v>
      </c>
      <c r="AE30" s="180">
        <f>AE29/AD29-1</f>
        <v>1.9762845849802479E-2</v>
      </c>
      <c r="AF30" s="180">
        <f>AF29/AE29-1</f>
        <v>0</v>
      </c>
    </row>
    <row r="31" spans="1:32">
      <c r="A31" t="s">
        <v>219</v>
      </c>
      <c r="B31" s="24"/>
      <c r="C31" s="24"/>
      <c r="D31" s="24"/>
      <c r="E31" s="24"/>
      <c r="F31" s="24"/>
      <c r="G31" s="24"/>
      <c r="H31" s="24"/>
      <c r="I31" s="24"/>
      <c r="J31" s="24"/>
      <c r="K31" s="24"/>
      <c r="L31" s="37"/>
      <c r="M31" s="37"/>
      <c r="N31" s="319"/>
      <c r="O31" s="319"/>
      <c r="P31" s="319"/>
      <c r="Q31" s="319"/>
      <c r="R31" s="319"/>
      <c r="S31" s="319">
        <f t="shared" ref="S31:AB31" si="8">(S26-R26)/(S13-R13)</f>
        <v>0</v>
      </c>
      <c r="T31" s="319">
        <f t="shared" si="8"/>
        <v>0</v>
      </c>
      <c r="U31" s="319">
        <f t="shared" si="8"/>
        <v>0</v>
      </c>
      <c r="V31" s="319">
        <f t="shared" si="8"/>
        <v>0</v>
      </c>
      <c r="W31" s="319">
        <f t="shared" si="8"/>
        <v>0</v>
      </c>
      <c r="X31" s="319">
        <f t="shared" si="8"/>
        <v>0</v>
      </c>
      <c r="Y31" s="320">
        <f t="shared" si="8"/>
        <v>0.57614213197969544</v>
      </c>
      <c r="Z31" s="320">
        <f t="shared" si="8"/>
        <v>0.29593810444874274</v>
      </c>
      <c r="AA31" s="320">
        <f t="shared" si="8"/>
        <v>0.21840148698884759</v>
      </c>
      <c r="AB31" s="320">
        <f t="shared" si="8"/>
        <v>0.13042706670711901</v>
      </c>
      <c r="AC31" s="320">
        <f t="shared" ref="AC31" si="9">(AC26-AB26)/(AC13-AB13)</f>
        <v>0.11324357053959723</v>
      </c>
      <c r="AD31" s="320">
        <f t="shared" ref="AD31" si="10">(AD26-AC26)/(AD13-AC13)</f>
        <v>0.1802569530227516</v>
      </c>
      <c r="AE31" s="320">
        <f t="shared" ref="AE31" si="11">(AE26-AD26)/(AE13-AD13)</f>
        <v>0.18273185472951134</v>
      </c>
      <c r="AF31" s="320">
        <f t="shared" ref="AF31" si="12">(AF26-AE26)/(AF13-AE13)</f>
        <v>0.12900000000000028</v>
      </c>
    </row>
    <row r="32" spans="1:32">
      <c r="A32" s="1"/>
      <c r="B32" s="21"/>
      <c r="C32" s="21"/>
      <c r="D32" s="21"/>
      <c r="E32" s="21"/>
      <c r="F32" s="21"/>
      <c r="G32" s="21"/>
      <c r="H32" s="21"/>
      <c r="I32" s="21"/>
      <c r="J32" s="21"/>
      <c r="K32" s="21"/>
      <c r="L32" s="21"/>
      <c r="M32" s="21"/>
      <c r="N32" s="21"/>
      <c r="O32" s="21"/>
      <c r="P32" s="21"/>
      <c r="Q32" s="21"/>
      <c r="R32" s="21"/>
      <c r="S32" s="21"/>
      <c r="T32" s="21"/>
      <c r="U32" s="21"/>
      <c r="V32" s="21"/>
      <c r="W32" s="21"/>
      <c r="X32" s="35"/>
      <c r="Y32" s="35"/>
      <c r="Z32" s="35"/>
      <c r="AA32" s="35"/>
      <c r="AB32" s="35"/>
      <c r="AC32" s="35"/>
      <c r="AD32" s="35"/>
      <c r="AE32" s="35"/>
      <c r="AF32" s="35"/>
    </row>
    <row r="33" spans="1:38">
      <c r="A33" s="12" t="s">
        <v>301</v>
      </c>
      <c r="B33" s="21"/>
      <c r="C33" s="21"/>
      <c r="D33" s="21"/>
      <c r="E33" s="21"/>
      <c r="F33" s="21"/>
      <c r="G33" s="21"/>
      <c r="H33" s="21"/>
      <c r="I33" s="21"/>
      <c r="J33" s="21"/>
      <c r="K33" s="21"/>
      <c r="L33" s="21"/>
      <c r="M33" s="21"/>
      <c r="N33" s="21"/>
      <c r="O33" s="21"/>
      <c r="P33" s="21"/>
      <c r="Q33" s="21"/>
      <c r="R33" s="21"/>
      <c r="S33" s="21"/>
      <c r="T33" s="21"/>
      <c r="U33" s="21"/>
      <c r="V33" s="21"/>
      <c r="W33" s="21"/>
      <c r="X33" s="35"/>
      <c r="Y33" s="35"/>
      <c r="Z33" s="35"/>
      <c r="AA33" s="35"/>
      <c r="AB33" s="35"/>
      <c r="AC33" s="35"/>
      <c r="AD33" s="35"/>
      <c r="AE33" s="35"/>
      <c r="AF33" s="35"/>
    </row>
    <row r="34" spans="1:38">
      <c r="A34" s="1" t="s">
        <v>296</v>
      </c>
      <c r="B34" s="21"/>
      <c r="C34" s="21"/>
      <c r="D34" s="21"/>
      <c r="E34" s="21"/>
      <c r="F34" s="21"/>
      <c r="G34" s="21"/>
      <c r="H34" s="21"/>
      <c r="I34" s="21"/>
      <c r="J34" s="21"/>
      <c r="K34" s="21"/>
      <c r="L34" s="21"/>
      <c r="M34" s="21"/>
      <c r="N34" s="21"/>
      <c r="O34" s="21"/>
      <c r="P34" s="21"/>
      <c r="Q34" s="21"/>
      <c r="R34" s="21"/>
      <c r="S34" s="21">
        <f>'Def and Prop Tech_Qtr'!P34</f>
        <v>0</v>
      </c>
      <c r="T34" s="21">
        <f>'Def and Prop Tech_Qtr'!U34</f>
        <v>0</v>
      </c>
      <c r="U34" s="21">
        <f>'Def and Prop Tech_Qtr'!Z34</f>
        <v>0</v>
      </c>
      <c r="V34" s="21">
        <f>'Def and Prop Tech_Qtr'!AE34</f>
        <v>0</v>
      </c>
      <c r="W34" s="21">
        <f>'Def and Prop Tech_Qtr'!AJ34</f>
        <v>0</v>
      </c>
      <c r="X34" s="21">
        <f>'Def and Prop Tech_Qtr'!AO34</f>
        <v>0</v>
      </c>
      <c r="Y34" s="21"/>
      <c r="Z34" s="21"/>
      <c r="AA34" s="21"/>
      <c r="AB34" s="21"/>
      <c r="AC34" s="21"/>
      <c r="AD34" s="21"/>
      <c r="AE34" s="21"/>
      <c r="AF34" s="21"/>
    </row>
    <row r="35" spans="1:38">
      <c r="A35" s="227" t="s">
        <v>4</v>
      </c>
      <c r="B35" s="21"/>
      <c r="C35" s="21"/>
      <c r="D35" s="21"/>
      <c r="E35" s="21"/>
      <c r="F35" s="21"/>
      <c r="G35" s="21"/>
      <c r="H35" s="21"/>
      <c r="I35" s="21"/>
      <c r="J35" s="21"/>
      <c r="K35" s="21"/>
      <c r="L35" s="21"/>
      <c r="M35" s="21"/>
      <c r="N35" s="21"/>
      <c r="O35" s="21"/>
      <c r="P35" s="21"/>
      <c r="Q35" s="265"/>
      <c r="R35" s="265"/>
      <c r="S35" s="265">
        <f>'Def and Prop Tech_Qtr'!H35</f>
        <v>0</v>
      </c>
      <c r="T35" s="265">
        <f>'Def and Prop Tech_Qtr'!I35</f>
        <v>0</v>
      </c>
      <c r="U35" s="265">
        <f>'Def and Prop Tech_Qtr'!J35</f>
        <v>0</v>
      </c>
      <c r="V35" s="265">
        <f>'Def and Prop Tech_Qtr'!K35</f>
        <v>0</v>
      </c>
      <c r="W35" s="265">
        <f>'Def and Prop Tech_Qtr'!L35</f>
        <v>0</v>
      </c>
      <c r="X35" s="265">
        <f>'Def and Prop Tech_Qtr'!M35</f>
        <v>0</v>
      </c>
      <c r="Y35" s="35"/>
      <c r="Z35" s="35"/>
      <c r="AA35" s="35"/>
      <c r="AB35" s="35"/>
      <c r="AC35" s="35"/>
      <c r="AD35" s="35"/>
      <c r="AE35" s="35"/>
      <c r="AF35" s="35"/>
    </row>
    <row r="36" spans="1:38">
      <c r="A36" s="227"/>
      <c r="B36" s="21"/>
      <c r="C36" s="21"/>
      <c r="D36" s="21"/>
      <c r="E36" s="21"/>
      <c r="F36" s="21"/>
      <c r="G36" s="21"/>
      <c r="H36" s="21"/>
      <c r="I36" s="21"/>
      <c r="J36" s="21"/>
      <c r="K36" s="21"/>
      <c r="L36" s="21"/>
      <c r="M36" s="21"/>
      <c r="N36" s="21"/>
      <c r="O36" s="21"/>
      <c r="P36" s="21"/>
      <c r="Q36" s="21"/>
      <c r="R36" s="21"/>
      <c r="S36" s="21"/>
      <c r="T36" s="21"/>
      <c r="U36" s="21"/>
      <c r="V36" s="21"/>
      <c r="W36" s="21"/>
      <c r="X36" s="35"/>
      <c r="Y36" s="35"/>
      <c r="Z36" s="35"/>
      <c r="AA36" s="35"/>
      <c r="AB36" s="35"/>
      <c r="AC36" s="35"/>
      <c r="AD36" s="35"/>
      <c r="AE36" s="35"/>
      <c r="AF36" s="35"/>
    </row>
    <row r="37" spans="1:38">
      <c r="A37" s="1" t="s">
        <v>2</v>
      </c>
      <c r="B37" s="21"/>
      <c r="C37" s="21"/>
      <c r="D37" s="21"/>
      <c r="E37" s="21"/>
      <c r="F37" s="21"/>
      <c r="G37" s="21"/>
      <c r="H37" s="21"/>
      <c r="I37" s="21"/>
      <c r="J37" s="21"/>
      <c r="K37" s="21"/>
      <c r="L37" s="21"/>
      <c r="M37" s="21"/>
      <c r="N37" s="21"/>
      <c r="O37" s="21"/>
      <c r="P37" s="21"/>
      <c r="Q37" s="21"/>
      <c r="R37" s="21"/>
      <c r="S37" s="21">
        <f>'Def and Prop Tech_Qtr'!P37</f>
        <v>0</v>
      </c>
      <c r="T37" s="21">
        <f>'Def and Prop Tech_Qtr'!U37</f>
        <v>0</v>
      </c>
      <c r="U37" s="21">
        <f>'Def and Prop Tech_Qtr'!Z37</f>
        <v>0</v>
      </c>
      <c r="V37" s="21">
        <f>'Def and Prop Tech_Qtr'!AE37</f>
        <v>0</v>
      </c>
      <c r="W37" s="21">
        <f>'Def and Prop Tech_Qtr'!AJ37</f>
        <v>0</v>
      </c>
      <c r="X37" s="21">
        <f>'Def and Prop Tech_Qtr'!AO37</f>
        <v>0</v>
      </c>
      <c r="Y37" s="35"/>
      <c r="Z37" s="35"/>
      <c r="AA37" s="35"/>
      <c r="AB37" s="35"/>
      <c r="AC37" s="35"/>
      <c r="AD37" s="35"/>
      <c r="AE37" s="35"/>
      <c r="AF37" s="35"/>
    </row>
    <row r="38" spans="1:38">
      <c r="A38" s="227" t="s">
        <v>4</v>
      </c>
      <c r="B38" s="21"/>
      <c r="C38" s="21"/>
      <c r="D38" s="21"/>
      <c r="E38" s="21"/>
      <c r="F38" s="21"/>
      <c r="G38" s="21"/>
      <c r="H38" s="21"/>
      <c r="I38" s="21"/>
      <c r="J38" s="21"/>
      <c r="K38" s="21"/>
      <c r="L38" s="21"/>
      <c r="M38" s="21"/>
      <c r="N38" s="21"/>
      <c r="O38" s="21"/>
      <c r="P38" s="21"/>
      <c r="Q38" s="265"/>
      <c r="R38" s="265"/>
      <c r="S38" s="265">
        <f>'Def and Prop Tech_Qtr'!H38</f>
        <v>0</v>
      </c>
      <c r="T38" s="265">
        <f>'Def and Prop Tech_Qtr'!I38</f>
        <v>0</v>
      </c>
      <c r="U38" s="265">
        <f>'Def and Prop Tech_Qtr'!J38</f>
        <v>0</v>
      </c>
      <c r="V38" s="466">
        <f>'Def and Prop Tech_Qtr'!K38</f>
        <v>0</v>
      </c>
      <c r="W38" s="265">
        <f>'Def and Prop Tech_Qtr'!L38</f>
        <v>0</v>
      </c>
      <c r="X38" s="265">
        <f>'Def and Prop Tech_Qtr'!M38</f>
        <v>0</v>
      </c>
      <c r="Y38" s="35"/>
      <c r="Z38" s="35"/>
      <c r="AA38" s="35"/>
      <c r="AB38" s="35"/>
      <c r="AC38" s="35"/>
      <c r="AD38" s="35"/>
      <c r="AE38" s="35"/>
      <c r="AF38" s="35"/>
    </row>
    <row r="39" spans="1:38">
      <c r="A39" s="1"/>
      <c r="B39" s="21"/>
      <c r="C39" s="21"/>
      <c r="D39" s="21"/>
      <c r="E39" s="21"/>
      <c r="F39" s="21"/>
      <c r="G39" s="21"/>
      <c r="H39" s="21"/>
      <c r="I39" s="21"/>
      <c r="J39" s="21"/>
      <c r="K39" s="21"/>
      <c r="L39" s="21"/>
      <c r="M39" s="21"/>
      <c r="N39" s="21"/>
      <c r="O39" s="21"/>
      <c r="P39" s="21"/>
      <c r="Q39" s="21"/>
      <c r="R39" s="21"/>
      <c r="S39" s="21"/>
      <c r="T39" s="21"/>
      <c r="U39" s="21"/>
      <c r="V39" s="21"/>
      <c r="W39" s="21"/>
      <c r="X39" s="35"/>
      <c r="Y39" s="35"/>
      <c r="Z39" s="35"/>
      <c r="AA39" s="35"/>
      <c r="AB39" s="35"/>
      <c r="AC39" s="35"/>
      <c r="AD39" s="35"/>
      <c r="AE39" s="35"/>
      <c r="AF39" s="35"/>
    </row>
    <row r="40" spans="1:38">
      <c r="A40" s="12" t="s">
        <v>46</v>
      </c>
      <c r="B40" s="221"/>
      <c r="C40" s="21"/>
      <c r="D40" s="21"/>
      <c r="E40" s="21"/>
      <c r="F40" s="21"/>
      <c r="G40" s="21"/>
      <c r="H40" s="21"/>
      <c r="I40" s="21"/>
      <c r="J40" s="21"/>
      <c r="K40" s="21"/>
      <c r="L40" s="21"/>
      <c r="M40" s="21"/>
      <c r="N40" s="21"/>
      <c r="O40" s="21"/>
      <c r="P40" s="21"/>
      <c r="Q40" s="21"/>
      <c r="R40" s="21"/>
      <c r="S40" s="21"/>
      <c r="T40" s="21"/>
      <c r="U40" s="21"/>
      <c r="V40" s="21"/>
      <c r="W40" s="21"/>
      <c r="X40" s="21"/>
      <c r="Y40" s="179"/>
      <c r="Z40" s="179"/>
      <c r="AA40" s="179"/>
      <c r="AB40" s="179"/>
      <c r="AC40" s="179"/>
      <c r="AD40" s="179"/>
      <c r="AE40" s="179"/>
      <c r="AF40" s="179"/>
    </row>
    <row r="41" spans="1:38">
      <c r="A41" s="1" t="s">
        <v>296</v>
      </c>
      <c r="B41" s="164"/>
      <c r="C41" s="164"/>
      <c r="D41" s="164"/>
      <c r="E41" s="164"/>
      <c r="F41" s="164"/>
      <c r="G41" s="164"/>
      <c r="H41" s="164"/>
      <c r="I41" s="164"/>
      <c r="J41" s="164"/>
      <c r="K41" s="164"/>
      <c r="L41" s="164"/>
      <c r="M41" s="164"/>
      <c r="N41" s="164"/>
      <c r="O41" s="164"/>
      <c r="P41" s="164"/>
      <c r="Q41" s="164"/>
      <c r="R41" s="164"/>
      <c r="S41" s="164">
        <f>'Def and Prop Tech_Qtr'!P41</f>
        <v>0</v>
      </c>
      <c r="T41" s="164">
        <f>'Def and Prop Tech_Qtr'!U41</f>
        <v>0</v>
      </c>
      <c r="U41" s="164">
        <f>'Def and Prop Tech_Qtr'!Z41</f>
        <v>0</v>
      </c>
      <c r="V41" s="164">
        <f>'Def and Prop Tech_Qtr'!AE41</f>
        <v>0</v>
      </c>
      <c r="W41" s="164">
        <f>'Def and Prop Tech_Qtr'!AJ41</f>
        <v>0</v>
      </c>
      <c r="X41" s="164">
        <f>'Def and Prop Tech_Qtr'!AO41</f>
        <v>0</v>
      </c>
      <c r="Y41" s="164"/>
      <c r="Z41" s="101"/>
      <c r="AA41" s="101"/>
      <c r="AB41" s="101"/>
      <c r="AC41" s="101"/>
      <c r="AD41" s="101"/>
      <c r="AE41" s="101"/>
      <c r="AF41" s="101"/>
    </row>
    <row r="42" spans="1:38">
      <c r="A42" s="1" t="s">
        <v>2</v>
      </c>
      <c r="B42" s="220"/>
      <c r="C42" s="164"/>
      <c r="D42" s="164"/>
      <c r="E42" s="164"/>
      <c r="F42" s="164"/>
      <c r="G42" s="164"/>
      <c r="H42" s="164"/>
      <c r="I42" s="164"/>
      <c r="J42" s="164"/>
      <c r="K42" s="117"/>
      <c r="L42" s="164"/>
      <c r="M42" s="164"/>
      <c r="N42" s="164"/>
      <c r="O42" s="164"/>
      <c r="P42" s="164"/>
      <c r="Q42" s="164"/>
      <c r="R42" s="164"/>
      <c r="S42" s="164">
        <f>'Def and Prop Tech_Qtr'!P42</f>
        <v>0</v>
      </c>
      <c r="T42" s="164">
        <f>'Def and Prop Tech_Qtr'!U42</f>
        <v>0</v>
      </c>
      <c r="U42" s="164">
        <f>'Def and Prop Tech_Qtr'!Z42</f>
        <v>0</v>
      </c>
      <c r="V42" s="164">
        <f>'Def and Prop Tech_Qtr'!AE42</f>
        <v>0</v>
      </c>
      <c r="W42" s="164">
        <f>'Def and Prop Tech_Qtr'!AJ42</f>
        <v>0</v>
      </c>
      <c r="X42" s="164">
        <f>'Def and Prop Tech_Qtr'!AO42</f>
        <v>0</v>
      </c>
      <c r="Y42" s="164"/>
      <c r="Z42" s="101"/>
      <c r="AA42" s="101"/>
      <c r="AB42" s="101"/>
      <c r="AC42" s="101"/>
      <c r="AD42" s="101"/>
      <c r="AE42" s="101"/>
      <c r="AF42" s="101"/>
    </row>
    <row r="43" spans="1:38">
      <c r="A43" s="1"/>
      <c r="B43" s="37"/>
      <c r="C43" s="37"/>
      <c r="D43" s="37"/>
      <c r="E43" s="37"/>
      <c r="F43" s="37"/>
      <c r="G43" s="37"/>
      <c r="H43" s="37"/>
      <c r="I43" s="37"/>
      <c r="J43" s="37"/>
      <c r="K43" s="114"/>
      <c r="L43" s="37"/>
      <c r="M43" s="37"/>
      <c r="N43" s="37"/>
      <c r="O43" s="37"/>
      <c r="P43" s="37"/>
      <c r="Q43" s="37"/>
      <c r="R43" s="37"/>
      <c r="S43" s="37"/>
      <c r="T43" s="37"/>
      <c r="U43" s="37"/>
      <c r="V43" s="37"/>
      <c r="W43" s="37"/>
      <c r="X43" s="37"/>
      <c r="Y43" s="305"/>
      <c r="Z43" s="292"/>
      <c r="AA43" s="292"/>
      <c r="AB43" s="292"/>
      <c r="AC43" s="292"/>
      <c r="AD43" s="292"/>
      <c r="AE43" s="292"/>
      <c r="AF43" s="292"/>
      <c r="AK43">
        <v>6150</v>
      </c>
      <c r="AL43">
        <v>7000</v>
      </c>
    </row>
    <row r="44" spans="1:38">
      <c r="A44" s="12" t="s">
        <v>297</v>
      </c>
      <c r="B44" s="24"/>
      <c r="C44" s="24"/>
      <c r="D44" s="24"/>
      <c r="E44" s="24"/>
      <c r="F44" s="24"/>
      <c r="G44" s="24"/>
      <c r="H44" s="24"/>
      <c r="I44" s="24"/>
      <c r="J44" s="24"/>
      <c r="K44" s="24"/>
      <c r="L44" s="25"/>
      <c r="M44" s="25"/>
      <c r="N44" s="25"/>
      <c r="O44" s="25"/>
      <c r="P44" s="25"/>
      <c r="Q44" s="25"/>
      <c r="R44" s="25"/>
      <c r="S44" s="25"/>
      <c r="T44" s="25"/>
      <c r="U44" s="25"/>
      <c r="V44" s="179"/>
      <c r="W44" s="179"/>
      <c r="X44" s="179"/>
      <c r="Y44" s="179"/>
      <c r="Z44" s="179"/>
      <c r="AA44" s="179"/>
      <c r="AB44" s="179"/>
      <c r="AC44" s="179"/>
      <c r="AD44" s="179"/>
      <c r="AE44" s="179"/>
      <c r="AF44" s="179"/>
      <c r="AK44">
        <v>7250</v>
      </c>
      <c r="AL44">
        <v>8300</v>
      </c>
    </row>
    <row r="45" spans="1:38">
      <c r="A45" s="1" t="s">
        <v>299</v>
      </c>
      <c r="B45" s="24"/>
      <c r="C45" s="24"/>
      <c r="D45" s="24"/>
      <c r="E45" s="24"/>
      <c r="F45" s="24"/>
      <c r="G45" s="24"/>
      <c r="H45" s="24"/>
      <c r="I45" s="24"/>
      <c r="J45" s="24"/>
      <c r="K45" s="24"/>
      <c r="L45" s="25"/>
      <c r="M45" s="25"/>
      <c r="N45" s="25"/>
      <c r="O45" s="25"/>
      <c r="P45" s="25"/>
      <c r="Q45" s="37">
        <f>'Def and Prop Tech_Qtr'!F54</f>
        <v>766</v>
      </c>
      <c r="R45" s="37">
        <f>'Def and Prop Tech_Qtr'!K54</f>
        <v>571</v>
      </c>
      <c r="S45" s="37">
        <f>'Def and Prop Tech_Qtr'!P54</f>
        <v>617</v>
      </c>
      <c r="T45" s="37">
        <f>'Def and Prop Tech_Qtr'!U54</f>
        <v>674</v>
      </c>
      <c r="U45" s="37">
        <f>'Def and Prop Tech_Qtr'!Z54</f>
        <v>717</v>
      </c>
      <c r="V45" s="37">
        <f>'Def and Prop Tech_Qtr'!AE54</f>
        <v>683</v>
      </c>
      <c r="W45" s="37">
        <f>'Def and Prop Tech_Qtr'!AJ54</f>
        <v>553</v>
      </c>
      <c r="X45" s="37">
        <f>'Def and Prop Tech_Qtr'!AO54</f>
        <v>632</v>
      </c>
      <c r="Y45" s="37">
        <f>'Def and Prop Tech_Qtr'!AT54</f>
        <v>556</v>
      </c>
      <c r="Z45" s="37">
        <f>'Def and Prop Tech_Qtr'!AY54</f>
        <v>490</v>
      </c>
      <c r="AA45" s="37">
        <f>'Def and Prop Tech_Qtr'!BD54</f>
        <v>635</v>
      </c>
      <c r="AB45" s="37">
        <f>'Def and Prop Tech_Qtr'!BI54</f>
        <v>0</v>
      </c>
      <c r="AC45" s="179"/>
      <c r="AD45" s="179"/>
      <c r="AE45" s="179"/>
      <c r="AF45" s="179"/>
      <c r="AK45">
        <f>AK44/AK43-1</f>
        <v>0.17886178861788626</v>
      </c>
      <c r="AL45">
        <f>AL44/AL43-1</f>
        <v>0.18571428571428572</v>
      </c>
    </row>
    <row r="46" spans="1:38">
      <c r="B46" s="24"/>
      <c r="C46" s="24"/>
      <c r="D46" s="24"/>
      <c r="E46" s="24"/>
      <c r="F46" s="24"/>
      <c r="G46" s="24"/>
      <c r="H46" s="24"/>
      <c r="I46" s="24"/>
      <c r="J46" s="24"/>
      <c r="K46" s="24"/>
      <c r="L46" s="25"/>
      <c r="M46" s="25"/>
      <c r="N46" s="25"/>
      <c r="O46" s="25"/>
      <c r="P46" s="25"/>
      <c r="Q46" s="25"/>
      <c r="R46" s="25"/>
      <c r="S46" s="25"/>
      <c r="T46" s="25"/>
      <c r="U46" s="25"/>
      <c r="V46" s="179"/>
      <c r="W46" s="179"/>
      <c r="X46" s="179"/>
      <c r="Y46" s="179"/>
      <c r="Z46" s="179"/>
      <c r="AA46" s="179"/>
      <c r="AB46" s="179"/>
      <c r="AC46" s="179"/>
      <c r="AD46" s="179"/>
      <c r="AE46" s="179"/>
      <c r="AF46" s="179"/>
    </row>
    <row r="47" spans="1:38">
      <c r="A47" s="4"/>
      <c r="B47" s="24"/>
      <c r="C47" s="24"/>
      <c r="D47" s="24"/>
      <c r="E47" s="24"/>
      <c r="F47" s="24"/>
      <c r="G47" s="24"/>
      <c r="H47" s="24"/>
      <c r="I47" s="24"/>
      <c r="J47" s="24"/>
      <c r="K47" s="24"/>
      <c r="L47" s="25"/>
      <c r="M47" s="25"/>
      <c r="N47" s="25"/>
      <c r="O47" s="25"/>
      <c r="P47" s="25"/>
      <c r="Q47" s="25"/>
      <c r="R47" s="25"/>
      <c r="S47" s="25"/>
      <c r="T47" s="25"/>
      <c r="U47" s="25"/>
      <c r="V47" s="179"/>
      <c r="W47" s="179"/>
      <c r="X47" s="179"/>
      <c r="Y47" s="179"/>
      <c r="Z47" s="179"/>
      <c r="AA47" s="179"/>
      <c r="AB47" s="179"/>
      <c r="AC47" s="179"/>
      <c r="AD47" s="179"/>
      <c r="AE47" s="179"/>
      <c r="AF47" s="179"/>
    </row>
    <row r="48" spans="1:38">
      <c r="A48" s="1"/>
      <c r="B48" s="24"/>
      <c r="C48" s="24"/>
      <c r="D48" s="24"/>
      <c r="E48" s="24"/>
      <c r="F48" s="24"/>
      <c r="G48" s="24"/>
      <c r="H48" s="24"/>
      <c r="I48" s="24"/>
      <c r="J48" s="24"/>
      <c r="K48" s="24"/>
      <c r="L48" s="25"/>
      <c r="M48" s="25"/>
      <c r="N48" s="25"/>
      <c r="O48" s="25"/>
      <c r="P48" s="25"/>
      <c r="Q48" s="21"/>
      <c r="R48" s="21"/>
      <c r="S48" s="21"/>
      <c r="T48" s="21"/>
      <c r="U48" s="21"/>
      <c r="V48" s="21"/>
      <c r="W48" s="21"/>
      <c r="X48" s="21"/>
      <c r="Y48" s="179"/>
      <c r="Z48" s="179"/>
      <c r="AA48" s="179"/>
      <c r="AB48" s="179"/>
      <c r="AC48" s="179"/>
      <c r="AD48" s="179"/>
      <c r="AE48" s="179"/>
      <c r="AF48" s="179"/>
    </row>
    <row r="49" spans="1:32">
      <c r="A49" s="1"/>
      <c r="B49" s="24"/>
      <c r="C49" s="24"/>
      <c r="D49" s="24"/>
      <c r="E49" s="24"/>
      <c r="F49" s="24"/>
      <c r="G49" s="24"/>
      <c r="H49" s="24"/>
      <c r="I49" s="24"/>
      <c r="J49" s="24"/>
      <c r="K49" s="24"/>
      <c r="L49" s="25"/>
      <c r="M49" s="25"/>
      <c r="N49" s="25"/>
      <c r="O49" s="25"/>
      <c r="P49" s="25"/>
      <c r="Q49" s="265"/>
      <c r="R49" s="265"/>
      <c r="S49" s="265"/>
      <c r="T49" s="265"/>
      <c r="U49" s="265"/>
      <c r="V49" s="265"/>
      <c r="W49" s="265"/>
      <c r="X49" s="265"/>
      <c r="Y49" s="179"/>
      <c r="Z49" s="179"/>
      <c r="AA49" s="179"/>
      <c r="AB49" s="179"/>
      <c r="AC49" s="179"/>
      <c r="AD49" s="179"/>
      <c r="AE49" s="179"/>
      <c r="AF49" s="179"/>
    </row>
    <row r="50" spans="1:32">
      <c r="A50" s="1"/>
      <c r="B50" s="24"/>
      <c r="C50" s="24"/>
      <c r="D50" s="24"/>
      <c r="E50" s="24"/>
      <c r="F50" s="24"/>
      <c r="G50" s="24"/>
      <c r="H50" s="24"/>
      <c r="I50" s="24"/>
      <c r="J50" s="24"/>
      <c r="K50" s="24"/>
      <c r="L50" s="25"/>
      <c r="M50" s="25"/>
      <c r="N50" s="25"/>
      <c r="O50" s="25"/>
      <c r="P50" s="25"/>
      <c r="Q50" s="25"/>
      <c r="R50" s="25"/>
      <c r="S50" s="358"/>
      <c r="T50" s="358"/>
      <c r="U50" s="358"/>
      <c r="V50" s="359"/>
      <c r="W50" s="359"/>
      <c r="X50" s="359"/>
      <c r="Y50" s="179"/>
      <c r="Z50" s="179"/>
      <c r="AA50" s="179"/>
      <c r="AB50" s="179"/>
      <c r="AC50" s="179"/>
      <c r="AD50" s="179"/>
      <c r="AE50" s="179"/>
      <c r="AF50" s="179"/>
    </row>
  </sheetData>
  <pageMargins left="0.7" right="0.7" top="0.75" bottom="0.75" header="0.3" footer="0.3"/>
  <pageSetup orientation="portrait"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50A6A-32C5-4046-82AF-735C987CB8B8}">
  <sheetPr codeName="Sheet23"/>
  <dimension ref="A1:BM74"/>
  <sheetViews>
    <sheetView showGridLines="0" topLeftCell="AD1" workbookViewId="0">
      <selection activeCell="BI19" sqref="BI19"/>
    </sheetView>
  </sheetViews>
  <sheetFormatPr defaultRowHeight="15" outlineLevelCol="1"/>
  <cols>
    <col min="1" max="1" width="42.140625" customWidth="1"/>
    <col min="42" max="45" width="8.5703125" customWidth="1" outlineLevel="1"/>
    <col min="47" max="50" width="8.5703125" customWidth="1" outlineLevel="1"/>
    <col min="52" max="55" width="8.5703125" customWidth="1" outlineLevel="1"/>
    <col min="57" max="60" width="9.140625" outlineLevel="1"/>
    <col min="62" max="62" width="17.5703125" customWidth="1"/>
    <col min="64" max="64" width="23.85546875" customWidth="1"/>
  </cols>
  <sheetData>
    <row r="1" spans="1:65">
      <c r="A1" s="13" t="s">
        <v>632</v>
      </c>
      <c r="B1" s="67"/>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24"/>
    </row>
    <row r="2" spans="1:65">
      <c r="A2" s="456"/>
      <c r="B2" s="95" t="str">
        <f>ProForma_IS_Qtr!B2</f>
        <v>1Q15A</v>
      </c>
      <c r="C2" s="95" t="str">
        <f>ProForma_IS_Qtr!C2</f>
        <v>2Q15A</v>
      </c>
      <c r="D2" s="95" t="str">
        <f>ProForma_IS_Qtr!D2</f>
        <v>3Q15A</v>
      </c>
      <c r="E2" s="95" t="str">
        <f>ProForma_IS_Qtr!E2</f>
        <v>4Q15A</v>
      </c>
      <c r="F2" s="96" t="str">
        <f>ProForma_IS_Qtr!F2</f>
        <v>CY2015A</v>
      </c>
      <c r="G2" s="95" t="str">
        <f>ProForma_IS_Qtr!G2</f>
        <v>1Q16A</v>
      </c>
      <c r="H2" s="95" t="str">
        <f>ProForma_IS_Qtr!H2</f>
        <v>2Q16A</v>
      </c>
      <c r="I2" s="95" t="str">
        <f>ProForma_IS_Qtr!I2</f>
        <v>3Q16A</v>
      </c>
      <c r="J2" s="95" t="str">
        <f>ProForma_IS_Qtr!J2</f>
        <v>4Q16A</v>
      </c>
      <c r="K2" s="96" t="str">
        <f>ProForma_IS_Qtr!K2</f>
        <v>CY2016A</v>
      </c>
      <c r="L2" s="95" t="str">
        <f>ProForma_IS_Qtr!L2</f>
        <v>1Q17A</v>
      </c>
      <c r="M2" s="95" t="str">
        <f>ProForma_IS_Qtr!M2</f>
        <v>2Q17A</v>
      </c>
      <c r="N2" s="95" t="str">
        <f>ProForma_IS_Qtr!N2</f>
        <v>3Q17A</v>
      </c>
      <c r="O2" s="95" t="str">
        <f>ProForma_IS_Qtr!O2</f>
        <v>4Q17A</v>
      </c>
      <c r="P2" s="96" t="str">
        <f>ProForma_IS_Qtr!P2</f>
        <v>CY2017A</v>
      </c>
      <c r="Q2" s="95" t="str">
        <f>ProForma_IS_Qtr!Q2</f>
        <v>1Q18A</v>
      </c>
      <c r="R2" s="95" t="str">
        <f>ProForma_IS_Qtr!R2</f>
        <v>2Q18A</v>
      </c>
      <c r="S2" s="95" t="str">
        <f>ProForma_IS_Qtr!S2</f>
        <v>3Q18A</v>
      </c>
      <c r="T2" s="95" t="str">
        <f>ProForma_IS_Qtr!T2</f>
        <v>4Q18A</v>
      </c>
      <c r="U2" s="96" t="str">
        <f>ProForma_IS_Qtr!U2</f>
        <v>CY2018A</v>
      </c>
      <c r="V2" s="95" t="str">
        <f>ProForma_IS_Qtr!V2</f>
        <v>1Q19A</v>
      </c>
      <c r="W2" s="95" t="str">
        <f>ProForma_IS_Qtr!W2</f>
        <v>2Q19A</v>
      </c>
      <c r="X2" s="95" t="str">
        <f>ProForma_IS_Qtr!X2</f>
        <v>3Q19A</v>
      </c>
      <c r="Y2" s="95" t="str">
        <f>ProForma_IS_Qtr!Y2</f>
        <v>4Q19A</v>
      </c>
      <c r="Z2" s="96" t="str">
        <f>ProForma_IS_Qtr!Z2</f>
        <v>CY2019A</v>
      </c>
      <c r="AA2" s="95" t="str">
        <f>ProForma_IS_Qtr!AA2</f>
        <v>1Q20A</v>
      </c>
      <c r="AB2" s="95" t="str">
        <f>ProForma_IS_Qtr!AB2</f>
        <v>2Q20A</v>
      </c>
      <c r="AC2" s="95" t="str">
        <f>ProForma_IS_Qtr!AC2</f>
        <v>3Q20A</v>
      </c>
      <c r="AD2" s="95" t="str">
        <f>ProForma_IS_Qtr!AD2</f>
        <v>4Q20A</v>
      </c>
      <c r="AE2" s="96" t="str">
        <f>ProForma_IS_Qtr!AE2</f>
        <v>CY2020A</v>
      </c>
      <c r="AF2" s="95" t="str">
        <f>ProForma_IS_Qtr!AF2</f>
        <v>1Q21A</v>
      </c>
      <c r="AG2" s="95" t="str">
        <f>ProForma_IS_Qtr!AG2</f>
        <v>2Q21A</v>
      </c>
      <c r="AH2" s="95" t="str">
        <f>ProForma_IS_Qtr!AH2</f>
        <v>3Q21A</v>
      </c>
      <c r="AI2" s="95" t="str">
        <f>ProForma_IS_Qtr!AI2</f>
        <v>4Q21A</v>
      </c>
      <c r="AJ2" s="96" t="str">
        <f>ProForma_IS_Qtr!AJ2</f>
        <v>CY2021A</v>
      </c>
      <c r="AK2" s="95" t="str">
        <f>ProForma_IS_Qtr!AK2</f>
        <v>1Q22A</v>
      </c>
      <c r="AL2" s="95" t="str">
        <f>ProForma_IS_Qtr!AL2</f>
        <v>2Q22A</v>
      </c>
      <c r="AM2" s="95" t="str">
        <f>ProForma_IS_Qtr!AM2</f>
        <v>3Q22A</v>
      </c>
      <c r="AN2" s="95" t="str">
        <f>ProForma_IS_Qtr!AN2</f>
        <v>4Q22A</v>
      </c>
      <c r="AO2" s="96" t="str">
        <f>ProForma_IS_Qtr!AO2</f>
        <v>CY2022A</v>
      </c>
      <c r="AP2" s="93" t="str">
        <f>ProForma_IS_Qtr!AP2</f>
        <v>1Q23A</v>
      </c>
      <c r="AQ2" s="95" t="str">
        <f>ProForma_IS_Qtr!AQ2</f>
        <v>2Q23A</v>
      </c>
      <c r="AR2" s="93" t="str">
        <f>ProForma_IS_Qtr!AR2</f>
        <v>3Q23A</v>
      </c>
      <c r="AS2" s="95" t="str">
        <f>ProForma_IS_Qtr!AS2</f>
        <v>4Q23</v>
      </c>
      <c r="AT2" s="94" t="str">
        <f>ProForma_IS_Qtr!AT2</f>
        <v>CY2023</v>
      </c>
      <c r="AU2" s="93" t="str">
        <f>ProForma_IS_Qtr!AU2</f>
        <v>1Q24A</v>
      </c>
      <c r="AV2" s="95" t="str">
        <f>ProForma_IS_Qtr!AV2</f>
        <v>2Q24A</v>
      </c>
      <c r="AW2" s="93" t="str">
        <f>ProForma_IS_Qtr!AW2</f>
        <v>3Q24A</v>
      </c>
      <c r="AX2" s="93" t="str">
        <f>ProForma_IS_Qtr!AX2</f>
        <v>4Q24A</v>
      </c>
      <c r="AY2" s="94" t="str">
        <f>ProForma_IS_Qtr!AY2</f>
        <v>CY2024A</v>
      </c>
      <c r="AZ2" s="93" t="str">
        <f>ProForma_IS_Qtr!AZ2</f>
        <v>1Q25A</v>
      </c>
      <c r="BA2" s="95" t="str">
        <f>ProForma_IS_Qtr!BA2</f>
        <v>2Q25A</v>
      </c>
      <c r="BB2" s="95" t="str">
        <f>ProForma_IS_Qtr!BB2</f>
        <v>3Q25A</v>
      </c>
      <c r="BC2" s="95" t="str">
        <f>ProForma_IS_Qtr!BC2</f>
        <v>4Q25A</v>
      </c>
      <c r="BD2" s="96" t="str">
        <f>ProForma_IS_Qtr!BD2</f>
        <v>CY2025A</v>
      </c>
      <c r="BE2" s="93" t="str">
        <f>ProForma_IS_Qtr!BE2</f>
        <v>1Q26A</v>
      </c>
      <c r="BF2" s="95" t="str">
        <f>ProForma_IS_Qtr!BF2</f>
        <v>2Q26A</v>
      </c>
      <c r="BG2" s="95" t="str">
        <f>ProForma_IS_Qtr!BG2</f>
        <v>3Q26E</v>
      </c>
      <c r="BH2" s="95" t="str">
        <f>ProForma_IS_Qtr!BH2</f>
        <v>4Q26E</v>
      </c>
      <c r="BI2" s="96" t="str">
        <f>ProForma_IS_Qtr!BI2</f>
        <v>CY2026E</v>
      </c>
      <c r="BJ2" s="321" t="s">
        <v>538</v>
      </c>
      <c r="BL2" s="607" t="s">
        <v>608</v>
      </c>
    </row>
    <row r="3" spans="1:65">
      <c r="A3" s="457" t="s">
        <v>461</v>
      </c>
      <c r="B3" s="446"/>
      <c r="C3" s="446"/>
      <c r="D3" s="446"/>
      <c r="E3" s="446"/>
      <c r="F3" s="445"/>
      <c r="G3" s="446"/>
      <c r="H3" s="446"/>
      <c r="I3" s="446"/>
      <c r="J3" s="446"/>
      <c r="K3" s="445">
        <v>3585</v>
      </c>
      <c r="L3" s="446">
        <v>929</v>
      </c>
      <c r="M3" s="446">
        <v>938</v>
      </c>
      <c r="N3" s="446">
        <v>1023</v>
      </c>
      <c r="O3" s="26">
        <f>P3-SUM(L3:N3)</f>
        <v>1101</v>
      </c>
      <c r="P3" s="445">
        <v>3991</v>
      </c>
      <c r="Q3" s="446">
        <v>971</v>
      </c>
      <c r="R3" s="446">
        <v>1073</v>
      </c>
      <c r="S3" s="446">
        <v>898</v>
      </c>
      <c r="T3" s="26">
        <f>+U3-SUM(Q3:S3)</f>
        <v>1161</v>
      </c>
      <c r="U3" s="445">
        <v>4103</v>
      </c>
      <c r="V3" s="446">
        <v>1037</v>
      </c>
      <c r="W3" s="446">
        <v>976</v>
      </c>
      <c r="X3" s="446">
        <v>1061</v>
      </c>
      <c r="Y3" s="26">
        <f>+Z3-SUM(V3:X3)</f>
        <v>1315</v>
      </c>
      <c r="Z3" s="27">
        <v>4389</v>
      </c>
      <c r="AA3" s="446">
        <v>960</v>
      </c>
      <c r="AB3" s="446">
        <v>1161</v>
      </c>
      <c r="AC3" s="80">
        <v>1137</v>
      </c>
      <c r="AD3" s="26">
        <f>+AE3-SUM(AA3:AC3)</f>
        <v>1314</v>
      </c>
      <c r="AE3" s="445">
        <v>4572</v>
      </c>
      <c r="AF3" s="446">
        <v>956</v>
      </c>
      <c r="AG3" s="446">
        <v>1041</v>
      </c>
      <c r="AH3" s="80">
        <v>1107</v>
      </c>
      <c r="AI3" s="26">
        <f>+AJ3-SUM(AF3:AH3)</f>
        <v>1032</v>
      </c>
      <c r="AJ3" s="445">
        <v>4136</v>
      </c>
      <c r="AK3" s="446">
        <v>1036</v>
      </c>
      <c r="AL3" s="446">
        <v>1096</v>
      </c>
      <c r="AM3" s="80">
        <v>1027</v>
      </c>
      <c r="AN3" s="26">
        <f>+AO3-SUM(AK3:AM3)</f>
        <v>1251</v>
      </c>
      <c r="AO3" s="445">
        <v>4410</v>
      </c>
      <c r="AP3" s="446">
        <f>2905-AQ3</f>
        <v>1280</v>
      </c>
      <c r="AQ3" s="446">
        <v>1625</v>
      </c>
      <c r="AR3" s="80">
        <v>1455</v>
      </c>
      <c r="AS3" s="447">
        <f>+AT3-SUM(AP3:AR3)</f>
        <v>1567</v>
      </c>
      <c r="AT3" s="81">
        <v>5927</v>
      </c>
      <c r="AU3" s="446">
        <v>1495</v>
      </c>
      <c r="AV3" s="446">
        <v>1529</v>
      </c>
      <c r="AW3" s="80">
        <v>1428</v>
      </c>
      <c r="AX3" s="447">
        <f>+AY3-SUM(AU3:AW3)</f>
        <v>1657</v>
      </c>
      <c r="AY3" s="81">
        <v>6109</v>
      </c>
      <c r="AZ3" s="446">
        <v>1497</v>
      </c>
      <c r="BA3" s="446">
        <v>1614</v>
      </c>
      <c r="BB3" s="446">
        <v>1777</v>
      </c>
      <c r="BC3" s="447">
        <f>+BD3-SUM(AZ3:BB3)</f>
        <v>1686</v>
      </c>
      <c r="BD3" s="81">
        <v>6574</v>
      </c>
      <c r="BE3" s="446">
        <v>2090</v>
      </c>
      <c r="BF3" s="446">
        <v>2213</v>
      </c>
      <c r="BG3" s="447">
        <f t="shared" ref="BG3" si="0">BB3*(1+BG4)</f>
        <v>2247.9050000000002</v>
      </c>
      <c r="BH3" s="447">
        <f>+BI3-SUM(BE3:BG3)</f>
        <v>2258.2549999999992</v>
      </c>
      <c r="BI3" s="448">
        <f>BD3*(1+BI4)</f>
        <v>8809.16</v>
      </c>
      <c r="BJ3" s="327"/>
    </row>
    <row r="4" spans="1:65">
      <c r="A4" s="458" t="s">
        <v>4</v>
      </c>
      <c r="B4" s="20"/>
      <c r="C4" s="20"/>
      <c r="D4" s="20"/>
      <c r="E4" s="20"/>
      <c r="F4" s="21"/>
      <c r="G4" s="33"/>
      <c r="H4" s="34"/>
      <c r="I4" s="34"/>
      <c r="J4" s="34"/>
      <c r="K4" s="35"/>
      <c r="L4" s="33"/>
      <c r="M4" s="34"/>
      <c r="N4" s="34"/>
      <c r="O4" s="34"/>
      <c r="P4" s="35"/>
      <c r="Q4" s="33"/>
      <c r="R4" s="34"/>
      <c r="S4" s="34"/>
      <c r="T4" s="34"/>
      <c r="U4" s="35"/>
      <c r="V4" s="33"/>
      <c r="W4" s="34"/>
      <c r="X4" s="34"/>
      <c r="Y4" s="34"/>
      <c r="Z4" s="35"/>
      <c r="AA4" s="33">
        <f t="shared" ref="AA4:BF4" si="1">AA3/V3-1</f>
        <v>-7.4252651880424292E-2</v>
      </c>
      <c r="AB4" s="33">
        <f t="shared" si="1"/>
        <v>0.18954918032786883</v>
      </c>
      <c r="AC4" s="198">
        <f t="shared" si="1"/>
        <v>7.1630537229029123E-2</v>
      </c>
      <c r="AD4" s="31">
        <f t="shared" si="1"/>
        <v>-7.6045627376430946E-4</v>
      </c>
      <c r="AE4" s="35">
        <f t="shared" si="1"/>
        <v>4.1695146958304896E-2</v>
      </c>
      <c r="AF4" s="31">
        <f t="shared" si="1"/>
        <v>-4.1666666666666519E-3</v>
      </c>
      <c r="AG4" s="33">
        <f t="shared" si="1"/>
        <v>-0.10335917312661502</v>
      </c>
      <c r="AH4" s="198">
        <f t="shared" si="1"/>
        <v>-2.6385224274406371E-2</v>
      </c>
      <c r="AI4" s="31">
        <f t="shared" si="1"/>
        <v>-0.21461187214611877</v>
      </c>
      <c r="AJ4" s="35">
        <f t="shared" si="1"/>
        <v>-9.5363079615048085E-2</v>
      </c>
      <c r="AK4" s="31">
        <f t="shared" si="1"/>
        <v>8.3682008368200833E-2</v>
      </c>
      <c r="AL4" s="33">
        <f t="shared" si="1"/>
        <v>5.2833813640730032E-2</v>
      </c>
      <c r="AM4" s="198">
        <f t="shared" si="1"/>
        <v>-7.2267389340560095E-2</v>
      </c>
      <c r="AN4" s="31">
        <f t="shared" si="1"/>
        <v>0.21220930232558133</v>
      </c>
      <c r="AO4" s="35">
        <f t="shared" si="1"/>
        <v>6.6247582205029021E-2</v>
      </c>
      <c r="AP4" s="33">
        <f t="shared" si="1"/>
        <v>0.23552123552123549</v>
      </c>
      <c r="AQ4" s="33">
        <f t="shared" si="1"/>
        <v>0.48266423357664223</v>
      </c>
      <c r="AR4" s="33">
        <f t="shared" si="1"/>
        <v>0.41674780915287246</v>
      </c>
      <c r="AS4" s="33">
        <f t="shared" si="1"/>
        <v>0.25259792166266992</v>
      </c>
      <c r="AT4" s="35">
        <f t="shared" si="1"/>
        <v>0.3439909297052155</v>
      </c>
      <c r="AU4" s="33">
        <f t="shared" si="1"/>
        <v>0.16796875</v>
      </c>
      <c r="AV4" s="33">
        <f t="shared" si="1"/>
        <v>-5.9076923076923027E-2</v>
      </c>
      <c r="AW4" s="33">
        <f t="shared" si="1"/>
        <v>-1.855670103092788E-2</v>
      </c>
      <c r="AX4" s="33">
        <f t="shared" si="1"/>
        <v>5.7434588385449903E-2</v>
      </c>
      <c r="AY4" s="35">
        <f t="shared" si="1"/>
        <v>3.0706934368145866E-2</v>
      </c>
      <c r="AZ4" s="33">
        <f t="shared" si="1"/>
        <v>1.3377926421405117E-3</v>
      </c>
      <c r="BA4" s="33">
        <f t="shared" si="1"/>
        <v>5.5591890124264243E-2</v>
      </c>
      <c r="BB4" s="33">
        <f t="shared" si="1"/>
        <v>0.24439775910364148</v>
      </c>
      <c r="BC4" s="33">
        <f>BC3/AX3-1</f>
        <v>1.7501508750754402E-2</v>
      </c>
      <c r="BD4" s="35">
        <f t="shared" si="1"/>
        <v>7.6117204125061289E-2</v>
      </c>
      <c r="BE4" s="33">
        <f t="shared" si="1"/>
        <v>0.39612558450233792</v>
      </c>
      <c r="BF4" s="33">
        <f t="shared" si="1"/>
        <v>0.37112763320941755</v>
      </c>
      <c r="BG4" s="172">
        <v>0.26500000000000001</v>
      </c>
      <c r="BH4" s="33">
        <f>BH3/BC3-1</f>
        <v>0.3394157769869508</v>
      </c>
      <c r="BI4" s="183">
        <v>0.34</v>
      </c>
      <c r="BJ4" s="24"/>
      <c r="BM4" t="s">
        <v>637</v>
      </c>
    </row>
    <row r="5" spans="1:65">
      <c r="A5" s="458"/>
      <c r="B5" s="20"/>
      <c r="C5" s="20"/>
      <c r="D5" s="20"/>
      <c r="E5" s="20"/>
      <c r="F5" s="21"/>
      <c r="G5" s="20"/>
      <c r="H5" s="20"/>
      <c r="I5" s="20"/>
      <c r="J5" s="20"/>
      <c r="K5" s="21"/>
      <c r="L5" s="20"/>
      <c r="M5" s="20"/>
      <c r="N5" s="20"/>
      <c r="O5" s="20"/>
      <c r="P5" s="21"/>
      <c r="Q5" s="20"/>
      <c r="R5" s="20"/>
      <c r="S5" s="20"/>
      <c r="T5" s="20"/>
      <c r="U5" s="21"/>
      <c r="V5" s="20"/>
      <c r="W5" s="20"/>
      <c r="X5" s="20"/>
      <c r="Y5" s="20"/>
      <c r="Z5" s="21"/>
      <c r="AA5" s="20"/>
      <c r="AB5" s="20"/>
      <c r="AC5" s="41"/>
      <c r="AD5" s="41"/>
      <c r="AE5" s="21"/>
      <c r="AF5" s="41"/>
      <c r="AG5" s="20"/>
      <c r="AH5" s="41"/>
      <c r="AI5" s="41"/>
      <c r="AJ5" s="21"/>
      <c r="AK5" s="41"/>
      <c r="AL5" s="20"/>
      <c r="AM5" s="41"/>
      <c r="AN5" s="41"/>
      <c r="AO5" s="21"/>
      <c r="AP5" s="41"/>
      <c r="AQ5" s="20"/>
      <c r="AR5" s="41"/>
      <c r="AS5" s="41"/>
      <c r="AT5" s="21"/>
      <c r="AU5" s="41"/>
      <c r="AV5" s="20"/>
      <c r="AW5" s="41"/>
      <c r="AX5" s="41"/>
      <c r="AY5" s="21"/>
      <c r="AZ5" s="41"/>
      <c r="BA5" s="20"/>
      <c r="BB5" s="20"/>
      <c r="BC5" s="41"/>
      <c r="BD5" s="21"/>
      <c r="BE5" s="41"/>
      <c r="BF5" s="20"/>
      <c r="BG5" s="20"/>
      <c r="BH5" s="41"/>
      <c r="BI5" s="21"/>
      <c r="BJ5" s="24"/>
    </row>
    <row r="6" spans="1:65">
      <c r="A6" s="457" t="s">
        <v>462</v>
      </c>
      <c r="B6" s="446"/>
      <c r="C6" s="446"/>
      <c r="D6" s="446"/>
      <c r="E6" s="446"/>
      <c r="F6" s="445"/>
      <c r="G6" s="446"/>
      <c r="H6" s="446"/>
      <c r="I6" s="446"/>
      <c r="J6" s="446"/>
      <c r="K6" s="445">
        <v>3135</v>
      </c>
      <c r="L6" s="446">
        <v>778</v>
      </c>
      <c r="M6" s="446">
        <v>778</v>
      </c>
      <c r="N6" s="446">
        <v>824</v>
      </c>
      <c r="O6" s="26">
        <f>P6-SUM(L6:N6)</f>
        <v>934</v>
      </c>
      <c r="P6" s="445">
        <v>3314</v>
      </c>
      <c r="Q6" s="446">
        <v>870</v>
      </c>
      <c r="R6" s="446">
        <v>911</v>
      </c>
      <c r="S6" s="446">
        <v>946</v>
      </c>
      <c r="T6" s="26">
        <f>U6-SUM(Q6:S6)</f>
        <v>1013</v>
      </c>
      <c r="U6" s="445">
        <v>3740</v>
      </c>
      <c r="V6" s="446">
        <v>969</v>
      </c>
      <c r="W6" s="446">
        <v>1052</v>
      </c>
      <c r="X6" s="446">
        <v>1050</v>
      </c>
      <c r="Y6" s="26">
        <f>Z6-SUM(V6:X6)</f>
        <v>1198</v>
      </c>
      <c r="Z6" s="27">
        <v>4269</v>
      </c>
      <c r="AA6" s="446">
        <v>820</v>
      </c>
      <c r="AB6" s="446">
        <v>703</v>
      </c>
      <c r="AC6" s="80">
        <v>696</v>
      </c>
      <c r="AD6" s="26">
        <f>AE6-SUM(AA6:AC6)</f>
        <v>772</v>
      </c>
      <c r="AE6" s="445">
        <v>2991</v>
      </c>
      <c r="AF6" s="446">
        <v>682</v>
      </c>
      <c r="AG6" s="446">
        <v>684</v>
      </c>
      <c r="AH6" s="80">
        <v>689</v>
      </c>
      <c r="AI6" s="26">
        <f>AJ6-SUM(AF6:AH6)</f>
        <v>759</v>
      </c>
      <c r="AJ6" s="445">
        <v>2814</v>
      </c>
      <c r="AK6" s="446">
        <v>714</v>
      </c>
      <c r="AL6" s="446">
        <v>725</v>
      </c>
      <c r="AM6" s="80">
        <v>707</v>
      </c>
      <c r="AN6" s="26">
        <f>AO6-SUM(AK6:AM6)</f>
        <v>829</v>
      </c>
      <c r="AO6" s="445">
        <v>2975</v>
      </c>
      <c r="AP6" s="446">
        <f>1436-AQ6</f>
        <v>686</v>
      </c>
      <c r="AQ6" s="446">
        <v>750</v>
      </c>
      <c r="AR6" s="80">
        <v>750</v>
      </c>
      <c r="AS6" s="447">
        <f>+AT6-SUM(AP6:AR6)</f>
        <v>848</v>
      </c>
      <c r="AT6" s="445">
        <v>3034</v>
      </c>
      <c r="AU6" s="446">
        <v>817</v>
      </c>
      <c r="AV6" s="446">
        <v>871</v>
      </c>
      <c r="AW6" s="80">
        <v>815</v>
      </c>
      <c r="AX6" s="447">
        <f>+AY6-SUM(AU6:AW6)</f>
        <v>867</v>
      </c>
      <c r="AY6" s="445">
        <v>3370</v>
      </c>
      <c r="AZ6" s="446">
        <v>828</v>
      </c>
      <c r="BA6" s="446">
        <v>949</v>
      </c>
      <c r="BB6" s="446">
        <v>1051</v>
      </c>
      <c r="BC6" s="447">
        <f>+BD6-SUM(AZ6:BB6)</f>
        <v>1153</v>
      </c>
      <c r="BD6" s="445">
        <v>3981</v>
      </c>
      <c r="BE6" s="446">
        <v>1124</v>
      </c>
      <c r="BF6" s="446">
        <v>1230</v>
      </c>
      <c r="BG6" s="447">
        <f t="shared" ref="BG6" si="2">BB6*(1+BG7)</f>
        <v>1127.1975</v>
      </c>
      <c r="BH6" s="447">
        <f>+BI6-SUM(BE6:BG6)</f>
        <v>1296.0024999999996</v>
      </c>
      <c r="BI6" s="448">
        <f>BD6*(1+BI7)</f>
        <v>4777.2</v>
      </c>
      <c r="BJ6" s="327"/>
    </row>
    <row r="7" spans="1:65">
      <c r="A7" s="458" t="s">
        <v>4</v>
      </c>
      <c r="B7" s="17"/>
      <c r="C7" s="17"/>
      <c r="D7" s="17"/>
      <c r="E7" s="18"/>
      <c r="F7" s="19"/>
      <c r="G7" s="17"/>
      <c r="H7" s="17"/>
      <c r="I7" s="17"/>
      <c r="J7" s="18"/>
      <c r="K7" s="19"/>
      <c r="L7" s="17"/>
      <c r="M7" s="17"/>
      <c r="N7" s="17"/>
      <c r="O7" s="18"/>
      <c r="P7" s="19"/>
      <c r="Q7" s="17"/>
      <c r="R7" s="17"/>
      <c r="S7" s="17"/>
      <c r="T7" s="18"/>
      <c r="U7" s="19"/>
      <c r="V7" s="17"/>
      <c r="W7" s="17"/>
      <c r="X7" s="18"/>
      <c r="Y7" s="18"/>
      <c r="Z7" s="171"/>
      <c r="AA7" s="33">
        <f t="shared" ref="AA7:BF7" si="3">AA6/V6-1</f>
        <v>-0.15376676986584104</v>
      </c>
      <c r="AB7" s="33">
        <f t="shared" si="3"/>
        <v>-0.33174904942965777</v>
      </c>
      <c r="AC7" s="198">
        <f t="shared" si="3"/>
        <v>-0.33714285714285719</v>
      </c>
      <c r="AD7" s="31">
        <f t="shared" si="3"/>
        <v>-0.35559265442404009</v>
      </c>
      <c r="AE7" s="35">
        <f t="shared" si="3"/>
        <v>-0.29936753338018274</v>
      </c>
      <c r="AF7" s="31">
        <f t="shared" si="3"/>
        <v>-0.16829268292682931</v>
      </c>
      <c r="AG7" s="33">
        <f t="shared" si="3"/>
        <v>-2.7027027027026973E-2</v>
      </c>
      <c r="AH7" s="198">
        <f t="shared" si="3"/>
        <v>-1.0057471264367845E-2</v>
      </c>
      <c r="AI7" s="31">
        <f t="shared" si="3"/>
        <v>-1.6839378238341918E-2</v>
      </c>
      <c r="AJ7" s="35">
        <f t="shared" si="3"/>
        <v>-5.9177532597793348E-2</v>
      </c>
      <c r="AK7" s="31">
        <f t="shared" si="3"/>
        <v>4.692082111436946E-2</v>
      </c>
      <c r="AL7" s="33">
        <f t="shared" si="3"/>
        <v>5.9941520467836185E-2</v>
      </c>
      <c r="AM7" s="198">
        <f t="shared" si="3"/>
        <v>2.6124818577648812E-2</v>
      </c>
      <c r="AN7" s="31">
        <f t="shared" si="3"/>
        <v>9.2226613965744386E-2</v>
      </c>
      <c r="AO7" s="35">
        <f t="shared" si="3"/>
        <v>5.7213930348258613E-2</v>
      </c>
      <c r="AP7" s="33">
        <f t="shared" si="3"/>
        <v>-3.9215686274509776E-2</v>
      </c>
      <c r="AQ7" s="33">
        <f t="shared" si="3"/>
        <v>3.4482758620689724E-2</v>
      </c>
      <c r="AR7" s="33">
        <f t="shared" si="3"/>
        <v>6.0820367751060811E-2</v>
      </c>
      <c r="AS7" s="33">
        <f t="shared" si="3"/>
        <v>2.2919179734619988E-2</v>
      </c>
      <c r="AT7" s="35">
        <f t="shared" si="3"/>
        <v>1.9831932773109351E-2</v>
      </c>
      <c r="AU7" s="33">
        <f t="shared" si="3"/>
        <v>0.19096209912536444</v>
      </c>
      <c r="AV7" s="33">
        <f t="shared" si="3"/>
        <v>0.16133333333333333</v>
      </c>
      <c r="AW7" s="33">
        <f t="shared" si="3"/>
        <v>8.666666666666667E-2</v>
      </c>
      <c r="AX7" s="33">
        <f t="shared" si="3"/>
        <v>2.2405660377358583E-2</v>
      </c>
      <c r="AY7" s="35">
        <f t="shared" si="3"/>
        <v>0.11074489123269604</v>
      </c>
      <c r="AZ7" s="33">
        <f t="shared" si="3"/>
        <v>1.346389228886169E-2</v>
      </c>
      <c r="BA7" s="33">
        <f t="shared" si="3"/>
        <v>8.9552238805970186E-2</v>
      </c>
      <c r="BB7" s="33">
        <f t="shared" si="3"/>
        <v>0.28957055214723937</v>
      </c>
      <c r="BC7" s="33">
        <f>BC6/AX6-1</f>
        <v>0.32987312572087668</v>
      </c>
      <c r="BD7" s="35">
        <f t="shared" si="3"/>
        <v>0.18130563798219579</v>
      </c>
      <c r="BE7" s="33">
        <f t="shared" si="3"/>
        <v>0.35748792270531404</v>
      </c>
      <c r="BF7" s="33">
        <f t="shared" si="3"/>
        <v>0.29610115911485768</v>
      </c>
      <c r="BG7" s="172">
        <v>7.2499999999999995E-2</v>
      </c>
      <c r="BH7" s="33">
        <f>BH6/BC6-1</f>
        <v>0.12402645273200319</v>
      </c>
      <c r="BI7" s="183">
        <v>0.2</v>
      </c>
      <c r="BM7" s="24"/>
    </row>
    <row r="8" spans="1:65">
      <c r="A8" s="456"/>
      <c r="B8" s="17"/>
      <c r="C8" s="17"/>
      <c r="D8" s="17"/>
      <c r="E8" s="18"/>
      <c r="F8" s="19"/>
      <c r="G8" s="17"/>
      <c r="H8" s="17"/>
      <c r="I8" s="17"/>
      <c r="J8" s="18"/>
      <c r="K8" s="19"/>
      <c r="L8" s="17"/>
      <c r="M8" s="17"/>
      <c r="N8" s="17"/>
      <c r="O8" s="18"/>
      <c r="P8" s="19"/>
      <c r="Q8" s="17"/>
      <c r="R8" s="17"/>
      <c r="S8" s="17"/>
      <c r="T8" s="18"/>
      <c r="U8" s="19"/>
      <c r="V8" s="17"/>
      <c r="W8" s="17"/>
      <c r="X8" s="17"/>
      <c r="Y8" s="18"/>
      <c r="Z8" s="19"/>
      <c r="AA8" s="17"/>
      <c r="AB8" s="20"/>
      <c r="AC8" s="20"/>
      <c r="AD8" s="20"/>
      <c r="AE8" s="21"/>
      <c r="AF8" s="20"/>
      <c r="AG8" s="20"/>
      <c r="AH8" s="20"/>
      <c r="AI8" s="20"/>
      <c r="AJ8" s="21"/>
      <c r="AK8" s="20"/>
      <c r="AL8" s="20"/>
      <c r="AM8" s="20"/>
      <c r="AN8" s="20"/>
      <c r="AO8" s="21"/>
      <c r="AP8" s="20"/>
      <c r="AQ8" s="20"/>
      <c r="AR8" s="20"/>
      <c r="AS8" s="20"/>
      <c r="AT8" s="21"/>
      <c r="AU8" s="20"/>
      <c r="AV8" s="20"/>
      <c r="AW8" s="20"/>
      <c r="AX8" s="20"/>
      <c r="AY8" s="21"/>
      <c r="AZ8" s="20"/>
      <c r="BA8" s="20"/>
      <c r="BB8" s="20"/>
      <c r="BC8" s="20"/>
      <c r="BD8" s="21"/>
      <c r="BE8" s="20"/>
      <c r="BF8" s="20"/>
      <c r="BG8" s="20"/>
      <c r="BH8" s="20"/>
      <c r="BI8" s="21"/>
      <c r="BJ8" s="24"/>
    </row>
    <row r="9" spans="1:65">
      <c r="A9" s="459" t="s">
        <v>0</v>
      </c>
      <c r="B9" s="28"/>
      <c r="C9" s="28"/>
      <c r="D9" s="28"/>
      <c r="E9" s="28"/>
      <c r="F9" s="177"/>
      <c r="G9" s="28"/>
      <c r="H9" s="28"/>
      <c r="I9" s="28"/>
      <c r="J9" s="28"/>
      <c r="K9" s="177">
        <f>K3+K6</f>
        <v>6720</v>
      </c>
      <c r="L9" s="270">
        <f>L6+L3</f>
        <v>1707</v>
      </c>
      <c r="M9" s="270">
        <f t="shared" ref="M9:AX9" si="4">M6+M3</f>
        <v>1716</v>
      </c>
      <c r="N9" s="270">
        <f t="shared" si="4"/>
        <v>1847</v>
      </c>
      <c r="O9" s="270">
        <f t="shared" si="4"/>
        <v>2035</v>
      </c>
      <c r="P9" s="177">
        <f t="shared" si="4"/>
        <v>7305</v>
      </c>
      <c r="Q9" s="270">
        <f t="shared" si="4"/>
        <v>1841</v>
      </c>
      <c r="R9" s="270">
        <f t="shared" si="4"/>
        <v>1984</v>
      </c>
      <c r="S9" s="270">
        <f t="shared" si="4"/>
        <v>1844</v>
      </c>
      <c r="T9" s="270">
        <f t="shared" si="4"/>
        <v>2174</v>
      </c>
      <c r="U9" s="177">
        <f t="shared" si="4"/>
        <v>7843</v>
      </c>
      <c r="V9" s="270">
        <f t="shared" si="4"/>
        <v>2006</v>
      </c>
      <c r="W9" s="270">
        <f t="shared" si="4"/>
        <v>2028</v>
      </c>
      <c r="X9" s="270">
        <f t="shared" si="4"/>
        <v>2111</v>
      </c>
      <c r="Y9" s="270">
        <f t="shared" si="4"/>
        <v>2513</v>
      </c>
      <c r="Z9" s="177">
        <f t="shared" si="4"/>
        <v>8658</v>
      </c>
      <c r="AA9" s="270">
        <f t="shared" si="4"/>
        <v>1780</v>
      </c>
      <c r="AB9" s="270">
        <f t="shared" si="4"/>
        <v>1864</v>
      </c>
      <c r="AC9" s="270">
        <f t="shared" si="4"/>
        <v>1833</v>
      </c>
      <c r="AD9" s="270">
        <f t="shared" si="4"/>
        <v>2086</v>
      </c>
      <c r="AE9" s="177">
        <f t="shared" si="4"/>
        <v>7563</v>
      </c>
      <c r="AF9" s="270">
        <f t="shared" si="4"/>
        <v>1638</v>
      </c>
      <c r="AG9" s="270">
        <f t="shared" si="4"/>
        <v>1725</v>
      </c>
      <c r="AH9" s="270">
        <f t="shared" si="4"/>
        <v>1796</v>
      </c>
      <c r="AI9" s="270">
        <f t="shared" si="4"/>
        <v>1791</v>
      </c>
      <c r="AJ9" s="177">
        <f t="shared" si="4"/>
        <v>6950</v>
      </c>
      <c r="AK9" s="270">
        <f t="shared" si="4"/>
        <v>1750</v>
      </c>
      <c r="AL9" s="270">
        <f t="shared" si="4"/>
        <v>1821</v>
      </c>
      <c r="AM9" s="270">
        <f t="shared" si="4"/>
        <v>1734</v>
      </c>
      <c r="AN9" s="270">
        <f t="shared" si="4"/>
        <v>2080</v>
      </c>
      <c r="AO9" s="177">
        <f t="shared" si="4"/>
        <v>7385</v>
      </c>
      <c r="AP9" s="270">
        <f t="shared" si="4"/>
        <v>1966</v>
      </c>
      <c r="AQ9" s="270">
        <f t="shared" si="4"/>
        <v>2375</v>
      </c>
      <c r="AR9" s="270">
        <f t="shared" si="4"/>
        <v>2205</v>
      </c>
      <c r="AS9" s="270">
        <f t="shared" si="4"/>
        <v>2415</v>
      </c>
      <c r="AT9" s="177">
        <f t="shared" si="4"/>
        <v>8961</v>
      </c>
      <c r="AU9" s="270">
        <f>AU6+AU3</f>
        <v>2312</v>
      </c>
      <c r="AV9" s="270">
        <f>AV6+AV3+1</f>
        <v>2401</v>
      </c>
      <c r="AW9" s="270">
        <f>AW6+AW3</f>
        <v>2243</v>
      </c>
      <c r="AX9" s="270">
        <f t="shared" si="4"/>
        <v>2524</v>
      </c>
      <c r="AY9" s="177">
        <f>AY6+AY3-1</f>
        <v>9478</v>
      </c>
      <c r="AZ9" s="270">
        <f t="shared" ref="AZ9:BI9" si="5">AZ6+AZ3</f>
        <v>2325</v>
      </c>
      <c r="BA9" s="270">
        <f t="shared" si="5"/>
        <v>2563</v>
      </c>
      <c r="BB9" s="270">
        <f t="shared" si="5"/>
        <v>2828</v>
      </c>
      <c r="BC9" s="270">
        <f t="shared" si="5"/>
        <v>2839</v>
      </c>
      <c r="BD9" s="177">
        <f>BD6+BD3-1</f>
        <v>10554</v>
      </c>
      <c r="BE9" s="270">
        <f>BE6+BE3</f>
        <v>3214</v>
      </c>
      <c r="BF9" s="270">
        <f t="shared" si="5"/>
        <v>3443</v>
      </c>
      <c r="BG9" s="270">
        <f t="shared" si="5"/>
        <v>3375.1025</v>
      </c>
      <c r="BH9" s="270">
        <f t="shared" si="5"/>
        <v>3554.2574999999988</v>
      </c>
      <c r="BI9" s="177">
        <f t="shared" si="5"/>
        <v>13586.36</v>
      </c>
      <c r="BJ9" s="73"/>
      <c r="BL9" s="608">
        <v>12200</v>
      </c>
      <c r="BM9" t="s">
        <v>609</v>
      </c>
    </row>
    <row r="10" spans="1:65">
      <c r="A10" s="458" t="s">
        <v>4</v>
      </c>
      <c r="B10" s="198"/>
      <c r="C10" s="32"/>
      <c r="D10" s="32"/>
      <c r="E10" s="32"/>
      <c r="F10" s="123"/>
      <c r="G10" s="198"/>
      <c r="H10" s="32"/>
      <c r="I10" s="32"/>
      <c r="J10" s="32"/>
      <c r="K10" s="123"/>
      <c r="L10" s="198" t="e">
        <f t="shared" ref="L10:BD10" si="6">L9/G9-1</f>
        <v>#DIV/0!</v>
      </c>
      <c r="M10" s="32" t="e">
        <f t="shared" si="6"/>
        <v>#DIV/0!</v>
      </c>
      <c r="N10" s="32" t="e">
        <f t="shared" si="6"/>
        <v>#DIV/0!</v>
      </c>
      <c r="O10" s="32" t="e">
        <f t="shared" si="6"/>
        <v>#DIV/0!</v>
      </c>
      <c r="P10" s="123">
        <f t="shared" si="6"/>
        <v>8.7053571428571397E-2</v>
      </c>
      <c r="Q10" s="198">
        <f t="shared" si="6"/>
        <v>7.8500292911540814E-2</v>
      </c>
      <c r="R10" s="32">
        <f t="shared" si="6"/>
        <v>0.15617715617715611</v>
      </c>
      <c r="S10" s="32">
        <f t="shared" si="6"/>
        <v>-1.6242555495398214E-3</v>
      </c>
      <c r="T10" s="32">
        <f t="shared" si="6"/>
        <v>6.8304668304668414E-2</v>
      </c>
      <c r="U10" s="123">
        <f t="shared" si="6"/>
        <v>7.3648186173853603E-2</v>
      </c>
      <c r="V10" s="198">
        <f t="shared" si="6"/>
        <v>8.9625203693644684E-2</v>
      </c>
      <c r="W10" s="32">
        <f t="shared" si="6"/>
        <v>2.2177419354838745E-2</v>
      </c>
      <c r="X10" s="32">
        <f t="shared" si="6"/>
        <v>0.1447939262472886</v>
      </c>
      <c r="Y10" s="32">
        <f t="shared" si="6"/>
        <v>0.1559337626494941</v>
      </c>
      <c r="Z10" s="123">
        <f t="shared" si="6"/>
        <v>0.10391431850057375</v>
      </c>
      <c r="AA10" s="198">
        <f t="shared" si="6"/>
        <v>-0.11266201395812558</v>
      </c>
      <c r="AB10" s="32">
        <f t="shared" si="6"/>
        <v>-8.0867850098619298E-2</v>
      </c>
      <c r="AC10" s="32">
        <f t="shared" si="6"/>
        <v>-0.13169114163903362</v>
      </c>
      <c r="AD10" s="198">
        <f t="shared" si="6"/>
        <v>-0.16991643454038996</v>
      </c>
      <c r="AE10" s="123">
        <f t="shared" si="6"/>
        <v>-0.12647262647262647</v>
      </c>
      <c r="AF10" s="198">
        <f t="shared" si="6"/>
        <v>-7.9775280898876422E-2</v>
      </c>
      <c r="AG10" s="32">
        <f t="shared" si="6"/>
        <v>-7.4570815450643813E-2</v>
      </c>
      <c r="AH10" s="32">
        <f t="shared" si="6"/>
        <v>-2.0185488270594631E-2</v>
      </c>
      <c r="AI10" s="198">
        <f t="shared" si="6"/>
        <v>-0.14141898370086292</v>
      </c>
      <c r="AJ10" s="123">
        <f t="shared" si="6"/>
        <v>-8.1052492397196918E-2</v>
      </c>
      <c r="AK10" s="198">
        <f t="shared" si="6"/>
        <v>6.8376068376068355E-2</v>
      </c>
      <c r="AL10" s="32">
        <f t="shared" si="6"/>
        <v>5.5652173913043557E-2</v>
      </c>
      <c r="AM10" s="32">
        <f t="shared" si="6"/>
        <v>-3.4521158129175999E-2</v>
      </c>
      <c r="AN10" s="198">
        <f t="shared" si="6"/>
        <v>0.16136236739251819</v>
      </c>
      <c r="AO10" s="123">
        <f t="shared" si="6"/>
        <v>6.2589928057553923E-2</v>
      </c>
      <c r="AP10" s="33">
        <f t="shared" si="6"/>
        <v>0.12342857142857144</v>
      </c>
      <c r="AQ10" s="32">
        <f t="shared" si="6"/>
        <v>0.30422844590884135</v>
      </c>
      <c r="AR10" s="32">
        <f t="shared" si="6"/>
        <v>0.27162629757785473</v>
      </c>
      <c r="AS10" s="32">
        <f t="shared" si="6"/>
        <v>0.16105769230769229</v>
      </c>
      <c r="AT10" s="123">
        <f t="shared" si="6"/>
        <v>0.21340555179417731</v>
      </c>
      <c r="AU10" s="33">
        <f t="shared" si="6"/>
        <v>0.17599186164801628</v>
      </c>
      <c r="AV10" s="32">
        <f t="shared" si="6"/>
        <v>1.0947368421052595E-2</v>
      </c>
      <c r="AW10" s="32">
        <f t="shared" si="6"/>
        <v>1.7233560090702982E-2</v>
      </c>
      <c r="AX10" s="32">
        <f t="shared" ref="AX10:BC10" si="7">AX9/AS9-1</f>
        <v>4.5134575569358182E-2</v>
      </c>
      <c r="AY10" s="123">
        <f t="shared" si="6"/>
        <v>5.7694453744001839E-2</v>
      </c>
      <c r="AZ10" s="33">
        <f t="shared" si="6"/>
        <v>5.6228373702422729E-3</v>
      </c>
      <c r="BA10" s="32">
        <f t="shared" si="6"/>
        <v>6.7471886713869278E-2</v>
      </c>
      <c r="BB10" s="32">
        <f t="shared" si="6"/>
        <v>0.26081141328577795</v>
      </c>
      <c r="BC10" s="32">
        <f t="shared" si="7"/>
        <v>0.12480190174326466</v>
      </c>
      <c r="BD10" s="123">
        <f t="shared" si="6"/>
        <v>0.11352606035028479</v>
      </c>
      <c r="BE10" s="33">
        <f t="shared" ref="BE10" si="8">BE9/AZ9-1</f>
        <v>0.38236559139784942</v>
      </c>
      <c r="BF10" s="32">
        <f t="shared" ref="BF10" si="9">BF9/BA9-1</f>
        <v>0.3433476394849786</v>
      </c>
      <c r="BG10" s="32">
        <f t="shared" ref="BG10" si="10">BG9/BB9-1</f>
        <v>0.1934591584158416</v>
      </c>
      <c r="BH10" s="32">
        <f t="shared" ref="BH10" si="11">BH9/BC9-1</f>
        <v>0.25193994364212702</v>
      </c>
      <c r="BI10" s="123">
        <f t="shared" ref="BI10" si="12">BI9/BD9-1</f>
        <v>0.28731855220769376</v>
      </c>
      <c r="BJ10" s="541" t="s">
        <v>642</v>
      </c>
      <c r="BL10" s="564">
        <f>BI9/BL9-1</f>
        <v>0.11363606557377048</v>
      </c>
    </row>
    <row r="11" spans="1:65">
      <c r="A11" s="458"/>
      <c r="B11" s="33"/>
      <c r="C11" s="34"/>
      <c r="D11" s="34"/>
      <c r="E11" s="34"/>
      <c r="F11" s="35"/>
      <c r="G11" s="33"/>
      <c r="H11" s="34"/>
      <c r="I11" s="34"/>
      <c r="J11" s="34"/>
      <c r="K11" s="35"/>
      <c r="L11" s="33"/>
      <c r="M11" s="34"/>
      <c r="N11" s="34"/>
      <c r="O11" s="34"/>
      <c r="P11" s="35"/>
      <c r="Q11" s="33"/>
      <c r="R11" s="34"/>
      <c r="S11" s="34"/>
      <c r="T11" s="34"/>
      <c r="U11" s="35"/>
      <c r="V11" s="33"/>
      <c r="W11" s="34"/>
      <c r="X11" s="34"/>
      <c r="Y11" s="34"/>
      <c r="Z11" s="35"/>
      <c r="AA11" s="33"/>
      <c r="AB11" s="34"/>
      <c r="AC11" s="34"/>
      <c r="AD11" s="34"/>
      <c r="AE11" s="35"/>
      <c r="AF11" s="34"/>
      <c r="AG11" s="34"/>
      <c r="AH11" s="34"/>
      <c r="AI11" s="34"/>
      <c r="AJ11" s="35"/>
      <c r="AK11" s="34"/>
      <c r="AL11" s="34"/>
      <c r="AM11" s="34"/>
      <c r="AN11" s="34"/>
      <c r="AO11" s="35"/>
      <c r="AP11" s="34"/>
      <c r="AQ11" s="34"/>
      <c r="AR11" s="34"/>
      <c r="AS11" s="34"/>
      <c r="AT11" s="35"/>
      <c r="AU11" s="34"/>
      <c r="AV11" s="34"/>
      <c r="AW11" s="34"/>
      <c r="AX11" s="34"/>
      <c r="AY11" s="35"/>
      <c r="AZ11" s="34"/>
      <c r="BA11" s="34"/>
      <c r="BB11" s="34"/>
      <c r="BC11" s="34"/>
      <c r="BD11" s="35"/>
      <c r="BE11" s="34"/>
      <c r="BF11" s="34"/>
      <c r="BG11" s="34"/>
      <c r="BH11" s="34"/>
      <c r="BI11" s="35"/>
      <c r="BJ11" s="24"/>
    </row>
    <row r="12" spans="1:65">
      <c r="A12" s="460" t="s">
        <v>178</v>
      </c>
      <c r="B12" s="40"/>
      <c r="C12" s="40"/>
      <c r="D12" s="40"/>
      <c r="E12" s="40"/>
      <c r="F12" s="21"/>
      <c r="G12" s="40"/>
      <c r="H12" s="40"/>
      <c r="I12" s="40"/>
      <c r="J12" s="40"/>
      <c r="K12" s="21">
        <v>0</v>
      </c>
      <c r="L12" s="40">
        <v>0</v>
      </c>
      <c r="M12" s="40">
        <v>0</v>
      </c>
      <c r="N12" s="40">
        <v>0</v>
      </c>
      <c r="O12" s="40">
        <v>0</v>
      </c>
      <c r="P12" s="21">
        <f>SUM(L12:O12)</f>
        <v>0</v>
      </c>
      <c r="Q12" s="40">
        <v>0</v>
      </c>
      <c r="R12" s="40">
        <v>0</v>
      </c>
      <c r="S12" s="40">
        <v>0</v>
      </c>
      <c r="T12" s="40">
        <v>0</v>
      </c>
      <c r="U12" s="21">
        <f>SUM(Q12:T12)</f>
        <v>0</v>
      </c>
      <c r="V12" s="40">
        <v>0</v>
      </c>
      <c r="W12" s="40">
        <v>0</v>
      </c>
      <c r="X12" s="40">
        <v>0</v>
      </c>
      <c r="Y12" s="40">
        <v>0</v>
      </c>
      <c r="Z12" s="21">
        <f>SUM(V12:Y12)</f>
        <v>0</v>
      </c>
      <c r="AA12" s="40">
        <v>0</v>
      </c>
      <c r="AB12" s="40">
        <v>0</v>
      </c>
      <c r="AC12" s="40">
        <v>0</v>
      </c>
      <c r="AD12" s="18">
        <f>AE12-SUM(AA12:AC12)</f>
        <v>0</v>
      </c>
      <c r="AE12" s="19">
        <v>0</v>
      </c>
      <c r="AF12" s="40">
        <v>0</v>
      </c>
      <c r="AG12" s="40">
        <v>0</v>
      </c>
      <c r="AH12" s="40">
        <v>0</v>
      </c>
      <c r="AI12" s="18">
        <f>AJ12-SUM(AF12:AH12)</f>
        <v>0</v>
      </c>
      <c r="AJ12" s="19">
        <v>0</v>
      </c>
      <c r="AK12" s="40">
        <v>0</v>
      </c>
      <c r="AL12" s="40">
        <v>0</v>
      </c>
      <c r="AM12" s="40">
        <v>0</v>
      </c>
      <c r="AN12" s="18">
        <f>AO12-SUM(AK12:AM12)</f>
        <v>0</v>
      </c>
      <c r="AO12" s="19">
        <v>0</v>
      </c>
      <c r="AP12" s="40">
        <v>0</v>
      </c>
      <c r="AQ12" s="40">
        <v>0</v>
      </c>
      <c r="AR12" s="40">
        <v>0</v>
      </c>
      <c r="AS12" s="18">
        <f>AT12-SUM(AP12:AR12)</f>
        <v>0</v>
      </c>
      <c r="AT12" s="19">
        <v>0</v>
      </c>
      <c r="AU12" s="40">
        <v>0</v>
      </c>
      <c r="AV12" s="40">
        <v>0</v>
      </c>
      <c r="AW12" s="40">
        <v>0</v>
      </c>
      <c r="AX12" s="18">
        <f>AY12-SUM(AU12:AW12)</f>
        <v>0</v>
      </c>
      <c r="AY12" s="19">
        <v>0</v>
      </c>
      <c r="AZ12" s="40">
        <v>0</v>
      </c>
      <c r="BA12" s="40">
        <v>0</v>
      </c>
      <c r="BB12" s="40">
        <v>0</v>
      </c>
      <c r="BC12" s="18">
        <f>BD12-SUM(AZ12:BB12)</f>
        <v>0</v>
      </c>
      <c r="BD12" s="19">
        <v>0</v>
      </c>
      <c r="BE12" s="40">
        <v>0</v>
      </c>
      <c r="BF12" s="40">
        <v>0</v>
      </c>
      <c r="BG12" s="40">
        <v>0</v>
      </c>
      <c r="BH12" s="18">
        <f>BI12-SUM(BE12:BG12)</f>
        <v>0</v>
      </c>
      <c r="BI12" s="19">
        <v>0</v>
      </c>
      <c r="BJ12" s="24"/>
      <c r="BL12" s="374"/>
    </row>
    <row r="13" spans="1:65">
      <c r="A13" s="461" t="s">
        <v>201</v>
      </c>
      <c r="B13" s="22"/>
      <c r="C13" s="22"/>
      <c r="D13" s="22"/>
      <c r="E13" s="22"/>
      <c r="F13" s="23"/>
      <c r="G13" s="22"/>
      <c r="H13" s="22"/>
      <c r="I13" s="22"/>
      <c r="J13" s="22"/>
      <c r="K13" s="23">
        <f>K9</f>
        <v>6720</v>
      </c>
      <c r="L13" s="22">
        <f>L9+L12</f>
        <v>1707</v>
      </c>
      <c r="M13" s="22">
        <f>M9+M12</f>
        <v>1716</v>
      </c>
      <c r="N13" s="22">
        <f>N9+N12</f>
        <v>1847</v>
      </c>
      <c r="O13" s="22">
        <f>+P13-SUM(L13,M13,N13)</f>
        <v>2035</v>
      </c>
      <c r="P13" s="23">
        <f>P9+P12</f>
        <v>7305</v>
      </c>
      <c r="Q13" s="22">
        <f>Q9+Q12</f>
        <v>1841</v>
      </c>
      <c r="R13" s="22">
        <f>R9+R12</f>
        <v>1984</v>
      </c>
      <c r="S13" s="22">
        <f>S9+S12</f>
        <v>1844</v>
      </c>
      <c r="T13" s="22">
        <f>+U13-SUM(Q13,R13,S13)</f>
        <v>2174</v>
      </c>
      <c r="U13" s="23">
        <f>U9+U12</f>
        <v>7843</v>
      </c>
      <c r="V13" s="22">
        <f t="shared" ref="V13:AT13" si="13">V9+V12</f>
        <v>2006</v>
      </c>
      <c r="W13" s="22">
        <f t="shared" si="13"/>
        <v>2028</v>
      </c>
      <c r="X13" s="22">
        <f t="shared" si="13"/>
        <v>2111</v>
      </c>
      <c r="Y13" s="22">
        <f t="shared" si="13"/>
        <v>2513</v>
      </c>
      <c r="Z13" s="23">
        <f t="shared" si="13"/>
        <v>8658</v>
      </c>
      <c r="AA13" s="22">
        <f t="shared" si="13"/>
        <v>1780</v>
      </c>
      <c r="AB13" s="22">
        <f t="shared" si="13"/>
        <v>1864</v>
      </c>
      <c r="AC13" s="22">
        <f t="shared" si="13"/>
        <v>1833</v>
      </c>
      <c r="AD13" s="22">
        <f t="shared" si="13"/>
        <v>2086</v>
      </c>
      <c r="AE13" s="23">
        <f t="shared" si="13"/>
        <v>7563</v>
      </c>
      <c r="AF13" s="22">
        <f t="shared" si="13"/>
        <v>1638</v>
      </c>
      <c r="AG13" s="22">
        <f t="shared" si="13"/>
        <v>1725</v>
      </c>
      <c r="AH13" s="22">
        <f t="shared" si="13"/>
        <v>1796</v>
      </c>
      <c r="AI13" s="22">
        <f t="shared" si="13"/>
        <v>1791</v>
      </c>
      <c r="AJ13" s="23">
        <f t="shared" si="13"/>
        <v>6950</v>
      </c>
      <c r="AK13" s="22">
        <f t="shared" si="13"/>
        <v>1750</v>
      </c>
      <c r="AL13" s="22">
        <f t="shared" si="13"/>
        <v>1821</v>
      </c>
      <c r="AM13" s="22">
        <f t="shared" si="13"/>
        <v>1734</v>
      </c>
      <c r="AN13" s="22">
        <f t="shared" si="13"/>
        <v>2080</v>
      </c>
      <c r="AO13" s="23">
        <f t="shared" si="13"/>
        <v>7385</v>
      </c>
      <c r="AP13" s="22">
        <f>AP9+AP12</f>
        <v>1966</v>
      </c>
      <c r="AQ13" s="22">
        <f t="shared" si="13"/>
        <v>2375</v>
      </c>
      <c r="AR13" s="22">
        <f t="shared" si="13"/>
        <v>2205</v>
      </c>
      <c r="AS13" s="22">
        <f t="shared" si="13"/>
        <v>2415</v>
      </c>
      <c r="AT13" s="23">
        <f t="shared" si="13"/>
        <v>8961</v>
      </c>
      <c r="AU13" s="22">
        <f>AU9+AU12</f>
        <v>2312</v>
      </c>
      <c r="AV13" s="22">
        <f t="shared" ref="AV13:BC13" si="14">AV9+AV12</f>
        <v>2401</v>
      </c>
      <c r="AW13" s="22">
        <f t="shared" si="14"/>
        <v>2243</v>
      </c>
      <c r="AX13" s="22">
        <f t="shared" si="14"/>
        <v>2524</v>
      </c>
      <c r="AY13" s="23">
        <f t="shared" si="14"/>
        <v>9478</v>
      </c>
      <c r="AZ13" s="22">
        <f>AZ9+AZ12</f>
        <v>2325</v>
      </c>
      <c r="BA13" s="22">
        <f t="shared" ref="BA13:BB13" si="15">BA9+BA12</f>
        <v>2563</v>
      </c>
      <c r="BB13" s="22">
        <f t="shared" si="15"/>
        <v>2828</v>
      </c>
      <c r="BC13" s="22">
        <f t="shared" si="14"/>
        <v>2839</v>
      </c>
      <c r="BD13" s="23">
        <f t="shared" ref="BD13" si="16">BD9+BD12</f>
        <v>10554</v>
      </c>
      <c r="BE13" s="22">
        <f>BE9+BE12</f>
        <v>3214</v>
      </c>
      <c r="BF13" s="22">
        <f t="shared" ref="BF13:BI13" si="17">BF9+BF12</f>
        <v>3443</v>
      </c>
      <c r="BG13" s="22">
        <f t="shared" si="17"/>
        <v>3375.1025</v>
      </c>
      <c r="BH13" s="22">
        <f t="shared" si="17"/>
        <v>3554.2574999999988</v>
      </c>
      <c r="BI13" s="23">
        <f t="shared" si="17"/>
        <v>13586.36</v>
      </c>
      <c r="BJ13" s="24"/>
      <c r="BL13" s="374"/>
    </row>
    <row r="14" spans="1:65">
      <c r="A14" s="458" t="s">
        <v>4</v>
      </c>
      <c r="B14" s="33"/>
      <c r="C14" s="34"/>
      <c r="D14" s="34"/>
      <c r="E14" s="34"/>
      <c r="F14" s="35"/>
      <c r="G14" s="33"/>
      <c r="H14" s="34"/>
      <c r="I14" s="34"/>
      <c r="J14" s="34"/>
      <c r="K14" s="35"/>
      <c r="L14" s="33" t="e">
        <f t="shared" ref="L14:BD14" si="18">L13/G13-1</f>
        <v>#DIV/0!</v>
      </c>
      <c r="M14" s="34" t="e">
        <f t="shared" si="18"/>
        <v>#DIV/0!</v>
      </c>
      <c r="N14" s="34" t="e">
        <f t="shared" si="18"/>
        <v>#DIV/0!</v>
      </c>
      <c r="O14" s="34" t="e">
        <f t="shared" si="18"/>
        <v>#DIV/0!</v>
      </c>
      <c r="P14" s="35">
        <f t="shared" si="18"/>
        <v>8.7053571428571397E-2</v>
      </c>
      <c r="Q14" s="33">
        <f t="shared" si="18"/>
        <v>7.8500292911540814E-2</v>
      </c>
      <c r="R14" s="34">
        <f t="shared" si="18"/>
        <v>0.15617715617715611</v>
      </c>
      <c r="S14" s="34">
        <f t="shared" si="18"/>
        <v>-1.6242555495398214E-3</v>
      </c>
      <c r="T14" s="34">
        <f t="shared" si="18"/>
        <v>6.8304668304668414E-2</v>
      </c>
      <c r="U14" s="35">
        <f t="shared" si="18"/>
        <v>7.3648186173853603E-2</v>
      </c>
      <c r="V14" s="33">
        <f t="shared" si="18"/>
        <v>8.9625203693644684E-2</v>
      </c>
      <c r="W14" s="34">
        <f t="shared" si="18"/>
        <v>2.2177419354838745E-2</v>
      </c>
      <c r="X14" s="34">
        <f t="shared" si="18"/>
        <v>0.1447939262472886</v>
      </c>
      <c r="Y14" s="34">
        <f t="shared" si="18"/>
        <v>0.1559337626494941</v>
      </c>
      <c r="Z14" s="35">
        <f t="shared" si="18"/>
        <v>0.10391431850057375</v>
      </c>
      <c r="AA14" s="33">
        <f t="shared" si="18"/>
        <v>-0.11266201395812558</v>
      </c>
      <c r="AB14" s="34">
        <f t="shared" si="18"/>
        <v>-8.0867850098619298E-2</v>
      </c>
      <c r="AC14" s="33">
        <f t="shared" si="18"/>
        <v>-0.13169114163903362</v>
      </c>
      <c r="AD14" s="33">
        <f t="shared" si="18"/>
        <v>-0.16991643454038996</v>
      </c>
      <c r="AE14" s="35">
        <f t="shared" si="18"/>
        <v>-0.12647262647262647</v>
      </c>
      <c r="AF14" s="33">
        <f t="shared" si="18"/>
        <v>-7.9775280898876422E-2</v>
      </c>
      <c r="AG14" s="33">
        <f t="shared" si="18"/>
        <v>-7.4570815450643813E-2</v>
      </c>
      <c r="AH14" s="33">
        <f t="shared" si="18"/>
        <v>-2.0185488270594631E-2</v>
      </c>
      <c r="AI14" s="33">
        <f t="shared" si="18"/>
        <v>-0.14141898370086292</v>
      </c>
      <c r="AJ14" s="35">
        <f t="shared" si="18"/>
        <v>-8.1052492397196918E-2</v>
      </c>
      <c r="AK14" s="33">
        <f t="shared" si="18"/>
        <v>6.8376068376068355E-2</v>
      </c>
      <c r="AL14" s="33">
        <f t="shared" si="18"/>
        <v>5.5652173913043557E-2</v>
      </c>
      <c r="AM14" s="33">
        <f t="shared" si="18"/>
        <v>-3.4521158129175999E-2</v>
      </c>
      <c r="AN14" s="33">
        <f t="shared" si="18"/>
        <v>0.16136236739251819</v>
      </c>
      <c r="AO14" s="35">
        <f t="shared" si="18"/>
        <v>6.2589928057553923E-2</v>
      </c>
      <c r="AP14" s="33">
        <f t="shared" si="18"/>
        <v>0.12342857142857144</v>
      </c>
      <c r="AQ14" s="33">
        <f t="shared" si="18"/>
        <v>0.30422844590884135</v>
      </c>
      <c r="AR14" s="33">
        <f t="shared" si="18"/>
        <v>0.27162629757785473</v>
      </c>
      <c r="AS14" s="33">
        <f t="shared" si="18"/>
        <v>0.16105769230769229</v>
      </c>
      <c r="AT14" s="35">
        <f t="shared" si="18"/>
        <v>0.21340555179417731</v>
      </c>
      <c r="AU14" s="33">
        <f t="shared" si="18"/>
        <v>0.17599186164801628</v>
      </c>
      <c r="AV14" s="33">
        <f t="shared" si="18"/>
        <v>1.0947368421052595E-2</v>
      </c>
      <c r="AW14" s="33">
        <f t="shared" si="18"/>
        <v>1.7233560090702982E-2</v>
      </c>
      <c r="AX14" s="33">
        <f t="shared" ref="AX14:BC14" si="19">AX13/AS13-1</f>
        <v>4.5134575569358182E-2</v>
      </c>
      <c r="AY14" s="35">
        <f t="shared" si="18"/>
        <v>5.7694453744001839E-2</v>
      </c>
      <c r="AZ14" s="33">
        <f t="shared" si="18"/>
        <v>5.6228373702422729E-3</v>
      </c>
      <c r="BA14" s="33">
        <f t="shared" si="18"/>
        <v>6.7471886713869278E-2</v>
      </c>
      <c r="BB14" s="33">
        <f t="shared" si="18"/>
        <v>0.26081141328577795</v>
      </c>
      <c r="BC14" s="33">
        <f t="shared" si="19"/>
        <v>0.12480190174326466</v>
      </c>
      <c r="BD14" s="35">
        <f t="shared" si="18"/>
        <v>0.11352606035028479</v>
      </c>
      <c r="BE14" s="33">
        <f t="shared" ref="BE14" si="20">BE13/AZ13-1</f>
        <v>0.38236559139784942</v>
      </c>
      <c r="BF14" s="33">
        <f t="shared" ref="BF14" si="21">BF13/BA13-1</f>
        <v>0.3433476394849786</v>
      </c>
      <c r="BG14" s="33">
        <f t="shared" ref="BG14" si="22">BG13/BB13-1</f>
        <v>0.1934591584158416</v>
      </c>
      <c r="BH14" s="33">
        <f t="shared" ref="BH14" si="23">BH13/BC13-1</f>
        <v>0.25193994364212702</v>
      </c>
      <c r="BI14" s="35">
        <f t="shared" ref="BI14" si="24">BI13/BD13-1</f>
        <v>0.28731855220769376</v>
      </c>
      <c r="BJ14" s="322"/>
    </row>
    <row r="15" spans="1:65">
      <c r="A15" s="458"/>
      <c r="B15" s="20"/>
      <c r="C15" s="20"/>
      <c r="D15" s="20"/>
      <c r="E15" s="20"/>
      <c r="F15" s="21"/>
      <c r="G15" s="20"/>
      <c r="H15" s="20"/>
      <c r="I15" s="20"/>
      <c r="J15" s="20"/>
      <c r="K15" s="21"/>
      <c r="L15" s="20"/>
      <c r="M15" s="20"/>
      <c r="N15" s="20"/>
      <c r="O15" s="20"/>
      <c r="P15" s="21"/>
      <c r="Q15" s="20"/>
      <c r="R15" s="20"/>
      <c r="S15" s="20"/>
      <c r="T15" s="20"/>
      <c r="U15" s="21"/>
      <c r="V15" s="20"/>
      <c r="W15" s="20"/>
      <c r="X15" s="20"/>
      <c r="Y15" s="20"/>
      <c r="Z15" s="21"/>
      <c r="AA15" s="20"/>
      <c r="AB15" s="20"/>
      <c r="AC15" s="20"/>
      <c r="AD15" s="20"/>
      <c r="AE15" s="21"/>
      <c r="AF15" s="20"/>
      <c r="AG15" s="20"/>
      <c r="AH15" s="20"/>
      <c r="AI15" s="20"/>
      <c r="AJ15" s="21"/>
      <c r="AK15" s="20"/>
      <c r="AL15" s="20"/>
      <c r="AM15" s="20"/>
      <c r="AN15" s="20"/>
      <c r="AO15" s="21"/>
      <c r="AP15" s="20"/>
      <c r="AQ15" s="20"/>
      <c r="AR15" s="20"/>
      <c r="AS15" s="20"/>
      <c r="AT15" s="21"/>
      <c r="AU15" s="20"/>
      <c r="AV15" s="20"/>
      <c r="AW15" s="20"/>
      <c r="AX15" s="20"/>
      <c r="AY15" s="21"/>
      <c r="AZ15" s="20"/>
      <c r="BA15" s="20"/>
      <c r="BB15" s="20"/>
      <c r="BC15" s="20"/>
      <c r="BD15" s="21"/>
      <c r="BE15" s="20"/>
      <c r="BF15" s="20"/>
      <c r="BG15" s="20"/>
      <c r="BH15" s="20"/>
      <c r="BI15" s="21"/>
      <c r="BJ15" s="24"/>
    </row>
    <row r="16" spans="1:65">
      <c r="A16" s="462" t="s">
        <v>10</v>
      </c>
      <c r="B16" s="26"/>
      <c r="C16" s="26"/>
      <c r="D16" s="26"/>
      <c r="E16" s="26"/>
      <c r="F16" s="27"/>
      <c r="G16" s="26"/>
      <c r="H16" s="26"/>
      <c r="I16" s="26"/>
      <c r="J16" s="26"/>
      <c r="K16" s="27"/>
      <c r="L16" s="26">
        <f t="shared" ref="L16:AT16" si="25">+-L9+L19</f>
        <v>-1707</v>
      </c>
      <c r="M16" s="26">
        <f t="shared" si="25"/>
        <v>-1716</v>
      </c>
      <c r="N16" s="26">
        <f t="shared" si="25"/>
        <v>-1847</v>
      </c>
      <c r="O16" s="26">
        <f t="shared" si="25"/>
        <v>-2035</v>
      </c>
      <c r="P16" s="27">
        <f t="shared" si="25"/>
        <v>-7305</v>
      </c>
      <c r="Q16" s="26">
        <f t="shared" si="25"/>
        <v>-1841</v>
      </c>
      <c r="R16" s="26">
        <f t="shared" si="25"/>
        <v>-1984</v>
      </c>
      <c r="S16" s="26">
        <f t="shared" si="25"/>
        <v>-1844</v>
      </c>
      <c r="T16" s="26">
        <f t="shared" si="25"/>
        <v>-2174</v>
      </c>
      <c r="U16" s="27">
        <f t="shared" si="25"/>
        <v>-7843</v>
      </c>
      <c r="V16" s="26">
        <f t="shared" si="25"/>
        <v>-2006</v>
      </c>
      <c r="W16" s="26">
        <f t="shared" si="25"/>
        <v>-2028</v>
      </c>
      <c r="X16" s="26">
        <f t="shared" si="25"/>
        <v>-2111</v>
      </c>
      <c r="Y16" s="26">
        <f t="shared" si="25"/>
        <v>-2513</v>
      </c>
      <c r="Z16" s="27">
        <f t="shared" si="25"/>
        <v>-8658</v>
      </c>
      <c r="AA16" s="26">
        <f t="shared" si="25"/>
        <v>-1780</v>
      </c>
      <c r="AB16" s="26">
        <f t="shared" si="25"/>
        <v>-1864</v>
      </c>
      <c r="AC16" s="26">
        <f>+-AC9+AC19</f>
        <v>-1833</v>
      </c>
      <c r="AD16" s="26">
        <f t="shared" si="25"/>
        <v>-2086</v>
      </c>
      <c r="AE16" s="27">
        <f t="shared" si="25"/>
        <v>-7563</v>
      </c>
      <c r="AF16" s="26">
        <f t="shared" si="25"/>
        <v>-1638</v>
      </c>
      <c r="AG16" s="26">
        <f t="shared" si="25"/>
        <v>-1725</v>
      </c>
      <c r="AH16" s="26">
        <f t="shared" si="25"/>
        <v>-1796</v>
      </c>
      <c r="AI16" s="26">
        <f t="shared" si="25"/>
        <v>-1791</v>
      </c>
      <c r="AJ16" s="27">
        <f t="shared" si="25"/>
        <v>-6950</v>
      </c>
      <c r="AK16" s="26">
        <f t="shared" si="25"/>
        <v>-1750</v>
      </c>
      <c r="AL16" s="26">
        <f t="shared" si="25"/>
        <v>-1821</v>
      </c>
      <c r="AM16" s="26">
        <f t="shared" si="25"/>
        <v>-1734</v>
      </c>
      <c r="AN16" s="26">
        <f t="shared" si="25"/>
        <v>-2080</v>
      </c>
      <c r="AO16" s="27">
        <f t="shared" si="25"/>
        <v>-7385</v>
      </c>
      <c r="AP16" s="26">
        <f t="shared" si="25"/>
        <v>-1765</v>
      </c>
      <c r="AQ16" s="26">
        <f t="shared" si="25"/>
        <v>-2174</v>
      </c>
      <c r="AR16" s="26">
        <f t="shared" si="25"/>
        <v>-1936</v>
      </c>
      <c r="AS16" s="26">
        <f t="shared" si="25"/>
        <v>-2178</v>
      </c>
      <c r="AT16" s="27">
        <f t="shared" si="25"/>
        <v>-8053</v>
      </c>
      <c r="AU16" s="26">
        <f>+-AU9+AU19</f>
        <v>-2056</v>
      </c>
      <c r="AV16" s="26">
        <f t="shared" ref="AV16:BC16" si="26">+-AV9+AV19</f>
        <v>-2057</v>
      </c>
      <c r="AW16" s="26">
        <f t="shared" si="26"/>
        <v>-2023</v>
      </c>
      <c r="AX16" s="26">
        <f t="shared" si="26"/>
        <v>-2283</v>
      </c>
      <c r="AY16" s="27">
        <f t="shared" si="26"/>
        <v>-8417</v>
      </c>
      <c r="AZ16" s="26">
        <f t="shared" si="26"/>
        <v>-2029</v>
      </c>
      <c r="BA16" s="26">
        <f t="shared" ref="BA16:BB16" si="27">+-BA9+BA19</f>
        <v>-2201</v>
      </c>
      <c r="BB16" s="26">
        <f t="shared" si="27"/>
        <v>-2442</v>
      </c>
      <c r="BC16" s="26">
        <f t="shared" si="26"/>
        <v>-2587</v>
      </c>
      <c r="BD16" s="27">
        <f t="shared" ref="BD16" si="28">+-BD9+BD19</f>
        <v>-9258</v>
      </c>
      <c r="BE16" s="26">
        <f t="shared" ref="BE16:BI16" si="29">+-BE9+BE19</f>
        <v>-2835</v>
      </c>
      <c r="BF16" s="26">
        <f t="shared" si="29"/>
        <v>-2968</v>
      </c>
      <c r="BG16" s="26">
        <f t="shared" si="29"/>
        <v>-2936.3391750000001</v>
      </c>
      <c r="BH16" s="26">
        <f t="shared" si="29"/>
        <v>-3155.5190049999983</v>
      </c>
      <c r="BI16" s="27">
        <f t="shared" si="29"/>
        <v>-11894.858180000001</v>
      </c>
      <c r="BJ16" s="24"/>
    </row>
    <row r="17" spans="1:64">
      <c r="A17" s="458" t="s">
        <v>4</v>
      </c>
      <c r="B17" s="33"/>
      <c r="C17" s="34"/>
      <c r="D17" s="34"/>
      <c r="E17" s="34"/>
      <c r="F17" s="35"/>
      <c r="G17" s="33"/>
      <c r="H17" s="34"/>
      <c r="I17" s="34"/>
      <c r="J17" s="34"/>
      <c r="K17" s="35"/>
      <c r="L17" s="33" t="e">
        <f t="shared" ref="L17:BD17" si="30">L16/G16-1</f>
        <v>#DIV/0!</v>
      </c>
      <c r="M17" s="34" t="e">
        <f t="shared" si="30"/>
        <v>#DIV/0!</v>
      </c>
      <c r="N17" s="34" t="e">
        <f t="shared" si="30"/>
        <v>#DIV/0!</v>
      </c>
      <c r="O17" s="34" t="e">
        <f t="shared" si="30"/>
        <v>#DIV/0!</v>
      </c>
      <c r="P17" s="35" t="e">
        <f t="shared" si="30"/>
        <v>#DIV/0!</v>
      </c>
      <c r="Q17" s="33">
        <f t="shared" si="30"/>
        <v>7.8500292911540814E-2</v>
      </c>
      <c r="R17" s="34">
        <f t="shared" si="30"/>
        <v>0.15617715617715611</v>
      </c>
      <c r="S17" s="34">
        <f t="shared" si="30"/>
        <v>-1.6242555495398214E-3</v>
      </c>
      <c r="T17" s="34">
        <f t="shared" si="30"/>
        <v>6.8304668304668414E-2</v>
      </c>
      <c r="U17" s="35">
        <f t="shared" si="30"/>
        <v>7.3648186173853603E-2</v>
      </c>
      <c r="V17" s="33">
        <f t="shared" si="30"/>
        <v>8.9625203693644684E-2</v>
      </c>
      <c r="W17" s="34">
        <f t="shared" si="30"/>
        <v>2.2177419354838745E-2</v>
      </c>
      <c r="X17" s="34">
        <f t="shared" si="30"/>
        <v>0.1447939262472886</v>
      </c>
      <c r="Y17" s="34">
        <f t="shared" si="30"/>
        <v>0.1559337626494941</v>
      </c>
      <c r="Z17" s="35">
        <f t="shared" si="30"/>
        <v>0.10391431850057375</v>
      </c>
      <c r="AA17" s="33">
        <f t="shared" si="30"/>
        <v>-0.11266201395812558</v>
      </c>
      <c r="AB17" s="34">
        <f t="shared" si="30"/>
        <v>-8.0867850098619298E-2</v>
      </c>
      <c r="AC17" s="34">
        <f t="shared" si="30"/>
        <v>-0.13169114163903362</v>
      </c>
      <c r="AD17" s="34">
        <f t="shared" si="30"/>
        <v>-0.16991643454038996</v>
      </c>
      <c r="AE17" s="35">
        <f t="shared" si="30"/>
        <v>-0.12647262647262647</v>
      </c>
      <c r="AF17" s="33">
        <f t="shared" si="30"/>
        <v>-7.9775280898876422E-2</v>
      </c>
      <c r="AG17" s="34">
        <f t="shared" si="30"/>
        <v>-7.4570815450643813E-2</v>
      </c>
      <c r="AH17" s="34">
        <f t="shared" si="30"/>
        <v>-2.0185488270594631E-2</v>
      </c>
      <c r="AI17" s="34">
        <f t="shared" si="30"/>
        <v>-0.14141898370086292</v>
      </c>
      <c r="AJ17" s="35">
        <f t="shared" si="30"/>
        <v>-8.1052492397196918E-2</v>
      </c>
      <c r="AK17" s="33">
        <f t="shared" si="30"/>
        <v>6.8376068376068355E-2</v>
      </c>
      <c r="AL17" s="34">
        <f t="shared" si="30"/>
        <v>5.5652173913043557E-2</v>
      </c>
      <c r="AM17" s="34">
        <f t="shared" si="30"/>
        <v>-3.4521158129175999E-2</v>
      </c>
      <c r="AN17" s="34">
        <f t="shared" si="30"/>
        <v>0.16136236739251819</v>
      </c>
      <c r="AO17" s="35">
        <f t="shared" si="30"/>
        <v>6.2589928057553923E-2</v>
      </c>
      <c r="AP17" s="33">
        <f t="shared" si="30"/>
        <v>8.5714285714286742E-3</v>
      </c>
      <c r="AQ17" s="34">
        <f t="shared" si="30"/>
        <v>0.19384953322350351</v>
      </c>
      <c r="AR17" s="34">
        <f t="shared" si="30"/>
        <v>0.11649365628604391</v>
      </c>
      <c r="AS17" s="34">
        <f t="shared" si="30"/>
        <v>4.711538461538467E-2</v>
      </c>
      <c r="AT17" s="35">
        <f t="shared" si="30"/>
        <v>9.0453622207176787E-2</v>
      </c>
      <c r="AU17" s="33">
        <f t="shared" si="30"/>
        <v>0.16487252124645901</v>
      </c>
      <c r="AV17" s="34">
        <f t="shared" si="30"/>
        <v>-5.3817847286108611E-2</v>
      </c>
      <c r="AW17" s="34">
        <f t="shared" si="30"/>
        <v>4.4938016528925706E-2</v>
      </c>
      <c r="AX17" s="34">
        <f t="shared" ref="AX17:BC17" si="31">AX16/AS16-1</f>
        <v>4.8209366391184671E-2</v>
      </c>
      <c r="AY17" s="35">
        <f t="shared" si="30"/>
        <v>4.5200546380230966E-2</v>
      </c>
      <c r="AZ17" s="33">
        <f t="shared" si="30"/>
        <v>-1.3132295719844311E-2</v>
      </c>
      <c r="BA17" s="34">
        <f t="shared" si="30"/>
        <v>7.0004861448711653E-2</v>
      </c>
      <c r="BB17" s="34">
        <f t="shared" si="30"/>
        <v>0.20711814137419671</v>
      </c>
      <c r="BC17" s="34">
        <f t="shared" si="31"/>
        <v>0.13315812527376258</v>
      </c>
      <c r="BD17" s="35">
        <f t="shared" si="30"/>
        <v>9.991683497683268E-2</v>
      </c>
      <c r="BE17" s="33">
        <f t="shared" ref="BE17" si="32">BE16/AZ16-1</f>
        <v>0.3972400197141448</v>
      </c>
      <c r="BF17" s="34">
        <f t="shared" ref="BF17" si="33">BF16/BA16-1</f>
        <v>0.34847796456156299</v>
      </c>
      <c r="BG17" s="34">
        <f t="shared" ref="BG17" si="34">BG16/BB16-1</f>
        <v>0.20243209459459455</v>
      </c>
      <c r="BH17" s="34">
        <f t="shared" ref="BH17" si="35">BH16/BC16-1</f>
        <v>0.21975995554696492</v>
      </c>
      <c r="BI17" s="35">
        <f t="shared" ref="BI17" si="36">BI16/BD16-1</f>
        <v>0.28481941888096785</v>
      </c>
      <c r="BJ17" s="24"/>
    </row>
    <row r="18" spans="1:64">
      <c r="A18" s="460"/>
      <c r="B18" s="24"/>
      <c r="C18" s="24"/>
      <c r="D18" s="24"/>
      <c r="E18" s="24"/>
      <c r="F18" s="25"/>
      <c r="G18" s="24"/>
      <c r="H18" s="24"/>
      <c r="I18" s="24"/>
      <c r="J18" s="24"/>
      <c r="K18" s="25"/>
      <c r="L18" s="24"/>
      <c r="M18" s="24"/>
      <c r="N18" s="24"/>
      <c r="O18" s="24"/>
      <c r="P18" s="25"/>
      <c r="Q18" s="24"/>
      <c r="R18" s="24"/>
      <c r="S18" s="24"/>
      <c r="T18" s="24"/>
      <c r="U18" s="25"/>
      <c r="V18" s="24"/>
      <c r="W18" s="24"/>
      <c r="X18" s="24"/>
      <c r="Y18" s="24"/>
      <c r="Z18" s="25"/>
      <c r="AA18" s="24"/>
      <c r="AB18" s="24"/>
      <c r="AC18" s="24"/>
      <c r="AD18" s="24"/>
      <c r="AE18" s="25"/>
      <c r="AF18" s="24"/>
      <c r="AG18" s="24"/>
      <c r="AH18" s="24"/>
      <c r="AI18" s="24"/>
      <c r="AJ18" s="25"/>
      <c r="AK18" s="24"/>
      <c r="AL18" s="24"/>
      <c r="AM18" s="24"/>
      <c r="AN18" s="24"/>
      <c r="AO18" s="25"/>
      <c r="AP18" s="24"/>
      <c r="AQ18" s="24"/>
      <c r="AR18" s="24"/>
      <c r="AS18" s="24"/>
      <c r="AT18" s="25"/>
      <c r="AU18" s="24"/>
      <c r="AV18" s="24"/>
      <c r="AW18" s="24"/>
      <c r="AX18" s="24"/>
      <c r="AY18" s="25"/>
      <c r="AZ18" s="24"/>
      <c r="BA18" s="24"/>
      <c r="BB18" s="24"/>
      <c r="BC18" s="24"/>
      <c r="BD18" s="25"/>
      <c r="BE18" s="24"/>
      <c r="BF18" s="24"/>
      <c r="BG18" s="24"/>
      <c r="BH18" s="24"/>
      <c r="BI18" s="25"/>
      <c r="BJ18" s="24"/>
    </row>
    <row r="19" spans="1:64">
      <c r="A19" s="461" t="s">
        <v>9</v>
      </c>
      <c r="B19" s="28"/>
      <c r="C19" s="28"/>
      <c r="D19" s="28"/>
      <c r="E19" s="28"/>
      <c r="F19" s="177"/>
      <c r="G19" s="28"/>
      <c r="H19" s="28"/>
      <c r="I19" s="28"/>
      <c r="J19" s="28"/>
      <c r="K19" s="177"/>
      <c r="L19" s="28"/>
      <c r="M19" s="28"/>
      <c r="N19" s="28"/>
      <c r="O19" s="28"/>
      <c r="P19" s="177"/>
      <c r="Q19" s="28"/>
      <c r="R19" s="28"/>
      <c r="S19" s="28"/>
      <c r="T19" s="28"/>
      <c r="U19" s="177"/>
      <c r="V19" s="28"/>
      <c r="W19" s="28"/>
      <c r="X19" s="28"/>
      <c r="Y19" s="28"/>
      <c r="Z19" s="177"/>
      <c r="AA19" s="28"/>
      <c r="AB19" s="28"/>
      <c r="AC19" s="28"/>
      <c r="AD19" s="270"/>
      <c r="AE19" s="29"/>
      <c r="AF19" s="28"/>
      <c r="AG19" s="28"/>
      <c r="AH19" s="28"/>
      <c r="AI19" s="270"/>
      <c r="AJ19" s="29"/>
      <c r="AK19" s="28"/>
      <c r="AL19" s="28"/>
      <c r="AM19" s="28"/>
      <c r="AN19" s="270"/>
      <c r="AO19" s="29"/>
      <c r="AP19" s="28">
        <f>402-AQ19</f>
        <v>201</v>
      </c>
      <c r="AQ19" s="28">
        <v>201</v>
      </c>
      <c r="AR19" s="28">
        <v>269</v>
      </c>
      <c r="AS19" s="270">
        <f>+AT19-SUM(AP19:AR19)</f>
        <v>237</v>
      </c>
      <c r="AT19" s="29">
        <v>908</v>
      </c>
      <c r="AU19" s="28">
        <v>256</v>
      </c>
      <c r="AV19" s="28">
        <v>344</v>
      </c>
      <c r="AW19" s="28">
        <v>220</v>
      </c>
      <c r="AX19" s="270">
        <f>+AY19-SUM(AU19:AW19)</f>
        <v>241</v>
      </c>
      <c r="AY19" s="29">
        <v>1061</v>
      </c>
      <c r="AZ19" s="28">
        <v>296</v>
      </c>
      <c r="BA19" s="28">
        <v>362</v>
      </c>
      <c r="BB19" s="28">
        <v>386</v>
      </c>
      <c r="BC19" s="270">
        <f>+BD19-SUM(AZ19:BB19)</f>
        <v>252</v>
      </c>
      <c r="BD19" s="29">
        <v>1296</v>
      </c>
      <c r="BE19" s="28">
        <v>379</v>
      </c>
      <c r="BF19" s="28">
        <v>475</v>
      </c>
      <c r="BG19" s="270">
        <f t="shared" ref="BG19" si="37">BG13*BG21</f>
        <v>438.76332500000001</v>
      </c>
      <c r="BH19" s="270">
        <f>+BI19-SUM(BE19:BG19)</f>
        <v>398.73849500000028</v>
      </c>
      <c r="BI19" s="177">
        <f>+BI9*BI21</f>
        <v>1691.5018200000002</v>
      </c>
      <c r="BJ19" s="24"/>
      <c r="BL19" s="608">
        <v>1500</v>
      </c>
    </row>
    <row r="20" spans="1:64">
      <c r="A20" s="458" t="s">
        <v>4</v>
      </c>
      <c r="B20" s="33"/>
      <c r="C20" s="34"/>
      <c r="D20" s="34"/>
      <c r="E20" s="34"/>
      <c r="F20" s="35"/>
      <c r="G20" s="33"/>
      <c r="H20" s="34"/>
      <c r="I20" s="34"/>
      <c r="J20" s="34"/>
      <c r="K20" s="35"/>
      <c r="L20" s="33" t="e">
        <f t="shared" ref="L20:BF20" si="38">L19/G19-1</f>
        <v>#DIV/0!</v>
      </c>
      <c r="M20" s="34" t="e">
        <f t="shared" si="38"/>
        <v>#DIV/0!</v>
      </c>
      <c r="N20" s="34" t="e">
        <f t="shared" si="38"/>
        <v>#DIV/0!</v>
      </c>
      <c r="O20" s="34" t="e">
        <f t="shared" si="38"/>
        <v>#DIV/0!</v>
      </c>
      <c r="P20" s="35" t="e">
        <f t="shared" si="38"/>
        <v>#DIV/0!</v>
      </c>
      <c r="Q20" s="33" t="e">
        <f t="shared" si="38"/>
        <v>#DIV/0!</v>
      </c>
      <c r="R20" s="34" t="e">
        <f t="shared" si="38"/>
        <v>#DIV/0!</v>
      </c>
      <c r="S20" s="34" t="e">
        <f t="shared" si="38"/>
        <v>#DIV/0!</v>
      </c>
      <c r="T20" s="34" t="e">
        <f t="shared" si="38"/>
        <v>#DIV/0!</v>
      </c>
      <c r="U20" s="35" t="e">
        <f t="shared" si="38"/>
        <v>#DIV/0!</v>
      </c>
      <c r="V20" s="33" t="e">
        <f t="shared" si="38"/>
        <v>#DIV/0!</v>
      </c>
      <c r="W20" s="34" t="e">
        <f t="shared" si="38"/>
        <v>#DIV/0!</v>
      </c>
      <c r="X20" s="34" t="e">
        <f t="shared" si="38"/>
        <v>#DIV/0!</v>
      </c>
      <c r="Y20" s="34" t="e">
        <f t="shared" si="38"/>
        <v>#DIV/0!</v>
      </c>
      <c r="Z20" s="35" t="e">
        <f t="shared" si="38"/>
        <v>#DIV/0!</v>
      </c>
      <c r="AA20" s="198" t="e">
        <f t="shared" si="38"/>
        <v>#DIV/0!</v>
      </c>
      <c r="AB20" s="32" t="e">
        <f t="shared" si="38"/>
        <v>#DIV/0!</v>
      </c>
      <c r="AC20" s="32" t="e">
        <f t="shared" si="38"/>
        <v>#DIV/0!</v>
      </c>
      <c r="AD20" s="32" t="e">
        <f t="shared" si="38"/>
        <v>#DIV/0!</v>
      </c>
      <c r="AE20" s="123" t="e">
        <f t="shared" si="38"/>
        <v>#DIV/0!</v>
      </c>
      <c r="AF20" s="198" t="e">
        <f t="shared" si="38"/>
        <v>#DIV/0!</v>
      </c>
      <c r="AG20" s="34" t="e">
        <f t="shared" si="38"/>
        <v>#DIV/0!</v>
      </c>
      <c r="AH20" s="32" t="e">
        <f t="shared" si="38"/>
        <v>#DIV/0!</v>
      </c>
      <c r="AI20" s="32" t="e">
        <f t="shared" si="38"/>
        <v>#DIV/0!</v>
      </c>
      <c r="AJ20" s="123" t="e">
        <f t="shared" si="38"/>
        <v>#DIV/0!</v>
      </c>
      <c r="AK20" s="198" t="e">
        <f t="shared" si="38"/>
        <v>#DIV/0!</v>
      </c>
      <c r="AL20" s="34" t="e">
        <f t="shared" si="38"/>
        <v>#DIV/0!</v>
      </c>
      <c r="AM20" s="32" t="e">
        <f t="shared" si="38"/>
        <v>#DIV/0!</v>
      </c>
      <c r="AN20" s="32" t="e">
        <f t="shared" si="38"/>
        <v>#DIV/0!</v>
      </c>
      <c r="AO20" s="123" t="e">
        <f t="shared" si="38"/>
        <v>#DIV/0!</v>
      </c>
      <c r="AP20" s="33" t="e">
        <f t="shared" si="38"/>
        <v>#DIV/0!</v>
      </c>
      <c r="AQ20" s="34" t="e">
        <f t="shared" si="38"/>
        <v>#DIV/0!</v>
      </c>
      <c r="AR20" s="32" t="e">
        <f t="shared" si="38"/>
        <v>#DIV/0!</v>
      </c>
      <c r="AS20" s="32" t="e">
        <f t="shared" si="38"/>
        <v>#DIV/0!</v>
      </c>
      <c r="AT20" s="123" t="e">
        <f t="shared" si="38"/>
        <v>#DIV/0!</v>
      </c>
      <c r="AU20" s="33">
        <f t="shared" si="38"/>
        <v>0.27363184079601988</v>
      </c>
      <c r="AV20" s="34">
        <f t="shared" si="38"/>
        <v>0.71144278606965172</v>
      </c>
      <c r="AW20" s="32">
        <f t="shared" si="38"/>
        <v>-0.18215613382899631</v>
      </c>
      <c r="AX20" s="32">
        <f t="shared" ref="AX20:BC20" si="39">AX19/AS19-1</f>
        <v>1.6877637130801704E-2</v>
      </c>
      <c r="AY20" s="123">
        <f t="shared" si="38"/>
        <v>0.16850220264317173</v>
      </c>
      <c r="AZ20" s="33">
        <f t="shared" si="38"/>
        <v>0.15625</v>
      </c>
      <c r="BA20" s="34">
        <f t="shared" si="38"/>
        <v>5.232558139534893E-2</v>
      </c>
      <c r="BB20" s="34">
        <f t="shared" si="38"/>
        <v>0.75454545454545463</v>
      </c>
      <c r="BC20" s="32">
        <f t="shared" si="39"/>
        <v>4.5643153526971014E-2</v>
      </c>
      <c r="BD20" s="123">
        <f t="shared" si="38"/>
        <v>0.22148916116870887</v>
      </c>
      <c r="BE20" s="33">
        <f t="shared" si="38"/>
        <v>0.28040540540540548</v>
      </c>
      <c r="BF20" s="34">
        <f t="shared" si="38"/>
        <v>0.31215469613259672</v>
      </c>
      <c r="BG20" s="34">
        <f t="shared" ref="BG20" si="40">BG19/BB19-1</f>
        <v>0.13669255181347162</v>
      </c>
      <c r="BH20" s="32">
        <f t="shared" ref="BH20" si="41">BH19/BC19-1</f>
        <v>0.58229561507936611</v>
      </c>
      <c r="BI20" s="123">
        <f t="shared" ref="BI20" si="42">BI19/BD19-1</f>
        <v>0.30517115740740763</v>
      </c>
      <c r="BJ20" s="24"/>
      <c r="BL20" s="609">
        <f>BL19/BL9</f>
        <v>0.12295081967213115</v>
      </c>
    </row>
    <row r="21" spans="1:64">
      <c r="A21" s="458" t="s">
        <v>175</v>
      </c>
      <c r="B21" s="33"/>
      <c r="C21" s="34"/>
      <c r="D21" s="34"/>
      <c r="E21" s="34"/>
      <c r="F21" s="35"/>
      <c r="G21" s="33"/>
      <c r="H21" s="34"/>
      <c r="I21" s="34"/>
      <c r="J21" s="34"/>
      <c r="K21" s="35"/>
      <c r="L21" s="33">
        <f t="shared" ref="L21:AT21" si="43">L19/L9</f>
        <v>0</v>
      </c>
      <c r="M21" s="34">
        <f t="shared" si="43"/>
        <v>0</v>
      </c>
      <c r="N21" s="34">
        <f t="shared" si="43"/>
        <v>0</v>
      </c>
      <c r="O21" s="34">
        <f t="shared" si="43"/>
        <v>0</v>
      </c>
      <c r="P21" s="35">
        <f t="shared" si="43"/>
        <v>0</v>
      </c>
      <c r="Q21" s="33">
        <f t="shared" si="43"/>
        <v>0</v>
      </c>
      <c r="R21" s="34">
        <f t="shared" si="43"/>
        <v>0</v>
      </c>
      <c r="S21" s="34">
        <f t="shared" si="43"/>
        <v>0</v>
      </c>
      <c r="T21" s="34">
        <f t="shared" si="43"/>
        <v>0</v>
      </c>
      <c r="U21" s="35">
        <f t="shared" si="43"/>
        <v>0</v>
      </c>
      <c r="V21" s="33">
        <f t="shared" si="43"/>
        <v>0</v>
      </c>
      <c r="W21" s="34">
        <f t="shared" si="43"/>
        <v>0</v>
      </c>
      <c r="X21" s="34">
        <f t="shared" si="43"/>
        <v>0</v>
      </c>
      <c r="Y21" s="34">
        <f t="shared" si="43"/>
        <v>0</v>
      </c>
      <c r="Z21" s="35">
        <f t="shared" si="43"/>
        <v>0</v>
      </c>
      <c r="AA21" s="198">
        <f t="shared" si="43"/>
        <v>0</v>
      </c>
      <c r="AB21" s="32">
        <f t="shared" si="43"/>
        <v>0</v>
      </c>
      <c r="AC21" s="32">
        <f>AC19/AC9</f>
        <v>0</v>
      </c>
      <c r="AD21" s="32">
        <f t="shared" si="43"/>
        <v>0</v>
      </c>
      <c r="AE21" s="123">
        <f t="shared" si="43"/>
        <v>0</v>
      </c>
      <c r="AF21" s="198">
        <f t="shared" si="43"/>
        <v>0</v>
      </c>
      <c r="AG21" s="34">
        <f t="shared" si="43"/>
        <v>0</v>
      </c>
      <c r="AH21" s="32">
        <f t="shared" si="43"/>
        <v>0</v>
      </c>
      <c r="AI21" s="32">
        <f t="shared" si="43"/>
        <v>0</v>
      </c>
      <c r="AJ21" s="123">
        <f t="shared" si="43"/>
        <v>0</v>
      </c>
      <c r="AK21" s="198">
        <f t="shared" si="43"/>
        <v>0</v>
      </c>
      <c r="AL21" s="34">
        <f t="shared" si="43"/>
        <v>0</v>
      </c>
      <c r="AM21" s="32">
        <f t="shared" si="43"/>
        <v>0</v>
      </c>
      <c r="AN21" s="32">
        <f t="shared" si="43"/>
        <v>0</v>
      </c>
      <c r="AO21" s="123">
        <f t="shared" si="43"/>
        <v>0</v>
      </c>
      <c r="AP21" s="198">
        <f>AP19/AP9</f>
        <v>0.10223804679552391</v>
      </c>
      <c r="AQ21" s="34">
        <f t="shared" si="43"/>
        <v>8.4631578947368419E-2</v>
      </c>
      <c r="AR21" s="32">
        <f t="shared" si="43"/>
        <v>0.1219954648526077</v>
      </c>
      <c r="AS21" s="32">
        <f t="shared" si="43"/>
        <v>9.8136645962732916E-2</v>
      </c>
      <c r="AT21" s="123">
        <f t="shared" si="43"/>
        <v>0.10132797678830488</v>
      </c>
      <c r="AU21" s="198">
        <f t="shared" ref="AU21:AZ21" si="44">AU19/AU9</f>
        <v>0.11072664359861592</v>
      </c>
      <c r="AV21" s="34">
        <f t="shared" si="44"/>
        <v>0.14327363598500625</v>
      </c>
      <c r="AW21" s="32">
        <f t="shared" si="44"/>
        <v>9.808292465448061E-2</v>
      </c>
      <c r="AX21" s="32">
        <f t="shared" si="44"/>
        <v>9.5483359746434238E-2</v>
      </c>
      <c r="AY21" s="123">
        <f t="shared" si="44"/>
        <v>0.11194344798480692</v>
      </c>
      <c r="AZ21" s="198">
        <f t="shared" si="44"/>
        <v>0.12731182795698925</v>
      </c>
      <c r="BA21" s="34">
        <f t="shared" ref="BA21:BB21" si="45">BA19/BA9</f>
        <v>0.14124073351541164</v>
      </c>
      <c r="BB21" s="34">
        <f t="shared" si="45"/>
        <v>0.13649222065063649</v>
      </c>
      <c r="BC21" s="32">
        <f>BC19/BC9</f>
        <v>8.8763649172243747E-2</v>
      </c>
      <c r="BD21" s="123">
        <f t="shared" ref="BD21:BF21" si="46">BD19/BD9</f>
        <v>0.12279704377487209</v>
      </c>
      <c r="BE21" s="198">
        <f t="shared" si="46"/>
        <v>0.1179215930304916</v>
      </c>
      <c r="BF21" s="34">
        <f t="shared" si="46"/>
        <v>0.13796108045309324</v>
      </c>
      <c r="BG21" s="182">
        <v>0.13</v>
      </c>
      <c r="BH21" s="32">
        <f>BH19/BH9</f>
        <v>0.11218615843112111</v>
      </c>
      <c r="BI21" s="183">
        <v>0.1245</v>
      </c>
      <c r="BJ21" s="24"/>
    </row>
    <row r="22" spans="1:64">
      <c r="A22" s="458" t="s">
        <v>237</v>
      </c>
      <c r="B22" s="24"/>
      <c r="C22" s="24"/>
      <c r="D22" s="24"/>
      <c r="E22" s="24"/>
      <c r="F22" s="25"/>
      <c r="G22" s="34"/>
      <c r="H22" s="34"/>
      <c r="I22" s="34"/>
      <c r="J22" s="34"/>
      <c r="K22" s="35"/>
      <c r="L22" s="34">
        <f t="shared" ref="L22:BF22" si="47">(L19-G19)/(L9-G9)</f>
        <v>0</v>
      </c>
      <c r="M22" s="34">
        <f t="shared" si="47"/>
        <v>0</v>
      </c>
      <c r="N22" s="34">
        <f t="shared" si="47"/>
        <v>0</v>
      </c>
      <c r="O22" s="34">
        <f t="shared" si="47"/>
        <v>0</v>
      </c>
      <c r="P22" s="35">
        <f t="shared" si="47"/>
        <v>0</v>
      </c>
      <c r="Q22" s="34">
        <f t="shared" si="47"/>
        <v>0</v>
      </c>
      <c r="R22" s="34">
        <f t="shared" si="47"/>
        <v>0</v>
      </c>
      <c r="S22" s="34">
        <f t="shared" si="47"/>
        <v>0</v>
      </c>
      <c r="T22" s="34">
        <f t="shared" si="47"/>
        <v>0</v>
      </c>
      <c r="U22" s="35">
        <f t="shared" si="47"/>
        <v>0</v>
      </c>
      <c r="V22" s="34">
        <f t="shared" si="47"/>
        <v>0</v>
      </c>
      <c r="W22" s="34">
        <f t="shared" si="47"/>
        <v>0</v>
      </c>
      <c r="X22" s="34">
        <f t="shared" si="47"/>
        <v>0</v>
      </c>
      <c r="Y22" s="34">
        <f t="shared" si="47"/>
        <v>0</v>
      </c>
      <c r="Z22" s="35">
        <f t="shared" si="47"/>
        <v>0</v>
      </c>
      <c r="AA22" s="34">
        <f t="shared" si="47"/>
        <v>0</v>
      </c>
      <c r="AB22" s="34">
        <f t="shared" si="47"/>
        <v>0</v>
      </c>
      <c r="AC22" s="34">
        <f t="shared" si="47"/>
        <v>0</v>
      </c>
      <c r="AD22" s="34">
        <f t="shared" si="47"/>
        <v>0</v>
      </c>
      <c r="AE22" s="35">
        <f t="shared" si="47"/>
        <v>0</v>
      </c>
      <c r="AF22" s="34">
        <f t="shared" si="47"/>
        <v>0</v>
      </c>
      <c r="AG22" s="34">
        <f t="shared" si="47"/>
        <v>0</v>
      </c>
      <c r="AH22" s="34">
        <f t="shared" si="47"/>
        <v>0</v>
      </c>
      <c r="AI22" s="34">
        <f t="shared" si="47"/>
        <v>0</v>
      </c>
      <c r="AJ22" s="35">
        <f t="shared" si="47"/>
        <v>0</v>
      </c>
      <c r="AK22" s="34">
        <f t="shared" si="47"/>
        <v>0</v>
      </c>
      <c r="AL22" s="34">
        <f t="shared" si="47"/>
        <v>0</v>
      </c>
      <c r="AM22" s="34">
        <f t="shared" si="47"/>
        <v>0</v>
      </c>
      <c r="AN22" s="34">
        <f t="shared" si="47"/>
        <v>0</v>
      </c>
      <c r="AO22" s="35">
        <f t="shared" si="47"/>
        <v>0</v>
      </c>
      <c r="AP22" s="34">
        <f t="shared" si="47"/>
        <v>0.93055555555555558</v>
      </c>
      <c r="AQ22" s="34">
        <f t="shared" si="47"/>
        <v>0.36281588447653429</v>
      </c>
      <c r="AR22" s="34">
        <f t="shared" si="47"/>
        <v>0.5711252653927813</v>
      </c>
      <c r="AS22" s="34">
        <f t="shared" si="47"/>
        <v>0.70746268656716416</v>
      </c>
      <c r="AT22" s="35">
        <f t="shared" si="47"/>
        <v>0.57614213197969544</v>
      </c>
      <c r="AU22" s="34">
        <f t="shared" si="47"/>
        <v>0.15895953757225434</v>
      </c>
      <c r="AV22" s="34">
        <f t="shared" si="47"/>
        <v>5.5</v>
      </c>
      <c r="AW22" s="34">
        <f t="shared" si="47"/>
        <v>-1.2894736842105263</v>
      </c>
      <c r="AX22" s="34">
        <f>(AX19-AS19)/(AX9-AS9)</f>
        <v>3.669724770642202E-2</v>
      </c>
      <c r="AY22" s="35">
        <f t="shared" si="47"/>
        <v>0.29593810444874274</v>
      </c>
      <c r="AZ22" s="34">
        <f t="shared" si="47"/>
        <v>3.0769230769230771</v>
      </c>
      <c r="BA22" s="34">
        <f t="shared" si="47"/>
        <v>0.1111111111111111</v>
      </c>
      <c r="BB22" s="34">
        <f t="shared" si="47"/>
        <v>0.28376068376068375</v>
      </c>
      <c r="BC22" s="34">
        <f>(BC19-AX19)/(BC9-AX9)</f>
        <v>3.4920634920634921E-2</v>
      </c>
      <c r="BD22" s="35">
        <f t="shared" si="47"/>
        <v>0.21840148698884759</v>
      </c>
      <c r="BE22" s="34">
        <f t="shared" si="47"/>
        <v>9.3363329583802029E-2</v>
      </c>
      <c r="BF22" s="34">
        <f t="shared" si="47"/>
        <v>0.12840909090909092</v>
      </c>
      <c r="BG22" s="34">
        <f t="shared" ref="BG22" si="48">(BG19-BB19)/(BG9-BB9)</f>
        <v>9.6441388953623891E-2</v>
      </c>
      <c r="BH22" s="34">
        <f>(BH19-BC19)/(BH9-BC9)</f>
        <v>0.20515477992191697</v>
      </c>
      <c r="BI22" s="35">
        <f>(BI19-BD19)/(BI9-BD9)</f>
        <v>0.13042706670711923</v>
      </c>
      <c r="BJ22" s="24"/>
    </row>
    <row r="23" spans="1:64">
      <c r="A23" s="460"/>
      <c r="B23" s="24"/>
      <c r="C23" s="24"/>
      <c r="D23" s="24"/>
      <c r="E23" s="24"/>
      <c r="F23" s="25"/>
      <c r="G23" s="24"/>
      <c r="H23" s="24"/>
      <c r="I23" s="24"/>
      <c r="J23" s="24"/>
      <c r="K23" s="25"/>
      <c r="L23" s="24"/>
      <c r="M23" s="24"/>
      <c r="N23" s="24"/>
      <c r="O23" s="24"/>
      <c r="P23" s="25"/>
      <c r="Q23" s="24"/>
      <c r="R23" s="24"/>
      <c r="S23" s="24"/>
      <c r="T23" s="24"/>
      <c r="U23" s="25"/>
      <c r="V23" s="24"/>
      <c r="W23" s="24"/>
      <c r="X23" s="24"/>
      <c r="Y23" s="24"/>
      <c r="Z23" s="25"/>
      <c r="AA23" s="34"/>
      <c r="AB23" s="34"/>
      <c r="AC23" s="34"/>
      <c r="AD23" s="34"/>
      <c r="AE23" s="35"/>
      <c r="AF23" s="34"/>
      <c r="AG23" s="34"/>
      <c r="AH23" s="34"/>
      <c r="AI23" s="34"/>
      <c r="AJ23" s="35"/>
      <c r="AK23" s="34"/>
      <c r="AL23" s="34"/>
      <c r="AM23" s="34"/>
      <c r="AN23" s="34"/>
      <c r="AO23" s="35"/>
      <c r="AP23" s="34"/>
      <c r="AQ23" s="34"/>
      <c r="AR23" s="34"/>
      <c r="AS23" s="34"/>
      <c r="AT23" s="35"/>
      <c r="AU23" s="34"/>
      <c r="AV23" s="34"/>
      <c r="AW23" s="34"/>
      <c r="AX23" s="34"/>
      <c r="AY23" s="35"/>
      <c r="AZ23" s="34"/>
      <c r="BA23" s="34"/>
      <c r="BB23" s="34"/>
      <c r="BC23" s="34"/>
      <c r="BD23" s="35"/>
      <c r="BE23" s="34"/>
      <c r="BF23" s="34"/>
      <c r="BG23" s="34"/>
      <c r="BH23" s="34"/>
      <c r="BI23" s="35"/>
      <c r="BJ23" s="24"/>
    </row>
    <row r="24" spans="1:64">
      <c r="A24" s="463" t="s">
        <v>200</v>
      </c>
      <c r="B24" s="40"/>
      <c r="C24" s="40"/>
      <c r="D24" s="40"/>
      <c r="E24" s="40"/>
      <c r="F24" s="42"/>
      <c r="G24" s="40"/>
      <c r="H24" s="40"/>
      <c r="I24" s="40"/>
      <c r="J24" s="40"/>
      <c r="K24" s="42"/>
      <c r="L24" s="40">
        <v>0</v>
      </c>
      <c r="M24" s="40">
        <v>0</v>
      </c>
      <c r="N24" s="40">
        <v>0</v>
      </c>
      <c r="O24" s="40">
        <v>0</v>
      </c>
      <c r="P24" s="42">
        <f>SUM(L24:O24)</f>
        <v>0</v>
      </c>
      <c r="Q24" s="40">
        <v>0</v>
      </c>
      <c r="R24" s="40">
        <v>0</v>
      </c>
      <c r="S24" s="40">
        <v>0</v>
      </c>
      <c r="T24" s="40">
        <v>0</v>
      </c>
      <c r="U24" s="42">
        <f>SUM(Q24:T24)</f>
        <v>0</v>
      </c>
      <c r="V24" s="40">
        <v>0</v>
      </c>
      <c r="W24" s="40">
        <v>0</v>
      </c>
      <c r="X24" s="40">
        <v>0</v>
      </c>
      <c r="Y24" s="40">
        <v>0</v>
      </c>
      <c r="Z24" s="42">
        <f>SUM(V24:Y24)</f>
        <v>0</v>
      </c>
      <c r="AA24" s="40">
        <v>0</v>
      </c>
      <c r="AB24" s="40">
        <v>0</v>
      </c>
      <c r="AC24" s="40">
        <v>0</v>
      </c>
      <c r="AD24" s="18">
        <f>AE24-SUM(AA24:AC24)</f>
        <v>0</v>
      </c>
      <c r="AE24" s="19">
        <v>0</v>
      </c>
      <c r="AF24" s="40">
        <v>0</v>
      </c>
      <c r="AG24" s="40">
        <v>0</v>
      </c>
      <c r="AH24" s="40">
        <v>0</v>
      </c>
      <c r="AI24" s="18">
        <f>AJ24-SUM(AF24:AH24)</f>
        <v>0</v>
      </c>
      <c r="AJ24" s="19">
        <v>0</v>
      </c>
      <c r="AK24" s="40">
        <v>0</v>
      </c>
      <c r="AL24" s="40">
        <v>0</v>
      </c>
      <c r="AM24" s="40">
        <v>0</v>
      </c>
      <c r="AN24" s="18">
        <f>AO24-SUM(AK24:AM24)</f>
        <v>0</v>
      </c>
      <c r="AO24" s="19">
        <v>0</v>
      </c>
      <c r="AP24" s="40">
        <v>0</v>
      </c>
      <c r="AQ24" s="40">
        <v>0</v>
      </c>
      <c r="AR24" s="40">
        <v>0</v>
      </c>
      <c r="AS24" s="18">
        <f>AT24-SUM(AP24:AR24)</f>
        <v>0</v>
      </c>
      <c r="AT24" s="19">
        <v>0</v>
      </c>
      <c r="AU24" s="40">
        <v>0</v>
      </c>
      <c r="AV24" s="40">
        <v>0</v>
      </c>
      <c r="AW24" s="40">
        <v>0</v>
      </c>
      <c r="AX24" s="18">
        <f>AY24-SUM(AU24:AW24)</f>
        <v>0</v>
      </c>
      <c r="AY24" s="19">
        <v>0</v>
      </c>
      <c r="AZ24" s="40">
        <v>0</v>
      </c>
      <c r="BA24" s="40">
        <v>0</v>
      </c>
      <c r="BB24" s="40">
        <v>0</v>
      </c>
      <c r="BC24" s="18">
        <f>BD24-SUM(AZ24:BB24)</f>
        <v>0</v>
      </c>
      <c r="BD24" s="19">
        <v>0</v>
      </c>
      <c r="BE24" s="40">
        <v>0</v>
      </c>
      <c r="BF24" s="40">
        <v>0</v>
      </c>
      <c r="BG24" s="40">
        <v>0</v>
      </c>
      <c r="BH24" s="18">
        <f>BI24-SUM(BE24:BG24)</f>
        <v>0</v>
      </c>
      <c r="BI24" s="19">
        <v>0</v>
      </c>
      <c r="BJ24" s="24"/>
    </row>
    <row r="25" spans="1:64">
      <c r="A25" s="460" t="s">
        <v>203</v>
      </c>
      <c r="B25" s="40"/>
      <c r="C25" s="40"/>
      <c r="D25" s="40"/>
      <c r="E25" s="40"/>
      <c r="F25" s="42"/>
      <c r="G25" s="40"/>
      <c r="H25" s="40"/>
      <c r="I25" s="40"/>
      <c r="J25" s="40"/>
      <c r="K25" s="42"/>
      <c r="L25" s="40">
        <v>0</v>
      </c>
      <c r="M25" s="40">
        <v>0</v>
      </c>
      <c r="N25" s="40">
        <v>0</v>
      </c>
      <c r="O25" s="40">
        <v>0</v>
      </c>
      <c r="P25" s="42">
        <f>SUM(L25:O25)</f>
        <v>0</v>
      </c>
      <c r="Q25" s="40">
        <v>0</v>
      </c>
      <c r="R25" s="40">
        <v>0</v>
      </c>
      <c r="S25" s="40">
        <v>0</v>
      </c>
      <c r="T25" s="40">
        <v>0</v>
      </c>
      <c r="U25" s="42">
        <f>SUM(Q25:T25)</f>
        <v>0</v>
      </c>
      <c r="V25" s="40">
        <v>0</v>
      </c>
      <c r="W25" s="40">
        <v>0</v>
      </c>
      <c r="X25" s="40">
        <v>0</v>
      </c>
      <c r="Y25" s="40">
        <v>0</v>
      </c>
      <c r="Z25" s="42">
        <f>SUM(V25:Y25)</f>
        <v>0</v>
      </c>
      <c r="AA25" s="40">
        <v>0</v>
      </c>
      <c r="AB25" s="40">
        <v>0</v>
      </c>
      <c r="AC25" s="40">
        <v>0</v>
      </c>
      <c r="AD25" s="18">
        <f>AE25-SUM(AA25:AC25)</f>
        <v>0</v>
      </c>
      <c r="AE25" s="19">
        <v>0</v>
      </c>
      <c r="AF25" s="40">
        <v>0</v>
      </c>
      <c r="AG25" s="40">
        <v>0</v>
      </c>
      <c r="AH25" s="40">
        <v>0</v>
      </c>
      <c r="AI25" s="18">
        <f>AJ25-SUM(AF25:AH25)</f>
        <v>0</v>
      </c>
      <c r="AJ25" s="19">
        <v>0</v>
      </c>
      <c r="AK25" s="40">
        <v>0</v>
      </c>
      <c r="AL25" s="40">
        <v>0</v>
      </c>
      <c r="AM25" s="40">
        <v>0</v>
      </c>
      <c r="AN25" s="18">
        <f>AO25-SUM(AK25:AM25)</f>
        <v>0</v>
      </c>
      <c r="AO25" s="19">
        <v>0</v>
      </c>
      <c r="AP25" s="40">
        <v>0</v>
      </c>
      <c r="AQ25" s="40">
        <v>0</v>
      </c>
      <c r="AR25" s="40">
        <v>0</v>
      </c>
      <c r="AS25" s="18">
        <f>AT25-SUM(AP25:AR25)</f>
        <v>0</v>
      </c>
      <c r="AT25" s="19">
        <v>0</v>
      </c>
      <c r="AU25" s="40">
        <v>0</v>
      </c>
      <c r="AV25" s="40">
        <v>0</v>
      </c>
      <c r="AW25" s="40">
        <v>0</v>
      </c>
      <c r="AX25" s="18">
        <f>AY25-SUM(AU25:AW25)</f>
        <v>0</v>
      </c>
      <c r="AY25" s="19">
        <v>0</v>
      </c>
      <c r="AZ25" s="40">
        <v>0</v>
      </c>
      <c r="BA25" s="40">
        <v>0</v>
      </c>
      <c r="BB25" s="40">
        <v>0</v>
      </c>
      <c r="BC25" s="18">
        <f>BD25-SUM(AZ25:BB25)</f>
        <v>0</v>
      </c>
      <c r="BD25" s="19">
        <v>0</v>
      </c>
      <c r="BE25" s="40">
        <v>0</v>
      </c>
      <c r="BF25" s="40">
        <v>0</v>
      </c>
      <c r="BG25" s="40">
        <v>0</v>
      </c>
      <c r="BH25" s="18">
        <f>BI25-SUM(BE25:BG25)</f>
        <v>0</v>
      </c>
      <c r="BI25" s="19">
        <v>0</v>
      </c>
      <c r="BJ25" s="24"/>
    </row>
    <row r="26" spans="1:64">
      <c r="A26" s="460"/>
      <c r="B26" s="24"/>
      <c r="C26" s="24"/>
      <c r="D26" s="24"/>
      <c r="E26" s="24"/>
      <c r="F26" s="25"/>
      <c r="G26" s="24"/>
      <c r="H26" s="24"/>
      <c r="I26" s="24"/>
      <c r="J26" s="24"/>
      <c r="K26" s="25"/>
      <c r="L26" s="24"/>
      <c r="M26" s="24"/>
      <c r="N26" s="24"/>
      <c r="O26" s="24"/>
      <c r="P26" s="25"/>
      <c r="Q26" s="24"/>
      <c r="R26" s="24"/>
      <c r="S26" s="24"/>
      <c r="T26" s="24"/>
      <c r="U26" s="25"/>
      <c r="V26" s="24"/>
      <c r="W26" s="24"/>
      <c r="X26" s="24"/>
      <c r="Y26" s="24"/>
      <c r="Z26" s="25"/>
      <c r="AA26" s="24"/>
      <c r="AB26" s="24"/>
      <c r="AC26" s="24"/>
      <c r="AD26" s="24"/>
      <c r="AE26" s="25"/>
      <c r="AF26" s="24"/>
      <c r="AG26" s="24"/>
      <c r="AH26" s="24"/>
      <c r="AI26" s="24"/>
      <c r="AJ26" s="25"/>
      <c r="AK26" s="24"/>
      <c r="AL26" s="24"/>
      <c r="AM26" s="24"/>
      <c r="AN26" s="24"/>
      <c r="AO26" s="25"/>
      <c r="AP26" s="24"/>
      <c r="AQ26" s="24"/>
      <c r="AR26" s="24"/>
      <c r="AS26" s="24"/>
      <c r="AT26" s="25"/>
      <c r="AU26" s="24"/>
      <c r="AV26" s="24"/>
      <c r="AW26" s="24"/>
      <c r="AX26" s="24"/>
      <c r="AY26" s="25"/>
      <c r="AZ26" s="24"/>
      <c r="BA26" s="24"/>
      <c r="BB26" s="24"/>
      <c r="BC26" s="24"/>
      <c r="BD26" s="25"/>
      <c r="BE26" s="24"/>
      <c r="BF26" s="24"/>
      <c r="BG26" s="24"/>
      <c r="BH26" s="24"/>
      <c r="BI26" s="25"/>
      <c r="BJ26" s="24"/>
    </row>
    <row r="27" spans="1:64">
      <c r="A27" s="461" t="s">
        <v>173</v>
      </c>
      <c r="B27" s="22"/>
      <c r="C27" s="22"/>
      <c r="D27" s="22"/>
      <c r="E27" s="22"/>
      <c r="F27" s="23"/>
      <c r="G27" s="22"/>
      <c r="H27" s="22"/>
      <c r="I27" s="22"/>
      <c r="J27" s="22"/>
      <c r="K27" s="23"/>
      <c r="L27" s="22">
        <f t="shared" ref="L27:AB27" si="49">L19+L25+L24</f>
        <v>0</v>
      </c>
      <c r="M27" s="22">
        <f t="shared" si="49"/>
        <v>0</v>
      </c>
      <c r="N27" s="22">
        <f t="shared" si="49"/>
        <v>0</v>
      </c>
      <c r="O27" s="22">
        <f t="shared" si="49"/>
        <v>0</v>
      </c>
      <c r="P27" s="23">
        <f t="shared" si="49"/>
        <v>0</v>
      </c>
      <c r="Q27" s="22">
        <f t="shared" si="49"/>
        <v>0</v>
      </c>
      <c r="R27" s="22">
        <f t="shared" si="49"/>
        <v>0</v>
      </c>
      <c r="S27" s="22">
        <f t="shared" si="49"/>
        <v>0</v>
      </c>
      <c r="T27" s="22">
        <f t="shared" si="49"/>
        <v>0</v>
      </c>
      <c r="U27" s="23">
        <f t="shared" si="49"/>
        <v>0</v>
      </c>
      <c r="V27" s="22">
        <f t="shared" si="49"/>
        <v>0</v>
      </c>
      <c r="W27" s="22">
        <f t="shared" si="49"/>
        <v>0</v>
      </c>
      <c r="X27" s="22">
        <f t="shared" si="49"/>
        <v>0</v>
      </c>
      <c r="Y27" s="22">
        <f t="shared" si="49"/>
        <v>0</v>
      </c>
      <c r="Z27" s="23">
        <f t="shared" si="49"/>
        <v>0</v>
      </c>
      <c r="AA27" s="22">
        <f>AA19+AA25+AA24</f>
        <v>0</v>
      </c>
      <c r="AB27" s="22">
        <f t="shared" si="49"/>
        <v>0</v>
      </c>
      <c r="AC27" s="22">
        <f>AC19+AC25+AC24</f>
        <v>0</v>
      </c>
      <c r="AD27" s="22">
        <f>AD19+AD25+AD24</f>
        <v>0</v>
      </c>
      <c r="AE27" s="23">
        <f>SUM(AA27:AD27)</f>
        <v>0</v>
      </c>
      <c r="AF27" s="22">
        <f>AF19+AF25+AF24</f>
        <v>0</v>
      </c>
      <c r="AG27" s="22">
        <f>AG19+AG25+AG24</f>
        <v>0</v>
      </c>
      <c r="AH27" s="22">
        <f>AH19+AH25+AH24</f>
        <v>0</v>
      </c>
      <c r="AI27" s="22">
        <f>AI19+AI25+AI24</f>
        <v>0</v>
      </c>
      <c r="AJ27" s="23">
        <f>SUM(AF27:AI27)</f>
        <v>0</v>
      </c>
      <c r="AK27" s="22">
        <f>AK19+AK25+AK24</f>
        <v>0</v>
      </c>
      <c r="AL27" s="22">
        <f>AL19+AL25+AL24</f>
        <v>0</v>
      </c>
      <c r="AM27" s="22">
        <f>AM19+AM25+AM24</f>
        <v>0</v>
      </c>
      <c r="AN27" s="22">
        <f>AN19+AN25+AN24</f>
        <v>0</v>
      </c>
      <c r="AO27" s="23">
        <f>SUM(AK27:AN27)</f>
        <v>0</v>
      </c>
      <c r="AP27" s="22">
        <f>AP19+AP25+AP24</f>
        <v>201</v>
      </c>
      <c r="AQ27" s="22">
        <f>AQ19+AQ25+AQ24</f>
        <v>201</v>
      </c>
      <c r="AR27" s="22">
        <f>AR19+AR25+AR24</f>
        <v>269</v>
      </c>
      <c r="AS27" s="22">
        <f>AS19+AS25+AS24</f>
        <v>237</v>
      </c>
      <c r="AT27" s="177">
        <f>SUM(AP27:AS27)</f>
        <v>908</v>
      </c>
      <c r="AU27" s="22">
        <f>AU19+AU25+AU24</f>
        <v>256</v>
      </c>
      <c r="AV27" s="22">
        <f>AV19+AV25+AV24</f>
        <v>344</v>
      </c>
      <c r="AW27" s="22">
        <f>AW19+AW25+AW24</f>
        <v>220</v>
      </c>
      <c r="AX27" s="22">
        <f>AX19+AX25+AX24</f>
        <v>241</v>
      </c>
      <c r="AY27" s="177">
        <f>SUM(AU27:AX27)</f>
        <v>1061</v>
      </c>
      <c r="AZ27" s="22">
        <f>AZ19+AZ25+AZ24</f>
        <v>296</v>
      </c>
      <c r="BA27" s="22">
        <f>BA19+BA25+BA24</f>
        <v>362</v>
      </c>
      <c r="BB27" s="22">
        <f>BB19+BB25+BB24</f>
        <v>386</v>
      </c>
      <c r="BC27" s="22">
        <f>BC19+BC25+BC24</f>
        <v>252</v>
      </c>
      <c r="BD27" s="177">
        <f>SUM(AZ27:BC27)</f>
        <v>1296</v>
      </c>
      <c r="BE27" s="22">
        <f>BE19+BE25+BE24</f>
        <v>379</v>
      </c>
      <c r="BF27" s="22">
        <f>BF19+BF25+BF24</f>
        <v>475</v>
      </c>
      <c r="BG27" s="22">
        <f>BG19+BG25+BG24</f>
        <v>438.76332500000001</v>
      </c>
      <c r="BH27" s="22">
        <f>BH19+BH25+BH24</f>
        <v>398.73849500000028</v>
      </c>
      <c r="BI27" s="177">
        <f>SUM(BE27:BH27)</f>
        <v>1691.5018200000002</v>
      </c>
      <c r="BJ27" s="542" t="s">
        <v>643</v>
      </c>
    </row>
    <row r="28" spans="1:64">
      <c r="A28" s="458" t="s">
        <v>4</v>
      </c>
      <c r="B28" s="33"/>
      <c r="C28" s="34"/>
      <c r="D28" s="34"/>
      <c r="E28" s="34"/>
      <c r="F28" s="35"/>
      <c r="G28" s="33"/>
      <c r="H28" s="34"/>
      <c r="I28" s="34"/>
      <c r="J28" s="34"/>
      <c r="K28" s="35"/>
      <c r="L28" s="33" t="e">
        <f t="shared" ref="L28:BD28" si="50">L27/G27-1</f>
        <v>#DIV/0!</v>
      </c>
      <c r="M28" s="34" t="e">
        <f t="shared" si="50"/>
        <v>#DIV/0!</v>
      </c>
      <c r="N28" s="34" t="e">
        <f t="shared" si="50"/>
        <v>#DIV/0!</v>
      </c>
      <c r="O28" s="34" t="e">
        <f t="shared" si="50"/>
        <v>#DIV/0!</v>
      </c>
      <c r="P28" s="35" t="e">
        <f t="shared" si="50"/>
        <v>#DIV/0!</v>
      </c>
      <c r="Q28" s="33" t="e">
        <f t="shared" si="50"/>
        <v>#DIV/0!</v>
      </c>
      <c r="R28" s="34" t="e">
        <f t="shared" si="50"/>
        <v>#DIV/0!</v>
      </c>
      <c r="S28" s="34" t="e">
        <f t="shared" si="50"/>
        <v>#DIV/0!</v>
      </c>
      <c r="T28" s="34" t="e">
        <f t="shared" si="50"/>
        <v>#DIV/0!</v>
      </c>
      <c r="U28" s="35" t="e">
        <f t="shared" si="50"/>
        <v>#DIV/0!</v>
      </c>
      <c r="V28" s="33" t="e">
        <f t="shared" si="50"/>
        <v>#DIV/0!</v>
      </c>
      <c r="W28" s="34" t="e">
        <f t="shared" si="50"/>
        <v>#DIV/0!</v>
      </c>
      <c r="X28" s="34" t="e">
        <f t="shared" si="50"/>
        <v>#DIV/0!</v>
      </c>
      <c r="Y28" s="34" t="e">
        <f t="shared" si="50"/>
        <v>#DIV/0!</v>
      </c>
      <c r="Z28" s="35" t="e">
        <f t="shared" si="50"/>
        <v>#DIV/0!</v>
      </c>
      <c r="AA28" s="198" t="e">
        <f>AA27/V27-1</f>
        <v>#DIV/0!</v>
      </c>
      <c r="AB28" s="32" t="e">
        <f t="shared" si="50"/>
        <v>#DIV/0!</v>
      </c>
      <c r="AC28" s="32" t="e">
        <f t="shared" si="50"/>
        <v>#DIV/0!</v>
      </c>
      <c r="AD28" s="32" t="e">
        <f t="shared" si="50"/>
        <v>#DIV/0!</v>
      </c>
      <c r="AE28" s="123" t="e">
        <f t="shared" si="50"/>
        <v>#DIV/0!</v>
      </c>
      <c r="AF28" s="198" t="e">
        <f t="shared" si="50"/>
        <v>#DIV/0!</v>
      </c>
      <c r="AG28" s="32" t="e">
        <f t="shared" si="50"/>
        <v>#DIV/0!</v>
      </c>
      <c r="AH28" s="32" t="e">
        <f t="shared" si="50"/>
        <v>#DIV/0!</v>
      </c>
      <c r="AI28" s="32" t="e">
        <f t="shared" si="50"/>
        <v>#DIV/0!</v>
      </c>
      <c r="AJ28" s="123" t="e">
        <f t="shared" si="50"/>
        <v>#DIV/0!</v>
      </c>
      <c r="AK28" s="198" t="e">
        <f t="shared" si="50"/>
        <v>#DIV/0!</v>
      </c>
      <c r="AL28" s="32" t="e">
        <f t="shared" si="50"/>
        <v>#DIV/0!</v>
      </c>
      <c r="AM28" s="32" t="e">
        <f t="shared" si="50"/>
        <v>#DIV/0!</v>
      </c>
      <c r="AN28" s="32" t="e">
        <f t="shared" si="50"/>
        <v>#DIV/0!</v>
      </c>
      <c r="AO28" s="123" t="e">
        <f t="shared" si="50"/>
        <v>#DIV/0!</v>
      </c>
      <c r="AP28" s="33" t="e">
        <f t="shared" si="50"/>
        <v>#DIV/0!</v>
      </c>
      <c r="AQ28" s="32" t="e">
        <f t="shared" si="50"/>
        <v>#DIV/0!</v>
      </c>
      <c r="AR28" s="32" t="e">
        <f t="shared" si="50"/>
        <v>#DIV/0!</v>
      </c>
      <c r="AS28" s="32" t="e">
        <f t="shared" si="50"/>
        <v>#DIV/0!</v>
      </c>
      <c r="AT28" s="123" t="e">
        <f t="shared" si="50"/>
        <v>#DIV/0!</v>
      </c>
      <c r="AU28" s="33">
        <f t="shared" si="50"/>
        <v>0.27363184079601988</v>
      </c>
      <c r="AV28" s="32">
        <f t="shared" si="50"/>
        <v>0.71144278606965172</v>
      </c>
      <c r="AW28" s="32">
        <f t="shared" si="50"/>
        <v>-0.18215613382899631</v>
      </c>
      <c r="AX28" s="32">
        <f t="shared" ref="AX28:BC28" si="51">AX27/AS27-1</f>
        <v>1.6877637130801704E-2</v>
      </c>
      <c r="AY28" s="123">
        <f t="shared" si="50"/>
        <v>0.16850220264317173</v>
      </c>
      <c r="AZ28" s="33">
        <f t="shared" si="50"/>
        <v>0.15625</v>
      </c>
      <c r="BA28" s="32">
        <f t="shared" si="50"/>
        <v>5.232558139534893E-2</v>
      </c>
      <c r="BB28" s="32">
        <f t="shared" si="50"/>
        <v>0.75454545454545463</v>
      </c>
      <c r="BC28" s="32">
        <f t="shared" si="51"/>
        <v>4.5643153526971014E-2</v>
      </c>
      <c r="BD28" s="123">
        <f t="shared" si="50"/>
        <v>0.22148916116870887</v>
      </c>
      <c r="BE28" s="33">
        <f t="shared" ref="BE28" si="52">BE27/AZ27-1</f>
        <v>0.28040540540540548</v>
      </c>
      <c r="BF28" s="32">
        <f t="shared" ref="BF28" si="53">BF27/BA27-1</f>
        <v>0.31215469613259672</v>
      </c>
      <c r="BG28" s="32">
        <f t="shared" ref="BG28" si="54">BG27/BB27-1</f>
        <v>0.13669255181347162</v>
      </c>
      <c r="BH28" s="32">
        <f t="shared" ref="BH28" si="55">BH27/BC27-1</f>
        <v>0.58229561507936611</v>
      </c>
      <c r="BI28" s="123">
        <f t="shared" ref="BI28" si="56">BI27/BD27-1</f>
        <v>0.30517115740740763</v>
      </c>
      <c r="BJ28" s="24"/>
    </row>
    <row r="29" spans="1:64">
      <c r="A29" s="460"/>
      <c r="B29" s="24"/>
      <c r="C29" s="24"/>
      <c r="D29" s="24"/>
      <c r="E29" s="24"/>
      <c r="F29" s="25"/>
      <c r="G29" s="24"/>
      <c r="H29" s="24"/>
      <c r="I29" s="24"/>
      <c r="J29" s="24"/>
      <c r="K29" s="25"/>
      <c r="L29" s="24"/>
      <c r="M29" s="24"/>
      <c r="N29" s="24"/>
      <c r="O29" s="24"/>
      <c r="P29" s="25"/>
      <c r="Q29" s="24"/>
      <c r="R29" s="24"/>
      <c r="S29" s="24"/>
      <c r="T29" s="24"/>
      <c r="U29" s="25"/>
      <c r="V29" s="24"/>
      <c r="W29" s="24"/>
      <c r="X29" s="24"/>
      <c r="Y29" s="24"/>
      <c r="Z29" s="25"/>
      <c r="AA29" s="24"/>
      <c r="AB29" s="24"/>
      <c r="AC29" s="24"/>
      <c r="AD29" s="24"/>
      <c r="AE29" s="25"/>
      <c r="AF29" s="24"/>
      <c r="AG29" s="24"/>
      <c r="AH29" s="24"/>
      <c r="AI29" s="24"/>
      <c r="AJ29" s="25"/>
      <c r="AK29" s="24"/>
      <c r="AL29" s="24"/>
      <c r="AM29" s="24"/>
      <c r="AN29" s="24"/>
      <c r="AO29" s="25"/>
      <c r="AP29" s="24"/>
      <c r="AQ29" s="24"/>
      <c r="AR29" s="24"/>
      <c r="AS29" s="24"/>
      <c r="AT29" s="25"/>
      <c r="AU29" s="24"/>
      <c r="AV29" s="24"/>
      <c r="AW29" s="24"/>
      <c r="AX29" s="24"/>
      <c r="AY29" s="25"/>
      <c r="AZ29" s="24"/>
      <c r="BA29" s="24"/>
      <c r="BB29" s="24"/>
      <c r="BC29" s="24"/>
      <c r="BD29" s="25"/>
      <c r="BE29" s="24"/>
      <c r="BF29" s="24"/>
      <c r="BG29" s="24"/>
      <c r="BH29" s="24"/>
      <c r="BI29" s="25"/>
      <c r="BJ29" s="24"/>
    </row>
    <row r="30" spans="1:64">
      <c r="A30" s="461" t="s">
        <v>174</v>
      </c>
      <c r="B30" s="108"/>
      <c r="C30" s="108"/>
      <c r="D30" s="108"/>
      <c r="E30" s="108"/>
      <c r="F30" s="109"/>
      <c r="G30" s="108"/>
      <c r="H30" s="108"/>
      <c r="I30" s="108"/>
      <c r="J30" s="108"/>
      <c r="K30" s="109"/>
      <c r="L30" s="108">
        <f t="shared" ref="L30:AT30" si="57">+L27/L13</f>
        <v>0</v>
      </c>
      <c r="M30" s="108">
        <f t="shared" si="57"/>
        <v>0</v>
      </c>
      <c r="N30" s="108">
        <f t="shared" si="57"/>
        <v>0</v>
      </c>
      <c r="O30" s="108">
        <f t="shared" si="57"/>
        <v>0</v>
      </c>
      <c r="P30" s="109">
        <f t="shared" si="57"/>
        <v>0</v>
      </c>
      <c r="Q30" s="108">
        <f t="shared" si="57"/>
        <v>0</v>
      </c>
      <c r="R30" s="108">
        <f t="shared" si="57"/>
        <v>0</v>
      </c>
      <c r="S30" s="108">
        <f t="shared" si="57"/>
        <v>0</v>
      </c>
      <c r="T30" s="108">
        <f t="shared" si="57"/>
        <v>0</v>
      </c>
      <c r="U30" s="109">
        <f t="shared" si="57"/>
        <v>0</v>
      </c>
      <c r="V30" s="108">
        <f t="shared" si="57"/>
        <v>0</v>
      </c>
      <c r="W30" s="108">
        <f t="shared" si="57"/>
        <v>0</v>
      </c>
      <c r="X30" s="108">
        <f t="shared" si="57"/>
        <v>0</v>
      </c>
      <c r="Y30" s="108">
        <f t="shared" si="57"/>
        <v>0</v>
      </c>
      <c r="Z30" s="109">
        <f t="shared" si="57"/>
        <v>0</v>
      </c>
      <c r="AA30" s="108">
        <f t="shared" si="57"/>
        <v>0</v>
      </c>
      <c r="AB30" s="108">
        <f t="shared" si="57"/>
        <v>0</v>
      </c>
      <c r="AC30" s="108">
        <f t="shared" si="57"/>
        <v>0</v>
      </c>
      <c r="AD30" s="108">
        <f t="shared" si="57"/>
        <v>0</v>
      </c>
      <c r="AE30" s="109">
        <f t="shared" si="57"/>
        <v>0</v>
      </c>
      <c r="AF30" s="108">
        <f t="shared" si="57"/>
        <v>0</v>
      </c>
      <c r="AG30" s="108">
        <f t="shared" si="57"/>
        <v>0</v>
      </c>
      <c r="AH30" s="108">
        <f t="shared" si="57"/>
        <v>0</v>
      </c>
      <c r="AI30" s="108">
        <f t="shared" si="57"/>
        <v>0</v>
      </c>
      <c r="AJ30" s="109">
        <f t="shared" si="57"/>
        <v>0</v>
      </c>
      <c r="AK30" s="108">
        <f t="shared" si="57"/>
        <v>0</v>
      </c>
      <c r="AL30" s="108">
        <f t="shared" si="57"/>
        <v>0</v>
      </c>
      <c r="AM30" s="108">
        <f t="shared" si="57"/>
        <v>0</v>
      </c>
      <c r="AN30" s="108">
        <f t="shared" si="57"/>
        <v>0</v>
      </c>
      <c r="AO30" s="109">
        <f t="shared" si="57"/>
        <v>0</v>
      </c>
      <c r="AP30" s="108">
        <f t="shared" si="57"/>
        <v>0.10223804679552391</v>
      </c>
      <c r="AQ30" s="108">
        <f t="shared" si="57"/>
        <v>8.4631578947368419E-2</v>
      </c>
      <c r="AR30" s="108">
        <f t="shared" si="57"/>
        <v>0.1219954648526077</v>
      </c>
      <c r="AS30" s="108">
        <f t="shared" si="57"/>
        <v>9.8136645962732916E-2</v>
      </c>
      <c r="AT30" s="109">
        <f t="shared" si="57"/>
        <v>0.10132797678830488</v>
      </c>
      <c r="AU30" s="108">
        <f>+AU27/AU13</f>
        <v>0.11072664359861592</v>
      </c>
      <c r="AV30" s="108">
        <f t="shared" ref="AV30:BC30" si="58">+AV27/AV13</f>
        <v>0.14327363598500625</v>
      </c>
      <c r="AW30" s="108">
        <f t="shared" si="58"/>
        <v>9.808292465448061E-2</v>
      </c>
      <c r="AX30" s="108">
        <f t="shared" si="58"/>
        <v>9.5483359746434238E-2</v>
      </c>
      <c r="AY30" s="109">
        <f t="shared" si="58"/>
        <v>0.11194344798480692</v>
      </c>
      <c r="AZ30" s="108">
        <f t="shared" si="58"/>
        <v>0.12731182795698925</v>
      </c>
      <c r="BA30" s="108">
        <f t="shared" ref="BA30:BB30" si="59">+BA27/BA13</f>
        <v>0.14124073351541164</v>
      </c>
      <c r="BB30" s="108">
        <f t="shared" si="59"/>
        <v>0.13649222065063649</v>
      </c>
      <c r="BC30" s="108">
        <f t="shared" si="58"/>
        <v>8.8763649172243747E-2</v>
      </c>
      <c r="BD30" s="109">
        <f t="shared" ref="BD30" si="60">+BD27/BD13</f>
        <v>0.12279704377487209</v>
      </c>
      <c r="BE30" s="108">
        <f t="shared" ref="BE30:BI30" si="61">+BE27/BE13</f>
        <v>0.1179215930304916</v>
      </c>
      <c r="BF30" s="108">
        <f t="shared" si="61"/>
        <v>0.13796108045309324</v>
      </c>
      <c r="BG30" s="108">
        <f t="shared" si="61"/>
        <v>0.13</v>
      </c>
      <c r="BH30" s="108">
        <f t="shared" si="61"/>
        <v>0.11218615843112111</v>
      </c>
      <c r="BI30" s="109">
        <f t="shared" si="61"/>
        <v>0.12450000000000001</v>
      </c>
      <c r="BJ30" s="226"/>
    </row>
    <row r="31" spans="1:64">
      <c r="A31" s="458" t="s">
        <v>4</v>
      </c>
      <c r="B31" s="33"/>
      <c r="C31" s="34"/>
      <c r="D31" s="34"/>
      <c r="E31" s="34"/>
      <c r="F31" s="35"/>
      <c r="G31" s="33"/>
      <c r="H31" s="34"/>
      <c r="I31" s="34"/>
      <c r="J31" s="34"/>
      <c r="K31" s="35"/>
      <c r="L31" s="33" t="e">
        <f t="shared" ref="L31:BD31" si="62">L30/G30-1</f>
        <v>#DIV/0!</v>
      </c>
      <c r="M31" s="34" t="e">
        <f t="shared" si="62"/>
        <v>#DIV/0!</v>
      </c>
      <c r="N31" s="34" t="e">
        <f t="shared" si="62"/>
        <v>#DIV/0!</v>
      </c>
      <c r="O31" s="34" t="e">
        <f t="shared" si="62"/>
        <v>#DIV/0!</v>
      </c>
      <c r="P31" s="35" t="e">
        <f t="shared" si="62"/>
        <v>#DIV/0!</v>
      </c>
      <c r="Q31" s="33" t="e">
        <f t="shared" si="62"/>
        <v>#DIV/0!</v>
      </c>
      <c r="R31" s="34" t="e">
        <f t="shared" si="62"/>
        <v>#DIV/0!</v>
      </c>
      <c r="S31" s="34" t="e">
        <f t="shared" si="62"/>
        <v>#DIV/0!</v>
      </c>
      <c r="T31" s="34" t="e">
        <f t="shared" si="62"/>
        <v>#DIV/0!</v>
      </c>
      <c r="U31" s="35" t="e">
        <f t="shared" si="62"/>
        <v>#DIV/0!</v>
      </c>
      <c r="V31" s="33" t="e">
        <f t="shared" si="62"/>
        <v>#DIV/0!</v>
      </c>
      <c r="W31" s="34" t="e">
        <f t="shared" si="62"/>
        <v>#DIV/0!</v>
      </c>
      <c r="X31" s="34" t="e">
        <f t="shared" si="62"/>
        <v>#DIV/0!</v>
      </c>
      <c r="Y31" s="34" t="e">
        <f t="shared" si="62"/>
        <v>#DIV/0!</v>
      </c>
      <c r="Z31" s="35" t="e">
        <f t="shared" si="62"/>
        <v>#DIV/0!</v>
      </c>
      <c r="AA31" s="198" t="e">
        <f t="shared" si="62"/>
        <v>#DIV/0!</v>
      </c>
      <c r="AB31" s="32" t="e">
        <f t="shared" si="62"/>
        <v>#DIV/0!</v>
      </c>
      <c r="AC31" s="32" t="e">
        <f t="shared" si="62"/>
        <v>#DIV/0!</v>
      </c>
      <c r="AD31" s="32" t="e">
        <f t="shared" si="62"/>
        <v>#DIV/0!</v>
      </c>
      <c r="AE31" s="123" t="e">
        <f t="shared" si="62"/>
        <v>#DIV/0!</v>
      </c>
      <c r="AF31" s="198" t="e">
        <f t="shared" si="62"/>
        <v>#DIV/0!</v>
      </c>
      <c r="AG31" s="32" t="e">
        <f t="shared" si="62"/>
        <v>#DIV/0!</v>
      </c>
      <c r="AH31" s="32" t="e">
        <f t="shared" si="62"/>
        <v>#DIV/0!</v>
      </c>
      <c r="AI31" s="32" t="e">
        <f t="shared" si="62"/>
        <v>#DIV/0!</v>
      </c>
      <c r="AJ31" s="123" t="e">
        <f t="shared" si="62"/>
        <v>#DIV/0!</v>
      </c>
      <c r="AK31" s="198" t="e">
        <f t="shared" si="62"/>
        <v>#DIV/0!</v>
      </c>
      <c r="AL31" s="32" t="e">
        <f t="shared" si="62"/>
        <v>#DIV/0!</v>
      </c>
      <c r="AM31" s="32" t="e">
        <f t="shared" si="62"/>
        <v>#DIV/0!</v>
      </c>
      <c r="AN31" s="32" t="e">
        <f t="shared" si="62"/>
        <v>#DIV/0!</v>
      </c>
      <c r="AO31" s="123" t="e">
        <f t="shared" si="62"/>
        <v>#DIV/0!</v>
      </c>
      <c r="AP31" s="33" t="e">
        <f t="shared" si="62"/>
        <v>#DIV/0!</v>
      </c>
      <c r="AQ31" s="32" t="e">
        <f t="shared" si="62"/>
        <v>#DIV/0!</v>
      </c>
      <c r="AR31" s="32" t="e">
        <f t="shared" si="62"/>
        <v>#DIV/0!</v>
      </c>
      <c r="AS31" s="32" t="e">
        <f t="shared" si="62"/>
        <v>#DIV/0!</v>
      </c>
      <c r="AT31" s="123" t="e">
        <f t="shared" si="62"/>
        <v>#DIV/0!</v>
      </c>
      <c r="AU31" s="33">
        <f t="shared" si="62"/>
        <v>8.3027767735715852E-2</v>
      </c>
      <c r="AV31" s="32">
        <f t="shared" si="62"/>
        <v>0.69290987793228798</v>
      </c>
      <c r="AW31" s="32">
        <f t="shared" si="62"/>
        <v>-0.1960117142634582</v>
      </c>
      <c r="AX31" s="32">
        <f t="shared" ref="AX31:BC31" si="63">AX30/AS30-1</f>
        <v>-2.7036650685068775E-2</v>
      </c>
      <c r="AY31" s="123">
        <f t="shared" si="62"/>
        <v>0.10476347730380486</v>
      </c>
      <c r="AZ31" s="33">
        <f t="shared" si="62"/>
        <v>0.14978494623655925</v>
      </c>
      <c r="BA31" s="32">
        <f t="shared" si="62"/>
        <v>-1.4188950085746166E-2</v>
      </c>
      <c r="BB31" s="32">
        <f t="shared" si="62"/>
        <v>0.39160023145171641</v>
      </c>
      <c r="BC31" s="32">
        <f t="shared" si="63"/>
        <v>-7.0375724021812469E-2</v>
      </c>
      <c r="BD31" s="123">
        <f t="shared" si="62"/>
        <v>9.6956061167047913E-2</v>
      </c>
      <c r="BE31" s="33">
        <f t="shared" ref="BE31" si="64">BE30/AZ30-1</f>
        <v>-7.3757757446307526E-2</v>
      </c>
      <c r="BF31" s="32">
        <f t="shared" ref="BF31" si="65">BF30/BA30-1</f>
        <v>-2.3220306073817754E-2</v>
      </c>
      <c r="BG31" s="32">
        <f t="shared" ref="BG31" si="66">BG30/BB30-1</f>
        <v>-4.7564766839378159E-2</v>
      </c>
      <c r="BH31" s="32">
        <f t="shared" ref="BH31" si="67">BH30/BC30-1</f>
        <v>0.26387501502362221</v>
      </c>
      <c r="BI31" s="123">
        <f t="shared" ref="BI31" si="68">BI30/BD30-1</f>
        <v>1.3868055555555703E-2</v>
      </c>
      <c r="BJ31" s="24"/>
    </row>
    <row r="32" spans="1:64">
      <c r="A32" s="458" t="s">
        <v>237</v>
      </c>
      <c r="B32" s="34"/>
      <c r="C32" s="34"/>
      <c r="D32" s="34"/>
      <c r="E32" s="34"/>
      <c r="F32" s="35"/>
      <c r="G32" s="34"/>
      <c r="H32" s="34"/>
      <c r="I32" s="34"/>
      <c r="J32" s="34"/>
      <c r="K32" s="35"/>
      <c r="L32" s="34">
        <f t="shared" ref="L32:BD32" si="69">(L27-G27)/(L13-G13)</f>
        <v>0</v>
      </c>
      <c r="M32" s="34">
        <f t="shared" si="69"/>
        <v>0</v>
      </c>
      <c r="N32" s="34">
        <f t="shared" si="69"/>
        <v>0</v>
      </c>
      <c r="O32" s="34">
        <f t="shared" si="69"/>
        <v>0</v>
      </c>
      <c r="P32" s="35">
        <f t="shared" si="69"/>
        <v>0</v>
      </c>
      <c r="Q32" s="34">
        <f t="shared" si="69"/>
        <v>0</v>
      </c>
      <c r="R32" s="34">
        <f t="shared" si="69"/>
        <v>0</v>
      </c>
      <c r="S32" s="34">
        <f t="shared" si="69"/>
        <v>0</v>
      </c>
      <c r="T32" s="34">
        <f t="shared" si="69"/>
        <v>0</v>
      </c>
      <c r="U32" s="35">
        <f t="shared" si="69"/>
        <v>0</v>
      </c>
      <c r="V32" s="34">
        <f t="shared" si="69"/>
        <v>0</v>
      </c>
      <c r="W32" s="34">
        <f t="shared" si="69"/>
        <v>0</v>
      </c>
      <c r="X32" s="34">
        <f t="shared" si="69"/>
        <v>0</v>
      </c>
      <c r="Y32" s="34">
        <f t="shared" si="69"/>
        <v>0</v>
      </c>
      <c r="Z32" s="35">
        <f t="shared" si="69"/>
        <v>0</v>
      </c>
      <c r="AA32" s="34">
        <f t="shared" si="69"/>
        <v>0</v>
      </c>
      <c r="AB32" s="34">
        <f t="shared" si="69"/>
        <v>0</v>
      </c>
      <c r="AC32" s="34">
        <f t="shared" si="69"/>
        <v>0</v>
      </c>
      <c r="AD32" s="34">
        <f t="shared" si="69"/>
        <v>0</v>
      </c>
      <c r="AE32" s="35">
        <f t="shared" si="69"/>
        <v>0</v>
      </c>
      <c r="AF32" s="34">
        <f t="shared" si="69"/>
        <v>0</v>
      </c>
      <c r="AG32" s="34">
        <f t="shared" si="69"/>
        <v>0</v>
      </c>
      <c r="AH32" s="34">
        <f t="shared" si="69"/>
        <v>0</v>
      </c>
      <c r="AI32" s="34">
        <f t="shared" si="69"/>
        <v>0</v>
      </c>
      <c r="AJ32" s="35">
        <f t="shared" si="69"/>
        <v>0</v>
      </c>
      <c r="AK32" s="34">
        <f t="shared" si="69"/>
        <v>0</v>
      </c>
      <c r="AL32" s="34">
        <f t="shared" si="69"/>
        <v>0</v>
      </c>
      <c r="AM32" s="34">
        <f t="shared" si="69"/>
        <v>0</v>
      </c>
      <c r="AN32" s="34">
        <f t="shared" si="69"/>
        <v>0</v>
      </c>
      <c r="AO32" s="35">
        <f t="shared" si="69"/>
        <v>0</v>
      </c>
      <c r="AP32" s="34">
        <f>(AT27-AK27)/(AT13-AK13)</f>
        <v>0.12591873526556649</v>
      </c>
      <c r="AQ32" s="34">
        <f t="shared" si="69"/>
        <v>0.36281588447653429</v>
      </c>
      <c r="AR32" s="34">
        <f t="shared" si="69"/>
        <v>0.5711252653927813</v>
      </c>
      <c r="AS32" s="34">
        <f t="shared" si="69"/>
        <v>0.70746268656716416</v>
      </c>
      <c r="AT32" s="35">
        <f t="shared" si="69"/>
        <v>0.57614213197969544</v>
      </c>
      <c r="AU32" s="34">
        <f>(AY27-AP27)/(AY13-AP13)</f>
        <v>0.11448349307774228</v>
      </c>
      <c r="AV32" s="34">
        <f t="shared" si="69"/>
        <v>5.5</v>
      </c>
      <c r="AW32" s="34">
        <f t="shared" si="69"/>
        <v>-1.2894736842105263</v>
      </c>
      <c r="AX32" s="34">
        <f t="shared" ref="AX32:BC32" si="70">(AX27-AS27)/(AX13-AS13)</f>
        <v>3.669724770642202E-2</v>
      </c>
      <c r="AY32" s="35">
        <f t="shared" si="69"/>
        <v>0.29593810444874274</v>
      </c>
      <c r="AZ32" s="34">
        <f>(BD27-AU27)/(BD13-AU13)</f>
        <v>0.12618296529968454</v>
      </c>
      <c r="BA32" s="34">
        <f t="shared" si="69"/>
        <v>0.1111111111111111</v>
      </c>
      <c r="BB32" s="34">
        <f t="shared" si="69"/>
        <v>0.28376068376068375</v>
      </c>
      <c r="BC32" s="34">
        <f t="shared" si="70"/>
        <v>3.4920634920634921E-2</v>
      </c>
      <c r="BD32" s="35">
        <f t="shared" si="69"/>
        <v>0.21840148698884759</v>
      </c>
      <c r="BE32" s="34">
        <f>(BI27-AZ27)/(BI13-AZ13)</f>
        <v>0.12391947509004242</v>
      </c>
      <c r="BF32" s="34">
        <f t="shared" ref="BF32" si="71">(BF27-BA27)/(BF13-BA13)</f>
        <v>0.12840909090909092</v>
      </c>
      <c r="BG32" s="34">
        <f t="shared" ref="BG32" si="72">(BG27-BB27)/(BG13-BB13)</f>
        <v>9.6441388953623891E-2</v>
      </c>
      <c r="BH32" s="34">
        <f t="shared" ref="BH32" si="73">(BH27-BC27)/(BH13-BC13)</f>
        <v>0.20515477992191697</v>
      </c>
      <c r="BI32" s="35">
        <f t="shared" ref="BI32" si="74">(BI27-BD27)/(BI13-BD13)</f>
        <v>0.13042706670711923</v>
      </c>
      <c r="BJ32" s="24"/>
    </row>
    <row r="33" spans="1:63">
      <c r="A33" s="458"/>
      <c r="B33" s="24"/>
      <c r="C33" s="24"/>
      <c r="D33" s="24"/>
      <c r="E33" s="24"/>
      <c r="F33" s="25"/>
      <c r="G33" s="24"/>
      <c r="H33" s="24"/>
      <c r="I33" s="24"/>
      <c r="J33" s="24"/>
      <c r="K33" s="25"/>
      <c r="L33" s="24"/>
      <c r="M33" s="24"/>
      <c r="N33" s="24"/>
      <c r="O33" s="24"/>
      <c r="P33" s="25"/>
      <c r="Q33" s="24"/>
      <c r="R33" s="24"/>
      <c r="S33" s="24"/>
      <c r="T33" s="24"/>
      <c r="U33" s="25"/>
      <c r="V33" s="24"/>
      <c r="W33" s="24"/>
      <c r="X33" s="24"/>
      <c r="Y33" s="24"/>
      <c r="Z33" s="25"/>
      <c r="AA33" s="24"/>
      <c r="AB33" s="24"/>
      <c r="AC33" s="24"/>
      <c r="AD33" s="24"/>
      <c r="AE33" s="25"/>
      <c r="AF33" s="24"/>
      <c r="AG33" s="24"/>
      <c r="AH33" s="24"/>
      <c r="AI33" s="24"/>
      <c r="AJ33" s="25"/>
      <c r="AK33" s="222"/>
      <c r="AL33" s="24"/>
      <c r="AM33" s="24"/>
      <c r="AN33" s="24"/>
      <c r="AO33" s="25"/>
      <c r="AP33" s="222"/>
      <c r="AQ33" s="24"/>
      <c r="AR33" s="222"/>
      <c r="AS33" s="222"/>
      <c r="AT33" s="265"/>
      <c r="AU33" s="222"/>
      <c r="AV33" s="24"/>
      <c r="AW33" s="222"/>
      <c r="AX33" s="222"/>
      <c r="AY33" s="265"/>
      <c r="AZ33" s="222"/>
      <c r="BA33" s="24"/>
      <c r="BB33" s="24"/>
      <c r="BC33" s="222"/>
      <c r="BD33" s="265"/>
      <c r="BE33" s="222"/>
      <c r="BF33" s="24"/>
      <c r="BG33" s="24"/>
      <c r="BH33" s="222"/>
      <c r="BI33" s="265"/>
      <c r="BJ33" s="24"/>
    </row>
    <row r="34" spans="1:63">
      <c r="A34" s="464" t="s">
        <v>301</v>
      </c>
      <c r="B34" s="24"/>
      <c r="C34" s="24"/>
      <c r="D34" s="24"/>
      <c r="E34" s="24"/>
      <c r="F34" s="25"/>
      <c r="G34" s="24"/>
      <c r="H34" s="24"/>
      <c r="I34" s="24"/>
      <c r="J34" s="24"/>
      <c r="K34" s="25"/>
      <c r="L34" s="24"/>
      <c r="M34" s="24"/>
      <c r="N34" s="24"/>
      <c r="O34" s="24"/>
      <c r="P34" s="25"/>
      <c r="Q34" s="24"/>
      <c r="R34" s="24"/>
      <c r="S34" s="24"/>
      <c r="T34" s="24"/>
      <c r="U34" s="25"/>
      <c r="V34" s="24"/>
      <c r="W34" s="24"/>
      <c r="X34" s="24"/>
      <c r="Y34" s="24"/>
      <c r="Z34" s="25"/>
      <c r="AA34" s="24"/>
      <c r="AB34" s="24"/>
      <c r="AC34" s="24"/>
      <c r="AD34" s="24"/>
      <c r="AE34" s="25"/>
      <c r="AF34" s="24"/>
      <c r="AG34" s="24"/>
      <c r="AH34" s="24"/>
      <c r="AI34" s="24"/>
      <c r="AJ34" s="25"/>
      <c r="AK34" s="24"/>
      <c r="AL34" s="24"/>
      <c r="AM34" s="24"/>
      <c r="AN34" s="24"/>
      <c r="AO34" s="25"/>
      <c r="AP34" s="24"/>
      <c r="AQ34" s="24"/>
      <c r="AR34" s="24"/>
      <c r="AS34" s="24"/>
      <c r="AT34" s="25"/>
      <c r="AU34" s="24"/>
      <c r="AV34" s="24"/>
      <c r="AW34" s="24"/>
      <c r="AX34" s="24"/>
      <c r="AY34" s="25"/>
      <c r="AZ34" s="24"/>
      <c r="BA34" s="24"/>
      <c r="BB34" s="24"/>
      <c r="BC34" s="24"/>
      <c r="BD34" s="25"/>
      <c r="BE34" s="24"/>
      <c r="BF34" s="24"/>
      <c r="BG34" s="24"/>
      <c r="BH34" s="24"/>
      <c r="BI34" s="25"/>
      <c r="BJ34" s="24"/>
    </row>
    <row r="35" spans="1:63">
      <c r="A35" s="458" t="s">
        <v>296</v>
      </c>
      <c r="B35" s="40"/>
      <c r="C35" s="40"/>
      <c r="D35" s="40"/>
      <c r="E35" s="20"/>
      <c r="F35" s="42"/>
      <c r="G35" s="40"/>
      <c r="H35" s="40"/>
      <c r="I35" s="40"/>
      <c r="J35" s="20"/>
      <c r="K35" s="42"/>
      <c r="L35" s="40"/>
      <c r="M35" s="40"/>
      <c r="N35" s="40"/>
      <c r="O35" s="20">
        <f>+P35-SUM(L35:N35)</f>
        <v>0</v>
      </c>
      <c r="P35" s="42"/>
      <c r="Q35" s="40"/>
      <c r="R35" s="40"/>
      <c r="S35" s="40"/>
      <c r="T35" s="20">
        <f>+U35-SUM(Q35:S35)</f>
        <v>0</v>
      </c>
      <c r="U35" s="42"/>
      <c r="V35" s="40"/>
      <c r="W35" s="40"/>
      <c r="X35" s="40"/>
      <c r="Y35" s="20">
        <f>+Z35-SUM(V35:X35)</f>
        <v>0</v>
      </c>
      <c r="Z35" s="42"/>
      <c r="AA35" s="40"/>
      <c r="AB35" s="40"/>
      <c r="AC35" s="40"/>
      <c r="AD35" s="20">
        <f>+AE35-SUM(AA35:AC35)</f>
        <v>0</v>
      </c>
      <c r="AE35" s="42"/>
      <c r="AF35" s="40"/>
      <c r="AG35" s="40"/>
      <c r="AH35" s="40"/>
      <c r="AI35" s="20">
        <f>+AJ35-SUM(AF35:AH35)</f>
        <v>0</v>
      </c>
      <c r="AJ35" s="42"/>
      <c r="AK35" s="40"/>
      <c r="AL35" s="40"/>
      <c r="AM35" s="40"/>
      <c r="AN35" s="20">
        <f>+AO35-SUM(AK35:AM35)</f>
        <v>0</v>
      </c>
      <c r="AO35" s="42"/>
      <c r="AP35" s="40"/>
      <c r="AQ35" s="40"/>
      <c r="AR35" s="40"/>
      <c r="AS35" s="20">
        <f>+AT35-SUM(AP35:AR35)</f>
        <v>0</v>
      </c>
      <c r="AT35" s="42"/>
      <c r="AU35" s="40"/>
      <c r="AV35" s="40"/>
      <c r="AW35" s="40"/>
      <c r="AX35" s="20"/>
      <c r="AY35" s="42"/>
      <c r="AZ35" s="40"/>
      <c r="BA35" s="40"/>
      <c r="BB35" s="40">
        <v>1434</v>
      </c>
      <c r="BC35" s="40">
        <v>1411</v>
      </c>
      <c r="BD35" s="42">
        <v>5128</v>
      </c>
      <c r="BE35" s="40">
        <v>1605</v>
      </c>
      <c r="BF35" s="40">
        <v>1744</v>
      </c>
      <c r="BG35" s="40"/>
      <c r="BH35" s="20"/>
      <c r="BI35" s="42"/>
      <c r="BJ35" s="323"/>
      <c r="BK35" t="s">
        <v>514</v>
      </c>
    </row>
    <row r="36" spans="1:63">
      <c r="A36" s="465" t="s">
        <v>4</v>
      </c>
      <c r="B36" s="87"/>
      <c r="C36" s="87"/>
      <c r="D36" s="87"/>
      <c r="E36" s="87"/>
      <c r="F36" s="90"/>
      <c r="G36" s="255"/>
      <c r="H36" s="255"/>
      <c r="I36" s="255"/>
      <c r="J36" s="255"/>
      <c r="K36" s="88"/>
      <c r="L36" s="255" t="e">
        <f t="shared" ref="L36:BB36" si="75">+L35/G35-1</f>
        <v>#DIV/0!</v>
      </c>
      <c r="M36" s="255" t="e">
        <f t="shared" si="75"/>
        <v>#DIV/0!</v>
      </c>
      <c r="N36" s="255" t="e">
        <f t="shared" si="75"/>
        <v>#DIV/0!</v>
      </c>
      <c r="O36" s="255" t="e">
        <f t="shared" si="75"/>
        <v>#DIV/0!</v>
      </c>
      <c r="P36" s="88" t="e">
        <f t="shared" si="75"/>
        <v>#DIV/0!</v>
      </c>
      <c r="Q36" s="255" t="e">
        <f t="shared" si="75"/>
        <v>#DIV/0!</v>
      </c>
      <c r="R36" s="255" t="e">
        <f t="shared" si="75"/>
        <v>#DIV/0!</v>
      </c>
      <c r="S36" s="255" t="e">
        <f t="shared" si="75"/>
        <v>#DIV/0!</v>
      </c>
      <c r="T36" s="255" t="e">
        <f t="shared" si="75"/>
        <v>#DIV/0!</v>
      </c>
      <c r="U36" s="88" t="e">
        <f t="shared" si="75"/>
        <v>#DIV/0!</v>
      </c>
      <c r="V36" s="255" t="e">
        <f t="shared" si="75"/>
        <v>#DIV/0!</v>
      </c>
      <c r="W36" s="255" t="e">
        <f t="shared" si="75"/>
        <v>#DIV/0!</v>
      </c>
      <c r="X36" s="255" t="e">
        <f t="shared" si="75"/>
        <v>#DIV/0!</v>
      </c>
      <c r="Y36" s="255" t="e">
        <f t="shared" si="75"/>
        <v>#DIV/0!</v>
      </c>
      <c r="Z36" s="88" t="e">
        <f t="shared" si="75"/>
        <v>#DIV/0!</v>
      </c>
      <c r="AA36" s="255" t="e">
        <f t="shared" si="75"/>
        <v>#DIV/0!</v>
      </c>
      <c r="AB36" s="255" t="e">
        <f t="shared" si="75"/>
        <v>#DIV/0!</v>
      </c>
      <c r="AC36" s="255" t="e">
        <f t="shared" si="75"/>
        <v>#DIV/0!</v>
      </c>
      <c r="AD36" s="255" t="e">
        <f t="shared" si="75"/>
        <v>#DIV/0!</v>
      </c>
      <c r="AE36" s="88" t="e">
        <f t="shared" si="75"/>
        <v>#DIV/0!</v>
      </c>
      <c r="AF36" s="255" t="e">
        <f t="shared" si="75"/>
        <v>#DIV/0!</v>
      </c>
      <c r="AG36" s="255" t="e">
        <f t="shared" si="75"/>
        <v>#DIV/0!</v>
      </c>
      <c r="AH36" s="255" t="e">
        <f t="shared" si="75"/>
        <v>#DIV/0!</v>
      </c>
      <c r="AI36" s="255" t="e">
        <f t="shared" si="75"/>
        <v>#DIV/0!</v>
      </c>
      <c r="AJ36" s="88" t="e">
        <f t="shared" si="75"/>
        <v>#DIV/0!</v>
      </c>
      <c r="AK36" s="255" t="e">
        <f t="shared" si="75"/>
        <v>#DIV/0!</v>
      </c>
      <c r="AL36" s="255" t="e">
        <f t="shared" si="75"/>
        <v>#DIV/0!</v>
      </c>
      <c r="AM36" s="255" t="e">
        <f t="shared" si="75"/>
        <v>#DIV/0!</v>
      </c>
      <c r="AN36" s="255" t="e">
        <f t="shared" si="75"/>
        <v>#DIV/0!</v>
      </c>
      <c r="AO36" s="88" t="e">
        <f t="shared" si="75"/>
        <v>#DIV/0!</v>
      </c>
      <c r="AP36" s="255" t="e">
        <f t="shared" si="75"/>
        <v>#DIV/0!</v>
      </c>
      <c r="AQ36" s="255" t="e">
        <f t="shared" si="75"/>
        <v>#DIV/0!</v>
      </c>
      <c r="AR36" s="255" t="e">
        <f t="shared" si="75"/>
        <v>#DIV/0!</v>
      </c>
      <c r="AS36" s="255" t="e">
        <f t="shared" si="75"/>
        <v>#DIV/0!</v>
      </c>
      <c r="AT36" s="88" t="e">
        <f t="shared" si="75"/>
        <v>#DIV/0!</v>
      </c>
      <c r="AU36" s="255" t="e">
        <f t="shared" si="75"/>
        <v>#DIV/0!</v>
      </c>
      <c r="AV36" s="255" t="e">
        <f t="shared" si="75"/>
        <v>#DIV/0!</v>
      </c>
      <c r="AW36" s="255" t="e">
        <f t="shared" si="75"/>
        <v>#DIV/0!</v>
      </c>
      <c r="AX36" s="255" t="e">
        <f t="shared" si="75"/>
        <v>#DIV/0!</v>
      </c>
      <c r="AY36" s="88" t="e">
        <f t="shared" si="75"/>
        <v>#DIV/0!</v>
      </c>
      <c r="AZ36" s="255" t="e">
        <f t="shared" si="75"/>
        <v>#DIV/0!</v>
      </c>
      <c r="BA36" s="255" t="e">
        <f t="shared" si="75"/>
        <v>#DIV/0!</v>
      </c>
      <c r="BB36" s="255" t="e">
        <f t="shared" si="75"/>
        <v>#DIV/0!</v>
      </c>
      <c r="BC36" s="255" t="e">
        <f t="shared" ref="BC36" si="76">+BC35/AX35-1</f>
        <v>#DIV/0!</v>
      </c>
      <c r="BD36" s="88" t="e">
        <f t="shared" ref="BD36" si="77">+BD35/AY35-1</f>
        <v>#DIV/0!</v>
      </c>
      <c r="BE36" s="255" t="e">
        <f t="shared" ref="BE36" si="78">+BE35/AZ35-1</f>
        <v>#DIV/0!</v>
      </c>
      <c r="BF36" s="255" t="e">
        <f t="shared" ref="BF36" si="79">+BF35/BA35-1</f>
        <v>#DIV/0!</v>
      </c>
      <c r="BG36" s="255">
        <f t="shared" ref="BG36" si="80">+BG35/BB35-1</f>
        <v>-1</v>
      </c>
      <c r="BH36" s="255"/>
      <c r="BI36" s="88"/>
      <c r="BJ36" s="324"/>
    </row>
    <row r="37" spans="1:63">
      <c r="A37" s="465"/>
      <c r="B37" s="87"/>
      <c r="C37" s="87"/>
      <c r="D37" s="87"/>
      <c r="E37" s="87"/>
      <c r="F37" s="90"/>
      <c r="G37" s="255"/>
      <c r="H37" s="255"/>
      <c r="I37" s="255"/>
      <c r="J37" s="255"/>
      <c r="K37" s="88"/>
      <c r="L37" s="255"/>
      <c r="M37" s="255"/>
      <c r="N37" s="255"/>
      <c r="O37" s="255"/>
      <c r="P37" s="88"/>
      <c r="Q37" s="255"/>
      <c r="R37" s="255"/>
      <c r="S37" s="255"/>
      <c r="T37" s="255"/>
      <c r="U37" s="88"/>
      <c r="V37" s="255"/>
      <c r="W37" s="255"/>
      <c r="X37" s="255"/>
      <c r="Y37" s="255"/>
      <c r="Z37" s="88"/>
      <c r="AA37" s="255"/>
      <c r="AB37" s="255"/>
      <c r="AC37" s="255"/>
      <c r="AD37" s="255"/>
      <c r="AE37" s="88"/>
      <c r="AF37" s="255"/>
      <c r="AG37" s="255"/>
      <c r="AH37" s="255"/>
      <c r="AI37" s="255"/>
      <c r="AJ37" s="88"/>
      <c r="AK37" s="255"/>
      <c r="AL37" s="255"/>
      <c r="AM37" s="255"/>
      <c r="AN37" s="255"/>
      <c r="AO37" s="88"/>
      <c r="AP37" s="255"/>
      <c r="AQ37" s="255"/>
      <c r="AR37" s="255"/>
      <c r="AS37" s="255"/>
      <c r="AT37" s="88"/>
      <c r="AU37" s="255"/>
      <c r="AV37" s="255"/>
      <c r="AW37" s="255"/>
      <c r="AX37" s="255"/>
      <c r="AY37" s="88"/>
      <c r="AZ37" s="255"/>
      <c r="BA37" s="255"/>
      <c r="BB37" s="255"/>
      <c r="BC37" s="255"/>
      <c r="BD37" s="88"/>
      <c r="BE37" s="255"/>
      <c r="BF37" s="255"/>
      <c r="BG37" s="255"/>
      <c r="BH37" s="255"/>
      <c r="BI37" s="88"/>
      <c r="BJ37" s="324"/>
    </row>
    <row r="38" spans="1:63">
      <c r="A38" s="458" t="s">
        <v>2</v>
      </c>
      <c r="B38" s="40"/>
      <c r="C38" s="40"/>
      <c r="D38" s="40"/>
      <c r="E38" s="20"/>
      <c r="F38" s="42"/>
      <c r="G38" s="40"/>
      <c r="H38" s="40"/>
      <c r="I38" s="40"/>
      <c r="J38" s="20"/>
      <c r="K38" s="42"/>
      <c r="L38" s="40"/>
      <c r="M38" s="40"/>
      <c r="N38" s="40"/>
      <c r="O38" s="20">
        <f>+P38-SUM(L38:N38)</f>
        <v>0</v>
      </c>
      <c r="P38" s="42"/>
      <c r="Q38" s="40"/>
      <c r="R38" s="40"/>
      <c r="S38" s="40"/>
      <c r="T38" s="20">
        <f>+U38-SUM(Q38:S38)</f>
        <v>0</v>
      </c>
      <c r="U38" s="42"/>
      <c r="V38" s="40"/>
      <c r="W38" s="40"/>
      <c r="X38" s="40"/>
      <c r="Y38" s="20">
        <f>+Z38-SUM(V38:X38)</f>
        <v>0</v>
      </c>
      <c r="Z38" s="42"/>
      <c r="AA38" s="40"/>
      <c r="AB38" s="40"/>
      <c r="AC38" s="40"/>
      <c r="AD38" s="20">
        <f>+AE38-SUM(AA38:AC38)</f>
        <v>0</v>
      </c>
      <c r="AE38" s="42"/>
      <c r="AF38" s="40"/>
      <c r="AG38" s="40"/>
      <c r="AH38" s="40"/>
      <c r="AI38" s="20">
        <f>+AJ38-SUM(AF38:AH38)</f>
        <v>0</v>
      </c>
      <c r="AJ38" s="42"/>
      <c r="AK38" s="40"/>
      <c r="AL38" s="40"/>
      <c r="AM38" s="40"/>
      <c r="AN38" s="20">
        <f>+AO38-SUM(AK38:AM38)</f>
        <v>0</v>
      </c>
      <c r="AO38" s="42"/>
      <c r="AP38" s="40"/>
      <c r="AQ38" s="40"/>
      <c r="AR38" s="40"/>
      <c r="AS38" s="20">
        <f>+AT38-SUM(AP38:AR38)</f>
        <v>0</v>
      </c>
      <c r="AT38" s="42"/>
      <c r="AU38" s="40"/>
      <c r="AV38" s="40"/>
      <c r="AW38" s="40"/>
      <c r="AX38" s="20"/>
      <c r="AY38" s="42"/>
      <c r="AZ38" s="40"/>
      <c r="BA38" s="40"/>
      <c r="BB38" s="40">
        <v>1394</v>
      </c>
      <c r="BC38" s="40">
        <v>1428</v>
      </c>
      <c r="BD38" s="42">
        <v>5426</v>
      </c>
      <c r="BE38" s="40">
        <v>1608</v>
      </c>
      <c r="BF38" s="40">
        <v>1699</v>
      </c>
      <c r="BG38" s="40"/>
      <c r="BH38" s="20"/>
      <c r="BI38" s="42"/>
      <c r="BJ38" s="323"/>
      <c r="BK38" t="s">
        <v>514</v>
      </c>
    </row>
    <row r="39" spans="1:63">
      <c r="A39" s="465" t="s">
        <v>4</v>
      </c>
      <c r="B39" s="87"/>
      <c r="C39" s="87"/>
      <c r="D39" s="87"/>
      <c r="E39" s="87"/>
      <c r="F39" s="90"/>
      <c r="G39" s="255"/>
      <c r="H39" s="255"/>
      <c r="I39" s="255"/>
      <c r="J39" s="255"/>
      <c r="K39" s="88"/>
      <c r="L39" s="255" t="e">
        <f t="shared" ref="L39:BB39" si="81">+L38/G38-1</f>
        <v>#DIV/0!</v>
      </c>
      <c r="M39" s="255" t="e">
        <f t="shared" si="81"/>
        <v>#DIV/0!</v>
      </c>
      <c r="N39" s="255" t="e">
        <f t="shared" si="81"/>
        <v>#DIV/0!</v>
      </c>
      <c r="O39" s="255" t="e">
        <f t="shared" si="81"/>
        <v>#DIV/0!</v>
      </c>
      <c r="P39" s="88" t="e">
        <f t="shared" si="81"/>
        <v>#DIV/0!</v>
      </c>
      <c r="Q39" s="255" t="e">
        <f t="shared" si="81"/>
        <v>#DIV/0!</v>
      </c>
      <c r="R39" s="255" t="e">
        <f t="shared" si="81"/>
        <v>#DIV/0!</v>
      </c>
      <c r="S39" s="255" t="e">
        <f t="shared" si="81"/>
        <v>#DIV/0!</v>
      </c>
      <c r="T39" s="255" t="e">
        <f t="shared" si="81"/>
        <v>#DIV/0!</v>
      </c>
      <c r="U39" s="88" t="e">
        <f t="shared" si="81"/>
        <v>#DIV/0!</v>
      </c>
      <c r="V39" s="255" t="e">
        <f t="shared" si="81"/>
        <v>#DIV/0!</v>
      </c>
      <c r="W39" s="255" t="e">
        <f t="shared" si="81"/>
        <v>#DIV/0!</v>
      </c>
      <c r="X39" s="255" t="e">
        <f t="shared" si="81"/>
        <v>#DIV/0!</v>
      </c>
      <c r="Y39" s="255" t="e">
        <f t="shared" si="81"/>
        <v>#DIV/0!</v>
      </c>
      <c r="Z39" s="88" t="e">
        <f t="shared" si="81"/>
        <v>#DIV/0!</v>
      </c>
      <c r="AA39" s="255" t="e">
        <f t="shared" si="81"/>
        <v>#DIV/0!</v>
      </c>
      <c r="AB39" s="255" t="e">
        <f t="shared" si="81"/>
        <v>#DIV/0!</v>
      </c>
      <c r="AC39" s="255" t="e">
        <f t="shared" si="81"/>
        <v>#DIV/0!</v>
      </c>
      <c r="AD39" s="255" t="e">
        <f t="shared" si="81"/>
        <v>#DIV/0!</v>
      </c>
      <c r="AE39" s="88" t="e">
        <f t="shared" si="81"/>
        <v>#DIV/0!</v>
      </c>
      <c r="AF39" s="255" t="e">
        <f t="shared" si="81"/>
        <v>#DIV/0!</v>
      </c>
      <c r="AG39" s="255" t="e">
        <f t="shared" si="81"/>
        <v>#DIV/0!</v>
      </c>
      <c r="AH39" s="255" t="e">
        <f t="shared" si="81"/>
        <v>#DIV/0!</v>
      </c>
      <c r="AI39" s="255" t="e">
        <f t="shared" si="81"/>
        <v>#DIV/0!</v>
      </c>
      <c r="AJ39" s="88" t="e">
        <f t="shared" si="81"/>
        <v>#DIV/0!</v>
      </c>
      <c r="AK39" s="255" t="e">
        <f t="shared" si="81"/>
        <v>#DIV/0!</v>
      </c>
      <c r="AL39" s="255" t="e">
        <f t="shared" si="81"/>
        <v>#DIV/0!</v>
      </c>
      <c r="AM39" s="255" t="e">
        <f t="shared" si="81"/>
        <v>#DIV/0!</v>
      </c>
      <c r="AN39" s="255" t="e">
        <f t="shared" si="81"/>
        <v>#DIV/0!</v>
      </c>
      <c r="AO39" s="88" t="e">
        <f t="shared" si="81"/>
        <v>#DIV/0!</v>
      </c>
      <c r="AP39" s="255" t="e">
        <f t="shared" si="81"/>
        <v>#DIV/0!</v>
      </c>
      <c r="AQ39" s="255" t="e">
        <f t="shared" si="81"/>
        <v>#DIV/0!</v>
      </c>
      <c r="AR39" s="255" t="e">
        <f t="shared" si="81"/>
        <v>#DIV/0!</v>
      </c>
      <c r="AS39" s="255" t="e">
        <f t="shared" si="81"/>
        <v>#DIV/0!</v>
      </c>
      <c r="AT39" s="88" t="e">
        <f t="shared" si="81"/>
        <v>#DIV/0!</v>
      </c>
      <c r="AU39" s="255" t="e">
        <f t="shared" si="81"/>
        <v>#DIV/0!</v>
      </c>
      <c r="AV39" s="255" t="e">
        <f t="shared" si="81"/>
        <v>#DIV/0!</v>
      </c>
      <c r="AW39" s="255" t="e">
        <f t="shared" si="81"/>
        <v>#DIV/0!</v>
      </c>
      <c r="AX39" s="255" t="e">
        <f t="shared" si="81"/>
        <v>#DIV/0!</v>
      </c>
      <c r="AY39" s="88" t="e">
        <f t="shared" si="81"/>
        <v>#DIV/0!</v>
      </c>
      <c r="AZ39" s="255" t="e">
        <f t="shared" si="81"/>
        <v>#DIV/0!</v>
      </c>
      <c r="BA39" s="255" t="e">
        <f t="shared" si="81"/>
        <v>#DIV/0!</v>
      </c>
      <c r="BB39" s="255" t="e">
        <f t="shared" si="81"/>
        <v>#DIV/0!</v>
      </c>
      <c r="BC39" s="255" t="e">
        <f t="shared" ref="BC39" si="82">+BC38/AX38-1</f>
        <v>#DIV/0!</v>
      </c>
      <c r="BD39" s="88" t="e">
        <f t="shared" ref="BD39" si="83">+BD38/AY38-1</f>
        <v>#DIV/0!</v>
      </c>
      <c r="BE39" s="255" t="e">
        <f t="shared" ref="BE39" si="84">+BE38/AZ38-1</f>
        <v>#DIV/0!</v>
      </c>
      <c r="BF39" s="255" t="e">
        <f t="shared" ref="BF39" si="85">+BF38/BA38-1</f>
        <v>#DIV/0!</v>
      </c>
      <c r="BG39" s="255">
        <f t="shared" ref="BG39" si="86">+BG38/BB38-1</f>
        <v>-1</v>
      </c>
      <c r="BH39" s="255"/>
      <c r="BI39" s="88"/>
      <c r="BJ39" s="325"/>
    </row>
    <row r="40" spans="1:63">
      <c r="A40" s="458"/>
      <c r="B40" s="40"/>
      <c r="C40" s="40"/>
      <c r="D40" s="40"/>
      <c r="E40" s="20"/>
      <c r="F40" s="81"/>
      <c r="G40" s="40"/>
      <c r="H40" s="40"/>
      <c r="I40" s="40"/>
      <c r="J40" s="20"/>
      <c r="K40" s="81"/>
      <c r="L40" s="40"/>
      <c r="M40" s="40"/>
      <c r="N40" s="40"/>
      <c r="O40" s="20"/>
      <c r="P40" s="81"/>
      <c r="Q40" s="40"/>
      <c r="R40" s="40"/>
      <c r="S40" s="40"/>
      <c r="T40" s="20"/>
      <c r="U40" s="81"/>
      <c r="V40" s="40"/>
      <c r="W40" s="40"/>
      <c r="X40" s="40"/>
      <c r="Y40" s="20"/>
      <c r="Z40" s="81"/>
      <c r="AA40" s="40"/>
      <c r="AB40" s="40"/>
      <c r="AC40" s="40"/>
      <c r="AD40" s="20"/>
      <c r="AE40" s="81"/>
      <c r="AF40" s="40"/>
      <c r="AG40" s="40"/>
      <c r="AH40" s="40"/>
      <c r="AI40" s="20"/>
      <c r="AJ40" s="81"/>
      <c r="AK40" s="40"/>
      <c r="AL40" s="40"/>
      <c r="AM40" s="40"/>
      <c r="AN40" s="20"/>
      <c r="AO40" s="81"/>
      <c r="AP40" s="40"/>
      <c r="AQ40" s="40"/>
      <c r="AR40" s="40"/>
      <c r="AS40" s="20"/>
      <c r="AT40" s="81"/>
      <c r="AU40" s="40"/>
      <c r="AV40" s="40"/>
      <c r="AW40" s="40"/>
      <c r="AX40" s="20"/>
      <c r="AY40" s="81"/>
      <c r="AZ40" s="40"/>
      <c r="BA40" s="40"/>
      <c r="BB40" s="40"/>
      <c r="BC40" s="20"/>
      <c r="BD40" s="81"/>
      <c r="BE40" s="40"/>
      <c r="BF40" s="40"/>
      <c r="BG40" s="40"/>
      <c r="BH40" s="20"/>
      <c r="BI40" s="81"/>
      <c r="BJ40" s="323"/>
    </row>
    <row r="41" spans="1:63">
      <c r="A41" s="464" t="s">
        <v>46</v>
      </c>
      <c r="B41" s="24"/>
      <c r="C41" s="24"/>
      <c r="D41" s="24"/>
      <c r="E41" s="24"/>
      <c r="F41" s="25"/>
      <c r="G41" s="24"/>
      <c r="H41" s="24"/>
      <c r="I41" s="24"/>
      <c r="J41" s="24"/>
      <c r="K41" s="25"/>
      <c r="L41" s="24"/>
      <c r="M41" s="24"/>
      <c r="N41" s="24"/>
      <c r="O41" s="24"/>
      <c r="P41" s="25"/>
      <c r="Q41" s="24"/>
      <c r="R41" s="24"/>
      <c r="S41" s="24"/>
      <c r="T41" s="24"/>
      <c r="U41" s="25"/>
      <c r="V41" s="24"/>
      <c r="W41" s="24"/>
      <c r="X41" s="24"/>
      <c r="Y41" s="24"/>
      <c r="Z41" s="25"/>
      <c r="AA41" s="24"/>
      <c r="AB41" s="24"/>
      <c r="AC41" s="24"/>
      <c r="AD41" s="24"/>
      <c r="AE41" s="25"/>
      <c r="AF41" s="24"/>
      <c r="AG41" s="24"/>
      <c r="AH41" s="24"/>
      <c r="AI41" s="24"/>
      <c r="AJ41" s="25"/>
      <c r="AK41" s="24"/>
      <c r="AL41" s="24"/>
      <c r="AM41" s="24"/>
      <c r="AN41" s="24"/>
      <c r="AO41" s="25"/>
      <c r="AP41" s="24"/>
      <c r="AQ41" s="24"/>
      <c r="AR41" s="24"/>
      <c r="AS41" s="24"/>
      <c r="AT41" s="25"/>
      <c r="AU41" s="24"/>
      <c r="AV41" s="24"/>
      <c r="AW41" s="24"/>
      <c r="AX41" s="24"/>
      <c r="AY41" s="25"/>
      <c r="AZ41" s="24"/>
      <c r="BA41" s="24"/>
      <c r="BB41" s="24"/>
      <c r="BC41" s="24"/>
      <c r="BD41" s="25"/>
      <c r="BE41" s="24"/>
      <c r="BF41" s="24"/>
      <c r="BG41" s="24"/>
      <c r="BH41" s="24"/>
      <c r="BI41" s="25"/>
      <c r="BJ41" s="24"/>
    </row>
    <row r="42" spans="1:63">
      <c r="A42" s="458" t="s">
        <v>296</v>
      </c>
      <c r="B42" s="99"/>
      <c r="C42" s="100"/>
      <c r="D42" s="100"/>
      <c r="E42" s="100"/>
      <c r="F42" s="101"/>
      <c r="G42" s="99"/>
      <c r="H42" s="100"/>
      <c r="I42" s="100"/>
      <c r="J42" s="100"/>
      <c r="K42" s="101"/>
      <c r="L42" s="99">
        <f t="shared" ref="L42:AT42" si="87">L35/L$9</f>
        <v>0</v>
      </c>
      <c r="M42" s="100">
        <f t="shared" si="87"/>
        <v>0</v>
      </c>
      <c r="N42" s="100">
        <f t="shared" si="87"/>
        <v>0</v>
      </c>
      <c r="O42" s="100">
        <f t="shared" si="87"/>
        <v>0</v>
      </c>
      <c r="P42" s="101">
        <f t="shared" si="87"/>
        <v>0</v>
      </c>
      <c r="Q42" s="99">
        <f t="shared" si="87"/>
        <v>0</v>
      </c>
      <c r="R42" s="100">
        <f t="shared" si="87"/>
        <v>0</v>
      </c>
      <c r="S42" s="100">
        <f t="shared" si="87"/>
        <v>0</v>
      </c>
      <c r="T42" s="100">
        <f t="shared" si="87"/>
        <v>0</v>
      </c>
      <c r="U42" s="101">
        <f t="shared" si="87"/>
        <v>0</v>
      </c>
      <c r="V42" s="99">
        <f t="shared" si="87"/>
        <v>0</v>
      </c>
      <c r="W42" s="100">
        <f t="shared" si="87"/>
        <v>0</v>
      </c>
      <c r="X42" s="100">
        <f t="shared" si="87"/>
        <v>0</v>
      </c>
      <c r="Y42" s="100">
        <f t="shared" si="87"/>
        <v>0</v>
      </c>
      <c r="Z42" s="101">
        <f t="shared" si="87"/>
        <v>0</v>
      </c>
      <c r="AA42" s="105">
        <f t="shared" si="87"/>
        <v>0</v>
      </c>
      <c r="AB42" s="106">
        <f t="shared" si="87"/>
        <v>0</v>
      </c>
      <c r="AC42" s="106">
        <f t="shared" si="87"/>
        <v>0</v>
      </c>
      <c r="AD42" s="106">
        <f t="shared" si="87"/>
        <v>0</v>
      </c>
      <c r="AE42" s="193">
        <f t="shared" si="87"/>
        <v>0</v>
      </c>
      <c r="AF42" s="105">
        <f t="shared" si="87"/>
        <v>0</v>
      </c>
      <c r="AG42" s="100">
        <f t="shared" si="87"/>
        <v>0</v>
      </c>
      <c r="AH42" s="106">
        <f t="shared" si="87"/>
        <v>0</v>
      </c>
      <c r="AI42" s="106">
        <f t="shared" si="87"/>
        <v>0</v>
      </c>
      <c r="AJ42" s="193">
        <f t="shared" si="87"/>
        <v>0</v>
      </c>
      <c r="AK42" s="105">
        <f t="shared" si="87"/>
        <v>0</v>
      </c>
      <c r="AL42" s="100">
        <f t="shared" si="87"/>
        <v>0</v>
      </c>
      <c r="AM42" s="106">
        <f t="shared" si="87"/>
        <v>0</v>
      </c>
      <c r="AN42" s="106">
        <f t="shared" si="87"/>
        <v>0</v>
      </c>
      <c r="AO42" s="193">
        <f t="shared" si="87"/>
        <v>0</v>
      </c>
      <c r="AP42" s="105">
        <f t="shared" si="87"/>
        <v>0</v>
      </c>
      <c r="AQ42" s="100">
        <f t="shared" si="87"/>
        <v>0</v>
      </c>
      <c r="AR42" s="106">
        <f t="shared" si="87"/>
        <v>0</v>
      </c>
      <c r="AS42" s="106">
        <f t="shared" si="87"/>
        <v>0</v>
      </c>
      <c r="AT42" s="193">
        <f t="shared" si="87"/>
        <v>0</v>
      </c>
      <c r="AU42" s="105">
        <f t="shared" ref="AU42:AZ42" si="88">AU35/AU$9</f>
        <v>0</v>
      </c>
      <c r="AV42" s="100">
        <f t="shared" si="88"/>
        <v>0</v>
      </c>
      <c r="AW42" s="106">
        <f t="shared" si="88"/>
        <v>0</v>
      </c>
      <c r="AX42" s="106">
        <f t="shared" si="88"/>
        <v>0</v>
      </c>
      <c r="AY42" s="193">
        <f t="shared" si="88"/>
        <v>0</v>
      </c>
      <c r="AZ42" s="105">
        <f t="shared" si="88"/>
        <v>0</v>
      </c>
      <c r="BA42" s="100">
        <f t="shared" ref="BA42:BC42" si="89">BA35/BA$9</f>
        <v>0</v>
      </c>
      <c r="BB42" s="100">
        <f t="shared" si="89"/>
        <v>0.50707213578500709</v>
      </c>
      <c r="BC42" s="106">
        <f t="shared" si="89"/>
        <v>0.49700598802395207</v>
      </c>
      <c r="BD42" s="193">
        <f t="shared" ref="BD42" si="90">BD35/BD$9</f>
        <v>0.48588212999810498</v>
      </c>
      <c r="BE42" s="105">
        <f t="shared" ref="BE42:BG42" si="91">BE35/BE$9</f>
        <v>0.49937772246421902</v>
      </c>
      <c r="BF42" s="100">
        <f t="shared" si="91"/>
        <v>0.50653499854777806</v>
      </c>
      <c r="BG42" s="100">
        <f t="shared" si="91"/>
        <v>0</v>
      </c>
      <c r="BH42" s="100"/>
      <c r="BI42" s="101"/>
      <c r="BJ42" s="24"/>
    </row>
    <row r="43" spans="1:63">
      <c r="A43" s="458" t="s">
        <v>2</v>
      </c>
      <c r="B43" s="99"/>
      <c r="C43" s="100"/>
      <c r="D43" s="100"/>
      <c r="E43" s="100"/>
      <c r="F43" s="101"/>
      <c r="G43" s="99"/>
      <c r="H43" s="100"/>
      <c r="I43" s="100"/>
      <c r="J43" s="100"/>
      <c r="K43" s="101"/>
      <c r="L43" s="99">
        <f t="shared" ref="L43:AT43" si="92">L38/L$9</f>
        <v>0</v>
      </c>
      <c r="M43" s="100">
        <f t="shared" si="92"/>
        <v>0</v>
      </c>
      <c r="N43" s="100">
        <f t="shared" si="92"/>
        <v>0</v>
      </c>
      <c r="O43" s="100">
        <f t="shared" si="92"/>
        <v>0</v>
      </c>
      <c r="P43" s="101">
        <f t="shared" si="92"/>
        <v>0</v>
      </c>
      <c r="Q43" s="99">
        <f t="shared" si="92"/>
        <v>0</v>
      </c>
      <c r="R43" s="100">
        <f t="shared" si="92"/>
        <v>0</v>
      </c>
      <c r="S43" s="100">
        <f t="shared" si="92"/>
        <v>0</v>
      </c>
      <c r="T43" s="100">
        <f t="shared" si="92"/>
        <v>0</v>
      </c>
      <c r="U43" s="101">
        <f t="shared" si="92"/>
        <v>0</v>
      </c>
      <c r="V43" s="99">
        <f t="shared" si="92"/>
        <v>0</v>
      </c>
      <c r="W43" s="100">
        <f t="shared" si="92"/>
        <v>0</v>
      </c>
      <c r="X43" s="100">
        <f t="shared" si="92"/>
        <v>0</v>
      </c>
      <c r="Y43" s="100">
        <f t="shared" si="92"/>
        <v>0</v>
      </c>
      <c r="Z43" s="101">
        <f t="shared" si="92"/>
        <v>0</v>
      </c>
      <c r="AA43" s="105">
        <f t="shared" si="92"/>
        <v>0</v>
      </c>
      <c r="AB43" s="106">
        <f t="shared" si="92"/>
        <v>0</v>
      </c>
      <c r="AC43" s="106">
        <f t="shared" si="92"/>
        <v>0</v>
      </c>
      <c r="AD43" s="106">
        <f t="shared" si="92"/>
        <v>0</v>
      </c>
      <c r="AE43" s="193">
        <f t="shared" si="92"/>
        <v>0</v>
      </c>
      <c r="AF43" s="105">
        <f t="shared" si="92"/>
        <v>0</v>
      </c>
      <c r="AG43" s="100">
        <f t="shared" si="92"/>
        <v>0</v>
      </c>
      <c r="AH43" s="106">
        <f t="shared" si="92"/>
        <v>0</v>
      </c>
      <c r="AI43" s="106">
        <f t="shared" si="92"/>
        <v>0</v>
      </c>
      <c r="AJ43" s="193">
        <f t="shared" si="92"/>
        <v>0</v>
      </c>
      <c r="AK43" s="105">
        <f t="shared" si="92"/>
        <v>0</v>
      </c>
      <c r="AL43" s="100">
        <f t="shared" si="92"/>
        <v>0</v>
      </c>
      <c r="AM43" s="106">
        <f t="shared" si="92"/>
        <v>0</v>
      </c>
      <c r="AN43" s="106">
        <f t="shared" si="92"/>
        <v>0</v>
      </c>
      <c r="AO43" s="193">
        <f t="shared" si="92"/>
        <v>0</v>
      </c>
      <c r="AP43" s="105">
        <f t="shared" si="92"/>
        <v>0</v>
      </c>
      <c r="AQ43" s="100">
        <f t="shared" si="92"/>
        <v>0</v>
      </c>
      <c r="AR43" s="106">
        <f t="shared" si="92"/>
        <v>0</v>
      </c>
      <c r="AS43" s="106">
        <f t="shared" si="92"/>
        <v>0</v>
      </c>
      <c r="AT43" s="193">
        <f t="shared" si="92"/>
        <v>0</v>
      </c>
      <c r="AU43" s="105">
        <f t="shared" ref="AU43:AZ43" si="93">AU38/AU$9</f>
        <v>0</v>
      </c>
      <c r="AV43" s="100">
        <f t="shared" si="93"/>
        <v>0</v>
      </c>
      <c r="AW43" s="106">
        <f t="shared" si="93"/>
        <v>0</v>
      </c>
      <c r="AX43" s="106">
        <f t="shared" si="93"/>
        <v>0</v>
      </c>
      <c r="AY43" s="193">
        <f t="shared" si="93"/>
        <v>0</v>
      </c>
      <c r="AZ43" s="105">
        <f t="shared" si="93"/>
        <v>0</v>
      </c>
      <c r="BA43" s="100">
        <f t="shared" ref="BA43:BC43" si="94">BA38/BA$9</f>
        <v>0</v>
      </c>
      <c r="BB43" s="100">
        <f t="shared" si="94"/>
        <v>0.49292786421499291</v>
      </c>
      <c r="BC43" s="106">
        <f t="shared" si="94"/>
        <v>0.50299401197604787</v>
      </c>
      <c r="BD43" s="193">
        <f t="shared" ref="BD43" si="95">BD38/BD$9</f>
        <v>0.51411787000189502</v>
      </c>
      <c r="BE43" s="105">
        <f t="shared" ref="BE43:BG43" si="96">BE38/BE$9</f>
        <v>0.50031113876789046</v>
      </c>
      <c r="BF43" s="100">
        <f t="shared" si="96"/>
        <v>0.49346500145222189</v>
      </c>
      <c r="BG43" s="100">
        <f t="shared" si="96"/>
        <v>0</v>
      </c>
      <c r="BH43" s="100"/>
      <c r="BI43" s="101"/>
      <c r="BJ43" s="24"/>
    </row>
    <row r="44" spans="1:63">
      <c r="A44" s="458"/>
      <c r="B44" s="24"/>
      <c r="C44" s="24"/>
      <c r="D44" s="24"/>
      <c r="E44" s="24"/>
      <c r="F44" s="25"/>
      <c r="G44" s="24"/>
      <c r="H44" s="24"/>
      <c r="I44" s="24"/>
      <c r="J44" s="24"/>
      <c r="K44" s="25"/>
      <c r="L44" s="24"/>
      <c r="M44" s="24"/>
      <c r="N44" s="24"/>
      <c r="O44" s="24"/>
      <c r="P44" s="25"/>
      <c r="Q44" s="24"/>
      <c r="R44" s="24"/>
      <c r="S44" s="24"/>
      <c r="T44" s="24"/>
      <c r="U44" s="25"/>
      <c r="V44" s="24"/>
      <c r="W44" s="24"/>
      <c r="X44" s="24"/>
      <c r="Y44" s="24"/>
      <c r="Z44" s="25"/>
      <c r="AA44" s="24"/>
      <c r="AB44" s="24"/>
      <c r="AC44" s="24"/>
      <c r="AD44" s="24"/>
      <c r="AE44" s="25"/>
      <c r="AF44" s="24"/>
      <c r="AG44" s="24"/>
      <c r="AH44" s="24"/>
      <c r="AI44" s="24"/>
      <c r="AJ44" s="25"/>
      <c r="AK44" s="24"/>
      <c r="AL44" s="24"/>
      <c r="AM44" s="24"/>
      <c r="AN44" s="24"/>
      <c r="AO44" s="25"/>
      <c r="AP44" s="24"/>
      <c r="AQ44" s="24"/>
      <c r="AR44" s="24"/>
      <c r="AS44" s="24"/>
      <c r="AT44" s="373"/>
      <c r="AU44" s="24"/>
      <c r="AV44" s="24"/>
      <c r="AW44" s="24"/>
      <c r="AX44" s="24"/>
      <c r="AY44" s="373"/>
      <c r="AZ44" s="24"/>
      <c r="BA44" s="24"/>
      <c r="BB44" s="24"/>
      <c r="BC44" s="24"/>
      <c r="BD44" s="25"/>
      <c r="BE44" s="24"/>
      <c r="BF44" s="24"/>
      <c r="BG44" s="24"/>
      <c r="BH44" s="24"/>
      <c r="BI44" s="25"/>
      <c r="BJ44" s="24"/>
    </row>
    <row r="45" spans="1:63">
      <c r="A45" s="464" t="s">
        <v>47</v>
      </c>
      <c r="B45" s="24"/>
      <c r="C45" s="24"/>
      <c r="D45" s="24"/>
      <c r="E45" s="24"/>
      <c r="F45" s="25"/>
      <c r="G45" s="24"/>
      <c r="H45" s="24"/>
      <c r="I45" s="24"/>
      <c r="J45" s="24"/>
      <c r="K45" s="25"/>
      <c r="L45" s="24"/>
      <c r="M45" s="24"/>
      <c r="N45" s="24"/>
      <c r="O45" s="24"/>
      <c r="P45" s="25"/>
      <c r="Q45" s="24"/>
      <c r="R45" s="24"/>
      <c r="S45" s="24"/>
      <c r="T45" s="24"/>
      <c r="U45" s="25"/>
      <c r="V45" s="24"/>
      <c r="W45" s="24"/>
      <c r="X45" s="24"/>
      <c r="Y45" s="24"/>
      <c r="Z45" s="25"/>
      <c r="AA45" s="24"/>
      <c r="AB45" s="24"/>
      <c r="AC45" s="24"/>
      <c r="AD45" s="24"/>
      <c r="AE45" s="25"/>
      <c r="AF45" s="24"/>
      <c r="AG45" s="24"/>
      <c r="AH45" s="24"/>
      <c r="AI45" s="24"/>
      <c r="AJ45" s="25"/>
      <c r="AK45" s="24"/>
      <c r="AL45" s="24"/>
      <c r="AM45" s="24"/>
      <c r="AN45" s="24"/>
      <c r="AO45" s="25"/>
      <c r="AP45" s="24"/>
      <c r="AQ45" s="24"/>
      <c r="AR45" s="24"/>
      <c r="AS45" s="24"/>
      <c r="AT45" s="25"/>
      <c r="AU45" s="24"/>
      <c r="AV45" s="24"/>
      <c r="AW45" s="24"/>
      <c r="AX45" s="24"/>
      <c r="AY45" s="25"/>
      <c r="AZ45" s="24"/>
      <c r="BA45" s="24"/>
      <c r="BB45" s="24"/>
      <c r="BC45" s="24"/>
      <c r="BD45" s="25"/>
      <c r="BE45" s="24"/>
      <c r="BF45" s="24"/>
      <c r="BG45" s="24"/>
      <c r="BH45" s="24"/>
      <c r="BI45" s="25"/>
      <c r="BJ45" s="24"/>
    </row>
    <row r="46" spans="1:63">
      <c r="A46" s="458" t="s">
        <v>461</v>
      </c>
      <c r="B46" s="105"/>
      <c r="C46" s="106"/>
      <c r="D46" s="106"/>
      <c r="E46" s="106"/>
      <c r="F46" s="104"/>
      <c r="G46" s="105"/>
      <c r="H46" s="106"/>
      <c r="I46" s="106"/>
      <c r="J46" s="106"/>
      <c r="K46" s="104"/>
      <c r="L46" s="105">
        <f>IFERROR(L3/$P$3,"NM")</f>
        <v>0.2327737409170634</v>
      </c>
      <c r="M46" s="106">
        <f>IFERROR(M3/$P$3,"NM")</f>
        <v>0.23502881483337509</v>
      </c>
      <c r="N46" s="106">
        <f>IFERROR(N3/$P$3,"NM")</f>
        <v>0.25632673515409671</v>
      </c>
      <c r="O46" s="106">
        <f>IFERROR(O3/$P$3,"NM")</f>
        <v>0.27587070909546479</v>
      </c>
      <c r="P46" s="104"/>
      <c r="Q46" s="105">
        <f>IFERROR(Q3/$U$3,"NM")</f>
        <v>0.23665610528881306</v>
      </c>
      <c r="R46" s="106">
        <f>IFERROR(R3/$U$3,"NM")</f>
        <v>0.26151596392883258</v>
      </c>
      <c r="S46" s="106">
        <f>IFERROR(S3/$U$3,"NM")</f>
        <v>0.21886424567389715</v>
      </c>
      <c r="T46" s="106">
        <f>IFERROR(T3/$U$3,"NM")</f>
        <v>0.28296368510845721</v>
      </c>
      <c r="U46" s="104"/>
      <c r="V46" s="105">
        <f>IFERROR(V3/$Z$3,"NM")</f>
        <v>0.23627249943039416</v>
      </c>
      <c r="W46" s="106">
        <f>IFERROR(W3/$Z$3,"NM")</f>
        <v>0.22237411711095922</v>
      </c>
      <c r="X46" s="106">
        <f>IFERROR(X3/$Z$3,"NM")</f>
        <v>0.24174071542492595</v>
      </c>
      <c r="Y46" s="106">
        <f>IFERROR(Y3/$Z$3,"NM")</f>
        <v>0.29961266803372066</v>
      </c>
      <c r="Z46" s="104" t="b">
        <f t="shared" ref="Z46:Z51" si="97">1=SUM(V46:Y46)</f>
        <v>1</v>
      </c>
      <c r="AA46" s="105">
        <f>AA3/$AE$3</f>
        <v>0.20997375328083989</v>
      </c>
      <c r="AB46" s="105">
        <f>AB3/$AE$3</f>
        <v>0.25393700787401574</v>
      </c>
      <c r="AC46" s="105">
        <f>AC3/$AE$3</f>
        <v>0.24868766404199474</v>
      </c>
      <c r="AD46" s="105">
        <f>AD3/$AE$3</f>
        <v>0.2874015748031496</v>
      </c>
      <c r="AE46" s="274" t="b">
        <f t="shared" ref="AE46:AE51" si="98">1=SUM(AA46:AD46)</f>
        <v>1</v>
      </c>
      <c r="AF46" s="105">
        <f>AF3/$AJ$3</f>
        <v>0.2311411992263056</v>
      </c>
      <c r="AG46" s="105">
        <f>AG3/$AJ$3</f>
        <v>0.25169245647969052</v>
      </c>
      <c r="AH46" s="105">
        <f>AH3/$AJ$3</f>
        <v>0.26764990328820115</v>
      </c>
      <c r="AI46" s="105">
        <f>AI3/$AJ$3</f>
        <v>0.2495164410058027</v>
      </c>
      <c r="AJ46" s="274" t="b">
        <f t="shared" ref="AJ46:AJ51" si="99">1=SUM(AF46:AI46)</f>
        <v>1</v>
      </c>
      <c r="AK46" s="105">
        <f>AK3/$AO$3</f>
        <v>0.23492063492063492</v>
      </c>
      <c r="AL46" s="105">
        <f>AL3/$AO$3</f>
        <v>0.24852607709750568</v>
      </c>
      <c r="AM46" s="105">
        <f>AM3/$AO$3</f>
        <v>0.23287981859410431</v>
      </c>
      <c r="AN46" s="105">
        <f>AN3/$AO$3</f>
        <v>0.28367346938775512</v>
      </c>
      <c r="AO46" s="274" t="b">
        <f t="shared" ref="AO46:AO51" si="100">1=SUM(AK46:AN46)</f>
        <v>1</v>
      </c>
      <c r="AP46" s="105">
        <f>AP3/$AT$3</f>
        <v>0.2159608570946516</v>
      </c>
      <c r="AQ46" s="105">
        <f>AQ3/$AT$3</f>
        <v>0.27416905685844439</v>
      </c>
      <c r="AR46" s="105">
        <f>AR3/$AT$3</f>
        <v>0.24548675552556098</v>
      </c>
      <c r="AS46" s="105">
        <f>AS3/$AT$3</f>
        <v>0.264383330521343</v>
      </c>
      <c r="AT46" s="274" t="b">
        <f t="shared" ref="AT46:AT51" si="101">1=SUM(AP46:AS46)</f>
        <v>1</v>
      </c>
      <c r="AU46" s="105">
        <f>AU3/$AY$3</f>
        <v>0.24472090358487478</v>
      </c>
      <c r="AV46" s="105">
        <f>AV3/$AY$3</f>
        <v>0.2502864625961696</v>
      </c>
      <c r="AW46" s="105">
        <f>AW3/$AY$3</f>
        <v>0.23375347847438205</v>
      </c>
      <c r="AX46" s="105">
        <f>AX3/$AY$3</f>
        <v>0.2712391553445736</v>
      </c>
      <c r="AY46" s="274" t="b">
        <f t="shared" ref="AY46:AY51" si="102">1=SUM(AU46:AX46)</f>
        <v>1</v>
      </c>
      <c r="AZ46" s="105">
        <f>AZ3/$BD$3</f>
        <v>0.22771524186188014</v>
      </c>
      <c r="BA46" s="105">
        <f>BA3/$BD$3</f>
        <v>0.24551262549437178</v>
      </c>
      <c r="BB46" s="105">
        <f>BB3/$BD$3</f>
        <v>0.27030727106784302</v>
      </c>
      <c r="BC46" s="105">
        <f>BC3/$BD$3</f>
        <v>0.25646486157590509</v>
      </c>
      <c r="BD46" s="274" t="b">
        <f>1=SUM(AZ46:BC46)</f>
        <v>1</v>
      </c>
      <c r="BE46" s="105">
        <f>BE3/$BI$3</f>
        <v>0.23725304115261842</v>
      </c>
      <c r="BF46" s="105">
        <f t="shared" ref="BF46:BH46" si="103">BF3/$BI$3</f>
        <v>0.2512157799381553</v>
      </c>
      <c r="BG46" s="105">
        <f t="shared" si="103"/>
        <v>0.25517813276180706</v>
      </c>
      <c r="BH46" s="105">
        <f t="shared" si="103"/>
        <v>0.25635304614741922</v>
      </c>
      <c r="BI46" s="274" t="b">
        <f>1=SUM(BE46:BH46)</f>
        <v>1</v>
      </c>
      <c r="BJ46" s="24"/>
    </row>
    <row r="47" spans="1:63">
      <c r="A47" s="458" t="s">
        <v>462</v>
      </c>
      <c r="B47" s="105"/>
      <c r="C47" s="106"/>
      <c r="D47" s="106"/>
      <c r="E47" s="106"/>
      <c r="F47" s="104"/>
      <c r="G47" s="105"/>
      <c r="H47" s="106"/>
      <c r="I47" s="106"/>
      <c r="J47" s="106"/>
      <c r="K47" s="104"/>
      <c r="L47" s="105">
        <f>IFERROR(L6/$P$6,"NM")</f>
        <v>0.2347616173808087</v>
      </c>
      <c r="M47" s="106">
        <f>IFERROR(M6/$P$6,"NM")</f>
        <v>0.2347616173808087</v>
      </c>
      <c r="N47" s="106">
        <f>IFERROR(N6/$P$6,"NM")</f>
        <v>0.24864212432106217</v>
      </c>
      <c r="O47" s="106">
        <f>IFERROR(O6/$P$6,"NM")</f>
        <v>0.28183464091732047</v>
      </c>
      <c r="P47" s="104"/>
      <c r="Q47" s="105">
        <f>IFERROR(Q6/$U$6,"NM")</f>
        <v>0.23262032085561499</v>
      </c>
      <c r="R47" s="106">
        <f>IFERROR(R6/$U$6,"NM")</f>
        <v>0.24358288770053477</v>
      </c>
      <c r="S47" s="106">
        <f>IFERROR(S6/$U$6,"NM")</f>
        <v>0.25294117647058822</v>
      </c>
      <c r="T47" s="106">
        <f>IFERROR(T6/$U$6,"NM")</f>
        <v>0.27085561497326205</v>
      </c>
      <c r="U47" s="104"/>
      <c r="V47" s="105">
        <f>IFERROR(V6/$Z$6,"NM")</f>
        <v>0.22698524244553758</v>
      </c>
      <c r="W47" s="106">
        <f>IFERROR(W6/$Z$6,"NM")</f>
        <v>0.24642773483251346</v>
      </c>
      <c r="X47" s="106">
        <f>IFERROR(X6/$Z$6,"NM")</f>
        <v>0.24595924104005623</v>
      </c>
      <c r="Y47" s="106">
        <f>IFERROR(Y6/$Z$6,"NM")</f>
        <v>0.28062778168189273</v>
      </c>
      <c r="Z47" s="104" t="b">
        <f t="shared" si="97"/>
        <v>1</v>
      </c>
      <c r="AA47" s="105">
        <f>AA6/$AE$6</f>
        <v>0.27415580073553997</v>
      </c>
      <c r="AB47" s="105">
        <f>AB6/$AE$6</f>
        <v>0.23503844867937146</v>
      </c>
      <c r="AC47" s="105">
        <f>AC6/$AE$6</f>
        <v>0.23269809428284854</v>
      </c>
      <c r="AD47" s="105">
        <f>AD6/$AE$6</f>
        <v>0.25810765630224003</v>
      </c>
      <c r="AE47" s="274" t="b">
        <f t="shared" si="98"/>
        <v>1</v>
      </c>
      <c r="AF47" s="105">
        <f>AF6/$AJ$6</f>
        <v>0.24235963041933192</v>
      </c>
      <c r="AG47" s="105">
        <f>AG6/$AJ$6</f>
        <v>0.24307036247334754</v>
      </c>
      <c r="AH47" s="105">
        <f>AH6/$AJ$6</f>
        <v>0.24484719260838664</v>
      </c>
      <c r="AI47" s="105">
        <f>AI6/$AJ$6</f>
        <v>0.26972281449893393</v>
      </c>
      <c r="AJ47" s="274" t="b">
        <f t="shared" si="99"/>
        <v>1</v>
      </c>
      <c r="AK47" s="105">
        <f>AK6/$AO$6</f>
        <v>0.24</v>
      </c>
      <c r="AL47" s="105">
        <f>AL6/$AO$6</f>
        <v>0.24369747899159663</v>
      </c>
      <c r="AM47" s="105">
        <f>AM6/$AO$6</f>
        <v>0.23764705882352941</v>
      </c>
      <c r="AN47" s="105">
        <f>AN6/$AO$6</f>
        <v>0.27865546218487397</v>
      </c>
      <c r="AO47" s="274" t="b">
        <f t="shared" si="100"/>
        <v>1</v>
      </c>
      <c r="AP47" s="105">
        <f>AP6/$AT$6</f>
        <v>0.22610415293342123</v>
      </c>
      <c r="AQ47" s="105">
        <f>AQ6/$AT$6</f>
        <v>0.24719841793012526</v>
      </c>
      <c r="AR47" s="105">
        <f>AR6/$AT$6</f>
        <v>0.24719841793012526</v>
      </c>
      <c r="AS47" s="105">
        <f>AS6/$AT$6</f>
        <v>0.27949901120632831</v>
      </c>
      <c r="AT47" s="274" t="b">
        <f t="shared" si="101"/>
        <v>1</v>
      </c>
      <c r="AU47" s="105">
        <f>AU6/$AY$6</f>
        <v>0.242433234421365</v>
      </c>
      <c r="AV47" s="105">
        <f>AV6/$AY$6</f>
        <v>0.25845697329376854</v>
      </c>
      <c r="AW47" s="105">
        <f>AW6/$AY$6</f>
        <v>0.24183976261127596</v>
      </c>
      <c r="AX47" s="105">
        <f>AX6/$AY$6</f>
        <v>0.25727002967359053</v>
      </c>
      <c r="AY47" s="274" t="b">
        <f t="shared" si="102"/>
        <v>1</v>
      </c>
      <c r="AZ47" s="105">
        <f>AZ6/$BD$6</f>
        <v>0.20798794272795779</v>
      </c>
      <c r="BA47" s="105">
        <f>BA6/$BD$6</f>
        <v>0.23838231600100476</v>
      </c>
      <c r="BB47" s="105">
        <f>BB6/$BD$6</f>
        <v>0.26400401909068072</v>
      </c>
      <c r="BC47" s="105">
        <f>BC6/$BD$6</f>
        <v>0.2896257221803567</v>
      </c>
      <c r="BD47" s="274" t="b">
        <f>1=SUM(AZ47:BC47)</f>
        <v>1</v>
      </c>
      <c r="BE47" s="105">
        <f>BE6/$BI$6</f>
        <v>0.23528426693460605</v>
      </c>
      <c r="BF47" s="105">
        <f t="shared" ref="BF47:BH47" si="104">BF6/$BI$6</f>
        <v>0.25747299673448881</v>
      </c>
      <c r="BG47" s="105">
        <f t="shared" si="104"/>
        <v>0.23595359206229591</v>
      </c>
      <c r="BH47" s="105">
        <f t="shared" si="104"/>
        <v>0.27128914426860917</v>
      </c>
      <c r="BI47" s="274" t="b">
        <f>1=SUM(BE47:BH47)</f>
        <v>1</v>
      </c>
      <c r="BJ47" s="24"/>
    </row>
    <row r="48" spans="1:63">
      <c r="A48" s="458" t="s">
        <v>1</v>
      </c>
      <c r="B48" s="30"/>
      <c r="C48" s="31"/>
      <c r="D48" s="31"/>
      <c r="E48" s="31"/>
      <c r="F48" s="104"/>
      <c r="G48" s="30"/>
      <c r="H48" s="31"/>
      <c r="I48" s="31"/>
      <c r="J48" s="31"/>
      <c r="K48" s="104"/>
      <c r="L48" s="30" t="str">
        <f>IFERROR(L35/$P$35,"NM")</f>
        <v>NM</v>
      </c>
      <c r="M48" s="31" t="str">
        <f>IFERROR(M35/$P$35,"NM")</f>
        <v>NM</v>
      </c>
      <c r="N48" s="31" t="str">
        <f>IFERROR(N35/$P$35,"NM")</f>
        <v>NM</v>
      </c>
      <c r="O48" s="31" t="str">
        <f>IFERROR(O35/$P$35,"NM")</f>
        <v>NM</v>
      </c>
      <c r="P48" s="104"/>
      <c r="Q48" s="30" t="str">
        <f>IFERROR(Q35/$U$35,"NM")</f>
        <v>NM</v>
      </c>
      <c r="R48" s="31" t="str">
        <f>IFERROR(R35/$U$35,"NM")</f>
        <v>NM</v>
      </c>
      <c r="S48" s="31" t="str">
        <f>IFERROR(S35/$U$35,"NM")</f>
        <v>NM</v>
      </c>
      <c r="T48" s="31" t="str">
        <f>IFERROR(T35/$U$35,"NM")</f>
        <v>NM</v>
      </c>
      <c r="U48" s="104"/>
      <c r="V48" s="30" t="str">
        <f>IFERROR(V35/$Z$35,"NM")</f>
        <v>NM</v>
      </c>
      <c r="W48" s="31" t="str">
        <f>IFERROR(W35/$Z$35,"NM")</f>
        <v>NM</v>
      </c>
      <c r="X48" s="31" t="str">
        <f>IFERROR(X35/$Z$35,"NM")</f>
        <v>NM</v>
      </c>
      <c r="Y48" s="31" t="str">
        <f>IFERROR(Y35/$Z$35,"NM")</f>
        <v>NM</v>
      </c>
      <c r="Z48" s="104" t="b">
        <f t="shared" si="97"/>
        <v>0</v>
      </c>
      <c r="AA48" s="30" t="e">
        <f>AA35/$AE$35</f>
        <v>#DIV/0!</v>
      </c>
      <c r="AB48" s="30" t="e">
        <f>AB35/$AE$35</f>
        <v>#DIV/0!</v>
      </c>
      <c r="AC48" s="30" t="e">
        <f>AC35/$AE$35</f>
        <v>#DIV/0!</v>
      </c>
      <c r="AD48" s="30" t="e">
        <f>AD35/$AE$35</f>
        <v>#DIV/0!</v>
      </c>
      <c r="AE48" s="274" t="e">
        <f t="shared" si="98"/>
        <v>#DIV/0!</v>
      </c>
      <c r="AF48" s="30" t="e">
        <f>AF35/$AJ$35</f>
        <v>#DIV/0!</v>
      </c>
      <c r="AG48" s="30" t="e">
        <f>AG35/$AJ$35</f>
        <v>#DIV/0!</v>
      </c>
      <c r="AH48" s="30" t="e">
        <f>AH35/$AJ$35</f>
        <v>#DIV/0!</v>
      </c>
      <c r="AI48" s="30" t="e">
        <f>AI35/$AJ$35</f>
        <v>#DIV/0!</v>
      </c>
      <c r="AJ48" s="274" t="e">
        <f t="shared" si="99"/>
        <v>#DIV/0!</v>
      </c>
      <c r="AK48" s="30" t="e">
        <f>AK35/$AO$35</f>
        <v>#DIV/0!</v>
      </c>
      <c r="AL48" s="30" t="e">
        <f>AL35/$AO$35</f>
        <v>#DIV/0!</v>
      </c>
      <c r="AM48" s="30" t="e">
        <f>AM35/$AO$35</f>
        <v>#DIV/0!</v>
      </c>
      <c r="AN48" s="30" t="e">
        <f>AN35/$AO$35</f>
        <v>#DIV/0!</v>
      </c>
      <c r="AO48" s="274" t="e">
        <f t="shared" si="100"/>
        <v>#DIV/0!</v>
      </c>
      <c r="AP48" s="30" t="e">
        <f>AP35/$AT$35</f>
        <v>#DIV/0!</v>
      </c>
      <c r="AQ48" s="30" t="e">
        <f>AQ35/$AT$35</f>
        <v>#DIV/0!</v>
      </c>
      <c r="AR48" s="30" t="e">
        <f>AR35/$AT$35</f>
        <v>#DIV/0!</v>
      </c>
      <c r="AS48" s="30" t="e">
        <f>AS35/$AT$35</f>
        <v>#DIV/0!</v>
      </c>
      <c r="AT48" s="274" t="e">
        <f t="shared" si="101"/>
        <v>#DIV/0!</v>
      </c>
      <c r="AU48" s="30" t="e">
        <f>AU35/$AY$35</f>
        <v>#DIV/0!</v>
      </c>
      <c r="AV48" s="30" t="e">
        <f>AV35/$AY$35</f>
        <v>#DIV/0!</v>
      </c>
      <c r="AW48" s="30" t="e">
        <f>AW35/$AY$35</f>
        <v>#DIV/0!</v>
      </c>
      <c r="AX48" s="30" t="e">
        <f>AX35/$AY$35</f>
        <v>#DIV/0!</v>
      </c>
      <c r="AY48" s="274" t="e">
        <f t="shared" si="102"/>
        <v>#DIV/0!</v>
      </c>
      <c r="AZ48" s="30">
        <f>AZ35/$BD$35</f>
        <v>0</v>
      </c>
      <c r="BA48" s="30">
        <f>BA35/$BD$35</f>
        <v>0</v>
      </c>
      <c r="BB48" s="30">
        <f>BB35/$BD$35</f>
        <v>0.27964118564742591</v>
      </c>
      <c r="BC48" s="30" t="e">
        <f>BC35/$AY$35</f>
        <v>#DIV/0!</v>
      </c>
      <c r="BD48" s="274" t="e">
        <f t="shared" ref="BD48:BD49" si="105">1=SUM(AZ48:BC48)</f>
        <v>#DIV/0!</v>
      </c>
      <c r="BE48" s="30" t="e">
        <f>BE35/$BI$35</f>
        <v>#DIV/0!</v>
      </c>
      <c r="BF48" s="30" t="e">
        <f t="shared" ref="BF48:BH48" si="106">BF35/$BI$35</f>
        <v>#DIV/0!</v>
      </c>
      <c r="BG48" s="30" t="e">
        <f t="shared" si="106"/>
        <v>#DIV/0!</v>
      </c>
      <c r="BH48" s="30" t="e">
        <f t="shared" si="106"/>
        <v>#DIV/0!</v>
      </c>
      <c r="BI48" s="274"/>
      <c r="BJ48" s="24"/>
    </row>
    <row r="49" spans="1:63">
      <c r="A49" s="458" t="s">
        <v>2</v>
      </c>
      <c r="B49" s="105"/>
      <c r="C49" s="106"/>
      <c r="D49" s="106"/>
      <c r="E49" s="106"/>
      <c r="F49" s="104"/>
      <c r="G49" s="105"/>
      <c r="H49" s="106"/>
      <c r="I49" s="106"/>
      <c r="J49" s="106"/>
      <c r="K49" s="104"/>
      <c r="L49" s="105" t="str">
        <f>IFERROR(L38/$P$38,"NM")</f>
        <v>NM</v>
      </c>
      <c r="M49" s="106" t="str">
        <f>IFERROR(M38/$P$38,"NM")</f>
        <v>NM</v>
      </c>
      <c r="N49" s="106" t="str">
        <f>IFERROR(N38/$P$38,"NM")</f>
        <v>NM</v>
      </c>
      <c r="O49" s="106" t="str">
        <f>IFERROR(O38/$P$38,"NM")</f>
        <v>NM</v>
      </c>
      <c r="P49" s="104"/>
      <c r="Q49" s="105" t="str">
        <f>IFERROR(Q38/$U$38,"NM")</f>
        <v>NM</v>
      </c>
      <c r="R49" s="106" t="str">
        <f>IFERROR(R38/$U$38,"NM")</f>
        <v>NM</v>
      </c>
      <c r="S49" s="106" t="str">
        <f>IFERROR(S38/$U$38,"NM")</f>
        <v>NM</v>
      </c>
      <c r="T49" s="106" t="str">
        <f>IFERROR(T38/$U$38,"NM")</f>
        <v>NM</v>
      </c>
      <c r="U49" s="104"/>
      <c r="V49" s="105" t="str">
        <f>IFERROR(V38/$Z$38,"NM")</f>
        <v>NM</v>
      </c>
      <c r="W49" s="106" t="str">
        <f>IFERROR(W38/$Z$38,"NM")</f>
        <v>NM</v>
      </c>
      <c r="X49" s="106" t="str">
        <f>IFERROR(X38/$Z$38,"NM")</f>
        <v>NM</v>
      </c>
      <c r="Y49" s="106" t="str">
        <f>IFERROR(Y38/$Z$38,"NM")</f>
        <v>NM</v>
      </c>
      <c r="Z49" s="104" t="b">
        <f t="shared" si="97"/>
        <v>0</v>
      </c>
      <c r="AA49" s="105" t="e">
        <f>AA38/$AE$38</f>
        <v>#DIV/0!</v>
      </c>
      <c r="AB49" s="105" t="e">
        <f>AB38/$AE$38</f>
        <v>#DIV/0!</v>
      </c>
      <c r="AC49" s="105" t="e">
        <f>AC38/$AE$38</f>
        <v>#DIV/0!</v>
      </c>
      <c r="AD49" s="105" t="e">
        <f>AD38/$AE$38</f>
        <v>#DIV/0!</v>
      </c>
      <c r="AE49" s="274" t="e">
        <f t="shared" si="98"/>
        <v>#DIV/0!</v>
      </c>
      <c r="AF49" s="105" t="e">
        <f>AF38/$AJ$38</f>
        <v>#DIV/0!</v>
      </c>
      <c r="AG49" s="105" t="e">
        <f>AG38/$AJ$38</f>
        <v>#DIV/0!</v>
      </c>
      <c r="AH49" s="105" t="e">
        <f>AH38/$AJ$38</f>
        <v>#DIV/0!</v>
      </c>
      <c r="AI49" s="105" t="e">
        <f>AI38/$AJ$38</f>
        <v>#DIV/0!</v>
      </c>
      <c r="AJ49" s="274" t="e">
        <f t="shared" si="99"/>
        <v>#DIV/0!</v>
      </c>
      <c r="AK49" s="105" t="e">
        <f>AK38/$AO$38</f>
        <v>#DIV/0!</v>
      </c>
      <c r="AL49" s="105" t="e">
        <f>AL38/$AO$38</f>
        <v>#DIV/0!</v>
      </c>
      <c r="AM49" s="105" t="e">
        <f>AM38/$AO$38</f>
        <v>#DIV/0!</v>
      </c>
      <c r="AN49" s="105" t="e">
        <f>AN38/$AO$38</f>
        <v>#DIV/0!</v>
      </c>
      <c r="AO49" s="274" t="e">
        <f t="shared" si="100"/>
        <v>#DIV/0!</v>
      </c>
      <c r="AP49" s="105" t="e">
        <f>AP38/$AT$38</f>
        <v>#DIV/0!</v>
      </c>
      <c r="AQ49" s="105" t="e">
        <f>AQ38/$AT$38</f>
        <v>#DIV/0!</v>
      </c>
      <c r="AR49" s="105" t="e">
        <f>AR38/$AT$38</f>
        <v>#DIV/0!</v>
      </c>
      <c r="AS49" s="105" t="e">
        <f>AS38/$AT$38</f>
        <v>#DIV/0!</v>
      </c>
      <c r="AT49" s="274" t="e">
        <f t="shared" si="101"/>
        <v>#DIV/0!</v>
      </c>
      <c r="AU49" s="105" t="e">
        <f>AU38/$AY$38</f>
        <v>#DIV/0!</v>
      </c>
      <c r="AV49" s="105" t="e">
        <f>AV38/$AY$38</f>
        <v>#DIV/0!</v>
      </c>
      <c r="AW49" s="105" t="e">
        <f>AW38/$AY$38</f>
        <v>#DIV/0!</v>
      </c>
      <c r="AX49" s="105" t="e">
        <f>AX38/$AY$38</f>
        <v>#DIV/0!</v>
      </c>
      <c r="AY49" s="274" t="e">
        <f t="shared" si="102"/>
        <v>#DIV/0!</v>
      </c>
      <c r="AZ49" s="105">
        <f>AZ38/$BD$38</f>
        <v>0</v>
      </c>
      <c r="BA49" s="105">
        <f>BA38/$BD$38</f>
        <v>0</v>
      </c>
      <c r="BB49" s="105">
        <f>BB38/$BD$38</f>
        <v>0.25691116844821232</v>
      </c>
      <c r="BC49" s="105" t="e">
        <f>BC38/$AY$38</f>
        <v>#DIV/0!</v>
      </c>
      <c r="BD49" s="274" t="e">
        <f t="shared" si="105"/>
        <v>#DIV/0!</v>
      </c>
      <c r="BE49" s="105" t="e">
        <f>BE38/$BI$38</f>
        <v>#DIV/0!</v>
      </c>
      <c r="BF49" s="105" t="e">
        <f t="shared" ref="BF49:BH49" si="107">BF38/$BI$38</f>
        <v>#DIV/0!</v>
      </c>
      <c r="BG49" s="105" t="e">
        <f t="shared" si="107"/>
        <v>#DIV/0!</v>
      </c>
      <c r="BH49" s="105" t="e">
        <f t="shared" si="107"/>
        <v>#DIV/0!</v>
      </c>
      <c r="BI49" s="274"/>
      <c r="BJ49" s="24"/>
    </row>
    <row r="50" spans="1:63">
      <c r="A50" s="458" t="s">
        <v>0</v>
      </c>
      <c r="B50" s="105"/>
      <c r="C50" s="106"/>
      <c r="D50" s="106"/>
      <c r="E50" s="106"/>
      <c r="F50" s="104"/>
      <c r="G50" s="105"/>
      <c r="H50" s="106"/>
      <c r="I50" s="106"/>
      <c r="J50" s="106"/>
      <c r="K50" s="104"/>
      <c r="L50" s="105">
        <f>L9/$P$9</f>
        <v>0.23367556468172485</v>
      </c>
      <c r="M50" s="106">
        <f>M9/$P$9</f>
        <v>0.23490759753593429</v>
      </c>
      <c r="N50" s="106">
        <f>N9/$P$9</f>
        <v>0.25284052019164954</v>
      </c>
      <c r="O50" s="106">
        <f>O9/$P$9</f>
        <v>0.27857631759069129</v>
      </c>
      <c r="P50" s="104" t="b">
        <f>1=SUM(L50:O50)</f>
        <v>1</v>
      </c>
      <c r="Q50" s="105">
        <f>Q9/$U$9</f>
        <v>0.23473160780313657</v>
      </c>
      <c r="R50" s="106">
        <f>R9/$U$9</f>
        <v>0.25296442687747034</v>
      </c>
      <c r="S50" s="106">
        <f>S9/$U$9</f>
        <v>0.2351141144970037</v>
      </c>
      <c r="T50" s="106">
        <f>T9/$U$9</f>
        <v>0.27718985082238939</v>
      </c>
      <c r="U50" s="104" t="b">
        <f>1=SUM(Q50:T50)</f>
        <v>1</v>
      </c>
      <c r="V50" s="105">
        <f>V9/$Z$9</f>
        <v>0.23169323169323169</v>
      </c>
      <c r="W50" s="106">
        <f>W9/$Z$9</f>
        <v>0.23423423423423423</v>
      </c>
      <c r="X50" s="106">
        <f>X9/$Z$9</f>
        <v>0.24382074382074381</v>
      </c>
      <c r="Y50" s="106">
        <f>Y9/$Z$9</f>
        <v>0.29025179025179026</v>
      </c>
      <c r="Z50" s="104" t="b">
        <f t="shared" si="97"/>
        <v>1</v>
      </c>
      <c r="AA50" s="105">
        <f>AA9/$AE$9</f>
        <v>0.23535634007668915</v>
      </c>
      <c r="AB50" s="105">
        <f>AB9/$AE$9</f>
        <v>0.24646304376570144</v>
      </c>
      <c r="AC50" s="105">
        <f>AC9/$AE$9</f>
        <v>0.24236414121380404</v>
      </c>
      <c r="AD50" s="105">
        <f>AD9/$AE$9</f>
        <v>0.27581647494380535</v>
      </c>
      <c r="AE50" s="274" t="b">
        <f t="shared" si="98"/>
        <v>1</v>
      </c>
      <c r="AF50" s="105">
        <f>AF9/$AJ$9</f>
        <v>0.23568345323741008</v>
      </c>
      <c r="AG50" s="105">
        <f>AG9/$AJ$9</f>
        <v>0.24820143884892087</v>
      </c>
      <c r="AH50" s="105">
        <f>AH9/$AJ$9</f>
        <v>0.25841726618705035</v>
      </c>
      <c r="AI50" s="105">
        <f>AI9/$AJ$9</f>
        <v>0.25769784172661869</v>
      </c>
      <c r="AJ50" s="274" t="b">
        <f t="shared" si="99"/>
        <v>1</v>
      </c>
      <c r="AK50" s="105">
        <f>AK9/$AO$9</f>
        <v>0.23696682464454977</v>
      </c>
      <c r="AL50" s="105">
        <f>AL9/$AO$9</f>
        <v>0.24658090724441437</v>
      </c>
      <c r="AM50" s="105">
        <f>AM9/$AO$9</f>
        <v>0.23480027081922816</v>
      </c>
      <c r="AN50" s="105">
        <f>AN9/$AO$9</f>
        <v>0.28165199729180773</v>
      </c>
      <c r="AO50" s="274" t="b">
        <f t="shared" si="100"/>
        <v>1</v>
      </c>
      <c r="AP50" s="105">
        <f>AP9/$AT$9</f>
        <v>0.21939515679053678</v>
      </c>
      <c r="AQ50" s="105">
        <f>AQ9/$AT$9</f>
        <v>0.2650373842205111</v>
      </c>
      <c r="AR50" s="105">
        <f>AR9/$AT$9</f>
        <v>0.24606628724472715</v>
      </c>
      <c r="AS50" s="105">
        <f>AS9/$AT$9</f>
        <v>0.269501171744225</v>
      </c>
      <c r="AT50" s="274" t="b">
        <f t="shared" si="101"/>
        <v>1</v>
      </c>
      <c r="AU50" s="105">
        <f>AU9/$AY$9</f>
        <v>0.24393331926566786</v>
      </c>
      <c r="AV50" s="105">
        <f>AV9/$AY$9</f>
        <v>0.2533234859675037</v>
      </c>
      <c r="AW50" s="105">
        <f>AW9/$AY$9</f>
        <v>0.2366533023844693</v>
      </c>
      <c r="AX50" s="105">
        <f>AX9/$AY$9</f>
        <v>0.26630090736442286</v>
      </c>
      <c r="AY50" s="274" t="b">
        <f t="shared" si="102"/>
        <v>0</v>
      </c>
      <c r="AZ50" s="105">
        <f>AZ9/$BD$9</f>
        <v>0.22029562251279136</v>
      </c>
      <c r="BA50" s="105">
        <f>BA9/$BD$9</f>
        <v>0.24284631419367064</v>
      </c>
      <c r="BB50" s="105">
        <f>BB9/$BD$9</f>
        <v>0.26795527761985977</v>
      </c>
      <c r="BC50" s="105">
        <f>BC9/$BD$9</f>
        <v>0.26899753647906005</v>
      </c>
      <c r="BD50" s="274" t="b">
        <f>1=SUM(AZ50:BC50)</f>
        <v>0</v>
      </c>
      <c r="BE50" s="105">
        <f>BE9/$BI$9</f>
        <v>0.23656078596474697</v>
      </c>
      <c r="BF50" s="105">
        <f t="shared" ref="BF50:BH50" si="108">BF9/$BI$9</f>
        <v>0.25341592597281393</v>
      </c>
      <c r="BG50" s="105">
        <f t="shared" si="108"/>
        <v>0.24841845056365353</v>
      </c>
      <c r="BH50" s="105">
        <f t="shared" si="108"/>
        <v>0.26160483749878544</v>
      </c>
      <c r="BI50" s="274" t="b">
        <f>1=SUM(BE50:BH50)</f>
        <v>1</v>
      </c>
      <c r="BJ50" s="24"/>
    </row>
    <row r="51" spans="1:63">
      <c r="A51" s="458" t="s">
        <v>9</v>
      </c>
      <c r="B51" s="105"/>
      <c r="C51" s="106"/>
      <c r="D51" s="106"/>
      <c r="E51" s="106"/>
      <c r="F51" s="104"/>
      <c r="G51" s="105"/>
      <c r="H51" s="106"/>
      <c r="I51" s="106"/>
      <c r="J51" s="106"/>
      <c r="K51" s="104"/>
      <c r="L51" s="105" t="e">
        <f>L27/$P$27</f>
        <v>#DIV/0!</v>
      </c>
      <c r="M51" s="106" t="e">
        <f>M27/$P$27</f>
        <v>#DIV/0!</v>
      </c>
      <c r="N51" s="106" t="e">
        <f>N27/$P$27</f>
        <v>#DIV/0!</v>
      </c>
      <c r="O51" s="106" t="e">
        <f>O27/$P$27</f>
        <v>#DIV/0!</v>
      </c>
      <c r="P51" s="104" t="e">
        <f>1=SUM(L51:O51)</f>
        <v>#DIV/0!</v>
      </c>
      <c r="Q51" s="105" t="e">
        <f>Q27/$U$27</f>
        <v>#DIV/0!</v>
      </c>
      <c r="R51" s="106" t="e">
        <f>R27/$U$27</f>
        <v>#DIV/0!</v>
      </c>
      <c r="S51" s="106" t="e">
        <f>S27/$U$27</f>
        <v>#DIV/0!</v>
      </c>
      <c r="T51" s="106" t="e">
        <f>T27/$U$27</f>
        <v>#DIV/0!</v>
      </c>
      <c r="U51" s="104" t="e">
        <f>1=SUM(Q51:T51)</f>
        <v>#DIV/0!</v>
      </c>
      <c r="V51" s="105" t="e">
        <f>V27/$Z$27</f>
        <v>#DIV/0!</v>
      </c>
      <c r="W51" s="106" t="e">
        <f>W27/$Z$27</f>
        <v>#DIV/0!</v>
      </c>
      <c r="X51" s="106" t="e">
        <f>X27/$Z$27</f>
        <v>#DIV/0!</v>
      </c>
      <c r="Y51" s="106" t="e">
        <f>Y27/$Z$27</f>
        <v>#DIV/0!</v>
      </c>
      <c r="Z51" s="104" t="e">
        <f t="shared" si="97"/>
        <v>#DIV/0!</v>
      </c>
      <c r="AA51" s="105" t="e">
        <f>AA27/$AE$27</f>
        <v>#DIV/0!</v>
      </c>
      <c r="AB51" s="105" t="e">
        <f>AB27/$AE$27</f>
        <v>#DIV/0!</v>
      </c>
      <c r="AC51" s="105" t="e">
        <f>AC27/$AE$27</f>
        <v>#DIV/0!</v>
      </c>
      <c r="AD51" s="105" t="e">
        <f>AD27/$AE$27</f>
        <v>#DIV/0!</v>
      </c>
      <c r="AE51" s="274" t="e">
        <f t="shared" si="98"/>
        <v>#DIV/0!</v>
      </c>
      <c r="AF51" s="105" t="e">
        <f>AF27/$AJ$27</f>
        <v>#DIV/0!</v>
      </c>
      <c r="AG51" s="105" t="e">
        <f>AG27/$AJ$27</f>
        <v>#DIV/0!</v>
      </c>
      <c r="AH51" s="105" t="e">
        <f>AH27/$AJ$27</f>
        <v>#DIV/0!</v>
      </c>
      <c r="AI51" s="105" t="e">
        <f>AI27/$AJ$27</f>
        <v>#DIV/0!</v>
      </c>
      <c r="AJ51" s="274" t="e">
        <f t="shared" si="99"/>
        <v>#DIV/0!</v>
      </c>
      <c r="AK51" s="105" t="e">
        <f>AK27/$AO$27</f>
        <v>#DIV/0!</v>
      </c>
      <c r="AL51" s="105" t="e">
        <f>AL27/$AO$27</f>
        <v>#DIV/0!</v>
      </c>
      <c r="AM51" s="105" t="e">
        <f>AM27/$AO$27</f>
        <v>#DIV/0!</v>
      </c>
      <c r="AN51" s="105" t="e">
        <f>AN27/$AO$27</f>
        <v>#DIV/0!</v>
      </c>
      <c r="AO51" s="274" t="e">
        <f t="shared" si="100"/>
        <v>#DIV/0!</v>
      </c>
      <c r="AP51" s="105">
        <f>AP27/$AT$27</f>
        <v>0.22136563876651982</v>
      </c>
      <c r="AQ51" s="105">
        <f>AQ27/$AT$27</f>
        <v>0.22136563876651982</v>
      </c>
      <c r="AR51" s="105">
        <f>AR27/$AT$27</f>
        <v>0.29625550660792954</v>
      </c>
      <c r="AS51" s="105">
        <f>AS27/$AT$27</f>
        <v>0.26101321585903081</v>
      </c>
      <c r="AT51" s="274" t="b">
        <f t="shared" si="101"/>
        <v>1</v>
      </c>
      <c r="AU51" s="105">
        <f>AU27/$AY$27</f>
        <v>0.2412818096135721</v>
      </c>
      <c r="AV51" s="105">
        <f>AV27/$AY$27</f>
        <v>0.3242224316682375</v>
      </c>
      <c r="AW51" s="105">
        <f>AW27/$AY$27</f>
        <v>0.20735155513666353</v>
      </c>
      <c r="AX51" s="105">
        <f>AX27/$AY$27</f>
        <v>0.22714420358152687</v>
      </c>
      <c r="AY51" s="274" t="b">
        <f t="shared" si="102"/>
        <v>1</v>
      </c>
      <c r="AZ51" s="105">
        <f>AZ27/$BD$27</f>
        <v>0.22839506172839505</v>
      </c>
      <c r="BA51" s="105">
        <f>BA27/$BD$27</f>
        <v>0.27932098765432101</v>
      </c>
      <c r="BB51" s="105">
        <f>BB27/$BD$27</f>
        <v>0.2978395061728395</v>
      </c>
      <c r="BC51" s="105">
        <f>BC27/$BD$27</f>
        <v>0.19444444444444445</v>
      </c>
      <c r="BD51" s="274" t="b">
        <f>1=SUM(AZ51:BC51)</f>
        <v>1</v>
      </c>
      <c r="BE51" s="105">
        <f>BE27/$BI$27</f>
        <v>0.22406124280729414</v>
      </c>
      <c r="BF51" s="105">
        <f t="shared" ref="BF51:BH51" si="109">BF27/$BI$27</f>
        <v>0.28081554177695178</v>
      </c>
      <c r="BG51" s="105">
        <f t="shared" si="109"/>
        <v>0.25939275962469843</v>
      </c>
      <c r="BH51" s="105">
        <f t="shared" si="109"/>
        <v>0.2357304557910557</v>
      </c>
      <c r="BI51" s="274" t="b">
        <f>1=SUM(BE51:BH51)</f>
        <v>1</v>
      </c>
      <c r="BJ51" s="24"/>
    </row>
    <row r="52" spans="1:63">
      <c r="A52" s="458"/>
      <c r="B52" s="24"/>
      <c r="C52" s="24"/>
      <c r="D52" s="24"/>
      <c r="E52" s="24"/>
      <c r="F52" s="25"/>
      <c r="G52" s="24"/>
      <c r="H52" s="24"/>
      <c r="I52" s="24"/>
      <c r="J52" s="24"/>
      <c r="K52" s="25"/>
      <c r="L52" s="24"/>
      <c r="M52" s="24"/>
      <c r="N52" s="24"/>
      <c r="O52" s="24"/>
      <c r="P52" s="25"/>
      <c r="Q52" s="24"/>
      <c r="R52" s="24"/>
      <c r="S52" s="24"/>
      <c r="T52" s="24"/>
      <c r="U52" s="25"/>
      <c r="V52" s="24"/>
      <c r="W52" s="24"/>
      <c r="X52" s="24"/>
      <c r="Y52" s="24"/>
      <c r="Z52" s="25"/>
      <c r="AA52" s="24"/>
      <c r="AB52" s="24"/>
      <c r="AC52" s="24"/>
      <c r="AD52" s="24"/>
      <c r="AE52" s="25"/>
      <c r="AF52" s="24"/>
      <c r="AG52" s="24"/>
      <c r="AH52" s="24"/>
      <c r="AI52" s="24"/>
      <c r="AJ52" s="25"/>
      <c r="AK52" s="24"/>
      <c r="AL52" s="24"/>
      <c r="AM52" s="24"/>
      <c r="AN52" s="24"/>
      <c r="AO52" s="25"/>
      <c r="AP52" s="24"/>
      <c r="AQ52" s="24"/>
      <c r="AR52" s="24"/>
      <c r="AS52" s="24"/>
      <c r="AT52" s="25"/>
      <c r="AU52" s="24"/>
      <c r="AV52" s="24"/>
      <c r="AW52" s="24"/>
      <c r="AX52" s="24"/>
      <c r="AY52" s="25"/>
      <c r="AZ52" s="24"/>
      <c r="BA52" s="24"/>
      <c r="BB52" s="24"/>
      <c r="BC52" s="24"/>
      <c r="BD52" s="25"/>
      <c r="BE52" s="24"/>
      <c r="BF52" s="24"/>
      <c r="BG52" s="24"/>
      <c r="BH52" s="24"/>
      <c r="BI52" s="25"/>
      <c r="BJ52" s="24"/>
    </row>
    <row r="53" spans="1:63">
      <c r="A53" s="464" t="s">
        <v>297</v>
      </c>
      <c r="F53" s="179"/>
      <c r="K53" s="179"/>
      <c r="P53" s="179"/>
      <c r="U53" s="179"/>
      <c r="Z53" s="179"/>
      <c r="AA53" s="24"/>
      <c r="AB53" s="24"/>
      <c r="AC53" s="24"/>
      <c r="AD53" s="24"/>
      <c r="AE53" s="179"/>
      <c r="AF53" s="24"/>
      <c r="AG53" s="24"/>
      <c r="AH53" s="24"/>
      <c r="AI53" s="24"/>
      <c r="AJ53" s="179"/>
      <c r="AO53" s="179"/>
      <c r="AP53" s="378"/>
      <c r="AQ53" s="378"/>
      <c r="AR53" s="378"/>
      <c r="AS53" s="378"/>
      <c r="AT53" s="379"/>
      <c r="AU53" s="378"/>
      <c r="AV53" s="378"/>
      <c r="AW53" s="24"/>
      <c r="AX53" s="24"/>
      <c r="AY53" s="379"/>
      <c r="AZ53" s="378"/>
      <c r="BC53" s="24"/>
      <c r="BD53" s="179"/>
      <c r="BE53" s="378"/>
      <c r="BH53" s="24"/>
      <c r="BI53" s="179"/>
      <c r="BJ53" s="24"/>
    </row>
    <row r="54" spans="1:63">
      <c r="A54" s="458" t="s">
        <v>299</v>
      </c>
      <c r="B54" s="314">
        <v>169</v>
      </c>
      <c r="C54" s="314">
        <v>174</v>
      </c>
      <c r="D54" s="314">
        <v>158</v>
      </c>
      <c r="E54" s="314">
        <f>766-SUM(B54:D54)</f>
        <v>265</v>
      </c>
      <c r="F54" s="317">
        <f>SUM(B54:E54)</f>
        <v>766</v>
      </c>
      <c r="G54" s="314">
        <v>151</v>
      </c>
      <c r="H54" s="314">
        <v>151</v>
      </c>
      <c r="I54" s="314">
        <v>100</v>
      </c>
      <c r="J54" s="314">
        <f>571-SUM(G54:I54)</f>
        <v>169</v>
      </c>
      <c r="K54" s="317">
        <f>SUM(G54:J54)</f>
        <v>571</v>
      </c>
      <c r="L54" s="314">
        <v>120</v>
      </c>
      <c r="M54" s="314">
        <v>137</v>
      </c>
      <c r="N54" s="314">
        <v>145</v>
      </c>
      <c r="O54" s="314">
        <v>215</v>
      </c>
      <c r="P54" s="317">
        <f>SUM(L54:O54)</f>
        <v>617</v>
      </c>
      <c r="Q54" s="314">
        <v>138</v>
      </c>
      <c r="R54" s="314">
        <v>204</v>
      </c>
      <c r="S54" s="314">
        <v>160</v>
      </c>
      <c r="T54" s="314">
        <v>172</v>
      </c>
      <c r="U54" s="317">
        <f>SUM(Q54:T54)</f>
        <v>674</v>
      </c>
      <c r="V54" s="314">
        <v>161</v>
      </c>
      <c r="W54" s="314">
        <v>143</v>
      </c>
      <c r="X54" s="314">
        <v>186</v>
      </c>
      <c r="Y54" s="314">
        <v>227</v>
      </c>
      <c r="Z54" s="317">
        <f>SUM(V54:Y54)</f>
        <v>717</v>
      </c>
      <c r="AA54" s="314">
        <v>146</v>
      </c>
      <c r="AB54" s="314">
        <v>204</v>
      </c>
      <c r="AC54" s="314">
        <v>107</v>
      </c>
      <c r="AD54" s="350">
        <f>AE54-SUM(AA54:AC54)</f>
        <v>226</v>
      </c>
      <c r="AE54" s="412">
        <v>683</v>
      </c>
      <c r="AF54" s="314">
        <v>96</v>
      </c>
      <c r="AG54" s="314">
        <v>155</v>
      </c>
      <c r="AH54" s="314">
        <v>154</v>
      </c>
      <c r="AI54" s="350">
        <f>AJ54-SUM(AF54:AH54)</f>
        <v>148</v>
      </c>
      <c r="AJ54" s="412">
        <v>553</v>
      </c>
      <c r="AK54" s="314">
        <v>184</v>
      </c>
      <c r="AL54" s="314">
        <v>131</v>
      </c>
      <c r="AM54" s="314">
        <v>151</v>
      </c>
      <c r="AN54" s="350">
        <f>AO54-SUM(AK54:AM54)</f>
        <v>166</v>
      </c>
      <c r="AO54" s="412">
        <v>632</v>
      </c>
      <c r="AP54" s="314">
        <f>308-AQ54</f>
        <v>80</v>
      </c>
      <c r="AQ54" s="314">
        <v>228</v>
      </c>
      <c r="AR54" s="314">
        <v>95</v>
      </c>
      <c r="AS54" s="350">
        <f>AT54-SUM(AP54:AR54)</f>
        <v>153</v>
      </c>
      <c r="AT54" s="412">
        <v>556</v>
      </c>
      <c r="AU54" s="314">
        <v>125</v>
      </c>
      <c r="AV54" s="314">
        <v>87</v>
      </c>
      <c r="AW54" s="314">
        <v>94</v>
      </c>
      <c r="AX54" s="350">
        <f>AY54-SUM(AU54:AW54)</f>
        <v>184</v>
      </c>
      <c r="AY54" s="412">
        <v>490</v>
      </c>
      <c r="AZ54" s="314">
        <v>131</v>
      </c>
      <c r="BA54" s="314">
        <v>160</v>
      </c>
      <c r="BB54" s="314">
        <v>172</v>
      </c>
      <c r="BC54" s="350">
        <f>BD54-SUM(AZ54:BB54)</f>
        <v>172</v>
      </c>
      <c r="BD54" s="412">
        <v>635</v>
      </c>
      <c r="BE54" s="314">
        <v>185</v>
      </c>
      <c r="BF54" s="314">
        <v>199</v>
      </c>
      <c r="BG54" s="314"/>
      <c r="BH54" s="24"/>
      <c r="BI54" s="317"/>
      <c r="BJ54" s="24"/>
    </row>
    <row r="56" spans="1:63">
      <c r="A56" s="469" t="s">
        <v>366</v>
      </c>
      <c r="P56" s="179"/>
      <c r="U56" s="179"/>
      <c r="Z56" s="179"/>
      <c r="AE56" s="179"/>
      <c r="AJ56" s="179"/>
      <c r="AO56" s="179"/>
      <c r="AT56" s="179"/>
      <c r="AY56" s="179"/>
      <c r="BD56" s="179"/>
      <c r="BI56" s="179"/>
    </row>
    <row r="57" spans="1:63">
      <c r="A57" s="458" t="s">
        <v>510</v>
      </c>
      <c r="L57" s="314"/>
      <c r="M57" s="314"/>
      <c r="N57" s="314"/>
      <c r="O57" s="314"/>
      <c r="P57" s="317">
        <f>SUM(L57:O57)</f>
        <v>0</v>
      </c>
      <c r="Q57" s="314"/>
      <c r="R57" s="314"/>
      <c r="S57" s="314"/>
      <c r="T57" s="314"/>
      <c r="U57" s="317">
        <f>SUM(Q57:T57)</f>
        <v>0</v>
      </c>
      <c r="V57" s="314"/>
      <c r="W57" s="314"/>
      <c r="X57" s="314"/>
      <c r="Y57" s="314"/>
      <c r="Z57" s="317">
        <f>SUM(V57:Y57)</f>
        <v>0</v>
      </c>
      <c r="AA57" s="314"/>
      <c r="AB57" s="314"/>
      <c r="AC57" s="314"/>
      <c r="AD57" s="350">
        <f>AE57-SUM(AA57:AC57)</f>
        <v>0</v>
      </c>
      <c r="AE57" s="412"/>
      <c r="AF57" s="314"/>
      <c r="AG57" s="314"/>
      <c r="AH57" s="314"/>
      <c r="AI57" s="350">
        <f>AJ57-SUM(AF57:AH57)</f>
        <v>0</v>
      </c>
      <c r="AJ57" s="412"/>
      <c r="AK57" s="314"/>
      <c r="AL57" s="314"/>
      <c r="AM57" s="314"/>
      <c r="AN57" s="350">
        <f>AO57-SUM(AK57:AM57)</f>
        <v>0</v>
      </c>
      <c r="AO57" s="412"/>
      <c r="AP57" s="314"/>
      <c r="AQ57" s="314"/>
      <c r="AR57" s="314"/>
      <c r="AS57" s="350">
        <f>AT57-SUM(AP57:AR57)</f>
        <v>0</v>
      </c>
      <c r="AT57" s="412"/>
      <c r="AU57" s="314">
        <v>1300</v>
      </c>
      <c r="AV57" s="314">
        <v>400</v>
      </c>
      <c r="AW57" s="314">
        <v>1600</v>
      </c>
      <c r="AX57" s="350">
        <v>1400</v>
      </c>
      <c r="AY57" s="412">
        <v>5800</v>
      </c>
      <c r="AZ57" s="314">
        <v>1500</v>
      </c>
      <c r="BA57" s="314">
        <v>1400</v>
      </c>
      <c r="BB57" s="539">
        <v>1400</v>
      </c>
      <c r="BC57" s="314">
        <v>1589</v>
      </c>
      <c r="BD57" s="412">
        <v>5847</v>
      </c>
      <c r="BE57" s="314">
        <v>1814</v>
      </c>
      <c r="BF57" s="314">
        <v>1782</v>
      </c>
      <c r="BG57" s="539"/>
      <c r="BH57" s="350"/>
      <c r="BI57" s="317"/>
      <c r="BK57" t="s">
        <v>513</v>
      </c>
    </row>
    <row r="58" spans="1:63">
      <c r="A58" s="458" t="s">
        <v>4</v>
      </c>
      <c r="L58" s="314"/>
      <c r="M58" s="314"/>
      <c r="N58" s="314"/>
      <c r="O58" s="314"/>
      <c r="P58" s="317"/>
      <c r="Q58" s="351" t="e">
        <f t="shared" ref="Q58:BB58" si="110">+Q57/L57-1</f>
        <v>#DIV/0!</v>
      </c>
      <c r="R58" s="351" t="e">
        <f t="shared" si="110"/>
        <v>#DIV/0!</v>
      </c>
      <c r="S58" s="351" t="e">
        <f t="shared" si="110"/>
        <v>#DIV/0!</v>
      </c>
      <c r="T58" s="351" t="e">
        <f t="shared" si="110"/>
        <v>#DIV/0!</v>
      </c>
      <c r="U58" s="352" t="e">
        <f t="shared" si="110"/>
        <v>#DIV/0!</v>
      </c>
      <c r="V58" s="351" t="e">
        <f t="shared" si="110"/>
        <v>#DIV/0!</v>
      </c>
      <c r="W58" s="351" t="e">
        <f t="shared" si="110"/>
        <v>#DIV/0!</v>
      </c>
      <c r="X58" s="351" t="e">
        <f t="shared" si="110"/>
        <v>#DIV/0!</v>
      </c>
      <c r="Y58" s="351" t="e">
        <f t="shared" si="110"/>
        <v>#DIV/0!</v>
      </c>
      <c r="Z58" s="352" t="e">
        <f t="shared" si="110"/>
        <v>#DIV/0!</v>
      </c>
      <c r="AA58" s="351" t="e">
        <f t="shared" si="110"/>
        <v>#DIV/0!</v>
      </c>
      <c r="AB58" s="351" t="e">
        <f t="shared" si="110"/>
        <v>#DIV/0!</v>
      </c>
      <c r="AC58" s="351" t="e">
        <f t="shared" si="110"/>
        <v>#DIV/0!</v>
      </c>
      <c r="AD58" s="351" t="e">
        <f t="shared" si="110"/>
        <v>#DIV/0!</v>
      </c>
      <c r="AE58" s="352" t="e">
        <f t="shared" si="110"/>
        <v>#DIV/0!</v>
      </c>
      <c r="AF58" s="351" t="e">
        <f t="shared" si="110"/>
        <v>#DIV/0!</v>
      </c>
      <c r="AG58" s="351" t="e">
        <f t="shared" si="110"/>
        <v>#DIV/0!</v>
      </c>
      <c r="AH58" s="351" t="e">
        <f t="shared" si="110"/>
        <v>#DIV/0!</v>
      </c>
      <c r="AI58" s="351" t="e">
        <f t="shared" si="110"/>
        <v>#DIV/0!</v>
      </c>
      <c r="AJ58" s="352" t="e">
        <f t="shared" si="110"/>
        <v>#DIV/0!</v>
      </c>
      <c r="AK58" s="351" t="e">
        <f t="shared" si="110"/>
        <v>#DIV/0!</v>
      </c>
      <c r="AL58" s="351" t="e">
        <f t="shared" si="110"/>
        <v>#DIV/0!</v>
      </c>
      <c r="AM58" s="351" t="e">
        <f t="shared" si="110"/>
        <v>#DIV/0!</v>
      </c>
      <c r="AN58" s="351" t="e">
        <f t="shared" si="110"/>
        <v>#DIV/0!</v>
      </c>
      <c r="AO58" s="352" t="e">
        <f t="shared" si="110"/>
        <v>#DIV/0!</v>
      </c>
      <c r="AP58" s="351" t="e">
        <f t="shared" si="110"/>
        <v>#DIV/0!</v>
      </c>
      <c r="AQ58" s="351" t="e">
        <f t="shared" si="110"/>
        <v>#DIV/0!</v>
      </c>
      <c r="AR58" s="351" t="e">
        <f t="shared" si="110"/>
        <v>#DIV/0!</v>
      </c>
      <c r="AS58" s="351" t="e">
        <f t="shared" si="110"/>
        <v>#DIV/0!</v>
      </c>
      <c r="AT58" s="352" t="e">
        <f t="shared" si="110"/>
        <v>#DIV/0!</v>
      </c>
      <c r="AU58" s="351" t="e">
        <f t="shared" si="110"/>
        <v>#DIV/0!</v>
      </c>
      <c r="AV58" s="351" t="e">
        <f t="shared" si="110"/>
        <v>#DIV/0!</v>
      </c>
      <c r="AW58" s="351" t="e">
        <f t="shared" si="110"/>
        <v>#DIV/0!</v>
      </c>
      <c r="AX58" s="351" t="e">
        <f t="shared" si="110"/>
        <v>#DIV/0!</v>
      </c>
      <c r="AY58" s="352" t="e">
        <f t="shared" si="110"/>
        <v>#DIV/0!</v>
      </c>
      <c r="AZ58" s="351">
        <f t="shared" si="110"/>
        <v>0.15384615384615374</v>
      </c>
      <c r="BA58" s="351">
        <f t="shared" si="110"/>
        <v>2.5</v>
      </c>
      <c r="BB58" s="351">
        <f t="shared" si="110"/>
        <v>-0.125</v>
      </c>
      <c r="BC58" s="351">
        <f t="shared" ref="BC58" si="111">+BC57/AX57-1</f>
        <v>0.13500000000000001</v>
      </c>
      <c r="BD58" s="352">
        <f t="shared" ref="BD58" si="112">+BD57/AY57-1</f>
        <v>8.1034482758621795E-3</v>
      </c>
      <c r="BE58" s="351">
        <f t="shared" ref="BE58" si="113">+BE57/AZ57-1</f>
        <v>0.20933333333333337</v>
      </c>
      <c r="BF58" s="351">
        <f t="shared" ref="BF58" si="114">+BF57/BA57-1</f>
        <v>0.27285714285714291</v>
      </c>
      <c r="BG58" s="351">
        <f t="shared" ref="BG58" si="115">+BG57/BB57-1</f>
        <v>-1</v>
      </c>
      <c r="BH58" s="351"/>
      <c r="BI58" s="352"/>
    </row>
    <row r="59" spans="1:63">
      <c r="A59" s="458"/>
      <c r="L59" s="353"/>
      <c r="M59" s="353"/>
      <c r="N59" s="353"/>
      <c r="O59" s="353"/>
      <c r="P59" s="354"/>
      <c r="Q59" s="353"/>
      <c r="R59" s="353"/>
      <c r="S59" s="353"/>
      <c r="T59" s="353"/>
      <c r="U59" s="354"/>
      <c r="V59" s="353"/>
      <c r="W59" s="353"/>
      <c r="X59" s="353"/>
      <c r="Y59" s="353"/>
      <c r="Z59" s="354"/>
      <c r="AA59" s="353"/>
      <c r="AB59" s="353"/>
      <c r="AC59" s="353"/>
      <c r="AD59" s="353"/>
      <c r="AE59" s="354"/>
      <c r="AF59" s="353"/>
      <c r="AG59" s="353"/>
      <c r="AH59" s="353"/>
      <c r="AI59" s="353"/>
      <c r="AJ59" s="354"/>
      <c r="AK59" s="353"/>
      <c r="AL59" s="353"/>
      <c r="AM59" s="353"/>
      <c r="AN59" s="353"/>
      <c r="AO59" s="354"/>
      <c r="AP59" s="353"/>
      <c r="AQ59" s="353"/>
      <c r="AR59" s="353"/>
      <c r="AS59" s="353"/>
      <c r="AT59" s="354"/>
      <c r="AU59" s="353"/>
      <c r="AV59" s="353"/>
      <c r="AW59" s="353"/>
      <c r="AX59" s="353"/>
      <c r="AY59" s="354"/>
      <c r="AZ59" s="353"/>
      <c r="BA59" s="353"/>
      <c r="BB59" s="353"/>
      <c r="BC59" s="353"/>
      <c r="BD59" s="354"/>
      <c r="BE59" s="353"/>
      <c r="BF59" s="353"/>
      <c r="BG59" s="353"/>
      <c r="BH59" s="353"/>
      <c r="BI59" s="354"/>
    </row>
    <row r="60" spans="1:63">
      <c r="A60" s="458" t="s">
        <v>511</v>
      </c>
      <c r="L60" s="314"/>
      <c r="M60" s="314"/>
      <c r="N60" s="314"/>
      <c r="O60" s="314"/>
      <c r="P60" s="317">
        <f>SUM(L60:O60)</f>
        <v>0</v>
      </c>
      <c r="Q60" s="314"/>
      <c r="R60" s="314"/>
      <c r="S60" s="314"/>
      <c r="T60" s="314"/>
      <c r="U60" s="317">
        <f>SUM(Q60:T60)</f>
        <v>0</v>
      </c>
      <c r="V60" s="314"/>
      <c r="W60" s="314"/>
      <c r="X60" s="314"/>
      <c r="Y60" s="314"/>
      <c r="Z60" s="317">
        <f>SUM(V60:Y60)</f>
        <v>0</v>
      </c>
      <c r="AA60" s="314"/>
      <c r="AB60" s="314"/>
      <c r="AC60" s="314"/>
      <c r="AD60" s="350">
        <f>AE60-SUM(AA60:AC60)</f>
        <v>0</v>
      </c>
      <c r="AE60" s="412"/>
      <c r="AF60" s="314"/>
      <c r="AG60" s="314"/>
      <c r="AH60" s="314"/>
      <c r="AI60" s="350">
        <f>AJ60-SUM(AF60:AH60)</f>
        <v>0</v>
      </c>
      <c r="AJ60" s="412"/>
      <c r="AK60" s="314"/>
      <c r="AL60" s="314"/>
      <c r="AM60" s="314"/>
      <c r="AN60" s="350">
        <f>AO60-SUM(AK60:AM60)</f>
        <v>0</v>
      </c>
      <c r="AO60" s="412"/>
      <c r="AP60" s="314"/>
      <c r="AQ60" s="314"/>
      <c r="AR60" s="314"/>
      <c r="AS60" s="350">
        <f>AT60-SUM(AP60:AR60)</f>
        <v>0</v>
      </c>
      <c r="AT60" s="412"/>
      <c r="AU60" s="314">
        <v>1700</v>
      </c>
      <c r="AV60" s="314">
        <v>900</v>
      </c>
      <c r="AW60" s="314">
        <v>1400</v>
      </c>
      <c r="AX60" s="350">
        <v>1400</v>
      </c>
      <c r="AY60" s="412">
        <v>5500</v>
      </c>
      <c r="AZ60" s="314">
        <v>2700</v>
      </c>
      <c r="BA60" s="314">
        <v>1500</v>
      </c>
      <c r="BB60" s="539">
        <v>1500</v>
      </c>
      <c r="BC60" s="314">
        <v>2982</v>
      </c>
      <c r="BD60" s="412">
        <v>7550</v>
      </c>
      <c r="BE60" s="314">
        <v>4360</v>
      </c>
      <c r="BF60" s="314">
        <v>2356</v>
      </c>
      <c r="BG60" s="539"/>
      <c r="BH60" s="350"/>
      <c r="BI60" s="317"/>
      <c r="BK60" t="s">
        <v>513</v>
      </c>
    </row>
    <row r="61" spans="1:63">
      <c r="A61" s="458" t="s">
        <v>4</v>
      </c>
      <c r="L61" s="314"/>
      <c r="M61" s="314"/>
      <c r="N61" s="314"/>
      <c r="O61" s="314"/>
      <c r="P61" s="317"/>
      <c r="Q61" s="351" t="e">
        <f t="shared" ref="Q61:BB61" si="116">+Q60/L60-1</f>
        <v>#DIV/0!</v>
      </c>
      <c r="R61" s="351" t="e">
        <f t="shared" si="116"/>
        <v>#DIV/0!</v>
      </c>
      <c r="S61" s="351" t="e">
        <f t="shared" si="116"/>
        <v>#DIV/0!</v>
      </c>
      <c r="T61" s="351" t="e">
        <f t="shared" si="116"/>
        <v>#DIV/0!</v>
      </c>
      <c r="U61" s="352" t="e">
        <f t="shared" si="116"/>
        <v>#DIV/0!</v>
      </c>
      <c r="V61" s="351" t="e">
        <f t="shared" si="116"/>
        <v>#DIV/0!</v>
      </c>
      <c r="W61" s="351" t="e">
        <f t="shared" si="116"/>
        <v>#DIV/0!</v>
      </c>
      <c r="X61" s="351" t="e">
        <f t="shared" si="116"/>
        <v>#DIV/0!</v>
      </c>
      <c r="Y61" s="351" t="e">
        <f t="shared" si="116"/>
        <v>#DIV/0!</v>
      </c>
      <c r="Z61" s="352" t="e">
        <f t="shared" si="116"/>
        <v>#DIV/0!</v>
      </c>
      <c r="AA61" s="351" t="e">
        <f t="shared" si="116"/>
        <v>#DIV/0!</v>
      </c>
      <c r="AB61" s="351" t="e">
        <f t="shared" si="116"/>
        <v>#DIV/0!</v>
      </c>
      <c r="AC61" s="351" t="e">
        <f t="shared" si="116"/>
        <v>#DIV/0!</v>
      </c>
      <c r="AD61" s="351" t="e">
        <f t="shared" si="116"/>
        <v>#DIV/0!</v>
      </c>
      <c r="AE61" s="352" t="e">
        <f t="shared" si="116"/>
        <v>#DIV/0!</v>
      </c>
      <c r="AF61" s="351" t="e">
        <f t="shared" si="116"/>
        <v>#DIV/0!</v>
      </c>
      <c r="AG61" s="351" t="e">
        <f t="shared" si="116"/>
        <v>#DIV/0!</v>
      </c>
      <c r="AH61" s="351" t="e">
        <f t="shared" si="116"/>
        <v>#DIV/0!</v>
      </c>
      <c r="AI61" s="351" t="e">
        <f t="shared" si="116"/>
        <v>#DIV/0!</v>
      </c>
      <c r="AJ61" s="352" t="e">
        <f t="shared" si="116"/>
        <v>#DIV/0!</v>
      </c>
      <c r="AK61" s="351" t="e">
        <f t="shared" si="116"/>
        <v>#DIV/0!</v>
      </c>
      <c r="AL61" s="351" t="e">
        <f t="shared" si="116"/>
        <v>#DIV/0!</v>
      </c>
      <c r="AM61" s="351" t="e">
        <f t="shared" si="116"/>
        <v>#DIV/0!</v>
      </c>
      <c r="AN61" s="351" t="e">
        <f t="shared" si="116"/>
        <v>#DIV/0!</v>
      </c>
      <c r="AO61" s="352" t="e">
        <f t="shared" si="116"/>
        <v>#DIV/0!</v>
      </c>
      <c r="AP61" s="351" t="e">
        <f t="shared" si="116"/>
        <v>#DIV/0!</v>
      </c>
      <c r="AQ61" s="351" t="e">
        <f t="shared" si="116"/>
        <v>#DIV/0!</v>
      </c>
      <c r="AR61" s="351" t="e">
        <f t="shared" si="116"/>
        <v>#DIV/0!</v>
      </c>
      <c r="AS61" s="351" t="e">
        <f t="shared" si="116"/>
        <v>#DIV/0!</v>
      </c>
      <c r="AT61" s="352" t="e">
        <f t="shared" si="116"/>
        <v>#DIV/0!</v>
      </c>
      <c r="AU61" s="351" t="e">
        <f t="shared" si="116"/>
        <v>#DIV/0!</v>
      </c>
      <c r="AV61" s="351" t="e">
        <f t="shared" si="116"/>
        <v>#DIV/0!</v>
      </c>
      <c r="AW61" s="351" t="e">
        <f t="shared" si="116"/>
        <v>#DIV/0!</v>
      </c>
      <c r="AX61" s="351" t="e">
        <f t="shared" si="116"/>
        <v>#DIV/0!</v>
      </c>
      <c r="AY61" s="352" t="e">
        <f t="shared" si="116"/>
        <v>#DIV/0!</v>
      </c>
      <c r="AZ61" s="351">
        <f t="shared" si="116"/>
        <v>0.58823529411764697</v>
      </c>
      <c r="BA61" s="351">
        <f t="shared" si="116"/>
        <v>0.66666666666666674</v>
      </c>
      <c r="BB61" s="351">
        <f t="shared" si="116"/>
        <v>7.1428571428571397E-2</v>
      </c>
      <c r="BC61" s="351">
        <f t="shared" ref="BC61" si="117">+BC60/AX60-1</f>
        <v>1.1299999999999999</v>
      </c>
      <c r="BD61" s="352">
        <f t="shared" ref="BD61" si="118">+BD60/AY60-1</f>
        <v>0.3727272727272728</v>
      </c>
      <c r="BE61" s="351">
        <f t="shared" ref="BE61" si="119">+BE60/AZ60-1</f>
        <v>0.61481481481481493</v>
      </c>
      <c r="BF61" s="351">
        <f t="shared" ref="BF61" si="120">+BF60/BA60-1</f>
        <v>0.57066666666666666</v>
      </c>
      <c r="BG61" s="351">
        <f t="shared" ref="BG61" si="121">+BG60/BB60-1</f>
        <v>-1</v>
      </c>
      <c r="BH61" s="351"/>
      <c r="BI61" s="352"/>
    </row>
    <row r="62" spans="1:63">
      <c r="A62" s="458"/>
      <c r="L62" s="353"/>
      <c r="M62" s="353"/>
      <c r="N62" s="353"/>
      <c r="O62" s="353"/>
      <c r="P62" s="354"/>
      <c r="Q62" s="353"/>
      <c r="R62" s="353"/>
      <c r="S62" s="353"/>
      <c r="T62" s="353"/>
      <c r="U62" s="354"/>
      <c r="V62" s="353"/>
      <c r="W62" s="353"/>
      <c r="X62" s="353"/>
      <c r="Y62" s="353"/>
      <c r="Z62" s="354"/>
      <c r="AA62" s="353"/>
      <c r="AB62" s="353"/>
      <c r="AC62" s="353"/>
      <c r="AD62" s="353"/>
      <c r="AE62" s="354"/>
      <c r="AF62" s="353"/>
      <c r="AG62" s="353"/>
      <c r="AH62" s="353"/>
      <c r="AI62" s="353"/>
      <c r="AJ62" s="354"/>
      <c r="AK62" s="353"/>
      <c r="AL62" s="353"/>
      <c r="AM62" s="353"/>
      <c r="AN62" s="353"/>
      <c r="AO62" s="354"/>
      <c r="AP62" s="353"/>
      <c r="AQ62" s="353"/>
      <c r="AR62" s="353"/>
      <c r="AS62" s="353"/>
      <c r="AT62" s="354"/>
      <c r="AU62" s="353"/>
      <c r="AV62" s="353"/>
      <c r="AW62" s="353"/>
      <c r="AX62" s="353"/>
      <c r="AY62" s="354"/>
      <c r="AZ62" s="353"/>
      <c r="BA62" s="353"/>
      <c r="BB62" s="353"/>
      <c r="BC62" s="353"/>
      <c r="BD62" s="354"/>
      <c r="BE62" s="353"/>
      <c r="BF62" s="353"/>
      <c r="BG62" s="353"/>
      <c r="BH62" s="353"/>
      <c r="BI62" s="354"/>
    </row>
    <row r="63" spans="1:63">
      <c r="A63" s="458" t="s">
        <v>512</v>
      </c>
      <c r="L63" s="314"/>
      <c r="M63" s="314"/>
      <c r="N63" s="314"/>
      <c r="O63" s="314"/>
      <c r="P63" s="317">
        <f>SUM(L63:O63)</f>
        <v>0</v>
      </c>
      <c r="Q63" s="314"/>
      <c r="R63" s="314"/>
      <c r="S63" s="314"/>
      <c r="T63" s="314"/>
      <c r="U63" s="317">
        <f>SUM(Q63:T63)</f>
        <v>0</v>
      </c>
      <c r="V63" s="314"/>
      <c r="W63" s="314"/>
      <c r="X63" s="314"/>
      <c r="Y63" s="314"/>
      <c r="Z63" s="317">
        <f>SUM(V63:Y63)</f>
        <v>0</v>
      </c>
      <c r="AA63" s="314"/>
      <c r="AB63" s="314"/>
      <c r="AC63" s="314"/>
      <c r="AD63" s="350">
        <f>AE63-SUM(AA63:AC63)</f>
        <v>0</v>
      </c>
      <c r="AE63" s="412"/>
      <c r="AF63" s="314"/>
      <c r="AG63" s="314"/>
      <c r="AH63" s="314"/>
      <c r="AI63" s="350">
        <f>AJ63-SUM(AF63:AH63)</f>
        <v>0</v>
      </c>
      <c r="AJ63" s="412"/>
      <c r="AK63" s="314"/>
      <c r="AL63" s="314"/>
      <c r="AM63" s="314"/>
      <c r="AN63" s="350">
        <f>AO63-SUM(AK63:AM63)</f>
        <v>0</v>
      </c>
      <c r="AO63" s="317"/>
      <c r="AP63" s="350"/>
      <c r="AQ63" s="350"/>
      <c r="AR63" s="350"/>
      <c r="AS63" s="350">
        <f>AT63-SUM(AP63:AR63)</f>
        <v>0</v>
      </c>
      <c r="AT63" s="317"/>
      <c r="AU63" s="350">
        <f t="shared" ref="AU63:BA63" si="122">AU57+AU60</f>
        <v>3000</v>
      </c>
      <c r="AV63" s="350">
        <f t="shared" si="122"/>
        <v>1300</v>
      </c>
      <c r="AW63" s="350">
        <f t="shared" si="122"/>
        <v>3000</v>
      </c>
      <c r="AX63" s="350">
        <f t="shared" si="122"/>
        <v>2800</v>
      </c>
      <c r="AY63" s="317">
        <f t="shared" si="122"/>
        <v>11300</v>
      </c>
      <c r="AZ63" s="350">
        <f t="shared" si="122"/>
        <v>4200</v>
      </c>
      <c r="BA63" s="350">
        <f t="shared" si="122"/>
        <v>2900</v>
      </c>
      <c r="BB63" s="540">
        <f>BB57+BB60</f>
        <v>2900</v>
      </c>
      <c r="BC63" s="350">
        <f t="shared" ref="BC63:BF63" si="123">BC57+BC60</f>
        <v>4571</v>
      </c>
      <c r="BD63" s="317">
        <f t="shared" si="123"/>
        <v>13397</v>
      </c>
      <c r="BE63" s="350">
        <f t="shared" si="123"/>
        <v>6174</v>
      </c>
      <c r="BF63" s="350">
        <f t="shared" si="123"/>
        <v>4138</v>
      </c>
      <c r="BG63" s="540">
        <f>BG57+BG60</f>
        <v>0</v>
      </c>
      <c r="BH63" s="350"/>
      <c r="BI63" s="317"/>
      <c r="BK63" t="s">
        <v>513</v>
      </c>
    </row>
    <row r="64" spans="1:63">
      <c r="A64" s="458" t="s">
        <v>4</v>
      </c>
      <c r="L64" s="314"/>
      <c r="M64" s="314"/>
      <c r="N64" s="314"/>
      <c r="O64" s="314"/>
      <c r="P64" s="317"/>
      <c r="Q64" s="351" t="e">
        <f t="shared" ref="Q64:BB64" si="124">+Q63/L63-1</f>
        <v>#DIV/0!</v>
      </c>
      <c r="R64" s="351" t="e">
        <f t="shared" si="124"/>
        <v>#DIV/0!</v>
      </c>
      <c r="S64" s="351" t="e">
        <f t="shared" si="124"/>
        <v>#DIV/0!</v>
      </c>
      <c r="T64" s="351" t="e">
        <f t="shared" si="124"/>
        <v>#DIV/0!</v>
      </c>
      <c r="U64" s="352" t="e">
        <f t="shared" si="124"/>
        <v>#DIV/0!</v>
      </c>
      <c r="V64" s="351" t="e">
        <f t="shared" si="124"/>
        <v>#DIV/0!</v>
      </c>
      <c r="W64" s="351" t="e">
        <f t="shared" si="124"/>
        <v>#DIV/0!</v>
      </c>
      <c r="X64" s="351" t="e">
        <f t="shared" si="124"/>
        <v>#DIV/0!</v>
      </c>
      <c r="Y64" s="351" t="e">
        <f t="shared" si="124"/>
        <v>#DIV/0!</v>
      </c>
      <c r="Z64" s="352" t="e">
        <f t="shared" si="124"/>
        <v>#DIV/0!</v>
      </c>
      <c r="AA64" s="351" t="e">
        <f t="shared" si="124"/>
        <v>#DIV/0!</v>
      </c>
      <c r="AB64" s="351" t="e">
        <f t="shared" si="124"/>
        <v>#DIV/0!</v>
      </c>
      <c r="AC64" s="351" t="e">
        <f t="shared" si="124"/>
        <v>#DIV/0!</v>
      </c>
      <c r="AD64" s="351" t="e">
        <f t="shared" si="124"/>
        <v>#DIV/0!</v>
      </c>
      <c r="AE64" s="352" t="e">
        <f t="shared" si="124"/>
        <v>#DIV/0!</v>
      </c>
      <c r="AF64" s="351" t="e">
        <f t="shared" si="124"/>
        <v>#DIV/0!</v>
      </c>
      <c r="AG64" s="351" t="e">
        <f t="shared" si="124"/>
        <v>#DIV/0!</v>
      </c>
      <c r="AH64" s="351" t="e">
        <f t="shared" si="124"/>
        <v>#DIV/0!</v>
      </c>
      <c r="AI64" s="351" t="e">
        <f t="shared" si="124"/>
        <v>#DIV/0!</v>
      </c>
      <c r="AJ64" s="352" t="e">
        <f t="shared" si="124"/>
        <v>#DIV/0!</v>
      </c>
      <c r="AK64" s="351" t="e">
        <f t="shared" si="124"/>
        <v>#DIV/0!</v>
      </c>
      <c r="AL64" s="351" t="e">
        <f t="shared" si="124"/>
        <v>#DIV/0!</v>
      </c>
      <c r="AM64" s="351" t="e">
        <f t="shared" si="124"/>
        <v>#DIV/0!</v>
      </c>
      <c r="AN64" s="351" t="e">
        <f t="shared" si="124"/>
        <v>#DIV/0!</v>
      </c>
      <c r="AO64" s="352" t="e">
        <f t="shared" si="124"/>
        <v>#DIV/0!</v>
      </c>
      <c r="AP64" s="351" t="e">
        <f t="shared" si="124"/>
        <v>#DIV/0!</v>
      </c>
      <c r="AQ64" s="351" t="e">
        <f t="shared" si="124"/>
        <v>#DIV/0!</v>
      </c>
      <c r="AR64" s="351" t="e">
        <f t="shared" si="124"/>
        <v>#DIV/0!</v>
      </c>
      <c r="AS64" s="351" t="e">
        <f t="shared" si="124"/>
        <v>#DIV/0!</v>
      </c>
      <c r="AT64" s="352" t="e">
        <f t="shared" si="124"/>
        <v>#DIV/0!</v>
      </c>
      <c r="AU64" s="351" t="e">
        <f t="shared" si="124"/>
        <v>#DIV/0!</v>
      </c>
      <c r="AV64" s="351" t="e">
        <f t="shared" si="124"/>
        <v>#DIV/0!</v>
      </c>
      <c r="AW64" s="351" t="e">
        <f t="shared" si="124"/>
        <v>#DIV/0!</v>
      </c>
      <c r="AX64" s="351" t="e">
        <f t="shared" si="124"/>
        <v>#DIV/0!</v>
      </c>
      <c r="AY64" s="352" t="e">
        <f t="shared" si="124"/>
        <v>#DIV/0!</v>
      </c>
      <c r="AZ64" s="351">
        <f t="shared" si="124"/>
        <v>0.39999999999999991</v>
      </c>
      <c r="BA64" s="351">
        <f t="shared" si="124"/>
        <v>1.2307692307692308</v>
      </c>
      <c r="BB64" s="351">
        <f t="shared" si="124"/>
        <v>-3.3333333333333326E-2</v>
      </c>
      <c r="BC64" s="351">
        <f t="shared" ref="BC64" si="125">+BC63/AX63-1</f>
        <v>0.63250000000000006</v>
      </c>
      <c r="BD64" s="352">
        <f t="shared" ref="BD64" si="126">+BD63/AY63-1</f>
        <v>0.1855752212389381</v>
      </c>
      <c r="BE64" s="351">
        <f t="shared" ref="BE64" si="127">+BE63/AZ63-1</f>
        <v>0.47</v>
      </c>
      <c r="BF64" s="351">
        <f t="shared" ref="BF64" si="128">+BF63/BA63-1</f>
        <v>0.42689655172413787</v>
      </c>
      <c r="BG64" s="351">
        <f t="shared" ref="BG64" si="129">+BG63/BB63-1</f>
        <v>-1</v>
      </c>
      <c r="BH64" s="351"/>
      <c r="BI64" s="352"/>
    </row>
    <row r="66" spans="1:61">
      <c r="A66" s="4" t="s">
        <v>535</v>
      </c>
      <c r="P66" s="179"/>
      <c r="U66" s="179"/>
      <c r="Z66" s="179"/>
      <c r="AE66" s="179"/>
      <c r="AJ66" s="179"/>
      <c r="AO66" s="179"/>
      <c r="AT66" s="179"/>
      <c r="AY66" s="179"/>
      <c r="BD66" s="179"/>
      <c r="BI66" s="179"/>
    </row>
    <row r="67" spans="1:61">
      <c r="A67" s="458" t="s">
        <v>510</v>
      </c>
      <c r="L67" s="314"/>
      <c r="M67" s="314"/>
      <c r="N67" s="314"/>
      <c r="O67" s="314"/>
      <c r="P67" s="317">
        <f>SUM(L67:O67)</f>
        <v>0</v>
      </c>
      <c r="Q67" s="314"/>
      <c r="R67" s="314"/>
      <c r="S67" s="314"/>
      <c r="T67" s="314"/>
      <c r="U67" s="317">
        <f>SUM(Q67:T67)</f>
        <v>0</v>
      </c>
      <c r="V67" s="314"/>
      <c r="W67" s="314"/>
      <c r="X67" s="314"/>
      <c r="Y67" s="314"/>
      <c r="Z67" s="317">
        <f>SUM(V67:Y67)</f>
        <v>0</v>
      </c>
      <c r="AA67" s="314"/>
      <c r="AB67" s="314"/>
      <c r="AC67" s="314"/>
      <c r="AD67" s="350">
        <f>AE67-SUM(AA67:AC67)</f>
        <v>0</v>
      </c>
      <c r="AE67" s="412"/>
      <c r="AF67" s="314"/>
      <c r="AG67" s="314"/>
      <c r="AH67" s="314"/>
      <c r="AI67" s="350">
        <f>AJ67-SUM(AF67:AH67)</f>
        <v>0</v>
      </c>
      <c r="AJ67" s="412"/>
      <c r="AK67" s="314"/>
      <c r="AL67" s="314"/>
      <c r="AM67" s="314"/>
      <c r="AN67" s="350">
        <f>AO67</f>
        <v>5738</v>
      </c>
      <c r="AO67" s="412">
        <v>5738</v>
      </c>
      <c r="AP67" s="314"/>
      <c r="AQ67" s="314"/>
      <c r="AR67" s="314"/>
      <c r="AS67" s="350">
        <f>AT67</f>
        <v>6729</v>
      </c>
      <c r="AT67" s="412">
        <v>6729</v>
      </c>
      <c r="AU67" s="314"/>
      <c r="AV67" s="314">
        <v>6369</v>
      </c>
      <c r="AW67" s="314">
        <v>6777</v>
      </c>
      <c r="AX67" s="350">
        <f>AY67</f>
        <v>6944</v>
      </c>
      <c r="AY67" s="412">
        <v>6944</v>
      </c>
      <c r="AZ67" s="314">
        <v>7191</v>
      </c>
      <c r="BA67" s="314">
        <v>7159</v>
      </c>
      <c r="BB67" s="539">
        <v>6956</v>
      </c>
      <c r="BC67" s="350">
        <f>BD67</f>
        <v>6962</v>
      </c>
      <c r="BD67" s="412">
        <v>6962</v>
      </c>
      <c r="BE67" s="314">
        <v>8316</v>
      </c>
      <c r="BF67" s="314">
        <v>8197</v>
      </c>
      <c r="BG67" s="539"/>
      <c r="BH67" s="350"/>
      <c r="BI67" s="317"/>
    </row>
    <row r="68" spans="1:61">
      <c r="A68" s="458" t="s">
        <v>4</v>
      </c>
      <c r="L68" s="314"/>
      <c r="M68" s="314"/>
      <c r="N68" s="314"/>
      <c r="O68" s="314"/>
      <c r="P68" s="317"/>
      <c r="Q68" s="351" t="e">
        <f t="shared" ref="Q68" si="130">+Q67/L67-1</f>
        <v>#DIV/0!</v>
      </c>
      <c r="R68" s="351" t="e">
        <f t="shared" ref="R68" si="131">+R67/M67-1</f>
        <v>#DIV/0!</v>
      </c>
      <c r="S68" s="351" t="e">
        <f t="shared" ref="S68" si="132">+S67/N67-1</f>
        <v>#DIV/0!</v>
      </c>
      <c r="T68" s="351" t="e">
        <f t="shared" ref="T68" si="133">+T67/O67-1</f>
        <v>#DIV/0!</v>
      </c>
      <c r="U68" s="352" t="e">
        <f t="shared" ref="U68" si="134">+U67/P67-1</f>
        <v>#DIV/0!</v>
      </c>
      <c r="V68" s="351" t="e">
        <f t="shared" ref="V68" si="135">+V67/Q67-1</f>
        <v>#DIV/0!</v>
      </c>
      <c r="W68" s="351" t="e">
        <f t="shared" ref="W68" si="136">+W67/R67-1</f>
        <v>#DIV/0!</v>
      </c>
      <c r="X68" s="351" t="e">
        <f t="shared" ref="X68" si="137">+X67/S67-1</f>
        <v>#DIV/0!</v>
      </c>
      <c r="Y68" s="351" t="e">
        <f t="shared" ref="Y68" si="138">+Y67/T67-1</f>
        <v>#DIV/0!</v>
      </c>
      <c r="Z68" s="352" t="e">
        <f t="shared" ref="Z68" si="139">+Z67/U67-1</f>
        <v>#DIV/0!</v>
      </c>
      <c r="AA68" s="351" t="e">
        <f t="shared" ref="AA68" si="140">+AA67/V67-1</f>
        <v>#DIV/0!</v>
      </c>
      <c r="AB68" s="351" t="e">
        <f t="shared" ref="AB68" si="141">+AB67/W67-1</f>
        <v>#DIV/0!</v>
      </c>
      <c r="AC68" s="351" t="e">
        <f t="shared" ref="AC68" si="142">+AC67/X67-1</f>
        <v>#DIV/0!</v>
      </c>
      <c r="AD68" s="351" t="e">
        <f t="shared" ref="AD68" si="143">+AD67/Y67-1</f>
        <v>#DIV/0!</v>
      </c>
      <c r="AE68" s="352" t="e">
        <f t="shared" ref="AE68" si="144">+AE67/Z67-1</f>
        <v>#DIV/0!</v>
      </c>
      <c r="AF68" s="351" t="e">
        <f t="shared" ref="AF68" si="145">+AF67/AA67-1</f>
        <v>#DIV/0!</v>
      </c>
      <c r="AG68" s="351" t="e">
        <f t="shared" ref="AG68" si="146">+AG67/AB67-1</f>
        <v>#DIV/0!</v>
      </c>
      <c r="AH68" s="351" t="e">
        <f t="shared" ref="AH68" si="147">+AH67/AC67-1</f>
        <v>#DIV/0!</v>
      </c>
      <c r="AI68" s="351" t="e">
        <f t="shared" ref="AI68" si="148">+AI67/AD67-1</f>
        <v>#DIV/0!</v>
      </c>
      <c r="AJ68" s="352" t="e">
        <f t="shared" ref="AJ68" si="149">+AJ67/AE67-1</f>
        <v>#DIV/0!</v>
      </c>
      <c r="AK68" s="351" t="e">
        <f t="shared" ref="AK68" si="150">+AK67/AF67-1</f>
        <v>#DIV/0!</v>
      </c>
      <c r="AL68" s="351" t="e">
        <f t="shared" ref="AL68" si="151">+AL67/AG67-1</f>
        <v>#DIV/0!</v>
      </c>
      <c r="AM68" s="351" t="e">
        <f t="shared" ref="AM68" si="152">+AM67/AH67-1</f>
        <v>#DIV/0!</v>
      </c>
      <c r="AN68" s="351" t="e">
        <f t="shared" ref="AN68" si="153">+AN67/AI67-1</f>
        <v>#DIV/0!</v>
      </c>
      <c r="AO68" s="352" t="e">
        <f t="shared" ref="AO68" si="154">+AO67/AJ67-1</f>
        <v>#DIV/0!</v>
      </c>
      <c r="AP68" s="351" t="e">
        <f t="shared" ref="AP68" si="155">+AP67/AK67-1</f>
        <v>#DIV/0!</v>
      </c>
      <c r="AQ68" s="351" t="e">
        <f t="shared" ref="AQ68" si="156">+AQ67/AL67-1</f>
        <v>#DIV/0!</v>
      </c>
      <c r="AR68" s="351" t="e">
        <f t="shared" ref="AR68" si="157">+AR67/AM67-1</f>
        <v>#DIV/0!</v>
      </c>
      <c r="AS68" s="351">
        <f t="shared" ref="AS68" si="158">+AS67/AN67-1</f>
        <v>0.17270826071802015</v>
      </c>
      <c r="AT68" s="352">
        <f t="shared" ref="AT68" si="159">+AT67/AO67-1</f>
        <v>0.17270826071802015</v>
      </c>
      <c r="AU68" s="351" t="e">
        <f t="shared" ref="AU68" si="160">+AU67/AP67-1</f>
        <v>#DIV/0!</v>
      </c>
      <c r="AV68" s="351" t="e">
        <f t="shared" ref="AV68" si="161">+AV67/AQ67-1</f>
        <v>#DIV/0!</v>
      </c>
      <c r="AW68" s="351" t="e">
        <f t="shared" ref="AW68" si="162">+AW67/AR67-1</f>
        <v>#DIV/0!</v>
      </c>
      <c r="AX68" s="351">
        <f t="shared" ref="AX68" si="163">+AX67/AS67-1</f>
        <v>3.1951255758656538E-2</v>
      </c>
      <c r="AY68" s="352">
        <f t="shared" ref="AY68" si="164">+AY67/AT67-1</f>
        <v>3.1951255758656538E-2</v>
      </c>
      <c r="AZ68" s="351" t="e">
        <f t="shared" ref="AZ68" si="165">+AZ67/AU67-1</f>
        <v>#DIV/0!</v>
      </c>
      <c r="BA68" s="351">
        <f t="shared" ref="BA68" si="166">+BA67/AV67-1</f>
        <v>0.12403831056680792</v>
      </c>
      <c r="BB68" s="351">
        <f t="shared" ref="BB68:BC68" si="167">+BB67/AW67-1</f>
        <v>2.6412867050317201E-2</v>
      </c>
      <c r="BC68" s="351">
        <f t="shared" si="167"/>
        <v>2.5921658986174378E-3</v>
      </c>
      <c r="BD68" s="352">
        <f t="shared" ref="BD68" si="168">+BD67/AY67-1</f>
        <v>2.5921658986174378E-3</v>
      </c>
      <c r="BE68" s="351">
        <f t="shared" ref="BE68" si="169">+BE67/AZ67-1</f>
        <v>0.15644555694618267</v>
      </c>
      <c r="BF68" s="351">
        <f t="shared" ref="BF68" si="170">+BF67/BA67-1</f>
        <v>0.14499231736276008</v>
      </c>
      <c r="BG68" s="351">
        <f t="shared" ref="BG68" si="171">+BG67/BB67-1</f>
        <v>-1</v>
      </c>
      <c r="BH68" s="351"/>
      <c r="BI68" s="352"/>
    </row>
    <row r="69" spans="1:61">
      <c r="A69" s="458"/>
      <c r="L69" s="353"/>
      <c r="M69" s="353"/>
      <c r="N69" s="353"/>
      <c r="O69" s="353"/>
      <c r="P69" s="354"/>
      <c r="Q69" s="353"/>
      <c r="R69" s="353"/>
      <c r="S69" s="353"/>
      <c r="T69" s="353"/>
      <c r="U69" s="354"/>
      <c r="V69" s="353"/>
      <c r="W69" s="353"/>
      <c r="X69" s="353"/>
      <c r="Y69" s="353"/>
      <c r="Z69" s="354"/>
      <c r="AA69" s="353"/>
      <c r="AB69" s="353"/>
      <c r="AC69" s="353"/>
      <c r="AD69" s="353"/>
      <c r="AE69" s="354"/>
      <c r="AF69" s="353"/>
      <c r="AG69" s="353"/>
      <c r="AH69" s="353"/>
      <c r="AI69" s="353"/>
      <c r="AJ69" s="354"/>
      <c r="AK69" s="353"/>
      <c r="AL69" s="353"/>
      <c r="AM69" s="353"/>
      <c r="AN69" s="353"/>
      <c r="AO69" s="354"/>
      <c r="AP69" s="353"/>
      <c r="AQ69" s="353"/>
      <c r="AR69" s="353"/>
      <c r="AS69" s="353"/>
      <c r="AT69" s="354"/>
      <c r="AU69" s="353"/>
      <c r="AV69" s="353"/>
      <c r="AW69" s="353"/>
      <c r="AX69" s="353"/>
      <c r="AY69" s="354"/>
      <c r="AZ69" s="353"/>
      <c r="BA69" s="353"/>
      <c r="BB69" s="353"/>
      <c r="BC69" s="353"/>
      <c r="BD69" s="354"/>
      <c r="BE69" s="353"/>
      <c r="BF69" s="353"/>
      <c r="BG69" s="353"/>
      <c r="BH69" s="353"/>
      <c r="BI69" s="354"/>
    </row>
    <row r="70" spans="1:61">
      <c r="A70" s="458" t="s">
        <v>511</v>
      </c>
      <c r="L70" s="314"/>
      <c r="M70" s="314"/>
      <c r="N70" s="314"/>
      <c r="O70" s="314"/>
      <c r="P70" s="317">
        <f>SUM(L70:O70)</f>
        <v>0</v>
      </c>
      <c r="Q70" s="314"/>
      <c r="R70" s="314"/>
      <c r="S70" s="314"/>
      <c r="T70" s="314"/>
      <c r="U70" s="317">
        <f>SUM(Q70:T70)</f>
        <v>0</v>
      </c>
      <c r="V70" s="314"/>
      <c r="W70" s="314"/>
      <c r="X70" s="314"/>
      <c r="Y70" s="314"/>
      <c r="Z70" s="317">
        <f>SUM(V70:Y70)</f>
        <v>0</v>
      </c>
      <c r="AA70" s="314"/>
      <c r="AB70" s="314"/>
      <c r="AC70" s="314"/>
      <c r="AD70" s="350">
        <f>AE70-SUM(AA70:AC70)</f>
        <v>0</v>
      </c>
      <c r="AE70" s="412"/>
      <c r="AF70" s="314"/>
      <c r="AG70" s="314"/>
      <c r="AH70" s="314"/>
      <c r="AI70" s="350">
        <f>AJ70-SUM(AF70:AH70)</f>
        <v>0</v>
      </c>
      <c r="AJ70" s="412"/>
      <c r="AK70" s="314"/>
      <c r="AL70" s="314"/>
      <c r="AM70" s="314"/>
      <c r="AN70" s="350">
        <f>AO70</f>
        <v>8930</v>
      </c>
      <c r="AO70" s="412">
        <v>8930</v>
      </c>
      <c r="AP70" s="314"/>
      <c r="AQ70" s="314"/>
      <c r="AR70" s="314"/>
      <c r="AS70" s="350">
        <f>AT70</f>
        <v>9739</v>
      </c>
      <c r="AT70" s="412">
        <v>9739</v>
      </c>
      <c r="AU70" s="314"/>
      <c r="AV70" s="314">
        <v>10392</v>
      </c>
      <c r="AW70" s="314">
        <v>10798</v>
      </c>
      <c r="AX70" s="350">
        <f>AY70</f>
        <v>11046</v>
      </c>
      <c r="AY70" s="412">
        <v>11046</v>
      </c>
      <c r="AZ70" s="314">
        <v>11657</v>
      </c>
      <c r="BA70" s="314">
        <v>12005</v>
      </c>
      <c r="BB70" s="539">
        <v>12133</v>
      </c>
      <c r="BC70" s="350">
        <f>BD70</f>
        <v>13780</v>
      </c>
      <c r="BD70" s="412">
        <v>13780</v>
      </c>
      <c r="BE70" s="314">
        <v>21711</v>
      </c>
      <c r="BF70" s="314">
        <v>22467</v>
      </c>
      <c r="BG70" s="539"/>
      <c r="BH70" s="350"/>
      <c r="BI70" s="317"/>
    </row>
    <row r="71" spans="1:61">
      <c r="A71" s="458" t="s">
        <v>4</v>
      </c>
      <c r="L71" s="314"/>
      <c r="M71" s="314"/>
      <c r="N71" s="314"/>
      <c r="O71" s="314"/>
      <c r="P71" s="317"/>
      <c r="Q71" s="351" t="e">
        <f t="shared" ref="Q71" si="172">+Q70/L70-1</f>
        <v>#DIV/0!</v>
      </c>
      <c r="R71" s="351" t="e">
        <f t="shared" ref="R71" si="173">+R70/M70-1</f>
        <v>#DIV/0!</v>
      </c>
      <c r="S71" s="351" t="e">
        <f t="shared" ref="S71" si="174">+S70/N70-1</f>
        <v>#DIV/0!</v>
      </c>
      <c r="T71" s="351" t="e">
        <f t="shared" ref="T71" si="175">+T70/O70-1</f>
        <v>#DIV/0!</v>
      </c>
      <c r="U71" s="352" t="e">
        <f t="shared" ref="U71" si="176">+U70/P70-1</f>
        <v>#DIV/0!</v>
      </c>
      <c r="V71" s="351" t="e">
        <f t="shared" ref="V71" si="177">+V70/Q70-1</f>
        <v>#DIV/0!</v>
      </c>
      <c r="W71" s="351" t="e">
        <f t="shared" ref="W71" si="178">+W70/R70-1</f>
        <v>#DIV/0!</v>
      </c>
      <c r="X71" s="351" t="e">
        <f t="shared" ref="X71" si="179">+X70/S70-1</f>
        <v>#DIV/0!</v>
      </c>
      <c r="Y71" s="351" t="e">
        <f t="shared" ref="Y71" si="180">+Y70/T70-1</f>
        <v>#DIV/0!</v>
      </c>
      <c r="Z71" s="352" t="e">
        <f t="shared" ref="Z71" si="181">+Z70/U70-1</f>
        <v>#DIV/0!</v>
      </c>
      <c r="AA71" s="351" t="e">
        <f t="shared" ref="AA71" si="182">+AA70/V70-1</f>
        <v>#DIV/0!</v>
      </c>
      <c r="AB71" s="351" t="e">
        <f t="shared" ref="AB71" si="183">+AB70/W70-1</f>
        <v>#DIV/0!</v>
      </c>
      <c r="AC71" s="351" t="e">
        <f t="shared" ref="AC71" si="184">+AC70/X70-1</f>
        <v>#DIV/0!</v>
      </c>
      <c r="AD71" s="351" t="e">
        <f t="shared" ref="AD71" si="185">+AD70/Y70-1</f>
        <v>#DIV/0!</v>
      </c>
      <c r="AE71" s="352" t="e">
        <f t="shared" ref="AE71" si="186">+AE70/Z70-1</f>
        <v>#DIV/0!</v>
      </c>
      <c r="AF71" s="351" t="e">
        <f t="shared" ref="AF71" si="187">+AF70/AA70-1</f>
        <v>#DIV/0!</v>
      </c>
      <c r="AG71" s="351" t="e">
        <f t="shared" ref="AG71" si="188">+AG70/AB70-1</f>
        <v>#DIV/0!</v>
      </c>
      <c r="AH71" s="351" t="e">
        <f t="shared" ref="AH71" si="189">+AH70/AC70-1</f>
        <v>#DIV/0!</v>
      </c>
      <c r="AI71" s="351" t="e">
        <f t="shared" ref="AI71" si="190">+AI70/AD70-1</f>
        <v>#DIV/0!</v>
      </c>
      <c r="AJ71" s="352" t="e">
        <f t="shared" ref="AJ71" si="191">+AJ70/AE70-1</f>
        <v>#DIV/0!</v>
      </c>
      <c r="AK71" s="351" t="e">
        <f t="shared" ref="AK71" si="192">+AK70/AF70-1</f>
        <v>#DIV/0!</v>
      </c>
      <c r="AL71" s="351" t="e">
        <f t="shared" ref="AL71" si="193">+AL70/AG70-1</f>
        <v>#DIV/0!</v>
      </c>
      <c r="AM71" s="351" t="e">
        <f t="shared" ref="AM71" si="194">+AM70/AH70-1</f>
        <v>#DIV/0!</v>
      </c>
      <c r="AN71" s="351" t="e">
        <f t="shared" ref="AN71" si="195">+AN70/AI70-1</f>
        <v>#DIV/0!</v>
      </c>
      <c r="AO71" s="352" t="e">
        <f t="shared" ref="AO71" si="196">+AO70/AJ70-1</f>
        <v>#DIV/0!</v>
      </c>
      <c r="AP71" s="351" t="e">
        <f t="shared" ref="AP71" si="197">+AP70/AK70-1</f>
        <v>#DIV/0!</v>
      </c>
      <c r="AQ71" s="351" t="e">
        <f t="shared" ref="AQ71" si="198">+AQ70/AL70-1</f>
        <v>#DIV/0!</v>
      </c>
      <c r="AR71" s="351" t="e">
        <f t="shared" ref="AR71" si="199">+AR70/AM70-1</f>
        <v>#DIV/0!</v>
      </c>
      <c r="AS71" s="351">
        <f t="shared" ref="AS71" si="200">+AS70/AN70-1</f>
        <v>9.0593505039193722E-2</v>
      </c>
      <c r="AT71" s="352">
        <f t="shared" ref="AT71" si="201">+AT70/AO70-1</f>
        <v>9.0593505039193722E-2</v>
      </c>
      <c r="AU71" s="351" t="e">
        <f t="shared" ref="AU71" si="202">+AU70/AP70-1</f>
        <v>#DIV/0!</v>
      </c>
      <c r="AV71" s="351" t="e">
        <f t="shared" ref="AV71" si="203">+AV70/AQ70-1</f>
        <v>#DIV/0!</v>
      </c>
      <c r="AW71" s="351" t="e">
        <f t="shared" ref="AW71" si="204">+AW70/AR70-1</f>
        <v>#DIV/0!</v>
      </c>
      <c r="AX71" s="351">
        <f t="shared" ref="AX71" si="205">+AX70/AS70-1</f>
        <v>0.13420269021460118</v>
      </c>
      <c r="AY71" s="352">
        <f t="shared" ref="AY71" si="206">+AY70/AT70-1</f>
        <v>0.13420269021460118</v>
      </c>
      <c r="AZ71" s="351" t="e">
        <f t="shared" ref="AZ71" si="207">+AZ70/AU70-1</f>
        <v>#DIV/0!</v>
      </c>
      <c r="BA71" s="351">
        <f t="shared" ref="BA71" si="208">+BA70/AV70-1</f>
        <v>0.15521555042340252</v>
      </c>
      <c r="BB71" s="351">
        <f t="shared" ref="BB71:BC71" si="209">+BB70/AW70-1</f>
        <v>0.12363400629746257</v>
      </c>
      <c r="BC71" s="351">
        <f t="shared" si="209"/>
        <v>0.24751041100850979</v>
      </c>
      <c r="BD71" s="352">
        <f t="shared" ref="BD71" si="210">+BD70/AY70-1</f>
        <v>0.24751041100850979</v>
      </c>
      <c r="BE71" s="351">
        <f t="shared" ref="BE71" si="211">+BE70/AZ70-1</f>
        <v>0.86248605987818472</v>
      </c>
      <c r="BF71" s="351">
        <f t="shared" ref="BF71" si="212">+BF70/BA70-1</f>
        <v>0.87147022074135783</v>
      </c>
      <c r="BG71" s="351">
        <f t="shared" ref="BG71" si="213">+BG70/BB70-1</f>
        <v>-1</v>
      </c>
      <c r="BH71" s="351"/>
      <c r="BI71" s="352"/>
    </row>
    <row r="72" spans="1:61">
      <c r="A72" s="458"/>
      <c r="L72" s="353"/>
      <c r="M72" s="353"/>
      <c r="N72" s="353"/>
      <c r="O72" s="353"/>
      <c r="P72" s="354"/>
      <c r="Q72" s="353"/>
      <c r="R72" s="353"/>
      <c r="S72" s="353"/>
      <c r="T72" s="353"/>
      <c r="U72" s="354"/>
      <c r="V72" s="353"/>
      <c r="W72" s="353"/>
      <c r="X72" s="353"/>
      <c r="Y72" s="353"/>
      <c r="Z72" s="354"/>
      <c r="AA72" s="353"/>
      <c r="AB72" s="353"/>
      <c r="AC72" s="353"/>
      <c r="AD72" s="353"/>
      <c r="AE72" s="354"/>
      <c r="AF72" s="353"/>
      <c r="AG72" s="353"/>
      <c r="AH72" s="353"/>
      <c r="AI72" s="353"/>
      <c r="AJ72" s="354"/>
      <c r="AK72" s="353"/>
      <c r="AL72" s="353"/>
      <c r="AM72" s="353"/>
      <c r="AN72" s="353"/>
      <c r="AO72" s="354"/>
      <c r="AP72" s="353"/>
      <c r="AQ72" s="353"/>
      <c r="AR72" s="353"/>
      <c r="AS72" s="353"/>
      <c r="AT72" s="354"/>
      <c r="AU72" s="353"/>
      <c r="AV72" s="353"/>
      <c r="AW72" s="353"/>
      <c r="AX72" s="353"/>
      <c r="AY72" s="354"/>
      <c r="AZ72" s="353"/>
      <c r="BA72" s="353"/>
      <c r="BB72" s="353"/>
      <c r="BC72" s="353"/>
      <c r="BD72" s="354"/>
      <c r="BE72" s="353"/>
      <c r="BF72" s="353"/>
      <c r="BG72" s="353"/>
      <c r="BH72" s="353"/>
      <c r="BI72" s="354"/>
    </row>
    <row r="73" spans="1:61">
      <c r="A73" s="458" t="s">
        <v>512</v>
      </c>
      <c r="L73" s="314"/>
      <c r="M73" s="314"/>
      <c r="N73" s="314"/>
      <c r="O73" s="314"/>
      <c r="P73" s="317">
        <f>SUM(L73:O73)</f>
        <v>0</v>
      </c>
      <c r="Q73" s="314"/>
      <c r="R73" s="314"/>
      <c r="S73" s="314"/>
      <c r="T73" s="314"/>
      <c r="U73" s="317">
        <f>SUM(Q73:T73)</f>
        <v>0</v>
      </c>
      <c r="V73" s="314"/>
      <c r="W73" s="314"/>
      <c r="X73" s="314"/>
      <c r="Y73" s="314"/>
      <c r="Z73" s="317">
        <f>SUM(V73:Y73)</f>
        <v>0</v>
      </c>
      <c r="AA73" s="314"/>
      <c r="AB73" s="314"/>
      <c r="AC73" s="314"/>
      <c r="AD73" s="350">
        <f>AE73-SUM(AA73:AC73)</f>
        <v>0</v>
      </c>
      <c r="AE73" s="412"/>
      <c r="AF73" s="314"/>
      <c r="AG73" s="314"/>
      <c r="AH73" s="314"/>
      <c r="AI73" s="350">
        <f>AJ73-SUM(AF73:AH73)</f>
        <v>0</v>
      </c>
      <c r="AJ73" s="412"/>
      <c r="AK73" s="314"/>
      <c r="AL73" s="314"/>
      <c r="AM73" s="314"/>
      <c r="AN73" s="350">
        <f>AO73</f>
        <v>14668</v>
      </c>
      <c r="AO73" s="317">
        <f>AO67+AO70</f>
        <v>14668</v>
      </c>
      <c r="AP73" s="350"/>
      <c r="AQ73" s="350"/>
      <c r="AR73" s="350"/>
      <c r="AS73" s="350">
        <f>AT73</f>
        <v>16468</v>
      </c>
      <c r="AT73" s="317">
        <f>AT67+AT70</f>
        <v>16468</v>
      </c>
      <c r="AU73" s="350"/>
      <c r="AV73" s="350">
        <f t="shared" ref="AV73:BF73" si="214">AV67+AV70</f>
        <v>16761</v>
      </c>
      <c r="AW73" s="350">
        <f t="shared" si="214"/>
        <v>17575</v>
      </c>
      <c r="AX73" s="350">
        <f t="shared" si="214"/>
        <v>17990</v>
      </c>
      <c r="AY73" s="317">
        <f t="shared" si="214"/>
        <v>17990</v>
      </c>
      <c r="AZ73" s="350">
        <f t="shared" si="214"/>
        <v>18848</v>
      </c>
      <c r="BA73" s="350">
        <f t="shared" si="214"/>
        <v>19164</v>
      </c>
      <c r="BB73" s="540">
        <f t="shared" si="214"/>
        <v>19089</v>
      </c>
      <c r="BC73" s="350">
        <f t="shared" si="214"/>
        <v>20742</v>
      </c>
      <c r="BD73" s="317">
        <f t="shared" si="214"/>
        <v>20742</v>
      </c>
      <c r="BE73" s="350">
        <f t="shared" si="214"/>
        <v>30027</v>
      </c>
      <c r="BF73" s="350">
        <f t="shared" si="214"/>
        <v>30664</v>
      </c>
      <c r="BG73" s="540"/>
      <c r="BH73" s="350"/>
      <c r="BI73" s="317"/>
    </row>
    <row r="74" spans="1:61">
      <c r="A74" s="458" t="s">
        <v>4</v>
      </c>
      <c r="L74" s="314"/>
      <c r="M74" s="314"/>
      <c r="N74" s="314"/>
      <c r="O74" s="314"/>
      <c r="P74" s="317"/>
      <c r="Q74" s="351" t="e">
        <f t="shared" ref="Q74" si="215">+Q73/L73-1</f>
        <v>#DIV/0!</v>
      </c>
      <c r="R74" s="351" t="e">
        <f t="shared" ref="R74" si="216">+R73/M73-1</f>
        <v>#DIV/0!</v>
      </c>
      <c r="S74" s="351" t="e">
        <f t="shared" ref="S74" si="217">+S73/N73-1</f>
        <v>#DIV/0!</v>
      </c>
      <c r="T74" s="351" t="e">
        <f t="shared" ref="T74" si="218">+T73/O73-1</f>
        <v>#DIV/0!</v>
      </c>
      <c r="U74" s="352" t="e">
        <f t="shared" ref="U74" si="219">+U73/P73-1</f>
        <v>#DIV/0!</v>
      </c>
      <c r="V74" s="351" t="e">
        <f t="shared" ref="V74" si="220">+V73/Q73-1</f>
        <v>#DIV/0!</v>
      </c>
      <c r="W74" s="351" t="e">
        <f t="shared" ref="W74" si="221">+W73/R73-1</f>
        <v>#DIV/0!</v>
      </c>
      <c r="X74" s="351" t="e">
        <f t="shared" ref="X74" si="222">+X73/S73-1</f>
        <v>#DIV/0!</v>
      </c>
      <c r="Y74" s="351" t="e">
        <f t="shared" ref="Y74" si="223">+Y73/T73-1</f>
        <v>#DIV/0!</v>
      </c>
      <c r="Z74" s="352" t="e">
        <f t="shared" ref="Z74" si="224">+Z73/U73-1</f>
        <v>#DIV/0!</v>
      </c>
      <c r="AA74" s="351" t="e">
        <f t="shared" ref="AA74" si="225">+AA73/V73-1</f>
        <v>#DIV/0!</v>
      </c>
      <c r="AB74" s="351" t="e">
        <f t="shared" ref="AB74" si="226">+AB73/W73-1</f>
        <v>#DIV/0!</v>
      </c>
      <c r="AC74" s="351" t="e">
        <f t="shared" ref="AC74" si="227">+AC73/X73-1</f>
        <v>#DIV/0!</v>
      </c>
      <c r="AD74" s="351" t="e">
        <f t="shared" ref="AD74" si="228">+AD73/Y73-1</f>
        <v>#DIV/0!</v>
      </c>
      <c r="AE74" s="352" t="e">
        <f t="shared" ref="AE74" si="229">+AE73/Z73-1</f>
        <v>#DIV/0!</v>
      </c>
      <c r="AF74" s="351" t="e">
        <f t="shared" ref="AF74" si="230">+AF73/AA73-1</f>
        <v>#DIV/0!</v>
      </c>
      <c r="AG74" s="351" t="e">
        <f t="shared" ref="AG74" si="231">+AG73/AB73-1</f>
        <v>#DIV/0!</v>
      </c>
      <c r="AH74" s="351" t="e">
        <f t="shared" ref="AH74" si="232">+AH73/AC73-1</f>
        <v>#DIV/0!</v>
      </c>
      <c r="AI74" s="351" t="e">
        <f t="shared" ref="AI74" si="233">+AI73/AD73-1</f>
        <v>#DIV/0!</v>
      </c>
      <c r="AJ74" s="352" t="e">
        <f t="shared" ref="AJ74" si="234">+AJ73/AE73-1</f>
        <v>#DIV/0!</v>
      </c>
      <c r="AK74" s="351" t="e">
        <f t="shared" ref="AK74" si="235">+AK73/AF73-1</f>
        <v>#DIV/0!</v>
      </c>
      <c r="AL74" s="351" t="e">
        <f t="shared" ref="AL74" si="236">+AL73/AG73-1</f>
        <v>#DIV/0!</v>
      </c>
      <c r="AM74" s="351" t="e">
        <f t="shared" ref="AM74" si="237">+AM73/AH73-1</f>
        <v>#DIV/0!</v>
      </c>
      <c r="AN74" s="351" t="e">
        <f t="shared" ref="AN74" si="238">+AN73/AI73-1</f>
        <v>#DIV/0!</v>
      </c>
      <c r="AO74" s="352" t="e">
        <f t="shared" ref="AO74" si="239">+AO73/AJ73-1</f>
        <v>#DIV/0!</v>
      </c>
      <c r="AP74" s="351" t="e">
        <f t="shared" ref="AP74" si="240">+AP73/AK73-1</f>
        <v>#DIV/0!</v>
      </c>
      <c r="AQ74" s="351" t="e">
        <f t="shared" ref="AQ74" si="241">+AQ73/AL73-1</f>
        <v>#DIV/0!</v>
      </c>
      <c r="AR74" s="351" t="e">
        <f t="shared" ref="AR74" si="242">+AR73/AM73-1</f>
        <v>#DIV/0!</v>
      </c>
      <c r="AS74" s="351">
        <f t="shared" ref="AS74" si="243">+AS73/AN73-1</f>
        <v>0.12271611671666216</v>
      </c>
      <c r="AT74" s="352">
        <f t="shared" ref="AT74" si="244">+AT73/AO73-1</f>
        <v>0.12271611671666216</v>
      </c>
      <c r="AU74" s="351" t="e">
        <f t="shared" ref="AU74" si="245">+AU73/AP73-1</f>
        <v>#DIV/0!</v>
      </c>
      <c r="AV74" s="351" t="e">
        <f t="shared" ref="AV74" si="246">+AV73/AQ73-1</f>
        <v>#DIV/0!</v>
      </c>
      <c r="AW74" s="351" t="e">
        <f t="shared" ref="AW74" si="247">+AW73/AR73-1</f>
        <v>#DIV/0!</v>
      </c>
      <c r="AX74" s="351">
        <f t="shared" ref="AX74" si="248">+AX73/AS73-1</f>
        <v>9.2421666261841118E-2</v>
      </c>
      <c r="AY74" s="352">
        <f t="shared" ref="AY74" si="249">+AY73/AT73-1</f>
        <v>9.2421666261841118E-2</v>
      </c>
      <c r="AZ74" s="351" t="e">
        <f t="shared" ref="AZ74" si="250">+AZ73/AU73-1</f>
        <v>#DIV/0!</v>
      </c>
      <c r="BA74" s="351">
        <f t="shared" ref="BA74" si="251">+BA73/AV73-1</f>
        <v>0.143368534097011</v>
      </c>
      <c r="BB74" s="351">
        <f t="shared" ref="BB74:BC74" si="252">+BB73/AW73-1</f>
        <v>8.6145092460881978E-2</v>
      </c>
      <c r="BC74" s="351">
        <f t="shared" si="252"/>
        <v>0.15297387437465249</v>
      </c>
      <c r="BD74" s="352">
        <f t="shared" ref="BD74" si="253">+BD73/AY73-1</f>
        <v>0.15297387437465249</v>
      </c>
      <c r="BE74" s="351">
        <f t="shared" ref="BE74" si="254">+BE73/AZ73-1</f>
        <v>0.59311332767402369</v>
      </c>
      <c r="BF74" s="351">
        <f t="shared" ref="BF74" si="255">+BF73/BA73-1</f>
        <v>0.60008348987685234</v>
      </c>
      <c r="BG74" s="351">
        <f t="shared" ref="BG74" si="256">+BG73/BB73-1</f>
        <v>-1</v>
      </c>
      <c r="BH74" s="351"/>
      <c r="BI74" s="352"/>
    </row>
  </sheetData>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3DA18-8420-4641-8498-3B949F6E4854}">
  <sheetPr codeName="Sheet2"/>
  <dimension ref="A1:B44"/>
  <sheetViews>
    <sheetView workbookViewId="0"/>
  </sheetViews>
  <sheetFormatPr defaultRowHeight="15"/>
  <cols>
    <col min="1" max="1" width="29" customWidth="1"/>
  </cols>
  <sheetData>
    <row r="1" spans="1:2">
      <c r="A1" s="656" t="s">
        <v>239</v>
      </c>
      <c r="B1" s="666" t="s">
        <v>983</v>
      </c>
    </row>
    <row r="2" spans="1:2">
      <c r="A2" s="656" t="s">
        <v>240</v>
      </c>
      <c r="B2" s="656" t="s">
        <v>984</v>
      </c>
    </row>
    <row r="3" spans="1:2">
      <c r="A3" s="656" t="s">
        <v>241</v>
      </c>
      <c r="B3" s="656" t="s">
        <v>238</v>
      </c>
    </row>
    <row r="4" spans="1:2">
      <c r="A4" s="656" t="s">
        <v>242</v>
      </c>
      <c r="B4" s="656" t="s">
        <v>220</v>
      </c>
    </row>
    <row r="5" spans="1:2">
      <c r="A5" s="656" t="s">
        <v>243</v>
      </c>
      <c r="B5" s="656" t="s">
        <v>244</v>
      </c>
    </row>
    <row r="6" spans="1:2">
      <c r="A6" s="656" t="s">
        <v>245</v>
      </c>
      <c r="B6" s="656"/>
    </row>
    <row r="7" spans="1:2">
      <c r="A7" s="656" t="s">
        <v>246</v>
      </c>
      <c r="B7" s="656" t="s">
        <v>626</v>
      </c>
    </row>
    <row r="8" spans="1:2">
      <c r="A8" s="656" t="s">
        <v>247</v>
      </c>
      <c r="B8" s="656" t="s">
        <v>248</v>
      </c>
    </row>
    <row r="9" spans="1:2">
      <c r="A9" s="656" t="s">
        <v>249</v>
      </c>
      <c r="B9" s="656" t="s">
        <v>985</v>
      </c>
    </row>
    <row r="10" spans="1:2">
      <c r="A10" s="656" t="s">
        <v>250</v>
      </c>
      <c r="B10" s="656"/>
    </row>
    <row r="11" spans="1:2">
      <c r="A11" s="656" t="s">
        <v>251</v>
      </c>
      <c r="B11" s="656"/>
    </row>
    <row r="12" spans="1:2">
      <c r="A12" s="656" t="s">
        <v>252</v>
      </c>
      <c r="B12" s="656"/>
    </row>
    <row r="13" spans="1:2">
      <c r="A13" s="656" t="s">
        <v>253</v>
      </c>
      <c r="B13" s="656"/>
    </row>
    <row r="14" spans="1:2">
      <c r="A14" s="656" t="s">
        <v>254</v>
      </c>
      <c r="B14" s="656"/>
    </row>
    <row r="15" spans="1:2">
      <c r="A15" s="656" t="s">
        <v>255</v>
      </c>
      <c r="B15" s="656"/>
    </row>
    <row r="16" spans="1:2">
      <c r="A16" s="656" t="s">
        <v>256</v>
      </c>
      <c r="B16" s="656"/>
    </row>
    <row r="17" spans="1:2">
      <c r="A17" s="656" t="s">
        <v>257</v>
      </c>
      <c r="B17" s="656" t="s">
        <v>287</v>
      </c>
    </row>
    <row r="18" spans="1:2">
      <c r="A18" s="656" t="s">
        <v>258</v>
      </c>
      <c r="B18" s="656" t="s">
        <v>986</v>
      </c>
    </row>
    <row r="19" spans="1:2">
      <c r="A19" s="656" t="s">
        <v>259</v>
      </c>
      <c r="B19" s="656" t="s">
        <v>625</v>
      </c>
    </row>
    <row r="20" spans="1:2">
      <c r="A20" s="656" t="s">
        <v>260</v>
      </c>
      <c r="B20" s="656" t="s">
        <v>987</v>
      </c>
    </row>
    <row r="21" spans="1:2">
      <c r="A21" s="656" t="s">
        <v>261</v>
      </c>
      <c r="B21" s="656" t="s">
        <v>625</v>
      </c>
    </row>
    <row r="22" spans="1:2">
      <c r="A22" s="656" t="s">
        <v>262</v>
      </c>
      <c r="B22" s="656" t="s">
        <v>988</v>
      </c>
    </row>
    <row r="23" spans="1:2">
      <c r="A23" s="656" t="s">
        <v>228</v>
      </c>
      <c r="B23" s="666" t="s">
        <v>989</v>
      </c>
    </row>
    <row r="24" spans="1:2">
      <c r="A24" s="656" t="s">
        <v>263</v>
      </c>
      <c r="B24" s="656" t="s">
        <v>176</v>
      </c>
    </row>
    <row r="25" spans="1:2">
      <c r="A25" s="656" t="s">
        <v>264</v>
      </c>
      <c r="B25" s="656" t="s">
        <v>990</v>
      </c>
    </row>
    <row r="26" spans="1:2">
      <c r="A26" s="656" t="s">
        <v>265</v>
      </c>
      <c r="B26" s="656" t="s">
        <v>991</v>
      </c>
    </row>
    <row r="27" spans="1:2">
      <c r="A27" s="656" t="s">
        <v>266</v>
      </c>
      <c r="B27" s="656" t="s">
        <v>267</v>
      </c>
    </row>
    <row r="28" spans="1:2">
      <c r="A28" s="656" t="s">
        <v>268</v>
      </c>
      <c r="B28" s="656" t="s">
        <v>269</v>
      </c>
    </row>
    <row r="29" spans="1:2">
      <c r="A29" s="656" t="s">
        <v>270</v>
      </c>
      <c r="B29" s="656"/>
    </row>
    <row r="30" spans="1:2">
      <c r="A30" s="656" t="s">
        <v>271</v>
      </c>
      <c r="B30" s="656"/>
    </row>
    <row r="31" spans="1:2">
      <c r="A31" s="656" t="s">
        <v>272</v>
      </c>
      <c r="B31" s="656"/>
    </row>
    <row r="32" spans="1:2">
      <c r="A32" s="656" t="s">
        <v>273</v>
      </c>
      <c r="B32" s="656"/>
    </row>
    <row r="33" spans="1:2">
      <c r="A33" s="656" t="s">
        <v>274</v>
      </c>
      <c r="B33" s="656"/>
    </row>
    <row r="34" spans="1:2">
      <c r="A34" s="656" t="s">
        <v>275</v>
      </c>
      <c r="B34" s="656"/>
    </row>
    <row r="35" spans="1:2">
      <c r="A35" s="656" t="s">
        <v>276</v>
      </c>
      <c r="B35" s="656" t="s">
        <v>992</v>
      </c>
    </row>
    <row r="36" spans="1:2">
      <c r="A36" s="656" t="s">
        <v>277</v>
      </c>
      <c r="B36" s="656" t="s">
        <v>288</v>
      </c>
    </row>
    <row r="37" spans="1:2">
      <c r="A37" s="656" t="s">
        <v>278</v>
      </c>
      <c r="B37" s="656" t="s">
        <v>279</v>
      </c>
    </row>
    <row r="38" spans="1:2">
      <c r="A38" s="656" t="s">
        <v>280</v>
      </c>
      <c r="B38" s="656" t="s">
        <v>281</v>
      </c>
    </row>
    <row r="39" spans="1:2">
      <c r="A39" s="656" t="s">
        <v>282</v>
      </c>
      <c r="B39" s="656" t="s">
        <v>624</v>
      </c>
    </row>
    <row r="40" spans="1:2">
      <c r="A40" s="656" t="s">
        <v>283</v>
      </c>
      <c r="B40" s="656" t="s">
        <v>993</v>
      </c>
    </row>
    <row r="41" spans="1:2">
      <c r="A41" s="656" t="s">
        <v>284</v>
      </c>
      <c r="B41" s="656" t="s">
        <v>994</v>
      </c>
    </row>
    <row r="42" spans="1:2">
      <c r="A42" s="656" t="s">
        <v>285</v>
      </c>
      <c r="B42" s="656"/>
    </row>
    <row r="43" spans="1:2">
      <c r="A43" s="656" t="s">
        <v>286</v>
      </c>
      <c r="B43" s="656"/>
    </row>
    <row r="44" spans="1:2">
      <c r="A44" s="656" t="s">
        <v>995</v>
      </c>
      <c r="B44" s="656" t="s">
        <v>996</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721F5-7DFC-4764-AAB3-F8CDA1CCFE05}">
  <sheetPr codeName="Sheet3"/>
  <dimension ref="A1:A13"/>
  <sheetViews>
    <sheetView workbookViewId="0"/>
  </sheetViews>
  <sheetFormatPr defaultRowHeight="15"/>
  <cols>
    <col min="1" max="1" width="28" customWidth="1"/>
  </cols>
  <sheetData>
    <row r="1" spans="1:1">
      <c r="A1" s="656" t="s">
        <v>289</v>
      </c>
    </row>
    <row r="2" spans="1:1">
      <c r="A2" s="656" t="s">
        <v>997</v>
      </c>
    </row>
    <row r="3" spans="1:1">
      <c r="A3" s="656" t="s">
        <v>998</v>
      </c>
    </row>
    <row r="4" spans="1:1">
      <c r="A4" s="656" t="s">
        <v>999</v>
      </c>
    </row>
    <row r="5" spans="1:1">
      <c r="A5" s="656" t="s">
        <v>1000</v>
      </c>
    </row>
    <row r="6" spans="1:1">
      <c r="A6" s="656" t="s">
        <v>290</v>
      </c>
    </row>
    <row r="7" spans="1:1">
      <c r="A7" s="656" t="s">
        <v>1001</v>
      </c>
    </row>
    <row r="8" spans="1:1">
      <c r="A8" s="656" t="s">
        <v>1002</v>
      </c>
    </row>
    <row r="9" spans="1:1">
      <c r="A9" s="656" t="s">
        <v>1003</v>
      </c>
    </row>
    <row r="10" spans="1:1">
      <c r="A10" s="656" t="s">
        <v>291</v>
      </c>
    </row>
    <row r="11" spans="1:1">
      <c r="A11" s="656" t="s">
        <v>1004</v>
      </c>
    </row>
    <row r="12" spans="1:1">
      <c r="A12" s="656" t="s">
        <v>292</v>
      </c>
    </row>
    <row r="13" spans="1:1">
      <c r="A13" s="656" t="s">
        <v>293</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FdsFormulaCache xmlns="urn:fdsformulacache" version="2" timestamp="1784154031"><![CDATA[{"EURIBOR3M-FDS^FG_PRICE(182)":null,"EURIBOR3M-FDS^FG_PRICE(91)":null,"EURIBOR3M-FDS^FG_PRICE()":null,"LIBORUSD3M-FDS^FG_PRICE(182)":null,"LIBORUSD3M-FDS^FG_PRICE(91)":4.25,"EURIBOR3M-FDS^FG_PRICE(45199)":3.952,"EURIBOR3M-FDS^FG_PRICE(45107)":3.577,"EURIBOR3M-FDS^FG_PRICE(45015)":3.052,"LIBORUSD3M-FDS^FG_PRICE(45199)":5.65711,"LIBORUSD3M-FDS^FG_PRICE(45107)":5.54543,"LIBORUSD3M-FDS^FG_PRICE()":5.64767,"EURIBOR3M-FDS^FG_PRICE(44925)":2.132,"LIBORUSD3M-FDS^FG_PRICE(44925)":4.76729,"GE-US^FF_DPS(QTR,10/1/2023,12/31/2023)":0.08,"GE-US^P_PRICE_AVG(10/1/2023,12/31/2023)":116.00203,"GE-US^AVG(P_PRICE(01/01/2024,03/31/2024))":147.337580645161,"GE-US^AVG(P_PRICE(10/01/2023,12/31/2023))":116.00203125,"GE-US^AVG(P_PRICE(07/01/2023,09/30/2023))":112.57109375,"GE-US^AVG(P_PRICE(04/01/2023,06/30/2023))":101.373174603175,"GE-US^AVG(P_PRICE(01/01/2023,03/31/2023))":84.1209523809524,"GE-US^FE_ESTIMATE(FCFPS,MEAN,ANN_ROLL,2030,46027,,,'')":null,"GE-US^FE_ESTIMATE(FCFPS,MEAN,ANN_ROLL,2029,46027,,,'')":null,"GE-US^FE_ESTIMATE(FCFPS,MEAN,ANN_ROLL,2028,46027,,,'')":7.405,"GE-US^FE_ESTIMATE(FCFPS,MEAN,ANN_ROLL,2027,46027,,,'')":8.178323,"GE-US^FE_ESTIMATE(FCFPS,MEAN,ANN_ROLL,2026,46027,,,'')":7.191395,"GE-US^FE_ESTIMATE(FCFPS,MEAN,ANN_ROLL,2025,46027,,,'')":6.508597,"GE-US^FE_ESTIMATE(FCF,MEAN,ANN_ROLL,2030,46027,,,'')":null,"GE-US^FE_ESTIMATE(FCF,MEAN,ANN_ROLL,2029,46027,,,'')":11702.0,"GE-US^FE_ESTIMATE(FCF,MEAN,ANN_ROLL,2028,46027,,,'')":9758.635,"GE-US^FE_ESTIMATE(FCF,MEAN,ANN_ROLL,2027,46027,,,'')":8912.501,"GE-US^FE_ESTIMATE(FCF,MEAN,ANN_ROLL,2026,46027,,,'')":8121.431,"GE-US^FE_ESTIMATE(FCF,MEAN,ANN_ROLL,2025,46027,,,'')":7269.7446,"GE-US^FE_ESTIMATE(DPS,MEAN,ANN_ROLL,2030,46027,,,'')":null,"GE-US^FE_ESTIMATE(DPS,MEAN,ANN_ROLL,2029,46027,,,'')":3.170237,"GE-US^FE_ESTIMATE(DPS,MEAN,ANN_ROLL,2028,46027,,,'')":2.375702,"GE-US^FE_ESTIMATE(DPS,MEAN,ANN_ROLL,2027,46027,,,'')":2.0251324,"GE-US^FE_ESTIMATE(DPS,MEAN,ANN_ROLL,2026,46027,,,'')":1.7373099,"GE-US^FE_ESTIMATE(DPS,MEAN,ANN_ROLL,2025,46027,,,'')":1.4053112,"GE-US^FE_ESTIMATE(EPS_GAAP,MEAN,ANN_ROLL,2030,46027,,,'')":null,"GE-US^FE_ESTIMATE(EPS_GAAP,MEAN,ANN_ROLL,2029,46027,,,'')":12.058137,"GE-US^FE_ESTIMATE(EPS_GAAP,MEAN,ANN_ROLL,2028,46027,,,'')":10.190233,"GE-US^FE_ESTIMATE(EPS_GAAP,MEAN,ANN_ROLL,2027,46027,,,'')":8.870223,"GE-US^FE_ESTIMATE(EPS_GAAP,MEAN,ANN_ROLL,2026,46027,,,'')":7.710948,"GE-US^FE_ESTIMATE(EPS_GAAP,MEAN,ANN_ROLL,2025,46027,,,'')":7.0396686,"GE-US^FE_ESTIMATE(NET_INC_REP,MEAN,ANN_ROLL,2030,46027,,,'')":null,"GE-US^FE_ESTIMATE(NET_INC_REP,MEAN,ANN_ROLL,2029,46027,,,'')":13152.0,"GE-US^FE_ESTIMATE(NET_INC_REP,MEAN,ANN_ROLL,2028,46027,,,'')":11121.0,"GE-US^FE_ESTIMATE(NET_INC_REP,MEAN,ANN_ROLL,2027,46027,,,'')":9358.477,"GE-US^FE_ESTIMATE(NET_INC_REP,MEAN,ANN_ROLL,2026,46027,,,'')":8209.462,"GE-US^FE_ESTIMATE(NET_INC_REP,MEAN,ANN_ROLL,2025,46027,,,'')":7951.4,"GE-US^FE_ESTIMATE(PTX_INC_REP,MEAN,ANN_ROLL,2030,46027,,,'')":null,"GE-US^FE_ESTIMATE(PTX_INC_REP,MEAN,ANN_ROLL,2029,46027,,,'')":14101.924,"GE-US^FE_ESTIMATE(PTX_INC_REP,MEAN,ANN_ROLL,2028,46027,,,'')":12598.615,"GE-US^FE_ESTIMATE(PTX_INC_REP,MEAN,ANN_ROLL,2027,46027,,,'')":10709.628,"GE-US^FE_ESTIMATE(PTX_INC_REP,MEAN,ANN_ROLL,2026,46027,,,'')":9469.95,"GE-US^FE_ESTIMATE(PTX_INC_REP,MEAN,ANN_ROLL,2025,46027,,,'')":8594.02,"GE-US^FE_ESTIMATE(EBITDA_REP,MEAN,ANN_ROLL,2030,46027,,,'')":null,"GE-US^FE_ESTIMATE(EBITDA_REP,MEAN,ANN_ROLL,2029,46027,,,'')":null,"GE-US^FE_ESTIMATE(EBITDA_REP,MEAN,ANN_ROLL,2028,46027,,,'')":null,"GE-US^FE_ESTIMATE(EBITDA_REP,MEAN,ANN_ROLL,2027,46027,,,'')":12520.827,"GE-US^FE_ESTIMATE(EBITDA_REP,MEAN,ANN_ROLL,2026,46027,,,'')":11317.588,"GE-US^FE_ESTIMATE(EBITDA_REP,MEAN,ANN_ROLL,2025,46027,,,'')":10375.827,"GE-US^FE_ESTIMATE(EPS,MEAN,ANN_ROLL,2030,46027,,,',CLASS=59,')":null,"GE-US^FE_ESTIMATE(EPS,MEAN,ANN_ROLL,2029,46027,,,',CLASS=59,')":null,"GE-US^FE_ESTIMATE(EPS,MEAN,ANN_ROLL,2028,46027,,,',CLASS=59,')":null,"GE-US^FE_ESTIMATE(EPS,MEAN,ANN_ROLL,2027,46027,,,',CLASS=59,')":null,"GE-US^FE_ESTIMATE(EPS,MEAN,ANN_ROLL,2026,46027,,,',CLASS=59,')":null,"GE-US^FE_ESTIMATE(EPS,MEAN,ANN_ROLL,2025,46027,,,',CLASS=59,')":null,"GE-US^FE_ESTIMATE(EPS,MEAN,ANN_ROLL,2030,46027,,,'')":11.91,"GE-US^FE_ESTIMATE(EPS,MEAN,ANN_ROLL,2029,46027,,,'')":11.165,"GE-US^FE_ESTIMATE(EPS,MEAN,ANN_ROLL,2028,46027,,,'')":9.189321,"GE-US^FE_ESTIMATE(EPS,MEAN,ANN_ROLL,2027,46027,,,'')":8.396656,"GE-US^FE_ESTIMATE(EPS,MEAN,ANN_ROLL,2026,46027,,,'')":7.245159,"GE-US^FE_ESTIMATE(EPS,MEAN,ANN_ROLL,2025,46027,,,'')":6.2675104,"GE-US^FE_ESTIMATE(NET_INC,MEAN,ANN_ROLL,2030,46027,,,'')":null,"GE-US^FE_ESTIMATE(NET_INC,MEAN,ANN_ROLL,2029,46027,,,'')":10660.543,"GE-US^FE_ESTIMATE(NET_INC,MEAN,ANN_ROLL,2028,46027,,,'')":9387.4375,"GE-US^FE_ESTIMATE(NET_INC,MEAN,ANN_ROLL,2027,46027,,,'')":8731.183,"GE-US^FE_ESTIMATE(NET_INC,MEAN,ANN_ROLL,2026,46027,,,'')":7636.2754,"GE-US^FE_ESTIMATE(NET_INC,MEAN,ANN_ROLL,2025,46027,,,'')":6700.789,"GE-US^FE_VALUATION(TAX_RATE,MEAN,ANN_ROLL,2030,46027,,,'')":null,"GE-US^FE_VALUATION(TAX_RATE,MEAN,ANN_ROLL,2029,46027,,,'')":null,"GE-US^FE_VALUATION(TAX_RATE,MEAN,ANN_ROLL,2028,46027,,,'')":0.1894093,"GE-US^FE_VALUATION(TAX_RATE,MEAN,ANN_ROLL,2027,46027,,,'')":0.18582179,"GE-US^FE_VALUATION(TAX_RATE,MEAN,ANN_ROLL,2026,46027,,,'')":0.18842714,"GE-US^FE_VALUATION(TAX_RATE,MEAN,ANN_ROLL,2025,46027,,,'')":0.16935807,"GE-US^FE_ESTIMATE(PTX_INC,MEAN,ANN_ROLL,2030,46027,,,'')":null,"GE-US^FE_ESTIMATE(PTX_INC,MEAN,ANN_ROLL,2029,46027,,,'')":14770.962,"GE-US^FE_ESTIMATE(PTX_INC,MEAN,ANN_ROLL,2028,46027,,,'')":11853.959,"GE-US^FE_ESTIMATE(PTX_INC,MEAN,ANN_ROLL,2027,46027,,,'')":10931.749,"GE-US^FE_ESTIMATE(PTX_INC,MEAN,ANN_ROLL,2026,46027,,,'')":9571.006,"GE-US^FE_ESTIMATE(PTX_INC,MEAN,ANN_ROLL,2025,46027,,,'')":8540.593,"GE-US^FE_ESTIMATE(INT_EXP,MEAN,ANN_ROLL,2030,46027,,,'')":null,"GE-US^FE_ESTIMATE(INT_EXP,MEAN,ANN_ROLL,2029,46027,,,'')":null,"GE-US^FE_ESTIMATE(INT_EXP,MEAN,ANN_ROLL,2028,46027,,,'')":498.0,"GE-US^FE_ESTIMATE(INT_EXP,MEAN,ANN_ROLL,2027,46027,,,'')":694.97455,"GE-US^FE_ESTIMATE(INT_EXP,MEAN,ANN_ROLL,2026,46027,,,'')":923.1658,"GE-US^FE_ESTIMATE(INT_EXP,MEAN,ANN_ROLL,2025,46027,,,'')":831.4776,"GE-US^FE_ESTIMATE(EBIT,MEAN,ANN_ROLL,2030,46027,,,'')":null,"GE-US^FE_ESTIMATE(EBIT,MEAN,ANN_ROLL,2029,46027,,,'')":14990.0,"GE-US^FE_ESTIMATE(EBIT,MEAN,ANN_ROLL,2028,46027,,,'')":12375.35,"GE-US^FE_ESTIMATE(EBIT,MEAN,ANN_ROLL,2027,46027,,,'')":11589.329,"GE-US^FE_ESTIMATE(EBIT,MEAN,ANN_ROLL,2026,46027,,,'')":10300.907,"GE-US^FE_ESTIMATE(EBIT,MEAN,ANN_ROLL,2025,46027,,,'')":8980.11,"GE-US^FE_ESTIMATE(DEP_AMORT,MEAN,ANN_ROLL,2030,46027,,,'')":null,"GE-US^FE_ESTIMATE(DEP_AMORT,MEAN,ANN_ROLL,2029,46027,,,'')":null,"GE-US^FE_ESTIMATE(DEP_AMORT,MEAN,ANN_ROLL,2028,46027,,,'')":1249.75,"GE-US^FE_ESTIMATE(DEP_AMORT,MEAN,ANN_ROLL,2027,46027,,,'')":1242.385,"GE-US^FE_ESTIMATE(DEP_AMORT,MEAN,ANN_ROLL,2026,46027,,,'')":1165.89,"GE-US^FE_ESTIMATE(DEP_AMORT,MEAN,ANN_ROLL,2025,46027,,,'')":1063.0333,"GE-US^FE_ESTIMATE(EBITDA,MEAN,ANN_ROLL,2030,46027,,,'')":null,"GE-US^FE_ESTIMATE(EBITDA,MEAN,ANN_ROLL,2029,46027,,,'')":16536.82,"GE-US^FE_ESTIMATE(EBITDA,MEAN,ANN_ROLL,2028,46027,,,'')":13633.63,"GE-US^FE_ESTIMATE(EBITDA,MEAN,ANN_ROLL,2027,46027,,,'')":12852.651,"GE-US^FE_ESTIMATE(EBITDA,MEAN,ANN_ROLL,2026,46027,,,'')":11468.507,"GE-US^FE_ESTIMATE(EBITDA,MEAN,ANN_ROLL,2025,46027,,,'')":10090.05,"GE-US^FE_ESTIMATE(OPER_EXP,MEAN,ANN_ROLL,2030,46027,,,'')":null,"GE-US^FE_ESTIMATE(OPER_EXP,MEAN,ANN_ROLL,2029,46027,,,'')":null,"GE-US^FE_ESTIMATE(OPER_EXP,MEAN,ANN_ROLL,2028,46027,,,'')":null,"GE-US^FE_ESTIMATE(OPER_EXP,MEAN,ANN_ROLL,2027,46027,,,'')":null,"GE-US^FE_ESTIMATE(OPER_EXP,MEAN,ANN_ROLL,2026,46027,,,'')":null,"GE-US^FE_ESTIMATE(OPER_EXP,MEAN,ANN_ROLL,2025,46027,,,'')":null,"GE-US^FE_ESTIMATE(SOE,MEAN,ANN_ROLL,2030,46027,,,'')":null,"GE-US^FE_ESTIMATE(SOE,MEAN,ANN_ROLL,2029,46027,,,'')":null,"GE-US^FE_ESTIMATE(SOE,MEAN,ANN_ROLL,2028,46027,,,'')":null,"GE-US^FE_ESTIMATE(SOE,MEAN,ANN_ROLL,2027,46027,,,'')":null,"GE-US^FE_ESTIMATE(SOE,MEAN,ANN_ROLL,2026,46027,,,'')":null,"GE-US^FE_ESTIMATE(SOE,MEAN,ANN_ROLL,2025,46027,,,'')":null,"GE-US^FE_ESTIMATE(RD_EXP,MEAN,ANN_ROLL,2030,46027,,,'')":null,"GE-US^FE_ESTIMATE(RD_EXP,MEAN,ANN_ROLL,2029,46027,,,'')":null,"GE-US^FE_ESTIMATE(RD_EXP,MEAN,ANN_ROLL,2028,46027,,,'')":1400.0,"GE-US^FE_ESTIMATE(RD_EXP,MEAN,ANN_ROLL,2027,46027,,,'')":1513.5,"GE-US^FE_ESTIMATE(RD_EXP,MEAN,ANN_ROLL,2026,46027,,,'')":1586.6666,"GE-US^FE_ESTIMATE(RD_EXP,MEAN,ANN_ROLL,2025,46027,,,'')":1535.0,"GE-US^FE_ESTIMATE(G_A_EXP,MEAN,ANN_ROLL,2030,46027,,,'')":null,"GE-US^FE_ESTIMATE(G_A_EXP,MEAN,ANN_ROLL,2029,46027,,,'')":null,"GE-US^FE_ESTIMATE(G_A_EXP,MEAN,ANN_ROLL,2028,46027,,,'')":null,"GE-US^FE_ESTIMATE(G_A_EXP,MEAN,ANN_ROLL,2027,46027,,,'')":null,"GE-US^FE_ESTIMATE(G_A_EXP,MEAN,ANN_ROLL,2026,46027,,,'')":null,"GE-US^FE_ESTIMATE(G_A_EXP,MEAN,ANN_ROLL,2025,46027,,,'')":null,"GE-US^FE_ESTIMATE(SGA,MEAN,ANN_ROLL,2030,46027,,,'')":null,"GE-US^FE_ESTIMATE(SGA,MEAN,ANN_ROLL,2029,46027,,,'')":null,"GE-US^FE_ESTIMATE(SGA,MEAN,ANN_ROLL,2028,46027,,,'')":4257.0,"GE-US^FE_ESTIMATE(SGA,MEAN,ANN_ROLL,2027,46027,,,'')":4582.5,"GE-US^FE_ESTIMATE(SGA,MEAN,ANN_ROLL,2026,46027,,,'')":4404.0,"GE-US^FE_ESTIMATE(SGA,MEAN,ANN_ROLL,2025,46027,,,'')":4235.3335,"GE-US^FE_VALUATION(GROSS_MARGIN,MEAN,ANN_ROLL,2030,46027,,,'')/100":null,"GE-US^FE_VALUATION(GROSS_MARGIN,MEAN,ANN_ROLL,2029,46027,,,'')/100":null,"GE-US^FE_VALUATION(GROSS_MARGIN,MEAN,ANN_ROLL,2028,46027,,,'')/100":0.35641974,"GE-US^FE_VALUATION(GROSS_MARGIN,MEAN,ANN_ROLL,2027,46027,,,'')/100":0.37153217,"GE-US^FE_VALUATION(GROSS_MARGIN,MEAN,ANN_ROLL,2026,46027,,,'')/100":0.37257335,"GE-US^FE_VALUATION(GROSS_MARGIN,MEAN,ANN_ROLL,2025,46027,,,'')/100":0.38925448,"GE-US^FE_ESTIMATE(GROSS_INC,MEAN,ANN_ROLL,2030,46027,,,'')":null,"GE-US^FE_ESTIMATE(GROSS_INC,MEAN,ANN_ROLL,2029,46027,,,'')":null,"GE-US^FE_ESTIMATE(GROSS_INC,MEAN,ANN_ROLL,2028,46027,,,'')":19636.0,"GE-US^FE_ESTIMATE(GROSS_INC,MEAN,ANN_ROLL,2027,46027,,,'')":19073.0,"GE-US^FE_ESTIMATE(GROSS_INC,MEAN,ANN_ROLL,2026,46027,,,'')":17406.5,"GE-US^FE_ESTIMATE(GROSS_INC,MEAN,ANN_ROLL,2025,46027,,,'')":16215.0,"GE-US^FE_ESTIMATE(COS,MEAN,ANN_ROLL,2030,46027,,,'')":null,"GE-US^FE_ESTIMATE(COS,MEAN,ANN_ROLL,2029,46027,,,'')":null,"GE-US^FE_ESTIMATE(COS,MEAN,ANN_ROLL,2028,46027,,,'')":34672.5,"GE-US^FE_ESTIMATE(COS,MEAN,ANN_ROLL,2027,46027,,,'')":32828.668,"GE-US^FE_ESTIMATE(COS,MEAN,ANN_ROLL,2026,46027,,,'')":30376.666,"GE-US^FE_ESTIMATE(COS,MEAN,ANN_ROLL,2025,46027,,,'')":27432.666,"GE-US^FE_ESTIMATE(SALES,MEAN,ANN_ROLL,2030,46027,,,'')":62074.0,"GE-US^FE_ESTIMATE(SALES,MEAN,ANN_ROLL,2029,46027,,,'')":61517.313,"GE-US^FE_ESTIMATE(SALES,MEAN,ANN_ROLL,2028,46027,,,'')":55092.348,"GE-US^FE_ESTIMATE(SALES,MEAN,ANN_ROLL,2027,46027,,,'')":51336.066,"GE-US^FE_ESTIMATE(SALES,MEAN,ANN_ROLL,2026,46027,,,'')":46719.66,"GE-US^FE_ESTIMATE(SALES,MEAN,ANN_ROLL,2025,46027,,,'')":41656.555,"GE-US^FE_ESTIMATE(FCFPS,MEAN,ANN_ROLL,2028,46062,,,'')":9.854299,"GE-US^FF_ENTRPR_VAL_DAILY(0,,,,,\"DIL\")":350219.75,"GE-US^FE_ESTIMATE(FCFPS,MEAN,ANN_ROLL,2030,46062,,,'')":null,"GE-US^FF_ENTRPR_VAL(ANN_R,NOW,,,,,,'')":null,"GE-US^FF_ENTRPR_VAL(ANN_R,0,,,,,,'')":188468.26,"GE-US^FE_ESTIMATE(FCFPS,MEAN,ANN_ROLL,2029,46062,,,'')":null,"GE-US^FE_ESTIMATE(INC_TAX,MEAN,ANN_ROLL,+1,NOW,,,'')":1446.4183,"GE-US^FE_ESTIMATE(INC_TAX,MEAN,ANN_ROLL,2025,NOW,,,'')":1446.4183,"GE-US^FE_ESTIMATE(INC_TAX,MEAN,ANN_ROLL,2025,0,,,'')":1446.4183,"GE-US^FE_ESTIMATE(INC_TAX,MEAN,ANN_ROLL,2025,,,,'')":1446.4183,"GE-US^FE_ESTIMATE(INC_TAX,MEAN,2025,2025,,,,'')":"#NUM","GE-US^FE_ESTIMATE(INC_TAX,MEAN,2025,46027,,,,'')":"#NUM","GE-US^FE_ESTIMATE(INC_TAX,MEAN,ANN_ROLL,2025,46027,,,'')":1446.4183,"GE-US^FE_ESTIMATE(INC_TAX,MEAN,ANN_ROLL,2030,46027,,,'')":null,"GE-US^FE_ESTIMATE(INC_TAX,MEAN,ANN_ROLL,2029,46027,,,'')":null,"GE-US^FE_ESTIMATE(INC_TAX,MEAN,ANN_ROLL,2028,46027,,,'')":2245.25,"GE-US^FE_ESTIMATE(INC_TAX,MEAN,ANN_ROLL,2027,46027,,,'')":2031.357,"GE-US^FE_ESTIMATE(INC_TAX,MEAN,ANN_ROLL,2026,46027,,,'')":1803.4373,"GE-US^FE_ESTIMATE(EPS,MEAN,2025,2025,,,,'')":"#NUM","GE-US^FE_SEGMENT_DATA(SALES,MEAN,BUS,+1,,Y,'')":[32712.75,10294.0,2017.0,3601.3333,-1507.75],"GE-US^FE_SEGMENT_DATA(SALES,MEAN,BUS,,,Y,'')":[32712.75,10294.0,2017.0,3601.3333,-1507.75],"GE-US^FE_ESTIMATE(EPS_GAAP,MEAN,ANN_ROLL,2030,46070,,,'')":12.946331,"GE-US^FE_ESTIMATE(EBITDA_REP,MEAN,ANN_ROLL,2030,46070,,,'')":null,"GE-US^FE_ESTIMATE(NET_INC_REP,MEAN,ANN_ROLL,2030,46070,,,'')":null,"GE-US^FE_ESTIMATE(EPS,MEAN,ANN_ROLL,2027,46070,,,'')":8.502561,"GE-US^FE_ESTIMATE(FCF,MEAN,ANN_ROLL,2030,46070,,,'')":null,"GE-US^FE_ESTIMATE(EPS,MEAN,ANN_ROLL,2029,46070,,,',CLASS=59,')":null,"GE-US^FE_ESTIMATE(DPS,MEAN,ANN_ROLL,2030,46070,,,'')":2.737545,"GE-US^FE_SEGMENT_DATA(EBIT,MEAN,BUS,2030,,Y,'')":[12382.0,2451.0],"GE-US^FE_ESTIMATE(SGA,MEAN,ANN_ROLL,2025,46070,,,'')":4088.0,"GE-US^FE_SEGMENT_DATA(SALES,MEAN,BUS,2030,,Y,'')":[45021.0,17510.0],"GE-US^FE_ESTIMATE(FCFPS,MEAN,ANN_ROLL,2030,46070,,,'')":null,"GE-US^FE_ESTIMATE(PTX_INC_REP,MEAN,ANN_ROLL,2030,46070,,,'')":16286.235,"GE-US^FE_ESTIMATE(FCFPS,MEAN,ANN_ROLL,2027,46062,,,'')":8.846502,"GE-US^FE_ESTIMATE(FCFPS,MEAN,ANN_ROLL,2026,46062,,,'')":7.911067,"GE-US^FE_ESTIMATE(FCFPS,MEAN,ANN_ROLL,2025,46062,,,'')":7.110687,"GE-US^FE_ESTIMATE(FCF,MEAN,ANN_ROLL,2030,46062,,,'')":null,"GE-US^FE_ESTIMATE(FCF,MEAN,ANN_ROLL,2029,46062,,,'')":11702.0,"GE-US^FE_ESTIMATE(FCF,MEAN,ANN_ROLL,2028,46062,,,'')":9943.256,"GE-US^FE_ESTIMATE(FCF,MEAN,ANN_ROLL,2027,46062,,,'')":9083.542,"GE-US^FE_ESTIMATE(FCF,MEAN,ANN_ROLL,2026,46062,,,'')":8264.217,"GE-US^FE_ESTIMATE(FCF,MEAN,ANN_ROLL,2025,46062,,,'')":7694.0,"GE-US^FE_ESTIMATE(DPS,MEAN,ANN_ROLL,2030,46062,,,'')":2.737545,"GE-US^FE_ESTIMATE(DPS,MEAN,ANN_ROLL,2029,46062,,,'')":3.170237,"GE-US^FE_ESTIMATE(DPS,MEAN,ANN_ROLL,2028,46062,,,'')":2.406223,"GE-US^FE_ESTIMATE(DPS,MEAN,ANN_ROLL,2027,46062,,,'')":2.1063254,"GE-US^FE_ESTIMATE(DPS,MEAN,ANN_ROLL,2026,46062,,,'')":1.7611933,"GE-US^FE_ESTIMATE(DPS,MEAN,ANN_ROLL,2025,46062,,,'')":1.4091429,"GE-US^FE_ESTIMATE(EPS_GAAP,MEAN,ANN_ROLL,2030,46062,,,'')":12.946331,"GE-US^FE_ESTIMATE(EPS_GAAP,MEAN,ANN_ROLL,2029,46062,,,'')":12.22104,"GE-US^FE_ESTIMATE(EPS_GAAP,MEAN,ANN_ROLL,2028,46062,,,'')":9.992689,"GE-US^FE_ESTIMATE(EPS_GAAP,MEAN,ANN_ROLL,2027,46062,,,'')":8.835657,"GE-US^FE_ESTIMATE(EPS_GAAP,MEAN,ANN_ROLL,2026,46062,,,'')":7.829639,"GE-US^FE_ESTIMATE(EPS_GAAP,MEAN,ANN_ROLL,2025,46062,,,'')":8.05,"GE-US^FE_ESTIMATE(NET_INC_REP,MEAN,ANN_ROLL,2030,46062,,,'')":null,"GE-US^FE_ESTIMATE(NET_INC_REP,MEAN,ANN_ROLL,2029,46062,,,'')":13592.0,"GE-US^FE_ESTIMATE(NET_INC_REP,MEAN,ANN_ROLL,2028,46062,,,'')":10651.184,"GE-US^FE_ESTIMATE(NET_INC_REP,MEAN,ANN_ROLL,2027,46062,,,'')":9349.606,"GE-US^FE_ESTIMATE(NET_INC_REP,MEAN,ANN_ROLL,2026,46062,,,'')":8340.79,"GE-US^FE_ESTIMATE(NET_INC_REP,MEAN,ANN_ROLL,2025,46062,,,'')":8704.0,"GE-US^FE_ESTIMATE(PTX_INC_REP,MEAN,ANN_ROLL,2030,46062,,,'')":16286.235,"GE-US^FE_ESTIMATE(PTX_INC_REP,MEAN,ANN_ROLL,2029,46062,,,'')":14436.35,"GE-US^FE_ESTIMATE(PTX_INC_REP,MEAN,ANN_ROLL,2028,46062,,,'')":12858.011,"GE-US^FE_ESTIMATE(PTX_INC_REP,MEAN,ANN_ROLL,2027,46062,,,'')":10921.764,"GE-US^FE_ESTIMATE(PTX_INC_REP,MEAN,ANN_ROLL,2026,46062,,,'')":9729.432,"GE-US^FE_ESTIMATE(PTX_INC_REP,MEAN,ANN_ROLL,2025,46062,,,'')":9115.75,"GE-US^FE_ESTIMATE(EBITDA_REP,MEAN,ANN_ROLL,2030,46062,,,'')":null,"GE-US^FE_ESTIMATE(EBITDA_REP,MEAN,ANN_ROLL,2029,46062,,,'')":null,"GE-US^FE_ESTIMATE(EBITDA_REP,MEAN,ANN_ROLL,2028,46062,,,'')":13944.0,"GE-US^FE_ESTIMATE(EBITDA_REP,MEAN,ANN_ROLL,2027,46062,,,'')":12702.6875,"GE-US^FE_ESTIMATE(EBITDA_REP,MEAN,ANN_ROLL,2026,46062,,,'')":11501.409,"GE-US^FE_ESTIMATE(EBITDA_REP,MEAN,ANN_ROLL,2025,46062,,,'')":11194.0,"GE-US^FE_ESTIMATE(EPS,MEAN,ANN_ROLL,2030,46062,,,',CLASS=59,')":null,"GE-US^FE_ESTIMATE(EPS,MEAN,ANN_ROLL,2029,46062,,,',CLASS=59,')":null,"GE-US^FE_ESTIMATE(EPS,MEAN,ANN_ROLL,2028,46062,,,',CLASS=59,')":null,"GE-US^FE_ESTIMATE(EPS,MEAN,ANN_ROLL,2027,46062,,,',CLASS=59,')":null,"GE-US^FE_ESTIMATE(EPS,MEAN,ANN_ROLL,2026,46062,,,',CLASS=59,')":null,"GE-US^FE_ESTIMATE(EPS,MEAN,ANN_ROLL,2025,46062,,,',CLASS=59,')":null,"GE-US^FE_ESTIMATE(EPS,MEAN,ANN_ROLL,2030,46062,,,'')":12.163144,"GE-US^FE_ESTIMATE(EPS,MEAN,ANN_ROLL,2029,46062,,,'')":11.232548,"GE-US^FE_ESTIMATE(EPS,MEAN,ANN_ROLL,2028,46062,,,'')":9.664753,"GE-US^FE_ESTIMATE(EPS,MEAN,ANN_ROLL,2027,46062,,,'')":8.502348,"GE-US^FE_ESTIMATE(EPS,MEAN,ANN_ROLL,2026,46062,,,'')":7.429836,"GE-US^FE_ESTIMATE(EPS,MEAN,ANN_ROLL,2025,46062,,,'')":6.37,"GE-US^FE_ESTIMATE(NET_INC,MEAN,ANN_ROLL,2030,46062,,,'')":12130.26,"GE-US^FE_ESTIMATE(NET_INC,MEAN,ANN_ROLL,2029,46062,,,'')":11711.787,"GE-US^FE_ESTIMATE(NET_INC,MEAN,ANN_ROLL,2028,46062,,,'')":9992.7705,"GE-US^FE_ESTIMATE(NET_INC,MEAN,ANN_ROLL,2027,46062,,,'')":8791.938,"GE-US^FE_ESTIMATE(NET_INC,MEAN,ANN_ROLL,2026,46062,,,'')":7794.3125,"GE-US^FE_ESTIMATE(NET_INC,MEAN,ANN_ROLL,2025,46062,,,'')":6812.0,"GE-US^FE_VALUATION(TAX_RATE,MEAN,ANN_ROLL,2030,46062,,,'')":null,"GE-US^FE_VALUATION(TAX_RATE,MEAN,ANN_ROLL,2029,46062,,,'')":null,"GE-US^FE_VALUATION(TAX_RATE,MEAN,ANN_ROLL,2028,46062,,,'')":0.1731676,"GE-US^FE_VALUATION(TAX_RATE,MEAN,ANN_ROLL,2027,46062,,,'')":0.17721167,"GE-US^FE_VALUATION(TAX_RATE,MEAN,ANN_ROLL,2026,46062,,,'')":0.17282054,"GE-US^FE_VALUATION(TAX_RATE,MEAN,ANN_ROLL,2025,46062,,,'')":0.15931255,"GE-US^FE_ESTIMATE(INC_TAX,MEAN,ANN_ROLL,2030,46062,,,'')":null,"GE-US^FE_ESTIMATE(INC_TAX,MEAN,ANN_ROLL,2029,46062,,,'')":null,"GE-US^FE_ESTIMATE(INC_TAX,MEAN,ANN_ROLL,2028,46062,,,'')":2134.25,"GE-US^FE_ESTIMATE(INC_TAX,MEAN,ANN_ROLL,2027,46062,,,'')":1929.2,"GE-US^FE_ESTIMATE(INC_TAX,MEAN,ANN_ROLL,2026,46062,,,'')":1643.6666,"GE-US^FE_ESTIMATE(INC_TAX,MEAN,ANN_ROLL,2025,46062,,,'')":1415.1666,"GE-US^FE_ESTIMATE(PTX_INC,MEAN,ANN_ROLL,2030,46062,,,'')":15395.117,"GE-US^FE_ESTIMATE(PTX_INC,MEAN,ANN_ROLL,2029,46062,,,'')":14439.783,"GE-US^FE_ESTIMATE(PTX_INC,MEAN,ANN_ROLL,2028,46062,,,'')":12324.765,"GE-US^FE_ESTIMATE(PTX_INC,MEAN,ANN_ROLL,2027,46062,,,'')":10886.416,"GE-US^FE_ESTIMATE(PTX_INC,MEAN,ANN_ROLL,2026,46062,,,'')":9510.829,"GE-US^FE_ESTIMATE(PTX_INC,MEAN,ANN_ROLL,2025,46062,,,'')":8882.958,"GE-US^FE_ESTIMATE(INT_EXP,MEAN,ANN_ROLL,2030,46062,,,'')":null,"GE-US^FE_ESTIMATE(INT_EXP,MEAN,ANN_ROLL,2029,46062,,,'')":null,"GE-US^FE_ESTIMATE(INT_EXP,MEAN,ANN_ROLL,2028,46062,,,'')":1014.5,"GE-US^FE_ESTIMATE(INT_EXP,MEAN,ANN_ROLL,2027,46062,,,'')":953.22266,"GE-US^FE_ESTIMATE(INT_EXP,MEAN,ANN_ROLL,2026,46062,,,'')":901.22266,"GE-US^FE_ESTIMATE(INT_EXP,MEAN,ANN_ROLL,2025,46062,,,'')":836.0,"GE-US^FE_ESTIMATE(EBIT,MEAN,ANN_ROLL,2030,46062,,,'')":15380.0,"GE-US^FE_ESTIMATE(EBIT,MEAN,ANN_ROLL,2029,46062,,,'')":14657.0,"GE-US^FE_ESTIMATE(EBIT,MEAN,ANN_ROLL,2028,46062,,,'')":13010.249,"GE-US^FE_ESTIMATE(EBIT,MEAN,ANN_ROLL,2027,46062,,,'')":11617.472,"GE-US^FE_ESTIMATE(EBIT,MEAN,ANN_ROLL,2026,46062,,,'')":10275.526,"GE-US^FE_ESTIMATE(EBIT,MEAN,ANN_ROLL,2025,46062,,,'')":9055.0,"GE-US^FE_ESTIMATE(DEP_AMORT,MEAN,ANN_ROLL,2030,46062,,,'')":null,"GE-US^FE_ESTIMATE(DEP_AMORT,MEAN,ANN_ROLL,2029,46062,,,'')":null,"GE-US^FE_ESTIMATE(DEP_AMORT,MEAN,ANN_ROLL,2028,46062,,,'')":1278.3334,"GE-US^FE_ESTIMATE(DEP_AMORT,MEAN,ANN_ROLL,2027,46062,,,'')":1218.5,"GE-US^FE_ESTIMATE(DEP_AMORT,MEAN,ANN_ROLL,2026,46062,,,'')":1141.25,"GE-US^FE_ESTIMATE(DEP_AMORT,MEAN,ANN_ROLL,2025,46062,,,'')":1116.6666,"GE-US^FE_ESTIMATE(EBITDA,MEAN,ANN_ROLL,2030,46062,,,'')":18484.318,"GE-US^FE_ESTIMATE(EBITDA,MEAN,ANN_ROLL,2029,46062,,,'')":16697.754,"GE-US^FE_ESTIMATE(EBITDA,MEAN,ANN_ROLL,2028,46062,,,'')":14373.926,"GE-US^FE_ESTIMATE(EBITDA,MEAN,ANN_ROLL,2027,46062,,,'')":12870.984,"GE-US^FE_ESTIMATE(EBITDA,MEAN,ANN_ROLL,2026,46062,,,'')":11457.85,"GE-US^FE_ESTIMATE(EBITDA,MEAN,ANN_ROLL,2025,46062,,,'')":10290.3,"GE-US^FE_VALUATION(GROSS_MARGIN,MEAN,ANN_ROLL,2030,46062,,,'')/100":null,"GE-US^FE_VALUATION(GROSS_MARGIN,MEAN,ANN_ROLL,2029,46062,,,'')/100":null,"GE-US^FE_VALUATION(GROSS_MARGIN,MEAN,ANN_ROLL,2028,46062,,,'')/100":0.38177976,"GE-US^FE_VALUATION(GROSS_MARGIN,MEAN,ANN_ROLL,2027,46062,,,'')/100":0.38517234,"GE-US^FE_VALUATION(GROSS_MARGIN,MEAN,ANN_ROLL,2026,46062,,,'')/100":0.38701844,"GE-US^FE_VALUATION(GROSS_MARGIN,MEAN,ANN_ROLL,2025,46062,,,'')/100":0.3990596,"GE-US^FE_ESTIMATE(GROSS_INC,MEAN,ANN_ROLL,2030,46062,,,'')":null,"GE-US^FE_ESTIMATE(GROSS_INC,MEAN,ANN_ROLL,2029,46062,,,'')":null,"GE-US^FE_ESTIMATE(GROSS_INC,MEAN,ANN_ROLL,2028,46062,,,'')":21996.0,"GE-US^FE_ESTIMATE(GROSS_INC,MEAN,ANN_ROLL,2027,46062,,,'')":20414.0,"GE-US^FE_ESTIMATE(GROSS_INC,MEAN,ANN_ROLL,2026,46062,,,'')":18572.0,"GE-US^FE_ESTIMATE(GROSS_INC,MEAN,ANN_ROLL,2025,46062,,,'')":16889.0,"GE-US^FE_ESTIMATE(COS,MEAN,ANN_ROLL,2030,46062,,,'')":null,"GE-US^FE_ESTIMATE(COS,MEAN,ANN_ROLL,2029,46062,,,'')":null,"GE-US^FE_ESTIMATE(COS,MEAN,ANN_ROLL,2028,46062,,,'')":39436.5,"GE-US^FE_ESTIMATE(COS,MEAN,ANN_ROLL,2027,46062,,,'')":36247.5,"GE-US^FE_ESTIMATE(COS,MEAN,ANN_ROLL,2026,46062,,,'')":32987.5,"GE-US^FE_ESTIMATE(COS,MEAN,ANN_ROLL,2025,46062,,,'')":28966.0,"GE-US^FE_ESTIMATE(OPER_EXP,MEAN,ANN_ROLL,2030,46062,,,'')":null,"GE-US^FE_ESTIMATE(OPER_EXP,MEAN,ANN_ROLL,2029,46062,,,'')":null,"GE-US^FE_ESTIMATE(OPER_EXP,MEAN,ANN_ROLL,2028,46062,,,'')":null,"GE-US^FE_ESTIMATE(OPER_EXP,MEAN,ANN_ROLL,2027,46062,,,'')":null,"GE-US^FE_ESTIMATE(OPER_EXP,MEAN,ANN_ROLL,2026,46062,,,'')":null,"GE-US^FE_ESTIMATE(OPER_EXP,MEAN,ANN_ROLL,2025,46062,,,'')":null,"GE-US^FE_ESTIMATE(SOE,MEAN,ANN_ROLL,2030,46062,,,'')":null,"GE-US^FE_ESTIMATE(SOE,MEAN,ANN_ROLL,2029,46062,,,'')":null,"GE-US^FE_ESTIMATE(SOE,MEAN,ANN_ROLL,2028,46062,,,'')":null,"GE-US^FE_ESTIMATE(SOE,MEAN,ANN_ROLL,2027,46062,,,'')":null,"GE-US^FE_ESTIMATE(SOE,MEAN,ANN_ROLL,2026,46062,,,'')":null,"GE-US^FE_ESTIMATE(SOE,MEAN,ANN_ROLL,2025,46062,,,'')":null,"GE-US^FE_ESTIMATE(RD_EXP,MEAN,ANN_ROLL,2030,46062,,,'')":null,"GE-US^FE_ESTIMATE(RD_EXP,MEAN,ANN_ROLL,2029,46062,,,'')":null,"GE-US^FE_ESTIMATE(RD_EXP,MEAN,ANN_ROLL,2028,46062,,,'')":2295.0,"GE-US^FE_ESTIMATE(RD_EXP,MEAN,ANN_ROLL,2027,46062,,,'')":2103.0,"GE-US^FE_ESTIMATE(RD_EXP,MEAN,ANN_ROLL,2026,46062,,,'')":1881.0,"GE-US^FE_ESTIMATE(RD_EXP,MEAN,ANN_ROLL,2025,46062,,,'')":1581.0,"GE-US^FE_ESTIMATE(G_A_EXP,MEAN,ANN_ROLL,2030,46062,,,'')":null,"GE-US^FE_ESTIMATE(G_A_EXP,MEAN,ANN_ROLL,2029,46062,,,'')":null,"GE-US^FE_ESTIMATE(G_A_EXP,MEAN,ANN_ROLL,2028,46062,,,'')":null,"GE-US^FE_ESTIMATE(G_A_EXP,MEAN,ANN_ROLL,2027,46062,,,'')":null,"GE-US^FE_ESTIMATE(G_A_EXP,MEAN,ANN_ROLL,2026,46062,,,'')":null,"GE-US^FE_ESTIMATE(G_A_EXP,MEAN,ANN_ROLL,2025,46062,,,'')":null,"GE-US^FE_ESTIMATE(SGA,MEAN,ANN_ROLL,2030,46062,,,'')":null,"GE-US^FE_ESTIMATE(SGA,MEAN,ANN_ROLL,2029,46062,,,'')":null,"GE-US^FE_ESTIMATE(SGA,MEAN,ANN_ROLL,2028,46062,,,'')":5675.5,"GE-US^FE_ESTIMATE(SGA,MEAN,ANN_ROLL,2027,46062,,,'')":5228.5,"GE-US^FE_ESTIMATE(SGA,MEAN,ANN_ROLL,2026,46062,,,'')":4748.0,"GE-US^FE_ESTIMATE(SGA,MEAN,ANN_ROLL,2025,46062,,,'')":4088.0,"GE-US^FE_ESTIMATE(EPS,MEAN,ANN_ROLL,2030,46070,,,',CLASS=59,')":null,"GE-US^FE_ESTIMATE(EPS,MEAN,ANN_ROLL,2030,46070,,,'')":12.163144,"GE-US^FE_ESTIMATE(NET_INC,MEAN,ANN_ROLL,2030,46070,,,'')":12130.26,"GE-US^FE_VALUATION(TAX_RATE,MEAN,ANN_ROLL,2030,46070,,,'')":null,"GE-US^FE_ESTIMATE(INC_TAX,MEAN,ANN_ROLL,2030,46070,,,'')":null,"GE-US^FE_ESTIMATE(PTX_INC,MEAN,ANN_ROLL,2030,46070,,,'')":15395.117,"GE-US^FE_ESTIMATE(INT_EXP,MEAN,ANN_ROLL,2030,46070,,,'')":null,"GE-US^FE_ESTIMATE(EBIT,MEAN,ANN_ROLL,2030,46070,,,'')":15380.0,"GE-US^FE_ESTIMATE(DEP_AMORT,MEAN,ANN_ROLL,2030,46070,,,'')":null,"GE-US^FE_ESTIMATE(EBITDA,MEAN,ANN_ROLL,2030,46070,,,'')":18484.318,"GE-US^FE_VALUATION(GROSS_MARGIN,MEAN,ANN_ROLL,2030,46070,,,'')/100":null,"GE-US^FE_ESTIMATE(GROSS_INC,MEAN,ANN_ROLL,2030,46070,,,'')":null,"GE-US^FE_ESTIMATE(COS,MEAN,ANN_ROLL,2030,46070,,,'')":null,"GE-US^FE_ESTIMATE(OPER_EXP,MEAN,ANN_ROLL,2030,46070,,,'')":null,"GE-US^FE_ESTIMATE(SOE,MEAN,ANN_ROLL,2030,46070,,,'')":null,"GE-US^FE_ESTIMATE(RD_EXP,MEAN,ANN_ROLL,2030,46070,,,'')":null,"GE-US^FE_ESTIMATE(G_A_EXP,MEAN,ANN_ROLL,2030,46070,,,'')":null,"GE-US^FE_ESTIMATE(SGA,MEAN,ANN_ROLL,2030,46070,,,'')":null,"GE-US^FE_ESTIMATE(FCFPS,MEAN,ANN_ROLL,2030,46118,,,'')":null,"GE-US^FE_ESTIMATE(FCF,MEAN,ANN_ROLL,2029,46070,,,'')":10832.2705,"GE-US^FE_ESTIMATE(EPS_GAAP,MEAN,ANN_ROLL,2029,46070,,,'')":11.461898,"GE-US^FE_ESTIMATE(PTX_INC_REP,MEAN,ANN_ROLL,2029,46070,,,'')":14436.35,"GE-US^FE_ESTIMATE(EPS,MEAN,ANN_ROLL,2029,46070,,,'')":10.925974,"GE-US^FE_VALUATION(TAX_RATE,MEAN,ANN_ROLL,2029,46070,,,'')":null,"GE-US^FE_ESTIMATE(INT_EXP,MEAN,ANN_ROLL,2029,46070,,,'')":null,"GE-US^FE_ESTIMATE(DEP_AMORT,MEAN,ANN_ROLL,2029,46070,,,'')":null,"GE-US^FE_VALUATION(GROSS_MARGIN,MEAN,ANN_ROLL,2029,46070,,,'')/100":null,"GE-US^FE_ESTIMATE(GROSS_INC,MEAN,ANN_ROLL,2029,46070,,,'')":null,"GE-US^FE_ESTIMATE(COS,MEAN,ANN_ROLL,2029,46070,,,'')":null,"GE-US^FE_ESTIMATE(SOE,MEAN,ANN_ROLL,2029,46070,,,'')":null,"GE-US^FE_ESTIMATE(G_A_EXP,MEAN,ANN_ROLL,2029,46070,,,'')":null,"GE-US^FE_ESTIMATE(SGA,MEAN,ANN_ROLL,2029,46070,,,'')":null,"GE-US^FE_ESTIMATE(FCFPS,MEAN,ANN_ROLL,2029,46118,,,'')":null,"GE-US^FE_ESTIMATE(EPS,MEAN,ANN_ROLL,2028,46070,,,'')":9.664507,"GE-US^FE_ESTIMATE(PTX_INC,MEAN,ANN_ROLL,2028,46070,,,'')":12324.765,"GE-US^FE_ESTIMATE(INT_EXP,MEAN,ANN_ROLL,2028,46070,,,'')":1014.5,"GE-US^FE_ESTIMATE(EBITDA,MEAN,ANN_ROLL,2028,46070,,,'')":14373.926,"GE-US^FE_ESTIMATE(GROSS_INC,MEAN,ANN_ROLL,2028,46070,,,'')":21996.0,"GE-US^FE_ESTIMATE(RD_EXP,MEAN,ANN_ROLL,2028,46070,,,'')":2295.0,"GE-US^FE_ESTIMATE(SGA,MEAN,ANN_ROLL,2028,46070,,,'')":5675.5,"GE-US^FE_ESTIMATE(FCFPS,MEAN,ANN_ROLL,2027,46070,,,'')":8.846502,"GE-US^FE_ESTIMATE(EPS_GAAP,MEAN,ANN_ROLL,2027,46070,,,'')":8.835298,"GE-US^FE_ESTIMATE(NET_INC_REP,MEAN,ANN_ROLL,2027,46070,,,'')":9349.606,"GE-US^FE_ESTIMATE(EPS,MEAN,ANN_ROLL,2027,46070,,,',CLASS=59,')":null,"GE-US^FE_VALUATION(TAX_RATE,MEAN,ANN_ROLL,2027,46070,,,'')":0.17721167,"GE-US^FE_ESTIMATE(EBIT,MEAN,ANN_ROLL,2027,46070,,,'')":11617.472,"GE-US^FE_ESTIMATE(OPER_EXP,MEAN,ANN_ROLL,2027,46070,,,'')":null,"GE-US^FE_ESTIMATE(RD_EXP,MEAN,ANN_ROLL,2027,46070,,,'')":2103.0,"GE-US^FE_ESTIMATE(G_A_EXP,MEAN,ANN_ROLL,2027,46070,,,'')":null,"GE-US^FE_ESTIMATE(EBITDA,MEAN,ANN_ROLL,2026,46070,,,'')":11457.85,"GE-US^FE_ESTIMATE(INC_TAX,MEAN,ANN_ROLL,2025,46070,,,'')":1415.1666,"GE-US^FE_ESTIMATE(GROSS_INC,MEAN,ANN_ROLL,2025,46070,,,'')":16889.0,"GE-US^FE_SEGMENT_DATA(SALES,MEAN,BUS,2029,,Y,'')":[42868.0,16289.0,null,null],"GE-US^FE_ESTIMATE(DPS,MEAN,ANN_ROLL,2029,46070,,,'')":3.1141167,"GE-US^FE_ESTIMATE(EBITDA_REP,MEAN,ANN_ROLL,2029,46070,,,'')":null,"GE-US^FE_ESTIMATE(NET_INC,MEAN,ANN_ROLL,2029,46070,,,'')":11294.476,"GE-US^FE_ESTIMATE(INC_TAX,MEAN,ANN_ROLL,2029,46070,,,'')":null,"GE-US^FE_ESTIMATE(PTX_INC,MEAN,ANN_ROLL,2029,46070,,,'')":13790.267,"GE-US^FE_ESTIMATE(EBITDA,MEAN,ANN_ROLL,2029,46070,,,'')":15198.195,"GE-US^FE_ESTIMATE(OPER_EXP,MEAN,ANN_ROLL,2029,46070,,,'')":null,"GE-US^FE_ESTIMATE(RD_EXP,MEAN,ANN_ROLL,2029,46070,,,'')":null,"GE-US^FE_ESTIMATE(NET_INC,MEAN,ANN_ROLL,2028,46070,,,'')":9992.7705,"GE-US^FE_ESTIMATE(INC_TAX,MEAN,ANN_ROLL,2028,46070,,,'')":2134.25,"GE-US^FE_ESTIMATE(EBIT,MEAN,ANN_ROLL,2028,46070,,,'')":13010.249,"GE-US^FE_ESTIMATE(DEP_AMORT,MEAN,ANN_ROLL,2028,46070,,,'')":1278.3334,"GE-US^FE_VALUATION(GROSS_MARGIN,MEAN,ANN_ROLL,2028,46070,,,'')/100":0.38177976,"GE-US^FE_ESTIMATE(SOE,MEAN,ANN_ROLL,2028,46070,,,'')":null,"GE-US^FE_ESTIMATE(G_A_EXP,MEAN,ANN_ROLL,2028,46070,,,'')":null,"GE-US^FE_ESTIMATE(FCFPS,MEAN,ANN_ROLL,2028,46118,,,'')":9.854299,"GE-US^FE_ESTIMATE(DPS,MEAN,ANN_ROLL,2027,46070,,,'')":2.1063254,"GE-US^FE_ESTIMATE(EBITDA_REP,MEAN,ANN_ROLL,2027,46070,,,'')":12702.6875,"GE-US^FE_ESTIMATE(DEP_AMORT,MEAN,ANN_ROLL,2026,46070,,,'')":1141.25,"GE-US^FE_ESTIMATE(SOE,MEAN,ANN_ROLL,2026,46070,,,'')":null,"GE-US^FE_ESTIMATE(SGA,MEAN,ANN_ROLL,2026,46070,,,'')":4748.0,"GE-US^FE_ESTIMATE(EBIT,MEAN,ANN_ROLL,2025,46070,,,'')":9055.0,"GE-US^FE_SEGMENT_DATA(EBIT,MEAN,BUS,2029,,Y,'')":[11608.0,2199.0],"GE-US^FE_ESTIMATE(FCFPS,MEAN,ANN_ROLL,2029,46070,,,'')":null,"GE-US^FE_ESTIMATE(NET_INC_REP,MEAN,ANN_ROLL,2029,46070,,,'')":13592.0,"GE-US^FE_ESTIMATE(EBIT,MEAN,ANN_ROLL,2029,46070,,,'')":14018.573,"GE-US^FE_ESTIMATE(FCF,MEAN,ANN_ROLL,2027,46070,,,'')":9083.542,"GE-US^FE_ESTIMATE(PTX_INC,MEAN,ANN_ROLL,2027,46070,,,'')":10886.416,"GE-US^FE_ESTIMATE(DEP_AMORT,MEAN,ANN_ROLL,2027,46070,,,'')":1218.5,"GE-US^FE_ESTIMATE(GROSS_INC,MEAN,ANN_ROLL,2027,46070,,,'')":20414.0,"GE-US^FE_ESTIMATE(OPER_EXP,MEAN,ANN_ROLL,2025,46070,,,'')":null,"GE-US^FE_ESTIMATE(OPER_EXP,MEAN,ANN_ROLL,2028,46070,,,'')":null,"GE-US^FE_VALUATION(GROSS_MARGIN,MEAN,ANN_ROLL,2027,46070,,,'')/100":0.38517234,"GE-US^FE_SEGMENT_DATA(EBIT,MEAN,BUS,2028,,Y,'')":[12161.0,1931.4,-1325.0,-1411.5],"GE-US^FE_SEGMENT_DATA(SALES,MEAN,BUS,2028,,Y,'')":[44910.6,14978.4,867.0,3362.0,-2290.3333],"GE-US^FE_ESTIMATE(FCFPS,MEAN,ANN_ROLL,2028,46070,,,'')":9.854299,"GE-US^FE_ESTIMATE(FCF,MEAN,ANN_ROLL,2028,46070,,,'')":9943.256,"GE-US^FE_ESTIMATE(DPS,MEAN,ANN_ROLL,2028,46070,,,'')":2.406223,"GE-US^FE_ESTIMATE(EPS_GAAP,MEAN,ANN_ROLL,2028,46070,,,'')":9.992177,"GE-US^FE_ESTIMATE(NET_INC_REP,MEAN,ANN_ROLL,2028,46070,,,'')":10651.184,"GE-US^FE_ESTIMATE(PTX_INC_REP,MEAN,ANN_ROLL,2028,46070,,,'')":12858.011,"GE-US^FE_ESTIMATE(EBITDA_REP,MEAN,ANN_ROLL,2028,46070,,,'')":13944.0,"GE-US^FE_ESTIMATE(EPS,MEAN,ANN_ROLL,2028,46070,,,',CLASS=59,')":null,"GE-US^FE_VALUATION(TAX_RATE,MEAN,ANN_ROLL,2028,46070,,,'')":0.1731676,"GE-US^FE_ESTIMATE(COS,MEAN,ANN_ROLL,2028,46070,,,'')":39436.5,"GE-US^FE_ESTIMATE(PTX_INC_REP,MEAN,ANN_ROLL,2027,46070,,,'')":10921.764,"GE-US^FE_ESTIMATE(EBIT,MEAN,ANN_ROLL,2026,46070,,,'')":10275.526,"GE-US^FE_ESTIMATE(GROSS_INC,MEAN,ANN_ROLL,2026,46070,,,'')":18572.0,"GE-US^FE_SEGMENT_DATA(SALES,MEAN,BUS,2027,,Y,'')":[40638.0,14134.167,-5.6666665,3358.5,-2105.75],"GE-US^FE_ESTIMATE(NET_INC,MEAN,ANN_ROLL,2027,46070,,,'')":8791.938,"GE-US^FE_ESTIMATE(INC_TAX,MEAN,ANN_ROLL,2027,46070,,,'')":1929.2,"GE-US^FE_ESTIMATE(INT_EXP,MEAN,ANN_ROLL,2027,46070,,,'')":953.22266,"GE-US^FE_ESTIMATE(EBITDA,MEAN,ANN_ROLL,2027,46070,,,'')":12870.984,"GE-US^FE_ESTIMATE(SOE,MEAN,ANN_ROLL,2027,46070,,,'')":null,"GE-US^FE_ESTIMATE(SGA,MEAN,ANN_ROLL,2027,46070,,,'')":5228.5,"GE-US^FE_ESTIMATE(EPS,MEAN,ANN_ROLL,2026,46070,,,',CLASS=59,')":null,"GE-US^FE_ESTIMATE(NET_INC,MEAN,ANN_ROLL,2026,46070,,,'')":7794.3125,"GE-US^FE_ESTIMATE(PTX_INC,MEAN,ANN_ROLL,2026,46070,,,'')":9510.829,"GE-US^FE_ESTIMATE(INT_EXP,MEAN,ANN_ROLL,2026,46070,,,'')":901.22266,"GE-US^FE_ESTIMATE(RD_EXP,MEAN,ANN_ROLL,2026,46070,,,'')":1881.0,"GE-US^FE_ESTIMATE(DEP_AMORT,MEAN,ANN_ROLL,2025,46070,,,'')":1116.6666,"GE-US^FE_ESTIMATE(RD_EXP,MEAN,ANN_ROLL,2025,46070,,,'')":1581.0,"GE-US^FE_SEGMENT_DATA(EBIT,MEAN,BUS,2027,,Y,'')":[10837.167,1780.1666,-1275.5,-1213.0],"GE-US^FE_ESTIMATE(COS,MEAN,ANN_ROLL,2027,46070,,,'')":36247.5,"GE-US^FE_ESTIMATE(INC_TAX,MEAN,ANN_ROLL,2026,46070,,,'')":1643.6666,"GE-US^FE_ESTIMATE(G_A_EXP,MEAN,ANN_ROLL,2026,46070,,,'')":null,"GE-US^FE_VALUATION(GROSS_MARGIN,MEAN,ANN_ROLL,2025,46070,,,'')/100":0.3990596,"GE-US^FE_SEGMENT_DATA(SALES,MEAN,BUS,2026,,Y,'')":[37220.332,13193.833,150.33333,3358.0,-2038.25],"GE-US^FE_ESTIMATE(FCFPS,MEAN,ANN_ROLL,2026,46070,,,'')":7.911067,"GE-US^FE_ESTIMATE(DPS,MEAN,ANN_ROLL,2026,46070,,,'')":1.7611933,"GE-US^FE_ESTIMATE(NET_INC_REP,MEAN,ANN_ROLL,2026,46070,,,'')":8340.79,"GE-US^FE_ESTIMATE(PTX_INC_REP,MEAN,ANN_ROLL,2026,46070,,,'')":9729.432,"GE-US^FE_ESTIMATE(EBITDA_REP,MEAN,ANN_ROLL,2026,46070,,,'')":11501.409,"GE-US^FE_ESTIMATE(EPS,MEAN,ANN_ROLL,2026,46070,,,'')":7.430042,"GE-US^FE_VALUATION(TAX_RATE,MEAN,ANN_ROLL,2026,46070,,,'')":0.17282054,"GE-US^FE_VALUATION(GROSS_MARGIN,MEAN,ANN_ROLL,2026,46070,,,'')/100":0.38701844,"GE-US^FE_ESTIMATE(OPER_EXP,MEAN,ANN_ROLL,2026,46070,,,'')":null,"GE-US^FE_ESTIMATE(INT_EXP,MEAN,ANN_ROLL,2025,46070,,,'')":836.0,"GE-US^FE_ESTIMATE(COS,MEAN,ANN_ROLL,2025,46070,,,'')":28966.0,"GE-US^FE_SEGMENT_DATA(EBIT,MEAN,BUS,2026,,Y,'')":[9924.167,1633.1666,-1217.0,-1251.3334],"GE-US^FE_ESTIMATE(FCF,MEAN,ANN_ROLL,2026,46070,,,'')":8264.217,"GE-US^FE_ESTIMATE(EPS_GAAP,MEAN,ANN_ROLL,2026,46070,,,'')":7.829379,"GE-US^FE_ESTIMATE(COS,MEAN,ANN_ROLL,2026,46070,,,'')":32987.5,"GE-US^FE_ESTIMATE(SOE,MEAN,ANN_ROLL,2025,46070,,,'')":null,"GE-US^FE_SEGMENT_DATA(SALES,MEAN,BUS,2025,,Y,'')":[33314.0,10554.0,-1546.0,3533.0,-5079.0],"GE-US^FE_ESTIMATE(FCF,MEAN,ANN_ROLL,2025,46070,,,'')":7694.0,"GE-US^FE_ESTIMATE(EPS_GAAP,MEAN,ANN_ROLL,2025,46070,,,'')":8.05,"GE-US^FE_ESTIMATE(NET_INC_REP,MEAN,ANN_ROLL,2025,46070,,,'')":8704.0,"GE-US^FE_ESTIMATE(EPS,MEAN,ANN_ROLL,2025,46070,,,'')":6.37,"GE-US^FE_SEGMENT_DATA(EBIT,MEAN,BUS,2025,,Y,'')":[8861.0,1296.0,-1074.0,-1102.0],"GE-US^FE_ESTIMATE(FCFPS,MEAN,ANN_ROLL,2025,46070,,,'')":7.110687,"GE-US^FE_ESTIMATE(DPS,MEAN,ANN_ROLL,2025,46070,,,'')":1.4091429,"GE-US^FE_ESTIMATE(PTX_INC_REP,MEAN,ANN_ROLL,2025,46070,,,'')":9115.75,"GE-US^FE_ESTIMATE(EBITDA_REP,MEAN,ANN_ROLL,2025,46070,,,'')":11194.0,"GE-US^FE_ESTIMATE(EPS,MEAN,ANN_ROLL,2025,46070,,,',CLASS=59,')":null,"GE-US^FE_ESTIMATE(NET_INC,MEAN,ANN_ROLL,2025,46070,,,'')":6812.0,"GE-US^FE_VALUATION(TAX_RATE,MEAN,ANN_ROLL,2025,46070,,,'')":0.15931255,"GE-US^FE_ESTIMATE(PTX_INC,MEAN,ANN_ROLL,2025,46070,,,'')":8882.958,"GE-US^FE_ESTIMATE(EBITDA,MEAN,ANN_ROLL,2025,46070,,,'')":10290.3,"GE-US^FE_ESTIMATE(G_A_EXP,MEAN,ANN_ROLL,2025,46070,,,'')":null,"GE-US^FE_ESTIMATE(FCFPS,MEAN,QTR_ROLL,2026/1F,46107,,,'')":1.39442,"GE-US^FE_ESTIMATE(FCF,MEAN,QTR_ROLL,2026/1F,46107,,,'')":1402.5846,"GE-US^FE_ESTIMATE(CAPEX,MEAN,QTR_ROLL,2026/1F,46107,,,'')":319.6744,"GE-US^FE_ESTIMATE(CF_OP,MEAN,QTR_ROLL,2026/1F,46107,,,'')":1690.5,"GE-US^FE_ESTIMATE(NET_DEBT,MEAN,QTR_ROLL,2026/1F,46107,,,'')":null,"GE-US^FE_ESTIMATE(DEBT,MEAN,QTR_ROLL,2026/1F,46107,,,'')":null,"GE-US^FE_ESTIMATE(CASH_ST,MEAN,QTR_ROLL,2026/1F,46107,,,'')":13553.0,"GE-US^FE_ESTIMATE(DPS,MEAN,QTR_ROLL,2026/1F,46107,,,'')":0.399,"GE-US^FE_ESTIMATE(EPS_GAAP,MEAN,QTR_ROLL,2026/1F,46107,,,'')":1.6420515,"GE-US^FE_ESTIMATE(NET_INC_REP,MEAN,QTR_ROLL,2026/1F,46107,,,'')":1740.1554,"GE-US^FE_ESTIMATE(PTX_INC_REP,MEAN,QTR_ROLL,2026/1F,46107,,,'')":2281.6887,"GE-US^FE_ESTIMATE(EBITDA_REP,MEAN,QTR_ROLL,2026/1F,46107,,,'')":2558.5183,"GE-US^FE_ESTIMATE(EPS,MEAN,QTR_ROLL,2026/1F,46107,,,'')":1.5798471,"GE-US^FE_ESTIMATE(NET_INC,MEAN,QTR_ROLL,2026/1F,46107,,,'')":1710.6111,"GE-US^FE_VALUATION(TAX_RATE,MEAN,QTR_ROLL,2026/1F,46107,,,'')/100":0.0017458401,"GE-US^FE_ESTIMATE(INC_TAX,MEAN,QTR_ROLL,2026/1F,46107,,,'')":367.6,"GE-US^FE_ESTIMATE(PTX_INC,MEAN,QTR_ROLL,2026/1F,46107,,,'')":2105.5767,"GE-US^FE_ESTIMATE(INT_EXP,MEAN,QTR_ROLL,2026/1F,46107,,,'')":210.5,"GE-US^FE_ESTIMATE(EBIT,MEAN,QTR_ROLL,2026/1F,46107,,,'')":2211.807,"GE-US^FE_ESTIMATE(DEP_AMORT_EXP,MEAN,QTR_ROLL,2026/1F,46107,,,'')":275.33334,"GE-US^FE_ESTIMATE(EBITDA,MEAN,QTR_ROLL,2026/1F,46107,,,'')":2499.044,"GE-US^FE_ESTIMATE(EBITDAR,MEAN,QTR_ROLL,2026/1F,46107,,,'')":null,"GE-US^FE_ESTIMATE(OPER_EXP,MEAN,QTR_ROLL,2026/1F,46107,,,'')":null,"GE-US^FE_ESTIMATE(RD_EXP,MEAN,QTR_ROLL,2026/1F,46107,,,'')":434.0,"GE-US^FE_ESTIMATE(G_A_EXP,MEAN,QTR_ROLL,2026/1F,46107,,,'')":null,"GE-US^FE_ESTIMATE(SGA,MEAN,QTR_ROLL,2026/1F,46107,,,'')":1045.5,"GE-US^FE_VALUATION(GROSS_MARGIN,MEAN,QTR_ROLL,2026/1F,46107,,,'')/100":0.38650632,"GE-US^FE_ESTIMATE(GROSS_INC,MEAN,QTR_ROLL,2026/1F,46107,,,'')":4108.0,"GE-US^FE_ESTIMATE(COS,MEAN,QTR_ROLL,2026/1F,46107,,,'')":7408.0,"GE-US^FE_ESTIMATE(SALES,MEAN,QTR_ROLL,2026/1F,46107,,,'')":10628.546,"GE-US^FE_ESTIMATE(FCFPS,MEAN,ANN_ROLL,2027,46118,,,'')":8.846502,"GE-US^FE_ESTIMATE(FCFPS,MEAN,ANN_ROLL,2026,46118,,,'')":7.911067,"GE-US^FE_ESTIMATE(FCFPS,MEAN,ANN_ROLL,2025,46118,,,'')":7.110687,"GE-US^FE_ESTIMATE(FCF,MEAN,ANN_ROLL,2030,46118,,,'')":12856.0,"GE-US^FE_ESTIMATE(FCF,MEAN,ANN_ROLL,2029,46118,,,'')":10906.2705,"GE-US^FE_ESTIMATE(FCF,MEAN,ANN_ROLL,2028,46118,,,'')":10115.939,"GE-US^FE_ESTIMATE(FCF,MEAN,ANN_ROLL,2027,46118,,,'')":9189.264,"GE-US^FE_ESTIMATE(FCF,MEAN,ANN_ROLL,2026,46118,,,'')":8332.973,"GE-US^FE_ESTIMATE(FCF,MEAN,ANN_ROLL,2025,46118,,,'')":7694.0,"GE-US^FE_ESTIMATE(DPS,MEAN,ANN_ROLL,2030,46118,,,'')":2.6137724,"GE-US^FE_ESTIMATE(DPS,MEAN,ANN_ROLL,2029,46118,,,'')":2.53745,"GE-US^FE_ESTIMATE(DPS,MEAN,ANN_ROLL,2028,46118,,,'')":2.2939365,"GE-US^FE_ESTIMATE(DPS,MEAN,ANN_ROLL,2027,46118,,,'')":2.0325086,"GE-US^FE_ESTIMATE(DPS,MEAN,ANN_ROLL,2026,46118,,,'')":1.7549795,"GE-US^FE_ESTIMATE(DPS,MEAN,ANN_ROLL,2025,46118,,,'')":1.4114,"GE-US^FE_ESTIMATE(EPS_GAAP,MEAN,ANN_ROLL,2030,46118,,,'')":13.503165,"GE-US^FE_ESTIMATE(EPS_GAAP,MEAN,ANN_ROLL,2029,46118,,,'')":11.426098,"GE-US^FE_ESTIMATE(EPS_GAAP,MEAN,ANN_ROLL,2028,46118,,,'')":10.247519,"GE-US^FE_ESTIMATE(EPS_GAAP,MEAN,ANN_ROLL,2027,46118,,,'')":8.999238,"GE-US^FE_ESTIMATE(EPS_GAAP,MEAN,ANN_ROLL,2026,46118,,,'')":7.931895,"GE-US^FE_ESTIMATE(EPS_GAAP,MEAN,ANN_ROLL,2025,46118,,,'')":8.05,"GE-US^FE_ESTIMATE(NET_INC_REP,MEAN,ANN_ROLL,2030,46118,,,'')":14439.0,"GE-US^FE_ESTIMATE(NET_INC_REP,MEAN,ANN_ROLL,2029,46118,,,'')":13485.0,"GE-US^FE_ESTIMATE(NET_INC_REP,MEAN,ANN_ROLL,2028,46118,,,'')":10809.362,"GE-US^FE_ESTIMATE(NET_INC_REP,MEAN,ANN_ROLL,2027,46118,,,'')":9515.472,"GE-US^FE_ESTIMATE(NET_INC_REP,MEAN,ANN_ROLL,2026,46118,,,'')":8458.973,"GE-US^FE_ESTIMATE(NET_INC_REP,MEAN,ANN_ROLL,2025,46118,,,'')":8704.0,"GE-US^FE_ESTIMATE(PTX_INC_REP,MEAN,ANN_ROLL,2030,46118,,,'')":16286.235,"GE-US^FE_ESTIMATE(PTX_INC_REP,MEAN,ANN_ROLL,2029,46118,,,'')":14436.35,"GE-US^FE_ESTIMATE(PTX_INC_REP,MEAN,ANN_ROLL,2028,46118,,,'')":12858.011,"GE-US^FE_ESTIMATE(PTX_INC_REP,MEAN,ANN_ROLL,2027,46118,,,'')":10921.764,"GE-US^FE_ESTIMATE(PTX_INC_REP,MEAN,ANN_ROLL,2026,46118,,,'')":9729.432,"GE-US^FE_ESTIMATE(PTX_INC_REP,MEAN,ANN_ROLL,2025,46118,,,'')":9115.75,"GE-US^FE_ESTIMATE(EBITDA_REP,MEAN,ANN_ROLL,2030,46118,,,'')":null,"GE-US^FE_ESTIMATE(EBITDA_REP,MEAN,ANN_ROLL,2029,46118,,,'')":null,"GE-US^FE_ESTIMATE(EBITDA_REP,MEAN,ANN_ROLL,2028,46118,,,'')":13944.0,"GE-US^FE_ESTIMATE(EBITDA_REP,MEAN,ANN_ROLL,2027,46118,,,'')":12702.6875,"GE-US^FE_ESTIMATE(EBITDA_REP,MEAN,ANN_ROLL,2026,46118,,,'')":11501.409,"GE-US^FE_ESTIMATE(EBITDA_REP,MEAN,ANN_ROLL,2025,46118,,,'')":11194.0,"GE-US^FE_ESTIMATE(EPS,MEAN,ANN_ROLL,2030,46118,,,',CLASS=59,')":null,"GE-US^FE_ESTIMATE(EPS,MEAN,ANN_ROLL,2029,46118,,,',CLASS=59,')":null,"GE-US^FE_ESTIMATE(EPS,MEAN,ANN_ROLL,2028,46118,,,',CLASS=59,')":null,"GE-US^FE_ESTIMATE(EPS,MEAN,ANN_ROLL,2027,46118,,,',CLASS=59,')":null,"GE-US^FE_ESTIMATE(EPS,MEAN,ANN_ROLL,2026,46118,,,',CLASS=59,')":null,"GE-US^FE_ESTIMATE(EPS,MEAN,ANN_ROLL,2025,46118,,,',CLASS=59,')":null,"GE-US^FE_ESTIMATE(EPS,MEAN,ANN_ROLL,2030,46118,,,'')":12.345429,"GE-US^FE_ESTIMATE(EPS,MEAN,ANN_ROLL,2029,46118,,,'')":10.866999,"GE-US^FE_ESTIMATE(EPS,MEAN,ANN_ROLL,2028,46118,,,'')":9.815854,"GE-US^FE_ESTIMATE(EPS,MEAN,ANN_ROLL,2027,46118,,,'')":8.597503,"GE-US^FE_ESTIMATE(EPS,MEAN,ANN_ROLL,2026,46118,,,'')":7.4767637,"GE-US^FE_ESTIMATE(EPS,MEAN,ANN_ROLL,2025,46118,,,'')":6.37,"GE-US^FE_ESTIMATE(NET_INC,MEAN,ANN_ROLL,2030,46118,,,'')":12138.26,"GE-US^FE_ESTIMATE(NET_INC,MEAN,ANN_ROLL,2029,46118,,,'')":10700.634,"GE-US^FE_ESTIMATE(NET_INC,MEAN,ANN_ROLL,2028,46118,,,'')":9998.8955,"GE-US^FE_ESTIMATE(NET_INC,MEAN,ANN_ROLL,2027,46118,,,'')":8874.043,"GE-US^FE_ESTIMATE(NET_INC,MEAN,ANN_ROLL,2026,46118,,,'')":7836.1147,"GE-US^FE_ESTIMATE(NET_INC,MEAN,ANN_ROLL,2025,46118,,,'')":6812.0,"GE-US^FE_VALUATION(TAX_RATE,MEAN,ANN_ROLL,2030,46118,,,'')":null,"GE-US^FE_VALUATION(TAX_RATE,MEAN,ANN_ROLL,2029,46118,,,'')":null,"GE-US^FE_VALUATION(TAX_RATE,MEAN,ANN_ROLL,2028,46118,,,'')":0.16830915,"GE-US^FE_VALUATION(TAX_RATE,MEAN,ANN_ROLL,2027,46118,,,'')":0.17184114,"GE-US^FE_VALUATION(TAX_RATE,MEAN,ANN_ROLL,2026,46118,,,'')":0.17091659,"GE-US^FE_VALUATION(TAX_RATE,MEAN,ANN_ROLL,2025,46118,,,'')":0.16125606,"GE-US^FE_ESTIMATE(INC_TAX,MEAN,ANN_ROLL,2030,46118,,,'')":null,"GE-US^FE_ESTIMATE(INC_TAX,MEAN,ANN_ROLL,2029,46118,,,'')":null,"GE-US^FE_ESTIMATE(INC_TAX,MEAN,ANN_ROLL,2028,46118,,,'')":2105.5,"GE-US^FE_ESTIMATE(INC_TAX,MEAN,ANN_ROLL,2027,46118,,,'')":1897.1428,"GE-US^FE_ESTIMATE(INC_TAX,MEAN,ANN_ROLL,2026,46118,,,'')":1631.5,"GE-US^FE_ESTIMATE(INC_TAX,MEAN,ANN_ROLL,2025,46118,,,'')":1417.625,"GE-US^FE_ESTIMATE(PTX_INC,MEAN,ANN_ROLL,2030,46118,,,'')":15767.745,"GE-US^FE_ESTIMATE(PTX_INC,MEAN,ANN_ROLL,2029,46118,,,'')":13789.267,"GE-US^FE_ESTIMATE(PTX_INC,MEAN,ANN_ROLL,2028,46118,,,'')":12509.718,"GE-US^FE_ESTIMATE(PTX_INC,MEAN,ANN_ROLL,2027,46118,,,'')":11040.097,"GE-US^FE_ESTIMATE(PTX_INC,MEAN,ANN_ROLL,2026,46118,,,'')":9545.592,"GE-US^FE_ESTIMATE(PTX_INC,MEAN,ANN_ROLL,2025,46118,,,'')":8791.143,"GE-US^FE_ESTIMATE(INT_EXP,MEAN,ANN_ROLL,2030,46118,,,'')":null,"GE-US^FE_ESTIMATE(INT_EXP,MEAN,ANN_ROLL,2029,46118,,,'')":null,"GE-US^FE_ESTIMATE(INT_EXP,MEAN,ANN_ROLL,2028,46118,,,'')":972.0,"GE-US^FE_ESTIMATE(INT_EXP,MEAN,ANN_ROLL,2027,46118,,,'')":942.667,"GE-US^FE_ESTIMATE(INT_EXP,MEAN,ANN_ROLL,2026,46118,,,'')":898.667,"GE-US^FE_ESTIMATE(INT_EXP,MEAN,ANN_ROLL,2025,46118,,,'')":831.0,"GE-US^FE_ESTIMATE(EBIT,MEAN,ANN_ROLL,2030,46118,,,'')":15630.5,"GE-US^FE_ESTIMATE(EBIT,MEAN,ANN_ROLL,2029,46118,,,'')":13980.906,"GE-US^FE_ESTIMATE(EBIT,MEAN,ANN_ROLL,2028,46118,,,'')":13149.707,"GE-US^FE_ESTIMATE(EBIT,MEAN,ANN_ROLL,2027,46118,,,'')":11734.782,"GE-US^FE_ESTIMATE(EBIT,MEAN,ANN_ROLL,2026,46118,,,'')":10317.613,"GE-US^FE_ESTIMATE(EBIT,MEAN,ANN_ROLL,2025,46118,,,'')":9055.0,"GE-US^FE_ESTIMATE(DEP_AMORT,MEAN,ANN_ROLL,2030,46118,,,'')":null,"GE-US^FE_ESTIMATE(DEP_AMORT,MEAN,ANN_ROLL,2029,46118,,,'')":null,"GE-US^FE_ESTIMATE(DEP_AMORT,MEAN,ANN_ROLL,2028,46118,,,'')":1192.0,"GE-US^FE_ESTIMATE(DEP_AMORT,MEAN,ANN_ROLL,2027,46118,,,'')":1163.6,"GE-US^FE_ESTIMATE(DEP_AMORT,MEAN,ANN_ROLL,2026,46118,,,'')":1102.2,"GE-US^FE_ESTIMATE(DEP_AMORT,MEAN,ANN_ROLL,2025,46118,,,'')":1053.25,"GE-US^FE_ESTIMATE(EBITDA,MEAN,ANN_ROLL,2030,46118,,,'')":18089.658,"GE-US^FE_ESTIMATE(EBITDA,MEAN,ANN_ROLL,2029,46118,,,'')":15076.195,"GE-US^FE_ESTIMATE(EBITDA,MEAN,ANN_ROLL,2028,46118,,,'')":14519.09,"GE-US^FE_ESTIMATE(EBITDA,MEAN,ANN_ROLL,2027,46118,,,'')":12992.586,"GE-US^FE_ESTIMATE(EBITDA,MEAN,ANN_ROLL,2026,46118,,,'')":11475.406,"GE-US^FE_ESTIMATE(EBITDA,MEAN,ANN_ROLL,2025,46118,,,'')":10258.167,"GE-US^FE_VALUATION(GROSS_MARGIN,MEAN,ANN_ROLL,2030,46118,,,'')/100":null,"GE-US^FE_VALUATION(GROSS_MARGIN,MEAN,ANN_ROLL,2029,46118,,,'')/100":null,"GE-US^FE_VALUATION(GROSS_MARGIN,MEAN,ANN_ROLL,2028,46118,,,'')/100":0.38035756,"GE-US^FE_VALUATION(GROSS_MARGIN,MEAN,ANN_ROLL,2027,46118,,,'')/100":0.3837542,"GE-US^FE_VALUATION(GROSS_MARGIN,MEAN,ANN_ROLL,2026,46118,,,'')/100":0.3856803,"GE-US^FE_VALUATION(GROSS_MARGIN,MEAN,ANN_ROLL,2025,46118,,,'')/100":0.3990596,"GE-US^FE_ESTIMATE(GROSS_INC,MEAN,ANN_ROLL,2030,46118,,,'')":null,"GE-US^FE_ESTIMATE(GROSS_INC,MEAN,ANN_ROLL,2029,46118,,,'')":null,"GE-US^FE_ESTIMATE(GROSS_INC,MEAN,ANN_ROLL,2028,46118,,,'')":21996.0,"GE-US^FE_ESTIMATE(GROSS_INC,MEAN,ANN_ROLL,2027,46118,,,'')":20414.0,"GE-US^FE_ESTIMATE(GROSS_INC,MEAN,ANN_ROLL,2026,46118,,,'')":18572.0,"GE-US^FE_ESTIMATE(GROSS_INC,MEAN,ANN_ROLL,2025,46118,,,'')":16889.0,"GE-US^FE_ESTIMATE(COS,MEAN,ANN_ROLL,2030,46118,,,'')":null,"GE-US^FE_ESTIMATE(COS,MEAN,ANN_ROLL,2029,46118,,,'')":null,"GE-US^FE_ESTIMATE(COS,MEAN,ANN_ROLL,2028,46118,,,'')":38958.0,"GE-US^FE_ESTIMATE(COS,MEAN,ANN_ROLL,2027,46118,,,'')":36066.0,"GE-US^FE_ESTIMATE(COS,MEAN,ANN_ROLL,2026,46118,,,'')":32855.0,"GE-US^FE_ESTIMATE(COS,MEAN,ANN_ROLL,2025,46118,,,'')":28966.0,"GE-US^FE_ESTIMATE(OPER_EXP,MEAN,ANN_ROLL,2030,46118,,,'')":null,"GE-US^FE_ESTIMATE(OPER_EXP,MEAN,ANN_ROLL,2029,46118,,,'')":null,"GE-US^FE_ESTIMATE(OPER_EXP,MEAN,ANN_ROLL,2028,46118,,,'')":null,"GE-US^FE_ESTIMATE(OPER_EXP,MEAN,ANN_ROLL,2027,46118,,,'')":null,"GE-US^FE_ESTIMATE(OPER_EXP,MEAN,ANN_ROLL,2026,46118,,,'')":null,"GE-US^FE_ESTIMATE(OPER_EXP,MEAN,ANN_ROLL,2025,46118,,,'')":null,"GE-US^FE_ESTIMATE(SOE,MEAN,ANN_ROLL,2030,46118,,,'')":null,"GE-US^FE_ESTIMATE(SOE,MEAN,ANN_ROLL,2029,46118,,,'')":null,"GE-US^FE_ESTIMATE(SOE,MEAN,ANN_ROLL,2028,46118,,,'')":null,"GE-US^FE_ESTIMATE(SOE,MEAN,ANN_ROLL,2027,46118,,,'')":null,"GE-US^FE_ESTIMATE(SOE,MEAN,ANN_ROLL,2026,46118,,,'')":null,"GE-US^FE_ESTIMATE(SOE,MEAN,ANN_ROLL,2025,46118,,,'')":null,"GE-US^FE_ESTIMATE(RD_EXP,MEAN,ANN_ROLL,2030,46118,,,'')":null,"GE-US^FE_ESTIMATE(RD_EXP,MEAN,ANN_ROLL,2029,46118,,,'')":null,"GE-US^FE_ESTIMATE(RD_EXP,MEAN,ANN_ROLL,2028,46118,,,'')":2295.0,"GE-US^FE_ESTIMATE(RD_EXP,MEAN,ANN_ROLL,2027,46118,,,'')":2118.5,"GE-US^FE_ESTIMATE(RD_EXP,MEAN,ANN_ROLL,2026,46118,,,'')":1900.5,"GE-US^FE_ESTIMATE(RD_EXP,MEAN,ANN_ROLL,2025,46118,,,'')":1581.0,"GE-US^FE_ESTIMATE(G_A_EXP,MEAN,ANN_ROLL,2030,46118,,,'')":null,"GE-US^FE_ESTIMATE(G_A_EXP,MEAN,ANN_ROLL,2029,46118,,,'')":null,"GE-US^FE_ESTIMATE(G_A_EXP,MEAN,ANN_ROLL,2028,46118,,,'')":null,"GE-US^FE_ESTIMATE(G_A_EXP,MEAN,ANN_ROLL,2027,46118,,,'')":null,"GE-US^FE_ESTIMATE(G_A_EXP,MEAN,ANN_ROLL,2026,46118,,,'')":null,"GE-US^FE_ESTIMATE(G_A_EXP,MEAN,ANN_ROLL,2025,46118,,,'')":null,"GE-US^FE_ESTIMATE(SGA,MEAN,ANN_ROLL,2030,46118,,,'')":null,"GE-US^FE_ESTIMATE(SGA,MEAN,ANN_ROLL,2029,46118,,,'')":null,"GE-US^FE_ESTIMATE(SGA,MEAN,ANN_ROLL,2028,46118,,,'')":5698.5,"GE-US^FE_ESTIMATE(SGA,MEAN,ANN_ROLL,2027,46118,,,'')":5271.0,"GE-US^FE_ESTIMATE(SGA,MEAN,ANN_ROLL,2026,46118,,,'')":4782.5,"GE-US^FE_ESTIMATE(SGA,MEAN,ANN_ROLL,2025,46118,,,'')":4088.0,"GE-US^FF_ENTRPR_VAL_DAILY(NOW,,,,,\"DIL\")":314508.26,"GE-US^P_PRICE(NOW)":285.695,"GE-US^FREF_MARKET_VALUE_COMPANY(0,,,,,0,,\"LEGACY\")":294884.435232472,"GE-US^FE_ESTIMATE(FCFPS,MEAN,QTR_ROLL,2026/1F,46127,,,'')":1.173931,"GE-US^FE_ESTIMATE(FCF,MEAN,QTR_ROLL,2026/1F,46127,,,'')":1392.5177,"GE-US^FE_ESTIMATE(CAPEX,MEAN,QTR_ROLL,2026/1F,46127,,,'')":328.05234,"GE-US^FE_ESTIMATE(CF_OP,MEAN,QTR_ROLL,2026/1F,46127,,,'')":1436.0,"GE-US^FE_ESTIMATE(NET_DEBT,MEAN,QTR_ROLL,2026/1F,46127,,,'')":null,"GE-US^FE_ESTIMATE(DEBT,MEAN,QTR_ROLL,2026/1F,46127,,,'')":null,"GE-US^FE_ESTIMATE(CASH_ST,MEAN,QTR_ROLL,2026/1F,46127,,,'')":13373.0,"GE-US^FE_ESTIMATE(DPS,MEAN,QTR_ROLL,2026/1F,46127,,,'')":0.40914285,"GE-US^FE_ESTIMATE(EPS_GAAP,MEAN,QTR_ROLL,2026/1F,46127,,,'')":1.6767402,"GE-US^FE_ESTIMATE(NET_INC_REP,MEAN,QTR_ROLL,2026/1F,46127,,,'')":1761.6676,"GE-US^FE_ESTIMATE(PTX_INC_REP,MEAN,QTR_ROLL,2026/1F,46127,,,'')":2272.7585,"GE-US^FE_ESTIMATE(EBITDA_REP,MEAN,QTR_ROLL,2026/1F,46127,,,'')":2572.5278,"GE-US^FE_ESTIMATE(EPS,MEAN,QTR_ROLL,2026/1F,46127,,,'')":1.591956,"GE-US^FE_ESTIMATE(NET_INC,MEAN,QTR_ROLL,2026/1F,46127,,,'')":1712.8052,"GE-US^FE_VALUATION(TAX_RATE,MEAN,QTR_ROLL,2026/1F,46127,,,'')/100":0.0017584744,"GE-US^FE_ESTIMATE(INC_TAX,MEAN,QTR_ROLL,2026/1F,46127,,,'')":367.0,"GE-US^FE_ESTIMATE(PTX_INC,MEAN,QTR_ROLL,2026/1F,46127,,,'')":2087.0364,"GE-US^FE_ESTIMATE(INT_EXP,MEAN,QTR_ROLL,2026/1F,46127,,,'')":206.0,"GE-US^FE_ESTIMATE(EBIT,MEAN,QTR_ROLL,2026/1F,46127,,,'')":2228.767,"GE-US^FE_ESTIMATE(DEP_AMORT_EXP,MEAN,QTR_ROLL,2026/1F,46127,,,'')":281.33334,"GE-US^FE_ESTIMATE(EBITDA,MEAN,QTR_ROLL,2026/1F,46127,,,'')":2532.822,"GE-US^FE_ESTIMATE(EBITDAR,MEAN,QTR_ROLL,2026/1F,46127,,,'')":null,"GE-US^FE_ESTIMATE(OPER_EXP,MEAN,QTR_ROLL,2026/1F,46127,,,'')":null,"GE-US^FE_ESTIMATE(RD_EXP,MEAN,QTR_ROLL,2026/1F,46127,,,'')":441.0,"GE-US^FE_ESTIMATE(G_A_EXP,MEAN,QTR_ROLL,2026/1F,46127,,,'')":null,"GE-US^FE_ESTIMATE(SGA,MEAN,QTR_ROLL,2026/1F,46127,,,'')":1059.5,"GE-US^FE_VALUATION(GROSS_MARGIN,MEAN,QTR_ROLL,2026/1F,46127,,,'')/100":0.3837903,"GE-US^FE_ESTIMATE(GROSS_INC,MEAN,QTR_ROLL,2026/1F,46127,,,'')":4108.0,"GE-US^FE_ESTIMATE(COS,MEAN,QTR_ROLL,2026/1F,46127,,,'')":7383.5,"GE-US^FE_ESTIMATE(SALES,MEAN,QTR_ROLL,2026/1F,46127,,,'')":10703.762,"GE-US^FE_ESTIMATE(FCFPS,MEAN,QTR_ROLL,2026/1F,46132,,,'')":1.173427,"GE-US^FE_ESTIMATE(FCF,MEAN,QTR_ROLL,2026/1F,46132,,,'')":1392.3406,"GE-US^FE_ESTIMATE(CAPEX,MEAN,QTR_ROLL,2026/1F,46132,,,'')":328.05234,"GE-US^FE_ESTIMATE(CF_OP,MEAN,QTR_ROLL,2026/1F,46132,,,'')":1436.0,"GE-US^FE_ESTIMATE(NET_DEBT,MEAN,QTR_ROLL,2026/1F,46132,,,'')":null,"GE-US^FE_ESTIMATE(DEBT,MEAN,QTR_ROLL,2026/1F,46132,,,'')":null,"GE-US^FE_ESTIMATE(CASH_ST,MEAN,QTR_ROLL,2026/1F,46132,,,'')":13373.0,"GE-US^FE_ESTIMATE(DPS,MEAN,QTR_ROLL,2026/1F,46132,,,'')":0.40914285,"GE-US^FE_ESTIMATE(EPS_GAAP,MEAN,QTR_ROLL,2026/1F,46132,,,'')":1.6776135,"GE-US^FE_ESTIMATE(NET_INC_REP,MEAN,QTR_ROLL,2026/1F,46132,,,'')":1772.6676,"GE-US^FE_ESTIMATE(PTX_INC_REP,MEAN,QTR_ROLL,2026/1F,46132,,,'')":2272.7585,"GE-US^FE_ESTIMATE(EBITDA_REP,MEAN,QTR_ROLL,2026/1F,46132,,,'')":2572.5278,"GE-US^FE_ESTIMATE(EPS,MEAN,QTR_ROLL,2026/1F,46132,,,'')":1.599469,"GE-US^FE_ESTIMATE(NET_INC,MEAN,QTR_ROLL,2026/1F,46132,,,'')":1720.2219,"GE-US^FE_VALUATION(TAX_RATE,MEAN,QTR_ROLL,2026/1F,46132,,,'')/100":0.0017646004,"GE-US^FE_ESTIMATE(INC_TAX,MEAN,QTR_ROLL,2026/1F,46132,,,'')":370.16666,"GE-US^FE_ESTIMATE(PTX_INC,MEAN,QTR_ROLL,2026/1F,46132,,,'')":2097.7363,"GE-US^FE_ESTIMATE(INT_EXP,MEAN,QTR_ROLL,2026/1F,46132,,,'')":206.0,"GE-US^FE_ESTIMATE(EBIT,MEAN,QTR_ROLL,2026/1F,46132,,,'')":2237.0366,"GE-US^FE_ESTIMATE(DEP_AMORT_EXP,MEAN,QTR_ROLL,2026/1F,46132,,,'')":281.33334,"GE-US^FE_ESTIMATE(EBITDA,MEAN,QTR_ROLL,2026/1F,46132,,,'')":2533.0596,"GE-US^FE_ESTIMATE(EBITDAR,MEAN,QTR_ROLL,2026/1F,46132,,,'')":null,"GE-US^FE_ESTIMATE(OPER_EXP,MEAN,QTR_ROLL,2026/1F,46132,,,'')":null,"GE-US^FE_ESTIMATE(RD_EXP,MEAN,QTR_ROLL,2026/1F,46132,,,'')":420.0,"GE-US^FE_ESTIMATE(G_A_EXP,MEAN,QTR_ROLL,2026/1F,46132,,,'')":null,"GE-US^FE_ESTIMATE(SGA,MEAN,QTR_ROLL,2026/1F,46132,,,'')":1059.0,"GE-US^FE_VALUATION(GROSS_MARGIN,MEAN,QTR_ROLL,2026/1F,46132,,,'')/100":0.3888122,"GE-US^FE_ESTIMATE(GROSS_INC,MEAN,QTR_ROLL,2026/1F,46132,,,'')":4166.0,"GE-US^FE_ESTIMATE(COS,MEAN,QTR_ROLL,2026/1F,46132,,,'')":7411.5,"GE-US^FE_ESTIMATE(SALES,MEAN,QTR_ROLL,2026/1F,46132,,,'')":10714.684,"GE-US^FE_ESTIMATE(FCFPS,MEAN,ANN_ROLL,2030,46132,,,'')":null,"GE-US^FE_ESTIMATE(FCFPS,MEAN,ANN_ROLL,2029,46132,,,'')":null,"GE-US^FE_ESTIMATE(FCFPS,MEAN,ANN_ROLL,2028,46132,,,'')":9.978298,"GE-US^FE_ESTIMATE(FCFPS,MEAN,ANN_ROLL,2027,46132,,,'')":8.935973,"GE-US^FE_ESTIMATE(FCFPS,MEAN,ANN_ROLL,2026,46132,,,'')":7.934105,"GE-US^FE_ESTIMATE(FCFPS,MEAN,ANN_ROLL,2025,46132,,,'')":7.110687,"GE-US^FE_ESTIMATE(FCF,MEAN,ANN_ROLL,2030,46132,,,'')":12874.0,"GE-US^FE_ESTIMATE(FCF,MEAN,ANN_ROLL,2029,46132,,,'')":10914.7705,"GE-US^FE_ESTIMATE(FCF,MEAN,ANN_ROLL,2028,46132,,,'')":10262.938,"GE-US^FE_ESTIMATE(FCF,MEAN,ANN_ROLL,2027,46132,,,'')":9276.465,"GE-US^FE_ESTIMATE(FCF,MEAN,ANN_ROLL,2026,46132,,,'')":8328.535,"GE-US^FE_ESTIMATE(FCF,MEAN,ANN_ROLL,2025,46132,,,'')":7694.0,"GE-US^FE_ESTIMATE(DPS,MEAN,ANN_ROLL,2030,46132,,,'')":2.6137724,"GE-US^FE_ESTIMATE(DPS,MEAN,ANN_ROLL,2029,46132,,,'')":2.53745,"GE-US^FE_ESTIMATE(DPS,MEAN,ANN_ROLL,2028,46132,,,'')":2.31727,"GE-US^FE_ESTIMATE(DPS,MEAN,ANN_ROLL,2027,46132,,,'')":2.054047,"GE-US^FE_ESTIMATE(DPS,MEAN,ANN_ROLL,2026,46132,,,'')":1.7665179,"GE-US^FE_ESTIMATE(DPS,MEAN,ANN_ROLL,2025,46132,,,'')":1.4114,"GE-US^FE_ESTIMATE(EPS_GAAP,MEAN,ANN_ROLL,2030,46132,,,'')":13.576159,"GE-US^FE_ESTIMATE(EPS_GAAP,MEAN,ANN_ROLL,2029,46132,,,'')":11.429752,"GE-US^FE_ESTIMATE(EPS_GAAP,MEAN,ANN_ROLL,2028,46132,,,'')":10.237984,"GE-US^FE_ESTIMATE(EPS_GAAP,MEAN,ANN_ROLL,2027,46132,,,'')":8.997021,"GE-US^FE_ESTIMATE(EPS_GAAP,MEAN,ANN_ROLL,2026,46132,,,'')":7.9316726,"GE-US^FE_ESTIMATE(EPS_GAAP,MEAN,ANN_ROLL,2025,46132,,,'')":8.05,"GE-US^FE_ESTIMATE(NET_INC_REP,MEAN,ANN_ROLL,2030,46132,,,'')":14459.0,"GE-US^FE_ESTIMATE(NET_INC_REP,MEAN,ANN_ROLL,2029,46132,,,'')":13542.0,"GE-US^FE_ESTIMATE(NET_INC_REP,MEAN,ANN_ROLL,2028,46132,,,'')":10833.507,"GE-US^FE_ESTIMATE(NET_INC_REP,MEAN,ANN_ROLL,2027,46132,,,'')":9522.467,"GE-US^FE_ESTIMATE(NET_INC_REP,MEAN,ANN_ROLL,2026,46132,,,'')":8463.772,"GE-US^FE_ESTIMATE(NET_INC_REP,MEAN,ANN_ROLL,2025,46132,,,'')":8704.0,"GE-US^FE_ESTIMATE(PTX_INC_REP,MEAN,ANN_ROLL,2030,46132,,,'')":16417.822,"GE-US^FE_ESTIMATE(PTX_INC_REP,MEAN,ANN_ROLL,2029,46132,,,'')":14360.195,"GE-US^FE_ESTIMATE(PTX_INC_REP,MEAN,ANN_ROLL,2028,46132,,,'')":12728.53,"GE-US^FE_ESTIMATE(PTX_INC_REP,MEAN,ANN_ROLL,2027,46132,,,'')":10872.407,"GE-US^FE_ESTIMATE(PTX_INC_REP,MEAN,ANN_ROLL,2026,46132,,,'')":9755.689,"GE-US^FE_ESTIMATE(PTX_INC_REP,MEAN,ANN_ROLL,2025,46132,,,'')":9115.75,"GE-US^FE_ESTIMATE(EBITDA_REP,MEAN,ANN_ROLL,2030,46132,,,'')":null,"GE-US^FE_ESTIMATE(EBITDA_REP,MEAN,ANN_ROLL,2029,46132,,,'')":null,"GE-US^FE_ESTIMATE(EBITDA_REP,MEAN,ANN_ROLL,2028,46132,,,'')":14281.425,"GE-US^FE_ESTIMATE(EBITDA_REP,MEAN,ANN_ROLL,2027,46132,,,'')":12868.51,"GE-US^FE_ESTIMATE(EBITDA_REP,MEAN,ANN_ROLL,2026,46132,,,'')":11604.375,"GE-US^FE_ESTIMATE(EBITDA_REP,MEAN,ANN_ROLL,2025,46132,,,'')":11194.0,"GE-US^FE_ESTIMATE(EPS,MEAN,ANN_ROLL,2030,46132,,,',CLASS=59,')":null,"GE-US^FE_ESTIMATE(EPS,MEAN,ANN_ROLL,2029,46132,,,',CLASS=59,')":null,"GE-US^FE_ESTIMATE(EPS,MEAN,ANN_ROLL,2028,46132,,,',CLASS=59,')":null,"GE-US^FE_ESTIMATE(EPS,MEAN,ANN_ROLL,2027,46132,,,',CLASS=59,')":null,"GE-US^FE_ESTIMATE(EPS,MEAN,ANN_ROLL,2026,46132,,,',CLASS=59,')":null,"GE-US^FE_ESTIMATE(EPS,MEAN,ANN_ROLL,2025,46132,,,',CLASS=59,')":null,"GE-US^FE_ESTIMATE(EPS,MEAN,ANN_ROLL,2030,46132,,,'')":12.393333,"GE-US^FE_ESTIMATE(EPS,MEAN,ANN_ROLL,2029,46132,,,'')":10.869063,"GE-US^FE_ESTIMATE(EPS,MEAN,ANN_ROLL,2028,46132,,,'')":9.855671,"GE-US^FE_ESTIMATE(EPS,MEAN,ANN_ROLL,2027,46132,,,'')":8.630542,"GE-US^FE_ESTIMATE(EPS,MEAN,ANN_ROLL,2026,46132,,,'')":7.4916654,"GE-US^FE_ESTIMATE(EPS,MEAN,ANN_ROLL,2025,46132,,,'')":6.37,"GE-US^FE_ESTIMATE(NET_INC,MEAN,ANN_ROLL,2030,46132,,,'')":12191.224,"GE-US^FE_ESTIMATE(NET_INC,MEAN,ANN_ROLL,2029,46132,,,'')":10691.517,"GE-US^FE_ESTIMATE(NET_INC,MEAN,ANN_ROLL,2028,46132,,,'')":10044.04,"GE-US^FE_ESTIMATE(NET_INC,MEAN,ANN_ROLL,2027,46132,,,'')":8914.504,"GE-US^FE_ESTIMATE(NET_INC,MEAN,ANN_ROLL,2026,46132,,,'')":7862.645,"GE-US^FE_ESTIMATE(NET_INC,MEAN,ANN_ROLL,2025,46132,,,'')":6812.0,"GE-US^FE_VALUATION(TAX_RATE,MEAN,ANN_ROLL,2030,46132,,,'')":null,"GE-US^FE_VALUATION(TAX_RATE,MEAN,ANN_ROLL,2029,46132,,,'')":null,"GE-US^FE_VALUATION(TAX_RATE,MEAN,ANN_ROLL,2028,46132,,,'')":0.16782995,"GE-US^FE_VALUATION(TAX_RATE,MEAN,ANN_ROLL,2027,46132,,,'')":0.17200813,"GE-US^FE_VALUATION(TAX_RATE,MEAN,ANN_ROLL,2026,46132,,,'')":0.17091475,"GE-US^FE_VALUATION(TAX_RATE,MEAN,ANN_ROLL,2025,46132,,,'')":0.16125606,"GE-US^FE_ESTIMATE(INC_TAX,MEAN,ANN_ROLL,2030,46132,,,'')":null,"GE-US^FE_ESTIMATE(INC_TAX,MEAN,ANN_ROLL,2029,46132,,,'')":null,"GE-US^FE_ESTIMATE(INC_TAX,MEAN,ANN_ROLL,2028,46132,,,'')":2107.1667,"GE-US^FE_ESTIMATE(INC_TAX,MEAN,ANN_ROLL,2027,46132,,,'')":1903.2595,"GE-US^FE_ESTIMATE(INC_TAX,MEAN,ANN_ROLL,2026,46132,,,'')":1636.3073,"GE-US^FE_ESTIMATE(INC_TAX,MEAN,ANN_ROLL,2025,46132,,,'')":1417.625,"GE-US^FE_ESTIMATE(PTX_INC,MEAN,ANN_ROLL,2030,46132,,,'')":15818.94,"GE-US^FE_ESTIMATE(PTX_INC,MEAN,ANN_ROLL,2029,46132,,,'')":13775.229,"GE-US^FE_ESTIMATE(PTX_INC,MEAN,ANN_ROLL,2028,46132,,,'')":12555.368,"GE-US^FE_ESTIMATE(PTX_INC,MEAN,ANN_ROLL,2027,46132,,,'')":11064.939,"GE-US^FE_ESTIMATE(PTX_INC,MEAN,ANN_ROLL,2026,46132,,,'')":9573.821,"GE-US^FE_ESTIMATE(PTX_INC,MEAN,ANN_ROLL,2025,46132,,,'')":8791.143,"GE-US^FE_ESTIMATE(INT_EXP,MEAN,ANN_ROLL,2030,46132,,,'')":null,"GE-US^FE_ESTIMATE(INT_EXP,MEAN,ANN_ROLL,2029,46132,,,'')":null,"GE-US^FE_ESTIMATE(INT_EXP,MEAN,ANN_ROLL,2028,46132,,,'')":972.0,"GE-US^FE_ESTIMATE(INT_EXP,MEAN,ANN_ROLL,2027,46132,,,'')":937.30273,"GE-US^FE_ESTIMATE(INT_EXP,MEAN,ANN_ROLL,2026,46132,,,'')":897.1234,"GE-US^FE_ESTIMATE(INT_EXP,MEAN,ANN_ROLL,2025,46132,,,'')":831.0,"GE-US^FE_ESTIMATE(EBIT,MEAN,ANN_ROLL,2030,46132,,,'')":15641.0,"GE-US^FE_ESTIMATE(EBIT,MEAN,ANN_ROLL,2029,46132,,,'')":13987.906,"GE-US^FE_ESTIMATE(EBIT,MEAN,ANN_ROLL,2028,46132,,,'')":13202.814,"GE-US^FE_ESTIMATE(EBIT,MEAN,ANN_ROLL,2027,46132,,,'')":11768.958,"GE-US^FE_ESTIMATE(EBIT,MEAN,ANN_ROLL,2026,46132,,,'')":10342.161,"GE-US^FE_ESTIMATE(EBIT,MEAN,ANN_ROLL,2025,46132,,,'')":9055.0,"GE-US^FE_ESTIMATE(DEP_AMORT,MEAN,ANN_ROLL,2030,46132,,,'')":null,"GE-US^FE_ESTIMATE(DEP_AMORT,MEAN,ANN_ROLL,2029,46132,,,'')":null,"GE-US^FE_ESTIMATE(DEP_AMORT,MEAN,ANN_ROLL,2028,46132,,,'')":1267.782,"GE-US^FE_ESTIMATE(DEP_AMORT,MEAN,ANN_ROLL,2027,46132,,,'')":1213.1367,"GE-US^FE_ESTIMATE(DEP_AMORT,MEAN,ANN_ROLL,2026,46132,,,'')":1146.6133,"GE-US^FE_ESTIMATE(DEP_AMORT,MEAN,ANN_ROLL,2025,46132,,,'')":1053.25,"GE-US^FE_ESTIMATE(EBITDA,MEAN,ANN_ROLL,2030,46132,,,'')":18136.213,"GE-US^FE_ESTIMATE(EBITDA,MEAN,ANN_ROLL,2029,46132,,,'')":15050.105,"GE-US^FE_ESTIMATE(EBITDA,MEAN,ANN_ROLL,2028,46132,,,'')":14567.01,"GE-US^FE_ESTIMATE(EBITDA,MEAN,ANN_ROLL,2027,46132,,,'')":13017.8955,"GE-US^FE_ESTIMATE(EBITDA,MEAN,ANN_ROLL,2026,46132,,,'')":11495.519,"GE-US^FE_ESTIMATE(EBITDA,MEAN,ANN_ROLL,2025,46132,,,'')":10258.167,"GE-US^FE_ESTIMATE(OPER_EXP,MEAN,ANN_ROLL,2030,46132,,,'')":null,"GE-US^FE_ESTIMATE(OPER_EXP,MEAN,ANN_ROLL,2029,46132,,,'')":null,"GE-US^FE_ESTIMATE(OPER_EXP,MEAN,ANN_ROLL,2028,46132,,,'')":null,"GE-US^FE_ESTIMATE(OPER_EXP,MEAN,ANN_ROLL,2027,46132,,,'')":null,"GE-US^FE_ESTIMATE(OPER_EXP,MEAN,ANN_ROLL,2026,46132,,,'')":null,"GE-US^FE_ESTIMATE(OPER_EXP,MEAN,ANN_ROLL,2025,46132,,,'')":null,"GE-US^FE_ESTIMATE(SOE,MEAN,ANN_ROLL,2030,46132,,,'')":null,"GE-US^FE_ESTIMATE(SOE,MEAN,ANN_ROLL,2029,46132,,,'')":null,"GE-US^FE_ESTIMATE(SOE,MEAN,ANN_ROLL,2028,46132,,,'')":null,"GE-US^FE_ESTIMATE(SOE,MEAN,ANN_ROLL,2027,46132,,,'')":null,"GE-US^FE_ESTIMATE(SOE,MEAN,ANN_ROLL,2026,46132,,,'')":null,"GE-US^FE_ESTIMATE(SOE,MEAN,ANN_ROLL,2025,46132,,,'')":null,"GE-US^FE_ESTIMATE(RD_EXP,MEAN,ANN_ROLL,2030,46132,,,'')":null,"GE-US^FE_ESTIMATE(RD_EXP,MEAN,ANN_ROLL,2029,46132,,,'')":null,"GE-US^FE_ESTIMATE(RD_EXP,MEAN,ANN_ROLL,2028,46132,,,'')":2299.5,"GE-US^FE_ESTIMATE(RD_EXP,MEAN,ANN_ROLL,2027,46132,,,'')":2122.0,"GE-US^FE_ESTIMATE(RD_EXP,MEAN,ANN_ROLL,2026,46132,,,'')":1895.0,"GE-US^FE_ESTIMATE(RD_EXP,MEAN,ANN_ROLL,2025,46132,,,'')":1581.0,"GE-US^FE_ESTIMATE(G_A_EXP,MEAN,ANN_ROLL,2030,46132,,,'')":null,"GE-US^FE_ESTIMATE(G_A_EXP,MEAN,ANN_ROLL,2029,46132,,,'')":null,"GE-US^FE_ESTIMATE(G_A_EXP,MEAN,ANN_ROLL,2028,46132,,,'')":null,"GE-US^FE_ESTIMATE(G_A_EXP,MEAN,ANN_ROLL,2027,46132,,,'')":null,"GE-US^FE_ESTIMATE(G_A_EXP,MEAN,ANN_ROLL,2026,46132,,,'')":null,"GE-US^FE_ESTIMATE(G_A_EXP,MEAN,ANN_ROLL,2025,46132,,,'')":null,"GE-US^FE_ESTIMATE(SGA,MEAN,ANN_ROLL,2030,46132,,,'')":null,"GE-US^FE_ESTIMATE(SGA,MEAN,ANN_ROLL,2029,46132,,,'')":null,"GE-US^FE_ESTIMATE(SGA,MEAN,ANN_ROLL,2028,46132,,,'')":5710.0,"GE-US^FE_ESTIMATE(SGA,MEAN,ANN_ROLL,2027,46132,,,'')":5280.0,"GE-US^FE_ESTIMATE(SGA,MEAN,ANN_ROLL,2026,46132,,,'')":4782.5,"GE-US^FE_ESTIMATE(SGA,MEAN,ANN_ROLL,2025,46132,,,'')":4088.0,"GE-US^FE_VALUATION(GROSS_MARGIN,MEAN,ANN_ROLL,2030,46132,,,'')/100":null,"GE-US^FE_VALUATION(GROSS_MARGIN,MEAN,ANN_ROLL,2029,46132,,,'')/100":null,"GE-US^FE_VALUATION(GROSS_MARGIN,MEAN,ANN_ROLL,2028,46132,,,'')/100":0.38175476,"GE-US^FE_VALUATION(GROSS_MARGIN,MEAN,ANN_ROLL,2027,46132,,,'')/100":0.38504982,"GE-US^FE_VALUATION(GROSS_MARGIN,MEAN,ANN_ROLL,2026,46132,,,'')/100":0.38732493,"GE-US^FE_VALUATION(GROSS_MARGIN,MEAN,ANN_ROLL,2025,46132,,,'')/100":0.3990596,"GE-US^FE_ESTIMATE(GROSS_INC,MEAN,ANN_ROLL,2030,46132,,,'')":null,"GE-US^FE_ESTIMATE(GROSS_INC,MEAN,ANN_ROLL,2029,46132,,,'')":null,"GE-US^FE_ESTIMATE(GROSS_INC,MEAN,ANN_ROLL,2028,46132,,,'')":22086.0,"GE-US^FE_ESTIMATE(GROSS_INC,MEAN,ANN_ROLL,2027,46132,,,'')":20484.0,"GE-US^FE_ESTIMATE(GROSS_INC,MEAN,ANN_ROLL,2026,46132,,,'')":18659.0,"GE-US^FE_ESTIMATE(GROSS_INC,MEAN,ANN_ROLL,2025,46132,,,'')":16889.0,"GE-US^FE_ESTIMATE(COS,MEAN,ANN_ROLL,2030,46132,,,'')":null,"GE-US^FE_ESTIMATE(COS,MEAN,ANN_ROLL,2029,46132,,,'')":null,"GE-US^FE_ESTIMATE(COS,MEAN,ANN_ROLL,2028,46132,,,'')":39037.5,"GE-US^FE_ESTIMATE(COS,MEAN,ANN_ROLL,2027,46132,,,'')":36127.5,"GE-US^FE_ESTIMATE(COS,MEAN,ANN_ROLL,2026,46132,,,'')":32910.5,"GE-US^FE_ESTIMATE(COS,MEAN,ANN_ROLL,2025,46132,,,'')":28966.0,"GE-US^FE_ESTIMATE(FCFPS,MEAN,ANN_ROLL,2030,46209,,,'')":null,"GE-US^FE_ESTIMATE(FCFPS,MEAN,ANN_ROLL,2029,46209,,,'')":null,"GE-US^FE_ESTIMATE(FCFPS,MEAN,ANN_ROLL,2028,46209,,,'')":10.097674,"GE-US^FE_ESTIMATE(FCFPS,MEAN,ANN_ROLL,2027,46209,,,'')":9.042114,"GE-US^FE_ESTIMATE(FCFPS,MEAN,ANN_ROLL,2026,46209,,,'')":7.959373,"GE-US^FE_ESTIMATE(FCFPS,MEAN,ANN_ROLL,2025,46209,,,'')":7.110687,"GE-US^FE_ESTIMATE(FCF,MEAN,ANN_ROLL,2030,46209,,,'')":11641.0,"GE-US^FE_ESTIMATE(FCF,MEAN,ANN_ROLL,2029,46209,,,'')":10976.017,"GE-US^FE_ESTIMATE(FCF,MEAN,ANN_ROLL,2028,46209,,,'')":10118.305,"GE-US^FE_ESTIMATE(FCF,MEAN,ANN_ROLL,2027,46209,,,'')":9198.734,"GE-US^FE_ESTIMATE(FCF,MEAN,ANN_ROLL,2026,46209,,,'')":8349.032,"GE-US^FE_ESTIMATE(FCF,MEAN,ANN_ROLL,2025,46209,,,'')":7694.0,"GE-US^FE_ESTIMATE(DPS,MEAN,ANN_ROLL,2030,46209,,,'')":2.7258484,"GE-US^FE_ESTIMATE(DPS,MEAN,ANN_ROLL,2029,46209,,,'')":2.5730875,"GE-US^FE_ESTIMATE(DPS,MEAN,ANN_ROLL,2028,46209,,,'')":2.3936338,"GE-US^FE_ESTIMATE(DPS,MEAN,ANN_ROLL,2027,46209,,,'')":2.1101866,"GE-US^FE_ESTIMATE(DPS,MEAN,ANN_ROLL,2026,46209,,,'')":1.810338,"GE-US^FE_ESTIMATE(DPS,MEAN,ANN_ROLL,2025,46209,,,'')":1.4114,"GE-US^FE_ESTIMATE(EPS_GAAP,MEAN,ANN_ROLL,2030,46209,,,'')":13.87986,"GE-US^FE_ESTIMATE(EPS_GAAP,MEAN,ANN_ROLL,2029,46209,,,'')":11.583933,"GE-US^FE_ESTIMATE(EPS_GAAP,MEAN,ANN_ROLL,2028,46209,,,'')":10.455295,"GE-US^FE_ESTIMATE(EPS_GAAP,MEAN,ANN_ROLL,2027,46209,,,'')":9.192132,"GE-US^FE_ESTIMATE(EPS_GAAP,MEAN,ANN_ROLL,2026,46209,,,'')":8.014281,"GE-US^FE_ESTIMATE(EPS_GAAP,MEAN,ANN_ROLL,2025,46209,,,'')":8.05,"GE-US^FE_ESTIMATE(NET_INC_REP,MEAN,ANN_ROLL,2030,46209,,,'')":14526.5,"GE-US^FE_ESTIMATE(NET_INC_REP,MEAN,ANN_ROLL,2029,46209,,,'')":13525.0,"GE-US^FE_ESTIMATE(NET_INC_REP,MEAN,ANN_ROLL,2028,46209,,,'')":10838.459,"GE-US^FE_ESTIMATE(NET_INC_REP,MEAN,ANN_ROLL,2027,46209,,,'')":9608.021,"GE-US^FE_ESTIMATE(NET_INC_REP,MEAN,ANN_ROLL,2026,46209,,,'')":8506.624,"GE-US^FE_ESTIMATE(NET_INC_REP,MEAN,ANN_ROLL,2025,46209,,,'')":8704.0,"GE-US^FE_ESTIMATE(PTX_INC_REP,MEAN,ANN_ROLL,2030,46209,,,'')":17116.193,"GE-US^FE_ESTIMATE(PTX_INC_REP,MEAN,ANN_ROLL,2029,46209,,,'')":14818.353,"GE-US^FE_ESTIMATE(PTX_INC_REP,MEAN,ANN_ROLL,2028,46209,,,'')":13073.286,"GE-US^FE_ESTIMATE(PTX_INC_REP,MEAN,ANN_ROLL,2027,46209,,,'')":11058.924,"GE-US^FE_ESTIMATE(PTX_INC_REP,MEAN,ANN_ROLL,2026,46209,,,'')":9689.342,"GE-US^FE_ESTIMATE(PTX_INC_REP,MEAN,ANN_ROLL,2025,46209,,,'')":9115.75,"GE-US^FE_ESTIMATE(EBITDA_REP,MEAN,ANN_ROLL,2030,46209,,,'')":null,"GE-US^FE_ESTIMATE(EBITDA_REP,MEAN,ANN_ROLL,2029,46209,,,'')":null,"GE-US^FE_ESTIMATE(EBITDA_REP,MEAN,ANN_ROLL,2028,46209,,,'')":14346.5,"GE-US^FE_ESTIMATE(EBITDA_REP,MEAN,ANN_ROLL,2027,46209,,,'')":12938.774,"GE-US^FE_ESTIMATE(EBITDA_REP,MEAN,ANN_ROLL,2026,46209,,,'')":11625.193,"GE-US^FE_ESTIMATE(EBITDA_REP,MEAN,ANN_ROLL,2025,46209,,,'')":11194.0,"GE-US^FE_ESTIMATE(EPS,MEAN,ANN_ROLL,2030,46209,,,',CLASS=59,')":null,"GE-US^FE_ESTIMATE(EPS,MEAN,ANN_ROLL,2029,46209,,,',CLASS=59,')":null,"GE-US^FE_ESTIMATE(EPS,MEAN,ANN_ROLL,2028,46209,,,',CLASS=59,')":null,"GE-US^FE_ESTIMATE(EPS,MEAN,ANN_ROLL,2027,46209,,,',CLASS=59,')":null,"GE-US^FE_ESTIMATE(EPS,MEAN,ANN_ROLL,2026,46209,,,',CLASS=59,')":null,"GE-US^FE_ESTIMATE(EPS,MEAN,ANN_ROLL,2025,46209,,,',CLASS=59,')":null,"GE-US^FE_ESTIMATE(EPS,MEAN,ANN_ROLL,2030,46209,,,'')":12.10908,"GE-US^FE_ESTIMATE(EPS,MEAN,ANN_ROLL,2029,46209,,,'')":10.900297,"GE-US^FE_ESTIMATE(EPS,MEAN,ANN_ROLL,2028,46209,,,'')":9.852872,"GE-US^FE_ESTIMATE(EPS,MEAN,ANN_ROLL,2027,46209,,,'')":8.611396,"GE-US^FE_ESTIMATE(EPS,MEAN,ANN_ROLL,2026,46209,,,'')":7.546009,"GE-US^FE_ESTIMATE(EPS,MEAN,ANN_ROLL,2025,46209,,,'')":6.37,"GE-US^FE_ESTIMATE(NET_INC,MEAN,ANN_ROLL,2030,46209,,,'')":11807.545,"GE-US^FE_ESTIMATE(NET_INC,MEAN,ANN_ROLL,2029,46209,,,'')":10520.378,"GE-US^FE_ESTIMATE(NET_INC,MEAN,ANN_ROLL,2028,46209,,,'')":10051.378,"GE-US^FE_ESTIMATE(NET_INC,MEAN,ANN_ROLL,2027,46209,,,'')":8913.872,"GE-US^FE_ESTIMATE(NET_INC,MEAN,ANN_ROLL,2026,46209,,,'')":7938.1636,"GE-US^FE_ESTIMATE(NET_INC,MEAN,ANN_ROLL,2025,46209,,,'')":6812.0,"GE-US^FE_VALUATION(TAX_RATE,MEAN,ANN_ROLL,2030,46209,,,'')":0.12490658,"GE-US^FE_VALUATION(TAX_RATE,MEAN,ANN_ROLL,2029,46209,,,'')":0.13383931,"GE-US^FE_VALUATION(TAX_RATE,MEAN,ANN_ROLL,2028,46209,,,'')":0.16372162,"GE-US^FE_VALUATION(TAX_RATE,MEAN,ANN_ROLL,2027,46209,,,'')":0.16689964,"GE-US^FE_VALUATION(TAX_RATE,MEAN,ANN_ROLL,2026,46209,,,'')":0.16130525,"GE-US^FE_VALUATION(TAX_RATE,MEAN,ANN_ROLL,2025,46209,,,'')":0.16125606,"GE-US^FE_ESTIMATE(INC_TAX,MEAN,ANN_ROLL,2030,46209,,,'')":1930.0,"GE-US^FE_ESTIMATE(INC_TAX,MEAN,ANN_ROLL,2029,46209,,,'')":1837.0,"GE-US^FE_ESTIMATE(INC_TAX,MEAN,ANN_ROLL,2028,46209,,,'')":2063.0,"GE-US^FE_ESTIMATE(INC_TAX,MEAN,ANN_ROLL,2027,46209,,,'')":1859.1,"GE-US^FE_ESTIMATE(INC_TAX,MEAN,ANN_ROLL,2026,46209,,,'')":1562.8,"GE-US^FE_ESTIMATE(INC_TAX,MEAN,ANN_ROLL,2025,46209,,,'')":1417.625,"GE-US^FE_ESTIMATE(PTX_INC,MEAN,ANN_ROLL,2030,46209,,,'')":15451.548,"GE-US^FE_ESTIMATE(PTX_INC,MEAN,ANN_ROLL,2029,46209,,,'')":13725.414,"GE-US^FE_ESTIMATE(PTX_INC,MEAN,ANN_ROLL,2028,46209,,,'')":12600.657,"GE-US^FE_ESTIMATE(PTX_INC,MEAN,ANN_ROLL,2027,46209,,,'')":11139.029,"GE-US^FE_ESTIMATE(PTX_INC,MEAN,ANN_ROLL,2026,46209,,,'')":9688.464,"GE-US^FE_ESTIMATE(PTX_INC,MEAN,ANN_ROLL,2025,46209,,,'')":8791.143,"GE-US^FE_ESTIMATE(INT_EXP,MEAN,ANN_ROLL,2030,46209,,,'')":null,"GE-US^FE_ESTIMATE(INT_EXP,MEAN,ANN_ROLL,2029,46209,,,'')":null,"GE-US^FE_ESTIMATE(INT_EXP,MEAN,ANN_ROLL,2028,46209,,,'')":858.0,"GE-US^FE_ESTIMATE(INT_EXP,MEAN,ANN_ROLL,2027,46209,,,'')":859.6578,"GE-US^FE_ESTIMATE(INT_EXP,MEAN,ANN_ROLL,2026,46209,,,'')":883.61523,"GE-US^FE_ESTIMATE(INT_EXP,MEAN,ANN_ROLL,2025,46209,,,'')":831.0,"GE-US^FE_ESTIMATE(EBIT,MEAN,ANN_ROLL,2030,46209,,,'')":15456.5,"GE-US^FE_ESTIMATE(EBIT,MEAN,ANN_ROLL,2029,46209,,,'')":13867.585,"GE-US^FE_ESTIMATE(EBIT,MEAN,ANN_ROLL,2028,46209,,,'')":13182.728,"GE-US^FE_ESTIMATE(EBIT,MEAN,ANN_ROLL,2027,46209,,,'')":11782.763,"GE-US^FE_ESTIMATE(EBIT,MEAN,ANN_ROLL,2026,46209,,,'')":10427.23,"GE-US^FE_ESTIMATE(EBIT,MEAN,ANN_ROLL,2025,46209,,,'')":9055.0,"GE-US^FE_ESTIMATE(DEP_AMORT,MEAN,ANN_ROLL,2030,46209,,,'')":null,"GE-US^FE_ESTIMATE(DEP_AMORT,MEAN,ANN_ROLL,2029,46209,,,'')":null,"GE-US^FE_ESTIMATE(DEP_AMORT,MEAN,ANN_ROLL,2028,46209,,,'')":1203.6,"GE-US^FE_ESTIMATE(DEP_AMORT,MEAN,ANN_ROLL,2027,46209,,,'')":1159.3334,"GE-US^FE_ESTIMATE(DEP_AMORT,MEAN,ANN_ROLL,2026,46209,,,'')":1081.5,"GE-US^FE_ESTIMATE(DEP_AMORT,MEAN,ANN_ROLL,2025,46209,,,'')":1053.25,"GE-US^FE_ESTIMATE(EBITDA,MEAN,ANN_ROLL,2030,46209,,,'')":18514.813,"GE-US^FE_ESTIMATE(EBITDA,MEAN,ANN_ROLL,2029,46209,,,'')":15407.278,"GE-US^FE_ESTIMATE(EBITDA,MEAN,ANN_ROLL,2028,46209,,,'')":14585.472,"GE-US^FE_ESTIMATE(EBITDA,MEAN,ANN_ROLL,2027,46209,,,'')":13057.416,"GE-US^FE_ESTIMATE(EBITDA,MEAN,ANN_ROLL,2026,46209,,,'')":11552.879,"GE-US^FE_ESTIMATE(EBITDA,MEAN,ANN_ROLL,2025,46209,,,'')":10258.167,"GE-US^FE_ESTIMATE(OPER_EXP,MEAN,ANN_ROLL,2030,46209,,,'')":null,"GE-US^FE_ESTIMATE(OPER_EXP,MEAN,ANN_ROLL,2029,46209,,,'')":null,"GE-US^FE_ESTIMATE(OPER_EXP,MEAN,ANN_ROLL,2028,46209,,,'')":null,"GE-US^FE_ESTIMATE(OPER_EXP,MEAN,ANN_ROLL,2027,46209,,,'')":null,"GE-US^FE_ESTIMATE(OPER_EXP,MEAN,ANN_ROLL,2026,46209,,,'')":null,"GE-US^FE_ESTIMATE(OPER_EXP,MEAN,ANN_ROLL,2025,46209,,,'')":null,"GE-US^FE_ESTIMATE(SOE,MEAN,ANN_ROLL,2030,46209,,,'')":null,"GE-US^FE_ESTIMATE(SOE,MEAN,ANN_ROLL,2029,46209,,,'')":null,"GE-US^FE_ESTIMATE(SOE,MEAN,ANN_ROLL,2028,46209,,,'')":null,"GE-US^FE_ESTIMATE(SOE,MEAN,ANN_ROLL,2027,46209,,,'')":null,"GE-US^FE_ESTIMATE(SOE,MEAN,ANN_ROLL,2026,46209,,,'')":null,"GE-US^FE_ESTIMATE(SOE,MEAN,ANN_ROLL,2025,46209,,,'')":null,"GE-US^FE_ESTIMATE(RD_EXP,MEAN,ANN_ROLL,2030,46209,,,'')":null,"GE-US^FE_ESTIMATE(RD_EXP,MEAN,ANN_ROLL,2029,46209,,,'')":null,"GE-US^FE_ESTIMATE(RD_EXP,MEAN,ANN_ROLL,2028,46209,,,'')":1964.5,"GE-US^FE_ESTIMATE(RD_EXP,MEAN,ANN_ROLL,2027,46209,,,'')":1863.0,"GE-US^FE_ESTIMATE(RD_EXP,MEAN,ANN_ROLL,2026,46209,,,'')":1740.5,"GE-US^FE_ESTIMATE(RD_EXP,MEAN,ANN_ROLL,2025,46209,,,'')":1581.0,"GE-US^FE_ESTIMATE(G_A_EXP,MEAN,ANN_ROLL,2030,46209,,,'')":null,"GE-US^FE_ESTIMATE(G_A_EXP,MEAN,ANN_ROLL,2029,46209,,,'')":null,"GE-US^FE_ESTIMATE(G_A_EXP,MEAN,ANN_ROLL,2028,46209,,,'')":null,"GE-US^FE_ESTIMATE(G_A_EXP,MEAN,ANN_ROLL,2027,46209,,,'')":null,"GE-US^FE_ESTIMATE(G_A_EXP,MEAN,ANN_ROLL,2026,46209,,,'')":null,"GE-US^FE_ESTIMATE(G_A_EXP,MEAN,ANN_ROLL,2025,46209,,,'')":null,"GE-US^FE_ESTIMATE(SGA,MEAN,ANN_ROLL,2030,46209,,,'')":null,"GE-US^FE_ESTIMATE(SGA,MEAN,ANN_ROLL,2029,46209,,,'')":null,"GE-US^FE_ESTIMATE(SGA,MEAN,ANN_ROLL,2028,46209,,,'')":6771.5,"GE-US^FE_ESTIMATE(SGA,MEAN,ANN_ROLL,2027,46209,,,'')":6162.5,"GE-US^FE_ESTIMATE(SGA,MEAN,ANN_ROLL,2026,46209,,,'')":5268.0,"GE-US^FE_ESTIMATE(SGA,MEAN,ANN_ROLL,2025,46209,,,'')":4088.0,"GE-US^FE_VALUATION(GROSS_MARGIN,MEAN,ANN_ROLL,2030,46209,,,'')/100":null,"GE-US^FE_VALUATION(GROSS_MARGIN,MEAN,ANN_ROLL,2029,46209,,,'')/100":null,"GE-US^FE_VALUATION(GROSS_MARGIN,MEAN,ANN_ROLL,2028,46209,,,'')/100":0.3987173,"GE-US^FE_VALUATION(GROSS_MARGIN,MEAN,ANN_ROLL,2027,46209,,,'')/100":0.40073434,"GE-US^FE_VALUATION(GROSS_MARGIN,MEAN,ANN_ROLL,2026,46209,,,'')/100":0.39710236,"GE-US^FE_VALUATION(GROSS_MARGIN,MEAN,ANN_ROLL,2025,46209,,,'')/100":0.3990596,"GE-US^FE_ESTIMATE(GROSS_INC,MEAN,ANN_ROLL,2030,46209,,,'')":null,"GE-US^FE_ESTIMATE(GROSS_INC,MEAN,ANN_ROLL,2029,46209,,,'')":null,"GE-US^FE_ESTIMATE(GROSS_INC,MEAN,ANN_ROLL,2028,46209,,,'')":23205.0,"GE-US^FE_ESTIMATE(GROSS_INC,MEAN,ANN_ROLL,2027,46209,,,'')":21348.5,"GE-US^FE_ESTIMATE(GROSS_INC,MEAN,ANN_ROLL,2026,46209,,,'')":19280.5,"GE-US^FE_ESTIMATE(GROSS_INC,MEAN,ANN_ROLL,2025,46209,,,'')":16889.0,"GE-US^FE_ESTIMATE(COS,MEAN,ANN_ROLL,2030,46209,,,'')":null,"GE-US^FE_ESTIMATE(COS,MEAN,ANN_ROLL,2029,46209,,,'')":null,"GE-US^FE_ESTIMATE(COS,MEAN,ANN_ROLL,2028,46209,,,'')":39052.5,"GE-US^FE_ESTIMATE(COS,MEAN,ANN_ROLL,2027,46209,,,'')":35646.5,"GE-US^FE_ESTIMATE(COS,MEAN,ANN_ROLL,2026,46209,,,'')":32746.0,"GE-US^FE_ESTIMATE(COS,MEAN,ANN_ROLL,2025,46209,,,'')":28966.0,"GE-US^FE_ESTIMATE(FCFPS,MEAN,QTR_ROLL,2026/2F,46209,,,'')":1.991843,"GE-US^FE_ESTIMATE(FCF,MEAN,QTR_ROLL,2026/2F,46209,,,'')":2082.413,"GE-US^FE_ESTIMATE(CAPEX,MEAN,QTR_ROLL,2026/2F,46209,,,'')":341.26025,"GE-US^FE_ESTIMATE(CF_OP,MEAN,QTR_ROLL,2026/2F,46209,,,'')":1986.5,"GE-US^FE_ESTIMATE(NET_DEBT,MEAN,QTR_ROLL,2026/2F,46209,,,'')":null,"GE-US^FE_ESTIMATE(DEBT,MEAN,QTR_ROLL,2026/2F,46209,,,'')":null,"GE-US^FE_ESTIMATE(CASH_ST,MEAN,QTR_ROLL,2026/2F,46209,,,'')":10561.0,"GE-US^FE_ESTIMATE(DPS,MEAN,QTR_ROLL,2026/2F,46209,,,'')":0.42485714,"GE-US^FE_ESTIMATE(EPS_GAAP,MEAN,QTR_ROLL,2026/2F,46209,,,'')":1.9849632,"GE-US^FE_ESTIMATE(NET_INC_REP,MEAN,QTR_ROLL,2026/2F,46209,,,'')":2040.7496,"GE-US^FE_ESTIMATE(PTX_INC_REP,MEAN,QTR_ROLL,2026/2F,46209,,,'')":2627.1982,"GE-US^FE_ESTIMATE(EBITDA_REP,MEAN,QTR_ROLL,2026/2F,46209,,,'')":2923.577,"GE-US^FE_ESTIMATE(EPS,MEAN,QTR_ROLL,2026/2F,46209,,,'')":1.8562138,"GE-US^FE_ESTIMATE(NET_INC,MEAN,QTR_ROLL,2026/2F,46209,,,'')":1979.9685,"GE-US^FE_VALUATION(TAX_RATE,MEAN,QTR_ROLL,2026/2F,46209,,,'')/100":0.0017040543,"GE-US^FE_ESTIMATE(INC_TAX,MEAN,QTR_ROLL,2026/2F,46209,,,'')":414.7143,"GE-US^FE_ESTIMATE(PTX_INC,MEAN,QTR_ROLL,2026/2F,46209,,,'')":2433.6917,"GE-US^FE_ESTIMATE(INT_EXP,MEAN,QTR_ROLL,2026/2F,46209,,,'')":194.0,"GE-US^FE_ESTIMATE(EBIT,MEAN,QTR_ROLL,2026/2F,46209,,,'')":2569.303,"GE-US^FE_ESTIMATE(DEP_AMORT_EXP,MEAN,QTR_ROLL,2026/2F,46209,,,'')":291.66666,"GE-US^FE_ESTIMATE(EBITDA,MEAN,QTR_ROLL,2026/2F,46209,,,'')":2891.181,"GE-US^FE_ESTIMATE(EBITDAR,MEAN,QTR_ROLL,2026/2F,46209,,,'')":null,"GE-US^FE_ESTIMATE(OPER_EXP,MEAN,QTR_ROLL,2026/2F,46209,,,'')":null,"GE-US^FE_ESTIMATE(RD_EXP,MEAN,QTR_ROLL,2026/2F,46209,,,'')":398.5,"GE-US^FE_ESTIMATE(G_A_EXP,MEAN,QTR_ROLL,2026/2F,46209,,,'')":null,"GE-US^FE_ESTIMATE(SGA,MEAN,QTR_ROLL,2026/2F,46209,,,'')":1510.5,"GE-US^FE_VALUATION(GROSS_MARGIN,MEAN,QTR_ROLL,2026/2F,46209,,,'')/100":0.41546398,"GE-US^FE_ESTIMATE(GROSS_INC,MEAN,QTR_ROLL,2026/2F,46209,,,'')":4892.0,"GE-US^FE_ESTIMATE(COS,MEAN,QTR_ROLL,2026/2F,46209,,,'')":7738.5,"GE-US^FE_ESTIMATE(SALES,MEAN,QTR_ROLL,2026/2F,46209,,,'')":11774.787}]]></FdsFormulaCache>
</file>

<file path=customXml/itemProps1.xml><?xml version="1.0" encoding="utf-8"?>
<ds:datastoreItem xmlns:ds="http://schemas.openxmlformats.org/officeDocument/2006/customXml" ds:itemID="{4CD8E39F-481E-4C65-9420-C6C63FB61E98}">
  <ds:schemaRefs>
    <ds:schemaRef ds:uri="urn:fdsformulacach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5</vt:i4>
      </vt:variant>
    </vt:vector>
  </HeadingPairs>
  <TitlesOfParts>
    <vt:vector size="22" baseType="lpstr">
      <vt:lpstr>CircularReferenceAlert</vt:lpstr>
      <vt:lpstr>ImportantDisclosures</vt:lpstr>
      <vt:lpstr>ProForma_IS_Annual</vt:lpstr>
      <vt:lpstr>ProForma_IS_Qtr</vt:lpstr>
      <vt:lpstr>Balance_Sheet_Annual</vt:lpstr>
      <vt:lpstr>Balance_Sheet_Qtr</vt:lpstr>
      <vt:lpstr>Cash_Flow_Annual</vt:lpstr>
      <vt:lpstr>Cash_Flow_Qtr</vt:lpstr>
      <vt:lpstr>Debt_Annual</vt:lpstr>
      <vt:lpstr>Debt_Qtr</vt:lpstr>
      <vt:lpstr>CES_Annual</vt:lpstr>
      <vt:lpstr>CES_Qtr</vt:lpstr>
      <vt:lpstr>CES Annual_Driver</vt:lpstr>
      <vt:lpstr>Def and Prop Tech_Annual</vt:lpstr>
      <vt:lpstr>Def and Prop Tech_Qtr</vt:lpstr>
      <vt:lpstr>IndexInformation</vt:lpstr>
      <vt:lpstr>ModPubIndex</vt:lpstr>
      <vt:lpstr>Linking_1</vt:lpstr>
      <vt:lpstr>Linking_2</vt:lpstr>
      <vt:lpstr>Linking_6</vt:lpstr>
      <vt:lpstr>Linking_8</vt:lpstr>
      <vt:lpstr>Linking_9</vt:lpstr>
    </vt:vector>
  </TitlesOfParts>
  <Company>Morgan Stanley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Aguilar, Leyla (Research)</dc:creator>
  <cp:lastModifiedBy>Knafelman, Gaby (Research)</cp:lastModifiedBy>
  <cp:lastPrinted>2026-02-18T19:46:16Z</cp:lastPrinted>
  <dcterms:created xsi:type="dcterms:W3CDTF">2020-05-12T21:40:30Z</dcterms:created>
  <dcterms:modified xsi:type="dcterms:W3CDTF">2026-07-17T17:06:15Z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44787D4-0540-4523-9961-78E4036D8C6D}">
    <vt:lpwstr>{5E1C6C5D-3FA2-473E-ABF5-AEFC942FFACA}</vt:lpwstr>
  </property>
  <property fmtid="{D5CDD505-2E9C-101B-9397-08002B2CF9AE}" pid="3" name="MSIP_Label_07f119e6-c6cd-44b0-a5ee-ac1aff68c56e_Enabled">
    <vt:lpwstr>true</vt:lpwstr>
  </property>
  <property fmtid="{D5CDD505-2E9C-101B-9397-08002B2CF9AE}" pid="4" name="MSIP_Label_07f119e6-c6cd-44b0-a5ee-ac1aff68c56e_SetDate">
    <vt:lpwstr>2022-06-23T19:27:23Z</vt:lpwstr>
  </property>
  <property fmtid="{D5CDD505-2E9C-101B-9397-08002B2CF9AE}" pid="5" name="MSIP_Label_07f119e6-c6cd-44b0-a5ee-ac1aff68c56e_Method">
    <vt:lpwstr>Standard</vt:lpwstr>
  </property>
  <property fmtid="{D5CDD505-2E9C-101B-9397-08002B2CF9AE}" pid="6" name="MSIP_Label_07f119e6-c6cd-44b0-a5ee-ac1aff68c56e_Name">
    <vt:lpwstr>Confidential v1</vt:lpwstr>
  </property>
  <property fmtid="{D5CDD505-2E9C-101B-9397-08002B2CF9AE}" pid="7" name="MSIP_Label_07f119e6-c6cd-44b0-a5ee-ac1aff68c56e_SiteId">
    <vt:lpwstr>e29b8111-49f8-418d-ac2a-935335a52614</vt:lpwstr>
  </property>
  <property fmtid="{D5CDD505-2E9C-101B-9397-08002B2CF9AE}" pid="8" name="MSIP_Label_07f119e6-c6cd-44b0-a5ee-ac1aff68c56e_ActionId">
    <vt:lpwstr>5dd8e536-b290-4fb4-8da3-3dd02b3ab255</vt:lpwstr>
  </property>
  <property fmtid="{D5CDD505-2E9C-101B-9397-08002B2CF9AE}" pid="9" name="MSIP_Label_07f119e6-c6cd-44b0-a5ee-ac1aff68c56e_ContentBits">
    <vt:lpwstr>0</vt:lpwstr>
  </property>
  <property fmtid="{D5CDD505-2E9C-101B-9397-08002B2CF9AE}" pid="10" name="ERModPubMaxChange">
    <vt:r8>0.001</vt:r8>
  </property>
  <property fmtid="{D5CDD505-2E9C-101B-9397-08002B2CF9AE}" pid="11" name="MSDH34TAG">
    <vt:lpwstr>.TEZUF76X5TAHATHESADREYAK-01-INB160+*94600-MD=20260217114556/-0500,ZE=10142,ZZ=ZZZZ-b821.</vt:lpwstr>
  </property>
  <property fmtid="{D5CDD505-2E9C-101B-9397-08002B2CF9AE}" pid="12" name="ERModPubTicket">
    <vt:lpwstr>NA</vt:lpwstr>
  </property>
  <property fmtid="{D5CDD505-2E9C-101B-9397-08002B2CF9AE}" pid="13" name="ERModPubFileName">
    <vt:lpwstr>GE.N.xls</vt:lpwstr>
  </property>
  <property fmtid="{D5CDD505-2E9C-101B-9397-08002B2CF9AE}" pid="14" name="ERModPubConfirmEmail">
    <vt:bool>false</vt:bool>
  </property>
  <property fmtid="{D5CDD505-2E9C-101B-9397-08002B2CF9AE}" pid="15" name="ERModPubUserEmail">
    <vt:lpwstr>knafegab@ms.com</vt:lpwstr>
  </property>
  <property fmtid="{D5CDD505-2E9C-101B-9397-08002B2CF9AE}" pid="16" name="ERModPubGCIMTagged">
    <vt:bool>true</vt:bool>
  </property>
  <property fmtid="{D5CDD505-2E9C-101B-9397-08002B2CF9AE}" pid="17" name="ERCompanyUploadState">
    <vt:lpwstr>P</vt:lpwstr>
  </property>
  <property fmtid="{D5CDD505-2E9C-101B-9397-08002B2CF9AE}" pid="18" name="ERModPubCurrentYear">
    <vt:i4>2026</vt:i4>
  </property>
  <property fmtid="{D5CDD505-2E9C-101B-9397-08002B2CF9AE}" pid="19" name="ModelId">
    <vt:lpwstr>9843689</vt:lpwstr>
  </property>
  <property fmtid="{D5CDD505-2E9C-101B-9397-08002B2CF9AE}" pid="20" name="ERModPubCompanyName">
    <vt:lpwstr>GE Aerospace</vt:lpwstr>
  </property>
</Properties>
</file>